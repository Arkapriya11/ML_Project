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Oct. 2025\"/>
    </mc:Choice>
  </mc:AlternateContent>
  <xr:revisionPtr revIDLastSave="0" documentId="13_ncr:1_{5B60C291-B79F-4728-9286-5F0452BA2D74}" xr6:coauthVersionLast="47" xr6:coauthVersionMax="47" xr10:uidLastSave="{00000000-0000-0000-0000-000000000000}"/>
  <bookViews>
    <workbookView xWindow="-120" yWindow="-120" windowWidth="20730" windowHeight="11040" tabRatio="814" firstSheet="10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F45" i="39" l="1"/>
  <c r="H110" i="29"/>
  <c r="G110" i="29"/>
  <c r="G112" i="29" s="1"/>
  <c r="I110" i="27"/>
  <c r="I109" i="27"/>
  <c r="I110" i="26"/>
  <c r="I110" i="25"/>
  <c r="I112" i="25" s="1"/>
  <c r="F110" i="19"/>
  <c r="F112" i="19" s="1"/>
  <c r="F110" i="16"/>
  <c r="F110" i="15"/>
  <c r="Q110" i="14"/>
  <c r="H110" i="14"/>
  <c r="I110" i="14"/>
  <c r="J110" i="14"/>
  <c r="K110" i="14"/>
  <c r="L110" i="14"/>
  <c r="M110" i="14"/>
  <c r="M112" i="14" s="1"/>
  <c r="N110" i="14"/>
  <c r="O110" i="14"/>
  <c r="P110" i="14"/>
  <c r="G110" i="14"/>
  <c r="F110" i="14"/>
  <c r="C110" i="14"/>
  <c r="D110" i="14"/>
  <c r="E110" i="14"/>
  <c r="Q112" i="14"/>
  <c r="B110" i="14"/>
  <c r="B112" i="14" s="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D4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1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E112" i="32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1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2" i="29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1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2" i="27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K112" i="26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1" i="26" s="1"/>
  <c r="J110" i="26"/>
  <c r="J112" i="26" s="1"/>
  <c r="I112" i="26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2" i="20"/>
  <c r="Q110" i="20"/>
  <c r="Q111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2" i="16"/>
  <c r="E110" i="16"/>
  <c r="E111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B112" i="15"/>
  <c r="Q110" i="15"/>
  <c r="Q112" i="15" s="1"/>
  <c r="P110" i="15"/>
  <c r="P112" i="15" s="1"/>
  <c r="O110" i="15"/>
  <c r="O112" i="15" s="1"/>
  <c r="N110" i="15"/>
  <c r="M110" i="15"/>
  <c r="M112" i="15" s="1"/>
  <c r="L110" i="15"/>
  <c r="K110" i="15"/>
  <c r="J110" i="15"/>
  <c r="J112" i="15" s="1"/>
  <c r="I110" i="15"/>
  <c r="H110" i="15"/>
  <c r="H112" i="15" s="1"/>
  <c r="G110" i="15"/>
  <c r="G112" i="15" s="1"/>
  <c r="F111" i="15"/>
  <c r="E110" i="15"/>
  <c r="D110" i="15"/>
  <c r="D112" i="15" s="1"/>
  <c r="C110" i="15"/>
  <c r="C111" i="15" s="1"/>
  <c r="B110" i="15"/>
  <c r="B111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2" i="14"/>
  <c r="O112" i="14"/>
  <c r="N111" i="14"/>
  <c r="L112" i="14"/>
  <c r="K112" i="14"/>
  <c r="J111" i="14"/>
  <c r="I112" i="14"/>
  <c r="H112" i="14"/>
  <c r="G112" i="14"/>
  <c r="F112" i="14"/>
  <c r="E112" i="14"/>
  <c r="D112" i="14"/>
  <c r="C112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1" i="13" s="1"/>
  <c r="N110" i="13"/>
  <c r="N112" i="13" s="1"/>
  <c r="M110" i="13"/>
  <c r="M112" i="13" s="1"/>
  <c r="L110" i="13"/>
  <c r="L112" i="13" s="1"/>
  <c r="K110" i="13"/>
  <c r="K111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1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1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1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1" i="8" s="1"/>
  <c r="G110" i="8"/>
  <c r="G112" i="8" s="1"/>
  <c r="F110" i="8"/>
  <c r="F111" i="8" s="1"/>
  <c r="E110" i="8"/>
  <c r="E112" i="8" s="1"/>
  <c r="D110" i="8"/>
  <c r="D111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1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1" i="3" s="1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1" i="2" s="1"/>
  <c r="I110" i="2"/>
  <c r="I112" i="2" s="1"/>
  <c r="H110" i="2"/>
  <c r="H112" i="2" s="1"/>
  <c r="G110" i="2"/>
  <c r="G112" i="2" s="1"/>
  <c r="F110" i="2"/>
  <c r="F111" i="2" s="1"/>
  <c r="E110" i="2"/>
  <c r="E112" i="2" s="1"/>
  <c r="D110" i="2"/>
  <c r="D112" i="2" s="1"/>
  <c r="C110" i="2"/>
  <c r="C112" i="2" s="1"/>
  <c r="B110" i="2"/>
  <c r="B111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Q111" i="41" l="1"/>
  <c r="B112" i="40"/>
  <c r="F111" i="31"/>
  <c r="I112" i="28"/>
  <c r="J111" i="27"/>
  <c r="E112" i="16"/>
  <c r="P111" i="15"/>
  <c r="C112" i="15"/>
  <c r="F112" i="15"/>
  <c r="O45" i="39"/>
  <c r="O44" i="39"/>
  <c r="O43" i="39"/>
  <c r="O42" i="39"/>
  <c r="O41" i="39"/>
  <c r="K112" i="13"/>
  <c r="N112" i="14"/>
  <c r="J45" i="39"/>
  <c r="J44" i="39"/>
  <c r="J43" i="39"/>
  <c r="J42" i="39"/>
  <c r="J41" i="39"/>
  <c r="J112" i="2"/>
  <c r="H112" i="8"/>
  <c r="G111" i="9"/>
  <c r="F111" i="10"/>
  <c r="E111" i="11"/>
  <c r="D111" i="12"/>
  <c r="C111" i="13"/>
  <c r="B111" i="14"/>
  <c r="N111" i="23"/>
  <c r="N112" i="10"/>
  <c r="M111" i="11"/>
  <c r="L111" i="12"/>
  <c r="O112" i="13"/>
  <c r="I112" i="3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C111" i="18"/>
  <c r="C111" i="44"/>
  <c r="L111" i="2"/>
  <c r="J111" i="8"/>
  <c r="I111" i="9"/>
  <c r="H111" i="10"/>
  <c r="G111" i="11"/>
  <c r="F111" i="12"/>
  <c r="E111" i="13"/>
  <c r="D111" i="14"/>
  <c r="H111" i="29"/>
  <c r="B112" i="2"/>
  <c r="I112" i="15"/>
  <c r="I111" i="15"/>
  <c r="Q112" i="11"/>
  <c r="H45" i="39"/>
  <c r="H44" i="39"/>
  <c r="H43" i="39"/>
  <c r="H42" i="39"/>
  <c r="H41" i="39"/>
  <c r="H111" i="2"/>
  <c r="K111" i="3"/>
  <c r="M45" i="39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M111" i="24"/>
  <c r="N45" i="39"/>
  <c r="N44" i="39"/>
  <c r="N43" i="39"/>
  <c r="N42" i="39"/>
  <c r="N41" i="39"/>
  <c r="N111" i="2"/>
  <c r="M111" i="3"/>
  <c r="L111" i="8"/>
  <c r="K111" i="9"/>
  <c r="J111" i="10"/>
  <c r="I111" i="11"/>
  <c r="H111" i="12"/>
  <c r="G111" i="13"/>
  <c r="F111" i="14"/>
  <c r="E112" i="15"/>
  <c r="E111" i="15"/>
  <c r="J111" i="15"/>
  <c r="B111" i="19"/>
  <c r="Q112" i="3"/>
  <c r="F112" i="2"/>
  <c r="D112" i="8"/>
  <c r="C111" i="9"/>
  <c r="P111" i="12"/>
  <c r="O111" i="2"/>
  <c r="N111" i="3"/>
  <c r="M111" i="8"/>
  <c r="L111" i="9"/>
  <c r="K111" i="10"/>
  <c r="J111" i="11"/>
  <c r="I111" i="12"/>
  <c r="H111" i="13"/>
  <c r="G111" i="14"/>
  <c r="O111" i="15"/>
  <c r="G111" i="30"/>
  <c r="O112" i="9"/>
  <c r="J112" i="14"/>
  <c r="L45" i="39"/>
  <c r="L44" i="39"/>
  <c r="L43" i="39"/>
  <c r="L42" i="39"/>
  <c r="L41" i="39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L111" i="25"/>
  <c r="F44" i="39"/>
  <c r="F43" i="39"/>
  <c r="F42" i="39"/>
  <c r="F41" i="39"/>
  <c r="B111" i="10"/>
  <c r="Q45" i="39"/>
  <c r="Q44" i="39"/>
  <c r="Q111" i="2"/>
  <c r="P111" i="3"/>
  <c r="O111" i="8"/>
  <c r="N111" i="9"/>
  <c r="M111" i="10"/>
  <c r="L111" i="11"/>
  <c r="K111" i="12"/>
  <c r="J111" i="13"/>
  <c r="I111" i="14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B45" i="39"/>
  <c r="B44" i="39"/>
  <c r="B43" i="39"/>
  <c r="B42" i="39"/>
  <c r="B41" i="39"/>
  <c r="P112" i="8"/>
  <c r="D45" i="39"/>
  <c r="D44" i="39"/>
  <c r="D43" i="39"/>
  <c r="D42" i="39"/>
  <c r="D41" i="39"/>
  <c r="D111" i="2"/>
  <c r="B111" i="8"/>
  <c r="Q111" i="9"/>
  <c r="P111" i="10"/>
  <c r="O111" i="11"/>
  <c r="N111" i="12"/>
  <c r="M111" i="13"/>
  <c r="L111" i="14"/>
  <c r="K112" i="15"/>
  <c r="K111" i="15"/>
  <c r="P111" i="21"/>
  <c r="Q41" i="39"/>
  <c r="C111" i="3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Q42" i="39"/>
  <c r="Q43" i="39"/>
  <c r="E111" i="3"/>
  <c r="G45" i="39"/>
  <c r="G44" i="39"/>
  <c r="G43" i="39"/>
  <c r="G42" i="39"/>
  <c r="G41" i="39"/>
  <c r="G111" i="2"/>
  <c r="F111" i="3"/>
  <c r="E111" i="8"/>
  <c r="D111" i="9"/>
  <c r="C111" i="10"/>
  <c r="B111" i="11"/>
  <c r="Q111" i="12"/>
  <c r="P111" i="13"/>
  <c r="O111" i="14"/>
  <c r="N112" i="15"/>
  <c r="N111" i="15"/>
  <c r="O111" i="22"/>
  <c r="F112" i="8"/>
  <c r="E111" i="9"/>
  <c r="D111" i="10"/>
  <c r="C111" i="11"/>
  <c r="B111" i="12"/>
  <c r="Q111" i="13"/>
  <c r="P111" i="14"/>
  <c r="D111" i="17"/>
  <c r="D111" i="33"/>
  <c r="G111" i="3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J111" i="41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G111" i="41"/>
  <c r="G47" i="39" l="1"/>
  <c r="G46" i="39"/>
  <c r="M47" i="39"/>
  <c r="M46" i="39"/>
  <c r="N47" i="39"/>
  <c r="N46" i="39"/>
  <c r="I47" i="39"/>
  <c r="I46" i="39"/>
  <c r="D47" i="39"/>
  <c r="D46" i="39"/>
  <c r="K47" i="39"/>
  <c r="K46" i="39"/>
  <c r="Q47" i="39"/>
  <c r="Q46" i="39"/>
  <c r="H47" i="39"/>
  <c r="H46" i="39"/>
  <c r="J47" i="39"/>
  <c r="J46" i="39"/>
  <c r="C47" i="39"/>
  <c r="C46" i="39"/>
  <c r="P47" i="39"/>
  <c r="P46" i="39"/>
  <c r="F47" i="39"/>
  <c r="F46" i="39"/>
  <c r="E47" i="39"/>
  <c r="E46" i="39"/>
  <c r="B47" i="39"/>
  <c r="B46" i="39"/>
  <c r="L47" i="39"/>
  <c r="L46" i="39"/>
  <c r="O47" i="39"/>
  <c r="O46" i="39"/>
</calcChain>
</file>

<file path=xl/sharedStrings.xml><?xml version="1.0" encoding="utf-8"?>
<sst xmlns="http://schemas.openxmlformats.org/spreadsheetml/2006/main" count="6584" uniqueCount="3216">
  <si>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</si>
  <si>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</si>
  <si>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</si>
  <si>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</si>
  <si>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</si>
  <si>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</si>
  <si>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</si>
  <si>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</si>
  <si>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</si>
  <si>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</si>
  <si>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</si>
  <si>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</si>
  <si>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</si>
  <si>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</si>
  <si>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</si>
  <si>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</si>
  <si>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</si>
  <si>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</si>
  <si>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</si>
  <si>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</si>
  <si>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</si>
  <si>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</si>
  <si>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</si>
  <si>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</si>
  <si>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</si>
  <si>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</si>
  <si>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</si>
  <si>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</si>
  <si>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</si>
  <si>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</si>
  <si>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</si>
  <si>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</si>
  <si>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</si>
  <si>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</si>
  <si>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</si>
  <si>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</si>
  <si>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</si>
  <si>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</si>
  <si>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</si>
  <si>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</si>
  <si>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</si>
  <si>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</si>
  <si>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</si>
  <si>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</si>
  <si>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</si>
  <si>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</si>
  <si>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</si>
  <si>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</si>
  <si>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</si>
  <si>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</si>
  <si>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</si>
  <si>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</si>
  <si>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</si>
  <si>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</si>
  <si>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</si>
  <si>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</si>
  <si>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</si>
  <si>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</si>
  <si>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</si>
  <si>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</si>
  <si>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</si>
  <si>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</si>
  <si>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</si>
  <si>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</si>
  <si>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</si>
  <si>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</si>
  <si>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</si>
  <si>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</si>
  <si>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</si>
  <si>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</si>
  <si>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</si>
  <si>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</si>
  <si>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</si>
  <si>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</si>
  <si>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</si>
  <si>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</si>
  <si>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</si>
  <si>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</si>
  <si>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</si>
  <si>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</si>
  <si>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</si>
  <si>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</si>
  <si>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</si>
  <si>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</si>
  <si>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</si>
  <si>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</si>
  <si>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</si>
  <si>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</si>
  <si>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</si>
  <si>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</si>
  <si>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</si>
  <si>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</si>
  <si>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</si>
  <si>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</si>
  <si>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</si>
  <si>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</si>
  <si>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</si>
  <si>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</si>
  <si>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</si>
  <si>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</si>
  <si>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</si>
  <si>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</si>
  <si>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</si>
  <si>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</si>
  <si>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</si>
  <si>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</si>
  <si>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</si>
  <si>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</si>
  <si>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</si>
  <si>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</si>
  <si>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</si>
  <si>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</si>
  <si>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</si>
  <si>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</si>
  <si>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</si>
  <si>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</si>
  <si>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</si>
  <si>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</si>
  <si>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</si>
  <si>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</si>
  <si>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</si>
  <si>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</si>
  <si>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</si>
  <si>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</si>
  <si>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</si>
  <si>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</si>
  <si>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</si>
  <si>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</si>
  <si>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</si>
  <si>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</si>
  <si>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</si>
  <si>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</si>
  <si>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</si>
  <si>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</si>
  <si>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</si>
  <si>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</si>
  <si>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</si>
  <si>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</si>
  <si>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</si>
  <si>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</si>
  <si>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</si>
  <si>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</si>
  <si>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</si>
  <si>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</si>
  <si>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</si>
  <si>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</si>
  <si>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</si>
  <si>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</si>
  <si>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</si>
  <si>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</si>
  <si>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</si>
  <si>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</si>
  <si>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</si>
  <si>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</si>
  <si>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</si>
  <si>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</si>
  <si>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</si>
  <si>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</si>
  <si>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</si>
  <si>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</si>
  <si>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</si>
  <si>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</si>
  <si>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</si>
  <si>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</si>
  <si>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</si>
  <si>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</si>
  <si>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</si>
  <si>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</si>
  <si>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</si>
  <si>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</si>
  <si>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</si>
  <si>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</si>
  <si>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</si>
  <si>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</si>
  <si>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</si>
  <si>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</si>
  <si>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</si>
  <si>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</si>
  <si>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</si>
  <si>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</si>
  <si>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</si>
  <si>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</si>
  <si>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</si>
  <si>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</si>
  <si>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</si>
  <si>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</si>
  <si>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</si>
  <si>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</si>
  <si>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</si>
  <si>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</si>
  <si>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</si>
  <si>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</si>
  <si>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</si>
  <si>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</si>
  <si>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</si>
  <si>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</si>
  <si>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</si>
  <si>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</si>
  <si>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</si>
  <si>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</si>
  <si>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</si>
  <si>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</si>
  <si>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</si>
  <si>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</si>
  <si>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</si>
  <si>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</si>
  <si>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</si>
  <si>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</si>
  <si>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</si>
  <si>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</si>
  <si>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</si>
  <si>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</si>
  <si>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</si>
  <si>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</si>
  <si>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</si>
  <si>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</si>
  <si>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</si>
  <si>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</si>
  <si>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</si>
  <si>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</si>
  <si>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</si>
  <si>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</si>
  <si>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</si>
  <si>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</si>
  <si>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</si>
  <si>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</si>
  <si>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</si>
  <si>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</si>
  <si>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</si>
  <si>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</si>
  <si>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</si>
  <si>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</si>
  <si>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</si>
  <si>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</si>
  <si>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</si>
  <si>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</si>
  <si>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</si>
  <si>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</si>
  <si>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ANIMESH</t>
  </si>
  <si>
    <t>01/10/2025 00:15 - 31/10/2025 00:00</t>
  </si>
  <si>
    <t>01/10/2025 00:15</t>
  </si>
  <si>
    <t>01/10/2025 00:30</t>
  </si>
  <si>
    <t>01/10/2025 00:45</t>
  </si>
  <si>
    <t>01/10/2025 01:00</t>
  </si>
  <si>
    <t>01/10/2025 01:15</t>
  </si>
  <si>
    <t>01/10/2025 01:30</t>
  </si>
  <si>
    <t>01/10/2025 01:45</t>
  </si>
  <si>
    <t>01/10/2025 02:00</t>
  </si>
  <si>
    <t>01/10/2025 02:15</t>
  </si>
  <si>
    <t>01/10/2025 02:30</t>
  </si>
  <si>
    <t>01/10/2025 02:45</t>
  </si>
  <si>
    <t>01/10/2025 03:00</t>
  </si>
  <si>
    <t>01/10/2025 03:15</t>
  </si>
  <si>
    <t>01/10/2025 03:30</t>
  </si>
  <si>
    <t>01/10/2025 03:45</t>
  </si>
  <si>
    <t>01/10/2025 04:00</t>
  </si>
  <si>
    <t>01/10/2025 04:15</t>
  </si>
  <si>
    <t>01/10/2025 04:30</t>
  </si>
  <si>
    <t>01/10/2025 04:45</t>
  </si>
  <si>
    <t>01/10/2025 05:00</t>
  </si>
  <si>
    <t>01/10/2025 05:15</t>
  </si>
  <si>
    <t>01/10/2025 05:30</t>
  </si>
  <si>
    <t>01/10/2025 05:45</t>
  </si>
  <si>
    <t>01/10/2025 06:00</t>
  </si>
  <si>
    <t>01/10/2025 06:15</t>
  </si>
  <si>
    <t>01/10/2025 06:30</t>
  </si>
  <si>
    <t>01/10/2025 06:45</t>
  </si>
  <si>
    <t>01/10/2025 07:00</t>
  </si>
  <si>
    <t>01/10/2025 07:15</t>
  </si>
  <si>
    <t>01/10/2025 07:30</t>
  </si>
  <si>
    <t>01/10/2025 07:45</t>
  </si>
  <si>
    <t>01/10/2025 08:00</t>
  </si>
  <si>
    <t>01/10/2025 08:15</t>
  </si>
  <si>
    <t>01/10/2025 08:30</t>
  </si>
  <si>
    <t>01/10/2025 08:45</t>
  </si>
  <si>
    <t>01/10/2025 09:00</t>
  </si>
  <si>
    <t>01/10/2025 09:15</t>
  </si>
  <si>
    <t>01/10/2025 09:30</t>
  </si>
  <si>
    <t>01/10/2025 09:45</t>
  </si>
  <si>
    <t>01/10/2025 10:00</t>
  </si>
  <si>
    <t>01/10/2025 10:15</t>
  </si>
  <si>
    <t>01/10/2025 10:30</t>
  </si>
  <si>
    <t>01/10/2025 10:45</t>
  </si>
  <si>
    <t>01/10/2025 11:00</t>
  </si>
  <si>
    <t>01/10/2025 11:15</t>
  </si>
  <si>
    <t>01/10/2025 11:30</t>
  </si>
  <si>
    <t>01/10/2025 11:45</t>
  </si>
  <si>
    <t>01/10/2025 12:00</t>
  </si>
  <si>
    <t>01/10/2025 12:15</t>
  </si>
  <si>
    <t>01/10/2025 12:30</t>
  </si>
  <si>
    <t>01/10/2025 12:45</t>
  </si>
  <si>
    <t>01/10/2025 13:00</t>
  </si>
  <si>
    <t>01/10/2025 13:15</t>
  </si>
  <si>
    <t>01/10/2025 13:30</t>
  </si>
  <si>
    <t>01/10/2025 13:45</t>
  </si>
  <si>
    <t>01/10/2025 14:00</t>
  </si>
  <si>
    <t>01/10/2025 14:15</t>
  </si>
  <si>
    <t>01/10/2025 14:30</t>
  </si>
  <si>
    <t>01/10/2025 14:45</t>
  </si>
  <si>
    <t>01/10/2025 15:00</t>
  </si>
  <si>
    <t>01/10/2025 15:15</t>
  </si>
  <si>
    <t>01/10/2025 15:30</t>
  </si>
  <si>
    <t>01/10/2025 15:45</t>
  </si>
  <si>
    <t>01/10/2025 16:00</t>
  </si>
  <si>
    <t>01/10/2025 16:15</t>
  </si>
  <si>
    <t>01/10/2025 16:30</t>
  </si>
  <si>
    <t>01/10/2025 16:45</t>
  </si>
  <si>
    <t>01/10/2025 17:00</t>
  </si>
  <si>
    <t>01/10/2025 17:15</t>
  </si>
  <si>
    <t>01/10/2025 17:30</t>
  </si>
  <si>
    <t>01/10/2025 17:45</t>
  </si>
  <si>
    <t>01/10/2025 18:00</t>
  </si>
  <si>
    <t>01/10/2025 18:15</t>
  </si>
  <si>
    <t>01/10/2025 18:30</t>
  </si>
  <si>
    <t>01/10/2025 18:45</t>
  </si>
  <si>
    <t>01/10/2025 19:00</t>
  </si>
  <si>
    <t>01/10/2025 19:15</t>
  </si>
  <si>
    <t>01/10/2025 19:30</t>
  </si>
  <si>
    <t>01/10/2025 19:45</t>
  </si>
  <si>
    <t>01/10/2025 20:00</t>
  </si>
  <si>
    <t>01/10/2025 20:15</t>
  </si>
  <si>
    <t>01/10/2025 20:30</t>
  </si>
  <si>
    <t>01/10/2025 20:45</t>
  </si>
  <si>
    <t>01/10/2025 21:00</t>
  </si>
  <si>
    <t>01/10/2025 21:15</t>
  </si>
  <si>
    <t>01/10/2025 21:30</t>
  </si>
  <si>
    <t>01/10/2025 21:45</t>
  </si>
  <si>
    <t>01/10/2025 22:00</t>
  </si>
  <si>
    <t>01/10/2025 22:15</t>
  </si>
  <si>
    <t>01/10/2025 22:30</t>
  </si>
  <si>
    <t>01/10/2025 22:45</t>
  </si>
  <si>
    <t>01/10/2025 23:00</t>
  </si>
  <si>
    <t>01/10/2025 23:15</t>
  </si>
  <si>
    <t>01/10/2025 23:30</t>
  </si>
  <si>
    <t>01/10/2025 23:45</t>
  </si>
  <si>
    <t>01/10/2025 24:00</t>
  </si>
  <si>
    <t>02/10/2025 00:15</t>
  </si>
  <si>
    <t>02/10/2025 00:30</t>
  </si>
  <si>
    <t>02/10/2025 00:45</t>
  </si>
  <si>
    <t>02/10/2025 01:00</t>
  </si>
  <si>
    <t>02/10/2025 01:15</t>
  </si>
  <si>
    <t>02/10/2025 01:30</t>
  </si>
  <si>
    <t>02/10/2025 01:45</t>
  </si>
  <si>
    <t>02/10/2025 02:00</t>
  </si>
  <si>
    <t>02/10/2025 02:15</t>
  </si>
  <si>
    <t>02/10/2025 02:30</t>
  </si>
  <si>
    <t>02/10/2025 02:45</t>
  </si>
  <si>
    <t>02/10/2025 03:00</t>
  </si>
  <si>
    <t>02/10/2025 03:15</t>
  </si>
  <si>
    <t>02/10/2025 03:30</t>
  </si>
  <si>
    <t>02/10/2025 03:45</t>
  </si>
  <si>
    <t>02/10/2025 04:00</t>
  </si>
  <si>
    <t>02/10/2025 04:15</t>
  </si>
  <si>
    <t>02/10/2025 04:30</t>
  </si>
  <si>
    <t>02/10/2025 04:45</t>
  </si>
  <si>
    <t>02/10/2025 05:00</t>
  </si>
  <si>
    <t>02/10/2025 05:15</t>
  </si>
  <si>
    <t>02/10/2025 05:30</t>
  </si>
  <si>
    <t>02/10/2025 05:45</t>
  </si>
  <si>
    <t>02/10/2025 06:00</t>
  </si>
  <si>
    <t>02/10/2025 06:15</t>
  </si>
  <si>
    <t>02/10/2025 06:30</t>
  </si>
  <si>
    <t>02/10/2025 06:45</t>
  </si>
  <si>
    <t>02/10/2025 07:00</t>
  </si>
  <si>
    <t>02/10/2025 07:15</t>
  </si>
  <si>
    <t>02/10/2025 07:30</t>
  </si>
  <si>
    <t>02/10/2025 07:45</t>
  </si>
  <si>
    <t>02/10/2025 08:00</t>
  </si>
  <si>
    <t>02/10/2025 08:15</t>
  </si>
  <si>
    <t>02/10/2025 08:30</t>
  </si>
  <si>
    <t>02/10/2025 08:45</t>
  </si>
  <si>
    <t>02/10/2025 09:00</t>
  </si>
  <si>
    <t>02/10/2025 09:15</t>
  </si>
  <si>
    <t>02/10/2025 09:30</t>
  </si>
  <si>
    <t>02/10/2025 09:45</t>
  </si>
  <si>
    <t>02/10/2025 10:00</t>
  </si>
  <si>
    <t>02/10/2025 10:15</t>
  </si>
  <si>
    <t>02/10/2025 10:30</t>
  </si>
  <si>
    <t>02/10/2025 10:45</t>
  </si>
  <si>
    <t>02/10/2025 11:00</t>
  </si>
  <si>
    <t>02/10/2025 11:15</t>
  </si>
  <si>
    <t>02/10/2025 11:30</t>
  </si>
  <si>
    <t>02/10/2025 11:45</t>
  </si>
  <si>
    <t>02/10/2025 12:00</t>
  </si>
  <si>
    <t>02/10/2025 12:15</t>
  </si>
  <si>
    <t>02/10/2025 12:30</t>
  </si>
  <si>
    <t>02/10/2025 12:45</t>
  </si>
  <si>
    <t>02/10/2025 13:00</t>
  </si>
  <si>
    <t>02/10/2025 13:15</t>
  </si>
  <si>
    <t>02/10/2025 13:30</t>
  </si>
  <si>
    <t>02/10/2025 13:45</t>
  </si>
  <si>
    <t>02/10/2025 14:00</t>
  </si>
  <si>
    <t>02/10/2025 14:15</t>
  </si>
  <si>
    <t>02/10/2025 14:30</t>
  </si>
  <si>
    <t>02/10/2025 14:45</t>
  </si>
  <si>
    <t>02/10/2025 15:00</t>
  </si>
  <si>
    <t>02/10/2025 15:15</t>
  </si>
  <si>
    <t>02/10/2025 15:30</t>
  </si>
  <si>
    <t>02/10/2025 15:45</t>
  </si>
  <si>
    <t>02/10/2025 16:00</t>
  </si>
  <si>
    <t>02/10/2025 16:15</t>
  </si>
  <si>
    <t>02/10/2025 16:30</t>
  </si>
  <si>
    <t>02/10/2025 16:45</t>
  </si>
  <si>
    <t>02/10/2025 17:00</t>
  </si>
  <si>
    <t>02/10/2025 17:15</t>
  </si>
  <si>
    <t>02/10/2025 17:30</t>
  </si>
  <si>
    <t>02/10/2025 17:45</t>
  </si>
  <si>
    <t>02/10/2025 18:00</t>
  </si>
  <si>
    <t>02/10/2025 18:15</t>
  </si>
  <si>
    <t>02/10/2025 18:30</t>
  </si>
  <si>
    <t>02/10/2025 18:45</t>
  </si>
  <si>
    <t>02/10/2025 19:00</t>
  </si>
  <si>
    <t>02/10/2025 19:15</t>
  </si>
  <si>
    <t>02/10/2025 19:30</t>
  </si>
  <si>
    <t>02/10/2025 19:45</t>
  </si>
  <si>
    <t>02/10/2025 20:00</t>
  </si>
  <si>
    <t>02/10/2025 20:15</t>
  </si>
  <si>
    <t>02/10/2025 20:30</t>
  </si>
  <si>
    <t>02/10/2025 20:45</t>
  </si>
  <si>
    <t>02/10/2025 21:00</t>
  </si>
  <si>
    <t>02/10/2025 21:15</t>
  </si>
  <si>
    <t>02/10/2025 21:30</t>
  </si>
  <si>
    <t>02/10/2025 21:45</t>
  </si>
  <si>
    <t>02/10/2025 22:00</t>
  </si>
  <si>
    <t>02/10/2025 22:15</t>
  </si>
  <si>
    <t>02/10/2025 22:30</t>
  </si>
  <si>
    <t>02/10/2025 22:45</t>
  </si>
  <si>
    <t>02/10/2025 23:00</t>
  </si>
  <si>
    <t>02/10/2025 23:15</t>
  </si>
  <si>
    <t>02/10/2025 23:30</t>
  </si>
  <si>
    <t>02/10/2025 23:45</t>
  </si>
  <si>
    <t>02/10/2025 24:00</t>
  </si>
  <si>
    <t>03/10/2025 00:15</t>
  </si>
  <si>
    <t>03/10/2025 00:30</t>
  </si>
  <si>
    <t>03/10/2025 00:45</t>
  </si>
  <si>
    <t>03/10/2025 01:00</t>
  </si>
  <si>
    <t>03/10/2025 01:15</t>
  </si>
  <si>
    <t>03/10/2025 01:30</t>
  </si>
  <si>
    <t>03/10/2025 01:45</t>
  </si>
  <si>
    <t>03/10/2025 02:00</t>
  </si>
  <si>
    <t>03/10/2025 02:15</t>
  </si>
  <si>
    <t>03/10/2025 02:30</t>
  </si>
  <si>
    <t>03/10/2025 02:45</t>
  </si>
  <si>
    <t>03/10/2025 03:00</t>
  </si>
  <si>
    <t>03/10/2025 03:15</t>
  </si>
  <si>
    <t>03/10/2025 03:30</t>
  </si>
  <si>
    <t>03/10/2025 03:45</t>
  </si>
  <si>
    <t>03/10/2025 04:00</t>
  </si>
  <si>
    <t>03/10/2025 04:15</t>
  </si>
  <si>
    <t>03/10/2025 04:30</t>
  </si>
  <si>
    <t>03/10/2025 04:45</t>
  </si>
  <si>
    <t>03/10/2025 05:00</t>
  </si>
  <si>
    <t>03/10/2025 05:15</t>
  </si>
  <si>
    <t>03/10/2025 05:30</t>
  </si>
  <si>
    <t>03/10/2025 05:45</t>
  </si>
  <si>
    <t>03/10/2025 06:00</t>
  </si>
  <si>
    <t>03/10/2025 06:15</t>
  </si>
  <si>
    <t>03/10/2025 06:30</t>
  </si>
  <si>
    <t>03/10/2025 06:45</t>
  </si>
  <si>
    <t>03/10/2025 07:00</t>
  </si>
  <si>
    <t>03/10/2025 07:15</t>
  </si>
  <si>
    <t>03/10/2025 07:30</t>
  </si>
  <si>
    <t>03/10/2025 07:45</t>
  </si>
  <si>
    <t>03/10/2025 08:00</t>
  </si>
  <si>
    <t>03/10/2025 08:15</t>
  </si>
  <si>
    <t>03/10/2025 08:30</t>
  </si>
  <si>
    <t>03/10/2025 08:45</t>
  </si>
  <si>
    <t>03/10/2025 09:00</t>
  </si>
  <si>
    <t>03/10/2025 09:15</t>
  </si>
  <si>
    <t>03/10/2025 09:30</t>
  </si>
  <si>
    <t>03/10/2025 09:45</t>
  </si>
  <si>
    <t>03/10/2025 10:00</t>
  </si>
  <si>
    <t>03/10/2025 10:15</t>
  </si>
  <si>
    <t>03/10/2025 10:30</t>
  </si>
  <si>
    <t>03/10/2025 10:45</t>
  </si>
  <si>
    <t>03/10/2025 11:00</t>
  </si>
  <si>
    <t>03/10/2025 11:15</t>
  </si>
  <si>
    <t>03/10/2025 11:30</t>
  </si>
  <si>
    <t>03/10/2025 11:45</t>
  </si>
  <si>
    <t>03/10/2025 12:00</t>
  </si>
  <si>
    <t>03/10/2025 12:15</t>
  </si>
  <si>
    <t>03/10/2025 12:30</t>
  </si>
  <si>
    <t>03/10/2025 12:45</t>
  </si>
  <si>
    <t>03/10/2025 13:00</t>
  </si>
  <si>
    <t>03/10/2025 13:15</t>
  </si>
  <si>
    <t>03/10/2025 13:30</t>
  </si>
  <si>
    <t>03/10/2025 13:45</t>
  </si>
  <si>
    <t>03/10/2025 14:00</t>
  </si>
  <si>
    <t>03/10/2025 14:15</t>
  </si>
  <si>
    <t>03/10/2025 14:30</t>
  </si>
  <si>
    <t>03/10/2025 14:45</t>
  </si>
  <si>
    <t>03/10/2025 15:00</t>
  </si>
  <si>
    <t>03/10/2025 15:15</t>
  </si>
  <si>
    <t>03/10/2025 15:30</t>
  </si>
  <si>
    <t>03/10/2025 15:45</t>
  </si>
  <si>
    <t>03/10/2025 16:00</t>
  </si>
  <si>
    <t>03/10/2025 16:15</t>
  </si>
  <si>
    <t>03/10/2025 16:30</t>
  </si>
  <si>
    <t>03/10/2025 16:45</t>
  </si>
  <si>
    <t>03/10/2025 17:00</t>
  </si>
  <si>
    <t>03/10/2025 17:15</t>
  </si>
  <si>
    <t>03/10/2025 17:30</t>
  </si>
  <si>
    <t>03/10/2025 17:45</t>
  </si>
  <si>
    <t>03/10/2025 18:00</t>
  </si>
  <si>
    <t>03/10/2025 18:15</t>
  </si>
  <si>
    <t>03/10/2025 18:30</t>
  </si>
  <si>
    <t>03/10/2025 18:45</t>
  </si>
  <si>
    <t>03/10/2025 19:00</t>
  </si>
  <si>
    <t>03/10/2025 19:15</t>
  </si>
  <si>
    <t>03/10/2025 19:30</t>
  </si>
  <si>
    <t>03/10/2025 19:45</t>
  </si>
  <si>
    <t>03/10/2025 20:00</t>
  </si>
  <si>
    <t>03/10/2025 20:15</t>
  </si>
  <si>
    <t>03/10/2025 20:30</t>
  </si>
  <si>
    <t>03/10/2025 20:45</t>
  </si>
  <si>
    <t>03/10/2025 21:00</t>
  </si>
  <si>
    <t>03/10/2025 21:15</t>
  </si>
  <si>
    <t>03/10/2025 21:30</t>
  </si>
  <si>
    <t>03/10/2025 21:45</t>
  </si>
  <si>
    <t>03/10/2025 22:00</t>
  </si>
  <si>
    <t>03/10/2025 22:15</t>
  </si>
  <si>
    <t>03/10/2025 22:30</t>
  </si>
  <si>
    <t>03/10/2025 22:45</t>
  </si>
  <si>
    <t>03/10/2025 23:00</t>
  </si>
  <si>
    <t>03/10/2025 23:15</t>
  </si>
  <si>
    <t>03/10/2025 23:30</t>
  </si>
  <si>
    <t>03/10/2025 23:45</t>
  </si>
  <si>
    <t>03/10/2025 24:00</t>
  </si>
  <si>
    <t>04/10/2025 00:15</t>
  </si>
  <si>
    <t>04/10/2025 00:30</t>
  </si>
  <si>
    <t>04/10/2025 00:45</t>
  </si>
  <si>
    <t>04/10/2025 01:00</t>
  </si>
  <si>
    <t>04/10/2025 01:15</t>
  </si>
  <si>
    <t>04/10/2025 01:30</t>
  </si>
  <si>
    <t>04/10/2025 01:45</t>
  </si>
  <si>
    <t>04/10/2025 02:00</t>
  </si>
  <si>
    <t>04/10/2025 02:15</t>
  </si>
  <si>
    <t>04/10/2025 02:30</t>
  </si>
  <si>
    <t>04/10/2025 02:45</t>
  </si>
  <si>
    <t>04/10/2025 03:00</t>
  </si>
  <si>
    <t>04/10/2025 03:15</t>
  </si>
  <si>
    <t>04/10/2025 03:30</t>
  </si>
  <si>
    <t>04/10/2025 03:45</t>
  </si>
  <si>
    <t>04/10/2025 04:00</t>
  </si>
  <si>
    <t>04/10/2025 04:15</t>
  </si>
  <si>
    <t>04/10/2025 04:30</t>
  </si>
  <si>
    <t>04/10/2025 04:45</t>
  </si>
  <si>
    <t>04/10/2025 05:00</t>
  </si>
  <si>
    <t>04/10/2025 05:15</t>
  </si>
  <si>
    <t>04/10/2025 05:30</t>
  </si>
  <si>
    <t>04/10/2025 05:45</t>
  </si>
  <si>
    <t>04/10/2025 06:00</t>
  </si>
  <si>
    <t>04/10/2025 06:15</t>
  </si>
  <si>
    <t>04/10/2025 06:30</t>
  </si>
  <si>
    <t>04/10/2025 06:45</t>
  </si>
  <si>
    <t>04/10/2025 07:00</t>
  </si>
  <si>
    <t>04/10/2025 07:15</t>
  </si>
  <si>
    <t>04/10/2025 07:30</t>
  </si>
  <si>
    <t>04/10/2025 07:45</t>
  </si>
  <si>
    <t>04/10/2025 08:00</t>
  </si>
  <si>
    <t>04/10/2025 08:15</t>
  </si>
  <si>
    <t>04/10/2025 08:30</t>
  </si>
  <si>
    <t>04/10/2025 08:45</t>
  </si>
  <si>
    <t>04/10/2025 09:00</t>
  </si>
  <si>
    <t>04/10/2025 09:15</t>
  </si>
  <si>
    <t>04/10/2025 09:30</t>
  </si>
  <si>
    <t>04/10/2025 09:45</t>
  </si>
  <si>
    <t>04/10/2025 10:00</t>
  </si>
  <si>
    <t>04/10/2025 10:15</t>
  </si>
  <si>
    <t>04/10/2025 10:30</t>
  </si>
  <si>
    <t>04/10/2025 10:45</t>
  </si>
  <si>
    <t>04/10/2025 11:00</t>
  </si>
  <si>
    <t>04/10/2025 11:15</t>
  </si>
  <si>
    <t>04/10/2025 11:30</t>
  </si>
  <si>
    <t>04/10/2025 11:45</t>
  </si>
  <si>
    <t>04/10/2025 12:00</t>
  </si>
  <si>
    <t>04/10/2025 12:15</t>
  </si>
  <si>
    <t>04/10/2025 12:30</t>
  </si>
  <si>
    <t>04/10/2025 12:45</t>
  </si>
  <si>
    <t>04/10/2025 13:00</t>
  </si>
  <si>
    <t>04/10/2025 13:15</t>
  </si>
  <si>
    <t>04/10/2025 13:30</t>
  </si>
  <si>
    <t>04/10/2025 13:45</t>
  </si>
  <si>
    <t>04/10/2025 14:00</t>
  </si>
  <si>
    <t>04/10/2025 14:15</t>
  </si>
  <si>
    <t>04/10/2025 14:30</t>
  </si>
  <si>
    <t>04/10/2025 14:45</t>
  </si>
  <si>
    <t>04/10/2025 15:00</t>
  </si>
  <si>
    <t>04/10/2025 15:15</t>
  </si>
  <si>
    <t>04/10/2025 15:30</t>
  </si>
  <si>
    <t>04/10/2025 15:45</t>
  </si>
  <si>
    <t>04/10/2025 16:00</t>
  </si>
  <si>
    <t>04/10/2025 16:15</t>
  </si>
  <si>
    <t>04/10/2025 16:30</t>
  </si>
  <si>
    <t>04/10/2025 16:45</t>
  </si>
  <si>
    <t>04/10/2025 17:00</t>
  </si>
  <si>
    <t>04/10/2025 17:15</t>
  </si>
  <si>
    <t>04/10/2025 17:30</t>
  </si>
  <si>
    <t>04/10/2025 17:45</t>
  </si>
  <si>
    <t>04/10/2025 18:00</t>
  </si>
  <si>
    <t>04/10/2025 18:15</t>
  </si>
  <si>
    <t>04/10/2025 18:30</t>
  </si>
  <si>
    <t>04/10/2025 18:45</t>
  </si>
  <si>
    <t>04/10/2025 19:00</t>
  </si>
  <si>
    <t>04/10/2025 19:15</t>
  </si>
  <si>
    <t>04/10/2025 19:30</t>
  </si>
  <si>
    <t>04/10/2025 19:45</t>
  </si>
  <si>
    <t>04/10/2025 20:00</t>
  </si>
  <si>
    <t>04/10/2025 20:15</t>
  </si>
  <si>
    <t>04/10/2025 20:30</t>
  </si>
  <si>
    <t>04/10/2025 20:45</t>
  </si>
  <si>
    <t>04/10/2025 21:00</t>
  </si>
  <si>
    <t>04/10/2025 21:15</t>
  </si>
  <si>
    <t>04/10/2025 21:30</t>
  </si>
  <si>
    <t>04/10/2025 21:45</t>
  </si>
  <si>
    <t>04/10/2025 22:00</t>
  </si>
  <si>
    <t>04/10/2025 22:15</t>
  </si>
  <si>
    <t>04/10/2025 22:30</t>
  </si>
  <si>
    <t>04/10/2025 22:45</t>
  </si>
  <si>
    <t>04/10/2025 23:00</t>
  </si>
  <si>
    <t>04/10/2025 23:15</t>
  </si>
  <si>
    <t>04/10/2025 23:30</t>
  </si>
  <si>
    <t>04/10/2025 23:45</t>
  </si>
  <si>
    <t>04/10/2025 24:00</t>
  </si>
  <si>
    <t>05/10/2025 00:15</t>
  </si>
  <si>
    <t>05/10/2025 00:30</t>
  </si>
  <si>
    <t>05/10/2025 00:45</t>
  </si>
  <si>
    <t>05/10/2025 01:00</t>
  </si>
  <si>
    <t>05/10/2025 01:15</t>
  </si>
  <si>
    <t>05/10/2025 01:30</t>
  </si>
  <si>
    <t>05/10/2025 01:45</t>
  </si>
  <si>
    <t>05/10/2025 02:00</t>
  </si>
  <si>
    <t>05/10/2025 02:15</t>
  </si>
  <si>
    <t>05/10/2025 02:30</t>
  </si>
  <si>
    <t>05/10/2025 02:45</t>
  </si>
  <si>
    <t>05/10/2025 03:00</t>
  </si>
  <si>
    <t>05/10/2025 03:15</t>
  </si>
  <si>
    <t>05/10/2025 03:30</t>
  </si>
  <si>
    <t>05/10/2025 03:45</t>
  </si>
  <si>
    <t>05/10/2025 04:00</t>
  </si>
  <si>
    <t>05/10/2025 04:15</t>
  </si>
  <si>
    <t>05/10/2025 04:30</t>
  </si>
  <si>
    <t>05/10/2025 04:45</t>
  </si>
  <si>
    <t>05/10/2025 05:00</t>
  </si>
  <si>
    <t>05/10/2025 05:15</t>
  </si>
  <si>
    <t>05/10/2025 05:30</t>
  </si>
  <si>
    <t>05/10/2025 05:45</t>
  </si>
  <si>
    <t>05/10/2025 06:00</t>
  </si>
  <si>
    <t>05/10/2025 06:15</t>
  </si>
  <si>
    <t>05/10/2025 06:30</t>
  </si>
  <si>
    <t>05/10/2025 06:45</t>
  </si>
  <si>
    <t>05/10/2025 07:00</t>
  </si>
  <si>
    <t>05/10/2025 07:15</t>
  </si>
  <si>
    <t>05/10/2025 07:30</t>
  </si>
  <si>
    <t>05/10/2025 07:45</t>
  </si>
  <si>
    <t>05/10/2025 08:00</t>
  </si>
  <si>
    <t>05/10/2025 08:15</t>
  </si>
  <si>
    <t>05/10/2025 08:30</t>
  </si>
  <si>
    <t>05/10/2025 08:45</t>
  </si>
  <si>
    <t>05/10/2025 09:00</t>
  </si>
  <si>
    <t>05/10/2025 09:15</t>
  </si>
  <si>
    <t>05/10/2025 09:30</t>
  </si>
  <si>
    <t>05/10/2025 09:45</t>
  </si>
  <si>
    <t>05/10/2025 10:00</t>
  </si>
  <si>
    <t>05/10/2025 10:15</t>
  </si>
  <si>
    <t>05/10/2025 10:30</t>
  </si>
  <si>
    <t>05/10/2025 10:45</t>
  </si>
  <si>
    <t>05/10/2025 11:00</t>
  </si>
  <si>
    <t>05/10/2025 11:15</t>
  </si>
  <si>
    <t>05/10/2025 11:30</t>
  </si>
  <si>
    <t>05/10/2025 11:45</t>
  </si>
  <si>
    <t>05/10/2025 12:00</t>
  </si>
  <si>
    <t>05/10/2025 12:15</t>
  </si>
  <si>
    <t>05/10/2025 12:30</t>
  </si>
  <si>
    <t>05/10/2025 12:45</t>
  </si>
  <si>
    <t>05/10/2025 13:00</t>
  </si>
  <si>
    <t>05/10/2025 13:15</t>
  </si>
  <si>
    <t>05/10/2025 13:30</t>
  </si>
  <si>
    <t>05/10/2025 13:45</t>
  </si>
  <si>
    <t>05/10/2025 14:00</t>
  </si>
  <si>
    <t>05/10/2025 14:15</t>
  </si>
  <si>
    <t>05/10/2025 14:30</t>
  </si>
  <si>
    <t>05/10/2025 14:45</t>
  </si>
  <si>
    <t>05/10/2025 15:00</t>
  </si>
  <si>
    <t>05/10/2025 15:15</t>
  </si>
  <si>
    <t>05/10/2025 15:30</t>
  </si>
  <si>
    <t>05/10/2025 15:45</t>
  </si>
  <si>
    <t>05/10/2025 16:00</t>
  </si>
  <si>
    <t>05/10/2025 16:15</t>
  </si>
  <si>
    <t>05/10/2025 16:30</t>
  </si>
  <si>
    <t>05/10/2025 16:45</t>
  </si>
  <si>
    <t>05/10/2025 17:00</t>
  </si>
  <si>
    <t>05/10/2025 17:15</t>
  </si>
  <si>
    <t>05/10/2025 17:30</t>
  </si>
  <si>
    <t>05/10/2025 17:45</t>
  </si>
  <si>
    <t>05/10/2025 18:00</t>
  </si>
  <si>
    <t>05/10/2025 18:15</t>
  </si>
  <si>
    <t>05/10/2025 18:30</t>
  </si>
  <si>
    <t>05/10/2025 18:45</t>
  </si>
  <si>
    <t>05/10/2025 19:00</t>
  </si>
  <si>
    <t>05/10/2025 19:15</t>
  </si>
  <si>
    <t>05/10/2025 19:30</t>
  </si>
  <si>
    <t>05/10/2025 19:45</t>
  </si>
  <si>
    <t>05/10/2025 20:00</t>
  </si>
  <si>
    <t>05/10/2025 20:15</t>
  </si>
  <si>
    <t>05/10/2025 20:30</t>
  </si>
  <si>
    <t>05/10/2025 20:45</t>
  </si>
  <si>
    <t>05/10/2025 21:00</t>
  </si>
  <si>
    <t>05/10/2025 21:15</t>
  </si>
  <si>
    <t>05/10/2025 21:30</t>
  </si>
  <si>
    <t>05/10/2025 21:45</t>
  </si>
  <si>
    <t>05/10/2025 22:00</t>
  </si>
  <si>
    <t>05/10/2025 22:15</t>
  </si>
  <si>
    <t>05/10/2025 22:30</t>
  </si>
  <si>
    <t>05/10/2025 22:45</t>
  </si>
  <si>
    <t>05/10/2025 23:00</t>
  </si>
  <si>
    <t>05/10/2025 23:15</t>
  </si>
  <si>
    <t>05/10/2025 23:30</t>
  </si>
  <si>
    <t>05/10/2025 23:45</t>
  </si>
  <si>
    <t>05/10/2025 24:00</t>
  </si>
  <si>
    <t>06/10/2025 00:15</t>
  </si>
  <si>
    <t>06/10/2025 00:30</t>
  </si>
  <si>
    <t>06/10/2025 00:45</t>
  </si>
  <si>
    <t>06/10/2025 01:00</t>
  </si>
  <si>
    <t>06/10/2025 01:15</t>
  </si>
  <si>
    <t>06/10/2025 01:30</t>
  </si>
  <si>
    <t>06/10/2025 01:45</t>
  </si>
  <si>
    <t>06/10/2025 02:00</t>
  </si>
  <si>
    <t>06/10/2025 02:15</t>
  </si>
  <si>
    <t>06/10/2025 02:30</t>
  </si>
  <si>
    <t>06/10/2025 02:45</t>
  </si>
  <si>
    <t>06/10/2025 03:00</t>
  </si>
  <si>
    <t>06/10/2025 03:15</t>
  </si>
  <si>
    <t>06/10/2025 03:30</t>
  </si>
  <si>
    <t>06/10/2025 03:45</t>
  </si>
  <si>
    <t>06/10/2025 04:00</t>
  </si>
  <si>
    <t>06/10/2025 04:15</t>
  </si>
  <si>
    <t>06/10/2025 04:30</t>
  </si>
  <si>
    <t>06/10/2025 04:45</t>
  </si>
  <si>
    <t>06/10/2025 05:00</t>
  </si>
  <si>
    <t>06/10/2025 05:15</t>
  </si>
  <si>
    <t>06/10/2025 05:30</t>
  </si>
  <si>
    <t>06/10/2025 05:45</t>
  </si>
  <si>
    <t>06/10/2025 06:00</t>
  </si>
  <si>
    <t>06/10/2025 06:15</t>
  </si>
  <si>
    <t>06/10/2025 06:30</t>
  </si>
  <si>
    <t>06/10/2025 06:45</t>
  </si>
  <si>
    <t>06/10/2025 07:00</t>
  </si>
  <si>
    <t>06/10/2025 07:15</t>
  </si>
  <si>
    <t>06/10/2025 07:30</t>
  </si>
  <si>
    <t>06/10/2025 07:45</t>
  </si>
  <si>
    <t>06/10/2025 08:00</t>
  </si>
  <si>
    <t>06/10/2025 08:15</t>
  </si>
  <si>
    <t>06/10/2025 08:30</t>
  </si>
  <si>
    <t>06/10/2025 08:45</t>
  </si>
  <si>
    <t>06/10/2025 09:00</t>
  </si>
  <si>
    <t>06/10/2025 09:15</t>
  </si>
  <si>
    <t>06/10/2025 09:30</t>
  </si>
  <si>
    <t>06/10/2025 09:45</t>
  </si>
  <si>
    <t>06/10/2025 10:00</t>
  </si>
  <si>
    <t>06/10/2025 10:15</t>
  </si>
  <si>
    <t>06/10/2025 10:30</t>
  </si>
  <si>
    <t>06/10/2025 10:45</t>
  </si>
  <si>
    <t>06/10/2025 11:00</t>
  </si>
  <si>
    <t>06/10/2025 11:15</t>
  </si>
  <si>
    <t>06/10/2025 11:30</t>
  </si>
  <si>
    <t>06/10/2025 11:45</t>
  </si>
  <si>
    <t>06/10/2025 12:00</t>
  </si>
  <si>
    <t>06/10/2025 12:15</t>
  </si>
  <si>
    <t>06/10/2025 12:30</t>
  </si>
  <si>
    <t>06/10/2025 12:45</t>
  </si>
  <si>
    <t>06/10/2025 13:00</t>
  </si>
  <si>
    <t>06/10/2025 13:15</t>
  </si>
  <si>
    <t>06/10/2025 13:30</t>
  </si>
  <si>
    <t>06/10/2025 13:45</t>
  </si>
  <si>
    <t>06/10/2025 14:00</t>
  </si>
  <si>
    <t>06/10/2025 14:15</t>
  </si>
  <si>
    <t>06/10/2025 14:30</t>
  </si>
  <si>
    <t>06/10/2025 14:45</t>
  </si>
  <si>
    <t>06/10/2025 15:00</t>
  </si>
  <si>
    <t>06/10/2025 15:15</t>
  </si>
  <si>
    <t>06/10/2025 15:30</t>
  </si>
  <si>
    <t>06/10/2025 15:45</t>
  </si>
  <si>
    <t>06/10/2025 16:00</t>
  </si>
  <si>
    <t>06/10/2025 16:15</t>
  </si>
  <si>
    <t>06/10/2025 16:30</t>
  </si>
  <si>
    <t>06/10/2025 16:45</t>
  </si>
  <si>
    <t>06/10/2025 17:00</t>
  </si>
  <si>
    <t>06/10/2025 17:15</t>
  </si>
  <si>
    <t>06/10/2025 17:30</t>
  </si>
  <si>
    <t>06/10/2025 17:45</t>
  </si>
  <si>
    <t>06/10/2025 18:00</t>
  </si>
  <si>
    <t>06/10/2025 18:15</t>
  </si>
  <si>
    <t>06/10/2025 18:30</t>
  </si>
  <si>
    <t>06/10/2025 18:45</t>
  </si>
  <si>
    <t>06/10/2025 19:00</t>
  </si>
  <si>
    <t>06/10/2025 19:15</t>
  </si>
  <si>
    <t>06/10/2025 19:30</t>
  </si>
  <si>
    <t>06/10/2025 19:45</t>
  </si>
  <si>
    <t>06/10/2025 20:00</t>
  </si>
  <si>
    <t>06/10/2025 20:15</t>
  </si>
  <si>
    <t>06/10/2025 20:30</t>
  </si>
  <si>
    <t>06/10/2025 20:45</t>
  </si>
  <si>
    <t>06/10/2025 21:00</t>
  </si>
  <si>
    <t>06/10/2025 21:15</t>
  </si>
  <si>
    <t>06/10/2025 21:30</t>
  </si>
  <si>
    <t>06/10/2025 21:45</t>
  </si>
  <si>
    <t>06/10/2025 22:00</t>
  </si>
  <si>
    <t>06/10/2025 22:15</t>
  </si>
  <si>
    <t>06/10/2025 22:30</t>
  </si>
  <si>
    <t>06/10/2025 22:45</t>
  </si>
  <si>
    <t>06/10/2025 23:00</t>
  </si>
  <si>
    <t>06/10/2025 23:15</t>
  </si>
  <si>
    <t>06/10/2025 23:30</t>
  </si>
  <si>
    <t>06/10/2025 23:45</t>
  </si>
  <si>
    <t>06/10/2025 24:00</t>
  </si>
  <si>
    <t>07/10/2025 00:15</t>
  </si>
  <si>
    <t>07/10/2025 00:30</t>
  </si>
  <si>
    <t>07/10/2025 00:45</t>
  </si>
  <si>
    <t>07/10/2025 01:00</t>
  </si>
  <si>
    <t>07/10/2025 01:15</t>
  </si>
  <si>
    <t>07/10/2025 01:30</t>
  </si>
  <si>
    <t>07/10/2025 01:45</t>
  </si>
  <si>
    <t>07/10/2025 02:00</t>
  </si>
  <si>
    <t>07/10/2025 02:15</t>
  </si>
  <si>
    <t>07/10/2025 02:30</t>
  </si>
  <si>
    <t>07/10/2025 02:45</t>
  </si>
  <si>
    <t>07/10/2025 03:00</t>
  </si>
  <si>
    <t>07/10/2025 03:15</t>
  </si>
  <si>
    <t>07/10/2025 03:30</t>
  </si>
  <si>
    <t>07/10/2025 03:45</t>
  </si>
  <si>
    <t>07/10/2025 04:00</t>
  </si>
  <si>
    <t>07/10/2025 04:15</t>
  </si>
  <si>
    <t>07/10/2025 04:30</t>
  </si>
  <si>
    <t>07/10/2025 04:45</t>
  </si>
  <si>
    <t>07/10/2025 05:00</t>
  </si>
  <si>
    <t>07/10/2025 05:15</t>
  </si>
  <si>
    <t>07/10/2025 05:30</t>
  </si>
  <si>
    <t>07/10/2025 05:45</t>
  </si>
  <si>
    <t>07/10/2025 06:00</t>
  </si>
  <si>
    <t>07/10/2025 06:15</t>
  </si>
  <si>
    <t>07/10/2025 06:30</t>
  </si>
  <si>
    <t>07/10/2025 06:45</t>
  </si>
  <si>
    <t>07/10/2025 07:00</t>
  </si>
  <si>
    <t>07/10/2025 07:15</t>
  </si>
  <si>
    <t>07/10/2025 07:30</t>
  </si>
  <si>
    <t>07/10/2025 07:45</t>
  </si>
  <si>
    <t>07/10/2025 08:00</t>
  </si>
  <si>
    <t>07/10/2025 08:15</t>
  </si>
  <si>
    <t>07/10/2025 08:30</t>
  </si>
  <si>
    <t>07/10/2025 08:45</t>
  </si>
  <si>
    <t>07/10/2025 09:00</t>
  </si>
  <si>
    <t>07/10/2025 09:15</t>
  </si>
  <si>
    <t>07/10/2025 09:30</t>
  </si>
  <si>
    <t>07/10/2025 09:45</t>
  </si>
  <si>
    <t>07/10/2025 10:00</t>
  </si>
  <si>
    <t>07/10/2025 10:15</t>
  </si>
  <si>
    <t>07/10/2025 10:30</t>
  </si>
  <si>
    <t>07/10/2025 10:45</t>
  </si>
  <si>
    <t>07/10/2025 11:00</t>
  </si>
  <si>
    <t>07/10/2025 11:15</t>
  </si>
  <si>
    <t>07/10/2025 11:30</t>
  </si>
  <si>
    <t>07/10/2025 11:45</t>
  </si>
  <si>
    <t>07/10/2025 12:00</t>
  </si>
  <si>
    <t>07/10/2025 12:15</t>
  </si>
  <si>
    <t>07/10/2025 12:30</t>
  </si>
  <si>
    <t>07/10/2025 12:45</t>
  </si>
  <si>
    <t>07/10/2025 13:00</t>
  </si>
  <si>
    <t>07/10/2025 13:15</t>
  </si>
  <si>
    <t>07/10/2025 13:30</t>
  </si>
  <si>
    <t>07/10/2025 13:45</t>
  </si>
  <si>
    <t>07/10/2025 14:00</t>
  </si>
  <si>
    <t>07/10/2025 14:15</t>
  </si>
  <si>
    <t>07/10/2025 14:30</t>
  </si>
  <si>
    <t>07/10/2025 14:45</t>
  </si>
  <si>
    <t>07/10/2025 15:00</t>
  </si>
  <si>
    <t>07/10/2025 15:15</t>
  </si>
  <si>
    <t>07/10/2025 15:30</t>
  </si>
  <si>
    <t>07/10/2025 15:45</t>
  </si>
  <si>
    <t>07/10/2025 16:00</t>
  </si>
  <si>
    <t>07/10/2025 16:15</t>
  </si>
  <si>
    <t>07/10/2025 16:30</t>
  </si>
  <si>
    <t>07/10/2025 16:45</t>
  </si>
  <si>
    <t>07/10/2025 17:00</t>
  </si>
  <si>
    <t>07/10/2025 17:15</t>
  </si>
  <si>
    <t>07/10/2025 17:30</t>
  </si>
  <si>
    <t>07/10/2025 17:45</t>
  </si>
  <si>
    <t>07/10/2025 18:00</t>
  </si>
  <si>
    <t>07/10/2025 18:15</t>
  </si>
  <si>
    <t>07/10/2025 18:30</t>
  </si>
  <si>
    <t>07/10/2025 18:45</t>
  </si>
  <si>
    <t>07/10/2025 19:00</t>
  </si>
  <si>
    <t>07/10/2025 19:15</t>
  </si>
  <si>
    <t>07/10/2025 19:30</t>
  </si>
  <si>
    <t>07/10/2025 19:45</t>
  </si>
  <si>
    <t>07/10/2025 20:00</t>
  </si>
  <si>
    <t>07/10/2025 20:15</t>
  </si>
  <si>
    <t>07/10/2025 20:30</t>
  </si>
  <si>
    <t>07/10/2025 20:45</t>
  </si>
  <si>
    <t>07/10/2025 21:00</t>
  </si>
  <si>
    <t>07/10/2025 21:15</t>
  </si>
  <si>
    <t>07/10/2025 21:30</t>
  </si>
  <si>
    <t>07/10/2025 21:45</t>
  </si>
  <si>
    <t>07/10/2025 22:00</t>
  </si>
  <si>
    <t>07/10/2025 22:15</t>
  </si>
  <si>
    <t>07/10/2025 22:30</t>
  </si>
  <si>
    <t>07/10/2025 22:45</t>
  </si>
  <si>
    <t>07/10/2025 23:00</t>
  </si>
  <si>
    <t>07/10/2025 23:15</t>
  </si>
  <si>
    <t>07/10/2025 23:30</t>
  </si>
  <si>
    <t>07/10/2025 23:45</t>
  </si>
  <si>
    <t>07/10/2025 24:00</t>
  </si>
  <si>
    <t>08/10/2025 00:15</t>
  </si>
  <si>
    <t>08/10/2025 00:30</t>
  </si>
  <si>
    <t>08/10/2025 00:45</t>
  </si>
  <si>
    <t>08/10/2025 01:00</t>
  </si>
  <si>
    <t>08/10/2025 01:15</t>
  </si>
  <si>
    <t>08/10/2025 01:30</t>
  </si>
  <si>
    <t>08/10/2025 01:45</t>
  </si>
  <si>
    <t>08/10/2025 02:00</t>
  </si>
  <si>
    <t>08/10/2025 02:15</t>
  </si>
  <si>
    <t>08/10/2025 02:30</t>
  </si>
  <si>
    <t>08/10/2025 02:45</t>
  </si>
  <si>
    <t>08/10/2025 03:00</t>
  </si>
  <si>
    <t>08/10/2025 03:15</t>
  </si>
  <si>
    <t>08/10/2025 03:30</t>
  </si>
  <si>
    <t>08/10/2025 03:45</t>
  </si>
  <si>
    <t>08/10/2025 04:00</t>
  </si>
  <si>
    <t>08/10/2025 04:15</t>
  </si>
  <si>
    <t>08/10/2025 04:30</t>
  </si>
  <si>
    <t>08/10/2025 04:45</t>
  </si>
  <si>
    <t>08/10/2025 05:00</t>
  </si>
  <si>
    <t>08/10/2025 05:15</t>
  </si>
  <si>
    <t>08/10/2025 05:30</t>
  </si>
  <si>
    <t>08/10/2025 05:45</t>
  </si>
  <si>
    <t>08/10/2025 06:00</t>
  </si>
  <si>
    <t>08/10/2025 06:15</t>
  </si>
  <si>
    <t>08/10/2025 06:30</t>
  </si>
  <si>
    <t>08/10/2025 06:45</t>
  </si>
  <si>
    <t>08/10/2025 07:00</t>
  </si>
  <si>
    <t>08/10/2025 07:15</t>
  </si>
  <si>
    <t>08/10/2025 07:30</t>
  </si>
  <si>
    <t>08/10/2025 07:45</t>
  </si>
  <si>
    <t>08/10/2025 08:00</t>
  </si>
  <si>
    <t>08/10/2025 08:15</t>
  </si>
  <si>
    <t>08/10/2025 08:30</t>
  </si>
  <si>
    <t>08/10/2025 08:45</t>
  </si>
  <si>
    <t>08/10/2025 09:00</t>
  </si>
  <si>
    <t>08/10/2025 09:15</t>
  </si>
  <si>
    <t>08/10/2025 09:30</t>
  </si>
  <si>
    <t>08/10/2025 09:45</t>
  </si>
  <si>
    <t>08/10/2025 10:00</t>
  </si>
  <si>
    <t>08/10/2025 10:15</t>
  </si>
  <si>
    <t>08/10/2025 10:30</t>
  </si>
  <si>
    <t>08/10/2025 10:45</t>
  </si>
  <si>
    <t>08/10/2025 11:00</t>
  </si>
  <si>
    <t>08/10/2025 11:15</t>
  </si>
  <si>
    <t>08/10/2025 11:30</t>
  </si>
  <si>
    <t>08/10/2025 11:45</t>
  </si>
  <si>
    <t>08/10/2025 12:00</t>
  </si>
  <si>
    <t>08/10/2025 12:15</t>
  </si>
  <si>
    <t>08/10/2025 12:30</t>
  </si>
  <si>
    <t>08/10/2025 12:45</t>
  </si>
  <si>
    <t>08/10/2025 13:00</t>
  </si>
  <si>
    <t>08/10/2025 13:15</t>
  </si>
  <si>
    <t>08/10/2025 13:30</t>
  </si>
  <si>
    <t>08/10/2025 13:45</t>
  </si>
  <si>
    <t>08/10/2025 14:00</t>
  </si>
  <si>
    <t>08/10/2025 14:15</t>
  </si>
  <si>
    <t>08/10/2025 14:30</t>
  </si>
  <si>
    <t>08/10/2025 14:45</t>
  </si>
  <si>
    <t>08/10/2025 15:00</t>
  </si>
  <si>
    <t>08/10/2025 15:15</t>
  </si>
  <si>
    <t>08/10/2025 15:30</t>
  </si>
  <si>
    <t>08/10/2025 15:45</t>
  </si>
  <si>
    <t>08/10/2025 16:00</t>
  </si>
  <si>
    <t>08/10/2025 16:15</t>
  </si>
  <si>
    <t>08/10/2025 16:30</t>
  </si>
  <si>
    <t>08/10/2025 16:45</t>
  </si>
  <si>
    <t>08/10/2025 17:00</t>
  </si>
  <si>
    <t>08/10/2025 17:15</t>
  </si>
  <si>
    <t>08/10/2025 17:30</t>
  </si>
  <si>
    <t>08/10/2025 17:45</t>
  </si>
  <si>
    <t>08/10/2025 18:00</t>
  </si>
  <si>
    <t>08/10/2025 18:15</t>
  </si>
  <si>
    <t>08/10/2025 18:30</t>
  </si>
  <si>
    <t>08/10/2025 18:45</t>
  </si>
  <si>
    <t>08/10/2025 19:00</t>
  </si>
  <si>
    <t>08/10/2025 19:15</t>
  </si>
  <si>
    <t>08/10/2025 19:30</t>
  </si>
  <si>
    <t>08/10/2025 19:45</t>
  </si>
  <si>
    <t>08/10/2025 20:00</t>
  </si>
  <si>
    <t>08/10/2025 20:15</t>
  </si>
  <si>
    <t>08/10/2025 20:30</t>
  </si>
  <si>
    <t>08/10/2025 20:45</t>
  </si>
  <si>
    <t>08/10/2025 21:00</t>
  </si>
  <si>
    <t>08/10/2025 21:15</t>
  </si>
  <si>
    <t>08/10/2025 21:30</t>
  </si>
  <si>
    <t>08/10/2025 21:45</t>
  </si>
  <si>
    <t>08/10/2025 22:00</t>
  </si>
  <si>
    <t>08/10/2025 22:15</t>
  </si>
  <si>
    <t>08/10/2025 22:30</t>
  </si>
  <si>
    <t>08/10/2025 22:45</t>
  </si>
  <si>
    <t>08/10/2025 23:00</t>
  </si>
  <si>
    <t>08/10/2025 23:15</t>
  </si>
  <si>
    <t>08/10/2025 23:30</t>
  </si>
  <si>
    <t>08/10/2025 23:45</t>
  </si>
  <si>
    <t>08/10/2025 24:00</t>
  </si>
  <si>
    <t>09/10/2025 00:15</t>
  </si>
  <si>
    <t>09/10/2025 00:30</t>
  </si>
  <si>
    <t>09/10/2025 00:45</t>
  </si>
  <si>
    <t>09/10/2025 01:00</t>
  </si>
  <si>
    <t>09/10/2025 01:15</t>
  </si>
  <si>
    <t>09/10/2025 01:30</t>
  </si>
  <si>
    <t>09/10/2025 01:45</t>
  </si>
  <si>
    <t>09/10/2025 02:00</t>
  </si>
  <si>
    <t>09/10/2025 02:15</t>
  </si>
  <si>
    <t>09/10/2025 02:30</t>
  </si>
  <si>
    <t>09/10/2025 02:45</t>
  </si>
  <si>
    <t>09/10/2025 03:00</t>
  </si>
  <si>
    <t>09/10/2025 03:15</t>
  </si>
  <si>
    <t>09/10/2025 03:30</t>
  </si>
  <si>
    <t>09/10/2025 03:45</t>
  </si>
  <si>
    <t>09/10/2025 04:00</t>
  </si>
  <si>
    <t>09/10/2025 04:15</t>
  </si>
  <si>
    <t>09/10/2025 04:30</t>
  </si>
  <si>
    <t>09/10/2025 04:45</t>
  </si>
  <si>
    <t>09/10/2025 05:00</t>
  </si>
  <si>
    <t>09/10/2025 05:15</t>
  </si>
  <si>
    <t>09/10/2025 05:30</t>
  </si>
  <si>
    <t>09/10/2025 05:45</t>
  </si>
  <si>
    <t>09/10/2025 06:00</t>
  </si>
  <si>
    <t>09/10/2025 06:15</t>
  </si>
  <si>
    <t>09/10/2025 06:30</t>
  </si>
  <si>
    <t>09/10/2025 06:45</t>
  </si>
  <si>
    <t>09/10/2025 07:00</t>
  </si>
  <si>
    <t>09/10/2025 07:15</t>
  </si>
  <si>
    <t>09/10/2025 07:30</t>
  </si>
  <si>
    <t>09/10/2025 07:45</t>
  </si>
  <si>
    <t>09/10/2025 08:00</t>
  </si>
  <si>
    <t>09/10/2025 08:15</t>
  </si>
  <si>
    <t>09/10/2025 08:30</t>
  </si>
  <si>
    <t>09/10/2025 08:45</t>
  </si>
  <si>
    <t>09/10/2025 09:00</t>
  </si>
  <si>
    <t>09/10/2025 09:15</t>
  </si>
  <si>
    <t>09/10/2025 09:30</t>
  </si>
  <si>
    <t>09/10/2025 09:45</t>
  </si>
  <si>
    <t>09/10/2025 10:00</t>
  </si>
  <si>
    <t>09/10/2025 10:15</t>
  </si>
  <si>
    <t>09/10/2025 10:30</t>
  </si>
  <si>
    <t>09/10/2025 10:45</t>
  </si>
  <si>
    <t>09/10/2025 11:00</t>
  </si>
  <si>
    <t>09/10/2025 11:15</t>
  </si>
  <si>
    <t>09/10/2025 11:30</t>
  </si>
  <si>
    <t>09/10/2025 11:45</t>
  </si>
  <si>
    <t>09/10/2025 12:00</t>
  </si>
  <si>
    <t>09/10/2025 12:15</t>
  </si>
  <si>
    <t>09/10/2025 12:30</t>
  </si>
  <si>
    <t>09/10/2025 12:45</t>
  </si>
  <si>
    <t>09/10/2025 13:00</t>
  </si>
  <si>
    <t>09/10/2025 13:15</t>
  </si>
  <si>
    <t>09/10/2025 13:30</t>
  </si>
  <si>
    <t>09/10/2025 13:45</t>
  </si>
  <si>
    <t>09/10/2025 14:00</t>
  </si>
  <si>
    <t>09/10/2025 14:15</t>
  </si>
  <si>
    <t>09/10/2025 14:30</t>
  </si>
  <si>
    <t>09/10/2025 14:45</t>
  </si>
  <si>
    <t>09/10/2025 15:00</t>
  </si>
  <si>
    <t>09/10/2025 15:15</t>
  </si>
  <si>
    <t>09/10/2025 15:30</t>
  </si>
  <si>
    <t>09/10/2025 15:45</t>
  </si>
  <si>
    <t>09/10/2025 16:00</t>
  </si>
  <si>
    <t>09/10/2025 16:15</t>
  </si>
  <si>
    <t>09/10/2025 16:30</t>
  </si>
  <si>
    <t>09/10/2025 16:45</t>
  </si>
  <si>
    <t>09/10/2025 17:00</t>
  </si>
  <si>
    <t>09/10/2025 17:15</t>
  </si>
  <si>
    <t>09/10/2025 17:30</t>
  </si>
  <si>
    <t>09/10/2025 17:45</t>
  </si>
  <si>
    <t>09/10/2025 18:00</t>
  </si>
  <si>
    <t>09/10/2025 18:15</t>
  </si>
  <si>
    <t>09/10/2025 18:30</t>
  </si>
  <si>
    <t>09/10/2025 18:45</t>
  </si>
  <si>
    <t>09/10/2025 19:00</t>
  </si>
  <si>
    <t>09/10/2025 19:15</t>
  </si>
  <si>
    <t>09/10/2025 19:30</t>
  </si>
  <si>
    <t>09/10/2025 19:45</t>
  </si>
  <si>
    <t>09/10/2025 20:00</t>
  </si>
  <si>
    <t>09/10/2025 20:15</t>
  </si>
  <si>
    <t>09/10/2025 20:30</t>
  </si>
  <si>
    <t>09/10/2025 20:45</t>
  </si>
  <si>
    <t>09/10/2025 21:00</t>
  </si>
  <si>
    <t>09/10/2025 21:15</t>
  </si>
  <si>
    <t>09/10/2025 21:30</t>
  </si>
  <si>
    <t>09/10/2025 21:45</t>
  </si>
  <si>
    <t>09/10/2025 22:00</t>
  </si>
  <si>
    <t>09/10/2025 22:15</t>
  </si>
  <si>
    <t>09/10/2025 22:30</t>
  </si>
  <si>
    <t>09/10/2025 22:45</t>
  </si>
  <si>
    <t>09/10/2025 23:00</t>
  </si>
  <si>
    <t>09/10/2025 23:15</t>
  </si>
  <si>
    <t>09/10/2025 23:30</t>
  </si>
  <si>
    <t>09/10/2025 23:45</t>
  </si>
  <si>
    <t>09/10/2025 24:00</t>
  </si>
  <si>
    <t>10/10/2025 00:15</t>
  </si>
  <si>
    <t>10/10/2025 00:30</t>
  </si>
  <si>
    <t>10/10/2025 00:45</t>
  </si>
  <si>
    <t>10/10/2025 01:00</t>
  </si>
  <si>
    <t>10/10/2025 01:15</t>
  </si>
  <si>
    <t>10/10/2025 01:30</t>
  </si>
  <si>
    <t>10/10/2025 01:45</t>
  </si>
  <si>
    <t>10/10/2025 02:00</t>
  </si>
  <si>
    <t>10/10/2025 02:15</t>
  </si>
  <si>
    <t>10/10/2025 02:30</t>
  </si>
  <si>
    <t>10/10/2025 02:45</t>
  </si>
  <si>
    <t>10/10/2025 03:00</t>
  </si>
  <si>
    <t>10/10/2025 03:15</t>
  </si>
  <si>
    <t>10/10/2025 03:30</t>
  </si>
  <si>
    <t>10/10/2025 03:45</t>
  </si>
  <si>
    <t>10/10/2025 04:00</t>
  </si>
  <si>
    <t>10/10/2025 04:15</t>
  </si>
  <si>
    <t>10/10/2025 04:30</t>
  </si>
  <si>
    <t>10/10/2025 04:45</t>
  </si>
  <si>
    <t>10/10/2025 05:00</t>
  </si>
  <si>
    <t>10/10/2025 05:15</t>
  </si>
  <si>
    <t>10/10/2025 05:30</t>
  </si>
  <si>
    <t>10/10/2025 05:45</t>
  </si>
  <si>
    <t>10/10/2025 06:00</t>
  </si>
  <si>
    <t>10/10/2025 06:15</t>
  </si>
  <si>
    <t>10/10/2025 06:30</t>
  </si>
  <si>
    <t>10/10/2025 06:45</t>
  </si>
  <si>
    <t>10/10/2025 07:00</t>
  </si>
  <si>
    <t>10/10/2025 07:15</t>
  </si>
  <si>
    <t>10/10/2025 07:30</t>
  </si>
  <si>
    <t>10/10/2025 07:45</t>
  </si>
  <si>
    <t>10/10/2025 08:00</t>
  </si>
  <si>
    <t>10/10/2025 08:15</t>
  </si>
  <si>
    <t>10/10/2025 08:30</t>
  </si>
  <si>
    <t>10/10/2025 08:45</t>
  </si>
  <si>
    <t>10/10/2025 09:00</t>
  </si>
  <si>
    <t>10/10/2025 09:15</t>
  </si>
  <si>
    <t>10/10/2025 09:30</t>
  </si>
  <si>
    <t>10/10/2025 09:45</t>
  </si>
  <si>
    <t>10/10/2025 10:00</t>
  </si>
  <si>
    <t>10/10/2025 10:15</t>
  </si>
  <si>
    <t>10/10/2025 10:30</t>
  </si>
  <si>
    <t>10/10/2025 10:45</t>
  </si>
  <si>
    <t>10/10/2025 11:00</t>
  </si>
  <si>
    <t>10/10/2025 11:15</t>
  </si>
  <si>
    <t>10/10/2025 11:30</t>
  </si>
  <si>
    <t>10/10/2025 11:45</t>
  </si>
  <si>
    <t>10/10/2025 12:00</t>
  </si>
  <si>
    <t>10/10/2025 12:15</t>
  </si>
  <si>
    <t>10/10/2025 12:30</t>
  </si>
  <si>
    <t>10/10/2025 12:45</t>
  </si>
  <si>
    <t>10/10/2025 13:00</t>
  </si>
  <si>
    <t>10/10/2025 13:15</t>
  </si>
  <si>
    <t>10/10/2025 13:30</t>
  </si>
  <si>
    <t>10/10/2025 13:45</t>
  </si>
  <si>
    <t>10/10/2025 14:00</t>
  </si>
  <si>
    <t>10/10/2025 14:15</t>
  </si>
  <si>
    <t>10/10/2025 14:30</t>
  </si>
  <si>
    <t>10/10/2025 14:45</t>
  </si>
  <si>
    <t>10/10/2025 15:00</t>
  </si>
  <si>
    <t>10/10/2025 15:15</t>
  </si>
  <si>
    <t>10/10/2025 15:30</t>
  </si>
  <si>
    <t>10/10/2025 15:45</t>
  </si>
  <si>
    <t>10/10/2025 16:00</t>
  </si>
  <si>
    <t>10/10/2025 16:15</t>
  </si>
  <si>
    <t>10/10/2025 16:30</t>
  </si>
  <si>
    <t>10/10/2025 16:45</t>
  </si>
  <si>
    <t>10/10/2025 17:00</t>
  </si>
  <si>
    <t>10/10/2025 17:15</t>
  </si>
  <si>
    <t>10/10/2025 17:30</t>
  </si>
  <si>
    <t>10/10/2025 17:45</t>
  </si>
  <si>
    <t>10/10/2025 18:00</t>
  </si>
  <si>
    <t>10/10/2025 18:15</t>
  </si>
  <si>
    <t>10/10/2025 18:30</t>
  </si>
  <si>
    <t>10/10/2025 18:45</t>
  </si>
  <si>
    <t>10/10/2025 19:00</t>
  </si>
  <si>
    <t>10/10/2025 19:15</t>
  </si>
  <si>
    <t>10/10/2025 19:30</t>
  </si>
  <si>
    <t>10/10/2025 19:45</t>
  </si>
  <si>
    <t>10/10/2025 20:00</t>
  </si>
  <si>
    <t>10/10/2025 20:15</t>
  </si>
  <si>
    <t>10/10/2025 20:30</t>
  </si>
  <si>
    <t>10/10/2025 20:45</t>
  </si>
  <si>
    <t>10/10/2025 21:00</t>
  </si>
  <si>
    <t>10/10/2025 21:15</t>
  </si>
  <si>
    <t>10/10/2025 21:30</t>
  </si>
  <si>
    <t>10/10/2025 21:45</t>
  </si>
  <si>
    <t>10/10/2025 22:00</t>
  </si>
  <si>
    <t>10/10/2025 22:15</t>
  </si>
  <si>
    <t>10/10/2025 22:30</t>
  </si>
  <si>
    <t>10/10/2025 22:45</t>
  </si>
  <si>
    <t>10/10/2025 23:00</t>
  </si>
  <si>
    <t>10/10/2025 23:15</t>
  </si>
  <si>
    <t>10/10/2025 23:30</t>
  </si>
  <si>
    <t>10/10/2025 23:45</t>
  </si>
  <si>
    <t>10/10/2025 24:00</t>
  </si>
  <si>
    <t>11/10/2025 00:15</t>
  </si>
  <si>
    <t>11/10/2025 00:30</t>
  </si>
  <si>
    <t>11/10/2025 00:45</t>
  </si>
  <si>
    <t>11/10/2025 01:00</t>
  </si>
  <si>
    <t>11/10/2025 01:15</t>
  </si>
  <si>
    <t>11/10/2025 01:30</t>
  </si>
  <si>
    <t>11/10/2025 01:45</t>
  </si>
  <si>
    <t>11/10/2025 02:00</t>
  </si>
  <si>
    <t>11/10/2025 02:15</t>
  </si>
  <si>
    <t>11/10/2025 02:30</t>
  </si>
  <si>
    <t>11/10/2025 02:45</t>
  </si>
  <si>
    <t>11/10/2025 03:00</t>
  </si>
  <si>
    <t>11/10/2025 03:15</t>
  </si>
  <si>
    <t>11/10/2025 03:30</t>
  </si>
  <si>
    <t>11/10/2025 03:45</t>
  </si>
  <si>
    <t>11/10/2025 04:00</t>
  </si>
  <si>
    <t>11/10/2025 04:15</t>
  </si>
  <si>
    <t>11/10/2025 04:30</t>
  </si>
  <si>
    <t>11/10/2025 04:45</t>
  </si>
  <si>
    <t>11/10/2025 05:00</t>
  </si>
  <si>
    <t>11/10/2025 05:15</t>
  </si>
  <si>
    <t>11/10/2025 05:30</t>
  </si>
  <si>
    <t>11/10/2025 05:45</t>
  </si>
  <si>
    <t>11/10/2025 06:00</t>
  </si>
  <si>
    <t>11/10/2025 06:15</t>
  </si>
  <si>
    <t>11/10/2025 06:30</t>
  </si>
  <si>
    <t>11/10/2025 06:45</t>
  </si>
  <si>
    <t>11/10/2025 07:00</t>
  </si>
  <si>
    <t>11/10/2025 07:15</t>
  </si>
  <si>
    <t>11/10/2025 07:30</t>
  </si>
  <si>
    <t>11/10/2025 07:45</t>
  </si>
  <si>
    <t>11/10/2025 08:00</t>
  </si>
  <si>
    <t>11/10/2025 08:15</t>
  </si>
  <si>
    <t>11/10/2025 08:30</t>
  </si>
  <si>
    <t>11/10/2025 08:45</t>
  </si>
  <si>
    <t>11/10/2025 09:00</t>
  </si>
  <si>
    <t>11/10/2025 09:15</t>
  </si>
  <si>
    <t>11/10/2025 09:30</t>
  </si>
  <si>
    <t>11/10/2025 09:45</t>
  </si>
  <si>
    <t>11/10/2025 10:00</t>
  </si>
  <si>
    <t>11/10/2025 10:15</t>
  </si>
  <si>
    <t>11/10/2025 10:30</t>
  </si>
  <si>
    <t>11/10/2025 10:45</t>
  </si>
  <si>
    <t>11/10/2025 11:00</t>
  </si>
  <si>
    <t>11/10/2025 11:15</t>
  </si>
  <si>
    <t>11/10/2025 11:30</t>
  </si>
  <si>
    <t>11/10/2025 11:45</t>
  </si>
  <si>
    <t>11/10/2025 12:00</t>
  </si>
  <si>
    <t>11/10/2025 12:15</t>
  </si>
  <si>
    <t>11/10/2025 12:30</t>
  </si>
  <si>
    <t>11/10/2025 12:45</t>
  </si>
  <si>
    <t>11/10/2025 13:00</t>
  </si>
  <si>
    <t>11/10/2025 13:15</t>
  </si>
  <si>
    <t>11/10/2025 13:30</t>
  </si>
  <si>
    <t>11/10/2025 13:45</t>
  </si>
  <si>
    <t>11/10/2025 14:00</t>
  </si>
  <si>
    <t>11/10/2025 14:15</t>
  </si>
  <si>
    <t>11/10/2025 14:30</t>
  </si>
  <si>
    <t>11/10/2025 14:45</t>
  </si>
  <si>
    <t>11/10/2025 15:00</t>
  </si>
  <si>
    <t>11/10/2025 15:15</t>
  </si>
  <si>
    <t>11/10/2025 15:30</t>
  </si>
  <si>
    <t>11/10/2025 15:45</t>
  </si>
  <si>
    <t>11/10/2025 16:00</t>
  </si>
  <si>
    <t>11/10/2025 16:15</t>
  </si>
  <si>
    <t>11/10/2025 16:30</t>
  </si>
  <si>
    <t>11/10/2025 16:45</t>
  </si>
  <si>
    <t>11/10/2025 17:00</t>
  </si>
  <si>
    <t>11/10/2025 17:15</t>
  </si>
  <si>
    <t>11/10/2025 17:30</t>
  </si>
  <si>
    <t>11/10/2025 17:45</t>
  </si>
  <si>
    <t>11/10/2025 18:00</t>
  </si>
  <si>
    <t>11/10/2025 18:15</t>
  </si>
  <si>
    <t>11/10/2025 18:30</t>
  </si>
  <si>
    <t>11/10/2025 18:45</t>
  </si>
  <si>
    <t>11/10/2025 19:00</t>
  </si>
  <si>
    <t>11/10/2025 19:15</t>
  </si>
  <si>
    <t>11/10/2025 19:30</t>
  </si>
  <si>
    <t>11/10/2025 19:45</t>
  </si>
  <si>
    <t>11/10/2025 20:00</t>
  </si>
  <si>
    <t>11/10/2025 20:15</t>
  </si>
  <si>
    <t>11/10/2025 20:30</t>
  </si>
  <si>
    <t>11/10/2025 20:45</t>
  </si>
  <si>
    <t>11/10/2025 21:00</t>
  </si>
  <si>
    <t>11/10/2025 21:15</t>
  </si>
  <si>
    <t>11/10/2025 21:30</t>
  </si>
  <si>
    <t>11/10/2025 21:45</t>
  </si>
  <si>
    <t>11/10/2025 22:00</t>
  </si>
  <si>
    <t>11/10/2025 22:15</t>
  </si>
  <si>
    <t>11/10/2025 22:30</t>
  </si>
  <si>
    <t>11/10/2025 22:45</t>
  </si>
  <si>
    <t>11/10/2025 23:00</t>
  </si>
  <si>
    <t>11/10/2025 23:15</t>
  </si>
  <si>
    <t>11/10/2025 23:30</t>
  </si>
  <si>
    <t>11/10/2025 23:45</t>
  </si>
  <si>
    <t>11/10/2025 24:00</t>
  </si>
  <si>
    <t>12/10/2025 00:15</t>
  </si>
  <si>
    <t>12/10/2025 00:30</t>
  </si>
  <si>
    <t>12/10/2025 00:45</t>
  </si>
  <si>
    <t>12/10/2025 01:00</t>
  </si>
  <si>
    <t>12/10/2025 01:15</t>
  </si>
  <si>
    <t>12/10/2025 01:30</t>
  </si>
  <si>
    <t>12/10/2025 01:45</t>
  </si>
  <si>
    <t>12/10/2025 02:00</t>
  </si>
  <si>
    <t>12/10/2025 02:15</t>
  </si>
  <si>
    <t>12/10/2025 02:30</t>
  </si>
  <si>
    <t>12/10/2025 02:45</t>
  </si>
  <si>
    <t>12/10/2025 03:00</t>
  </si>
  <si>
    <t>12/10/2025 03:15</t>
  </si>
  <si>
    <t>12/10/2025 03:30</t>
  </si>
  <si>
    <t>12/10/2025 03:45</t>
  </si>
  <si>
    <t>12/10/2025 04:00</t>
  </si>
  <si>
    <t>12/10/2025 04:15</t>
  </si>
  <si>
    <t>12/10/2025 04:30</t>
  </si>
  <si>
    <t>12/10/2025 04:45</t>
  </si>
  <si>
    <t>12/10/2025 05:00</t>
  </si>
  <si>
    <t>12/10/2025 05:15</t>
  </si>
  <si>
    <t>12/10/2025 05:30</t>
  </si>
  <si>
    <t>12/10/2025 05:45</t>
  </si>
  <si>
    <t>12/10/2025 06:00</t>
  </si>
  <si>
    <t>12/10/2025 06:15</t>
  </si>
  <si>
    <t>12/10/2025 06:30</t>
  </si>
  <si>
    <t>12/10/2025 06:45</t>
  </si>
  <si>
    <t>12/10/2025 07:00</t>
  </si>
  <si>
    <t>12/10/2025 07:15</t>
  </si>
  <si>
    <t>12/10/2025 07:30</t>
  </si>
  <si>
    <t>12/10/2025 07:45</t>
  </si>
  <si>
    <t>12/10/2025 08:00</t>
  </si>
  <si>
    <t>12/10/2025 08:15</t>
  </si>
  <si>
    <t>12/10/2025 08:30</t>
  </si>
  <si>
    <t>12/10/2025 08:45</t>
  </si>
  <si>
    <t>12/10/2025 09:00</t>
  </si>
  <si>
    <t>12/10/2025 09:15</t>
  </si>
  <si>
    <t>12/10/2025 09:30</t>
  </si>
  <si>
    <t>12/10/2025 09:45</t>
  </si>
  <si>
    <t>12/10/2025 10:00</t>
  </si>
  <si>
    <t>12/10/2025 10:15</t>
  </si>
  <si>
    <t>12/10/2025 10:30</t>
  </si>
  <si>
    <t>12/10/2025 10:45</t>
  </si>
  <si>
    <t>12/10/2025 11:00</t>
  </si>
  <si>
    <t>12/10/2025 11:15</t>
  </si>
  <si>
    <t>12/10/2025 11:30</t>
  </si>
  <si>
    <t>12/10/2025 11:45</t>
  </si>
  <si>
    <t>12/10/2025 12:00</t>
  </si>
  <si>
    <t>12/10/2025 12:15</t>
  </si>
  <si>
    <t>12/10/2025 12:30</t>
  </si>
  <si>
    <t>12/10/2025 12:45</t>
  </si>
  <si>
    <t>12/10/2025 13:00</t>
  </si>
  <si>
    <t>12/10/2025 13:15</t>
  </si>
  <si>
    <t>12/10/2025 13:30</t>
  </si>
  <si>
    <t>12/10/2025 13:45</t>
  </si>
  <si>
    <t>12/10/2025 14:00</t>
  </si>
  <si>
    <t>12/10/2025 14:15</t>
  </si>
  <si>
    <t>12/10/2025 14:30</t>
  </si>
  <si>
    <t>12/10/2025 14:45</t>
  </si>
  <si>
    <t>12/10/2025 15:00</t>
  </si>
  <si>
    <t>12/10/2025 15:15</t>
  </si>
  <si>
    <t>12/10/2025 15:30</t>
  </si>
  <si>
    <t>12/10/2025 15:45</t>
  </si>
  <si>
    <t>12/10/2025 16:00</t>
  </si>
  <si>
    <t>12/10/2025 16:15</t>
  </si>
  <si>
    <t>12/10/2025 16:30</t>
  </si>
  <si>
    <t>12/10/2025 16:45</t>
  </si>
  <si>
    <t>12/10/2025 17:00</t>
  </si>
  <si>
    <t>12/10/2025 17:15</t>
  </si>
  <si>
    <t>12/10/2025 17:30</t>
  </si>
  <si>
    <t>12/10/2025 17:45</t>
  </si>
  <si>
    <t>12/10/2025 18:00</t>
  </si>
  <si>
    <t>12/10/2025 18:15</t>
  </si>
  <si>
    <t>12/10/2025 18:30</t>
  </si>
  <si>
    <t>12/10/2025 18:45</t>
  </si>
  <si>
    <t>12/10/2025 19:00</t>
  </si>
  <si>
    <t>12/10/2025 19:15</t>
  </si>
  <si>
    <t>12/10/2025 19:30</t>
  </si>
  <si>
    <t>12/10/2025 19:45</t>
  </si>
  <si>
    <t>12/10/2025 20:00</t>
  </si>
  <si>
    <t>12/10/2025 20:15</t>
  </si>
  <si>
    <t>12/10/2025 20:30</t>
  </si>
  <si>
    <t>12/10/2025 20:45</t>
  </si>
  <si>
    <t>12/10/2025 21:00</t>
  </si>
  <si>
    <t>12/10/2025 21:15</t>
  </si>
  <si>
    <t>12/10/2025 21:30</t>
  </si>
  <si>
    <t>12/10/2025 21:45</t>
  </si>
  <si>
    <t>12/10/2025 22:00</t>
  </si>
  <si>
    <t>12/10/2025 22:15</t>
  </si>
  <si>
    <t>12/10/2025 22:30</t>
  </si>
  <si>
    <t>12/10/2025 22:45</t>
  </si>
  <si>
    <t>12/10/2025 23:00</t>
  </si>
  <si>
    <t>12/10/2025 23:15</t>
  </si>
  <si>
    <t>12/10/2025 23:30</t>
  </si>
  <si>
    <t>12/10/2025 23:45</t>
  </si>
  <si>
    <t>12/10/2025 24:00</t>
  </si>
  <si>
    <t>13/10/2025 00:15</t>
  </si>
  <si>
    <t>13/10/2025 00:30</t>
  </si>
  <si>
    <t>13/10/2025 00:45</t>
  </si>
  <si>
    <t>13/10/2025 01:00</t>
  </si>
  <si>
    <t>13/10/2025 01:15</t>
  </si>
  <si>
    <t>13/10/2025 01:30</t>
  </si>
  <si>
    <t>13/10/2025 01:45</t>
  </si>
  <si>
    <t>13/10/2025 02:00</t>
  </si>
  <si>
    <t>13/10/2025 02:15</t>
  </si>
  <si>
    <t>13/10/2025 02:30</t>
  </si>
  <si>
    <t>13/10/2025 02:45</t>
  </si>
  <si>
    <t>13/10/2025 03:00</t>
  </si>
  <si>
    <t>13/10/2025 03:15</t>
  </si>
  <si>
    <t>13/10/2025 03:30</t>
  </si>
  <si>
    <t>13/10/2025 03:45</t>
  </si>
  <si>
    <t>13/10/2025 04:00</t>
  </si>
  <si>
    <t>13/10/2025 04:15</t>
  </si>
  <si>
    <t>13/10/2025 04:30</t>
  </si>
  <si>
    <t>13/10/2025 04:45</t>
  </si>
  <si>
    <t>13/10/2025 05:00</t>
  </si>
  <si>
    <t>13/10/2025 05:15</t>
  </si>
  <si>
    <t>13/10/2025 05:30</t>
  </si>
  <si>
    <t>13/10/2025 05:45</t>
  </si>
  <si>
    <t>13/10/2025 06:00</t>
  </si>
  <si>
    <t>13/10/2025 06:15</t>
  </si>
  <si>
    <t>13/10/2025 06:30</t>
  </si>
  <si>
    <t>13/10/2025 06:45</t>
  </si>
  <si>
    <t>13/10/2025 07:00</t>
  </si>
  <si>
    <t>13/10/2025 07:15</t>
  </si>
  <si>
    <t>13/10/2025 07:30</t>
  </si>
  <si>
    <t>13/10/2025 07:45</t>
  </si>
  <si>
    <t>13/10/2025 08:00</t>
  </si>
  <si>
    <t>13/10/2025 08:15</t>
  </si>
  <si>
    <t>13/10/2025 08:30</t>
  </si>
  <si>
    <t>13/10/2025 08:45</t>
  </si>
  <si>
    <t>13/10/2025 09:00</t>
  </si>
  <si>
    <t>13/10/2025 09:15</t>
  </si>
  <si>
    <t>13/10/2025 09:30</t>
  </si>
  <si>
    <t>13/10/2025 09:45</t>
  </si>
  <si>
    <t>13/10/2025 10:00</t>
  </si>
  <si>
    <t>13/10/2025 10:15</t>
  </si>
  <si>
    <t>13/10/2025 10:30</t>
  </si>
  <si>
    <t>13/10/2025 10:45</t>
  </si>
  <si>
    <t>13/10/2025 11:00</t>
  </si>
  <si>
    <t>13/10/2025 11:15</t>
  </si>
  <si>
    <t>13/10/2025 11:30</t>
  </si>
  <si>
    <t>13/10/2025 11:45</t>
  </si>
  <si>
    <t>13/10/2025 12:00</t>
  </si>
  <si>
    <t>13/10/2025 12:15</t>
  </si>
  <si>
    <t>13/10/2025 12:30</t>
  </si>
  <si>
    <t>13/10/2025 12:45</t>
  </si>
  <si>
    <t>13/10/2025 13:00</t>
  </si>
  <si>
    <t>13/10/2025 13:15</t>
  </si>
  <si>
    <t>13/10/2025 13:30</t>
  </si>
  <si>
    <t>13/10/2025 13:45</t>
  </si>
  <si>
    <t>13/10/2025 14:00</t>
  </si>
  <si>
    <t>13/10/2025 14:15</t>
  </si>
  <si>
    <t>13/10/2025 14:30</t>
  </si>
  <si>
    <t>13/10/2025 14:45</t>
  </si>
  <si>
    <t>13/10/2025 15:00</t>
  </si>
  <si>
    <t>13/10/2025 15:15</t>
  </si>
  <si>
    <t>13/10/2025 15:30</t>
  </si>
  <si>
    <t>13/10/2025 15:45</t>
  </si>
  <si>
    <t>13/10/2025 16:00</t>
  </si>
  <si>
    <t>13/10/2025 16:15</t>
  </si>
  <si>
    <t>13/10/2025 16:30</t>
  </si>
  <si>
    <t>13/10/2025 16:45</t>
  </si>
  <si>
    <t>13/10/2025 17:00</t>
  </si>
  <si>
    <t>13/10/2025 17:15</t>
  </si>
  <si>
    <t>13/10/2025 17:30</t>
  </si>
  <si>
    <t>13/10/2025 17:45</t>
  </si>
  <si>
    <t>13/10/2025 18:00</t>
  </si>
  <si>
    <t>13/10/2025 18:15</t>
  </si>
  <si>
    <t>13/10/2025 18:30</t>
  </si>
  <si>
    <t>13/10/2025 18:45</t>
  </si>
  <si>
    <t>13/10/2025 19:00</t>
  </si>
  <si>
    <t>13/10/2025 19:15</t>
  </si>
  <si>
    <t>13/10/2025 19:30</t>
  </si>
  <si>
    <t>13/10/2025 19:45</t>
  </si>
  <si>
    <t>13/10/2025 20:00</t>
  </si>
  <si>
    <t>13/10/2025 20:15</t>
  </si>
  <si>
    <t>13/10/2025 20:30</t>
  </si>
  <si>
    <t>13/10/2025 20:45</t>
  </si>
  <si>
    <t>13/10/2025 21:00</t>
  </si>
  <si>
    <t>13/10/2025 21:15</t>
  </si>
  <si>
    <t>13/10/2025 21:30</t>
  </si>
  <si>
    <t>13/10/2025 21:45</t>
  </si>
  <si>
    <t>13/10/2025 22:00</t>
  </si>
  <si>
    <t>13/10/2025 22:15</t>
  </si>
  <si>
    <t>13/10/2025 22:30</t>
  </si>
  <si>
    <t>13/10/2025 22:45</t>
  </si>
  <si>
    <t>13/10/2025 23:00</t>
  </si>
  <si>
    <t>13/10/2025 23:15</t>
  </si>
  <si>
    <t>13/10/2025 23:30</t>
  </si>
  <si>
    <t>13/10/2025 23:45</t>
  </si>
  <si>
    <t>13/10/2025 24:00</t>
  </si>
  <si>
    <t>14/10/2025 00:15</t>
  </si>
  <si>
    <t>14/10/2025 00:30</t>
  </si>
  <si>
    <t>14/10/2025 00:45</t>
  </si>
  <si>
    <t>14/10/2025 01:00</t>
  </si>
  <si>
    <t>14/10/2025 01:15</t>
  </si>
  <si>
    <t>14/10/2025 01:30</t>
  </si>
  <si>
    <t>14/10/2025 01:45</t>
  </si>
  <si>
    <t>14/10/2025 02:00</t>
  </si>
  <si>
    <t>14/10/2025 02:15</t>
  </si>
  <si>
    <t>14/10/2025 02:30</t>
  </si>
  <si>
    <t>14/10/2025 02:45</t>
  </si>
  <si>
    <t>14/10/2025 03:00</t>
  </si>
  <si>
    <t>14/10/2025 03:15</t>
  </si>
  <si>
    <t>14/10/2025 03:30</t>
  </si>
  <si>
    <t>14/10/2025 03:45</t>
  </si>
  <si>
    <t>14/10/2025 04:00</t>
  </si>
  <si>
    <t>14/10/2025 04:15</t>
  </si>
  <si>
    <t>14/10/2025 04:30</t>
  </si>
  <si>
    <t>14/10/2025 04:45</t>
  </si>
  <si>
    <t>14/10/2025 05:00</t>
  </si>
  <si>
    <t>14/10/2025 05:15</t>
  </si>
  <si>
    <t>14/10/2025 05:30</t>
  </si>
  <si>
    <t>14/10/2025 05:45</t>
  </si>
  <si>
    <t>14/10/2025 06:00</t>
  </si>
  <si>
    <t>14/10/2025 06:15</t>
  </si>
  <si>
    <t>14/10/2025 06:30</t>
  </si>
  <si>
    <t>14/10/2025 06:45</t>
  </si>
  <si>
    <t>14/10/2025 07:00</t>
  </si>
  <si>
    <t>14/10/2025 07:15</t>
  </si>
  <si>
    <t>14/10/2025 07:30</t>
  </si>
  <si>
    <t>14/10/2025 07:45</t>
  </si>
  <si>
    <t>14/10/2025 08:00</t>
  </si>
  <si>
    <t>14/10/2025 08:15</t>
  </si>
  <si>
    <t>14/10/2025 08:30</t>
  </si>
  <si>
    <t>14/10/2025 08:45</t>
  </si>
  <si>
    <t>14/10/2025 09:00</t>
  </si>
  <si>
    <t>14/10/2025 09:15</t>
  </si>
  <si>
    <t>14/10/2025 09:30</t>
  </si>
  <si>
    <t>14/10/2025 09:45</t>
  </si>
  <si>
    <t>14/10/2025 10:00</t>
  </si>
  <si>
    <t>14/10/2025 10:15</t>
  </si>
  <si>
    <t>14/10/2025 10:30</t>
  </si>
  <si>
    <t>14/10/2025 10:45</t>
  </si>
  <si>
    <t>14/10/2025 11:00</t>
  </si>
  <si>
    <t>14/10/2025 11:15</t>
  </si>
  <si>
    <t>14/10/2025 11:30</t>
  </si>
  <si>
    <t>14/10/2025 11:45</t>
  </si>
  <si>
    <t>14/10/2025 12:00</t>
  </si>
  <si>
    <t>14/10/2025 12:15</t>
  </si>
  <si>
    <t>14/10/2025 12:30</t>
  </si>
  <si>
    <t>14/10/2025 12:45</t>
  </si>
  <si>
    <t>14/10/2025 13:00</t>
  </si>
  <si>
    <t>14/10/2025 13:15</t>
  </si>
  <si>
    <t>14/10/2025 13:30</t>
  </si>
  <si>
    <t>14/10/2025 13:45</t>
  </si>
  <si>
    <t>14/10/2025 14:00</t>
  </si>
  <si>
    <t>14/10/2025 14:15</t>
  </si>
  <si>
    <t>14/10/2025 14:30</t>
  </si>
  <si>
    <t>14/10/2025 14:45</t>
  </si>
  <si>
    <t>14/10/2025 15:00</t>
  </si>
  <si>
    <t>14/10/2025 15:15</t>
  </si>
  <si>
    <t>14/10/2025 15:30</t>
  </si>
  <si>
    <t>14/10/2025 15:45</t>
  </si>
  <si>
    <t>14/10/2025 16:00</t>
  </si>
  <si>
    <t>14/10/2025 16:15</t>
  </si>
  <si>
    <t>14/10/2025 16:30</t>
  </si>
  <si>
    <t>14/10/2025 16:45</t>
  </si>
  <si>
    <t>14/10/2025 17:00</t>
  </si>
  <si>
    <t>14/10/2025 17:15</t>
  </si>
  <si>
    <t>14/10/2025 17:30</t>
  </si>
  <si>
    <t>14/10/2025 17:45</t>
  </si>
  <si>
    <t>14/10/2025 18:00</t>
  </si>
  <si>
    <t>14/10/2025 18:15</t>
  </si>
  <si>
    <t>14/10/2025 18:30</t>
  </si>
  <si>
    <t>14/10/2025 18:45</t>
  </si>
  <si>
    <t>14/10/2025 19:00</t>
  </si>
  <si>
    <t>14/10/2025 19:15</t>
  </si>
  <si>
    <t>14/10/2025 19:30</t>
  </si>
  <si>
    <t>14/10/2025 19:45</t>
  </si>
  <si>
    <t>14/10/2025 20:00</t>
  </si>
  <si>
    <t>14/10/2025 20:15</t>
  </si>
  <si>
    <t>14/10/2025 20:30</t>
  </si>
  <si>
    <t>14/10/2025 20:45</t>
  </si>
  <si>
    <t>14/10/2025 21:00</t>
  </si>
  <si>
    <t>14/10/2025 21:15</t>
  </si>
  <si>
    <t>14/10/2025 21:30</t>
  </si>
  <si>
    <t>14/10/2025 21:45</t>
  </si>
  <si>
    <t>14/10/2025 22:00</t>
  </si>
  <si>
    <t>14/10/2025 22:15</t>
  </si>
  <si>
    <t>14/10/2025 22:30</t>
  </si>
  <si>
    <t>14/10/2025 22:45</t>
  </si>
  <si>
    <t>14/10/2025 23:00</t>
  </si>
  <si>
    <t>14/10/2025 23:15</t>
  </si>
  <si>
    <t>14/10/2025 23:30</t>
  </si>
  <si>
    <t>14/10/2025 23:45</t>
  </si>
  <si>
    <t>14/10/2025 24:00</t>
  </si>
  <si>
    <t>15/10/2025 00:15</t>
  </si>
  <si>
    <t>15/10/2025 00:30</t>
  </si>
  <si>
    <t>15/10/2025 00:45</t>
  </si>
  <si>
    <t>15/10/2025 01:00</t>
  </si>
  <si>
    <t>15/10/2025 01:15</t>
  </si>
  <si>
    <t>15/10/2025 01:30</t>
  </si>
  <si>
    <t>15/10/2025 01:45</t>
  </si>
  <si>
    <t>15/10/2025 02:00</t>
  </si>
  <si>
    <t>15/10/2025 02:15</t>
  </si>
  <si>
    <t>15/10/2025 02:30</t>
  </si>
  <si>
    <t>15/10/2025 02:45</t>
  </si>
  <si>
    <t>15/10/2025 03:00</t>
  </si>
  <si>
    <t>15/10/2025 03:15</t>
  </si>
  <si>
    <t>15/10/2025 03:30</t>
  </si>
  <si>
    <t>15/10/2025 03:45</t>
  </si>
  <si>
    <t>15/10/2025 04:00</t>
  </si>
  <si>
    <t>15/10/2025 04:15</t>
  </si>
  <si>
    <t>15/10/2025 04:30</t>
  </si>
  <si>
    <t>15/10/2025 04:45</t>
  </si>
  <si>
    <t>15/10/2025 05:00</t>
  </si>
  <si>
    <t>15/10/2025 05:15</t>
  </si>
  <si>
    <t>15/10/2025 05:30</t>
  </si>
  <si>
    <t>15/10/2025 05:45</t>
  </si>
  <si>
    <t>15/10/2025 06:00</t>
  </si>
  <si>
    <t>15/10/2025 06:15</t>
  </si>
  <si>
    <t>15/10/2025 06:30</t>
  </si>
  <si>
    <t>15/10/2025 06:45</t>
  </si>
  <si>
    <t>15/10/2025 07:00</t>
  </si>
  <si>
    <t>15/10/2025 07:15</t>
  </si>
  <si>
    <t>15/10/2025 07:30</t>
  </si>
  <si>
    <t>15/10/2025 07:45</t>
  </si>
  <si>
    <t>15/10/2025 08:00</t>
  </si>
  <si>
    <t>15/10/2025 08:15</t>
  </si>
  <si>
    <t>15/10/2025 08:30</t>
  </si>
  <si>
    <t>15/10/2025 08:45</t>
  </si>
  <si>
    <t>15/10/2025 09:00</t>
  </si>
  <si>
    <t>15/10/2025 09:15</t>
  </si>
  <si>
    <t>15/10/2025 09:30</t>
  </si>
  <si>
    <t>15/10/2025 09:45</t>
  </si>
  <si>
    <t>15/10/2025 10:00</t>
  </si>
  <si>
    <t>15/10/2025 10:15</t>
  </si>
  <si>
    <t>15/10/2025 10:30</t>
  </si>
  <si>
    <t>15/10/2025 10:45</t>
  </si>
  <si>
    <t>15/10/2025 11:00</t>
  </si>
  <si>
    <t>15/10/2025 11:15</t>
  </si>
  <si>
    <t>15/10/2025 11:30</t>
  </si>
  <si>
    <t>15/10/2025 11:45</t>
  </si>
  <si>
    <t>15/10/2025 12:00</t>
  </si>
  <si>
    <t>15/10/2025 12:15</t>
  </si>
  <si>
    <t>15/10/2025 12:30</t>
  </si>
  <si>
    <t>15/10/2025 12:45</t>
  </si>
  <si>
    <t>15/10/2025 13:00</t>
  </si>
  <si>
    <t>15/10/2025 13:15</t>
  </si>
  <si>
    <t>15/10/2025 13:30</t>
  </si>
  <si>
    <t>15/10/2025 13:45</t>
  </si>
  <si>
    <t>15/10/2025 14:00</t>
  </si>
  <si>
    <t>15/10/2025 14:15</t>
  </si>
  <si>
    <t>15/10/2025 14:30</t>
  </si>
  <si>
    <t>15/10/2025 14:45</t>
  </si>
  <si>
    <t>15/10/2025 15:00</t>
  </si>
  <si>
    <t>15/10/2025 15:15</t>
  </si>
  <si>
    <t>15/10/2025 15:30</t>
  </si>
  <si>
    <t>15/10/2025 15:45</t>
  </si>
  <si>
    <t>15/10/2025 16:00</t>
  </si>
  <si>
    <t>15/10/2025 16:15</t>
  </si>
  <si>
    <t>15/10/2025 16:30</t>
  </si>
  <si>
    <t>15/10/2025 16:45</t>
  </si>
  <si>
    <t>15/10/2025 17:00</t>
  </si>
  <si>
    <t>15/10/2025 17:15</t>
  </si>
  <si>
    <t>15/10/2025 17:30</t>
  </si>
  <si>
    <t>15/10/2025 17:45</t>
  </si>
  <si>
    <t>15/10/2025 18:00</t>
  </si>
  <si>
    <t>15/10/2025 18:15</t>
  </si>
  <si>
    <t>15/10/2025 18:30</t>
  </si>
  <si>
    <t>15/10/2025 18:45</t>
  </si>
  <si>
    <t>15/10/2025 19:00</t>
  </si>
  <si>
    <t>15/10/2025 19:15</t>
  </si>
  <si>
    <t>15/10/2025 19:30</t>
  </si>
  <si>
    <t>15/10/2025 19:45</t>
  </si>
  <si>
    <t>15/10/2025 20:00</t>
  </si>
  <si>
    <t>15/10/2025 20:15</t>
  </si>
  <si>
    <t>15/10/2025 20:30</t>
  </si>
  <si>
    <t>15/10/2025 20:45</t>
  </si>
  <si>
    <t>15/10/2025 21:00</t>
  </si>
  <si>
    <t>15/10/2025 21:15</t>
  </si>
  <si>
    <t>15/10/2025 21:30</t>
  </si>
  <si>
    <t>15/10/2025 21:45</t>
  </si>
  <si>
    <t>15/10/2025 22:00</t>
  </si>
  <si>
    <t>15/10/2025 22:15</t>
  </si>
  <si>
    <t>15/10/2025 22:30</t>
  </si>
  <si>
    <t>15/10/2025 22:45</t>
  </si>
  <si>
    <t>15/10/2025 23:00</t>
  </si>
  <si>
    <t>15/10/2025 23:15</t>
  </si>
  <si>
    <t>15/10/2025 23:30</t>
  </si>
  <si>
    <t>15/10/2025 23:45</t>
  </si>
  <si>
    <t>15/10/2025 24:00</t>
  </si>
  <si>
    <t>16/10/2025 00:15</t>
  </si>
  <si>
    <t>16/10/2025 00:30</t>
  </si>
  <si>
    <t>16/10/2025 00:45</t>
  </si>
  <si>
    <t>16/10/2025 01:00</t>
  </si>
  <si>
    <t>16/10/2025 01:15</t>
  </si>
  <si>
    <t>16/10/2025 01:30</t>
  </si>
  <si>
    <t>16/10/2025 01:45</t>
  </si>
  <si>
    <t>16/10/2025 02:00</t>
  </si>
  <si>
    <t>16/10/2025 02:15</t>
  </si>
  <si>
    <t>16/10/2025 02:30</t>
  </si>
  <si>
    <t>16/10/2025 02:45</t>
  </si>
  <si>
    <t>16/10/2025 03:00</t>
  </si>
  <si>
    <t>16/10/2025 03:15</t>
  </si>
  <si>
    <t>16/10/2025 03:30</t>
  </si>
  <si>
    <t>16/10/2025 03:45</t>
  </si>
  <si>
    <t>16/10/2025 04:00</t>
  </si>
  <si>
    <t>16/10/2025 04:15</t>
  </si>
  <si>
    <t>16/10/2025 04:30</t>
  </si>
  <si>
    <t>16/10/2025 04:45</t>
  </si>
  <si>
    <t>16/10/2025 05:00</t>
  </si>
  <si>
    <t>16/10/2025 05:15</t>
  </si>
  <si>
    <t>16/10/2025 05:30</t>
  </si>
  <si>
    <t>16/10/2025 05:45</t>
  </si>
  <si>
    <t>16/10/2025 06:00</t>
  </si>
  <si>
    <t>16/10/2025 06:15</t>
  </si>
  <si>
    <t>16/10/2025 06:30</t>
  </si>
  <si>
    <t>16/10/2025 06:45</t>
  </si>
  <si>
    <t>16/10/2025 07:00</t>
  </si>
  <si>
    <t>16/10/2025 07:15</t>
  </si>
  <si>
    <t>16/10/2025 07:30</t>
  </si>
  <si>
    <t>16/10/2025 07:45</t>
  </si>
  <si>
    <t>16/10/2025 08:00</t>
  </si>
  <si>
    <t>16/10/2025 08:15</t>
  </si>
  <si>
    <t>16/10/2025 08:30</t>
  </si>
  <si>
    <t>16/10/2025 08:45</t>
  </si>
  <si>
    <t>16/10/2025 09:00</t>
  </si>
  <si>
    <t>16/10/2025 09:15</t>
  </si>
  <si>
    <t>16/10/2025 09:30</t>
  </si>
  <si>
    <t>16/10/2025 09:45</t>
  </si>
  <si>
    <t>16/10/2025 10:00</t>
  </si>
  <si>
    <t>16/10/2025 10:15</t>
  </si>
  <si>
    <t>16/10/2025 10:30</t>
  </si>
  <si>
    <t>16/10/2025 10:45</t>
  </si>
  <si>
    <t>16/10/2025 11:00</t>
  </si>
  <si>
    <t>16/10/2025 11:15</t>
  </si>
  <si>
    <t>16/10/2025 11:30</t>
  </si>
  <si>
    <t>16/10/2025 11:45</t>
  </si>
  <si>
    <t>16/10/2025 12:00</t>
  </si>
  <si>
    <t>16/10/2025 12:15</t>
  </si>
  <si>
    <t>16/10/2025 12:30</t>
  </si>
  <si>
    <t>16/10/2025 12:45</t>
  </si>
  <si>
    <t>16/10/2025 13:00</t>
  </si>
  <si>
    <t>16/10/2025 13:15</t>
  </si>
  <si>
    <t>16/10/2025 13:30</t>
  </si>
  <si>
    <t>16/10/2025 13:45</t>
  </si>
  <si>
    <t>16/10/2025 14:00</t>
  </si>
  <si>
    <t>16/10/2025 14:15</t>
  </si>
  <si>
    <t>16/10/2025 14:30</t>
  </si>
  <si>
    <t>16/10/2025 14:45</t>
  </si>
  <si>
    <t>16/10/2025 15:00</t>
  </si>
  <si>
    <t>16/10/2025 15:15</t>
  </si>
  <si>
    <t>16/10/2025 15:30</t>
  </si>
  <si>
    <t>16/10/2025 15:45</t>
  </si>
  <si>
    <t>16/10/2025 16:00</t>
  </si>
  <si>
    <t>16/10/2025 16:15</t>
  </si>
  <si>
    <t>16/10/2025 16:30</t>
  </si>
  <si>
    <t>16/10/2025 16:45</t>
  </si>
  <si>
    <t>16/10/2025 17:00</t>
  </si>
  <si>
    <t>16/10/2025 17:15</t>
  </si>
  <si>
    <t>16/10/2025 17:30</t>
  </si>
  <si>
    <t>16/10/2025 17:45</t>
  </si>
  <si>
    <t>16/10/2025 18:00</t>
  </si>
  <si>
    <t>16/10/2025 18:15</t>
  </si>
  <si>
    <t>16/10/2025 18:30</t>
  </si>
  <si>
    <t>16/10/2025 18:45</t>
  </si>
  <si>
    <t>16/10/2025 19:00</t>
  </si>
  <si>
    <t>16/10/2025 19:15</t>
  </si>
  <si>
    <t>16/10/2025 19:30</t>
  </si>
  <si>
    <t>16/10/2025 19:45</t>
  </si>
  <si>
    <t>16/10/2025 20:00</t>
  </si>
  <si>
    <t>16/10/2025 20:15</t>
  </si>
  <si>
    <t>16/10/2025 20:30</t>
  </si>
  <si>
    <t>16/10/2025 20:45</t>
  </si>
  <si>
    <t>16/10/2025 21:00</t>
  </si>
  <si>
    <t>16/10/2025 21:15</t>
  </si>
  <si>
    <t>16/10/2025 21:30</t>
  </si>
  <si>
    <t>16/10/2025 21:45</t>
  </si>
  <si>
    <t>16/10/2025 22:00</t>
  </si>
  <si>
    <t>16/10/2025 22:15</t>
  </si>
  <si>
    <t>16/10/2025 22:30</t>
  </si>
  <si>
    <t>16/10/2025 22:45</t>
  </si>
  <si>
    <t>16/10/2025 23:00</t>
  </si>
  <si>
    <t>16/10/2025 23:15</t>
  </si>
  <si>
    <t>16/10/2025 23:30</t>
  </si>
  <si>
    <t>16/10/2025 23:45</t>
  </si>
  <si>
    <t>16/10/2025 24:00</t>
  </si>
  <si>
    <t>17/10/2025 00:15</t>
  </si>
  <si>
    <t>17/10/2025 00:30</t>
  </si>
  <si>
    <t>17/10/2025 00:45</t>
  </si>
  <si>
    <t>17/10/2025 01:00</t>
  </si>
  <si>
    <t>17/10/2025 01:15</t>
  </si>
  <si>
    <t>17/10/2025 01:30</t>
  </si>
  <si>
    <t>17/10/2025 01:45</t>
  </si>
  <si>
    <t>17/10/2025 02:00</t>
  </si>
  <si>
    <t>17/10/2025 02:15</t>
  </si>
  <si>
    <t>17/10/2025 02:30</t>
  </si>
  <si>
    <t>17/10/2025 02:45</t>
  </si>
  <si>
    <t>17/10/2025 03:00</t>
  </si>
  <si>
    <t>17/10/2025 03:15</t>
  </si>
  <si>
    <t>17/10/2025 03:30</t>
  </si>
  <si>
    <t>17/10/2025 03:45</t>
  </si>
  <si>
    <t>17/10/2025 04:00</t>
  </si>
  <si>
    <t>17/10/2025 04:15</t>
  </si>
  <si>
    <t>17/10/2025 04:30</t>
  </si>
  <si>
    <t>17/10/2025 04:45</t>
  </si>
  <si>
    <t>17/10/2025 05:00</t>
  </si>
  <si>
    <t>17/10/2025 05:15</t>
  </si>
  <si>
    <t>17/10/2025 05:30</t>
  </si>
  <si>
    <t>17/10/2025 05:45</t>
  </si>
  <si>
    <t>17/10/2025 06:00</t>
  </si>
  <si>
    <t>17/10/2025 06:15</t>
  </si>
  <si>
    <t>17/10/2025 06:30</t>
  </si>
  <si>
    <t>17/10/2025 06:45</t>
  </si>
  <si>
    <t>17/10/2025 07:00</t>
  </si>
  <si>
    <t>17/10/2025 07:15</t>
  </si>
  <si>
    <t>17/10/2025 07:30</t>
  </si>
  <si>
    <t>17/10/2025 07:45</t>
  </si>
  <si>
    <t>17/10/2025 08:00</t>
  </si>
  <si>
    <t>17/10/2025 08:15</t>
  </si>
  <si>
    <t>17/10/2025 08:30</t>
  </si>
  <si>
    <t>17/10/2025 08:45</t>
  </si>
  <si>
    <t>17/10/2025 09:00</t>
  </si>
  <si>
    <t>17/10/2025 09:15</t>
  </si>
  <si>
    <t>17/10/2025 09:30</t>
  </si>
  <si>
    <t>17/10/2025 09:45</t>
  </si>
  <si>
    <t>17/10/2025 10:00</t>
  </si>
  <si>
    <t>17/10/2025 10:15</t>
  </si>
  <si>
    <t>17/10/2025 10:30</t>
  </si>
  <si>
    <t>17/10/2025 10:45</t>
  </si>
  <si>
    <t>17/10/2025 11:00</t>
  </si>
  <si>
    <t>17/10/2025 11:15</t>
  </si>
  <si>
    <t>17/10/2025 11:30</t>
  </si>
  <si>
    <t>17/10/2025 11:45</t>
  </si>
  <si>
    <t>17/10/2025 12:00</t>
  </si>
  <si>
    <t>17/10/2025 12:15</t>
  </si>
  <si>
    <t>17/10/2025 12:30</t>
  </si>
  <si>
    <t>17/10/2025 12:45</t>
  </si>
  <si>
    <t>17/10/2025 13:00</t>
  </si>
  <si>
    <t>17/10/2025 13:15</t>
  </si>
  <si>
    <t>17/10/2025 13:30</t>
  </si>
  <si>
    <t>17/10/2025 13:45</t>
  </si>
  <si>
    <t>17/10/2025 14:00</t>
  </si>
  <si>
    <t>17/10/2025 14:15</t>
  </si>
  <si>
    <t>17/10/2025 14:30</t>
  </si>
  <si>
    <t>17/10/2025 14:45</t>
  </si>
  <si>
    <t>17/10/2025 15:00</t>
  </si>
  <si>
    <t>17/10/2025 15:15</t>
  </si>
  <si>
    <t>17/10/2025 15:30</t>
  </si>
  <si>
    <t>17/10/2025 15:45</t>
  </si>
  <si>
    <t>17/10/2025 16:00</t>
  </si>
  <si>
    <t>17/10/2025 16:15</t>
  </si>
  <si>
    <t>17/10/2025 16:30</t>
  </si>
  <si>
    <t>17/10/2025 16:45</t>
  </si>
  <si>
    <t>17/10/2025 17:00</t>
  </si>
  <si>
    <t>17/10/2025 17:15</t>
  </si>
  <si>
    <t>17/10/2025 17:30</t>
  </si>
  <si>
    <t>17/10/2025 17:45</t>
  </si>
  <si>
    <t>17/10/2025 18:00</t>
  </si>
  <si>
    <t>17/10/2025 18:15</t>
  </si>
  <si>
    <t>17/10/2025 18:30</t>
  </si>
  <si>
    <t>17/10/2025 18:45</t>
  </si>
  <si>
    <t>17/10/2025 19:00</t>
  </si>
  <si>
    <t>17/10/2025 19:15</t>
  </si>
  <si>
    <t>17/10/2025 19:30</t>
  </si>
  <si>
    <t>17/10/2025 19:45</t>
  </si>
  <si>
    <t>17/10/2025 20:00</t>
  </si>
  <si>
    <t>17/10/2025 20:15</t>
  </si>
  <si>
    <t>17/10/2025 20:30</t>
  </si>
  <si>
    <t>17/10/2025 20:45</t>
  </si>
  <si>
    <t>17/10/2025 21:00</t>
  </si>
  <si>
    <t>17/10/2025 21:15</t>
  </si>
  <si>
    <t>17/10/2025 21:30</t>
  </si>
  <si>
    <t>17/10/2025 21:45</t>
  </si>
  <si>
    <t>17/10/2025 22:00</t>
  </si>
  <si>
    <t>17/10/2025 22:15</t>
  </si>
  <si>
    <t>17/10/2025 22:30</t>
  </si>
  <si>
    <t>17/10/2025 22:45</t>
  </si>
  <si>
    <t>17/10/2025 23:00</t>
  </si>
  <si>
    <t>17/10/2025 23:15</t>
  </si>
  <si>
    <t>17/10/2025 23:30</t>
  </si>
  <si>
    <t>17/10/2025 23:45</t>
  </si>
  <si>
    <t>17/10/2025 24:00</t>
  </si>
  <si>
    <t>18/10/2025 00:15</t>
  </si>
  <si>
    <t>18/10/2025 00:30</t>
  </si>
  <si>
    <t>18/10/2025 00:45</t>
  </si>
  <si>
    <t>18/10/2025 01:00</t>
  </si>
  <si>
    <t>18/10/2025 01:15</t>
  </si>
  <si>
    <t>18/10/2025 01:30</t>
  </si>
  <si>
    <t>18/10/2025 01:45</t>
  </si>
  <si>
    <t>18/10/2025 02:00</t>
  </si>
  <si>
    <t>18/10/2025 02:15</t>
  </si>
  <si>
    <t>18/10/2025 02:30</t>
  </si>
  <si>
    <t>18/10/2025 02:45</t>
  </si>
  <si>
    <t>18/10/2025 03:00</t>
  </si>
  <si>
    <t>18/10/2025 03:15</t>
  </si>
  <si>
    <t>18/10/2025 03:30</t>
  </si>
  <si>
    <t>18/10/2025 03:45</t>
  </si>
  <si>
    <t>18/10/2025 04:00</t>
  </si>
  <si>
    <t>18/10/2025 04:15</t>
  </si>
  <si>
    <t>18/10/2025 04:30</t>
  </si>
  <si>
    <t>18/10/2025 04:45</t>
  </si>
  <si>
    <t>18/10/2025 05:00</t>
  </si>
  <si>
    <t>18/10/2025 05:15</t>
  </si>
  <si>
    <t>18/10/2025 05:30</t>
  </si>
  <si>
    <t>18/10/2025 05:45</t>
  </si>
  <si>
    <t>18/10/2025 06:00</t>
  </si>
  <si>
    <t>18/10/2025 06:15</t>
  </si>
  <si>
    <t>18/10/2025 06:30</t>
  </si>
  <si>
    <t>18/10/2025 06:45</t>
  </si>
  <si>
    <t>18/10/2025 07:00</t>
  </si>
  <si>
    <t>18/10/2025 07:15</t>
  </si>
  <si>
    <t>18/10/2025 07:30</t>
  </si>
  <si>
    <t>18/10/2025 07:45</t>
  </si>
  <si>
    <t>18/10/2025 08:00</t>
  </si>
  <si>
    <t>18/10/2025 08:15</t>
  </si>
  <si>
    <t>18/10/2025 08:30</t>
  </si>
  <si>
    <t>18/10/2025 08:45</t>
  </si>
  <si>
    <t>18/10/2025 09:00</t>
  </si>
  <si>
    <t>18/10/2025 09:15</t>
  </si>
  <si>
    <t>18/10/2025 09:30</t>
  </si>
  <si>
    <t>18/10/2025 09:45</t>
  </si>
  <si>
    <t>18/10/2025 10:00</t>
  </si>
  <si>
    <t>18/10/2025 10:15</t>
  </si>
  <si>
    <t>18/10/2025 10:30</t>
  </si>
  <si>
    <t>18/10/2025 10:45</t>
  </si>
  <si>
    <t>18/10/2025 11:00</t>
  </si>
  <si>
    <t>18/10/2025 11:15</t>
  </si>
  <si>
    <t>18/10/2025 11:30</t>
  </si>
  <si>
    <t>18/10/2025 11:45</t>
  </si>
  <si>
    <t>18/10/2025 12:00</t>
  </si>
  <si>
    <t>18/10/2025 12:15</t>
  </si>
  <si>
    <t>18/10/2025 12:30</t>
  </si>
  <si>
    <t>18/10/2025 12:45</t>
  </si>
  <si>
    <t>18/10/2025 13:00</t>
  </si>
  <si>
    <t>18/10/2025 13:15</t>
  </si>
  <si>
    <t>18/10/2025 13:30</t>
  </si>
  <si>
    <t>18/10/2025 13:45</t>
  </si>
  <si>
    <t>18/10/2025 14:00</t>
  </si>
  <si>
    <t>18/10/2025 14:15</t>
  </si>
  <si>
    <t>18/10/2025 14:30</t>
  </si>
  <si>
    <t>18/10/2025 14:45</t>
  </si>
  <si>
    <t>18/10/2025 15:00</t>
  </si>
  <si>
    <t>18/10/2025 15:15</t>
  </si>
  <si>
    <t>18/10/2025 15:30</t>
  </si>
  <si>
    <t>18/10/2025 15:45</t>
  </si>
  <si>
    <t>18/10/2025 16:00</t>
  </si>
  <si>
    <t>18/10/2025 16:15</t>
  </si>
  <si>
    <t>18/10/2025 16:30</t>
  </si>
  <si>
    <t>18/10/2025 16:45</t>
  </si>
  <si>
    <t>18/10/2025 17:00</t>
  </si>
  <si>
    <t>18/10/2025 17:15</t>
  </si>
  <si>
    <t>18/10/2025 17:30</t>
  </si>
  <si>
    <t>18/10/2025 17:45</t>
  </si>
  <si>
    <t>18/10/2025 18:00</t>
  </si>
  <si>
    <t>18/10/2025 18:15</t>
  </si>
  <si>
    <t>18/10/2025 18:30</t>
  </si>
  <si>
    <t>18/10/2025 18:45</t>
  </si>
  <si>
    <t>18/10/2025 19:00</t>
  </si>
  <si>
    <t>18/10/2025 19:15</t>
  </si>
  <si>
    <t>18/10/2025 19:30</t>
  </si>
  <si>
    <t>18/10/2025 19:45</t>
  </si>
  <si>
    <t>18/10/2025 20:00</t>
  </si>
  <si>
    <t>18/10/2025 20:15</t>
  </si>
  <si>
    <t>18/10/2025 20:30</t>
  </si>
  <si>
    <t>18/10/2025 20:45</t>
  </si>
  <si>
    <t>18/10/2025 21:00</t>
  </si>
  <si>
    <t>18/10/2025 21:15</t>
  </si>
  <si>
    <t>18/10/2025 21:30</t>
  </si>
  <si>
    <t>18/10/2025 21:45</t>
  </si>
  <si>
    <t>18/10/2025 22:00</t>
  </si>
  <si>
    <t>18/10/2025 22:15</t>
  </si>
  <si>
    <t>18/10/2025 22:30</t>
  </si>
  <si>
    <t>18/10/2025 22:45</t>
  </si>
  <si>
    <t>18/10/2025 23:00</t>
  </si>
  <si>
    <t>18/10/2025 23:15</t>
  </si>
  <si>
    <t>18/10/2025 23:30</t>
  </si>
  <si>
    <t>18/10/2025 23:45</t>
  </si>
  <si>
    <t>18/10/2025 24:00</t>
  </si>
  <si>
    <t>19/10/2025 00:15</t>
  </si>
  <si>
    <t>19/10/2025 00:30</t>
  </si>
  <si>
    <t>19/10/2025 00:45</t>
  </si>
  <si>
    <t>19/10/2025 01:00</t>
  </si>
  <si>
    <t>19/10/2025 01:15</t>
  </si>
  <si>
    <t>19/10/2025 01:30</t>
  </si>
  <si>
    <t>19/10/2025 01:45</t>
  </si>
  <si>
    <t>19/10/2025 02:00</t>
  </si>
  <si>
    <t>19/10/2025 02:15</t>
  </si>
  <si>
    <t>19/10/2025 02:30</t>
  </si>
  <si>
    <t>19/10/2025 02:45</t>
  </si>
  <si>
    <t>19/10/2025 03:00</t>
  </si>
  <si>
    <t>19/10/2025 03:15</t>
  </si>
  <si>
    <t>19/10/2025 03:30</t>
  </si>
  <si>
    <t>19/10/2025 03:45</t>
  </si>
  <si>
    <t>19/10/2025 04:00</t>
  </si>
  <si>
    <t>19/10/2025 04:15</t>
  </si>
  <si>
    <t>19/10/2025 04:30</t>
  </si>
  <si>
    <t>19/10/2025 04:45</t>
  </si>
  <si>
    <t>19/10/2025 05:00</t>
  </si>
  <si>
    <t>19/10/2025 05:15</t>
  </si>
  <si>
    <t>19/10/2025 05:30</t>
  </si>
  <si>
    <t>19/10/2025 05:45</t>
  </si>
  <si>
    <t>19/10/2025 06:00</t>
  </si>
  <si>
    <t>19/10/2025 06:15</t>
  </si>
  <si>
    <t>19/10/2025 06:30</t>
  </si>
  <si>
    <t>19/10/2025 06:45</t>
  </si>
  <si>
    <t>19/10/2025 07:00</t>
  </si>
  <si>
    <t>19/10/2025 07:15</t>
  </si>
  <si>
    <t>19/10/2025 07:30</t>
  </si>
  <si>
    <t>19/10/2025 07:45</t>
  </si>
  <si>
    <t>19/10/2025 08:00</t>
  </si>
  <si>
    <t>19/10/2025 08:15</t>
  </si>
  <si>
    <t>19/10/2025 08:30</t>
  </si>
  <si>
    <t>19/10/2025 08:45</t>
  </si>
  <si>
    <t>19/10/2025 09:00</t>
  </si>
  <si>
    <t>19/10/2025 09:15</t>
  </si>
  <si>
    <t>19/10/2025 09:30</t>
  </si>
  <si>
    <t>19/10/2025 09:45</t>
  </si>
  <si>
    <t>19/10/2025 10:00</t>
  </si>
  <si>
    <t>19/10/2025 10:15</t>
  </si>
  <si>
    <t>19/10/2025 10:30</t>
  </si>
  <si>
    <t>19/10/2025 10:45</t>
  </si>
  <si>
    <t>19/10/2025 11:00</t>
  </si>
  <si>
    <t>19/10/2025 11:15</t>
  </si>
  <si>
    <t>19/10/2025 11:30</t>
  </si>
  <si>
    <t>19/10/2025 11:45</t>
  </si>
  <si>
    <t>19/10/2025 12:00</t>
  </si>
  <si>
    <t>19/10/2025 12:15</t>
  </si>
  <si>
    <t>19/10/2025 12:30</t>
  </si>
  <si>
    <t>19/10/2025 12:45</t>
  </si>
  <si>
    <t>19/10/2025 13:00</t>
  </si>
  <si>
    <t>19/10/2025 13:15</t>
  </si>
  <si>
    <t>19/10/2025 13:30</t>
  </si>
  <si>
    <t>19/10/2025 13:45</t>
  </si>
  <si>
    <t>19/10/2025 14:00</t>
  </si>
  <si>
    <t>19/10/2025 14:15</t>
  </si>
  <si>
    <t>19/10/2025 14:30</t>
  </si>
  <si>
    <t>19/10/2025 14:45</t>
  </si>
  <si>
    <t>19/10/2025 15:00</t>
  </si>
  <si>
    <t>19/10/2025 15:15</t>
  </si>
  <si>
    <t>19/10/2025 15:30</t>
  </si>
  <si>
    <t>19/10/2025 15:45</t>
  </si>
  <si>
    <t>19/10/2025 16:00</t>
  </si>
  <si>
    <t>19/10/2025 16:15</t>
  </si>
  <si>
    <t>19/10/2025 16:30</t>
  </si>
  <si>
    <t>19/10/2025 16:45</t>
  </si>
  <si>
    <t>19/10/2025 17:00</t>
  </si>
  <si>
    <t>19/10/2025 17:15</t>
  </si>
  <si>
    <t>19/10/2025 17:30</t>
  </si>
  <si>
    <t>19/10/2025 17:45</t>
  </si>
  <si>
    <t>19/10/2025 18:00</t>
  </si>
  <si>
    <t>19/10/2025 18:15</t>
  </si>
  <si>
    <t>19/10/2025 18:30</t>
  </si>
  <si>
    <t>19/10/2025 18:45</t>
  </si>
  <si>
    <t>19/10/2025 19:00</t>
  </si>
  <si>
    <t>19/10/2025 19:15</t>
  </si>
  <si>
    <t>19/10/2025 19:30</t>
  </si>
  <si>
    <t>19/10/2025 19:45</t>
  </si>
  <si>
    <t>19/10/2025 20:00</t>
  </si>
  <si>
    <t>19/10/2025 20:15</t>
  </si>
  <si>
    <t>19/10/2025 20:30</t>
  </si>
  <si>
    <t>19/10/2025 20:45</t>
  </si>
  <si>
    <t>19/10/2025 21:00</t>
  </si>
  <si>
    <t>19/10/2025 21:15</t>
  </si>
  <si>
    <t>19/10/2025 21:30</t>
  </si>
  <si>
    <t>19/10/2025 21:45</t>
  </si>
  <si>
    <t>19/10/2025 22:00</t>
  </si>
  <si>
    <t>19/10/2025 22:15</t>
  </si>
  <si>
    <t>19/10/2025 22:30</t>
  </si>
  <si>
    <t>19/10/2025 22:45</t>
  </si>
  <si>
    <t>19/10/2025 23:00</t>
  </si>
  <si>
    <t>19/10/2025 23:15</t>
  </si>
  <si>
    <t>19/10/2025 23:30</t>
  </si>
  <si>
    <t>19/10/2025 23:45</t>
  </si>
  <si>
    <t>19/10/2025 24:00</t>
  </si>
  <si>
    <t>20/10/2025 00:15</t>
  </si>
  <si>
    <t>20/10/2025 00:30</t>
  </si>
  <si>
    <t>20/10/2025 00:45</t>
  </si>
  <si>
    <t>20/10/2025 01:00</t>
  </si>
  <si>
    <t>20/10/2025 01:15</t>
  </si>
  <si>
    <t>20/10/2025 01:30</t>
  </si>
  <si>
    <t>20/10/2025 01:45</t>
  </si>
  <si>
    <t>20/10/2025 02:00</t>
  </si>
  <si>
    <t>20/10/2025 02:15</t>
  </si>
  <si>
    <t>20/10/2025 02:30</t>
  </si>
  <si>
    <t>20/10/2025 02:45</t>
  </si>
  <si>
    <t>20/10/2025 03:00</t>
  </si>
  <si>
    <t>20/10/2025 03:15</t>
  </si>
  <si>
    <t>20/10/2025 03:30</t>
  </si>
  <si>
    <t>20/10/2025 03:45</t>
  </si>
  <si>
    <t>20/10/2025 04:00</t>
  </si>
  <si>
    <t>20/10/2025 04:15</t>
  </si>
  <si>
    <t>20/10/2025 04:30</t>
  </si>
  <si>
    <t>20/10/2025 04:45</t>
  </si>
  <si>
    <t>20/10/2025 05:00</t>
  </si>
  <si>
    <t>20/10/2025 05:15</t>
  </si>
  <si>
    <t>20/10/2025 05:30</t>
  </si>
  <si>
    <t>20/10/2025 05:45</t>
  </si>
  <si>
    <t>20/10/2025 06:00</t>
  </si>
  <si>
    <t>20/10/2025 06:15</t>
  </si>
  <si>
    <t>20/10/2025 06:30</t>
  </si>
  <si>
    <t>20/10/2025 06:45</t>
  </si>
  <si>
    <t>20/10/2025 07:00</t>
  </si>
  <si>
    <t>20/10/2025 07:15</t>
  </si>
  <si>
    <t>20/10/2025 07:30</t>
  </si>
  <si>
    <t>20/10/2025 07:45</t>
  </si>
  <si>
    <t>20/10/2025 08:00</t>
  </si>
  <si>
    <t>20/10/2025 08:15</t>
  </si>
  <si>
    <t>20/10/2025 08:30</t>
  </si>
  <si>
    <t>20/10/2025 08:45</t>
  </si>
  <si>
    <t>20/10/2025 09:00</t>
  </si>
  <si>
    <t>20/10/2025 09:15</t>
  </si>
  <si>
    <t>20/10/2025 09:30</t>
  </si>
  <si>
    <t>20/10/2025 09:45</t>
  </si>
  <si>
    <t>20/10/2025 10:00</t>
  </si>
  <si>
    <t>20/10/2025 10:15</t>
  </si>
  <si>
    <t>20/10/2025 10:30</t>
  </si>
  <si>
    <t>20/10/2025 10:45</t>
  </si>
  <si>
    <t>20/10/2025 11:00</t>
  </si>
  <si>
    <t>20/10/2025 11:15</t>
  </si>
  <si>
    <t>20/10/2025 11:30</t>
  </si>
  <si>
    <t>20/10/2025 11:45</t>
  </si>
  <si>
    <t>20/10/2025 12:00</t>
  </si>
  <si>
    <t>20/10/2025 12:15</t>
  </si>
  <si>
    <t>20/10/2025 12:30</t>
  </si>
  <si>
    <t>20/10/2025 12:45</t>
  </si>
  <si>
    <t>20/10/2025 13:00</t>
  </si>
  <si>
    <t>20/10/2025 13:15</t>
  </si>
  <si>
    <t>20/10/2025 13:30</t>
  </si>
  <si>
    <t>20/10/2025 13:45</t>
  </si>
  <si>
    <t>20/10/2025 14:00</t>
  </si>
  <si>
    <t>20/10/2025 14:15</t>
  </si>
  <si>
    <t>20/10/2025 14:30</t>
  </si>
  <si>
    <t>20/10/2025 14:45</t>
  </si>
  <si>
    <t>20/10/2025 15:00</t>
  </si>
  <si>
    <t>20/10/2025 15:15</t>
  </si>
  <si>
    <t>20/10/2025 15:30</t>
  </si>
  <si>
    <t>20/10/2025 15:45</t>
  </si>
  <si>
    <t>20/10/2025 16:00</t>
  </si>
  <si>
    <t>20/10/2025 16:15</t>
  </si>
  <si>
    <t>20/10/2025 16:30</t>
  </si>
  <si>
    <t>20/10/2025 16:45</t>
  </si>
  <si>
    <t>20/10/2025 17:00</t>
  </si>
  <si>
    <t>20/10/2025 17:15</t>
  </si>
  <si>
    <t>20/10/2025 17:30</t>
  </si>
  <si>
    <t>20/10/2025 17:45</t>
  </si>
  <si>
    <t>20/10/2025 18:00</t>
  </si>
  <si>
    <t>20/10/2025 18:15</t>
  </si>
  <si>
    <t>20/10/2025 18:30</t>
  </si>
  <si>
    <t>20/10/2025 18:45</t>
  </si>
  <si>
    <t>20/10/2025 19:00</t>
  </si>
  <si>
    <t>20/10/2025 19:15</t>
  </si>
  <si>
    <t>20/10/2025 19:30</t>
  </si>
  <si>
    <t>20/10/2025 19:45</t>
  </si>
  <si>
    <t>20/10/2025 20:00</t>
  </si>
  <si>
    <t>20/10/2025 20:15</t>
  </si>
  <si>
    <t>20/10/2025 20:30</t>
  </si>
  <si>
    <t>20/10/2025 20:45</t>
  </si>
  <si>
    <t>20/10/2025 21:00</t>
  </si>
  <si>
    <t>20/10/2025 21:15</t>
  </si>
  <si>
    <t>20/10/2025 21:30</t>
  </si>
  <si>
    <t>20/10/2025 21:45</t>
  </si>
  <si>
    <t>20/10/2025 22:00</t>
  </si>
  <si>
    <t>20/10/2025 22:15</t>
  </si>
  <si>
    <t>20/10/2025 22:30</t>
  </si>
  <si>
    <t>20/10/2025 22:45</t>
  </si>
  <si>
    <t>20/10/2025 23:00</t>
  </si>
  <si>
    <t>20/10/2025 23:15</t>
  </si>
  <si>
    <t>20/10/2025 23:30</t>
  </si>
  <si>
    <t>20/10/2025 23:45</t>
  </si>
  <si>
    <t>20/10/2025 24:00</t>
  </si>
  <si>
    <t>21/10/2025 00:15</t>
  </si>
  <si>
    <t>21/10/2025 00:30</t>
  </si>
  <si>
    <t>21/10/2025 00:45</t>
  </si>
  <si>
    <t>21/10/2025 01:00</t>
  </si>
  <si>
    <t>21/10/2025 01:15</t>
  </si>
  <si>
    <t>21/10/2025 01:30</t>
  </si>
  <si>
    <t>21/10/2025 01:45</t>
  </si>
  <si>
    <t>21/10/2025 02:00</t>
  </si>
  <si>
    <t>21/10/2025 02:15</t>
  </si>
  <si>
    <t>21/10/2025 02:30</t>
  </si>
  <si>
    <t>21/10/2025 02:45</t>
  </si>
  <si>
    <t>21/10/2025 03:00</t>
  </si>
  <si>
    <t>21/10/2025 03:15</t>
  </si>
  <si>
    <t>21/10/2025 03:30</t>
  </si>
  <si>
    <t>21/10/2025 03:45</t>
  </si>
  <si>
    <t>21/10/2025 04:00</t>
  </si>
  <si>
    <t>21/10/2025 04:15</t>
  </si>
  <si>
    <t>21/10/2025 04:30</t>
  </si>
  <si>
    <t>21/10/2025 04:45</t>
  </si>
  <si>
    <t>21/10/2025 05:00</t>
  </si>
  <si>
    <t>21/10/2025 05:15</t>
  </si>
  <si>
    <t>21/10/2025 05:30</t>
  </si>
  <si>
    <t>21/10/2025 05:45</t>
  </si>
  <si>
    <t>21/10/2025 06:00</t>
  </si>
  <si>
    <t>21/10/2025 06:15</t>
  </si>
  <si>
    <t>21/10/2025 06:30</t>
  </si>
  <si>
    <t>21/10/2025 06:45</t>
  </si>
  <si>
    <t>21/10/2025 07:00</t>
  </si>
  <si>
    <t>21/10/2025 07:15</t>
  </si>
  <si>
    <t>21/10/2025 07:30</t>
  </si>
  <si>
    <t>21/10/2025 07:45</t>
  </si>
  <si>
    <t>21/10/2025 08:00</t>
  </si>
  <si>
    <t>21/10/2025 08:15</t>
  </si>
  <si>
    <t>21/10/2025 08:30</t>
  </si>
  <si>
    <t>21/10/2025 08:45</t>
  </si>
  <si>
    <t>21/10/2025 09:00</t>
  </si>
  <si>
    <t>21/10/2025 09:15</t>
  </si>
  <si>
    <t>21/10/2025 09:30</t>
  </si>
  <si>
    <t>21/10/2025 09:45</t>
  </si>
  <si>
    <t>21/10/2025 10:00</t>
  </si>
  <si>
    <t>21/10/2025 10:15</t>
  </si>
  <si>
    <t>21/10/2025 10:30</t>
  </si>
  <si>
    <t>21/10/2025 10:45</t>
  </si>
  <si>
    <t>21/10/2025 11:00</t>
  </si>
  <si>
    <t>21/10/2025 11:15</t>
  </si>
  <si>
    <t>21/10/2025 11:30</t>
  </si>
  <si>
    <t>21/10/2025 11:45</t>
  </si>
  <si>
    <t>21/10/2025 12:00</t>
  </si>
  <si>
    <t>21/10/2025 12:15</t>
  </si>
  <si>
    <t>21/10/2025 12:30</t>
  </si>
  <si>
    <t>21/10/2025 12:45</t>
  </si>
  <si>
    <t>21/10/2025 13:00</t>
  </si>
  <si>
    <t>21/10/2025 13:15</t>
  </si>
  <si>
    <t>21/10/2025 13:30</t>
  </si>
  <si>
    <t>21/10/2025 13:45</t>
  </si>
  <si>
    <t>21/10/2025 14:00</t>
  </si>
  <si>
    <t>21/10/2025 14:15</t>
  </si>
  <si>
    <t>21/10/2025 14:30</t>
  </si>
  <si>
    <t>21/10/2025 14:45</t>
  </si>
  <si>
    <t>21/10/2025 15:00</t>
  </si>
  <si>
    <t>21/10/2025 15:15</t>
  </si>
  <si>
    <t>21/10/2025 15:30</t>
  </si>
  <si>
    <t>21/10/2025 15:45</t>
  </si>
  <si>
    <t>21/10/2025 16:00</t>
  </si>
  <si>
    <t>21/10/2025 16:15</t>
  </si>
  <si>
    <t>21/10/2025 16:30</t>
  </si>
  <si>
    <t>21/10/2025 16:45</t>
  </si>
  <si>
    <t>21/10/2025 17:00</t>
  </si>
  <si>
    <t>21/10/2025 17:15</t>
  </si>
  <si>
    <t>21/10/2025 17:30</t>
  </si>
  <si>
    <t>21/10/2025 17:45</t>
  </si>
  <si>
    <t>21/10/2025 18:00</t>
  </si>
  <si>
    <t>21/10/2025 18:15</t>
  </si>
  <si>
    <t>21/10/2025 18:30</t>
  </si>
  <si>
    <t>21/10/2025 18:45</t>
  </si>
  <si>
    <t>21/10/2025 19:00</t>
  </si>
  <si>
    <t>21/10/2025 19:15</t>
  </si>
  <si>
    <t>21/10/2025 19:30</t>
  </si>
  <si>
    <t>21/10/2025 19:45</t>
  </si>
  <si>
    <t>21/10/2025 20:00</t>
  </si>
  <si>
    <t>21/10/2025 20:15</t>
  </si>
  <si>
    <t>21/10/2025 20:30</t>
  </si>
  <si>
    <t>21/10/2025 20:45</t>
  </si>
  <si>
    <t>21/10/2025 21:00</t>
  </si>
  <si>
    <t>21/10/2025 21:15</t>
  </si>
  <si>
    <t>21/10/2025 21:30</t>
  </si>
  <si>
    <t>21/10/2025 21:45</t>
  </si>
  <si>
    <t>21/10/2025 22:00</t>
  </si>
  <si>
    <t>21/10/2025 22:15</t>
  </si>
  <si>
    <t>21/10/2025 22:30</t>
  </si>
  <si>
    <t>21/10/2025 22:45</t>
  </si>
  <si>
    <t>21/10/2025 23:00</t>
  </si>
  <si>
    <t>21/10/2025 23:15</t>
  </si>
  <si>
    <t>21/10/2025 23:30</t>
  </si>
  <si>
    <t>21/10/2025 23:45</t>
  </si>
  <si>
    <t>21/10/2025 24:00</t>
  </si>
  <si>
    <t>22/10/2025 00:15</t>
  </si>
  <si>
    <t>22/10/2025 00:30</t>
  </si>
  <si>
    <t>22/10/2025 00:45</t>
  </si>
  <si>
    <t>22/10/2025 01:00</t>
  </si>
  <si>
    <t>22/10/2025 01:15</t>
  </si>
  <si>
    <t>22/10/2025 01:30</t>
  </si>
  <si>
    <t>22/10/2025 01:45</t>
  </si>
  <si>
    <t>22/10/2025 02:00</t>
  </si>
  <si>
    <t>22/10/2025 02:15</t>
  </si>
  <si>
    <t>22/10/2025 02:30</t>
  </si>
  <si>
    <t>22/10/2025 02:45</t>
  </si>
  <si>
    <t>22/10/2025 03:00</t>
  </si>
  <si>
    <t>22/10/2025 03:15</t>
  </si>
  <si>
    <t>22/10/2025 03:30</t>
  </si>
  <si>
    <t>22/10/2025 03:45</t>
  </si>
  <si>
    <t>22/10/2025 04:00</t>
  </si>
  <si>
    <t>22/10/2025 04:15</t>
  </si>
  <si>
    <t>22/10/2025 04:30</t>
  </si>
  <si>
    <t>22/10/2025 04:45</t>
  </si>
  <si>
    <t>22/10/2025 05:00</t>
  </si>
  <si>
    <t>22/10/2025 05:15</t>
  </si>
  <si>
    <t>22/10/2025 05:30</t>
  </si>
  <si>
    <t>22/10/2025 05:45</t>
  </si>
  <si>
    <t>22/10/2025 06:00</t>
  </si>
  <si>
    <t>22/10/2025 06:15</t>
  </si>
  <si>
    <t>22/10/2025 06:30</t>
  </si>
  <si>
    <t>22/10/2025 06:45</t>
  </si>
  <si>
    <t>22/10/2025 07:00</t>
  </si>
  <si>
    <t>22/10/2025 07:15</t>
  </si>
  <si>
    <t>22/10/2025 07:30</t>
  </si>
  <si>
    <t>22/10/2025 07:45</t>
  </si>
  <si>
    <t>22/10/2025 08:00</t>
  </si>
  <si>
    <t>22/10/2025 08:15</t>
  </si>
  <si>
    <t>22/10/2025 08:30</t>
  </si>
  <si>
    <t>22/10/2025 08:45</t>
  </si>
  <si>
    <t>22/10/2025 09:00</t>
  </si>
  <si>
    <t>22/10/2025 09:15</t>
  </si>
  <si>
    <t>22/10/2025 09:30</t>
  </si>
  <si>
    <t>22/10/2025 09:45</t>
  </si>
  <si>
    <t>22/10/2025 10:00</t>
  </si>
  <si>
    <t>22/10/2025 10:15</t>
  </si>
  <si>
    <t>22/10/2025 10:30</t>
  </si>
  <si>
    <t>22/10/2025 10:45</t>
  </si>
  <si>
    <t>22/10/2025 11:00</t>
  </si>
  <si>
    <t>22/10/2025 11:15</t>
  </si>
  <si>
    <t>22/10/2025 11:30</t>
  </si>
  <si>
    <t>22/10/2025 11:45</t>
  </si>
  <si>
    <t>22/10/2025 12:00</t>
  </si>
  <si>
    <t>22/10/2025 12:15</t>
  </si>
  <si>
    <t>22/10/2025 12:30</t>
  </si>
  <si>
    <t>22/10/2025 12:45</t>
  </si>
  <si>
    <t>22/10/2025 13:00</t>
  </si>
  <si>
    <t>22/10/2025 13:15</t>
  </si>
  <si>
    <t>22/10/2025 13:30</t>
  </si>
  <si>
    <t>22/10/2025 13:45</t>
  </si>
  <si>
    <t>22/10/2025 14:00</t>
  </si>
  <si>
    <t>22/10/2025 14:15</t>
  </si>
  <si>
    <t>22/10/2025 14:30</t>
  </si>
  <si>
    <t>22/10/2025 14:45</t>
  </si>
  <si>
    <t>22/10/2025 15:00</t>
  </si>
  <si>
    <t>22/10/2025 15:15</t>
  </si>
  <si>
    <t>22/10/2025 15:30</t>
  </si>
  <si>
    <t>22/10/2025 15:45</t>
  </si>
  <si>
    <t>22/10/2025 16:00</t>
  </si>
  <si>
    <t>22/10/2025 16:15</t>
  </si>
  <si>
    <t>22/10/2025 16:30</t>
  </si>
  <si>
    <t>22/10/2025 16:45</t>
  </si>
  <si>
    <t>22/10/2025 17:00</t>
  </si>
  <si>
    <t>22/10/2025 17:15</t>
  </si>
  <si>
    <t>22/10/2025 17:30</t>
  </si>
  <si>
    <t>22/10/2025 17:45</t>
  </si>
  <si>
    <t>22/10/2025 18:00</t>
  </si>
  <si>
    <t>22/10/2025 18:15</t>
  </si>
  <si>
    <t>22/10/2025 18:30</t>
  </si>
  <si>
    <t>22/10/2025 18:45</t>
  </si>
  <si>
    <t>22/10/2025 19:00</t>
  </si>
  <si>
    <t>22/10/2025 19:15</t>
  </si>
  <si>
    <t>22/10/2025 19:30</t>
  </si>
  <si>
    <t>22/10/2025 19:45</t>
  </si>
  <si>
    <t>22/10/2025 20:00</t>
  </si>
  <si>
    <t>22/10/2025 20:15</t>
  </si>
  <si>
    <t>22/10/2025 20:30</t>
  </si>
  <si>
    <t>22/10/2025 20:45</t>
  </si>
  <si>
    <t>22/10/2025 21:00</t>
  </si>
  <si>
    <t>22/10/2025 21:15</t>
  </si>
  <si>
    <t>22/10/2025 21:30</t>
  </si>
  <si>
    <t>22/10/2025 21:45</t>
  </si>
  <si>
    <t>22/10/2025 22:00</t>
  </si>
  <si>
    <t>22/10/2025 22:15</t>
  </si>
  <si>
    <t>22/10/2025 22:30</t>
  </si>
  <si>
    <t>22/10/2025 22:45</t>
  </si>
  <si>
    <t>22/10/2025 23:00</t>
  </si>
  <si>
    <t>22/10/2025 23:15</t>
  </si>
  <si>
    <t>22/10/2025 23:30</t>
  </si>
  <si>
    <t>22/10/2025 23:45</t>
  </si>
  <si>
    <t>22/10/2025 24:00</t>
  </si>
  <si>
    <t>23/10/2025 00:15</t>
  </si>
  <si>
    <t>23/10/2025 00:30</t>
  </si>
  <si>
    <t>23/10/2025 00:45</t>
  </si>
  <si>
    <t>23/10/2025 01:00</t>
  </si>
  <si>
    <t>23/10/2025 01:15</t>
  </si>
  <si>
    <t>23/10/2025 01:30</t>
  </si>
  <si>
    <t>23/10/2025 01:45</t>
  </si>
  <si>
    <t>23/10/2025 02:00</t>
  </si>
  <si>
    <t>23/10/2025 02:15</t>
  </si>
  <si>
    <t>23/10/2025 02:30</t>
  </si>
  <si>
    <t>23/10/2025 02:45</t>
  </si>
  <si>
    <t>23/10/2025 03:00</t>
  </si>
  <si>
    <t>23/10/2025 03:15</t>
  </si>
  <si>
    <t>23/10/2025 03:30</t>
  </si>
  <si>
    <t>23/10/2025 03:45</t>
  </si>
  <si>
    <t>23/10/2025 04:00</t>
  </si>
  <si>
    <t>23/10/2025 04:15</t>
  </si>
  <si>
    <t>23/10/2025 04:30</t>
  </si>
  <si>
    <t>23/10/2025 04:45</t>
  </si>
  <si>
    <t>23/10/2025 05:00</t>
  </si>
  <si>
    <t>23/10/2025 05:15</t>
  </si>
  <si>
    <t>23/10/2025 05:30</t>
  </si>
  <si>
    <t>23/10/2025 05:45</t>
  </si>
  <si>
    <t>23/10/2025 06:00</t>
  </si>
  <si>
    <t>23/10/2025 06:15</t>
  </si>
  <si>
    <t>23/10/2025 06:30</t>
  </si>
  <si>
    <t>23/10/2025 06:45</t>
  </si>
  <si>
    <t>23/10/2025 07:00</t>
  </si>
  <si>
    <t>23/10/2025 07:15</t>
  </si>
  <si>
    <t>23/10/2025 07:30</t>
  </si>
  <si>
    <t>23/10/2025 07:45</t>
  </si>
  <si>
    <t>23/10/2025 08:00</t>
  </si>
  <si>
    <t>23/10/2025 08:15</t>
  </si>
  <si>
    <t>23/10/2025 08:30</t>
  </si>
  <si>
    <t>23/10/2025 08:45</t>
  </si>
  <si>
    <t>23/10/2025 09:00</t>
  </si>
  <si>
    <t>23/10/2025 09:15</t>
  </si>
  <si>
    <t>23/10/2025 09:30</t>
  </si>
  <si>
    <t>23/10/2025 09:45</t>
  </si>
  <si>
    <t>23/10/2025 10:00</t>
  </si>
  <si>
    <t>23/10/2025 10:15</t>
  </si>
  <si>
    <t>23/10/2025 10:30</t>
  </si>
  <si>
    <t>23/10/2025 10:45</t>
  </si>
  <si>
    <t>23/10/2025 11:00</t>
  </si>
  <si>
    <t>23/10/2025 11:15</t>
  </si>
  <si>
    <t>23/10/2025 11:30</t>
  </si>
  <si>
    <t>23/10/2025 11:45</t>
  </si>
  <si>
    <t>23/10/2025 12:00</t>
  </si>
  <si>
    <t>23/10/2025 12:15</t>
  </si>
  <si>
    <t>23/10/2025 12:30</t>
  </si>
  <si>
    <t>23/10/2025 12:45</t>
  </si>
  <si>
    <t>23/10/2025 13:00</t>
  </si>
  <si>
    <t>23/10/2025 13:15</t>
  </si>
  <si>
    <t>23/10/2025 13:30</t>
  </si>
  <si>
    <t>23/10/2025 13:45</t>
  </si>
  <si>
    <t>23/10/2025 14:00</t>
  </si>
  <si>
    <t>23/10/2025 14:15</t>
  </si>
  <si>
    <t>23/10/2025 14:30</t>
  </si>
  <si>
    <t>23/10/2025 14:45</t>
  </si>
  <si>
    <t>23/10/2025 15:00</t>
  </si>
  <si>
    <t>23/10/2025 15:15</t>
  </si>
  <si>
    <t>23/10/2025 15:30</t>
  </si>
  <si>
    <t>23/10/2025 15:45</t>
  </si>
  <si>
    <t>23/10/2025 16:00</t>
  </si>
  <si>
    <t>23/10/2025 16:15</t>
  </si>
  <si>
    <t>23/10/2025 16:30</t>
  </si>
  <si>
    <t>23/10/2025 16:45</t>
  </si>
  <si>
    <t>23/10/2025 17:00</t>
  </si>
  <si>
    <t>23/10/2025 17:15</t>
  </si>
  <si>
    <t>23/10/2025 17:30</t>
  </si>
  <si>
    <t>23/10/2025 17:45</t>
  </si>
  <si>
    <t>23/10/2025 18:00</t>
  </si>
  <si>
    <t>23/10/2025 18:15</t>
  </si>
  <si>
    <t>23/10/2025 18:30</t>
  </si>
  <si>
    <t>23/10/2025 18:45</t>
  </si>
  <si>
    <t>23/10/2025 19:00</t>
  </si>
  <si>
    <t>23/10/2025 19:15</t>
  </si>
  <si>
    <t>23/10/2025 19:30</t>
  </si>
  <si>
    <t>23/10/2025 19:45</t>
  </si>
  <si>
    <t>23/10/2025 20:00</t>
  </si>
  <si>
    <t>23/10/2025 20:15</t>
  </si>
  <si>
    <t>23/10/2025 20:30</t>
  </si>
  <si>
    <t>23/10/2025 20:45</t>
  </si>
  <si>
    <t>23/10/2025 21:00</t>
  </si>
  <si>
    <t>23/10/2025 21:15</t>
  </si>
  <si>
    <t>23/10/2025 21:30</t>
  </si>
  <si>
    <t>23/10/2025 21:45</t>
  </si>
  <si>
    <t>23/10/2025 22:00</t>
  </si>
  <si>
    <t>23/10/2025 22:15</t>
  </si>
  <si>
    <t>23/10/2025 22:30</t>
  </si>
  <si>
    <t>23/10/2025 22:45</t>
  </si>
  <si>
    <t>23/10/2025 23:00</t>
  </si>
  <si>
    <t>23/10/2025 23:15</t>
  </si>
  <si>
    <t>23/10/2025 23:30</t>
  </si>
  <si>
    <t>23/10/2025 23:45</t>
  </si>
  <si>
    <t>23/10/2025 24:00</t>
  </si>
  <si>
    <t>24/10/2025 00:15</t>
  </si>
  <si>
    <t>24/10/2025 00:30</t>
  </si>
  <si>
    <t>24/10/2025 00:45</t>
  </si>
  <si>
    <t>24/10/2025 01:00</t>
  </si>
  <si>
    <t>24/10/2025 01:15</t>
  </si>
  <si>
    <t>24/10/2025 01:30</t>
  </si>
  <si>
    <t>24/10/2025 01:45</t>
  </si>
  <si>
    <t>24/10/2025 02:00</t>
  </si>
  <si>
    <t>24/10/2025 02:15</t>
  </si>
  <si>
    <t>24/10/2025 02:30</t>
  </si>
  <si>
    <t>24/10/2025 02:45</t>
  </si>
  <si>
    <t>24/10/2025 03:00</t>
  </si>
  <si>
    <t>24/10/2025 03:15</t>
  </si>
  <si>
    <t>24/10/2025 03:30</t>
  </si>
  <si>
    <t>24/10/2025 03:45</t>
  </si>
  <si>
    <t>24/10/2025 04:00</t>
  </si>
  <si>
    <t>24/10/2025 04:15</t>
  </si>
  <si>
    <t>24/10/2025 04:30</t>
  </si>
  <si>
    <t>24/10/2025 04:45</t>
  </si>
  <si>
    <t>24/10/2025 05:00</t>
  </si>
  <si>
    <t>24/10/2025 05:15</t>
  </si>
  <si>
    <t>24/10/2025 05:30</t>
  </si>
  <si>
    <t>24/10/2025 05:45</t>
  </si>
  <si>
    <t>24/10/2025 06:00</t>
  </si>
  <si>
    <t>24/10/2025 06:15</t>
  </si>
  <si>
    <t>24/10/2025 06:30</t>
  </si>
  <si>
    <t>24/10/2025 06:45</t>
  </si>
  <si>
    <t>24/10/2025 07:00</t>
  </si>
  <si>
    <t>24/10/2025 07:15</t>
  </si>
  <si>
    <t>24/10/2025 07:30</t>
  </si>
  <si>
    <t>24/10/2025 07:45</t>
  </si>
  <si>
    <t>24/10/2025 08:00</t>
  </si>
  <si>
    <t>24/10/2025 08:15</t>
  </si>
  <si>
    <t>24/10/2025 08:30</t>
  </si>
  <si>
    <t>24/10/2025 08:45</t>
  </si>
  <si>
    <t>24/10/2025 09:00</t>
  </si>
  <si>
    <t>24/10/2025 09:15</t>
  </si>
  <si>
    <t>24/10/2025 09:30</t>
  </si>
  <si>
    <t>24/10/2025 09:45</t>
  </si>
  <si>
    <t>24/10/2025 10:00</t>
  </si>
  <si>
    <t>24/10/2025 10:15</t>
  </si>
  <si>
    <t>24/10/2025 10:30</t>
  </si>
  <si>
    <t>24/10/2025 10:45</t>
  </si>
  <si>
    <t>24/10/2025 11:00</t>
  </si>
  <si>
    <t>24/10/2025 11:15</t>
  </si>
  <si>
    <t>24/10/2025 11:30</t>
  </si>
  <si>
    <t>24/10/2025 11:45</t>
  </si>
  <si>
    <t>24/10/2025 12:00</t>
  </si>
  <si>
    <t>24/10/2025 12:15</t>
  </si>
  <si>
    <t>24/10/2025 12:30</t>
  </si>
  <si>
    <t>24/10/2025 12:45</t>
  </si>
  <si>
    <t>24/10/2025 13:00</t>
  </si>
  <si>
    <t>24/10/2025 13:15</t>
  </si>
  <si>
    <t>24/10/2025 13:30</t>
  </si>
  <si>
    <t>24/10/2025 13:45</t>
  </si>
  <si>
    <t>24/10/2025 14:00</t>
  </si>
  <si>
    <t>24/10/2025 14:15</t>
  </si>
  <si>
    <t>24/10/2025 14:30</t>
  </si>
  <si>
    <t>24/10/2025 14:45</t>
  </si>
  <si>
    <t>24/10/2025 15:00</t>
  </si>
  <si>
    <t>24/10/2025 15:15</t>
  </si>
  <si>
    <t>24/10/2025 15:30</t>
  </si>
  <si>
    <t>24/10/2025 15:45</t>
  </si>
  <si>
    <t>24/10/2025 16:00</t>
  </si>
  <si>
    <t>24/10/2025 16:15</t>
  </si>
  <si>
    <t>24/10/2025 16:30</t>
  </si>
  <si>
    <t>24/10/2025 16:45</t>
  </si>
  <si>
    <t>24/10/2025 17:00</t>
  </si>
  <si>
    <t>24/10/2025 17:15</t>
  </si>
  <si>
    <t>24/10/2025 17:30</t>
  </si>
  <si>
    <t>24/10/2025 17:45</t>
  </si>
  <si>
    <t>24/10/2025 18:00</t>
  </si>
  <si>
    <t>24/10/2025 18:15</t>
  </si>
  <si>
    <t>24/10/2025 18:30</t>
  </si>
  <si>
    <t>24/10/2025 18:45</t>
  </si>
  <si>
    <t>24/10/2025 19:00</t>
  </si>
  <si>
    <t>24/10/2025 19:15</t>
  </si>
  <si>
    <t>24/10/2025 19:30</t>
  </si>
  <si>
    <t>24/10/2025 19:45</t>
  </si>
  <si>
    <t>24/10/2025 20:00</t>
  </si>
  <si>
    <t>24/10/2025 20:15</t>
  </si>
  <si>
    <t>24/10/2025 20:30</t>
  </si>
  <si>
    <t>24/10/2025 20:45</t>
  </si>
  <si>
    <t>24/10/2025 21:00</t>
  </si>
  <si>
    <t>24/10/2025 21:15</t>
  </si>
  <si>
    <t>24/10/2025 21:30</t>
  </si>
  <si>
    <t>24/10/2025 21:45</t>
  </si>
  <si>
    <t>24/10/2025 22:00</t>
  </si>
  <si>
    <t>24/10/2025 22:15</t>
  </si>
  <si>
    <t>24/10/2025 22:30</t>
  </si>
  <si>
    <t>24/10/2025 22:45</t>
  </si>
  <si>
    <t>24/10/2025 23:00</t>
  </si>
  <si>
    <t>24/10/2025 23:15</t>
  </si>
  <si>
    <t>24/10/2025 23:30</t>
  </si>
  <si>
    <t>24/10/2025 23:45</t>
  </si>
  <si>
    <t>24/10/2025 24:00</t>
  </si>
  <si>
    <t>25/10/2025 00:15</t>
  </si>
  <si>
    <t>25/10/2025 00:30</t>
  </si>
  <si>
    <t>25/10/2025 00:45</t>
  </si>
  <si>
    <t>25/10/2025 01:00</t>
  </si>
  <si>
    <t>25/10/2025 01:15</t>
  </si>
  <si>
    <t>25/10/2025 01:30</t>
  </si>
  <si>
    <t>25/10/2025 01:45</t>
  </si>
  <si>
    <t>25/10/2025 02:00</t>
  </si>
  <si>
    <t>25/10/2025 02:15</t>
  </si>
  <si>
    <t>25/10/2025 02:30</t>
  </si>
  <si>
    <t>25/10/2025 02:45</t>
  </si>
  <si>
    <t>25/10/2025 03:00</t>
  </si>
  <si>
    <t>25/10/2025 03:15</t>
  </si>
  <si>
    <t>25/10/2025 03:30</t>
  </si>
  <si>
    <t>25/10/2025 03:45</t>
  </si>
  <si>
    <t>25/10/2025 04:00</t>
  </si>
  <si>
    <t>25/10/2025 04:15</t>
  </si>
  <si>
    <t>25/10/2025 04:30</t>
  </si>
  <si>
    <t>25/10/2025 04:45</t>
  </si>
  <si>
    <t>25/10/2025 05:00</t>
  </si>
  <si>
    <t>25/10/2025 05:15</t>
  </si>
  <si>
    <t>25/10/2025 05:30</t>
  </si>
  <si>
    <t>25/10/2025 05:45</t>
  </si>
  <si>
    <t>25/10/2025 06:00</t>
  </si>
  <si>
    <t>25/10/2025 06:15</t>
  </si>
  <si>
    <t>25/10/2025 06:30</t>
  </si>
  <si>
    <t>25/10/2025 06:45</t>
  </si>
  <si>
    <t>25/10/2025 07:00</t>
  </si>
  <si>
    <t>25/10/2025 07:15</t>
  </si>
  <si>
    <t>25/10/2025 07:30</t>
  </si>
  <si>
    <t>25/10/2025 07:45</t>
  </si>
  <si>
    <t>25/10/2025 08:00</t>
  </si>
  <si>
    <t>25/10/2025 08:15</t>
  </si>
  <si>
    <t>25/10/2025 08:30</t>
  </si>
  <si>
    <t>25/10/2025 08:45</t>
  </si>
  <si>
    <t>25/10/2025 09:00</t>
  </si>
  <si>
    <t>25/10/2025 09:15</t>
  </si>
  <si>
    <t>25/10/2025 09:30</t>
  </si>
  <si>
    <t>25/10/2025 09:45</t>
  </si>
  <si>
    <t>25/10/2025 10:00</t>
  </si>
  <si>
    <t>25/10/2025 10:15</t>
  </si>
  <si>
    <t>25/10/2025 10:30</t>
  </si>
  <si>
    <t>25/10/2025 10:45</t>
  </si>
  <si>
    <t>25/10/2025 11:00</t>
  </si>
  <si>
    <t>25/10/2025 11:15</t>
  </si>
  <si>
    <t>25/10/2025 11:30</t>
  </si>
  <si>
    <t>25/10/2025 11:45</t>
  </si>
  <si>
    <t>25/10/2025 12:00</t>
  </si>
  <si>
    <t>25/10/2025 12:15</t>
  </si>
  <si>
    <t>25/10/2025 12:30</t>
  </si>
  <si>
    <t>25/10/2025 12:45</t>
  </si>
  <si>
    <t>25/10/2025 13:00</t>
  </si>
  <si>
    <t>25/10/2025 13:15</t>
  </si>
  <si>
    <t>25/10/2025 13:30</t>
  </si>
  <si>
    <t>25/10/2025 13:45</t>
  </si>
  <si>
    <t>25/10/2025 14:00</t>
  </si>
  <si>
    <t>25/10/2025 14:15</t>
  </si>
  <si>
    <t>25/10/2025 14:30</t>
  </si>
  <si>
    <t>25/10/2025 14:45</t>
  </si>
  <si>
    <t>25/10/2025 15:00</t>
  </si>
  <si>
    <t>25/10/2025 15:15</t>
  </si>
  <si>
    <t>25/10/2025 15:30</t>
  </si>
  <si>
    <t>25/10/2025 15:45</t>
  </si>
  <si>
    <t>25/10/2025 16:00</t>
  </si>
  <si>
    <t>25/10/2025 16:15</t>
  </si>
  <si>
    <t>25/10/2025 16:30</t>
  </si>
  <si>
    <t>25/10/2025 16:45</t>
  </si>
  <si>
    <t>25/10/2025 17:00</t>
  </si>
  <si>
    <t>25/10/2025 17:15</t>
  </si>
  <si>
    <t>25/10/2025 17:30</t>
  </si>
  <si>
    <t>25/10/2025 17:45</t>
  </si>
  <si>
    <t>25/10/2025 18:00</t>
  </si>
  <si>
    <t>25/10/2025 18:15</t>
  </si>
  <si>
    <t>25/10/2025 18:30</t>
  </si>
  <si>
    <t>25/10/2025 18:45</t>
  </si>
  <si>
    <t>25/10/2025 19:00</t>
  </si>
  <si>
    <t>25/10/2025 19:15</t>
  </si>
  <si>
    <t>25/10/2025 19:30</t>
  </si>
  <si>
    <t>25/10/2025 19:45</t>
  </si>
  <si>
    <t>25/10/2025 20:00</t>
  </si>
  <si>
    <t>25/10/2025 20:15</t>
  </si>
  <si>
    <t>25/10/2025 20:30</t>
  </si>
  <si>
    <t>25/10/2025 20:45</t>
  </si>
  <si>
    <t>25/10/2025 21:00</t>
  </si>
  <si>
    <t>25/10/2025 21:15</t>
  </si>
  <si>
    <t>25/10/2025 21:30</t>
  </si>
  <si>
    <t>25/10/2025 21:45</t>
  </si>
  <si>
    <t>25/10/2025 22:00</t>
  </si>
  <si>
    <t>25/10/2025 22:15</t>
  </si>
  <si>
    <t>25/10/2025 22:30</t>
  </si>
  <si>
    <t>25/10/2025 22:45</t>
  </si>
  <si>
    <t>25/10/2025 23:00</t>
  </si>
  <si>
    <t>25/10/2025 23:15</t>
  </si>
  <si>
    <t>25/10/2025 23:30</t>
  </si>
  <si>
    <t>25/10/2025 23:45</t>
  </si>
  <si>
    <t>25/10/2025 24:00</t>
  </si>
  <si>
    <t>26/10/2025 00:15</t>
  </si>
  <si>
    <t>26/10/2025 00:30</t>
  </si>
  <si>
    <t>26/10/2025 00:45</t>
  </si>
  <si>
    <t>26/10/2025 01:00</t>
  </si>
  <si>
    <t>26/10/2025 01:15</t>
  </si>
  <si>
    <t>26/10/2025 01:30</t>
  </si>
  <si>
    <t>26/10/2025 01:45</t>
  </si>
  <si>
    <t>26/10/2025 02:00</t>
  </si>
  <si>
    <t>26/10/2025 02:15</t>
  </si>
  <si>
    <t>26/10/2025 02:30</t>
  </si>
  <si>
    <t>26/10/2025 02:45</t>
  </si>
  <si>
    <t>26/10/2025 03:00</t>
  </si>
  <si>
    <t>26/10/2025 03:15</t>
  </si>
  <si>
    <t>26/10/2025 03:30</t>
  </si>
  <si>
    <t>26/10/2025 03:45</t>
  </si>
  <si>
    <t>26/10/2025 04:00</t>
  </si>
  <si>
    <t>26/10/2025 04:15</t>
  </si>
  <si>
    <t>26/10/2025 04:30</t>
  </si>
  <si>
    <t>26/10/2025 04:45</t>
  </si>
  <si>
    <t>26/10/2025 05:00</t>
  </si>
  <si>
    <t>26/10/2025 05:15</t>
  </si>
  <si>
    <t>26/10/2025 05:30</t>
  </si>
  <si>
    <t>26/10/2025 05:45</t>
  </si>
  <si>
    <t>26/10/2025 06:00</t>
  </si>
  <si>
    <t>26/10/2025 06:15</t>
  </si>
  <si>
    <t>26/10/2025 06:30</t>
  </si>
  <si>
    <t>26/10/2025 06:45</t>
  </si>
  <si>
    <t>26/10/2025 07:00</t>
  </si>
  <si>
    <t>26/10/2025 07:15</t>
  </si>
  <si>
    <t>26/10/2025 07:30</t>
  </si>
  <si>
    <t>26/10/2025 07:45</t>
  </si>
  <si>
    <t>26/10/2025 08:00</t>
  </si>
  <si>
    <t>26/10/2025 08:15</t>
  </si>
  <si>
    <t>26/10/2025 08:30</t>
  </si>
  <si>
    <t>26/10/2025 08:45</t>
  </si>
  <si>
    <t>26/10/2025 09:00</t>
  </si>
  <si>
    <t>26/10/2025 09:15</t>
  </si>
  <si>
    <t>26/10/2025 09:30</t>
  </si>
  <si>
    <t>26/10/2025 09:45</t>
  </si>
  <si>
    <t>26/10/2025 10:00</t>
  </si>
  <si>
    <t>26/10/2025 10:15</t>
  </si>
  <si>
    <t>26/10/2025 10:30</t>
  </si>
  <si>
    <t>26/10/2025 10:45</t>
  </si>
  <si>
    <t>26/10/2025 11:00</t>
  </si>
  <si>
    <t>26/10/2025 11:15</t>
  </si>
  <si>
    <t>26/10/2025 11:30</t>
  </si>
  <si>
    <t>26/10/2025 11:45</t>
  </si>
  <si>
    <t>26/10/2025 12:00</t>
  </si>
  <si>
    <t>26/10/2025 12:15</t>
  </si>
  <si>
    <t>26/10/2025 12:30</t>
  </si>
  <si>
    <t>26/10/2025 12:45</t>
  </si>
  <si>
    <t>26/10/2025 13:00</t>
  </si>
  <si>
    <t>26/10/2025 13:15</t>
  </si>
  <si>
    <t>26/10/2025 13:30</t>
  </si>
  <si>
    <t>26/10/2025 13:45</t>
  </si>
  <si>
    <t>26/10/2025 14:00</t>
  </si>
  <si>
    <t>26/10/2025 14:15</t>
  </si>
  <si>
    <t>26/10/2025 14:30</t>
  </si>
  <si>
    <t>26/10/2025 14:45</t>
  </si>
  <si>
    <t>26/10/2025 15:00</t>
  </si>
  <si>
    <t>26/10/2025 15:15</t>
  </si>
  <si>
    <t>26/10/2025 15:30</t>
  </si>
  <si>
    <t>26/10/2025 15:45</t>
  </si>
  <si>
    <t>26/10/2025 16:00</t>
  </si>
  <si>
    <t>26/10/2025 16:15</t>
  </si>
  <si>
    <t>26/10/2025 16:30</t>
  </si>
  <si>
    <t>26/10/2025 16:45</t>
  </si>
  <si>
    <t>26/10/2025 17:00</t>
  </si>
  <si>
    <t>26/10/2025 17:15</t>
  </si>
  <si>
    <t>26/10/2025 17:30</t>
  </si>
  <si>
    <t>26/10/2025 17:45</t>
  </si>
  <si>
    <t>26/10/2025 18:00</t>
  </si>
  <si>
    <t>26/10/2025 18:15</t>
  </si>
  <si>
    <t>26/10/2025 18:30</t>
  </si>
  <si>
    <t>26/10/2025 18:45</t>
  </si>
  <si>
    <t>26/10/2025 19:00</t>
  </si>
  <si>
    <t>26/10/2025 19:15</t>
  </si>
  <si>
    <t>26/10/2025 19:30</t>
  </si>
  <si>
    <t>26/10/2025 19:45</t>
  </si>
  <si>
    <t>26/10/2025 20:00</t>
  </si>
  <si>
    <t>26/10/2025 20:15</t>
  </si>
  <si>
    <t>26/10/2025 20:30</t>
  </si>
  <si>
    <t>26/10/2025 20:45</t>
  </si>
  <si>
    <t>26/10/2025 21:00</t>
  </si>
  <si>
    <t>26/10/2025 21:15</t>
  </si>
  <si>
    <t>26/10/2025 21:30</t>
  </si>
  <si>
    <t>26/10/2025 21:45</t>
  </si>
  <si>
    <t>26/10/2025 22:00</t>
  </si>
  <si>
    <t>26/10/2025 22:15</t>
  </si>
  <si>
    <t>26/10/2025 22:30</t>
  </si>
  <si>
    <t>26/10/2025 22:45</t>
  </si>
  <si>
    <t>26/10/2025 23:00</t>
  </si>
  <si>
    <t>26/10/2025 23:15</t>
  </si>
  <si>
    <t>26/10/2025 23:30</t>
  </si>
  <si>
    <t>26/10/2025 23:45</t>
  </si>
  <si>
    <t>26/10/2025 24:00</t>
  </si>
  <si>
    <t>27/10/2025 00:15</t>
  </si>
  <si>
    <t>27/10/2025 00:30</t>
  </si>
  <si>
    <t>27/10/2025 00:45</t>
  </si>
  <si>
    <t>27/10/2025 01:00</t>
  </si>
  <si>
    <t>27/10/2025 01:15</t>
  </si>
  <si>
    <t>27/10/2025 01:30</t>
  </si>
  <si>
    <t>27/10/2025 01:45</t>
  </si>
  <si>
    <t>27/10/2025 02:00</t>
  </si>
  <si>
    <t>27/10/2025 02:15</t>
  </si>
  <si>
    <t>27/10/2025 02:30</t>
  </si>
  <si>
    <t>27/10/2025 02:45</t>
  </si>
  <si>
    <t>27/10/2025 03:00</t>
  </si>
  <si>
    <t>27/10/2025 03:15</t>
  </si>
  <si>
    <t>27/10/2025 03:30</t>
  </si>
  <si>
    <t>27/10/2025 03:45</t>
  </si>
  <si>
    <t>27/10/2025 04:00</t>
  </si>
  <si>
    <t>27/10/2025 04:15</t>
  </si>
  <si>
    <t>27/10/2025 04:30</t>
  </si>
  <si>
    <t>27/10/2025 04:45</t>
  </si>
  <si>
    <t>27/10/2025 05:00</t>
  </si>
  <si>
    <t>27/10/2025 05:15</t>
  </si>
  <si>
    <t>27/10/2025 05:30</t>
  </si>
  <si>
    <t>27/10/2025 05:45</t>
  </si>
  <si>
    <t>27/10/2025 06:00</t>
  </si>
  <si>
    <t>27/10/2025 06:15</t>
  </si>
  <si>
    <t>27/10/2025 06:30</t>
  </si>
  <si>
    <t>27/10/2025 06:45</t>
  </si>
  <si>
    <t>27/10/2025 07:00</t>
  </si>
  <si>
    <t>27/10/2025 07:15</t>
  </si>
  <si>
    <t>27/10/2025 07:30</t>
  </si>
  <si>
    <t>27/10/2025 07:45</t>
  </si>
  <si>
    <t>27/10/2025 08:00</t>
  </si>
  <si>
    <t>27/10/2025 08:15</t>
  </si>
  <si>
    <t>27/10/2025 08:30</t>
  </si>
  <si>
    <t>27/10/2025 08:45</t>
  </si>
  <si>
    <t>27/10/2025 09:00</t>
  </si>
  <si>
    <t>27/10/2025 09:15</t>
  </si>
  <si>
    <t>27/10/2025 09:30</t>
  </si>
  <si>
    <t>27/10/2025 09:45</t>
  </si>
  <si>
    <t>27/10/2025 10:00</t>
  </si>
  <si>
    <t>27/10/2025 10:15</t>
  </si>
  <si>
    <t>27/10/2025 10:30</t>
  </si>
  <si>
    <t>27/10/2025 10:45</t>
  </si>
  <si>
    <t>27/10/2025 11:00</t>
  </si>
  <si>
    <t>27/10/2025 11:15</t>
  </si>
  <si>
    <t>27/10/2025 11:30</t>
  </si>
  <si>
    <t>27/10/2025 11:45</t>
  </si>
  <si>
    <t>27/10/2025 12:00</t>
  </si>
  <si>
    <t>27/10/2025 12:15</t>
  </si>
  <si>
    <t>27/10/2025 12:30</t>
  </si>
  <si>
    <t>27/10/2025 12:45</t>
  </si>
  <si>
    <t>27/10/2025 13:00</t>
  </si>
  <si>
    <t>27/10/2025 13:15</t>
  </si>
  <si>
    <t>27/10/2025 13:30</t>
  </si>
  <si>
    <t>27/10/2025 13:45</t>
  </si>
  <si>
    <t>27/10/2025 14:00</t>
  </si>
  <si>
    <t>27/10/2025 14:15</t>
  </si>
  <si>
    <t>27/10/2025 14:30</t>
  </si>
  <si>
    <t>27/10/2025 14:45</t>
  </si>
  <si>
    <t>27/10/2025 15:00</t>
  </si>
  <si>
    <t>27/10/2025 15:15</t>
  </si>
  <si>
    <t>27/10/2025 15:30</t>
  </si>
  <si>
    <t>27/10/2025 15:45</t>
  </si>
  <si>
    <t>27/10/2025 16:00</t>
  </si>
  <si>
    <t>27/10/2025 16:15</t>
  </si>
  <si>
    <t>27/10/2025 16:30</t>
  </si>
  <si>
    <t>27/10/2025 16:45</t>
  </si>
  <si>
    <t>27/10/2025 17:00</t>
  </si>
  <si>
    <t>27/10/2025 17:15</t>
  </si>
  <si>
    <t>27/10/2025 17:30</t>
  </si>
  <si>
    <t>27/10/2025 17:45</t>
  </si>
  <si>
    <t>27/10/2025 18:00</t>
  </si>
  <si>
    <t>27/10/2025 18:15</t>
  </si>
  <si>
    <t>27/10/2025 18:30</t>
  </si>
  <si>
    <t>27/10/2025 18:45</t>
  </si>
  <si>
    <t>27/10/2025 19:00</t>
  </si>
  <si>
    <t>27/10/2025 19:15</t>
  </si>
  <si>
    <t>27/10/2025 19:30</t>
  </si>
  <si>
    <t>27/10/2025 19:45</t>
  </si>
  <si>
    <t>27/10/2025 20:00</t>
  </si>
  <si>
    <t>27/10/2025 20:15</t>
  </si>
  <si>
    <t>27/10/2025 20:30</t>
  </si>
  <si>
    <t>27/10/2025 20:45</t>
  </si>
  <si>
    <t>27/10/2025 21:00</t>
  </si>
  <si>
    <t>27/10/2025 21:15</t>
  </si>
  <si>
    <t>27/10/2025 21:30</t>
  </si>
  <si>
    <t>27/10/2025 21:45</t>
  </si>
  <si>
    <t>27/10/2025 22:00</t>
  </si>
  <si>
    <t>27/10/2025 22:15</t>
  </si>
  <si>
    <t>27/10/2025 22:30</t>
  </si>
  <si>
    <t>27/10/2025 22:45</t>
  </si>
  <si>
    <t>27/10/2025 23:00</t>
  </si>
  <si>
    <t>27/10/2025 23:15</t>
  </si>
  <si>
    <t>27/10/2025 23:30</t>
  </si>
  <si>
    <t>27/10/2025 23:45</t>
  </si>
  <si>
    <t>27/10/2025 24:00</t>
  </si>
  <si>
    <t>28/10/2025 00:15</t>
  </si>
  <si>
    <t>28/10/2025 00:30</t>
  </si>
  <si>
    <t>28/10/2025 00:45</t>
  </si>
  <si>
    <t>28/10/2025 01:00</t>
  </si>
  <si>
    <t>28/10/2025 01:15</t>
  </si>
  <si>
    <t>28/10/2025 01:30</t>
  </si>
  <si>
    <t>28/10/2025 01:45</t>
  </si>
  <si>
    <t>28/10/2025 02:00</t>
  </si>
  <si>
    <t>28/10/2025 02:15</t>
  </si>
  <si>
    <t>28/10/2025 02:30</t>
  </si>
  <si>
    <t>28/10/2025 02:45</t>
  </si>
  <si>
    <t>28/10/2025 03:00</t>
  </si>
  <si>
    <t>28/10/2025 03:15</t>
  </si>
  <si>
    <t>28/10/2025 03:30</t>
  </si>
  <si>
    <t>28/10/2025 03:45</t>
  </si>
  <si>
    <t>28/10/2025 04:00</t>
  </si>
  <si>
    <t>28/10/2025 04:15</t>
  </si>
  <si>
    <t>28/10/2025 04:30</t>
  </si>
  <si>
    <t>28/10/2025 04:45</t>
  </si>
  <si>
    <t>28/10/2025 05:00</t>
  </si>
  <si>
    <t>28/10/2025 05:15</t>
  </si>
  <si>
    <t>28/10/2025 05:30</t>
  </si>
  <si>
    <t>28/10/2025 05:45</t>
  </si>
  <si>
    <t>28/10/2025 06:00</t>
  </si>
  <si>
    <t>28/10/2025 06:15</t>
  </si>
  <si>
    <t>28/10/2025 06:30</t>
  </si>
  <si>
    <t>28/10/2025 06:45</t>
  </si>
  <si>
    <t>28/10/2025 07:00</t>
  </si>
  <si>
    <t>28/10/2025 07:15</t>
  </si>
  <si>
    <t>28/10/2025 07:30</t>
  </si>
  <si>
    <t>28/10/2025 07:45</t>
  </si>
  <si>
    <t>28/10/2025 08:00</t>
  </si>
  <si>
    <t>28/10/2025 08:15</t>
  </si>
  <si>
    <t>28/10/2025 08:30</t>
  </si>
  <si>
    <t>28/10/2025 08:45</t>
  </si>
  <si>
    <t>28/10/2025 09:00</t>
  </si>
  <si>
    <t>28/10/2025 09:15</t>
  </si>
  <si>
    <t>28/10/2025 09:30</t>
  </si>
  <si>
    <t>28/10/2025 09:45</t>
  </si>
  <si>
    <t>28/10/2025 10:00</t>
  </si>
  <si>
    <t>28/10/2025 10:15</t>
  </si>
  <si>
    <t>28/10/2025 10:30</t>
  </si>
  <si>
    <t>28/10/2025 10:45</t>
  </si>
  <si>
    <t>28/10/2025 11:00</t>
  </si>
  <si>
    <t>28/10/2025 11:15</t>
  </si>
  <si>
    <t>28/10/2025 11:30</t>
  </si>
  <si>
    <t>28/10/2025 11:45</t>
  </si>
  <si>
    <t>28/10/2025 12:00</t>
  </si>
  <si>
    <t>28/10/2025 12:15</t>
  </si>
  <si>
    <t>28/10/2025 12:30</t>
  </si>
  <si>
    <t>28/10/2025 12:45</t>
  </si>
  <si>
    <t>28/10/2025 13:00</t>
  </si>
  <si>
    <t>28/10/2025 13:15</t>
  </si>
  <si>
    <t>28/10/2025 13:30</t>
  </si>
  <si>
    <t>28/10/2025 13:45</t>
  </si>
  <si>
    <t>28/10/2025 14:00</t>
  </si>
  <si>
    <t>28/10/2025 14:15</t>
  </si>
  <si>
    <t>28/10/2025 14:30</t>
  </si>
  <si>
    <t>28/10/2025 14:45</t>
  </si>
  <si>
    <t>28/10/2025 15:00</t>
  </si>
  <si>
    <t>28/10/2025 15:15</t>
  </si>
  <si>
    <t>28/10/2025 15:30</t>
  </si>
  <si>
    <t>28/10/2025 15:45</t>
  </si>
  <si>
    <t>28/10/2025 16:00</t>
  </si>
  <si>
    <t>28/10/2025 16:15</t>
  </si>
  <si>
    <t>28/10/2025 16:30</t>
  </si>
  <si>
    <t>28/10/2025 16:45</t>
  </si>
  <si>
    <t>28/10/2025 17:00</t>
  </si>
  <si>
    <t>28/10/2025 17:15</t>
  </si>
  <si>
    <t>28/10/2025 17:30</t>
  </si>
  <si>
    <t>28/10/2025 17:45</t>
  </si>
  <si>
    <t>28/10/2025 18:00</t>
  </si>
  <si>
    <t>28/10/2025 18:15</t>
  </si>
  <si>
    <t>28/10/2025 18:30</t>
  </si>
  <si>
    <t>28/10/2025 18:45</t>
  </si>
  <si>
    <t>28/10/2025 19:00</t>
  </si>
  <si>
    <t>28/10/2025 19:15</t>
  </si>
  <si>
    <t>28/10/2025 19:30</t>
  </si>
  <si>
    <t>28/10/2025 19:45</t>
  </si>
  <si>
    <t>28/10/2025 20:00</t>
  </si>
  <si>
    <t>28/10/2025 20:15</t>
  </si>
  <si>
    <t>28/10/2025 20:30</t>
  </si>
  <si>
    <t>28/10/2025 20:45</t>
  </si>
  <si>
    <t>28/10/2025 21:00</t>
  </si>
  <si>
    <t>28/10/2025 21:15</t>
  </si>
  <si>
    <t>28/10/2025 21:30</t>
  </si>
  <si>
    <t>28/10/2025 21:45</t>
  </si>
  <si>
    <t>28/10/2025 22:00</t>
  </si>
  <si>
    <t>28/10/2025 22:15</t>
  </si>
  <si>
    <t>28/10/2025 22:30</t>
  </si>
  <si>
    <t>28/10/2025 22:45</t>
  </si>
  <si>
    <t>28/10/2025 23:00</t>
  </si>
  <si>
    <t>28/10/2025 23:15</t>
  </si>
  <si>
    <t>28/10/2025 23:30</t>
  </si>
  <si>
    <t>28/10/2025 23:45</t>
  </si>
  <si>
    <t>28/10/2025 24:00</t>
  </si>
  <si>
    <t>29/10/2025 00:15</t>
  </si>
  <si>
    <t>29/10/2025 00:30</t>
  </si>
  <si>
    <t>29/10/2025 00:45</t>
  </si>
  <si>
    <t>29/10/2025 01:00</t>
  </si>
  <si>
    <t>29/10/2025 01:15</t>
  </si>
  <si>
    <t>29/10/2025 01:30</t>
  </si>
  <si>
    <t>29/10/2025 01:45</t>
  </si>
  <si>
    <t>29/10/2025 02:00</t>
  </si>
  <si>
    <t>29/10/2025 02:15</t>
  </si>
  <si>
    <t>29/10/2025 02:30</t>
  </si>
  <si>
    <t>29/10/2025 02:45</t>
  </si>
  <si>
    <t>29/10/2025 03:00</t>
  </si>
  <si>
    <t>29/10/2025 03:15</t>
  </si>
  <si>
    <t>29/10/2025 03:30</t>
  </si>
  <si>
    <t>29/10/2025 03:45</t>
  </si>
  <si>
    <t>29/10/2025 04:00</t>
  </si>
  <si>
    <t>29/10/2025 04:15</t>
  </si>
  <si>
    <t>29/10/2025 04:30</t>
  </si>
  <si>
    <t>29/10/2025 04:45</t>
  </si>
  <si>
    <t>29/10/2025 05:00</t>
  </si>
  <si>
    <t>29/10/2025 05:15</t>
  </si>
  <si>
    <t>29/10/2025 05:30</t>
  </si>
  <si>
    <t>29/10/2025 05:45</t>
  </si>
  <si>
    <t>29/10/2025 06:00</t>
  </si>
  <si>
    <t>29/10/2025 06:15</t>
  </si>
  <si>
    <t>29/10/2025 06:30</t>
  </si>
  <si>
    <t>29/10/2025 06:45</t>
  </si>
  <si>
    <t>29/10/2025 07:00</t>
  </si>
  <si>
    <t>29/10/2025 07:15</t>
  </si>
  <si>
    <t>29/10/2025 07:30</t>
  </si>
  <si>
    <t>29/10/2025 07:45</t>
  </si>
  <si>
    <t>29/10/2025 08:00</t>
  </si>
  <si>
    <t>29/10/2025 08:15</t>
  </si>
  <si>
    <t>29/10/2025 08:30</t>
  </si>
  <si>
    <t>29/10/2025 08:45</t>
  </si>
  <si>
    <t>29/10/2025 09:00</t>
  </si>
  <si>
    <t>29/10/2025 09:15</t>
  </si>
  <si>
    <t>29/10/2025 09:30</t>
  </si>
  <si>
    <t>29/10/2025 09:45</t>
  </si>
  <si>
    <t>29/10/2025 10:00</t>
  </si>
  <si>
    <t>29/10/2025 10:15</t>
  </si>
  <si>
    <t>29/10/2025 10:30</t>
  </si>
  <si>
    <t>29/10/2025 10:45</t>
  </si>
  <si>
    <t>29/10/2025 11:00</t>
  </si>
  <si>
    <t>29/10/2025 11:15</t>
  </si>
  <si>
    <t>29/10/2025 11:30</t>
  </si>
  <si>
    <t>29/10/2025 11:45</t>
  </si>
  <si>
    <t>29/10/2025 12:00</t>
  </si>
  <si>
    <t>29/10/2025 12:15</t>
  </si>
  <si>
    <t>29/10/2025 12:30</t>
  </si>
  <si>
    <t>29/10/2025 12:45</t>
  </si>
  <si>
    <t>29/10/2025 13:00</t>
  </si>
  <si>
    <t>29/10/2025 13:15</t>
  </si>
  <si>
    <t>29/10/2025 13:30</t>
  </si>
  <si>
    <t>29/10/2025 13:45</t>
  </si>
  <si>
    <t>29/10/2025 14:00</t>
  </si>
  <si>
    <t>29/10/2025 14:15</t>
  </si>
  <si>
    <t>29/10/2025 14:30</t>
  </si>
  <si>
    <t>29/10/2025 14:45</t>
  </si>
  <si>
    <t>29/10/2025 15:00</t>
  </si>
  <si>
    <t>29/10/2025 15:15</t>
  </si>
  <si>
    <t>29/10/2025 15:30</t>
  </si>
  <si>
    <t>29/10/2025 15:45</t>
  </si>
  <si>
    <t>29/10/2025 16:00</t>
  </si>
  <si>
    <t>29/10/2025 16:15</t>
  </si>
  <si>
    <t>29/10/2025 16:30</t>
  </si>
  <si>
    <t>29/10/2025 16:45</t>
  </si>
  <si>
    <t>29/10/2025 17:00</t>
  </si>
  <si>
    <t>29/10/2025 17:15</t>
  </si>
  <si>
    <t>29/10/2025 17:30</t>
  </si>
  <si>
    <t>29/10/2025 17:45</t>
  </si>
  <si>
    <t>29/10/2025 18:00</t>
  </si>
  <si>
    <t>29/10/2025 18:15</t>
  </si>
  <si>
    <t>29/10/2025 18:30</t>
  </si>
  <si>
    <t>29/10/2025 18:45</t>
  </si>
  <si>
    <t>29/10/2025 19:00</t>
  </si>
  <si>
    <t>29/10/2025 19:15</t>
  </si>
  <si>
    <t>29/10/2025 19:30</t>
  </si>
  <si>
    <t>29/10/2025 19:45</t>
  </si>
  <si>
    <t>29/10/2025 20:00</t>
  </si>
  <si>
    <t>29/10/2025 20:15</t>
  </si>
  <si>
    <t>29/10/2025 20:30</t>
  </si>
  <si>
    <t>29/10/2025 20:45</t>
  </si>
  <si>
    <t>29/10/2025 21:00</t>
  </si>
  <si>
    <t>29/10/2025 21:15</t>
  </si>
  <si>
    <t>29/10/2025 21:30</t>
  </si>
  <si>
    <t>29/10/2025 21:45</t>
  </si>
  <si>
    <t>29/10/2025 22:00</t>
  </si>
  <si>
    <t>29/10/2025 22:15</t>
  </si>
  <si>
    <t>29/10/2025 22:30</t>
  </si>
  <si>
    <t>29/10/2025 22:45</t>
  </si>
  <si>
    <t>29/10/2025 23:00</t>
  </si>
  <si>
    <t>29/10/2025 23:15</t>
  </si>
  <si>
    <t>29/10/2025 23:30</t>
  </si>
  <si>
    <t>29/10/2025 23:45</t>
  </si>
  <si>
    <t>29/10/2025 24:00</t>
  </si>
  <si>
    <t>30/10/2025 00:15</t>
  </si>
  <si>
    <t>30/10/2025 00:30</t>
  </si>
  <si>
    <t>30/10/2025 00:45</t>
  </si>
  <si>
    <t>30/10/2025 01:00</t>
  </si>
  <si>
    <t>30/10/2025 01:15</t>
  </si>
  <si>
    <t>30/10/2025 01:30</t>
  </si>
  <si>
    <t>30/10/2025 01:45</t>
  </si>
  <si>
    <t>30/10/2025 02:00</t>
  </si>
  <si>
    <t>30/10/2025 02:15</t>
  </si>
  <si>
    <t>30/10/2025 02:30</t>
  </si>
  <si>
    <t>30/10/2025 02:45</t>
  </si>
  <si>
    <t>30/10/2025 03:00</t>
  </si>
  <si>
    <t>30/10/2025 03:15</t>
  </si>
  <si>
    <t>30/10/2025 03:30</t>
  </si>
  <si>
    <t>30/10/2025 03:45</t>
  </si>
  <si>
    <t>30/10/2025 04:00</t>
  </si>
  <si>
    <t>30/10/2025 04:15</t>
  </si>
  <si>
    <t>30/10/2025 04:30</t>
  </si>
  <si>
    <t>30/10/2025 04:45</t>
  </si>
  <si>
    <t>30/10/2025 05:00</t>
  </si>
  <si>
    <t>30/10/2025 05:15</t>
  </si>
  <si>
    <t>30/10/2025 05:30</t>
  </si>
  <si>
    <t>30/10/2025 05:45</t>
  </si>
  <si>
    <t>30/10/2025 06:00</t>
  </si>
  <si>
    <t>30/10/2025 06:15</t>
  </si>
  <si>
    <t>30/10/2025 06:30</t>
  </si>
  <si>
    <t>30/10/2025 06:45</t>
  </si>
  <si>
    <t>30/10/2025 07:00</t>
  </si>
  <si>
    <t>30/10/2025 07:15</t>
  </si>
  <si>
    <t>30/10/2025 07:30</t>
  </si>
  <si>
    <t>30/10/2025 07:45</t>
  </si>
  <si>
    <t>30/10/2025 08:00</t>
  </si>
  <si>
    <t>30/10/2025 08:15</t>
  </si>
  <si>
    <t>30/10/2025 08:30</t>
  </si>
  <si>
    <t>30/10/2025 08:45</t>
  </si>
  <si>
    <t>30/10/2025 09:00</t>
  </si>
  <si>
    <t>30/10/2025 09:15</t>
  </si>
  <si>
    <t>30/10/2025 09:30</t>
  </si>
  <si>
    <t>30/10/2025 09:45</t>
  </si>
  <si>
    <t>30/10/2025 10:00</t>
  </si>
  <si>
    <t>30/10/2025 10:15</t>
  </si>
  <si>
    <t>30/10/2025 10:30</t>
  </si>
  <si>
    <t>30/10/2025 10:45</t>
  </si>
  <si>
    <t>30/10/2025 11:00</t>
  </si>
  <si>
    <t>30/10/2025 11:15</t>
  </si>
  <si>
    <t>30/10/2025 11:30</t>
  </si>
  <si>
    <t>30/10/2025 11:45</t>
  </si>
  <si>
    <t>30/10/2025 12:00</t>
  </si>
  <si>
    <t>30/10/2025 12:15</t>
  </si>
  <si>
    <t>30/10/2025 12:30</t>
  </si>
  <si>
    <t>30/10/2025 12:45</t>
  </si>
  <si>
    <t>30/10/2025 13:00</t>
  </si>
  <si>
    <t>30/10/2025 13:15</t>
  </si>
  <si>
    <t>30/10/2025 13:30</t>
  </si>
  <si>
    <t>30/10/2025 13:45</t>
  </si>
  <si>
    <t>30/10/2025 14:00</t>
  </si>
  <si>
    <t>30/10/2025 14:15</t>
  </si>
  <si>
    <t>30/10/2025 14:30</t>
  </si>
  <si>
    <t>30/10/2025 14:45</t>
  </si>
  <si>
    <t>30/10/2025 15:00</t>
  </si>
  <si>
    <t>30/10/2025 15:15</t>
  </si>
  <si>
    <t>30/10/2025 15:30</t>
  </si>
  <si>
    <t>30/10/2025 15:45</t>
  </si>
  <si>
    <t>30/10/2025 16:00</t>
  </si>
  <si>
    <t>30/10/2025 16:15</t>
  </si>
  <si>
    <t>30/10/2025 16:30</t>
  </si>
  <si>
    <t>30/10/2025 16:45</t>
  </si>
  <si>
    <t>30/10/2025 17:00</t>
  </si>
  <si>
    <t>30/10/2025 17:15</t>
  </si>
  <si>
    <t>30/10/2025 17:30</t>
  </si>
  <si>
    <t>30/10/2025 17:45</t>
  </si>
  <si>
    <t>30/10/2025 18:00</t>
  </si>
  <si>
    <t>30/10/2025 18:15</t>
  </si>
  <si>
    <t>30/10/2025 18:30</t>
  </si>
  <si>
    <t>30/10/2025 18:45</t>
  </si>
  <si>
    <t>30/10/2025 19:00</t>
  </si>
  <si>
    <t>30/10/2025 19:15</t>
  </si>
  <si>
    <t>30/10/2025 19:30</t>
  </si>
  <si>
    <t>30/10/2025 19:45</t>
  </si>
  <si>
    <t>30/10/2025 20:00</t>
  </si>
  <si>
    <t>30/10/2025 20:15</t>
  </si>
  <si>
    <t>30/10/2025 20:30</t>
  </si>
  <si>
    <t>30/10/2025 20:45</t>
  </si>
  <si>
    <t>30/10/2025 21:00</t>
  </si>
  <si>
    <t>30/10/2025 21:15</t>
  </si>
  <si>
    <t>30/10/2025 21:30</t>
  </si>
  <si>
    <t>30/10/2025 21:45</t>
  </si>
  <si>
    <t>30/10/2025 22:00</t>
  </si>
  <si>
    <t>30/10/2025 22:15</t>
  </si>
  <si>
    <t>30/10/2025 22:30</t>
  </si>
  <si>
    <t>30/10/2025 22:45</t>
  </si>
  <si>
    <t>30/10/2025 23:00</t>
  </si>
  <si>
    <t>30/10/2025 23:15</t>
  </si>
  <si>
    <t>30/10/2025 23:30</t>
  </si>
  <si>
    <t>30/10/2025 23:45</t>
  </si>
  <si>
    <t>30/10/2025 24:00</t>
  </si>
  <si>
    <t>31/10/2025 00:15</t>
  </si>
  <si>
    <t>31/10/2025 00:30</t>
  </si>
  <si>
    <t>31/10/2025 00:45</t>
  </si>
  <si>
    <t>31/10/2025 01:00</t>
  </si>
  <si>
    <t>31/10/2025 01:15</t>
  </si>
  <si>
    <t>31/10/2025 01:30</t>
  </si>
  <si>
    <t>31/10/2025 01:45</t>
  </si>
  <si>
    <t>31/10/2025 02:00</t>
  </si>
  <si>
    <t>31/10/2025 02:15</t>
  </si>
  <si>
    <t>31/10/2025 02:30</t>
  </si>
  <si>
    <t>31/10/2025 02:45</t>
  </si>
  <si>
    <t>31/10/2025 03:00</t>
  </si>
  <si>
    <t>31/10/2025 03:15</t>
  </si>
  <si>
    <t>31/10/2025 03:30</t>
  </si>
  <si>
    <t>31/10/2025 03:45</t>
  </si>
  <si>
    <t>31/10/2025 04:00</t>
  </si>
  <si>
    <t>31/10/2025 04:15</t>
  </si>
  <si>
    <t>31/10/2025 04:30</t>
  </si>
  <si>
    <t>31/10/2025 04:45</t>
  </si>
  <si>
    <t>31/10/2025 05:00</t>
  </si>
  <si>
    <t>31/10/2025 05:15</t>
  </si>
  <si>
    <t>31/10/2025 05:30</t>
  </si>
  <si>
    <t>31/10/2025 05:45</t>
  </si>
  <si>
    <t>31/10/2025 06:00</t>
  </si>
  <si>
    <t>31/10/2025 06:15</t>
  </si>
  <si>
    <t>31/10/2025 06:30</t>
  </si>
  <si>
    <t>31/10/2025 06:45</t>
  </si>
  <si>
    <t>31/10/2025 07:00</t>
  </si>
  <si>
    <t>31/10/2025 07:15</t>
  </si>
  <si>
    <t>31/10/2025 07:30</t>
  </si>
  <si>
    <t>31/10/2025 07:45</t>
  </si>
  <si>
    <t>31/10/2025 08:00</t>
  </si>
  <si>
    <t>31/10/2025 08:15</t>
  </si>
  <si>
    <t>31/10/2025 08:30</t>
  </si>
  <si>
    <t>31/10/2025 08:45</t>
  </si>
  <si>
    <t>31/10/2025 09:00</t>
  </si>
  <si>
    <t>31/10/2025 09:15</t>
  </si>
  <si>
    <t>31/10/2025 09:30</t>
  </si>
  <si>
    <t>31/10/2025 09:45</t>
  </si>
  <si>
    <t>31/10/2025 10:00</t>
  </si>
  <si>
    <t>31/10/2025 10:15</t>
  </si>
  <si>
    <t>31/10/2025 10:30</t>
  </si>
  <si>
    <t>31/10/2025 10:45</t>
  </si>
  <si>
    <t>31/10/2025 11:00</t>
  </si>
  <si>
    <t>31/10/2025 11:15</t>
  </si>
  <si>
    <t>31/10/2025 11:30</t>
  </si>
  <si>
    <t>31/10/2025 11:45</t>
  </si>
  <si>
    <t>31/10/2025 12:00</t>
  </si>
  <si>
    <t>31/10/2025 12:15</t>
  </si>
  <si>
    <t>31/10/2025 12:30</t>
  </si>
  <si>
    <t>31/10/2025 12:45</t>
  </si>
  <si>
    <t>31/10/2025 13:00</t>
  </si>
  <si>
    <t>31/10/2025 13:15</t>
  </si>
  <si>
    <t>31/10/2025 13:30</t>
  </si>
  <si>
    <t>31/10/2025 13:45</t>
  </si>
  <si>
    <t>31/10/2025 14:00</t>
  </si>
  <si>
    <t>31/10/2025 14:15</t>
  </si>
  <si>
    <t>31/10/2025 14:30</t>
  </si>
  <si>
    <t>31/10/2025 14:45</t>
  </si>
  <si>
    <t>31/10/2025 15:00</t>
  </si>
  <si>
    <t>31/10/2025 15:15</t>
  </si>
  <si>
    <t>31/10/2025 15:30</t>
  </si>
  <si>
    <t>31/10/2025 15:45</t>
  </si>
  <si>
    <t>31/10/2025 16:00</t>
  </si>
  <si>
    <t>31/10/2025 16:15</t>
  </si>
  <si>
    <t>31/10/2025 16:30</t>
  </si>
  <si>
    <t>31/10/2025 16:45</t>
  </si>
  <si>
    <t>31/10/2025 17:00</t>
  </si>
  <si>
    <t>31/10/2025 17:15</t>
  </si>
  <si>
    <t>31/10/2025 17:30</t>
  </si>
  <si>
    <t>31/10/2025 17:45</t>
  </si>
  <si>
    <t>31/10/2025 18:00</t>
  </si>
  <si>
    <t>31/10/2025 18:15</t>
  </si>
  <si>
    <t>31/10/2025 18:30</t>
  </si>
  <si>
    <t>31/10/2025 18:45</t>
  </si>
  <si>
    <t>31/10/2025 19:00</t>
  </si>
  <si>
    <t>31/10/2025 19:15</t>
  </si>
  <si>
    <t>31/10/2025 19:30</t>
  </si>
  <si>
    <t>31/10/2025 19:45</t>
  </si>
  <si>
    <t>31/10/2025 20:00</t>
  </si>
  <si>
    <t>31/10/2025 20:15</t>
  </si>
  <si>
    <t>31/10/2025 20:30</t>
  </si>
  <si>
    <t>31/10/2025 20:45</t>
  </si>
  <si>
    <t>31/10/2025 21:00</t>
  </si>
  <si>
    <t>31/10/2025 21:15</t>
  </si>
  <si>
    <t>31/10/2025 21:30</t>
  </si>
  <si>
    <t>31/10/2025 21:45</t>
  </si>
  <si>
    <t>31/10/2025 22:00</t>
  </si>
  <si>
    <t>31/10/2025 22:15</t>
  </si>
  <si>
    <t>31/10/2025 22:30</t>
  </si>
  <si>
    <t>31/10/2025 22:45</t>
  </si>
  <si>
    <t>31/10/2025 23:00</t>
  </si>
  <si>
    <t>31/10/2025 23:15</t>
  </si>
  <si>
    <t>31/10/2025 23:30</t>
  </si>
  <si>
    <t>31/10/2025 23:45</t>
  </si>
  <si>
    <t>31/10/2025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</si>
</sst>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240</v>
      </c>
      <c r="B9" s="6">
        <v>5.65</v>
      </c>
      <c r="C9" s="6">
        <v>5.64</v>
      </c>
      <c r="D9" s="6">
        <v>11.3</v>
      </c>
      <c r="E9" s="6">
        <v>4.71</v>
      </c>
      <c r="F9" s="6">
        <v>3.53</v>
      </c>
      <c r="G9" s="6">
        <v>47.97</v>
      </c>
      <c r="H9" s="6">
        <v>21.44</v>
      </c>
      <c r="I9" s="6">
        <v>10.08</v>
      </c>
      <c r="J9" s="6">
        <v>7.0000000000000007E-2</v>
      </c>
      <c r="K9" s="6">
        <v>224.96</v>
      </c>
      <c r="L9" s="6">
        <v>16.690000000000001</v>
      </c>
      <c r="M9" s="6">
        <v>23.84</v>
      </c>
      <c r="N9" s="6">
        <v>2.8</v>
      </c>
      <c r="O9" s="6">
        <v>1</v>
      </c>
      <c r="P9" s="6">
        <v>0.52</v>
      </c>
      <c r="Q9" s="6">
        <v>10</v>
      </c>
      <c r="R9" s="6"/>
      <c r="S9" s="6"/>
      <c r="T9" s="156"/>
      <c r="U9" s="6"/>
    </row>
    <row r="10" spans="1:21" customFormat="1">
      <c r="A10" s="201" t="s">
        <v>241</v>
      </c>
      <c r="B10" s="6">
        <v>6.09</v>
      </c>
      <c r="C10" s="6">
        <v>6.1</v>
      </c>
      <c r="D10" s="6">
        <v>12.19</v>
      </c>
      <c r="E10" s="6">
        <v>5.08</v>
      </c>
      <c r="F10" s="6">
        <v>2.2000000000000002</v>
      </c>
      <c r="G10" s="6">
        <v>44.28</v>
      </c>
      <c r="H10" s="6">
        <v>18.27</v>
      </c>
      <c r="I10" s="6">
        <v>10.24</v>
      </c>
      <c r="J10" s="6">
        <v>0.06</v>
      </c>
      <c r="K10" s="6">
        <v>194.57</v>
      </c>
      <c r="L10" s="6">
        <v>17.38</v>
      </c>
      <c r="M10" s="6">
        <v>25.58</v>
      </c>
      <c r="N10" s="6">
        <v>2.1</v>
      </c>
      <c r="O10" s="6">
        <v>0.4</v>
      </c>
      <c r="P10" s="6">
        <v>0.55000000000000004</v>
      </c>
      <c r="Q10" s="6">
        <v>10</v>
      </c>
      <c r="R10" s="6"/>
      <c r="S10" s="6"/>
      <c r="T10" s="156"/>
      <c r="U10" s="6"/>
    </row>
    <row r="11" spans="1:21" customFormat="1">
      <c r="A11" s="201" t="s">
        <v>242</v>
      </c>
      <c r="B11" s="6">
        <v>6</v>
      </c>
      <c r="C11" s="6">
        <v>6.19</v>
      </c>
      <c r="D11" s="6">
        <v>12.19</v>
      </c>
      <c r="E11" s="6">
        <v>5.08</v>
      </c>
      <c r="F11" s="6">
        <v>2.42</v>
      </c>
      <c r="G11" s="6">
        <v>41.58</v>
      </c>
      <c r="H11" s="6">
        <v>17.28</v>
      </c>
      <c r="I11" s="6">
        <v>10.06</v>
      </c>
      <c r="J11" s="6">
        <v>0.09</v>
      </c>
      <c r="K11" s="6">
        <v>115.36</v>
      </c>
      <c r="L11" s="6">
        <v>11.74</v>
      </c>
      <c r="M11" s="6">
        <v>11.41</v>
      </c>
      <c r="N11" s="6">
        <v>2.4</v>
      </c>
      <c r="O11" s="6">
        <v>0.2</v>
      </c>
      <c r="P11" s="6">
        <v>0.53</v>
      </c>
      <c r="Q11" s="6">
        <v>10.15</v>
      </c>
      <c r="R11" s="6"/>
      <c r="S11" s="6"/>
      <c r="T11" s="156"/>
      <c r="U11" s="6"/>
    </row>
    <row r="12" spans="1:21" customFormat="1">
      <c r="A12" s="201" t="s">
        <v>243</v>
      </c>
      <c r="B12" s="6">
        <v>5.6</v>
      </c>
      <c r="C12" s="6">
        <v>6.11</v>
      </c>
      <c r="D12" s="6">
        <v>11.71</v>
      </c>
      <c r="E12" s="6">
        <v>4.6500000000000004</v>
      </c>
      <c r="F12" s="6">
        <v>3.88</v>
      </c>
      <c r="G12" s="6">
        <v>41.58</v>
      </c>
      <c r="H12" s="6">
        <v>17.28</v>
      </c>
      <c r="I12" s="6">
        <v>10.1</v>
      </c>
      <c r="J12" s="6">
        <v>0.16</v>
      </c>
      <c r="K12" s="6">
        <v>239</v>
      </c>
      <c r="L12" s="6">
        <v>20.53</v>
      </c>
      <c r="M12" s="6">
        <v>33.56</v>
      </c>
      <c r="N12" s="6">
        <v>2.4</v>
      </c>
      <c r="O12" s="6">
        <v>0</v>
      </c>
      <c r="P12" s="6">
        <v>0.5</v>
      </c>
      <c r="Q12" s="6">
        <v>13.31</v>
      </c>
      <c r="R12" s="6"/>
      <c r="S12" s="6"/>
      <c r="T12" s="156"/>
      <c r="U12" s="6"/>
    </row>
    <row r="13" spans="1:21" customFormat="1">
      <c r="A13" s="201" t="s">
        <v>244</v>
      </c>
      <c r="B13" s="6">
        <v>5.86</v>
      </c>
      <c r="C13" s="6">
        <v>5.92</v>
      </c>
      <c r="D13" s="6">
        <v>11.79</v>
      </c>
      <c r="E13" s="6">
        <v>5.0199999999999996</v>
      </c>
      <c r="F13" s="6">
        <v>2.0099999999999998</v>
      </c>
      <c r="G13" s="6">
        <v>41.58</v>
      </c>
      <c r="H13" s="6">
        <v>17.28</v>
      </c>
      <c r="I13" s="6">
        <v>10.039999999999999</v>
      </c>
      <c r="J13" s="6">
        <v>0.11</v>
      </c>
      <c r="K13" s="6">
        <v>129.01</v>
      </c>
      <c r="L13" s="6">
        <v>15.04</v>
      </c>
      <c r="M13" s="6">
        <v>19.77</v>
      </c>
      <c r="N13" s="6">
        <v>2</v>
      </c>
      <c r="O13" s="6">
        <v>0</v>
      </c>
      <c r="P13" s="6">
        <v>0.53</v>
      </c>
      <c r="Q13" s="6">
        <v>10.16</v>
      </c>
      <c r="R13" s="6"/>
      <c r="S13" s="6"/>
      <c r="T13" s="156"/>
      <c r="U13" s="6"/>
    </row>
    <row r="14" spans="1:21" customFormat="1">
      <c r="A14" s="201" t="s">
        <v>245</v>
      </c>
      <c r="B14" s="6">
        <v>5.8</v>
      </c>
      <c r="C14" s="6">
        <v>6.33</v>
      </c>
      <c r="D14" s="6">
        <v>12.13</v>
      </c>
      <c r="E14" s="6">
        <v>4.99</v>
      </c>
      <c r="F14" s="6">
        <v>2.59</v>
      </c>
      <c r="G14" s="6">
        <v>34.33</v>
      </c>
      <c r="H14" s="6">
        <v>17.670000000000002</v>
      </c>
      <c r="I14" s="6">
        <v>9.9600000000000009</v>
      </c>
      <c r="J14" s="6">
        <v>0.12</v>
      </c>
      <c r="K14" s="6">
        <v>180.48</v>
      </c>
      <c r="L14" s="6">
        <v>16.940000000000001</v>
      </c>
      <c r="M14" s="6">
        <v>24.64</v>
      </c>
      <c r="N14" s="6">
        <v>2.4</v>
      </c>
      <c r="O14" s="6">
        <v>0.2</v>
      </c>
      <c r="P14" s="6">
        <v>0.53</v>
      </c>
      <c r="Q14" s="6">
        <v>10.02</v>
      </c>
      <c r="R14" s="6"/>
      <c r="S14" s="6"/>
      <c r="T14" s="156"/>
      <c r="U14" s="6"/>
    </row>
    <row r="15" spans="1:21" customFormat="1">
      <c r="A15" s="201" t="s">
        <v>246</v>
      </c>
      <c r="B15" s="6">
        <v>5.76</v>
      </c>
      <c r="C15" s="6">
        <v>6.09</v>
      </c>
      <c r="D15" s="6">
        <v>11.84</v>
      </c>
      <c r="E15" s="6">
        <v>5.27</v>
      </c>
      <c r="F15" s="6">
        <v>2.62</v>
      </c>
      <c r="G15" s="6">
        <v>28.79</v>
      </c>
      <c r="H15" s="6">
        <v>17.79</v>
      </c>
      <c r="I15" s="6">
        <v>10</v>
      </c>
      <c r="J15" s="6">
        <v>0.13</v>
      </c>
      <c r="K15" s="6">
        <v>230.75</v>
      </c>
      <c r="L15" s="6">
        <v>19.68</v>
      </c>
      <c r="M15" s="6">
        <v>31.48</v>
      </c>
      <c r="N15" s="6">
        <v>2.4</v>
      </c>
      <c r="O15" s="6">
        <v>0</v>
      </c>
      <c r="P15" s="6">
        <v>0.53</v>
      </c>
      <c r="Q15" s="6">
        <v>10</v>
      </c>
      <c r="R15" s="6"/>
      <c r="S15" s="6"/>
      <c r="T15" s="156"/>
      <c r="U15" s="6"/>
    </row>
    <row r="16" spans="1:21" customFormat="1">
      <c r="A16" s="201" t="s">
        <v>247</v>
      </c>
      <c r="B16" s="6">
        <v>5.63</v>
      </c>
      <c r="C16" s="6">
        <v>6.07</v>
      </c>
      <c r="D16" s="6">
        <v>11.7</v>
      </c>
      <c r="E16" s="6">
        <v>4.9000000000000004</v>
      </c>
      <c r="F16" s="6">
        <v>2.12</v>
      </c>
      <c r="G16" s="6">
        <v>28.79</v>
      </c>
      <c r="H16" s="6">
        <v>17.79</v>
      </c>
      <c r="I16" s="6">
        <v>10</v>
      </c>
      <c r="J16" s="6">
        <v>0.08</v>
      </c>
      <c r="K16" s="6">
        <v>237.83</v>
      </c>
      <c r="L16" s="6">
        <v>22.1</v>
      </c>
      <c r="M16" s="6">
        <v>37.479999999999997</v>
      </c>
      <c r="N16" s="6">
        <v>2.4</v>
      </c>
      <c r="O16" s="6">
        <v>0</v>
      </c>
      <c r="P16" s="6">
        <v>0.54</v>
      </c>
      <c r="Q16" s="6">
        <v>10</v>
      </c>
      <c r="R16" s="6"/>
      <c r="S16" s="6"/>
      <c r="T16" s="156"/>
      <c r="U16" s="6"/>
    </row>
    <row r="17" spans="1:21" customFormat="1">
      <c r="A17" s="201" t="s">
        <v>248</v>
      </c>
      <c r="B17" s="6">
        <v>5.54</v>
      </c>
      <c r="C17" s="6">
        <v>6.18</v>
      </c>
      <c r="D17" s="6">
        <v>11.72</v>
      </c>
      <c r="E17" s="6">
        <v>4.2300000000000004</v>
      </c>
      <c r="F17" s="6">
        <v>2</v>
      </c>
      <c r="G17" s="6">
        <v>28.79</v>
      </c>
      <c r="H17" s="6">
        <v>17.79</v>
      </c>
      <c r="I17" s="6">
        <v>9.8800000000000008</v>
      </c>
      <c r="J17" s="6">
        <v>0.08</v>
      </c>
      <c r="K17" s="6">
        <v>197.03</v>
      </c>
      <c r="L17" s="6">
        <v>16.46</v>
      </c>
      <c r="M17" s="6">
        <v>23.37</v>
      </c>
      <c r="N17" s="6">
        <v>2.2000000000000002</v>
      </c>
      <c r="O17" s="6">
        <v>0</v>
      </c>
      <c r="P17" s="6">
        <v>0.55000000000000004</v>
      </c>
      <c r="Q17" s="6">
        <v>10</v>
      </c>
      <c r="R17" s="6"/>
      <c r="S17" s="6"/>
      <c r="T17" s="156"/>
      <c r="U17" s="6"/>
    </row>
    <row r="18" spans="1:21" customFormat="1">
      <c r="A18" s="201" t="s">
        <v>249</v>
      </c>
      <c r="B18" s="6">
        <v>5.4</v>
      </c>
      <c r="C18" s="6">
        <v>6.23</v>
      </c>
      <c r="D18" s="6">
        <v>11.63</v>
      </c>
      <c r="E18" s="6">
        <v>5.31</v>
      </c>
      <c r="F18" s="6">
        <v>2</v>
      </c>
      <c r="G18" s="6">
        <v>28.22</v>
      </c>
      <c r="H18" s="6">
        <v>15.48</v>
      </c>
      <c r="I18" s="6">
        <v>9.85</v>
      </c>
      <c r="J18" s="6">
        <v>0.12</v>
      </c>
      <c r="K18" s="6">
        <v>181.82</v>
      </c>
      <c r="L18" s="6">
        <v>16.87</v>
      </c>
      <c r="M18" s="6">
        <v>24.42</v>
      </c>
      <c r="N18" s="6">
        <v>2.2999999999999998</v>
      </c>
      <c r="O18" s="6">
        <v>0</v>
      </c>
      <c r="P18" s="6">
        <v>0.54</v>
      </c>
      <c r="Q18" s="6">
        <v>10</v>
      </c>
      <c r="R18" s="6"/>
      <c r="S18" s="6"/>
      <c r="T18" s="156"/>
      <c r="U18" s="6"/>
    </row>
    <row r="19" spans="1:21" customFormat="1">
      <c r="A19" s="201" t="s">
        <v>250</v>
      </c>
      <c r="B19" s="6">
        <v>5.3</v>
      </c>
      <c r="C19" s="6">
        <v>6.09</v>
      </c>
      <c r="D19" s="6">
        <v>11.39</v>
      </c>
      <c r="E19" s="6">
        <v>5.33</v>
      </c>
      <c r="F19" s="6">
        <v>2</v>
      </c>
      <c r="G19" s="6">
        <v>27.79</v>
      </c>
      <c r="H19" s="6">
        <v>14.74</v>
      </c>
      <c r="I19" s="6">
        <v>9.86</v>
      </c>
      <c r="J19" s="6">
        <v>0.1</v>
      </c>
      <c r="K19" s="6">
        <v>210.71</v>
      </c>
      <c r="L19" s="6">
        <v>19.059999999999999</v>
      </c>
      <c r="M19" s="6">
        <v>29.87</v>
      </c>
      <c r="N19" s="6">
        <v>2.2999999999999998</v>
      </c>
      <c r="O19" s="6">
        <v>0</v>
      </c>
      <c r="P19" s="6">
        <v>0.54</v>
      </c>
      <c r="Q19" s="6">
        <v>10</v>
      </c>
      <c r="R19" s="6"/>
      <c r="S19" s="6"/>
      <c r="T19" s="156"/>
      <c r="U19" s="6"/>
    </row>
    <row r="20" spans="1:21" customFormat="1">
      <c r="A20" s="201" t="s">
        <v>251</v>
      </c>
      <c r="B20" s="6">
        <v>5.23</v>
      </c>
      <c r="C20" s="6">
        <v>5.99</v>
      </c>
      <c r="D20" s="6">
        <v>11.22</v>
      </c>
      <c r="E20" s="6">
        <v>5.54</v>
      </c>
      <c r="F20" s="6">
        <v>2</v>
      </c>
      <c r="G20" s="6">
        <v>27.79</v>
      </c>
      <c r="H20" s="6">
        <v>14.74</v>
      </c>
      <c r="I20" s="6">
        <v>9.82</v>
      </c>
      <c r="J20" s="6">
        <v>0.09</v>
      </c>
      <c r="K20" s="6">
        <v>165.87</v>
      </c>
      <c r="L20" s="6">
        <v>15.5</v>
      </c>
      <c r="M20" s="6">
        <v>20.96</v>
      </c>
      <c r="N20" s="6">
        <v>2.4</v>
      </c>
      <c r="O20" s="6">
        <v>0</v>
      </c>
      <c r="P20" s="6">
        <v>0.53</v>
      </c>
      <c r="Q20" s="6">
        <v>10</v>
      </c>
      <c r="R20" s="6"/>
      <c r="S20" s="6"/>
      <c r="T20" s="156"/>
      <c r="U20" s="6"/>
    </row>
    <row r="21" spans="1:21" customFormat="1">
      <c r="A21" s="201" t="s">
        <v>252</v>
      </c>
      <c r="B21" s="6">
        <v>5.0599999999999996</v>
      </c>
      <c r="C21" s="6">
        <v>5.97</v>
      </c>
      <c r="D21" s="6">
        <v>11.04</v>
      </c>
      <c r="E21" s="6">
        <v>5.1100000000000003</v>
      </c>
      <c r="F21" s="6">
        <v>2</v>
      </c>
      <c r="G21" s="6">
        <v>27.79</v>
      </c>
      <c r="H21" s="6">
        <v>14.74</v>
      </c>
      <c r="I21" s="6">
        <v>9.7799999999999994</v>
      </c>
      <c r="J21" s="6">
        <v>0.11</v>
      </c>
      <c r="K21" s="6">
        <v>166.99</v>
      </c>
      <c r="L21" s="6">
        <v>16.420000000000002</v>
      </c>
      <c r="M21" s="6">
        <v>23.3</v>
      </c>
      <c r="N21" s="6">
        <v>2.4</v>
      </c>
      <c r="O21" s="6">
        <v>0</v>
      </c>
      <c r="P21" s="6">
        <v>0.53</v>
      </c>
      <c r="Q21" s="6">
        <v>10.46</v>
      </c>
      <c r="R21" s="6"/>
      <c r="S21" s="6"/>
      <c r="T21" s="156"/>
      <c r="U21" s="6"/>
    </row>
    <row r="22" spans="1:21" customFormat="1">
      <c r="A22" s="201" t="s">
        <v>253</v>
      </c>
      <c r="B22" s="6">
        <v>4.93</v>
      </c>
      <c r="C22" s="6">
        <v>5.93</v>
      </c>
      <c r="D22" s="6">
        <v>10.86</v>
      </c>
      <c r="E22" s="6">
        <v>5.37</v>
      </c>
      <c r="F22" s="6">
        <v>2</v>
      </c>
      <c r="G22" s="6">
        <v>26.35</v>
      </c>
      <c r="H22" s="6">
        <v>14.45</v>
      </c>
      <c r="I22" s="6">
        <v>9.7100000000000009</v>
      </c>
      <c r="J22" s="6">
        <v>0.09</v>
      </c>
      <c r="K22" s="6">
        <v>157.44</v>
      </c>
      <c r="L22" s="6">
        <v>15.55</v>
      </c>
      <c r="M22" s="6">
        <v>21.06</v>
      </c>
      <c r="N22" s="6">
        <v>2.2999999999999998</v>
      </c>
      <c r="O22" s="6">
        <v>0</v>
      </c>
      <c r="P22" s="6">
        <v>0.51</v>
      </c>
      <c r="Q22" s="6">
        <v>9.7799999999999994</v>
      </c>
      <c r="R22" s="6"/>
      <c r="S22" s="6"/>
      <c r="T22" s="156"/>
      <c r="U22" s="6"/>
    </row>
    <row r="23" spans="1:21" customFormat="1">
      <c r="A23" s="201" t="s">
        <v>254</v>
      </c>
      <c r="B23" s="6">
        <v>4.87</v>
      </c>
      <c r="C23" s="6">
        <v>5.78</v>
      </c>
      <c r="D23" s="6">
        <v>10.65</v>
      </c>
      <c r="E23" s="6">
        <v>5.61</v>
      </c>
      <c r="F23" s="6">
        <v>2</v>
      </c>
      <c r="G23" s="6">
        <v>25.24</v>
      </c>
      <c r="H23" s="6">
        <v>14.27</v>
      </c>
      <c r="I23" s="6">
        <v>9.56</v>
      </c>
      <c r="J23" s="6">
        <v>0.1</v>
      </c>
      <c r="K23" s="6">
        <v>149.19999999999999</v>
      </c>
      <c r="L23" s="6">
        <v>14.55</v>
      </c>
      <c r="M23" s="6">
        <v>18.54</v>
      </c>
      <c r="N23" s="6">
        <v>2.2999999999999998</v>
      </c>
      <c r="O23" s="6">
        <v>0</v>
      </c>
      <c r="P23" s="6">
        <v>0.51</v>
      </c>
      <c r="Q23" s="6">
        <v>10</v>
      </c>
      <c r="R23" s="6"/>
      <c r="S23" s="6"/>
      <c r="T23" s="156"/>
      <c r="U23" s="6"/>
    </row>
    <row r="24" spans="1:21" customFormat="1">
      <c r="A24" s="201" t="s">
        <v>255</v>
      </c>
      <c r="B24" s="6">
        <v>4.8</v>
      </c>
      <c r="C24" s="6">
        <v>5.66</v>
      </c>
      <c r="D24" s="6">
        <v>10.46</v>
      </c>
      <c r="E24" s="6">
        <v>5.55</v>
      </c>
      <c r="F24" s="6">
        <v>2</v>
      </c>
      <c r="G24" s="6">
        <v>25.24</v>
      </c>
      <c r="H24" s="6">
        <v>14.27</v>
      </c>
      <c r="I24" s="6">
        <v>9.33</v>
      </c>
      <c r="J24" s="6">
        <v>0.09</v>
      </c>
      <c r="K24" s="6">
        <v>176.03</v>
      </c>
      <c r="L24" s="6">
        <v>16.07</v>
      </c>
      <c r="M24" s="6">
        <v>22.47</v>
      </c>
      <c r="N24" s="6">
        <v>2.2999999999999998</v>
      </c>
      <c r="O24" s="6">
        <v>0</v>
      </c>
      <c r="P24" s="6">
        <v>0.49</v>
      </c>
      <c r="Q24" s="6">
        <v>10</v>
      </c>
      <c r="R24" s="6"/>
      <c r="S24" s="6"/>
      <c r="T24" s="156"/>
      <c r="U24" s="6"/>
    </row>
    <row r="25" spans="1:21" customFormat="1">
      <c r="A25" s="201" t="s">
        <v>256</v>
      </c>
      <c r="B25" s="6">
        <v>4.71</v>
      </c>
      <c r="C25" s="6">
        <v>5.6</v>
      </c>
      <c r="D25" s="6">
        <v>10.31</v>
      </c>
      <c r="E25" s="6">
        <v>5.71</v>
      </c>
      <c r="F25" s="6">
        <v>2</v>
      </c>
      <c r="G25" s="6">
        <v>25.24</v>
      </c>
      <c r="H25" s="6">
        <v>14.27</v>
      </c>
      <c r="I25" s="6">
        <v>9.25</v>
      </c>
      <c r="J25" s="6">
        <v>0.1</v>
      </c>
      <c r="K25" s="6">
        <v>230.28</v>
      </c>
      <c r="L25" s="6">
        <v>19.739999999999998</v>
      </c>
      <c r="M25" s="6">
        <v>31.61</v>
      </c>
      <c r="N25" s="6">
        <v>2.2000000000000002</v>
      </c>
      <c r="O25" s="6">
        <v>0</v>
      </c>
      <c r="P25" s="6">
        <v>0.47</v>
      </c>
      <c r="Q25" s="6">
        <v>10.050000000000001</v>
      </c>
      <c r="R25" s="6"/>
      <c r="S25" s="6"/>
      <c r="T25" s="156"/>
      <c r="U25" s="6"/>
    </row>
    <row r="26" spans="1:21" customFormat="1">
      <c r="A26" s="201" t="s">
        <v>257</v>
      </c>
      <c r="B26" s="6">
        <v>4.62</v>
      </c>
      <c r="C26" s="6">
        <v>5.52</v>
      </c>
      <c r="D26" s="6">
        <v>10.14</v>
      </c>
      <c r="E26" s="6">
        <v>5.78</v>
      </c>
      <c r="F26" s="6">
        <v>2</v>
      </c>
      <c r="G26" s="6">
        <v>24.65</v>
      </c>
      <c r="H26" s="6">
        <v>11.91</v>
      </c>
      <c r="I26" s="6">
        <v>9.08</v>
      </c>
      <c r="J26" s="6">
        <v>0.12</v>
      </c>
      <c r="K26" s="6">
        <v>241.28</v>
      </c>
      <c r="L26" s="6">
        <v>21.82</v>
      </c>
      <c r="M26" s="6">
        <v>36.71</v>
      </c>
      <c r="N26" s="6">
        <v>2.4</v>
      </c>
      <c r="O26" s="6">
        <v>0</v>
      </c>
      <c r="P26" s="6">
        <v>0.47</v>
      </c>
      <c r="Q26" s="6">
        <v>10</v>
      </c>
      <c r="R26" s="6"/>
      <c r="S26" s="6"/>
      <c r="T26" s="156"/>
      <c r="U26" s="6"/>
    </row>
    <row r="27" spans="1:21" customFormat="1">
      <c r="A27" s="201" t="s">
        <v>258</v>
      </c>
      <c r="B27" s="6">
        <v>4.58</v>
      </c>
      <c r="C27" s="6">
        <v>5.46</v>
      </c>
      <c r="D27" s="6">
        <v>10.039999999999999</v>
      </c>
      <c r="E27" s="6">
        <v>5.91</v>
      </c>
      <c r="F27" s="6">
        <v>2.0099999999999998</v>
      </c>
      <c r="G27" s="6">
        <v>24.2</v>
      </c>
      <c r="H27" s="6">
        <v>11.17</v>
      </c>
      <c r="I27" s="6">
        <v>8.94</v>
      </c>
      <c r="J27" s="6">
        <v>0.06</v>
      </c>
      <c r="K27" s="6">
        <v>218.38</v>
      </c>
      <c r="L27" s="6">
        <v>20.5</v>
      </c>
      <c r="M27" s="6">
        <v>33.47</v>
      </c>
      <c r="N27" s="6">
        <v>2.2999999999999998</v>
      </c>
      <c r="O27" s="6">
        <v>0.2</v>
      </c>
      <c r="P27" s="6">
        <v>0.46</v>
      </c>
      <c r="Q27" s="6">
        <v>10.47</v>
      </c>
      <c r="R27" s="6"/>
      <c r="S27" s="6"/>
      <c r="T27" s="156"/>
      <c r="U27" s="6"/>
    </row>
    <row r="28" spans="1:21" customFormat="1">
      <c r="A28" s="201" t="s">
        <v>259</v>
      </c>
      <c r="B28" s="6">
        <v>4.55</v>
      </c>
      <c r="C28" s="6">
        <v>5.38</v>
      </c>
      <c r="D28" s="6">
        <v>9.93</v>
      </c>
      <c r="E28" s="6">
        <v>5.75</v>
      </c>
      <c r="F28" s="6">
        <v>2</v>
      </c>
      <c r="G28" s="6">
        <v>24.2</v>
      </c>
      <c r="H28" s="6">
        <v>11.17</v>
      </c>
      <c r="I28" s="6">
        <v>8.73</v>
      </c>
      <c r="J28" s="6">
        <v>0.1</v>
      </c>
      <c r="K28" s="6">
        <v>203.65</v>
      </c>
      <c r="L28" s="6">
        <v>18.88</v>
      </c>
      <c r="M28" s="6">
        <v>29.49</v>
      </c>
      <c r="N28" s="6">
        <v>2.2999999999999998</v>
      </c>
      <c r="O28" s="6">
        <v>0</v>
      </c>
      <c r="P28" s="6">
        <v>0.44</v>
      </c>
      <c r="Q28" s="6">
        <v>10</v>
      </c>
      <c r="R28" s="6"/>
      <c r="S28" s="6"/>
      <c r="T28" s="156"/>
      <c r="U28" s="6"/>
    </row>
    <row r="29" spans="1:21" customFormat="1">
      <c r="A29" s="201" t="s">
        <v>260</v>
      </c>
      <c r="B29" s="6">
        <v>4.54</v>
      </c>
      <c r="C29" s="6">
        <v>5.26</v>
      </c>
      <c r="D29" s="6">
        <v>9.8000000000000007</v>
      </c>
      <c r="E29" s="6">
        <v>5.79</v>
      </c>
      <c r="F29" s="6">
        <v>2</v>
      </c>
      <c r="G29" s="6">
        <v>24.2</v>
      </c>
      <c r="H29" s="6">
        <v>11.17</v>
      </c>
      <c r="I29" s="6">
        <v>8.48</v>
      </c>
      <c r="J29" s="6">
        <v>0.12</v>
      </c>
      <c r="K29" s="6">
        <v>221.32</v>
      </c>
      <c r="L29" s="6">
        <v>20.059999999999999</v>
      </c>
      <c r="M29" s="6">
        <v>32.409999999999997</v>
      </c>
      <c r="N29" s="6">
        <v>2.2999999999999998</v>
      </c>
      <c r="O29" s="6">
        <v>0</v>
      </c>
      <c r="P29" s="6">
        <v>0.43</v>
      </c>
      <c r="Q29" s="6">
        <v>10</v>
      </c>
      <c r="R29" s="6"/>
      <c r="S29" s="6"/>
      <c r="T29" s="156"/>
      <c r="U29" s="6"/>
    </row>
    <row r="30" spans="1:21" customFormat="1">
      <c r="A30" s="201" t="s">
        <v>261</v>
      </c>
      <c r="B30" s="6">
        <v>4.49</v>
      </c>
      <c r="C30" s="6">
        <v>5.21</v>
      </c>
      <c r="D30" s="6">
        <v>9.69</v>
      </c>
      <c r="E30" s="6">
        <v>5.7</v>
      </c>
      <c r="F30" s="6">
        <v>2</v>
      </c>
      <c r="G30" s="6">
        <v>24.34</v>
      </c>
      <c r="H30" s="6">
        <v>12.17</v>
      </c>
      <c r="I30" s="6">
        <v>8.36</v>
      </c>
      <c r="J30" s="6">
        <v>0.12</v>
      </c>
      <c r="K30" s="6">
        <v>224.55</v>
      </c>
      <c r="L30" s="6">
        <v>20.34</v>
      </c>
      <c r="M30" s="6">
        <v>33.020000000000003</v>
      </c>
      <c r="N30" s="6">
        <v>2.2999999999999998</v>
      </c>
      <c r="O30" s="6">
        <v>0</v>
      </c>
      <c r="P30" s="6">
        <v>0.41</v>
      </c>
      <c r="Q30" s="6">
        <v>10</v>
      </c>
      <c r="R30" s="6"/>
      <c r="S30" s="6"/>
      <c r="T30" s="156"/>
      <c r="U30" s="6"/>
    </row>
    <row r="31" spans="1:21" customFormat="1">
      <c r="A31" s="201" t="s">
        <v>262</v>
      </c>
      <c r="B31" s="6">
        <v>4.49</v>
      </c>
      <c r="C31" s="6">
        <v>5.18</v>
      </c>
      <c r="D31" s="6">
        <v>9.67</v>
      </c>
      <c r="E31" s="6">
        <v>6.04</v>
      </c>
      <c r="F31" s="6">
        <v>2</v>
      </c>
      <c r="G31" s="6">
        <v>24.45</v>
      </c>
      <c r="H31" s="6">
        <v>12.49</v>
      </c>
      <c r="I31" s="6">
        <v>8.18</v>
      </c>
      <c r="J31" s="6">
        <v>0.11</v>
      </c>
      <c r="K31" s="6">
        <v>251.25</v>
      </c>
      <c r="L31" s="6">
        <v>21.76</v>
      </c>
      <c r="M31" s="6">
        <v>36.54</v>
      </c>
      <c r="N31" s="6">
        <v>2.4</v>
      </c>
      <c r="O31" s="6">
        <v>0</v>
      </c>
      <c r="P31" s="6">
        <v>0.4</v>
      </c>
      <c r="Q31" s="6">
        <v>10.45</v>
      </c>
      <c r="R31" s="6"/>
      <c r="S31" s="6"/>
      <c r="T31" s="156"/>
      <c r="U31" s="6"/>
    </row>
    <row r="32" spans="1:21" customFormat="1">
      <c r="A32" s="201" t="s">
        <v>263</v>
      </c>
      <c r="B32" s="6">
        <v>4.45</v>
      </c>
      <c r="C32" s="6">
        <v>5.14</v>
      </c>
      <c r="D32" s="6">
        <v>9.59</v>
      </c>
      <c r="E32" s="6">
        <v>5.76</v>
      </c>
      <c r="F32" s="6">
        <v>2</v>
      </c>
      <c r="G32" s="6">
        <v>24.45</v>
      </c>
      <c r="H32" s="6">
        <v>12.49</v>
      </c>
      <c r="I32" s="6">
        <v>7.98</v>
      </c>
      <c r="J32" s="6">
        <v>0.16</v>
      </c>
      <c r="K32" s="6">
        <v>235.81</v>
      </c>
      <c r="L32" s="6">
        <v>20.87</v>
      </c>
      <c r="M32" s="6">
        <v>34.33</v>
      </c>
      <c r="N32" s="6">
        <v>3.7</v>
      </c>
      <c r="O32" s="6">
        <v>0</v>
      </c>
      <c r="P32" s="6">
        <v>0.39</v>
      </c>
      <c r="Q32" s="6">
        <v>10.38</v>
      </c>
      <c r="R32" s="6"/>
      <c r="S32" s="6"/>
      <c r="T32" s="156"/>
      <c r="U32" s="6"/>
    </row>
    <row r="33" spans="1:21" customFormat="1">
      <c r="A33" s="201" t="s">
        <v>264</v>
      </c>
      <c r="B33" s="6">
        <v>4.4400000000000004</v>
      </c>
      <c r="C33" s="6">
        <v>5.1100000000000003</v>
      </c>
      <c r="D33" s="6">
        <v>9.5399999999999991</v>
      </c>
      <c r="E33" s="6">
        <v>5.89</v>
      </c>
      <c r="F33" s="6">
        <v>2</v>
      </c>
      <c r="G33" s="6">
        <v>24.45</v>
      </c>
      <c r="H33" s="6">
        <v>12.49</v>
      </c>
      <c r="I33" s="6">
        <v>7.84</v>
      </c>
      <c r="J33" s="6">
        <v>0.18</v>
      </c>
      <c r="K33" s="6">
        <v>247.25</v>
      </c>
      <c r="L33" s="6">
        <v>21.86</v>
      </c>
      <c r="M33" s="6">
        <v>36.75</v>
      </c>
      <c r="N33" s="6">
        <v>9.6</v>
      </c>
      <c r="O33" s="6">
        <v>0</v>
      </c>
      <c r="P33" s="6">
        <v>0.37</v>
      </c>
      <c r="Q33" s="6">
        <v>10</v>
      </c>
      <c r="R33" s="6"/>
      <c r="S33" s="6"/>
      <c r="T33" s="156"/>
      <c r="U33" s="6"/>
    </row>
    <row r="34" spans="1:21" customFormat="1">
      <c r="A34" s="201" t="s">
        <v>265</v>
      </c>
      <c r="B34" s="6">
        <v>4.3899999999999997</v>
      </c>
      <c r="C34" s="6">
        <v>5.13</v>
      </c>
      <c r="D34" s="6">
        <v>9.52</v>
      </c>
      <c r="E34" s="6">
        <v>5.73</v>
      </c>
      <c r="F34" s="6">
        <v>2</v>
      </c>
      <c r="G34" s="6">
        <v>24.47</v>
      </c>
      <c r="H34" s="6">
        <v>13.55</v>
      </c>
      <c r="I34" s="6">
        <v>7.65</v>
      </c>
      <c r="J34" s="6">
        <v>0.23</v>
      </c>
      <c r="K34" s="6">
        <v>249.68</v>
      </c>
      <c r="L34" s="6">
        <v>22.24</v>
      </c>
      <c r="M34" s="6">
        <v>37.450000000000003</v>
      </c>
      <c r="N34" s="6">
        <v>19.3</v>
      </c>
      <c r="O34" s="6">
        <v>0</v>
      </c>
      <c r="P34" s="6">
        <v>0.37</v>
      </c>
      <c r="Q34" s="6">
        <v>10</v>
      </c>
      <c r="R34" s="6"/>
      <c r="S34" s="6"/>
      <c r="T34" s="156"/>
      <c r="U34" s="6"/>
    </row>
    <row r="35" spans="1:21" customFormat="1">
      <c r="A35" s="201" t="s">
        <v>266</v>
      </c>
      <c r="B35" s="6">
        <v>4.43</v>
      </c>
      <c r="C35" s="6">
        <v>5.0199999999999996</v>
      </c>
      <c r="D35" s="6">
        <v>9.4499999999999993</v>
      </c>
      <c r="E35" s="6">
        <v>5.94</v>
      </c>
      <c r="F35" s="6">
        <v>2</v>
      </c>
      <c r="G35" s="6">
        <v>24.49</v>
      </c>
      <c r="H35" s="6">
        <v>13.89</v>
      </c>
      <c r="I35" s="6">
        <v>7.48</v>
      </c>
      <c r="J35" s="6">
        <v>0.27</v>
      </c>
      <c r="K35" s="6">
        <v>251.36</v>
      </c>
      <c r="L35" s="6">
        <v>22.78</v>
      </c>
      <c r="M35" s="6">
        <v>38.5</v>
      </c>
      <c r="N35" s="6">
        <v>31.5</v>
      </c>
      <c r="O35" s="6">
        <v>0</v>
      </c>
      <c r="P35" s="6">
        <v>0.34</v>
      </c>
      <c r="Q35" s="6">
        <v>10</v>
      </c>
      <c r="R35" s="6"/>
      <c r="S35" s="6"/>
      <c r="T35" s="156"/>
      <c r="U35" s="6"/>
    </row>
    <row r="36" spans="1:21" customFormat="1">
      <c r="A36" s="201" t="s">
        <v>267</v>
      </c>
      <c r="B36" s="6">
        <v>4.45</v>
      </c>
      <c r="C36" s="6">
        <v>4.8099999999999996</v>
      </c>
      <c r="D36" s="6">
        <v>9.26</v>
      </c>
      <c r="E36" s="6">
        <v>5.59</v>
      </c>
      <c r="F36" s="6">
        <v>2</v>
      </c>
      <c r="G36" s="6">
        <v>24.49</v>
      </c>
      <c r="H36" s="6">
        <v>13.89</v>
      </c>
      <c r="I36" s="6">
        <v>7.25</v>
      </c>
      <c r="J36" s="6">
        <v>0.18</v>
      </c>
      <c r="K36" s="6">
        <v>252.29</v>
      </c>
      <c r="L36" s="6">
        <v>22.91</v>
      </c>
      <c r="M36" s="6">
        <v>38.51</v>
      </c>
      <c r="N36" s="6">
        <v>45.2</v>
      </c>
      <c r="O36" s="6">
        <v>0</v>
      </c>
      <c r="P36" s="6">
        <v>0.3</v>
      </c>
      <c r="Q36" s="6">
        <v>10</v>
      </c>
      <c r="R36" s="6"/>
      <c r="S36" s="6"/>
      <c r="T36" s="156"/>
      <c r="U36" s="6"/>
    </row>
    <row r="37" spans="1:21" customFormat="1">
      <c r="A37" s="201" t="s">
        <v>268</v>
      </c>
      <c r="B37" s="6">
        <v>4.46</v>
      </c>
      <c r="C37" s="6">
        <v>4.8099999999999996</v>
      </c>
      <c r="D37" s="6">
        <v>9.27</v>
      </c>
      <c r="E37" s="6">
        <v>5.24</v>
      </c>
      <c r="F37" s="6">
        <v>2.38</v>
      </c>
      <c r="G37" s="6">
        <v>24.49</v>
      </c>
      <c r="H37" s="6">
        <v>13.89</v>
      </c>
      <c r="I37" s="6">
        <v>7.18</v>
      </c>
      <c r="J37" s="6">
        <v>0.24</v>
      </c>
      <c r="K37" s="6">
        <v>254.99</v>
      </c>
      <c r="L37" s="6">
        <v>23.65</v>
      </c>
      <c r="M37" s="6">
        <v>40.020000000000003</v>
      </c>
      <c r="N37" s="6">
        <v>58.4</v>
      </c>
      <c r="O37" s="6">
        <v>0</v>
      </c>
      <c r="P37" s="6">
        <v>0.28999999999999998</v>
      </c>
      <c r="Q37" s="6">
        <v>11.52</v>
      </c>
      <c r="R37" s="6"/>
      <c r="S37" s="6"/>
      <c r="T37" s="156"/>
      <c r="U37" s="6"/>
    </row>
    <row r="38" spans="1:21" customFormat="1">
      <c r="A38" s="201" t="s">
        <v>269</v>
      </c>
      <c r="B38" s="6">
        <v>4.5599999999999996</v>
      </c>
      <c r="C38" s="6">
        <v>4.99</v>
      </c>
      <c r="D38" s="6">
        <v>9.5500000000000007</v>
      </c>
      <c r="E38" s="6">
        <v>4.8600000000000003</v>
      </c>
      <c r="F38" s="6">
        <v>2.4700000000000002</v>
      </c>
      <c r="G38" s="6">
        <v>23.59</v>
      </c>
      <c r="H38" s="6">
        <v>13.11</v>
      </c>
      <c r="I38" s="6">
        <v>7.01</v>
      </c>
      <c r="J38" s="6">
        <v>0.23</v>
      </c>
      <c r="K38" s="6">
        <v>254.43</v>
      </c>
      <c r="L38" s="6">
        <v>23.47</v>
      </c>
      <c r="M38" s="6">
        <v>39.07</v>
      </c>
      <c r="N38" s="6">
        <v>75.8</v>
      </c>
      <c r="O38" s="6">
        <v>0</v>
      </c>
      <c r="P38" s="6">
        <v>0.28000000000000003</v>
      </c>
      <c r="Q38" s="6">
        <v>10</v>
      </c>
      <c r="R38" s="6"/>
      <c r="S38" s="6"/>
      <c r="T38" s="156"/>
      <c r="U38" s="6"/>
    </row>
    <row r="39" spans="1:21" customFormat="1">
      <c r="A39" s="201" t="s">
        <v>270</v>
      </c>
      <c r="B39" s="6">
        <v>4.8899999999999997</v>
      </c>
      <c r="C39" s="6">
        <v>5.07</v>
      </c>
      <c r="D39" s="6">
        <v>9.9600000000000009</v>
      </c>
      <c r="E39" s="6">
        <v>5.37</v>
      </c>
      <c r="F39" s="6">
        <v>2.02</v>
      </c>
      <c r="G39" s="6">
        <v>22.89</v>
      </c>
      <c r="H39" s="6">
        <v>12.65</v>
      </c>
      <c r="I39" s="6">
        <v>7.04</v>
      </c>
      <c r="J39" s="6">
        <v>0.28999999999999998</v>
      </c>
      <c r="K39" s="6">
        <v>279.5</v>
      </c>
      <c r="L39" s="6">
        <v>24.69</v>
      </c>
      <c r="M39" s="6">
        <v>41.7</v>
      </c>
      <c r="N39" s="6">
        <v>93.4</v>
      </c>
      <c r="O39" s="6">
        <v>0</v>
      </c>
      <c r="P39" s="6">
        <v>0.31</v>
      </c>
      <c r="Q39" s="6">
        <v>10</v>
      </c>
      <c r="R39" s="6"/>
      <c r="S39" s="6"/>
      <c r="T39" s="156"/>
      <c r="U39" s="6"/>
    </row>
    <row r="40" spans="1:21" customFormat="1">
      <c r="A40" s="201" t="s">
        <v>271</v>
      </c>
      <c r="B40" s="6">
        <v>5.2</v>
      </c>
      <c r="C40" s="6">
        <v>5.16</v>
      </c>
      <c r="D40" s="6">
        <v>10.36</v>
      </c>
      <c r="E40" s="6">
        <v>5.82</v>
      </c>
      <c r="F40" s="6">
        <v>2</v>
      </c>
      <c r="G40" s="6">
        <v>22.89</v>
      </c>
      <c r="H40" s="6">
        <v>12.65</v>
      </c>
      <c r="I40" s="6">
        <v>7.17</v>
      </c>
      <c r="J40" s="6">
        <v>0.43</v>
      </c>
      <c r="K40" s="6">
        <v>267.74</v>
      </c>
      <c r="L40" s="6">
        <v>25.52</v>
      </c>
      <c r="M40" s="6">
        <v>42.01</v>
      </c>
      <c r="N40" s="6">
        <v>172.4</v>
      </c>
      <c r="O40" s="6">
        <v>0</v>
      </c>
      <c r="P40" s="6">
        <v>0.31</v>
      </c>
      <c r="Q40" s="6">
        <v>10</v>
      </c>
      <c r="R40" s="6"/>
      <c r="S40" s="6"/>
      <c r="T40" s="156"/>
      <c r="U40" s="6"/>
    </row>
    <row r="41" spans="1:21" customFormat="1">
      <c r="A41" s="201" t="s">
        <v>272</v>
      </c>
      <c r="B41" s="6">
        <v>5.3</v>
      </c>
      <c r="C41" s="6">
        <v>5.27</v>
      </c>
      <c r="D41" s="6">
        <v>10.57</v>
      </c>
      <c r="E41" s="6">
        <v>5.42</v>
      </c>
      <c r="F41" s="6">
        <v>2.2200000000000002</v>
      </c>
      <c r="G41" s="6">
        <v>22.89</v>
      </c>
      <c r="H41" s="6">
        <v>12.65</v>
      </c>
      <c r="I41" s="6">
        <v>7.29</v>
      </c>
      <c r="J41" s="6">
        <v>0.38</v>
      </c>
      <c r="K41" s="6">
        <v>274.24</v>
      </c>
      <c r="L41" s="6">
        <v>25.37</v>
      </c>
      <c r="M41" s="6">
        <v>41.46</v>
      </c>
      <c r="N41" s="6">
        <v>181.7</v>
      </c>
      <c r="O41" s="6">
        <v>0</v>
      </c>
      <c r="P41" s="6">
        <v>0.3</v>
      </c>
      <c r="Q41" s="6">
        <v>10</v>
      </c>
      <c r="R41" s="6"/>
      <c r="S41" s="6"/>
      <c r="T41" s="156"/>
      <c r="U41" s="6"/>
    </row>
    <row r="42" spans="1:21" customFormat="1">
      <c r="A42" s="201" t="s">
        <v>273</v>
      </c>
      <c r="B42" s="6">
        <v>5.49</v>
      </c>
      <c r="C42" s="6">
        <v>5.72</v>
      </c>
      <c r="D42" s="6">
        <v>11.2</v>
      </c>
      <c r="E42" s="6">
        <v>5.27</v>
      </c>
      <c r="F42" s="6">
        <v>3.07</v>
      </c>
      <c r="G42" s="6">
        <v>24.66</v>
      </c>
      <c r="H42" s="6">
        <v>10.09</v>
      </c>
      <c r="I42" s="6">
        <v>7.29</v>
      </c>
      <c r="J42" s="6">
        <v>0.4</v>
      </c>
      <c r="K42" s="6">
        <v>283.41000000000003</v>
      </c>
      <c r="L42" s="6">
        <v>26.52</v>
      </c>
      <c r="M42" s="6">
        <v>42.68</v>
      </c>
      <c r="N42" s="6">
        <v>248.4</v>
      </c>
      <c r="O42" s="6">
        <v>0</v>
      </c>
      <c r="P42" s="6">
        <v>0.28999999999999998</v>
      </c>
      <c r="Q42" s="6">
        <v>10</v>
      </c>
      <c r="R42" s="6"/>
      <c r="S42" s="6"/>
      <c r="T42" s="156"/>
      <c r="U42" s="6"/>
    </row>
    <row r="43" spans="1:21" customFormat="1">
      <c r="A43" s="201" t="s">
        <v>274</v>
      </c>
      <c r="B43" s="6">
        <v>5.59</v>
      </c>
      <c r="C43" s="6">
        <v>5.96</v>
      </c>
      <c r="D43" s="6">
        <v>11.55</v>
      </c>
      <c r="E43" s="6">
        <v>5.41</v>
      </c>
      <c r="F43" s="6">
        <v>3.75</v>
      </c>
      <c r="G43" s="6">
        <v>26.01</v>
      </c>
      <c r="H43" s="6">
        <v>9.2799999999999994</v>
      </c>
      <c r="I43" s="6">
        <v>7.19</v>
      </c>
      <c r="J43" s="6">
        <v>0.28999999999999998</v>
      </c>
      <c r="K43" s="6">
        <v>349.71</v>
      </c>
      <c r="L43" s="6">
        <v>20.78</v>
      </c>
      <c r="M43" s="6">
        <v>25.34</v>
      </c>
      <c r="N43" s="6">
        <v>367.8</v>
      </c>
      <c r="O43" s="6">
        <v>0</v>
      </c>
      <c r="P43" s="6">
        <v>0.27</v>
      </c>
      <c r="Q43" s="6">
        <v>10</v>
      </c>
      <c r="R43" s="6"/>
      <c r="S43" s="6"/>
      <c r="T43" s="156"/>
      <c r="U43" s="6"/>
    </row>
    <row r="44" spans="1:21" customFormat="1">
      <c r="A44" s="201" t="s">
        <v>275</v>
      </c>
      <c r="B44" s="6">
        <v>5.76</v>
      </c>
      <c r="C44" s="6">
        <v>6.43</v>
      </c>
      <c r="D44" s="6">
        <v>12.19</v>
      </c>
      <c r="E44" s="6">
        <v>6.24</v>
      </c>
      <c r="F44" s="6">
        <v>4.24</v>
      </c>
      <c r="G44" s="6">
        <v>26.01</v>
      </c>
      <c r="H44" s="6">
        <v>9.2799999999999994</v>
      </c>
      <c r="I44" s="6">
        <v>7.15</v>
      </c>
      <c r="J44" s="6">
        <v>0.21</v>
      </c>
      <c r="K44" s="6">
        <v>21.6</v>
      </c>
      <c r="L44" s="6">
        <v>17.73</v>
      </c>
      <c r="M44" s="6">
        <v>17.62</v>
      </c>
      <c r="N44" s="6">
        <v>372.7</v>
      </c>
      <c r="O44" s="6">
        <v>0</v>
      </c>
      <c r="P44" s="6">
        <v>0.28999999999999998</v>
      </c>
      <c r="Q44" s="6">
        <v>10.69</v>
      </c>
      <c r="R44" s="6"/>
      <c r="S44" s="6"/>
      <c r="T44" s="156"/>
      <c r="U44" s="6"/>
    </row>
    <row r="45" spans="1:21" customFormat="1">
      <c r="A45" s="201" t="s">
        <v>276</v>
      </c>
      <c r="B45" s="6">
        <v>5.94</v>
      </c>
      <c r="C45" s="6">
        <v>6.67</v>
      </c>
      <c r="D45" s="6">
        <v>12.61</v>
      </c>
      <c r="E45" s="6">
        <v>7.29</v>
      </c>
      <c r="F45" s="6">
        <v>4</v>
      </c>
      <c r="G45" s="6">
        <v>26.01</v>
      </c>
      <c r="H45" s="6">
        <v>9.2799999999999994</v>
      </c>
      <c r="I45" s="6">
        <v>7.15</v>
      </c>
      <c r="J45" s="6">
        <v>0.18</v>
      </c>
      <c r="K45" s="6">
        <v>11.06</v>
      </c>
      <c r="L45" s="6">
        <v>17.309999999999999</v>
      </c>
      <c r="M45" s="6">
        <v>17.21</v>
      </c>
      <c r="N45" s="6">
        <v>343.1</v>
      </c>
      <c r="O45" s="6">
        <v>0</v>
      </c>
      <c r="P45" s="6">
        <v>0.3</v>
      </c>
      <c r="Q45" s="6">
        <v>10.46</v>
      </c>
      <c r="R45" s="6"/>
      <c r="S45" s="6"/>
      <c r="T45" s="156"/>
      <c r="U45" s="6"/>
    </row>
    <row r="46" spans="1:21" customFormat="1">
      <c r="A46" s="201" t="s">
        <v>277</v>
      </c>
      <c r="B46" s="6">
        <v>5.91</v>
      </c>
      <c r="C46" s="6">
        <v>6.77</v>
      </c>
      <c r="D46" s="6">
        <v>12.68</v>
      </c>
      <c r="E46" s="6">
        <v>7.3</v>
      </c>
      <c r="F46" s="6">
        <v>3.37</v>
      </c>
      <c r="G46" s="6">
        <v>35.619999999999997</v>
      </c>
      <c r="H46" s="6">
        <v>17.309999999999999</v>
      </c>
      <c r="I46" s="6">
        <v>7.23</v>
      </c>
      <c r="J46" s="6">
        <v>0.42</v>
      </c>
      <c r="K46" s="6">
        <v>287.63</v>
      </c>
      <c r="L46" s="6">
        <v>29.47</v>
      </c>
      <c r="M46" s="6">
        <v>44.81</v>
      </c>
      <c r="N46" s="6">
        <v>473.7</v>
      </c>
      <c r="O46" s="6">
        <v>0</v>
      </c>
      <c r="P46" s="6">
        <v>0.3</v>
      </c>
      <c r="Q46" s="6">
        <v>9.8800000000000008</v>
      </c>
      <c r="R46" s="6"/>
      <c r="S46" s="6"/>
      <c r="T46" s="156"/>
      <c r="U46" s="6"/>
    </row>
    <row r="47" spans="1:21" customFormat="1">
      <c r="A47" s="201" t="s">
        <v>278</v>
      </c>
      <c r="B47" s="6">
        <v>6.12</v>
      </c>
      <c r="C47" s="6">
        <v>6.75</v>
      </c>
      <c r="D47" s="6">
        <v>12.87</v>
      </c>
      <c r="E47" s="6">
        <v>7.01</v>
      </c>
      <c r="F47" s="6">
        <v>2.64</v>
      </c>
      <c r="G47" s="6">
        <v>42.96</v>
      </c>
      <c r="H47" s="6">
        <v>19.829999999999998</v>
      </c>
      <c r="I47" s="6">
        <v>7.28</v>
      </c>
      <c r="J47" s="6">
        <v>0.38</v>
      </c>
      <c r="K47" s="6">
        <v>51.8</v>
      </c>
      <c r="L47" s="6">
        <v>14.18</v>
      </c>
      <c r="M47" s="6">
        <v>5.13</v>
      </c>
      <c r="N47" s="6">
        <v>522.6</v>
      </c>
      <c r="O47" s="6">
        <v>0</v>
      </c>
      <c r="P47" s="6">
        <v>0.34</v>
      </c>
      <c r="Q47" s="6">
        <v>10</v>
      </c>
      <c r="R47" s="6"/>
      <c r="S47" s="6"/>
      <c r="T47" s="156"/>
      <c r="U47" s="6"/>
    </row>
    <row r="48" spans="1:21" customFormat="1">
      <c r="A48" s="201" t="s">
        <v>279</v>
      </c>
      <c r="B48" s="6">
        <v>6.37</v>
      </c>
      <c r="C48" s="6">
        <v>6.92</v>
      </c>
      <c r="D48" s="6">
        <v>13.3</v>
      </c>
      <c r="E48" s="6">
        <v>9.23</v>
      </c>
      <c r="F48" s="6">
        <v>3.88</v>
      </c>
      <c r="G48" s="6">
        <v>42.96</v>
      </c>
      <c r="H48" s="6">
        <v>19.829999999999998</v>
      </c>
      <c r="I48" s="6">
        <v>7.32</v>
      </c>
      <c r="J48" s="6">
        <v>0.26</v>
      </c>
      <c r="K48" s="6">
        <v>46.51</v>
      </c>
      <c r="L48" s="6">
        <v>18.84</v>
      </c>
      <c r="M48" s="6">
        <v>16.11</v>
      </c>
      <c r="N48" s="6">
        <v>558</v>
      </c>
      <c r="O48" s="6">
        <v>0</v>
      </c>
      <c r="P48" s="6">
        <v>0.35</v>
      </c>
      <c r="Q48" s="6">
        <v>10</v>
      </c>
      <c r="R48" s="6"/>
      <c r="S48" s="6"/>
      <c r="T48" s="156"/>
      <c r="U48" s="6"/>
    </row>
    <row r="49" spans="1:21" customFormat="1">
      <c r="A49" s="201" t="s">
        <v>280</v>
      </c>
      <c r="B49" s="6">
        <v>6.49</v>
      </c>
      <c r="C49" s="6">
        <v>7.15</v>
      </c>
      <c r="D49" s="6">
        <v>13.64</v>
      </c>
      <c r="E49" s="6">
        <v>7.55</v>
      </c>
      <c r="F49" s="6">
        <v>4</v>
      </c>
      <c r="G49" s="6">
        <v>42.96</v>
      </c>
      <c r="H49" s="6">
        <v>19.829999999999998</v>
      </c>
      <c r="I49" s="6">
        <v>7.32</v>
      </c>
      <c r="J49" s="6">
        <v>0.25</v>
      </c>
      <c r="K49" s="6">
        <v>357.4</v>
      </c>
      <c r="L49" s="6">
        <v>18.43</v>
      </c>
      <c r="M49" s="6">
        <v>16.96</v>
      </c>
      <c r="N49" s="6">
        <v>472.5</v>
      </c>
      <c r="O49" s="6">
        <v>0</v>
      </c>
      <c r="P49" s="6">
        <v>0.35</v>
      </c>
      <c r="Q49" s="6">
        <v>10</v>
      </c>
      <c r="R49" s="6"/>
      <c r="S49" s="6"/>
      <c r="T49" s="156"/>
      <c r="U49" s="6"/>
    </row>
    <row r="50" spans="1:21" customFormat="1">
      <c r="A50" s="201" t="s">
        <v>281</v>
      </c>
      <c r="B50" s="6">
        <v>7.71</v>
      </c>
      <c r="C50" s="6">
        <v>8.84</v>
      </c>
      <c r="D50" s="6">
        <v>16.559999999999999</v>
      </c>
      <c r="E50" s="6">
        <v>11.78</v>
      </c>
      <c r="F50" s="6">
        <v>7.02</v>
      </c>
      <c r="G50" s="6">
        <v>50.11</v>
      </c>
      <c r="H50" s="6">
        <v>21.65</v>
      </c>
      <c r="I50" s="6">
        <v>7.19</v>
      </c>
      <c r="J50" s="6">
        <v>0.38</v>
      </c>
      <c r="K50" s="6">
        <v>28.85</v>
      </c>
      <c r="L50" s="6">
        <v>14.71</v>
      </c>
      <c r="M50" s="6">
        <v>6.08</v>
      </c>
      <c r="N50" s="6">
        <v>535.1</v>
      </c>
      <c r="O50" s="6">
        <v>0</v>
      </c>
      <c r="P50" s="6">
        <v>0.37</v>
      </c>
      <c r="Q50" s="6">
        <v>10</v>
      </c>
      <c r="R50" s="6"/>
      <c r="S50" s="6"/>
      <c r="T50" s="156"/>
      <c r="U50" s="6"/>
    </row>
    <row r="51" spans="1:21" customFormat="1">
      <c r="A51" s="201" t="s">
        <v>282</v>
      </c>
      <c r="B51" s="6">
        <v>6.73</v>
      </c>
      <c r="C51" s="6">
        <v>8.2799999999999994</v>
      </c>
      <c r="D51" s="6">
        <v>15.01</v>
      </c>
      <c r="E51" s="6">
        <v>8.39</v>
      </c>
      <c r="F51" s="6">
        <v>7.06</v>
      </c>
      <c r="G51" s="6">
        <v>55.57</v>
      </c>
      <c r="H51" s="6">
        <v>22.24</v>
      </c>
      <c r="I51" s="6">
        <v>7.24</v>
      </c>
      <c r="J51" s="6">
        <v>0.22</v>
      </c>
      <c r="K51" s="6">
        <v>49.52</v>
      </c>
      <c r="L51" s="6">
        <v>16.899999999999999</v>
      </c>
      <c r="M51" s="6">
        <v>14.32</v>
      </c>
      <c r="N51" s="6">
        <v>423.9</v>
      </c>
      <c r="O51" s="6">
        <v>0</v>
      </c>
      <c r="P51" s="6">
        <v>0.36</v>
      </c>
      <c r="Q51" s="6">
        <v>10</v>
      </c>
      <c r="R51" s="6"/>
      <c r="S51" s="6"/>
      <c r="T51" s="156"/>
      <c r="U51" s="6"/>
    </row>
    <row r="52" spans="1:21" customFormat="1">
      <c r="A52" s="201" t="s">
        <v>283</v>
      </c>
      <c r="B52" s="6">
        <v>6.26</v>
      </c>
      <c r="C52" s="6">
        <v>7.77</v>
      </c>
      <c r="D52" s="6">
        <v>14.03</v>
      </c>
      <c r="E52" s="6">
        <v>10.32</v>
      </c>
      <c r="F52" s="6">
        <v>6.16</v>
      </c>
      <c r="G52" s="6">
        <v>55.57</v>
      </c>
      <c r="H52" s="6">
        <v>22.24</v>
      </c>
      <c r="I52" s="6">
        <v>7.27</v>
      </c>
      <c r="J52" s="6">
        <v>0.11</v>
      </c>
      <c r="K52" s="6">
        <v>311.41000000000003</v>
      </c>
      <c r="L52" s="6">
        <v>19.97</v>
      </c>
      <c r="M52" s="6">
        <v>27.31</v>
      </c>
      <c r="N52" s="6">
        <v>202.2</v>
      </c>
      <c r="O52" s="6">
        <v>0</v>
      </c>
      <c r="P52" s="6">
        <v>0.35</v>
      </c>
      <c r="Q52" s="6">
        <v>10</v>
      </c>
      <c r="R52" s="6"/>
      <c r="S52" s="6"/>
      <c r="T52" s="156"/>
      <c r="U52" s="6"/>
    </row>
    <row r="53" spans="1:21" customFormat="1">
      <c r="A53" s="201" t="s">
        <v>284</v>
      </c>
      <c r="B53" s="6">
        <v>6.04</v>
      </c>
      <c r="C53" s="6">
        <v>7.93</v>
      </c>
      <c r="D53" s="6">
        <v>13.97</v>
      </c>
      <c r="E53" s="6">
        <v>8.75</v>
      </c>
      <c r="F53" s="6">
        <v>8.0299999999999994</v>
      </c>
      <c r="G53" s="6">
        <v>55.57</v>
      </c>
      <c r="H53" s="6">
        <v>22.24</v>
      </c>
      <c r="I53" s="6">
        <v>7.12</v>
      </c>
      <c r="J53" s="6">
        <v>0.21</v>
      </c>
      <c r="K53" s="6">
        <v>35.28</v>
      </c>
      <c r="L53" s="6">
        <v>13.43</v>
      </c>
      <c r="M53" s="6">
        <v>11.26</v>
      </c>
      <c r="N53" s="6">
        <v>184.6</v>
      </c>
      <c r="O53" s="6">
        <v>0</v>
      </c>
      <c r="P53" s="6">
        <v>0.36</v>
      </c>
      <c r="Q53" s="6">
        <v>10.38</v>
      </c>
      <c r="R53" s="6"/>
      <c r="S53" s="6"/>
      <c r="T53" s="156"/>
      <c r="U53" s="6"/>
    </row>
    <row r="54" spans="1:21" customFormat="1">
      <c r="A54" s="201" t="s">
        <v>285</v>
      </c>
      <c r="B54" s="6">
        <v>5.85</v>
      </c>
      <c r="C54" s="6">
        <v>7.68</v>
      </c>
      <c r="D54" s="6">
        <v>13.54</v>
      </c>
      <c r="E54" s="6">
        <v>6.86</v>
      </c>
      <c r="F54" s="6">
        <v>6.25</v>
      </c>
      <c r="G54" s="6">
        <v>61.34</v>
      </c>
      <c r="H54" s="6">
        <v>23.95</v>
      </c>
      <c r="I54" s="6">
        <v>7.1</v>
      </c>
      <c r="J54" s="6">
        <v>0.25</v>
      </c>
      <c r="K54" s="6">
        <v>353.89</v>
      </c>
      <c r="L54" s="6">
        <v>19.32</v>
      </c>
      <c r="M54" s="6">
        <v>25.39</v>
      </c>
      <c r="N54" s="6">
        <v>233.3</v>
      </c>
      <c r="O54" s="6">
        <v>0</v>
      </c>
      <c r="P54" s="6">
        <v>0.36</v>
      </c>
      <c r="Q54" s="6">
        <v>11.61</v>
      </c>
      <c r="R54" s="6"/>
      <c r="S54" s="6"/>
      <c r="T54" s="156"/>
      <c r="U54" s="6"/>
    </row>
    <row r="55" spans="1:21" customFormat="1">
      <c r="A55" s="201" t="s">
        <v>286</v>
      </c>
      <c r="B55" s="6">
        <v>5.81</v>
      </c>
      <c r="C55" s="6">
        <v>7.94</v>
      </c>
      <c r="D55" s="6">
        <v>13.75</v>
      </c>
      <c r="E55" s="6">
        <v>6.35</v>
      </c>
      <c r="F55" s="6">
        <v>6.07</v>
      </c>
      <c r="G55" s="6">
        <v>65.55</v>
      </c>
      <c r="H55" s="6">
        <v>25.01</v>
      </c>
      <c r="I55" s="6">
        <v>6.94</v>
      </c>
      <c r="J55" s="6">
        <v>0.28000000000000003</v>
      </c>
      <c r="K55" s="6">
        <v>7.96</v>
      </c>
      <c r="L55" s="6">
        <v>19.899999999999999</v>
      </c>
      <c r="M55" s="6">
        <v>19.57</v>
      </c>
      <c r="N55" s="6">
        <v>516.9</v>
      </c>
      <c r="O55" s="6">
        <v>0</v>
      </c>
      <c r="P55" s="6">
        <v>0.36</v>
      </c>
      <c r="Q55" s="6">
        <v>12.47</v>
      </c>
      <c r="R55" s="6"/>
      <c r="S55" s="6"/>
      <c r="T55" s="156"/>
      <c r="U55" s="6"/>
    </row>
    <row r="56" spans="1:21" customFormat="1">
      <c r="A56" s="201" t="s">
        <v>287</v>
      </c>
      <c r="B56" s="6">
        <v>5.68</v>
      </c>
      <c r="C56" s="6">
        <v>7.7</v>
      </c>
      <c r="D56" s="6">
        <v>13.39</v>
      </c>
      <c r="E56" s="6">
        <v>6.87</v>
      </c>
      <c r="F56" s="6">
        <v>5.59</v>
      </c>
      <c r="G56" s="6">
        <v>65.55</v>
      </c>
      <c r="H56" s="6">
        <v>25.01</v>
      </c>
      <c r="I56" s="6">
        <v>6.7</v>
      </c>
      <c r="J56" s="6">
        <v>0.3</v>
      </c>
      <c r="K56" s="6">
        <v>9.44</v>
      </c>
      <c r="L56" s="6">
        <v>16.72</v>
      </c>
      <c r="M56" s="6">
        <v>16.71</v>
      </c>
      <c r="N56" s="6">
        <v>298.3</v>
      </c>
      <c r="O56" s="6">
        <v>0</v>
      </c>
      <c r="P56" s="6">
        <v>0.38</v>
      </c>
      <c r="Q56" s="6">
        <v>10.84</v>
      </c>
      <c r="R56" s="6"/>
      <c r="S56" s="6"/>
      <c r="T56" s="156"/>
      <c r="U56" s="6"/>
    </row>
    <row r="57" spans="1:21" customFormat="1">
      <c r="A57" s="201" t="s">
        <v>288</v>
      </c>
      <c r="B57" s="6">
        <v>5.45</v>
      </c>
      <c r="C57" s="6">
        <v>7.78</v>
      </c>
      <c r="D57" s="6">
        <v>13.23</v>
      </c>
      <c r="E57" s="6">
        <v>6.49</v>
      </c>
      <c r="F57" s="6">
        <v>4.93</v>
      </c>
      <c r="G57" s="6">
        <v>65.55</v>
      </c>
      <c r="H57" s="6">
        <v>25.01</v>
      </c>
      <c r="I57" s="6">
        <v>6.7</v>
      </c>
      <c r="J57" s="6">
        <v>0.24</v>
      </c>
      <c r="K57" s="6">
        <v>30.25</v>
      </c>
      <c r="L57" s="6">
        <v>15.41</v>
      </c>
      <c r="M57" s="6">
        <v>18.61</v>
      </c>
      <c r="N57" s="6">
        <v>79.3</v>
      </c>
      <c r="O57" s="6">
        <v>0</v>
      </c>
      <c r="P57" s="6">
        <v>0.39</v>
      </c>
      <c r="Q57" s="6">
        <v>11.47</v>
      </c>
      <c r="R57" s="6"/>
      <c r="S57" s="6"/>
      <c r="T57" s="156"/>
      <c r="U57" s="6"/>
    </row>
    <row r="58" spans="1:21" customFormat="1">
      <c r="A58" s="201" t="s">
        <v>289</v>
      </c>
      <c r="B58" s="6">
        <v>5.36</v>
      </c>
      <c r="C58" s="6">
        <v>8.0399999999999991</v>
      </c>
      <c r="D58" s="6">
        <v>13.4</v>
      </c>
      <c r="E58" s="6">
        <v>6.63</v>
      </c>
      <c r="F58" s="6">
        <v>3.75</v>
      </c>
      <c r="G58" s="6">
        <v>63.05</v>
      </c>
      <c r="H58" s="6">
        <v>22.01</v>
      </c>
      <c r="I58" s="6">
        <v>6.67</v>
      </c>
      <c r="J58" s="6">
        <v>0.25</v>
      </c>
      <c r="K58" s="6">
        <v>31.03</v>
      </c>
      <c r="L58" s="6">
        <v>11.36</v>
      </c>
      <c r="M58" s="6">
        <v>9.01</v>
      </c>
      <c r="N58" s="6">
        <v>52.7</v>
      </c>
      <c r="O58" s="6">
        <v>0</v>
      </c>
      <c r="P58" s="6">
        <v>0.39</v>
      </c>
      <c r="Q58" s="6">
        <v>10.85</v>
      </c>
      <c r="R58" s="6"/>
      <c r="S58" s="6"/>
      <c r="T58" s="156"/>
      <c r="U58" s="6"/>
    </row>
    <row r="59" spans="1:21" customFormat="1">
      <c r="A59" s="201" t="s">
        <v>290</v>
      </c>
      <c r="B59" s="6">
        <v>5.3</v>
      </c>
      <c r="C59" s="6">
        <v>8.23</v>
      </c>
      <c r="D59" s="6">
        <v>13.53</v>
      </c>
      <c r="E59" s="6">
        <v>6.96</v>
      </c>
      <c r="F59" s="6">
        <v>2.8</v>
      </c>
      <c r="G59" s="6">
        <v>61.23</v>
      </c>
      <c r="H59" s="6">
        <v>21.07</v>
      </c>
      <c r="I59" s="6">
        <v>6.66</v>
      </c>
      <c r="J59" s="6">
        <v>0.09</v>
      </c>
      <c r="K59" s="6">
        <v>344.83</v>
      </c>
      <c r="L59" s="6">
        <v>21.18</v>
      </c>
      <c r="M59" s="6">
        <v>32.909999999999997</v>
      </c>
      <c r="N59" s="6">
        <v>87.1</v>
      </c>
      <c r="O59" s="6">
        <v>0</v>
      </c>
      <c r="P59" s="6">
        <v>0.38</v>
      </c>
      <c r="Q59" s="6">
        <v>10</v>
      </c>
      <c r="R59" s="6"/>
      <c r="S59" s="6"/>
      <c r="T59" s="156"/>
      <c r="U59" s="6"/>
    </row>
    <row r="60" spans="1:21" customFormat="1">
      <c r="A60" s="201" t="s">
        <v>291</v>
      </c>
      <c r="B60" s="6">
        <v>5.1100000000000003</v>
      </c>
      <c r="C60" s="6">
        <v>8.17</v>
      </c>
      <c r="D60" s="6">
        <v>13.27</v>
      </c>
      <c r="E60" s="6">
        <v>6.92</v>
      </c>
      <c r="F60" s="6">
        <v>3.25</v>
      </c>
      <c r="G60" s="6">
        <v>61.23</v>
      </c>
      <c r="H60" s="6">
        <v>21.07</v>
      </c>
      <c r="I60" s="6">
        <v>6.8</v>
      </c>
      <c r="J60" s="6">
        <v>0.18</v>
      </c>
      <c r="K60" s="6">
        <v>269.11</v>
      </c>
      <c r="L60" s="6">
        <v>22.26</v>
      </c>
      <c r="M60" s="6">
        <v>33.909999999999997</v>
      </c>
      <c r="N60" s="6">
        <v>165.1</v>
      </c>
      <c r="O60" s="6">
        <v>0</v>
      </c>
      <c r="P60" s="6">
        <v>0.39</v>
      </c>
      <c r="Q60" s="6">
        <v>10.17</v>
      </c>
      <c r="R60" s="6"/>
      <c r="S60" s="6"/>
      <c r="T60" s="156"/>
      <c r="U60" s="6"/>
    </row>
    <row r="61" spans="1:21" customFormat="1">
      <c r="A61" s="201" t="s">
        <v>292</v>
      </c>
      <c r="B61" s="6">
        <v>4.82</v>
      </c>
      <c r="C61" s="6">
        <v>7.72</v>
      </c>
      <c r="D61" s="6">
        <v>12.53</v>
      </c>
      <c r="E61" s="6">
        <v>6.47</v>
      </c>
      <c r="F61" s="6">
        <v>3.32</v>
      </c>
      <c r="G61" s="6">
        <v>61.23</v>
      </c>
      <c r="H61" s="6">
        <v>21.07</v>
      </c>
      <c r="I61" s="6">
        <v>6.51</v>
      </c>
      <c r="J61" s="6">
        <v>0.26</v>
      </c>
      <c r="K61" s="6">
        <v>228.27</v>
      </c>
      <c r="L61" s="6">
        <v>20.56</v>
      </c>
      <c r="M61" s="6">
        <v>32.42</v>
      </c>
      <c r="N61" s="6">
        <v>51.9</v>
      </c>
      <c r="O61" s="6">
        <v>0</v>
      </c>
      <c r="P61" s="6">
        <v>0.39</v>
      </c>
      <c r="Q61" s="6">
        <v>10</v>
      </c>
      <c r="R61" s="6"/>
      <c r="S61" s="6"/>
      <c r="T61" s="156"/>
      <c r="U61" s="6"/>
    </row>
    <row r="62" spans="1:21" customFormat="1">
      <c r="A62" s="201" t="s">
        <v>293</v>
      </c>
      <c r="B62" s="6">
        <v>4.57</v>
      </c>
      <c r="C62" s="6">
        <v>7.28</v>
      </c>
      <c r="D62" s="6">
        <v>11.85</v>
      </c>
      <c r="E62" s="6">
        <v>6.22</v>
      </c>
      <c r="F62" s="6">
        <v>2.83</v>
      </c>
      <c r="G62" s="6">
        <v>59.5</v>
      </c>
      <c r="H62" s="6">
        <v>23.38</v>
      </c>
      <c r="I62" s="6">
        <v>6.45</v>
      </c>
      <c r="J62" s="6">
        <v>0.45</v>
      </c>
      <c r="K62" s="6">
        <v>250.23</v>
      </c>
      <c r="L62" s="6">
        <v>22.53</v>
      </c>
      <c r="M62" s="6">
        <v>37.42</v>
      </c>
      <c r="N62" s="6">
        <v>46.1</v>
      </c>
      <c r="O62" s="6">
        <v>0</v>
      </c>
      <c r="P62" s="6">
        <v>0.39</v>
      </c>
      <c r="Q62" s="6">
        <v>10</v>
      </c>
      <c r="R62" s="6"/>
      <c r="S62" s="6"/>
      <c r="T62" s="156"/>
      <c r="U62" s="6"/>
    </row>
    <row r="63" spans="1:21" customFormat="1">
      <c r="A63" s="201" t="s">
        <v>294</v>
      </c>
      <c r="B63" s="6">
        <v>4.28</v>
      </c>
      <c r="C63" s="6">
        <v>6.99</v>
      </c>
      <c r="D63" s="6">
        <v>11.27</v>
      </c>
      <c r="E63" s="6">
        <v>6.1</v>
      </c>
      <c r="F63" s="6">
        <v>2.56</v>
      </c>
      <c r="G63" s="6">
        <v>58.18</v>
      </c>
      <c r="H63" s="6">
        <v>24.11</v>
      </c>
      <c r="I63" s="6">
        <v>6.51</v>
      </c>
      <c r="J63" s="6">
        <v>0.41</v>
      </c>
      <c r="K63" s="6">
        <v>248.26</v>
      </c>
      <c r="L63" s="6">
        <v>22.17</v>
      </c>
      <c r="M63" s="6">
        <v>36.49</v>
      </c>
      <c r="N63" s="6">
        <v>47.3</v>
      </c>
      <c r="O63" s="6">
        <v>0</v>
      </c>
      <c r="P63" s="6">
        <v>0.38</v>
      </c>
      <c r="Q63" s="6">
        <v>10</v>
      </c>
      <c r="R63" s="6"/>
      <c r="S63" s="6"/>
      <c r="T63" s="156"/>
      <c r="U63" s="6"/>
    </row>
    <row r="64" spans="1:21" customFormat="1">
      <c r="A64" s="201" t="s">
        <v>295</v>
      </c>
      <c r="B64" s="6">
        <v>4.01</v>
      </c>
      <c r="C64" s="6">
        <v>6.7</v>
      </c>
      <c r="D64" s="6">
        <v>10.7</v>
      </c>
      <c r="E64" s="6">
        <v>6.02</v>
      </c>
      <c r="F64" s="6">
        <v>2.75</v>
      </c>
      <c r="G64" s="6">
        <v>58.18</v>
      </c>
      <c r="H64" s="6">
        <v>24.11</v>
      </c>
      <c r="I64" s="6">
        <v>6.49</v>
      </c>
      <c r="J64" s="6">
        <v>0.73</v>
      </c>
      <c r="K64" s="6">
        <v>253.81</v>
      </c>
      <c r="L64" s="6">
        <v>22.8</v>
      </c>
      <c r="M64" s="6">
        <v>38.340000000000003</v>
      </c>
      <c r="N64" s="6">
        <v>38.1</v>
      </c>
      <c r="O64" s="6">
        <v>0</v>
      </c>
      <c r="P64" s="6">
        <v>0.37</v>
      </c>
      <c r="Q64" s="6">
        <v>10</v>
      </c>
      <c r="R64" s="6"/>
      <c r="S64" s="6"/>
      <c r="T64" s="156"/>
      <c r="U64" s="6"/>
    </row>
    <row r="65" spans="1:21" customFormat="1">
      <c r="A65" s="201" t="s">
        <v>296</v>
      </c>
      <c r="B65" s="6">
        <v>3.67</v>
      </c>
      <c r="C65" s="6">
        <v>6.52</v>
      </c>
      <c r="D65" s="6">
        <v>10.199999999999999</v>
      </c>
      <c r="E65" s="6">
        <v>6.04</v>
      </c>
      <c r="F65" s="6">
        <v>2.35</v>
      </c>
      <c r="G65" s="6">
        <v>58.18</v>
      </c>
      <c r="H65" s="6">
        <v>24.11</v>
      </c>
      <c r="I65" s="6">
        <v>6.4</v>
      </c>
      <c r="J65" s="6">
        <v>0.57999999999999996</v>
      </c>
      <c r="K65" s="6">
        <v>252.07</v>
      </c>
      <c r="L65" s="6">
        <v>21.69</v>
      </c>
      <c r="M65" s="6">
        <v>35.72</v>
      </c>
      <c r="N65" s="6">
        <v>29</v>
      </c>
      <c r="O65" s="6">
        <v>0</v>
      </c>
      <c r="P65" s="6">
        <v>0.3</v>
      </c>
      <c r="Q65" s="6">
        <v>9.98</v>
      </c>
      <c r="R65" s="6"/>
      <c r="S65" s="6"/>
      <c r="T65" s="156"/>
      <c r="U65" s="6"/>
    </row>
    <row r="66" spans="1:21" customFormat="1">
      <c r="A66" s="201" t="s">
        <v>297</v>
      </c>
      <c r="B66" s="6">
        <v>3.41</v>
      </c>
      <c r="C66" s="6">
        <v>6.33</v>
      </c>
      <c r="D66" s="6">
        <v>9.74</v>
      </c>
      <c r="E66" s="6">
        <v>5.87</v>
      </c>
      <c r="F66" s="6">
        <v>2.5499999999999998</v>
      </c>
      <c r="G66" s="6">
        <v>50.53</v>
      </c>
      <c r="H66" s="6">
        <v>19.34</v>
      </c>
      <c r="I66" s="6">
        <v>6.29</v>
      </c>
      <c r="J66" s="6">
        <v>7.0000000000000007E-2</v>
      </c>
      <c r="K66" s="6">
        <v>289.10000000000002</v>
      </c>
      <c r="L66" s="6">
        <v>18.760000000000002</v>
      </c>
      <c r="M66" s="6">
        <v>28.48</v>
      </c>
      <c r="N66" s="6">
        <v>22.4</v>
      </c>
      <c r="O66" s="6">
        <v>0</v>
      </c>
      <c r="P66" s="6">
        <v>0.31</v>
      </c>
      <c r="Q66" s="6">
        <v>10</v>
      </c>
      <c r="R66" s="6"/>
      <c r="S66" s="6"/>
      <c r="T66" s="156"/>
      <c r="U66" s="6"/>
    </row>
    <row r="67" spans="1:21" customFormat="1">
      <c r="A67" s="201" t="s">
        <v>298</v>
      </c>
      <c r="B67" s="6">
        <v>3.23</v>
      </c>
      <c r="C67" s="6">
        <v>6.22</v>
      </c>
      <c r="D67" s="6">
        <v>9.4499999999999993</v>
      </c>
      <c r="E67" s="6">
        <v>5.93</v>
      </c>
      <c r="F67" s="6">
        <v>2.12</v>
      </c>
      <c r="G67" s="6">
        <v>44.67</v>
      </c>
      <c r="H67" s="6">
        <v>17.84</v>
      </c>
      <c r="I67" s="6">
        <v>6.15</v>
      </c>
      <c r="J67" s="6">
        <v>0.6</v>
      </c>
      <c r="K67" s="6">
        <v>263.27</v>
      </c>
      <c r="L67" s="6">
        <v>22.92</v>
      </c>
      <c r="M67" s="6">
        <v>38.94</v>
      </c>
      <c r="N67" s="6">
        <v>21.9</v>
      </c>
      <c r="O67" s="6">
        <v>0</v>
      </c>
      <c r="P67" s="6">
        <v>0.32</v>
      </c>
      <c r="Q67" s="6">
        <v>9.92</v>
      </c>
      <c r="R67" s="6"/>
      <c r="S67" s="6"/>
      <c r="T67" s="156"/>
      <c r="U67" s="6"/>
    </row>
    <row r="68" spans="1:21" customFormat="1">
      <c r="A68" s="201" t="s">
        <v>299</v>
      </c>
      <c r="B68" s="6">
        <v>3.08</v>
      </c>
      <c r="C68" s="6">
        <v>6.1</v>
      </c>
      <c r="D68" s="6">
        <v>9.17</v>
      </c>
      <c r="E68" s="6">
        <v>5.83</v>
      </c>
      <c r="F68" s="6">
        <v>2.0499999999999998</v>
      </c>
      <c r="G68" s="6">
        <v>44.67</v>
      </c>
      <c r="H68" s="6">
        <v>17.84</v>
      </c>
      <c r="I68" s="6">
        <v>5.99</v>
      </c>
      <c r="J68" s="6">
        <v>0.21</v>
      </c>
      <c r="K68" s="6">
        <v>216.46</v>
      </c>
      <c r="L68" s="6">
        <v>19.53</v>
      </c>
      <c r="M68" s="6">
        <v>30.5</v>
      </c>
      <c r="N68" s="6">
        <v>23.4</v>
      </c>
      <c r="O68" s="6">
        <v>0</v>
      </c>
      <c r="P68" s="6">
        <v>0.3</v>
      </c>
      <c r="Q68" s="6">
        <v>10</v>
      </c>
      <c r="R68" s="6"/>
      <c r="S68" s="6"/>
      <c r="T68" s="156"/>
      <c r="U68" s="6"/>
    </row>
    <row r="69" spans="1:21" customFormat="1">
      <c r="A69" s="201" t="s">
        <v>300</v>
      </c>
      <c r="B69" s="6">
        <v>2.94</v>
      </c>
      <c r="C69" s="6">
        <v>5.95</v>
      </c>
      <c r="D69" s="6">
        <v>8.89</v>
      </c>
      <c r="E69" s="6">
        <v>5.79</v>
      </c>
      <c r="F69" s="6">
        <v>2.0499999999999998</v>
      </c>
      <c r="G69" s="6">
        <v>44.67</v>
      </c>
      <c r="H69" s="6">
        <v>17.84</v>
      </c>
      <c r="I69" s="6">
        <v>5.92</v>
      </c>
      <c r="J69" s="6">
        <v>0.24</v>
      </c>
      <c r="K69" s="6">
        <v>230.19</v>
      </c>
      <c r="L69" s="6">
        <v>19.98</v>
      </c>
      <c r="M69" s="6">
        <v>31.5</v>
      </c>
      <c r="N69" s="6">
        <v>27.2</v>
      </c>
      <c r="O69" s="6">
        <v>0</v>
      </c>
      <c r="P69" s="6">
        <v>0.28999999999999998</v>
      </c>
      <c r="Q69" s="6">
        <v>10</v>
      </c>
      <c r="R69" s="6"/>
      <c r="S69" s="6"/>
      <c r="T69" s="156"/>
      <c r="U69" s="6"/>
    </row>
    <row r="70" spans="1:21" customFormat="1">
      <c r="A70" s="201" t="s">
        <v>301</v>
      </c>
      <c r="B70" s="6">
        <v>2.85</v>
      </c>
      <c r="C70" s="6">
        <v>5.76</v>
      </c>
      <c r="D70" s="6">
        <v>8.61</v>
      </c>
      <c r="E70" s="6">
        <v>6.15</v>
      </c>
      <c r="F70" s="6">
        <v>2.13</v>
      </c>
      <c r="G70" s="6">
        <v>40.33</v>
      </c>
      <c r="H70" s="6">
        <v>17.12</v>
      </c>
      <c r="I70" s="6">
        <v>5.82</v>
      </c>
      <c r="J70" s="6">
        <v>0.47</v>
      </c>
      <c r="K70" s="6">
        <v>249.14</v>
      </c>
      <c r="L70" s="6">
        <v>21.77</v>
      </c>
      <c r="M70" s="6">
        <v>35.729999999999997</v>
      </c>
      <c r="N70" s="6">
        <v>39.5</v>
      </c>
      <c r="O70" s="6">
        <v>0</v>
      </c>
      <c r="P70" s="6">
        <v>0.28000000000000003</v>
      </c>
      <c r="Q70" s="6">
        <v>10.46</v>
      </c>
      <c r="R70" s="6"/>
      <c r="S70" s="6"/>
      <c r="T70" s="156"/>
      <c r="U70" s="6"/>
    </row>
    <row r="71" spans="1:21" customFormat="1">
      <c r="A71" s="201" t="s">
        <v>302</v>
      </c>
      <c r="B71" s="6">
        <v>2.77</v>
      </c>
      <c r="C71" s="6">
        <v>5.65</v>
      </c>
      <c r="D71" s="6">
        <v>8.42</v>
      </c>
      <c r="E71" s="6">
        <v>5.91</v>
      </c>
      <c r="F71" s="6">
        <v>2.04</v>
      </c>
      <c r="G71" s="6">
        <v>37.01</v>
      </c>
      <c r="H71" s="6">
        <v>16.7</v>
      </c>
      <c r="I71" s="6">
        <v>5.72</v>
      </c>
      <c r="J71" s="6">
        <v>0.27</v>
      </c>
      <c r="K71" s="6">
        <v>232.49</v>
      </c>
      <c r="L71" s="6">
        <v>20.329999999999998</v>
      </c>
      <c r="M71" s="6">
        <v>31.58</v>
      </c>
      <c r="N71" s="6">
        <v>63</v>
      </c>
      <c r="O71" s="6">
        <v>0</v>
      </c>
      <c r="P71" s="6">
        <v>0.27</v>
      </c>
      <c r="Q71" s="6">
        <v>11.01</v>
      </c>
      <c r="R71" s="6"/>
      <c r="S71" s="6"/>
      <c r="T71" s="156"/>
      <c r="U71" s="6"/>
    </row>
    <row r="72" spans="1:21" customFormat="1">
      <c r="A72" s="201" t="s">
        <v>303</v>
      </c>
      <c r="B72" s="6">
        <v>2.67</v>
      </c>
      <c r="C72" s="6">
        <v>5.58</v>
      </c>
      <c r="D72" s="6">
        <v>8.26</v>
      </c>
      <c r="E72" s="6">
        <v>6.02</v>
      </c>
      <c r="F72" s="6">
        <v>2.17</v>
      </c>
      <c r="G72" s="6">
        <v>37.01</v>
      </c>
      <c r="H72" s="6">
        <v>16.7</v>
      </c>
      <c r="I72" s="6">
        <v>5.61</v>
      </c>
      <c r="J72" s="6">
        <v>0.18</v>
      </c>
      <c r="K72" s="6">
        <v>248.61</v>
      </c>
      <c r="L72" s="6">
        <v>21.2</v>
      </c>
      <c r="M72" s="6">
        <v>33.57</v>
      </c>
      <c r="N72" s="6">
        <v>68.599999999999994</v>
      </c>
      <c r="O72" s="6">
        <v>0</v>
      </c>
      <c r="P72" s="6">
        <v>0.26</v>
      </c>
      <c r="Q72" s="6">
        <v>10</v>
      </c>
      <c r="R72" s="6"/>
      <c r="S72" s="6"/>
      <c r="T72" s="156"/>
      <c r="U72" s="6"/>
    </row>
    <row r="73" spans="1:21" customFormat="1">
      <c r="A73" s="201" t="s">
        <v>304</v>
      </c>
      <c r="B73" s="6">
        <v>2.75</v>
      </c>
      <c r="C73" s="6">
        <v>5.82</v>
      </c>
      <c r="D73" s="6">
        <v>8.57</v>
      </c>
      <c r="E73" s="6">
        <v>6.13</v>
      </c>
      <c r="F73" s="6">
        <v>2.16</v>
      </c>
      <c r="G73" s="6">
        <v>37.01</v>
      </c>
      <c r="H73" s="6">
        <v>16.7</v>
      </c>
      <c r="I73" s="6">
        <v>5.55</v>
      </c>
      <c r="J73" s="6">
        <v>0.47</v>
      </c>
      <c r="K73" s="6">
        <v>300.97000000000003</v>
      </c>
      <c r="L73" s="6">
        <v>26.55</v>
      </c>
      <c r="M73" s="6">
        <v>47.16</v>
      </c>
      <c r="N73" s="6">
        <v>58.1</v>
      </c>
      <c r="O73" s="6">
        <v>0</v>
      </c>
      <c r="P73" s="6">
        <v>0.26</v>
      </c>
      <c r="Q73" s="6">
        <v>10</v>
      </c>
      <c r="R73" s="6"/>
      <c r="S73" s="6"/>
      <c r="T73" s="156"/>
      <c r="U73" s="6"/>
    </row>
    <row r="74" spans="1:21" customFormat="1">
      <c r="A74" s="201" t="s">
        <v>305</v>
      </c>
      <c r="B74" s="6">
        <v>3</v>
      </c>
      <c r="C74" s="6">
        <v>6.21</v>
      </c>
      <c r="D74" s="6">
        <v>9.2100000000000009</v>
      </c>
      <c r="E74" s="6">
        <v>6.02</v>
      </c>
      <c r="F74" s="6">
        <v>2.13</v>
      </c>
      <c r="G74" s="6">
        <v>33.93</v>
      </c>
      <c r="H74" s="6">
        <v>15.1</v>
      </c>
      <c r="I74" s="6">
        <v>5.43</v>
      </c>
      <c r="J74" s="6">
        <v>1.03</v>
      </c>
      <c r="K74" s="6">
        <v>296.67</v>
      </c>
      <c r="L74" s="6">
        <v>25.87</v>
      </c>
      <c r="M74" s="6">
        <v>45.87</v>
      </c>
      <c r="N74" s="6">
        <v>42.2</v>
      </c>
      <c r="O74" s="6">
        <v>0</v>
      </c>
      <c r="P74" s="6">
        <v>0.27</v>
      </c>
      <c r="Q74" s="6">
        <v>10</v>
      </c>
      <c r="R74" s="6"/>
      <c r="S74" s="6"/>
      <c r="T74" s="156"/>
      <c r="U74" s="6"/>
    </row>
    <row r="75" spans="1:21" customFormat="1">
      <c r="A75" s="201" t="s">
        <v>306</v>
      </c>
      <c r="B75" s="6">
        <v>3.17</v>
      </c>
      <c r="C75" s="6">
        <v>6.19</v>
      </c>
      <c r="D75" s="6">
        <v>9.35</v>
      </c>
      <c r="E75" s="6">
        <v>6.02</v>
      </c>
      <c r="F75" s="6">
        <v>3.6</v>
      </c>
      <c r="G75" s="6">
        <v>31.57</v>
      </c>
      <c r="H75" s="6">
        <v>14.6</v>
      </c>
      <c r="I75" s="6">
        <v>5.45</v>
      </c>
      <c r="J75" s="6">
        <v>0.86</v>
      </c>
      <c r="K75" s="6">
        <v>330.77</v>
      </c>
      <c r="L75" s="6">
        <v>19.71</v>
      </c>
      <c r="M75" s="6">
        <v>30.45</v>
      </c>
      <c r="N75" s="6">
        <v>38.700000000000003</v>
      </c>
      <c r="O75" s="6">
        <v>0</v>
      </c>
      <c r="P75" s="6">
        <v>0.23</v>
      </c>
      <c r="Q75" s="6">
        <v>10</v>
      </c>
      <c r="R75" s="6"/>
      <c r="S75" s="6"/>
      <c r="T75" s="156"/>
      <c r="U75" s="6"/>
    </row>
    <row r="76" spans="1:21" customFormat="1">
      <c r="A76" s="201" t="s">
        <v>307</v>
      </c>
      <c r="B76" s="6">
        <v>3.43</v>
      </c>
      <c r="C76" s="6">
        <v>6.24</v>
      </c>
      <c r="D76" s="6">
        <v>9.67</v>
      </c>
      <c r="E76" s="6">
        <v>6.89</v>
      </c>
      <c r="F76" s="6">
        <v>4.42</v>
      </c>
      <c r="G76" s="6">
        <v>31.57</v>
      </c>
      <c r="H76" s="6">
        <v>14.6</v>
      </c>
      <c r="I76" s="6">
        <v>5.51</v>
      </c>
      <c r="J76" s="6">
        <v>0.53</v>
      </c>
      <c r="K76" s="6">
        <v>13.81</v>
      </c>
      <c r="L76" s="6">
        <v>13.96</v>
      </c>
      <c r="M76" s="6">
        <v>16.149999999999999</v>
      </c>
      <c r="N76" s="6">
        <v>28.4</v>
      </c>
      <c r="O76" s="6">
        <v>0</v>
      </c>
      <c r="P76" s="6">
        <v>0.23</v>
      </c>
      <c r="Q76" s="6">
        <v>10.31</v>
      </c>
      <c r="R76" s="6"/>
      <c r="S76" s="6"/>
      <c r="T76" s="156"/>
      <c r="U76" s="6"/>
    </row>
    <row r="77" spans="1:21" customFormat="1">
      <c r="A77" s="201" t="s">
        <v>308</v>
      </c>
      <c r="B77" s="6">
        <v>3.97</v>
      </c>
      <c r="C77" s="6">
        <v>7.01</v>
      </c>
      <c r="D77" s="6">
        <v>10.97</v>
      </c>
      <c r="E77" s="6">
        <v>8.48</v>
      </c>
      <c r="F77" s="6">
        <v>2.76</v>
      </c>
      <c r="G77" s="6">
        <v>31.57</v>
      </c>
      <c r="H77" s="6">
        <v>14.6</v>
      </c>
      <c r="I77" s="6">
        <v>5.47</v>
      </c>
      <c r="J77" s="6">
        <v>0.33</v>
      </c>
      <c r="K77" s="6">
        <v>20.28</v>
      </c>
      <c r="L77" s="6">
        <v>13.5</v>
      </c>
      <c r="M77" s="6">
        <v>15.18</v>
      </c>
      <c r="N77" s="6">
        <v>19.399999999999999</v>
      </c>
      <c r="O77" s="6">
        <v>0</v>
      </c>
      <c r="P77" s="6">
        <v>0.25</v>
      </c>
      <c r="Q77" s="6">
        <v>10.3</v>
      </c>
      <c r="R77" s="6"/>
      <c r="S77" s="6"/>
      <c r="T77" s="156"/>
      <c r="U77" s="6"/>
    </row>
    <row r="78" spans="1:21" customFormat="1">
      <c r="A78" s="201" t="s">
        <v>309</v>
      </c>
      <c r="B78" s="6">
        <v>6.93</v>
      </c>
      <c r="C78" s="6">
        <v>10.44</v>
      </c>
      <c r="D78" s="6">
        <v>17.37</v>
      </c>
      <c r="E78" s="6">
        <v>10.55</v>
      </c>
      <c r="F78" s="6">
        <v>2.39</v>
      </c>
      <c r="G78" s="6">
        <v>39.9</v>
      </c>
      <c r="H78" s="6">
        <v>12.56</v>
      </c>
      <c r="I78" s="6">
        <v>5.63</v>
      </c>
      <c r="J78" s="6">
        <v>0.17</v>
      </c>
      <c r="K78" s="6">
        <v>27.43</v>
      </c>
      <c r="L78" s="6">
        <v>13.28</v>
      </c>
      <c r="M78" s="6">
        <v>14.13</v>
      </c>
      <c r="N78" s="6">
        <v>11.7</v>
      </c>
      <c r="O78" s="6">
        <v>0</v>
      </c>
      <c r="P78" s="6">
        <v>0.27</v>
      </c>
      <c r="Q78" s="6">
        <v>10.37</v>
      </c>
      <c r="R78" s="6"/>
      <c r="S78" s="6"/>
      <c r="T78" s="156"/>
      <c r="U78" s="6"/>
    </row>
    <row r="79" spans="1:21" customFormat="1">
      <c r="A79" s="201" t="s">
        <v>310</v>
      </c>
      <c r="B79" s="6">
        <v>5.6</v>
      </c>
      <c r="C79" s="6">
        <v>8.06</v>
      </c>
      <c r="D79" s="6">
        <v>13.66</v>
      </c>
      <c r="E79" s="6">
        <v>7.63</v>
      </c>
      <c r="F79" s="6">
        <v>2</v>
      </c>
      <c r="G79" s="6">
        <v>46.27</v>
      </c>
      <c r="H79" s="6">
        <v>11.92</v>
      </c>
      <c r="I79" s="6">
        <v>6.02</v>
      </c>
      <c r="J79" s="6">
        <v>0.15</v>
      </c>
      <c r="K79" s="6">
        <v>311.24</v>
      </c>
      <c r="L79" s="6">
        <v>21.87</v>
      </c>
      <c r="M79" s="6">
        <v>36.57</v>
      </c>
      <c r="N79" s="6">
        <v>5.0999999999999996</v>
      </c>
      <c r="O79" s="6">
        <v>0</v>
      </c>
      <c r="P79" s="6">
        <v>0.24</v>
      </c>
      <c r="Q79" s="6">
        <v>10.49</v>
      </c>
      <c r="R79" s="6"/>
      <c r="S79" s="6"/>
      <c r="T79" s="156"/>
      <c r="U79" s="6"/>
    </row>
    <row r="80" spans="1:21" customFormat="1">
      <c r="A80" s="201" t="s">
        <v>311</v>
      </c>
      <c r="B80" s="6">
        <v>5.84</v>
      </c>
      <c r="C80" s="6">
        <v>7.55</v>
      </c>
      <c r="D80" s="6">
        <v>13.39</v>
      </c>
      <c r="E80" s="6">
        <v>7.53</v>
      </c>
      <c r="F80" s="6">
        <v>2</v>
      </c>
      <c r="G80" s="6">
        <v>46.27</v>
      </c>
      <c r="H80" s="6">
        <v>11.92</v>
      </c>
      <c r="I80" s="6">
        <v>6.33</v>
      </c>
      <c r="J80" s="6">
        <v>0.25</v>
      </c>
      <c r="K80" s="6">
        <v>0.55000000000000004</v>
      </c>
      <c r="L80" s="6">
        <v>17.54</v>
      </c>
      <c r="M80" s="6">
        <v>25.82</v>
      </c>
      <c r="N80" s="6">
        <v>2.7</v>
      </c>
      <c r="O80" s="6">
        <v>0</v>
      </c>
      <c r="P80" s="6">
        <v>0.28999999999999998</v>
      </c>
      <c r="Q80" s="6">
        <v>10.1</v>
      </c>
      <c r="R80" s="6"/>
      <c r="S80" s="6"/>
      <c r="T80" s="156"/>
      <c r="U80" s="6"/>
    </row>
    <row r="81" spans="1:21" customFormat="1">
      <c r="A81" s="201" t="s">
        <v>312</v>
      </c>
      <c r="B81" s="6">
        <v>7.39</v>
      </c>
      <c r="C81" s="6">
        <v>8.6999999999999993</v>
      </c>
      <c r="D81" s="6">
        <v>16.09</v>
      </c>
      <c r="E81" s="6">
        <v>6.45</v>
      </c>
      <c r="F81" s="6">
        <v>2</v>
      </c>
      <c r="G81" s="6">
        <v>46.27</v>
      </c>
      <c r="H81" s="6">
        <v>11.92</v>
      </c>
      <c r="I81" s="6">
        <v>5.96</v>
      </c>
      <c r="J81" s="6">
        <v>0.03</v>
      </c>
      <c r="K81" s="6">
        <v>68.25</v>
      </c>
      <c r="L81" s="6">
        <v>13.59</v>
      </c>
      <c r="M81" s="6">
        <v>16.059999999999999</v>
      </c>
      <c r="N81" s="6">
        <v>2.5</v>
      </c>
      <c r="O81" s="6">
        <v>0</v>
      </c>
      <c r="P81" s="6">
        <v>0.35</v>
      </c>
      <c r="Q81" s="6">
        <v>10.7</v>
      </c>
      <c r="R81" s="6"/>
      <c r="S81" s="6"/>
      <c r="T81" s="156"/>
      <c r="U81" s="6"/>
    </row>
    <row r="82" spans="1:21" customFormat="1">
      <c r="A82" s="201" t="s">
        <v>313</v>
      </c>
      <c r="B82" s="6">
        <v>7.01</v>
      </c>
      <c r="C82" s="6">
        <v>7.63</v>
      </c>
      <c r="D82" s="6">
        <v>14.64</v>
      </c>
      <c r="E82" s="6">
        <v>6.51</v>
      </c>
      <c r="F82" s="6">
        <v>2</v>
      </c>
      <c r="G82" s="6">
        <v>58.47</v>
      </c>
      <c r="H82" s="6">
        <v>16.829999999999998</v>
      </c>
      <c r="I82" s="6">
        <v>6.37</v>
      </c>
      <c r="J82" s="6">
        <v>0.14000000000000001</v>
      </c>
      <c r="K82" s="6">
        <v>190.36</v>
      </c>
      <c r="L82" s="6">
        <v>17.8</v>
      </c>
      <c r="M82" s="6">
        <v>26.77</v>
      </c>
      <c r="N82" s="6">
        <v>2.4</v>
      </c>
      <c r="O82" s="6">
        <v>0</v>
      </c>
      <c r="P82" s="6">
        <v>0.3</v>
      </c>
      <c r="Q82" s="6">
        <v>10.07</v>
      </c>
      <c r="R82" s="6"/>
      <c r="S82" s="6"/>
      <c r="T82" s="156"/>
      <c r="U82" s="6"/>
    </row>
    <row r="83" spans="1:21" customFormat="1">
      <c r="A83" s="201" t="s">
        <v>314</v>
      </c>
      <c r="B83" s="6">
        <v>6.91</v>
      </c>
      <c r="C83" s="6">
        <v>7.07</v>
      </c>
      <c r="D83" s="6">
        <v>13.98</v>
      </c>
      <c r="E83" s="6">
        <v>6.04</v>
      </c>
      <c r="F83" s="6">
        <v>2</v>
      </c>
      <c r="G83" s="6">
        <v>67.8</v>
      </c>
      <c r="H83" s="6">
        <v>18.37</v>
      </c>
      <c r="I83" s="6">
        <v>6.7</v>
      </c>
      <c r="J83" s="6">
        <v>7.0000000000000007E-2</v>
      </c>
      <c r="K83" s="6">
        <v>254.99</v>
      </c>
      <c r="L83" s="6">
        <v>19.62</v>
      </c>
      <c r="M83" s="6">
        <v>31.19</v>
      </c>
      <c r="N83" s="6">
        <v>2.2000000000000002</v>
      </c>
      <c r="O83" s="6">
        <v>0</v>
      </c>
      <c r="P83" s="6">
        <v>0.33</v>
      </c>
      <c r="Q83" s="6">
        <v>10</v>
      </c>
      <c r="R83" s="6"/>
      <c r="S83" s="6"/>
      <c r="T83" s="156"/>
      <c r="U83" s="6"/>
    </row>
    <row r="84" spans="1:21" customFormat="1">
      <c r="A84" s="201" t="s">
        <v>315</v>
      </c>
      <c r="B84" s="6">
        <v>8.34</v>
      </c>
      <c r="C84" s="6">
        <v>7.94</v>
      </c>
      <c r="D84" s="6">
        <v>16.28</v>
      </c>
      <c r="E84" s="6">
        <v>6.41</v>
      </c>
      <c r="F84" s="6">
        <v>2</v>
      </c>
      <c r="G84" s="6">
        <v>67.8</v>
      </c>
      <c r="H84" s="6">
        <v>18.37</v>
      </c>
      <c r="I84" s="6">
        <v>6.34</v>
      </c>
      <c r="J84" s="6">
        <v>0.04</v>
      </c>
      <c r="K84" s="6">
        <v>237.22</v>
      </c>
      <c r="L84" s="6">
        <v>17.68</v>
      </c>
      <c r="M84" s="6">
        <v>26.35</v>
      </c>
      <c r="N84" s="6">
        <v>2.1</v>
      </c>
      <c r="O84" s="6">
        <v>0</v>
      </c>
      <c r="P84" s="6">
        <v>0.37</v>
      </c>
      <c r="Q84" s="6">
        <v>10.42</v>
      </c>
      <c r="R84" s="6"/>
      <c r="S84" s="6"/>
      <c r="T84" s="156"/>
      <c r="U84" s="6"/>
    </row>
    <row r="85" spans="1:21" customFormat="1">
      <c r="A85" s="201" t="s">
        <v>316</v>
      </c>
      <c r="B85" s="6">
        <v>8.3699999999999992</v>
      </c>
      <c r="C85" s="6">
        <v>8.1</v>
      </c>
      <c r="D85" s="6">
        <v>16.47</v>
      </c>
      <c r="E85" s="6">
        <v>6.55</v>
      </c>
      <c r="F85" s="6">
        <v>2</v>
      </c>
      <c r="G85" s="6">
        <v>67.8</v>
      </c>
      <c r="H85" s="6">
        <v>18.37</v>
      </c>
      <c r="I85" s="6">
        <v>6.58</v>
      </c>
      <c r="J85" s="6">
        <v>0.06</v>
      </c>
      <c r="K85" s="6">
        <v>344.42</v>
      </c>
      <c r="L85" s="6">
        <v>19.510000000000002</v>
      </c>
      <c r="M85" s="6">
        <v>30.81</v>
      </c>
      <c r="N85" s="6">
        <v>2.1</v>
      </c>
      <c r="O85" s="6">
        <v>0</v>
      </c>
      <c r="P85" s="6">
        <v>0.36</v>
      </c>
      <c r="Q85" s="6">
        <v>10.36</v>
      </c>
      <c r="R85" s="6"/>
      <c r="S85" s="6"/>
      <c r="T85" s="156"/>
      <c r="U85" s="6"/>
    </row>
    <row r="86" spans="1:21" customFormat="1">
      <c r="A86" s="201" t="s">
        <v>317</v>
      </c>
      <c r="B86" s="6">
        <v>8.56</v>
      </c>
      <c r="C86" s="6">
        <v>7.45</v>
      </c>
      <c r="D86" s="6">
        <v>16.010000000000002</v>
      </c>
      <c r="E86" s="6">
        <v>5.92</v>
      </c>
      <c r="F86" s="6">
        <v>2</v>
      </c>
      <c r="G86" s="6">
        <v>74.599999999999994</v>
      </c>
      <c r="H86" s="6">
        <v>19.78</v>
      </c>
      <c r="I86" s="6">
        <v>6.85</v>
      </c>
      <c r="J86" s="6">
        <v>0.22</v>
      </c>
      <c r="K86" s="6">
        <v>197.85</v>
      </c>
      <c r="L86" s="6">
        <v>18.29</v>
      </c>
      <c r="M86" s="6">
        <v>27.99</v>
      </c>
      <c r="N86" s="6">
        <v>2.2999999999999998</v>
      </c>
      <c r="O86" s="6">
        <v>0</v>
      </c>
      <c r="P86" s="6">
        <v>0.38</v>
      </c>
      <c r="Q86" s="6">
        <v>10.210000000000001</v>
      </c>
      <c r="R86" s="6"/>
      <c r="S86" s="6"/>
      <c r="T86" s="156"/>
      <c r="U86" s="6"/>
    </row>
    <row r="87" spans="1:21" customFormat="1">
      <c r="A87" s="201" t="s">
        <v>318</v>
      </c>
      <c r="B87" s="6">
        <v>8.91</v>
      </c>
      <c r="C87" s="6">
        <v>7.36</v>
      </c>
      <c r="D87" s="6">
        <v>16.27</v>
      </c>
      <c r="E87" s="6">
        <v>5.75</v>
      </c>
      <c r="F87" s="6">
        <v>2</v>
      </c>
      <c r="G87" s="6">
        <v>79.8</v>
      </c>
      <c r="H87" s="6">
        <v>20.59</v>
      </c>
      <c r="I87" s="6">
        <v>6.99</v>
      </c>
      <c r="J87" s="6">
        <v>0.27</v>
      </c>
      <c r="K87" s="6">
        <v>233.05</v>
      </c>
      <c r="L87" s="6">
        <v>19.850000000000001</v>
      </c>
      <c r="M87" s="6">
        <v>31.65</v>
      </c>
      <c r="N87" s="6">
        <v>2.1</v>
      </c>
      <c r="O87" s="6">
        <v>0</v>
      </c>
      <c r="P87" s="6">
        <v>0.39</v>
      </c>
      <c r="Q87" s="6">
        <v>10</v>
      </c>
      <c r="R87" s="6"/>
      <c r="S87" s="6"/>
      <c r="T87" s="156"/>
      <c r="U87" s="6"/>
    </row>
    <row r="88" spans="1:21" customFormat="1">
      <c r="A88" s="201" t="s">
        <v>319</v>
      </c>
      <c r="B88" s="6">
        <v>8.83</v>
      </c>
      <c r="C88" s="6">
        <v>7.27</v>
      </c>
      <c r="D88" s="6">
        <v>16.09</v>
      </c>
      <c r="E88" s="6">
        <v>5.6</v>
      </c>
      <c r="F88" s="6">
        <v>2</v>
      </c>
      <c r="G88" s="6">
        <v>79.8</v>
      </c>
      <c r="H88" s="6">
        <v>20.59</v>
      </c>
      <c r="I88" s="6">
        <v>7.04</v>
      </c>
      <c r="J88" s="6">
        <v>0.47</v>
      </c>
      <c r="K88" s="6">
        <v>250.92</v>
      </c>
      <c r="L88" s="6">
        <v>22.17</v>
      </c>
      <c r="M88" s="6">
        <v>37.590000000000003</v>
      </c>
      <c r="N88" s="6">
        <v>2.1</v>
      </c>
      <c r="O88" s="6">
        <v>0</v>
      </c>
      <c r="P88" s="6">
        <v>0.38</v>
      </c>
      <c r="Q88" s="6">
        <v>10</v>
      </c>
      <c r="R88" s="6"/>
      <c r="S88" s="6"/>
      <c r="T88" s="156"/>
      <c r="U88" s="6"/>
    </row>
    <row r="89" spans="1:21" customFormat="1">
      <c r="A89" s="201" t="s">
        <v>320</v>
      </c>
      <c r="B89" s="6">
        <v>9.01</v>
      </c>
      <c r="C89" s="6">
        <v>6.99</v>
      </c>
      <c r="D89" s="6">
        <v>16</v>
      </c>
      <c r="E89" s="6">
        <v>5.46</v>
      </c>
      <c r="F89" s="6">
        <v>2</v>
      </c>
      <c r="G89" s="6">
        <v>79.8</v>
      </c>
      <c r="H89" s="6">
        <v>20.59</v>
      </c>
      <c r="I89" s="6">
        <v>7.15</v>
      </c>
      <c r="J89" s="6">
        <v>0.28999999999999998</v>
      </c>
      <c r="K89" s="6">
        <v>245.05</v>
      </c>
      <c r="L89" s="6">
        <v>21.65</v>
      </c>
      <c r="M89" s="6">
        <v>36.36</v>
      </c>
      <c r="N89" s="6">
        <v>2.2000000000000002</v>
      </c>
      <c r="O89" s="6">
        <v>0</v>
      </c>
      <c r="P89" s="6">
        <v>0.39</v>
      </c>
      <c r="Q89" s="6">
        <v>10.29</v>
      </c>
      <c r="R89" s="6"/>
      <c r="S89" s="6"/>
      <c r="T89" s="156"/>
      <c r="U89" s="6"/>
    </row>
    <row r="90" spans="1:21" customFormat="1">
      <c r="A90" s="201" t="s">
        <v>321</v>
      </c>
      <c r="B90" s="6">
        <v>8.7100000000000009</v>
      </c>
      <c r="C90" s="6">
        <v>6.87</v>
      </c>
      <c r="D90" s="6">
        <v>15.58</v>
      </c>
      <c r="E90" s="6">
        <v>5.49</v>
      </c>
      <c r="F90" s="6">
        <v>2.36</v>
      </c>
      <c r="G90" s="6">
        <v>76.349999999999994</v>
      </c>
      <c r="H90" s="6">
        <v>20.69</v>
      </c>
      <c r="I90" s="6">
        <v>7.12</v>
      </c>
      <c r="J90" s="6">
        <v>0.27</v>
      </c>
      <c r="K90" s="6">
        <v>253.35</v>
      </c>
      <c r="L90" s="6">
        <v>22.44</v>
      </c>
      <c r="M90" s="6">
        <v>38.340000000000003</v>
      </c>
      <c r="N90" s="6">
        <v>2.2999999999999998</v>
      </c>
      <c r="O90" s="6">
        <v>0</v>
      </c>
      <c r="P90" s="6">
        <v>0.38</v>
      </c>
      <c r="Q90" s="6">
        <v>10.01</v>
      </c>
      <c r="R90" s="6"/>
      <c r="S90" s="6"/>
      <c r="T90" s="156"/>
      <c r="U90" s="6"/>
    </row>
    <row r="91" spans="1:21" customFormat="1">
      <c r="A91" s="201" t="s">
        <v>322</v>
      </c>
      <c r="B91" s="6">
        <v>8.56</v>
      </c>
      <c r="C91" s="6">
        <v>6.66</v>
      </c>
      <c r="D91" s="6">
        <v>15.23</v>
      </c>
      <c r="E91" s="6">
        <v>5.08</v>
      </c>
      <c r="F91" s="6">
        <v>2.5</v>
      </c>
      <c r="G91" s="6">
        <v>73.709999999999994</v>
      </c>
      <c r="H91" s="6">
        <v>20.72</v>
      </c>
      <c r="I91" s="6">
        <v>7.1</v>
      </c>
      <c r="J91" s="6">
        <v>0.1</v>
      </c>
      <c r="K91" s="6">
        <v>238.15</v>
      </c>
      <c r="L91" s="6">
        <v>21.2</v>
      </c>
      <c r="M91" s="6">
        <v>35.130000000000003</v>
      </c>
      <c r="N91" s="6">
        <v>2.4</v>
      </c>
      <c r="O91" s="6">
        <v>0</v>
      </c>
      <c r="P91" s="6">
        <v>0.35</v>
      </c>
      <c r="Q91" s="6">
        <v>10.38</v>
      </c>
      <c r="R91" s="6"/>
      <c r="S91" s="6"/>
      <c r="T91" s="156"/>
      <c r="U91" s="6"/>
    </row>
    <row r="92" spans="1:21" customFormat="1">
      <c r="A92" s="201" t="s">
        <v>323</v>
      </c>
      <c r="B92" s="6">
        <v>8.7899999999999991</v>
      </c>
      <c r="C92" s="6">
        <v>6.47</v>
      </c>
      <c r="D92" s="6">
        <v>15.26</v>
      </c>
      <c r="E92" s="6">
        <v>5.18</v>
      </c>
      <c r="F92" s="6">
        <v>2</v>
      </c>
      <c r="G92" s="6">
        <v>73.709999999999994</v>
      </c>
      <c r="H92" s="6">
        <v>20.72</v>
      </c>
      <c r="I92" s="6">
        <v>7.19</v>
      </c>
      <c r="J92" s="6">
        <v>0.22</v>
      </c>
      <c r="K92" s="6">
        <v>248.93</v>
      </c>
      <c r="L92" s="6">
        <v>22.35</v>
      </c>
      <c r="M92" s="6">
        <v>38.049999999999997</v>
      </c>
      <c r="N92" s="6">
        <v>2.1</v>
      </c>
      <c r="O92" s="6">
        <v>0</v>
      </c>
      <c r="P92" s="6">
        <v>0.37</v>
      </c>
      <c r="Q92" s="6">
        <v>14.07</v>
      </c>
      <c r="R92" s="6"/>
      <c r="S92" s="6"/>
      <c r="T92" s="156"/>
      <c r="U92" s="6"/>
    </row>
    <row r="93" spans="1:21" customFormat="1">
      <c r="A93" s="201" t="s">
        <v>324</v>
      </c>
      <c r="B93" s="6">
        <v>8.7799999999999994</v>
      </c>
      <c r="C93" s="6">
        <v>6.53</v>
      </c>
      <c r="D93" s="6">
        <v>15.31</v>
      </c>
      <c r="E93" s="6">
        <v>5.53</v>
      </c>
      <c r="F93" s="6">
        <v>2</v>
      </c>
      <c r="G93" s="6">
        <v>73.709999999999994</v>
      </c>
      <c r="H93" s="6">
        <v>20.72</v>
      </c>
      <c r="I93" s="6">
        <v>7.06</v>
      </c>
      <c r="J93" s="6">
        <v>0.37</v>
      </c>
      <c r="K93" s="6">
        <v>248.62</v>
      </c>
      <c r="L93" s="6">
        <v>22.4</v>
      </c>
      <c r="M93" s="6">
        <v>38.21</v>
      </c>
      <c r="N93" s="6">
        <v>2.1</v>
      </c>
      <c r="O93" s="6">
        <v>0</v>
      </c>
      <c r="P93" s="6">
        <v>0.38</v>
      </c>
      <c r="Q93" s="6">
        <v>10.3</v>
      </c>
      <c r="R93" s="6"/>
      <c r="S93" s="6"/>
      <c r="T93" s="156"/>
      <c r="U93" s="6"/>
    </row>
    <row r="94" spans="1:21" customFormat="1">
      <c r="A94" s="201" t="s">
        <v>325</v>
      </c>
      <c r="B94" s="6">
        <v>8.51</v>
      </c>
      <c r="C94" s="6">
        <v>6.77</v>
      </c>
      <c r="D94" s="6">
        <v>15.28</v>
      </c>
      <c r="E94" s="6">
        <v>5.51</v>
      </c>
      <c r="F94" s="6">
        <v>2.17</v>
      </c>
      <c r="G94" s="6">
        <v>61.17</v>
      </c>
      <c r="H94" s="6">
        <v>18.600000000000001</v>
      </c>
      <c r="I94" s="6">
        <v>7.02</v>
      </c>
      <c r="J94" s="6">
        <v>0.49</v>
      </c>
      <c r="K94" s="6">
        <v>279.22000000000003</v>
      </c>
      <c r="L94" s="6">
        <v>24.04</v>
      </c>
      <c r="M94" s="6">
        <v>42.28</v>
      </c>
      <c r="N94" s="6">
        <v>2</v>
      </c>
      <c r="O94" s="6">
        <v>0</v>
      </c>
      <c r="P94" s="6">
        <v>0.39</v>
      </c>
      <c r="Q94" s="6">
        <v>10</v>
      </c>
      <c r="R94" s="6"/>
      <c r="S94" s="6"/>
      <c r="T94" s="156"/>
      <c r="U94" s="6"/>
    </row>
    <row r="95" spans="1:21" customFormat="1">
      <c r="A95" s="201" t="s">
        <v>326</v>
      </c>
      <c r="B95" s="6">
        <v>8.5500000000000007</v>
      </c>
      <c r="C95" s="6">
        <v>7.14</v>
      </c>
      <c r="D95" s="6">
        <v>15.69</v>
      </c>
      <c r="E95" s="6">
        <v>5.39</v>
      </c>
      <c r="F95" s="6">
        <v>2.02</v>
      </c>
      <c r="G95" s="6">
        <v>52</v>
      </c>
      <c r="H95" s="6">
        <v>17.93</v>
      </c>
      <c r="I95" s="6">
        <v>6.95</v>
      </c>
      <c r="J95" s="6">
        <v>0.68</v>
      </c>
      <c r="K95" s="6">
        <v>305.08999999999997</v>
      </c>
      <c r="L95" s="6">
        <v>26.63</v>
      </c>
      <c r="M95" s="6">
        <v>48.65</v>
      </c>
      <c r="N95" s="6">
        <v>2.1</v>
      </c>
      <c r="O95" s="6">
        <v>0</v>
      </c>
      <c r="P95" s="6">
        <v>0.4</v>
      </c>
      <c r="Q95" s="6">
        <v>10</v>
      </c>
      <c r="R95" s="6"/>
      <c r="S95" s="6"/>
      <c r="T95" s="156"/>
      <c r="U95" s="6"/>
    </row>
    <row r="96" spans="1:21" customFormat="1">
      <c r="A96" s="201" t="s">
        <v>327</v>
      </c>
      <c r="B96" s="6">
        <v>8.5399999999999991</v>
      </c>
      <c r="C96" s="6">
        <v>7.43</v>
      </c>
      <c r="D96" s="6">
        <v>15.97</v>
      </c>
      <c r="E96" s="6">
        <v>5.54</v>
      </c>
      <c r="F96" s="6">
        <v>2</v>
      </c>
      <c r="G96" s="6">
        <v>52</v>
      </c>
      <c r="H96" s="6">
        <v>17.93</v>
      </c>
      <c r="I96" s="6">
        <v>6.86</v>
      </c>
      <c r="J96" s="6">
        <v>0.08</v>
      </c>
      <c r="K96" s="6">
        <v>309.70999999999998</v>
      </c>
      <c r="L96" s="6">
        <v>22.17</v>
      </c>
      <c r="M96" s="6">
        <v>37.5</v>
      </c>
      <c r="N96" s="6">
        <v>2.4</v>
      </c>
      <c r="O96" s="6">
        <v>0</v>
      </c>
      <c r="P96" s="6">
        <v>0.42</v>
      </c>
      <c r="Q96" s="6">
        <v>10</v>
      </c>
      <c r="R96" s="6"/>
      <c r="S96" s="6"/>
      <c r="T96" s="156"/>
      <c r="U96" s="6"/>
    </row>
    <row r="97" spans="1:28" customFormat="1">
      <c r="A97" s="201" t="s">
        <v>328</v>
      </c>
      <c r="B97" s="6">
        <v>8.65</v>
      </c>
      <c r="C97" s="6">
        <v>7.6</v>
      </c>
      <c r="D97" s="6">
        <v>16.25</v>
      </c>
      <c r="E97" s="6">
        <v>5.7</v>
      </c>
      <c r="F97" s="6">
        <v>2</v>
      </c>
      <c r="G97" s="6">
        <v>52</v>
      </c>
      <c r="H97" s="6">
        <v>17.93</v>
      </c>
      <c r="I97" s="6">
        <v>7.01</v>
      </c>
      <c r="J97" s="6">
        <v>0.11</v>
      </c>
      <c r="K97" s="6">
        <v>18.22</v>
      </c>
      <c r="L97" s="6">
        <v>14.09</v>
      </c>
      <c r="M97" s="6">
        <v>17.13</v>
      </c>
      <c r="N97" s="6">
        <v>2.2000000000000002</v>
      </c>
      <c r="O97" s="6">
        <v>0</v>
      </c>
      <c r="P97" s="6">
        <v>0.44</v>
      </c>
      <c r="Q97" s="6">
        <v>10.050000000000001</v>
      </c>
      <c r="R97" s="6"/>
      <c r="S97" s="6"/>
      <c r="T97" s="156"/>
      <c r="U97" s="6"/>
    </row>
    <row r="98" spans="1:28" customFormat="1">
      <c r="A98" s="201" t="s">
        <v>329</v>
      </c>
      <c r="B98" s="6">
        <v>9.16</v>
      </c>
      <c r="C98" s="6">
        <v>7.99</v>
      </c>
      <c r="D98" s="6">
        <v>17.149999999999999</v>
      </c>
      <c r="E98" s="6">
        <v>5.65</v>
      </c>
      <c r="F98" s="6">
        <v>2</v>
      </c>
      <c r="G98" s="6">
        <v>51.44</v>
      </c>
      <c r="H98" s="6">
        <v>15.84</v>
      </c>
      <c r="I98" s="6">
        <v>7.12</v>
      </c>
      <c r="J98" s="6">
        <v>0.28999999999999998</v>
      </c>
      <c r="K98" s="6">
        <v>60.79</v>
      </c>
      <c r="L98" s="6">
        <v>8.1300000000000008</v>
      </c>
      <c r="M98" s="6">
        <v>2.27</v>
      </c>
      <c r="N98" s="6">
        <v>2.2999999999999998</v>
      </c>
      <c r="O98" s="6">
        <v>0</v>
      </c>
      <c r="P98" s="6">
        <v>0.46</v>
      </c>
      <c r="Q98" s="6">
        <v>10.63</v>
      </c>
      <c r="R98" s="6"/>
      <c r="S98" s="6"/>
      <c r="T98" s="156"/>
      <c r="U98" s="6"/>
    </row>
    <row r="99" spans="1:28" customFormat="1">
      <c r="A99" s="201" t="s">
        <v>330</v>
      </c>
      <c r="B99" s="6">
        <v>9.6300000000000008</v>
      </c>
      <c r="C99" s="6">
        <v>8.02</v>
      </c>
      <c r="D99" s="6">
        <v>17.64</v>
      </c>
      <c r="E99" s="6">
        <v>5.81</v>
      </c>
      <c r="F99" s="6">
        <v>2</v>
      </c>
      <c r="G99" s="6">
        <v>51.03</v>
      </c>
      <c r="H99" s="6">
        <v>15.19</v>
      </c>
      <c r="I99" s="6">
        <v>7.28</v>
      </c>
      <c r="J99" s="6">
        <v>0.28999999999999998</v>
      </c>
      <c r="K99" s="6">
        <v>37.69</v>
      </c>
      <c r="L99" s="6">
        <v>7.49</v>
      </c>
      <c r="M99" s="6">
        <v>0.54</v>
      </c>
      <c r="N99" s="6">
        <v>2.4</v>
      </c>
      <c r="O99" s="6">
        <v>0</v>
      </c>
      <c r="P99" s="6">
        <v>0.46</v>
      </c>
      <c r="Q99" s="6">
        <v>10.33</v>
      </c>
      <c r="R99" s="6"/>
      <c r="S99" s="6"/>
      <c r="T99" s="156"/>
      <c r="U99" s="6"/>
    </row>
    <row r="100" spans="1:28" customFormat="1">
      <c r="A100" s="201" t="s">
        <v>331</v>
      </c>
      <c r="B100" s="6">
        <v>10.29</v>
      </c>
      <c r="C100" s="6">
        <v>8.11</v>
      </c>
      <c r="D100" s="6">
        <v>18.399999999999999</v>
      </c>
      <c r="E100" s="6">
        <v>5.74</v>
      </c>
      <c r="F100" s="6">
        <v>2</v>
      </c>
      <c r="G100" s="6">
        <v>51.03</v>
      </c>
      <c r="H100" s="6">
        <v>15.19</v>
      </c>
      <c r="I100" s="6">
        <v>7.66</v>
      </c>
      <c r="J100" s="6">
        <v>0.06</v>
      </c>
      <c r="K100" s="6">
        <v>133.24</v>
      </c>
      <c r="L100" s="6">
        <v>17.34</v>
      </c>
      <c r="M100" s="6">
        <v>25.51</v>
      </c>
      <c r="N100" s="6">
        <v>2.2999999999999998</v>
      </c>
      <c r="O100" s="6">
        <v>0</v>
      </c>
      <c r="P100" s="6">
        <v>0.47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332</v>
      </c>
      <c r="B101" s="6">
        <v>10.77</v>
      </c>
      <c r="C101" s="6">
        <v>8.1300000000000008</v>
      </c>
      <c r="D101" s="6">
        <v>18.899999999999999</v>
      </c>
      <c r="E101" s="6">
        <v>5.79</v>
      </c>
      <c r="F101" s="6">
        <v>2</v>
      </c>
      <c r="G101" s="6">
        <v>51.03</v>
      </c>
      <c r="H101" s="6">
        <v>15.19</v>
      </c>
      <c r="I101" s="6">
        <v>7.92</v>
      </c>
      <c r="J101" s="6">
        <v>0.13</v>
      </c>
      <c r="K101" s="6">
        <v>191.28</v>
      </c>
      <c r="L101" s="6">
        <v>18.29</v>
      </c>
      <c r="M101" s="6">
        <v>27.95</v>
      </c>
      <c r="N101" s="6">
        <v>2.2999999999999998</v>
      </c>
      <c r="O101" s="6">
        <v>0</v>
      </c>
      <c r="P101" s="6">
        <v>0.49</v>
      </c>
      <c r="Q101" s="6">
        <v>10</v>
      </c>
      <c r="R101" s="6"/>
      <c r="S101" s="6"/>
      <c r="T101" s="156"/>
      <c r="U101" s="6"/>
    </row>
    <row r="102" spans="1:28" customFormat="1">
      <c r="A102" s="201" t="s">
        <v>333</v>
      </c>
      <c r="B102" s="6">
        <v>11.05</v>
      </c>
      <c r="C102" s="6">
        <v>8.08</v>
      </c>
      <c r="D102" s="6">
        <v>19.13</v>
      </c>
      <c r="E102" s="6">
        <v>5.77</v>
      </c>
      <c r="F102" s="6">
        <v>2</v>
      </c>
      <c r="G102" s="6">
        <v>65.099999999999994</v>
      </c>
      <c r="H102" s="6">
        <v>22.25</v>
      </c>
      <c r="I102" s="6">
        <v>8.41</v>
      </c>
      <c r="J102" s="6">
        <v>0.14000000000000001</v>
      </c>
      <c r="K102" s="6">
        <v>104.41</v>
      </c>
      <c r="L102" s="6">
        <v>10.67</v>
      </c>
      <c r="M102" s="6">
        <v>8.75</v>
      </c>
      <c r="N102" s="6">
        <v>2.2000000000000002</v>
      </c>
      <c r="O102" s="6">
        <v>0</v>
      </c>
      <c r="P102" s="6">
        <v>0.51</v>
      </c>
      <c r="Q102" s="6">
        <v>10</v>
      </c>
      <c r="R102" s="6"/>
      <c r="S102" s="6"/>
      <c r="T102" s="156"/>
      <c r="U102" s="6"/>
    </row>
    <row r="103" spans="1:28" customFormat="1">
      <c r="A103" s="201" t="s">
        <v>334</v>
      </c>
      <c r="B103" s="6">
        <v>11.41</v>
      </c>
      <c r="C103" s="6">
        <v>7.98</v>
      </c>
      <c r="D103" s="6">
        <v>19.399999999999999</v>
      </c>
      <c r="E103" s="6">
        <v>5.99</v>
      </c>
      <c r="F103" s="6">
        <v>2</v>
      </c>
      <c r="G103" s="6">
        <v>75.39</v>
      </c>
      <c r="H103" s="6">
        <v>26.44</v>
      </c>
      <c r="I103" s="6">
        <v>8.77</v>
      </c>
      <c r="J103" s="6">
        <v>0.24</v>
      </c>
      <c r="K103" s="6">
        <v>37.549999999999997</v>
      </c>
      <c r="L103" s="6">
        <v>8.9600000000000009</v>
      </c>
      <c r="M103" s="6">
        <v>4.2300000000000004</v>
      </c>
      <c r="N103" s="6">
        <v>2.1</v>
      </c>
      <c r="O103" s="6">
        <v>0</v>
      </c>
      <c r="P103" s="6">
        <v>0.51</v>
      </c>
      <c r="Q103" s="6">
        <v>15.19</v>
      </c>
      <c r="R103" s="6"/>
      <c r="S103" s="6"/>
      <c r="T103" s="156"/>
      <c r="U103" s="6"/>
    </row>
    <row r="104" spans="1:28" customFormat="1">
      <c r="A104" s="201" t="s">
        <v>335</v>
      </c>
      <c r="B104" s="6">
        <v>11.73</v>
      </c>
      <c r="C104" s="6">
        <v>7.99</v>
      </c>
      <c r="D104" s="6">
        <v>19.72</v>
      </c>
      <c r="E104" s="6">
        <v>6.04</v>
      </c>
      <c r="F104" s="6">
        <v>2</v>
      </c>
      <c r="G104" s="6">
        <v>75.39</v>
      </c>
      <c r="H104" s="6">
        <v>26.44</v>
      </c>
      <c r="I104" s="6">
        <v>9.09</v>
      </c>
      <c r="J104" s="6">
        <v>0.19</v>
      </c>
      <c r="K104" s="6">
        <v>122.09</v>
      </c>
      <c r="L104" s="6">
        <v>12.1</v>
      </c>
      <c r="M104" s="6">
        <v>12.42</v>
      </c>
      <c r="N104" s="6">
        <v>2</v>
      </c>
      <c r="O104" s="6">
        <v>0</v>
      </c>
      <c r="P104" s="6">
        <v>0.51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2.67</v>
      </c>
      <c r="C106" s="158">
        <f>MIN(C9:C104)</f>
        <v>4.8099999999999996</v>
      </c>
      <c r="D106" s="158">
        <f t="shared" ref="D106:Q106" si="0">MIN(D9:D104)</f>
        <v>8.26</v>
      </c>
      <c r="E106" s="158">
        <f t="shared" si="0"/>
        <v>4.2300000000000004</v>
      </c>
      <c r="F106" s="158">
        <f t="shared" si="0"/>
        <v>2</v>
      </c>
      <c r="G106" s="158">
        <f t="shared" si="0"/>
        <v>22.89</v>
      </c>
      <c r="H106" s="158">
        <f t="shared" si="0"/>
        <v>9.2799999999999994</v>
      </c>
      <c r="I106" s="158">
        <f t="shared" si="0"/>
        <v>5.43</v>
      </c>
      <c r="J106" s="158">
        <f t="shared" si="0"/>
        <v>0.03</v>
      </c>
      <c r="K106" s="158">
        <f t="shared" si="0"/>
        <v>0.55000000000000004</v>
      </c>
      <c r="L106" s="158">
        <f t="shared" si="0"/>
        <v>7.49</v>
      </c>
      <c r="M106" s="158">
        <f t="shared" si="0"/>
        <v>0.54</v>
      </c>
      <c r="N106" s="158">
        <f t="shared" si="0"/>
        <v>2</v>
      </c>
      <c r="O106" s="158">
        <f t="shared" si="0"/>
        <v>0</v>
      </c>
      <c r="P106" s="158">
        <f t="shared" si="0"/>
        <v>0.23</v>
      </c>
      <c r="Q106" s="158">
        <f t="shared" si="0"/>
        <v>9.7799999999999994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11.73</v>
      </c>
      <c r="C107" s="157">
        <f t="shared" ref="C107:Q107" si="1">MAX(C9:C104)</f>
        <v>10.44</v>
      </c>
      <c r="D107" s="157">
        <f t="shared" si="1"/>
        <v>19.72</v>
      </c>
      <c r="E107" s="157">
        <f t="shared" si="1"/>
        <v>11.78</v>
      </c>
      <c r="F107" s="157">
        <f t="shared" si="1"/>
        <v>8.0299999999999994</v>
      </c>
      <c r="G107" s="157">
        <f t="shared" si="1"/>
        <v>79.8</v>
      </c>
      <c r="H107" s="157">
        <f t="shared" si="1"/>
        <v>26.44</v>
      </c>
      <c r="I107" s="157">
        <f t="shared" si="1"/>
        <v>10.24</v>
      </c>
      <c r="J107" s="157">
        <f t="shared" si="1"/>
        <v>1.03</v>
      </c>
      <c r="K107" s="157">
        <f t="shared" si="1"/>
        <v>357.4</v>
      </c>
      <c r="L107" s="157">
        <f t="shared" si="1"/>
        <v>29.47</v>
      </c>
      <c r="M107" s="157">
        <f t="shared" si="1"/>
        <v>48.65</v>
      </c>
      <c r="N107" s="157">
        <f t="shared" si="1"/>
        <v>558</v>
      </c>
      <c r="O107" s="157">
        <f t="shared" si="1"/>
        <v>1</v>
      </c>
      <c r="P107" s="157">
        <f t="shared" si="1"/>
        <v>0.55000000000000004</v>
      </c>
      <c r="Q107" s="157">
        <f t="shared" si="1"/>
        <v>15.19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5.9634374999999986</v>
      </c>
      <c r="C108" s="158">
        <f t="shared" ref="C108:Q108" si="2">AVERAGE(C9:C104)</f>
        <v>6.663854166666666</v>
      </c>
      <c r="D108" s="158">
        <f t="shared" si="2"/>
        <v>12.627187500000007</v>
      </c>
      <c r="E108" s="158">
        <f t="shared" si="2"/>
        <v>6.1476041666666648</v>
      </c>
      <c r="F108" s="158">
        <f t="shared" si="2"/>
        <v>2.7266666666666666</v>
      </c>
      <c r="G108" s="158">
        <f t="shared" si="2"/>
        <v>44.931770833333367</v>
      </c>
      <c r="H108" s="158">
        <f t="shared" si="2"/>
        <v>17.254895833333332</v>
      </c>
      <c r="I108" s="158">
        <f t="shared" si="2"/>
        <v>7.492604166666669</v>
      </c>
      <c r="J108" s="158">
        <f t="shared" si="2"/>
        <v>0.24302083333333324</v>
      </c>
      <c r="K108" s="158">
        <f t="shared" si="2"/>
        <v>196.56052083333336</v>
      </c>
      <c r="L108" s="158">
        <f t="shared" si="2"/>
        <v>19.129583333333333</v>
      </c>
      <c r="M108" s="158">
        <f t="shared" si="2"/>
        <v>28.119687500000012</v>
      </c>
      <c r="N108" s="158">
        <f t="shared" si="2"/>
        <v>79.372916666666683</v>
      </c>
      <c r="O108" s="158">
        <f t="shared" si="2"/>
        <v>2.0833333333333332E-2</v>
      </c>
      <c r="P108" s="158">
        <f t="shared" si="2"/>
        <v>0.38583333333333331</v>
      </c>
      <c r="Q108" s="158">
        <f t="shared" si="2"/>
        <v>10.328333333333333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2.1033551283729177</v>
      </c>
      <c r="C109" s="158">
        <f t="shared" ref="C109:Q109" si="3">STDEV(C9:C104)</f>
        <v>1.1177377244300464</v>
      </c>
      <c r="D109" s="158">
        <f t="shared" si="3"/>
        <v>2.9066423758893301</v>
      </c>
      <c r="E109" s="158">
        <f t="shared" si="3"/>
        <v>1.2191427055121715</v>
      </c>
      <c r="F109" s="158">
        <f t="shared" si="3"/>
        <v>1.2930548624064582</v>
      </c>
      <c r="G109" s="158">
        <f t="shared" si="3"/>
        <v>17.60472831191667</v>
      </c>
      <c r="H109" s="158">
        <f t="shared" si="3"/>
        <v>4.2388970747221082</v>
      </c>
      <c r="I109" s="158">
        <f t="shared" si="3"/>
        <v>1.3544851379897331</v>
      </c>
      <c r="J109" s="158">
        <f t="shared" si="3"/>
        <v>0.18075933282546935</v>
      </c>
      <c r="K109" s="158">
        <f t="shared" si="3"/>
        <v>99.363528375882609</v>
      </c>
      <c r="L109" s="158">
        <f t="shared" si="3"/>
        <v>4.2276682428887584</v>
      </c>
      <c r="M109" s="158">
        <f t="shared" si="3"/>
        <v>10.983326928924166</v>
      </c>
      <c r="N109" s="158">
        <f t="shared" si="3"/>
        <v>144.75554019334339</v>
      </c>
      <c r="O109" s="158">
        <f t="shared" si="3"/>
        <v>0.11417130865194744</v>
      </c>
      <c r="P109" s="158">
        <f t="shared" si="3"/>
        <v>8.9532900940811816E-2</v>
      </c>
      <c r="Q109" s="158">
        <f t="shared" si="3"/>
        <v>0.82038587412030706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3" sqref="E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336</v>
      </c>
      <c r="B9" s="6">
        <v>11.67</v>
      </c>
      <c r="C9" s="6">
        <v>7.96</v>
      </c>
      <c r="D9" s="6">
        <v>19.62</v>
      </c>
      <c r="E9" s="6">
        <v>6.32</v>
      </c>
      <c r="F9" s="6">
        <v>2</v>
      </c>
      <c r="G9" s="6">
        <v>75.39</v>
      </c>
      <c r="H9" s="6">
        <v>26.44</v>
      </c>
      <c r="I9" s="6">
        <v>9.19</v>
      </c>
      <c r="J9" s="6">
        <v>0.11</v>
      </c>
      <c r="K9" s="6">
        <v>108.81</v>
      </c>
      <c r="L9" s="6">
        <v>12.73</v>
      </c>
      <c r="M9" s="6">
        <v>13.98</v>
      </c>
      <c r="N9" s="6">
        <v>2.2999999999999998</v>
      </c>
      <c r="O9" s="6">
        <v>0</v>
      </c>
      <c r="P9" s="6">
        <v>0.51</v>
      </c>
      <c r="Q9" s="6">
        <v>10</v>
      </c>
      <c r="R9" s="6"/>
      <c r="S9" s="6"/>
      <c r="T9" s="156"/>
      <c r="U9" s="6"/>
    </row>
    <row r="10" spans="1:21" customFormat="1">
      <c r="A10" s="201" t="s">
        <v>337</v>
      </c>
      <c r="B10" s="6">
        <v>11.76</v>
      </c>
      <c r="C10" s="6">
        <v>7.84</v>
      </c>
      <c r="D10" s="6">
        <v>19.59</v>
      </c>
      <c r="E10" s="6">
        <v>6.25</v>
      </c>
      <c r="F10" s="6">
        <v>2</v>
      </c>
      <c r="G10" s="6">
        <v>76.900000000000006</v>
      </c>
      <c r="H10" s="6">
        <v>22.4</v>
      </c>
      <c r="I10" s="6">
        <v>9.25</v>
      </c>
      <c r="J10" s="6">
        <v>0.26</v>
      </c>
      <c r="K10" s="6">
        <v>42.65</v>
      </c>
      <c r="L10" s="6">
        <v>6.62</v>
      </c>
      <c r="M10" s="6">
        <v>-1.62</v>
      </c>
      <c r="N10" s="6">
        <v>2.4</v>
      </c>
      <c r="O10" s="6">
        <v>0</v>
      </c>
      <c r="P10" s="6">
        <v>0.52</v>
      </c>
      <c r="Q10" s="6">
        <v>10.51</v>
      </c>
      <c r="R10" s="6"/>
      <c r="S10" s="6"/>
      <c r="T10" s="156"/>
      <c r="U10" s="6"/>
    </row>
    <row r="11" spans="1:21" customFormat="1">
      <c r="A11" s="201" t="s">
        <v>338</v>
      </c>
      <c r="B11" s="6">
        <v>11.86</v>
      </c>
      <c r="C11" s="6">
        <v>7.84</v>
      </c>
      <c r="D11" s="6">
        <v>19.690000000000001</v>
      </c>
      <c r="E11" s="6">
        <v>6.43</v>
      </c>
      <c r="F11" s="6">
        <v>2</v>
      </c>
      <c r="G11" s="6">
        <v>78</v>
      </c>
      <c r="H11" s="6">
        <v>21.14</v>
      </c>
      <c r="I11" s="6">
        <v>9.18</v>
      </c>
      <c r="J11" s="6">
        <v>0.12</v>
      </c>
      <c r="K11" s="6">
        <v>287.49</v>
      </c>
      <c r="L11" s="6">
        <v>21.86</v>
      </c>
      <c r="M11" s="6">
        <v>36.74</v>
      </c>
      <c r="N11" s="6">
        <v>2.2999999999999998</v>
      </c>
      <c r="O11" s="6">
        <v>0</v>
      </c>
      <c r="P11" s="6">
        <v>0.52</v>
      </c>
      <c r="Q11" s="6">
        <v>10.76</v>
      </c>
      <c r="R11" s="6"/>
      <c r="S11" s="6"/>
      <c r="T11" s="156"/>
      <c r="U11" s="6"/>
    </row>
    <row r="12" spans="1:21" customFormat="1">
      <c r="A12" s="201" t="s">
        <v>339</v>
      </c>
      <c r="B12" s="6">
        <v>12.09</v>
      </c>
      <c r="C12" s="6">
        <v>7.91</v>
      </c>
      <c r="D12" s="6">
        <v>20</v>
      </c>
      <c r="E12" s="6">
        <v>6.28</v>
      </c>
      <c r="F12" s="6">
        <v>2</v>
      </c>
      <c r="G12" s="6">
        <v>78</v>
      </c>
      <c r="H12" s="6">
        <v>21.14</v>
      </c>
      <c r="I12" s="6">
        <v>9.09</v>
      </c>
      <c r="J12" s="6">
        <v>0.05</v>
      </c>
      <c r="K12" s="6">
        <v>14.67</v>
      </c>
      <c r="L12" s="6">
        <v>19.68</v>
      </c>
      <c r="M12" s="6">
        <v>31.21</v>
      </c>
      <c r="N12" s="6">
        <v>2.2000000000000002</v>
      </c>
      <c r="O12" s="6">
        <v>0</v>
      </c>
      <c r="P12" s="6">
        <v>0.53</v>
      </c>
      <c r="Q12" s="6">
        <v>10.32</v>
      </c>
      <c r="R12" s="6"/>
      <c r="S12" s="6"/>
      <c r="T12" s="156"/>
      <c r="U12" s="6"/>
    </row>
    <row r="13" spans="1:21" customFormat="1">
      <c r="A13" s="201" t="s">
        <v>340</v>
      </c>
      <c r="B13" s="6">
        <v>12.45</v>
      </c>
      <c r="C13" s="6">
        <v>8</v>
      </c>
      <c r="D13" s="6">
        <v>20.440000000000001</v>
      </c>
      <c r="E13" s="6">
        <v>6.45</v>
      </c>
      <c r="F13" s="6">
        <v>2</v>
      </c>
      <c r="G13" s="6">
        <v>78</v>
      </c>
      <c r="H13" s="6">
        <v>21.14</v>
      </c>
      <c r="I13" s="6">
        <v>9.01</v>
      </c>
      <c r="J13" s="6">
        <v>0.15</v>
      </c>
      <c r="K13" s="6">
        <v>127.02</v>
      </c>
      <c r="L13" s="6">
        <v>11.75</v>
      </c>
      <c r="M13" s="6">
        <v>11.53</v>
      </c>
      <c r="N13" s="6">
        <v>2.1</v>
      </c>
      <c r="O13" s="6">
        <v>0</v>
      </c>
      <c r="P13" s="6">
        <v>0.53</v>
      </c>
      <c r="Q13" s="6">
        <v>10</v>
      </c>
      <c r="R13" s="6"/>
      <c r="S13" s="6"/>
      <c r="T13" s="156"/>
      <c r="U13" s="6"/>
    </row>
    <row r="14" spans="1:21" customFormat="1">
      <c r="A14" s="201" t="s">
        <v>341</v>
      </c>
      <c r="B14" s="6">
        <v>12.58</v>
      </c>
      <c r="C14" s="6">
        <v>7.86</v>
      </c>
      <c r="D14" s="6">
        <v>20.440000000000001</v>
      </c>
      <c r="E14" s="6">
        <v>6.23</v>
      </c>
      <c r="F14" s="6">
        <v>2</v>
      </c>
      <c r="G14" s="6">
        <v>79.73</v>
      </c>
      <c r="H14" s="6">
        <v>24.01</v>
      </c>
      <c r="I14" s="6">
        <v>8.99</v>
      </c>
      <c r="J14" s="6">
        <v>7.0000000000000007E-2</v>
      </c>
      <c r="K14" s="6">
        <v>58.75</v>
      </c>
      <c r="L14" s="6">
        <v>12.62</v>
      </c>
      <c r="M14" s="6">
        <v>13.55</v>
      </c>
      <c r="N14" s="6">
        <v>2.2000000000000002</v>
      </c>
      <c r="O14" s="6">
        <v>0</v>
      </c>
      <c r="P14" s="6">
        <v>0.54</v>
      </c>
      <c r="Q14" s="6">
        <v>9.75</v>
      </c>
      <c r="R14" s="6"/>
      <c r="S14" s="6"/>
      <c r="T14" s="156"/>
      <c r="U14" s="6"/>
    </row>
    <row r="15" spans="1:21" customFormat="1">
      <c r="A15" s="201" t="s">
        <v>342</v>
      </c>
      <c r="B15" s="6">
        <v>12.82</v>
      </c>
      <c r="C15" s="6">
        <v>7.9</v>
      </c>
      <c r="D15" s="6">
        <v>20.72</v>
      </c>
      <c r="E15" s="6">
        <v>6.42</v>
      </c>
      <c r="F15" s="6">
        <v>2</v>
      </c>
      <c r="G15" s="6">
        <v>81.06</v>
      </c>
      <c r="H15" s="6">
        <v>24.91</v>
      </c>
      <c r="I15" s="6">
        <v>8.9700000000000006</v>
      </c>
      <c r="J15" s="6">
        <v>7.0000000000000007E-2</v>
      </c>
      <c r="K15" s="6">
        <v>209.39</v>
      </c>
      <c r="L15" s="6">
        <v>20.11</v>
      </c>
      <c r="M15" s="6">
        <v>32.42</v>
      </c>
      <c r="N15" s="6">
        <v>2.1</v>
      </c>
      <c r="O15" s="6">
        <v>0</v>
      </c>
      <c r="P15" s="6">
        <v>0.54</v>
      </c>
      <c r="Q15" s="6">
        <v>10.039999999999999</v>
      </c>
      <c r="R15" s="6"/>
      <c r="S15" s="6"/>
      <c r="T15" s="156"/>
      <c r="U15" s="6"/>
    </row>
    <row r="16" spans="1:21" customFormat="1">
      <c r="A16" s="201" t="s">
        <v>343</v>
      </c>
      <c r="B16" s="6">
        <v>13.07</v>
      </c>
      <c r="C16" s="6">
        <v>7.93</v>
      </c>
      <c r="D16" s="6">
        <v>21</v>
      </c>
      <c r="E16" s="6">
        <v>6.36</v>
      </c>
      <c r="F16" s="6">
        <v>2</v>
      </c>
      <c r="G16" s="6">
        <v>81.06</v>
      </c>
      <c r="H16" s="6">
        <v>24.91</v>
      </c>
      <c r="I16" s="6">
        <v>8.92</v>
      </c>
      <c r="J16" s="6">
        <v>0.15</v>
      </c>
      <c r="K16" s="6">
        <v>150.22999999999999</v>
      </c>
      <c r="L16" s="6">
        <v>14.97</v>
      </c>
      <c r="M16" s="6">
        <v>19.63</v>
      </c>
      <c r="N16" s="6">
        <v>2.2999999999999998</v>
      </c>
      <c r="O16" s="6">
        <v>0</v>
      </c>
      <c r="P16" s="6">
        <v>0.54</v>
      </c>
      <c r="Q16" s="6">
        <v>12.12</v>
      </c>
      <c r="R16" s="6"/>
      <c r="S16" s="6"/>
      <c r="T16" s="156"/>
      <c r="U16" s="6"/>
    </row>
    <row r="17" spans="1:21" customFormat="1">
      <c r="A17" s="201" t="s">
        <v>344</v>
      </c>
      <c r="B17" s="6">
        <v>13.13</v>
      </c>
      <c r="C17" s="6">
        <v>7.82</v>
      </c>
      <c r="D17" s="6">
        <v>20.95</v>
      </c>
      <c r="E17" s="6">
        <v>4.58</v>
      </c>
      <c r="F17" s="6">
        <v>2</v>
      </c>
      <c r="G17" s="6">
        <v>81.06</v>
      </c>
      <c r="H17" s="6">
        <v>24.91</v>
      </c>
      <c r="I17" s="6">
        <v>8.92</v>
      </c>
      <c r="J17" s="6">
        <v>0.14000000000000001</v>
      </c>
      <c r="K17" s="6">
        <v>166.21</v>
      </c>
      <c r="L17" s="6">
        <v>16.54</v>
      </c>
      <c r="M17" s="6">
        <v>23.64</v>
      </c>
      <c r="N17" s="6">
        <v>2.1</v>
      </c>
      <c r="O17" s="6">
        <v>0</v>
      </c>
      <c r="P17" s="6">
        <v>0.54</v>
      </c>
      <c r="Q17" s="6">
        <v>9.8000000000000007</v>
      </c>
      <c r="R17" s="6"/>
      <c r="S17" s="6"/>
      <c r="T17" s="156"/>
      <c r="U17" s="6"/>
    </row>
    <row r="18" spans="1:21" customFormat="1">
      <c r="A18" s="201" t="s">
        <v>345</v>
      </c>
      <c r="B18" s="6">
        <v>13.24</v>
      </c>
      <c r="C18" s="6">
        <v>7.63</v>
      </c>
      <c r="D18" s="6">
        <v>20.87</v>
      </c>
      <c r="E18" s="6">
        <v>5.89</v>
      </c>
      <c r="F18" s="6">
        <v>2</v>
      </c>
      <c r="G18" s="6">
        <v>80.64</v>
      </c>
      <c r="H18" s="6">
        <v>25.07</v>
      </c>
      <c r="I18" s="6">
        <v>8.8699999999999992</v>
      </c>
      <c r="J18" s="6">
        <v>0.1</v>
      </c>
      <c r="K18" s="6">
        <v>189.54</v>
      </c>
      <c r="L18" s="6">
        <v>17.760000000000002</v>
      </c>
      <c r="M18" s="6">
        <v>26.65</v>
      </c>
      <c r="N18" s="6">
        <v>2.2000000000000002</v>
      </c>
      <c r="O18" s="6">
        <v>0</v>
      </c>
      <c r="P18" s="6">
        <v>0.53</v>
      </c>
      <c r="Q18" s="6">
        <v>9.99</v>
      </c>
      <c r="R18" s="6"/>
      <c r="S18" s="6"/>
      <c r="T18" s="156"/>
      <c r="U18" s="6"/>
    </row>
    <row r="19" spans="1:21" customFormat="1">
      <c r="A19" s="201" t="s">
        <v>346</v>
      </c>
      <c r="B19" s="6">
        <v>13.42</v>
      </c>
      <c r="C19" s="6">
        <v>7.44</v>
      </c>
      <c r="D19" s="6">
        <v>20.86</v>
      </c>
      <c r="E19" s="6">
        <v>5.73</v>
      </c>
      <c r="F19" s="6">
        <v>2</v>
      </c>
      <c r="G19" s="6">
        <v>80.33</v>
      </c>
      <c r="H19" s="6">
        <v>25.12</v>
      </c>
      <c r="I19" s="6">
        <v>8.81</v>
      </c>
      <c r="J19" s="6">
        <v>0.11</v>
      </c>
      <c r="K19" s="6">
        <v>200.07</v>
      </c>
      <c r="L19" s="6">
        <v>19.170000000000002</v>
      </c>
      <c r="M19" s="6">
        <v>30.19</v>
      </c>
      <c r="N19" s="6">
        <v>2.1</v>
      </c>
      <c r="O19" s="6">
        <v>0</v>
      </c>
      <c r="P19" s="6">
        <v>0.49</v>
      </c>
      <c r="Q19" s="6">
        <v>9.8800000000000008</v>
      </c>
      <c r="R19" s="6"/>
      <c r="S19" s="6"/>
      <c r="T19" s="156"/>
      <c r="U19" s="6"/>
    </row>
    <row r="20" spans="1:21" customFormat="1">
      <c r="A20" s="201" t="s">
        <v>347</v>
      </c>
      <c r="B20" s="6">
        <v>13.54</v>
      </c>
      <c r="C20" s="6">
        <v>7.45</v>
      </c>
      <c r="D20" s="6">
        <v>20.98</v>
      </c>
      <c r="E20" s="6">
        <v>5.22</v>
      </c>
      <c r="F20" s="6">
        <v>2</v>
      </c>
      <c r="G20" s="6">
        <v>80.33</v>
      </c>
      <c r="H20" s="6">
        <v>25.12</v>
      </c>
      <c r="I20" s="6">
        <v>8.85</v>
      </c>
      <c r="J20" s="6">
        <v>0.11</v>
      </c>
      <c r="K20" s="6">
        <v>196.89</v>
      </c>
      <c r="L20" s="6">
        <v>17.86</v>
      </c>
      <c r="M20" s="6">
        <v>26.88</v>
      </c>
      <c r="N20" s="6">
        <v>2.1</v>
      </c>
      <c r="O20" s="6">
        <v>0</v>
      </c>
      <c r="P20" s="6">
        <v>0.49</v>
      </c>
      <c r="Q20" s="6">
        <v>10</v>
      </c>
      <c r="R20" s="6"/>
      <c r="S20" s="6"/>
      <c r="T20" s="156"/>
      <c r="U20" s="6"/>
    </row>
    <row r="21" spans="1:21" customFormat="1">
      <c r="A21" s="201" t="s">
        <v>348</v>
      </c>
      <c r="B21" s="6">
        <v>13.71</v>
      </c>
      <c r="C21" s="6">
        <v>7.48</v>
      </c>
      <c r="D21" s="6">
        <v>21.19</v>
      </c>
      <c r="E21" s="6">
        <v>5.38</v>
      </c>
      <c r="F21" s="6">
        <v>2</v>
      </c>
      <c r="G21" s="6">
        <v>80.33</v>
      </c>
      <c r="H21" s="6">
        <v>25.12</v>
      </c>
      <c r="I21" s="6">
        <v>8.8699999999999992</v>
      </c>
      <c r="J21" s="6">
        <v>0.09</v>
      </c>
      <c r="K21" s="6">
        <v>160.85</v>
      </c>
      <c r="L21" s="6">
        <v>15.58</v>
      </c>
      <c r="M21" s="6">
        <v>21.21</v>
      </c>
      <c r="N21" s="6">
        <v>2.2000000000000002</v>
      </c>
      <c r="O21" s="6">
        <v>0</v>
      </c>
      <c r="P21" s="6">
        <v>0.51</v>
      </c>
      <c r="Q21" s="6">
        <v>10</v>
      </c>
      <c r="R21" s="6"/>
      <c r="S21" s="6"/>
      <c r="T21" s="156"/>
      <c r="U21" s="6"/>
    </row>
    <row r="22" spans="1:21" customFormat="1">
      <c r="A22" s="201" t="s">
        <v>349</v>
      </c>
      <c r="B22" s="6">
        <v>13.82</v>
      </c>
      <c r="C22" s="6">
        <v>7.44</v>
      </c>
      <c r="D22" s="6">
        <v>21.26</v>
      </c>
      <c r="E22" s="6">
        <v>5.22</v>
      </c>
      <c r="F22" s="6">
        <v>2</v>
      </c>
      <c r="G22" s="6">
        <v>79</v>
      </c>
      <c r="H22" s="6">
        <v>24.39</v>
      </c>
      <c r="I22" s="6">
        <v>8.81</v>
      </c>
      <c r="J22" s="6">
        <v>0.14000000000000001</v>
      </c>
      <c r="K22" s="6">
        <v>127.17</v>
      </c>
      <c r="L22" s="6">
        <v>12.9</v>
      </c>
      <c r="M22" s="6">
        <v>14.43</v>
      </c>
      <c r="N22" s="6">
        <v>2.1</v>
      </c>
      <c r="O22" s="6">
        <v>0</v>
      </c>
      <c r="P22" s="6">
        <v>0.51</v>
      </c>
      <c r="Q22" s="6">
        <v>10</v>
      </c>
      <c r="R22" s="6"/>
      <c r="S22" s="6"/>
      <c r="T22" s="156"/>
      <c r="U22" s="6"/>
    </row>
    <row r="23" spans="1:21" customFormat="1">
      <c r="A23" s="201" t="s">
        <v>350</v>
      </c>
      <c r="B23" s="6">
        <v>14.19</v>
      </c>
      <c r="C23" s="6">
        <v>7.34</v>
      </c>
      <c r="D23" s="6">
        <v>21.52</v>
      </c>
      <c r="E23" s="6">
        <v>4.99</v>
      </c>
      <c r="F23" s="6">
        <v>2</v>
      </c>
      <c r="G23" s="6">
        <v>77.98</v>
      </c>
      <c r="H23" s="6">
        <v>23.96</v>
      </c>
      <c r="I23" s="6">
        <v>8.9</v>
      </c>
      <c r="J23" s="6">
        <v>0.11</v>
      </c>
      <c r="K23" s="6">
        <v>165.41</v>
      </c>
      <c r="L23" s="6">
        <v>15.86</v>
      </c>
      <c r="M23" s="6">
        <v>21.86</v>
      </c>
      <c r="N23" s="6">
        <v>2.1</v>
      </c>
      <c r="O23" s="6">
        <v>0</v>
      </c>
      <c r="P23" s="6">
        <v>0.49</v>
      </c>
      <c r="Q23" s="6">
        <v>9.92</v>
      </c>
      <c r="R23" s="6"/>
      <c r="S23" s="6"/>
      <c r="T23" s="156"/>
      <c r="U23" s="6"/>
    </row>
    <row r="24" spans="1:21" customFormat="1">
      <c r="A24" s="201" t="s">
        <v>351</v>
      </c>
      <c r="B24" s="6">
        <v>14.34</v>
      </c>
      <c r="C24" s="6">
        <v>7.34</v>
      </c>
      <c r="D24" s="6">
        <v>21.67</v>
      </c>
      <c r="E24" s="6">
        <v>5.1100000000000003</v>
      </c>
      <c r="F24" s="6">
        <v>2</v>
      </c>
      <c r="G24" s="6">
        <v>77.98</v>
      </c>
      <c r="H24" s="6">
        <v>23.96</v>
      </c>
      <c r="I24" s="6">
        <v>8.8000000000000007</v>
      </c>
      <c r="J24" s="6">
        <v>7.0000000000000007E-2</v>
      </c>
      <c r="K24" s="6">
        <v>171.03</v>
      </c>
      <c r="L24" s="6">
        <v>16.170000000000002</v>
      </c>
      <c r="M24" s="6">
        <v>22.68</v>
      </c>
      <c r="N24" s="6">
        <v>2.1</v>
      </c>
      <c r="O24" s="6">
        <v>0</v>
      </c>
      <c r="P24" s="6">
        <v>0.53</v>
      </c>
      <c r="Q24" s="6">
        <v>10.35</v>
      </c>
      <c r="R24" s="6"/>
      <c r="S24" s="6"/>
      <c r="T24" s="156"/>
      <c r="U24" s="6"/>
    </row>
    <row r="25" spans="1:21" customFormat="1">
      <c r="A25" s="201" t="s">
        <v>352</v>
      </c>
      <c r="B25" s="6">
        <v>14.84</v>
      </c>
      <c r="C25" s="6">
        <v>7.37</v>
      </c>
      <c r="D25" s="6">
        <v>22.22</v>
      </c>
      <c r="E25" s="6">
        <v>5.21</v>
      </c>
      <c r="F25" s="6">
        <v>2</v>
      </c>
      <c r="G25" s="6">
        <v>77.98</v>
      </c>
      <c r="H25" s="6">
        <v>23.96</v>
      </c>
      <c r="I25" s="6">
        <v>8.82</v>
      </c>
      <c r="J25" s="6">
        <v>0.05</v>
      </c>
      <c r="K25" s="6">
        <v>150.71</v>
      </c>
      <c r="L25" s="6">
        <v>17.13</v>
      </c>
      <c r="M25" s="6">
        <v>25.06</v>
      </c>
      <c r="N25" s="6">
        <v>2.1</v>
      </c>
      <c r="O25" s="6">
        <v>0</v>
      </c>
      <c r="P25" s="6">
        <v>0.52</v>
      </c>
      <c r="Q25" s="6">
        <v>10</v>
      </c>
      <c r="R25" s="6"/>
      <c r="S25" s="6"/>
      <c r="T25" s="156"/>
      <c r="U25" s="6"/>
    </row>
    <row r="26" spans="1:21" customFormat="1">
      <c r="A26" s="201" t="s">
        <v>353</v>
      </c>
      <c r="B26" s="6">
        <v>15.67</v>
      </c>
      <c r="C26" s="6">
        <v>7.88</v>
      </c>
      <c r="D26" s="6">
        <v>23.55</v>
      </c>
      <c r="E26" s="6">
        <v>4.9400000000000004</v>
      </c>
      <c r="F26" s="6">
        <v>2</v>
      </c>
      <c r="G26" s="6">
        <v>78.95</v>
      </c>
      <c r="H26" s="6">
        <v>21</v>
      </c>
      <c r="I26" s="6">
        <v>8.91</v>
      </c>
      <c r="J26" s="6">
        <v>0.13</v>
      </c>
      <c r="K26" s="6">
        <v>59.34</v>
      </c>
      <c r="L26" s="6">
        <v>12.21</v>
      </c>
      <c r="M26" s="6">
        <v>12.49</v>
      </c>
      <c r="N26" s="6">
        <v>2.1</v>
      </c>
      <c r="O26" s="6">
        <v>0</v>
      </c>
      <c r="P26" s="6">
        <v>0.52</v>
      </c>
      <c r="Q26" s="6">
        <v>10</v>
      </c>
      <c r="R26" s="6"/>
      <c r="S26" s="6"/>
      <c r="T26" s="156"/>
      <c r="U26" s="6"/>
    </row>
    <row r="27" spans="1:21" customFormat="1">
      <c r="A27" s="201" t="s">
        <v>354</v>
      </c>
      <c r="B27" s="6">
        <v>15.54</v>
      </c>
      <c r="C27" s="6">
        <v>7.78</v>
      </c>
      <c r="D27" s="6">
        <v>23.31</v>
      </c>
      <c r="E27" s="6">
        <v>5.15</v>
      </c>
      <c r="F27" s="6">
        <v>2</v>
      </c>
      <c r="G27" s="6">
        <v>79.680000000000007</v>
      </c>
      <c r="H27" s="6">
        <v>20.07</v>
      </c>
      <c r="I27" s="6">
        <v>8.94</v>
      </c>
      <c r="J27" s="6">
        <v>0.09</v>
      </c>
      <c r="K27" s="6">
        <v>147.81</v>
      </c>
      <c r="L27" s="6">
        <v>17.68</v>
      </c>
      <c r="M27" s="6">
        <v>26.37</v>
      </c>
      <c r="N27" s="6">
        <v>2.1</v>
      </c>
      <c r="O27" s="6">
        <v>0</v>
      </c>
      <c r="P27" s="6">
        <v>0.53</v>
      </c>
      <c r="Q27" s="6">
        <v>12.68</v>
      </c>
      <c r="R27" s="6"/>
      <c r="S27" s="6"/>
      <c r="T27" s="156"/>
      <c r="U27" s="6"/>
    </row>
    <row r="28" spans="1:21" customFormat="1">
      <c r="A28" s="201" t="s">
        <v>355</v>
      </c>
      <c r="B28" s="6">
        <v>15.71</v>
      </c>
      <c r="C28" s="6">
        <v>7.57</v>
      </c>
      <c r="D28" s="6">
        <v>23.28</v>
      </c>
      <c r="E28" s="6">
        <v>5.7</v>
      </c>
      <c r="F28" s="6">
        <v>2</v>
      </c>
      <c r="G28" s="6">
        <v>79.680000000000007</v>
      </c>
      <c r="H28" s="6">
        <v>20.07</v>
      </c>
      <c r="I28" s="6">
        <v>8.91</v>
      </c>
      <c r="J28" s="6">
        <v>0.02</v>
      </c>
      <c r="K28" s="6">
        <v>331.21</v>
      </c>
      <c r="L28" s="6">
        <v>17.28</v>
      </c>
      <c r="M28" s="6">
        <v>25.29</v>
      </c>
      <c r="N28" s="6">
        <v>2.1</v>
      </c>
      <c r="O28" s="6">
        <v>0</v>
      </c>
      <c r="P28" s="6">
        <v>0.53</v>
      </c>
      <c r="Q28" s="6">
        <v>9.7899999999999991</v>
      </c>
      <c r="R28" s="6"/>
      <c r="S28" s="6"/>
      <c r="T28" s="156"/>
      <c r="U28" s="6"/>
    </row>
    <row r="29" spans="1:21" customFormat="1">
      <c r="A29" s="201" t="s">
        <v>356</v>
      </c>
      <c r="B29" s="6">
        <v>15.99</v>
      </c>
      <c r="C29" s="6">
        <v>7.53</v>
      </c>
      <c r="D29" s="6">
        <v>23.52</v>
      </c>
      <c r="E29" s="6">
        <v>5.1100000000000003</v>
      </c>
      <c r="F29" s="6">
        <v>2</v>
      </c>
      <c r="G29" s="6">
        <v>79.680000000000007</v>
      </c>
      <c r="H29" s="6">
        <v>20.07</v>
      </c>
      <c r="I29" s="6">
        <v>8.9700000000000006</v>
      </c>
      <c r="J29" s="6">
        <v>0.1</v>
      </c>
      <c r="K29" s="6">
        <v>131.1</v>
      </c>
      <c r="L29" s="6">
        <v>13.38</v>
      </c>
      <c r="M29" s="6">
        <v>15.69</v>
      </c>
      <c r="N29" s="6">
        <v>2.1</v>
      </c>
      <c r="O29" s="6">
        <v>0</v>
      </c>
      <c r="P29" s="6">
        <v>0.51</v>
      </c>
      <c r="Q29" s="6">
        <v>10.130000000000001</v>
      </c>
      <c r="R29" s="6"/>
      <c r="S29" s="6"/>
      <c r="T29" s="156"/>
      <c r="U29" s="6"/>
    </row>
    <row r="30" spans="1:21" customFormat="1">
      <c r="A30" s="201" t="s">
        <v>357</v>
      </c>
      <c r="B30" s="6">
        <v>15.99</v>
      </c>
      <c r="C30" s="6">
        <v>7.6</v>
      </c>
      <c r="D30" s="6">
        <v>23.59</v>
      </c>
      <c r="E30" s="6">
        <v>4.8</v>
      </c>
      <c r="F30" s="6">
        <v>2</v>
      </c>
      <c r="G30" s="6">
        <v>76.23</v>
      </c>
      <c r="H30" s="6">
        <v>22.71</v>
      </c>
      <c r="I30" s="6">
        <v>8.9700000000000006</v>
      </c>
      <c r="J30" s="6">
        <v>0.08</v>
      </c>
      <c r="K30" s="6">
        <v>182.19</v>
      </c>
      <c r="L30" s="6">
        <v>18.489999999999998</v>
      </c>
      <c r="M30" s="6">
        <v>28.52</v>
      </c>
      <c r="N30" s="6">
        <v>2.1</v>
      </c>
      <c r="O30" s="6">
        <v>0</v>
      </c>
      <c r="P30" s="6">
        <v>0.53</v>
      </c>
      <c r="Q30" s="6">
        <v>10.029999999999999</v>
      </c>
      <c r="R30" s="6"/>
      <c r="S30" s="6"/>
      <c r="T30" s="156"/>
      <c r="U30" s="6"/>
    </row>
    <row r="31" spans="1:21" customFormat="1">
      <c r="A31" s="201" t="s">
        <v>358</v>
      </c>
      <c r="B31" s="6">
        <v>16.260000000000002</v>
      </c>
      <c r="C31" s="6">
        <v>7.66</v>
      </c>
      <c r="D31" s="6">
        <v>23.91</v>
      </c>
      <c r="E31" s="6">
        <v>5.08</v>
      </c>
      <c r="F31" s="6">
        <v>2</v>
      </c>
      <c r="G31" s="6">
        <v>73.599999999999994</v>
      </c>
      <c r="H31" s="6">
        <v>23.48</v>
      </c>
      <c r="I31" s="6">
        <v>8.93</v>
      </c>
      <c r="J31" s="6">
        <v>0.02</v>
      </c>
      <c r="K31" s="6">
        <v>325.75</v>
      </c>
      <c r="L31" s="6">
        <v>17.5</v>
      </c>
      <c r="M31" s="6">
        <v>25.91</v>
      </c>
      <c r="N31" s="6">
        <v>2.1</v>
      </c>
      <c r="O31" s="6">
        <v>0</v>
      </c>
      <c r="P31" s="6">
        <v>0.52</v>
      </c>
      <c r="Q31" s="6">
        <v>10</v>
      </c>
      <c r="R31" s="6"/>
      <c r="S31" s="6"/>
      <c r="T31" s="156"/>
      <c r="U31" s="6"/>
    </row>
    <row r="32" spans="1:21" customFormat="1">
      <c r="A32" s="201" t="s">
        <v>359</v>
      </c>
      <c r="B32" s="6">
        <v>16.670000000000002</v>
      </c>
      <c r="C32" s="6">
        <v>7.69</v>
      </c>
      <c r="D32" s="6">
        <v>24.36</v>
      </c>
      <c r="E32" s="6">
        <v>5.01</v>
      </c>
      <c r="F32" s="6">
        <v>2</v>
      </c>
      <c r="G32" s="6">
        <v>73.599999999999994</v>
      </c>
      <c r="H32" s="6">
        <v>23.48</v>
      </c>
      <c r="I32" s="6">
        <v>8.98</v>
      </c>
      <c r="J32" s="6">
        <v>0.01</v>
      </c>
      <c r="K32" s="6">
        <v>37.54</v>
      </c>
      <c r="L32" s="6">
        <v>18.670000000000002</v>
      </c>
      <c r="M32" s="6">
        <v>28.77</v>
      </c>
      <c r="N32" s="6">
        <v>2.7</v>
      </c>
      <c r="O32" s="6">
        <v>0</v>
      </c>
      <c r="P32" s="6">
        <v>0.51</v>
      </c>
      <c r="Q32" s="6">
        <v>9.89</v>
      </c>
      <c r="R32" s="6"/>
      <c r="S32" s="6"/>
      <c r="T32" s="156"/>
      <c r="U32" s="6"/>
    </row>
    <row r="33" spans="1:21" customFormat="1">
      <c r="A33" s="201" t="s">
        <v>360</v>
      </c>
      <c r="B33" s="6">
        <v>16.690000000000001</v>
      </c>
      <c r="C33" s="6">
        <v>7.75</v>
      </c>
      <c r="D33" s="6">
        <v>24.44</v>
      </c>
      <c r="E33" s="6">
        <v>5.18</v>
      </c>
      <c r="F33" s="6">
        <v>2</v>
      </c>
      <c r="G33" s="6">
        <v>73.599999999999994</v>
      </c>
      <c r="H33" s="6">
        <v>23.48</v>
      </c>
      <c r="I33" s="6">
        <v>9.0399999999999991</v>
      </c>
      <c r="J33" s="6">
        <v>0.14000000000000001</v>
      </c>
      <c r="K33" s="6">
        <v>64.8</v>
      </c>
      <c r="L33" s="6">
        <v>11.02</v>
      </c>
      <c r="M33" s="6">
        <v>9.51</v>
      </c>
      <c r="N33" s="6">
        <v>6.7</v>
      </c>
      <c r="O33" s="6">
        <v>0</v>
      </c>
      <c r="P33" s="6">
        <v>0.53</v>
      </c>
      <c r="Q33" s="6">
        <v>10.14</v>
      </c>
      <c r="R33" s="6"/>
      <c r="S33" s="6"/>
      <c r="T33" s="156"/>
      <c r="U33" s="6"/>
    </row>
    <row r="34" spans="1:21" customFormat="1">
      <c r="A34" s="201" t="s">
        <v>361</v>
      </c>
      <c r="B34" s="6">
        <v>16.82</v>
      </c>
      <c r="C34" s="6">
        <v>7.96</v>
      </c>
      <c r="D34" s="6">
        <v>24.78</v>
      </c>
      <c r="E34" s="6">
        <v>5.09</v>
      </c>
      <c r="F34" s="6">
        <v>2</v>
      </c>
      <c r="G34" s="6">
        <v>72.489999999999995</v>
      </c>
      <c r="H34" s="6">
        <v>24.68</v>
      </c>
      <c r="I34" s="6">
        <v>9.1199999999999992</v>
      </c>
      <c r="J34" s="6">
        <v>0.22</v>
      </c>
      <c r="K34" s="6">
        <v>39.92</v>
      </c>
      <c r="L34" s="6">
        <v>8.84</v>
      </c>
      <c r="M34" s="6">
        <v>3.71</v>
      </c>
      <c r="N34" s="6">
        <v>15.9</v>
      </c>
      <c r="O34" s="6">
        <v>0</v>
      </c>
      <c r="P34" s="6">
        <v>0.53</v>
      </c>
      <c r="Q34" s="6">
        <v>10</v>
      </c>
      <c r="R34" s="6"/>
      <c r="S34" s="6"/>
      <c r="T34" s="156"/>
      <c r="U34" s="6"/>
    </row>
    <row r="35" spans="1:21" customFormat="1">
      <c r="A35" s="201" t="s">
        <v>362</v>
      </c>
      <c r="B35" s="6">
        <v>17.04</v>
      </c>
      <c r="C35" s="6">
        <v>8.01</v>
      </c>
      <c r="D35" s="6">
        <v>25.05</v>
      </c>
      <c r="E35" s="6">
        <v>5.25</v>
      </c>
      <c r="F35" s="6">
        <v>2</v>
      </c>
      <c r="G35" s="6">
        <v>71.650000000000006</v>
      </c>
      <c r="H35" s="6">
        <v>25.06</v>
      </c>
      <c r="I35" s="6">
        <v>9.16</v>
      </c>
      <c r="J35" s="6">
        <v>0.26</v>
      </c>
      <c r="K35" s="6">
        <v>31.3</v>
      </c>
      <c r="L35" s="6">
        <v>9.34</v>
      </c>
      <c r="M35" s="6">
        <v>4.62</v>
      </c>
      <c r="N35" s="6">
        <v>22.6</v>
      </c>
      <c r="O35" s="6">
        <v>0</v>
      </c>
      <c r="P35" s="6">
        <v>0.51</v>
      </c>
      <c r="Q35" s="6">
        <v>10</v>
      </c>
      <c r="R35" s="6"/>
      <c r="S35" s="6"/>
      <c r="T35" s="156"/>
      <c r="U35" s="6"/>
    </row>
    <row r="36" spans="1:21" customFormat="1">
      <c r="A36" s="201" t="s">
        <v>363</v>
      </c>
      <c r="B36" s="6">
        <v>17.02</v>
      </c>
      <c r="C36" s="6">
        <v>7.93</v>
      </c>
      <c r="D36" s="6">
        <v>24.94</v>
      </c>
      <c r="E36" s="6">
        <v>5.44</v>
      </c>
      <c r="F36" s="6">
        <v>2</v>
      </c>
      <c r="G36" s="6">
        <v>71.650000000000006</v>
      </c>
      <c r="H36" s="6">
        <v>25.06</v>
      </c>
      <c r="I36" s="6">
        <v>9.23</v>
      </c>
      <c r="J36" s="6">
        <v>0.32</v>
      </c>
      <c r="K36" s="6">
        <v>28.38</v>
      </c>
      <c r="L36" s="6">
        <v>10.09</v>
      </c>
      <c r="M36" s="6">
        <v>6.15</v>
      </c>
      <c r="N36" s="6">
        <v>41.1</v>
      </c>
      <c r="O36" s="6">
        <v>0</v>
      </c>
      <c r="P36" s="6">
        <v>0.53</v>
      </c>
      <c r="Q36" s="6">
        <v>10</v>
      </c>
      <c r="R36" s="6"/>
      <c r="S36" s="6"/>
      <c r="T36" s="156"/>
      <c r="U36" s="6"/>
    </row>
    <row r="37" spans="1:21" customFormat="1">
      <c r="A37" s="201" t="s">
        <v>364</v>
      </c>
      <c r="B37" s="6">
        <v>16.760000000000002</v>
      </c>
      <c r="C37" s="6">
        <v>7.85</v>
      </c>
      <c r="D37" s="6">
        <v>24.61</v>
      </c>
      <c r="E37" s="6">
        <v>5.38</v>
      </c>
      <c r="F37" s="6">
        <v>2</v>
      </c>
      <c r="G37" s="6">
        <v>71.650000000000006</v>
      </c>
      <c r="H37" s="6">
        <v>25.06</v>
      </c>
      <c r="I37" s="6">
        <v>9.1300000000000008</v>
      </c>
      <c r="J37" s="6">
        <v>0.42</v>
      </c>
      <c r="K37" s="6">
        <v>19.98</v>
      </c>
      <c r="L37" s="6">
        <v>10.48</v>
      </c>
      <c r="M37" s="6">
        <v>6.82</v>
      </c>
      <c r="N37" s="6">
        <v>50.3</v>
      </c>
      <c r="O37" s="6">
        <v>0</v>
      </c>
      <c r="P37" s="6">
        <v>0.54</v>
      </c>
      <c r="Q37" s="6">
        <v>10</v>
      </c>
      <c r="R37" s="6"/>
      <c r="S37" s="6"/>
      <c r="T37" s="156"/>
      <c r="U37" s="6"/>
    </row>
    <row r="38" spans="1:21" customFormat="1">
      <c r="A38" s="201" t="s">
        <v>365</v>
      </c>
      <c r="B38" s="6">
        <v>16.45</v>
      </c>
      <c r="C38" s="6">
        <v>7.97</v>
      </c>
      <c r="D38" s="6">
        <v>24.43</v>
      </c>
      <c r="E38" s="6">
        <v>5.45</v>
      </c>
      <c r="F38" s="6">
        <v>2</v>
      </c>
      <c r="G38" s="6">
        <v>70.63</v>
      </c>
      <c r="H38" s="6">
        <v>22.49</v>
      </c>
      <c r="I38" s="6">
        <v>9.1</v>
      </c>
      <c r="J38" s="6">
        <v>0.52</v>
      </c>
      <c r="K38" s="6">
        <v>22.81</v>
      </c>
      <c r="L38" s="6">
        <v>10.83</v>
      </c>
      <c r="M38" s="6">
        <v>7.64</v>
      </c>
      <c r="N38" s="6">
        <v>58</v>
      </c>
      <c r="O38" s="6">
        <v>0</v>
      </c>
      <c r="P38" s="6">
        <v>0.53</v>
      </c>
      <c r="Q38" s="6">
        <v>10</v>
      </c>
      <c r="R38" s="6"/>
      <c r="S38" s="6"/>
      <c r="T38" s="156"/>
      <c r="U38" s="6"/>
    </row>
    <row r="39" spans="1:21" customFormat="1">
      <c r="A39" s="201" t="s">
        <v>366</v>
      </c>
      <c r="B39" s="6">
        <v>16.010000000000002</v>
      </c>
      <c r="C39" s="6">
        <v>8.0399999999999991</v>
      </c>
      <c r="D39" s="6">
        <v>24.05</v>
      </c>
      <c r="E39" s="6">
        <v>5.56</v>
      </c>
      <c r="F39" s="6">
        <v>2.02</v>
      </c>
      <c r="G39" s="6">
        <v>69.84</v>
      </c>
      <c r="H39" s="6">
        <v>20.97</v>
      </c>
      <c r="I39" s="6">
        <v>8.89</v>
      </c>
      <c r="J39" s="6">
        <v>0.46</v>
      </c>
      <c r="K39" s="6">
        <v>18.54</v>
      </c>
      <c r="L39" s="6">
        <v>13.69</v>
      </c>
      <c r="M39" s="6">
        <v>14.43</v>
      </c>
      <c r="N39" s="6">
        <v>67.5</v>
      </c>
      <c r="O39" s="6">
        <v>0</v>
      </c>
      <c r="P39" s="6">
        <v>0.52</v>
      </c>
      <c r="Q39" s="6">
        <v>10.38</v>
      </c>
      <c r="R39" s="6"/>
      <c r="S39" s="6"/>
      <c r="T39" s="156"/>
      <c r="U39" s="6"/>
    </row>
    <row r="40" spans="1:21" customFormat="1">
      <c r="A40" s="201" t="s">
        <v>367</v>
      </c>
      <c r="B40" s="6">
        <v>15.51</v>
      </c>
      <c r="C40" s="6">
        <v>7.95</v>
      </c>
      <c r="D40" s="6">
        <v>23.46</v>
      </c>
      <c r="E40" s="6">
        <v>5.75</v>
      </c>
      <c r="F40" s="6">
        <v>2.0099999999999998</v>
      </c>
      <c r="G40" s="6">
        <v>69.84</v>
      </c>
      <c r="H40" s="6">
        <v>20.97</v>
      </c>
      <c r="I40" s="6">
        <v>8.6300000000000008</v>
      </c>
      <c r="J40" s="6">
        <v>0.62</v>
      </c>
      <c r="K40" s="6">
        <v>23.33</v>
      </c>
      <c r="L40" s="6">
        <v>8.83</v>
      </c>
      <c r="M40" s="6">
        <v>2.63</v>
      </c>
      <c r="N40" s="6">
        <v>85.4</v>
      </c>
      <c r="O40" s="6">
        <v>0</v>
      </c>
      <c r="P40" s="6">
        <v>0.5</v>
      </c>
      <c r="Q40" s="6">
        <v>9.83</v>
      </c>
      <c r="R40" s="6"/>
      <c r="S40" s="6"/>
      <c r="T40" s="156"/>
      <c r="U40" s="6"/>
    </row>
    <row r="41" spans="1:21" customFormat="1">
      <c r="A41" s="201" t="s">
        <v>368</v>
      </c>
      <c r="B41" s="6">
        <v>14.97</v>
      </c>
      <c r="C41" s="6">
        <v>7.99</v>
      </c>
      <c r="D41" s="6">
        <v>22.96</v>
      </c>
      <c r="E41" s="6">
        <v>5.61</v>
      </c>
      <c r="F41" s="6">
        <v>2</v>
      </c>
      <c r="G41" s="6">
        <v>69.84</v>
      </c>
      <c r="H41" s="6">
        <v>20.97</v>
      </c>
      <c r="I41" s="6">
        <v>8.42</v>
      </c>
      <c r="J41" s="6">
        <v>0.53</v>
      </c>
      <c r="K41" s="6">
        <v>26.52</v>
      </c>
      <c r="L41" s="6">
        <v>9.35</v>
      </c>
      <c r="M41" s="6">
        <v>1.36</v>
      </c>
      <c r="N41" s="6">
        <v>100.8</v>
      </c>
      <c r="O41" s="6">
        <v>0</v>
      </c>
      <c r="P41" s="6">
        <v>0.49</v>
      </c>
      <c r="Q41" s="6">
        <v>9.86</v>
      </c>
      <c r="R41" s="6"/>
      <c r="S41" s="6"/>
      <c r="T41" s="156"/>
      <c r="U41" s="6"/>
    </row>
    <row r="42" spans="1:21" customFormat="1">
      <c r="A42" s="201" t="s">
        <v>369</v>
      </c>
      <c r="B42" s="6">
        <v>14.51</v>
      </c>
      <c r="C42" s="6">
        <v>8.0299999999999994</v>
      </c>
      <c r="D42" s="6">
        <v>22.53</v>
      </c>
      <c r="E42" s="6">
        <v>5.43</v>
      </c>
      <c r="F42" s="6">
        <v>2</v>
      </c>
      <c r="G42" s="6">
        <v>60.99</v>
      </c>
      <c r="H42" s="6">
        <v>18.55</v>
      </c>
      <c r="I42" s="6">
        <v>8.23</v>
      </c>
      <c r="J42" s="6">
        <v>0.52</v>
      </c>
      <c r="K42" s="6">
        <v>18.11</v>
      </c>
      <c r="L42" s="6">
        <v>11.02</v>
      </c>
      <c r="M42" s="6">
        <v>7.12</v>
      </c>
      <c r="N42" s="6">
        <v>127.8</v>
      </c>
      <c r="O42" s="6">
        <v>0</v>
      </c>
      <c r="P42" s="6">
        <v>0.47</v>
      </c>
      <c r="Q42" s="6">
        <v>10.039999999999999</v>
      </c>
      <c r="R42" s="6"/>
      <c r="S42" s="6"/>
      <c r="T42" s="156"/>
      <c r="U42" s="6"/>
    </row>
    <row r="43" spans="1:21" customFormat="1">
      <c r="A43" s="201" t="s">
        <v>370</v>
      </c>
      <c r="B43" s="6">
        <v>14.06</v>
      </c>
      <c r="C43" s="6">
        <v>8.01</v>
      </c>
      <c r="D43" s="6">
        <v>22.08</v>
      </c>
      <c r="E43" s="6">
        <v>5.84</v>
      </c>
      <c r="F43" s="6">
        <v>2</v>
      </c>
      <c r="G43" s="6">
        <v>54.23</v>
      </c>
      <c r="H43" s="6">
        <v>17.79</v>
      </c>
      <c r="I43" s="6">
        <v>8.01</v>
      </c>
      <c r="J43" s="6">
        <v>0.59</v>
      </c>
      <c r="K43" s="6">
        <v>26.38</v>
      </c>
      <c r="L43" s="6">
        <v>9.7100000000000009</v>
      </c>
      <c r="M43" s="6">
        <v>3.68</v>
      </c>
      <c r="N43" s="6">
        <v>105</v>
      </c>
      <c r="O43" s="6">
        <v>0</v>
      </c>
      <c r="P43" s="6">
        <v>0.45</v>
      </c>
      <c r="Q43" s="6">
        <v>10.02</v>
      </c>
      <c r="R43" s="6"/>
      <c r="S43" s="6"/>
      <c r="T43" s="156"/>
      <c r="U43" s="6"/>
    </row>
    <row r="44" spans="1:21" customFormat="1">
      <c r="A44" s="201" t="s">
        <v>371</v>
      </c>
      <c r="B44" s="6">
        <v>13.65</v>
      </c>
      <c r="C44" s="6">
        <v>7.97</v>
      </c>
      <c r="D44" s="6">
        <v>21.62</v>
      </c>
      <c r="E44" s="6">
        <v>5.83</v>
      </c>
      <c r="F44" s="6">
        <v>2</v>
      </c>
      <c r="G44" s="6">
        <v>54.23</v>
      </c>
      <c r="H44" s="6">
        <v>17.79</v>
      </c>
      <c r="I44" s="6">
        <v>7.79</v>
      </c>
      <c r="J44" s="6">
        <v>0.52</v>
      </c>
      <c r="K44" s="6">
        <v>25.59</v>
      </c>
      <c r="L44" s="6">
        <v>11.75</v>
      </c>
      <c r="M44" s="6">
        <v>6.84</v>
      </c>
      <c r="N44" s="6">
        <v>156.80000000000001</v>
      </c>
      <c r="O44" s="6">
        <v>0</v>
      </c>
      <c r="P44" s="6">
        <v>0.44</v>
      </c>
      <c r="Q44" s="6">
        <v>10</v>
      </c>
      <c r="R44" s="6"/>
      <c r="S44" s="6"/>
      <c r="T44" s="156"/>
      <c r="U44" s="6"/>
    </row>
    <row r="45" spans="1:21" customFormat="1">
      <c r="A45" s="201" t="s">
        <v>372</v>
      </c>
      <c r="B45" s="6">
        <v>13.26</v>
      </c>
      <c r="C45" s="6">
        <v>7.92</v>
      </c>
      <c r="D45" s="6">
        <v>21.18</v>
      </c>
      <c r="E45" s="6">
        <v>5.86</v>
      </c>
      <c r="F45" s="6">
        <v>2.02</v>
      </c>
      <c r="G45" s="6">
        <v>54.23</v>
      </c>
      <c r="H45" s="6">
        <v>17.79</v>
      </c>
      <c r="I45" s="6">
        <v>7.65</v>
      </c>
      <c r="J45" s="6">
        <v>0.51</v>
      </c>
      <c r="K45" s="6">
        <v>13.59</v>
      </c>
      <c r="L45" s="6">
        <v>14.09</v>
      </c>
      <c r="M45" s="6">
        <v>12.75</v>
      </c>
      <c r="N45" s="6">
        <v>187.8</v>
      </c>
      <c r="O45" s="6">
        <v>0</v>
      </c>
      <c r="P45" s="6">
        <v>0.43</v>
      </c>
      <c r="Q45" s="6">
        <v>10</v>
      </c>
      <c r="R45" s="6"/>
      <c r="S45" s="6"/>
      <c r="T45" s="156"/>
      <c r="U45" s="6"/>
    </row>
    <row r="46" spans="1:21" customFormat="1">
      <c r="A46" s="201" t="s">
        <v>373</v>
      </c>
      <c r="B46" s="6">
        <v>12.79</v>
      </c>
      <c r="C46" s="6">
        <v>7.98</v>
      </c>
      <c r="D46" s="6">
        <v>20.76</v>
      </c>
      <c r="E46" s="6">
        <v>5.74</v>
      </c>
      <c r="F46" s="6">
        <v>2.14</v>
      </c>
      <c r="G46" s="6">
        <v>53.87</v>
      </c>
      <c r="H46" s="6">
        <v>16.09</v>
      </c>
      <c r="I46" s="6">
        <v>7.49</v>
      </c>
      <c r="J46" s="6">
        <v>0.54</v>
      </c>
      <c r="K46" s="6">
        <v>17.489999999999998</v>
      </c>
      <c r="L46" s="6">
        <v>12.9</v>
      </c>
      <c r="M46" s="6">
        <v>9.07</v>
      </c>
      <c r="N46" s="6">
        <v>211.4</v>
      </c>
      <c r="O46" s="6">
        <v>0</v>
      </c>
      <c r="P46" s="6">
        <v>0.42</v>
      </c>
      <c r="Q46" s="6">
        <v>9.76</v>
      </c>
      <c r="R46" s="6"/>
      <c r="S46" s="6"/>
      <c r="T46" s="156"/>
      <c r="U46" s="6"/>
    </row>
    <row r="47" spans="1:21" customFormat="1">
      <c r="A47" s="201" t="s">
        <v>374</v>
      </c>
      <c r="B47" s="6">
        <v>12.32</v>
      </c>
      <c r="C47" s="6">
        <v>7.93</v>
      </c>
      <c r="D47" s="6">
        <v>20.25</v>
      </c>
      <c r="E47" s="6">
        <v>5.95</v>
      </c>
      <c r="F47" s="6">
        <v>2.15</v>
      </c>
      <c r="G47" s="6">
        <v>53.6</v>
      </c>
      <c r="H47" s="6">
        <v>15.55</v>
      </c>
      <c r="I47" s="6">
        <v>7.36</v>
      </c>
      <c r="J47" s="6">
        <v>0.54</v>
      </c>
      <c r="K47" s="6">
        <v>16.21</v>
      </c>
      <c r="L47" s="6">
        <v>15.54</v>
      </c>
      <c r="M47" s="6">
        <v>14.99</v>
      </c>
      <c r="N47" s="6">
        <v>245.1</v>
      </c>
      <c r="O47" s="6">
        <v>0</v>
      </c>
      <c r="P47" s="6">
        <v>0.4</v>
      </c>
      <c r="Q47" s="6">
        <v>10</v>
      </c>
      <c r="R47" s="6"/>
      <c r="S47" s="6"/>
      <c r="T47" s="156"/>
      <c r="U47" s="6"/>
    </row>
    <row r="48" spans="1:21" customFormat="1">
      <c r="A48" s="201" t="s">
        <v>375</v>
      </c>
      <c r="B48" s="6">
        <v>11.98</v>
      </c>
      <c r="C48" s="6">
        <v>8</v>
      </c>
      <c r="D48" s="6">
        <v>19.98</v>
      </c>
      <c r="E48" s="6">
        <v>6.02</v>
      </c>
      <c r="F48" s="6">
        <v>2</v>
      </c>
      <c r="G48" s="6">
        <v>53.6</v>
      </c>
      <c r="H48" s="6">
        <v>15.55</v>
      </c>
      <c r="I48" s="6">
        <v>7.19</v>
      </c>
      <c r="J48" s="6">
        <v>0.49</v>
      </c>
      <c r="K48" s="6">
        <v>11.66</v>
      </c>
      <c r="L48" s="6">
        <v>18.86</v>
      </c>
      <c r="M48" s="6">
        <v>24.05</v>
      </c>
      <c r="N48" s="6">
        <v>214.2</v>
      </c>
      <c r="O48" s="6">
        <v>0</v>
      </c>
      <c r="P48" s="6">
        <v>0.39</v>
      </c>
      <c r="Q48" s="6">
        <v>10.77</v>
      </c>
      <c r="R48" s="6"/>
      <c r="S48" s="6"/>
      <c r="T48" s="156"/>
      <c r="U48" s="6"/>
    </row>
    <row r="49" spans="1:21" customFormat="1">
      <c r="A49" s="201" t="s">
        <v>376</v>
      </c>
      <c r="B49" s="6">
        <v>11.61</v>
      </c>
      <c r="C49" s="6">
        <v>8.0500000000000007</v>
      </c>
      <c r="D49" s="6">
        <v>19.66</v>
      </c>
      <c r="E49" s="6">
        <v>5.28</v>
      </c>
      <c r="F49" s="6">
        <v>2.0499999999999998</v>
      </c>
      <c r="G49" s="6">
        <v>53.6</v>
      </c>
      <c r="H49" s="6">
        <v>15.55</v>
      </c>
      <c r="I49" s="6">
        <v>7.02</v>
      </c>
      <c r="J49" s="6">
        <v>0.46</v>
      </c>
      <c r="K49" s="6">
        <v>11.06</v>
      </c>
      <c r="L49" s="6">
        <v>16.18</v>
      </c>
      <c r="M49" s="6">
        <v>17.899999999999999</v>
      </c>
      <c r="N49" s="6">
        <v>191.3</v>
      </c>
      <c r="O49" s="6">
        <v>0</v>
      </c>
      <c r="P49" s="6">
        <v>0.38</v>
      </c>
      <c r="Q49" s="6">
        <v>9.9499999999999993</v>
      </c>
      <c r="R49" s="6"/>
      <c r="S49" s="6"/>
      <c r="T49" s="156"/>
      <c r="U49" s="6"/>
    </row>
    <row r="50" spans="1:21" customFormat="1">
      <c r="A50" s="201" t="s">
        <v>377</v>
      </c>
      <c r="B50" s="6">
        <v>11.25</v>
      </c>
      <c r="C50" s="6">
        <v>8.27</v>
      </c>
      <c r="D50" s="6">
        <v>19.510000000000002</v>
      </c>
      <c r="E50" s="6">
        <v>6.88</v>
      </c>
      <c r="F50" s="6">
        <v>2.89</v>
      </c>
      <c r="G50" s="6">
        <v>50.86</v>
      </c>
      <c r="H50" s="6">
        <v>17.2</v>
      </c>
      <c r="I50" s="6">
        <v>6.93</v>
      </c>
      <c r="J50" s="6">
        <v>0.54</v>
      </c>
      <c r="K50" s="6">
        <v>13.89</v>
      </c>
      <c r="L50" s="6">
        <v>14.79</v>
      </c>
      <c r="M50" s="6">
        <v>11.88</v>
      </c>
      <c r="N50" s="6">
        <v>297.10000000000002</v>
      </c>
      <c r="O50" s="6">
        <v>0</v>
      </c>
      <c r="P50" s="6">
        <v>0.36</v>
      </c>
      <c r="Q50" s="6">
        <v>11.34</v>
      </c>
      <c r="R50" s="6"/>
      <c r="S50" s="6"/>
      <c r="T50" s="156"/>
      <c r="U50" s="6"/>
    </row>
    <row r="51" spans="1:21" customFormat="1">
      <c r="A51" s="201" t="s">
        <v>378</v>
      </c>
      <c r="B51" s="6">
        <v>10.79</v>
      </c>
      <c r="C51" s="6">
        <v>8.61</v>
      </c>
      <c r="D51" s="6">
        <v>19.399999999999999</v>
      </c>
      <c r="E51" s="6">
        <v>7.59</v>
      </c>
      <c r="F51" s="6">
        <v>3.3</v>
      </c>
      <c r="G51" s="6">
        <v>48.75</v>
      </c>
      <c r="H51" s="6">
        <v>17.690000000000001</v>
      </c>
      <c r="I51" s="6">
        <v>6.76</v>
      </c>
      <c r="J51" s="6">
        <v>0.06</v>
      </c>
      <c r="K51" s="6">
        <v>0.56000000000000005</v>
      </c>
      <c r="L51" s="6">
        <v>18.82</v>
      </c>
      <c r="M51" s="6">
        <v>21.52</v>
      </c>
      <c r="N51" s="6">
        <v>316.3</v>
      </c>
      <c r="O51" s="6">
        <v>0</v>
      </c>
      <c r="P51" s="6">
        <v>0.35</v>
      </c>
      <c r="Q51" s="6">
        <v>11.02</v>
      </c>
      <c r="R51" s="6"/>
      <c r="S51" s="6"/>
      <c r="T51" s="156"/>
      <c r="U51" s="6"/>
    </row>
    <row r="52" spans="1:21" customFormat="1">
      <c r="A52" s="201" t="s">
        <v>379</v>
      </c>
      <c r="B52" s="6">
        <v>9.41</v>
      </c>
      <c r="C52" s="6">
        <v>10.050000000000001</v>
      </c>
      <c r="D52" s="6">
        <v>19.190000000000001</v>
      </c>
      <c r="E52" s="6">
        <v>9.0399999999999991</v>
      </c>
      <c r="F52" s="6">
        <v>6.37</v>
      </c>
      <c r="G52" s="6">
        <v>48.75</v>
      </c>
      <c r="H52" s="6">
        <v>17.690000000000001</v>
      </c>
      <c r="I52" s="6">
        <v>6.56</v>
      </c>
      <c r="J52" s="6">
        <v>0.71</v>
      </c>
      <c r="K52" s="6">
        <v>15.25</v>
      </c>
      <c r="L52" s="6">
        <v>18.28</v>
      </c>
      <c r="M52" s="6">
        <v>17.989999999999998</v>
      </c>
      <c r="N52" s="6">
        <v>415.1</v>
      </c>
      <c r="O52" s="6">
        <v>0</v>
      </c>
      <c r="P52" s="6">
        <v>0.32</v>
      </c>
      <c r="Q52" s="6">
        <v>10</v>
      </c>
      <c r="R52" s="6"/>
      <c r="S52" s="6"/>
      <c r="T52" s="156"/>
      <c r="U52" s="6"/>
    </row>
    <row r="53" spans="1:21" customFormat="1">
      <c r="A53" s="201" t="s">
        <v>380</v>
      </c>
      <c r="B53" s="6">
        <v>8.1999999999999993</v>
      </c>
      <c r="C53" s="6">
        <v>10.33</v>
      </c>
      <c r="D53" s="6">
        <v>18.52</v>
      </c>
      <c r="E53" s="6">
        <v>9.2899999999999991</v>
      </c>
      <c r="F53" s="6">
        <v>6.2</v>
      </c>
      <c r="G53" s="6">
        <v>48.75</v>
      </c>
      <c r="H53" s="6">
        <v>17.690000000000001</v>
      </c>
      <c r="I53" s="6">
        <v>6.3</v>
      </c>
      <c r="J53" s="6">
        <v>0.62</v>
      </c>
      <c r="K53" s="6">
        <v>27.03</v>
      </c>
      <c r="L53" s="6">
        <v>14.18</v>
      </c>
      <c r="M53" s="6">
        <v>7.75</v>
      </c>
      <c r="N53" s="6">
        <v>409.3</v>
      </c>
      <c r="O53" s="6">
        <v>0</v>
      </c>
      <c r="P53" s="6">
        <v>0.31</v>
      </c>
      <c r="Q53" s="6">
        <v>10</v>
      </c>
      <c r="R53" s="6"/>
      <c r="S53" s="6"/>
      <c r="T53" s="156"/>
      <c r="U53" s="6"/>
    </row>
    <row r="54" spans="1:21" customFormat="1">
      <c r="A54" s="201" t="s">
        <v>381</v>
      </c>
      <c r="B54" s="6">
        <v>6.66</v>
      </c>
      <c r="C54" s="6">
        <v>10.65</v>
      </c>
      <c r="D54" s="6">
        <v>17.309999999999999</v>
      </c>
      <c r="E54" s="6">
        <v>8.34</v>
      </c>
      <c r="F54" s="6">
        <v>9.73</v>
      </c>
      <c r="G54" s="6">
        <v>51.05</v>
      </c>
      <c r="H54" s="6">
        <v>20.61</v>
      </c>
      <c r="I54" s="6">
        <v>5.82</v>
      </c>
      <c r="J54" s="6">
        <v>0.46</v>
      </c>
      <c r="K54" s="6">
        <v>3.57</v>
      </c>
      <c r="L54" s="6">
        <v>16.059999999999999</v>
      </c>
      <c r="M54" s="6">
        <v>15.87</v>
      </c>
      <c r="N54" s="6">
        <v>262.10000000000002</v>
      </c>
      <c r="O54" s="6">
        <v>0</v>
      </c>
      <c r="P54" s="6">
        <v>0.31</v>
      </c>
      <c r="Q54" s="6">
        <v>10</v>
      </c>
      <c r="R54" s="6"/>
      <c r="S54" s="6"/>
      <c r="T54" s="156"/>
      <c r="U54" s="6"/>
    </row>
    <row r="55" spans="1:21" customFormat="1">
      <c r="A55" s="201" t="s">
        <v>382</v>
      </c>
      <c r="B55" s="6">
        <v>6.58</v>
      </c>
      <c r="C55" s="6">
        <v>11.95</v>
      </c>
      <c r="D55" s="6">
        <v>18.53</v>
      </c>
      <c r="E55" s="6">
        <v>9.67</v>
      </c>
      <c r="F55" s="6">
        <v>5.8</v>
      </c>
      <c r="G55" s="6">
        <v>52.81</v>
      </c>
      <c r="H55" s="6">
        <v>22.29</v>
      </c>
      <c r="I55" s="6">
        <v>5.95</v>
      </c>
      <c r="J55" s="6">
        <v>0.62</v>
      </c>
      <c r="K55" s="6">
        <v>19.86</v>
      </c>
      <c r="L55" s="6">
        <v>15.33</v>
      </c>
      <c r="M55" s="6">
        <v>12.48</v>
      </c>
      <c r="N55" s="6">
        <v>324.5</v>
      </c>
      <c r="O55" s="6">
        <v>0</v>
      </c>
      <c r="P55" s="6">
        <v>0.3</v>
      </c>
      <c r="Q55" s="6">
        <v>9.26</v>
      </c>
      <c r="R55" s="6"/>
      <c r="S55" s="6"/>
      <c r="T55" s="156"/>
      <c r="U55" s="6"/>
    </row>
    <row r="56" spans="1:21" customFormat="1">
      <c r="A56" s="201" t="s">
        <v>383</v>
      </c>
      <c r="B56" s="6">
        <v>6.04</v>
      </c>
      <c r="C56" s="6">
        <v>12.32</v>
      </c>
      <c r="D56" s="6">
        <v>18.36</v>
      </c>
      <c r="E56" s="6">
        <v>9.6300000000000008</v>
      </c>
      <c r="F56" s="6">
        <v>8.15</v>
      </c>
      <c r="G56" s="6">
        <v>52.81</v>
      </c>
      <c r="H56" s="6">
        <v>22.29</v>
      </c>
      <c r="I56" s="6">
        <v>6.17</v>
      </c>
      <c r="J56" s="6">
        <v>0.51</v>
      </c>
      <c r="K56" s="6">
        <v>31.63</v>
      </c>
      <c r="L56" s="6">
        <v>14.86</v>
      </c>
      <c r="M56" s="6">
        <v>9.18</v>
      </c>
      <c r="N56" s="6">
        <v>420.7</v>
      </c>
      <c r="O56" s="6">
        <v>0</v>
      </c>
      <c r="P56" s="6">
        <v>0.27</v>
      </c>
      <c r="Q56" s="6">
        <v>9.5299999999999994</v>
      </c>
      <c r="R56" s="6"/>
      <c r="S56" s="6"/>
      <c r="T56" s="156"/>
      <c r="U56" s="6"/>
    </row>
    <row r="57" spans="1:21" customFormat="1">
      <c r="A57" s="201" t="s">
        <v>384</v>
      </c>
      <c r="B57" s="6">
        <v>4.59</v>
      </c>
      <c r="C57" s="6">
        <v>11.59</v>
      </c>
      <c r="D57" s="6">
        <v>16.18</v>
      </c>
      <c r="E57" s="6">
        <v>7.6</v>
      </c>
      <c r="F57" s="6">
        <v>5.93</v>
      </c>
      <c r="G57" s="6">
        <v>52.81</v>
      </c>
      <c r="H57" s="6">
        <v>22.29</v>
      </c>
      <c r="I57" s="6">
        <v>6.08</v>
      </c>
      <c r="J57" s="6">
        <v>0.65</v>
      </c>
      <c r="K57" s="6">
        <v>18.57</v>
      </c>
      <c r="L57" s="6">
        <v>13.62</v>
      </c>
      <c r="M57" s="6">
        <v>10.220000000000001</v>
      </c>
      <c r="N57" s="6">
        <v>239.5</v>
      </c>
      <c r="O57" s="6">
        <v>0</v>
      </c>
      <c r="P57" s="6">
        <v>0.27</v>
      </c>
      <c r="Q57" s="6">
        <v>9.89</v>
      </c>
      <c r="R57" s="6"/>
      <c r="S57" s="6"/>
      <c r="T57" s="156"/>
      <c r="U57" s="6"/>
    </row>
    <row r="58" spans="1:21" customFormat="1">
      <c r="A58" s="201" t="s">
        <v>385</v>
      </c>
      <c r="B58" s="6">
        <v>4.4000000000000004</v>
      </c>
      <c r="C58" s="6">
        <v>10.85</v>
      </c>
      <c r="D58" s="6">
        <v>15.25</v>
      </c>
      <c r="E58" s="6">
        <v>9.36</v>
      </c>
      <c r="F58" s="6">
        <v>6.53</v>
      </c>
      <c r="G58" s="6">
        <v>52.08</v>
      </c>
      <c r="H58" s="6">
        <v>22.67</v>
      </c>
      <c r="I58" s="6">
        <v>5.75</v>
      </c>
      <c r="J58" s="6">
        <v>0.74</v>
      </c>
      <c r="K58" s="6">
        <v>23.34</v>
      </c>
      <c r="L58" s="6">
        <v>11.89</v>
      </c>
      <c r="M58" s="6">
        <v>7.8</v>
      </c>
      <c r="N58" s="6">
        <v>164.9</v>
      </c>
      <c r="O58" s="6">
        <v>0</v>
      </c>
      <c r="P58" s="6">
        <v>0.26</v>
      </c>
      <c r="Q58" s="6">
        <v>10</v>
      </c>
      <c r="R58" s="6"/>
      <c r="S58" s="6"/>
      <c r="T58" s="156"/>
      <c r="U58" s="6"/>
    </row>
    <row r="59" spans="1:21" customFormat="1">
      <c r="A59" s="201" t="s">
        <v>386</v>
      </c>
      <c r="B59" s="6">
        <v>4.5</v>
      </c>
      <c r="C59" s="6">
        <v>10.28</v>
      </c>
      <c r="D59" s="6">
        <v>14.78</v>
      </c>
      <c r="E59" s="6">
        <v>10.59</v>
      </c>
      <c r="F59" s="6">
        <v>7.95</v>
      </c>
      <c r="G59" s="6">
        <v>51.52</v>
      </c>
      <c r="H59" s="6">
        <v>22.79</v>
      </c>
      <c r="I59" s="6">
        <v>5.72</v>
      </c>
      <c r="J59" s="6">
        <v>0.56999999999999995</v>
      </c>
      <c r="K59" s="6">
        <v>20.28</v>
      </c>
      <c r="L59" s="6">
        <v>12.38</v>
      </c>
      <c r="M59" s="6">
        <v>8.1</v>
      </c>
      <c r="N59" s="6">
        <v>201.9</v>
      </c>
      <c r="O59" s="6">
        <v>0</v>
      </c>
      <c r="P59" s="6">
        <v>0.24</v>
      </c>
      <c r="Q59" s="6">
        <v>10</v>
      </c>
      <c r="R59" s="6"/>
      <c r="S59" s="6"/>
      <c r="T59" s="156"/>
      <c r="U59" s="6"/>
    </row>
    <row r="60" spans="1:21" customFormat="1">
      <c r="A60" s="201" t="s">
        <v>387</v>
      </c>
      <c r="B60" s="6">
        <v>4.59</v>
      </c>
      <c r="C60" s="6">
        <v>9.84</v>
      </c>
      <c r="D60" s="6">
        <v>14.43</v>
      </c>
      <c r="E60" s="6">
        <v>10.87</v>
      </c>
      <c r="F60" s="6">
        <v>6.54</v>
      </c>
      <c r="G60" s="6">
        <v>51.52</v>
      </c>
      <c r="H60" s="6">
        <v>22.79</v>
      </c>
      <c r="I60" s="6">
        <v>5.6</v>
      </c>
      <c r="J60" s="6">
        <v>0.77</v>
      </c>
      <c r="K60" s="6">
        <v>23.26</v>
      </c>
      <c r="L60" s="6">
        <v>14.37</v>
      </c>
      <c r="M60" s="6">
        <v>11.61</v>
      </c>
      <c r="N60" s="6">
        <v>264</v>
      </c>
      <c r="O60" s="6">
        <v>0</v>
      </c>
      <c r="P60" s="6">
        <v>0.23</v>
      </c>
      <c r="Q60" s="6">
        <v>10</v>
      </c>
      <c r="R60" s="6"/>
      <c r="S60" s="6"/>
      <c r="T60" s="156"/>
      <c r="U60" s="6"/>
    </row>
    <row r="61" spans="1:21" customFormat="1">
      <c r="A61" s="201" t="s">
        <v>388</v>
      </c>
      <c r="B61" s="6">
        <v>4.6100000000000003</v>
      </c>
      <c r="C61" s="6">
        <v>9.31</v>
      </c>
      <c r="D61" s="6">
        <v>13.92</v>
      </c>
      <c r="E61" s="6">
        <v>10.06</v>
      </c>
      <c r="F61" s="6">
        <v>7.92</v>
      </c>
      <c r="G61" s="6">
        <v>51.52</v>
      </c>
      <c r="H61" s="6">
        <v>22.79</v>
      </c>
      <c r="I61" s="6">
        <v>5.55</v>
      </c>
      <c r="J61" s="6">
        <v>0.79</v>
      </c>
      <c r="K61" s="6">
        <v>25.98</v>
      </c>
      <c r="L61" s="6">
        <v>11.03</v>
      </c>
      <c r="M61" s="6">
        <v>2.54</v>
      </c>
      <c r="N61" s="6">
        <v>292.2</v>
      </c>
      <c r="O61" s="6">
        <v>0</v>
      </c>
      <c r="P61" s="6">
        <v>0.21</v>
      </c>
      <c r="Q61" s="6">
        <v>10</v>
      </c>
      <c r="R61" s="6"/>
      <c r="S61" s="6"/>
      <c r="T61" s="156"/>
      <c r="U61" s="6"/>
    </row>
    <row r="62" spans="1:21" customFormat="1">
      <c r="A62" s="201" t="s">
        <v>389</v>
      </c>
      <c r="B62" s="6">
        <v>4.5599999999999996</v>
      </c>
      <c r="C62" s="6">
        <v>9.26</v>
      </c>
      <c r="D62" s="6">
        <v>13.82</v>
      </c>
      <c r="E62" s="6">
        <v>11.11</v>
      </c>
      <c r="F62" s="6">
        <v>7.77</v>
      </c>
      <c r="G62" s="6">
        <v>50.9</v>
      </c>
      <c r="H62" s="6">
        <v>22.58</v>
      </c>
      <c r="I62" s="6">
        <v>5.54</v>
      </c>
      <c r="J62" s="6">
        <v>0.78</v>
      </c>
      <c r="K62" s="6">
        <v>20.5</v>
      </c>
      <c r="L62" s="6">
        <v>11.69</v>
      </c>
      <c r="M62" s="6">
        <v>7.51</v>
      </c>
      <c r="N62" s="6">
        <v>152.5</v>
      </c>
      <c r="O62" s="6">
        <v>0</v>
      </c>
      <c r="P62" s="6">
        <v>0.21</v>
      </c>
      <c r="Q62" s="6">
        <v>10</v>
      </c>
      <c r="R62" s="6"/>
      <c r="S62" s="6"/>
      <c r="T62" s="156"/>
      <c r="U62" s="6"/>
    </row>
    <row r="63" spans="1:21" customFormat="1">
      <c r="A63" s="201" t="s">
        <v>390</v>
      </c>
      <c r="B63" s="6">
        <v>4.67</v>
      </c>
      <c r="C63" s="6">
        <v>9.18</v>
      </c>
      <c r="D63" s="6">
        <v>13.84</v>
      </c>
      <c r="E63" s="6">
        <v>10.16</v>
      </c>
      <c r="F63" s="6">
        <v>7.29</v>
      </c>
      <c r="G63" s="6">
        <v>50.44</v>
      </c>
      <c r="H63" s="6">
        <v>22.51</v>
      </c>
      <c r="I63" s="6">
        <v>5.49</v>
      </c>
      <c r="J63" s="6">
        <v>0.4</v>
      </c>
      <c r="K63" s="6">
        <v>352.44</v>
      </c>
      <c r="L63" s="6">
        <v>16.68</v>
      </c>
      <c r="M63" s="6">
        <v>19.68</v>
      </c>
      <c r="N63" s="6">
        <v>170.8</v>
      </c>
      <c r="O63" s="6">
        <v>0</v>
      </c>
      <c r="P63" s="6">
        <v>0.2</v>
      </c>
      <c r="Q63" s="6">
        <v>9.8800000000000008</v>
      </c>
      <c r="R63" s="6"/>
      <c r="S63" s="6"/>
      <c r="T63" s="156"/>
      <c r="U63" s="6"/>
    </row>
    <row r="64" spans="1:21" customFormat="1">
      <c r="A64" s="201" t="s">
        <v>391</v>
      </c>
      <c r="B64" s="6">
        <v>4.5599999999999996</v>
      </c>
      <c r="C64" s="6">
        <v>9.0299999999999994</v>
      </c>
      <c r="D64" s="6">
        <v>13.58</v>
      </c>
      <c r="E64" s="6">
        <v>10.01</v>
      </c>
      <c r="F64" s="6">
        <v>8.7799999999999994</v>
      </c>
      <c r="G64" s="6">
        <v>50.44</v>
      </c>
      <c r="H64" s="6">
        <v>22.51</v>
      </c>
      <c r="I64" s="6">
        <v>5.4</v>
      </c>
      <c r="J64" s="6">
        <v>0.38</v>
      </c>
      <c r="K64" s="6">
        <v>349.86</v>
      </c>
      <c r="L64" s="6">
        <v>18.52</v>
      </c>
      <c r="M64" s="6">
        <v>23.85</v>
      </c>
      <c r="N64" s="6">
        <v>185.7</v>
      </c>
      <c r="O64" s="6">
        <v>0</v>
      </c>
      <c r="P64" s="6">
        <v>0.2</v>
      </c>
      <c r="Q64" s="6">
        <v>10</v>
      </c>
      <c r="R64" s="6"/>
      <c r="S64" s="6"/>
      <c r="T64" s="156"/>
      <c r="U64" s="6"/>
    </row>
    <row r="65" spans="1:21" customFormat="1">
      <c r="A65" s="201" t="s">
        <v>392</v>
      </c>
      <c r="B65" s="6">
        <v>4.63</v>
      </c>
      <c r="C65" s="6">
        <v>9.11</v>
      </c>
      <c r="D65" s="6">
        <v>13.75</v>
      </c>
      <c r="E65" s="6">
        <v>10.55</v>
      </c>
      <c r="F65" s="6">
        <v>8.7200000000000006</v>
      </c>
      <c r="G65" s="6">
        <v>50.44</v>
      </c>
      <c r="H65" s="6">
        <v>22.51</v>
      </c>
      <c r="I65" s="6">
        <v>5.38</v>
      </c>
      <c r="J65" s="6">
        <v>0.51</v>
      </c>
      <c r="K65" s="6">
        <v>18.18</v>
      </c>
      <c r="L65" s="6">
        <v>14.1</v>
      </c>
      <c r="M65" s="6">
        <v>14.89</v>
      </c>
      <c r="N65" s="6">
        <v>96.4</v>
      </c>
      <c r="O65" s="6">
        <v>0</v>
      </c>
      <c r="P65" s="6">
        <v>0.28000000000000003</v>
      </c>
      <c r="Q65" s="6">
        <v>10</v>
      </c>
      <c r="R65" s="6"/>
      <c r="S65" s="6"/>
      <c r="T65" s="156"/>
      <c r="U65" s="6"/>
    </row>
    <row r="66" spans="1:21" customFormat="1">
      <c r="A66" s="201" t="s">
        <v>393</v>
      </c>
      <c r="B66" s="6">
        <v>4.62</v>
      </c>
      <c r="C66" s="6">
        <v>9.7200000000000006</v>
      </c>
      <c r="D66" s="6">
        <v>14.34</v>
      </c>
      <c r="E66" s="6">
        <v>11.75</v>
      </c>
      <c r="F66" s="6">
        <v>12.84</v>
      </c>
      <c r="G66" s="6">
        <v>52.17</v>
      </c>
      <c r="H66" s="6">
        <v>24.23</v>
      </c>
      <c r="I66" s="6">
        <v>5.34</v>
      </c>
      <c r="J66" s="6">
        <v>0.44</v>
      </c>
      <c r="K66" s="6">
        <v>357.71</v>
      </c>
      <c r="L66" s="6">
        <v>19.989999999999998</v>
      </c>
      <c r="M66" s="6">
        <v>29.02</v>
      </c>
      <c r="N66" s="6">
        <v>125.1</v>
      </c>
      <c r="O66" s="6">
        <v>0</v>
      </c>
      <c r="P66" s="6">
        <v>0.3</v>
      </c>
      <c r="Q66" s="6">
        <v>10.47</v>
      </c>
      <c r="R66" s="6"/>
      <c r="S66" s="6"/>
      <c r="T66" s="156"/>
      <c r="U66" s="6"/>
    </row>
    <row r="67" spans="1:21" customFormat="1">
      <c r="A67" s="201" t="s">
        <v>394</v>
      </c>
      <c r="B67" s="6">
        <v>4.45</v>
      </c>
      <c r="C67" s="6">
        <v>9.4</v>
      </c>
      <c r="D67" s="6">
        <v>13.84</v>
      </c>
      <c r="E67" s="6">
        <v>12.3</v>
      </c>
      <c r="F67" s="6">
        <v>10.52</v>
      </c>
      <c r="G67" s="6">
        <v>53.5</v>
      </c>
      <c r="H67" s="6">
        <v>24.77</v>
      </c>
      <c r="I67" s="6">
        <v>5.3</v>
      </c>
      <c r="J67" s="6">
        <v>0.36</v>
      </c>
      <c r="K67" s="6">
        <v>325.04000000000002</v>
      </c>
      <c r="L67" s="6">
        <v>22.32</v>
      </c>
      <c r="M67" s="6">
        <v>36</v>
      </c>
      <c r="N67" s="6">
        <v>76.400000000000006</v>
      </c>
      <c r="O67" s="6">
        <v>0</v>
      </c>
      <c r="P67" s="6">
        <v>0.28999999999999998</v>
      </c>
      <c r="Q67" s="6">
        <v>9.99</v>
      </c>
      <c r="R67" s="6"/>
      <c r="S67" s="6"/>
      <c r="T67" s="156"/>
      <c r="U67" s="6"/>
    </row>
    <row r="68" spans="1:21" customFormat="1">
      <c r="A68" s="201" t="s">
        <v>395</v>
      </c>
      <c r="B68" s="6">
        <v>4.38</v>
      </c>
      <c r="C68" s="6">
        <v>9.26</v>
      </c>
      <c r="D68" s="6">
        <v>13.64</v>
      </c>
      <c r="E68" s="6">
        <v>11.78</v>
      </c>
      <c r="F68" s="6">
        <v>12.58</v>
      </c>
      <c r="G68" s="6">
        <v>53.5</v>
      </c>
      <c r="H68" s="6">
        <v>24.77</v>
      </c>
      <c r="I68" s="6">
        <v>5.19</v>
      </c>
      <c r="J68" s="6">
        <v>0.46</v>
      </c>
      <c r="K68" s="6">
        <v>31.06</v>
      </c>
      <c r="L68" s="6">
        <v>8.6999999999999993</v>
      </c>
      <c r="M68" s="6">
        <v>2.68</v>
      </c>
      <c r="N68" s="6">
        <v>38.200000000000003</v>
      </c>
      <c r="O68" s="6">
        <v>0</v>
      </c>
      <c r="P68" s="6">
        <v>0.27</v>
      </c>
      <c r="Q68" s="6">
        <v>10.55</v>
      </c>
      <c r="R68" s="6"/>
      <c r="S68" s="6"/>
      <c r="T68" s="156"/>
      <c r="U68" s="6"/>
    </row>
    <row r="69" spans="1:21" customFormat="1">
      <c r="A69" s="201" t="s">
        <v>396</v>
      </c>
      <c r="B69" s="6">
        <v>4.37</v>
      </c>
      <c r="C69" s="6">
        <v>9.34</v>
      </c>
      <c r="D69" s="6">
        <v>13.71</v>
      </c>
      <c r="E69" s="6">
        <v>9.34</v>
      </c>
      <c r="F69" s="6">
        <v>11.81</v>
      </c>
      <c r="G69" s="6">
        <v>53.5</v>
      </c>
      <c r="H69" s="6">
        <v>24.77</v>
      </c>
      <c r="I69" s="6">
        <v>5.17</v>
      </c>
      <c r="J69" s="6">
        <v>0.42</v>
      </c>
      <c r="K69" s="6">
        <v>35.94</v>
      </c>
      <c r="L69" s="6">
        <v>9.34</v>
      </c>
      <c r="M69" s="6">
        <v>4.71</v>
      </c>
      <c r="N69" s="6">
        <v>21.6</v>
      </c>
      <c r="O69" s="6">
        <v>0</v>
      </c>
      <c r="P69" s="6">
        <v>0.26</v>
      </c>
      <c r="Q69" s="6">
        <v>10.02</v>
      </c>
      <c r="R69" s="6"/>
      <c r="S69" s="6"/>
      <c r="T69" s="156"/>
      <c r="U69" s="6"/>
    </row>
    <row r="70" spans="1:21" customFormat="1">
      <c r="A70" s="201" t="s">
        <v>397</v>
      </c>
      <c r="B70" s="6">
        <v>4.3499999999999996</v>
      </c>
      <c r="C70" s="6">
        <v>8.66</v>
      </c>
      <c r="D70" s="6">
        <v>13</v>
      </c>
      <c r="E70" s="6">
        <v>7.3</v>
      </c>
      <c r="F70" s="6">
        <v>6.59</v>
      </c>
      <c r="G70" s="6">
        <v>55.32</v>
      </c>
      <c r="H70" s="6">
        <v>27.18</v>
      </c>
      <c r="I70" s="6">
        <v>4.99</v>
      </c>
      <c r="J70" s="6">
        <v>0.19</v>
      </c>
      <c r="K70" s="6">
        <v>139.49</v>
      </c>
      <c r="L70" s="6">
        <v>13.74</v>
      </c>
      <c r="M70" s="6">
        <v>16.21</v>
      </c>
      <c r="N70" s="6">
        <v>15.1</v>
      </c>
      <c r="O70" s="6">
        <v>0</v>
      </c>
      <c r="P70" s="6">
        <v>0.3</v>
      </c>
      <c r="Q70" s="6">
        <v>10</v>
      </c>
      <c r="R70" s="6"/>
      <c r="S70" s="6"/>
      <c r="T70" s="156"/>
      <c r="U70" s="6"/>
    </row>
    <row r="71" spans="1:21" customFormat="1">
      <c r="A71" s="201" t="s">
        <v>398</v>
      </c>
      <c r="B71" s="6">
        <v>4.28</v>
      </c>
      <c r="C71" s="6">
        <v>7.66</v>
      </c>
      <c r="D71" s="6">
        <v>11.95</v>
      </c>
      <c r="E71" s="6">
        <v>6.37</v>
      </c>
      <c r="F71" s="6">
        <v>5.38</v>
      </c>
      <c r="G71" s="6">
        <v>56.72</v>
      </c>
      <c r="H71" s="6">
        <v>28.56</v>
      </c>
      <c r="I71" s="6">
        <v>5.07</v>
      </c>
      <c r="J71" s="6">
        <v>0.28000000000000003</v>
      </c>
      <c r="K71" s="6">
        <v>164.34</v>
      </c>
      <c r="L71" s="6">
        <v>16.12</v>
      </c>
      <c r="M71" s="6">
        <v>22.3</v>
      </c>
      <c r="N71" s="6">
        <v>15.9</v>
      </c>
      <c r="O71" s="6">
        <v>0.2</v>
      </c>
      <c r="P71" s="6">
        <v>0.28999999999999998</v>
      </c>
      <c r="Q71" s="6">
        <v>9.8699999999999992</v>
      </c>
      <c r="R71" s="6"/>
      <c r="S71" s="6"/>
      <c r="T71" s="156"/>
      <c r="U71" s="6"/>
    </row>
    <row r="72" spans="1:21" customFormat="1">
      <c r="A72" s="201" t="s">
        <v>399</v>
      </c>
      <c r="B72" s="6">
        <v>4.38</v>
      </c>
      <c r="C72" s="6">
        <v>8.31</v>
      </c>
      <c r="D72" s="6">
        <v>12.69</v>
      </c>
      <c r="E72" s="6">
        <v>5.79</v>
      </c>
      <c r="F72" s="6">
        <v>7.62</v>
      </c>
      <c r="G72" s="6">
        <v>56.72</v>
      </c>
      <c r="H72" s="6">
        <v>28.56</v>
      </c>
      <c r="I72" s="6">
        <v>5.24</v>
      </c>
      <c r="J72" s="6">
        <v>0.12</v>
      </c>
      <c r="K72" s="6">
        <v>279.23</v>
      </c>
      <c r="L72" s="6">
        <v>19.440000000000001</v>
      </c>
      <c r="M72" s="6">
        <v>29.82</v>
      </c>
      <c r="N72" s="6">
        <v>41.8</v>
      </c>
      <c r="O72" s="6">
        <v>0</v>
      </c>
      <c r="P72" s="6">
        <v>0.3</v>
      </c>
      <c r="Q72" s="6">
        <v>10</v>
      </c>
      <c r="R72" s="6"/>
      <c r="S72" s="6"/>
      <c r="T72" s="156"/>
      <c r="U72" s="6"/>
    </row>
    <row r="73" spans="1:21" customFormat="1">
      <c r="A73" s="201" t="s">
        <v>400</v>
      </c>
      <c r="B73" s="6">
        <v>4.08</v>
      </c>
      <c r="C73" s="6">
        <v>8.99</v>
      </c>
      <c r="D73" s="6">
        <v>13.06</v>
      </c>
      <c r="E73" s="6">
        <v>6.08</v>
      </c>
      <c r="F73" s="6">
        <v>8.9600000000000009</v>
      </c>
      <c r="G73" s="6">
        <v>56.72</v>
      </c>
      <c r="H73" s="6">
        <v>28.56</v>
      </c>
      <c r="I73" s="6">
        <v>5.21</v>
      </c>
      <c r="J73" s="6">
        <v>0.1</v>
      </c>
      <c r="K73" s="6">
        <v>224.96</v>
      </c>
      <c r="L73" s="6">
        <v>20.87</v>
      </c>
      <c r="M73" s="6">
        <v>33.43</v>
      </c>
      <c r="N73" s="6">
        <v>42.2</v>
      </c>
      <c r="O73" s="6">
        <v>0</v>
      </c>
      <c r="P73" s="6">
        <v>0.28000000000000003</v>
      </c>
      <c r="Q73" s="6">
        <v>10</v>
      </c>
      <c r="R73" s="6"/>
      <c r="S73" s="6"/>
      <c r="T73" s="156"/>
      <c r="U73" s="6"/>
    </row>
    <row r="74" spans="1:21" customFormat="1">
      <c r="A74" s="201" t="s">
        <v>401</v>
      </c>
      <c r="B74" s="6">
        <v>4</v>
      </c>
      <c r="C74" s="6">
        <v>8.61</v>
      </c>
      <c r="D74" s="6">
        <v>12.61</v>
      </c>
      <c r="E74" s="6">
        <v>5.63</v>
      </c>
      <c r="F74" s="6">
        <v>5.97</v>
      </c>
      <c r="G74" s="6">
        <v>55.7</v>
      </c>
      <c r="H74" s="6">
        <v>29.76</v>
      </c>
      <c r="I74" s="6">
        <v>5.16</v>
      </c>
      <c r="J74" s="6">
        <v>0.14000000000000001</v>
      </c>
      <c r="K74" s="6">
        <v>190.94</v>
      </c>
      <c r="L74" s="6">
        <v>18.2</v>
      </c>
      <c r="M74" s="6">
        <v>27.04</v>
      </c>
      <c r="N74" s="6">
        <v>32.5</v>
      </c>
      <c r="O74" s="6">
        <v>0</v>
      </c>
      <c r="P74" s="6">
        <v>0.26</v>
      </c>
      <c r="Q74" s="6">
        <v>10.67</v>
      </c>
      <c r="R74" s="6"/>
      <c r="S74" s="6"/>
      <c r="T74" s="156"/>
      <c r="U74" s="6"/>
    </row>
    <row r="75" spans="1:21" customFormat="1">
      <c r="A75" s="201" t="s">
        <v>402</v>
      </c>
      <c r="B75" s="6">
        <v>4.25</v>
      </c>
      <c r="C75" s="6">
        <v>7.52</v>
      </c>
      <c r="D75" s="6">
        <v>11.78</v>
      </c>
      <c r="E75" s="6">
        <v>5.46</v>
      </c>
      <c r="F75" s="6">
        <v>4.33</v>
      </c>
      <c r="G75" s="6">
        <v>54.92</v>
      </c>
      <c r="H75" s="6">
        <v>30.14</v>
      </c>
      <c r="I75" s="6">
        <v>5.09</v>
      </c>
      <c r="J75" s="6">
        <v>0.32</v>
      </c>
      <c r="K75" s="6">
        <v>158.24</v>
      </c>
      <c r="L75" s="6">
        <v>15.66</v>
      </c>
      <c r="M75" s="6">
        <v>20.86</v>
      </c>
      <c r="N75" s="6">
        <v>27.3</v>
      </c>
      <c r="O75" s="6">
        <v>0</v>
      </c>
      <c r="P75" s="6">
        <v>0.3</v>
      </c>
      <c r="Q75" s="6">
        <v>10</v>
      </c>
      <c r="R75" s="6"/>
      <c r="S75" s="6"/>
      <c r="T75" s="156"/>
      <c r="U75" s="6"/>
    </row>
    <row r="76" spans="1:21" customFormat="1">
      <c r="A76" s="201" t="s">
        <v>403</v>
      </c>
      <c r="B76" s="6">
        <v>4.2300000000000004</v>
      </c>
      <c r="C76" s="6">
        <v>7.11</v>
      </c>
      <c r="D76" s="6">
        <v>11.34</v>
      </c>
      <c r="E76" s="6">
        <v>5.59</v>
      </c>
      <c r="F76" s="6">
        <v>3.42</v>
      </c>
      <c r="G76" s="6">
        <v>54.92</v>
      </c>
      <c r="H76" s="6">
        <v>30.14</v>
      </c>
      <c r="I76" s="6">
        <v>5.0599999999999996</v>
      </c>
      <c r="J76" s="6">
        <v>0.11</v>
      </c>
      <c r="K76" s="6">
        <v>188.85</v>
      </c>
      <c r="L76" s="6">
        <v>18.59</v>
      </c>
      <c r="M76" s="6">
        <v>28.26</v>
      </c>
      <c r="N76" s="6">
        <v>22.7</v>
      </c>
      <c r="O76" s="6">
        <v>0</v>
      </c>
      <c r="P76" s="6">
        <v>0.31</v>
      </c>
      <c r="Q76" s="6">
        <v>9.81</v>
      </c>
      <c r="R76" s="6"/>
      <c r="S76" s="6"/>
      <c r="T76" s="156"/>
      <c r="U76" s="6"/>
    </row>
    <row r="77" spans="1:21" customFormat="1">
      <c r="A77" s="201" t="s">
        <v>404</v>
      </c>
      <c r="B77" s="6">
        <v>4.22</v>
      </c>
      <c r="C77" s="6">
        <v>6.92</v>
      </c>
      <c r="D77" s="6">
        <v>11.15</v>
      </c>
      <c r="E77" s="6">
        <v>5.27</v>
      </c>
      <c r="F77" s="6">
        <v>2.92</v>
      </c>
      <c r="G77" s="6">
        <v>54.92</v>
      </c>
      <c r="H77" s="6">
        <v>30.14</v>
      </c>
      <c r="I77" s="6">
        <v>5.23</v>
      </c>
      <c r="J77" s="6">
        <v>0.17</v>
      </c>
      <c r="K77" s="6">
        <v>153.13999999999999</v>
      </c>
      <c r="L77" s="6">
        <v>15.53</v>
      </c>
      <c r="M77" s="6">
        <v>20.76</v>
      </c>
      <c r="N77" s="6">
        <v>14.4</v>
      </c>
      <c r="O77" s="6">
        <v>0</v>
      </c>
      <c r="P77" s="6">
        <v>0.33</v>
      </c>
      <c r="Q77" s="6">
        <v>10</v>
      </c>
      <c r="R77" s="6"/>
      <c r="S77" s="6"/>
      <c r="T77" s="156"/>
      <c r="U77" s="6"/>
    </row>
    <row r="78" spans="1:21" customFormat="1">
      <c r="A78" s="201" t="s">
        <v>405</v>
      </c>
      <c r="B78" s="6">
        <v>4.0999999999999996</v>
      </c>
      <c r="C78" s="6">
        <v>6.81</v>
      </c>
      <c r="D78" s="6">
        <v>10.91</v>
      </c>
      <c r="E78" s="6">
        <v>5.64</v>
      </c>
      <c r="F78" s="6">
        <v>3.36</v>
      </c>
      <c r="G78" s="6">
        <v>51.72</v>
      </c>
      <c r="H78" s="6">
        <v>30.23</v>
      </c>
      <c r="I78" s="6">
        <v>5.13</v>
      </c>
      <c r="J78" s="6">
        <v>0.17</v>
      </c>
      <c r="K78" s="6">
        <v>173.48</v>
      </c>
      <c r="L78" s="6">
        <v>16.940000000000001</v>
      </c>
      <c r="M78" s="6">
        <v>24.52</v>
      </c>
      <c r="N78" s="6">
        <v>7.3</v>
      </c>
      <c r="O78" s="6">
        <v>0</v>
      </c>
      <c r="P78" s="6">
        <v>0.34</v>
      </c>
      <c r="Q78" s="6">
        <v>10</v>
      </c>
      <c r="R78" s="6"/>
      <c r="S78" s="6"/>
      <c r="T78" s="156"/>
      <c r="U78" s="6"/>
    </row>
    <row r="79" spans="1:21" customFormat="1">
      <c r="A79" s="201" t="s">
        <v>406</v>
      </c>
      <c r="B79" s="6">
        <v>4.01</v>
      </c>
      <c r="C79" s="6">
        <v>6.72</v>
      </c>
      <c r="D79" s="6">
        <v>10.73</v>
      </c>
      <c r="E79" s="6">
        <v>5.5</v>
      </c>
      <c r="F79" s="6">
        <v>2.94</v>
      </c>
      <c r="G79" s="6">
        <v>49.28</v>
      </c>
      <c r="H79" s="6">
        <v>30.26</v>
      </c>
      <c r="I79" s="6">
        <v>5.03</v>
      </c>
      <c r="J79" s="6">
        <v>0.09</v>
      </c>
      <c r="K79" s="6">
        <v>123.87</v>
      </c>
      <c r="L79" s="6">
        <v>14.46</v>
      </c>
      <c r="M79" s="6">
        <v>18.28</v>
      </c>
      <c r="N79" s="6">
        <v>3.6</v>
      </c>
      <c r="O79" s="6">
        <v>0</v>
      </c>
      <c r="P79" s="6">
        <v>0.33</v>
      </c>
      <c r="Q79" s="6">
        <v>10</v>
      </c>
      <c r="R79" s="6"/>
      <c r="S79" s="6"/>
      <c r="T79" s="156"/>
      <c r="U79" s="6"/>
    </row>
    <row r="80" spans="1:21" customFormat="1">
      <c r="A80" s="201" t="s">
        <v>407</v>
      </c>
      <c r="B80" s="6">
        <v>4.04</v>
      </c>
      <c r="C80" s="6">
        <v>6.86</v>
      </c>
      <c r="D80" s="6">
        <v>10.9</v>
      </c>
      <c r="E80" s="6">
        <v>5.51</v>
      </c>
      <c r="F80" s="6">
        <v>2.36</v>
      </c>
      <c r="G80" s="6">
        <v>49.28</v>
      </c>
      <c r="H80" s="6">
        <v>30.26</v>
      </c>
      <c r="I80" s="6">
        <v>4.9400000000000004</v>
      </c>
      <c r="J80" s="6">
        <v>0.03</v>
      </c>
      <c r="K80" s="6">
        <v>130.63</v>
      </c>
      <c r="L80" s="6">
        <v>14.86</v>
      </c>
      <c r="M80" s="6">
        <v>19.3</v>
      </c>
      <c r="N80" s="6">
        <v>2.6</v>
      </c>
      <c r="O80" s="6">
        <v>0</v>
      </c>
      <c r="P80" s="6">
        <v>0.35</v>
      </c>
      <c r="Q80" s="6">
        <v>10</v>
      </c>
      <c r="R80" s="6"/>
      <c r="S80" s="6"/>
      <c r="T80" s="156"/>
      <c r="U80" s="6"/>
    </row>
    <row r="81" spans="1:21" customFormat="1">
      <c r="A81" s="201" t="s">
        <v>408</v>
      </c>
      <c r="B81" s="6">
        <v>4.1900000000000004</v>
      </c>
      <c r="C81" s="6">
        <v>7.11</v>
      </c>
      <c r="D81" s="6">
        <v>11.3</v>
      </c>
      <c r="E81" s="6">
        <v>4.66</v>
      </c>
      <c r="F81" s="6">
        <v>2.0099999999999998</v>
      </c>
      <c r="G81" s="6">
        <v>49.28</v>
      </c>
      <c r="H81" s="6">
        <v>30.26</v>
      </c>
      <c r="I81" s="6">
        <v>4.99</v>
      </c>
      <c r="J81" s="6">
        <v>0.21</v>
      </c>
      <c r="K81" s="6">
        <v>297.11</v>
      </c>
      <c r="L81" s="6">
        <v>24.72</v>
      </c>
      <c r="M81" s="6">
        <v>43.88</v>
      </c>
      <c r="N81" s="6">
        <v>2.4</v>
      </c>
      <c r="O81" s="6">
        <v>0</v>
      </c>
      <c r="P81" s="6">
        <v>0.36</v>
      </c>
      <c r="Q81" s="6">
        <v>9.76</v>
      </c>
      <c r="R81" s="6"/>
      <c r="S81" s="6"/>
      <c r="T81" s="156"/>
      <c r="U81" s="6"/>
    </row>
    <row r="82" spans="1:21" customFormat="1">
      <c r="A82" s="201" t="s">
        <v>409</v>
      </c>
      <c r="B82" s="6">
        <v>4.22</v>
      </c>
      <c r="C82" s="6">
        <v>7.32</v>
      </c>
      <c r="D82" s="6">
        <v>11.55</v>
      </c>
      <c r="E82" s="6">
        <v>5.54</v>
      </c>
      <c r="F82" s="6">
        <v>2.93</v>
      </c>
      <c r="G82" s="6">
        <v>50.38</v>
      </c>
      <c r="H82" s="6">
        <v>29.09</v>
      </c>
      <c r="I82" s="6">
        <v>5.08</v>
      </c>
      <c r="J82" s="6">
        <v>0.19</v>
      </c>
      <c r="K82" s="6">
        <v>300.02999999999997</v>
      </c>
      <c r="L82" s="6">
        <v>22.6</v>
      </c>
      <c r="M82" s="6">
        <v>38.6</v>
      </c>
      <c r="N82" s="6">
        <v>2.4</v>
      </c>
      <c r="O82" s="6">
        <v>0</v>
      </c>
      <c r="P82" s="6">
        <v>0.36</v>
      </c>
      <c r="Q82" s="6">
        <v>17.45</v>
      </c>
      <c r="R82" s="6"/>
      <c r="S82" s="6"/>
      <c r="T82" s="156"/>
      <c r="U82" s="6"/>
    </row>
    <row r="83" spans="1:21" customFormat="1">
      <c r="A83" s="201" t="s">
        <v>410</v>
      </c>
      <c r="B83" s="6">
        <v>4.32</v>
      </c>
      <c r="C83" s="6">
        <v>7.45</v>
      </c>
      <c r="D83" s="6">
        <v>11.77</v>
      </c>
      <c r="E83" s="6">
        <v>5.92</v>
      </c>
      <c r="F83" s="6">
        <v>2.13</v>
      </c>
      <c r="G83" s="6">
        <v>51.23</v>
      </c>
      <c r="H83" s="6">
        <v>28.72</v>
      </c>
      <c r="I83" s="6">
        <v>5.19</v>
      </c>
      <c r="J83" s="6">
        <v>7.0000000000000007E-2</v>
      </c>
      <c r="K83" s="6">
        <v>32.83</v>
      </c>
      <c r="L83" s="6">
        <v>14.95</v>
      </c>
      <c r="M83" s="6">
        <v>19.47</v>
      </c>
      <c r="N83" s="6">
        <v>2.4</v>
      </c>
      <c r="O83" s="6">
        <v>0</v>
      </c>
      <c r="P83" s="6">
        <v>0.37</v>
      </c>
      <c r="Q83" s="6">
        <v>10.16</v>
      </c>
      <c r="R83" s="6"/>
      <c r="S83" s="6"/>
      <c r="T83" s="156"/>
      <c r="U83" s="6"/>
    </row>
    <row r="84" spans="1:21" customFormat="1">
      <c r="A84" s="201" t="s">
        <v>411</v>
      </c>
      <c r="B84" s="6">
        <v>4.5</v>
      </c>
      <c r="C84" s="6">
        <v>7.54</v>
      </c>
      <c r="D84" s="6">
        <v>12.04</v>
      </c>
      <c r="E84" s="6">
        <v>5.88</v>
      </c>
      <c r="F84" s="6">
        <v>2.06</v>
      </c>
      <c r="G84" s="6">
        <v>51.23</v>
      </c>
      <c r="H84" s="6">
        <v>28.72</v>
      </c>
      <c r="I84" s="6">
        <v>5.41</v>
      </c>
      <c r="J84" s="6">
        <v>0.28999999999999998</v>
      </c>
      <c r="K84" s="6">
        <v>303.77999999999997</v>
      </c>
      <c r="L84" s="6">
        <v>22.28</v>
      </c>
      <c r="M84" s="6">
        <v>37.72</v>
      </c>
      <c r="N84" s="6">
        <v>2.4</v>
      </c>
      <c r="O84" s="6">
        <v>0</v>
      </c>
      <c r="P84" s="6">
        <v>0.39</v>
      </c>
      <c r="Q84" s="6">
        <v>10.56</v>
      </c>
      <c r="R84" s="6"/>
      <c r="S84" s="6"/>
      <c r="T84" s="156"/>
      <c r="U84" s="6"/>
    </row>
    <row r="85" spans="1:21" customFormat="1">
      <c r="A85" s="201" t="s">
        <v>412</v>
      </c>
      <c r="B85" s="6">
        <v>4.62</v>
      </c>
      <c r="C85" s="6">
        <v>7.53</v>
      </c>
      <c r="D85" s="6">
        <v>12.16</v>
      </c>
      <c r="E85" s="6">
        <v>5.93</v>
      </c>
      <c r="F85" s="6">
        <v>2</v>
      </c>
      <c r="G85" s="6">
        <v>51.23</v>
      </c>
      <c r="H85" s="6">
        <v>28.72</v>
      </c>
      <c r="I85" s="6">
        <v>5.48</v>
      </c>
      <c r="J85" s="6">
        <v>0.1</v>
      </c>
      <c r="K85" s="6">
        <v>271.08999999999997</v>
      </c>
      <c r="L85" s="6">
        <v>22</v>
      </c>
      <c r="M85" s="6">
        <v>37.119999999999997</v>
      </c>
      <c r="N85" s="6">
        <v>2.4</v>
      </c>
      <c r="O85" s="6">
        <v>0</v>
      </c>
      <c r="P85" s="6">
        <v>0.4</v>
      </c>
      <c r="Q85" s="6">
        <v>10.91</v>
      </c>
      <c r="R85" s="6"/>
      <c r="S85" s="6"/>
      <c r="T85" s="156"/>
      <c r="U85" s="6"/>
    </row>
    <row r="86" spans="1:21" customFormat="1">
      <c r="A86" s="201" t="s">
        <v>413</v>
      </c>
      <c r="B86" s="6">
        <v>4.63</v>
      </c>
      <c r="C86" s="6">
        <v>7.52</v>
      </c>
      <c r="D86" s="6">
        <v>12.15</v>
      </c>
      <c r="E86" s="6">
        <v>5.85</v>
      </c>
      <c r="F86" s="6">
        <v>2.13</v>
      </c>
      <c r="G86" s="6">
        <v>51.06</v>
      </c>
      <c r="H86" s="6">
        <v>28.43</v>
      </c>
      <c r="I86" s="6">
        <v>5.69</v>
      </c>
      <c r="J86" s="6">
        <v>0.08</v>
      </c>
      <c r="K86" s="6">
        <v>232.31</v>
      </c>
      <c r="L86" s="6">
        <v>21.15</v>
      </c>
      <c r="M86" s="6">
        <v>35.03</v>
      </c>
      <c r="N86" s="6">
        <v>2.5</v>
      </c>
      <c r="O86" s="6">
        <v>0</v>
      </c>
      <c r="P86" s="6">
        <v>0.42</v>
      </c>
      <c r="Q86" s="6">
        <v>10.98</v>
      </c>
      <c r="R86" s="6"/>
      <c r="S86" s="6"/>
      <c r="T86" s="156"/>
      <c r="U86" s="6"/>
    </row>
    <row r="87" spans="1:21" customFormat="1">
      <c r="A87" s="201" t="s">
        <v>414</v>
      </c>
      <c r="B87" s="6">
        <v>4.6100000000000003</v>
      </c>
      <c r="C87" s="6">
        <v>7.55</v>
      </c>
      <c r="D87" s="6">
        <v>12.16</v>
      </c>
      <c r="E87" s="6">
        <v>5.82</v>
      </c>
      <c r="F87" s="6">
        <v>2.14</v>
      </c>
      <c r="G87" s="6">
        <v>50.93</v>
      </c>
      <c r="H87" s="6">
        <v>28.26</v>
      </c>
      <c r="I87" s="6">
        <v>5.89</v>
      </c>
      <c r="J87" s="6">
        <v>0.11</v>
      </c>
      <c r="K87" s="6">
        <v>217.98</v>
      </c>
      <c r="L87" s="6">
        <v>20.41</v>
      </c>
      <c r="M87" s="6">
        <v>33.15</v>
      </c>
      <c r="N87" s="6">
        <v>2.4</v>
      </c>
      <c r="O87" s="6">
        <v>0</v>
      </c>
      <c r="P87" s="6">
        <v>0.42</v>
      </c>
      <c r="Q87" s="6">
        <v>9.99</v>
      </c>
      <c r="R87" s="6"/>
      <c r="S87" s="6"/>
      <c r="T87" s="156"/>
      <c r="U87" s="6"/>
    </row>
    <row r="88" spans="1:21" customFormat="1">
      <c r="A88" s="201" t="s">
        <v>415</v>
      </c>
      <c r="B88" s="6">
        <v>4.62</v>
      </c>
      <c r="C88" s="6">
        <v>7.58</v>
      </c>
      <c r="D88" s="6">
        <v>12.2</v>
      </c>
      <c r="E88" s="6">
        <v>5.94</v>
      </c>
      <c r="F88" s="6">
        <v>2</v>
      </c>
      <c r="G88" s="6">
        <v>50.93</v>
      </c>
      <c r="H88" s="6">
        <v>28.26</v>
      </c>
      <c r="I88" s="6">
        <v>5.96</v>
      </c>
      <c r="J88" s="6">
        <v>0.12</v>
      </c>
      <c r="K88" s="6">
        <v>211.32</v>
      </c>
      <c r="L88" s="6">
        <v>19.64</v>
      </c>
      <c r="M88" s="6">
        <v>31.26</v>
      </c>
      <c r="N88" s="6">
        <v>2.4</v>
      </c>
      <c r="O88" s="6">
        <v>0</v>
      </c>
      <c r="P88" s="6">
        <v>0.44</v>
      </c>
      <c r="Q88" s="6">
        <v>9.92</v>
      </c>
      <c r="R88" s="6"/>
      <c r="S88" s="6"/>
      <c r="T88" s="156"/>
      <c r="U88" s="6"/>
    </row>
    <row r="89" spans="1:21" customFormat="1">
      <c r="A89" s="201" t="s">
        <v>416</v>
      </c>
      <c r="B89" s="6">
        <v>4.57</v>
      </c>
      <c r="C89" s="6">
        <v>7.51</v>
      </c>
      <c r="D89" s="6">
        <v>12.08</v>
      </c>
      <c r="E89" s="6">
        <v>6.07</v>
      </c>
      <c r="F89" s="6">
        <v>2</v>
      </c>
      <c r="G89" s="6">
        <v>50.93</v>
      </c>
      <c r="H89" s="6">
        <v>28.26</v>
      </c>
      <c r="I89" s="6">
        <v>6.08</v>
      </c>
      <c r="J89" s="6">
        <v>0.28000000000000003</v>
      </c>
      <c r="K89" s="6">
        <v>271.89999999999998</v>
      </c>
      <c r="L89" s="6">
        <v>23.7</v>
      </c>
      <c r="M89" s="6">
        <v>41.37</v>
      </c>
      <c r="N89" s="6">
        <v>2.4</v>
      </c>
      <c r="O89" s="6">
        <v>0</v>
      </c>
      <c r="P89" s="6">
        <v>0.44</v>
      </c>
      <c r="Q89" s="6">
        <v>9.8800000000000008</v>
      </c>
      <c r="R89" s="6"/>
      <c r="S89" s="6"/>
      <c r="T89" s="156"/>
      <c r="U89" s="6"/>
    </row>
    <row r="90" spans="1:21" customFormat="1">
      <c r="A90" s="201" t="s">
        <v>417</v>
      </c>
      <c r="B90" s="6">
        <v>4.57</v>
      </c>
      <c r="C90" s="6">
        <v>7.74</v>
      </c>
      <c r="D90" s="6">
        <v>12.31</v>
      </c>
      <c r="E90" s="6">
        <v>5.97</v>
      </c>
      <c r="F90" s="6">
        <v>2.4300000000000002</v>
      </c>
      <c r="G90" s="6">
        <v>55.28</v>
      </c>
      <c r="H90" s="6">
        <v>27.93</v>
      </c>
      <c r="I90" s="6">
        <v>6.3</v>
      </c>
      <c r="J90" s="6">
        <v>0.48</v>
      </c>
      <c r="K90" s="6">
        <v>297.02999999999997</v>
      </c>
      <c r="L90" s="6">
        <v>25.93</v>
      </c>
      <c r="M90" s="6">
        <v>46.93</v>
      </c>
      <c r="N90" s="6">
        <v>2.2000000000000002</v>
      </c>
      <c r="O90" s="6">
        <v>0</v>
      </c>
      <c r="P90" s="6">
        <v>0.47</v>
      </c>
      <c r="Q90" s="6">
        <v>10.41</v>
      </c>
      <c r="R90" s="6"/>
      <c r="S90" s="6"/>
      <c r="T90" s="156"/>
      <c r="U90" s="6"/>
    </row>
    <row r="91" spans="1:21" customFormat="1">
      <c r="A91" s="201" t="s">
        <v>418</v>
      </c>
      <c r="B91" s="6">
        <v>4.62</v>
      </c>
      <c r="C91" s="6">
        <v>7.61</v>
      </c>
      <c r="D91" s="6">
        <v>12.23</v>
      </c>
      <c r="E91" s="6">
        <v>6.43</v>
      </c>
      <c r="F91" s="6">
        <v>2.33</v>
      </c>
      <c r="G91" s="6">
        <v>58.46</v>
      </c>
      <c r="H91" s="6">
        <v>27.83</v>
      </c>
      <c r="I91" s="6">
        <v>6.36</v>
      </c>
      <c r="J91" s="6">
        <v>0.62</v>
      </c>
      <c r="K91" s="6">
        <v>294.54000000000002</v>
      </c>
      <c r="L91" s="6">
        <v>24.94</v>
      </c>
      <c r="M91" s="6">
        <v>44.44</v>
      </c>
      <c r="N91" s="6">
        <v>2.4</v>
      </c>
      <c r="O91" s="6">
        <v>0</v>
      </c>
      <c r="P91" s="6">
        <v>0.46</v>
      </c>
      <c r="Q91" s="6">
        <v>12.67</v>
      </c>
      <c r="R91" s="6"/>
      <c r="S91" s="6"/>
      <c r="T91" s="156"/>
      <c r="U91" s="6"/>
    </row>
    <row r="92" spans="1:21" customFormat="1">
      <c r="A92" s="201" t="s">
        <v>419</v>
      </c>
      <c r="B92" s="6">
        <v>4.57</v>
      </c>
      <c r="C92" s="6">
        <v>7.48</v>
      </c>
      <c r="D92" s="6">
        <v>12.05</v>
      </c>
      <c r="E92" s="6">
        <v>6.29</v>
      </c>
      <c r="F92" s="6">
        <v>2.48</v>
      </c>
      <c r="G92" s="6">
        <v>58.46</v>
      </c>
      <c r="H92" s="6">
        <v>27.83</v>
      </c>
      <c r="I92" s="6">
        <v>6.56</v>
      </c>
      <c r="J92" s="6">
        <v>0.56999999999999995</v>
      </c>
      <c r="K92" s="6">
        <v>312.19</v>
      </c>
      <c r="L92" s="6">
        <v>24.69</v>
      </c>
      <c r="M92" s="6">
        <v>43.78</v>
      </c>
      <c r="N92" s="6">
        <v>2.5</v>
      </c>
      <c r="O92" s="6">
        <v>0</v>
      </c>
      <c r="P92" s="6">
        <v>0.47</v>
      </c>
      <c r="Q92" s="6">
        <v>12.57</v>
      </c>
      <c r="R92" s="6"/>
      <c r="S92" s="6"/>
      <c r="T92" s="156"/>
      <c r="U92" s="6"/>
    </row>
    <row r="93" spans="1:21" customFormat="1">
      <c r="A93" s="201" t="s">
        <v>420</v>
      </c>
      <c r="B93" s="6">
        <v>4.5599999999999996</v>
      </c>
      <c r="C93" s="6">
        <v>7.52</v>
      </c>
      <c r="D93" s="6">
        <v>12.08</v>
      </c>
      <c r="E93" s="6">
        <v>6.28</v>
      </c>
      <c r="F93" s="6">
        <v>2.29</v>
      </c>
      <c r="G93" s="6">
        <v>58.46</v>
      </c>
      <c r="H93" s="6">
        <v>27.83</v>
      </c>
      <c r="I93" s="6">
        <v>6.52</v>
      </c>
      <c r="J93" s="6">
        <v>0.24</v>
      </c>
      <c r="K93" s="6">
        <v>352.38</v>
      </c>
      <c r="L93" s="6">
        <v>18.12</v>
      </c>
      <c r="M93" s="6">
        <v>27.63</v>
      </c>
      <c r="N93" s="6">
        <v>3.6</v>
      </c>
      <c r="O93" s="6">
        <v>0.4</v>
      </c>
      <c r="P93" s="6">
        <v>0.46</v>
      </c>
      <c r="Q93" s="6">
        <v>11.08</v>
      </c>
      <c r="R93" s="6"/>
      <c r="S93" s="6"/>
      <c r="T93" s="156"/>
      <c r="U93" s="6"/>
    </row>
    <row r="94" spans="1:21" customFormat="1">
      <c r="A94" s="201" t="s">
        <v>421</v>
      </c>
      <c r="B94" s="6">
        <v>4.49</v>
      </c>
      <c r="C94" s="6">
        <v>7.26</v>
      </c>
      <c r="D94" s="6">
        <v>11.75</v>
      </c>
      <c r="E94" s="6">
        <v>5.83</v>
      </c>
      <c r="F94" s="6">
        <v>2.27</v>
      </c>
      <c r="G94" s="6">
        <v>60.51</v>
      </c>
      <c r="H94" s="6">
        <v>29.46</v>
      </c>
      <c r="I94" s="6">
        <v>6.63</v>
      </c>
      <c r="J94" s="6">
        <v>0.46</v>
      </c>
      <c r="K94" s="6">
        <v>50.89</v>
      </c>
      <c r="L94" s="6">
        <v>8.33</v>
      </c>
      <c r="M94" s="6">
        <v>2.7</v>
      </c>
      <c r="N94" s="6">
        <v>5.0999999999999996</v>
      </c>
      <c r="O94" s="6">
        <v>3.2</v>
      </c>
      <c r="P94" s="6">
        <v>0.44</v>
      </c>
      <c r="Q94" s="6">
        <v>11.79</v>
      </c>
      <c r="R94" s="6"/>
      <c r="S94" s="6"/>
      <c r="T94" s="156"/>
      <c r="U94" s="6"/>
    </row>
    <row r="95" spans="1:21" customFormat="1">
      <c r="A95" s="201" t="s">
        <v>422</v>
      </c>
      <c r="B95" s="6">
        <v>4.4400000000000004</v>
      </c>
      <c r="C95" s="6">
        <v>7.11</v>
      </c>
      <c r="D95" s="6">
        <v>11.55</v>
      </c>
      <c r="E95" s="6">
        <v>5.96</v>
      </c>
      <c r="F95" s="6">
        <v>2.0699999999999998</v>
      </c>
      <c r="G95" s="6">
        <v>62.07</v>
      </c>
      <c r="H95" s="6">
        <v>29.98</v>
      </c>
      <c r="I95" s="6">
        <v>6.62</v>
      </c>
      <c r="J95" s="6">
        <v>0.57999999999999996</v>
      </c>
      <c r="K95" s="6">
        <v>3.09</v>
      </c>
      <c r="L95" s="6">
        <v>14.13</v>
      </c>
      <c r="M95" s="6">
        <v>17.190000000000001</v>
      </c>
      <c r="N95" s="6">
        <v>3.9</v>
      </c>
      <c r="O95" s="6">
        <v>9.4</v>
      </c>
      <c r="P95" s="6">
        <v>0.44</v>
      </c>
      <c r="Q95" s="6">
        <v>9.98</v>
      </c>
      <c r="R95" s="6"/>
      <c r="S95" s="6"/>
      <c r="T95" s="156"/>
      <c r="U95" s="6"/>
    </row>
    <row r="96" spans="1:21" customFormat="1">
      <c r="A96" s="201" t="s">
        <v>423</v>
      </c>
      <c r="B96" s="6">
        <v>4.3099999999999996</v>
      </c>
      <c r="C96" s="6">
        <v>7.08</v>
      </c>
      <c r="D96" s="6">
        <v>11.39</v>
      </c>
      <c r="E96" s="6">
        <v>5.76</v>
      </c>
      <c r="F96" s="6">
        <v>2.09</v>
      </c>
      <c r="G96" s="6">
        <v>62.07</v>
      </c>
      <c r="H96" s="6">
        <v>29.98</v>
      </c>
      <c r="I96" s="6">
        <v>6.41</v>
      </c>
      <c r="J96" s="6">
        <v>0.46</v>
      </c>
      <c r="K96" s="6">
        <v>343.14</v>
      </c>
      <c r="L96" s="6">
        <v>16.12</v>
      </c>
      <c r="M96" s="6">
        <v>22.19</v>
      </c>
      <c r="N96" s="6">
        <v>2.6</v>
      </c>
      <c r="O96" s="6">
        <v>0.8</v>
      </c>
      <c r="P96" s="6">
        <v>0.42</v>
      </c>
      <c r="Q96" s="6">
        <v>9.89</v>
      </c>
      <c r="R96" s="6"/>
      <c r="S96" s="6"/>
      <c r="T96" s="156"/>
      <c r="U96" s="6"/>
    </row>
    <row r="97" spans="1:28" customFormat="1">
      <c r="A97" s="201" t="s">
        <v>424</v>
      </c>
      <c r="B97" s="6">
        <v>4.3099999999999996</v>
      </c>
      <c r="C97" s="6">
        <v>6.9</v>
      </c>
      <c r="D97" s="6">
        <v>11.21</v>
      </c>
      <c r="E97" s="6">
        <v>5.8</v>
      </c>
      <c r="F97" s="6">
        <v>2.0499999999999998</v>
      </c>
      <c r="G97" s="6">
        <v>62.07</v>
      </c>
      <c r="H97" s="6">
        <v>29.98</v>
      </c>
      <c r="I97" s="6">
        <v>6.35</v>
      </c>
      <c r="J97" s="6">
        <v>0.32</v>
      </c>
      <c r="K97" s="6">
        <v>287.12</v>
      </c>
      <c r="L97" s="6">
        <v>23.57</v>
      </c>
      <c r="M97" s="6">
        <v>41.13</v>
      </c>
      <c r="N97" s="6">
        <v>2.1</v>
      </c>
      <c r="O97" s="6">
        <v>0.2</v>
      </c>
      <c r="P97" s="6">
        <v>0.38</v>
      </c>
      <c r="Q97" s="6">
        <v>10.68</v>
      </c>
      <c r="R97" s="6"/>
      <c r="S97" s="6"/>
      <c r="T97" s="156"/>
      <c r="U97" s="6"/>
    </row>
    <row r="98" spans="1:28" customFormat="1">
      <c r="A98" s="201" t="s">
        <v>425</v>
      </c>
      <c r="B98" s="6">
        <v>4.21</v>
      </c>
      <c r="C98" s="6">
        <v>7.03</v>
      </c>
      <c r="D98" s="6">
        <v>11.24</v>
      </c>
      <c r="E98" s="6">
        <v>5.21</v>
      </c>
      <c r="F98" s="6">
        <v>4.1900000000000004</v>
      </c>
      <c r="G98" s="6">
        <v>49.97</v>
      </c>
      <c r="H98" s="6">
        <v>22.84</v>
      </c>
      <c r="I98" s="6">
        <v>6.17</v>
      </c>
      <c r="J98" s="6">
        <v>0.2</v>
      </c>
      <c r="K98" s="6">
        <v>181.15</v>
      </c>
      <c r="L98" s="6">
        <v>17.68</v>
      </c>
      <c r="M98" s="6">
        <v>26.5</v>
      </c>
      <c r="N98" s="6">
        <v>2.2000000000000002</v>
      </c>
      <c r="O98" s="6">
        <v>0.6</v>
      </c>
      <c r="P98" s="6">
        <v>0.33</v>
      </c>
      <c r="Q98" s="6">
        <v>9.8800000000000008</v>
      </c>
      <c r="R98" s="6"/>
      <c r="S98" s="6"/>
      <c r="T98" s="156"/>
      <c r="U98" s="6"/>
    </row>
    <row r="99" spans="1:28" customFormat="1">
      <c r="A99" s="201" t="s">
        <v>426</v>
      </c>
      <c r="B99" s="6">
        <v>4.33</v>
      </c>
      <c r="C99" s="6">
        <v>6.9</v>
      </c>
      <c r="D99" s="6">
        <v>11.23</v>
      </c>
      <c r="E99" s="6">
        <v>5.01</v>
      </c>
      <c r="F99" s="6">
        <v>2.0099999999999998</v>
      </c>
      <c r="G99" s="6">
        <v>40.71</v>
      </c>
      <c r="H99" s="6">
        <v>20.6</v>
      </c>
      <c r="I99" s="6">
        <v>6.04</v>
      </c>
      <c r="J99" s="6">
        <v>0.28999999999999998</v>
      </c>
      <c r="K99" s="6">
        <v>244.78</v>
      </c>
      <c r="L99" s="6">
        <v>21.66</v>
      </c>
      <c r="M99" s="6">
        <v>36.31</v>
      </c>
      <c r="N99" s="6">
        <v>2.4</v>
      </c>
      <c r="O99" s="6">
        <v>1</v>
      </c>
      <c r="P99" s="6">
        <v>0.32</v>
      </c>
      <c r="Q99" s="6">
        <v>10</v>
      </c>
      <c r="R99" s="6"/>
      <c r="S99" s="6"/>
      <c r="T99" s="156"/>
      <c r="U99" s="6"/>
    </row>
    <row r="100" spans="1:28" customFormat="1">
      <c r="A100" s="201" t="s">
        <v>427</v>
      </c>
      <c r="B100" s="6">
        <v>4.6500000000000004</v>
      </c>
      <c r="C100" s="6">
        <v>6.69</v>
      </c>
      <c r="D100" s="6">
        <v>11.34</v>
      </c>
      <c r="E100" s="6">
        <v>5.24</v>
      </c>
      <c r="F100" s="6">
        <v>2.02</v>
      </c>
      <c r="G100" s="6">
        <v>40.71</v>
      </c>
      <c r="H100" s="6">
        <v>20.6</v>
      </c>
      <c r="I100" s="6">
        <v>5.81</v>
      </c>
      <c r="J100" s="6">
        <v>0.22</v>
      </c>
      <c r="K100" s="6">
        <v>244.22</v>
      </c>
      <c r="L100" s="6">
        <v>21.09</v>
      </c>
      <c r="M100" s="6">
        <v>34.93</v>
      </c>
      <c r="N100" s="6">
        <v>2.5</v>
      </c>
      <c r="O100" s="6">
        <v>0.8</v>
      </c>
      <c r="P100" s="6">
        <v>0.36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428</v>
      </c>
      <c r="B101" s="6">
        <v>4.75</v>
      </c>
      <c r="C101" s="6">
        <v>6.65</v>
      </c>
      <c r="D101" s="6">
        <v>11.4</v>
      </c>
      <c r="E101" s="6">
        <v>5.42</v>
      </c>
      <c r="F101" s="6">
        <v>2</v>
      </c>
      <c r="G101" s="6">
        <v>40.71</v>
      </c>
      <c r="H101" s="6">
        <v>20.6</v>
      </c>
      <c r="I101" s="6">
        <v>5.86</v>
      </c>
      <c r="J101" s="6">
        <v>0.33</v>
      </c>
      <c r="K101" s="6">
        <v>258.82</v>
      </c>
      <c r="L101" s="6">
        <v>23.27</v>
      </c>
      <c r="M101" s="6">
        <v>40.5</v>
      </c>
      <c r="N101" s="6">
        <v>2.4</v>
      </c>
      <c r="O101" s="6">
        <v>0.4</v>
      </c>
      <c r="P101" s="6">
        <v>0.35</v>
      </c>
      <c r="Q101" s="6">
        <v>9.8000000000000007</v>
      </c>
      <c r="R101" s="6"/>
      <c r="S101" s="6"/>
      <c r="T101" s="156"/>
      <c r="U101" s="6"/>
    </row>
    <row r="102" spans="1:28" customFormat="1">
      <c r="A102" s="201" t="s">
        <v>429</v>
      </c>
      <c r="B102" s="6">
        <v>6.01</v>
      </c>
      <c r="C102" s="6">
        <v>7.94</v>
      </c>
      <c r="D102" s="6">
        <v>13.96</v>
      </c>
      <c r="E102" s="6">
        <v>4.99</v>
      </c>
      <c r="F102" s="6">
        <v>2.0499999999999998</v>
      </c>
      <c r="G102" s="6">
        <v>37.33</v>
      </c>
      <c r="H102" s="6">
        <v>20</v>
      </c>
      <c r="I102" s="6">
        <v>6</v>
      </c>
      <c r="J102" s="6">
        <v>0.05</v>
      </c>
      <c r="K102" s="6">
        <v>237.86</v>
      </c>
      <c r="L102" s="6">
        <v>16.760000000000002</v>
      </c>
      <c r="M102" s="6">
        <v>24.11</v>
      </c>
      <c r="N102" s="6">
        <v>2.2000000000000002</v>
      </c>
      <c r="O102" s="6">
        <v>0.8</v>
      </c>
      <c r="P102" s="6">
        <v>0.34</v>
      </c>
      <c r="Q102" s="6">
        <v>21.18</v>
      </c>
      <c r="R102" s="6"/>
      <c r="S102" s="6"/>
      <c r="T102" s="156"/>
      <c r="U102" s="6"/>
    </row>
    <row r="103" spans="1:28" customFormat="1">
      <c r="A103" s="201" t="s">
        <v>430</v>
      </c>
      <c r="B103" s="6">
        <v>5.44</v>
      </c>
      <c r="C103" s="6">
        <v>7.07</v>
      </c>
      <c r="D103" s="6">
        <v>12.51</v>
      </c>
      <c r="E103" s="6">
        <v>5.31</v>
      </c>
      <c r="F103" s="6">
        <v>2</v>
      </c>
      <c r="G103" s="6">
        <v>34.74</v>
      </c>
      <c r="H103" s="6">
        <v>19.63</v>
      </c>
      <c r="I103" s="6">
        <v>5.96</v>
      </c>
      <c r="J103" s="6">
        <v>0.18</v>
      </c>
      <c r="K103" s="6">
        <v>272.07</v>
      </c>
      <c r="L103" s="6">
        <v>22.81</v>
      </c>
      <c r="M103" s="6">
        <v>39.19</v>
      </c>
      <c r="N103" s="6">
        <v>2.4</v>
      </c>
      <c r="O103" s="6">
        <v>0.8</v>
      </c>
      <c r="P103" s="6">
        <v>0.36</v>
      </c>
      <c r="Q103" s="6">
        <v>14.08</v>
      </c>
      <c r="R103" s="6"/>
      <c r="S103" s="6"/>
      <c r="T103" s="156"/>
      <c r="U103" s="6"/>
    </row>
    <row r="104" spans="1:28" customFormat="1">
      <c r="A104" s="201" t="s">
        <v>431</v>
      </c>
      <c r="B104" s="6">
        <v>5.55</v>
      </c>
      <c r="C104" s="6">
        <v>7.23</v>
      </c>
      <c r="D104" s="6">
        <v>12.78</v>
      </c>
      <c r="E104" s="6">
        <v>5.27</v>
      </c>
      <c r="F104" s="6">
        <v>2</v>
      </c>
      <c r="G104" s="6">
        <v>34.74</v>
      </c>
      <c r="H104" s="6">
        <v>19.63</v>
      </c>
      <c r="I104" s="6">
        <v>5.93</v>
      </c>
      <c r="J104" s="6">
        <v>0.11</v>
      </c>
      <c r="K104" s="6">
        <v>28.11</v>
      </c>
      <c r="L104" s="6">
        <v>14.21</v>
      </c>
      <c r="M104" s="6">
        <v>17.52</v>
      </c>
      <c r="N104" s="6">
        <v>2.5</v>
      </c>
      <c r="O104" s="6">
        <v>1.6</v>
      </c>
      <c r="P104" s="6">
        <v>0.36</v>
      </c>
      <c r="Q104" s="6">
        <v>10.029999999999999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</v>
      </c>
      <c r="C106" s="158">
        <f>MIN(C9:C104)</f>
        <v>6.65</v>
      </c>
      <c r="D106" s="158">
        <f t="shared" ref="D106:Q106" si="0">MIN(D9:D104)</f>
        <v>10.73</v>
      </c>
      <c r="E106" s="158">
        <f t="shared" si="0"/>
        <v>4.58</v>
      </c>
      <c r="F106" s="158">
        <f t="shared" si="0"/>
        <v>2</v>
      </c>
      <c r="G106" s="158">
        <f t="shared" si="0"/>
        <v>34.74</v>
      </c>
      <c r="H106" s="158">
        <f t="shared" si="0"/>
        <v>15.55</v>
      </c>
      <c r="I106" s="158">
        <f t="shared" si="0"/>
        <v>4.9400000000000004</v>
      </c>
      <c r="J106" s="158">
        <f t="shared" si="0"/>
        <v>0.01</v>
      </c>
      <c r="K106" s="158">
        <f t="shared" si="0"/>
        <v>0.56000000000000005</v>
      </c>
      <c r="L106" s="158">
        <f t="shared" si="0"/>
        <v>6.62</v>
      </c>
      <c r="M106" s="158">
        <f t="shared" si="0"/>
        <v>-1.62</v>
      </c>
      <c r="N106" s="158">
        <f t="shared" si="0"/>
        <v>2.1</v>
      </c>
      <c r="O106" s="158">
        <f t="shared" si="0"/>
        <v>0</v>
      </c>
      <c r="P106" s="158">
        <f t="shared" si="0"/>
        <v>0.2</v>
      </c>
      <c r="Q106" s="158">
        <f t="shared" si="0"/>
        <v>9.26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17.04</v>
      </c>
      <c r="C107" s="157">
        <f t="shared" ref="C107:Q107" si="1">MAX(C9:C104)</f>
        <v>12.32</v>
      </c>
      <c r="D107" s="157">
        <f t="shared" si="1"/>
        <v>25.05</v>
      </c>
      <c r="E107" s="157">
        <f t="shared" si="1"/>
        <v>12.3</v>
      </c>
      <c r="F107" s="157">
        <f t="shared" si="1"/>
        <v>12.84</v>
      </c>
      <c r="G107" s="157">
        <f t="shared" si="1"/>
        <v>81.06</v>
      </c>
      <c r="H107" s="157">
        <f t="shared" si="1"/>
        <v>30.26</v>
      </c>
      <c r="I107" s="157">
        <f t="shared" si="1"/>
        <v>9.25</v>
      </c>
      <c r="J107" s="157">
        <f t="shared" si="1"/>
        <v>0.79</v>
      </c>
      <c r="K107" s="157">
        <f t="shared" si="1"/>
        <v>357.71</v>
      </c>
      <c r="L107" s="157">
        <f t="shared" si="1"/>
        <v>25.93</v>
      </c>
      <c r="M107" s="157">
        <f t="shared" si="1"/>
        <v>46.93</v>
      </c>
      <c r="N107" s="157">
        <f t="shared" si="1"/>
        <v>420.7</v>
      </c>
      <c r="O107" s="157">
        <f t="shared" si="1"/>
        <v>9.4</v>
      </c>
      <c r="P107" s="157">
        <f t="shared" si="1"/>
        <v>0.54</v>
      </c>
      <c r="Q107" s="157">
        <f t="shared" si="1"/>
        <v>21.18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8.9656250000000011</v>
      </c>
      <c r="C108" s="158">
        <f t="shared" ref="C108:Q108" si="2">AVERAGE(C9:C104)</f>
        <v>8.0983333333333327</v>
      </c>
      <c r="D108" s="158">
        <f t="shared" si="2"/>
        <v>17.060208333333332</v>
      </c>
      <c r="E108" s="158">
        <f t="shared" si="2"/>
        <v>6.5100000000000007</v>
      </c>
      <c r="F108" s="158">
        <f t="shared" si="2"/>
        <v>3.6202083333333337</v>
      </c>
      <c r="G108" s="158">
        <f t="shared" si="2"/>
        <v>60.443333333333335</v>
      </c>
      <c r="H108" s="158">
        <f t="shared" si="2"/>
        <v>23.923437499999995</v>
      </c>
      <c r="I108" s="158">
        <f t="shared" si="2"/>
        <v>6.9974999999999996</v>
      </c>
      <c r="J108" s="158">
        <f t="shared" si="2"/>
        <v>0.30291666666666678</v>
      </c>
      <c r="K108" s="158">
        <f t="shared" si="2"/>
        <v>139.00375</v>
      </c>
      <c r="L108" s="158">
        <f t="shared" si="2"/>
        <v>16.178750000000001</v>
      </c>
      <c r="M108" s="158">
        <f t="shared" si="2"/>
        <v>20.886041666666667</v>
      </c>
      <c r="N108" s="158">
        <f t="shared" si="2"/>
        <v>69.81666666666662</v>
      </c>
      <c r="O108" s="158">
        <f t="shared" si="2"/>
        <v>0.2104166666666667</v>
      </c>
      <c r="P108" s="158">
        <f t="shared" si="2"/>
        <v>0.4056249999999999</v>
      </c>
      <c r="Q108" s="158">
        <f t="shared" si="2"/>
        <v>10.444374999999994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4.8954560698242302</v>
      </c>
      <c r="C109" s="158">
        <f t="shared" ref="C109:Q109" si="3">STDEV(C9:C104)</f>
        <v>1.131630092683406</v>
      </c>
      <c r="D109" s="158">
        <f t="shared" si="3"/>
        <v>4.8508762049902296</v>
      </c>
      <c r="E109" s="158">
        <f t="shared" si="3"/>
        <v>1.8679693449530184</v>
      </c>
      <c r="F109" s="158">
        <f t="shared" si="3"/>
        <v>2.7583805237920127</v>
      </c>
      <c r="G109" s="158">
        <f t="shared" si="3"/>
        <v>12.791562570009006</v>
      </c>
      <c r="H109" s="158">
        <f t="shared" si="3"/>
        <v>4.0846539061339167</v>
      </c>
      <c r="I109" s="158">
        <f t="shared" si="3"/>
        <v>1.5743770697945187</v>
      </c>
      <c r="J109" s="158">
        <f t="shared" si="3"/>
        <v>0.2172891193859201</v>
      </c>
      <c r="K109" s="158">
        <f t="shared" si="3"/>
        <v>115.11573846625659</v>
      </c>
      <c r="L109" s="158">
        <f t="shared" si="3"/>
        <v>4.4209575647673436</v>
      </c>
      <c r="M109" s="158">
        <f t="shared" si="3"/>
        <v>11.954451932596983</v>
      </c>
      <c r="N109" s="158">
        <f t="shared" si="3"/>
        <v>108.72257758714606</v>
      </c>
      <c r="O109" s="158">
        <f t="shared" si="3"/>
        <v>1.0322667104016816</v>
      </c>
      <c r="P109" s="158">
        <f t="shared" si="3"/>
        <v>0.10333198923857084</v>
      </c>
      <c r="Q109" s="158">
        <f t="shared" si="3"/>
        <v>1.5136423915422705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E16" sqref="E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432</v>
      </c>
      <c r="B9" s="6">
        <v>5.61</v>
      </c>
      <c r="C9" s="6">
        <v>7.9</v>
      </c>
      <c r="D9" s="6">
        <v>13.52</v>
      </c>
      <c r="E9" s="6">
        <v>5.0999999999999996</v>
      </c>
      <c r="F9" s="6">
        <v>2.2200000000000002</v>
      </c>
      <c r="G9" s="6">
        <v>34.74</v>
      </c>
      <c r="H9" s="6">
        <v>19.63</v>
      </c>
      <c r="I9" s="6">
        <v>6</v>
      </c>
      <c r="J9" s="6">
        <v>0.06</v>
      </c>
      <c r="K9" s="6">
        <v>234.92</v>
      </c>
      <c r="L9" s="6">
        <v>19.670000000000002</v>
      </c>
      <c r="M9" s="6">
        <v>31.36</v>
      </c>
      <c r="N9" s="6">
        <v>2.5</v>
      </c>
      <c r="O9" s="6">
        <v>1.4</v>
      </c>
      <c r="P9" s="6">
        <v>0.34</v>
      </c>
      <c r="Q9" s="6">
        <v>9.9</v>
      </c>
      <c r="R9" s="6"/>
      <c r="S9" s="6"/>
      <c r="T9" s="156"/>
      <c r="U9" s="6"/>
    </row>
    <row r="10" spans="1:21" customFormat="1">
      <c r="A10" s="201" t="s">
        <v>433</v>
      </c>
      <c r="B10" s="6">
        <v>5.85</v>
      </c>
      <c r="C10" s="6">
        <v>7.12</v>
      </c>
      <c r="D10" s="6">
        <v>12.97</v>
      </c>
      <c r="E10" s="6">
        <v>5.09</v>
      </c>
      <c r="F10" s="6">
        <v>2.0299999999999998</v>
      </c>
      <c r="G10" s="6">
        <v>33.94</v>
      </c>
      <c r="H10" s="6">
        <v>22.84</v>
      </c>
      <c r="I10" s="6">
        <v>6.01</v>
      </c>
      <c r="J10" s="6">
        <v>0.14000000000000001</v>
      </c>
      <c r="K10" s="6">
        <v>12.73</v>
      </c>
      <c r="L10" s="6">
        <v>16.239999999999998</v>
      </c>
      <c r="M10" s="6">
        <v>22.55</v>
      </c>
      <c r="N10" s="6">
        <v>2.8</v>
      </c>
      <c r="O10" s="6">
        <v>1.6</v>
      </c>
      <c r="P10" s="6">
        <v>0.36</v>
      </c>
      <c r="Q10" s="6">
        <v>10.06</v>
      </c>
      <c r="R10" s="6"/>
      <c r="S10" s="6"/>
      <c r="T10" s="156"/>
      <c r="U10" s="6"/>
    </row>
    <row r="11" spans="1:21" customFormat="1">
      <c r="A11" s="201" t="s">
        <v>434</v>
      </c>
      <c r="B11" s="6">
        <v>6.18</v>
      </c>
      <c r="C11" s="6">
        <v>7.15</v>
      </c>
      <c r="D11" s="6">
        <v>13.33</v>
      </c>
      <c r="E11" s="6">
        <v>4.93</v>
      </c>
      <c r="F11" s="6">
        <v>2</v>
      </c>
      <c r="G11" s="6">
        <v>33.32</v>
      </c>
      <c r="H11" s="6">
        <v>23.87</v>
      </c>
      <c r="I11" s="6">
        <v>5.93</v>
      </c>
      <c r="J11" s="6">
        <v>0.21</v>
      </c>
      <c r="K11" s="6">
        <v>32.03</v>
      </c>
      <c r="L11" s="6">
        <v>7.47</v>
      </c>
      <c r="M11" s="6">
        <v>0.57999999999999996</v>
      </c>
      <c r="N11" s="6">
        <v>2.6</v>
      </c>
      <c r="O11" s="6">
        <v>1.4</v>
      </c>
      <c r="P11" s="6">
        <v>0.37</v>
      </c>
      <c r="Q11" s="6">
        <v>10.56</v>
      </c>
      <c r="R11" s="6"/>
      <c r="S11" s="6"/>
      <c r="T11" s="156"/>
      <c r="U11" s="6"/>
    </row>
    <row r="12" spans="1:21" customFormat="1">
      <c r="A12" s="201" t="s">
        <v>435</v>
      </c>
      <c r="B12" s="6">
        <v>6.72</v>
      </c>
      <c r="C12" s="6">
        <v>7.64</v>
      </c>
      <c r="D12" s="6">
        <v>14.36</v>
      </c>
      <c r="E12" s="6">
        <v>6.04</v>
      </c>
      <c r="F12" s="6">
        <v>2.06</v>
      </c>
      <c r="G12" s="6">
        <v>33.32</v>
      </c>
      <c r="H12" s="6">
        <v>23.87</v>
      </c>
      <c r="I12" s="6">
        <v>5.96</v>
      </c>
      <c r="J12" s="6">
        <v>0.31</v>
      </c>
      <c r="K12" s="6">
        <v>32.49</v>
      </c>
      <c r="L12" s="6">
        <v>9.08</v>
      </c>
      <c r="M12" s="6">
        <v>4.5599999999999996</v>
      </c>
      <c r="N12" s="6">
        <v>2.5</v>
      </c>
      <c r="O12" s="6">
        <v>1.6</v>
      </c>
      <c r="P12" s="6">
        <v>0.36</v>
      </c>
      <c r="Q12" s="6">
        <v>10.039999999999999</v>
      </c>
      <c r="R12" s="6"/>
      <c r="S12" s="6"/>
      <c r="T12" s="156"/>
      <c r="U12" s="6"/>
    </row>
    <row r="13" spans="1:21" customFormat="1">
      <c r="A13" s="201" t="s">
        <v>436</v>
      </c>
      <c r="B13" s="6">
        <v>6.79</v>
      </c>
      <c r="C13" s="6">
        <v>7.64</v>
      </c>
      <c r="D13" s="6">
        <v>14.43</v>
      </c>
      <c r="E13" s="6">
        <v>6</v>
      </c>
      <c r="F13" s="6">
        <v>2.08</v>
      </c>
      <c r="G13" s="6">
        <v>33.32</v>
      </c>
      <c r="H13" s="6">
        <v>23.87</v>
      </c>
      <c r="I13" s="6">
        <v>6.1</v>
      </c>
      <c r="J13" s="6">
        <v>0.43</v>
      </c>
      <c r="K13" s="6">
        <v>34.04</v>
      </c>
      <c r="L13" s="6">
        <v>7.56</v>
      </c>
      <c r="M13" s="6">
        <v>0.7</v>
      </c>
      <c r="N13" s="6">
        <v>2.5</v>
      </c>
      <c r="O13" s="6">
        <v>1.2</v>
      </c>
      <c r="P13" s="6">
        <v>0.35</v>
      </c>
      <c r="Q13" s="6">
        <v>10</v>
      </c>
      <c r="R13" s="6"/>
      <c r="S13" s="6"/>
      <c r="T13" s="156"/>
      <c r="U13" s="6"/>
    </row>
    <row r="14" spans="1:21" customFormat="1">
      <c r="A14" s="201" t="s">
        <v>437</v>
      </c>
      <c r="B14" s="6">
        <v>6.92</v>
      </c>
      <c r="C14" s="6">
        <v>7.21</v>
      </c>
      <c r="D14" s="6">
        <v>14.13</v>
      </c>
      <c r="E14" s="6">
        <v>5.63</v>
      </c>
      <c r="F14" s="6">
        <v>2.13</v>
      </c>
      <c r="G14" s="6">
        <v>33.24</v>
      </c>
      <c r="H14" s="6">
        <v>23.79</v>
      </c>
      <c r="I14" s="6">
        <v>6.09</v>
      </c>
      <c r="J14" s="6">
        <v>0.92</v>
      </c>
      <c r="K14" s="6">
        <v>34.24</v>
      </c>
      <c r="L14" s="6">
        <v>5.76</v>
      </c>
      <c r="M14" s="6">
        <v>-3.81</v>
      </c>
      <c r="N14" s="6">
        <v>3</v>
      </c>
      <c r="O14" s="6">
        <v>1.2</v>
      </c>
      <c r="P14" s="6">
        <v>0.37</v>
      </c>
      <c r="Q14" s="6">
        <v>10</v>
      </c>
      <c r="R14" s="6"/>
      <c r="S14" s="6"/>
      <c r="T14" s="156"/>
      <c r="U14" s="6"/>
    </row>
    <row r="15" spans="1:21" customFormat="1">
      <c r="A15" s="201" t="s">
        <v>438</v>
      </c>
      <c r="B15" s="6">
        <v>6.97</v>
      </c>
      <c r="C15" s="6">
        <v>7.08</v>
      </c>
      <c r="D15" s="6">
        <v>14.05</v>
      </c>
      <c r="E15" s="6">
        <v>5.82</v>
      </c>
      <c r="F15" s="6">
        <v>2.76</v>
      </c>
      <c r="G15" s="6">
        <v>33.17</v>
      </c>
      <c r="H15" s="6">
        <v>23.76</v>
      </c>
      <c r="I15" s="6">
        <v>6.01</v>
      </c>
      <c r="J15" s="6">
        <v>0.95</v>
      </c>
      <c r="K15" s="6">
        <v>33.72</v>
      </c>
      <c r="L15" s="6">
        <v>7.27</v>
      </c>
      <c r="M15" s="6">
        <v>0.03</v>
      </c>
      <c r="N15" s="6">
        <v>2.6</v>
      </c>
      <c r="O15" s="6">
        <v>4.2</v>
      </c>
      <c r="P15" s="6">
        <v>0.34</v>
      </c>
      <c r="Q15" s="6">
        <v>10.25</v>
      </c>
      <c r="R15" s="6"/>
      <c r="S15" s="6"/>
      <c r="T15" s="156"/>
      <c r="U15" s="6"/>
    </row>
    <row r="16" spans="1:21" customFormat="1">
      <c r="A16" s="201" t="s">
        <v>439</v>
      </c>
      <c r="B16" s="6">
        <v>6.92</v>
      </c>
      <c r="C16" s="6">
        <v>6.87</v>
      </c>
      <c r="D16" s="6">
        <v>13.79</v>
      </c>
      <c r="E16" s="6">
        <v>5.72</v>
      </c>
      <c r="F16" s="6">
        <v>3.6</v>
      </c>
      <c r="G16" s="6">
        <v>33.17</v>
      </c>
      <c r="H16" s="6">
        <v>23.76</v>
      </c>
      <c r="I16" s="6">
        <v>6.12</v>
      </c>
      <c r="J16" s="6">
        <v>0.74</v>
      </c>
      <c r="K16" s="6">
        <v>26</v>
      </c>
      <c r="L16" s="6">
        <v>10.199999999999999</v>
      </c>
      <c r="M16" s="6">
        <v>7.33</v>
      </c>
      <c r="N16" s="6">
        <v>3.7</v>
      </c>
      <c r="O16" s="6">
        <v>1.8</v>
      </c>
      <c r="P16" s="6">
        <v>0.33</v>
      </c>
      <c r="Q16" s="6">
        <v>10.29</v>
      </c>
      <c r="R16" s="6"/>
      <c r="S16" s="6"/>
      <c r="T16" s="156"/>
      <c r="U16" s="6"/>
    </row>
    <row r="17" spans="1:21" customFormat="1">
      <c r="A17" s="201" t="s">
        <v>440</v>
      </c>
      <c r="B17" s="6">
        <v>6.98</v>
      </c>
      <c r="C17" s="6">
        <v>6.89</v>
      </c>
      <c r="D17" s="6">
        <v>13.88</v>
      </c>
      <c r="E17" s="6">
        <v>5.5</v>
      </c>
      <c r="F17" s="6">
        <v>2.29</v>
      </c>
      <c r="G17" s="6">
        <v>33.17</v>
      </c>
      <c r="H17" s="6">
        <v>23.76</v>
      </c>
      <c r="I17" s="6">
        <v>6.03</v>
      </c>
      <c r="J17" s="6">
        <v>0.67</v>
      </c>
      <c r="K17" s="6">
        <v>33.26</v>
      </c>
      <c r="L17" s="6">
        <v>7.3</v>
      </c>
      <c r="M17" s="6">
        <v>0.02</v>
      </c>
      <c r="N17" s="6">
        <v>3</v>
      </c>
      <c r="O17" s="6">
        <v>1.4</v>
      </c>
      <c r="P17" s="6">
        <v>0.36</v>
      </c>
      <c r="Q17" s="6">
        <v>9.94</v>
      </c>
      <c r="R17" s="6"/>
      <c r="S17" s="6"/>
      <c r="T17" s="156"/>
      <c r="U17" s="6"/>
    </row>
    <row r="18" spans="1:21" customFormat="1">
      <c r="A18" s="201" t="s">
        <v>441</v>
      </c>
      <c r="B18" s="6">
        <v>6.94</v>
      </c>
      <c r="C18" s="6">
        <v>6.68</v>
      </c>
      <c r="D18" s="6">
        <v>13.62</v>
      </c>
      <c r="E18" s="6">
        <v>6.13</v>
      </c>
      <c r="F18" s="6">
        <v>2.74</v>
      </c>
      <c r="G18" s="6">
        <v>28.95</v>
      </c>
      <c r="H18" s="6">
        <v>18.48</v>
      </c>
      <c r="I18" s="6">
        <v>5.78</v>
      </c>
      <c r="J18" s="6">
        <v>0.6</v>
      </c>
      <c r="K18" s="6">
        <v>25.37</v>
      </c>
      <c r="L18" s="6">
        <v>8.76</v>
      </c>
      <c r="M18" s="6">
        <v>3.7</v>
      </c>
      <c r="N18" s="6">
        <v>2.2000000000000002</v>
      </c>
      <c r="O18" s="6">
        <v>1</v>
      </c>
      <c r="P18" s="6">
        <v>0.33</v>
      </c>
      <c r="Q18" s="6">
        <v>12.11</v>
      </c>
      <c r="R18" s="6"/>
      <c r="S18" s="6"/>
      <c r="T18" s="156"/>
      <c r="U18" s="6"/>
    </row>
    <row r="19" spans="1:21" customFormat="1">
      <c r="A19" s="201" t="s">
        <v>442</v>
      </c>
      <c r="B19" s="6">
        <v>6.93</v>
      </c>
      <c r="C19" s="6">
        <v>6.6</v>
      </c>
      <c r="D19" s="6">
        <v>13.53</v>
      </c>
      <c r="E19" s="6">
        <v>6.03</v>
      </c>
      <c r="F19" s="6">
        <v>3</v>
      </c>
      <c r="G19" s="6">
        <v>25.71</v>
      </c>
      <c r="H19" s="6">
        <v>16.79</v>
      </c>
      <c r="I19" s="6">
        <v>5.86</v>
      </c>
      <c r="J19" s="6">
        <v>0.38</v>
      </c>
      <c r="K19" s="6">
        <v>19.489999999999998</v>
      </c>
      <c r="L19" s="6">
        <v>11.88</v>
      </c>
      <c r="M19" s="6">
        <v>11.58</v>
      </c>
      <c r="N19" s="6">
        <v>1.9</v>
      </c>
      <c r="O19" s="6">
        <v>0.6</v>
      </c>
      <c r="P19" s="6">
        <v>0.31</v>
      </c>
      <c r="Q19" s="6">
        <v>10</v>
      </c>
      <c r="R19" s="6"/>
      <c r="S19" s="6"/>
      <c r="T19" s="156"/>
      <c r="U19" s="6"/>
    </row>
    <row r="20" spans="1:21" customFormat="1">
      <c r="A20" s="201" t="s">
        <v>443</v>
      </c>
      <c r="B20" s="6">
        <v>6.88</v>
      </c>
      <c r="C20" s="6">
        <v>6.78</v>
      </c>
      <c r="D20" s="6">
        <v>13.66</v>
      </c>
      <c r="E20" s="6">
        <v>6.37</v>
      </c>
      <c r="F20" s="6">
        <v>2.1</v>
      </c>
      <c r="G20" s="6">
        <v>25.71</v>
      </c>
      <c r="H20" s="6">
        <v>16.79</v>
      </c>
      <c r="I20" s="6">
        <v>5.78</v>
      </c>
      <c r="J20" s="6">
        <v>0.34</v>
      </c>
      <c r="K20" s="6">
        <v>348.18</v>
      </c>
      <c r="L20" s="6">
        <v>16.84</v>
      </c>
      <c r="M20" s="6">
        <v>24.05</v>
      </c>
      <c r="N20" s="6">
        <v>2.4</v>
      </c>
      <c r="O20" s="6">
        <v>0.8</v>
      </c>
      <c r="P20" s="6">
        <v>0.35</v>
      </c>
      <c r="Q20" s="6">
        <v>10.01</v>
      </c>
      <c r="R20" s="6"/>
      <c r="S20" s="6"/>
      <c r="T20" s="156"/>
      <c r="U20" s="6"/>
    </row>
    <row r="21" spans="1:21" customFormat="1">
      <c r="A21" s="201" t="s">
        <v>444</v>
      </c>
      <c r="B21" s="6">
        <v>6.67</v>
      </c>
      <c r="C21" s="6">
        <v>6.99</v>
      </c>
      <c r="D21" s="6">
        <v>13.66</v>
      </c>
      <c r="E21" s="6">
        <v>6.51</v>
      </c>
      <c r="F21" s="6">
        <v>2</v>
      </c>
      <c r="G21" s="6">
        <v>25.71</v>
      </c>
      <c r="H21" s="6">
        <v>16.79</v>
      </c>
      <c r="I21" s="6">
        <v>5.61</v>
      </c>
      <c r="J21" s="6">
        <v>0.2</v>
      </c>
      <c r="K21" s="6">
        <v>0</v>
      </c>
      <c r="L21" s="6">
        <v>17.850000000000001</v>
      </c>
      <c r="M21" s="6">
        <v>26.66</v>
      </c>
      <c r="N21" s="6">
        <v>2.9</v>
      </c>
      <c r="O21" s="6">
        <v>0.6</v>
      </c>
      <c r="P21" s="6">
        <v>0.36</v>
      </c>
      <c r="Q21" s="6">
        <v>10.15</v>
      </c>
      <c r="R21" s="6"/>
      <c r="S21" s="6"/>
      <c r="T21" s="156"/>
      <c r="U21" s="6"/>
    </row>
    <row r="22" spans="1:21" customFormat="1">
      <c r="A22" s="201" t="s">
        <v>445</v>
      </c>
      <c r="B22" s="6">
        <v>6.43</v>
      </c>
      <c r="C22" s="6">
        <v>7.09</v>
      </c>
      <c r="D22" s="6">
        <v>13.52</v>
      </c>
      <c r="E22" s="6">
        <v>6.36</v>
      </c>
      <c r="F22" s="6">
        <v>2.02</v>
      </c>
      <c r="G22" s="6">
        <v>23.48</v>
      </c>
      <c r="H22" s="6">
        <v>14.78</v>
      </c>
      <c r="I22" s="6">
        <v>5.71</v>
      </c>
      <c r="J22" s="6">
        <v>0.15</v>
      </c>
      <c r="K22" s="6">
        <v>232.19</v>
      </c>
      <c r="L22" s="6">
        <v>18.53</v>
      </c>
      <c r="M22" s="6">
        <v>28.5</v>
      </c>
      <c r="N22" s="6">
        <v>2.4</v>
      </c>
      <c r="O22" s="6">
        <v>0.4</v>
      </c>
      <c r="P22" s="6">
        <v>0.36</v>
      </c>
      <c r="Q22" s="6">
        <v>9.94</v>
      </c>
      <c r="R22" s="6"/>
      <c r="S22" s="6"/>
      <c r="T22" s="156"/>
      <c r="U22" s="6"/>
    </row>
    <row r="23" spans="1:21" customFormat="1">
      <c r="A23" s="201" t="s">
        <v>446</v>
      </c>
      <c r="B23" s="6">
        <v>6.32</v>
      </c>
      <c r="C23" s="6">
        <v>7.04</v>
      </c>
      <c r="D23" s="6">
        <v>13.36</v>
      </c>
      <c r="E23" s="6">
        <v>6.74</v>
      </c>
      <c r="F23" s="6">
        <v>2</v>
      </c>
      <c r="G23" s="6">
        <v>21.78</v>
      </c>
      <c r="H23" s="6">
        <v>13.58</v>
      </c>
      <c r="I23" s="6">
        <v>5.53</v>
      </c>
      <c r="J23" s="6">
        <v>0.52</v>
      </c>
      <c r="K23" s="6">
        <v>302.12</v>
      </c>
      <c r="L23" s="6">
        <v>25.83</v>
      </c>
      <c r="M23" s="6">
        <v>46.58</v>
      </c>
      <c r="N23" s="6">
        <v>2.9</v>
      </c>
      <c r="O23" s="6">
        <v>0.4</v>
      </c>
      <c r="P23" s="6">
        <v>0.36</v>
      </c>
      <c r="Q23" s="6">
        <v>10.16</v>
      </c>
      <c r="R23" s="6"/>
      <c r="S23" s="6"/>
      <c r="T23" s="156"/>
      <c r="U23" s="6"/>
    </row>
    <row r="24" spans="1:21" customFormat="1">
      <c r="A24" s="201" t="s">
        <v>447</v>
      </c>
      <c r="B24" s="6">
        <v>6.46</v>
      </c>
      <c r="C24" s="6">
        <v>7.34</v>
      </c>
      <c r="D24" s="6">
        <v>13.8</v>
      </c>
      <c r="E24" s="6">
        <v>6.67</v>
      </c>
      <c r="F24" s="6">
        <v>2</v>
      </c>
      <c r="G24" s="6">
        <v>21.78</v>
      </c>
      <c r="H24" s="6">
        <v>13.58</v>
      </c>
      <c r="I24" s="6">
        <v>5.3</v>
      </c>
      <c r="J24" s="6">
        <v>0.34</v>
      </c>
      <c r="K24" s="6">
        <v>307.67</v>
      </c>
      <c r="L24" s="6">
        <v>26.19</v>
      </c>
      <c r="M24" s="6">
        <v>47.62</v>
      </c>
      <c r="N24" s="6">
        <v>2.4</v>
      </c>
      <c r="O24" s="6">
        <v>0</v>
      </c>
      <c r="P24" s="6">
        <v>0.35</v>
      </c>
      <c r="Q24" s="6">
        <v>10</v>
      </c>
      <c r="R24" s="6"/>
      <c r="S24" s="6"/>
      <c r="T24" s="156"/>
      <c r="U24" s="6"/>
    </row>
    <row r="25" spans="1:21" customFormat="1">
      <c r="A25" s="201" t="s">
        <v>448</v>
      </c>
      <c r="B25" s="6">
        <v>6.69</v>
      </c>
      <c r="C25" s="6">
        <v>7.65</v>
      </c>
      <c r="D25" s="6">
        <v>14.33</v>
      </c>
      <c r="E25" s="6">
        <v>6.53</v>
      </c>
      <c r="F25" s="6">
        <v>2</v>
      </c>
      <c r="G25" s="6">
        <v>21.78</v>
      </c>
      <c r="H25" s="6">
        <v>13.58</v>
      </c>
      <c r="I25" s="6">
        <v>5.2</v>
      </c>
      <c r="J25" s="6">
        <v>0.13</v>
      </c>
      <c r="K25" s="6">
        <v>7.5</v>
      </c>
      <c r="L25" s="6">
        <v>16.52</v>
      </c>
      <c r="M25" s="6">
        <v>23.32</v>
      </c>
      <c r="N25" s="6">
        <v>2.4</v>
      </c>
      <c r="O25" s="6">
        <v>0</v>
      </c>
      <c r="P25" s="6">
        <v>0.37</v>
      </c>
      <c r="Q25" s="6">
        <v>10.11</v>
      </c>
      <c r="R25" s="6"/>
      <c r="S25" s="6"/>
      <c r="T25" s="156"/>
      <c r="U25" s="6"/>
    </row>
    <row r="26" spans="1:21" customFormat="1">
      <c r="A26" s="201" t="s">
        <v>449</v>
      </c>
      <c r="B26" s="6">
        <v>6.76</v>
      </c>
      <c r="C26" s="6">
        <v>7.74</v>
      </c>
      <c r="D26" s="6">
        <v>14.5</v>
      </c>
      <c r="E26" s="6">
        <v>6.76</v>
      </c>
      <c r="F26" s="6">
        <v>2</v>
      </c>
      <c r="G26" s="6">
        <v>21.96</v>
      </c>
      <c r="H26" s="6">
        <v>11.97</v>
      </c>
      <c r="I26" s="6">
        <v>5.13</v>
      </c>
      <c r="J26" s="6">
        <v>0.25</v>
      </c>
      <c r="K26" s="6">
        <v>30.92</v>
      </c>
      <c r="L26" s="6">
        <v>12.36</v>
      </c>
      <c r="M26" s="6">
        <v>12.79</v>
      </c>
      <c r="N26" s="6">
        <v>2.6</v>
      </c>
      <c r="O26" s="6">
        <v>0</v>
      </c>
      <c r="P26" s="6">
        <v>0.38</v>
      </c>
      <c r="Q26" s="6">
        <v>10.77</v>
      </c>
      <c r="R26" s="6"/>
      <c r="S26" s="6"/>
      <c r="T26" s="156"/>
      <c r="U26" s="6"/>
    </row>
    <row r="27" spans="1:21" customFormat="1">
      <c r="A27" s="201" t="s">
        <v>450</v>
      </c>
      <c r="B27" s="6">
        <v>6.83</v>
      </c>
      <c r="C27" s="6">
        <v>7.76</v>
      </c>
      <c r="D27" s="6">
        <v>14.59</v>
      </c>
      <c r="E27" s="6">
        <v>6.86</v>
      </c>
      <c r="F27" s="6">
        <v>2</v>
      </c>
      <c r="G27" s="6">
        <v>22.1</v>
      </c>
      <c r="H27" s="6">
        <v>11.46</v>
      </c>
      <c r="I27" s="6">
        <v>5.0599999999999996</v>
      </c>
      <c r="J27" s="6">
        <v>0.17</v>
      </c>
      <c r="K27" s="6">
        <v>330.28</v>
      </c>
      <c r="L27" s="6">
        <v>19.559999999999999</v>
      </c>
      <c r="M27" s="6">
        <v>30.77</v>
      </c>
      <c r="N27" s="6">
        <v>2.2000000000000002</v>
      </c>
      <c r="O27" s="6">
        <v>0</v>
      </c>
      <c r="P27" s="6">
        <v>0.38</v>
      </c>
      <c r="Q27" s="6">
        <v>10.61</v>
      </c>
      <c r="R27" s="6"/>
      <c r="S27" s="6"/>
      <c r="T27" s="156"/>
      <c r="U27" s="6"/>
    </row>
    <row r="28" spans="1:21" customFormat="1">
      <c r="A28" s="201" t="s">
        <v>451</v>
      </c>
      <c r="B28" s="6">
        <v>6.96</v>
      </c>
      <c r="C28" s="6">
        <v>7.79</v>
      </c>
      <c r="D28" s="6">
        <v>14.75</v>
      </c>
      <c r="E28" s="6">
        <v>6.8</v>
      </c>
      <c r="F28" s="6">
        <v>2</v>
      </c>
      <c r="G28" s="6">
        <v>22.1</v>
      </c>
      <c r="H28" s="6">
        <v>11.46</v>
      </c>
      <c r="I28" s="6">
        <v>5.08</v>
      </c>
      <c r="J28" s="6">
        <v>0.45</v>
      </c>
      <c r="K28" s="6">
        <v>297.69</v>
      </c>
      <c r="L28" s="6">
        <v>25.68</v>
      </c>
      <c r="M28" s="6">
        <v>46.28</v>
      </c>
      <c r="N28" s="6">
        <v>2.4</v>
      </c>
      <c r="O28" s="6">
        <v>0</v>
      </c>
      <c r="P28" s="6">
        <v>0.39</v>
      </c>
      <c r="Q28" s="6">
        <v>10.4</v>
      </c>
      <c r="R28" s="6"/>
      <c r="S28" s="6"/>
      <c r="T28" s="156"/>
      <c r="U28" s="6"/>
    </row>
    <row r="29" spans="1:21" customFormat="1">
      <c r="A29" s="201" t="s">
        <v>452</v>
      </c>
      <c r="B29" s="6">
        <v>7.06</v>
      </c>
      <c r="C29" s="6">
        <v>7.81</v>
      </c>
      <c r="D29" s="6">
        <v>14.88</v>
      </c>
      <c r="E29" s="6">
        <v>6.86</v>
      </c>
      <c r="F29" s="6">
        <v>2</v>
      </c>
      <c r="G29" s="6">
        <v>22.1</v>
      </c>
      <c r="H29" s="6">
        <v>11.46</v>
      </c>
      <c r="I29" s="6">
        <v>5.18</v>
      </c>
      <c r="J29" s="6">
        <v>0.28999999999999998</v>
      </c>
      <c r="K29" s="6">
        <v>316.70999999999998</v>
      </c>
      <c r="L29" s="6">
        <v>26.41</v>
      </c>
      <c r="M29" s="6">
        <v>48.02</v>
      </c>
      <c r="N29" s="6">
        <v>2.5</v>
      </c>
      <c r="O29" s="6">
        <v>0</v>
      </c>
      <c r="P29" s="6">
        <v>0.39</v>
      </c>
      <c r="Q29" s="6">
        <v>10.44</v>
      </c>
      <c r="R29" s="6"/>
      <c r="S29" s="6"/>
      <c r="T29" s="156"/>
      <c r="U29" s="6"/>
    </row>
    <row r="30" spans="1:21" customFormat="1">
      <c r="A30" s="201" t="s">
        <v>453</v>
      </c>
      <c r="B30" s="6">
        <v>7.12</v>
      </c>
      <c r="C30" s="6">
        <v>7.76</v>
      </c>
      <c r="D30" s="6">
        <v>14.88</v>
      </c>
      <c r="E30" s="6">
        <v>6.55</v>
      </c>
      <c r="F30" s="6">
        <v>2</v>
      </c>
      <c r="G30" s="6">
        <v>26.9</v>
      </c>
      <c r="H30" s="6">
        <v>14.31</v>
      </c>
      <c r="I30" s="6">
        <v>5.32</v>
      </c>
      <c r="J30" s="6">
        <v>0.4</v>
      </c>
      <c r="K30" s="6">
        <v>311.74</v>
      </c>
      <c r="L30" s="6">
        <v>25.98</v>
      </c>
      <c r="M30" s="6">
        <v>47.01</v>
      </c>
      <c r="N30" s="6">
        <v>2.6</v>
      </c>
      <c r="O30" s="6">
        <v>0</v>
      </c>
      <c r="P30" s="6">
        <v>0.39</v>
      </c>
      <c r="Q30" s="6">
        <v>15.72</v>
      </c>
      <c r="R30" s="6"/>
      <c r="S30" s="6"/>
      <c r="T30" s="156"/>
      <c r="U30" s="6"/>
    </row>
    <row r="31" spans="1:21" customFormat="1">
      <c r="A31" s="201" t="s">
        <v>454</v>
      </c>
      <c r="B31" s="6">
        <v>7.27</v>
      </c>
      <c r="C31" s="6">
        <v>7.78</v>
      </c>
      <c r="D31" s="6">
        <v>15.05</v>
      </c>
      <c r="E31" s="6">
        <v>6.81</v>
      </c>
      <c r="F31" s="6">
        <v>2</v>
      </c>
      <c r="G31" s="6">
        <v>30.57</v>
      </c>
      <c r="H31" s="6">
        <v>15.2</v>
      </c>
      <c r="I31" s="6">
        <v>5.31</v>
      </c>
      <c r="J31" s="6">
        <v>0.23</v>
      </c>
      <c r="K31" s="6">
        <v>329.47</v>
      </c>
      <c r="L31" s="6">
        <v>21.52</v>
      </c>
      <c r="M31" s="6">
        <v>35.72</v>
      </c>
      <c r="N31" s="6">
        <v>2.6</v>
      </c>
      <c r="O31" s="6">
        <v>0</v>
      </c>
      <c r="P31" s="6">
        <v>0.39</v>
      </c>
      <c r="Q31" s="6">
        <v>10.24</v>
      </c>
      <c r="R31" s="6"/>
      <c r="S31" s="6"/>
      <c r="T31" s="156"/>
      <c r="U31" s="6"/>
    </row>
    <row r="32" spans="1:21" customFormat="1">
      <c r="A32" s="201" t="s">
        <v>455</v>
      </c>
      <c r="B32" s="6">
        <v>7.4</v>
      </c>
      <c r="C32" s="6">
        <v>7.68</v>
      </c>
      <c r="D32" s="6">
        <v>15.09</v>
      </c>
      <c r="E32" s="6">
        <v>6.89</v>
      </c>
      <c r="F32" s="6">
        <v>2</v>
      </c>
      <c r="G32" s="6">
        <v>30.57</v>
      </c>
      <c r="H32" s="6">
        <v>15.2</v>
      </c>
      <c r="I32" s="6">
        <v>5.25</v>
      </c>
      <c r="J32" s="6">
        <v>0.2</v>
      </c>
      <c r="K32" s="6">
        <v>20.94</v>
      </c>
      <c r="L32" s="6">
        <v>13.62</v>
      </c>
      <c r="M32" s="6">
        <v>15.96</v>
      </c>
      <c r="N32" s="6">
        <v>2.9</v>
      </c>
      <c r="O32" s="6">
        <v>0</v>
      </c>
      <c r="P32" s="6">
        <v>0.39</v>
      </c>
      <c r="Q32" s="6">
        <v>10</v>
      </c>
      <c r="R32" s="6"/>
      <c r="S32" s="6"/>
      <c r="T32" s="156"/>
      <c r="U32" s="6"/>
    </row>
    <row r="33" spans="1:21" customFormat="1">
      <c r="A33" s="201" t="s">
        <v>456</v>
      </c>
      <c r="B33" s="6">
        <v>7.54</v>
      </c>
      <c r="C33" s="6">
        <v>7.66</v>
      </c>
      <c r="D33" s="6">
        <v>15.2</v>
      </c>
      <c r="E33" s="6">
        <v>6.81</v>
      </c>
      <c r="F33" s="6">
        <v>2</v>
      </c>
      <c r="G33" s="6">
        <v>30.57</v>
      </c>
      <c r="H33" s="6">
        <v>15.2</v>
      </c>
      <c r="I33" s="6">
        <v>5.18</v>
      </c>
      <c r="J33" s="6">
        <v>0.27</v>
      </c>
      <c r="K33" s="6">
        <v>11.37</v>
      </c>
      <c r="L33" s="6">
        <v>12.62</v>
      </c>
      <c r="M33" s="6">
        <v>13.36</v>
      </c>
      <c r="N33" s="6">
        <v>4</v>
      </c>
      <c r="O33" s="6">
        <v>0</v>
      </c>
      <c r="P33" s="6">
        <v>0.38</v>
      </c>
      <c r="Q33" s="6">
        <v>10</v>
      </c>
      <c r="R33" s="6"/>
      <c r="S33" s="6"/>
      <c r="T33" s="156"/>
      <c r="U33" s="6"/>
    </row>
    <row r="34" spans="1:21" customFormat="1">
      <c r="A34" s="201" t="s">
        <v>457</v>
      </c>
      <c r="B34" s="6">
        <v>7.64</v>
      </c>
      <c r="C34" s="6">
        <v>7.65</v>
      </c>
      <c r="D34" s="6">
        <v>15.3</v>
      </c>
      <c r="E34" s="6">
        <v>6.48</v>
      </c>
      <c r="F34" s="6">
        <v>2</v>
      </c>
      <c r="G34" s="6">
        <v>29.61</v>
      </c>
      <c r="H34" s="6">
        <v>18.23</v>
      </c>
      <c r="I34" s="6">
        <v>5.25</v>
      </c>
      <c r="J34" s="6">
        <v>0.31</v>
      </c>
      <c r="K34" s="6">
        <v>30.61</v>
      </c>
      <c r="L34" s="6">
        <v>11.11</v>
      </c>
      <c r="M34" s="6">
        <v>9.57</v>
      </c>
      <c r="N34" s="6">
        <v>5.8</v>
      </c>
      <c r="O34" s="6">
        <v>0</v>
      </c>
      <c r="P34" s="6">
        <v>0.39</v>
      </c>
      <c r="Q34" s="6">
        <v>10</v>
      </c>
      <c r="R34" s="6"/>
      <c r="S34" s="6"/>
      <c r="T34" s="156"/>
      <c r="U34" s="6"/>
    </row>
    <row r="35" spans="1:21" customFormat="1">
      <c r="A35" s="201" t="s">
        <v>458</v>
      </c>
      <c r="B35" s="6">
        <v>7.85</v>
      </c>
      <c r="C35" s="6">
        <v>7.59</v>
      </c>
      <c r="D35" s="6">
        <v>15.44</v>
      </c>
      <c r="E35" s="6">
        <v>6.57</v>
      </c>
      <c r="F35" s="6">
        <v>2</v>
      </c>
      <c r="G35" s="6">
        <v>28.88</v>
      </c>
      <c r="H35" s="6">
        <v>19.2</v>
      </c>
      <c r="I35" s="6">
        <v>5.23</v>
      </c>
      <c r="J35" s="6">
        <v>0.18</v>
      </c>
      <c r="K35" s="6">
        <v>19.989999999999998</v>
      </c>
      <c r="L35" s="6">
        <v>9.26</v>
      </c>
      <c r="M35" s="6">
        <v>4.88</v>
      </c>
      <c r="N35" s="6">
        <v>8</v>
      </c>
      <c r="O35" s="6">
        <v>0</v>
      </c>
      <c r="P35" s="6">
        <v>0.39</v>
      </c>
      <c r="Q35" s="6">
        <v>10</v>
      </c>
      <c r="R35" s="6"/>
      <c r="S35" s="6"/>
      <c r="T35" s="156"/>
      <c r="U35" s="6"/>
    </row>
    <row r="36" spans="1:21" customFormat="1">
      <c r="A36" s="201" t="s">
        <v>459</v>
      </c>
      <c r="B36" s="6">
        <v>8.16</v>
      </c>
      <c r="C36" s="6">
        <v>7.55</v>
      </c>
      <c r="D36" s="6">
        <v>15.72</v>
      </c>
      <c r="E36" s="6">
        <v>6.66</v>
      </c>
      <c r="F36" s="6">
        <v>2</v>
      </c>
      <c r="G36" s="6">
        <v>28.88</v>
      </c>
      <c r="H36" s="6">
        <v>19.2</v>
      </c>
      <c r="I36" s="6">
        <v>5.27</v>
      </c>
      <c r="J36" s="6">
        <v>0.24</v>
      </c>
      <c r="K36" s="6">
        <v>29.5</v>
      </c>
      <c r="L36" s="6">
        <v>11.4</v>
      </c>
      <c r="M36" s="6">
        <v>10.23</v>
      </c>
      <c r="N36" s="6">
        <v>12.9</v>
      </c>
      <c r="O36" s="6">
        <v>0.2</v>
      </c>
      <c r="P36" s="6">
        <v>0.39</v>
      </c>
      <c r="Q36" s="6">
        <v>10</v>
      </c>
      <c r="R36" s="6"/>
      <c r="S36" s="6"/>
      <c r="T36" s="156"/>
      <c r="U36" s="6"/>
    </row>
    <row r="37" spans="1:21" customFormat="1">
      <c r="A37" s="201" t="s">
        <v>460</v>
      </c>
      <c r="B37" s="6">
        <v>8.3699999999999992</v>
      </c>
      <c r="C37" s="6">
        <v>7.52</v>
      </c>
      <c r="D37" s="6">
        <v>15.9</v>
      </c>
      <c r="E37" s="6">
        <v>6.52</v>
      </c>
      <c r="F37" s="6">
        <v>2</v>
      </c>
      <c r="G37" s="6">
        <v>28.88</v>
      </c>
      <c r="H37" s="6">
        <v>19.2</v>
      </c>
      <c r="I37" s="6">
        <v>5.31</v>
      </c>
      <c r="J37" s="6">
        <v>0.08</v>
      </c>
      <c r="K37" s="6">
        <v>345.39</v>
      </c>
      <c r="L37" s="6">
        <v>15.54</v>
      </c>
      <c r="M37" s="6">
        <v>20.56</v>
      </c>
      <c r="N37" s="6">
        <v>17.899999999999999</v>
      </c>
      <c r="O37" s="6">
        <v>0</v>
      </c>
      <c r="P37" s="6">
        <v>0.4</v>
      </c>
      <c r="Q37" s="6">
        <v>10.42</v>
      </c>
      <c r="R37" s="6"/>
      <c r="S37" s="6"/>
      <c r="T37" s="156"/>
      <c r="U37" s="6"/>
    </row>
    <row r="38" spans="1:21" customFormat="1">
      <c r="A38" s="201" t="s">
        <v>461</v>
      </c>
      <c r="B38" s="6">
        <v>8.59</v>
      </c>
      <c r="C38" s="6">
        <v>7.65</v>
      </c>
      <c r="D38" s="6">
        <v>16.239999999999998</v>
      </c>
      <c r="E38" s="6">
        <v>6.55</v>
      </c>
      <c r="F38" s="6">
        <v>2</v>
      </c>
      <c r="G38" s="6">
        <v>35.21</v>
      </c>
      <c r="H38" s="6">
        <v>20.440000000000001</v>
      </c>
      <c r="I38" s="6">
        <v>5.39</v>
      </c>
      <c r="J38" s="6">
        <v>0.08</v>
      </c>
      <c r="K38" s="6">
        <v>291.61</v>
      </c>
      <c r="L38" s="6">
        <v>21.15</v>
      </c>
      <c r="M38" s="6">
        <v>34.64</v>
      </c>
      <c r="N38" s="6">
        <v>17.5</v>
      </c>
      <c r="O38" s="6">
        <v>0</v>
      </c>
      <c r="P38" s="6">
        <v>0.41</v>
      </c>
      <c r="Q38" s="6">
        <v>10</v>
      </c>
      <c r="R38" s="6"/>
      <c r="S38" s="6"/>
      <c r="T38" s="156"/>
      <c r="U38" s="6"/>
    </row>
    <row r="39" spans="1:21" customFormat="1">
      <c r="A39" s="201" t="s">
        <v>462</v>
      </c>
      <c r="B39" s="6">
        <v>9.0299999999999994</v>
      </c>
      <c r="C39" s="6">
        <v>7.67</v>
      </c>
      <c r="D39" s="6">
        <v>16.7</v>
      </c>
      <c r="E39" s="6">
        <v>6.9</v>
      </c>
      <c r="F39" s="6">
        <v>2</v>
      </c>
      <c r="G39" s="6">
        <v>40.049999999999997</v>
      </c>
      <c r="H39" s="6">
        <v>21.18</v>
      </c>
      <c r="I39" s="6">
        <v>5.5</v>
      </c>
      <c r="J39" s="6">
        <v>0.28999999999999998</v>
      </c>
      <c r="K39" s="6">
        <v>307.99</v>
      </c>
      <c r="L39" s="6">
        <v>25.68</v>
      </c>
      <c r="M39" s="6">
        <v>45.81</v>
      </c>
      <c r="N39" s="6">
        <v>19.600000000000001</v>
      </c>
      <c r="O39" s="6">
        <v>0.2</v>
      </c>
      <c r="P39" s="6">
        <v>0.42</v>
      </c>
      <c r="Q39" s="6">
        <v>10</v>
      </c>
      <c r="R39" s="6"/>
      <c r="S39" s="6"/>
      <c r="T39" s="156"/>
      <c r="U39" s="6"/>
    </row>
    <row r="40" spans="1:21" customFormat="1">
      <c r="A40" s="201" t="s">
        <v>463</v>
      </c>
      <c r="B40" s="6">
        <v>9.68</v>
      </c>
      <c r="C40" s="6">
        <v>7.76</v>
      </c>
      <c r="D40" s="6">
        <v>17.45</v>
      </c>
      <c r="E40" s="6">
        <v>6.78</v>
      </c>
      <c r="F40" s="6">
        <v>2</v>
      </c>
      <c r="G40" s="6">
        <v>40.049999999999997</v>
      </c>
      <c r="H40" s="6">
        <v>21.18</v>
      </c>
      <c r="I40" s="6">
        <v>5.68</v>
      </c>
      <c r="J40" s="6">
        <v>0.45</v>
      </c>
      <c r="K40" s="6">
        <v>312.07</v>
      </c>
      <c r="L40" s="6">
        <v>26.58</v>
      </c>
      <c r="M40" s="6">
        <v>47.86</v>
      </c>
      <c r="N40" s="6">
        <v>30</v>
      </c>
      <c r="O40" s="6">
        <v>0</v>
      </c>
      <c r="P40" s="6">
        <v>0.44</v>
      </c>
      <c r="Q40" s="6">
        <v>9.89</v>
      </c>
      <c r="R40" s="6"/>
      <c r="S40" s="6"/>
      <c r="T40" s="156"/>
      <c r="U40" s="6"/>
    </row>
    <row r="41" spans="1:21" customFormat="1">
      <c r="A41" s="201" t="s">
        <v>464</v>
      </c>
      <c r="B41" s="6">
        <v>10.119999999999999</v>
      </c>
      <c r="C41" s="6">
        <v>7.66</v>
      </c>
      <c r="D41" s="6">
        <v>17.78</v>
      </c>
      <c r="E41" s="6">
        <v>6.82</v>
      </c>
      <c r="F41" s="6">
        <v>2</v>
      </c>
      <c r="G41" s="6">
        <v>40.049999999999997</v>
      </c>
      <c r="H41" s="6">
        <v>21.18</v>
      </c>
      <c r="I41" s="6">
        <v>5.84</v>
      </c>
      <c r="J41" s="6">
        <v>0.53</v>
      </c>
      <c r="K41" s="6">
        <v>306.95</v>
      </c>
      <c r="L41" s="6">
        <v>25.85</v>
      </c>
      <c r="M41" s="6">
        <v>45.73</v>
      </c>
      <c r="N41" s="6">
        <v>43.8</v>
      </c>
      <c r="O41" s="6">
        <v>0</v>
      </c>
      <c r="P41" s="6">
        <v>0.43</v>
      </c>
      <c r="Q41" s="6">
        <v>10.39</v>
      </c>
      <c r="R41" s="6"/>
      <c r="S41" s="6"/>
      <c r="T41" s="156"/>
      <c r="U41" s="6"/>
    </row>
    <row r="42" spans="1:21" customFormat="1">
      <c r="A42" s="201" t="s">
        <v>465</v>
      </c>
      <c r="B42" s="6">
        <v>10.45</v>
      </c>
      <c r="C42" s="6">
        <v>7.79</v>
      </c>
      <c r="D42" s="6">
        <v>18.239999999999998</v>
      </c>
      <c r="E42" s="6">
        <v>6.78</v>
      </c>
      <c r="F42" s="6">
        <v>2.02</v>
      </c>
      <c r="G42" s="6">
        <v>44.7</v>
      </c>
      <c r="H42" s="6">
        <v>22.85</v>
      </c>
      <c r="I42" s="6">
        <v>6.04</v>
      </c>
      <c r="J42" s="6">
        <v>0.53</v>
      </c>
      <c r="K42" s="6">
        <v>310.16000000000003</v>
      </c>
      <c r="L42" s="6">
        <v>26.79</v>
      </c>
      <c r="M42" s="6">
        <v>47.61</v>
      </c>
      <c r="N42" s="6">
        <v>60.8</v>
      </c>
      <c r="O42" s="6">
        <v>0</v>
      </c>
      <c r="P42" s="6">
        <v>0.42</v>
      </c>
      <c r="Q42" s="6">
        <v>10</v>
      </c>
      <c r="R42" s="6"/>
      <c r="S42" s="6"/>
      <c r="T42" s="156"/>
      <c r="U42" s="6"/>
    </row>
    <row r="43" spans="1:21" customFormat="1">
      <c r="A43" s="201" t="s">
        <v>466</v>
      </c>
      <c r="B43" s="6">
        <v>10.62</v>
      </c>
      <c r="C43" s="6">
        <v>7.75</v>
      </c>
      <c r="D43" s="6">
        <v>18.37</v>
      </c>
      <c r="E43" s="6">
        <v>6.67</v>
      </c>
      <c r="F43" s="6">
        <v>2.0699999999999998</v>
      </c>
      <c r="G43" s="6">
        <v>48.25</v>
      </c>
      <c r="H43" s="6">
        <v>23.38</v>
      </c>
      <c r="I43" s="6">
        <v>6.18</v>
      </c>
      <c r="J43" s="6">
        <v>0.27</v>
      </c>
      <c r="K43" s="6">
        <v>350.17</v>
      </c>
      <c r="L43" s="6">
        <v>17.77</v>
      </c>
      <c r="M43" s="6">
        <v>24.84</v>
      </c>
      <c r="N43" s="6">
        <v>65.599999999999994</v>
      </c>
      <c r="O43" s="6">
        <v>0</v>
      </c>
      <c r="P43" s="6">
        <v>0.44</v>
      </c>
      <c r="Q43" s="6">
        <v>10</v>
      </c>
      <c r="R43" s="6"/>
      <c r="S43" s="6"/>
      <c r="T43" s="156"/>
      <c r="U43" s="6"/>
    </row>
    <row r="44" spans="1:21" customFormat="1">
      <c r="A44" s="201" t="s">
        <v>467</v>
      </c>
      <c r="B44" s="6">
        <v>10.95</v>
      </c>
      <c r="C44" s="6">
        <v>7.66</v>
      </c>
      <c r="D44" s="6">
        <v>18.61</v>
      </c>
      <c r="E44" s="6">
        <v>6.76</v>
      </c>
      <c r="F44" s="6">
        <v>2</v>
      </c>
      <c r="G44" s="6">
        <v>48.25</v>
      </c>
      <c r="H44" s="6">
        <v>23.38</v>
      </c>
      <c r="I44" s="6">
        <v>6.29</v>
      </c>
      <c r="J44" s="6">
        <v>0.48</v>
      </c>
      <c r="K44" s="6">
        <v>301.45</v>
      </c>
      <c r="L44" s="6">
        <v>26.46</v>
      </c>
      <c r="M44" s="6">
        <v>47.27</v>
      </c>
      <c r="N44" s="6">
        <v>43.7</v>
      </c>
      <c r="O44" s="6">
        <v>0</v>
      </c>
      <c r="P44" s="6">
        <v>0.44</v>
      </c>
      <c r="Q44" s="6">
        <v>11.6</v>
      </c>
      <c r="R44" s="6"/>
      <c r="S44" s="6"/>
      <c r="T44" s="156"/>
      <c r="U44" s="6"/>
    </row>
    <row r="45" spans="1:21" customFormat="1">
      <c r="A45" s="201" t="s">
        <v>468</v>
      </c>
      <c r="B45" s="6">
        <v>11.02</v>
      </c>
      <c r="C45" s="6">
        <v>7.79</v>
      </c>
      <c r="D45" s="6">
        <v>18.809999999999999</v>
      </c>
      <c r="E45" s="6">
        <v>6.38</v>
      </c>
      <c r="F45" s="6">
        <v>2.09</v>
      </c>
      <c r="G45" s="6">
        <v>48.25</v>
      </c>
      <c r="H45" s="6">
        <v>23.38</v>
      </c>
      <c r="I45" s="6">
        <v>6.31</v>
      </c>
      <c r="J45" s="6">
        <v>0.4</v>
      </c>
      <c r="K45" s="6">
        <v>312.51</v>
      </c>
      <c r="L45" s="6">
        <v>25.75</v>
      </c>
      <c r="M45" s="6">
        <v>45.69</v>
      </c>
      <c r="N45" s="6">
        <v>31.8</v>
      </c>
      <c r="O45" s="6">
        <v>0</v>
      </c>
      <c r="P45" s="6">
        <v>0.43</v>
      </c>
      <c r="Q45" s="6">
        <v>10</v>
      </c>
      <c r="R45" s="6"/>
      <c r="S45" s="6"/>
      <c r="T45" s="156"/>
      <c r="U45" s="6"/>
    </row>
    <row r="46" spans="1:21" customFormat="1">
      <c r="A46" s="201" t="s">
        <v>469</v>
      </c>
      <c r="B46" s="6">
        <v>11.17</v>
      </c>
      <c r="C46" s="6">
        <v>7.56</v>
      </c>
      <c r="D46" s="6">
        <v>18.739999999999998</v>
      </c>
      <c r="E46" s="6">
        <v>6.51</v>
      </c>
      <c r="F46" s="6">
        <v>2</v>
      </c>
      <c r="G46" s="6">
        <v>52.91</v>
      </c>
      <c r="H46" s="6">
        <v>23.02</v>
      </c>
      <c r="I46" s="6">
        <v>6.4</v>
      </c>
      <c r="J46" s="6">
        <v>0.26</v>
      </c>
      <c r="K46" s="6">
        <v>305.95</v>
      </c>
      <c r="L46" s="6">
        <v>27.11</v>
      </c>
      <c r="M46" s="6">
        <v>49.08</v>
      </c>
      <c r="N46" s="6">
        <v>34.299999999999997</v>
      </c>
      <c r="O46" s="6">
        <v>0</v>
      </c>
      <c r="P46" s="6">
        <v>0.46</v>
      </c>
      <c r="Q46" s="6">
        <v>9.91</v>
      </c>
      <c r="R46" s="6"/>
      <c r="S46" s="6"/>
      <c r="T46" s="156"/>
      <c r="U46" s="6"/>
    </row>
    <row r="47" spans="1:21" customFormat="1">
      <c r="A47" s="201" t="s">
        <v>470</v>
      </c>
      <c r="B47" s="6">
        <v>11.47</v>
      </c>
      <c r="C47" s="6">
        <v>7.64</v>
      </c>
      <c r="D47" s="6">
        <v>19.11</v>
      </c>
      <c r="E47" s="6">
        <v>6.37</v>
      </c>
      <c r="F47" s="6">
        <v>2.08</v>
      </c>
      <c r="G47" s="6">
        <v>56.47</v>
      </c>
      <c r="H47" s="6">
        <v>22.91</v>
      </c>
      <c r="I47" s="6">
        <v>6.49</v>
      </c>
      <c r="J47" s="6">
        <v>0.32</v>
      </c>
      <c r="K47" s="6">
        <v>308.52999999999997</v>
      </c>
      <c r="L47" s="6">
        <v>24.38</v>
      </c>
      <c r="M47" s="6">
        <v>42.33</v>
      </c>
      <c r="N47" s="6">
        <v>31.9</v>
      </c>
      <c r="O47" s="6">
        <v>0</v>
      </c>
      <c r="P47" s="6">
        <v>0.45</v>
      </c>
      <c r="Q47" s="6">
        <v>10.83</v>
      </c>
      <c r="R47" s="6"/>
      <c r="S47" s="6"/>
      <c r="T47" s="156"/>
      <c r="U47" s="6"/>
    </row>
    <row r="48" spans="1:21" customFormat="1">
      <c r="A48" s="201" t="s">
        <v>471</v>
      </c>
      <c r="B48" s="6">
        <v>11.75</v>
      </c>
      <c r="C48" s="6">
        <v>7.97</v>
      </c>
      <c r="D48" s="6">
        <v>19.73</v>
      </c>
      <c r="E48" s="6">
        <v>6.06</v>
      </c>
      <c r="F48" s="6">
        <v>2.62</v>
      </c>
      <c r="G48" s="6">
        <v>56.47</v>
      </c>
      <c r="H48" s="6">
        <v>22.91</v>
      </c>
      <c r="I48" s="6">
        <v>6.46</v>
      </c>
      <c r="J48" s="6">
        <v>0.28000000000000003</v>
      </c>
      <c r="K48" s="6">
        <v>342.92</v>
      </c>
      <c r="L48" s="6">
        <v>19.579999999999998</v>
      </c>
      <c r="M48" s="6">
        <v>29.6</v>
      </c>
      <c r="N48" s="6">
        <v>36.200000000000003</v>
      </c>
      <c r="O48" s="6">
        <v>0.2</v>
      </c>
      <c r="P48" s="6">
        <v>0.43</v>
      </c>
      <c r="Q48" s="6">
        <v>10.4</v>
      </c>
      <c r="R48" s="6"/>
      <c r="S48" s="6"/>
      <c r="T48" s="156"/>
      <c r="U48" s="6"/>
    </row>
    <row r="49" spans="1:21" customFormat="1">
      <c r="A49" s="201" t="s">
        <v>472</v>
      </c>
      <c r="B49" s="6">
        <v>11.72</v>
      </c>
      <c r="C49" s="6">
        <v>7.78</v>
      </c>
      <c r="D49" s="6">
        <v>19.5</v>
      </c>
      <c r="E49" s="6">
        <v>5.65</v>
      </c>
      <c r="F49" s="6">
        <v>2.64</v>
      </c>
      <c r="G49" s="6">
        <v>56.47</v>
      </c>
      <c r="H49" s="6">
        <v>22.91</v>
      </c>
      <c r="I49" s="6">
        <v>6.5</v>
      </c>
      <c r="J49" s="6">
        <v>0.15</v>
      </c>
      <c r="K49" s="6">
        <v>16.34</v>
      </c>
      <c r="L49" s="6">
        <v>15.27</v>
      </c>
      <c r="M49" s="6">
        <v>19.760000000000002</v>
      </c>
      <c r="N49" s="6">
        <v>44.7</v>
      </c>
      <c r="O49" s="6">
        <v>0.6</v>
      </c>
      <c r="P49" s="6">
        <v>0.44</v>
      </c>
      <c r="Q49" s="6">
        <v>10.039999999999999</v>
      </c>
      <c r="R49" s="6"/>
      <c r="S49" s="6"/>
      <c r="T49" s="156"/>
      <c r="U49" s="6"/>
    </row>
    <row r="50" spans="1:21" customFormat="1">
      <c r="A50" s="201" t="s">
        <v>473</v>
      </c>
      <c r="B50" s="6">
        <v>11.48</v>
      </c>
      <c r="C50" s="6">
        <v>7.78</v>
      </c>
      <c r="D50" s="6">
        <v>19.260000000000002</v>
      </c>
      <c r="E50" s="6">
        <v>6.9</v>
      </c>
      <c r="F50" s="6">
        <v>2.2599999999999998</v>
      </c>
      <c r="G50" s="6">
        <v>55.65</v>
      </c>
      <c r="H50" s="6">
        <v>18.829999999999998</v>
      </c>
      <c r="I50" s="6">
        <v>6.48</v>
      </c>
      <c r="J50" s="6">
        <v>0.21</v>
      </c>
      <c r="K50" s="6">
        <v>308.35000000000002</v>
      </c>
      <c r="L50" s="6">
        <v>21.91</v>
      </c>
      <c r="M50" s="6">
        <v>35.32</v>
      </c>
      <c r="N50" s="6">
        <v>66</v>
      </c>
      <c r="O50" s="6">
        <v>0.2</v>
      </c>
      <c r="P50" s="6">
        <v>0.45</v>
      </c>
      <c r="Q50" s="6">
        <v>13.22</v>
      </c>
      <c r="R50" s="6"/>
      <c r="S50" s="6"/>
      <c r="T50" s="156"/>
      <c r="U50" s="6"/>
    </row>
    <row r="51" spans="1:21" customFormat="1">
      <c r="A51" s="201" t="s">
        <v>474</v>
      </c>
      <c r="B51" s="6">
        <v>11.47</v>
      </c>
      <c r="C51" s="6">
        <v>7.84</v>
      </c>
      <c r="D51" s="6">
        <v>19.309999999999999</v>
      </c>
      <c r="E51" s="6">
        <v>7.13</v>
      </c>
      <c r="F51" s="6">
        <v>2.12</v>
      </c>
      <c r="G51" s="6">
        <v>55.02</v>
      </c>
      <c r="H51" s="6">
        <v>17.55</v>
      </c>
      <c r="I51" s="6">
        <v>6.4</v>
      </c>
      <c r="J51" s="6">
        <v>0.27</v>
      </c>
      <c r="K51" s="6">
        <v>311.3</v>
      </c>
      <c r="L51" s="6">
        <v>26.02</v>
      </c>
      <c r="M51" s="6">
        <v>45.28</v>
      </c>
      <c r="N51" s="6">
        <v>78.7</v>
      </c>
      <c r="O51" s="6">
        <v>0</v>
      </c>
      <c r="P51" s="6">
        <v>0.43</v>
      </c>
      <c r="Q51" s="6">
        <v>10</v>
      </c>
      <c r="R51" s="6"/>
      <c r="S51" s="6"/>
      <c r="T51" s="156"/>
      <c r="U51" s="6"/>
    </row>
    <row r="52" spans="1:21" customFormat="1">
      <c r="A52" s="201" t="s">
        <v>475</v>
      </c>
      <c r="B52" s="6">
        <v>11.6</v>
      </c>
      <c r="C52" s="6">
        <v>7.97</v>
      </c>
      <c r="D52" s="6">
        <v>19.57</v>
      </c>
      <c r="E52" s="6">
        <v>6.46</v>
      </c>
      <c r="F52" s="6">
        <v>2.15</v>
      </c>
      <c r="G52" s="6">
        <v>55.02</v>
      </c>
      <c r="H52" s="6">
        <v>17.55</v>
      </c>
      <c r="I52" s="6">
        <v>6.48</v>
      </c>
      <c r="J52" s="6">
        <v>0.26</v>
      </c>
      <c r="K52" s="6">
        <v>310.08</v>
      </c>
      <c r="L52" s="6">
        <v>26.42</v>
      </c>
      <c r="M52" s="6">
        <v>45.61</v>
      </c>
      <c r="N52" s="6">
        <v>106.3</v>
      </c>
      <c r="O52" s="6">
        <v>0</v>
      </c>
      <c r="P52" s="6">
        <v>0.43</v>
      </c>
      <c r="Q52" s="6">
        <v>10</v>
      </c>
      <c r="R52" s="6"/>
      <c r="S52" s="6"/>
      <c r="T52" s="156"/>
      <c r="U52" s="6"/>
    </row>
    <row r="53" spans="1:21" customFormat="1">
      <c r="A53" s="201" t="s">
        <v>476</v>
      </c>
      <c r="B53" s="6">
        <v>11.66</v>
      </c>
      <c r="C53" s="6">
        <v>7.83</v>
      </c>
      <c r="D53" s="6">
        <v>19.489999999999998</v>
      </c>
      <c r="E53" s="6">
        <v>7.08</v>
      </c>
      <c r="F53" s="6">
        <v>2.0299999999999998</v>
      </c>
      <c r="G53" s="6">
        <v>55.02</v>
      </c>
      <c r="H53" s="6">
        <v>17.55</v>
      </c>
      <c r="I53" s="6">
        <v>6.47</v>
      </c>
      <c r="J53" s="6">
        <v>0.61</v>
      </c>
      <c r="K53" s="6">
        <v>300.02</v>
      </c>
      <c r="L53" s="6">
        <v>27.12</v>
      </c>
      <c r="M53" s="6">
        <v>47.14</v>
      </c>
      <c r="N53" s="6">
        <v>122.4</v>
      </c>
      <c r="O53" s="6">
        <v>0</v>
      </c>
      <c r="P53" s="6">
        <v>0.46</v>
      </c>
      <c r="Q53" s="6">
        <v>10.050000000000001</v>
      </c>
      <c r="R53" s="6"/>
      <c r="S53" s="6"/>
      <c r="T53" s="156"/>
      <c r="U53" s="6"/>
    </row>
    <row r="54" spans="1:21" customFormat="1">
      <c r="A54" s="201" t="s">
        <v>477</v>
      </c>
      <c r="B54" s="6">
        <v>11.32</v>
      </c>
      <c r="C54" s="6">
        <v>8.2100000000000009</v>
      </c>
      <c r="D54" s="6">
        <v>19.53</v>
      </c>
      <c r="E54" s="6">
        <v>7.43</v>
      </c>
      <c r="F54" s="6">
        <v>3.43</v>
      </c>
      <c r="G54" s="6">
        <v>53.75</v>
      </c>
      <c r="H54" s="6">
        <v>19.27</v>
      </c>
      <c r="I54" s="6">
        <v>6.41</v>
      </c>
      <c r="J54" s="6">
        <v>0.47</v>
      </c>
      <c r="K54" s="6">
        <v>310.62</v>
      </c>
      <c r="L54" s="6">
        <v>24.33</v>
      </c>
      <c r="M54" s="6">
        <v>38.86</v>
      </c>
      <c r="N54" s="6">
        <v>173.5</v>
      </c>
      <c r="O54" s="6">
        <v>0</v>
      </c>
      <c r="P54" s="6">
        <v>0.45</v>
      </c>
      <c r="Q54" s="6">
        <v>10</v>
      </c>
      <c r="R54" s="6"/>
      <c r="S54" s="6"/>
      <c r="T54" s="156"/>
      <c r="U54" s="6"/>
    </row>
    <row r="55" spans="1:21" customFormat="1">
      <c r="A55" s="201" t="s">
        <v>478</v>
      </c>
      <c r="B55" s="6">
        <v>11.33</v>
      </c>
      <c r="C55" s="6">
        <v>8.16</v>
      </c>
      <c r="D55" s="6">
        <v>19.5</v>
      </c>
      <c r="E55" s="6">
        <v>7.11</v>
      </c>
      <c r="F55" s="6">
        <v>3.02</v>
      </c>
      <c r="G55" s="6">
        <v>52.77</v>
      </c>
      <c r="H55" s="6">
        <v>20.28</v>
      </c>
      <c r="I55" s="6">
        <v>6.47</v>
      </c>
      <c r="J55" s="6">
        <v>0.62</v>
      </c>
      <c r="K55" s="6">
        <v>306.5</v>
      </c>
      <c r="L55" s="6">
        <v>27.55</v>
      </c>
      <c r="M55" s="6">
        <v>47.98</v>
      </c>
      <c r="N55" s="6">
        <v>124.2</v>
      </c>
      <c r="O55" s="6">
        <v>0</v>
      </c>
      <c r="P55" s="6">
        <v>0.43</v>
      </c>
      <c r="Q55" s="6">
        <v>10.31</v>
      </c>
      <c r="R55" s="6"/>
      <c r="S55" s="6"/>
      <c r="T55" s="156"/>
      <c r="U55" s="6"/>
    </row>
    <row r="56" spans="1:21" customFormat="1">
      <c r="A56" s="201" t="s">
        <v>479</v>
      </c>
      <c r="B56" s="6">
        <v>11.53</v>
      </c>
      <c r="C56" s="6">
        <v>7.99</v>
      </c>
      <c r="D56" s="6">
        <v>19.52</v>
      </c>
      <c r="E56" s="6">
        <v>6.98</v>
      </c>
      <c r="F56" s="6">
        <v>2.25</v>
      </c>
      <c r="G56" s="6">
        <v>52.77</v>
      </c>
      <c r="H56" s="6">
        <v>20.28</v>
      </c>
      <c r="I56" s="6">
        <v>6.43</v>
      </c>
      <c r="J56" s="6">
        <v>0.36</v>
      </c>
      <c r="K56" s="6">
        <v>5.13</v>
      </c>
      <c r="L56" s="6">
        <v>17.670000000000002</v>
      </c>
      <c r="M56" s="6">
        <v>23.12</v>
      </c>
      <c r="N56" s="6">
        <v>126.4</v>
      </c>
      <c r="O56" s="6">
        <v>0</v>
      </c>
      <c r="P56" s="6">
        <v>0.44</v>
      </c>
      <c r="Q56" s="6">
        <v>9.84</v>
      </c>
      <c r="R56" s="6"/>
      <c r="S56" s="6"/>
      <c r="T56" s="156"/>
      <c r="U56" s="6"/>
    </row>
    <row r="57" spans="1:21" customFormat="1">
      <c r="A57" s="201" t="s">
        <v>480</v>
      </c>
      <c r="B57" s="6">
        <v>11.34</v>
      </c>
      <c r="C57" s="6">
        <v>8.1199999999999992</v>
      </c>
      <c r="D57" s="6">
        <v>19.46</v>
      </c>
      <c r="E57" s="6">
        <v>7.04</v>
      </c>
      <c r="F57" s="6">
        <v>2.85</v>
      </c>
      <c r="G57" s="6">
        <v>52.77</v>
      </c>
      <c r="H57" s="6">
        <v>20.28</v>
      </c>
      <c r="I57" s="6">
        <v>6.51</v>
      </c>
      <c r="J57" s="6">
        <v>0.42</v>
      </c>
      <c r="K57" s="6">
        <v>356.9</v>
      </c>
      <c r="L57" s="6">
        <v>16.89</v>
      </c>
      <c r="M57" s="6">
        <v>21.05</v>
      </c>
      <c r="N57" s="6">
        <v>136.6</v>
      </c>
      <c r="O57" s="6">
        <v>0</v>
      </c>
      <c r="P57" s="6">
        <v>0.44</v>
      </c>
      <c r="Q57" s="6">
        <v>10.32</v>
      </c>
      <c r="R57" s="6"/>
      <c r="S57" s="6"/>
      <c r="T57" s="156"/>
      <c r="U57" s="6"/>
    </row>
    <row r="58" spans="1:21" customFormat="1">
      <c r="A58" s="201" t="s">
        <v>481</v>
      </c>
      <c r="B58" s="6">
        <v>10.71</v>
      </c>
      <c r="C58" s="6">
        <v>8.2100000000000009</v>
      </c>
      <c r="D58" s="6">
        <v>18.920000000000002</v>
      </c>
      <c r="E58" s="6">
        <v>7.45</v>
      </c>
      <c r="F58" s="6">
        <v>4.9000000000000004</v>
      </c>
      <c r="G58" s="6">
        <v>48.6</v>
      </c>
      <c r="H58" s="6">
        <v>20.190000000000001</v>
      </c>
      <c r="I58" s="6">
        <v>6.46</v>
      </c>
      <c r="J58" s="6">
        <v>0.39</v>
      </c>
      <c r="K58" s="6">
        <v>20.39</v>
      </c>
      <c r="L58" s="6">
        <v>15.64</v>
      </c>
      <c r="M58" s="6">
        <v>17.66</v>
      </c>
      <c r="N58" s="6">
        <v>121.7</v>
      </c>
      <c r="O58" s="6">
        <v>0</v>
      </c>
      <c r="P58" s="6">
        <v>0.41</v>
      </c>
      <c r="Q58" s="6">
        <v>10.19</v>
      </c>
      <c r="R58" s="6"/>
      <c r="S58" s="6"/>
      <c r="T58" s="156"/>
      <c r="U58" s="6"/>
    </row>
    <row r="59" spans="1:21" customFormat="1">
      <c r="A59" s="201" t="s">
        <v>482</v>
      </c>
      <c r="B59" s="6">
        <v>10.94</v>
      </c>
      <c r="C59" s="6">
        <v>8.1</v>
      </c>
      <c r="D59" s="6">
        <v>19.04</v>
      </c>
      <c r="E59" s="6">
        <v>7.81</v>
      </c>
      <c r="F59" s="6">
        <v>2.2000000000000002</v>
      </c>
      <c r="G59" s="6">
        <v>45.41</v>
      </c>
      <c r="H59" s="6">
        <v>20.16</v>
      </c>
      <c r="I59" s="6">
        <v>6.29</v>
      </c>
      <c r="J59" s="6">
        <v>0.5</v>
      </c>
      <c r="K59" s="6">
        <v>16.87</v>
      </c>
      <c r="L59" s="6">
        <v>11.2</v>
      </c>
      <c r="M59" s="6">
        <v>6.11</v>
      </c>
      <c r="N59" s="6">
        <v>160.5</v>
      </c>
      <c r="O59" s="6">
        <v>0</v>
      </c>
      <c r="P59" s="6">
        <v>0.44</v>
      </c>
      <c r="Q59" s="6">
        <v>10</v>
      </c>
      <c r="R59" s="6"/>
      <c r="S59" s="6"/>
      <c r="T59" s="156"/>
      <c r="U59" s="6"/>
    </row>
    <row r="60" spans="1:21" customFormat="1">
      <c r="A60" s="201" t="s">
        <v>483</v>
      </c>
      <c r="B60" s="6">
        <v>11.06</v>
      </c>
      <c r="C60" s="6">
        <v>8.32</v>
      </c>
      <c r="D60" s="6">
        <v>19.38</v>
      </c>
      <c r="E60" s="6">
        <v>8.2100000000000009</v>
      </c>
      <c r="F60" s="6">
        <v>2.2799999999999998</v>
      </c>
      <c r="G60" s="6">
        <v>45.41</v>
      </c>
      <c r="H60" s="6">
        <v>20.16</v>
      </c>
      <c r="I60" s="6">
        <v>6.18</v>
      </c>
      <c r="J60" s="6">
        <v>0.4</v>
      </c>
      <c r="K60" s="6">
        <v>15.43</v>
      </c>
      <c r="L60" s="6">
        <v>19.690000000000001</v>
      </c>
      <c r="M60" s="6">
        <v>24.53</v>
      </c>
      <c r="N60" s="6">
        <v>286.2</v>
      </c>
      <c r="O60" s="6">
        <v>0</v>
      </c>
      <c r="P60" s="6">
        <v>0.45</v>
      </c>
      <c r="Q60" s="6">
        <v>10</v>
      </c>
      <c r="R60" s="6"/>
      <c r="S60" s="6"/>
      <c r="T60" s="156"/>
      <c r="U60" s="6"/>
    </row>
    <row r="61" spans="1:21" customFormat="1">
      <c r="A61" s="201" t="s">
        <v>484</v>
      </c>
      <c r="B61" s="6">
        <v>10.83</v>
      </c>
      <c r="C61" s="6">
        <v>8.57</v>
      </c>
      <c r="D61" s="6">
        <v>19.399999999999999</v>
      </c>
      <c r="E61" s="6">
        <v>8.5500000000000007</v>
      </c>
      <c r="F61" s="6">
        <v>2.1800000000000002</v>
      </c>
      <c r="G61" s="6">
        <v>45.41</v>
      </c>
      <c r="H61" s="6">
        <v>20.16</v>
      </c>
      <c r="I61" s="6">
        <v>6.26</v>
      </c>
      <c r="J61" s="6">
        <v>0.37</v>
      </c>
      <c r="K61" s="6">
        <v>2.81</v>
      </c>
      <c r="L61" s="6">
        <v>17.3</v>
      </c>
      <c r="M61" s="6">
        <v>20.83</v>
      </c>
      <c r="N61" s="6">
        <v>184.8</v>
      </c>
      <c r="O61" s="6">
        <v>0</v>
      </c>
      <c r="P61" s="6">
        <v>0.47</v>
      </c>
      <c r="Q61" s="6">
        <v>10</v>
      </c>
      <c r="R61" s="6"/>
      <c r="S61" s="6"/>
      <c r="T61" s="156"/>
      <c r="U61" s="6"/>
    </row>
    <row r="62" spans="1:21" customFormat="1">
      <c r="A62" s="201" t="s">
        <v>485</v>
      </c>
      <c r="B62" s="6">
        <v>10.33</v>
      </c>
      <c r="C62" s="6">
        <v>8.5500000000000007</v>
      </c>
      <c r="D62" s="6">
        <v>18.88</v>
      </c>
      <c r="E62" s="6">
        <v>8.16</v>
      </c>
      <c r="F62" s="6">
        <v>2.75</v>
      </c>
      <c r="G62" s="6">
        <v>48.23</v>
      </c>
      <c r="H62" s="6">
        <v>16.850000000000001</v>
      </c>
      <c r="I62" s="6">
        <v>6.08</v>
      </c>
      <c r="J62" s="6">
        <v>0.21</v>
      </c>
      <c r="K62" s="6">
        <v>342.37</v>
      </c>
      <c r="L62" s="6">
        <v>18.829999999999998</v>
      </c>
      <c r="M62" s="6">
        <v>24.41</v>
      </c>
      <c r="N62" s="6">
        <v>198.3</v>
      </c>
      <c r="O62" s="6">
        <v>0</v>
      </c>
      <c r="P62" s="6">
        <v>0.46</v>
      </c>
      <c r="Q62" s="6">
        <v>10.63</v>
      </c>
      <c r="R62" s="6"/>
      <c r="S62" s="6"/>
      <c r="T62" s="156"/>
      <c r="U62" s="6"/>
    </row>
    <row r="63" spans="1:21" customFormat="1">
      <c r="A63" s="201" t="s">
        <v>486</v>
      </c>
      <c r="B63" s="6">
        <v>10.14</v>
      </c>
      <c r="C63" s="6">
        <v>8.69</v>
      </c>
      <c r="D63" s="6">
        <v>18.84</v>
      </c>
      <c r="E63" s="6">
        <v>7.67</v>
      </c>
      <c r="F63" s="6">
        <v>2.2799999999999998</v>
      </c>
      <c r="G63" s="6">
        <v>50.39</v>
      </c>
      <c r="H63" s="6">
        <v>15.81</v>
      </c>
      <c r="I63" s="6">
        <v>6.14</v>
      </c>
      <c r="J63" s="6">
        <v>0.39</v>
      </c>
      <c r="K63" s="6">
        <v>30.57</v>
      </c>
      <c r="L63" s="6">
        <v>11.66</v>
      </c>
      <c r="M63" s="6">
        <v>8.4600000000000009</v>
      </c>
      <c r="N63" s="6">
        <v>110.6</v>
      </c>
      <c r="O63" s="6">
        <v>0</v>
      </c>
      <c r="P63" s="6">
        <v>0.46</v>
      </c>
      <c r="Q63" s="6">
        <v>10.79</v>
      </c>
      <c r="R63" s="6"/>
      <c r="S63" s="6"/>
      <c r="T63" s="156"/>
      <c r="U63" s="6"/>
    </row>
    <row r="64" spans="1:21" customFormat="1">
      <c r="A64" s="201" t="s">
        <v>487</v>
      </c>
      <c r="B64" s="6">
        <v>10.02</v>
      </c>
      <c r="C64" s="6">
        <v>8.92</v>
      </c>
      <c r="D64" s="6">
        <v>18.940000000000001</v>
      </c>
      <c r="E64" s="6">
        <v>7.91</v>
      </c>
      <c r="F64" s="6">
        <v>2.15</v>
      </c>
      <c r="G64" s="6">
        <v>50.39</v>
      </c>
      <c r="H64" s="6">
        <v>15.81</v>
      </c>
      <c r="I64" s="6">
        <v>6.01</v>
      </c>
      <c r="J64" s="6">
        <v>0.28999999999999998</v>
      </c>
      <c r="K64" s="6">
        <v>38.119999999999997</v>
      </c>
      <c r="L64" s="6">
        <v>11.85</v>
      </c>
      <c r="M64" s="6">
        <v>10.210000000000001</v>
      </c>
      <c r="N64" s="6">
        <v>59.8</v>
      </c>
      <c r="O64" s="6">
        <v>0</v>
      </c>
      <c r="P64" s="6">
        <v>0.47</v>
      </c>
      <c r="Q64" s="6">
        <v>9.5500000000000007</v>
      </c>
      <c r="R64" s="6"/>
      <c r="S64" s="6"/>
      <c r="T64" s="156"/>
      <c r="U64" s="6"/>
    </row>
    <row r="65" spans="1:21" customFormat="1">
      <c r="A65" s="201" t="s">
        <v>488</v>
      </c>
      <c r="B65" s="6">
        <v>9.75</v>
      </c>
      <c r="C65" s="6">
        <v>8.82</v>
      </c>
      <c r="D65" s="6">
        <v>18.57</v>
      </c>
      <c r="E65" s="6">
        <v>7.67</v>
      </c>
      <c r="F65" s="6">
        <v>2.0099999999999998</v>
      </c>
      <c r="G65" s="6">
        <v>50.39</v>
      </c>
      <c r="H65" s="6">
        <v>15.81</v>
      </c>
      <c r="I65" s="6">
        <v>6.07</v>
      </c>
      <c r="J65" s="6">
        <v>0.16</v>
      </c>
      <c r="K65" s="6">
        <v>5.52</v>
      </c>
      <c r="L65" s="6">
        <v>14.9</v>
      </c>
      <c r="M65" s="6">
        <v>18.440000000000001</v>
      </c>
      <c r="N65" s="6">
        <v>31.5</v>
      </c>
      <c r="O65" s="6">
        <v>0</v>
      </c>
      <c r="P65" s="6">
        <v>0.36</v>
      </c>
      <c r="Q65" s="6">
        <v>10.25</v>
      </c>
      <c r="R65" s="6"/>
      <c r="S65" s="6"/>
      <c r="T65" s="156"/>
      <c r="U65" s="6"/>
    </row>
    <row r="66" spans="1:21" customFormat="1">
      <c r="A66" s="201" t="s">
        <v>489</v>
      </c>
      <c r="B66" s="6">
        <v>9.67</v>
      </c>
      <c r="C66" s="6">
        <v>8.84</v>
      </c>
      <c r="D66" s="6">
        <v>18.510000000000002</v>
      </c>
      <c r="E66" s="6">
        <v>7.56</v>
      </c>
      <c r="F66" s="6">
        <v>2</v>
      </c>
      <c r="G66" s="6">
        <v>51.91</v>
      </c>
      <c r="H66" s="6">
        <v>18.22</v>
      </c>
      <c r="I66" s="6">
        <v>6.05</v>
      </c>
      <c r="J66" s="6">
        <v>0.26</v>
      </c>
      <c r="K66" s="6">
        <v>334.85</v>
      </c>
      <c r="L66" s="6">
        <v>19</v>
      </c>
      <c r="M66" s="6">
        <v>28.69</v>
      </c>
      <c r="N66" s="6">
        <v>31.8</v>
      </c>
      <c r="O66" s="6">
        <v>0</v>
      </c>
      <c r="P66" s="6">
        <v>0.38</v>
      </c>
      <c r="Q66" s="6">
        <v>10</v>
      </c>
      <c r="R66" s="6"/>
      <c r="S66" s="6"/>
      <c r="T66" s="156"/>
      <c r="U66" s="6"/>
    </row>
    <row r="67" spans="1:21" customFormat="1">
      <c r="A67" s="201" t="s">
        <v>490</v>
      </c>
      <c r="B67" s="6">
        <v>9.57</v>
      </c>
      <c r="C67" s="6">
        <v>8.7100000000000009</v>
      </c>
      <c r="D67" s="6">
        <v>18.28</v>
      </c>
      <c r="E67" s="6">
        <v>6.92</v>
      </c>
      <c r="F67" s="6">
        <v>2</v>
      </c>
      <c r="G67" s="6">
        <v>53.06</v>
      </c>
      <c r="H67" s="6">
        <v>18.97</v>
      </c>
      <c r="I67" s="6">
        <v>6.11</v>
      </c>
      <c r="J67" s="6">
        <v>0.25</v>
      </c>
      <c r="K67" s="6">
        <v>307.42</v>
      </c>
      <c r="L67" s="6">
        <v>23.25</v>
      </c>
      <c r="M67" s="6">
        <v>39.28</v>
      </c>
      <c r="N67" s="6">
        <v>40.299999999999997</v>
      </c>
      <c r="O67" s="6">
        <v>0.6</v>
      </c>
      <c r="P67" s="6">
        <v>0.38</v>
      </c>
      <c r="Q67" s="6">
        <v>10</v>
      </c>
      <c r="R67" s="6"/>
      <c r="S67" s="6"/>
      <c r="T67" s="156"/>
      <c r="U67" s="6"/>
    </row>
    <row r="68" spans="1:21" customFormat="1">
      <c r="A68" s="201" t="s">
        <v>491</v>
      </c>
      <c r="B68" s="6">
        <v>9.3699999999999992</v>
      </c>
      <c r="C68" s="6">
        <v>8.56</v>
      </c>
      <c r="D68" s="6">
        <v>17.93</v>
      </c>
      <c r="E68" s="6">
        <v>7.19</v>
      </c>
      <c r="F68" s="6">
        <v>2</v>
      </c>
      <c r="G68" s="6">
        <v>53.06</v>
      </c>
      <c r="H68" s="6">
        <v>18.97</v>
      </c>
      <c r="I68" s="6">
        <v>6.02</v>
      </c>
      <c r="J68" s="6">
        <v>0.11</v>
      </c>
      <c r="K68" s="6">
        <v>297.35000000000002</v>
      </c>
      <c r="L68" s="6">
        <v>23.45</v>
      </c>
      <c r="M68" s="6">
        <v>39.96</v>
      </c>
      <c r="N68" s="6">
        <v>34.5</v>
      </c>
      <c r="O68" s="6">
        <v>0.4</v>
      </c>
      <c r="P68" s="6">
        <v>0.38</v>
      </c>
      <c r="Q68" s="6">
        <v>10</v>
      </c>
      <c r="R68" s="6"/>
      <c r="S68" s="6"/>
      <c r="T68" s="156"/>
      <c r="U68" s="6"/>
    </row>
    <row r="69" spans="1:21" customFormat="1">
      <c r="A69" s="201" t="s">
        <v>492</v>
      </c>
      <c r="B69" s="6">
        <v>9.33</v>
      </c>
      <c r="C69" s="6">
        <v>8.7200000000000006</v>
      </c>
      <c r="D69" s="6">
        <v>18.05</v>
      </c>
      <c r="E69" s="6">
        <v>7.07</v>
      </c>
      <c r="F69" s="6">
        <v>2</v>
      </c>
      <c r="G69" s="6">
        <v>53.06</v>
      </c>
      <c r="H69" s="6">
        <v>18.97</v>
      </c>
      <c r="I69" s="6">
        <v>6.04</v>
      </c>
      <c r="J69" s="6">
        <v>0.17</v>
      </c>
      <c r="K69" s="6">
        <v>67.430000000000007</v>
      </c>
      <c r="L69" s="6">
        <v>9.3699999999999992</v>
      </c>
      <c r="M69" s="6">
        <v>4.78</v>
      </c>
      <c r="N69" s="6">
        <v>29.3</v>
      </c>
      <c r="O69" s="6">
        <v>0.2</v>
      </c>
      <c r="P69" s="6">
        <v>0.38</v>
      </c>
      <c r="Q69" s="6">
        <v>10</v>
      </c>
      <c r="R69" s="6"/>
      <c r="S69" s="6"/>
      <c r="T69" s="156"/>
      <c r="U69" s="6"/>
    </row>
    <row r="70" spans="1:21" customFormat="1">
      <c r="A70" s="201" t="s">
        <v>493</v>
      </c>
      <c r="B70" s="6">
        <v>9.39</v>
      </c>
      <c r="C70" s="6">
        <v>8.75</v>
      </c>
      <c r="D70" s="6">
        <v>18.14</v>
      </c>
      <c r="E70" s="6">
        <v>6.92</v>
      </c>
      <c r="F70" s="6">
        <v>2</v>
      </c>
      <c r="G70" s="6">
        <v>49.19</v>
      </c>
      <c r="H70" s="6">
        <v>18.739999999999998</v>
      </c>
      <c r="I70" s="6">
        <v>5.95</v>
      </c>
      <c r="J70" s="6">
        <v>0.16</v>
      </c>
      <c r="K70" s="6">
        <v>84.17</v>
      </c>
      <c r="L70" s="6">
        <v>11.96</v>
      </c>
      <c r="M70" s="6">
        <v>11.43</v>
      </c>
      <c r="N70" s="6">
        <v>22</v>
      </c>
      <c r="O70" s="6">
        <v>0.2</v>
      </c>
      <c r="P70" s="6">
        <v>0.38</v>
      </c>
      <c r="Q70" s="6">
        <v>10</v>
      </c>
      <c r="R70" s="6"/>
      <c r="S70" s="6"/>
      <c r="T70" s="156"/>
      <c r="U70" s="6"/>
    </row>
    <row r="71" spans="1:21" customFormat="1">
      <c r="A71" s="201" t="s">
        <v>494</v>
      </c>
      <c r="B71" s="6">
        <v>9.39</v>
      </c>
      <c r="C71" s="6">
        <v>8.67</v>
      </c>
      <c r="D71" s="6">
        <v>18.059999999999999</v>
      </c>
      <c r="E71" s="6">
        <v>6.81</v>
      </c>
      <c r="F71" s="6">
        <v>2</v>
      </c>
      <c r="G71" s="6">
        <v>46.35</v>
      </c>
      <c r="H71" s="6">
        <v>18.600000000000001</v>
      </c>
      <c r="I71" s="6">
        <v>5.9</v>
      </c>
      <c r="J71" s="6">
        <v>0.28000000000000003</v>
      </c>
      <c r="K71" s="6">
        <v>54.56</v>
      </c>
      <c r="L71" s="6">
        <v>8.0500000000000007</v>
      </c>
      <c r="M71" s="6">
        <v>1.73</v>
      </c>
      <c r="N71" s="6">
        <v>15.2</v>
      </c>
      <c r="O71" s="6">
        <v>0.2</v>
      </c>
      <c r="P71" s="6">
        <v>0.38</v>
      </c>
      <c r="Q71" s="6">
        <v>11.65</v>
      </c>
      <c r="R71" s="6"/>
      <c r="S71" s="6"/>
      <c r="T71" s="156"/>
      <c r="U71" s="6"/>
    </row>
    <row r="72" spans="1:21" customFormat="1">
      <c r="A72" s="201" t="s">
        <v>495</v>
      </c>
      <c r="B72" s="6">
        <v>9.48</v>
      </c>
      <c r="C72" s="6">
        <v>8.6999999999999993</v>
      </c>
      <c r="D72" s="6">
        <v>18.18</v>
      </c>
      <c r="E72" s="6">
        <v>7.06</v>
      </c>
      <c r="F72" s="6">
        <v>2</v>
      </c>
      <c r="G72" s="6">
        <v>46.35</v>
      </c>
      <c r="H72" s="6">
        <v>18.600000000000001</v>
      </c>
      <c r="I72" s="6">
        <v>5.82</v>
      </c>
      <c r="J72" s="6">
        <v>1.04</v>
      </c>
      <c r="K72" s="6">
        <v>308.29000000000002</v>
      </c>
      <c r="L72" s="6">
        <v>24.49</v>
      </c>
      <c r="M72" s="6">
        <v>43.13</v>
      </c>
      <c r="N72" s="6">
        <v>9.1</v>
      </c>
      <c r="O72" s="6">
        <v>4.5999999999999996</v>
      </c>
      <c r="P72" s="6">
        <v>0.37</v>
      </c>
      <c r="Q72" s="6">
        <v>10</v>
      </c>
      <c r="R72" s="6"/>
      <c r="S72" s="6"/>
      <c r="T72" s="156"/>
      <c r="U72" s="6"/>
    </row>
    <row r="73" spans="1:21" customFormat="1">
      <c r="A73" s="201" t="s">
        <v>496</v>
      </c>
      <c r="B73" s="6">
        <v>9.31</v>
      </c>
      <c r="C73" s="6">
        <v>8.56</v>
      </c>
      <c r="D73" s="6">
        <v>17.87</v>
      </c>
      <c r="E73" s="6">
        <v>7.01</v>
      </c>
      <c r="F73" s="6">
        <v>2</v>
      </c>
      <c r="G73" s="6">
        <v>46.35</v>
      </c>
      <c r="H73" s="6">
        <v>18.600000000000001</v>
      </c>
      <c r="I73" s="6">
        <v>5.88</v>
      </c>
      <c r="J73" s="6">
        <v>0.36</v>
      </c>
      <c r="K73" s="6">
        <v>316.89999999999998</v>
      </c>
      <c r="L73" s="6">
        <v>22.43</v>
      </c>
      <c r="M73" s="6">
        <v>37.869999999999997</v>
      </c>
      <c r="N73" s="6">
        <v>9.8000000000000007</v>
      </c>
      <c r="O73" s="6">
        <v>3.6</v>
      </c>
      <c r="P73" s="6">
        <v>0.36</v>
      </c>
      <c r="Q73" s="6">
        <v>10.35</v>
      </c>
      <c r="R73" s="6"/>
      <c r="S73" s="6"/>
      <c r="T73" s="156"/>
      <c r="U73" s="6"/>
    </row>
    <row r="74" spans="1:21" customFormat="1">
      <c r="A74" s="201" t="s">
        <v>497</v>
      </c>
      <c r="B74" s="6">
        <v>9.06</v>
      </c>
      <c r="C74" s="6">
        <v>8.58</v>
      </c>
      <c r="D74" s="6">
        <v>17.64</v>
      </c>
      <c r="E74" s="6">
        <v>7.03</v>
      </c>
      <c r="F74" s="6">
        <v>2</v>
      </c>
      <c r="G74" s="6">
        <v>43.32</v>
      </c>
      <c r="H74" s="6">
        <v>14.67</v>
      </c>
      <c r="I74" s="6">
        <v>5.77</v>
      </c>
      <c r="J74" s="6">
        <v>0.18</v>
      </c>
      <c r="K74" s="6">
        <v>270.17</v>
      </c>
      <c r="L74" s="6">
        <v>22.76</v>
      </c>
      <c r="M74" s="6">
        <v>38.82</v>
      </c>
      <c r="N74" s="6">
        <v>10.5</v>
      </c>
      <c r="O74" s="6">
        <v>0.2</v>
      </c>
      <c r="P74" s="6">
        <v>0.35</v>
      </c>
      <c r="Q74" s="6">
        <v>10.29</v>
      </c>
      <c r="R74" s="6"/>
      <c r="S74" s="6"/>
      <c r="T74" s="156"/>
      <c r="U74" s="6"/>
    </row>
    <row r="75" spans="1:21" customFormat="1">
      <c r="A75" s="201" t="s">
        <v>498</v>
      </c>
      <c r="B75" s="6">
        <v>8.83</v>
      </c>
      <c r="C75" s="6">
        <v>8.51</v>
      </c>
      <c r="D75" s="6">
        <v>17.34</v>
      </c>
      <c r="E75" s="6">
        <v>7.01</v>
      </c>
      <c r="F75" s="6">
        <v>2</v>
      </c>
      <c r="G75" s="6">
        <v>41</v>
      </c>
      <c r="H75" s="6">
        <v>13.43</v>
      </c>
      <c r="I75" s="6">
        <v>5.69</v>
      </c>
      <c r="J75" s="6">
        <v>0.21</v>
      </c>
      <c r="K75" s="6">
        <v>244.13</v>
      </c>
      <c r="L75" s="6">
        <v>22.29</v>
      </c>
      <c r="M75" s="6">
        <v>37.58</v>
      </c>
      <c r="N75" s="6">
        <v>16.2</v>
      </c>
      <c r="O75" s="6">
        <v>0</v>
      </c>
      <c r="P75" s="6">
        <v>0.34</v>
      </c>
      <c r="Q75" s="6">
        <v>10.039999999999999</v>
      </c>
      <c r="R75" s="6"/>
      <c r="S75" s="6"/>
      <c r="T75" s="156"/>
      <c r="U75" s="6"/>
    </row>
    <row r="76" spans="1:21" customFormat="1">
      <c r="A76" s="201" t="s">
        <v>499</v>
      </c>
      <c r="B76" s="6">
        <v>8.5299999999999994</v>
      </c>
      <c r="C76" s="6">
        <v>8.44</v>
      </c>
      <c r="D76" s="6">
        <v>16.97</v>
      </c>
      <c r="E76" s="6">
        <v>7.08</v>
      </c>
      <c r="F76" s="6">
        <v>2</v>
      </c>
      <c r="G76" s="6">
        <v>41</v>
      </c>
      <c r="H76" s="6">
        <v>13.43</v>
      </c>
      <c r="I76" s="6">
        <v>5.6</v>
      </c>
      <c r="J76" s="6">
        <v>0.24</v>
      </c>
      <c r="K76" s="6">
        <v>149.41999999999999</v>
      </c>
      <c r="L76" s="6">
        <v>14.9</v>
      </c>
      <c r="M76" s="6">
        <v>19.100000000000001</v>
      </c>
      <c r="N76" s="6">
        <v>18.5</v>
      </c>
      <c r="O76" s="6">
        <v>0</v>
      </c>
      <c r="P76" s="6">
        <v>0.34</v>
      </c>
      <c r="Q76" s="6">
        <v>10</v>
      </c>
      <c r="R76" s="6"/>
      <c r="S76" s="6"/>
      <c r="T76" s="156"/>
      <c r="U76" s="6"/>
    </row>
    <row r="77" spans="1:21" customFormat="1">
      <c r="A77" s="201" t="s">
        <v>500</v>
      </c>
      <c r="B77" s="6">
        <v>8.16</v>
      </c>
      <c r="C77" s="6">
        <v>8.24</v>
      </c>
      <c r="D77" s="6">
        <v>16.399999999999999</v>
      </c>
      <c r="E77" s="6">
        <v>7.2</v>
      </c>
      <c r="F77" s="6">
        <v>2</v>
      </c>
      <c r="G77" s="6">
        <v>41</v>
      </c>
      <c r="H77" s="6">
        <v>13.43</v>
      </c>
      <c r="I77" s="6">
        <v>5.64</v>
      </c>
      <c r="J77" s="6">
        <v>0.16</v>
      </c>
      <c r="K77" s="6">
        <v>160.51</v>
      </c>
      <c r="L77" s="6">
        <v>16</v>
      </c>
      <c r="M77" s="6">
        <v>21.97</v>
      </c>
      <c r="N77" s="6">
        <v>14.9</v>
      </c>
      <c r="O77" s="6">
        <v>0</v>
      </c>
      <c r="P77" s="6">
        <v>0.33</v>
      </c>
      <c r="Q77" s="6">
        <v>10</v>
      </c>
      <c r="R77" s="6"/>
      <c r="S77" s="6"/>
      <c r="T77" s="156"/>
      <c r="U77" s="6"/>
    </row>
    <row r="78" spans="1:21" customFormat="1">
      <c r="A78" s="201" t="s">
        <v>501</v>
      </c>
      <c r="B78" s="6">
        <v>7.8</v>
      </c>
      <c r="C78" s="6">
        <v>8.06</v>
      </c>
      <c r="D78" s="6">
        <v>15.86</v>
      </c>
      <c r="E78" s="6">
        <v>7.04</v>
      </c>
      <c r="F78" s="6">
        <v>2</v>
      </c>
      <c r="G78" s="6">
        <v>35.83</v>
      </c>
      <c r="H78" s="6">
        <v>12.61</v>
      </c>
      <c r="I78" s="6">
        <v>5.6</v>
      </c>
      <c r="J78" s="6">
        <v>0.12</v>
      </c>
      <c r="K78" s="6">
        <v>155.85</v>
      </c>
      <c r="L78" s="6">
        <v>15.76</v>
      </c>
      <c r="M78" s="6">
        <v>21.51</v>
      </c>
      <c r="N78" s="6">
        <v>7.6</v>
      </c>
      <c r="O78" s="6">
        <v>0</v>
      </c>
      <c r="P78" s="6">
        <v>0.33</v>
      </c>
      <c r="Q78" s="6">
        <v>10</v>
      </c>
      <c r="R78" s="6"/>
      <c r="S78" s="6"/>
      <c r="T78" s="156"/>
      <c r="U78" s="6"/>
    </row>
    <row r="79" spans="1:21" customFormat="1">
      <c r="A79" s="201" t="s">
        <v>502</v>
      </c>
      <c r="B79" s="6">
        <v>7.6</v>
      </c>
      <c r="C79" s="6">
        <v>7.81</v>
      </c>
      <c r="D79" s="6">
        <v>15.41</v>
      </c>
      <c r="E79" s="6">
        <v>7.39</v>
      </c>
      <c r="F79" s="6">
        <v>2</v>
      </c>
      <c r="G79" s="6">
        <v>32.049999999999997</v>
      </c>
      <c r="H79" s="6">
        <v>12.36</v>
      </c>
      <c r="I79" s="6">
        <v>5.55</v>
      </c>
      <c r="J79" s="6">
        <v>0.11</v>
      </c>
      <c r="K79" s="6">
        <v>175.02</v>
      </c>
      <c r="L79" s="6">
        <v>17.32</v>
      </c>
      <c r="M79" s="6">
        <v>25.5</v>
      </c>
      <c r="N79" s="6">
        <v>4.2</v>
      </c>
      <c r="O79" s="6">
        <v>0</v>
      </c>
      <c r="P79" s="6">
        <v>0.32</v>
      </c>
      <c r="Q79" s="6">
        <v>10</v>
      </c>
      <c r="R79" s="6"/>
      <c r="S79" s="6"/>
      <c r="T79" s="156"/>
      <c r="U79" s="6"/>
    </row>
    <row r="80" spans="1:21" customFormat="1">
      <c r="A80" s="201" t="s">
        <v>503</v>
      </c>
      <c r="B80" s="6">
        <v>7.56</v>
      </c>
      <c r="C80" s="6">
        <v>7.53</v>
      </c>
      <c r="D80" s="6">
        <v>15.09</v>
      </c>
      <c r="E80" s="6">
        <v>7.29</v>
      </c>
      <c r="F80" s="6">
        <v>2</v>
      </c>
      <c r="G80" s="6">
        <v>32.049999999999997</v>
      </c>
      <c r="H80" s="6">
        <v>12.36</v>
      </c>
      <c r="I80" s="6">
        <v>5.53</v>
      </c>
      <c r="J80" s="6">
        <v>0.12</v>
      </c>
      <c r="K80" s="6">
        <v>182.05</v>
      </c>
      <c r="L80" s="6">
        <v>17.46</v>
      </c>
      <c r="M80" s="6">
        <v>25.93</v>
      </c>
      <c r="N80" s="6">
        <v>2.4</v>
      </c>
      <c r="O80" s="6">
        <v>0</v>
      </c>
      <c r="P80" s="6">
        <v>0.28000000000000003</v>
      </c>
      <c r="Q80" s="6">
        <v>10.199999999999999</v>
      </c>
      <c r="R80" s="6"/>
      <c r="S80" s="6"/>
      <c r="T80" s="156"/>
      <c r="U80" s="6"/>
    </row>
    <row r="81" spans="1:21" customFormat="1">
      <c r="A81" s="201" t="s">
        <v>504</v>
      </c>
      <c r="B81" s="6">
        <v>7.43</v>
      </c>
      <c r="C81" s="6">
        <v>7.38</v>
      </c>
      <c r="D81" s="6">
        <v>14.82</v>
      </c>
      <c r="E81" s="6">
        <v>4.51</v>
      </c>
      <c r="F81" s="6">
        <v>2.2799999999999998</v>
      </c>
      <c r="G81" s="6">
        <v>32.049999999999997</v>
      </c>
      <c r="H81" s="6">
        <v>12.36</v>
      </c>
      <c r="I81" s="6">
        <v>5.58</v>
      </c>
      <c r="J81" s="6">
        <v>0.1</v>
      </c>
      <c r="K81" s="6">
        <v>188.63</v>
      </c>
      <c r="L81" s="6">
        <v>17.77</v>
      </c>
      <c r="M81" s="6">
        <v>26.69</v>
      </c>
      <c r="N81" s="6">
        <v>2.5</v>
      </c>
      <c r="O81" s="6">
        <v>0</v>
      </c>
      <c r="P81" s="6">
        <v>0.25</v>
      </c>
      <c r="Q81" s="6">
        <v>10.210000000000001</v>
      </c>
      <c r="R81" s="6"/>
      <c r="S81" s="6"/>
      <c r="T81" s="156"/>
      <c r="U81" s="6"/>
    </row>
    <row r="82" spans="1:21" customFormat="1">
      <c r="A82" s="201" t="s">
        <v>505</v>
      </c>
      <c r="B82" s="6">
        <v>7.32</v>
      </c>
      <c r="C82" s="6">
        <v>7.37</v>
      </c>
      <c r="D82" s="6">
        <v>14.69</v>
      </c>
      <c r="E82" s="6">
        <v>5.39</v>
      </c>
      <c r="F82" s="6">
        <v>2.2400000000000002</v>
      </c>
      <c r="G82" s="6">
        <v>28.48</v>
      </c>
      <c r="H82" s="6">
        <v>12.43</v>
      </c>
      <c r="I82" s="6">
        <v>5.64</v>
      </c>
      <c r="J82" s="6">
        <v>0.18</v>
      </c>
      <c r="K82" s="6">
        <v>215.36</v>
      </c>
      <c r="L82" s="6">
        <v>18.61</v>
      </c>
      <c r="M82" s="6">
        <v>28.7</v>
      </c>
      <c r="N82" s="6">
        <v>2.4</v>
      </c>
      <c r="O82" s="6">
        <v>0</v>
      </c>
      <c r="P82" s="6">
        <v>0.25</v>
      </c>
      <c r="Q82" s="6">
        <v>9.9600000000000009</v>
      </c>
      <c r="R82" s="6"/>
      <c r="S82" s="6"/>
      <c r="T82" s="156"/>
      <c r="U82" s="6"/>
    </row>
    <row r="83" spans="1:21" customFormat="1">
      <c r="A83" s="201" t="s">
        <v>506</v>
      </c>
      <c r="B83" s="6">
        <v>7.6</v>
      </c>
      <c r="C83" s="6">
        <v>7.18</v>
      </c>
      <c r="D83" s="6">
        <v>14.79</v>
      </c>
      <c r="E83" s="6">
        <v>5.54</v>
      </c>
      <c r="F83" s="6">
        <v>2</v>
      </c>
      <c r="G83" s="6">
        <v>25.74</v>
      </c>
      <c r="H83" s="6">
        <v>12.46</v>
      </c>
      <c r="I83" s="6">
        <v>5.69</v>
      </c>
      <c r="J83" s="6">
        <v>0.71</v>
      </c>
      <c r="K83" s="6">
        <v>255.17</v>
      </c>
      <c r="L83" s="6">
        <v>22.8</v>
      </c>
      <c r="M83" s="6">
        <v>39.130000000000003</v>
      </c>
      <c r="N83" s="6">
        <v>3.9</v>
      </c>
      <c r="O83" s="6">
        <v>0</v>
      </c>
      <c r="P83" s="6">
        <v>0.27</v>
      </c>
      <c r="Q83" s="6">
        <v>10</v>
      </c>
      <c r="R83" s="6"/>
      <c r="S83" s="6"/>
      <c r="T83" s="156"/>
      <c r="U83" s="6"/>
    </row>
    <row r="84" spans="1:21" customFormat="1">
      <c r="A84" s="201" t="s">
        <v>507</v>
      </c>
      <c r="B84" s="6">
        <v>7.56</v>
      </c>
      <c r="C84" s="6">
        <v>7</v>
      </c>
      <c r="D84" s="6">
        <v>14.56</v>
      </c>
      <c r="E84" s="6">
        <v>5.88</v>
      </c>
      <c r="F84" s="6">
        <v>2</v>
      </c>
      <c r="G84" s="6">
        <v>25.74</v>
      </c>
      <c r="H84" s="6">
        <v>12.46</v>
      </c>
      <c r="I84" s="6">
        <v>5.66</v>
      </c>
      <c r="J84" s="6">
        <v>0.34</v>
      </c>
      <c r="K84" s="6">
        <v>250.97</v>
      </c>
      <c r="L84" s="6">
        <v>21.98</v>
      </c>
      <c r="M84" s="6">
        <v>37.22</v>
      </c>
      <c r="N84" s="6">
        <v>3.1</v>
      </c>
      <c r="O84" s="6">
        <v>0</v>
      </c>
      <c r="P84" s="6">
        <v>0.26</v>
      </c>
      <c r="Q84" s="6">
        <v>10</v>
      </c>
      <c r="R84" s="6"/>
      <c r="S84" s="6"/>
      <c r="T84" s="156"/>
      <c r="U84" s="6"/>
    </row>
    <row r="85" spans="1:21" customFormat="1">
      <c r="A85" s="201" t="s">
        <v>508</v>
      </c>
      <c r="B85" s="6">
        <v>7.36</v>
      </c>
      <c r="C85" s="6">
        <v>6.83</v>
      </c>
      <c r="D85" s="6">
        <v>14.18</v>
      </c>
      <c r="E85" s="6">
        <v>5.41</v>
      </c>
      <c r="F85" s="6">
        <v>2.13</v>
      </c>
      <c r="G85" s="6">
        <v>25.74</v>
      </c>
      <c r="H85" s="6">
        <v>12.46</v>
      </c>
      <c r="I85" s="6">
        <v>5.76</v>
      </c>
      <c r="J85" s="6">
        <v>0.23</v>
      </c>
      <c r="K85" s="6">
        <v>230.39</v>
      </c>
      <c r="L85" s="6">
        <v>19.77</v>
      </c>
      <c r="M85" s="6">
        <v>31.52</v>
      </c>
      <c r="N85" s="6">
        <v>2.7</v>
      </c>
      <c r="O85" s="6">
        <v>0</v>
      </c>
      <c r="P85" s="6">
        <v>0.23</v>
      </c>
      <c r="Q85" s="6">
        <v>10.07</v>
      </c>
      <c r="R85" s="6"/>
      <c r="S85" s="6"/>
      <c r="T85" s="156"/>
      <c r="U85" s="6"/>
    </row>
    <row r="86" spans="1:21" customFormat="1">
      <c r="A86" s="201" t="s">
        <v>509</v>
      </c>
      <c r="B86" s="6">
        <v>7.34</v>
      </c>
      <c r="C86" s="6">
        <v>6.77</v>
      </c>
      <c r="D86" s="6">
        <v>14.1</v>
      </c>
      <c r="E86" s="6">
        <v>5.12</v>
      </c>
      <c r="F86" s="6">
        <v>2.0499999999999998</v>
      </c>
      <c r="G86" s="6">
        <v>21.4</v>
      </c>
      <c r="H86" s="6">
        <v>10.11</v>
      </c>
      <c r="I86" s="6">
        <v>5.74</v>
      </c>
      <c r="J86" s="6">
        <v>0.11</v>
      </c>
      <c r="K86" s="6">
        <v>207.23</v>
      </c>
      <c r="L86" s="6">
        <v>18.190000000000001</v>
      </c>
      <c r="M86" s="6">
        <v>27.6</v>
      </c>
      <c r="N86" s="6">
        <v>2.5</v>
      </c>
      <c r="O86" s="6">
        <v>0</v>
      </c>
      <c r="P86" s="6">
        <v>0.25</v>
      </c>
      <c r="Q86" s="6">
        <v>10</v>
      </c>
      <c r="R86" s="6"/>
      <c r="S86" s="6"/>
      <c r="T86" s="156"/>
      <c r="U86" s="6"/>
    </row>
    <row r="87" spans="1:21" customFormat="1">
      <c r="A87" s="201" t="s">
        <v>510</v>
      </c>
      <c r="B87" s="6">
        <v>7.33</v>
      </c>
      <c r="C87" s="6">
        <v>6.8</v>
      </c>
      <c r="D87" s="6">
        <v>14.13</v>
      </c>
      <c r="E87" s="6">
        <v>4.99</v>
      </c>
      <c r="F87" s="6">
        <v>2</v>
      </c>
      <c r="G87" s="6">
        <v>18.079999999999998</v>
      </c>
      <c r="H87" s="6">
        <v>8.7200000000000006</v>
      </c>
      <c r="I87" s="6">
        <v>5.76</v>
      </c>
      <c r="J87" s="6">
        <v>0.27</v>
      </c>
      <c r="K87" s="6">
        <v>246.41</v>
      </c>
      <c r="L87" s="6">
        <v>21.16</v>
      </c>
      <c r="M87" s="6">
        <v>34.97</v>
      </c>
      <c r="N87" s="6">
        <v>2.7</v>
      </c>
      <c r="O87" s="6">
        <v>0</v>
      </c>
      <c r="P87" s="6">
        <v>0.26</v>
      </c>
      <c r="Q87" s="6">
        <v>10</v>
      </c>
      <c r="R87" s="6"/>
      <c r="S87" s="6"/>
      <c r="T87" s="156"/>
      <c r="U87" s="6"/>
    </row>
    <row r="88" spans="1:21" customFormat="1">
      <c r="A88" s="201" t="s">
        <v>511</v>
      </c>
      <c r="B88" s="6">
        <v>7.25</v>
      </c>
      <c r="C88" s="6">
        <v>6.66</v>
      </c>
      <c r="D88" s="6">
        <v>13.91</v>
      </c>
      <c r="E88" s="6">
        <v>5.49</v>
      </c>
      <c r="F88" s="6">
        <v>2.02</v>
      </c>
      <c r="G88" s="6">
        <v>18.079999999999998</v>
      </c>
      <c r="H88" s="6">
        <v>8.7200000000000006</v>
      </c>
      <c r="I88" s="6">
        <v>5.76</v>
      </c>
      <c r="J88" s="6">
        <v>0.2</v>
      </c>
      <c r="K88" s="6">
        <v>246.39</v>
      </c>
      <c r="L88" s="6">
        <v>20.66</v>
      </c>
      <c r="M88" s="6">
        <v>33.79</v>
      </c>
      <c r="N88" s="6">
        <v>2.8</v>
      </c>
      <c r="O88" s="6">
        <v>0</v>
      </c>
      <c r="P88" s="6">
        <v>0.25</v>
      </c>
      <c r="Q88" s="6">
        <v>10</v>
      </c>
      <c r="R88" s="6"/>
      <c r="S88" s="6"/>
      <c r="T88" s="156"/>
      <c r="U88" s="6"/>
    </row>
    <row r="89" spans="1:21" customFormat="1">
      <c r="A89" s="201" t="s">
        <v>512</v>
      </c>
      <c r="B89" s="6">
        <v>7.06</v>
      </c>
      <c r="C89" s="6">
        <v>6.62</v>
      </c>
      <c r="D89" s="6">
        <v>13.68</v>
      </c>
      <c r="E89" s="6">
        <v>5.07</v>
      </c>
      <c r="F89" s="6">
        <v>2.23</v>
      </c>
      <c r="G89" s="6">
        <v>18.079999999999998</v>
      </c>
      <c r="H89" s="6">
        <v>8.7200000000000006</v>
      </c>
      <c r="I89" s="6">
        <v>5.91</v>
      </c>
      <c r="J89" s="6">
        <v>7.0000000000000007E-2</v>
      </c>
      <c r="K89" s="6">
        <v>199.82</v>
      </c>
      <c r="L89" s="6">
        <v>17.46</v>
      </c>
      <c r="M89" s="6">
        <v>25.9</v>
      </c>
      <c r="N89" s="6">
        <v>2.5</v>
      </c>
      <c r="O89" s="6">
        <v>0</v>
      </c>
      <c r="P89" s="6">
        <v>0.24</v>
      </c>
      <c r="Q89" s="6">
        <v>10</v>
      </c>
      <c r="R89" s="6"/>
      <c r="S89" s="6"/>
      <c r="T89" s="156"/>
      <c r="U89" s="6"/>
    </row>
    <row r="90" spans="1:21" customFormat="1">
      <c r="A90" s="201" t="s">
        <v>513</v>
      </c>
      <c r="B90" s="6">
        <v>7.26</v>
      </c>
      <c r="C90" s="6">
        <v>6.77</v>
      </c>
      <c r="D90" s="6">
        <v>14.03</v>
      </c>
      <c r="E90" s="6">
        <v>5.5</v>
      </c>
      <c r="F90" s="6">
        <v>2</v>
      </c>
      <c r="G90" s="6">
        <v>18.809999999999999</v>
      </c>
      <c r="H90" s="6">
        <v>9.23</v>
      </c>
      <c r="I90" s="6">
        <v>6.17</v>
      </c>
      <c r="J90" s="6">
        <v>0.17</v>
      </c>
      <c r="K90" s="6">
        <v>40.04</v>
      </c>
      <c r="L90" s="6">
        <v>13.1</v>
      </c>
      <c r="M90" s="6">
        <v>14.72</v>
      </c>
      <c r="N90" s="6">
        <v>2.8</v>
      </c>
      <c r="O90" s="6">
        <v>0</v>
      </c>
      <c r="P90" s="6">
        <v>0.28000000000000003</v>
      </c>
      <c r="Q90" s="6">
        <v>10</v>
      </c>
      <c r="R90" s="6"/>
      <c r="S90" s="6"/>
      <c r="T90" s="156"/>
      <c r="U90" s="6"/>
    </row>
    <row r="91" spans="1:21" customFormat="1">
      <c r="A91" s="201" t="s">
        <v>514</v>
      </c>
      <c r="B91" s="6">
        <v>7.53</v>
      </c>
      <c r="C91" s="6">
        <v>7.06</v>
      </c>
      <c r="D91" s="6">
        <v>14.58</v>
      </c>
      <c r="E91" s="6">
        <v>5.6</v>
      </c>
      <c r="F91" s="6">
        <v>2</v>
      </c>
      <c r="G91" s="6">
        <v>19.34</v>
      </c>
      <c r="H91" s="6">
        <v>9.39</v>
      </c>
      <c r="I91" s="6">
        <v>6.58</v>
      </c>
      <c r="J91" s="6">
        <v>0.27</v>
      </c>
      <c r="K91" s="6">
        <v>39.270000000000003</v>
      </c>
      <c r="L91" s="6">
        <v>10.71</v>
      </c>
      <c r="M91" s="6">
        <v>7.97</v>
      </c>
      <c r="N91" s="6">
        <v>2.8</v>
      </c>
      <c r="O91" s="6">
        <v>0</v>
      </c>
      <c r="P91" s="6">
        <v>0.28999999999999998</v>
      </c>
      <c r="Q91" s="6">
        <v>10</v>
      </c>
      <c r="R91" s="6"/>
      <c r="S91" s="6"/>
      <c r="T91" s="156"/>
      <c r="U91" s="6"/>
    </row>
    <row r="92" spans="1:21" customFormat="1">
      <c r="A92" s="201" t="s">
        <v>515</v>
      </c>
      <c r="B92" s="6">
        <v>7.6</v>
      </c>
      <c r="C92" s="6">
        <v>7.23</v>
      </c>
      <c r="D92" s="6">
        <v>14.83</v>
      </c>
      <c r="E92" s="6">
        <v>5.38</v>
      </c>
      <c r="F92" s="6">
        <v>2.02</v>
      </c>
      <c r="G92" s="6">
        <v>19.34</v>
      </c>
      <c r="H92" s="6">
        <v>9.39</v>
      </c>
      <c r="I92" s="6">
        <v>6.58</v>
      </c>
      <c r="J92" s="6">
        <v>0.17</v>
      </c>
      <c r="K92" s="6">
        <v>129.9</v>
      </c>
      <c r="L92" s="6">
        <v>12.83</v>
      </c>
      <c r="M92" s="6">
        <v>14.26</v>
      </c>
      <c r="N92" s="6">
        <v>2.5</v>
      </c>
      <c r="O92" s="6">
        <v>0</v>
      </c>
      <c r="P92" s="6">
        <v>0.28999999999999998</v>
      </c>
      <c r="Q92" s="6">
        <v>10</v>
      </c>
      <c r="R92" s="6"/>
      <c r="S92" s="6"/>
      <c r="T92" s="156"/>
      <c r="U92" s="6"/>
    </row>
    <row r="93" spans="1:21" customFormat="1">
      <c r="A93" s="201" t="s">
        <v>516</v>
      </c>
      <c r="B93" s="6">
        <v>7.72</v>
      </c>
      <c r="C93" s="6">
        <v>6.92</v>
      </c>
      <c r="D93" s="6">
        <v>14.65</v>
      </c>
      <c r="E93" s="6">
        <v>6.09</v>
      </c>
      <c r="F93" s="6">
        <v>2</v>
      </c>
      <c r="G93" s="6">
        <v>19.34</v>
      </c>
      <c r="H93" s="6">
        <v>9.39</v>
      </c>
      <c r="I93" s="6">
        <v>6.85</v>
      </c>
      <c r="J93" s="6">
        <v>0.19</v>
      </c>
      <c r="K93" s="6">
        <v>238.91</v>
      </c>
      <c r="L93" s="6">
        <v>21.2</v>
      </c>
      <c r="M93" s="6">
        <v>35.270000000000003</v>
      </c>
      <c r="N93" s="6">
        <v>2.7</v>
      </c>
      <c r="O93" s="6">
        <v>0</v>
      </c>
      <c r="P93" s="6">
        <v>0.28000000000000003</v>
      </c>
      <c r="Q93" s="6">
        <v>9.8800000000000008</v>
      </c>
      <c r="R93" s="6"/>
      <c r="S93" s="6"/>
      <c r="T93" s="156"/>
      <c r="U93" s="6"/>
    </row>
    <row r="94" spans="1:21" customFormat="1">
      <c r="A94" s="201" t="s">
        <v>517</v>
      </c>
      <c r="B94" s="6">
        <v>7.62</v>
      </c>
      <c r="C94" s="6">
        <v>6.9</v>
      </c>
      <c r="D94" s="6">
        <v>14.52</v>
      </c>
      <c r="E94" s="6">
        <v>5.77</v>
      </c>
      <c r="F94" s="6">
        <v>2</v>
      </c>
      <c r="G94" s="6">
        <v>21.36</v>
      </c>
      <c r="H94" s="6">
        <v>7.46</v>
      </c>
      <c r="I94" s="6">
        <v>7.04</v>
      </c>
      <c r="J94" s="6">
        <v>0.13</v>
      </c>
      <c r="K94" s="6">
        <v>254.3</v>
      </c>
      <c r="L94" s="6">
        <v>20.5</v>
      </c>
      <c r="M94" s="6">
        <v>33.5</v>
      </c>
      <c r="N94" s="6">
        <v>2.5</v>
      </c>
      <c r="O94" s="6">
        <v>0</v>
      </c>
      <c r="P94" s="6">
        <v>0.31</v>
      </c>
      <c r="Q94" s="6">
        <v>10.14</v>
      </c>
      <c r="R94" s="6"/>
      <c r="S94" s="6"/>
      <c r="T94" s="156"/>
      <c r="U94" s="6"/>
    </row>
    <row r="95" spans="1:21" customFormat="1">
      <c r="A95" s="201" t="s">
        <v>518</v>
      </c>
      <c r="B95" s="6">
        <v>7.63</v>
      </c>
      <c r="C95" s="6">
        <v>6.86</v>
      </c>
      <c r="D95" s="6">
        <v>14.48</v>
      </c>
      <c r="E95" s="6">
        <v>5.68</v>
      </c>
      <c r="F95" s="6">
        <v>2</v>
      </c>
      <c r="G95" s="6">
        <v>22.84</v>
      </c>
      <c r="H95" s="6">
        <v>6.85</v>
      </c>
      <c r="I95" s="6">
        <v>6.91</v>
      </c>
      <c r="J95" s="6">
        <v>0.13</v>
      </c>
      <c r="K95" s="6">
        <v>237.67</v>
      </c>
      <c r="L95" s="6">
        <v>21.46</v>
      </c>
      <c r="M95" s="6">
        <v>35.78</v>
      </c>
      <c r="N95" s="6">
        <v>2.5</v>
      </c>
      <c r="O95" s="6">
        <v>0</v>
      </c>
      <c r="P95" s="6">
        <v>0.28999999999999998</v>
      </c>
      <c r="Q95" s="6">
        <v>10</v>
      </c>
      <c r="R95" s="6"/>
      <c r="S95" s="6"/>
      <c r="T95" s="156"/>
      <c r="U95" s="6"/>
    </row>
    <row r="96" spans="1:21" customFormat="1">
      <c r="A96" s="201" t="s">
        <v>519</v>
      </c>
      <c r="B96" s="6">
        <v>7.82</v>
      </c>
      <c r="C96" s="6">
        <v>6.76</v>
      </c>
      <c r="D96" s="6">
        <v>14.58</v>
      </c>
      <c r="E96" s="6">
        <v>5.78</v>
      </c>
      <c r="F96" s="6">
        <v>2</v>
      </c>
      <c r="G96" s="6">
        <v>22.84</v>
      </c>
      <c r="H96" s="6">
        <v>6.85</v>
      </c>
      <c r="I96" s="6">
        <v>7.16</v>
      </c>
      <c r="J96" s="6">
        <v>0.09</v>
      </c>
      <c r="K96" s="6">
        <v>205.01</v>
      </c>
      <c r="L96" s="6">
        <v>20.29</v>
      </c>
      <c r="M96" s="6">
        <v>32.97</v>
      </c>
      <c r="N96" s="6">
        <v>2.4</v>
      </c>
      <c r="O96" s="6">
        <v>0</v>
      </c>
      <c r="P96" s="6">
        <v>0.32</v>
      </c>
      <c r="Q96" s="6">
        <v>10.119999999999999</v>
      </c>
      <c r="R96" s="6"/>
      <c r="S96" s="6"/>
      <c r="T96" s="156"/>
      <c r="U96" s="6"/>
    </row>
    <row r="97" spans="1:28" customFormat="1">
      <c r="A97" s="201" t="s">
        <v>520</v>
      </c>
      <c r="B97" s="6">
        <v>7.82</v>
      </c>
      <c r="C97" s="6">
        <v>6.69</v>
      </c>
      <c r="D97" s="6">
        <v>14.5</v>
      </c>
      <c r="E97" s="6">
        <v>5.93</v>
      </c>
      <c r="F97" s="6">
        <v>2</v>
      </c>
      <c r="G97" s="6">
        <v>22.84</v>
      </c>
      <c r="H97" s="6">
        <v>6.85</v>
      </c>
      <c r="I97" s="6">
        <v>7.13</v>
      </c>
      <c r="J97" s="6">
        <v>0.08</v>
      </c>
      <c r="K97" s="6">
        <v>176.98</v>
      </c>
      <c r="L97" s="6">
        <v>18.54</v>
      </c>
      <c r="M97" s="6">
        <v>28.61</v>
      </c>
      <c r="N97" s="6">
        <v>2.4</v>
      </c>
      <c r="O97" s="6">
        <v>0</v>
      </c>
      <c r="P97" s="6">
        <v>0.32</v>
      </c>
      <c r="Q97" s="6">
        <v>10.91</v>
      </c>
      <c r="R97" s="6"/>
      <c r="S97" s="6"/>
      <c r="T97" s="156"/>
      <c r="U97" s="6"/>
    </row>
    <row r="98" spans="1:28" customFormat="1">
      <c r="A98" s="201" t="s">
        <v>521</v>
      </c>
      <c r="B98" s="6">
        <v>7.82</v>
      </c>
      <c r="C98" s="6">
        <v>6.57</v>
      </c>
      <c r="D98" s="6">
        <v>14.39</v>
      </c>
      <c r="E98" s="6">
        <v>5.4</v>
      </c>
      <c r="F98" s="6">
        <v>2</v>
      </c>
      <c r="G98" s="6">
        <v>21.55</v>
      </c>
      <c r="H98" s="6">
        <v>9.07</v>
      </c>
      <c r="I98" s="6">
        <v>7.23</v>
      </c>
      <c r="J98" s="6">
        <v>0.17</v>
      </c>
      <c r="K98" s="6">
        <v>247.44</v>
      </c>
      <c r="L98" s="6">
        <v>21.67</v>
      </c>
      <c r="M98" s="6">
        <v>36.380000000000003</v>
      </c>
      <c r="N98" s="6">
        <v>2.4</v>
      </c>
      <c r="O98" s="6">
        <v>0</v>
      </c>
      <c r="P98" s="6">
        <v>0.33</v>
      </c>
      <c r="Q98" s="6">
        <v>10.45</v>
      </c>
      <c r="R98" s="6"/>
      <c r="S98" s="6"/>
      <c r="T98" s="156"/>
      <c r="U98" s="6"/>
    </row>
    <row r="99" spans="1:28" customFormat="1">
      <c r="A99" s="201" t="s">
        <v>522</v>
      </c>
      <c r="B99" s="6">
        <v>7.73</v>
      </c>
      <c r="C99" s="6">
        <v>6.74</v>
      </c>
      <c r="D99" s="6">
        <v>14.47</v>
      </c>
      <c r="E99" s="6">
        <v>5.34</v>
      </c>
      <c r="F99" s="6">
        <v>2</v>
      </c>
      <c r="G99" s="6">
        <v>20.61</v>
      </c>
      <c r="H99" s="6">
        <v>9.76</v>
      </c>
      <c r="I99" s="6">
        <v>7.38</v>
      </c>
      <c r="J99" s="6">
        <v>0.35</v>
      </c>
      <c r="K99" s="6">
        <v>250.99</v>
      </c>
      <c r="L99" s="6">
        <v>22.55</v>
      </c>
      <c r="M99" s="6">
        <v>38.57</v>
      </c>
      <c r="N99" s="6">
        <v>2.6</v>
      </c>
      <c r="O99" s="6">
        <v>0</v>
      </c>
      <c r="P99" s="6">
        <v>0.36</v>
      </c>
      <c r="Q99" s="6">
        <v>10</v>
      </c>
      <c r="R99" s="6"/>
      <c r="S99" s="6"/>
      <c r="T99" s="156"/>
      <c r="U99" s="6"/>
    </row>
    <row r="100" spans="1:28" customFormat="1">
      <c r="A100" s="201" t="s">
        <v>523</v>
      </c>
      <c r="B100" s="6">
        <v>7.46</v>
      </c>
      <c r="C100" s="6">
        <v>6.78</v>
      </c>
      <c r="D100" s="6">
        <v>14.24</v>
      </c>
      <c r="E100" s="6">
        <v>5.75</v>
      </c>
      <c r="F100" s="6">
        <v>2</v>
      </c>
      <c r="G100" s="6">
        <v>20.61</v>
      </c>
      <c r="H100" s="6">
        <v>9.76</v>
      </c>
      <c r="I100" s="6">
        <v>7.41</v>
      </c>
      <c r="J100" s="6">
        <v>0.3</v>
      </c>
      <c r="K100" s="6">
        <v>249.42</v>
      </c>
      <c r="L100" s="6">
        <v>21.62</v>
      </c>
      <c r="M100" s="6">
        <v>36.32</v>
      </c>
      <c r="N100" s="6">
        <v>2.6</v>
      </c>
      <c r="O100" s="6">
        <v>0</v>
      </c>
      <c r="P100" s="6">
        <v>0.37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524</v>
      </c>
      <c r="B101" s="6">
        <v>7.18</v>
      </c>
      <c r="C101" s="6">
        <v>6.78</v>
      </c>
      <c r="D101" s="6">
        <v>13.96</v>
      </c>
      <c r="E101" s="6">
        <v>5.59</v>
      </c>
      <c r="F101" s="6">
        <v>2</v>
      </c>
      <c r="G101" s="6">
        <v>20.61</v>
      </c>
      <c r="H101" s="6">
        <v>9.76</v>
      </c>
      <c r="I101" s="6">
        <v>7.48</v>
      </c>
      <c r="J101" s="6">
        <v>0.34</v>
      </c>
      <c r="K101" s="6">
        <v>251.19</v>
      </c>
      <c r="L101" s="6">
        <v>22.26</v>
      </c>
      <c r="M101" s="6">
        <v>37.83</v>
      </c>
      <c r="N101" s="6">
        <v>2.7</v>
      </c>
      <c r="O101" s="6">
        <v>0</v>
      </c>
      <c r="P101" s="6">
        <v>0.36</v>
      </c>
      <c r="Q101" s="6">
        <v>10.33</v>
      </c>
      <c r="R101" s="6"/>
      <c r="S101" s="6"/>
      <c r="T101" s="156"/>
      <c r="U101" s="6"/>
    </row>
    <row r="102" spans="1:28" customFormat="1">
      <c r="A102" s="201" t="s">
        <v>525</v>
      </c>
      <c r="B102" s="6">
        <v>6.82</v>
      </c>
      <c r="C102" s="6">
        <v>6.82</v>
      </c>
      <c r="D102" s="6">
        <v>13.65</v>
      </c>
      <c r="E102" s="6">
        <v>5.77</v>
      </c>
      <c r="F102" s="6">
        <v>2.02</v>
      </c>
      <c r="G102" s="6">
        <v>21.19</v>
      </c>
      <c r="H102" s="6">
        <v>9.26</v>
      </c>
      <c r="I102" s="6">
        <v>7.39</v>
      </c>
      <c r="J102" s="6">
        <v>0.32</v>
      </c>
      <c r="K102" s="6">
        <v>250.95</v>
      </c>
      <c r="L102" s="6">
        <v>22.25</v>
      </c>
      <c r="M102" s="6">
        <v>37.82</v>
      </c>
      <c r="N102" s="6">
        <v>2.6</v>
      </c>
      <c r="O102" s="6">
        <v>0</v>
      </c>
      <c r="P102" s="6">
        <v>0.35</v>
      </c>
      <c r="Q102" s="6">
        <v>10.039999999999999</v>
      </c>
      <c r="R102" s="6"/>
      <c r="S102" s="6"/>
      <c r="T102" s="156"/>
      <c r="U102" s="6"/>
    </row>
    <row r="103" spans="1:28" customFormat="1">
      <c r="A103" s="201" t="s">
        <v>526</v>
      </c>
      <c r="B103" s="6">
        <v>6.67</v>
      </c>
      <c r="C103" s="6">
        <v>6.74</v>
      </c>
      <c r="D103" s="6">
        <v>13.41</v>
      </c>
      <c r="E103" s="6">
        <v>5.87</v>
      </c>
      <c r="F103" s="6">
        <v>2</v>
      </c>
      <c r="G103" s="6">
        <v>21.61</v>
      </c>
      <c r="H103" s="6">
        <v>8.9700000000000006</v>
      </c>
      <c r="I103" s="6">
        <v>7.18</v>
      </c>
      <c r="J103" s="6">
        <v>0.42</v>
      </c>
      <c r="K103" s="6">
        <v>251.79</v>
      </c>
      <c r="L103" s="6">
        <v>22.65</v>
      </c>
      <c r="M103" s="6">
        <v>38.72</v>
      </c>
      <c r="N103" s="6">
        <v>2.6</v>
      </c>
      <c r="O103" s="6">
        <v>0</v>
      </c>
      <c r="P103" s="6">
        <v>0.34</v>
      </c>
      <c r="Q103" s="6">
        <v>10</v>
      </c>
      <c r="R103" s="6"/>
      <c r="S103" s="6"/>
      <c r="T103" s="156"/>
      <c r="U103" s="6"/>
    </row>
    <row r="104" spans="1:28" customFormat="1">
      <c r="A104" s="201" t="s">
        <v>527</v>
      </c>
      <c r="B104" s="6">
        <v>6.42</v>
      </c>
      <c r="C104" s="6">
        <v>6.66</v>
      </c>
      <c r="D104" s="6">
        <v>13.08</v>
      </c>
      <c r="E104" s="6">
        <v>5.89</v>
      </c>
      <c r="F104" s="6">
        <v>2</v>
      </c>
      <c r="G104" s="6">
        <v>21.61</v>
      </c>
      <c r="H104" s="6">
        <v>8.9700000000000006</v>
      </c>
      <c r="I104" s="6">
        <v>6.94</v>
      </c>
      <c r="J104" s="6">
        <v>0.43</v>
      </c>
      <c r="K104" s="6">
        <v>249.3</v>
      </c>
      <c r="L104" s="6">
        <v>22.12</v>
      </c>
      <c r="M104" s="6">
        <v>37.520000000000003</v>
      </c>
      <c r="N104" s="6">
        <v>2.6</v>
      </c>
      <c r="O104" s="6">
        <v>0</v>
      </c>
      <c r="P104" s="6">
        <v>0.33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5.61</v>
      </c>
      <c r="C106" s="158">
        <f>MIN(C9:C104)</f>
        <v>6.57</v>
      </c>
      <c r="D106" s="158">
        <f t="shared" ref="D106:Q106" si="0">MIN(D9:D104)</f>
        <v>12.97</v>
      </c>
      <c r="E106" s="158">
        <f t="shared" si="0"/>
        <v>4.51</v>
      </c>
      <c r="F106" s="158">
        <f t="shared" si="0"/>
        <v>2</v>
      </c>
      <c r="G106" s="158">
        <f t="shared" si="0"/>
        <v>18.079999999999998</v>
      </c>
      <c r="H106" s="158">
        <f t="shared" si="0"/>
        <v>6.85</v>
      </c>
      <c r="I106" s="158">
        <f t="shared" si="0"/>
        <v>5.0599999999999996</v>
      </c>
      <c r="J106" s="158">
        <f t="shared" si="0"/>
        <v>0.06</v>
      </c>
      <c r="K106" s="158">
        <f t="shared" si="0"/>
        <v>0</v>
      </c>
      <c r="L106" s="158">
        <f t="shared" si="0"/>
        <v>5.76</v>
      </c>
      <c r="M106" s="158">
        <f t="shared" si="0"/>
        <v>-3.81</v>
      </c>
      <c r="N106" s="158">
        <f t="shared" si="0"/>
        <v>1.9</v>
      </c>
      <c r="O106" s="158">
        <f t="shared" si="0"/>
        <v>0</v>
      </c>
      <c r="P106" s="158">
        <f t="shared" si="0"/>
        <v>0.23</v>
      </c>
      <c r="Q106" s="158">
        <f t="shared" si="0"/>
        <v>9.5500000000000007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11.75</v>
      </c>
      <c r="C107" s="157">
        <f t="shared" ref="C107:Q107" si="1">MAX(C9:C104)</f>
        <v>8.92</v>
      </c>
      <c r="D107" s="157">
        <f t="shared" si="1"/>
        <v>19.73</v>
      </c>
      <c r="E107" s="157">
        <f t="shared" si="1"/>
        <v>8.5500000000000007</v>
      </c>
      <c r="F107" s="157">
        <f t="shared" si="1"/>
        <v>4.9000000000000004</v>
      </c>
      <c r="G107" s="157">
        <f t="shared" si="1"/>
        <v>56.47</v>
      </c>
      <c r="H107" s="157">
        <f t="shared" si="1"/>
        <v>23.87</v>
      </c>
      <c r="I107" s="157">
        <f t="shared" si="1"/>
        <v>7.48</v>
      </c>
      <c r="J107" s="157">
        <f t="shared" si="1"/>
        <v>1.04</v>
      </c>
      <c r="K107" s="157">
        <f t="shared" si="1"/>
        <v>356.9</v>
      </c>
      <c r="L107" s="157">
        <f t="shared" si="1"/>
        <v>27.55</v>
      </c>
      <c r="M107" s="157">
        <f t="shared" si="1"/>
        <v>49.08</v>
      </c>
      <c r="N107" s="157">
        <f t="shared" si="1"/>
        <v>286.2</v>
      </c>
      <c r="O107" s="157">
        <f t="shared" si="1"/>
        <v>4.5999999999999996</v>
      </c>
      <c r="P107" s="157">
        <f t="shared" si="1"/>
        <v>0.47</v>
      </c>
      <c r="Q107" s="157">
        <f t="shared" si="1"/>
        <v>15.72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8.4760416666666654</v>
      </c>
      <c r="C108" s="158">
        <f t="shared" ref="C108:Q108" si="2">AVERAGE(C9:C104)</f>
        <v>7.6071874999999984</v>
      </c>
      <c r="D108" s="158">
        <f t="shared" si="2"/>
        <v>16.084270833333335</v>
      </c>
      <c r="E108" s="158">
        <f t="shared" si="2"/>
        <v>6.4463541666666666</v>
      </c>
      <c r="F108" s="158">
        <f t="shared" si="2"/>
        <v>2.1708333333333338</v>
      </c>
      <c r="G108" s="158">
        <f t="shared" si="2"/>
        <v>35.385520833333345</v>
      </c>
      <c r="H108" s="158">
        <f t="shared" si="2"/>
        <v>16.169062499999992</v>
      </c>
      <c r="I108" s="158">
        <f t="shared" si="2"/>
        <v>6.0405208333333329</v>
      </c>
      <c r="J108" s="158">
        <f t="shared" si="2"/>
        <v>0.30906250000000007</v>
      </c>
      <c r="K108" s="158">
        <f t="shared" si="2"/>
        <v>189.16499999999999</v>
      </c>
      <c r="L108" s="158">
        <f t="shared" si="2"/>
        <v>18.437499999999996</v>
      </c>
      <c r="M108" s="158">
        <f t="shared" si="2"/>
        <v>27.4453125</v>
      </c>
      <c r="N108" s="158">
        <f t="shared" si="2"/>
        <v>31.131250000000005</v>
      </c>
      <c r="O108" s="158">
        <f t="shared" si="2"/>
        <v>0.32291666666666669</v>
      </c>
      <c r="P108" s="158">
        <f t="shared" si="2"/>
        <v>0.36739583333333331</v>
      </c>
      <c r="Q108" s="158">
        <f t="shared" si="2"/>
        <v>10.260104166666666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1.7425241698341321</v>
      </c>
      <c r="C109" s="158">
        <f t="shared" ref="C109:Q109" si="3">STDEV(C9:C104)</f>
        <v>0.66061327667235803</v>
      </c>
      <c r="D109" s="158">
        <f t="shared" si="3"/>
        <v>2.205247208861818</v>
      </c>
      <c r="E109" s="158">
        <f t="shared" si="3"/>
        <v>0.81780466049008127</v>
      </c>
      <c r="F109" s="158">
        <f t="shared" si="3"/>
        <v>0.41393532845161685</v>
      </c>
      <c r="G109" s="158">
        <f t="shared" si="3"/>
        <v>12.565331157367011</v>
      </c>
      <c r="H109" s="158">
        <f t="shared" si="3"/>
        <v>5.0993871826091155</v>
      </c>
      <c r="I109" s="158">
        <f t="shared" si="3"/>
        <v>0.58611902831325746</v>
      </c>
      <c r="J109" s="158">
        <f t="shared" si="3"/>
        <v>0.1929007278096008</v>
      </c>
      <c r="K109" s="158">
        <f t="shared" si="3"/>
        <v>124.36941905383924</v>
      </c>
      <c r="L109" s="158">
        <f t="shared" si="3"/>
        <v>5.8134359801013433</v>
      </c>
      <c r="M109" s="158">
        <f t="shared" si="3"/>
        <v>14.510900799281185</v>
      </c>
      <c r="N109" s="158">
        <f t="shared" si="3"/>
        <v>52.733619182692777</v>
      </c>
      <c r="O109" s="158">
        <f t="shared" si="3"/>
        <v>0.8127250025836299</v>
      </c>
      <c r="P109" s="158">
        <f t="shared" si="3"/>
        <v>6.0701942944134869E-2</v>
      </c>
      <c r="Q109" s="158">
        <f t="shared" si="3"/>
        <v>0.74326377664101673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0" sqref="E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528</v>
      </c>
      <c r="B9" s="6">
        <v>5.86</v>
      </c>
      <c r="C9" s="6">
        <v>6.74</v>
      </c>
      <c r="D9" s="6">
        <v>12.6</v>
      </c>
      <c r="E9" s="6">
        <v>5.85</v>
      </c>
      <c r="F9" s="6">
        <v>2</v>
      </c>
      <c r="G9" s="6">
        <v>21.61</v>
      </c>
      <c r="H9" s="6">
        <v>8.9700000000000006</v>
      </c>
      <c r="I9" s="6">
        <v>6.82</v>
      </c>
      <c r="J9" s="6">
        <v>0.42</v>
      </c>
      <c r="K9" s="6">
        <v>249.9</v>
      </c>
      <c r="L9" s="6">
        <v>21.96</v>
      </c>
      <c r="M9" s="6">
        <v>37.1</v>
      </c>
      <c r="N9" s="6">
        <v>2.5</v>
      </c>
      <c r="O9" s="6">
        <v>0</v>
      </c>
      <c r="P9" s="6">
        <v>0.32</v>
      </c>
      <c r="Q9" s="6">
        <v>10</v>
      </c>
      <c r="R9" s="6"/>
      <c r="S9" s="6"/>
      <c r="T9" s="156"/>
      <c r="U9" s="6"/>
    </row>
    <row r="10" spans="1:21" customFormat="1">
      <c r="A10" s="201" t="s">
        <v>529</v>
      </c>
      <c r="B10" s="6">
        <v>5.74</v>
      </c>
      <c r="C10" s="6">
        <v>6.54</v>
      </c>
      <c r="D10" s="6">
        <v>12.29</v>
      </c>
      <c r="E10" s="6">
        <v>5.87</v>
      </c>
      <c r="F10" s="6">
        <v>2</v>
      </c>
      <c r="G10" s="6">
        <v>18.11</v>
      </c>
      <c r="H10" s="6">
        <v>7.09</v>
      </c>
      <c r="I10" s="6">
        <v>6.58</v>
      </c>
      <c r="J10" s="6">
        <v>0.24</v>
      </c>
      <c r="K10" s="6">
        <v>244.68</v>
      </c>
      <c r="L10" s="6">
        <v>21.44</v>
      </c>
      <c r="M10" s="6">
        <v>35.81</v>
      </c>
      <c r="N10" s="6">
        <v>2.4</v>
      </c>
      <c r="O10" s="6">
        <v>0</v>
      </c>
      <c r="P10" s="6">
        <v>0.31</v>
      </c>
      <c r="Q10" s="6">
        <v>10</v>
      </c>
      <c r="R10" s="6"/>
      <c r="S10" s="6"/>
      <c r="T10" s="156"/>
      <c r="U10" s="6"/>
    </row>
    <row r="11" spans="1:21" customFormat="1">
      <c r="A11" s="201" t="s">
        <v>530</v>
      </c>
      <c r="B11" s="6">
        <v>5.58</v>
      </c>
      <c r="C11" s="6">
        <v>6.44</v>
      </c>
      <c r="D11" s="6">
        <v>12.02</v>
      </c>
      <c r="E11" s="6">
        <v>6.02</v>
      </c>
      <c r="F11" s="6">
        <v>2</v>
      </c>
      <c r="G11" s="6">
        <v>15.43</v>
      </c>
      <c r="H11" s="6">
        <v>6.5</v>
      </c>
      <c r="I11" s="6">
        <v>6.5</v>
      </c>
      <c r="J11" s="6">
        <v>0.39</v>
      </c>
      <c r="K11" s="6">
        <v>252.21</v>
      </c>
      <c r="L11" s="6">
        <v>22.68</v>
      </c>
      <c r="M11" s="6">
        <v>38.840000000000003</v>
      </c>
      <c r="N11" s="6">
        <v>2.5</v>
      </c>
      <c r="O11" s="6">
        <v>0</v>
      </c>
      <c r="P11" s="6">
        <v>0.3</v>
      </c>
      <c r="Q11" s="6">
        <v>10.39</v>
      </c>
      <c r="R11" s="6"/>
      <c r="S11" s="6"/>
      <c r="T11" s="156"/>
      <c r="U11" s="6"/>
    </row>
    <row r="12" spans="1:21" customFormat="1">
      <c r="A12" s="201" t="s">
        <v>531</v>
      </c>
      <c r="B12" s="6">
        <v>5.4</v>
      </c>
      <c r="C12" s="6">
        <v>6.43</v>
      </c>
      <c r="D12" s="6">
        <v>11.82</v>
      </c>
      <c r="E12" s="6">
        <v>6.15</v>
      </c>
      <c r="F12" s="6">
        <v>2</v>
      </c>
      <c r="G12" s="6">
        <v>15.43</v>
      </c>
      <c r="H12" s="6">
        <v>6.5</v>
      </c>
      <c r="I12" s="6">
        <v>6.34</v>
      </c>
      <c r="J12" s="6">
        <v>0.4</v>
      </c>
      <c r="K12" s="6">
        <v>251.37</v>
      </c>
      <c r="L12" s="6">
        <v>22.18</v>
      </c>
      <c r="M12" s="6">
        <v>37.67</v>
      </c>
      <c r="N12" s="6">
        <v>2.7</v>
      </c>
      <c r="O12" s="6">
        <v>0</v>
      </c>
      <c r="P12" s="6">
        <v>0.3</v>
      </c>
      <c r="Q12" s="6">
        <v>10.01</v>
      </c>
      <c r="R12" s="6"/>
      <c r="S12" s="6"/>
      <c r="T12" s="156"/>
      <c r="U12" s="6"/>
    </row>
    <row r="13" spans="1:21" customFormat="1">
      <c r="A13" s="201" t="s">
        <v>532</v>
      </c>
      <c r="B13" s="6">
        <v>5.2</v>
      </c>
      <c r="C13" s="6">
        <v>6.4</v>
      </c>
      <c r="D13" s="6">
        <v>11.6</v>
      </c>
      <c r="E13" s="6">
        <v>5.71</v>
      </c>
      <c r="F13" s="6">
        <v>2</v>
      </c>
      <c r="G13" s="6">
        <v>15.43</v>
      </c>
      <c r="H13" s="6">
        <v>6.5</v>
      </c>
      <c r="I13" s="6">
        <v>6.23</v>
      </c>
      <c r="J13" s="6">
        <v>0.55000000000000004</v>
      </c>
      <c r="K13" s="6">
        <v>252.57</v>
      </c>
      <c r="L13" s="6">
        <v>22.67</v>
      </c>
      <c r="M13" s="6">
        <v>38.89</v>
      </c>
      <c r="N13" s="6">
        <v>2.8</v>
      </c>
      <c r="O13" s="6">
        <v>0</v>
      </c>
      <c r="P13" s="6">
        <v>0.3</v>
      </c>
      <c r="Q13" s="6">
        <v>10</v>
      </c>
      <c r="R13" s="6"/>
      <c r="S13" s="6"/>
      <c r="T13" s="156"/>
      <c r="U13" s="6"/>
    </row>
    <row r="14" spans="1:21" customFormat="1">
      <c r="A14" s="201" t="s">
        <v>533</v>
      </c>
      <c r="B14" s="6">
        <v>5.05</v>
      </c>
      <c r="C14" s="6">
        <v>6.42</v>
      </c>
      <c r="D14" s="6">
        <v>11.46</v>
      </c>
      <c r="E14" s="6">
        <v>5.96</v>
      </c>
      <c r="F14" s="6">
        <v>2.0099999999999998</v>
      </c>
      <c r="G14" s="6">
        <v>17.239999999999998</v>
      </c>
      <c r="H14" s="6">
        <v>6.2</v>
      </c>
      <c r="I14" s="6">
        <v>6.1</v>
      </c>
      <c r="J14" s="6">
        <v>0.39</v>
      </c>
      <c r="K14" s="6">
        <v>252.91</v>
      </c>
      <c r="L14" s="6">
        <v>22.37</v>
      </c>
      <c r="M14" s="6">
        <v>38.200000000000003</v>
      </c>
      <c r="N14" s="6">
        <v>2.8</v>
      </c>
      <c r="O14" s="6">
        <v>0</v>
      </c>
      <c r="P14" s="6">
        <v>0.28000000000000003</v>
      </c>
      <c r="Q14" s="6">
        <v>10</v>
      </c>
      <c r="R14" s="6"/>
      <c r="S14" s="6"/>
      <c r="T14" s="156"/>
      <c r="U14" s="6"/>
    </row>
    <row r="15" spans="1:21" customFormat="1">
      <c r="A15" s="201" t="s">
        <v>534</v>
      </c>
      <c r="B15" s="6">
        <v>4.91</v>
      </c>
      <c r="C15" s="6">
        <v>6.37</v>
      </c>
      <c r="D15" s="6">
        <v>11.28</v>
      </c>
      <c r="E15" s="6">
        <v>6.18</v>
      </c>
      <c r="F15" s="6">
        <v>2</v>
      </c>
      <c r="G15" s="6">
        <v>18.62</v>
      </c>
      <c r="H15" s="6">
        <v>6.11</v>
      </c>
      <c r="I15" s="6">
        <v>6.04</v>
      </c>
      <c r="J15" s="6">
        <v>0.33</v>
      </c>
      <c r="K15" s="6">
        <v>249.56</v>
      </c>
      <c r="L15" s="6">
        <v>22.14</v>
      </c>
      <c r="M15" s="6">
        <v>37.61</v>
      </c>
      <c r="N15" s="6">
        <v>2.7</v>
      </c>
      <c r="O15" s="6">
        <v>0</v>
      </c>
      <c r="P15" s="6">
        <v>0.28000000000000003</v>
      </c>
      <c r="Q15" s="6">
        <v>10</v>
      </c>
      <c r="R15" s="6"/>
      <c r="S15" s="6"/>
      <c r="T15" s="156"/>
      <c r="U15" s="6"/>
    </row>
    <row r="16" spans="1:21" customFormat="1">
      <c r="A16" s="201" t="s">
        <v>535</v>
      </c>
      <c r="B16" s="6">
        <v>4.79</v>
      </c>
      <c r="C16" s="6">
        <v>6.28</v>
      </c>
      <c r="D16" s="6">
        <v>11.08</v>
      </c>
      <c r="E16" s="6">
        <v>6</v>
      </c>
      <c r="F16" s="6">
        <v>2</v>
      </c>
      <c r="G16" s="6">
        <v>18.62</v>
      </c>
      <c r="H16" s="6">
        <v>6.11</v>
      </c>
      <c r="I16" s="6">
        <v>5.99</v>
      </c>
      <c r="J16" s="6">
        <v>0.37</v>
      </c>
      <c r="K16" s="6">
        <v>246.48</v>
      </c>
      <c r="L16" s="6">
        <v>21.3</v>
      </c>
      <c r="M16" s="6">
        <v>35.46</v>
      </c>
      <c r="N16" s="6">
        <v>2.8</v>
      </c>
      <c r="O16" s="6">
        <v>0</v>
      </c>
      <c r="P16" s="6">
        <v>0.27</v>
      </c>
      <c r="Q16" s="6">
        <v>10</v>
      </c>
      <c r="R16" s="6"/>
      <c r="S16" s="6"/>
      <c r="T16" s="156"/>
      <c r="U16" s="6"/>
    </row>
    <row r="17" spans="1:21" customFormat="1">
      <c r="A17" s="201" t="s">
        <v>536</v>
      </c>
      <c r="B17" s="6">
        <v>4.6900000000000004</v>
      </c>
      <c r="C17" s="6">
        <v>6.23</v>
      </c>
      <c r="D17" s="6">
        <v>10.92</v>
      </c>
      <c r="E17" s="6">
        <v>4.72</v>
      </c>
      <c r="F17" s="6">
        <v>2</v>
      </c>
      <c r="G17" s="6">
        <v>18.62</v>
      </c>
      <c r="H17" s="6">
        <v>6.11</v>
      </c>
      <c r="I17" s="6">
        <v>5.93</v>
      </c>
      <c r="J17" s="6">
        <v>0.34</v>
      </c>
      <c r="K17" s="6">
        <v>251.92</v>
      </c>
      <c r="L17" s="6">
        <v>22</v>
      </c>
      <c r="M17" s="6">
        <v>37.18</v>
      </c>
      <c r="N17" s="6">
        <v>2.7</v>
      </c>
      <c r="O17" s="6">
        <v>0</v>
      </c>
      <c r="P17" s="6">
        <v>0.27</v>
      </c>
      <c r="Q17" s="6">
        <v>10</v>
      </c>
      <c r="R17" s="6"/>
      <c r="S17" s="6"/>
      <c r="T17" s="156"/>
      <c r="U17" s="6"/>
    </row>
    <row r="18" spans="1:21" customFormat="1">
      <c r="A18" s="201" t="s">
        <v>537</v>
      </c>
      <c r="B18" s="6">
        <v>4.6100000000000003</v>
      </c>
      <c r="C18" s="6">
        <v>6.21</v>
      </c>
      <c r="D18" s="6">
        <v>10.82</v>
      </c>
      <c r="E18" s="6">
        <v>5.62</v>
      </c>
      <c r="F18" s="6">
        <v>2</v>
      </c>
      <c r="G18" s="6">
        <v>16.690000000000001</v>
      </c>
      <c r="H18" s="6">
        <v>8.65</v>
      </c>
      <c r="I18" s="6">
        <v>5.88</v>
      </c>
      <c r="J18" s="6">
        <v>0.49</v>
      </c>
      <c r="K18" s="6">
        <v>252</v>
      </c>
      <c r="L18" s="6">
        <v>22.36</v>
      </c>
      <c r="M18" s="6">
        <v>38.090000000000003</v>
      </c>
      <c r="N18" s="6">
        <v>2.7</v>
      </c>
      <c r="O18" s="6">
        <v>0</v>
      </c>
      <c r="P18" s="6">
        <v>0.27</v>
      </c>
      <c r="Q18" s="6">
        <v>10</v>
      </c>
      <c r="R18" s="6"/>
      <c r="S18" s="6"/>
      <c r="T18" s="156"/>
      <c r="U18" s="6"/>
    </row>
    <row r="19" spans="1:21" customFormat="1">
      <c r="A19" s="201" t="s">
        <v>538</v>
      </c>
      <c r="B19" s="6">
        <v>4.5</v>
      </c>
      <c r="C19" s="6">
        <v>6.18</v>
      </c>
      <c r="D19" s="6">
        <v>10.69</v>
      </c>
      <c r="E19" s="6">
        <v>5.69</v>
      </c>
      <c r="F19" s="6">
        <v>2</v>
      </c>
      <c r="G19" s="6">
        <v>15.2</v>
      </c>
      <c r="H19" s="6">
        <v>9.4700000000000006</v>
      </c>
      <c r="I19" s="6">
        <v>5.86</v>
      </c>
      <c r="J19" s="6">
        <v>0.38</v>
      </c>
      <c r="K19" s="6">
        <v>250.58</v>
      </c>
      <c r="L19" s="6">
        <v>21.83</v>
      </c>
      <c r="M19" s="6">
        <v>36.72</v>
      </c>
      <c r="N19" s="6">
        <v>2.6</v>
      </c>
      <c r="O19" s="6">
        <v>0</v>
      </c>
      <c r="P19" s="6">
        <v>0.28000000000000003</v>
      </c>
      <c r="Q19" s="6">
        <v>10</v>
      </c>
      <c r="R19" s="6"/>
      <c r="S19" s="6"/>
      <c r="T19" s="156"/>
      <c r="U19" s="6"/>
    </row>
    <row r="20" spans="1:21" customFormat="1">
      <c r="A20" s="201" t="s">
        <v>539</v>
      </c>
      <c r="B20" s="6">
        <v>4.43</v>
      </c>
      <c r="C20" s="6">
        <v>6.11</v>
      </c>
      <c r="D20" s="6">
        <v>10.54</v>
      </c>
      <c r="E20" s="6">
        <v>5.35</v>
      </c>
      <c r="F20" s="6">
        <v>2</v>
      </c>
      <c r="G20" s="6">
        <v>15.2</v>
      </c>
      <c r="H20" s="6">
        <v>9.4700000000000006</v>
      </c>
      <c r="I20" s="6">
        <v>5.87</v>
      </c>
      <c r="J20" s="6">
        <v>0.51</v>
      </c>
      <c r="K20" s="6">
        <v>250.42</v>
      </c>
      <c r="L20" s="6">
        <v>22.41</v>
      </c>
      <c r="M20" s="6">
        <v>38.24</v>
      </c>
      <c r="N20" s="6">
        <v>2.6</v>
      </c>
      <c r="O20" s="6">
        <v>0</v>
      </c>
      <c r="P20" s="6">
        <v>0.28000000000000003</v>
      </c>
      <c r="Q20" s="6">
        <v>9.92</v>
      </c>
      <c r="R20" s="6"/>
      <c r="S20" s="6"/>
      <c r="T20" s="156"/>
      <c r="U20" s="6"/>
    </row>
    <row r="21" spans="1:21" customFormat="1">
      <c r="A21" s="201" t="s">
        <v>540</v>
      </c>
      <c r="B21" s="6">
        <v>4.3</v>
      </c>
      <c r="C21" s="6">
        <v>6.15</v>
      </c>
      <c r="D21" s="6">
        <v>10.44</v>
      </c>
      <c r="E21" s="6">
        <v>5.68</v>
      </c>
      <c r="F21" s="6">
        <v>2</v>
      </c>
      <c r="G21" s="6">
        <v>15.2</v>
      </c>
      <c r="H21" s="6">
        <v>9.4700000000000006</v>
      </c>
      <c r="I21" s="6">
        <v>5.89</v>
      </c>
      <c r="J21" s="6">
        <v>0.51</v>
      </c>
      <c r="K21" s="6">
        <v>251.16</v>
      </c>
      <c r="L21" s="6">
        <v>21.71</v>
      </c>
      <c r="M21" s="6">
        <v>36.53</v>
      </c>
      <c r="N21" s="6">
        <v>2.6</v>
      </c>
      <c r="O21" s="6">
        <v>0</v>
      </c>
      <c r="P21" s="6">
        <v>0.27</v>
      </c>
      <c r="Q21" s="6">
        <v>10</v>
      </c>
      <c r="R21" s="6"/>
      <c r="S21" s="6"/>
      <c r="T21" s="156"/>
      <c r="U21" s="6"/>
    </row>
    <row r="22" spans="1:21" customFormat="1">
      <c r="A22" s="201" t="s">
        <v>541</v>
      </c>
      <c r="B22" s="6">
        <v>4.17</v>
      </c>
      <c r="C22" s="6">
        <v>6.18</v>
      </c>
      <c r="D22" s="6">
        <v>10.35</v>
      </c>
      <c r="E22" s="6">
        <v>5.72</v>
      </c>
      <c r="F22" s="6">
        <v>2</v>
      </c>
      <c r="G22" s="6">
        <v>15.32</v>
      </c>
      <c r="H22" s="6">
        <v>7.75</v>
      </c>
      <c r="I22" s="6">
        <v>5.88</v>
      </c>
      <c r="J22" s="6">
        <v>0.47</v>
      </c>
      <c r="K22" s="6">
        <v>251.42</v>
      </c>
      <c r="L22" s="6">
        <v>22.32</v>
      </c>
      <c r="M22" s="6">
        <v>38.07</v>
      </c>
      <c r="N22" s="6">
        <v>2.5</v>
      </c>
      <c r="O22" s="6">
        <v>0</v>
      </c>
      <c r="P22" s="6">
        <v>0.27</v>
      </c>
      <c r="Q22" s="6">
        <v>10</v>
      </c>
      <c r="R22" s="6"/>
      <c r="S22" s="6"/>
      <c r="T22" s="156"/>
      <c r="U22" s="6"/>
    </row>
    <row r="23" spans="1:21" customFormat="1">
      <c r="A23" s="201" t="s">
        <v>542</v>
      </c>
      <c r="B23" s="6">
        <v>4.18</v>
      </c>
      <c r="C23" s="6">
        <v>5.96</v>
      </c>
      <c r="D23" s="6">
        <v>10.15</v>
      </c>
      <c r="E23" s="6">
        <v>5.67</v>
      </c>
      <c r="F23" s="6">
        <v>2</v>
      </c>
      <c r="G23" s="6">
        <v>15.41</v>
      </c>
      <c r="H23" s="6">
        <v>6.73</v>
      </c>
      <c r="I23" s="6">
        <v>5.88</v>
      </c>
      <c r="J23" s="6">
        <v>0.53</v>
      </c>
      <c r="K23" s="6">
        <v>252.05</v>
      </c>
      <c r="L23" s="6">
        <v>22.34</v>
      </c>
      <c r="M23" s="6">
        <v>38.090000000000003</v>
      </c>
      <c r="N23" s="6">
        <v>2.5</v>
      </c>
      <c r="O23" s="6">
        <v>0</v>
      </c>
      <c r="P23" s="6">
        <v>0.24</v>
      </c>
      <c r="Q23" s="6">
        <v>10</v>
      </c>
      <c r="R23" s="6"/>
      <c r="S23" s="6"/>
      <c r="T23" s="156"/>
      <c r="U23" s="6"/>
    </row>
    <row r="24" spans="1:21" customFormat="1">
      <c r="A24" s="201" t="s">
        <v>543</v>
      </c>
      <c r="B24" s="6">
        <v>4.22</v>
      </c>
      <c r="C24" s="6">
        <v>5.79</v>
      </c>
      <c r="D24" s="6">
        <v>10.01</v>
      </c>
      <c r="E24" s="6">
        <v>5.37</v>
      </c>
      <c r="F24" s="6">
        <v>2</v>
      </c>
      <c r="G24" s="6">
        <v>15.41</v>
      </c>
      <c r="H24" s="6">
        <v>6.73</v>
      </c>
      <c r="I24" s="6">
        <v>5.82</v>
      </c>
      <c r="J24" s="6">
        <v>0.6</v>
      </c>
      <c r="K24" s="6">
        <v>254.35</v>
      </c>
      <c r="L24" s="6">
        <v>22.87</v>
      </c>
      <c r="M24" s="6">
        <v>39.4</v>
      </c>
      <c r="N24" s="6">
        <v>2.4</v>
      </c>
      <c r="O24" s="6">
        <v>0</v>
      </c>
      <c r="P24" s="6">
        <v>0.2</v>
      </c>
      <c r="Q24" s="6">
        <v>10</v>
      </c>
      <c r="R24" s="6"/>
      <c r="S24" s="6"/>
      <c r="T24" s="156"/>
      <c r="U24" s="6"/>
    </row>
    <row r="25" spans="1:21" customFormat="1">
      <c r="A25" s="201" t="s">
        <v>544</v>
      </c>
      <c r="B25" s="6">
        <v>4.2699999999999996</v>
      </c>
      <c r="C25" s="6">
        <v>5.82</v>
      </c>
      <c r="D25" s="6">
        <v>10.09</v>
      </c>
      <c r="E25" s="6">
        <v>4.9800000000000004</v>
      </c>
      <c r="F25" s="6">
        <v>2</v>
      </c>
      <c r="G25" s="6">
        <v>15.41</v>
      </c>
      <c r="H25" s="6">
        <v>6.73</v>
      </c>
      <c r="I25" s="6">
        <v>5.82</v>
      </c>
      <c r="J25" s="6">
        <v>0.57999999999999996</v>
      </c>
      <c r="K25" s="6">
        <v>252.68</v>
      </c>
      <c r="L25" s="6">
        <v>22.69</v>
      </c>
      <c r="M25" s="6">
        <v>38.799999999999997</v>
      </c>
      <c r="N25" s="6">
        <v>2.4</v>
      </c>
      <c r="O25" s="6">
        <v>0</v>
      </c>
      <c r="P25" s="6">
        <v>0.19</v>
      </c>
      <c r="Q25" s="6">
        <v>10</v>
      </c>
      <c r="R25" s="6"/>
      <c r="S25" s="6"/>
      <c r="T25" s="156"/>
      <c r="U25" s="6"/>
    </row>
    <row r="26" spans="1:21" customFormat="1">
      <c r="A26" s="201" t="s">
        <v>545</v>
      </c>
      <c r="B26" s="6">
        <v>4.41</v>
      </c>
      <c r="C26" s="6">
        <v>6.07</v>
      </c>
      <c r="D26" s="6">
        <v>10.48</v>
      </c>
      <c r="E26" s="6">
        <v>5.32</v>
      </c>
      <c r="F26" s="6">
        <v>2.0099999999999998</v>
      </c>
      <c r="G26" s="6">
        <v>15.66</v>
      </c>
      <c r="H26" s="6">
        <v>5.55</v>
      </c>
      <c r="I26" s="6">
        <v>5.81</v>
      </c>
      <c r="J26" s="6">
        <v>0.46</v>
      </c>
      <c r="K26" s="6">
        <v>251.13</v>
      </c>
      <c r="L26" s="6">
        <v>22.08</v>
      </c>
      <c r="M26" s="6">
        <v>37.479999999999997</v>
      </c>
      <c r="N26" s="6">
        <v>2.4</v>
      </c>
      <c r="O26" s="6">
        <v>0</v>
      </c>
      <c r="P26" s="6">
        <v>0.21</v>
      </c>
      <c r="Q26" s="6">
        <v>10</v>
      </c>
      <c r="R26" s="6"/>
      <c r="S26" s="6"/>
      <c r="T26" s="156"/>
      <c r="U26" s="6"/>
    </row>
    <row r="27" spans="1:21" customFormat="1">
      <c r="A27" s="201" t="s">
        <v>546</v>
      </c>
      <c r="B27" s="6">
        <v>4.55</v>
      </c>
      <c r="C27" s="6">
        <v>5.8</v>
      </c>
      <c r="D27" s="6">
        <v>10.35</v>
      </c>
      <c r="E27" s="6">
        <v>5.34</v>
      </c>
      <c r="F27" s="6">
        <v>2</v>
      </c>
      <c r="G27" s="6">
        <v>15.84</v>
      </c>
      <c r="H27" s="6">
        <v>5.17</v>
      </c>
      <c r="I27" s="6">
        <v>5.69</v>
      </c>
      <c r="J27" s="6">
        <v>0.41</v>
      </c>
      <c r="K27" s="6">
        <v>251.04</v>
      </c>
      <c r="L27" s="6">
        <v>22.2</v>
      </c>
      <c r="M27" s="6">
        <v>37.76</v>
      </c>
      <c r="N27" s="6">
        <v>2.4</v>
      </c>
      <c r="O27" s="6">
        <v>0</v>
      </c>
      <c r="P27" s="6">
        <v>0.2</v>
      </c>
      <c r="Q27" s="6">
        <v>10</v>
      </c>
      <c r="R27" s="6"/>
      <c r="S27" s="6"/>
      <c r="T27" s="156"/>
      <c r="U27" s="6"/>
    </row>
    <row r="28" spans="1:21" customFormat="1">
      <c r="A28" s="201" t="s">
        <v>547</v>
      </c>
      <c r="B28" s="6">
        <v>4.59</v>
      </c>
      <c r="C28" s="6">
        <v>5.64</v>
      </c>
      <c r="D28" s="6">
        <v>10.220000000000001</v>
      </c>
      <c r="E28" s="6">
        <v>5.32</v>
      </c>
      <c r="F28" s="6">
        <v>2.04</v>
      </c>
      <c r="G28" s="6">
        <v>15.84</v>
      </c>
      <c r="H28" s="6">
        <v>5.17</v>
      </c>
      <c r="I28" s="6">
        <v>5.73</v>
      </c>
      <c r="J28" s="6">
        <v>0.44</v>
      </c>
      <c r="K28" s="6">
        <v>251.65</v>
      </c>
      <c r="L28" s="6">
        <v>22.15</v>
      </c>
      <c r="M28" s="6">
        <v>37.56</v>
      </c>
      <c r="N28" s="6">
        <v>2.4</v>
      </c>
      <c r="O28" s="6">
        <v>0</v>
      </c>
      <c r="P28" s="6">
        <v>0.17</v>
      </c>
      <c r="Q28" s="6">
        <v>10</v>
      </c>
      <c r="R28" s="6"/>
      <c r="S28" s="6"/>
      <c r="T28" s="156"/>
      <c r="U28" s="6"/>
    </row>
    <row r="29" spans="1:21" customFormat="1">
      <c r="A29" s="201" t="s">
        <v>548</v>
      </c>
      <c r="B29" s="6">
        <v>4.68</v>
      </c>
      <c r="C29" s="6">
        <v>5.74</v>
      </c>
      <c r="D29" s="6">
        <v>10.42</v>
      </c>
      <c r="E29" s="6">
        <v>5.04</v>
      </c>
      <c r="F29" s="6">
        <v>2.0099999999999998</v>
      </c>
      <c r="G29" s="6">
        <v>15.84</v>
      </c>
      <c r="H29" s="6">
        <v>5.17</v>
      </c>
      <c r="I29" s="6">
        <v>5.69</v>
      </c>
      <c r="J29" s="6">
        <v>0.46</v>
      </c>
      <c r="K29" s="6">
        <v>252.69</v>
      </c>
      <c r="L29" s="6">
        <v>22.44</v>
      </c>
      <c r="M29" s="6">
        <v>38.299999999999997</v>
      </c>
      <c r="N29" s="6">
        <v>2.4</v>
      </c>
      <c r="O29" s="6">
        <v>0</v>
      </c>
      <c r="P29" s="6">
        <v>0.19</v>
      </c>
      <c r="Q29" s="6">
        <v>10</v>
      </c>
      <c r="R29" s="6"/>
      <c r="S29" s="6"/>
      <c r="T29" s="156"/>
      <c r="U29" s="6"/>
    </row>
    <row r="30" spans="1:21" customFormat="1">
      <c r="A30" s="201" t="s">
        <v>549</v>
      </c>
      <c r="B30" s="6">
        <v>4.76</v>
      </c>
      <c r="C30" s="6">
        <v>5.72</v>
      </c>
      <c r="D30" s="6">
        <v>10.49</v>
      </c>
      <c r="E30" s="6">
        <v>4.96</v>
      </c>
      <c r="F30" s="6">
        <v>2</v>
      </c>
      <c r="G30" s="6">
        <v>15.93</v>
      </c>
      <c r="H30" s="6">
        <v>4.0999999999999996</v>
      </c>
      <c r="I30" s="6">
        <v>5.62</v>
      </c>
      <c r="J30" s="6">
        <v>0.38</v>
      </c>
      <c r="K30" s="6">
        <v>253.42</v>
      </c>
      <c r="L30" s="6">
        <v>22.74</v>
      </c>
      <c r="M30" s="6">
        <v>39.04</v>
      </c>
      <c r="N30" s="6">
        <v>2.4</v>
      </c>
      <c r="O30" s="6">
        <v>0</v>
      </c>
      <c r="P30" s="6">
        <v>0.18</v>
      </c>
      <c r="Q30" s="6">
        <v>10</v>
      </c>
      <c r="R30" s="6"/>
      <c r="S30" s="6"/>
      <c r="T30" s="156"/>
      <c r="U30" s="6"/>
    </row>
    <row r="31" spans="1:21" customFormat="1">
      <c r="A31" s="201" t="s">
        <v>550</v>
      </c>
      <c r="B31" s="6">
        <v>4.87</v>
      </c>
      <c r="C31" s="6">
        <v>5.59</v>
      </c>
      <c r="D31" s="6">
        <v>10.46</v>
      </c>
      <c r="E31" s="6">
        <v>5.4</v>
      </c>
      <c r="F31" s="6">
        <v>2</v>
      </c>
      <c r="G31" s="6">
        <v>16</v>
      </c>
      <c r="H31" s="6">
        <v>3.76</v>
      </c>
      <c r="I31" s="6">
        <v>5.55</v>
      </c>
      <c r="J31" s="6">
        <v>0.44</v>
      </c>
      <c r="K31" s="6">
        <v>253.88</v>
      </c>
      <c r="L31" s="6">
        <v>22.04</v>
      </c>
      <c r="M31" s="6">
        <v>37.32</v>
      </c>
      <c r="N31" s="6">
        <v>2.4</v>
      </c>
      <c r="O31" s="6">
        <v>0</v>
      </c>
      <c r="P31" s="6">
        <v>0.18</v>
      </c>
      <c r="Q31" s="6">
        <v>11.03</v>
      </c>
      <c r="R31" s="6"/>
      <c r="S31" s="6"/>
      <c r="T31" s="156"/>
      <c r="U31" s="6"/>
    </row>
    <row r="32" spans="1:21" customFormat="1">
      <c r="A32" s="201" t="s">
        <v>551</v>
      </c>
      <c r="B32" s="6">
        <v>4.9800000000000004</v>
      </c>
      <c r="C32" s="6">
        <v>5.79</v>
      </c>
      <c r="D32" s="6">
        <v>10.77</v>
      </c>
      <c r="E32" s="6">
        <v>5.52</v>
      </c>
      <c r="F32" s="6">
        <v>2</v>
      </c>
      <c r="G32" s="6">
        <v>16</v>
      </c>
      <c r="H32" s="6">
        <v>3.76</v>
      </c>
      <c r="I32" s="6">
        <v>5.48</v>
      </c>
      <c r="J32" s="6">
        <v>0.44</v>
      </c>
      <c r="K32" s="6">
        <v>252.66</v>
      </c>
      <c r="L32" s="6">
        <v>22.11</v>
      </c>
      <c r="M32" s="6">
        <v>37.520000000000003</v>
      </c>
      <c r="N32" s="6">
        <v>3.1</v>
      </c>
      <c r="O32" s="6">
        <v>0</v>
      </c>
      <c r="P32" s="6">
        <v>0.18</v>
      </c>
      <c r="Q32" s="6">
        <v>10.08</v>
      </c>
      <c r="R32" s="6"/>
      <c r="S32" s="6"/>
      <c r="T32" s="156"/>
      <c r="U32" s="6"/>
    </row>
    <row r="33" spans="1:21" customFormat="1">
      <c r="A33" s="201" t="s">
        <v>552</v>
      </c>
      <c r="B33" s="6">
        <v>5</v>
      </c>
      <c r="C33" s="6">
        <v>5.6</v>
      </c>
      <c r="D33" s="6">
        <v>10.61</v>
      </c>
      <c r="E33" s="6">
        <v>5.12</v>
      </c>
      <c r="F33" s="6">
        <v>2</v>
      </c>
      <c r="G33" s="6">
        <v>16</v>
      </c>
      <c r="H33" s="6">
        <v>3.76</v>
      </c>
      <c r="I33" s="6">
        <v>5.43</v>
      </c>
      <c r="J33" s="6">
        <v>0.46</v>
      </c>
      <c r="K33" s="6">
        <v>251.56</v>
      </c>
      <c r="L33" s="6">
        <v>22.27</v>
      </c>
      <c r="M33" s="6">
        <v>37.79</v>
      </c>
      <c r="N33" s="6">
        <v>7</v>
      </c>
      <c r="O33" s="6">
        <v>0</v>
      </c>
      <c r="P33" s="6">
        <v>0.17</v>
      </c>
      <c r="Q33" s="6">
        <v>9.9700000000000006</v>
      </c>
      <c r="R33" s="6"/>
      <c r="S33" s="6"/>
      <c r="T33" s="156"/>
      <c r="U33" s="6"/>
    </row>
    <row r="34" spans="1:21" customFormat="1">
      <c r="A34" s="201" t="s">
        <v>553</v>
      </c>
      <c r="B34" s="6">
        <v>5</v>
      </c>
      <c r="C34" s="6">
        <v>5.6</v>
      </c>
      <c r="D34" s="6">
        <v>10.6</v>
      </c>
      <c r="E34" s="6">
        <v>5.14</v>
      </c>
      <c r="F34" s="6">
        <v>2</v>
      </c>
      <c r="G34" s="6">
        <v>13.42</v>
      </c>
      <c r="H34" s="6">
        <v>5.77</v>
      </c>
      <c r="I34" s="6">
        <v>5.47</v>
      </c>
      <c r="J34" s="6">
        <v>0.72</v>
      </c>
      <c r="K34" s="6">
        <v>254.06</v>
      </c>
      <c r="L34" s="6">
        <v>22.5</v>
      </c>
      <c r="M34" s="6">
        <v>38.14</v>
      </c>
      <c r="N34" s="6">
        <v>14.1</v>
      </c>
      <c r="O34" s="6">
        <v>0</v>
      </c>
      <c r="P34" s="6">
        <v>0.16</v>
      </c>
      <c r="Q34" s="6">
        <v>9.89</v>
      </c>
      <c r="R34" s="6"/>
      <c r="S34" s="6"/>
      <c r="T34" s="156"/>
      <c r="U34" s="6"/>
    </row>
    <row r="35" spans="1:21" customFormat="1">
      <c r="A35" s="201" t="s">
        <v>554</v>
      </c>
      <c r="B35" s="6">
        <v>5.08</v>
      </c>
      <c r="C35" s="6">
        <v>5.79</v>
      </c>
      <c r="D35" s="6">
        <v>10.87</v>
      </c>
      <c r="E35" s="6">
        <v>5.16</v>
      </c>
      <c r="F35" s="6">
        <v>2</v>
      </c>
      <c r="G35" s="6">
        <v>11.46</v>
      </c>
      <c r="H35" s="6">
        <v>6.41</v>
      </c>
      <c r="I35" s="6">
        <v>5.39</v>
      </c>
      <c r="J35" s="6">
        <v>0.68</v>
      </c>
      <c r="K35" s="6">
        <v>255.44</v>
      </c>
      <c r="L35" s="6">
        <v>22.95</v>
      </c>
      <c r="M35" s="6">
        <v>39.24</v>
      </c>
      <c r="N35" s="6">
        <v>15.2</v>
      </c>
      <c r="O35" s="6">
        <v>0</v>
      </c>
      <c r="P35" s="6">
        <v>0.18</v>
      </c>
      <c r="Q35" s="6">
        <v>9.98</v>
      </c>
      <c r="R35" s="6"/>
      <c r="S35" s="6"/>
      <c r="T35" s="156"/>
      <c r="U35" s="6"/>
    </row>
    <row r="36" spans="1:21" customFormat="1">
      <c r="A36" s="201" t="s">
        <v>555</v>
      </c>
      <c r="B36" s="6">
        <v>5.13</v>
      </c>
      <c r="C36" s="6">
        <v>5.64</v>
      </c>
      <c r="D36" s="6">
        <v>10.77</v>
      </c>
      <c r="E36" s="6">
        <v>5.3</v>
      </c>
      <c r="F36" s="6">
        <v>2</v>
      </c>
      <c r="G36" s="6">
        <v>11.46</v>
      </c>
      <c r="H36" s="6">
        <v>6.41</v>
      </c>
      <c r="I36" s="6">
        <v>5.33</v>
      </c>
      <c r="J36" s="6">
        <v>0.68</v>
      </c>
      <c r="K36" s="6">
        <v>253.07</v>
      </c>
      <c r="L36" s="6">
        <v>22.7</v>
      </c>
      <c r="M36" s="6">
        <v>38.54</v>
      </c>
      <c r="N36" s="6">
        <v>20.7</v>
      </c>
      <c r="O36" s="6">
        <v>0</v>
      </c>
      <c r="P36" s="6">
        <v>0.16</v>
      </c>
      <c r="Q36" s="6">
        <v>10</v>
      </c>
      <c r="R36" s="6"/>
      <c r="S36" s="6"/>
      <c r="T36" s="156"/>
      <c r="U36" s="6"/>
    </row>
    <row r="37" spans="1:21" customFormat="1">
      <c r="A37" s="201" t="s">
        <v>556</v>
      </c>
      <c r="B37" s="6">
        <v>5.0599999999999996</v>
      </c>
      <c r="C37" s="6">
        <v>5.59</v>
      </c>
      <c r="D37" s="6">
        <v>10.65</v>
      </c>
      <c r="E37" s="6">
        <v>5.1100000000000003</v>
      </c>
      <c r="F37" s="6">
        <v>2</v>
      </c>
      <c r="G37" s="6">
        <v>11.46</v>
      </c>
      <c r="H37" s="6">
        <v>6.41</v>
      </c>
      <c r="I37" s="6">
        <v>5.37</v>
      </c>
      <c r="J37" s="6">
        <v>0.63</v>
      </c>
      <c r="K37" s="6">
        <v>254.25</v>
      </c>
      <c r="L37" s="6">
        <v>22.86</v>
      </c>
      <c r="M37" s="6">
        <v>38.619999999999997</v>
      </c>
      <c r="N37" s="6">
        <v>31.5</v>
      </c>
      <c r="O37" s="6">
        <v>0</v>
      </c>
      <c r="P37" s="6">
        <v>0.15</v>
      </c>
      <c r="Q37" s="6">
        <v>10</v>
      </c>
      <c r="R37" s="6"/>
      <c r="S37" s="6"/>
      <c r="T37" s="156"/>
      <c r="U37" s="6"/>
    </row>
    <row r="38" spans="1:21" customFormat="1">
      <c r="A38" s="201" t="s">
        <v>557</v>
      </c>
      <c r="B38" s="6">
        <v>5.12</v>
      </c>
      <c r="C38" s="6">
        <v>5.8</v>
      </c>
      <c r="D38" s="6">
        <v>10.92</v>
      </c>
      <c r="E38" s="6">
        <v>5.09</v>
      </c>
      <c r="F38" s="6">
        <v>2</v>
      </c>
      <c r="G38" s="6">
        <v>13.89</v>
      </c>
      <c r="H38" s="6">
        <v>5.31</v>
      </c>
      <c r="I38" s="6">
        <v>5.36</v>
      </c>
      <c r="J38" s="6">
        <v>0.65</v>
      </c>
      <c r="K38" s="6">
        <v>252.44</v>
      </c>
      <c r="L38" s="6">
        <v>22.99</v>
      </c>
      <c r="M38" s="6">
        <v>38.659999999999997</v>
      </c>
      <c r="N38" s="6">
        <v>44.7</v>
      </c>
      <c r="O38" s="6">
        <v>0</v>
      </c>
      <c r="P38" s="6">
        <v>0.18</v>
      </c>
      <c r="Q38" s="6">
        <v>10</v>
      </c>
      <c r="R38" s="6"/>
      <c r="S38" s="6"/>
      <c r="T38" s="156"/>
      <c r="U38" s="6"/>
    </row>
    <row r="39" spans="1:21" customFormat="1">
      <c r="A39" s="201" t="s">
        <v>558</v>
      </c>
      <c r="B39" s="6">
        <v>5.22</v>
      </c>
      <c r="C39" s="6">
        <v>5.83</v>
      </c>
      <c r="D39" s="6">
        <v>11.05</v>
      </c>
      <c r="E39" s="6">
        <v>5.55</v>
      </c>
      <c r="F39" s="6">
        <v>2</v>
      </c>
      <c r="G39" s="6">
        <v>15.75</v>
      </c>
      <c r="H39" s="6">
        <v>4.63</v>
      </c>
      <c r="I39" s="6">
        <v>5.36</v>
      </c>
      <c r="J39" s="6">
        <v>0.51</v>
      </c>
      <c r="K39" s="6">
        <v>252.86</v>
      </c>
      <c r="L39" s="6">
        <v>23.04</v>
      </c>
      <c r="M39" s="6">
        <v>38.409999999999997</v>
      </c>
      <c r="N39" s="6">
        <v>63.8</v>
      </c>
      <c r="O39" s="6">
        <v>0</v>
      </c>
      <c r="P39" s="6">
        <v>0.19</v>
      </c>
      <c r="Q39" s="6">
        <v>10</v>
      </c>
      <c r="R39" s="6"/>
      <c r="S39" s="6"/>
      <c r="T39" s="156"/>
      <c r="U39" s="6"/>
    </row>
    <row r="40" spans="1:21" customFormat="1">
      <c r="A40" s="201" t="s">
        <v>559</v>
      </c>
      <c r="B40" s="6">
        <v>5.21</v>
      </c>
      <c r="C40" s="6">
        <v>5.72</v>
      </c>
      <c r="D40" s="6">
        <v>10.93</v>
      </c>
      <c r="E40" s="6">
        <v>5.28</v>
      </c>
      <c r="F40" s="6">
        <v>2.06</v>
      </c>
      <c r="G40" s="6">
        <v>15.75</v>
      </c>
      <c r="H40" s="6">
        <v>4.63</v>
      </c>
      <c r="I40" s="6">
        <v>5.5</v>
      </c>
      <c r="J40" s="6">
        <v>0.52</v>
      </c>
      <c r="K40" s="6">
        <v>252.63</v>
      </c>
      <c r="L40" s="6">
        <v>22.53</v>
      </c>
      <c r="M40" s="6">
        <v>37.4</v>
      </c>
      <c r="N40" s="6">
        <v>48.4</v>
      </c>
      <c r="O40" s="6">
        <v>0</v>
      </c>
      <c r="P40" s="6">
        <v>0.2</v>
      </c>
      <c r="Q40" s="6">
        <v>10</v>
      </c>
      <c r="R40" s="6"/>
      <c r="S40" s="6"/>
      <c r="T40" s="156"/>
      <c r="U40" s="6"/>
    </row>
    <row r="41" spans="1:21" customFormat="1">
      <c r="A41" s="201" t="s">
        <v>560</v>
      </c>
      <c r="B41" s="6">
        <v>5.24</v>
      </c>
      <c r="C41" s="6">
        <v>5.79</v>
      </c>
      <c r="D41" s="6">
        <v>11.03</v>
      </c>
      <c r="E41" s="6">
        <v>4.93</v>
      </c>
      <c r="F41" s="6">
        <v>2.0099999999999998</v>
      </c>
      <c r="G41" s="6">
        <v>15.75</v>
      </c>
      <c r="H41" s="6">
        <v>4.63</v>
      </c>
      <c r="I41" s="6">
        <v>6.03</v>
      </c>
      <c r="J41" s="6">
        <v>0.69</v>
      </c>
      <c r="K41" s="6">
        <v>251.88</v>
      </c>
      <c r="L41" s="6">
        <v>22.78</v>
      </c>
      <c r="M41" s="6">
        <v>37.79</v>
      </c>
      <c r="N41" s="6">
        <v>59.1</v>
      </c>
      <c r="O41" s="6">
        <v>0</v>
      </c>
      <c r="P41" s="6">
        <v>0.21</v>
      </c>
      <c r="Q41" s="6">
        <v>10</v>
      </c>
      <c r="R41" s="6"/>
      <c r="S41" s="6"/>
      <c r="T41" s="156"/>
      <c r="U41" s="6"/>
    </row>
    <row r="42" spans="1:21" customFormat="1">
      <c r="A42" s="201" t="s">
        <v>561</v>
      </c>
      <c r="B42" s="6">
        <v>5.19</v>
      </c>
      <c r="C42" s="6">
        <v>6.06</v>
      </c>
      <c r="D42" s="6">
        <v>11.26</v>
      </c>
      <c r="E42" s="6">
        <v>5.04</v>
      </c>
      <c r="F42" s="6">
        <v>2.0099999999999998</v>
      </c>
      <c r="G42" s="6">
        <v>13.41</v>
      </c>
      <c r="H42" s="6">
        <v>4.9000000000000004</v>
      </c>
      <c r="I42" s="6">
        <v>6.48</v>
      </c>
      <c r="J42" s="6">
        <v>0.57999999999999996</v>
      </c>
      <c r="K42" s="6">
        <v>250.46</v>
      </c>
      <c r="L42" s="6">
        <v>22.68</v>
      </c>
      <c r="M42" s="6">
        <v>37.369999999999997</v>
      </c>
      <c r="N42" s="6">
        <v>68.8</v>
      </c>
      <c r="O42" s="6">
        <v>0</v>
      </c>
      <c r="P42" s="6">
        <v>0.24</v>
      </c>
      <c r="Q42" s="6">
        <v>10</v>
      </c>
      <c r="R42" s="6"/>
      <c r="S42" s="6"/>
      <c r="T42" s="156"/>
      <c r="U42" s="6"/>
    </row>
    <row r="43" spans="1:21" customFormat="1">
      <c r="A43" s="201" t="s">
        <v>562</v>
      </c>
      <c r="B43" s="6">
        <v>5.0599999999999996</v>
      </c>
      <c r="C43" s="6">
        <v>6.16</v>
      </c>
      <c r="D43" s="6">
        <v>11.22</v>
      </c>
      <c r="E43" s="6">
        <v>5.29</v>
      </c>
      <c r="F43" s="6">
        <v>2</v>
      </c>
      <c r="G43" s="6">
        <v>11.61</v>
      </c>
      <c r="H43" s="6">
        <v>4.99</v>
      </c>
      <c r="I43" s="6">
        <v>6.8</v>
      </c>
      <c r="J43" s="6">
        <v>0.74</v>
      </c>
      <c r="K43" s="6">
        <v>253.98</v>
      </c>
      <c r="L43" s="6">
        <v>23.98</v>
      </c>
      <c r="M43" s="6">
        <v>39.06</v>
      </c>
      <c r="N43" s="6">
        <v>132.80000000000001</v>
      </c>
      <c r="O43" s="6">
        <v>0</v>
      </c>
      <c r="P43" s="6">
        <v>0.25</v>
      </c>
      <c r="Q43" s="6">
        <v>10</v>
      </c>
      <c r="R43" s="6"/>
      <c r="S43" s="6"/>
      <c r="T43" s="156"/>
      <c r="U43" s="6"/>
    </row>
    <row r="44" spans="1:21" customFormat="1">
      <c r="A44" s="201" t="s">
        <v>563</v>
      </c>
      <c r="B44" s="6">
        <v>4.92</v>
      </c>
      <c r="C44" s="6">
        <v>6.17</v>
      </c>
      <c r="D44" s="6">
        <v>11.09</v>
      </c>
      <c r="E44" s="6">
        <v>5.17</v>
      </c>
      <c r="F44" s="6">
        <v>2.0299999999999998</v>
      </c>
      <c r="G44" s="6">
        <v>11.61</v>
      </c>
      <c r="H44" s="6">
        <v>4.99</v>
      </c>
      <c r="I44" s="6">
        <v>6.89</v>
      </c>
      <c r="J44" s="6">
        <v>0.61</v>
      </c>
      <c r="K44" s="6">
        <v>254.68</v>
      </c>
      <c r="L44" s="6">
        <v>23.97</v>
      </c>
      <c r="M44" s="6">
        <v>38.590000000000003</v>
      </c>
      <c r="N44" s="6">
        <v>152.80000000000001</v>
      </c>
      <c r="O44" s="6">
        <v>0</v>
      </c>
      <c r="P44" s="6">
        <v>0.26</v>
      </c>
      <c r="Q44" s="6">
        <v>10.24</v>
      </c>
      <c r="R44" s="6"/>
      <c r="S44" s="6"/>
      <c r="T44" s="156"/>
      <c r="U44" s="6"/>
    </row>
    <row r="45" spans="1:21" customFormat="1">
      <c r="A45" s="201" t="s">
        <v>564</v>
      </c>
      <c r="B45" s="6">
        <v>4.75</v>
      </c>
      <c r="C45" s="6">
        <v>6.29</v>
      </c>
      <c r="D45" s="6">
        <v>11.04</v>
      </c>
      <c r="E45" s="6">
        <v>5.05</v>
      </c>
      <c r="F45" s="6">
        <v>2</v>
      </c>
      <c r="G45" s="6">
        <v>11.61</v>
      </c>
      <c r="H45" s="6">
        <v>4.99</v>
      </c>
      <c r="I45" s="6">
        <v>6.91</v>
      </c>
      <c r="J45" s="6">
        <v>0.62</v>
      </c>
      <c r="K45" s="6">
        <v>258.75</v>
      </c>
      <c r="L45" s="6">
        <v>23.88</v>
      </c>
      <c r="M45" s="6">
        <v>39.450000000000003</v>
      </c>
      <c r="N45" s="6">
        <v>108</v>
      </c>
      <c r="O45" s="6">
        <v>0</v>
      </c>
      <c r="P45" s="6">
        <v>0.26</v>
      </c>
      <c r="Q45" s="6">
        <v>10.130000000000001</v>
      </c>
      <c r="R45" s="6"/>
      <c r="S45" s="6"/>
      <c r="T45" s="156"/>
      <c r="U45" s="6"/>
    </row>
    <row r="46" spans="1:21" customFormat="1">
      <c r="A46" s="201" t="s">
        <v>565</v>
      </c>
      <c r="B46" s="6">
        <v>4.63</v>
      </c>
      <c r="C46" s="6">
        <v>6.28</v>
      </c>
      <c r="D46" s="6">
        <v>10.91</v>
      </c>
      <c r="E46" s="6">
        <v>5.27</v>
      </c>
      <c r="F46" s="6">
        <v>2</v>
      </c>
      <c r="G46" s="6">
        <v>15.74</v>
      </c>
      <c r="H46" s="6">
        <v>4.74</v>
      </c>
      <c r="I46" s="6">
        <v>6.99</v>
      </c>
      <c r="J46" s="6">
        <v>0.56000000000000005</v>
      </c>
      <c r="K46" s="6">
        <v>254.67</v>
      </c>
      <c r="L46" s="6">
        <v>23.78</v>
      </c>
      <c r="M46" s="6">
        <v>38.85</v>
      </c>
      <c r="N46" s="6">
        <v>120.2</v>
      </c>
      <c r="O46" s="6">
        <v>0</v>
      </c>
      <c r="P46" s="6">
        <v>0.27</v>
      </c>
      <c r="Q46" s="6">
        <v>12.84</v>
      </c>
      <c r="R46" s="6"/>
      <c r="S46" s="6"/>
      <c r="T46" s="156"/>
      <c r="U46" s="6"/>
    </row>
    <row r="47" spans="1:21" customFormat="1">
      <c r="A47" s="201" t="s">
        <v>566</v>
      </c>
      <c r="B47" s="6">
        <v>4.5199999999999996</v>
      </c>
      <c r="C47" s="6">
        <v>6.25</v>
      </c>
      <c r="D47" s="6">
        <v>10.77</v>
      </c>
      <c r="E47" s="6">
        <v>5.42</v>
      </c>
      <c r="F47" s="6">
        <v>2</v>
      </c>
      <c r="G47" s="6">
        <v>18.899999999999999</v>
      </c>
      <c r="H47" s="6">
        <v>4.67</v>
      </c>
      <c r="I47" s="6">
        <v>7.2</v>
      </c>
      <c r="J47" s="6">
        <v>0.71</v>
      </c>
      <c r="K47" s="6">
        <v>257.69</v>
      </c>
      <c r="L47" s="6">
        <v>27.11</v>
      </c>
      <c r="M47" s="6">
        <v>39.6</v>
      </c>
      <c r="N47" s="6">
        <v>447.7</v>
      </c>
      <c r="O47" s="6">
        <v>0</v>
      </c>
      <c r="P47" s="6">
        <v>0.27</v>
      </c>
      <c r="Q47" s="6">
        <v>9.43</v>
      </c>
      <c r="R47" s="6"/>
      <c r="S47" s="6"/>
      <c r="T47" s="156"/>
      <c r="U47" s="6"/>
    </row>
    <row r="48" spans="1:21" customFormat="1">
      <c r="A48" s="201" t="s">
        <v>567</v>
      </c>
      <c r="B48" s="6">
        <v>4.38</v>
      </c>
      <c r="C48" s="6">
        <v>6.34</v>
      </c>
      <c r="D48" s="6">
        <v>10.72</v>
      </c>
      <c r="E48" s="6">
        <v>5.48</v>
      </c>
      <c r="F48" s="6">
        <v>2</v>
      </c>
      <c r="G48" s="6">
        <v>18.899999999999999</v>
      </c>
      <c r="H48" s="6">
        <v>4.67</v>
      </c>
      <c r="I48" s="6">
        <v>7.29</v>
      </c>
      <c r="J48" s="6">
        <v>0.77</v>
      </c>
      <c r="K48" s="6">
        <v>258.76</v>
      </c>
      <c r="L48" s="6">
        <v>27.71</v>
      </c>
      <c r="M48" s="6">
        <v>38.950000000000003</v>
      </c>
      <c r="N48" s="6">
        <v>539.9</v>
      </c>
      <c r="O48" s="6">
        <v>0</v>
      </c>
      <c r="P48" s="6">
        <v>0.28999999999999998</v>
      </c>
      <c r="Q48" s="6">
        <v>9.99</v>
      </c>
      <c r="R48" s="6"/>
      <c r="S48" s="6"/>
      <c r="T48" s="156"/>
      <c r="U48" s="6"/>
    </row>
    <row r="49" spans="1:21" customFormat="1">
      <c r="A49" s="201" t="s">
        <v>568</v>
      </c>
      <c r="B49" s="6">
        <v>4.26</v>
      </c>
      <c r="C49" s="6">
        <v>6.46</v>
      </c>
      <c r="D49" s="6">
        <v>10.72</v>
      </c>
      <c r="E49" s="6">
        <v>4.43</v>
      </c>
      <c r="F49" s="6">
        <v>2</v>
      </c>
      <c r="G49" s="6">
        <v>18.899999999999999</v>
      </c>
      <c r="H49" s="6">
        <v>4.67</v>
      </c>
      <c r="I49" s="6">
        <v>7.3</v>
      </c>
      <c r="J49" s="6">
        <v>0.76</v>
      </c>
      <c r="K49" s="6">
        <v>266.81</v>
      </c>
      <c r="L49" s="6">
        <v>26.45</v>
      </c>
      <c r="M49" s="6">
        <v>39.659999999999997</v>
      </c>
      <c r="N49" s="6">
        <v>373.8</v>
      </c>
      <c r="O49" s="6">
        <v>0</v>
      </c>
      <c r="P49" s="6">
        <v>0.28999999999999998</v>
      </c>
      <c r="Q49" s="6">
        <v>9.9499999999999993</v>
      </c>
      <c r="R49" s="6"/>
      <c r="S49" s="6"/>
      <c r="T49" s="156"/>
      <c r="U49" s="6"/>
    </row>
    <row r="50" spans="1:21" customFormat="1">
      <c r="A50" s="201" t="s">
        <v>569</v>
      </c>
      <c r="B50" s="6">
        <v>4.13</v>
      </c>
      <c r="C50" s="6">
        <v>6.6</v>
      </c>
      <c r="D50" s="6">
        <v>10.73</v>
      </c>
      <c r="E50" s="6">
        <v>5.47</v>
      </c>
      <c r="F50" s="6">
        <v>2.04</v>
      </c>
      <c r="G50" s="6">
        <v>20.309999999999999</v>
      </c>
      <c r="H50" s="6">
        <v>6.92</v>
      </c>
      <c r="I50" s="6">
        <v>7.3</v>
      </c>
      <c r="J50" s="6">
        <v>0.52</v>
      </c>
      <c r="K50" s="6">
        <v>265.83999999999997</v>
      </c>
      <c r="L50" s="6">
        <v>24.9</v>
      </c>
      <c r="M50" s="6">
        <v>38.82</v>
      </c>
      <c r="N50" s="6">
        <v>240.9</v>
      </c>
      <c r="O50" s="6">
        <v>0</v>
      </c>
      <c r="P50" s="6">
        <v>0.28999999999999998</v>
      </c>
      <c r="Q50" s="6">
        <v>9.99</v>
      </c>
      <c r="R50" s="6"/>
      <c r="S50" s="6"/>
      <c r="T50" s="156"/>
      <c r="U50" s="6"/>
    </row>
    <row r="51" spans="1:21" customFormat="1">
      <c r="A51" s="201" t="s">
        <v>570</v>
      </c>
      <c r="B51" s="6">
        <v>3.98</v>
      </c>
      <c r="C51" s="6">
        <v>6.6</v>
      </c>
      <c r="D51" s="6">
        <v>10.58</v>
      </c>
      <c r="E51" s="6">
        <v>5.46</v>
      </c>
      <c r="F51" s="6">
        <v>2.1</v>
      </c>
      <c r="G51" s="6">
        <v>21.38</v>
      </c>
      <c r="H51" s="6">
        <v>7.63</v>
      </c>
      <c r="I51" s="6">
        <v>7.43</v>
      </c>
      <c r="J51" s="6">
        <v>0.72</v>
      </c>
      <c r="K51" s="6">
        <v>259.95</v>
      </c>
      <c r="L51" s="6">
        <v>25.88</v>
      </c>
      <c r="M51" s="6">
        <v>40.97</v>
      </c>
      <c r="N51" s="6">
        <v>253.9</v>
      </c>
      <c r="O51" s="6">
        <v>0</v>
      </c>
      <c r="P51" s="6">
        <v>0.28999999999999998</v>
      </c>
      <c r="Q51" s="6">
        <v>9.75</v>
      </c>
      <c r="R51" s="6"/>
      <c r="S51" s="6"/>
      <c r="T51" s="156"/>
      <c r="U51" s="6"/>
    </row>
    <row r="52" spans="1:21" customFormat="1">
      <c r="A52" s="201" t="s">
        <v>571</v>
      </c>
      <c r="B52" s="6">
        <v>3.78</v>
      </c>
      <c r="C52" s="6">
        <v>6.55</v>
      </c>
      <c r="D52" s="6">
        <v>10.33</v>
      </c>
      <c r="E52" s="6">
        <v>5.33</v>
      </c>
      <c r="F52" s="6">
        <v>2.02</v>
      </c>
      <c r="G52" s="6">
        <v>21.38</v>
      </c>
      <c r="H52" s="6">
        <v>7.63</v>
      </c>
      <c r="I52" s="6">
        <v>7.45</v>
      </c>
      <c r="J52" s="6">
        <v>0.59</v>
      </c>
      <c r="K52" s="6">
        <v>260.08999999999997</v>
      </c>
      <c r="L52" s="6">
        <v>25.48</v>
      </c>
      <c r="M52" s="6">
        <v>40.270000000000003</v>
      </c>
      <c r="N52" s="6">
        <v>243.7</v>
      </c>
      <c r="O52" s="6">
        <v>0</v>
      </c>
      <c r="P52" s="6">
        <v>0.28000000000000003</v>
      </c>
      <c r="Q52" s="6">
        <v>10</v>
      </c>
      <c r="R52" s="6"/>
      <c r="S52" s="6"/>
      <c r="T52" s="156"/>
      <c r="U52" s="6"/>
    </row>
    <row r="53" spans="1:21" customFormat="1">
      <c r="A53" s="201" t="s">
        <v>572</v>
      </c>
      <c r="B53" s="6">
        <v>3.56</v>
      </c>
      <c r="C53" s="6">
        <v>6.55</v>
      </c>
      <c r="D53" s="6">
        <v>10.11</v>
      </c>
      <c r="E53" s="6">
        <v>5.42</v>
      </c>
      <c r="F53" s="6">
        <v>2.02</v>
      </c>
      <c r="G53" s="6">
        <v>21.38</v>
      </c>
      <c r="H53" s="6">
        <v>7.63</v>
      </c>
      <c r="I53" s="6">
        <v>7.45</v>
      </c>
      <c r="J53" s="6">
        <v>0.53</v>
      </c>
      <c r="K53" s="6">
        <v>261.45</v>
      </c>
      <c r="L53" s="6">
        <v>25.59</v>
      </c>
      <c r="M53" s="6">
        <v>39.51</v>
      </c>
      <c r="N53" s="6">
        <v>287.7</v>
      </c>
      <c r="O53" s="6">
        <v>0</v>
      </c>
      <c r="P53" s="6">
        <v>0.28000000000000003</v>
      </c>
      <c r="Q53" s="6">
        <v>10.210000000000001</v>
      </c>
      <c r="R53" s="6"/>
      <c r="S53" s="6"/>
      <c r="T53" s="156"/>
      <c r="U53" s="6"/>
    </row>
    <row r="54" spans="1:21" customFormat="1">
      <c r="A54" s="201" t="s">
        <v>573</v>
      </c>
      <c r="B54" s="6">
        <v>3.33</v>
      </c>
      <c r="C54" s="6">
        <v>6.53</v>
      </c>
      <c r="D54" s="6">
        <v>9.86</v>
      </c>
      <c r="E54" s="6">
        <v>5.22</v>
      </c>
      <c r="F54" s="6">
        <v>2.11</v>
      </c>
      <c r="G54" s="6">
        <v>20.02</v>
      </c>
      <c r="H54" s="6">
        <v>7.06</v>
      </c>
      <c r="I54" s="6">
        <v>7.36</v>
      </c>
      <c r="J54" s="6">
        <v>0.71</v>
      </c>
      <c r="K54" s="6">
        <v>253.06</v>
      </c>
      <c r="L54" s="6">
        <v>26.26</v>
      </c>
      <c r="M54" s="6">
        <v>38.9</v>
      </c>
      <c r="N54" s="6">
        <v>385.9</v>
      </c>
      <c r="O54" s="6">
        <v>0</v>
      </c>
      <c r="P54" s="6">
        <v>0.28000000000000003</v>
      </c>
      <c r="Q54" s="6">
        <v>10</v>
      </c>
      <c r="R54" s="6"/>
      <c r="S54" s="6"/>
      <c r="T54" s="156"/>
      <c r="U54" s="6"/>
    </row>
    <row r="55" spans="1:21" customFormat="1">
      <c r="A55" s="201" t="s">
        <v>574</v>
      </c>
      <c r="B55" s="6">
        <v>3.12</v>
      </c>
      <c r="C55" s="6">
        <v>6.49</v>
      </c>
      <c r="D55" s="6">
        <v>9.61</v>
      </c>
      <c r="E55" s="6">
        <v>5.09</v>
      </c>
      <c r="F55" s="6">
        <v>2.37</v>
      </c>
      <c r="G55" s="6">
        <v>18.98</v>
      </c>
      <c r="H55" s="6">
        <v>6.72</v>
      </c>
      <c r="I55" s="6">
        <v>7.23</v>
      </c>
      <c r="J55" s="6">
        <v>0.75</v>
      </c>
      <c r="K55" s="6">
        <v>264.83</v>
      </c>
      <c r="L55" s="6">
        <v>26.45</v>
      </c>
      <c r="M55" s="6">
        <v>40.5</v>
      </c>
      <c r="N55" s="6">
        <v>332.4</v>
      </c>
      <c r="O55" s="6">
        <v>0</v>
      </c>
      <c r="P55" s="6">
        <v>0.27</v>
      </c>
      <c r="Q55" s="6">
        <v>10</v>
      </c>
      <c r="R55" s="6"/>
      <c r="S55" s="6"/>
      <c r="T55" s="156"/>
      <c r="U55" s="6"/>
    </row>
    <row r="56" spans="1:21" customFormat="1">
      <c r="A56" s="201" t="s">
        <v>575</v>
      </c>
      <c r="B56" s="6">
        <v>2.93</v>
      </c>
      <c r="C56" s="6">
        <v>6.51</v>
      </c>
      <c r="D56" s="6">
        <v>9.44</v>
      </c>
      <c r="E56" s="6">
        <v>5.14</v>
      </c>
      <c r="F56" s="6">
        <v>2</v>
      </c>
      <c r="G56" s="6">
        <v>18.98</v>
      </c>
      <c r="H56" s="6">
        <v>6.72</v>
      </c>
      <c r="I56" s="6">
        <v>7.06</v>
      </c>
      <c r="J56" s="6">
        <v>0.83</v>
      </c>
      <c r="K56" s="6">
        <v>254.03</v>
      </c>
      <c r="L56" s="6">
        <v>25.06</v>
      </c>
      <c r="M56" s="6">
        <v>39.08</v>
      </c>
      <c r="N56" s="6">
        <v>246.5</v>
      </c>
      <c r="O56" s="6">
        <v>0</v>
      </c>
      <c r="P56" s="6">
        <v>0.27</v>
      </c>
      <c r="Q56" s="6">
        <v>10</v>
      </c>
      <c r="R56" s="6"/>
      <c r="S56" s="6"/>
      <c r="T56" s="156"/>
      <c r="U56" s="6"/>
    </row>
    <row r="57" spans="1:21" customFormat="1">
      <c r="A57" s="201" t="s">
        <v>576</v>
      </c>
      <c r="B57" s="6">
        <v>2.78</v>
      </c>
      <c r="C57" s="6">
        <v>6.48</v>
      </c>
      <c r="D57" s="6">
        <v>9.26</v>
      </c>
      <c r="E57" s="6">
        <v>5.01</v>
      </c>
      <c r="F57" s="6">
        <v>2.1</v>
      </c>
      <c r="G57" s="6">
        <v>18.98</v>
      </c>
      <c r="H57" s="6">
        <v>6.72</v>
      </c>
      <c r="I57" s="6">
        <v>6.87</v>
      </c>
      <c r="J57" s="6">
        <v>0.9</v>
      </c>
      <c r="K57" s="6">
        <v>257.62</v>
      </c>
      <c r="L57" s="6">
        <v>25.22</v>
      </c>
      <c r="M57" s="6">
        <v>39.450000000000003</v>
      </c>
      <c r="N57" s="6">
        <v>251.1</v>
      </c>
      <c r="O57" s="6">
        <v>0</v>
      </c>
      <c r="P57" s="6">
        <v>0.27</v>
      </c>
      <c r="Q57" s="6">
        <v>10.17</v>
      </c>
      <c r="R57" s="6"/>
      <c r="S57" s="6"/>
      <c r="T57" s="156"/>
      <c r="U57" s="6"/>
    </row>
    <row r="58" spans="1:21" customFormat="1">
      <c r="A58" s="201" t="s">
        <v>577</v>
      </c>
      <c r="B58" s="6">
        <v>2.65</v>
      </c>
      <c r="C58" s="6">
        <v>6.37</v>
      </c>
      <c r="D58" s="6">
        <v>9.0299999999999994</v>
      </c>
      <c r="E58" s="6">
        <v>5.08</v>
      </c>
      <c r="F58" s="6">
        <v>2.44</v>
      </c>
      <c r="G58" s="6">
        <v>17.940000000000001</v>
      </c>
      <c r="H58" s="6">
        <v>5.59</v>
      </c>
      <c r="I58" s="6">
        <v>6.94</v>
      </c>
      <c r="J58" s="6">
        <v>0.71</v>
      </c>
      <c r="K58" s="6">
        <v>255.15</v>
      </c>
      <c r="L58" s="6">
        <v>25.18</v>
      </c>
      <c r="M58" s="6">
        <v>39.46</v>
      </c>
      <c r="N58" s="6">
        <v>245.1</v>
      </c>
      <c r="O58" s="6">
        <v>0</v>
      </c>
      <c r="P58" s="6">
        <v>0.27</v>
      </c>
      <c r="Q58" s="6">
        <v>10.1</v>
      </c>
      <c r="R58" s="6"/>
      <c r="S58" s="6"/>
      <c r="T58" s="156"/>
      <c r="U58" s="6"/>
    </row>
    <row r="59" spans="1:21" customFormat="1">
      <c r="A59" s="201" t="s">
        <v>578</v>
      </c>
      <c r="B59" s="6">
        <v>2.5099999999999998</v>
      </c>
      <c r="C59" s="6">
        <v>6.32</v>
      </c>
      <c r="D59" s="6">
        <v>8.83</v>
      </c>
      <c r="E59" s="6">
        <v>5.3</v>
      </c>
      <c r="F59" s="6">
        <v>2.2400000000000002</v>
      </c>
      <c r="G59" s="6">
        <v>17.14</v>
      </c>
      <c r="H59" s="6">
        <v>5.24</v>
      </c>
      <c r="I59" s="6">
        <v>6.88</v>
      </c>
      <c r="J59" s="6">
        <v>0.67</v>
      </c>
      <c r="K59" s="6">
        <v>262.85000000000002</v>
      </c>
      <c r="L59" s="6">
        <v>24.56</v>
      </c>
      <c r="M59" s="6">
        <v>38.75</v>
      </c>
      <c r="N59" s="6">
        <v>191.6</v>
      </c>
      <c r="O59" s="6">
        <v>0</v>
      </c>
      <c r="P59" s="6">
        <v>0.26</v>
      </c>
      <c r="Q59" s="6">
        <v>10</v>
      </c>
      <c r="R59" s="6"/>
      <c r="S59" s="6"/>
      <c r="T59" s="156"/>
      <c r="U59" s="6"/>
    </row>
    <row r="60" spans="1:21" customFormat="1">
      <c r="A60" s="201" t="s">
        <v>579</v>
      </c>
      <c r="B60" s="6">
        <v>2.46</v>
      </c>
      <c r="C60" s="6">
        <v>6.26</v>
      </c>
      <c r="D60" s="6">
        <v>8.7200000000000006</v>
      </c>
      <c r="E60" s="6">
        <v>4.92</v>
      </c>
      <c r="F60" s="6">
        <v>2.02</v>
      </c>
      <c r="G60" s="6">
        <v>17.14</v>
      </c>
      <c r="H60" s="6">
        <v>5.24</v>
      </c>
      <c r="I60" s="6">
        <v>6.72</v>
      </c>
      <c r="J60" s="6">
        <v>0.68</v>
      </c>
      <c r="K60" s="6">
        <v>253.89</v>
      </c>
      <c r="L60" s="6">
        <v>25.42</v>
      </c>
      <c r="M60" s="6">
        <v>39.049999999999997</v>
      </c>
      <c r="N60" s="6">
        <v>289.89999999999998</v>
      </c>
      <c r="O60" s="6">
        <v>0</v>
      </c>
      <c r="P60" s="6">
        <v>0.26</v>
      </c>
      <c r="Q60" s="6">
        <v>10</v>
      </c>
      <c r="R60" s="6"/>
      <c r="S60" s="6"/>
      <c r="T60" s="156"/>
      <c r="U60" s="6"/>
    </row>
    <row r="61" spans="1:21" customFormat="1">
      <c r="A61" s="201" t="s">
        <v>580</v>
      </c>
      <c r="B61" s="6">
        <v>2.4300000000000002</v>
      </c>
      <c r="C61" s="6">
        <v>6.19</v>
      </c>
      <c r="D61" s="6">
        <v>8.6199999999999992</v>
      </c>
      <c r="E61" s="6">
        <v>5.1100000000000003</v>
      </c>
      <c r="F61" s="6">
        <v>2.2400000000000002</v>
      </c>
      <c r="G61" s="6">
        <v>17.14</v>
      </c>
      <c r="H61" s="6">
        <v>5.24</v>
      </c>
      <c r="I61" s="6">
        <v>6.67</v>
      </c>
      <c r="J61" s="6">
        <v>0.69</v>
      </c>
      <c r="K61" s="6">
        <v>286.01</v>
      </c>
      <c r="L61" s="6">
        <v>28.22</v>
      </c>
      <c r="M61" s="6">
        <v>44.62</v>
      </c>
      <c r="N61" s="6">
        <v>352.4</v>
      </c>
      <c r="O61" s="6">
        <v>0</v>
      </c>
      <c r="P61" s="6">
        <v>0.25</v>
      </c>
      <c r="Q61" s="6">
        <v>11.09</v>
      </c>
      <c r="R61" s="6"/>
      <c r="S61" s="6"/>
      <c r="T61" s="156"/>
      <c r="U61" s="6"/>
    </row>
    <row r="62" spans="1:21" customFormat="1">
      <c r="A62" s="201" t="s">
        <v>581</v>
      </c>
      <c r="B62" s="6">
        <v>2.46</v>
      </c>
      <c r="C62" s="6">
        <v>6.19</v>
      </c>
      <c r="D62" s="6">
        <v>8.65</v>
      </c>
      <c r="E62" s="6">
        <v>4.96</v>
      </c>
      <c r="F62" s="6">
        <v>3.58</v>
      </c>
      <c r="G62" s="6">
        <v>15.98</v>
      </c>
      <c r="H62" s="6">
        <v>4.32</v>
      </c>
      <c r="I62" s="6">
        <v>6.51</v>
      </c>
      <c r="J62" s="6">
        <v>0.49</v>
      </c>
      <c r="K62" s="6">
        <v>284.7</v>
      </c>
      <c r="L62" s="6">
        <v>27.24</v>
      </c>
      <c r="M62" s="6">
        <v>43.75</v>
      </c>
      <c r="N62" s="6">
        <v>282.60000000000002</v>
      </c>
      <c r="O62" s="6">
        <v>0</v>
      </c>
      <c r="P62" s="6">
        <v>0.24</v>
      </c>
      <c r="Q62" s="6">
        <v>10.11</v>
      </c>
      <c r="R62" s="6"/>
      <c r="S62" s="6"/>
      <c r="T62" s="156"/>
      <c r="U62" s="6"/>
    </row>
    <row r="63" spans="1:21" customFormat="1">
      <c r="A63" s="201" t="s">
        <v>582</v>
      </c>
      <c r="B63" s="6">
        <v>2.6</v>
      </c>
      <c r="C63" s="6">
        <v>6.05</v>
      </c>
      <c r="D63" s="6">
        <v>8.65</v>
      </c>
      <c r="E63" s="6">
        <v>4.82</v>
      </c>
      <c r="F63" s="6">
        <v>3.08</v>
      </c>
      <c r="G63" s="6">
        <v>15.14</v>
      </c>
      <c r="H63" s="6">
        <v>4.03</v>
      </c>
      <c r="I63" s="6">
        <v>6.31</v>
      </c>
      <c r="J63" s="6">
        <v>0.56000000000000005</v>
      </c>
      <c r="K63" s="6">
        <v>262.5</v>
      </c>
      <c r="L63" s="6">
        <v>24.34</v>
      </c>
      <c r="M63" s="6">
        <v>39.840000000000003</v>
      </c>
      <c r="N63" s="6">
        <v>140.80000000000001</v>
      </c>
      <c r="O63" s="6">
        <v>0</v>
      </c>
      <c r="P63" s="6">
        <v>0.21</v>
      </c>
      <c r="Q63" s="6">
        <v>10</v>
      </c>
      <c r="R63" s="6"/>
      <c r="S63" s="6"/>
      <c r="T63" s="156"/>
      <c r="U63" s="6"/>
    </row>
    <row r="64" spans="1:21" customFormat="1">
      <c r="A64" s="201" t="s">
        <v>583</v>
      </c>
      <c r="B64" s="6">
        <v>2.81</v>
      </c>
      <c r="C64" s="6">
        <v>6.22</v>
      </c>
      <c r="D64" s="6">
        <v>9.0299999999999994</v>
      </c>
      <c r="E64" s="6">
        <v>4.22</v>
      </c>
      <c r="F64" s="6">
        <v>4.29</v>
      </c>
      <c r="G64" s="6">
        <v>15.14</v>
      </c>
      <c r="H64" s="6">
        <v>4.03</v>
      </c>
      <c r="I64" s="6">
        <v>6.19</v>
      </c>
      <c r="J64" s="6">
        <v>0.4</v>
      </c>
      <c r="K64" s="6">
        <v>349.24</v>
      </c>
      <c r="L64" s="6">
        <v>19.09</v>
      </c>
      <c r="M64" s="6">
        <v>26.31</v>
      </c>
      <c r="N64" s="6">
        <v>148.19999999999999</v>
      </c>
      <c r="O64" s="6">
        <v>0</v>
      </c>
      <c r="P64" s="6">
        <v>0.19</v>
      </c>
      <c r="Q64" s="6">
        <v>10</v>
      </c>
      <c r="R64" s="6"/>
      <c r="S64" s="6"/>
      <c r="T64" s="156"/>
      <c r="U64" s="6"/>
    </row>
    <row r="65" spans="1:21" customFormat="1">
      <c r="A65" s="201" t="s">
        <v>584</v>
      </c>
      <c r="B65" s="6">
        <v>3.21</v>
      </c>
      <c r="C65" s="6">
        <v>6.63</v>
      </c>
      <c r="D65" s="6">
        <v>9.84</v>
      </c>
      <c r="E65" s="6">
        <v>4.1900000000000004</v>
      </c>
      <c r="F65" s="6">
        <v>4.93</v>
      </c>
      <c r="G65" s="6">
        <v>15.14</v>
      </c>
      <c r="H65" s="6">
        <v>4.03</v>
      </c>
      <c r="I65" s="6">
        <v>6.17</v>
      </c>
      <c r="J65" s="6">
        <v>0.34</v>
      </c>
      <c r="K65" s="6">
        <v>22.74</v>
      </c>
      <c r="L65" s="6">
        <v>14.25</v>
      </c>
      <c r="M65" s="6">
        <v>14.43</v>
      </c>
      <c r="N65" s="6">
        <v>135.4</v>
      </c>
      <c r="O65" s="6">
        <v>0</v>
      </c>
      <c r="P65" s="6">
        <v>0.21</v>
      </c>
      <c r="Q65" s="6">
        <v>10</v>
      </c>
      <c r="R65" s="6"/>
      <c r="S65" s="6"/>
      <c r="T65" s="156"/>
      <c r="U65" s="6"/>
    </row>
    <row r="66" spans="1:21" customFormat="1">
      <c r="A66" s="201" t="s">
        <v>585</v>
      </c>
      <c r="B66" s="6">
        <v>4.1100000000000003</v>
      </c>
      <c r="C66" s="6">
        <v>7.54</v>
      </c>
      <c r="D66" s="6">
        <v>11.65</v>
      </c>
      <c r="E66" s="6">
        <v>4.43</v>
      </c>
      <c r="F66" s="6">
        <v>5.04</v>
      </c>
      <c r="G66" s="6">
        <v>16.37</v>
      </c>
      <c r="H66" s="6">
        <v>4.13</v>
      </c>
      <c r="I66" s="6">
        <v>5.99</v>
      </c>
      <c r="J66" s="6">
        <v>0.4</v>
      </c>
      <c r="K66" s="6">
        <v>347.03</v>
      </c>
      <c r="L66" s="6">
        <v>15.69</v>
      </c>
      <c r="M66" s="6">
        <v>20.53</v>
      </c>
      <c r="N66" s="6">
        <v>56.8</v>
      </c>
      <c r="O66" s="6">
        <v>0</v>
      </c>
      <c r="P66" s="6">
        <v>0.23</v>
      </c>
      <c r="Q66" s="6">
        <v>10</v>
      </c>
      <c r="R66" s="6"/>
      <c r="S66" s="6"/>
      <c r="T66" s="156"/>
      <c r="U66" s="6"/>
    </row>
    <row r="67" spans="1:21" customFormat="1">
      <c r="A67" s="201" t="s">
        <v>586</v>
      </c>
      <c r="B67" s="6">
        <v>4.03</v>
      </c>
      <c r="C67" s="6">
        <v>6.91</v>
      </c>
      <c r="D67" s="6">
        <v>10.94</v>
      </c>
      <c r="E67" s="6">
        <v>3.71</v>
      </c>
      <c r="F67" s="6">
        <v>3.52</v>
      </c>
      <c r="G67" s="6">
        <v>17.309999999999999</v>
      </c>
      <c r="H67" s="6">
        <v>4.17</v>
      </c>
      <c r="I67" s="6">
        <v>5.99</v>
      </c>
      <c r="J67" s="6">
        <v>0.5</v>
      </c>
      <c r="K67" s="6">
        <v>24.65</v>
      </c>
      <c r="L67" s="6">
        <v>10.55</v>
      </c>
      <c r="M67" s="6">
        <v>9.1</v>
      </c>
      <c r="N67" s="6">
        <v>25</v>
      </c>
      <c r="O67" s="6">
        <v>0.4</v>
      </c>
      <c r="P67" s="6">
        <v>0.2</v>
      </c>
      <c r="Q67" s="6">
        <v>10</v>
      </c>
      <c r="R67" s="6"/>
      <c r="S67" s="6"/>
      <c r="T67" s="156"/>
      <c r="U67" s="6"/>
    </row>
    <row r="68" spans="1:21" customFormat="1">
      <c r="A68" s="201" t="s">
        <v>587</v>
      </c>
      <c r="B68" s="6">
        <v>4.03</v>
      </c>
      <c r="C68" s="6">
        <v>6.72</v>
      </c>
      <c r="D68" s="6">
        <v>10.75</v>
      </c>
      <c r="E68" s="6">
        <v>4.07</v>
      </c>
      <c r="F68" s="6">
        <v>3.9</v>
      </c>
      <c r="G68" s="6">
        <v>17.309999999999999</v>
      </c>
      <c r="H68" s="6">
        <v>4.17</v>
      </c>
      <c r="I68" s="6">
        <v>5.9</v>
      </c>
      <c r="J68" s="6">
        <v>0.44</v>
      </c>
      <c r="K68" s="6">
        <v>282.86</v>
      </c>
      <c r="L68" s="6">
        <v>20.49</v>
      </c>
      <c r="M68" s="6">
        <v>32.69</v>
      </c>
      <c r="N68" s="6">
        <v>28.1</v>
      </c>
      <c r="O68" s="6">
        <v>0.4</v>
      </c>
      <c r="P68" s="6">
        <v>0.19</v>
      </c>
      <c r="Q68" s="6">
        <v>10</v>
      </c>
      <c r="R68" s="6"/>
      <c r="S68" s="6"/>
      <c r="T68" s="156"/>
      <c r="U68" s="6"/>
    </row>
    <row r="69" spans="1:21" customFormat="1">
      <c r="A69" s="201" t="s">
        <v>588</v>
      </c>
      <c r="B69" s="6">
        <v>3.96</v>
      </c>
      <c r="C69" s="6">
        <v>6.45</v>
      </c>
      <c r="D69" s="6">
        <v>10.41</v>
      </c>
      <c r="E69" s="6">
        <v>4.12</v>
      </c>
      <c r="F69" s="6">
        <v>2.62</v>
      </c>
      <c r="G69" s="6">
        <v>17.309999999999999</v>
      </c>
      <c r="H69" s="6">
        <v>4.17</v>
      </c>
      <c r="I69" s="6">
        <v>5.93</v>
      </c>
      <c r="J69" s="6">
        <v>0.04</v>
      </c>
      <c r="K69" s="6">
        <v>309.25</v>
      </c>
      <c r="L69" s="6">
        <v>16.97</v>
      </c>
      <c r="M69" s="6">
        <v>22.57</v>
      </c>
      <c r="N69" s="6">
        <v>77.2</v>
      </c>
      <c r="O69" s="6">
        <v>2.4</v>
      </c>
      <c r="P69" s="6">
        <v>0.19</v>
      </c>
      <c r="Q69" s="6">
        <v>10</v>
      </c>
      <c r="R69" s="6"/>
      <c r="S69" s="6"/>
      <c r="T69" s="156"/>
      <c r="U69" s="6"/>
    </row>
    <row r="70" spans="1:21" customFormat="1">
      <c r="A70" s="201" t="s">
        <v>589</v>
      </c>
      <c r="B70" s="6">
        <v>4.2699999999999996</v>
      </c>
      <c r="C70" s="6">
        <v>6.71</v>
      </c>
      <c r="D70" s="6">
        <v>10.99</v>
      </c>
      <c r="E70" s="6">
        <v>4.05</v>
      </c>
      <c r="F70" s="6">
        <v>2.4300000000000002</v>
      </c>
      <c r="G70" s="6">
        <v>14.91</v>
      </c>
      <c r="H70" s="6">
        <v>5.98</v>
      </c>
      <c r="I70" s="6">
        <v>5.79</v>
      </c>
      <c r="J70" s="6">
        <v>0.06</v>
      </c>
      <c r="K70" s="6">
        <v>11.24</v>
      </c>
      <c r="L70" s="6">
        <v>17.28</v>
      </c>
      <c r="M70" s="6">
        <v>23.9</v>
      </c>
      <c r="N70" s="6">
        <v>63.2</v>
      </c>
      <c r="O70" s="6">
        <v>0.2</v>
      </c>
      <c r="P70" s="6">
        <v>0.23</v>
      </c>
      <c r="Q70" s="6">
        <v>10</v>
      </c>
      <c r="R70" s="6"/>
      <c r="S70" s="6"/>
      <c r="T70" s="156"/>
      <c r="U70" s="6"/>
    </row>
    <row r="71" spans="1:21" customFormat="1">
      <c r="A71" s="201" t="s">
        <v>590</v>
      </c>
      <c r="B71" s="6">
        <v>4.5</v>
      </c>
      <c r="C71" s="6">
        <v>7.12</v>
      </c>
      <c r="D71" s="6">
        <v>11.61</v>
      </c>
      <c r="E71" s="6">
        <v>4.2300000000000004</v>
      </c>
      <c r="F71" s="6">
        <v>2.78</v>
      </c>
      <c r="G71" s="6">
        <v>13.08</v>
      </c>
      <c r="H71" s="6">
        <v>7.05</v>
      </c>
      <c r="I71" s="6">
        <v>5.81</v>
      </c>
      <c r="J71" s="6">
        <v>0.16</v>
      </c>
      <c r="K71" s="6">
        <v>216.45</v>
      </c>
      <c r="L71" s="6">
        <v>20.25</v>
      </c>
      <c r="M71" s="6">
        <v>32.08</v>
      </c>
      <c r="N71" s="6">
        <v>37.200000000000003</v>
      </c>
      <c r="O71" s="6">
        <v>0</v>
      </c>
      <c r="P71" s="6">
        <v>0.22</v>
      </c>
      <c r="Q71" s="6">
        <v>10</v>
      </c>
      <c r="R71" s="6"/>
      <c r="S71" s="6"/>
      <c r="T71" s="156"/>
      <c r="U71" s="6"/>
    </row>
    <row r="72" spans="1:21" customFormat="1">
      <c r="A72" s="201" t="s">
        <v>591</v>
      </c>
      <c r="B72" s="6">
        <v>4.4000000000000004</v>
      </c>
      <c r="C72" s="6">
        <v>6.85</v>
      </c>
      <c r="D72" s="6">
        <v>11.25</v>
      </c>
      <c r="E72" s="6">
        <v>3.99</v>
      </c>
      <c r="F72" s="6">
        <v>3.47</v>
      </c>
      <c r="G72" s="6">
        <v>13.08</v>
      </c>
      <c r="H72" s="6">
        <v>7.05</v>
      </c>
      <c r="I72" s="6">
        <v>5.77</v>
      </c>
      <c r="J72" s="6">
        <v>0.17</v>
      </c>
      <c r="K72" s="6">
        <v>163.54</v>
      </c>
      <c r="L72" s="6">
        <v>16.04</v>
      </c>
      <c r="M72" s="6">
        <v>21.7</v>
      </c>
      <c r="N72" s="6">
        <v>29</v>
      </c>
      <c r="O72" s="6">
        <v>0</v>
      </c>
      <c r="P72" s="6">
        <v>0.2</v>
      </c>
      <c r="Q72" s="6">
        <v>10</v>
      </c>
      <c r="R72" s="6"/>
      <c r="S72" s="6"/>
      <c r="T72" s="156"/>
      <c r="U72" s="6"/>
    </row>
    <row r="73" spans="1:21" customFormat="1">
      <c r="A73" s="201" t="s">
        <v>592</v>
      </c>
      <c r="B73" s="6">
        <v>4.1900000000000004</v>
      </c>
      <c r="C73" s="6">
        <v>6.38</v>
      </c>
      <c r="D73" s="6">
        <v>10.57</v>
      </c>
      <c r="E73" s="6">
        <v>3.59</v>
      </c>
      <c r="F73" s="6">
        <v>4.78</v>
      </c>
      <c r="G73" s="6">
        <v>13.08</v>
      </c>
      <c r="H73" s="6">
        <v>7.05</v>
      </c>
      <c r="I73" s="6">
        <v>5.48</v>
      </c>
      <c r="J73" s="6">
        <v>0.11</v>
      </c>
      <c r="K73" s="6">
        <v>178.8</v>
      </c>
      <c r="L73" s="6">
        <v>18.82</v>
      </c>
      <c r="M73" s="6">
        <v>28.71</v>
      </c>
      <c r="N73" s="6">
        <v>27</v>
      </c>
      <c r="O73" s="6">
        <v>0</v>
      </c>
      <c r="P73" s="6">
        <v>0.18</v>
      </c>
      <c r="Q73" s="6">
        <v>10</v>
      </c>
      <c r="R73" s="6"/>
      <c r="S73" s="6"/>
      <c r="T73" s="156"/>
      <c r="U73" s="6"/>
    </row>
    <row r="74" spans="1:21" customFormat="1">
      <c r="A74" s="201" t="s">
        <v>593</v>
      </c>
      <c r="B74" s="6">
        <v>4.41</v>
      </c>
      <c r="C74" s="6">
        <v>6.06</v>
      </c>
      <c r="D74" s="6">
        <v>10.47</v>
      </c>
      <c r="E74" s="6">
        <v>3.96</v>
      </c>
      <c r="F74" s="6">
        <v>3.43</v>
      </c>
      <c r="G74" s="6">
        <v>16.64</v>
      </c>
      <c r="H74" s="6">
        <v>5.44</v>
      </c>
      <c r="I74" s="6">
        <v>5.35</v>
      </c>
      <c r="J74" s="6">
        <v>0.1</v>
      </c>
      <c r="K74" s="6">
        <v>185.66</v>
      </c>
      <c r="L74" s="6">
        <v>19.47</v>
      </c>
      <c r="M74" s="6">
        <v>30.35</v>
      </c>
      <c r="N74" s="6">
        <v>24.1</v>
      </c>
      <c r="O74" s="6">
        <v>0</v>
      </c>
      <c r="P74" s="6">
        <v>0.19</v>
      </c>
      <c r="Q74" s="6">
        <v>10</v>
      </c>
      <c r="R74" s="6"/>
      <c r="S74" s="6"/>
      <c r="T74" s="156"/>
      <c r="U74" s="6"/>
    </row>
    <row r="75" spans="1:21" customFormat="1">
      <c r="A75" s="201" t="s">
        <v>594</v>
      </c>
      <c r="B75" s="6">
        <v>4.66</v>
      </c>
      <c r="C75" s="6">
        <v>6.13</v>
      </c>
      <c r="D75" s="6">
        <v>10.79</v>
      </c>
      <c r="E75" s="6">
        <v>4.43</v>
      </c>
      <c r="F75" s="6">
        <v>2.3199999999999998</v>
      </c>
      <c r="G75" s="6">
        <v>19.36</v>
      </c>
      <c r="H75" s="6">
        <v>4.9400000000000004</v>
      </c>
      <c r="I75" s="6">
        <v>5.26</v>
      </c>
      <c r="J75" s="6">
        <v>0.2</v>
      </c>
      <c r="K75" s="6">
        <v>226.64</v>
      </c>
      <c r="L75" s="6">
        <v>19.98</v>
      </c>
      <c r="M75" s="6">
        <v>31.77</v>
      </c>
      <c r="N75" s="6">
        <v>20.6</v>
      </c>
      <c r="O75" s="6">
        <v>0</v>
      </c>
      <c r="P75" s="6">
        <v>0.21</v>
      </c>
      <c r="Q75" s="6">
        <v>10</v>
      </c>
      <c r="R75" s="6"/>
      <c r="S75" s="6"/>
      <c r="T75" s="156"/>
      <c r="U75" s="6"/>
    </row>
    <row r="76" spans="1:21" customFormat="1">
      <c r="A76" s="201" t="s">
        <v>595</v>
      </c>
      <c r="B76" s="6">
        <v>4.62</v>
      </c>
      <c r="C76" s="6">
        <v>5.98</v>
      </c>
      <c r="D76" s="6">
        <v>10.6</v>
      </c>
      <c r="E76" s="6">
        <v>4.43</v>
      </c>
      <c r="F76" s="6">
        <v>2.5</v>
      </c>
      <c r="G76" s="6">
        <v>19.36</v>
      </c>
      <c r="H76" s="6">
        <v>4.9400000000000004</v>
      </c>
      <c r="I76" s="6">
        <v>5.4</v>
      </c>
      <c r="J76" s="6">
        <v>0.17</v>
      </c>
      <c r="K76" s="6">
        <v>227.81</v>
      </c>
      <c r="L76" s="6">
        <v>20.37</v>
      </c>
      <c r="M76" s="6">
        <v>32.909999999999997</v>
      </c>
      <c r="N76" s="6">
        <v>16.3</v>
      </c>
      <c r="O76" s="6">
        <v>0</v>
      </c>
      <c r="P76" s="6">
        <v>0.2</v>
      </c>
      <c r="Q76" s="6">
        <v>10</v>
      </c>
      <c r="R76" s="6"/>
      <c r="S76" s="6"/>
      <c r="T76" s="156"/>
      <c r="U76" s="6"/>
    </row>
    <row r="77" spans="1:21" customFormat="1">
      <c r="A77" s="201" t="s">
        <v>596</v>
      </c>
      <c r="B77" s="6">
        <v>4.6500000000000004</v>
      </c>
      <c r="C77" s="6">
        <v>5.94</v>
      </c>
      <c r="D77" s="6">
        <v>10.59</v>
      </c>
      <c r="E77" s="6">
        <v>4.34</v>
      </c>
      <c r="F77" s="6">
        <v>2.5499999999999998</v>
      </c>
      <c r="G77" s="6">
        <v>19.36</v>
      </c>
      <c r="H77" s="6">
        <v>4.9400000000000004</v>
      </c>
      <c r="I77" s="6">
        <v>5.54</v>
      </c>
      <c r="J77" s="6">
        <v>0.17</v>
      </c>
      <c r="K77" s="6">
        <v>160.44</v>
      </c>
      <c r="L77" s="6">
        <v>15.71</v>
      </c>
      <c r="M77" s="6">
        <v>21.38</v>
      </c>
      <c r="N77" s="6">
        <v>12.6</v>
      </c>
      <c r="O77" s="6">
        <v>0</v>
      </c>
      <c r="P77" s="6">
        <v>0.19</v>
      </c>
      <c r="Q77" s="6">
        <v>10</v>
      </c>
      <c r="R77" s="6"/>
      <c r="S77" s="6"/>
      <c r="T77" s="156"/>
      <c r="U77" s="6"/>
    </row>
    <row r="78" spans="1:21" customFormat="1">
      <c r="A78" s="201" t="s">
        <v>597</v>
      </c>
      <c r="B78" s="6">
        <v>4.91</v>
      </c>
      <c r="C78" s="6">
        <v>6.01</v>
      </c>
      <c r="D78" s="6">
        <v>10.92</v>
      </c>
      <c r="E78" s="6">
        <v>4.5599999999999996</v>
      </c>
      <c r="F78" s="6">
        <v>2.0099999999999998</v>
      </c>
      <c r="G78" s="6">
        <v>16.87</v>
      </c>
      <c r="H78" s="6">
        <v>3.81</v>
      </c>
      <c r="I78" s="6">
        <v>5.53</v>
      </c>
      <c r="J78" s="6">
        <v>0.18</v>
      </c>
      <c r="K78" s="6">
        <v>166.89</v>
      </c>
      <c r="L78" s="6">
        <v>16.36</v>
      </c>
      <c r="M78" s="6">
        <v>23</v>
      </c>
      <c r="N78" s="6">
        <v>9</v>
      </c>
      <c r="O78" s="6">
        <v>0</v>
      </c>
      <c r="P78" s="6">
        <v>0.22</v>
      </c>
      <c r="Q78" s="6">
        <v>10</v>
      </c>
      <c r="R78" s="6"/>
      <c r="S78" s="6"/>
      <c r="T78" s="156"/>
      <c r="U78" s="6"/>
    </row>
    <row r="79" spans="1:21" customFormat="1">
      <c r="A79" s="201" t="s">
        <v>598</v>
      </c>
      <c r="B79" s="6">
        <v>4.96</v>
      </c>
      <c r="C79" s="6">
        <v>6.13</v>
      </c>
      <c r="D79" s="6">
        <v>11.09</v>
      </c>
      <c r="E79" s="6">
        <v>4.6900000000000004</v>
      </c>
      <c r="F79" s="6">
        <v>2.0099999999999998</v>
      </c>
      <c r="G79" s="6">
        <v>15.05</v>
      </c>
      <c r="H79" s="6">
        <v>3.46</v>
      </c>
      <c r="I79" s="6">
        <v>5.52</v>
      </c>
      <c r="J79" s="6">
        <v>0.13</v>
      </c>
      <c r="K79" s="6">
        <v>168.88</v>
      </c>
      <c r="L79" s="6">
        <v>17.14</v>
      </c>
      <c r="M79" s="6">
        <v>25.1</v>
      </c>
      <c r="N79" s="6">
        <v>4.9000000000000004</v>
      </c>
      <c r="O79" s="6">
        <v>0</v>
      </c>
      <c r="P79" s="6">
        <v>0.22</v>
      </c>
      <c r="Q79" s="6">
        <v>10</v>
      </c>
      <c r="R79" s="6"/>
      <c r="S79" s="6"/>
      <c r="T79" s="156"/>
      <c r="U79" s="6"/>
    </row>
    <row r="80" spans="1:21" customFormat="1">
      <c r="A80" s="201" t="s">
        <v>599</v>
      </c>
      <c r="B80" s="6">
        <v>4.87</v>
      </c>
      <c r="C80" s="6">
        <v>6.41</v>
      </c>
      <c r="D80" s="6">
        <v>11.28</v>
      </c>
      <c r="E80" s="6">
        <v>4.7699999999999996</v>
      </c>
      <c r="F80" s="6">
        <v>2.4</v>
      </c>
      <c r="G80" s="6">
        <v>15.05</v>
      </c>
      <c r="H80" s="6">
        <v>3.46</v>
      </c>
      <c r="I80" s="6">
        <v>5.63</v>
      </c>
      <c r="J80" s="6">
        <v>0.15</v>
      </c>
      <c r="K80" s="6">
        <v>166.11</v>
      </c>
      <c r="L80" s="6">
        <v>16.420000000000002</v>
      </c>
      <c r="M80" s="6">
        <v>22.79</v>
      </c>
      <c r="N80" s="6">
        <v>2.7</v>
      </c>
      <c r="O80" s="6">
        <v>0</v>
      </c>
      <c r="P80" s="6">
        <v>0.23</v>
      </c>
      <c r="Q80" s="6">
        <v>10</v>
      </c>
      <c r="R80" s="6"/>
      <c r="S80" s="6"/>
      <c r="T80" s="156"/>
      <c r="U80" s="6"/>
    </row>
    <row r="81" spans="1:21" customFormat="1">
      <c r="A81" s="201" t="s">
        <v>600</v>
      </c>
      <c r="B81" s="6">
        <v>5.1100000000000003</v>
      </c>
      <c r="C81" s="6">
        <v>6.32</v>
      </c>
      <c r="D81" s="6">
        <v>11.43</v>
      </c>
      <c r="E81" s="6">
        <v>5.46</v>
      </c>
      <c r="F81" s="6">
        <v>2.06</v>
      </c>
      <c r="G81" s="6">
        <v>15.05</v>
      </c>
      <c r="H81" s="6">
        <v>3.46</v>
      </c>
      <c r="I81" s="6">
        <v>5.68</v>
      </c>
      <c r="J81" s="6">
        <v>0.14000000000000001</v>
      </c>
      <c r="K81" s="6">
        <v>181.45</v>
      </c>
      <c r="L81" s="6">
        <v>17.86</v>
      </c>
      <c r="M81" s="6">
        <v>26.91</v>
      </c>
      <c r="N81" s="6">
        <v>2.6</v>
      </c>
      <c r="O81" s="6">
        <v>0</v>
      </c>
      <c r="P81" s="6">
        <v>0.25</v>
      </c>
      <c r="Q81" s="6">
        <v>10</v>
      </c>
      <c r="R81" s="6"/>
      <c r="S81" s="6"/>
      <c r="T81" s="156"/>
      <c r="U81" s="6"/>
    </row>
    <row r="82" spans="1:21" customFormat="1">
      <c r="A82" s="201" t="s">
        <v>601</v>
      </c>
      <c r="B82" s="6">
        <v>5.12</v>
      </c>
      <c r="C82" s="6">
        <v>6.48</v>
      </c>
      <c r="D82" s="6">
        <v>11.6</v>
      </c>
      <c r="E82" s="6">
        <v>6.42</v>
      </c>
      <c r="F82" s="6">
        <v>2</v>
      </c>
      <c r="G82" s="6">
        <v>13.55</v>
      </c>
      <c r="H82" s="6">
        <v>2.67</v>
      </c>
      <c r="I82" s="6">
        <v>5.86</v>
      </c>
      <c r="J82" s="6">
        <v>0.09</v>
      </c>
      <c r="K82" s="6">
        <v>197.67</v>
      </c>
      <c r="L82" s="6">
        <v>18.52</v>
      </c>
      <c r="M82" s="6">
        <v>28.45</v>
      </c>
      <c r="N82" s="6">
        <v>2.5</v>
      </c>
      <c r="O82" s="6">
        <v>0</v>
      </c>
      <c r="P82" s="6">
        <v>0.28000000000000003</v>
      </c>
      <c r="Q82" s="6">
        <v>10</v>
      </c>
      <c r="R82" s="6"/>
      <c r="S82" s="6"/>
      <c r="T82" s="156"/>
      <c r="U82" s="6"/>
    </row>
    <row r="83" spans="1:21" customFormat="1">
      <c r="A83" s="201" t="s">
        <v>602</v>
      </c>
      <c r="B83" s="6">
        <v>5.08</v>
      </c>
      <c r="C83" s="6">
        <v>6.59</v>
      </c>
      <c r="D83" s="6">
        <v>11.66</v>
      </c>
      <c r="E83" s="6">
        <v>6.91</v>
      </c>
      <c r="F83" s="6">
        <v>2</v>
      </c>
      <c r="G83" s="6">
        <v>12.45</v>
      </c>
      <c r="H83" s="6">
        <v>2.42</v>
      </c>
      <c r="I83" s="6">
        <v>5.76</v>
      </c>
      <c r="J83" s="6">
        <v>0.13</v>
      </c>
      <c r="K83" s="6">
        <v>213.98</v>
      </c>
      <c r="L83" s="6">
        <v>19.010000000000002</v>
      </c>
      <c r="M83" s="6">
        <v>29.96</v>
      </c>
      <c r="N83" s="6">
        <v>2.7</v>
      </c>
      <c r="O83" s="6">
        <v>0</v>
      </c>
      <c r="P83" s="6">
        <v>0.28999999999999998</v>
      </c>
      <c r="Q83" s="6">
        <v>10</v>
      </c>
      <c r="R83" s="6"/>
      <c r="S83" s="6"/>
      <c r="T83" s="156"/>
      <c r="U83" s="6"/>
    </row>
    <row r="84" spans="1:21" customFormat="1">
      <c r="A84" s="201" t="s">
        <v>603</v>
      </c>
      <c r="B84" s="6">
        <v>5</v>
      </c>
      <c r="C84" s="6">
        <v>6.59</v>
      </c>
      <c r="D84" s="6">
        <v>11.59</v>
      </c>
      <c r="E84" s="6">
        <v>6.7</v>
      </c>
      <c r="F84" s="6">
        <v>2</v>
      </c>
      <c r="G84" s="6">
        <v>12.45</v>
      </c>
      <c r="H84" s="6">
        <v>2.42</v>
      </c>
      <c r="I84" s="6">
        <v>5.78</v>
      </c>
      <c r="J84" s="6">
        <v>0.11</v>
      </c>
      <c r="K84" s="6">
        <v>159.85</v>
      </c>
      <c r="L84" s="6">
        <v>15.92</v>
      </c>
      <c r="M84" s="6">
        <v>22.01</v>
      </c>
      <c r="N84" s="6">
        <v>2.7</v>
      </c>
      <c r="O84" s="6">
        <v>0</v>
      </c>
      <c r="P84" s="6">
        <v>0.3</v>
      </c>
      <c r="Q84" s="6">
        <v>10</v>
      </c>
      <c r="R84" s="6"/>
      <c r="S84" s="6"/>
      <c r="T84" s="156"/>
      <c r="U84" s="6"/>
    </row>
    <row r="85" spans="1:21" customFormat="1">
      <c r="A85" s="201" t="s">
        <v>604</v>
      </c>
      <c r="B85" s="6">
        <v>4.8899999999999997</v>
      </c>
      <c r="C85" s="6">
        <v>6.58</v>
      </c>
      <c r="D85" s="6">
        <v>11.47</v>
      </c>
      <c r="E85" s="6">
        <v>6.66</v>
      </c>
      <c r="F85" s="6">
        <v>2</v>
      </c>
      <c r="G85" s="6">
        <v>12.45</v>
      </c>
      <c r="H85" s="6">
        <v>2.42</v>
      </c>
      <c r="I85" s="6">
        <v>5.72</v>
      </c>
      <c r="J85" s="6">
        <v>0.11</v>
      </c>
      <c r="K85" s="6">
        <v>178.05</v>
      </c>
      <c r="L85" s="6">
        <v>17.52</v>
      </c>
      <c r="M85" s="6">
        <v>26.08</v>
      </c>
      <c r="N85" s="6">
        <v>2.5</v>
      </c>
      <c r="O85" s="6">
        <v>0</v>
      </c>
      <c r="P85" s="6">
        <v>0.28999999999999998</v>
      </c>
      <c r="Q85" s="6">
        <v>10</v>
      </c>
      <c r="R85" s="6"/>
      <c r="S85" s="6"/>
      <c r="T85" s="156"/>
      <c r="U85" s="6"/>
    </row>
    <row r="86" spans="1:21" customFormat="1">
      <c r="A86" s="201" t="s">
        <v>605</v>
      </c>
      <c r="B86" s="6">
        <v>4.8</v>
      </c>
      <c r="C86" s="6">
        <v>6.5</v>
      </c>
      <c r="D86" s="6">
        <v>11.3</v>
      </c>
      <c r="E86" s="6">
        <v>7.01</v>
      </c>
      <c r="F86" s="6">
        <v>2</v>
      </c>
      <c r="G86" s="6">
        <v>16.73</v>
      </c>
      <c r="H86" s="6">
        <v>5.39</v>
      </c>
      <c r="I86" s="6">
        <v>5.69</v>
      </c>
      <c r="J86" s="6">
        <v>0.11</v>
      </c>
      <c r="K86" s="6">
        <v>180.36</v>
      </c>
      <c r="L86" s="6">
        <v>16.670000000000002</v>
      </c>
      <c r="M86" s="6">
        <v>23.94</v>
      </c>
      <c r="N86" s="6">
        <v>2.6</v>
      </c>
      <c r="O86" s="6">
        <v>0</v>
      </c>
      <c r="P86" s="6">
        <v>0.28999999999999998</v>
      </c>
      <c r="Q86" s="6">
        <v>10</v>
      </c>
      <c r="R86" s="6"/>
      <c r="S86" s="6"/>
      <c r="T86" s="156"/>
      <c r="U86" s="6"/>
    </row>
    <row r="87" spans="1:21" customFormat="1">
      <c r="A87" s="201" t="s">
        <v>606</v>
      </c>
      <c r="B87" s="6">
        <v>4.74</v>
      </c>
      <c r="C87" s="6">
        <v>6.42</v>
      </c>
      <c r="D87" s="6">
        <v>11.16</v>
      </c>
      <c r="E87" s="6">
        <v>6.85</v>
      </c>
      <c r="F87" s="6">
        <v>2</v>
      </c>
      <c r="G87" s="6">
        <v>19.86</v>
      </c>
      <c r="H87" s="6">
        <v>7.22</v>
      </c>
      <c r="I87" s="6">
        <v>5.66</v>
      </c>
      <c r="J87" s="6">
        <v>0.16</v>
      </c>
      <c r="K87" s="6">
        <v>226.99</v>
      </c>
      <c r="L87" s="6">
        <v>19.829999999999998</v>
      </c>
      <c r="M87" s="6">
        <v>31.75</v>
      </c>
      <c r="N87" s="6">
        <v>2.7</v>
      </c>
      <c r="O87" s="6">
        <v>0</v>
      </c>
      <c r="P87" s="6">
        <v>0.28999999999999998</v>
      </c>
      <c r="Q87" s="6">
        <v>10</v>
      </c>
      <c r="R87" s="6"/>
      <c r="S87" s="6"/>
      <c r="T87" s="156"/>
      <c r="U87" s="6"/>
    </row>
    <row r="88" spans="1:21" customFormat="1">
      <c r="A88" s="201" t="s">
        <v>607</v>
      </c>
      <c r="B88" s="6">
        <v>4.66</v>
      </c>
      <c r="C88" s="6">
        <v>6.34</v>
      </c>
      <c r="D88" s="6">
        <v>11.01</v>
      </c>
      <c r="E88" s="6">
        <v>6.89</v>
      </c>
      <c r="F88" s="6">
        <v>2</v>
      </c>
      <c r="G88" s="6">
        <v>19.86</v>
      </c>
      <c r="H88" s="6">
        <v>7.22</v>
      </c>
      <c r="I88" s="6">
        <v>5.61</v>
      </c>
      <c r="J88" s="6">
        <v>0.36</v>
      </c>
      <c r="K88" s="6">
        <v>246.87</v>
      </c>
      <c r="L88" s="6">
        <v>21.8</v>
      </c>
      <c r="M88" s="6">
        <v>36.700000000000003</v>
      </c>
      <c r="N88" s="6">
        <v>3.1</v>
      </c>
      <c r="O88" s="6">
        <v>0</v>
      </c>
      <c r="P88" s="6">
        <v>0.28999999999999998</v>
      </c>
      <c r="Q88" s="6">
        <v>10.51</v>
      </c>
      <c r="R88" s="6"/>
      <c r="S88" s="6"/>
      <c r="T88" s="156"/>
      <c r="U88" s="6"/>
    </row>
    <row r="89" spans="1:21" customFormat="1">
      <c r="A89" s="201" t="s">
        <v>608</v>
      </c>
      <c r="B89" s="6">
        <v>4.54</v>
      </c>
      <c r="C89" s="6">
        <v>6.27</v>
      </c>
      <c r="D89" s="6">
        <v>10.8</v>
      </c>
      <c r="E89" s="6">
        <v>6.91</v>
      </c>
      <c r="F89" s="6">
        <v>2</v>
      </c>
      <c r="G89" s="6">
        <v>19.86</v>
      </c>
      <c r="H89" s="6">
        <v>7.22</v>
      </c>
      <c r="I89" s="6">
        <v>5.59</v>
      </c>
      <c r="J89" s="6">
        <v>0.14000000000000001</v>
      </c>
      <c r="K89" s="6">
        <v>216.36</v>
      </c>
      <c r="L89" s="6">
        <v>18.489999999999998</v>
      </c>
      <c r="M89" s="6">
        <v>28.46</v>
      </c>
      <c r="N89" s="6">
        <v>2.8</v>
      </c>
      <c r="O89" s="6">
        <v>0</v>
      </c>
      <c r="P89" s="6">
        <v>0.28000000000000003</v>
      </c>
      <c r="Q89" s="6">
        <v>10</v>
      </c>
      <c r="R89" s="6"/>
      <c r="S89" s="6"/>
      <c r="T89" s="156"/>
      <c r="U89" s="6"/>
    </row>
    <row r="90" spans="1:21" customFormat="1">
      <c r="A90" s="201" t="s">
        <v>609</v>
      </c>
      <c r="B90" s="6">
        <v>4.43</v>
      </c>
      <c r="C90" s="6">
        <v>6.22</v>
      </c>
      <c r="D90" s="6">
        <v>10.65</v>
      </c>
      <c r="E90" s="6">
        <v>6.76</v>
      </c>
      <c r="F90" s="6">
        <v>2</v>
      </c>
      <c r="G90" s="6">
        <v>16.57</v>
      </c>
      <c r="H90" s="6">
        <v>5.61</v>
      </c>
      <c r="I90" s="6">
        <v>5.61</v>
      </c>
      <c r="J90" s="6">
        <v>0.11</v>
      </c>
      <c r="K90" s="6">
        <v>188.46</v>
      </c>
      <c r="L90" s="6">
        <v>17.78</v>
      </c>
      <c r="M90" s="6">
        <v>26.68</v>
      </c>
      <c r="N90" s="6">
        <v>2.6</v>
      </c>
      <c r="O90" s="6">
        <v>0</v>
      </c>
      <c r="P90" s="6">
        <v>0.28000000000000003</v>
      </c>
      <c r="Q90" s="6">
        <v>10</v>
      </c>
      <c r="R90" s="6"/>
      <c r="S90" s="6"/>
      <c r="T90" s="156"/>
      <c r="U90" s="6"/>
    </row>
    <row r="91" spans="1:21" customFormat="1">
      <c r="A91" s="201" t="s">
        <v>610</v>
      </c>
      <c r="B91" s="6">
        <v>4.4000000000000004</v>
      </c>
      <c r="C91" s="6">
        <v>6.04</v>
      </c>
      <c r="D91" s="6">
        <v>10.43</v>
      </c>
      <c r="E91" s="6">
        <v>7.42</v>
      </c>
      <c r="F91" s="6">
        <v>2</v>
      </c>
      <c r="G91" s="6">
        <v>14.06</v>
      </c>
      <c r="H91" s="6">
        <v>5.0999999999999996</v>
      </c>
      <c r="I91" s="6">
        <v>5.44</v>
      </c>
      <c r="J91" s="6">
        <v>0.17</v>
      </c>
      <c r="K91" s="6">
        <v>226.76</v>
      </c>
      <c r="L91" s="6">
        <v>20.190000000000001</v>
      </c>
      <c r="M91" s="6">
        <v>32.67</v>
      </c>
      <c r="N91" s="6">
        <v>2.4</v>
      </c>
      <c r="O91" s="6">
        <v>0</v>
      </c>
      <c r="P91" s="6">
        <v>0.27</v>
      </c>
      <c r="Q91" s="6">
        <v>10.02</v>
      </c>
      <c r="R91" s="6"/>
      <c r="S91" s="6"/>
      <c r="T91" s="156"/>
      <c r="U91" s="6"/>
    </row>
    <row r="92" spans="1:21" customFormat="1">
      <c r="A92" s="201" t="s">
        <v>611</v>
      </c>
      <c r="B92" s="6">
        <v>4.32</v>
      </c>
      <c r="C92" s="6">
        <v>6.02</v>
      </c>
      <c r="D92" s="6">
        <v>10.34</v>
      </c>
      <c r="E92" s="6">
        <v>6.83</v>
      </c>
      <c r="F92" s="6">
        <v>2</v>
      </c>
      <c r="G92" s="6">
        <v>14.06</v>
      </c>
      <c r="H92" s="6">
        <v>5.0999999999999996</v>
      </c>
      <c r="I92" s="6">
        <v>5.44</v>
      </c>
      <c r="J92" s="6">
        <v>0.14000000000000001</v>
      </c>
      <c r="K92" s="6">
        <v>215.96</v>
      </c>
      <c r="L92" s="6">
        <v>19.3</v>
      </c>
      <c r="M92" s="6">
        <v>30.46</v>
      </c>
      <c r="N92" s="6">
        <v>2.5</v>
      </c>
      <c r="O92" s="6">
        <v>0</v>
      </c>
      <c r="P92" s="6">
        <v>0.27</v>
      </c>
      <c r="Q92" s="6">
        <v>10</v>
      </c>
      <c r="R92" s="6"/>
      <c r="S92" s="6"/>
      <c r="T92" s="156"/>
      <c r="U92" s="6"/>
    </row>
    <row r="93" spans="1:21" customFormat="1">
      <c r="A93" s="201" t="s">
        <v>612</v>
      </c>
      <c r="B93" s="6">
        <v>4.25</v>
      </c>
      <c r="C93" s="6">
        <v>5.99</v>
      </c>
      <c r="D93" s="6">
        <v>10.24</v>
      </c>
      <c r="E93" s="6">
        <v>7.31</v>
      </c>
      <c r="F93" s="6">
        <v>2</v>
      </c>
      <c r="G93" s="6">
        <v>14.06</v>
      </c>
      <c r="H93" s="6">
        <v>5.0999999999999996</v>
      </c>
      <c r="I93" s="6">
        <v>5.34</v>
      </c>
      <c r="J93" s="6">
        <v>0.48</v>
      </c>
      <c r="K93" s="6">
        <v>254.46</v>
      </c>
      <c r="L93" s="6">
        <v>22.32</v>
      </c>
      <c r="M93" s="6">
        <v>38.11</v>
      </c>
      <c r="N93" s="6">
        <v>2.5</v>
      </c>
      <c r="O93" s="6">
        <v>0</v>
      </c>
      <c r="P93" s="6">
        <v>0.26</v>
      </c>
      <c r="Q93" s="6">
        <v>10</v>
      </c>
      <c r="R93" s="6"/>
      <c r="S93" s="6"/>
      <c r="T93" s="156"/>
      <c r="U93" s="6"/>
    </row>
    <row r="94" spans="1:21" customFormat="1">
      <c r="A94" s="201" t="s">
        <v>613</v>
      </c>
      <c r="B94" s="6">
        <v>4.1399999999999997</v>
      </c>
      <c r="C94" s="6">
        <v>5.99</v>
      </c>
      <c r="D94" s="6">
        <v>10.130000000000001</v>
      </c>
      <c r="E94" s="6">
        <v>7.08</v>
      </c>
      <c r="F94" s="6">
        <v>2</v>
      </c>
      <c r="G94" s="6">
        <v>13.55</v>
      </c>
      <c r="H94" s="6">
        <v>5.82</v>
      </c>
      <c r="I94" s="6">
        <v>5.29</v>
      </c>
      <c r="J94" s="6">
        <v>0.41</v>
      </c>
      <c r="K94" s="6">
        <v>251.85</v>
      </c>
      <c r="L94" s="6">
        <v>22.1</v>
      </c>
      <c r="M94" s="6">
        <v>37.450000000000003</v>
      </c>
      <c r="N94" s="6">
        <v>2.4</v>
      </c>
      <c r="O94" s="6">
        <v>0</v>
      </c>
      <c r="P94" s="6">
        <v>0.26</v>
      </c>
      <c r="Q94" s="6">
        <v>10.14</v>
      </c>
      <c r="R94" s="6"/>
      <c r="S94" s="6"/>
      <c r="T94" s="156"/>
      <c r="U94" s="6"/>
    </row>
    <row r="95" spans="1:21" customFormat="1">
      <c r="A95" s="201" t="s">
        <v>614</v>
      </c>
      <c r="B95" s="6">
        <v>4.08</v>
      </c>
      <c r="C95" s="6">
        <v>5.92</v>
      </c>
      <c r="D95" s="6">
        <v>10</v>
      </c>
      <c r="E95" s="6">
        <v>7.06</v>
      </c>
      <c r="F95" s="6">
        <v>2</v>
      </c>
      <c r="G95" s="6">
        <v>13.16</v>
      </c>
      <c r="H95" s="6">
        <v>6.04</v>
      </c>
      <c r="I95" s="6">
        <v>5.23</v>
      </c>
      <c r="J95" s="6">
        <v>0.41</v>
      </c>
      <c r="K95" s="6">
        <v>252.05</v>
      </c>
      <c r="L95" s="6">
        <v>21.48</v>
      </c>
      <c r="M95" s="6">
        <v>36.14</v>
      </c>
      <c r="N95" s="6">
        <v>2.5</v>
      </c>
      <c r="O95" s="6">
        <v>0</v>
      </c>
      <c r="P95" s="6">
        <v>0.26</v>
      </c>
      <c r="Q95" s="6">
        <v>10</v>
      </c>
      <c r="R95" s="6"/>
      <c r="S95" s="6"/>
      <c r="T95" s="156"/>
      <c r="U95" s="6"/>
    </row>
    <row r="96" spans="1:21" customFormat="1">
      <c r="A96" s="201" t="s">
        <v>615</v>
      </c>
      <c r="B96" s="6">
        <v>3.99</v>
      </c>
      <c r="C96" s="6">
        <v>5.87</v>
      </c>
      <c r="D96" s="6">
        <v>9.85</v>
      </c>
      <c r="E96" s="6">
        <v>7.24</v>
      </c>
      <c r="F96" s="6">
        <v>2.02</v>
      </c>
      <c r="G96" s="6">
        <v>13.16</v>
      </c>
      <c r="H96" s="6">
        <v>6.04</v>
      </c>
      <c r="I96" s="6">
        <v>5.0999999999999996</v>
      </c>
      <c r="J96" s="6">
        <v>0.1</v>
      </c>
      <c r="K96" s="6">
        <v>206.61</v>
      </c>
      <c r="L96" s="6">
        <v>17.670000000000002</v>
      </c>
      <c r="M96" s="6">
        <v>26.4</v>
      </c>
      <c r="N96" s="6">
        <v>2.4</v>
      </c>
      <c r="O96" s="6">
        <v>0</v>
      </c>
      <c r="P96" s="6">
        <v>0.25</v>
      </c>
      <c r="Q96" s="6">
        <v>10</v>
      </c>
      <c r="R96" s="6"/>
      <c r="S96" s="6"/>
      <c r="T96" s="156"/>
      <c r="U96" s="6"/>
    </row>
    <row r="97" spans="1:28" customFormat="1">
      <c r="A97" s="201" t="s">
        <v>616</v>
      </c>
      <c r="B97" s="6">
        <v>3.89</v>
      </c>
      <c r="C97" s="6">
        <v>5.88</v>
      </c>
      <c r="D97" s="6">
        <v>9.77</v>
      </c>
      <c r="E97" s="6">
        <v>7.09</v>
      </c>
      <c r="F97" s="6">
        <v>2</v>
      </c>
      <c r="G97" s="6">
        <v>13.16</v>
      </c>
      <c r="H97" s="6">
        <v>6.04</v>
      </c>
      <c r="I97" s="6">
        <v>5.0199999999999996</v>
      </c>
      <c r="J97" s="6">
        <v>0.11</v>
      </c>
      <c r="K97" s="6">
        <v>235.53</v>
      </c>
      <c r="L97" s="6">
        <v>21.15</v>
      </c>
      <c r="M97" s="6">
        <v>35.1</v>
      </c>
      <c r="N97" s="6">
        <v>2.4</v>
      </c>
      <c r="O97" s="6">
        <v>0</v>
      </c>
      <c r="P97" s="6">
        <v>0.24</v>
      </c>
      <c r="Q97" s="6">
        <v>10</v>
      </c>
      <c r="R97" s="6"/>
      <c r="S97" s="6"/>
      <c r="T97" s="156"/>
      <c r="U97" s="6"/>
    </row>
    <row r="98" spans="1:28" customFormat="1">
      <c r="A98" s="201" t="s">
        <v>617</v>
      </c>
      <c r="B98" s="6">
        <v>3.83</v>
      </c>
      <c r="C98" s="6">
        <v>5.89</v>
      </c>
      <c r="D98" s="6">
        <v>9.7200000000000006</v>
      </c>
      <c r="E98" s="6">
        <v>7.12</v>
      </c>
      <c r="F98" s="6">
        <v>2</v>
      </c>
      <c r="G98" s="6">
        <v>12.63</v>
      </c>
      <c r="H98" s="6">
        <v>4.8499999999999996</v>
      </c>
      <c r="I98" s="6">
        <v>4.88</v>
      </c>
      <c r="J98" s="6">
        <v>0.1</v>
      </c>
      <c r="K98" s="6">
        <v>158.66</v>
      </c>
      <c r="L98" s="6">
        <v>16.3</v>
      </c>
      <c r="M98" s="6">
        <v>23.05</v>
      </c>
      <c r="N98" s="6">
        <v>2.2999999999999998</v>
      </c>
      <c r="O98" s="6">
        <v>0</v>
      </c>
      <c r="P98" s="6">
        <v>0.24</v>
      </c>
      <c r="Q98" s="6">
        <v>10</v>
      </c>
      <c r="R98" s="6"/>
      <c r="S98" s="6"/>
      <c r="T98" s="156"/>
      <c r="U98" s="6"/>
    </row>
    <row r="99" spans="1:28" customFormat="1">
      <c r="A99" s="201" t="s">
        <v>618</v>
      </c>
      <c r="B99" s="6">
        <v>3.84</v>
      </c>
      <c r="C99" s="6">
        <v>5.81</v>
      </c>
      <c r="D99" s="6">
        <v>9.65</v>
      </c>
      <c r="E99" s="6">
        <v>7.32</v>
      </c>
      <c r="F99" s="6">
        <v>2</v>
      </c>
      <c r="G99" s="6">
        <v>12.24</v>
      </c>
      <c r="H99" s="6">
        <v>4.4800000000000004</v>
      </c>
      <c r="I99" s="6">
        <v>4.9000000000000004</v>
      </c>
      <c r="J99" s="6">
        <v>0.11</v>
      </c>
      <c r="K99" s="6">
        <v>206.75</v>
      </c>
      <c r="L99" s="6">
        <v>18.52</v>
      </c>
      <c r="M99" s="6">
        <v>28.52</v>
      </c>
      <c r="N99" s="6">
        <v>2.2999999999999998</v>
      </c>
      <c r="O99" s="6">
        <v>0</v>
      </c>
      <c r="P99" s="6">
        <v>0.24</v>
      </c>
      <c r="Q99" s="6">
        <v>10</v>
      </c>
      <c r="R99" s="6"/>
      <c r="S99" s="6"/>
      <c r="T99" s="156"/>
      <c r="U99" s="6"/>
    </row>
    <row r="100" spans="1:28" customFormat="1">
      <c r="A100" s="201" t="s">
        <v>619</v>
      </c>
      <c r="B100" s="6">
        <v>3.81</v>
      </c>
      <c r="C100" s="6">
        <v>5.8</v>
      </c>
      <c r="D100" s="6">
        <v>9.61</v>
      </c>
      <c r="E100" s="6">
        <v>7.46</v>
      </c>
      <c r="F100" s="6">
        <v>2</v>
      </c>
      <c r="G100" s="6">
        <v>12.24</v>
      </c>
      <c r="H100" s="6">
        <v>4.4800000000000004</v>
      </c>
      <c r="I100" s="6">
        <v>4.84</v>
      </c>
      <c r="J100" s="6">
        <v>0.24</v>
      </c>
      <c r="K100" s="6">
        <v>248.66</v>
      </c>
      <c r="L100" s="6">
        <v>22.25</v>
      </c>
      <c r="M100" s="6">
        <v>37.83</v>
      </c>
      <c r="N100" s="6">
        <v>2.1</v>
      </c>
      <c r="O100" s="6">
        <v>0</v>
      </c>
      <c r="P100" s="6">
        <v>0.25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620</v>
      </c>
      <c r="B101" s="6">
        <v>3.85</v>
      </c>
      <c r="C101" s="6">
        <v>5.76</v>
      </c>
      <c r="D101" s="6">
        <v>9.61</v>
      </c>
      <c r="E101" s="6">
        <v>7.57</v>
      </c>
      <c r="F101" s="6">
        <v>2</v>
      </c>
      <c r="G101" s="6">
        <v>12.24</v>
      </c>
      <c r="H101" s="6">
        <v>4.4800000000000004</v>
      </c>
      <c r="I101" s="6">
        <v>4.8</v>
      </c>
      <c r="J101" s="6">
        <v>0.3</v>
      </c>
      <c r="K101" s="6">
        <v>249.78</v>
      </c>
      <c r="L101" s="6">
        <v>21.8</v>
      </c>
      <c r="M101" s="6">
        <v>36.72</v>
      </c>
      <c r="N101" s="6">
        <v>2.1</v>
      </c>
      <c r="O101" s="6">
        <v>0</v>
      </c>
      <c r="P101" s="6">
        <v>0.24</v>
      </c>
      <c r="Q101" s="6">
        <v>10</v>
      </c>
      <c r="R101" s="6"/>
      <c r="S101" s="6"/>
      <c r="T101" s="156"/>
      <c r="U101" s="6"/>
    </row>
    <row r="102" spans="1:28" customFormat="1">
      <c r="A102" s="201" t="s">
        <v>621</v>
      </c>
      <c r="B102" s="6">
        <v>3.85</v>
      </c>
      <c r="C102" s="6">
        <v>5.56</v>
      </c>
      <c r="D102" s="6">
        <v>9.41</v>
      </c>
      <c r="E102" s="6">
        <v>7.34</v>
      </c>
      <c r="F102" s="6">
        <v>2.15</v>
      </c>
      <c r="G102" s="6">
        <v>14.09</v>
      </c>
      <c r="H102" s="6">
        <v>4.46</v>
      </c>
      <c r="I102" s="6">
        <v>4.78</v>
      </c>
      <c r="J102" s="6">
        <v>0.28000000000000003</v>
      </c>
      <c r="K102" s="6">
        <v>247.12</v>
      </c>
      <c r="L102" s="6">
        <v>21.8</v>
      </c>
      <c r="M102" s="6">
        <v>36.729999999999997</v>
      </c>
      <c r="N102" s="6">
        <v>2.1</v>
      </c>
      <c r="O102" s="6">
        <v>0</v>
      </c>
      <c r="P102" s="6">
        <v>0.19</v>
      </c>
      <c r="Q102" s="6">
        <v>10</v>
      </c>
      <c r="R102" s="6"/>
      <c r="S102" s="6"/>
      <c r="T102" s="156"/>
      <c r="U102" s="6"/>
    </row>
    <row r="103" spans="1:28" customFormat="1">
      <c r="A103" s="201" t="s">
        <v>622</v>
      </c>
      <c r="B103" s="6">
        <v>3.94</v>
      </c>
      <c r="C103" s="6">
        <v>5.48</v>
      </c>
      <c r="D103" s="6">
        <v>9.42</v>
      </c>
      <c r="E103" s="6">
        <v>7.01</v>
      </c>
      <c r="F103" s="6">
        <v>2.35</v>
      </c>
      <c r="G103" s="6">
        <v>15.44</v>
      </c>
      <c r="H103" s="6">
        <v>4.46</v>
      </c>
      <c r="I103" s="6">
        <v>4.78</v>
      </c>
      <c r="J103" s="6">
        <v>0.39</v>
      </c>
      <c r="K103" s="6">
        <v>252.59</v>
      </c>
      <c r="L103" s="6">
        <v>22.58</v>
      </c>
      <c r="M103" s="6">
        <v>38.61</v>
      </c>
      <c r="N103" s="6">
        <v>2.1</v>
      </c>
      <c r="O103" s="6">
        <v>0</v>
      </c>
      <c r="P103" s="6">
        <v>0.16</v>
      </c>
      <c r="Q103" s="6">
        <v>10</v>
      </c>
      <c r="R103" s="6"/>
      <c r="S103" s="6"/>
      <c r="T103" s="156"/>
      <c r="U103" s="6"/>
    </row>
    <row r="104" spans="1:28" customFormat="1">
      <c r="A104" s="201" t="s">
        <v>623</v>
      </c>
      <c r="B104" s="6">
        <v>4.18</v>
      </c>
      <c r="C104" s="6">
        <v>5.66</v>
      </c>
      <c r="D104" s="6">
        <v>9.84</v>
      </c>
      <c r="E104" s="6">
        <v>7.06</v>
      </c>
      <c r="F104" s="6">
        <v>2.08</v>
      </c>
      <c r="G104" s="6">
        <v>15.44</v>
      </c>
      <c r="H104" s="6">
        <v>4.46</v>
      </c>
      <c r="I104" s="6">
        <v>4.7300000000000004</v>
      </c>
      <c r="J104" s="6">
        <v>0.26</v>
      </c>
      <c r="K104" s="6">
        <v>248.43</v>
      </c>
      <c r="L104" s="6">
        <v>21.73</v>
      </c>
      <c r="M104" s="6">
        <v>36.520000000000003</v>
      </c>
      <c r="N104" s="6">
        <v>2.2000000000000002</v>
      </c>
      <c r="O104" s="6">
        <v>0</v>
      </c>
      <c r="P104" s="6">
        <v>0.18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2.4300000000000002</v>
      </c>
      <c r="C106" s="158">
        <f>MIN(C9:C104)</f>
        <v>5.48</v>
      </c>
      <c r="D106" s="158">
        <f t="shared" ref="D106:Q106" si="0">MIN(D9:D104)</f>
        <v>8.6199999999999992</v>
      </c>
      <c r="E106" s="158">
        <f t="shared" si="0"/>
        <v>3.59</v>
      </c>
      <c r="F106" s="158">
        <f t="shared" si="0"/>
        <v>2</v>
      </c>
      <c r="G106" s="158">
        <f t="shared" si="0"/>
        <v>11.46</v>
      </c>
      <c r="H106" s="158">
        <f t="shared" si="0"/>
        <v>2.42</v>
      </c>
      <c r="I106" s="158">
        <f t="shared" si="0"/>
        <v>4.7300000000000004</v>
      </c>
      <c r="J106" s="158">
        <f t="shared" si="0"/>
        <v>0.04</v>
      </c>
      <c r="K106" s="158">
        <f t="shared" si="0"/>
        <v>11.24</v>
      </c>
      <c r="L106" s="158">
        <f t="shared" si="0"/>
        <v>10.55</v>
      </c>
      <c r="M106" s="158">
        <f t="shared" si="0"/>
        <v>9.1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9.43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5.86</v>
      </c>
      <c r="C107" s="157">
        <f t="shared" ref="C107:Q107" si="1">MAX(C9:C104)</f>
        <v>7.54</v>
      </c>
      <c r="D107" s="157">
        <f t="shared" si="1"/>
        <v>12.6</v>
      </c>
      <c r="E107" s="157">
        <f t="shared" si="1"/>
        <v>7.57</v>
      </c>
      <c r="F107" s="157">
        <f t="shared" si="1"/>
        <v>5.04</v>
      </c>
      <c r="G107" s="157">
        <f t="shared" si="1"/>
        <v>21.61</v>
      </c>
      <c r="H107" s="157">
        <f t="shared" si="1"/>
        <v>9.4700000000000006</v>
      </c>
      <c r="I107" s="157">
        <f t="shared" si="1"/>
        <v>7.45</v>
      </c>
      <c r="J107" s="157">
        <f t="shared" si="1"/>
        <v>0.9</v>
      </c>
      <c r="K107" s="157">
        <f t="shared" si="1"/>
        <v>349.24</v>
      </c>
      <c r="L107" s="157">
        <f t="shared" si="1"/>
        <v>28.22</v>
      </c>
      <c r="M107" s="157">
        <f t="shared" si="1"/>
        <v>44.62</v>
      </c>
      <c r="N107" s="157">
        <f t="shared" si="1"/>
        <v>539.9</v>
      </c>
      <c r="O107" s="157">
        <f t="shared" si="1"/>
        <v>2.4</v>
      </c>
      <c r="P107" s="157">
        <f t="shared" si="1"/>
        <v>0.32</v>
      </c>
      <c r="Q107" s="157">
        <f t="shared" si="1"/>
        <v>12.84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4.3600000000000003</v>
      </c>
      <c r="C108" s="158">
        <f t="shared" ref="C108:Q108" si="2">AVERAGE(C9:C104)</f>
        <v>6.1857291666666638</v>
      </c>
      <c r="D108" s="158">
        <f t="shared" si="2"/>
        <v>10.545833333333333</v>
      </c>
      <c r="E108" s="158">
        <f t="shared" si="2"/>
        <v>5.5506249999999993</v>
      </c>
      <c r="F108" s="158">
        <f t="shared" si="2"/>
        <v>2.2727083333333336</v>
      </c>
      <c r="G108" s="158">
        <f t="shared" si="2"/>
        <v>15.878645833333323</v>
      </c>
      <c r="H108" s="158">
        <f t="shared" si="2"/>
        <v>5.5293750000000044</v>
      </c>
      <c r="I108" s="158">
        <f t="shared" si="2"/>
        <v>5.9485416666666673</v>
      </c>
      <c r="J108" s="158">
        <f t="shared" si="2"/>
        <v>0.41093749999999996</v>
      </c>
      <c r="K108" s="158">
        <f t="shared" si="2"/>
        <v>234.39760416666658</v>
      </c>
      <c r="L108" s="158">
        <f t="shared" si="2"/>
        <v>21.504999999999995</v>
      </c>
      <c r="M108" s="158">
        <f t="shared" si="2"/>
        <v>34.368124999999985</v>
      </c>
      <c r="N108" s="158">
        <f t="shared" si="2"/>
        <v>71.157291666666694</v>
      </c>
      <c r="O108" s="158">
        <f t="shared" si="2"/>
        <v>3.5416666666666673E-2</v>
      </c>
      <c r="P108" s="158">
        <f t="shared" si="2"/>
        <v>0.23999999999999991</v>
      </c>
      <c r="Q108" s="158">
        <f t="shared" si="2"/>
        <v>10.061875000000001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0.76547611602878718</v>
      </c>
      <c r="C109" s="158">
        <f t="shared" ref="C109:Q109" si="3">STDEV(C9:C104)</f>
        <v>0.37615155062167122</v>
      </c>
      <c r="D109" s="158">
        <f t="shared" si="3"/>
        <v>0.81481501506288512</v>
      </c>
      <c r="E109" s="158">
        <f t="shared" si="3"/>
        <v>0.99659822712857282</v>
      </c>
      <c r="F109" s="158">
        <f t="shared" si="3"/>
        <v>0.64956581315062578</v>
      </c>
      <c r="G109" s="158">
        <f t="shared" si="3"/>
        <v>2.5984981977619759</v>
      </c>
      <c r="H109" s="158">
        <f t="shared" si="3"/>
        <v>1.5254036998015907</v>
      </c>
      <c r="I109" s="158">
        <f t="shared" si="3"/>
        <v>0.70308789473243949</v>
      </c>
      <c r="J109" s="158">
        <f t="shared" si="3"/>
        <v>0.22032071419924007</v>
      </c>
      <c r="K109" s="158">
        <f t="shared" si="3"/>
        <v>52.140362862783803</v>
      </c>
      <c r="L109" s="158">
        <f t="shared" si="3"/>
        <v>3.2402849127491473</v>
      </c>
      <c r="M109" s="158">
        <f t="shared" si="3"/>
        <v>6.7082030400336485</v>
      </c>
      <c r="N109" s="158">
        <f t="shared" si="3"/>
        <v>118.91961171957755</v>
      </c>
      <c r="O109" s="158">
        <f t="shared" si="3"/>
        <v>0.25130361870042744</v>
      </c>
      <c r="P109" s="158">
        <f t="shared" si="3"/>
        <v>4.3480183023873166E-2</v>
      </c>
      <c r="Q109" s="158">
        <f t="shared" si="3"/>
        <v>0.33974080677698115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2" sqref="E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624</v>
      </c>
      <c r="B9" s="6">
        <v>4.5</v>
      </c>
      <c r="C9" s="6">
        <v>5.58</v>
      </c>
      <c r="D9" s="6">
        <v>10.07</v>
      </c>
      <c r="E9" s="6">
        <v>7.11</v>
      </c>
      <c r="F9" s="6">
        <v>2</v>
      </c>
      <c r="G9" s="6">
        <v>15.44</v>
      </c>
      <c r="H9" s="6">
        <v>4.46</v>
      </c>
      <c r="I9" s="6">
        <v>4.75</v>
      </c>
      <c r="J9" s="6">
        <v>0.23</v>
      </c>
      <c r="K9" s="6">
        <v>250.28</v>
      </c>
      <c r="L9" s="6">
        <v>22.04</v>
      </c>
      <c r="M9" s="6">
        <v>37.369999999999997</v>
      </c>
      <c r="N9" s="6">
        <v>2.2000000000000002</v>
      </c>
      <c r="O9" s="6">
        <v>0</v>
      </c>
      <c r="P9" s="6">
        <v>0.19</v>
      </c>
      <c r="Q9" s="6">
        <v>10</v>
      </c>
      <c r="R9" s="6"/>
      <c r="S9" s="6"/>
      <c r="T9" s="156"/>
      <c r="U9" s="6"/>
    </row>
    <row r="10" spans="1:21" customFormat="1">
      <c r="A10" s="201" t="s">
        <v>625</v>
      </c>
      <c r="B10" s="6">
        <v>4.45</v>
      </c>
      <c r="C10" s="6">
        <v>5.47</v>
      </c>
      <c r="D10" s="6">
        <v>9.91</v>
      </c>
      <c r="E10" s="6">
        <v>7.01</v>
      </c>
      <c r="F10" s="6">
        <v>2.29</v>
      </c>
      <c r="G10" s="6">
        <v>13.89</v>
      </c>
      <c r="H10" s="6">
        <v>5.87</v>
      </c>
      <c r="I10" s="6">
        <v>4.83</v>
      </c>
      <c r="J10" s="6">
        <v>0.22</v>
      </c>
      <c r="K10" s="6">
        <v>247.05</v>
      </c>
      <c r="L10" s="6">
        <v>20.88</v>
      </c>
      <c r="M10" s="6">
        <v>34.409999999999997</v>
      </c>
      <c r="N10" s="6">
        <v>2.2000000000000002</v>
      </c>
      <c r="O10" s="6">
        <v>0</v>
      </c>
      <c r="P10" s="6">
        <v>0.17</v>
      </c>
      <c r="Q10" s="6">
        <v>10</v>
      </c>
      <c r="R10" s="6"/>
      <c r="S10" s="6"/>
      <c r="T10" s="156"/>
      <c r="U10" s="6"/>
    </row>
    <row r="11" spans="1:21" customFormat="1">
      <c r="A11" s="201" t="s">
        <v>626</v>
      </c>
      <c r="B11" s="6">
        <v>4.6500000000000004</v>
      </c>
      <c r="C11" s="6">
        <v>5.63</v>
      </c>
      <c r="D11" s="6">
        <v>10.29</v>
      </c>
      <c r="E11" s="6">
        <v>7.22</v>
      </c>
      <c r="F11" s="6">
        <v>2</v>
      </c>
      <c r="G11" s="6">
        <v>12.75</v>
      </c>
      <c r="H11" s="6">
        <v>6.31</v>
      </c>
      <c r="I11" s="6">
        <v>4.79</v>
      </c>
      <c r="J11" s="6">
        <v>0.27</v>
      </c>
      <c r="K11" s="6">
        <v>252.3</v>
      </c>
      <c r="L11" s="6">
        <v>21.49</v>
      </c>
      <c r="M11" s="6">
        <v>35.99</v>
      </c>
      <c r="N11" s="6">
        <v>2.2999999999999998</v>
      </c>
      <c r="O11" s="6">
        <v>0</v>
      </c>
      <c r="P11" s="6">
        <v>0.19</v>
      </c>
      <c r="Q11" s="6">
        <v>10</v>
      </c>
      <c r="R11" s="6"/>
      <c r="S11" s="6"/>
      <c r="T11" s="156"/>
      <c r="U11" s="6"/>
    </row>
    <row r="12" spans="1:21" customFormat="1">
      <c r="A12" s="201" t="s">
        <v>627</v>
      </c>
      <c r="B12" s="6">
        <v>4.78</v>
      </c>
      <c r="C12" s="6">
        <v>5.51</v>
      </c>
      <c r="D12" s="6">
        <v>10.29</v>
      </c>
      <c r="E12" s="6">
        <v>7.42</v>
      </c>
      <c r="F12" s="6">
        <v>2</v>
      </c>
      <c r="G12" s="6">
        <v>12.75</v>
      </c>
      <c r="H12" s="6">
        <v>6.31</v>
      </c>
      <c r="I12" s="6">
        <v>4.6900000000000004</v>
      </c>
      <c r="J12" s="6">
        <v>0.33</v>
      </c>
      <c r="K12" s="6">
        <v>252.78</v>
      </c>
      <c r="L12" s="6">
        <v>22</v>
      </c>
      <c r="M12" s="6">
        <v>37.25</v>
      </c>
      <c r="N12" s="6">
        <v>2.2999999999999998</v>
      </c>
      <c r="O12" s="6">
        <v>0</v>
      </c>
      <c r="P12" s="6">
        <v>0.18</v>
      </c>
      <c r="Q12" s="6">
        <v>10</v>
      </c>
      <c r="R12" s="6"/>
      <c r="S12" s="6"/>
      <c r="T12" s="156"/>
      <c r="U12" s="6"/>
    </row>
    <row r="13" spans="1:21" customFormat="1">
      <c r="A13" s="201" t="s">
        <v>628</v>
      </c>
      <c r="B13" s="6">
        <v>4.76</v>
      </c>
      <c r="C13" s="6">
        <v>5.48</v>
      </c>
      <c r="D13" s="6">
        <v>10.23</v>
      </c>
      <c r="E13" s="6">
        <v>7.06</v>
      </c>
      <c r="F13" s="6">
        <v>2.19</v>
      </c>
      <c r="G13" s="6">
        <v>12.75</v>
      </c>
      <c r="H13" s="6">
        <v>6.31</v>
      </c>
      <c r="I13" s="6">
        <v>4.8099999999999996</v>
      </c>
      <c r="J13" s="6">
        <v>0.25</v>
      </c>
      <c r="K13" s="6">
        <v>244.23</v>
      </c>
      <c r="L13" s="6">
        <v>21.07</v>
      </c>
      <c r="M13" s="6">
        <v>34.89</v>
      </c>
      <c r="N13" s="6">
        <v>2.1</v>
      </c>
      <c r="O13" s="6">
        <v>0</v>
      </c>
      <c r="P13" s="6">
        <v>0.16</v>
      </c>
      <c r="Q13" s="6">
        <v>10</v>
      </c>
      <c r="R13" s="6"/>
      <c r="S13" s="6"/>
      <c r="T13" s="156"/>
      <c r="U13" s="6"/>
    </row>
    <row r="14" spans="1:21" customFormat="1">
      <c r="A14" s="201" t="s">
        <v>629</v>
      </c>
      <c r="B14" s="6">
        <v>4.88</v>
      </c>
      <c r="C14" s="6">
        <v>5.57</v>
      </c>
      <c r="D14" s="6">
        <v>10.46</v>
      </c>
      <c r="E14" s="6">
        <v>7.25</v>
      </c>
      <c r="F14" s="6">
        <v>2.11</v>
      </c>
      <c r="G14" s="6">
        <v>13.02</v>
      </c>
      <c r="H14" s="6">
        <v>5.48</v>
      </c>
      <c r="I14" s="6">
        <v>4.78</v>
      </c>
      <c r="J14" s="6">
        <v>0.27</v>
      </c>
      <c r="K14" s="6">
        <v>251.59</v>
      </c>
      <c r="L14" s="6">
        <v>21.75</v>
      </c>
      <c r="M14" s="6">
        <v>36.57</v>
      </c>
      <c r="N14" s="6">
        <v>2.1</v>
      </c>
      <c r="O14" s="6">
        <v>0</v>
      </c>
      <c r="P14" s="6">
        <v>0.18</v>
      </c>
      <c r="Q14" s="6">
        <v>10</v>
      </c>
      <c r="R14" s="6"/>
      <c r="S14" s="6"/>
      <c r="T14" s="156"/>
      <c r="U14" s="6"/>
    </row>
    <row r="15" spans="1:21" customFormat="1">
      <c r="A15" s="201" t="s">
        <v>630</v>
      </c>
      <c r="B15" s="6">
        <v>5.03</v>
      </c>
      <c r="C15" s="6">
        <v>5.65</v>
      </c>
      <c r="D15" s="6">
        <v>10.68</v>
      </c>
      <c r="E15" s="6">
        <v>7.21</v>
      </c>
      <c r="F15" s="6">
        <v>2</v>
      </c>
      <c r="G15" s="6">
        <v>13.22</v>
      </c>
      <c r="H15" s="6">
        <v>5.21</v>
      </c>
      <c r="I15" s="6">
        <v>4.75</v>
      </c>
      <c r="J15" s="6">
        <v>0.24</v>
      </c>
      <c r="K15" s="6">
        <v>253.98</v>
      </c>
      <c r="L15" s="6">
        <v>22.28</v>
      </c>
      <c r="M15" s="6">
        <v>37.93</v>
      </c>
      <c r="N15" s="6">
        <v>2.1</v>
      </c>
      <c r="O15" s="6">
        <v>0</v>
      </c>
      <c r="P15" s="6">
        <v>0.18</v>
      </c>
      <c r="Q15" s="6">
        <v>10</v>
      </c>
      <c r="R15" s="6"/>
      <c r="S15" s="6"/>
      <c r="T15" s="156"/>
      <c r="U15" s="6"/>
    </row>
    <row r="16" spans="1:21" customFormat="1">
      <c r="A16" s="201" t="s">
        <v>631</v>
      </c>
      <c r="B16" s="6">
        <v>5.0199999999999996</v>
      </c>
      <c r="C16" s="6">
        <v>5.41</v>
      </c>
      <c r="D16" s="6">
        <v>10.43</v>
      </c>
      <c r="E16" s="6">
        <v>7.06</v>
      </c>
      <c r="F16" s="6">
        <v>2</v>
      </c>
      <c r="G16" s="6">
        <v>13.22</v>
      </c>
      <c r="H16" s="6">
        <v>5.21</v>
      </c>
      <c r="I16" s="6">
        <v>4.74</v>
      </c>
      <c r="J16" s="6">
        <v>0.19</v>
      </c>
      <c r="K16" s="6">
        <v>245.25</v>
      </c>
      <c r="L16" s="6">
        <v>21.39</v>
      </c>
      <c r="M16" s="6">
        <v>35.68</v>
      </c>
      <c r="N16" s="6">
        <v>2.1</v>
      </c>
      <c r="O16" s="6">
        <v>0</v>
      </c>
      <c r="P16" s="6">
        <v>0.16</v>
      </c>
      <c r="Q16" s="6">
        <v>10</v>
      </c>
      <c r="R16" s="6"/>
      <c r="S16" s="6"/>
      <c r="T16" s="156"/>
      <c r="U16" s="6"/>
    </row>
    <row r="17" spans="1:21" customFormat="1">
      <c r="A17" s="201" t="s">
        <v>632</v>
      </c>
      <c r="B17" s="6">
        <v>5</v>
      </c>
      <c r="C17" s="6">
        <v>5.45</v>
      </c>
      <c r="D17" s="6">
        <v>10.45</v>
      </c>
      <c r="E17" s="6">
        <v>4.6900000000000004</v>
      </c>
      <c r="F17" s="6">
        <v>2.16</v>
      </c>
      <c r="G17" s="6">
        <v>13.22</v>
      </c>
      <c r="H17" s="6">
        <v>5.21</v>
      </c>
      <c r="I17" s="6">
        <v>4.76</v>
      </c>
      <c r="J17" s="6">
        <v>0.2</v>
      </c>
      <c r="K17" s="6">
        <v>245.83</v>
      </c>
      <c r="L17" s="6">
        <v>21.62</v>
      </c>
      <c r="M17" s="6">
        <v>36.270000000000003</v>
      </c>
      <c r="N17" s="6">
        <v>2.1</v>
      </c>
      <c r="O17" s="6">
        <v>0</v>
      </c>
      <c r="P17" s="6">
        <v>0.15</v>
      </c>
      <c r="Q17" s="6">
        <v>10</v>
      </c>
      <c r="R17" s="6"/>
      <c r="S17" s="6"/>
      <c r="T17" s="156"/>
      <c r="U17" s="6"/>
    </row>
    <row r="18" spans="1:21" customFormat="1">
      <c r="A18" s="201" t="s">
        <v>633</v>
      </c>
      <c r="B18" s="6">
        <v>5.22</v>
      </c>
      <c r="C18" s="6">
        <v>5.69</v>
      </c>
      <c r="D18" s="6">
        <v>10.91</v>
      </c>
      <c r="E18" s="6">
        <v>5.84</v>
      </c>
      <c r="F18" s="6">
        <v>2</v>
      </c>
      <c r="G18" s="6">
        <v>14.54</v>
      </c>
      <c r="H18" s="6">
        <v>9.73</v>
      </c>
      <c r="I18" s="6">
        <v>4.6900000000000004</v>
      </c>
      <c r="J18" s="6">
        <v>0.23</v>
      </c>
      <c r="K18" s="6">
        <v>246.7</v>
      </c>
      <c r="L18" s="6">
        <v>21.65</v>
      </c>
      <c r="M18" s="6">
        <v>36.380000000000003</v>
      </c>
      <c r="N18" s="6">
        <v>2.1</v>
      </c>
      <c r="O18" s="6">
        <v>0</v>
      </c>
      <c r="P18" s="6">
        <v>0.18</v>
      </c>
      <c r="Q18" s="6">
        <v>10</v>
      </c>
      <c r="R18" s="6"/>
      <c r="S18" s="6"/>
      <c r="T18" s="156"/>
      <c r="U18" s="6"/>
    </row>
    <row r="19" spans="1:21" customFormat="1">
      <c r="A19" s="201" t="s">
        <v>634</v>
      </c>
      <c r="B19" s="6">
        <v>5.33</v>
      </c>
      <c r="C19" s="6">
        <v>5.56</v>
      </c>
      <c r="D19" s="6">
        <v>10.89</v>
      </c>
      <c r="E19" s="6">
        <v>6.09</v>
      </c>
      <c r="F19" s="6">
        <v>2</v>
      </c>
      <c r="G19" s="6">
        <v>15.54</v>
      </c>
      <c r="H19" s="6">
        <v>11.18</v>
      </c>
      <c r="I19" s="6">
        <v>4.5599999999999996</v>
      </c>
      <c r="J19" s="6">
        <v>0.16</v>
      </c>
      <c r="K19" s="6">
        <v>247.58</v>
      </c>
      <c r="L19" s="6">
        <v>21.68</v>
      </c>
      <c r="M19" s="6">
        <v>36.450000000000003</v>
      </c>
      <c r="N19" s="6">
        <v>2.1</v>
      </c>
      <c r="O19" s="6">
        <v>0</v>
      </c>
      <c r="P19" s="6">
        <v>0.17</v>
      </c>
      <c r="Q19" s="6">
        <v>10</v>
      </c>
      <c r="R19" s="6"/>
      <c r="S19" s="6"/>
      <c r="T19" s="156"/>
      <c r="U19" s="6"/>
    </row>
    <row r="20" spans="1:21" customFormat="1">
      <c r="A20" s="201" t="s">
        <v>635</v>
      </c>
      <c r="B20" s="6">
        <v>5.3</v>
      </c>
      <c r="C20" s="6">
        <v>5.41</v>
      </c>
      <c r="D20" s="6">
        <v>10.71</v>
      </c>
      <c r="E20" s="6">
        <v>6.04</v>
      </c>
      <c r="F20" s="6">
        <v>2</v>
      </c>
      <c r="G20" s="6">
        <v>15.54</v>
      </c>
      <c r="H20" s="6">
        <v>11.18</v>
      </c>
      <c r="I20" s="6">
        <v>4.72</v>
      </c>
      <c r="J20" s="6">
        <v>0.15</v>
      </c>
      <c r="K20" s="6">
        <v>243.63</v>
      </c>
      <c r="L20" s="6">
        <v>20.91</v>
      </c>
      <c r="M20" s="6">
        <v>34.479999999999997</v>
      </c>
      <c r="N20" s="6">
        <v>2.1</v>
      </c>
      <c r="O20" s="6">
        <v>0</v>
      </c>
      <c r="P20" s="6">
        <v>0.15</v>
      </c>
      <c r="Q20" s="6">
        <v>10</v>
      </c>
      <c r="R20" s="6"/>
      <c r="S20" s="6"/>
      <c r="T20" s="156"/>
      <c r="U20" s="6"/>
    </row>
    <row r="21" spans="1:21" customFormat="1">
      <c r="A21" s="201" t="s">
        <v>636</v>
      </c>
      <c r="B21" s="6">
        <v>5.42</v>
      </c>
      <c r="C21" s="6">
        <v>5.6</v>
      </c>
      <c r="D21" s="6">
        <v>11.02</v>
      </c>
      <c r="E21" s="6">
        <v>5.88</v>
      </c>
      <c r="F21" s="6">
        <v>2.0099999999999998</v>
      </c>
      <c r="G21" s="6">
        <v>15.54</v>
      </c>
      <c r="H21" s="6">
        <v>11.18</v>
      </c>
      <c r="I21" s="6">
        <v>4.66</v>
      </c>
      <c r="J21" s="6">
        <v>0.28000000000000003</v>
      </c>
      <c r="K21" s="6">
        <v>249.34</v>
      </c>
      <c r="L21" s="6">
        <v>21.83</v>
      </c>
      <c r="M21" s="6">
        <v>36.82</v>
      </c>
      <c r="N21" s="6">
        <v>2.1</v>
      </c>
      <c r="O21" s="6">
        <v>0</v>
      </c>
      <c r="P21" s="6">
        <v>0.17</v>
      </c>
      <c r="Q21" s="6">
        <v>10</v>
      </c>
      <c r="R21" s="6"/>
      <c r="S21" s="6"/>
      <c r="T21" s="156"/>
      <c r="U21" s="6"/>
    </row>
    <row r="22" spans="1:21" customFormat="1">
      <c r="A22" s="201" t="s">
        <v>637</v>
      </c>
      <c r="B22" s="6">
        <v>5.43</v>
      </c>
      <c r="C22" s="6">
        <v>5.5</v>
      </c>
      <c r="D22" s="6">
        <v>10.93</v>
      </c>
      <c r="E22" s="6">
        <v>5.88</v>
      </c>
      <c r="F22" s="6">
        <v>2.0299999999999998</v>
      </c>
      <c r="G22" s="6">
        <v>15.52</v>
      </c>
      <c r="H22" s="6">
        <v>9.1300000000000008</v>
      </c>
      <c r="I22" s="6">
        <v>4.5999999999999996</v>
      </c>
      <c r="J22" s="6">
        <v>0.28999999999999998</v>
      </c>
      <c r="K22" s="6">
        <v>249.91</v>
      </c>
      <c r="L22" s="6">
        <v>21.69</v>
      </c>
      <c r="M22" s="6">
        <v>36.5</v>
      </c>
      <c r="N22" s="6">
        <v>2.2000000000000002</v>
      </c>
      <c r="O22" s="6">
        <v>0</v>
      </c>
      <c r="P22" s="6">
        <v>0.16</v>
      </c>
      <c r="Q22" s="6">
        <v>10</v>
      </c>
      <c r="R22" s="6"/>
      <c r="S22" s="6"/>
      <c r="T22" s="156"/>
      <c r="U22" s="6"/>
    </row>
    <row r="23" spans="1:21" customFormat="1">
      <c r="A23" s="201" t="s">
        <v>638</v>
      </c>
      <c r="B23" s="6">
        <v>5.49</v>
      </c>
      <c r="C23" s="6">
        <v>5.4</v>
      </c>
      <c r="D23" s="6">
        <v>10.89</v>
      </c>
      <c r="E23" s="6">
        <v>5.95</v>
      </c>
      <c r="F23" s="6">
        <v>2.0099999999999998</v>
      </c>
      <c r="G23" s="6">
        <v>15.51</v>
      </c>
      <c r="H23" s="6">
        <v>7.92</v>
      </c>
      <c r="I23" s="6">
        <v>4.6100000000000003</v>
      </c>
      <c r="J23" s="6">
        <v>0.32</v>
      </c>
      <c r="K23" s="6">
        <v>249.56</v>
      </c>
      <c r="L23" s="6">
        <v>22.21</v>
      </c>
      <c r="M23" s="6">
        <v>37.700000000000003</v>
      </c>
      <c r="N23" s="6">
        <v>2.2999999999999998</v>
      </c>
      <c r="O23" s="6">
        <v>0</v>
      </c>
      <c r="P23" s="6">
        <v>0.15</v>
      </c>
      <c r="Q23" s="6">
        <v>10</v>
      </c>
      <c r="R23" s="6"/>
      <c r="S23" s="6"/>
      <c r="T23" s="156"/>
      <c r="U23" s="6"/>
    </row>
    <row r="24" spans="1:21" customFormat="1">
      <c r="A24" s="201" t="s">
        <v>639</v>
      </c>
      <c r="B24" s="6">
        <v>5.59</v>
      </c>
      <c r="C24" s="6">
        <v>5.65</v>
      </c>
      <c r="D24" s="6">
        <v>11.25</v>
      </c>
      <c r="E24" s="6">
        <v>5.98</v>
      </c>
      <c r="F24" s="6">
        <v>2.02</v>
      </c>
      <c r="G24" s="6">
        <v>15.51</v>
      </c>
      <c r="H24" s="6">
        <v>7.92</v>
      </c>
      <c r="I24" s="6">
        <v>4.49</v>
      </c>
      <c r="J24" s="6">
        <v>0.18</v>
      </c>
      <c r="K24" s="6">
        <v>248.51</v>
      </c>
      <c r="L24" s="6">
        <v>22.55</v>
      </c>
      <c r="M24" s="6">
        <v>38.61</v>
      </c>
      <c r="N24" s="6">
        <v>2.2000000000000002</v>
      </c>
      <c r="O24" s="6">
        <v>0</v>
      </c>
      <c r="P24" s="6">
        <v>0.18</v>
      </c>
      <c r="Q24" s="6">
        <v>10</v>
      </c>
      <c r="R24" s="6"/>
      <c r="S24" s="6"/>
      <c r="T24" s="156"/>
      <c r="U24" s="6"/>
    </row>
    <row r="25" spans="1:21" customFormat="1">
      <c r="A25" s="201" t="s">
        <v>640</v>
      </c>
      <c r="B25" s="6">
        <v>5.5</v>
      </c>
      <c r="C25" s="6">
        <v>5.76</v>
      </c>
      <c r="D25" s="6">
        <v>11.26</v>
      </c>
      <c r="E25" s="6">
        <v>6.16</v>
      </c>
      <c r="F25" s="6">
        <v>2</v>
      </c>
      <c r="G25" s="6">
        <v>15.51</v>
      </c>
      <c r="H25" s="6">
        <v>7.92</v>
      </c>
      <c r="I25" s="6">
        <v>4.42</v>
      </c>
      <c r="J25" s="6">
        <v>0.3</v>
      </c>
      <c r="K25" s="6">
        <v>256.18</v>
      </c>
      <c r="L25" s="6">
        <v>22.4</v>
      </c>
      <c r="M25" s="6">
        <v>38.15</v>
      </c>
      <c r="N25" s="6">
        <v>2.2000000000000002</v>
      </c>
      <c r="O25" s="6">
        <v>0</v>
      </c>
      <c r="P25" s="6">
        <v>0.2</v>
      </c>
      <c r="Q25" s="6">
        <v>10</v>
      </c>
      <c r="R25" s="6"/>
      <c r="S25" s="6"/>
      <c r="T25" s="156"/>
      <c r="U25" s="6"/>
    </row>
    <row r="26" spans="1:21" customFormat="1">
      <c r="A26" s="201" t="s">
        <v>641</v>
      </c>
      <c r="B26" s="6">
        <v>5.33</v>
      </c>
      <c r="C26" s="6">
        <v>5.76</v>
      </c>
      <c r="D26" s="6">
        <v>11.09</v>
      </c>
      <c r="E26" s="6">
        <v>6.1</v>
      </c>
      <c r="F26" s="6">
        <v>2</v>
      </c>
      <c r="G26" s="6">
        <v>14.86</v>
      </c>
      <c r="H26" s="6">
        <v>6.74</v>
      </c>
      <c r="I26" s="6">
        <v>4.55</v>
      </c>
      <c r="J26" s="6">
        <v>0.32</v>
      </c>
      <c r="K26" s="6">
        <v>246.55</v>
      </c>
      <c r="L26" s="6">
        <v>21.19</v>
      </c>
      <c r="M26" s="6">
        <v>35.19</v>
      </c>
      <c r="N26" s="6">
        <v>2.1</v>
      </c>
      <c r="O26" s="6">
        <v>0</v>
      </c>
      <c r="P26" s="6">
        <v>0.21</v>
      </c>
      <c r="Q26" s="6">
        <v>10</v>
      </c>
      <c r="R26" s="6"/>
      <c r="S26" s="6"/>
      <c r="T26" s="156"/>
      <c r="U26" s="6"/>
    </row>
    <row r="27" spans="1:21" customFormat="1">
      <c r="A27" s="201" t="s">
        <v>642</v>
      </c>
      <c r="B27" s="6">
        <v>5.18</v>
      </c>
      <c r="C27" s="6">
        <v>5.79</v>
      </c>
      <c r="D27" s="6">
        <v>10.97</v>
      </c>
      <c r="E27" s="6">
        <v>6.19</v>
      </c>
      <c r="F27" s="6">
        <v>2</v>
      </c>
      <c r="G27" s="6">
        <v>14.37</v>
      </c>
      <c r="H27" s="6">
        <v>6.36</v>
      </c>
      <c r="I27" s="6">
        <v>4.45</v>
      </c>
      <c r="J27" s="6">
        <v>0.3</v>
      </c>
      <c r="K27" s="6">
        <v>248.97</v>
      </c>
      <c r="L27" s="6">
        <v>21.58</v>
      </c>
      <c r="M27" s="6">
        <v>36.15</v>
      </c>
      <c r="N27" s="6">
        <v>2.1</v>
      </c>
      <c r="O27" s="6">
        <v>0</v>
      </c>
      <c r="P27" s="6">
        <v>0.21</v>
      </c>
      <c r="Q27" s="6">
        <v>10</v>
      </c>
      <c r="R27" s="6"/>
      <c r="S27" s="6"/>
      <c r="T27" s="156"/>
      <c r="U27" s="6"/>
    </row>
    <row r="28" spans="1:21" customFormat="1">
      <c r="A28" s="201" t="s">
        <v>643</v>
      </c>
      <c r="B28" s="6">
        <v>5.05</v>
      </c>
      <c r="C28" s="6">
        <v>5.74</v>
      </c>
      <c r="D28" s="6">
        <v>10.79</v>
      </c>
      <c r="E28" s="6">
        <v>6.42</v>
      </c>
      <c r="F28" s="6">
        <v>2</v>
      </c>
      <c r="G28" s="6">
        <v>14.37</v>
      </c>
      <c r="H28" s="6">
        <v>6.36</v>
      </c>
      <c r="I28" s="6">
        <v>4.33</v>
      </c>
      <c r="J28" s="6">
        <v>0.15</v>
      </c>
      <c r="K28" s="6">
        <v>254.33</v>
      </c>
      <c r="L28" s="6">
        <v>21.56</v>
      </c>
      <c r="M28" s="6">
        <v>36.119999999999997</v>
      </c>
      <c r="N28" s="6">
        <v>2.1</v>
      </c>
      <c r="O28" s="6">
        <v>0</v>
      </c>
      <c r="P28" s="6">
        <v>0.2</v>
      </c>
      <c r="Q28" s="6">
        <v>10</v>
      </c>
      <c r="R28" s="6"/>
      <c r="S28" s="6"/>
      <c r="T28" s="156"/>
      <c r="U28" s="6"/>
    </row>
    <row r="29" spans="1:21" customFormat="1">
      <c r="A29" s="201" t="s">
        <v>644</v>
      </c>
      <c r="B29" s="6">
        <v>4.95</v>
      </c>
      <c r="C29" s="6">
        <v>5.75</v>
      </c>
      <c r="D29" s="6">
        <v>10.7</v>
      </c>
      <c r="E29" s="6">
        <v>6.28</v>
      </c>
      <c r="F29" s="6">
        <v>2</v>
      </c>
      <c r="G29" s="6">
        <v>14.37</v>
      </c>
      <c r="H29" s="6">
        <v>6.36</v>
      </c>
      <c r="I29" s="6">
        <v>4.24</v>
      </c>
      <c r="J29" s="6">
        <v>0.13</v>
      </c>
      <c r="K29" s="6">
        <v>261.69</v>
      </c>
      <c r="L29" s="6">
        <v>22.24</v>
      </c>
      <c r="M29" s="6">
        <v>37.72</v>
      </c>
      <c r="N29" s="6">
        <v>2.1</v>
      </c>
      <c r="O29" s="6">
        <v>0</v>
      </c>
      <c r="P29" s="6">
        <v>0.21</v>
      </c>
      <c r="Q29" s="6">
        <v>10</v>
      </c>
      <c r="R29" s="6"/>
      <c r="S29" s="6"/>
      <c r="T29" s="156"/>
      <c r="U29" s="6"/>
    </row>
    <row r="30" spans="1:21" customFormat="1">
      <c r="A30" s="201" t="s">
        <v>645</v>
      </c>
      <c r="B30" s="6">
        <v>4.8600000000000003</v>
      </c>
      <c r="C30" s="6">
        <v>5.79</v>
      </c>
      <c r="D30" s="6">
        <v>10.65</v>
      </c>
      <c r="E30" s="6">
        <v>6.34</v>
      </c>
      <c r="F30" s="6">
        <v>2</v>
      </c>
      <c r="G30" s="6">
        <v>13.98</v>
      </c>
      <c r="H30" s="6">
        <v>5.65</v>
      </c>
      <c r="I30" s="6">
        <v>4.13</v>
      </c>
      <c r="J30" s="6">
        <v>0.09</v>
      </c>
      <c r="K30" s="6">
        <v>234.82</v>
      </c>
      <c r="L30" s="6">
        <v>20.07</v>
      </c>
      <c r="M30" s="6">
        <v>32.369999999999997</v>
      </c>
      <c r="N30" s="6">
        <v>2.2000000000000002</v>
      </c>
      <c r="O30" s="6">
        <v>0</v>
      </c>
      <c r="P30" s="6">
        <v>0.2</v>
      </c>
      <c r="Q30" s="6">
        <v>10</v>
      </c>
      <c r="R30" s="6"/>
      <c r="S30" s="6"/>
      <c r="T30" s="156"/>
      <c r="U30" s="6"/>
    </row>
    <row r="31" spans="1:21" customFormat="1">
      <c r="A31" s="201" t="s">
        <v>646</v>
      </c>
      <c r="B31" s="6">
        <v>4.78</v>
      </c>
      <c r="C31" s="6">
        <v>5.81</v>
      </c>
      <c r="D31" s="6">
        <v>10.59</v>
      </c>
      <c r="E31" s="6">
        <v>6.23</v>
      </c>
      <c r="F31" s="6">
        <v>2</v>
      </c>
      <c r="G31" s="6">
        <v>13.68</v>
      </c>
      <c r="H31" s="6">
        <v>5.43</v>
      </c>
      <c r="I31" s="6">
        <v>4.13</v>
      </c>
      <c r="J31" s="6">
        <v>0.2</v>
      </c>
      <c r="K31" s="6">
        <v>241.71</v>
      </c>
      <c r="L31" s="6">
        <v>21.32</v>
      </c>
      <c r="M31" s="6">
        <v>35.5</v>
      </c>
      <c r="N31" s="6">
        <v>2.1</v>
      </c>
      <c r="O31" s="6">
        <v>0</v>
      </c>
      <c r="P31" s="6">
        <v>0.19</v>
      </c>
      <c r="Q31" s="6">
        <v>11.12</v>
      </c>
      <c r="R31" s="6"/>
      <c r="S31" s="6"/>
      <c r="T31" s="156"/>
      <c r="U31" s="6"/>
    </row>
    <row r="32" spans="1:21" customFormat="1">
      <c r="A32" s="201" t="s">
        <v>647</v>
      </c>
      <c r="B32" s="6">
        <v>4.74</v>
      </c>
      <c r="C32" s="6">
        <v>5.73</v>
      </c>
      <c r="D32" s="6">
        <v>10.47</v>
      </c>
      <c r="E32" s="6">
        <v>6.37</v>
      </c>
      <c r="F32" s="6">
        <v>2</v>
      </c>
      <c r="G32" s="6">
        <v>13.68</v>
      </c>
      <c r="H32" s="6">
        <v>5.43</v>
      </c>
      <c r="I32" s="6">
        <v>3.97</v>
      </c>
      <c r="J32" s="6">
        <v>0.15</v>
      </c>
      <c r="K32" s="6">
        <v>250.03</v>
      </c>
      <c r="L32" s="6">
        <v>21.39</v>
      </c>
      <c r="M32" s="6">
        <v>35.64</v>
      </c>
      <c r="N32" s="6">
        <v>2.9</v>
      </c>
      <c r="O32" s="6">
        <v>0</v>
      </c>
      <c r="P32" s="6">
        <v>0.19</v>
      </c>
      <c r="Q32" s="6">
        <v>10</v>
      </c>
      <c r="R32" s="6"/>
      <c r="S32" s="6"/>
      <c r="T32" s="156"/>
      <c r="U32" s="6"/>
    </row>
    <row r="33" spans="1:21" customFormat="1">
      <c r="A33" s="201" t="s">
        <v>648</v>
      </c>
      <c r="B33" s="6">
        <v>4.6399999999999997</v>
      </c>
      <c r="C33" s="6">
        <v>5.78</v>
      </c>
      <c r="D33" s="6">
        <v>10.43</v>
      </c>
      <c r="E33" s="6">
        <v>6.03</v>
      </c>
      <c r="F33" s="6">
        <v>2</v>
      </c>
      <c r="G33" s="6">
        <v>13.68</v>
      </c>
      <c r="H33" s="6">
        <v>5.43</v>
      </c>
      <c r="I33" s="6">
        <v>4.0199999999999996</v>
      </c>
      <c r="J33" s="6">
        <v>0.26</v>
      </c>
      <c r="K33" s="6">
        <v>253.98</v>
      </c>
      <c r="L33" s="6">
        <v>22.98</v>
      </c>
      <c r="M33" s="6">
        <v>39.590000000000003</v>
      </c>
      <c r="N33" s="6">
        <v>6.3</v>
      </c>
      <c r="O33" s="6">
        <v>0</v>
      </c>
      <c r="P33" s="6">
        <v>0.2</v>
      </c>
      <c r="Q33" s="6">
        <v>10.19</v>
      </c>
      <c r="R33" s="6"/>
      <c r="S33" s="6"/>
      <c r="T33" s="156"/>
      <c r="U33" s="6"/>
    </row>
    <row r="34" spans="1:21" customFormat="1">
      <c r="A34" s="201" t="s">
        <v>649</v>
      </c>
      <c r="B34" s="6">
        <v>4.59</v>
      </c>
      <c r="C34" s="6">
        <v>5.78</v>
      </c>
      <c r="D34" s="6">
        <v>10.37</v>
      </c>
      <c r="E34" s="6">
        <v>6.24</v>
      </c>
      <c r="F34" s="6">
        <v>2</v>
      </c>
      <c r="G34" s="6">
        <v>12.4</v>
      </c>
      <c r="H34" s="6">
        <v>7.47</v>
      </c>
      <c r="I34" s="6">
        <v>3.97</v>
      </c>
      <c r="J34" s="6">
        <v>0.3</v>
      </c>
      <c r="K34" s="6">
        <v>250.16</v>
      </c>
      <c r="L34" s="6">
        <v>22.45</v>
      </c>
      <c r="M34" s="6">
        <v>38.07</v>
      </c>
      <c r="N34" s="6">
        <v>13.2</v>
      </c>
      <c r="O34" s="6">
        <v>0</v>
      </c>
      <c r="P34" s="6">
        <v>0.19</v>
      </c>
      <c r="Q34" s="6">
        <v>10.14</v>
      </c>
      <c r="R34" s="6"/>
      <c r="S34" s="6"/>
      <c r="T34" s="156"/>
      <c r="U34" s="6"/>
    </row>
    <row r="35" spans="1:21" customFormat="1">
      <c r="A35" s="201" t="s">
        <v>650</v>
      </c>
      <c r="B35" s="6">
        <v>4.54</v>
      </c>
      <c r="C35" s="6">
        <v>5.72</v>
      </c>
      <c r="D35" s="6">
        <v>10.26</v>
      </c>
      <c r="E35" s="6">
        <v>6.28</v>
      </c>
      <c r="F35" s="6">
        <v>2</v>
      </c>
      <c r="G35" s="6">
        <v>11.42</v>
      </c>
      <c r="H35" s="6">
        <v>8.11</v>
      </c>
      <c r="I35" s="6">
        <v>3.94</v>
      </c>
      <c r="J35" s="6">
        <v>0.39</v>
      </c>
      <c r="K35" s="6">
        <v>252.85</v>
      </c>
      <c r="L35" s="6">
        <v>22.67</v>
      </c>
      <c r="M35" s="6">
        <v>38.47</v>
      </c>
      <c r="N35" s="6">
        <v>18.3</v>
      </c>
      <c r="O35" s="6">
        <v>0</v>
      </c>
      <c r="P35" s="6">
        <v>0.19</v>
      </c>
      <c r="Q35" s="6">
        <v>10.24</v>
      </c>
      <c r="R35" s="6"/>
      <c r="S35" s="6"/>
      <c r="T35" s="156"/>
      <c r="U35" s="6"/>
    </row>
    <row r="36" spans="1:21" customFormat="1">
      <c r="A36" s="201" t="s">
        <v>651</v>
      </c>
      <c r="B36" s="6">
        <v>4.46</v>
      </c>
      <c r="C36" s="6">
        <v>5.74</v>
      </c>
      <c r="D36" s="6">
        <v>10.199999999999999</v>
      </c>
      <c r="E36" s="6">
        <v>6.49</v>
      </c>
      <c r="F36" s="6">
        <v>2</v>
      </c>
      <c r="G36" s="6">
        <v>11.42</v>
      </c>
      <c r="H36" s="6">
        <v>8.11</v>
      </c>
      <c r="I36" s="6">
        <v>3.93</v>
      </c>
      <c r="J36" s="6">
        <v>0.41</v>
      </c>
      <c r="K36" s="6">
        <v>252.52</v>
      </c>
      <c r="L36" s="6">
        <v>22.29</v>
      </c>
      <c r="M36" s="6">
        <v>37.49</v>
      </c>
      <c r="N36" s="6">
        <v>21</v>
      </c>
      <c r="O36" s="6">
        <v>0</v>
      </c>
      <c r="P36" s="6">
        <v>0.2</v>
      </c>
      <c r="Q36" s="6">
        <v>9.98</v>
      </c>
      <c r="R36" s="6"/>
      <c r="S36" s="6"/>
      <c r="T36" s="156"/>
      <c r="U36" s="6"/>
    </row>
    <row r="37" spans="1:21" customFormat="1">
      <c r="A37" s="201" t="s">
        <v>652</v>
      </c>
      <c r="B37" s="6">
        <v>4.3899999999999997</v>
      </c>
      <c r="C37" s="6">
        <v>5.75</v>
      </c>
      <c r="D37" s="6">
        <v>10.14</v>
      </c>
      <c r="E37" s="6">
        <v>6.42</v>
      </c>
      <c r="F37" s="6">
        <v>2</v>
      </c>
      <c r="G37" s="6">
        <v>11.42</v>
      </c>
      <c r="H37" s="6">
        <v>8.11</v>
      </c>
      <c r="I37" s="6">
        <v>3.92</v>
      </c>
      <c r="J37" s="6">
        <v>0.56000000000000005</v>
      </c>
      <c r="K37" s="6">
        <v>253.91</v>
      </c>
      <c r="L37" s="6">
        <v>22.64</v>
      </c>
      <c r="M37" s="6">
        <v>38.24</v>
      </c>
      <c r="N37" s="6">
        <v>27</v>
      </c>
      <c r="O37" s="6">
        <v>0</v>
      </c>
      <c r="P37" s="6">
        <v>0.2</v>
      </c>
      <c r="Q37" s="6">
        <v>10</v>
      </c>
      <c r="R37" s="6"/>
      <c r="S37" s="6"/>
      <c r="T37" s="156"/>
      <c r="U37" s="6"/>
    </row>
    <row r="38" spans="1:21" customFormat="1">
      <c r="A38" s="201" t="s">
        <v>653</v>
      </c>
      <c r="B38" s="6">
        <v>4.3099999999999996</v>
      </c>
      <c r="C38" s="6">
        <v>5.79</v>
      </c>
      <c r="D38" s="6">
        <v>10.1</v>
      </c>
      <c r="E38" s="6">
        <v>6.31</v>
      </c>
      <c r="F38" s="6">
        <v>2</v>
      </c>
      <c r="G38" s="6">
        <v>15.97</v>
      </c>
      <c r="H38" s="6">
        <v>8.43</v>
      </c>
      <c r="I38" s="6">
        <v>3.94</v>
      </c>
      <c r="J38" s="6">
        <v>0.42</v>
      </c>
      <c r="K38" s="6">
        <v>254.48</v>
      </c>
      <c r="L38" s="6">
        <v>22.42</v>
      </c>
      <c r="M38" s="6">
        <v>37.47</v>
      </c>
      <c r="N38" s="6">
        <v>34.299999999999997</v>
      </c>
      <c r="O38" s="6">
        <v>0</v>
      </c>
      <c r="P38" s="6">
        <v>0.2</v>
      </c>
      <c r="Q38" s="6">
        <v>10</v>
      </c>
      <c r="R38" s="6"/>
      <c r="S38" s="6"/>
      <c r="T38" s="156"/>
      <c r="U38" s="6"/>
    </row>
    <row r="39" spans="1:21" customFormat="1">
      <c r="A39" s="201" t="s">
        <v>654</v>
      </c>
      <c r="B39" s="6">
        <v>4.28</v>
      </c>
      <c r="C39" s="6">
        <v>5.85</v>
      </c>
      <c r="D39" s="6">
        <v>10.130000000000001</v>
      </c>
      <c r="E39" s="6">
        <v>6.51</v>
      </c>
      <c r="F39" s="6">
        <v>2</v>
      </c>
      <c r="G39" s="6">
        <v>19.440000000000001</v>
      </c>
      <c r="H39" s="6">
        <v>8.6199999999999992</v>
      </c>
      <c r="I39" s="6">
        <v>4.0199999999999996</v>
      </c>
      <c r="J39" s="6">
        <v>0.36</v>
      </c>
      <c r="K39" s="6">
        <v>250.25</v>
      </c>
      <c r="L39" s="6">
        <v>22.67</v>
      </c>
      <c r="M39" s="6">
        <v>37.619999999999997</v>
      </c>
      <c r="N39" s="6">
        <v>55.2</v>
      </c>
      <c r="O39" s="6">
        <v>0</v>
      </c>
      <c r="P39" s="6">
        <v>0.22</v>
      </c>
      <c r="Q39" s="6">
        <v>10</v>
      </c>
      <c r="R39" s="6"/>
      <c r="S39" s="6"/>
      <c r="T39" s="156"/>
      <c r="U39" s="6"/>
    </row>
    <row r="40" spans="1:21" customFormat="1">
      <c r="A40" s="201" t="s">
        <v>655</v>
      </c>
      <c r="B40" s="6">
        <v>4.26</v>
      </c>
      <c r="C40" s="6">
        <v>5.88</v>
      </c>
      <c r="D40" s="6">
        <v>10.14</v>
      </c>
      <c r="E40" s="6">
        <v>6.25</v>
      </c>
      <c r="F40" s="6">
        <v>2</v>
      </c>
      <c r="G40" s="6">
        <v>19.440000000000001</v>
      </c>
      <c r="H40" s="6">
        <v>8.6199999999999992</v>
      </c>
      <c r="I40" s="6">
        <v>4.12</v>
      </c>
      <c r="J40" s="6">
        <v>0.49</v>
      </c>
      <c r="K40" s="6">
        <v>262.61</v>
      </c>
      <c r="L40" s="6">
        <v>24.22</v>
      </c>
      <c r="M40" s="6">
        <v>40.549999999999997</v>
      </c>
      <c r="N40" s="6">
        <v>95.7</v>
      </c>
      <c r="O40" s="6">
        <v>0</v>
      </c>
      <c r="P40" s="6">
        <v>0.23</v>
      </c>
      <c r="Q40" s="6">
        <v>10.130000000000001</v>
      </c>
      <c r="R40" s="6"/>
      <c r="S40" s="6"/>
      <c r="T40" s="156"/>
      <c r="U40" s="6"/>
    </row>
    <row r="41" spans="1:21" customFormat="1">
      <c r="A41" s="201" t="s">
        <v>656</v>
      </c>
      <c r="B41" s="6">
        <v>4.26</v>
      </c>
      <c r="C41" s="6">
        <v>5.92</v>
      </c>
      <c r="D41" s="6">
        <v>10.18</v>
      </c>
      <c r="E41" s="6">
        <v>6.26</v>
      </c>
      <c r="F41" s="6">
        <v>2</v>
      </c>
      <c r="G41" s="6">
        <v>19.440000000000001</v>
      </c>
      <c r="H41" s="6">
        <v>8.6199999999999992</v>
      </c>
      <c r="I41" s="6">
        <v>4.29</v>
      </c>
      <c r="J41" s="6">
        <v>0.49</v>
      </c>
      <c r="K41" s="6">
        <v>263.13</v>
      </c>
      <c r="L41" s="6">
        <v>24.22</v>
      </c>
      <c r="M41" s="6">
        <v>39.78</v>
      </c>
      <c r="N41" s="6">
        <v>128.5</v>
      </c>
      <c r="O41" s="6">
        <v>0</v>
      </c>
      <c r="P41" s="6">
        <v>0.24</v>
      </c>
      <c r="Q41" s="6">
        <v>10</v>
      </c>
      <c r="R41" s="6"/>
      <c r="S41" s="6"/>
      <c r="T41" s="156"/>
      <c r="U41" s="6"/>
    </row>
    <row r="42" spans="1:21" customFormat="1">
      <c r="A42" s="201" t="s">
        <v>657</v>
      </c>
      <c r="B42" s="6">
        <v>4.26</v>
      </c>
      <c r="C42" s="6">
        <v>6.04</v>
      </c>
      <c r="D42" s="6">
        <v>10.3</v>
      </c>
      <c r="E42" s="6">
        <v>6.56</v>
      </c>
      <c r="F42" s="6">
        <v>2</v>
      </c>
      <c r="G42" s="6">
        <v>17.809999999999999</v>
      </c>
      <c r="H42" s="6">
        <v>6.96</v>
      </c>
      <c r="I42" s="6">
        <v>4.5599999999999996</v>
      </c>
      <c r="J42" s="6">
        <v>0.44</v>
      </c>
      <c r="K42" s="6">
        <v>257.7</v>
      </c>
      <c r="L42" s="6">
        <v>23.85</v>
      </c>
      <c r="M42" s="6">
        <v>39.42</v>
      </c>
      <c r="N42" s="6">
        <v>104.5</v>
      </c>
      <c r="O42" s="6">
        <v>0</v>
      </c>
      <c r="P42" s="6">
        <v>0.24</v>
      </c>
      <c r="Q42" s="6">
        <v>10</v>
      </c>
      <c r="R42" s="6"/>
      <c r="S42" s="6"/>
      <c r="T42" s="156"/>
      <c r="U42" s="6"/>
    </row>
    <row r="43" spans="1:21" customFormat="1">
      <c r="A43" s="201" t="s">
        <v>658</v>
      </c>
      <c r="B43" s="6">
        <v>4.28</v>
      </c>
      <c r="C43" s="6">
        <v>6.08</v>
      </c>
      <c r="D43" s="6">
        <v>10.35</v>
      </c>
      <c r="E43" s="6">
        <v>6.4</v>
      </c>
      <c r="F43" s="6">
        <v>2</v>
      </c>
      <c r="G43" s="6">
        <v>16.559999999999999</v>
      </c>
      <c r="H43" s="6">
        <v>6.42</v>
      </c>
      <c r="I43" s="6">
        <v>4.83</v>
      </c>
      <c r="J43" s="6">
        <v>0.6</v>
      </c>
      <c r="K43" s="6">
        <v>253.18</v>
      </c>
      <c r="L43" s="6">
        <v>24.27</v>
      </c>
      <c r="M43" s="6">
        <v>39.07</v>
      </c>
      <c r="N43" s="6">
        <v>165.4</v>
      </c>
      <c r="O43" s="6">
        <v>0</v>
      </c>
      <c r="P43" s="6">
        <v>0.25</v>
      </c>
      <c r="Q43" s="6">
        <v>10</v>
      </c>
      <c r="R43" s="6"/>
      <c r="S43" s="6"/>
      <c r="T43" s="156"/>
      <c r="U43" s="6"/>
    </row>
    <row r="44" spans="1:21" customFormat="1">
      <c r="A44" s="201" t="s">
        <v>659</v>
      </c>
      <c r="B44" s="6">
        <v>4.28</v>
      </c>
      <c r="C44" s="6">
        <v>6.13</v>
      </c>
      <c r="D44" s="6">
        <v>10.4</v>
      </c>
      <c r="E44" s="6">
        <v>6.41</v>
      </c>
      <c r="F44" s="6">
        <v>2</v>
      </c>
      <c r="G44" s="6">
        <v>16.559999999999999</v>
      </c>
      <c r="H44" s="6">
        <v>6.42</v>
      </c>
      <c r="I44" s="6">
        <v>5.0999999999999996</v>
      </c>
      <c r="J44" s="6">
        <v>0.46</v>
      </c>
      <c r="K44" s="6">
        <v>259.42</v>
      </c>
      <c r="L44" s="6">
        <v>24</v>
      </c>
      <c r="M44" s="6">
        <v>38.299999999999997</v>
      </c>
      <c r="N44" s="6">
        <v>169.3</v>
      </c>
      <c r="O44" s="6">
        <v>0</v>
      </c>
      <c r="P44" s="6">
        <v>0.27</v>
      </c>
      <c r="Q44" s="6">
        <v>10</v>
      </c>
      <c r="R44" s="6"/>
      <c r="S44" s="6"/>
      <c r="T44" s="156"/>
      <c r="U44" s="6"/>
    </row>
    <row r="45" spans="1:21" customFormat="1">
      <c r="A45" s="201" t="s">
        <v>660</v>
      </c>
      <c r="B45" s="6">
        <v>4.32</v>
      </c>
      <c r="C45" s="6">
        <v>6.05</v>
      </c>
      <c r="D45" s="6">
        <v>10.37</v>
      </c>
      <c r="E45" s="6">
        <v>6.61</v>
      </c>
      <c r="F45" s="6">
        <v>2</v>
      </c>
      <c r="G45" s="6">
        <v>16.559999999999999</v>
      </c>
      <c r="H45" s="6">
        <v>6.42</v>
      </c>
      <c r="I45" s="6">
        <v>5.31</v>
      </c>
      <c r="J45" s="6">
        <v>0.56000000000000005</v>
      </c>
      <c r="K45" s="6">
        <v>253.43</v>
      </c>
      <c r="L45" s="6">
        <v>24.53</v>
      </c>
      <c r="M45" s="6">
        <v>38.06</v>
      </c>
      <c r="N45" s="6">
        <v>238.7</v>
      </c>
      <c r="O45" s="6">
        <v>0</v>
      </c>
      <c r="P45" s="6">
        <v>0.25</v>
      </c>
      <c r="Q45" s="6">
        <v>10</v>
      </c>
      <c r="R45" s="6"/>
      <c r="S45" s="6"/>
      <c r="T45" s="156"/>
      <c r="U45" s="6"/>
    </row>
    <row r="46" spans="1:21" customFormat="1">
      <c r="A46" s="201" t="s">
        <v>661</v>
      </c>
      <c r="B46" s="6">
        <v>4.3899999999999997</v>
      </c>
      <c r="C46" s="6">
        <v>5.93</v>
      </c>
      <c r="D46" s="6">
        <v>10.32</v>
      </c>
      <c r="E46" s="6">
        <v>5.82</v>
      </c>
      <c r="F46" s="6">
        <v>2.5299999999999998</v>
      </c>
      <c r="G46" s="6">
        <v>23.5</v>
      </c>
      <c r="H46" s="6">
        <v>10.8</v>
      </c>
      <c r="I46" s="6">
        <v>5.58</v>
      </c>
      <c r="J46" s="6">
        <v>0.61</v>
      </c>
      <c r="K46" s="6">
        <v>251.85</v>
      </c>
      <c r="L46" s="6">
        <v>24.29</v>
      </c>
      <c r="M46" s="6">
        <v>38.08</v>
      </c>
      <c r="N46" s="6">
        <v>213.1</v>
      </c>
      <c r="O46" s="6">
        <v>0</v>
      </c>
      <c r="P46" s="6">
        <v>0.24</v>
      </c>
      <c r="Q46" s="6">
        <v>10</v>
      </c>
      <c r="R46" s="6"/>
      <c r="S46" s="6"/>
      <c r="T46" s="156"/>
      <c r="U46" s="6"/>
    </row>
    <row r="47" spans="1:21" customFormat="1">
      <c r="A47" s="201" t="s">
        <v>662</v>
      </c>
      <c r="B47" s="6">
        <v>4.4000000000000004</v>
      </c>
      <c r="C47" s="6">
        <v>5.94</v>
      </c>
      <c r="D47" s="6">
        <v>10.34</v>
      </c>
      <c r="E47" s="6">
        <v>5.39</v>
      </c>
      <c r="F47" s="6">
        <v>2.23</v>
      </c>
      <c r="G47" s="6">
        <v>28.81</v>
      </c>
      <c r="H47" s="6">
        <v>12.18</v>
      </c>
      <c r="I47" s="6">
        <v>5.91</v>
      </c>
      <c r="J47" s="6">
        <v>0.52</v>
      </c>
      <c r="K47" s="6">
        <v>252.79</v>
      </c>
      <c r="L47" s="6">
        <v>23.47</v>
      </c>
      <c r="M47" s="6">
        <v>37.82</v>
      </c>
      <c r="N47" s="6">
        <v>134.80000000000001</v>
      </c>
      <c r="O47" s="6">
        <v>0</v>
      </c>
      <c r="P47" s="6">
        <v>0.22</v>
      </c>
      <c r="Q47" s="6">
        <v>10</v>
      </c>
      <c r="R47" s="6"/>
      <c r="S47" s="6"/>
      <c r="T47" s="156"/>
      <c r="U47" s="6"/>
    </row>
    <row r="48" spans="1:21" customFormat="1">
      <c r="A48" s="201" t="s">
        <v>663</v>
      </c>
      <c r="B48" s="6">
        <v>4.3899999999999997</v>
      </c>
      <c r="C48" s="6">
        <v>6.05</v>
      </c>
      <c r="D48" s="6">
        <v>10.44</v>
      </c>
      <c r="E48" s="6">
        <v>5.62</v>
      </c>
      <c r="F48" s="6">
        <v>2.97</v>
      </c>
      <c r="G48" s="6">
        <v>28.81</v>
      </c>
      <c r="H48" s="6">
        <v>12.18</v>
      </c>
      <c r="I48" s="6">
        <v>6.25</v>
      </c>
      <c r="J48" s="6">
        <v>0.45</v>
      </c>
      <c r="K48" s="6">
        <v>246.85</v>
      </c>
      <c r="L48" s="6">
        <v>22.74</v>
      </c>
      <c r="M48" s="6">
        <v>34.97</v>
      </c>
      <c r="N48" s="6">
        <v>178.8</v>
      </c>
      <c r="O48" s="6">
        <v>0</v>
      </c>
      <c r="P48" s="6">
        <v>0.23</v>
      </c>
      <c r="Q48" s="6">
        <v>10</v>
      </c>
      <c r="R48" s="6"/>
      <c r="S48" s="6"/>
      <c r="T48" s="156"/>
      <c r="U48" s="6"/>
    </row>
    <row r="49" spans="1:21" customFormat="1">
      <c r="A49" s="201" t="s">
        <v>664</v>
      </c>
      <c r="B49" s="6">
        <v>4.34</v>
      </c>
      <c r="C49" s="6">
        <v>6.15</v>
      </c>
      <c r="D49" s="6">
        <v>10.49</v>
      </c>
      <c r="E49" s="6">
        <v>4.51</v>
      </c>
      <c r="F49" s="6">
        <v>3.12</v>
      </c>
      <c r="G49" s="6">
        <v>28.81</v>
      </c>
      <c r="H49" s="6">
        <v>12.18</v>
      </c>
      <c r="I49" s="6">
        <v>6.46</v>
      </c>
      <c r="J49" s="6">
        <v>0.32</v>
      </c>
      <c r="K49" s="6">
        <v>263.02</v>
      </c>
      <c r="L49" s="6">
        <v>24.3</v>
      </c>
      <c r="M49" s="6">
        <v>38.950000000000003</v>
      </c>
      <c r="N49" s="6">
        <v>172.1</v>
      </c>
      <c r="O49" s="6">
        <v>0</v>
      </c>
      <c r="P49" s="6">
        <v>0.23</v>
      </c>
      <c r="Q49" s="6">
        <v>10</v>
      </c>
      <c r="R49" s="6"/>
      <c r="S49" s="6"/>
      <c r="T49" s="156"/>
      <c r="U49" s="6"/>
    </row>
    <row r="50" spans="1:21" customFormat="1">
      <c r="A50" s="201" t="s">
        <v>665</v>
      </c>
      <c r="B50" s="6">
        <v>4.28</v>
      </c>
      <c r="C50" s="6">
        <v>6.43</v>
      </c>
      <c r="D50" s="6">
        <v>10.71</v>
      </c>
      <c r="E50" s="6">
        <v>5.31</v>
      </c>
      <c r="F50" s="6">
        <v>3.53</v>
      </c>
      <c r="G50" s="6">
        <v>32.229999999999997</v>
      </c>
      <c r="H50" s="6">
        <v>15.44</v>
      </c>
      <c r="I50" s="6">
        <v>6.79</v>
      </c>
      <c r="J50" s="6">
        <v>0.41</v>
      </c>
      <c r="K50" s="6">
        <v>255.78</v>
      </c>
      <c r="L50" s="6">
        <v>23.12</v>
      </c>
      <c r="M50" s="6">
        <v>36.93</v>
      </c>
      <c r="N50" s="6">
        <v>133.5</v>
      </c>
      <c r="O50" s="6">
        <v>0</v>
      </c>
      <c r="P50" s="6">
        <v>0.25</v>
      </c>
      <c r="Q50" s="6">
        <v>10</v>
      </c>
      <c r="R50" s="6"/>
      <c r="S50" s="6"/>
      <c r="T50" s="156"/>
      <c r="U50" s="6"/>
    </row>
    <row r="51" spans="1:21" customFormat="1">
      <c r="A51" s="201" t="s">
        <v>666</v>
      </c>
      <c r="B51" s="6">
        <v>4.45</v>
      </c>
      <c r="C51" s="6">
        <v>6.34</v>
      </c>
      <c r="D51" s="6">
        <v>10.78</v>
      </c>
      <c r="E51" s="6">
        <v>5.51</v>
      </c>
      <c r="F51" s="6">
        <v>2.13</v>
      </c>
      <c r="G51" s="6">
        <v>34.85</v>
      </c>
      <c r="H51" s="6">
        <v>16.47</v>
      </c>
      <c r="I51" s="6">
        <v>7.13</v>
      </c>
      <c r="J51" s="6">
        <v>0.54</v>
      </c>
      <c r="K51" s="6">
        <v>250.96</v>
      </c>
      <c r="L51" s="6">
        <v>25.43</v>
      </c>
      <c r="M51" s="6">
        <v>35.26</v>
      </c>
      <c r="N51" s="6">
        <v>453.1</v>
      </c>
      <c r="O51" s="6">
        <v>0</v>
      </c>
      <c r="P51" s="6">
        <v>0.26</v>
      </c>
      <c r="Q51" s="6">
        <v>10</v>
      </c>
      <c r="R51" s="6"/>
      <c r="S51" s="6"/>
      <c r="T51" s="156"/>
      <c r="U51" s="6"/>
    </row>
    <row r="52" spans="1:21" customFormat="1">
      <c r="A52" s="201" t="s">
        <v>667</v>
      </c>
      <c r="B52" s="6">
        <v>4.37</v>
      </c>
      <c r="C52" s="6">
        <v>6.26</v>
      </c>
      <c r="D52" s="6">
        <v>10.62</v>
      </c>
      <c r="E52" s="6">
        <v>5.66</v>
      </c>
      <c r="F52" s="6">
        <v>2.23</v>
      </c>
      <c r="G52" s="6">
        <v>34.85</v>
      </c>
      <c r="H52" s="6">
        <v>16.47</v>
      </c>
      <c r="I52" s="6">
        <v>7.56</v>
      </c>
      <c r="J52" s="6">
        <v>0.66</v>
      </c>
      <c r="K52" s="6">
        <v>260.77</v>
      </c>
      <c r="L52" s="6">
        <v>25.68</v>
      </c>
      <c r="M52" s="6">
        <v>40.43</v>
      </c>
      <c r="N52" s="6">
        <v>262.7</v>
      </c>
      <c r="O52" s="6">
        <v>0</v>
      </c>
      <c r="P52" s="6">
        <v>0.27</v>
      </c>
      <c r="Q52" s="6">
        <v>10</v>
      </c>
      <c r="R52" s="6"/>
      <c r="S52" s="6"/>
      <c r="T52" s="156"/>
      <c r="U52" s="6"/>
    </row>
    <row r="53" spans="1:21" customFormat="1">
      <c r="A53" s="201" t="s">
        <v>668</v>
      </c>
      <c r="B53" s="6">
        <v>4.16</v>
      </c>
      <c r="C53" s="6">
        <v>6.22</v>
      </c>
      <c r="D53" s="6">
        <v>10.38</v>
      </c>
      <c r="E53" s="6">
        <v>5.41</v>
      </c>
      <c r="F53" s="6">
        <v>3.7</v>
      </c>
      <c r="G53" s="6">
        <v>34.85</v>
      </c>
      <c r="H53" s="6">
        <v>16.47</v>
      </c>
      <c r="I53" s="6">
        <v>7.24</v>
      </c>
      <c r="J53" s="6">
        <v>0.68</v>
      </c>
      <c r="K53" s="6">
        <v>255.58</v>
      </c>
      <c r="L53" s="6">
        <v>25.81</v>
      </c>
      <c r="M53" s="6">
        <v>39.31</v>
      </c>
      <c r="N53" s="6">
        <v>324</v>
      </c>
      <c r="O53" s="6">
        <v>0</v>
      </c>
      <c r="P53" s="6">
        <v>0.28000000000000003</v>
      </c>
      <c r="Q53" s="6">
        <v>10</v>
      </c>
      <c r="R53" s="6"/>
      <c r="S53" s="6"/>
      <c r="T53" s="156"/>
      <c r="U53" s="6"/>
    </row>
    <row r="54" spans="1:21" customFormat="1">
      <c r="A54" s="201" t="s">
        <v>669</v>
      </c>
      <c r="B54" s="6">
        <v>3.98</v>
      </c>
      <c r="C54" s="6">
        <v>6.39</v>
      </c>
      <c r="D54" s="6">
        <v>10.38</v>
      </c>
      <c r="E54" s="6">
        <v>5.21</v>
      </c>
      <c r="F54" s="6">
        <v>4.74</v>
      </c>
      <c r="G54" s="6">
        <v>36.07</v>
      </c>
      <c r="H54" s="6">
        <v>16.47</v>
      </c>
      <c r="I54" s="6">
        <v>7.4</v>
      </c>
      <c r="J54" s="6">
        <v>0.84</v>
      </c>
      <c r="K54" s="6">
        <v>275.2</v>
      </c>
      <c r="L54" s="6">
        <v>24.76</v>
      </c>
      <c r="M54" s="6">
        <v>42.78</v>
      </c>
      <c r="N54" s="6">
        <v>58.2</v>
      </c>
      <c r="O54" s="6">
        <v>3</v>
      </c>
      <c r="P54" s="6">
        <v>0.27</v>
      </c>
      <c r="Q54" s="6">
        <v>10</v>
      </c>
      <c r="R54" s="6"/>
      <c r="S54" s="6"/>
      <c r="T54" s="156"/>
      <c r="U54" s="6"/>
    </row>
    <row r="55" spans="1:21" customFormat="1">
      <c r="A55" s="201" t="s">
        <v>670</v>
      </c>
      <c r="B55" s="6">
        <v>4.07</v>
      </c>
      <c r="C55" s="6">
        <v>6.83</v>
      </c>
      <c r="D55" s="6">
        <v>10.9</v>
      </c>
      <c r="E55" s="6">
        <v>5.08</v>
      </c>
      <c r="F55" s="6">
        <v>4.87</v>
      </c>
      <c r="G55" s="6">
        <v>37</v>
      </c>
      <c r="H55" s="6">
        <v>16.48</v>
      </c>
      <c r="I55" s="6">
        <v>7.49</v>
      </c>
      <c r="J55" s="6">
        <v>0.24</v>
      </c>
      <c r="K55" s="6">
        <v>301.38</v>
      </c>
      <c r="L55" s="6">
        <v>21.23</v>
      </c>
      <c r="M55" s="6">
        <v>32.85</v>
      </c>
      <c r="N55" s="6">
        <v>98.1</v>
      </c>
      <c r="O55" s="6">
        <v>3.2</v>
      </c>
      <c r="P55" s="6">
        <v>0.26</v>
      </c>
      <c r="Q55" s="6">
        <v>10</v>
      </c>
      <c r="R55" s="6"/>
      <c r="S55" s="6"/>
      <c r="T55" s="156"/>
      <c r="U55" s="6"/>
    </row>
    <row r="56" spans="1:21" customFormat="1">
      <c r="A56" s="201" t="s">
        <v>671</v>
      </c>
      <c r="B56" s="6">
        <v>4.16</v>
      </c>
      <c r="C56" s="6">
        <v>6.78</v>
      </c>
      <c r="D56" s="6">
        <v>10.94</v>
      </c>
      <c r="E56" s="6">
        <v>5.07</v>
      </c>
      <c r="F56" s="6">
        <v>2.35</v>
      </c>
      <c r="G56" s="6">
        <v>37</v>
      </c>
      <c r="H56" s="6">
        <v>16.48</v>
      </c>
      <c r="I56" s="6">
        <v>7.5</v>
      </c>
      <c r="J56" s="6">
        <v>0.2</v>
      </c>
      <c r="K56" s="6">
        <v>198.48</v>
      </c>
      <c r="L56" s="6">
        <v>19.71</v>
      </c>
      <c r="M56" s="6">
        <v>29.41</v>
      </c>
      <c r="N56" s="6">
        <v>92.1</v>
      </c>
      <c r="O56" s="6">
        <v>0.8</v>
      </c>
      <c r="P56" s="6">
        <v>0.27</v>
      </c>
      <c r="Q56" s="6">
        <v>10.31</v>
      </c>
      <c r="R56" s="6"/>
      <c r="S56" s="6"/>
      <c r="T56" s="156"/>
      <c r="U56" s="6"/>
    </row>
    <row r="57" spans="1:21" customFormat="1">
      <c r="A57" s="201" t="s">
        <v>672</v>
      </c>
      <c r="B57" s="6">
        <v>4.09</v>
      </c>
      <c r="C57" s="6">
        <v>6.43</v>
      </c>
      <c r="D57" s="6">
        <v>10.52</v>
      </c>
      <c r="E57" s="6">
        <v>5.51</v>
      </c>
      <c r="F57" s="6">
        <v>2.21</v>
      </c>
      <c r="G57" s="6">
        <v>37</v>
      </c>
      <c r="H57" s="6">
        <v>16.48</v>
      </c>
      <c r="I57" s="6">
        <v>7.32</v>
      </c>
      <c r="J57" s="6">
        <v>0.17</v>
      </c>
      <c r="K57" s="6">
        <v>199.22</v>
      </c>
      <c r="L57" s="6">
        <v>18.170000000000002</v>
      </c>
      <c r="M57" s="6">
        <v>25.25</v>
      </c>
      <c r="N57" s="6">
        <v>107.2</v>
      </c>
      <c r="O57" s="6">
        <v>0.2</v>
      </c>
      <c r="P57" s="6">
        <v>0.27</v>
      </c>
      <c r="Q57" s="6">
        <v>10</v>
      </c>
      <c r="R57" s="6"/>
      <c r="S57" s="6"/>
      <c r="T57" s="156"/>
      <c r="U57" s="6"/>
    </row>
    <row r="58" spans="1:21" customFormat="1">
      <c r="A58" s="201" t="s">
        <v>673</v>
      </c>
      <c r="B58" s="6">
        <v>3.85</v>
      </c>
      <c r="C58" s="6">
        <v>6.28</v>
      </c>
      <c r="D58" s="6">
        <v>10.130000000000001</v>
      </c>
      <c r="E58" s="6">
        <v>5.18</v>
      </c>
      <c r="F58" s="6">
        <v>8.86</v>
      </c>
      <c r="G58" s="6">
        <v>29.8</v>
      </c>
      <c r="H58" s="6">
        <v>12.91</v>
      </c>
      <c r="I58" s="6">
        <v>7.3</v>
      </c>
      <c r="J58" s="6">
        <v>0.03</v>
      </c>
      <c r="K58" s="6">
        <v>84.02</v>
      </c>
      <c r="L58" s="6">
        <v>20.55</v>
      </c>
      <c r="M58" s="6">
        <v>24.16</v>
      </c>
      <c r="N58" s="6">
        <v>402.3</v>
      </c>
      <c r="O58" s="6">
        <v>0</v>
      </c>
      <c r="P58" s="6">
        <v>0.25</v>
      </c>
      <c r="Q58" s="6">
        <v>9.7799999999999994</v>
      </c>
      <c r="R58" s="6"/>
      <c r="S58" s="6"/>
      <c r="T58" s="156"/>
      <c r="U58" s="6"/>
    </row>
    <row r="59" spans="1:21" customFormat="1">
      <c r="A59" s="201" t="s">
        <v>674</v>
      </c>
      <c r="B59" s="6">
        <v>3.84</v>
      </c>
      <c r="C59" s="6">
        <v>6.44</v>
      </c>
      <c r="D59" s="6">
        <v>10.28</v>
      </c>
      <c r="E59" s="6">
        <v>5.26</v>
      </c>
      <c r="F59" s="6">
        <v>6.32</v>
      </c>
      <c r="G59" s="6">
        <v>24.3</v>
      </c>
      <c r="H59" s="6">
        <v>11.77</v>
      </c>
      <c r="I59" s="6">
        <v>7.17</v>
      </c>
      <c r="J59" s="6">
        <v>0.37</v>
      </c>
      <c r="K59" s="6">
        <v>64.42</v>
      </c>
      <c r="L59" s="6">
        <v>10.85</v>
      </c>
      <c r="M59" s="6">
        <v>3.22</v>
      </c>
      <c r="N59" s="6">
        <v>252.3</v>
      </c>
      <c r="O59" s="6">
        <v>0</v>
      </c>
      <c r="P59" s="6">
        <v>0.25</v>
      </c>
      <c r="Q59" s="6">
        <v>10</v>
      </c>
      <c r="R59" s="6"/>
      <c r="S59" s="6"/>
      <c r="T59" s="156"/>
      <c r="U59" s="6"/>
    </row>
    <row r="60" spans="1:21" customFormat="1">
      <c r="A60" s="201" t="s">
        <v>675</v>
      </c>
      <c r="B60" s="6">
        <v>4.04</v>
      </c>
      <c r="C60" s="6">
        <v>6.78</v>
      </c>
      <c r="D60" s="6">
        <v>10.83</v>
      </c>
      <c r="E60" s="6">
        <v>5.23</v>
      </c>
      <c r="F60" s="6">
        <v>4.41</v>
      </c>
      <c r="G60" s="6">
        <v>24.3</v>
      </c>
      <c r="H60" s="6">
        <v>11.77</v>
      </c>
      <c r="I60" s="6">
        <v>7.08</v>
      </c>
      <c r="J60" s="6">
        <v>0.36</v>
      </c>
      <c r="K60" s="6">
        <v>56.38</v>
      </c>
      <c r="L60" s="6">
        <v>9.06</v>
      </c>
      <c r="M60" s="6">
        <v>2.73</v>
      </c>
      <c r="N60" s="6">
        <v>80</v>
      </c>
      <c r="O60" s="6">
        <v>0</v>
      </c>
      <c r="P60" s="6">
        <v>0.26</v>
      </c>
      <c r="Q60" s="6">
        <v>10</v>
      </c>
      <c r="R60" s="6"/>
      <c r="S60" s="6"/>
      <c r="T60" s="156"/>
      <c r="U60" s="6"/>
    </row>
    <row r="61" spans="1:21" customFormat="1">
      <c r="A61" s="201" t="s">
        <v>676</v>
      </c>
      <c r="B61" s="6">
        <v>4.13</v>
      </c>
      <c r="C61" s="6">
        <v>6.66</v>
      </c>
      <c r="D61" s="6">
        <v>10.8</v>
      </c>
      <c r="E61" s="6">
        <v>4.93</v>
      </c>
      <c r="F61" s="6">
        <v>3.1</v>
      </c>
      <c r="G61" s="6">
        <v>24.3</v>
      </c>
      <c r="H61" s="6">
        <v>11.77</v>
      </c>
      <c r="I61" s="6">
        <v>7.14</v>
      </c>
      <c r="J61" s="6">
        <v>0.42</v>
      </c>
      <c r="K61" s="6">
        <v>49.21</v>
      </c>
      <c r="L61" s="6">
        <v>10.06</v>
      </c>
      <c r="M61" s="6">
        <v>6.21</v>
      </c>
      <c r="N61" s="6">
        <v>40.299999999999997</v>
      </c>
      <c r="O61" s="6">
        <v>0</v>
      </c>
      <c r="P61" s="6">
        <v>0.28000000000000003</v>
      </c>
      <c r="Q61" s="6">
        <v>9.59</v>
      </c>
      <c r="R61" s="6"/>
      <c r="S61" s="6"/>
      <c r="T61" s="156"/>
      <c r="U61" s="6"/>
    </row>
    <row r="62" spans="1:21" customFormat="1">
      <c r="A62" s="201" t="s">
        <v>677</v>
      </c>
      <c r="B62" s="6">
        <v>4.34</v>
      </c>
      <c r="C62" s="6">
        <v>6.77</v>
      </c>
      <c r="D62" s="6">
        <v>11.12</v>
      </c>
      <c r="E62" s="6">
        <v>5.31</v>
      </c>
      <c r="F62" s="6">
        <v>2.87</v>
      </c>
      <c r="G62" s="6">
        <v>29.61</v>
      </c>
      <c r="H62" s="6">
        <v>10.75</v>
      </c>
      <c r="I62" s="6">
        <v>7.11</v>
      </c>
      <c r="J62" s="6">
        <v>0.54</v>
      </c>
      <c r="K62" s="6">
        <v>39.93</v>
      </c>
      <c r="L62" s="6">
        <v>8.69</v>
      </c>
      <c r="M62" s="6">
        <v>3.11</v>
      </c>
      <c r="N62" s="6">
        <v>25.2</v>
      </c>
      <c r="O62" s="6">
        <v>0</v>
      </c>
      <c r="P62" s="6">
        <v>0.28000000000000003</v>
      </c>
      <c r="Q62" s="6">
        <v>9.69</v>
      </c>
      <c r="R62" s="6"/>
      <c r="S62" s="6"/>
      <c r="T62" s="156"/>
      <c r="U62" s="6"/>
    </row>
    <row r="63" spans="1:21" customFormat="1">
      <c r="A63" s="201" t="s">
        <v>678</v>
      </c>
      <c r="B63" s="6">
        <v>4.37</v>
      </c>
      <c r="C63" s="6">
        <v>6.68</v>
      </c>
      <c r="D63" s="6">
        <v>11.06</v>
      </c>
      <c r="E63" s="6">
        <v>5.36</v>
      </c>
      <c r="F63" s="6">
        <v>3.43</v>
      </c>
      <c r="G63" s="6">
        <v>33.68</v>
      </c>
      <c r="H63" s="6">
        <v>10.43</v>
      </c>
      <c r="I63" s="6">
        <v>7.18</v>
      </c>
      <c r="J63" s="6">
        <v>0.88</v>
      </c>
      <c r="K63" s="6">
        <v>319.64999999999998</v>
      </c>
      <c r="L63" s="6">
        <v>17.61</v>
      </c>
      <c r="M63" s="6">
        <v>25.83</v>
      </c>
      <c r="N63" s="6">
        <v>8.1</v>
      </c>
      <c r="O63" s="6">
        <v>5</v>
      </c>
      <c r="P63" s="6">
        <v>0.27</v>
      </c>
      <c r="Q63" s="6">
        <v>10.26</v>
      </c>
      <c r="R63" s="6"/>
      <c r="S63" s="6"/>
      <c r="T63" s="156"/>
      <c r="U63" s="6"/>
    </row>
    <row r="64" spans="1:21" customFormat="1">
      <c r="A64" s="201" t="s">
        <v>679</v>
      </c>
      <c r="B64" s="6">
        <v>4.26</v>
      </c>
      <c r="C64" s="6">
        <v>6.6</v>
      </c>
      <c r="D64" s="6">
        <v>10.86</v>
      </c>
      <c r="E64" s="6">
        <v>5.36</v>
      </c>
      <c r="F64" s="6">
        <v>2.2400000000000002</v>
      </c>
      <c r="G64" s="6">
        <v>33.68</v>
      </c>
      <c r="H64" s="6">
        <v>10.43</v>
      </c>
      <c r="I64" s="6">
        <v>6.92</v>
      </c>
      <c r="J64" s="6">
        <v>0.55000000000000004</v>
      </c>
      <c r="K64" s="6">
        <v>242.66</v>
      </c>
      <c r="L64" s="6">
        <v>20.66</v>
      </c>
      <c r="M64" s="6">
        <v>33.81</v>
      </c>
      <c r="N64" s="6">
        <v>7.5</v>
      </c>
      <c r="O64" s="6">
        <v>13.4</v>
      </c>
      <c r="P64" s="6">
        <v>0.28000000000000003</v>
      </c>
      <c r="Q64" s="6">
        <v>10</v>
      </c>
      <c r="R64" s="6"/>
      <c r="S64" s="6"/>
      <c r="T64" s="156"/>
      <c r="U64" s="6"/>
    </row>
    <row r="65" spans="1:21" customFormat="1">
      <c r="A65" s="201" t="s">
        <v>680</v>
      </c>
      <c r="B65" s="6">
        <v>3.94</v>
      </c>
      <c r="C65" s="6">
        <v>6.71</v>
      </c>
      <c r="D65" s="6">
        <v>10.65</v>
      </c>
      <c r="E65" s="6">
        <v>5.0999999999999996</v>
      </c>
      <c r="F65" s="6">
        <v>2.09</v>
      </c>
      <c r="G65" s="6">
        <v>33.68</v>
      </c>
      <c r="H65" s="6">
        <v>10.43</v>
      </c>
      <c r="I65" s="6">
        <v>6.95</v>
      </c>
      <c r="J65" s="6">
        <v>0.33</v>
      </c>
      <c r="K65" s="6">
        <v>259.63</v>
      </c>
      <c r="L65" s="6">
        <v>18.670000000000002</v>
      </c>
      <c r="M65" s="6">
        <v>28.76</v>
      </c>
      <c r="N65" s="6">
        <v>6.4</v>
      </c>
      <c r="O65" s="6">
        <v>4.5999999999999996</v>
      </c>
      <c r="P65" s="6">
        <v>0.28000000000000003</v>
      </c>
      <c r="Q65" s="6">
        <v>10</v>
      </c>
      <c r="R65" s="6"/>
      <c r="S65" s="6"/>
      <c r="T65" s="156"/>
      <c r="U65" s="6"/>
    </row>
    <row r="66" spans="1:21" customFormat="1">
      <c r="A66" s="201" t="s">
        <v>681</v>
      </c>
      <c r="B66" s="6">
        <v>3.68</v>
      </c>
      <c r="C66" s="6">
        <v>6.84</v>
      </c>
      <c r="D66" s="6">
        <v>10.53</v>
      </c>
      <c r="E66" s="6">
        <v>5.17</v>
      </c>
      <c r="F66" s="6">
        <v>2.02</v>
      </c>
      <c r="G66" s="6">
        <v>28.77</v>
      </c>
      <c r="H66" s="6">
        <v>10.050000000000001</v>
      </c>
      <c r="I66" s="6">
        <v>6.88</v>
      </c>
      <c r="J66" s="6">
        <v>0.22</v>
      </c>
      <c r="K66" s="6">
        <v>240.19</v>
      </c>
      <c r="L66" s="6">
        <v>20.51</v>
      </c>
      <c r="M66" s="6">
        <v>33.31</v>
      </c>
      <c r="N66" s="6">
        <v>7.2</v>
      </c>
      <c r="O66" s="6">
        <v>1.8</v>
      </c>
      <c r="P66" s="6">
        <v>0.28999999999999998</v>
      </c>
      <c r="Q66" s="6">
        <v>10</v>
      </c>
      <c r="R66" s="6"/>
      <c r="S66" s="6"/>
      <c r="T66" s="156"/>
      <c r="U66" s="6"/>
    </row>
    <row r="67" spans="1:21" customFormat="1">
      <c r="A67" s="201" t="s">
        <v>682</v>
      </c>
      <c r="B67" s="6">
        <v>3.47</v>
      </c>
      <c r="C67" s="6">
        <v>6.86</v>
      </c>
      <c r="D67" s="6">
        <v>10.33</v>
      </c>
      <c r="E67" s="6">
        <v>5.22</v>
      </c>
      <c r="F67" s="6">
        <v>2.0099999999999998</v>
      </c>
      <c r="G67" s="6">
        <v>25.01</v>
      </c>
      <c r="H67" s="6">
        <v>9.93</v>
      </c>
      <c r="I67" s="6">
        <v>6.66</v>
      </c>
      <c r="J67" s="6">
        <v>7.0000000000000007E-2</v>
      </c>
      <c r="K67" s="6">
        <v>165.99</v>
      </c>
      <c r="L67" s="6">
        <v>17.559999999999999</v>
      </c>
      <c r="M67" s="6">
        <v>25.89</v>
      </c>
      <c r="N67" s="6">
        <v>7.8</v>
      </c>
      <c r="O67" s="6">
        <v>1</v>
      </c>
      <c r="P67" s="6">
        <v>0.28000000000000003</v>
      </c>
      <c r="Q67" s="6">
        <v>10</v>
      </c>
      <c r="R67" s="6"/>
      <c r="S67" s="6"/>
      <c r="T67" s="156"/>
      <c r="U67" s="6"/>
    </row>
    <row r="68" spans="1:21" customFormat="1">
      <c r="A68" s="201" t="s">
        <v>683</v>
      </c>
      <c r="B68" s="6">
        <v>3.27</v>
      </c>
      <c r="C68" s="6">
        <v>6.88</v>
      </c>
      <c r="D68" s="6">
        <v>10.16</v>
      </c>
      <c r="E68" s="6">
        <v>5.3</v>
      </c>
      <c r="F68" s="6">
        <v>2</v>
      </c>
      <c r="G68" s="6">
        <v>25.01</v>
      </c>
      <c r="H68" s="6">
        <v>9.93</v>
      </c>
      <c r="I68" s="6">
        <v>6.37</v>
      </c>
      <c r="J68" s="6">
        <v>0.06</v>
      </c>
      <c r="K68" s="6">
        <v>141.75</v>
      </c>
      <c r="L68" s="6">
        <v>16.13</v>
      </c>
      <c r="M68" s="6">
        <v>22.22</v>
      </c>
      <c r="N68" s="6">
        <v>8.9</v>
      </c>
      <c r="O68" s="6">
        <v>0.2</v>
      </c>
      <c r="P68" s="6">
        <v>0.28000000000000003</v>
      </c>
      <c r="Q68" s="6">
        <v>10</v>
      </c>
      <c r="R68" s="6"/>
      <c r="S68" s="6"/>
      <c r="T68" s="156"/>
      <c r="U68" s="6"/>
    </row>
    <row r="69" spans="1:21" customFormat="1">
      <c r="A69" s="201" t="s">
        <v>684</v>
      </c>
      <c r="B69" s="6">
        <v>3.12</v>
      </c>
      <c r="C69" s="6">
        <v>6.9</v>
      </c>
      <c r="D69" s="6">
        <v>10.02</v>
      </c>
      <c r="E69" s="6">
        <v>5.41</v>
      </c>
      <c r="F69" s="6">
        <v>2</v>
      </c>
      <c r="G69" s="6">
        <v>25.01</v>
      </c>
      <c r="H69" s="6">
        <v>9.93</v>
      </c>
      <c r="I69" s="6">
        <v>6.16</v>
      </c>
      <c r="J69" s="6">
        <v>0.04</v>
      </c>
      <c r="K69" s="6">
        <v>205.3</v>
      </c>
      <c r="L69" s="6">
        <v>16.010000000000002</v>
      </c>
      <c r="M69" s="6">
        <v>21.99</v>
      </c>
      <c r="N69" s="6">
        <v>12.1</v>
      </c>
      <c r="O69" s="6">
        <v>0</v>
      </c>
      <c r="P69" s="6">
        <v>0.28000000000000003</v>
      </c>
      <c r="Q69" s="6">
        <v>10</v>
      </c>
      <c r="R69" s="6"/>
      <c r="S69" s="6"/>
      <c r="T69" s="156"/>
      <c r="U69" s="6"/>
    </row>
    <row r="70" spans="1:21" customFormat="1">
      <c r="A70" s="201" t="s">
        <v>685</v>
      </c>
      <c r="B70" s="6">
        <v>3.04</v>
      </c>
      <c r="C70" s="6">
        <v>6.84</v>
      </c>
      <c r="D70" s="6">
        <v>9.8699999999999992</v>
      </c>
      <c r="E70" s="6">
        <v>5.34</v>
      </c>
      <c r="F70" s="6">
        <v>2</v>
      </c>
      <c r="G70" s="6">
        <v>23.35</v>
      </c>
      <c r="H70" s="6">
        <v>8.2899999999999991</v>
      </c>
      <c r="I70" s="6">
        <v>5.97</v>
      </c>
      <c r="J70" s="6">
        <v>0.14000000000000001</v>
      </c>
      <c r="K70" s="6">
        <v>177</v>
      </c>
      <c r="L70" s="6">
        <v>17.11</v>
      </c>
      <c r="M70" s="6">
        <v>24.64</v>
      </c>
      <c r="N70" s="6">
        <v>18.3</v>
      </c>
      <c r="O70" s="6">
        <v>0</v>
      </c>
      <c r="P70" s="6">
        <v>0.27</v>
      </c>
      <c r="Q70" s="6">
        <v>10</v>
      </c>
      <c r="R70" s="6"/>
      <c r="S70" s="6"/>
      <c r="T70" s="156"/>
      <c r="U70" s="6"/>
    </row>
    <row r="71" spans="1:21" customFormat="1">
      <c r="A71" s="201" t="s">
        <v>686</v>
      </c>
      <c r="B71" s="6">
        <v>2.98</v>
      </c>
      <c r="C71" s="6">
        <v>6.71</v>
      </c>
      <c r="D71" s="6">
        <v>9.69</v>
      </c>
      <c r="E71" s="6">
        <v>5.41</v>
      </c>
      <c r="F71" s="6">
        <v>2</v>
      </c>
      <c r="G71" s="6">
        <v>22.07</v>
      </c>
      <c r="H71" s="6">
        <v>7.35</v>
      </c>
      <c r="I71" s="6">
        <v>5.85</v>
      </c>
      <c r="J71" s="6">
        <v>0.11</v>
      </c>
      <c r="K71" s="6">
        <v>225.85</v>
      </c>
      <c r="L71" s="6">
        <v>20.83</v>
      </c>
      <c r="M71" s="6">
        <v>33.619999999999997</v>
      </c>
      <c r="N71" s="6">
        <v>29.7</v>
      </c>
      <c r="O71" s="6">
        <v>0</v>
      </c>
      <c r="P71" s="6">
        <v>0.26</v>
      </c>
      <c r="Q71" s="6">
        <v>10</v>
      </c>
      <c r="R71" s="6"/>
      <c r="S71" s="6"/>
      <c r="T71" s="156"/>
      <c r="U71" s="6"/>
    </row>
    <row r="72" spans="1:21" customFormat="1">
      <c r="A72" s="201" t="s">
        <v>687</v>
      </c>
      <c r="B72" s="6">
        <v>2.89</v>
      </c>
      <c r="C72" s="6">
        <v>6.64</v>
      </c>
      <c r="D72" s="6">
        <v>9.5399999999999991</v>
      </c>
      <c r="E72" s="6">
        <v>5.53</v>
      </c>
      <c r="F72" s="6">
        <v>2.0099999999999998</v>
      </c>
      <c r="G72" s="6">
        <v>22.07</v>
      </c>
      <c r="H72" s="6">
        <v>7.35</v>
      </c>
      <c r="I72" s="6">
        <v>5.68</v>
      </c>
      <c r="J72" s="6">
        <v>0.26</v>
      </c>
      <c r="K72" s="6">
        <v>256.43</v>
      </c>
      <c r="L72" s="6">
        <v>23.21</v>
      </c>
      <c r="M72" s="6">
        <v>39.4</v>
      </c>
      <c r="N72" s="6">
        <v>37</v>
      </c>
      <c r="O72" s="6">
        <v>0</v>
      </c>
      <c r="P72" s="6">
        <v>0.26</v>
      </c>
      <c r="Q72" s="6">
        <v>10</v>
      </c>
      <c r="R72" s="6"/>
      <c r="S72" s="6"/>
      <c r="T72" s="156"/>
      <c r="U72" s="6"/>
    </row>
    <row r="73" spans="1:21" customFormat="1">
      <c r="A73" s="201" t="s">
        <v>688</v>
      </c>
      <c r="B73" s="6">
        <v>2.85</v>
      </c>
      <c r="C73" s="6">
        <v>6.6</v>
      </c>
      <c r="D73" s="6">
        <v>9.4499999999999993</v>
      </c>
      <c r="E73" s="6">
        <v>5.54</v>
      </c>
      <c r="F73" s="6">
        <v>2</v>
      </c>
      <c r="G73" s="6">
        <v>22.07</v>
      </c>
      <c r="H73" s="6">
        <v>7.35</v>
      </c>
      <c r="I73" s="6">
        <v>5.57</v>
      </c>
      <c r="J73" s="6">
        <v>0.34</v>
      </c>
      <c r="K73" s="6">
        <v>245.14</v>
      </c>
      <c r="L73" s="6">
        <v>21.95</v>
      </c>
      <c r="M73" s="6">
        <v>36.31</v>
      </c>
      <c r="N73" s="6">
        <v>36.6</v>
      </c>
      <c r="O73" s="6">
        <v>0</v>
      </c>
      <c r="P73" s="6">
        <v>0.25</v>
      </c>
      <c r="Q73" s="6">
        <v>10</v>
      </c>
      <c r="R73" s="6"/>
      <c r="S73" s="6"/>
      <c r="T73" s="156"/>
      <c r="U73" s="6"/>
    </row>
    <row r="74" spans="1:21" customFormat="1">
      <c r="A74" s="201" t="s">
        <v>689</v>
      </c>
      <c r="B74" s="6">
        <v>2.84</v>
      </c>
      <c r="C74" s="6">
        <v>6.58</v>
      </c>
      <c r="D74" s="6">
        <v>9.42</v>
      </c>
      <c r="E74" s="6">
        <v>5.36</v>
      </c>
      <c r="F74" s="6">
        <v>2</v>
      </c>
      <c r="G74" s="6">
        <v>20.059999999999999</v>
      </c>
      <c r="H74" s="6">
        <v>6.41</v>
      </c>
      <c r="I74" s="6">
        <v>5.47</v>
      </c>
      <c r="J74" s="6">
        <v>0.16</v>
      </c>
      <c r="K74" s="6">
        <v>152.03</v>
      </c>
      <c r="L74" s="6">
        <v>15.78</v>
      </c>
      <c r="M74" s="6">
        <v>20.97</v>
      </c>
      <c r="N74" s="6">
        <v>34</v>
      </c>
      <c r="O74" s="6">
        <v>0</v>
      </c>
      <c r="P74" s="6">
        <v>0.25</v>
      </c>
      <c r="Q74" s="6">
        <v>10</v>
      </c>
      <c r="R74" s="6"/>
      <c r="S74" s="6"/>
      <c r="T74" s="156"/>
      <c r="U74" s="6"/>
    </row>
    <row r="75" spans="1:21" customFormat="1">
      <c r="A75" s="201" t="s">
        <v>690</v>
      </c>
      <c r="B75" s="6">
        <v>2.88</v>
      </c>
      <c r="C75" s="6">
        <v>6.57</v>
      </c>
      <c r="D75" s="6">
        <v>9.4499999999999993</v>
      </c>
      <c r="E75" s="6">
        <v>5.48</v>
      </c>
      <c r="F75" s="6">
        <v>2</v>
      </c>
      <c r="G75" s="6">
        <v>18.53</v>
      </c>
      <c r="H75" s="6">
        <v>6.11</v>
      </c>
      <c r="I75" s="6">
        <v>5.25</v>
      </c>
      <c r="J75" s="6">
        <v>0.12</v>
      </c>
      <c r="K75" s="6">
        <v>180.05</v>
      </c>
      <c r="L75" s="6">
        <v>17.93</v>
      </c>
      <c r="M75" s="6">
        <v>26.4</v>
      </c>
      <c r="N75" s="6">
        <v>31.8</v>
      </c>
      <c r="O75" s="6">
        <v>0</v>
      </c>
      <c r="P75" s="6">
        <v>0.25</v>
      </c>
      <c r="Q75" s="6">
        <v>9.91</v>
      </c>
      <c r="R75" s="6"/>
      <c r="S75" s="6"/>
      <c r="T75" s="156"/>
      <c r="U75" s="6"/>
    </row>
    <row r="76" spans="1:21" customFormat="1">
      <c r="A76" s="201" t="s">
        <v>691</v>
      </c>
      <c r="B76" s="6">
        <v>2.91</v>
      </c>
      <c r="C76" s="6">
        <v>6.57</v>
      </c>
      <c r="D76" s="6">
        <v>9.49</v>
      </c>
      <c r="E76" s="6">
        <v>5.44</v>
      </c>
      <c r="F76" s="6">
        <v>2.02</v>
      </c>
      <c r="G76" s="6">
        <v>18.53</v>
      </c>
      <c r="H76" s="6">
        <v>6.11</v>
      </c>
      <c r="I76" s="6">
        <v>5.18</v>
      </c>
      <c r="J76" s="6">
        <v>0.15</v>
      </c>
      <c r="K76" s="6">
        <v>123.92</v>
      </c>
      <c r="L76" s="6">
        <v>12.21</v>
      </c>
      <c r="M76" s="6">
        <v>12.25</v>
      </c>
      <c r="N76" s="6">
        <v>21.1</v>
      </c>
      <c r="O76" s="6">
        <v>0</v>
      </c>
      <c r="P76" s="6">
        <v>0.25</v>
      </c>
      <c r="Q76" s="6">
        <v>9.86</v>
      </c>
      <c r="R76" s="6"/>
      <c r="S76" s="6"/>
      <c r="T76" s="156"/>
      <c r="U76" s="6"/>
    </row>
    <row r="77" spans="1:21" customFormat="1">
      <c r="A77" s="201" t="s">
        <v>692</v>
      </c>
      <c r="B77" s="6">
        <v>2.97</v>
      </c>
      <c r="C77" s="6">
        <v>6.48</v>
      </c>
      <c r="D77" s="6">
        <v>9.4499999999999993</v>
      </c>
      <c r="E77" s="6">
        <v>5.51</v>
      </c>
      <c r="F77" s="6">
        <v>2</v>
      </c>
      <c r="G77" s="6">
        <v>18.53</v>
      </c>
      <c r="H77" s="6">
        <v>6.11</v>
      </c>
      <c r="I77" s="6">
        <v>5.22</v>
      </c>
      <c r="J77" s="6">
        <v>0.1</v>
      </c>
      <c r="K77" s="6">
        <v>129.05000000000001</v>
      </c>
      <c r="L77" s="6">
        <v>15.17</v>
      </c>
      <c r="M77" s="6">
        <v>19.82</v>
      </c>
      <c r="N77" s="6">
        <v>14.4</v>
      </c>
      <c r="O77" s="6">
        <v>0</v>
      </c>
      <c r="P77" s="6">
        <v>0.25</v>
      </c>
      <c r="Q77" s="6">
        <v>9.9600000000000009</v>
      </c>
      <c r="R77" s="6"/>
      <c r="S77" s="6"/>
      <c r="T77" s="156"/>
      <c r="U77" s="6"/>
    </row>
    <row r="78" spans="1:21" customFormat="1">
      <c r="A78" s="201" t="s">
        <v>693</v>
      </c>
      <c r="B78" s="6">
        <v>3</v>
      </c>
      <c r="C78" s="6">
        <v>6.48</v>
      </c>
      <c r="D78" s="6">
        <v>9.48</v>
      </c>
      <c r="E78" s="6">
        <v>5.66</v>
      </c>
      <c r="F78" s="6">
        <v>2</v>
      </c>
      <c r="G78" s="6">
        <v>15.64</v>
      </c>
      <c r="H78" s="6">
        <v>4.99</v>
      </c>
      <c r="I78" s="6">
        <v>5.13</v>
      </c>
      <c r="J78" s="6">
        <v>0.17</v>
      </c>
      <c r="K78" s="6">
        <v>211.25</v>
      </c>
      <c r="L78" s="6">
        <v>18.670000000000002</v>
      </c>
      <c r="M78" s="6">
        <v>28.78</v>
      </c>
      <c r="N78" s="6">
        <v>8.5</v>
      </c>
      <c r="O78" s="6">
        <v>0</v>
      </c>
      <c r="P78" s="6">
        <v>0.25</v>
      </c>
      <c r="Q78" s="6">
        <v>10</v>
      </c>
      <c r="R78" s="6"/>
      <c r="S78" s="6"/>
      <c r="T78" s="156"/>
      <c r="U78" s="6"/>
    </row>
    <row r="79" spans="1:21" customFormat="1">
      <c r="A79" s="201" t="s">
        <v>694</v>
      </c>
      <c r="B79" s="6">
        <v>3.07</v>
      </c>
      <c r="C79" s="6">
        <v>6.43</v>
      </c>
      <c r="D79" s="6">
        <v>9.5</v>
      </c>
      <c r="E79" s="6">
        <v>5.71</v>
      </c>
      <c r="F79" s="6">
        <v>2</v>
      </c>
      <c r="G79" s="6">
        <v>13.53</v>
      </c>
      <c r="H79" s="6">
        <v>4.6399999999999997</v>
      </c>
      <c r="I79" s="6">
        <v>4.9800000000000004</v>
      </c>
      <c r="J79" s="6">
        <v>0.15</v>
      </c>
      <c r="K79" s="6">
        <v>227.14</v>
      </c>
      <c r="L79" s="6">
        <v>20.100000000000001</v>
      </c>
      <c r="M79" s="6">
        <v>32.4</v>
      </c>
      <c r="N79" s="6">
        <v>4.0999999999999996</v>
      </c>
      <c r="O79" s="6">
        <v>0</v>
      </c>
      <c r="P79" s="6">
        <v>0.25</v>
      </c>
      <c r="Q79" s="6">
        <v>10</v>
      </c>
      <c r="R79" s="6"/>
      <c r="S79" s="6"/>
      <c r="T79" s="156"/>
      <c r="U79" s="6"/>
    </row>
    <row r="80" spans="1:21" customFormat="1">
      <c r="A80" s="201" t="s">
        <v>695</v>
      </c>
      <c r="B80" s="6">
        <v>3.11</v>
      </c>
      <c r="C80" s="6">
        <v>6.33</v>
      </c>
      <c r="D80" s="6">
        <v>9.44</v>
      </c>
      <c r="E80" s="6">
        <v>5.8</v>
      </c>
      <c r="F80" s="6">
        <v>2</v>
      </c>
      <c r="G80" s="6">
        <v>13.53</v>
      </c>
      <c r="H80" s="6">
        <v>4.6399999999999997</v>
      </c>
      <c r="I80" s="6">
        <v>5.0199999999999996</v>
      </c>
      <c r="J80" s="6">
        <v>0.03</v>
      </c>
      <c r="K80" s="6">
        <v>241.23</v>
      </c>
      <c r="L80" s="6">
        <v>16.97</v>
      </c>
      <c r="M80" s="6">
        <v>24.57</v>
      </c>
      <c r="N80" s="6">
        <v>2.7</v>
      </c>
      <c r="O80" s="6">
        <v>0</v>
      </c>
      <c r="P80" s="6">
        <v>0.24</v>
      </c>
      <c r="Q80" s="6">
        <v>10</v>
      </c>
      <c r="R80" s="6"/>
      <c r="S80" s="6"/>
      <c r="T80" s="156"/>
      <c r="U80" s="6"/>
    </row>
    <row r="81" spans="1:21" customFormat="1">
      <c r="A81" s="201" t="s">
        <v>696</v>
      </c>
      <c r="B81" s="6">
        <v>3.18</v>
      </c>
      <c r="C81" s="6">
        <v>6.36</v>
      </c>
      <c r="D81" s="6">
        <v>9.5399999999999991</v>
      </c>
      <c r="E81" s="6">
        <v>3.98</v>
      </c>
      <c r="F81" s="6">
        <v>2</v>
      </c>
      <c r="G81" s="6">
        <v>13.53</v>
      </c>
      <c r="H81" s="6">
        <v>4.6399999999999997</v>
      </c>
      <c r="I81" s="6">
        <v>4.9800000000000004</v>
      </c>
      <c r="J81" s="6">
        <v>0.14000000000000001</v>
      </c>
      <c r="K81" s="6">
        <v>147.69</v>
      </c>
      <c r="L81" s="6">
        <v>13.65</v>
      </c>
      <c r="M81" s="6">
        <v>16.350000000000001</v>
      </c>
      <c r="N81" s="6">
        <v>2.5</v>
      </c>
      <c r="O81" s="6">
        <v>0</v>
      </c>
      <c r="P81" s="6">
        <v>0.25</v>
      </c>
      <c r="Q81" s="6">
        <v>10.23</v>
      </c>
      <c r="R81" s="6"/>
      <c r="S81" s="6"/>
      <c r="T81" s="156"/>
      <c r="U81" s="6"/>
    </row>
    <row r="82" spans="1:21" customFormat="1">
      <c r="A82" s="201" t="s">
        <v>697</v>
      </c>
      <c r="B82" s="6">
        <v>3.28</v>
      </c>
      <c r="C82" s="6">
        <v>6.29</v>
      </c>
      <c r="D82" s="6">
        <v>9.57</v>
      </c>
      <c r="E82" s="6">
        <v>4.79</v>
      </c>
      <c r="F82" s="6">
        <v>2</v>
      </c>
      <c r="G82" s="6">
        <v>13.11</v>
      </c>
      <c r="H82" s="6">
        <v>6.51</v>
      </c>
      <c r="I82" s="6">
        <v>4.92</v>
      </c>
      <c r="J82" s="6">
        <v>0.04</v>
      </c>
      <c r="K82" s="6">
        <v>83.82</v>
      </c>
      <c r="L82" s="6">
        <v>12.86</v>
      </c>
      <c r="M82" s="6">
        <v>14.25</v>
      </c>
      <c r="N82" s="6">
        <v>2.4</v>
      </c>
      <c r="O82" s="6">
        <v>0</v>
      </c>
      <c r="P82" s="6">
        <v>0.26</v>
      </c>
      <c r="Q82" s="6">
        <v>10</v>
      </c>
      <c r="R82" s="6"/>
      <c r="S82" s="6"/>
      <c r="T82" s="156"/>
      <c r="U82" s="6"/>
    </row>
    <row r="83" spans="1:21" customFormat="1">
      <c r="A83" s="201" t="s">
        <v>698</v>
      </c>
      <c r="B83" s="6">
        <v>3.65</v>
      </c>
      <c r="C83" s="6">
        <v>6.41</v>
      </c>
      <c r="D83" s="6">
        <v>10.07</v>
      </c>
      <c r="E83" s="6">
        <v>4.6399999999999997</v>
      </c>
      <c r="F83" s="6">
        <v>2</v>
      </c>
      <c r="G83" s="6">
        <v>12.78</v>
      </c>
      <c r="H83" s="6">
        <v>7.11</v>
      </c>
      <c r="I83" s="6">
        <v>4.92</v>
      </c>
      <c r="J83" s="6">
        <v>0.16</v>
      </c>
      <c r="K83" s="6">
        <v>222.88</v>
      </c>
      <c r="L83" s="6">
        <v>20.48</v>
      </c>
      <c r="M83" s="6">
        <v>33.520000000000003</v>
      </c>
      <c r="N83" s="6">
        <v>2.4</v>
      </c>
      <c r="O83" s="6">
        <v>0</v>
      </c>
      <c r="P83" s="6">
        <v>0.27</v>
      </c>
      <c r="Q83" s="6">
        <v>10</v>
      </c>
      <c r="R83" s="6"/>
      <c r="S83" s="6"/>
      <c r="T83" s="156"/>
      <c r="U83" s="6"/>
    </row>
    <row r="84" spans="1:21" customFormat="1">
      <c r="A84" s="201" t="s">
        <v>699</v>
      </c>
      <c r="B84" s="6">
        <v>4.2300000000000004</v>
      </c>
      <c r="C84" s="6">
        <v>6.62</v>
      </c>
      <c r="D84" s="6">
        <v>10.85</v>
      </c>
      <c r="E84" s="6">
        <v>4.87</v>
      </c>
      <c r="F84" s="6">
        <v>2</v>
      </c>
      <c r="G84" s="6">
        <v>12.78</v>
      </c>
      <c r="H84" s="6">
        <v>7.11</v>
      </c>
      <c r="I84" s="6">
        <v>4.91</v>
      </c>
      <c r="J84" s="6">
        <v>0.09</v>
      </c>
      <c r="K84" s="6">
        <v>35.020000000000003</v>
      </c>
      <c r="L84" s="6">
        <v>14.6</v>
      </c>
      <c r="M84" s="6">
        <v>18.53</v>
      </c>
      <c r="N84" s="6">
        <v>2.7</v>
      </c>
      <c r="O84" s="6">
        <v>0</v>
      </c>
      <c r="P84" s="6">
        <v>0.26</v>
      </c>
      <c r="Q84" s="6">
        <v>10</v>
      </c>
      <c r="R84" s="6"/>
      <c r="S84" s="6"/>
      <c r="T84" s="156"/>
      <c r="U84" s="6"/>
    </row>
    <row r="85" spans="1:21" customFormat="1">
      <c r="A85" s="201" t="s">
        <v>700</v>
      </c>
      <c r="B85" s="6">
        <v>4.84</v>
      </c>
      <c r="C85" s="6">
        <v>6.71</v>
      </c>
      <c r="D85" s="6">
        <v>11.55</v>
      </c>
      <c r="E85" s="6">
        <v>4.59</v>
      </c>
      <c r="F85" s="6">
        <v>2</v>
      </c>
      <c r="G85" s="6">
        <v>12.78</v>
      </c>
      <c r="H85" s="6">
        <v>7.11</v>
      </c>
      <c r="I85" s="6">
        <v>4.99</v>
      </c>
      <c r="J85" s="6">
        <v>0.08</v>
      </c>
      <c r="K85" s="6">
        <v>122.6</v>
      </c>
      <c r="L85" s="6">
        <v>13.86</v>
      </c>
      <c r="M85" s="6">
        <v>16.809999999999999</v>
      </c>
      <c r="N85" s="6">
        <v>2.7</v>
      </c>
      <c r="O85" s="6">
        <v>0</v>
      </c>
      <c r="P85" s="6">
        <v>0.25</v>
      </c>
      <c r="Q85" s="6">
        <v>10</v>
      </c>
      <c r="R85" s="6"/>
      <c r="S85" s="6"/>
      <c r="T85" s="156"/>
      <c r="U85" s="6"/>
    </row>
    <row r="86" spans="1:21" customFormat="1">
      <c r="A86" s="201" t="s">
        <v>701</v>
      </c>
      <c r="B86" s="6">
        <v>5.88</v>
      </c>
      <c r="C86" s="6">
        <v>7.34</v>
      </c>
      <c r="D86" s="6">
        <v>13.22</v>
      </c>
      <c r="E86" s="6">
        <v>4.13</v>
      </c>
      <c r="F86" s="6">
        <v>2</v>
      </c>
      <c r="G86" s="6">
        <v>25.4</v>
      </c>
      <c r="H86" s="6">
        <v>8.01</v>
      </c>
      <c r="I86" s="6">
        <v>5.18</v>
      </c>
      <c r="J86" s="6">
        <v>0.16</v>
      </c>
      <c r="K86" s="6">
        <v>19.579999999999998</v>
      </c>
      <c r="L86" s="6">
        <v>10.56</v>
      </c>
      <c r="M86" s="6">
        <v>7.58</v>
      </c>
      <c r="N86" s="6">
        <v>2.6</v>
      </c>
      <c r="O86" s="6">
        <v>0</v>
      </c>
      <c r="P86" s="6">
        <v>0.28000000000000003</v>
      </c>
      <c r="Q86" s="6">
        <v>10</v>
      </c>
      <c r="R86" s="6"/>
      <c r="S86" s="6"/>
      <c r="T86" s="156"/>
      <c r="U86" s="6"/>
    </row>
    <row r="87" spans="1:21" customFormat="1">
      <c r="A87" s="201" t="s">
        <v>702</v>
      </c>
      <c r="B87" s="6">
        <v>5.88</v>
      </c>
      <c r="C87" s="6">
        <v>6.94</v>
      </c>
      <c r="D87" s="6">
        <v>12.82</v>
      </c>
      <c r="E87" s="6">
        <v>3.93</v>
      </c>
      <c r="F87" s="6">
        <v>2</v>
      </c>
      <c r="G87" s="6">
        <v>34.619999999999997</v>
      </c>
      <c r="H87" s="6">
        <v>8.5299999999999994</v>
      </c>
      <c r="I87" s="6">
        <v>5.5</v>
      </c>
      <c r="J87" s="6">
        <v>0.15</v>
      </c>
      <c r="K87" s="6">
        <v>172.09</v>
      </c>
      <c r="L87" s="6">
        <v>16.89</v>
      </c>
      <c r="M87" s="6">
        <v>24.53</v>
      </c>
      <c r="N87" s="6">
        <v>2.5</v>
      </c>
      <c r="O87" s="6">
        <v>0</v>
      </c>
      <c r="P87" s="6">
        <v>0.27</v>
      </c>
      <c r="Q87" s="6">
        <v>9.8699999999999992</v>
      </c>
      <c r="R87" s="6"/>
      <c r="S87" s="6"/>
      <c r="T87" s="156"/>
      <c r="U87" s="6"/>
    </row>
    <row r="88" spans="1:21" customFormat="1">
      <c r="A88" s="201" t="s">
        <v>703</v>
      </c>
      <c r="B88" s="6">
        <v>6.05</v>
      </c>
      <c r="C88" s="6">
        <v>6.76</v>
      </c>
      <c r="D88" s="6">
        <v>12.81</v>
      </c>
      <c r="E88" s="6">
        <v>4.2</v>
      </c>
      <c r="F88" s="6">
        <v>2</v>
      </c>
      <c r="G88" s="6">
        <v>34.619999999999997</v>
      </c>
      <c r="H88" s="6">
        <v>8.5299999999999994</v>
      </c>
      <c r="I88" s="6">
        <v>5.81</v>
      </c>
      <c r="J88" s="6">
        <v>0.17</v>
      </c>
      <c r="K88" s="6">
        <v>165.57</v>
      </c>
      <c r="L88" s="6">
        <v>15.74</v>
      </c>
      <c r="M88" s="6">
        <v>21.65</v>
      </c>
      <c r="N88" s="6">
        <v>2.4</v>
      </c>
      <c r="O88" s="6">
        <v>0</v>
      </c>
      <c r="P88" s="6">
        <v>0.28000000000000003</v>
      </c>
      <c r="Q88" s="6">
        <v>9.89</v>
      </c>
      <c r="R88" s="6"/>
      <c r="S88" s="6"/>
      <c r="T88" s="156"/>
      <c r="U88" s="6"/>
    </row>
    <row r="89" spans="1:21" customFormat="1">
      <c r="A89" s="201" t="s">
        <v>704</v>
      </c>
      <c r="B89" s="6">
        <v>6.15</v>
      </c>
      <c r="C89" s="6">
        <v>6.77</v>
      </c>
      <c r="D89" s="6">
        <v>12.92</v>
      </c>
      <c r="E89" s="6">
        <v>4.0199999999999996</v>
      </c>
      <c r="F89" s="6">
        <v>2</v>
      </c>
      <c r="G89" s="6">
        <v>34.619999999999997</v>
      </c>
      <c r="H89" s="6">
        <v>8.5299999999999994</v>
      </c>
      <c r="I89" s="6">
        <v>5.59</v>
      </c>
      <c r="J89" s="6">
        <v>0.12</v>
      </c>
      <c r="K89" s="6">
        <v>173.33</v>
      </c>
      <c r="L89" s="6">
        <v>17.62</v>
      </c>
      <c r="M89" s="6">
        <v>26.32</v>
      </c>
      <c r="N89" s="6">
        <v>2.1</v>
      </c>
      <c r="O89" s="6">
        <v>0</v>
      </c>
      <c r="P89" s="6">
        <v>0.28000000000000003</v>
      </c>
      <c r="Q89" s="6">
        <v>10</v>
      </c>
      <c r="R89" s="6"/>
      <c r="S89" s="6"/>
      <c r="T89" s="156"/>
      <c r="U89" s="6"/>
    </row>
    <row r="90" spans="1:21" customFormat="1">
      <c r="A90" s="201" t="s">
        <v>705</v>
      </c>
      <c r="B90" s="6">
        <v>6.29</v>
      </c>
      <c r="C90" s="6">
        <v>6.77</v>
      </c>
      <c r="D90" s="6">
        <v>13.07</v>
      </c>
      <c r="E90" s="6">
        <v>4.1399999999999997</v>
      </c>
      <c r="F90" s="6">
        <v>2</v>
      </c>
      <c r="G90" s="6">
        <v>36.43</v>
      </c>
      <c r="H90" s="6">
        <v>9.25</v>
      </c>
      <c r="I90" s="6">
        <v>5.92</v>
      </c>
      <c r="J90" s="6">
        <v>0.11</v>
      </c>
      <c r="K90" s="6">
        <v>182.68</v>
      </c>
      <c r="L90" s="6">
        <v>17.82</v>
      </c>
      <c r="M90" s="6">
        <v>26.8</v>
      </c>
      <c r="N90" s="6">
        <v>2.4</v>
      </c>
      <c r="O90" s="6">
        <v>0</v>
      </c>
      <c r="P90" s="6">
        <v>0.3</v>
      </c>
      <c r="Q90" s="6">
        <v>10</v>
      </c>
      <c r="R90" s="6"/>
      <c r="S90" s="6"/>
      <c r="T90" s="156"/>
      <c r="U90" s="6"/>
    </row>
    <row r="91" spans="1:21" customFormat="1">
      <c r="A91" s="201" t="s">
        <v>706</v>
      </c>
      <c r="B91" s="6">
        <v>6.54</v>
      </c>
      <c r="C91" s="6">
        <v>6.72</v>
      </c>
      <c r="D91" s="6">
        <v>13.25</v>
      </c>
      <c r="E91" s="6">
        <v>4.09</v>
      </c>
      <c r="F91" s="6">
        <v>2</v>
      </c>
      <c r="G91" s="6">
        <v>37.81</v>
      </c>
      <c r="H91" s="6">
        <v>9.4700000000000006</v>
      </c>
      <c r="I91" s="6">
        <v>6.2</v>
      </c>
      <c r="J91" s="6">
        <v>0.09</v>
      </c>
      <c r="K91" s="6">
        <v>279.14999999999998</v>
      </c>
      <c r="L91" s="6">
        <v>19.739999999999998</v>
      </c>
      <c r="M91" s="6">
        <v>31.51</v>
      </c>
      <c r="N91" s="6">
        <v>2.5</v>
      </c>
      <c r="O91" s="6">
        <v>0</v>
      </c>
      <c r="P91" s="6">
        <v>0.32</v>
      </c>
      <c r="Q91" s="6">
        <v>10</v>
      </c>
      <c r="R91" s="6"/>
      <c r="S91" s="6"/>
      <c r="T91" s="156"/>
      <c r="U91" s="6"/>
    </row>
    <row r="92" spans="1:21" customFormat="1">
      <c r="A92" s="201" t="s">
        <v>707</v>
      </c>
      <c r="B92" s="6">
        <v>6.93</v>
      </c>
      <c r="C92" s="6">
        <v>6.84</v>
      </c>
      <c r="D92" s="6">
        <v>13.77</v>
      </c>
      <c r="E92" s="6">
        <v>4.13</v>
      </c>
      <c r="F92" s="6">
        <v>2</v>
      </c>
      <c r="G92" s="6">
        <v>37.81</v>
      </c>
      <c r="H92" s="6">
        <v>9.4700000000000006</v>
      </c>
      <c r="I92" s="6">
        <v>6.19</v>
      </c>
      <c r="J92" s="6">
        <v>0.31</v>
      </c>
      <c r="K92" s="6">
        <v>279.08999999999997</v>
      </c>
      <c r="L92" s="6">
        <v>22.26</v>
      </c>
      <c r="M92" s="6">
        <v>37.75</v>
      </c>
      <c r="N92" s="6">
        <v>3.6</v>
      </c>
      <c r="O92" s="6">
        <v>0</v>
      </c>
      <c r="P92" s="6">
        <v>0.32</v>
      </c>
      <c r="Q92" s="6">
        <v>10</v>
      </c>
      <c r="R92" s="6"/>
      <c r="S92" s="6"/>
      <c r="T92" s="156"/>
      <c r="U92" s="6"/>
    </row>
    <row r="93" spans="1:21" customFormat="1">
      <c r="A93" s="201" t="s">
        <v>708</v>
      </c>
      <c r="B93" s="6">
        <v>7.01</v>
      </c>
      <c r="C93" s="6">
        <v>6.75</v>
      </c>
      <c r="D93" s="6">
        <v>13.75</v>
      </c>
      <c r="E93" s="6">
        <v>4.45</v>
      </c>
      <c r="F93" s="6">
        <v>2</v>
      </c>
      <c r="G93" s="6">
        <v>37.81</v>
      </c>
      <c r="H93" s="6">
        <v>9.4700000000000006</v>
      </c>
      <c r="I93" s="6">
        <v>6.48</v>
      </c>
      <c r="J93" s="6">
        <v>0.11</v>
      </c>
      <c r="K93" s="6">
        <v>211.69</v>
      </c>
      <c r="L93" s="6">
        <v>19.23</v>
      </c>
      <c r="M93" s="6">
        <v>30.28</v>
      </c>
      <c r="N93" s="6">
        <v>3.3</v>
      </c>
      <c r="O93" s="6">
        <v>0</v>
      </c>
      <c r="P93" s="6">
        <v>0.31</v>
      </c>
      <c r="Q93" s="6">
        <v>10</v>
      </c>
      <c r="R93" s="6"/>
      <c r="S93" s="6"/>
      <c r="T93" s="156"/>
      <c r="U93" s="6"/>
    </row>
    <row r="94" spans="1:21" customFormat="1">
      <c r="A94" s="201" t="s">
        <v>709</v>
      </c>
      <c r="B94" s="6">
        <v>7.08</v>
      </c>
      <c r="C94" s="6">
        <v>6.85</v>
      </c>
      <c r="D94" s="6">
        <v>13.93</v>
      </c>
      <c r="E94" s="6">
        <v>4.58</v>
      </c>
      <c r="F94" s="6">
        <v>2</v>
      </c>
      <c r="G94" s="6">
        <v>36.96</v>
      </c>
      <c r="H94" s="6">
        <v>7.31</v>
      </c>
      <c r="I94" s="6">
        <v>6.72</v>
      </c>
      <c r="J94" s="6">
        <v>0.13</v>
      </c>
      <c r="K94" s="6">
        <v>197.44</v>
      </c>
      <c r="L94" s="6">
        <v>18.82</v>
      </c>
      <c r="M94" s="6">
        <v>29.35</v>
      </c>
      <c r="N94" s="6">
        <v>2.8</v>
      </c>
      <c r="O94" s="6">
        <v>0</v>
      </c>
      <c r="P94" s="6">
        <v>0.34</v>
      </c>
      <c r="Q94" s="6">
        <v>10</v>
      </c>
      <c r="R94" s="6"/>
      <c r="S94" s="6"/>
      <c r="T94" s="156"/>
      <c r="U94" s="6"/>
    </row>
    <row r="95" spans="1:21" customFormat="1">
      <c r="A95" s="201" t="s">
        <v>710</v>
      </c>
      <c r="B95" s="6">
        <v>7.27</v>
      </c>
      <c r="C95" s="6">
        <v>6.74</v>
      </c>
      <c r="D95" s="6">
        <v>14.01</v>
      </c>
      <c r="E95" s="6">
        <v>4.4800000000000004</v>
      </c>
      <c r="F95" s="6">
        <v>2</v>
      </c>
      <c r="G95" s="6">
        <v>36.33</v>
      </c>
      <c r="H95" s="6">
        <v>6.63</v>
      </c>
      <c r="I95" s="6">
        <v>6.62</v>
      </c>
      <c r="J95" s="6">
        <v>0.04</v>
      </c>
      <c r="K95" s="6">
        <v>106.81</v>
      </c>
      <c r="L95" s="6">
        <v>15.38</v>
      </c>
      <c r="M95" s="6">
        <v>20.59</v>
      </c>
      <c r="N95" s="6">
        <v>2.7</v>
      </c>
      <c r="O95" s="6">
        <v>0</v>
      </c>
      <c r="P95" s="6">
        <v>0.33</v>
      </c>
      <c r="Q95" s="6">
        <v>10</v>
      </c>
      <c r="R95" s="6"/>
      <c r="S95" s="6"/>
      <c r="T95" s="156"/>
      <c r="U95" s="6"/>
    </row>
    <row r="96" spans="1:21" customFormat="1">
      <c r="A96" s="201" t="s">
        <v>711</v>
      </c>
      <c r="B96" s="6">
        <v>7.63</v>
      </c>
      <c r="C96" s="6">
        <v>6.93</v>
      </c>
      <c r="D96" s="6">
        <v>14.56</v>
      </c>
      <c r="E96" s="6">
        <v>4.26</v>
      </c>
      <c r="F96" s="6">
        <v>2</v>
      </c>
      <c r="G96" s="6">
        <v>36.33</v>
      </c>
      <c r="H96" s="6">
        <v>6.63</v>
      </c>
      <c r="I96" s="6">
        <v>6.74</v>
      </c>
      <c r="J96" s="6">
        <v>0.18</v>
      </c>
      <c r="K96" s="6">
        <v>173.19</v>
      </c>
      <c r="L96" s="6">
        <v>17.239999999999998</v>
      </c>
      <c r="M96" s="6">
        <v>25.39</v>
      </c>
      <c r="N96" s="6">
        <v>2.6</v>
      </c>
      <c r="O96" s="6">
        <v>0</v>
      </c>
      <c r="P96" s="6">
        <v>0.32</v>
      </c>
      <c r="Q96" s="6">
        <v>10</v>
      </c>
      <c r="R96" s="6"/>
      <c r="S96" s="6"/>
      <c r="T96" s="156"/>
      <c r="U96" s="6"/>
    </row>
    <row r="97" spans="1:28" customFormat="1">
      <c r="A97" s="201" t="s">
        <v>712</v>
      </c>
      <c r="B97" s="6">
        <v>7.78</v>
      </c>
      <c r="C97" s="6">
        <v>6.89</v>
      </c>
      <c r="D97" s="6">
        <v>14.67</v>
      </c>
      <c r="E97" s="6">
        <v>4.32</v>
      </c>
      <c r="F97" s="6">
        <v>2</v>
      </c>
      <c r="G97" s="6">
        <v>36.33</v>
      </c>
      <c r="H97" s="6">
        <v>6.63</v>
      </c>
      <c r="I97" s="6">
        <v>6.77</v>
      </c>
      <c r="J97" s="6">
        <v>0.11</v>
      </c>
      <c r="K97" s="6">
        <v>266.41000000000003</v>
      </c>
      <c r="L97" s="6">
        <v>20.73</v>
      </c>
      <c r="M97" s="6">
        <v>34.07</v>
      </c>
      <c r="N97" s="6">
        <v>2.6</v>
      </c>
      <c r="O97" s="6">
        <v>0</v>
      </c>
      <c r="P97" s="6">
        <v>0.34</v>
      </c>
      <c r="Q97" s="6">
        <v>10</v>
      </c>
      <c r="R97" s="6"/>
      <c r="S97" s="6"/>
      <c r="T97" s="156"/>
      <c r="U97" s="6"/>
    </row>
    <row r="98" spans="1:28" customFormat="1">
      <c r="A98" s="201" t="s">
        <v>713</v>
      </c>
      <c r="B98" s="6">
        <v>7.75</v>
      </c>
      <c r="C98" s="6">
        <v>6.74</v>
      </c>
      <c r="D98" s="6">
        <v>14.5</v>
      </c>
      <c r="E98" s="6">
        <v>4.38</v>
      </c>
      <c r="F98" s="6">
        <v>2</v>
      </c>
      <c r="G98" s="6">
        <v>37.97</v>
      </c>
      <c r="H98" s="6">
        <v>8.42</v>
      </c>
      <c r="I98" s="6">
        <v>6.79</v>
      </c>
      <c r="J98" s="6">
        <v>0.25</v>
      </c>
      <c r="K98" s="6">
        <v>276.20999999999998</v>
      </c>
      <c r="L98" s="6">
        <v>23.38</v>
      </c>
      <c r="M98" s="6">
        <v>40.75</v>
      </c>
      <c r="N98" s="6">
        <v>2.9</v>
      </c>
      <c r="O98" s="6">
        <v>0</v>
      </c>
      <c r="P98" s="6">
        <v>0.33</v>
      </c>
      <c r="Q98" s="6">
        <v>10</v>
      </c>
      <c r="R98" s="6"/>
      <c r="S98" s="6"/>
      <c r="T98" s="156"/>
      <c r="U98" s="6"/>
    </row>
    <row r="99" spans="1:28" customFormat="1">
      <c r="A99" s="201" t="s">
        <v>714</v>
      </c>
      <c r="B99" s="6">
        <v>7.76</v>
      </c>
      <c r="C99" s="6">
        <v>6.49</v>
      </c>
      <c r="D99" s="6">
        <v>14.25</v>
      </c>
      <c r="E99" s="6">
        <v>4.1500000000000004</v>
      </c>
      <c r="F99" s="6">
        <v>2</v>
      </c>
      <c r="G99" s="6">
        <v>39.17</v>
      </c>
      <c r="H99" s="6">
        <v>8.98</v>
      </c>
      <c r="I99" s="6">
        <v>6.95</v>
      </c>
      <c r="J99" s="6">
        <v>0.23</v>
      </c>
      <c r="K99" s="6">
        <v>269.73</v>
      </c>
      <c r="L99" s="6">
        <v>23.85</v>
      </c>
      <c r="M99" s="6">
        <v>41.76</v>
      </c>
      <c r="N99" s="6">
        <v>3</v>
      </c>
      <c r="O99" s="6">
        <v>0</v>
      </c>
      <c r="P99" s="6">
        <v>0.31</v>
      </c>
      <c r="Q99" s="6">
        <v>10</v>
      </c>
      <c r="R99" s="6"/>
      <c r="S99" s="6"/>
      <c r="T99" s="156"/>
      <c r="U99" s="6"/>
    </row>
    <row r="100" spans="1:28" customFormat="1">
      <c r="A100" s="201" t="s">
        <v>715</v>
      </c>
      <c r="B100" s="6">
        <v>7.7</v>
      </c>
      <c r="C100" s="6">
        <v>6.61</v>
      </c>
      <c r="D100" s="6">
        <v>14.31</v>
      </c>
      <c r="E100" s="6">
        <v>4.08</v>
      </c>
      <c r="F100" s="6">
        <v>2</v>
      </c>
      <c r="G100" s="6">
        <v>39.17</v>
      </c>
      <c r="H100" s="6">
        <v>8.98</v>
      </c>
      <c r="I100" s="6">
        <v>6.81</v>
      </c>
      <c r="J100" s="6">
        <v>0.24</v>
      </c>
      <c r="K100" s="6">
        <v>268.95999999999998</v>
      </c>
      <c r="L100" s="6">
        <v>23.37</v>
      </c>
      <c r="M100" s="6">
        <v>40.6</v>
      </c>
      <c r="N100" s="6">
        <v>3</v>
      </c>
      <c r="O100" s="6">
        <v>0</v>
      </c>
      <c r="P100" s="6">
        <v>0.33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716</v>
      </c>
      <c r="B101" s="6">
        <v>7.65</v>
      </c>
      <c r="C101" s="6">
        <v>6.51</v>
      </c>
      <c r="D101" s="6">
        <v>14.16</v>
      </c>
      <c r="E101" s="6">
        <v>4.54</v>
      </c>
      <c r="F101" s="6">
        <v>2</v>
      </c>
      <c r="G101" s="6">
        <v>39.17</v>
      </c>
      <c r="H101" s="6">
        <v>8.98</v>
      </c>
      <c r="I101" s="6">
        <v>6.71</v>
      </c>
      <c r="J101" s="6">
        <v>0.08</v>
      </c>
      <c r="K101" s="6">
        <v>251.47</v>
      </c>
      <c r="L101" s="6">
        <v>21.72</v>
      </c>
      <c r="M101" s="6">
        <v>36.6</v>
      </c>
      <c r="N101" s="6">
        <v>2.7</v>
      </c>
      <c r="O101" s="6">
        <v>0</v>
      </c>
      <c r="P101" s="6">
        <v>0.31</v>
      </c>
      <c r="Q101" s="6">
        <v>10</v>
      </c>
      <c r="R101" s="6"/>
      <c r="S101" s="6"/>
      <c r="T101" s="156"/>
      <c r="U101" s="6"/>
    </row>
    <row r="102" spans="1:28" customFormat="1">
      <c r="A102" s="201" t="s">
        <v>717</v>
      </c>
      <c r="B102" s="6">
        <v>7.54</v>
      </c>
      <c r="C102" s="6">
        <v>6.31</v>
      </c>
      <c r="D102" s="6">
        <v>13.86</v>
      </c>
      <c r="E102" s="6">
        <v>4.6399999999999997</v>
      </c>
      <c r="F102" s="6">
        <v>2</v>
      </c>
      <c r="G102" s="6">
        <v>34.049999999999997</v>
      </c>
      <c r="H102" s="6">
        <v>10.88</v>
      </c>
      <c r="I102" s="6">
        <v>6.74</v>
      </c>
      <c r="J102" s="6">
        <v>0.06</v>
      </c>
      <c r="K102" s="6">
        <v>196.09</v>
      </c>
      <c r="L102" s="6">
        <v>16.760000000000002</v>
      </c>
      <c r="M102" s="6">
        <v>24.12</v>
      </c>
      <c r="N102" s="6">
        <v>2.4</v>
      </c>
      <c r="O102" s="6">
        <v>0.2</v>
      </c>
      <c r="P102" s="6">
        <v>0.28999999999999998</v>
      </c>
      <c r="Q102" s="6">
        <v>10</v>
      </c>
      <c r="R102" s="6"/>
      <c r="S102" s="6"/>
      <c r="T102" s="156"/>
      <c r="U102" s="6"/>
    </row>
    <row r="103" spans="1:28" customFormat="1">
      <c r="A103" s="201" t="s">
        <v>718</v>
      </c>
      <c r="B103" s="6">
        <v>7.5</v>
      </c>
      <c r="C103" s="6">
        <v>6.38</v>
      </c>
      <c r="D103" s="6">
        <v>13.88</v>
      </c>
      <c r="E103" s="6">
        <v>4.7300000000000004</v>
      </c>
      <c r="F103" s="6">
        <v>2</v>
      </c>
      <c r="G103" s="6">
        <v>30.31</v>
      </c>
      <c r="H103" s="6">
        <v>12</v>
      </c>
      <c r="I103" s="6">
        <v>6.6</v>
      </c>
      <c r="J103" s="6">
        <v>0.09</v>
      </c>
      <c r="K103" s="6">
        <v>189.28</v>
      </c>
      <c r="L103" s="6">
        <v>17.34</v>
      </c>
      <c r="M103" s="6">
        <v>25.52</v>
      </c>
      <c r="N103" s="6">
        <v>2.4</v>
      </c>
      <c r="O103" s="6">
        <v>0</v>
      </c>
      <c r="P103" s="6">
        <v>0.31</v>
      </c>
      <c r="Q103" s="6">
        <v>10.050000000000001</v>
      </c>
      <c r="R103" s="6"/>
      <c r="S103" s="6"/>
      <c r="T103" s="156"/>
      <c r="U103" s="6"/>
    </row>
    <row r="104" spans="1:28" customFormat="1">
      <c r="A104" s="201" t="s">
        <v>719</v>
      </c>
      <c r="B104" s="6">
        <v>7.2</v>
      </c>
      <c r="C104" s="6">
        <v>6.5</v>
      </c>
      <c r="D104" s="6">
        <v>13.7</v>
      </c>
      <c r="E104" s="6">
        <v>4.37</v>
      </c>
      <c r="F104" s="6">
        <v>2</v>
      </c>
      <c r="G104" s="6">
        <v>30.31</v>
      </c>
      <c r="H104" s="6">
        <v>12</v>
      </c>
      <c r="I104" s="6">
        <v>6.36</v>
      </c>
      <c r="J104" s="6">
        <v>0.08</v>
      </c>
      <c r="K104" s="6">
        <v>219.19</v>
      </c>
      <c r="L104" s="6">
        <v>18.03</v>
      </c>
      <c r="M104" s="6">
        <v>27.35</v>
      </c>
      <c r="N104" s="6">
        <v>2.4</v>
      </c>
      <c r="O104" s="6">
        <v>0.2</v>
      </c>
      <c r="P104" s="6">
        <v>0.33</v>
      </c>
      <c r="Q104" s="6">
        <v>10.48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2.84</v>
      </c>
      <c r="C106" s="158">
        <f>MIN(C9:C104)</f>
        <v>5.4</v>
      </c>
      <c r="D106" s="158">
        <f t="shared" ref="D106:Q106" si="0">MIN(D9:D104)</f>
        <v>9.42</v>
      </c>
      <c r="E106" s="158">
        <f t="shared" si="0"/>
        <v>3.93</v>
      </c>
      <c r="F106" s="158">
        <f t="shared" si="0"/>
        <v>2</v>
      </c>
      <c r="G106" s="158">
        <f t="shared" si="0"/>
        <v>11.42</v>
      </c>
      <c r="H106" s="158">
        <f t="shared" si="0"/>
        <v>4.46</v>
      </c>
      <c r="I106" s="158">
        <f t="shared" si="0"/>
        <v>3.92</v>
      </c>
      <c r="J106" s="158">
        <f t="shared" si="0"/>
        <v>0.03</v>
      </c>
      <c r="K106" s="158">
        <f t="shared" si="0"/>
        <v>19.579999999999998</v>
      </c>
      <c r="L106" s="158">
        <f t="shared" si="0"/>
        <v>8.69</v>
      </c>
      <c r="M106" s="158">
        <f t="shared" si="0"/>
        <v>2.73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9.59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7.78</v>
      </c>
      <c r="C107" s="157">
        <f t="shared" ref="C107:Q107" si="1">MAX(C9:C104)</f>
        <v>7.34</v>
      </c>
      <c r="D107" s="157">
        <f t="shared" si="1"/>
        <v>14.67</v>
      </c>
      <c r="E107" s="157">
        <f t="shared" si="1"/>
        <v>7.42</v>
      </c>
      <c r="F107" s="157">
        <f t="shared" si="1"/>
        <v>8.86</v>
      </c>
      <c r="G107" s="157">
        <f t="shared" si="1"/>
        <v>39.17</v>
      </c>
      <c r="H107" s="157">
        <f t="shared" si="1"/>
        <v>16.48</v>
      </c>
      <c r="I107" s="157">
        <f t="shared" si="1"/>
        <v>7.56</v>
      </c>
      <c r="J107" s="157">
        <f t="shared" si="1"/>
        <v>0.88</v>
      </c>
      <c r="K107" s="157">
        <f t="shared" si="1"/>
        <v>319.64999999999998</v>
      </c>
      <c r="L107" s="157">
        <f t="shared" si="1"/>
        <v>25.81</v>
      </c>
      <c r="M107" s="157">
        <f t="shared" si="1"/>
        <v>42.78</v>
      </c>
      <c r="N107" s="157">
        <f t="shared" si="1"/>
        <v>453.1</v>
      </c>
      <c r="O107" s="157">
        <f t="shared" si="1"/>
        <v>13.4</v>
      </c>
      <c r="P107" s="157">
        <f t="shared" si="1"/>
        <v>0.34</v>
      </c>
      <c r="Q107" s="157">
        <f t="shared" si="1"/>
        <v>11.12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4.8001041666666646</v>
      </c>
      <c r="C108" s="158">
        <f t="shared" ref="C108:Q108" si="2">AVERAGE(C9:C104)</f>
        <v>6.2480208333333316</v>
      </c>
      <c r="D108" s="158">
        <f t="shared" si="2"/>
        <v>11.048854166666665</v>
      </c>
      <c r="E108" s="158">
        <f t="shared" si="2"/>
        <v>5.5078125</v>
      </c>
      <c r="F108" s="158">
        <f t="shared" si="2"/>
        <v>2.3209374999999999</v>
      </c>
      <c r="G108" s="158">
        <f t="shared" si="2"/>
        <v>23.166041666666658</v>
      </c>
      <c r="H108" s="158">
        <f t="shared" si="2"/>
        <v>8.8055208333333326</v>
      </c>
      <c r="I108" s="158">
        <f t="shared" si="2"/>
        <v>5.5798958333333362</v>
      </c>
      <c r="J108" s="158">
        <f t="shared" si="2"/>
        <v>0.26718749999999986</v>
      </c>
      <c r="K108" s="158">
        <f t="shared" si="2"/>
        <v>217.1926041666666</v>
      </c>
      <c r="L108" s="158">
        <f t="shared" si="2"/>
        <v>19.988854166666659</v>
      </c>
      <c r="M108" s="158">
        <f t="shared" si="2"/>
        <v>31.111354166666683</v>
      </c>
      <c r="N108" s="158">
        <f t="shared" si="2"/>
        <v>47.056249999999984</v>
      </c>
      <c r="O108" s="158">
        <f t="shared" si="2"/>
        <v>0.35000000000000009</v>
      </c>
      <c r="P108" s="158">
        <f t="shared" si="2"/>
        <v>0.24489583333333317</v>
      </c>
      <c r="Q108" s="158">
        <f t="shared" si="2"/>
        <v>10.0175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1.3375141866766946</v>
      </c>
      <c r="C109" s="158">
        <f t="shared" ref="C109:Q109" si="3">STDEV(C9:C104)</f>
        <v>0.49157666809363004</v>
      </c>
      <c r="D109" s="158">
        <f t="shared" si="3"/>
        <v>1.4504894780305053</v>
      </c>
      <c r="E109" s="158">
        <f t="shared" si="3"/>
        <v>0.89103984567411154</v>
      </c>
      <c r="F109" s="158">
        <f t="shared" si="3"/>
        <v>0.97127596829065443</v>
      </c>
      <c r="G109" s="158">
        <f t="shared" si="3"/>
        <v>9.4906109258368918</v>
      </c>
      <c r="H109" s="158">
        <f t="shared" si="3"/>
        <v>3.1103720778580954</v>
      </c>
      <c r="I109" s="158">
        <f t="shared" si="3"/>
        <v>1.1152611162665447</v>
      </c>
      <c r="J109" s="158">
        <f t="shared" si="3"/>
        <v>0.18192365735457083</v>
      </c>
      <c r="K109" s="158">
        <f t="shared" si="3"/>
        <v>64.009223780142975</v>
      </c>
      <c r="L109" s="158">
        <f t="shared" si="3"/>
        <v>3.8547921972231012</v>
      </c>
      <c r="M109" s="158">
        <f t="shared" si="3"/>
        <v>9.3301089991705073</v>
      </c>
      <c r="N109" s="158">
        <f t="shared" si="3"/>
        <v>88.258718743309046</v>
      </c>
      <c r="O109" s="158">
        <f t="shared" si="3"/>
        <v>1.5836001621887423</v>
      </c>
      <c r="P109" s="158">
        <f t="shared" si="3"/>
        <v>4.958766382386727E-2</v>
      </c>
      <c r="Q109" s="158">
        <f t="shared" si="3"/>
        <v>0.15134484846830668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3" sqref="I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720</v>
      </c>
      <c r="B9" s="6">
        <v>6.81</v>
      </c>
      <c r="C9" s="6">
        <v>6.4</v>
      </c>
      <c r="D9" s="6">
        <v>13.21</v>
      </c>
      <c r="E9" s="6">
        <v>4.57</v>
      </c>
      <c r="F9" s="6">
        <v>2</v>
      </c>
      <c r="G9" s="6">
        <v>30.31</v>
      </c>
      <c r="H9" s="6">
        <v>12</v>
      </c>
      <c r="I9" s="6">
        <v>6.45</v>
      </c>
      <c r="J9" s="6">
        <v>0.14000000000000001</v>
      </c>
      <c r="K9" s="6">
        <v>255.96</v>
      </c>
      <c r="L9" s="6">
        <v>23.11</v>
      </c>
      <c r="M9" s="6">
        <v>40</v>
      </c>
      <c r="N9" s="6">
        <v>2.4</v>
      </c>
      <c r="O9" s="6">
        <v>0.2</v>
      </c>
      <c r="P9" s="6">
        <v>0.32</v>
      </c>
      <c r="Q9" s="6">
        <v>10.16</v>
      </c>
      <c r="R9" s="6"/>
      <c r="S9" s="6"/>
      <c r="T9" s="156"/>
      <c r="U9" s="6"/>
    </row>
    <row r="10" spans="1:21" customFormat="1">
      <c r="A10" s="201" t="s">
        <v>721</v>
      </c>
      <c r="B10" s="6">
        <v>6.71</v>
      </c>
      <c r="C10" s="6">
        <v>6.57</v>
      </c>
      <c r="D10" s="6">
        <v>13.28</v>
      </c>
      <c r="E10" s="6">
        <v>4.53</v>
      </c>
      <c r="F10" s="6">
        <v>2</v>
      </c>
      <c r="G10" s="6">
        <v>25.45</v>
      </c>
      <c r="H10" s="6">
        <v>9.3699999999999992</v>
      </c>
      <c r="I10" s="6">
        <v>6.24</v>
      </c>
      <c r="J10" s="6">
        <v>0.14000000000000001</v>
      </c>
      <c r="K10" s="6">
        <v>259.45</v>
      </c>
      <c r="L10" s="6">
        <v>23.18</v>
      </c>
      <c r="M10" s="6">
        <v>40.25</v>
      </c>
      <c r="N10" s="6">
        <v>2.4</v>
      </c>
      <c r="O10" s="6">
        <v>0</v>
      </c>
      <c r="P10" s="6">
        <v>0.32</v>
      </c>
      <c r="Q10" s="6">
        <v>12.66</v>
      </c>
      <c r="R10" s="6"/>
      <c r="S10" s="6"/>
      <c r="T10" s="156"/>
      <c r="U10" s="6"/>
    </row>
    <row r="11" spans="1:21" customFormat="1">
      <c r="A11" s="201" t="s">
        <v>722</v>
      </c>
      <c r="B11" s="6">
        <v>6.69</v>
      </c>
      <c r="C11" s="6">
        <v>6.86</v>
      </c>
      <c r="D11" s="6">
        <v>13.56</v>
      </c>
      <c r="E11" s="6">
        <v>4.5</v>
      </c>
      <c r="F11" s="6">
        <v>2</v>
      </c>
      <c r="G11" s="6">
        <v>21.89</v>
      </c>
      <c r="H11" s="6">
        <v>8.5399999999999991</v>
      </c>
      <c r="I11" s="6">
        <v>5.98</v>
      </c>
      <c r="J11" s="6">
        <v>0.06</v>
      </c>
      <c r="K11" s="6">
        <v>317.43</v>
      </c>
      <c r="L11" s="6">
        <v>20.05</v>
      </c>
      <c r="M11" s="6">
        <v>32.22</v>
      </c>
      <c r="N11" s="6">
        <v>2.5</v>
      </c>
      <c r="O11" s="6">
        <v>0</v>
      </c>
      <c r="P11" s="6">
        <v>0.32</v>
      </c>
      <c r="Q11" s="6">
        <v>12.24</v>
      </c>
      <c r="R11" s="6"/>
      <c r="S11" s="6"/>
      <c r="T11" s="156"/>
      <c r="U11" s="6"/>
    </row>
    <row r="12" spans="1:21" customFormat="1">
      <c r="A12" s="201" t="s">
        <v>723</v>
      </c>
      <c r="B12" s="6">
        <v>6.72</v>
      </c>
      <c r="C12" s="6">
        <v>6.94</v>
      </c>
      <c r="D12" s="6">
        <v>13.66</v>
      </c>
      <c r="E12" s="6">
        <v>4.67</v>
      </c>
      <c r="F12" s="6">
        <v>2</v>
      </c>
      <c r="G12" s="6">
        <v>21.89</v>
      </c>
      <c r="H12" s="6">
        <v>8.5399999999999991</v>
      </c>
      <c r="I12" s="6">
        <v>5.91</v>
      </c>
      <c r="J12" s="6">
        <v>0.09</v>
      </c>
      <c r="K12" s="6">
        <v>181.89</v>
      </c>
      <c r="L12" s="6">
        <v>15.52</v>
      </c>
      <c r="M12" s="6">
        <v>20.98</v>
      </c>
      <c r="N12" s="6">
        <v>2.4</v>
      </c>
      <c r="O12" s="6">
        <v>0</v>
      </c>
      <c r="P12" s="6">
        <v>0.32</v>
      </c>
      <c r="Q12" s="6">
        <v>10.3</v>
      </c>
      <c r="R12" s="6"/>
      <c r="S12" s="6"/>
      <c r="T12" s="156"/>
      <c r="U12" s="6"/>
    </row>
    <row r="13" spans="1:21" customFormat="1">
      <c r="A13" s="201" t="s">
        <v>724</v>
      </c>
      <c r="B13" s="6">
        <v>6.75</v>
      </c>
      <c r="C13" s="6">
        <v>7.06</v>
      </c>
      <c r="D13" s="6">
        <v>13.81</v>
      </c>
      <c r="E13" s="6">
        <v>4.59</v>
      </c>
      <c r="F13" s="6">
        <v>2</v>
      </c>
      <c r="G13" s="6">
        <v>21.89</v>
      </c>
      <c r="H13" s="6">
        <v>8.5399999999999991</v>
      </c>
      <c r="I13" s="6">
        <v>5.84</v>
      </c>
      <c r="J13" s="6">
        <v>0.17</v>
      </c>
      <c r="K13" s="6">
        <v>227.2</v>
      </c>
      <c r="L13" s="6">
        <v>20.48</v>
      </c>
      <c r="M13" s="6">
        <v>33.5</v>
      </c>
      <c r="N13" s="6">
        <v>2.4</v>
      </c>
      <c r="O13" s="6">
        <v>0</v>
      </c>
      <c r="P13" s="6">
        <v>0.31</v>
      </c>
      <c r="Q13" s="6">
        <v>10</v>
      </c>
      <c r="R13" s="6"/>
      <c r="S13" s="6"/>
      <c r="T13" s="156"/>
      <c r="U13" s="6"/>
    </row>
    <row r="14" spans="1:21" customFormat="1">
      <c r="A14" s="201" t="s">
        <v>725</v>
      </c>
      <c r="B14" s="6">
        <v>6.66</v>
      </c>
      <c r="C14" s="6">
        <v>7.01</v>
      </c>
      <c r="D14" s="6">
        <v>13.67</v>
      </c>
      <c r="E14" s="6">
        <v>4.72</v>
      </c>
      <c r="F14" s="6">
        <v>2</v>
      </c>
      <c r="G14" s="6">
        <v>18.850000000000001</v>
      </c>
      <c r="H14" s="6">
        <v>8.4499999999999993</v>
      </c>
      <c r="I14" s="6">
        <v>5.75</v>
      </c>
      <c r="J14" s="6">
        <v>0.12</v>
      </c>
      <c r="K14" s="6">
        <v>238.71</v>
      </c>
      <c r="L14" s="6">
        <v>21.51</v>
      </c>
      <c r="M14" s="6">
        <v>36.049999999999997</v>
      </c>
      <c r="N14" s="6">
        <v>2.4</v>
      </c>
      <c r="O14" s="6">
        <v>0</v>
      </c>
      <c r="P14" s="6">
        <v>0.31</v>
      </c>
      <c r="Q14" s="6">
        <v>10</v>
      </c>
      <c r="R14" s="6"/>
      <c r="S14" s="6"/>
      <c r="T14" s="156"/>
      <c r="U14" s="6"/>
    </row>
    <row r="15" spans="1:21" customFormat="1">
      <c r="A15" s="201" t="s">
        <v>726</v>
      </c>
      <c r="B15" s="6">
        <v>6.51</v>
      </c>
      <c r="C15" s="6">
        <v>6.89</v>
      </c>
      <c r="D15" s="6">
        <v>13.41</v>
      </c>
      <c r="E15" s="6">
        <v>4.55</v>
      </c>
      <c r="F15" s="6">
        <v>2</v>
      </c>
      <c r="G15" s="6">
        <v>16.52</v>
      </c>
      <c r="H15" s="6">
        <v>8.43</v>
      </c>
      <c r="I15" s="6">
        <v>5.61</v>
      </c>
      <c r="J15" s="6">
        <v>7.0000000000000007E-2</v>
      </c>
      <c r="K15" s="6">
        <v>225.8</v>
      </c>
      <c r="L15" s="6">
        <v>19.12</v>
      </c>
      <c r="M15" s="6">
        <v>30</v>
      </c>
      <c r="N15" s="6">
        <v>2.4</v>
      </c>
      <c r="O15" s="6">
        <v>0</v>
      </c>
      <c r="P15" s="6">
        <v>0.31</v>
      </c>
      <c r="Q15" s="6">
        <v>10</v>
      </c>
      <c r="R15" s="6"/>
      <c r="S15" s="6"/>
      <c r="T15" s="156"/>
      <c r="U15" s="6"/>
    </row>
    <row r="16" spans="1:21" customFormat="1">
      <c r="A16" s="201" t="s">
        <v>727</v>
      </c>
      <c r="B16" s="6">
        <v>6.33</v>
      </c>
      <c r="C16" s="6">
        <v>6.82</v>
      </c>
      <c r="D16" s="6">
        <v>13.15</v>
      </c>
      <c r="E16" s="6">
        <v>4.62</v>
      </c>
      <c r="F16" s="6">
        <v>2</v>
      </c>
      <c r="G16" s="6">
        <v>16.52</v>
      </c>
      <c r="H16" s="6">
        <v>8.43</v>
      </c>
      <c r="I16" s="6">
        <v>5.63</v>
      </c>
      <c r="J16" s="6">
        <v>0.12</v>
      </c>
      <c r="K16" s="6">
        <v>196.23</v>
      </c>
      <c r="L16" s="6">
        <v>17.95</v>
      </c>
      <c r="M16" s="6">
        <v>27.14</v>
      </c>
      <c r="N16" s="6">
        <v>2.4</v>
      </c>
      <c r="O16" s="6">
        <v>0</v>
      </c>
      <c r="P16" s="6">
        <v>0.3</v>
      </c>
      <c r="Q16" s="6">
        <v>11.19</v>
      </c>
      <c r="R16" s="6"/>
      <c r="S16" s="6"/>
      <c r="T16" s="156"/>
      <c r="U16" s="6"/>
    </row>
    <row r="17" spans="1:21" customFormat="1">
      <c r="A17" s="201" t="s">
        <v>728</v>
      </c>
      <c r="B17" s="6">
        <v>6.17</v>
      </c>
      <c r="C17" s="6">
        <v>6.72</v>
      </c>
      <c r="D17" s="6">
        <v>12.88</v>
      </c>
      <c r="E17" s="6">
        <v>4.5</v>
      </c>
      <c r="F17" s="6">
        <v>2</v>
      </c>
      <c r="G17" s="6">
        <v>16.52</v>
      </c>
      <c r="H17" s="6">
        <v>8.43</v>
      </c>
      <c r="I17" s="6">
        <v>5.55</v>
      </c>
      <c r="J17" s="6">
        <v>0.24</v>
      </c>
      <c r="K17" s="6">
        <v>249.52</v>
      </c>
      <c r="L17" s="6">
        <v>21.67</v>
      </c>
      <c r="M17" s="6">
        <v>36.44</v>
      </c>
      <c r="N17" s="6">
        <v>2.5</v>
      </c>
      <c r="O17" s="6">
        <v>0</v>
      </c>
      <c r="P17" s="6">
        <v>0.3</v>
      </c>
      <c r="Q17" s="6">
        <v>15.43</v>
      </c>
      <c r="R17" s="6"/>
      <c r="S17" s="6"/>
      <c r="T17" s="156"/>
      <c r="U17" s="6"/>
    </row>
    <row r="18" spans="1:21" customFormat="1">
      <c r="A18" s="201" t="s">
        <v>729</v>
      </c>
      <c r="B18" s="6">
        <v>5.96</v>
      </c>
      <c r="C18" s="6">
        <v>6.62</v>
      </c>
      <c r="D18" s="6">
        <v>12.58</v>
      </c>
      <c r="E18" s="6">
        <v>5.77</v>
      </c>
      <c r="F18" s="6">
        <v>2</v>
      </c>
      <c r="G18" s="6">
        <v>13.83</v>
      </c>
      <c r="H18" s="6">
        <v>6.81</v>
      </c>
      <c r="I18" s="6">
        <v>5.42</v>
      </c>
      <c r="J18" s="6">
        <v>0.35</v>
      </c>
      <c r="K18" s="6">
        <v>249.88</v>
      </c>
      <c r="L18" s="6">
        <v>22.05</v>
      </c>
      <c r="M18" s="6">
        <v>37.36</v>
      </c>
      <c r="N18" s="6">
        <v>2.9</v>
      </c>
      <c r="O18" s="6">
        <v>0</v>
      </c>
      <c r="P18" s="6">
        <v>0.28999999999999998</v>
      </c>
      <c r="Q18" s="6">
        <v>10.82</v>
      </c>
      <c r="R18" s="6"/>
      <c r="S18" s="6"/>
      <c r="T18" s="156"/>
      <c r="U18" s="6"/>
    </row>
    <row r="19" spans="1:21" customFormat="1">
      <c r="A19" s="201" t="s">
        <v>730</v>
      </c>
      <c r="B19" s="6">
        <v>5.76</v>
      </c>
      <c r="C19" s="6">
        <v>6.47</v>
      </c>
      <c r="D19" s="6">
        <v>12.24</v>
      </c>
      <c r="E19" s="6">
        <v>5.94</v>
      </c>
      <c r="F19" s="6">
        <v>2</v>
      </c>
      <c r="G19" s="6">
        <v>11.77</v>
      </c>
      <c r="H19" s="6">
        <v>6.29</v>
      </c>
      <c r="I19" s="6">
        <v>5.41</v>
      </c>
      <c r="J19" s="6">
        <v>0.18</v>
      </c>
      <c r="K19" s="6">
        <v>255.89</v>
      </c>
      <c r="L19" s="6">
        <v>20.48</v>
      </c>
      <c r="M19" s="6">
        <v>33.43</v>
      </c>
      <c r="N19" s="6">
        <v>2.6</v>
      </c>
      <c r="O19" s="6">
        <v>0</v>
      </c>
      <c r="P19" s="6">
        <v>0.28999999999999998</v>
      </c>
      <c r="Q19" s="6">
        <v>10.08</v>
      </c>
      <c r="R19" s="6"/>
      <c r="S19" s="6"/>
      <c r="T19" s="156"/>
      <c r="U19" s="6"/>
    </row>
    <row r="20" spans="1:21" customFormat="1">
      <c r="A20" s="201" t="s">
        <v>731</v>
      </c>
      <c r="B20" s="6">
        <v>5.53</v>
      </c>
      <c r="C20" s="6">
        <v>6.43</v>
      </c>
      <c r="D20" s="6">
        <v>11.96</v>
      </c>
      <c r="E20" s="6">
        <v>5.93</v>
      </c>
      <c r="F20" s="6">
        <v>2</v>
      </c>
      <c r="G20" s="6">
        <v>11.77</v>
      </c>
      <c r="H20" s="6">
        <v>6.29</v>
      </c>
      <c r="I20" s="6">
        <v>5.34</v>
      </c>
      <c r="J20" s="6">
        <v>0.28000000000000003</v>
      </c>
      <c r="K20" s="6">
        <v>255.42</v>
      </c>
      <c r="L20" s="6">
        <v>21.9</v>
      </c>
      <c r="M20" s="6">
        <v>36.99</v>
      </c>
      <c r="N20" s="6">
        <v>2.7</v>
      </c>
      <c r="O20" s="6">
        <v>0</v>
      </c>
      <c r="P20" s="6">
        <v>0.28000000000000003</v>
      </c>
      <c r="Q20" s="6">
        <v>10.82</v>
      </c>
      <c r="R20" s="6"/>
      <c r="S20" s="6"/>
      <c r="T20" s="156"/>
      <c r="U20" s="6"/>
    </row>
    <row r="21" spans="1:21" customFormat="1">
      <c r="A21" s="201" t="s">
        <v>732</v>
      </c>
      <c r="B21" s="6">
        <v>5.3</v>
      </c>
      <c r="C21" s="6">
        <v>6.36</v>
      </c>
      <c r="D21" s="6">
        <v>11.66</v>
      </c>
      <c r="E21" s="6">
        <v>5.65</v>
      </c>
      <c r="F21" s="6">
        <v>2</v>
      </c>
      <c r="G21" s="6">
        <v>11.77</v>
      </c>
      <c r="H21" s="6">
        <v>6.29</v>
      </c>
      <c r="I21" s="6">
        <v>5.2</v>
      </c>
      <c r="J21" s="6">
        <v>0.18</v>
      </c>
      <c r="K21" s="6">
        <v>251.44</v>
      </c>
      <c r="L21" s="6">
        <v>21.67</v>
      </c>
      <c r="M21" s="6">
        <v>36.47</v>
      </c>
      <c r="N21" s="6">
        <v>2.6</v>
      </c>
      <c r="O21" s="6">
        <v>0</v>
      </c>
      <c r="P21" s="6">
        <v>0.27</v>
      </c>
      <c r="Q21" s="6">
        <v>10.17</v>
      </c>
      <c r="R21" s="6"/>
      <c r="S21" s="6"/>
      <c r="T21" s="156"/>
      <c r="U21" s="6"/>
    </row>
    <row r="22" spans="1:21" customFormat="1">
      <c r="A22" s="201" t="s">
        <v>733</v>
      </c>
      <c r="B22" s="6">
        <v>5.12</v>
      </c>
      <c r="C22" s="6">
        <v>6.28</v>
      </c>
      <c r="D22" s="6">
        <v>11.4</v>
      </c>
      <c r="E22" s="6">
        <v>5.94</v>
      </c>
      <c r="F22" s="6">
        <v>2</v>
      </c>
      <c r="G22" s="6">
        <v>13.02</v>
      </c>
      <c r="H22" s="6">
        <v>6.78</v>
      </c>
      <c r="I22" s="6">
        <v>5.04</v>
      </c>
      <c r="J22" s="6">
        <v>0.18</v>
      </c>
      <c r="K22" s="6">
        <v>254.85</v>
      </c>
      <c r="L22" s="6">
        <v>22.47</v>
      </c>
      <c r="M22" s="6">
        <v>38.409999999999997</v>
      </c>
      <c r="N22" s="6">
        <v>2.5</v>
      </c>
      <c r="O22" s="6">
        <v>0</v>
      </c>
      <c r="P22" s="6">
        <v>0.27</v>
      </c>
      <c r="Q22" s="6">
        <v>10</v>
      </c>
      <c r="R22" s="6"/>
      <c r="S22" s="6"/>
      <c r="T22" s="156"/>
      <c r="U22" s="6"/>
    </row>
    <row r="23" spans="1:21" customFormat="1">
      <c r="A23" s="201" t="s">
        <v>734</v>
      </c>
      <c r="B23" s="6">
        <v>4.97</v>
      </c>
      <c r="C23" s="6">
        <v>6.2</v>
      </c>
      <c r="D23" s="6">
        <v>11.17</v>
      </c>
      <c r="E23" s="6">
        <v>5.74</v>
      </c>
      <c r="F23" s="6">
        <v>2</v>
      </c>
      <c r="G23" s="6">
        <v>13.98</v>
      </c>
      <c r="H23" s="6">
        <v>7.07</v>
      </c>
      <c r="I23" s="6">
        <v>4.9000000000000004</v>
      </c>
      <c r="J23" s="6">
        <v>0.1</v>
      </c>
      <c r="K23" s="6">
        <v>194.36</v>
      </c>
      <c r="L23" s="6">
        <v>18.52</v>
      </c>
      <c r="M23" s="6">
        <v>28.44</v>
      </c>
      <c r="N23" s="6">
        <v>2.5</v>
      </c>
      <c r="O23" s="6">
        <v>0</v>
      </c>
      <c r="P23" s="6">
        <v>0.26</v>
      </c>
      <c r="Q23" s="6">
        <v>10</v>
      </c>
      <c r="R23" s="6"/>
      <c r="S23" s="6"/>
      <c r="T23" s="156"/>
      <c r="U23" s="6"/>
    </row>
    <row r="24" spans="1:21" customFormat="1">
      <c r="A24" s="201" t="s">
        <v>735</v>
      </c>
      <c r="B24" s="6">
        <v>4.84</v>
      </c>
      <c r="C24" s="6">
        <v>6.14</v>
      </c>
      <c r="D24" s="6">
        <v>10.98</v>
      </c>
      <c r="E24" s="6">
        <v>6.09</v>
      </c>
      <c r="F24" s="6">
        <v>2</v>
      </c>
      <c r="G24" s="6">
        <v>13.98</v>
      </c>
      <c r="H24" s="6">
        <v>7.07</v>
      </c>
      <c r="I24" s="6">
        <v>4.7300000000000004</v>
      </c>
      <c r="J24" s="6">
        <v>0.12</v>
      </c>
      <c r="K24" s="6">
        <v>226.36</v>
      </c>
      <c r="L24" s="6">
        <v>20.86</v>
      </c>
      <c r="M24" s="6">
        <v>34.369999999999997</v>
      </c>
      <c r="N24" s="6">
        <v>2.4</v>
      </c>
      <c r="O24" s="6">
        <v>0</v>
      </c>
      <c r="P24" s="6">
        <v>0.26</v>
      </c>
      <c r="Q24" s="6">
        <v>10.06</v>
      </c>
      <c r="R24" s="6"/>
      <c r="S24" s="6"/>
      <c r="T24" s="156"/>
      <c r="U24" s="6"/>
    </row>
    <row r="25" spans="1:21" customFormat="1">
      <c r="A25" s="201" t="s">
        <v>736</v>
      </c>
      <c r="B25" s="6">
        <v>4.7300000000000004</v>
      </c>
      <c r="C25" s="6">
        <v>6.02</v>
      </c>
      <c r="D25" s="6">
        <v>10.75</v>
      </c>
      <c r="E25" s="6">
        <v>6.12</v>
      </c>
      <c r="F25" s="6">
        <v>2</v>
      </c>
      <c r="G25" s="6">
        <v>13.98</v>
      </c>
      <c r="H25" s="6">
        <v>7.07</v>
      </c>
      <c r="I25" s="6">
        <v>4.7300000000000004</v>
      </c>
      <c r="J25" s="6">
        <v>0.2</v>
      </c>
      <c r="K25" s="6">
        <v>238.77</v>
      </c>
      <c r="L25" s="6">
        <v>20.13</v>
      </c>
      <c r="M25" s="6">
        <v>32.6</v>
      </c>
      <c r="N25" s="6">
        <v>2.6</v>
      </c>
      <c r="O25" s="6">
        <v>0</v>
      </c>
      <c r="P25" s="6">
        <v>0.25</v>
      </c>
      <c r="Q25" s="6">
        <v>10</v>
      </c>
      <c r="R25" s="6"/>
      <c r="S25" s="6"/>
      <c r="T25" s="156"/>
      <c r="U25" s="6"/>
    </row>
    <row r="26" spans="1:21" customFormat="1">
      <c r="A26" s="201" t="s">
        <v>737</v>
      </c>
      <c r="B26" s="6">
        <v>4.63</v>
      </c>
      <c r="C26" s="6">
        <v>6</v>
      </c>
      <c r="D26" s="6">
        <v>10.63</v>
      </c>
      <c r="E26" s="6">
        <v>6.05</v>
      </c>
      <c r="F26" s="6">
        <v>2</v>
      </c>
      <c r="G26" s="6">
        <v>12.22</v>
      </c>
      <c r="H26" s="6">
        <v>5.84</v>
      </c>
      <c r="I26" s="6">
        <v>4.6500000000000004</v>
      </c>
      <c r="J26" s="6">
        <v>0.11</v>
      </c>
      <c r="K26" s="6">
        <v>211.08</v>
      </c>
      <c r="L26" s="6">
        <v>18.600000000000001</v>
      </c>
      <c r="M26" s="6">
        <v>28.73</v>
      </c>
      <c r="N26" s="6">
        <v>2.5</v>
      </c>
      <c r="O26" s="6">
        <v>0</v>
      </c>
      <c r="P26" s="6">
        <v>0.25</v>
      </c>
      <c r="Q26" s="6">
        <v>10</v>
      </c>
      <c r="R26" s="6"/>
      <c r="S26" s="6"/>
      <c r="T26" s="156"/>
      <c r="U26" s="6"/>
    </row>
    <row r="27" spans="1:21" customFormat="1">
      <c r="A27" s="201" t="s">
        <v>738</v>
      </c>
      <c r="B27" s="6">
        <v>4.5599999999999996</v>
      </c>
      <c r="C27" s="6">
        <v>5.98</v>
      </c>
      <c r="D27" s="6">
        <v>10.54</v>
      </c>
      <c r="E27" s="6">
        <v>4.7699999999999996</v>
      </c>
      <c r="F27" s="6">
        <v>2</v>
      </c>
      <c r="G27" s="6">
        <v>10.88</v>
      </c>
      <c r="H27" s="6">
        <v>5.46</v>
      </c>
      <c r="I27" s="6">
        <v>4.58</v>
      </c>
      <c r="J27" s="6">
        <v>0.09</v>
      </c>
      <c r="K27" s="6">
        <v>209.22</v>
      </c>
      <c r="L27" s="6">
        <v>18.850000000000001</v>
      </c>
      <c r="M27" s="6">
        <v>29.39</v>
      </c>
      <c r="N27" s="6">
        <v>2.4</v>
      </c>
      <c r="O27" s="6">
        <v>0</v>
      </c>
      <c r="P27" s="6">
        <v>0.24</v>
      </c>
      <c r="Q27" s="6">
        <v>10</v>
      </c>
      <c r="R27" s="6"/>
      <c r="S27" s="6"/>
      <c r="T27" s="156"/>
      <c r="U27" s="6"/>
    </row>
    <row r="28" spans="1:21" customFormat="1">
      <c r="A28" s="201" t="s">
        <v>739</v>
      </c>
      <c r="B28" s="6">
        <v>4.66</v>
      </c>
      <c r="C28" s="6">
        <v>5.75</v>
      </c>
      <c r="D28" s="6">
        <v>10.42</v>
      </c>
      <c r="E28" s="6">
        <v>5.98</v>
      </c>
      <c r="F28" s="6">
        <v>2</v>
      </c>
      <c r="G28" s="6">
        <v>10.88</v>
      </c>
      <c r="H28" s="6">
        <v>5.46</v>
      </c>
      <c r="I28" s="6">
        <v>4.59</v>
      </c>
      <c r="J28" s="6">
        <v>0.15</v>
      </c>
      <c r="K28" s="6">
        <v>241.63</v>
      </c>
      <c r="L28" s="6">
        <v>21.46</v>
      </c>
      <c r="M28" s="6">
        <v>35.96</v>
      </c>
      <c r="N28" s="6">
        <v>2.2999999999999998</v>
      </c>
      <c r="O28" s="6">
        <v>0</v>
      </c>
      <c r="P28" s="6">
        <v>0.2</v>
      </c>
      <c r="Q28" s="6">
        <v>10</v>
      </c>
      <c r="R28" s="6"/>
      <c r="S28" s="6"/>
      <c r="T28" s="156"/>
      <c r="U28" s="6"/>
    </row>
    <row r="29" spans="1:21" customFormat="1">
      <c r="A29" s="201" t="s">
        <v>740</v>
      </c>
      <c r="B29" s="6">
        <v>4.72</v>
      </c>
      <c r="C29" s="6">
        <v>5.71</v>
      </c>
      <c r="D29" s="6">
        <v>10.43</v>
      </c>
      <c r="E29" s="6">
        <v>5.44</v>
      </c>
      <c r="F29" s="6">
        <v>2</v>
      </c>
      <c r="G29" s="6">
        <v>10.88</v>
      </c>
      <c r="H29" s="6">
        <v>5.46</v>
      </c>
      <c r="I29" s="6">
        <v>4.68</v>
      </c>
      <c r="J29" s="6">
        <v>0.09</v>
      </c>
      <c r="K29" s="6">
        <v>250.26</v>
      </c>
      <c r="L29" s="6">
        <v>21.51</v>
      </c>
      <c r="M29" s="6">
        <v>36.04</v>
      </c>
      <c r="N29" s="6">
        <v>2.2999999999999998</v>
      </c>
      <c r="O29" s="6">
        <v>0</v>
      </c>
      <c r="P29" s="6">
        <v>0.18</v>
      </c>
      <c r="Q29" s="6">
        <v>10</v>
      </c>
      <c r="R29" s="6"/>
      <c r="S29" s="6"/>
      <c r="T29" s="156"/>
      <c r="U29" s="6"/>
    </row>
    <row r="30" spans="1:21" customFormat="1">
      <c r="A30" s="201" t="s">
        <v>741</v>
      </c>
      <c r="B30" s="6">
        <v>4.8899999999999997</v>
      </c>
      <c r="C30" s="6">
        <v>5.76</v>
      </c>
      <c r="D30" s="6">
        <v>10.65</v>
      </c>
      <c r="E30" s="6">
        <v>5.28</v>
      </c>
      <c r="F30" s="6">
        <v>2</v>
      </c>
      <c r="G30" s="6">
        <v>11.22</v>
      </c>
      <c r="H30" s="6">
        <v>4.5</v>
      </c>
      <c r="I30" s="6">
        <v>4.8</v>
      </c>
      <c r="J30" s="6">
        <v>0.08</v>
      </c>
      <c r="K30" s="6">
        <v>213.02</v>
      </c>
      <c r="L30" s="6">
        <v>19.48</v>
      </c>
      <c r="M30" s="6">
        <v>31.02</v>
      </c>
      <c r="N30" s="6">
        <v>2.4</v>
      </c>
      <c r="O30" s="6">
        <v>0</v>
      </c>
      <c r="P30" s="6">
        <v>0.2</v>
      </c>
      <c r="Q30" s="6">
        <v>10</v>
      </c>
      <c r="R30" s="6"/>
      <c r="S30" s="6"/>
      <c r="T30" s="156"/>
      <c r="U30" s="6"/>
    </row>
    <row r="31" spans="1:21" customFormat="1">
      <c r="A31" s="201" t="s">
        <v>742</v>
      </c>
      <c r="B31" s="6">
        <v>5.0999999999999996</v>
      </c>
      <c r="C31" s="6">
        <v>5.75</v>
      </c>
      <c r="D31" s="6">
        <v>10.85</v>
      </c>
      <c r="E31" s="6">
        <v>5.51</v>
      </c>
      <c r="F31" s="6">
        <v>2</v>
      </c>
      <c r="G31" s="6">
        <v>11.48</v>
      </c>
      <c r="H31" s="6">
        <v>4.1900000000000004</v>
      </c>
      <c r="I31" s="6">
        <v>4.82</v>
      </c>
      <c r="J31" s="6">
        <v>0.15</v>
      </c>
      <c r="K31" s="6">
        <v>242.69</v>
      </c>
      <c r="L31" s="6">
        <v>21.62</v>
      </c>
      <c r="M31" s="6">
        <v>36.380000000000003</v>
      </c>
      <c r="N31" s="6">
        <v>2.4</v>
      </c>
      <c r="O31" s="6">
        <v>0</v>
      </c>
      <c r="P31" s="6">
        <v>0.18</v>
      </c>
      <c r="Q31" s="6">
        <v>9.81</v>
      </c>
      <c r="R31" s="6"/>
      <c r="S31" s="6"/>
      <c r="T31" s="156"/>
      <c r="U31" s="6"/>
    </row>
    <row r="32" spans="1:21" customFormat="1">
      <c r="A32" s="201" t="s">
        <v>743</v>
      </c>
      <c r="B32" s="6">
        <v>5.23</v>
      </c>
      <c r="C32" s="6">
        <v>5.54</v>
      </c>
      <c r="D32" s="6">
        <v>10.76</v>
      </c>
      <c r="E32" s="6">
        <v>5.28</v>
      </c>
      <c r="F32" s="6">
        <v>2</v>
      </c>
      <c r="G32" s="6">
        <v>11.48</v>
      </c>
      <c r="H32" s="6">
        <v>4.1900000000000004</v>
      </c>
      <c r="I32" s="6">
        <v>4.84</v>
      </c>
      <c r="J32" s="6">
        <v>0.19</v>
      </c>
      <c r="K32" s="6">
        <v>245.59</v>
      </c>
      <c r="L32" s="6">
        <v>21.99</v>
      </c>
      <c r="M32" s="6">
        <v>37.200000000000003</v>
      </c>
      <c r="N32" s="6">
        <v>2.7</v>
      </c>
      <c r="O32" s="6">
        <v>0</v>
      </c>
      <c r="P32" s="6">
        <v>0.17</v>
      </c>
      <c r="Q32" s="6">
        <v>10</v>
      </c>
      <c r="R32" s="6"/>
      <c r="S32" s="6"/>
      <c r="T32" s="156"/>
      <c r="U32" s="6"/>
    </row>
    <row r="33" spans="1:21" customFormat="1">
      <c r="A33" s="201" t="s">
        <v>744</v>
      </c>
      <c r="B33" s="6">
        <v>5.3</v>
      </c>
      <c r="C33" s="6">
        <v>5.77</v>
      </c>
      <c r="D33" s="6">
        <v>11.06</v>
      </c>
      <c r="E33" s="6">
        <v>5.25</v>
      </c>
      <c r="F33" s="6">
        <v>2</v>
      </c>
      <c r="G33" s="6">
        <v>11.48</v>
      </c>
      <c r="H33" s="6">
        <v>4.1900000000000004</v>
      </c>
      <c r="I33" s="6">
        <v>4.91</v>
      </c>
      <c r="J33" s="6">
        <v>7.0000000000000007E-2</v>
      </c>
      <c r="K33" s="6">
        <v>179.26</v>
      </c>
      <c r="L33" s="6">
        <v>16.66</v>
      </c>
      <c r="M33" s="6">
        <v>23.9</v>
      </c>
      <c r="N33" s="6">
        <v>3.9</v>
      </c>
      <c r="O33" s="6">
        <v>0</v>
      </c>
      <c r="P33" s="6">
        <v>0.19</v>
      </c>
      <c r="Q33" s="6">
        <v>10</v>
      </c>
      <c r="R33" s="6"/>
      <c r="S33" s="6"/>
      <c r="T33" s="156"/>
      <c r="U33" s="6"/>
    </row>
    <row r="34" spans="1:21" customFormat="1">
      <c r="A34" s="201" t="s">
        <v>745</v>
      </c>
      <c r="B34" s="6">
        <v>5.39</v>
      </c>
      <c r="C34" s="6">
        <v>5.73</v>
      </c>
      <c r="D34" s="6">
        <v>11.12</v>
      </c>
      <c r="E34" s="6">
        <v>5.22</v>
      </c>
      <c r="F34" s="6">
        <v>2</v>
      </c>
      <c r="G34" s="6">
        <v>9.57</v>
      </c>
      <c r="H34" s="6">
        <v>4.03</v>
      </c>
      <c r="I34" s="6">
        <v>4.8499999999999996</v>
      </c>
      <c r="J34" s="6">
        <v>0.15</v>
      </c>
      <c r="K34" s="6">
        <v>245.68</v>
      </c>
      <c r="L34" s="6">
        <v>20.96</v>
      </c>
      <c r="M34" s="6">
        <v>34.64</v>
      </c>
      <c r="N34" s="6">
        <v>5.4</v>
      </c>
      <c r="O34" s="6">
        <v>0</v>
      </c>
      <c r="P34" s="6">
        <v>0.18</v>
      </c>
      <c r="Q34" s="6">
        <v>10</v>
      </c>
      <c r="R34" s="6"/>
      <c r="S34" s="6"/>
      <c r="T34" s="156"/>
      <c r="U34" s="6"/>
    </row>
    <row r="35" spans="1:21" customFormat="1">
      <c r="A35" s="201" t="s">
        <v>746</v>
      </c>
      <c r="B35" s="6">
        <v>5.47</v>
      </c>
      <c r="C35" s="6">
        <v>5.61</v>
      </c>
      <c r="D35" s="6">
        <v>11.08</v>
      </c>
      <c r="E35" s="6">
        <v>5.42</v>
      </c>
      <c r="F35" s="6">
        <v>2</v>
      </c>
      <c r="G35" s="6">
        <v>8.1</v>
      </c>
      <c r="H35" s="6">
        <v>3.98</v>
      </c>
      <c r="I35" s="6">
        <v>4.8499999999999996</v>
      </c>
      <c r="J35" s="6">
        <v>0.06</v>
      </c>
      <c r="K35" s="6">
        <v>212.37</v>
      </c>
      <c r="L35" s="6">
        <v>18.16</v>
      </c>
      <c r="M35" s="6">
        <v>27.49</v>
      </c>
      <c r="N35" s="6">
        <v>7.2</v>
      </c>
      <c r="O35" s="6">
        <v>0</v>
      </c>
      <c r="P35" s="6">
        <v>0.17</v>
      </c>
      <c r="Q35" s="6">
        <v>10</v>
      </c>
      <c r="R35" s="6"/>
      <c r="S35" s="6"/>
      <c r="T35" s="156"/>
      <c r="U35" s="6"/>
    </row>
    <row r="36" spans="1:21" customFormat="1">
      <c r="A36" s="201" t="s">
        <v>747</v>
      </c>
      <c r="B36" s="6">
        <v>5.61</v>
      </c>
      <c r="C36" s="6">
        <v>5.82</v>
      </c>
      <c r="D36" s="6">
        <v>11.42</v>
      </c>
      <c r="E36" s="6">
        <v>5.38</v>
      </c>
      <c r="F36" s="6">
        <v>2</v>
      </c>
      <c r="G36" s="6">
        <v>8.1</v>
      </c>
      <c r="H36" s="6">
        <v>3.98</v>
      </c>
      <c r="I36" s="6">
        <v>4.8499999999999996</v>
      </c>
      <c r="J36" s="6">
        <v>0.11</v>
      </c>
      <c r="K36" s="6">
        <v>161.88</v>
      </c>
      <c r="L36" s="6">
        <v>16.09</v>
      </c>
      <c r="M36" s="6">
        <v>22.31</v>
      </c>
      <c r="N36" s="6">
        <v>11.6</v>
      </c>
      <c r="O36" s="6">
        <v>0</v>
      </c>
      <c r="P36" s="6">
        <v>0.2</v>
      </c>
      <c r="Q36" s="6">
        <v>10</v>
      </c>
      <c r="R36" s="6"/>
      <c r="S36" s="6"/>
      <c r="T36" s="156"/>
      <c r="U36" s="6"/>
    </row>
    <row r="37" spans="1:21" customFormat="1">
      <c r="A37" s="201" t="s">
        <v>748</v>
      </c>
      <c r="B37" s="6">
        <v>5.74</v>
      </c>
      <c r="C37" s="6">
        <v>5.7</v>
      </c>
      <c r="D37" s="6">
        <v>11.44</v>
      </c>
      <c r="E37" s="6">
        <v>5.46</v>
      </c>
      <c r="F37" s="6">
        <v>2</v>
      </c>
      <c r="G37" s="6">
        <v>8.1</v>
      </c>
      <c r="H37" s="6">
        <v>3.98</v>
      </c>
      <c r="I37" s="6">
        <v>4.8</v>
      </c>
      <c r="J37" s="6">
        <v>0.1</v>
      </c>
      <c r="K37" s="6">
        <v>152.91</v>
      </c>
      <c r="L37" s="6">
        <v>14.75</v>
      </c>
      <c r="M37" s="6">
        <v>18.86</v>
      </c>
      <c r="N37" s="6">
        <v>15.4</v>
      </c>
      <c r="O37" s="6">
        <v>0</v>
      </c>
      <c r="P37" s="6">
        <v>0.18</v>
      </c>
      <c r="Q37" s="6">
        <v>10</v>
      </c>
      <c r="R37" s="6"/>
      <c r="S37" s="6"/>
      <c r="T37" s="156"/>
      <c r="U37" s="6"/>
    </row>
    <row r="38" spans="1:21" customFormat="1">
      <c r="A38" s="201" t="s">
        <v>749</v>
      </c>
      <c r="B38" s="6">
        <v>5.74</v>
      </c>
      <c r="C38" s="6">
        <v>5.68</v>
      </c>
      <c r="D38" s="6">
        <v>11.42</v>
      </c>
      <c r="E38" s="6">
        <v>5.26</v>
      </c>
      <c r="F38" s="6">
        <v>2</v>
      </c>
      <c r="G38" s="6">
        <v>9.34</v>
      </c>
      <c r="H38" s="6">
        <v>3.51</v>
      </c>
      <c r="I38" s="6">
        <v>4.8499999999999996</v>
      </c>
      <c r="J38" s="6">
        <v>7.0000000000000007E-2</v>
      </c>
      <c r="K38" s="6">
        <v>229.29</v>
      </c>
      <c r="L38" s="6">
        <v>21.03</v>
      </c>
      <c r="M38" s="6">
        <v>34.450000000000003</v>
      </c>
      <c r="N38" s="6">
        <v>18.399999999999999</v>
      </c>
      <c r="O38" s="6">
        <v>0</v>
      </c>
      <c r="P38" s="6">
        <v>0.17</v>
      </c>
      <c r="Q38" s="6">
        <v>10</v>
      </c>
      <c r="R38" s="6"/>
      <c r="S38" s="6"/>
      <c r="T38" s="156"/>
      <c r="U38" s="6"/>
    </row>
    <row r="39" spans="1:21" customFormat="1">
      <c r="A39" s="201" t="s">
        <v>750</v>
      </c>
      <c r="B39" s="6">
        <v>5.89</v>
      </c>
      <c r="C39" s="6">
        <v>5.89</v>
      </c>
      <c r="D39" s="6">
        <v>11.77</v>
      </c>
      <c r="E39" s="6">
        <v>5.28</v>
      </c>
      <c r="F39" s="6">
        <v>2</v>
      </c>
      <c r="G39" s="6">
        <v>10.37</v>
      </c>
      <c r="H39" s="6">
        <v>3.18</v>
      </c>
      <c r="I39" s="6">
        <v>4.8499999999999996</v>
      </c>
      <c r="J39" s="6">
        <v>0.12</v>
      </c>
      <c r="K39" s="6">
        <v>191.92</v>
      </c>
      <c r="L39" s="6">
        <v>18.440000000000001</v>
      </c>
      <c r="M39" s="6">
        <v>27.93</v>
      </c>
      <c r="N39" s="6">
        <v>23.9</v>
      </c>
      <c r="O39" s="6">
        <v>0</v>
      </c>
      <c r="P39" s="6">
        <v>0.19</v>
      </c>
      <c r="Q39" s="6">
        <v>10</v>
      </c>
      <c r="R39" s="6"/>
      <c r="S39" s="6"/>
      <c r="T39" s="156"/>
      <c r="U39" s="6"/>
    </row>
    <row r="40" spans="1:21" customFormat="1">
      <c r="A40" s="201" t="s">
        <v>751</v>
      </c>
      <c r="B40" s="6">
        <v>6.04</v>
      </c>
      <c r="C40" s="6">
        <v>5.78</v>
      </c>
      <c r="D40" s="6">
        <v>11.82</v>
      </c>
      <c r="E40" s="6">
        <v>5.35</v>
      </c>
      <c r="F40" s="6">
        <v>2</v>
      </c>
      <c r="G40" s="6">
        <v>10.37</v>
      </c>
      <c r="H40" s="6">
        <v>3.18</v>
      </c>
      <c r="I40" s="6">
        <v>4.8</v>
      </c>
      <c r="J40" s="6">
        <v>0.11</v>
      </c>
      <c r="K40" s="6">
        <v>167.34</v>
      </c>
      <c r="L40" s="6">
        <v>16.510000000000002</v>
      </c>
      <c r="M40" s="6">
        <v>22.82</v>
      </c>
      <c r="N40" s="6">
        <v>35.1</v>
      </c>
      <c r="O40" s="6">
        <v>0</v>
      </c>
      <c r="P40" s="6">
        <v>0.19</v>
      </c>
      <c r="Q40" s="6">
        <v>10</v>
      </c>
      <c r="R40" s="6"/>
      <c r="S40" s="6"/>
      <c r="T40" s="156"/>
      <c r="U40" s="6"/>
    </row>
    <row r="41" spans="1:21" customFormat="1">
      <c r="A41" s="201" t="s">
        <v>752</v>
      </c>
      <c r="B41" s="6">
        <v>6.1</v>
      </c>
      <c r="C41" s="6">
        <v>5.65</v>
      </c>
      <c r="D41" s="6">
        <v>11.74</v>
      </c>
      <c r="E41" s="6">
        <v>5.23</v>
      </c>
      <c r="F41" s="6">
        <v>2</v>
      </c>
      <c r="G41" s="6">
        <v>10.37</v>
      </c>
      <c r="H41" s="6">
        <v>3.18</v>
      </c>
      <c r="I41" s="6">
        <v>4.92</v>
      </c>
      <c r="J41" s="6">
        <v>0.16</v>
      </c>
      <c r="K41" s="6">
        <v>238.26</v>
      </c>
      <c r="L41" s="6">
        <v>20.52</v>
      </c>
      <c r="M41" s="6">
        <v>32.69</v>
      </c>
      <c r="N41" s="6">
        <v>38.5</v>
      </c>
      <c r="O41" s="6">
        <v>0</v>
      </c>
      <c r="P41" s="6">
        <v>0.17</v>
      </c>
      <c r="Q41" s="6">
        <v>10</v>
      </c>
      <c r="R41" s="6"/>
      <c r="S41" s="6"/>
      <c r="T41" s="156"/>
      <c r="U41" s="6"/>
    </row>
    <row r="42" spans="1:21" customFormat="1">
      <c r="A42" s="201" t="s">
        <v>753</v>
      </c>
      <c r="B42" s="6">
        <v>6.19</v>
      </c>
      <c r="C42" s="6">
        <v>5.84</v>
      </c>
      <c r="D42" s="6">
        <v>12.02</v>
      </c>
      <c r="E42" s="6">
        <v>5.12</v>
      </c>
      <c r="F42" s="6">
        <v>2</v>
      </c>
      <c r="G42" s="6">
        <v>12.48</v>
      </c>
      <c r="H42" s="6">
        <v>7.75</v>
      </c>
      <c r="I42" s="6">
        <v>4.9400000000000004</v>
      </c>
      <c r="J42" s="6">
        <v>0.22</v>
      </c>
      <c r="K42" s="6">
        <v>241.44</v>
      </c>
      <c r="L42" s="6">
        <v>21.35</v>
      </c>
      <c r="M42" s="6">
        <v>34.840000000000003</v>
      </c>
      <c r="N42" s="6">
        <v>36.4</v>
      </c>
      <c r="O42" s="6">
        <v>0</v>
      </c>
      <c r="P42" s="6">
        <v>0.19</v>
      </c>
      <c r="Q42" s="6">
        <v>10</v>
      </c>
      <c r="R42" s="6"/>
      <c r="S42" s="6"/>
      <c r="T42" s="156"/>
      <c r="U42" s="6"/>
    </row>
    <row r="43" spans="1:21" customFormat="1">
      <c r="A43" s="201" t="s">
        <v>754</v>
      </c>
      <c r="B43" s="6">
        <v>6.29</v>
      </c>
      <c r="C43" s="6">
        <v>5.89</v>
      </c>
      <c r="D43" s="6">
        <v>12.18</v>
      </c>
      <c r="E43" s="6">
        <v>5.69</v>
      </c>
      <c r="F43" s="6">
        <v>2</v>
      </c>
      <c r="G43" s="6">
        <v>14.1</v>
      </c>
      <c r="H43" s="6">
        <v>9.2100000000000009</v>
      </c>
      <c r="I43" s="6">
        <v>4.92</v>
      </c>
      <c r="J43" s="6">
        <v>0.24</v>
      </c>
      <c r="K43" s="6">
        <v>245.59</v>
      </c>
      <c r="L43" s="6">
        <v>21.69</v>
      </c>
      <c r="M43" s="6">
        <v>35.57</v>
      </c>
      <c r="N43" s="6">
        <v>42.6</v>
      </c>
      <c r="O43" s="6">
        <v>0</v>
      </c>
      <c r="P43" s="6">
        <v>0.2</v>
      </c>
      <c r="Q43" s="6">
        <v>10</v>
      </c>
      <c r="R43" s="6"/>
      <c r="S43" s="6"/>
      <c r="T43" s="156"/>
      <c r="U43" s="6"/>
    </row>
    <row r="44" spans="1:21" customFormat="1">
      <c r="A44" s="201" t="s">
        <v>755</v>
      </c>
      <c r="B44" s="6">
        <v>6.33</v>
      </c>
      <c r="C44" s="6">
        <v>5.87</v>
      </c>
      <c r="D44" s="6">
        <v>12.2</v>
      </c>
      <c r="E44" s="6">
        <v>5.73</v>
      </c>
      <c r="F44" s="6">
        <v>2</v>
      </c>
      <c r="G44" s="6">
        <v>14.1</v>
      </c>
      <c r="H44" s="6">
        <v>9.2100000000000009</v>
      </c>
      <c r="I44" s="6">
        <v>4.96</v>
      </c>
      <c r="J44" s="6">
        <v>0.18</v>
      </c>
      <c r="K44" s="6">
        <v>239.87</v>
      </c>
      <c r="L44" s="6">
        <v>20.25</v>
      </c>
      <c r="M44" s="6">
        <v>31.8</v>
      </c>
      <c r="N44" s="6">
        <v>49.6</v>
      </c>
      <c r="O44" s="6">
        <v>0</v>
      </c>
      <c r="P44" s="6">
        <v>0.2</v>
      </c>
      <c r="Q44" s="6">
        <v>10</v>
      </c>
      <c r="R44" s="6"/>
      <c r="S44" s="6"/>
      <c r="T44" s="156"/>
      <c r="U44" s="6"/>
    </row>
    <row r="45" spans="1:21" customFormat="1">
      <c r="A45" s="201" t="s">
        <v>756</v>
      </c>
      <c r="B45" s="6">
        <v>6.36</v>
      </c>
      <c r="C45" s="6">
        <v>5.88</v>
      </c>
      <c r="D45" s="6">
        <v>12.24</v>
      </c>
      <c r="E45" s="6">
        <v>5.62</v>
      </c>
      <c r="F45" s="6">
        <v>2</v>
      </c>
      <c r="G45" s="6">
        <v>14.1</v>
      </c>
      <c r="H45" s="6">
        <v>9.2100000000000009</v>
      </c>
      <c r="I45" s="6">
        <v>4.95</v>
      </c>
      <c r="J45" s="6">
        <v>0.26</v>
      </c>
      <c r="K45" s="6">
        <v>250.98</v>
      </c>
      <c r="L45" s="6">
        <v>22.23</v>
      </c>
      <c r="M45" s="6">
        <v>36.47</v>
      </c>
      <c r="N45" s="6">
        <v>63.5</v>
      </c>
      <c r="O45" s="6">
        <v>0</v>
      </c>
      <c r="P45" s="6">
        <v>0.21</v>
      </c>
      <c r="Q45" s="6">
        <v>10</v>
      </c>
      <c r="R45" s="6"/>
      <c r="S45" s="6"/>
      <c r="T45" s="156"/>
      <c r="U45" s="6"/>
    </row>
    <row r="46" spans="1:21" customFormat="1">
      <c r="A46" s="201" t="s">
        <v>757</v>
      </c>
      <c r="B46" s="6">
        <v>6.38</v>
      </c>
      <c r="C46" s="6">
        <v>5.93</v>
      </c>
      <c r="D46" s="6">
        <v>12.31</v>
      </c>
      <c r="E46" s="6">
        <v>5.69</v>
      </c>
      <c r="F46" s="6">
        <v>2</v>
      </c>
      <c r="G46" s="6">
        <v>11.86</v>
      </c>
      <c r="H46" s="6">
        <v>7.41</v>
      </c>
      <c r="I46" s="6">
        <v>5.0199999999999996</v>
      </c>
      <c r="J46" s="6">
        <v>0.18</v>
      </c>
      <c r="K46" s="6">
        <v>257.68</v>
      </c>
      <c r="L46" s="6">
        <v>21.3</v>
      </c>
      <c r="M46" s="6">
        <v>33.520000000000003</v>
      </c>
      <c r="N46" s="6">
        <v>89.2</v>
      </c>
      <c r="O46" s="6">
        <v>0</v>
      </c>
      <c r="P46" s="6">
        <v>0.21</v>
      </c>
      <c r="Q46" s="6">
        <v>10</v>
      </c>
      <c r="R46" s="6"/>
      <c r="S46" s="6"/>
      <c r="T46" s="156"/>
      <c r="U46" s="6"/>
    </row>
    <row r="47" spans="1:21" customFormat="1">
      <c r="A47" s="201" t="s">
        <v>758</v>
      </c>
      <c r="B47" s="6">
        <v>6.21</v>
      </c>
      <c r="C47" s="6">
        <v>6.1</v>
      </c>
      <c r="D47" s="6">
        <v>12.31</v>
      </c>
      <c r="E47" s="6">
        <v>5.74</v>
      </c>
      <c r="F47" s="6">
        <v>2</v>
      </c>
      <c r="G47" s="6">
        <v>10.11</v>
      </c>
      <c r="H47" s="6">
        <v>6.82</v>
      </c>
      <c r="I47" s="6">
        <v>5.0199999999999996</v>
      </c>
      <c r="J47" s="6">
        <v>0.28000000000000003</v>
      </c>
      <c r="K47" s="6">
        <v>241.41</v>
      </c>
      <c r="L47" s="6">
        <v>21.72</v>
      </c>
      <c r="M47" s="6">
        <v>33.950000000000003</v>
      </c>
      <c r="N47" s="6">
        <v>114.4</v>
      </c>
      <c r="O47" s="6">
        <v>0</v>
      </c>
      <c r="P47" s="6">
        <v>0.25</v>
      </c>
      <c r="Q47" s="6">
        <v>10</v>
      </c>
      <c r="R47" s="6"/>
      <c r="S47" s="6"/>
      <c r="T47" s="156"/>
      <c r="U47" s="6"/>
    </row>
    <row r="48" spans="1:21" customFormat="1">
      <c r="A48" s="201" t="s">
        <v>759</v>
      </c>
      <c r="B48" s="6">
        <v>5.96</v>
      </c>
      <c r="C48" s="6">
        <v>6.3</v>
      </c>
      <c r="D48" s="6">
        <v>12.26</v>
      </c>
      <c r="E48" s="6">
        <v>5.8</v>
      </c>
      <c r="F48" s="6">
        <v>2</v>
      </c>
      <c r="G48" s="6">
        <v>10.11</v>
      </c>
      <c r="H48" s="6">
        <v>6.82</v>
      </c>
      <c r="I48" s="6">
        <v>5</v>
      </c>
      <c r="J48" s="6">
        <v>0.34</v>
      </c>
      <c r="K48" s="6">
        <v>253.99</v>
      </c>
      <c r="L48" s="6">
        <v>22.71</v>
      </c>
      <c r="M48" s="6">
        <v>36.44</v>
      </c>
      <c r="N48" s="6">
        <v>113.8</v>
      </c>
      <c r="O48" s="6">
        <v>0</v>
      </c>
      <c r="P48" s="6">
        <v>0.27</v>
      </c>
      <c r="Q48" s="6">
        <v>10</v>
      </c>
      <c r="R48" s="6"/>
      <c r="S48" s="6"/>
      <c r="T48" s="156"/>
      <c r="U48" s="6"/>
    </row>
    <row r="49" spans="1:21" customFormat="1">
      <c r="A49" s="201" t="s">
        <v>760</v>
      </c>
      <c r="B49" s="6">
        <v>5.69</v>
      </c>
      <c r="C49" s="6">
        <v>6.49</v>
      </c>
      <c r="D49" s="6">
        <v>12.18</v>
      </c>
      <c r="E49" s="6">
        <v>5.29</v>
      </c>
      <c r="F49" s="6">
        <v>2</v>
      </c>
      <c r="G49" s="6">
        <v>10.11</v>
      </c>
      <c r="H49" s="6">
        <v>6.82</v>
      </c>
      <c r="I49" s="6">
        <v>5.01</v>
      </c>
      <c r="J49" s="6">
        <v>0.42</v>
      </c>
      <c r="K49" s="6">
        <v>249.99</v>
      </c>
      <c r="L49" s="6">
        <v>23.42</v>
      </c>
      <c r="M49" s="6">
        <v>38.159999999999997</v>
      </c>
      <c r="N49" s="6">
        <v>115.8</v>
      </c>
      <c r="O49" s="6">
        <v>0</v>
      </c>
      <c r="P49" s="6">
        <v>0.28000000000000003</v>
      </c>
      <c r="Q49" s="6">
        <v>10</v>
      </c>
      <c r="R49" s="6"/>
      <c r="S49" s="6"/>
      <c r="T49" s="156"/>
      <c r="U49" s="6"/>
    </row>
    <row r="50" spans="1:21" customFormat="1">
      <c r="A50" s="201" t="s">
        <v>761</v>
      </c>
      <c r="B50" s="6">
        <v>5.53</v>
      </c>
      <c r="C50" s="6">
        <v>6.58</v>
      </c>
      <c r="D50" s="6">
        <v>12.11</v>
      </c>
      <c r="E50" s="6">
        <v>6.39</v>
      </c>
      <c r="F50" s="6">
        <v>2</v>
      </c>
      <c r="G50" s="6">
        <v>13.87</v>
      </c>
      <c r="H50" s="6">
        <v>8.51</v>
      </c>
      <c r="I50" s="6">
        <v>5.22</v>
      </c>
      <c r="J50" s="6">
        <v>0.42</v>
      </c>
      <c r="K50" s="6">
        <v>254.62</v>
      </c>
      <c r="L50" s="6">
        <v>23.35</v>
      </c>
      <c r="M50" s="6">
        <v>38.270000000000003</v>
      </c>
      <c r="N50" s="6">
        <v>100.1</v>
      </c>
      <c r="O50" s="6">
        <v>0</v>
      </c>
      <c r="P50" s="6">
        <v>0.31</v>
      </c>
      <c r="Q50" s="6">
        <v>10</v>
      </c>
      <c r="R50" s="6"/>
      <c r="S50" s="6"/>
      <c r="T50" s="156"/>
      <c r="U50" s="6"/>
    </row>
    <row r="51" spans="1:21" customFormat="1">
      <c r="A51" s="201" t="s">
        <v>762</v>
      </c>
      <c r="B51" s="6">
        <v>5.36</v>
      </c>
      <c r="C51" s="6">
        <v>6.7</v>
      </c>
      <c r="D51" s="6">
        <v>12.06</v>
      </c>
      <c r="E51" s="6">
        <v>6.38</v>
      </c>
      <c r="F51" s="6">
        <v>2</v>
      </c>
      <c r="G51" s="6">
        <v>16.75</v>
      </c>
      <c r="H51" s="6">
        <v>9.0500000000000007</v>
      </c>
      <c r="I51" s="6">
        <v>5.49</v>
      </c>
      <c r="J51" s="6">
        <v>0.46</v>
      </c>
      <c r="K51" s="6">
        <v>246.83</v>
      </c>
      <c r="L51" s="6">
        <v>22.33</v>
      </c>
      <c r="M51" s="6">
        <v>35.57</v>
      </c>
      <c r="N51" s="6">
        <v>105.2</v>
      </c>
      <c r="O51" s="6">
        <v>0</v>
      </c>
      <c r="P51" s="6">
        <v>0.35</v>
      </c>
      <c r="Q51" s="6">
        <v>10</v>
      </c>
      <c r="R51" s="6"/>
      <c r="S51" s="6"/>
      <c r="T51" s="156"/>
      <c r="U51" s="6"/>
    </row>
    <row r="52" spans="1:21" customFormat="1">
      <c r="A52" s="201" t="s">
        <v>763</v>
      </c>
      <c r="B52" s="6">
        <v>4.9000000000000004</v>
      </c>
      <c r="C52" s="6">
        <v>7.01</v>
      </c>
      <c r="D52" s="6">
        <v>11.91</v>
      </c>
      <c r="E52" s="6">
        <v>6.04</v>
      </c>
      <c r="F52" s="6">
        <v>2.25</v>
      </c>
      <c r="G52" s="6">
        <v>16.75</v>
      </c>
      <c r="H52" s="6">
        <v>9.0500000000000007</v>
      </c>
      <c r="I52" s="6">
        <v>6.49</v>
      </c>
      <c r="J52" s="6">
        <v>0.32</v>
      </c>
      <c r="K52" s="6">
        <v>260.12</v>
      </c>
      <c r="L52" s="6">
        <v>22.46</v>
      </c>
      <c r="M52" s="6">
        <v>35.659999999999997</v>
      </c>
      <c r="N52" s="6">
        <v>118.4</v>
      </c>
      <c r="O52" s="6">
        <v>0</v>
      </c>
      <c r="P52" s="6">
        <v>0.37</v>
      </c>
      <c r="Q52" s="6">
        <v>10</v>
      </c>
      <c r="R52" s="6"/>
      <c r="S52" s="6"/>
      <c r="T52" s="156"/>
      <c r="U52" s="6"/>
    </row>
    <row r="53" spans="1:21" customFormat="1">
      <c r="A53" s="201" t="s">
        <v>764</v>
      </c>
      <c r="B53" s="6">
        <v>3.75</v>
      </c>
      <c r="C53" s="6">
        <v>7.76</v>
      </c>
      <c r="D53" s="6">
        <v>11.51</v>
      </c>
      <c r="E53" s="6">
        <v>5.26</v>
      </c>
      <c r="F53" s="6">
        <v>3.12</v>
      </c>
      <c r="G53" s="6">
        <v>16.75</v>
      </c>
      <c r="H53" s="6">
        <v>9.0500000000000007</v>
      </c>
      <c r="I53" s="6">
        <v>7.62</v>
      </c>
      <c r="J53" s="6">
        <v>0.28000000000000003</v>
      </c>
      <c r="K53" s="6">
        <v>239.89</v>
      </c>
      <c r="L53" s="6">
        <v>21.75</v>
      </c>
      <c r="M53" s="6">
        <v>33.130000000000003</v>
      </c>
      <c r="N53" s="6">
        <v>149.30000000000001</v>
      </c>
      <c r="O53" s="6">
        <v>0</v>
      </c>
      <c r="P53" s="6">
        <v>0.39</v>
      </c>
      <c r="Q53" s="6">
        <v>10</v>
      </c>
      <c r="R53" s="6"/>
      <c r="S53" s="6"/>
      <c r="T53" s="156"/>
      <c r="U53" s="6"/>
    </row>
    <row r="54" spans="1:21" customFormat="1">
      <c r="A54" s="201" t="s">
        <v>765</v>
      </c>
      <c r="B54" s="6">
        <v>3.2</v>
      </c>
      <c r="C54" s="6">
        <v>7.96</v>
      </c>
      <c r="D54" s="6">
        <v>11.15</v>
      </c>
      <c r="E54" s="6">
        <v>5.09</v>
      </c>
      <c r="F54" s="6">
        <v>4.24</v>
      </c>
      <c r="G54" s="6">
        <v>16.75</v>
      </c>
      <c r="H54" s="6">
        <v>9.0500000000000007</v>
      </c>
      <c r="I54" s="6">
        <v>8.51</v>
      </c>
      <c r="J54" s="6">
        <v>0.23</v>
      </c>
      <c r="K54" s="6">
        <v>235.46</v>
      </c>
      <c r="L54" s="6">
        <v>22.12</v>
      </c>
      <c r="M54" s="6">
        <v>34.46</v>
      </c>
      <c r="N54" s="6">
        <v>125.9</v>
      </c>
      <c r="O54" s="6">
        <v>0</v>
      </c>
      <c r="P54" s="6">
        <v>0.38</v>
      </c>
      <c r="Q54" s="6">
        <v>10</v>
      </c>
      <c r="R54" s="6"/>
      <c r="S54" s="6"/>
      <c r="T54" s="156"/>
      <c r="U54" s="6"/>
    </row>
    <row r="55" spans="1:21" customFormat="1">
      <c r="A55" s="201" t="s">
        <v>766</v>
      </c>
      <c r="B55" s="6">
        <v>2.89</v>
      </c>
      <c r="C55" s="6">
        <v>7.91</v>
      </c>
      <c r="D55" s="6">
        <v>10.8</v>
      </c>
      <c r="E55" s="6">
        <v>5.22</v>
      </c>
      <c r="F55" s="6">
        <v>3.88</v>
      </c>
      <c r="G55" s="6">
        <v>0</v>
      </c>
      <c r="H55" s="6">
        <v>0</v>
      </c>
      <c r="I55" s="6">
        <v>9.8699999999999992</v>
      </c>
      <c r="J55" s="6">
        <v>0.28999999999999998</v>
      </c>
      <c r="K55" s="6">
        <v>231.15</v>
      </c>
      <c r="L55" s="6">
        <v>21.66</v>
      </c>
      <c r="M55" s="6">
        <v>33.369999999999997</v>
      </c>
      <c r="N55" s="6">
        <v>123.3</v>
      </c>
      <c r="O55" s="6">
        <v>0</v>
      </c>
      <c r="P55" s="6">
        <v>0.38</v>
      </c>
      <c r="Q55" s="6">
        <v>10</v>
      </c>
      <c r="R55" s="6"/>
      <c r="S55" s="6"/>
      <c r="T55" s="156"/>
      <c r="U55" s="6"/>
    </row>
    <row r="56" spans="1:21" customFormat="1">
      <c r="A56" s="201" t="s">
        <v>767</v>
      </c>
      <c r="B56" s="6">
        <v>2.67</v>
      </c>
      <c r="C56" s="6">
        <v>7.85</v>
      </c>
      <c r="D56" s="6">
        <v>10.52</v>
      </c>
      <c r="E56" s="6">
        <v>5.14</v>
      </c>
      <c r="F56" s="6">
        <v>4.8</v>
      </c>
      <c r="G56" s="6">
        <v>0</v>
      </c>
      <c r="H56" s="6">
        <v>0</v>
      </c>
      <c r="I56" s="6">
        <v>10.24</v>
      </c>
      <c r="J56" s="6">
        <v>0.23</v>
      </c>
      <c r="K56" s="6">
        <v>232.56</v>
      </c>
      <c r="L56" s="6">
        <v>21.22</v>
      </c>
      <c r="M56" s="6">
        <v>31.97</v>
      </c>
      <c r="N56" s="6">
        <v>135</v>
      </c>
      <c r="O56" s="6">
        <v>0</v>
      </c>
      <c r="P56" s="6">
        <v>0.38</v>
      </c>
      <c r="Q56" s="6">
        <v>10</v>
      </c>
      <c r="R56" s="6"/>
      <c r="S56" s="6"/>
      <c r="T56" s="156"/>
      <c r="U56" s="6"/>
    </row>
    <row r="57" spans="1:21" customFormat="1">
      <c r="A57" s="201" t="s">
        <v>768</v>
      </c>
      <c r="B57" s="6">
        <v>2.52</v>
      </c>
      <c r="C57" s="6">
        <v>7.73</v>
      </c>
      <c r="D57" s="6">
        <v>10.25</v>
      </c>
      <c r="E57" s="6">
        <v>5.22</v>
      </c>
      <c r="F57" s="6">
        <v>4.51</v>
      </c>
      <c r="G57" s="6">
        <v>0</v>
      </c>
      <c r="H57" s="6">
        <v>0</v>
      </c>
      <c r="I57" s="6">
        <v>10.37</v>
      </c>
      <c r="J57" s="6">
        <v>0.24</v>
      </c>
      <c r="K57" s="6">
        <v>243.24</v>
      </c>
      <c r="L57" s="6">
        <v>21.57</v>
      </c>
      <c r="M57" s="6">
        <v>32.729999999999997</v>
      </c>
      <c r="N57" s="6">
        <v>142.80000000000001</v>
      </c>
      <c r="O57" s="6">
        <v>0</v>
      </c>
      <c r="P57" s="6">
        <v>0.39</v>
      </c>
      <c r="Q57" s="6">
        <v>10</v>
      </c>
      <c r="R57" s="6"/>
      <c r="S57" s="6"/>
      <c r="T57" s="156"/>
      <c r="U57" s="6"/>
    </row>
    <row r="58" spans="1:21" customFormat="1">
      <c r="A58" s="201" t="s">
        <v>769</v>
      </c>
      <c r="B58" s="6">
        <v>2.38</v>
      </c>
      <c r="C58" s="6">
        <v>7.59</v>
      </c>
      <c r="D58" s="6">
        <v>9.98</v>
      </c>
      <c r="E58" s="6">
        <v>5.32</v>
      </c>
      <c r="F58" s="6">
        <v>5.22</v>
      </c>
      <c r="G58" s="6">
        <v>0</v>
      </c>
      <c r="H58" s="6">
        <v>0</v>
      </c>
      <c r="I58" s="6">
        <v>10.3</v>
      </c>
      <c r="J58" s="6">
        <v>0.24</v>
      </c>
      <c r="K58" s="6">
        <v>232.28</v>
      </c>
      <c r="L58" s="6">
        <v>21.7</v>
      </c>
      <c r="M58" s="6">
        <v>31.08</v>
      </c>
      <c r="N58" s="6">
        <v>230.2</v>
      </c>
      <c r="O58" s="6">
        <v>0</v>
      </c>
      <c r="P58" s="6">
        <v>0.39</v>
      </c>
      <c r="Q58" s="6">
        <v>10</v>
      </c>
      <c r="R58" s="6"/>
      <c r="S58" s="6"/>
      <c r="T58" s="156"/>
      <c r="U58" s="6"/>
    </row>
    <row r="59" spans="1:21" customFormat="1">
      <c r="A59" s="201" t="s">
        <v>770</v>
      </c>
      <c r="B59" s="6">
        <v>2.2599999999999998</v>
      </c>
      <c r="C59" s="6">
        <v>7.34</v>
      </c>
      <c r="D59" s="6">
        <v>9.6</v>
      </c>
      <c r="E59" s="6">
        <v>5.39</v>
      </c>
      <c r="F59" s="6">
        <v>6.73</v>
      </c>
      <c r="G59" s="6">
        <v>31.01</v>
      </c>
      <c r="H59" s="6">
        <v>24.39</v>
      </c>
      <c r="I59" s="6">
        <v>10.01</v>
      </c>
      <c r="J59" s="6">
        <v>0.25</v>
      </c>
      <c r="K59" s="6">
        <v>250.24</v>
      </c>
      <c r="L59" s="6">
        <v>24.7</v>
      </c>
      <c r="M59" s="6">
        <v>33.49</v>
      </c>
      <c r="N59" s="6">
        <v>474.1</v>
      </c>
      <c r="O59" s="6">
        <v>0</v>
      </c>
      <c r="P59" s="6">
        <v>0.38</v>
      </c>
      <c r="Q59" s="6">
        <v>10</v>
      </c>
      <c r="R59" s="6"/>
      <c r="S59" s="6"/>
      <c r="T59" s="156"/>
      <c r="U59" s="6"/>
    </row>
    <row r="60" spans="1:21" customFormat="1">
      <c r="A60" s="201" t="s">
        <v>771</v>
      </c>
      <c r="B60" s="6">
        <v>2.17</v>
      </c>
      <c r="C60" s="6">
        <v>7.26</v>
      </c>
      <c r="D60" s="6">
        <v>9.43</v>
      </c>
      <c r="E60" s="6">
        <v>5.97</v>
      </c>
      <c r="F60" s="6">
        <v>11.62</v>
      </c>
      <c r="G60" s="6">
        <v>39.869999999999997</v>
      </c>
      <c r="H60" s="6">
        <v>24.39</v>
      </c>
      <c r="I60" s="6">
        <v>9.2899999999999991</v>
      </c>
      <c r="J60" s="6">
        <v>0.26</v>
      </c>
      <c r="K60" s="6">
        <v>276.25</v>
      </c>
      <c r="L60" s="6">
        <v>24.49</v>
      </c>
      <c r="M60" s="6">
        <v>29.28</v>
      </c>
      <c r="N60" s="6">
        <v>601.9</v>
      </c>
      <c r="O60" s="6">
        <v>0</v>
      </c>
      <c r="P60" s="6">
        <v>0.36</v>
      </c>
      <c r="Q60" s="6">
        <v>10</v>
      </c>
      <c r="R60" s="6"/>
      <c r="S60" s="6"/>
      <c r="T60" s="156"/>
      <c r="U60" s="6"/>
    </row>
    <row r="61" spans="1:21" customFormat="1">
      <c r="A61" s="201" t="s">
        <v>772</v>
      </c>
      <c r="B61" s="6">
        <v>2.02</v>
      </c>
      <c r="C61" s="6">
        <v>7.53</v>
      </c>
      <c r="D61" s="6">
        <v>9.5500000000000007</v>
      </c>
      <c r="E61" s="6">
        <v>7.04</v>
      </c>
      <c r="F61" s="6">
        <v>12.08</v>
      </c>
      <c r="G61" s="6">
        <v>39.869999999999997</v>
      </c>
      <c r="H61" s="6">
        <v>24.39</v>
      </c>
      <c r="I61" s="6">
        <v>7.35</v>
      </c>
      <c r="J61" s="6">
        <v>0.28999999999999998</v>
      </c>
      <c r="K61" s="6">
        <v>243.79</v>
      </c>
      <c r="L61" s="6">
        <v>23.01</v>
      </c>
      <c r="M61" s="6">
        <v>33.74</v>
      </c>
      <c r="N61" s="6">
        <v>253.7</v>
      </c>
      <c r="O61" s="6">
        <v>0</v>
      </c>
      <c r="P61" s="6">
        <v>0.35</v>
      </c>
      <c r="Q61" s="6">
        <v>10</v>
      </c>
      <c r="R61" s="6"/>
      <c r="S61" s="6"/>
      <c r="T61" s="156"/>
      <c r="U61" s="6"/>
    </row>
    <row r="62" spans="1:21" customFormat="1">
      <c r="A62" s="201" t="s">
        <v>773</v>
      </c>
      <c r="B62" s="6">
        <v>1.91</v>
      </c>
      <c r="C62" s="6">
        <v>7.56</v>
      </c>
      <c r="D62" s="6">
        <v>9.4700000000000006</v>
      </c>
      <c r="E62" s="6">
        <v>6.44</v>
      </c>
      <c r="F62" s="6">
        <v>12.17</v>
      </c>
      <c r="G62" s="6">
        <v>39.869999999999997</v>
      </c>
      <c r="H62" s="6">
        <v>24.39</v>
      </c>
      <c r="I62" s="6">
        <v>7.29</v>
      </c>
      <c r="J62" s="6">
        <v>0.23</v>
      </c>
      <c r="K62" s="6">
        <v>203.64</v>
      </c>
      <c r="L62" s="6">
        <v>21.71</v>
      </c>
      <c r="M62" s="6">
        <v>30.74</v>
      </c>
      <c r="N62" s="6">
        <v>246.4</v>
      </c>
      <c r="O62" s="6">
        <v>0</v>
      </c>
      <c r="P62" s="6">
        <v>0.35</v>
      </c>
      <c r="Q62" s="6">
        <v>10</v>
      </c>
      <c r="R62" s="6"/>
      <c r="S62" s="6"/>
      <c r="T62" s="156"/>
      <c r="U62" s="6"/>
    </row>
    <row r="63" spans="1:21" customFormat="1">
      <c r="A63" s="201" t="s">
        <v>774</v>
      </c>
      <c r="B63" s="6">
        <v>1.89</v>
      </c>
      <c r="C63" s="6">
        <v>7.66</v>
      </c>
      <c r="D63" s="6">
        <v>9.5500000000000007</v>
      </c>
      <c r="E63" s="6">
        <v>6.85</v>
      </c>
      <c r="F63" s="6">
        <v>8.92</v>
      </c>
      <c r="G63" s="6">
        <v>36.159999999999997</v>
      </c>
      <c r="H63" s="6">
        <v>18.16</v>
      </c>
      <c r="I63" s="6">
        <v>8.57</v>
      </c>
      <c r="J63" s="6">
        <v>0.24</v>
      </c>
      <c r="K63" s="6">
        <v>143.27000000000001</v>
      </c>
      <c r="L63" s="6">
        <v>17.59</v>
      </c>
      <c r="M63" s="6">
        <v>22.54</v>
      </c>
      <c r="N63" s="6">
        <v>153</v>
      </c>
      <c r="O63" s="6">
        <v>0</v>
      </c>
      <c r="P63" s="6">
        <v>0.37</v>
      </c>
      <c r="Q63" s="6">
        <v>10</v>
      </c>
      <c r="R63" s="6"/>
      <c r="S63" s="6"/>
      <c r="T63" s="156"/>
      <c r="U63" s="6"/>
    </row>
    <row r="64" spans="1:21" customFormat="1">
      <c r="A64" s="201" t="s">
        <v>775</v>
      </c>
      <c r="B64" s="6">
        <v>1.96</v>
      </c>
      <c r="C64" s="6">
        <v>7.86</v>
      </c>
      <c r="D64" s="6">
        <v>9.82</v>
      </c>
      <c r="E64" s="6">
        <v>7.03</v>
      </c>
      <c r="F64" s="6">
        <v>9.9</v>
      </c>
      <c r="G64" s="6">
        <v>35.090000000000003</v>
      </c>
      <c r="H64" s="6">
        <v>18.16</v>
      </c>
      <c r="I64" s="6">
        <v>8.42</v>
      </c>
      <c r="J64" s="6">
        <v>0.26</v>
      </c>
      <c r="K64" s="6">
        <v>148.84</v>
      </c>
      <c r="L64" s="6">
        <v>16.22</v>
      </c>
      <c r="M64" s="6">
        <v>18.37</v>
      </c>
      <c r="N64" s="6">
        <v>188</v>
      </c>
      <c r="O64" s="6">
        <v>0</v>
      </c>
      <c r="P64" s="6">
        <v>0.38</v>
      </c>
      <c r="Q64" s="6">
        <v>10</v>
      </c>
      <c r="R64" s="6"/>
      <c r="S64" s="6"/>
      <c r="T64" s="156"/>
      <c r="U64" s="6"/>
    </row>
    <row r="65" spans="1:21" customFormat="1">
      <c r="A65" s="201" t="s">
        <v>776</v>
      </c>
      <c r="B65" s="6">
        <v>2.06</v>
      </c>
      <c r="C65" s="6">
        <v>8.0500000000000007</v>
      </c>
      <c r="D65" s="6">
        <v>10.11</v>
      </c>
      <c r="E65" s="6">
        <v>6.75</v>
      </c>
      <c r="F65" s="6">
        <v>11.47</v>
      </c>
      <c r="G65" s="6">
        <v>35.090000000000003</v>
      </c>
      <c r="H65" s="6">
        <v>18.16</v>
      </c>
      <c r="I65" s="6">
        <v>8.51</v>
      </c>
      <c r="J65" s="6">
        <v>0.06</v>
      </c>
      <c r="K65" s="6">
        <v>280.02</v>
      </c>
      <c r="L65" s="6">
        <v>22.19</v>
      </c>
      <c r="M65" s="6">
        <v>28.35</v>
      </c>
      <c r="N65" s="6">
        <v>396.7</v>
      </c>
      <c r="O65" s="6">
        <v>0</v>
      </c>
      <c r="P65" s="6">
        <v>0.43</v>
      </c>
      <c r="Q65" s="6">
        <v>10</v>
      </c>
      <c r="R65" s="6"/>
      <c r="S65" s="6"/>
      <c r="T65" s="156"/>
      <c r="U65" s="6"/>
    </row>
    <row r="66" spans="1:21" customFormat="1">
      <c r="A66" s="201" t="s">
        <v>777</v>
      </c>
      <c r="B66" s="6">
        <v>2</v>
      </c>
      <c r="C66" s="6">
        <v>8.2899999999999991</v>
      </c>
      <c r="D66" s="6">
        <v>10.29</v>
      </c>
      <c r="E66" s="6">
        <v>8.14</v>
      </c>
      <c r="F66" s="6">
        <v>16.52</v>
      </c>
      <c r="G66" s="6">
        <v>35.090000000000003</v>
      </c>
      <c r="H66" s="6">
        <v>18.16</v>
      </c>
      <c r="I66" s="6">
        <v>8.77</v>
      </c>
      <c r="J66" s="6">
        <v>0.23</v>
      </c>
      <c r="K66" s="6">
        <v>168.88</v>
      </c>
      <c r="L66" s="6">
        <v>18.41</v>
      </c>
      <c r="M66" s="6">
        <v>24.81</v>
      </c>
      <c r="N66" s="6">
        <v>148.4</v>
      </c>
      <c r="O66" s="6">
        <v>0</v>
      </c>
      <c r="P66" s="6">
        <v>0.44</v>
      </c>
      <c r="Q66" s="6">
        <v>10</v>
      </c>
      <c r="R66" s="6"/>
      <c r="S66" s="6"/>
      <c r="T66" s="156"/>
      <c r="U66" s="6"/>
    </row>
    <row r="67" spans="1:21" customFormat="1">
      <c r="A67" s="201" t="s">
        <v>778</v>
      </c>
      <c r="B67" s="6">
        <v>1.85</v>
      </c>
      <c r="C67" s="6">
        <v>7.84</v>
      </c>
      <c r="D67" s="6">
        <v>9.69</v>
      </c>
      <c r="E67" s="6">
        <v>7.05</v>
      </c>
      <c r="F67" s="6">
        <v>17.940000000000001</v>
      </c>
      <c r="G67" s="6">
        <v>34.61</v>
      </c>
      <c r="H67" s="6">
        <v>21.04</v>
      </c>
      <c r="I67" s="6">
        <v>8.7899999999999991</v>
      </c>
      <c r="J67" s="6">
        <v>0.11</v>
      </c>
      <c r="K67" s="6">
        <v>161.03</v>
      </c>
      <c r="L67" s="6">
        <v>16.84</v>
      </c>
      <c r="M67" s="6">
        <v>23.29</v>
      </c>
      <c r="N67" s="6">
        <v>44.1</v>
      </c>
      <c r="O67" s="6">
        <v>0</v>
      </c>
      <c r="P67" s="6">
        <v>0.46</v>
      </c>
      <c r="Q67" s="6">
        <v>10</v>
      </c>
      <c r="R67" s="6"/>
      <c r="S67" s="6"/>
      <c r="T67" s="156"/>
      <c r="U67" s="6"/>
    </row>
    <row r="68" spans="1:21" customFormat="1">
      <c r="A68" s="201" t="s">
        <v>779</v>
      </c>
      <c r="B68" s="6">
        <v>1.73</v>
      </c>
      <c r="C68" s="6">
        <v>7.47</v>
      </c>
      <c r="D68" s="6">
        <v>9.1999999999999993</v>
      </c>
      <c r="E68" s="6">
        <v>6.18</v>
      </c>
      <c r="F68" s="6">
        <v>18.18</v>
      </c>
      <c r="G68" s="6">
        <v>34.47</v>
      </c>
      <c r="H68" s="6">
        <v>21.04</v>
      </c>
      <c r="I68" s="6">
        <v>8.51</v>
      </c>
      <c r="J68" s="6">
        <v>0.13</v>
      </c>
      <c r="K68" s="6">
        <v>230.26</v>
      </c>
      <c r="L68" s="6">
        <v>20.13</v>
      </c>
      <c r="M68" s="6">
        <v>31.87</v>
      </c>
      <c r="N68" s="6">
        <v>34.5</v>
      </c>
      <c r="O68" s="6">
        <v>0</v>
      </c>
      <c r="P68" s="6">
        <v>0.46</v>
      </c>
      <c r="Q68" s="6">
        <v>10</v>
      </c>
      <c r="R68" s="6"/>
      <c r="S68" s="6"/>
      <c r="T68" s="156"/>
      <c r="U68" s="6"/>
    </row>
    <row r="69" spans="1:21" customFormat="1">
      <c r="A69" s="201" t="s">
        <v>780</v>
      </c>
      <c r="B69" s="6">
        <v>1.59</v>
      </c>
      <c r="C69" s="6">
        <v>7.35</v>
      </c>
      <c r="D69" s="6">
        <v>8.94</v>
      </c>
      <c r="E69" s="6">
        <v>4.8099999999999996</v>
      </c>
      <c r="F69" s="6">
        <v>11.62</v>
      </c>
      <c r="G69" s="6">
        <v>34.47</v>
      </c>
      <c r="H69" s="6">
        <v>21.04</v>
      </c>
      <c r="I69" s="6">
        <v>8.27</v>
      </c>
      <c r="J69" s="6">
        <v>0.2</v>
      </c>
      <c r="K69" s="6">
        <v>243.22</v>
      </c>
      <c r="L69" s="6">
        <v>21.4</v>
      </c>
      <c r="M69" s="6">
        <v>35.17</v>
      </c>
      <c r="N69" s="6">
        <v>27.2</v>
      </c>
      <c r="O69" s="6">
        <v>0</v>
      </c>
      <c r="P69" s="6">
        <v>0.46</v>
      </c>
      <c r="Q69" s="6">
        <v>10</v>
      </c>
      <c r="R69" s="6"/>
      <c r="S69" s="6"/>
      <c r="T69" s="156"/>
      <c r="U69" s="6"/>
    </row>
    <row r="70" spans="1:21" customFormat="1">
      <c r="A70" s="201" t="s">
        <v>781</v>
      </c>
      <c r="B70" s="6">
        <v>1.55</v>
      </c>
      <c r="C70" s="6">
        <v>7.28</v>
      </c>
      <c r="D70" s="6">
        <v>8.83</v>
      </c>
      <c r="E70" s="6">
        <v>4.42</v>
      </c>
      <c r="F70" s="6">
        <v>8.57</v>
      </c>
      <c r="G70" s="6">
        <v>34.47</v>
      </c>
      <c r="H70" s="6">
        <v>21.04</v>
      </c>
      <c r="I70" s="6">
        <v>8.3000000000000007</v>
      </c>
      <c r="J70" s="6">
        <v>0.46</v>
      </c>
      <c r="K70" s="6">
        <v>253.19</v>
      </c>
      <c r="L70" s="6">
        <v>22.84</v>
      </c>
      <c r="M70" s="6">
        <v>38.590000000000003</v>
      </c>
      <c r="N70" s="6">
        <v>35.5</v>
      </c>
      <c r="O70" s="6">
        <v>0</v>
      </c>
      <c r="P70" s="6">
        <v>0.46</v>
      </c>
      <c r="Q70" s="6">
        <v>10</v>
      </c>
      <c r="R70" s="6"/>
      <c r="S70" s="6"/>
      <c r="T70" s="156"/>
      <c r="U70" s="6"/>
    </row>
    <row r="71" spans="1:21" customFormat="1">
      <c r="A71" s="201" t="s">
        <v>782</v>
      </c>
      <c r="B71" s="6">
        <v>1.66</v>
      </c>
      <c r="C71" s="6">
        <v>7.18</v>
      </c>
      <c r="D71" s="6">
        <v>8.84</v>
      </c>
      <c r="E71" s="6">
        <v>4.29</v>
      </c>
      <c r="F71" s="6">
        <v>8.81</v>
      </c>
      <c r="G71" s="6">
        <v>40.08</v>
      </c>
      <c r="H71" s="6">
        <v>18.12</v>
      </c>
      <c r="I71" s="6">
        <v>8.64</v>
      </c>
      <c r="J71" s="6">
        <v>0.36</v>
      </c>
      <c r="K71" s="6">
        <v>255.15</v>
      </c>
      <c r="L71" s="6">
        <v>22.66</v>
      </c>
      <c r="M71" s="6">
        <v>37.58</v>
      </c>
      <c r="N71" s="6">
        <v>55.5</v>
      </c>
      <c r="O71" s="6">
        <v>0</v>
      </c>
      <c r="P71" s="6">
        <v>0.45</v>
      </c>
      <c r="Q71" s="6">
        <v>10</v>
      </c>
      <c r="R71" s="6"/>
      <c r="S71" s="6"/>
      <c r="T71" s="156"/>
      <c r="U71" s="6"/>
    </row>
    <row r="72" spans="1:21" customFormat="1">
      <c r="A72" s="201" t="s">
        <v>783</v>
      </c>
      <c r="B72" s="6">
        <v>1.86</v>
      </c>
      <c r="C72" s="6">
        <v>6.86</v>
      </c>
      <c r="D72" s="6">
        <v>8.7200000000000006</v>
      </c>
      <c r="E72" s="6">
        <v>4.1900000000000004</v>
      </c>
      <c r="F72" s="6">
        <v>3.7</v>
      </c>
      <c r="G72" s="6">
        <v>41.69</v>
      </c>
      <c r="H72" s="6">
        <v>18.12</v>
      </c>
      <c r="I72" s="6">
        <v>9.0500000000000007</v>
      </c>
      <c r="J72" s="6">
        <v>0.25</v>
      </c>
      <c r="K72" s="6">
        <v>253.18</v>
      </c>
      <c r="L72" s="6">
        <v>22.6</v>
      </c>
      <c r="M72" s="6">
        <v>37.659999999999997</v>
      </c>
      <c r="N72" s="6">
        <v>48.2</v>
      </c>
      <c r="O72" s="6">
        <v>0</v>
      </c>
      <c r="P72" s="6">
        <v>0.46</v>
      </c>
      <c r="Q72" s="6">
        <v>10</v>
      </c>
      <c r="R72" s="6"/>
      <c r="S72" s="6"/>
      <c r="T72" s="156"/>
      <c r="U72" s="6"/>
    </row>
    <row r="73" spans="1:21" customFormat="1">
      <c r="A73" s="201" t="s">
        <v>784</v>
      </c>
      <c r="B73" s="6">
        <v>1.98</v>
      </c>
      <c r="C73" s="6">
        <v>6.51</v>
      </c>
      <c r="D73" s="6">
        <v>8.49</v>
      </c>
      <c r="E73" s="6">
        <v>4.18</v>
      </c>
      <c r="F73" s="6">
        <v>4.3099999999999996</v>
      </c>
      <c r="G73" s="6">
        <v>41.69</v>
      </c>
      <c r="H73" s="6">
        <v>18.12</v>
      </c>
      <c r="I73" s="6">
        <v>9.1199999999999992</v>
      </c>
      <c r="J73" s="6">
        <v>0.36</v>
      </c>
      <c r="K73" s="6">
        <v>249.27</v>
      </c>
      <c r="L73" s="6">
        <v>22.45</v>
      </c>
      <c r="M73" s="6">
        <v>37.68</v>
      </c>
      <c r="N73" s="6">
        <v>32.700000000000003</v>
      </c>
      <c r="O73" s="6">
        <v>0</v>
      </c>
      <c r="P73" s="6">
        <v>0.45</v>
      </c>
      <c r="Q73" s="6">
        <v>10</v>
      </c>
      <c r="R73" s="6"/>
      <c r="S73" s="6"/>
      <c r="T73" s="156"/>
      <c r="U73" s="6"/>
    </row>
    <row r="74" spans="1:21" customFormat="1">
      <c r="A74" s="201" t="s">
        <v>785</v>
      </c>
      <c r="B74" s="6">
        <v>2.09</v>
      </c>
      <c r="C74" s="6">
        <v>6.3</v>
      </c>
      <c r="D74" s="6">
        <v>8.3800000000000008</v>
      </c>
      <c r="E74" s="6">
        <v>3.97</v>
      </c>
      <c r="F74" s="6">
        <v>4.55</v>
      </c>
      <c r="G74" s="6">
        <v>41.69</v>
      </c>
      <c r="H74" s="6">
        <v>18.12</v>
      </c>
      <c r="I74" s="6">
        <v>9.1</v>
      </c>
      <c r="J74" s="6">
        <v>0.21</v>
      </c>
      <c r="K74" s="6">
        <v>230.39</v>
      </c>
      <c r="L74" s="6">
        <v>20.23</v>
      </c>
      <c r="M74" s="6">
        <v>32.26</v>
      </c>
      <c r="N74" s="6">
        <v>24.8</v>
      </c>
      <c r="O74" s="6">
        <v>0</v>
      </c>
      <c r="P74" s="6">
        <v>0.44</v>
      </c>
      <c r="Q74" s="6">
        <v>10</v>
      </c>
      <c r="R74" s="6"/>
      <c r="S74" s="6"/>
      <c r="T74" s="156"/>
      <c r="U74" s="6"/>
    </row>
    <row r="75" spans="1:21" customFormat="1">
      <c r="A75" s="201" t="s">
        <v>786</v>
      </c>
      <c r="B75" s="6">
        <v>2.2400000000000002</v>
      </c>
      <c r="C75" s="6">
        <v>6.31</v>
      </c>
      <c r="D75" s="6">
        <v>8.5500000000000007</v>
      </c>
      <c r="E75" s="6">
        <v>4.28</v>
      </c>
      <c r="F75" s="6">
        <v>2.2599999999999998</v>
      </c>
      <c r="G75" s="6">
        <v>34.92</v>
      </c>
      <c r="H75" s="6">
        <v>13.19</v>
      </c>
      <c r="I75" s="6">
        <v>9.06</v>
      </c>
      <c r="J75" s="6">
        <v>0.17</v>
      </c>
      <c r="K75" s="6">
        <v>223.21</v>
      </c>
      <c r="L75" s="6">
        <v>18.95</v>
      </c>
      <c r="M75" s="6">
        <v>29.2</v>
      </c>
      <c r="N75" s="6">
        <v>19.899999999999999</v>
      </c>
      <c r="O75" s="6">
        <v>0</v>
      </c>
      <c r="P75" s="6">
        <v>0.46</v>
      </c>
      <c r="Q75" s="6">
        <v>10</v>
      </c>
      <c r="R75" s="6"/>
      <c r="S75" s="6"/>
      <c r="T75" s="156"/>
      <c r="U75" s="6"/>
    </row>
    <row r="76" spans="1:21" customFormat="1">
      <c r="A76" s="201" t="s">
        <v>787</v>
      </c>
      <c r="B76" s="6">
        <v>2.42</v>
      </c>
      <c r="C76" s="6">
        <v>6.08</v>
      </c>
      <c r="D76" s="6">
        <v>8.5</v>
      </c>
      <c r="E76" s="6">
        <v>4.45</v>
      </c>
      <c r="F76" s="6">
        <v>2.0699999999999998</v>
      </c>
      <c r="G76" s="6">
        <v>32.99</v>
      </c>
      <c r="H76" s="6">
        <v>13.19</v>
      </c>
      <c r="I76" s="6">
        <v>8.98</v>
      </c>
      <c r="J76" s="6">
        <v>0.13</v>
      </c>
      <c r="K76" s="6">
        <v>204.54</v>
      </c>
      <c r="L76" s="6">
        <v>18.7</v>
      </c>
      <c r="M76" s="6">
        <v>28.87</v>
      </c>
      <c r="N76" s="6">
        <v>9.9</v>
      </c>
      <c r="O76" s="6">
        <v>0</v>
      </c>
      <c r="P76" s="6">
        <v>0.46</v>
      </c>
      <c r="Q76" s="6">
        <v>10</v>
      </c>
      <c r="R76" s="6"/>
      <c r="S76" s="6"/>
      <c r="T76" s="156"/>
      <c r="U76" s="6"/>
    </row>
    <row r="77" spans="1:21" customFormat="1">
      <c r="A77" s="201" t="s">
        <v>788</v>
      </c>
      <c r="B77" s="6">
        <v>2.54</v>
      </c>
      <c r="C77" s="6">
        <v>5.94</v>
      </c>
      <c r="D77" s="6">
        <v>8.48</v>
      </c>
      <c r="E77" s="6">
        <v>4.3099999999999996</v>
      </c>
      <c r="F77" s="6">
        <v>2.5299999999999998</v>
      </c>
      <c r="G77" s="6">
        <v>32.99</v>
      </c>
      <c r="H77" s="6">
        <v>13.19</v>
      </c>
      <c r="I77" s="6">
        <v>8.73</v>
      </c>
      <c r="J77" s="6">
        <v>0.12</v>
      </c>
      <c r="K77" s="6">
        <v>236.08</v>
      </c>
      <c r="L77" s="6">
        <v>20.36</v>
      </c>
      <c r="M77" s="6">
        <v>33.15</v>
      </c>
      <c r="N77" s="6">
        <v>5.0999999999999996</v>
      </c>
      <c r="O77" s="6">
        <v>0</v>
      </c>
      <c r="P77" s="6">
        <v>0.43</v>
      </c>
      <c r="Q77" s="6">
        <v>10</v>
      </c>
      <c r="R77" s="6"/>
      <c r="S77" s="6"/>
      <c r="T77" s="156"/>
      <c r="U77" s="6"/>
    </row>
    <row r="78" spans="1:21" customFormat="1">
      <c r="A78" s="201" t="s">
        <v>789</v>
      </c>
      <c r="B78" s="6">
        <v>2.68</v>
      </c>
      <c r="C78" s="6">
        <v>5.9</v>
      </c>
      <c r="D78" s="6">
        <v>8.58</v>
      </c>
      <c r="E78" s="6">
        <v>4.21</v>
      </c>
      <c r="F78" s="6">
        <v>2.54</v>
      </c>
      <c r="G78" s="6">
        <v>32.99</v>
      </c>
      <c r="H78" s="6">
        <v>13.19</v>
      </c>
      <c r="I78" s="6">
        <v>6.94</v>
      </c>
      <c r="J78" s="6">
        <v>0.2</v>
      </c>
      <c r="K78" s="6">
        <v>244.57</v>
      </c>
      <c r="L78" s="6">
        <v>21.1</v>
      </c>
      <c r="M78" s="6">
        <v>34.97</v>
      </c>
      <c r="N78" s="6">
        <v>4</v>
      </c>
      <c r="O78" s="6">
        <v>0</v>
      </c>
      <c r="P78" s="6">
        <v>0.43</v>
      </c>
      <c r="Q78" s="6">
        <v>10</v>
      </c>
      <c r="R78" s="6"/>
      <c r="S78" s="6"/>
      <c r="T78" s="156"/>
      <c r="U78" s="6"/>
    </row>
    <row r="79" spans="1:21" customFormat="1">
      <c r="A79" s="201" t="s">
        <v>790</v>
      </c>
      <c r="B79" s="6">
        <v>2.85</v>
      </c>
      <c r="C79" s="6">
        <v>6.06</v>
      </c>
      <c r="D79" s="6">
        <v>8.91</v>
      </c>
      <c r="E79" s="6">
        <v>4.28</v>
      </c>
      <c r="F79" s="6">
        <v>3.04</v>
      </c>
      <c r="G79" s="6">
        <v>31.22</v>
      </c>
      <c r="H79" s="6">
        <v>9.41</v>
      </c>
      <c r="I79" s="6">
        <v>7.99</v>
      </c>
      <c r="J79" s="6">
        <v>0.34</v>
      </c>
      <c r="K79" s="6">
        <v>251.14</v>
      </c>
      <c r="L79" s="6">
        <v>22.66</v>
      </c>
      <c r="M79" s="6">
        <v>38.880000000000003</v>
      </c>
      <c r="N79" s="6">
        <v>3.2</v>
      </c>
      <c r="O79" s="6">
        <v>0</v>
      </c>
      <c r="P79" s="6">
        <v>0.43</v>
      </c>
      <c r="Q79" s="6">
        <v>10</v>
      </c>
      <c r="R79" s="6"/>
      <c r="S79" s="6"/>
      <c r="T79" s="156"/>
      <c r="U79" s="6"/>
    </row>
    <row r="80" spans="1:21" customFormat="1">
      <c r="A80" s="201" t="s">
        <v>791</v>
      </c>
      <c r="B80" s="6">
        <v>3.1</v>
      </c>
      <c r="C80" s="6">
        <v>6.25</v>
      </c>
      <c r="D80" s="6">
        <v>9.35</v>
      </c>
      <c r="E80" s="6">
        <v>4.16</v>
      </c>
      <c r="F80" s="6">
        <v>2.98</v>
      </c>
      <c r="G80" s="6">
        <v>30.72</v>
      </c>
      <c r="H80" s="6">
        <v>9.41</v>
      </c>
      <c r="I80" s="6">
        <v>7.98</v>
      </c>
      <c r="J80" s="6">
        <v>0.27</v>
      </c>
      <c r="K80" s="6">
        <v>312.32</v>
      </c>
      <c r="L80" s="6">
        <v>24.89</v>
      </c>
      <c r="M80" s="6">
        <v>44.28</v>
      </c>
      <c r="N80" s="6">
        <v>2.4</v>
      </c>
      <c r="O80" s="6">
        <v>0</v>
      </c>
      <c r="P80" s="6">
        <v>0.42</v>
      </c>
      <c r="Q80" s="6">
        <v>10</v>
      </c>
      <c r="R80" s="6"/>
      <c r="S80" s="6"/>
      <c r="T80" s="156"/>
      <c r="U80" s="6"/>
    </row>
    <row r="81" spans="1:21" customFormat="1">
      <c r="A81" s="201" t="s">
        <v>792</v>
      </c>
      <c r="B81" s="6">
        <v>3.63</v>
      </c>
      <c r="C81" s="6">
        <v>6.39</v>
      </c>
      <c r="D81" s="6">
        <v>10.02</v>
      </c>
      <c r="E81" s="6">
        <v>4.1399999999999997</v>
      </c>
      <c r="F81" s="6">
        <v>2.15</v>
      </c>
      <c r="G81" s="6">
        <v>30.72</v>
      </c>
      <c r="H81" s="6">
        <v>9.41</v>
      </c>
      <c r="I81" s="6">
        <v>8.01</v>
      </c>
      <c r="J81" s="6">
        <v>0.52</v>
      </c>
      <c r="K81" s="6">
        <v>284.04000000000002</v>
      </c>
      <c r="L81" s="6">
        <v>24.65</v>
      </c>
      <c r="M81" s="6">
        <v>43.8</v>
      </c>
      <c r="N81" s="6">
        <v>2.5</v>
      </c>
      <c r="O81" s="6">
        <v>0</v>
      </c>
      <c r="P81" s="6">
        <v>0.45</v>
      </c>
      <c r="Q81" s="6">
        <v>10</v>
      </c>
      <c r="R81" s="6"/>
      <c r="S81" s="6"/>
      <c r="T81" s="156"/>
      <c r="U81" s="6"/>
    </row>
    <row r="82" spans="1:21" customFormat="1">
      <c r="A82" s="201" t="s">
        <v>793</v>
      </c>
      <c r="B82" s="6">
        <v>4.24</v>
      </c>
      <c r="C82" s="6">
        <v>6.99</v>
      </c>
      <c r="D82" s="6">
        <v>11.22</v>
      </c>
      <c r="E82" s="6">
        <v>5.0199999999999996</v>
      </c>
      <c r="F82" s="6">
        <v>2.21</v>
      </c>
      <c r="G82" s="6">
        <v>30.72</v>
      </c>
      <c r="H82" s="6">
        <v>9.41</v>
      </c>
      <c r="I82" s="6">
        <v>8.06</v>
      </c>
      <c r="J82" s="6">
        <v>0.56000000000000005</v>
      </c>
      <c r="K82" s="6">
        <v>319.3</v>
      </c>
      <c r="L82" s="6">
        <v>27.58</v>
      </c>
      <c r="M82" s="6">
        <v>51.01</v>
      </c>
      <c r="N82" s="6">
        <v>2.8</v>
      </c>
      <c r="O82" s="6">
        <v>0</v>
      </c>
      <c r="P82" s="6">
        <v>0.46</v>
      </c>
      <c r="Q82" s="6">
        <v>10</v>
      </c>
      <c r="R82" s="6"/>
      <c r="S82" s="6"/>
      <c r="T82" s="156"/>
      <c r="U82" s="6"/>
    </row>
    <row r="83" spans="1:21" customFormat="1">
      <c r="A83" s="201" t="s">
        <v>794</v>
      </c>
      <c r="B83" s="6">
        <v>4.5</v>
      </c>
      <c r="C83" s="6">
        <v>7.1</v>
      </c>
      <c r="D83" s="6">
        <v>11.61</v>
      </c>
      <c r="E83" s="6">
        <v>4.67</v>
      </c>
      <c r="F83" s="6">
        <v>2.67</v>
      </c>
      <c r="G83" s="6">
        <v>33.909999999999997</v>
      </c>
      <c r="H83" s="6">
        <v>7.96</v>
      </c>
      <c r="I83" s="6">
        <v>8.2100000000000009</v>
      </c>
      <c r="J83" s="6">
        <v>0.2</v>
      </c>
      <c r="K83" s="6">
        <v>24.44</v>
      </c>
      <c r="L83" s="6">
        <v>12.03</v>
      </c>
      <c r="M83" s="6">
        <v>11.92</v>
      </c>
      <c r="N83" s="6">
        <v>2.7</v>
      </c>
      <c r="O83" s="6">
        <v>0</v>
      </c>
      <c r="P83" s="6">
        <v>0.46</v>
      </c>
      <c r="Q83" s="6">
        <v>10</v>
      </c>
      <c r="R83" s="6"/>
      <c r="S83" s="6"/>
      <c r="T83" s="156"/>
      <c r="U83" s="6"/>
    </row>
    <row r="84" spans="1:21" customFormat="1">
      <c r="A84" s="201" t="s">
        <v>795</v>
      </c>
      <c r="B84" s="6">
        <v>4.71</v>
      </c>
      <c r="C84" s="6">
        <v>6.87</v>
      </c>
      <c r="D84" s="6">
        <v>11.57</v>
      </c>
      <c r="E84" s="6">
        <v>5.25</v>
      </c>
      <c r="F84" s="6">
        <v>2.02</v>
      </c>
      <c r="G84" s="6">
        <v>34.82</v>
      </c>
      <c r="H84" s="6">
        <v>7.96</v>
      </c>
      <c r="I84" s="6">
        <v>8.35</v>
      </c>
      <c r="J84" s="6">
        <v>0.06</v>
      </c>
      <c r="K84" s="6">
        <v>201.66</v>
      </c>
      <c r="L84" s="6">
        <v>18.350000000000001</v>
      </c>
      <c r="M84" s="6">
        <v>28.06</v>
      </c>
      <c r="N84" s="6">
        <v>2.5</v>
      </c>
      <c r="O84" s="6">
        <v>0</v>
      </c>
      <c r="P84" s="6">
        <v>0.46</v>
      </c>
      <c r="Q84" s="6">
        <v>10</v>
      </c>
      <c r="R84" s="6"/>
      <c r="S84" s="6"/>
      <c r="T84" s="156"/>
      <c r="U84" s="6"/>
    </row>
    <row r="85" spans="1:21" customFormat="1">
      <c r="A85" s="201" t="s">
        <v>796</v>
      </c>
      <c r="B85" s="6">
        <v>4.87</v>
      </c>
      <c r="C85" s="6">
        <v>6.79</v>
      </c>
      <c r="D85" s="6">
        <v>11.66</v>
      </c>
      <c r="E85" s="6">
        <v>5.29</v>
      </c>
      <c r="F85" s="6">
        <v>2.23</v>
      </c>
      <c r="G85" s="6">
        <v>34.82</v>
      </c>
      <c r="H85" s="6">
        <v>7.96</v>
      </c>
      <c r="I85" s="6">
        <v>8.33</v>
      </c>
      <c r="J85" s="6">
        <v>0.18</v>
      </c>
      <c r="K85" s="6">
        <v>166.31</v>
      </c>
      <c r="L85" s="6">
        <v>16.38</v>
      </c>
      <c r="M85" s="6">
        <v>23.24</v>
      </c>
      <c r="N85" s="6">
        <v>2.2999999999999998</v>
      </c>
      <c r="O85" s="6">
        <v>0</v>
      </c>
      <c r="P85" s="6">
        <v>0.46</v>
      </c>
      <c r="Q85" s="6">
        <v>10</v>
      </c>
      <c r="R85" s="6"/>
      <c r="S85" s="6"/>
      <c r="T85" s="156"/>
      <c r="U85" s="6"/>
    </row>
    <row r="86" spans="1:21" customFormat="1">
      <c r="A86" s="201" t="s">
        <v>797</v>
      </c>
      <c r="B86" s="6">
        <v>4.96</v>
      </c>
      <c r="C86" s="6">
        <v>6.8</v>
      </c>
      <c r="D86" s="6">
        <v>11.76</v>
      </c>
      <c r="E86" s="6">
        <v>5.23</v>
      </c>
      <c r="F86" s="6">
        <v>2.06</v>
      </c>
      <c r="G86" s="6">
        <v>34.82</v>
      </c>
      <c r="H86" s="6">
        <v>7.96</v>
      </c>
      <c r="I86" s="6">
        <v>8.4</v>
      </c>
      <c r="J86" s="6">
        <v>0.13</v>
      </c>
      <c r="K86" s="6">
        <v>211.55</v>
      </c>
      <c r="L86" s="6">
        <v>19.23</v>
      </c>
      <c r="M86" s="6">
        <v>30.37</v>
      </c>
      <c r="N86" s="6">
        <v>2.2999999999999998</v>
      </c>
      <c r="O86" s="6">
        <v>0</v>
      </c>
      <c r="P86" s="6">
        <v>0.45</v>
      </c>
      <c r="Q86" s="6">
        <v>10</v>
      </c>
      <c r="R86" s="6"/>
      <c r="S86" s="6"/>
      <c r="T86" s="156"/>
      <c r="U86" s="6"/>
    </row>
    <row r="87" spans="1:21" customFormat="1">
      <c r="A87" s="201" t="s">
        <v>798</v>
      </c>
      <c r="B87" s="6">
        <v>4.97</v>
      </c>
      <c r="C87" s="6">
        <v>6.75</v>
      </c>
      <c r="D87" s="6">
        <v>11.72</v>
      </c>
      <c r="E87" s="6">
        <v>5.44</v>
      </c>
      <c r="F87" s="6">
        <v>2</v>
      </c>
      <c r="G87" s="6">
        <v>33.020000000000003</v>
      </c>
      <c r="H87" s="6">
        <v>9.3000000000000007</v>
      </c>
      <c r="I87" s="6">
        <v>8.3000000000000007</v>
      </c>
      <c r="J87" s="6">
        <v>0.13</v>
      </c>
      <c r="K87" s="6">
        <v>161.49</v>
      </c>
      <c r="L87" s="6">
        <v>15.96</v>
      </c>
      <c r="M87" s="6">
        <v>22.18</v>
      </c>
      <c r="N87" s="6">
        <v>2.4</v>
      </c>
      <c r="O87" s="6">
        <v>0.2</v>
      </c>
      <c r="P87" s="6">
        <v>0.45</v>
      </c>
      <c r="Q87" s="6">
        <v>10</v>
      </c>
      <c r="R87" s="6"/>
      <c r="S87" s="6"/>
      <c r="T87" s="156"/>
      <c r="U87" s="6"/>
    </row>
    <row r="88" spans="1:21" customFormat="1">
      <c r="A88" s="201" t="s">
        <v>799</v>
      </c>
      <c r="B88" s="6">
        <v>4.96</v>
      </c>
      <c r="C88" s="6">
        <v>6.63</v>
      </c>
      <c r="D88" s="6">
        <v>11.59</v>
      </c>
      <c r="E88" s="6">
        <v>5.91</v>
      </c>
      <c r="F88" s="6">
        <v>2</v>
      </c>
      <c r="G88" s="6">
        <v>32.51</v>
      </c>
      <c r="H88" s="6">
        <v>9.3000000000000007</v>
      </c>
      <c r="I88" s="6">
        <v>8.31</v>
      </c>
      <c r="J88" s="6">
        <v>0.23</v>
      </c>
      <c r="K88" s="6">
        <v>55.65</v>
      </c>
      <c r="L88" s="6">
        <v>8.36</v>
      </c>
      <c r="M88" s="6">
        <v>2.9</v>
      </c>
      <c r="N88" s="6">
        <v>2.4</v>
      </c>
      <c r="O88" s="6">
        <v>0.2</v>
      </c>
      <c r="P88" s="6">
        <v>0.45</v>
      </c>
      <c r="Q88" s="6">
        <v>10</v>
      </c>
      <c r="R88" s="6"/>
      <c r="S88" s="6"/>
      <c r="T88" s="156"/>
      <c r="U88" s="6"/>
    </row>
    <row r="89" spans="1:21" customFormat="1">
      <c r="A89" s="201" t="s">
        <v>800</v>
      </c>
      <c r="B89" s="6">
        <v>5.68</v>
      </c>
      <c r="C89" s="6">
        <v>6.85</v>
      </c>
      <c r="D89" s="6">
        <v>12.53</v>
      </c>
      <c r="E89" s="6">
        <v>5.96</v>
      </c>
      <c r="F89" s="6">
        <v>2</v>
      </c>
      <c r="G89" s="6">
        <v>32.51</v>
      </c>
      <c r="H89" s="6">
        <v>9.3000000000000007</v>
      </c>
      <c r="I89" s="6">
        <v>8.3699999999999992</v>
      </c>
      <c r="J89" s="6">
        <v>0.4</v>
      </c>
      <c r="K89" s="6">
        <v>32.700000000000003</v>
      </c>
      <c r="L89" s="6">
        <v>7.85</v>
      </c>
      <c r="M89" s="6">
        <v>1.45</v>
      </c>
      <c r="N89" s="6">
        <v>2.4</v>
      </c>
      <c r="O89" s="6">
        <v>0.2</v>
      </c>
      <c r="P89" s="6">
        <v>0.46</v>
      </c>
      <c r="Q89" s="6">
        <v>10</v>
      </c>
      <c r="R89" s="6"/>
      <c r="S89" s="6"/>
      <c r="T89" s="156"/>
      <c r="U89" s="6"/>
    </row>
    <row r="90" spans="1:21" customFormat="1">
      <c r="A90" s="201" t="s">
        <v>801</v>
      </c>
      <c r="B90" s="6">
        <v>6.55</v>
      </c>
      <c r="C90" s="6">
        <v>7.17</v>
      </c>
      <c r="D90" s="6">
        <v>13.72</v>
      </c>
      <c r="E90" s="6">
        <v>5.94</v>
      </c>
      <c r="F90" s="6">
        <v>2.02</v>
      </c>
      <c r="G90" s="6">
        <v>32.51</v>
      </c>
      <c r="H90" s="6">
        <v>9.3000000000000007</v>
      </c>
      <c r="I90" s="6">
        <v>8.3699999999999992</v>
      </c>
      <c r="J90" s="6">
        <v>0.08</v>
      </c>
      <c r="K90" s="6">
        <v>191.54</v>
      </c>
      <c r="L90" s="6">
        <v>16.62</v>
      </c>
      <c r="M90" s="6">
        <v>23.74</v>
      </c>
      <c r="N90" s="6">
        <v>2.2000000000000002</v>
      </c>
      <c r="O90" s="6">
        <v>0</v>
      </c>
      <c r="P90" s="6">
        <v>0.48</v>
      </c>
      <c r="Q90" s="6">
        <v>10</v>
      </c>
      <c r="R90" s="6"/>
      <c r="S90" s="6"/>
      <c r="T90" s="156"/>
      <c r="U90" s="6"/>
    </row>
    <row r="91" spans="1:21" customFormat="1">
      <c r="A91" s="201" t="s">
        <v>802</v>
      </c>
      <c r="B91" s="6">
        <v>6.84</v>
      </c>
      <c r="C91" s="6">
        <v>7.23</v>
      </c>
      <c r="D91" s="6">
        <v>14.07</v>
      </c>
      <c r="E91" s="6">
        <v>6.13</v>
      </c>
      <c r="F91" s="6">
        <v>2</v>
      </c>
      <c r="G91" s="6">
        <v>32.840000000000003</v>
      </c>
      <c r="H91" s="6">
        <v>7.67</v>
      </c>
      <c r="I91" s="6">
        <v>8.44</v>
      </c>
      <c r="J91" s="6">
        <v>0.18</v>
      </c>
      <c r="K91" s="6">
        <v>240.19</v>
      </c>
      <c r="L91" s="6">
        <v>21.67</v>
      </c>
      <c r="M91" s="6">
        <v>36.44</v>
      </c>
      <c r="N91" s="6">
        <v>2.2000000000000002</v>
      </c>
      <c r="O91" s="6">
        <v>0</v>
      </c>
      <c r="P91" s="6">
        <v>0.48</v>
      </c>
      <c r="Q91" s="6">
        <v>10</v>
      </c>
      <c r="R91" s="6"/>
      <c r="S91" s="6"/>
      <c r="T91" s="156"/>
      <c r="U91" s="6"/>
    </row>
    <row r="92" spans="1:21" customFormat="1">
      <c r="A92" s="201" t="s">
        <v>803</v>
      </c>
      <c r="B92" s="6">
        <v>6.85</v>
      </c>
      <c r="C92" s="6">
        <v>7.06</v>
      </c>
      <c r="D92" s="6">
        <v>13.92</v>
      </c>
      <c r="E92" s="6">
        <v>5.9</v>
      </c>
      <c r="F92" s="6">
        <v>2</v>
      </c>
      <c r="G92" s="6">
        <v>32.94</v>
      </c>
      <c r="H92" s="6">
        <v>7.67</v>
      </c>
      <c r="I92" s="6">
        <v>8.61</v>
      </c>
      <c r="J92" s="6">
        <v>0.08</v>
      </c>
      <c r="K92" s="6">
        <v>199.3</v>
      </c>
      <c r="L92" s="6">
        <v>18.62</v>
      </c>
      <c r="M92" s="6">
        <v>28.76</v>
      </c>
      <c r="N92" s="6">
        <v>2.2999999999999998</v>
      </c>
      <c r="O92" s="6">
        <v>0</v>
      </c>
      <c r="P92" s="6">
        <v>0.48</v>
      </c>
      <c r="Q92" s="6">
        <v>10</v>
      </c>
      <c r="R92" s="6"/>
      <c r="S92" s="6"/>
      <c r="T92" s="156"/>
      <c r="U92" s="6"/>
    </row>
    <row r="93" spans="1:21" customFormat="1">
      <c r="A93" s="201" t="s">
        <v>804</v>
      </c>
      <c r="B93" s="6">
        <v>6.88</v>
      </c>
      <c r="C93" s="6">
        <v>6.98</v>
      </c>
      <c r="D93" s="6">
        <v>13.86</v>
      </c>
      <c r="E93" s="6">
        <v>6.33</v>
      </c>
      <c r="F93" s="6">
        <v>2</v>
      </c>
      <c r="G93" s="6">
        <v>32.94</v>
      </c>
      <c r="H93" s="6">
        <v>7.67</v>
      </c>
      <c r="I93" s="6">
        <v>8.69</v>
      </c>
      <c r="J93" s="6">
        <v>0.16</v>
      </c>
      <c r="K93" s="6">
        <v>210.47</v>
      </c>
      <c r="L93" s="6">
        <v>19.43</v>
      </c>
      <c r="M93" s="6">
        <v>30.8</v>
      </c>
      <c r="N93" s="6">
        <v>2.2999999999999998</v>
      </c>
      <c r="O93" s="6">
        <v>0</v>
      </c>
      <c r="P93" s="6">
        <v>0.49</v>
      </c>
      <c r="Q93" s="6">
        <v>10</v>
      </c>
      <c r="R93" s="6"/>
      <c r="S93" s="6"/>
      <c r="T93" s="156"/>
      <c r="U93" s="6"/>
    </row>
    <row r="94" spans="1:21" customFormat="1">
      <c r="A94" s="201" t="s">
        <v>805</v>
      </c>
      <c r="B94" s="6">
        <v>7.03</v>
      </c>
      <c r="C94" s="6">
        <v>6.88</v>
      </c>
      <c r="D94" s="6">
        <v>13.9</v>
      </c>
      <c r="E94" s="6">
        <v>6.46</v>
      </c>
      <c r="F94" s="6">
        <v>2</v>
      </c>
      <c r="G94" s="6">
        <v>32.94</v>
      </c>
      <c r="H94" s="6">
        <v>7.67</v>
      </c>
      <c r="I94" s="6">
        <v>8.73</v>
      </c>
      <c r="J94" s="6">
        <v>0.11</v>
      </c>
      <c r="K94" s="6">
        <v>182</v>
      </c>
      <c r="L94" s="6">
        <v>15.57</v>
      </c>
      <c r="M94" s="6">
        <v>21.25</v>
      </c>
      <c r="N94" s="6">
        <v>2.2999999999999998</v>
      </c>
      <c r="O94" s="6">
        <v>0</v>
      </c>
      <c r="P94" s="6">
        <v>0.5</v>
      </c>
      <c r="Q94" s="6">
        <v>10</v>
      </c>
      <c r="R94" s="6"/>
      <c r="S94" s="6"/>
      <c r="T94" s="156"/>
      <c r="U94" s="6"/>
    </row>
    <row r="95" spans="1:21" customFormat="1">
      <c r="A95" s="201" t="s">
        <v>806</v>
      </c>
      <c r="B95" s="6">
        <v>7.03</v>
      </c>
      <c r="C95" s="6">
        <v>6.81</v>
      </c>
      <c r="D95" s="6">
        <v>13.83</v>
      </c>
      <c r="E95" s="6">
        <v>6.41</v>
      </c>
      <c r="F95" s="6">
        <v>2</v>
      </c>
      <c r="G95" s="6">
        <v>33.93</v>
      </c>
      <c r="H95" s="6">
        <v>8.52</v>
      </c>
      <c r="I95" s="6">
        <v>8.76</v>
      </c>
      <c r="J95" s="6">
        <v>0.09</v>
      </c>
      <c r="K95" s="6">
        <v>184.84</v>
      </c>
      <c r="L95" s="6">
        <v>17.78</v>
      </c>
      <c r="M95" s="6">
        <v>26.78</v>
      </c>
      <c r="N95" s="6">
        <v>2.2000000000000002</v>
      </c>
      <c r="O95" s="6">
        <v>0</v>
      </c>
      <c r="P95" s="6">
        <v>0.51</v>
      </c>
      <c r="Q95" s="6">
        <v>10</v>
      </c>
      <c r="R95" s="6"/>
      <c r="S95" s="6"/>
      <c r="T95" s="156"/>
      <c r="U95" s="6"/>
    </row>
    <row r="96" spans="1:21" customFormat="1">
      <c r="A96" s="201" t="s">
        <v>807</v>
      </c>
      <c r="B96" s="6">
        <v>6.99</v>
      </c>
      <c r="C96" s="6">
        <v>6.68</v>
      </c>
      <c r="D96" s="6">
        <v>13.66</v>
      </c>
      <c r="E96" s="6">
        <v>6.37</v>
      </c>
      <c r="F96" s="6">
        <v>2</v>
      </c>
      <c r="G96" s="6">
        <v>34.21</v>
      </c>
      <c r="H96" s="6">
        <v>8.52</v>
      </c>
      <c r="I96" s="6">
        <v>8.81</v>
      </c>
      <c r="J96" s="6">
        <v>0.09</v>
      </c>
      <c r="K96" s="6">
        <v>207.92</v>
      </c>
      <c r="L96" s="6">
        <v>17.260000000000002</v>
      </c>
      <c r="M96" s="6">
        <v>25.47</v>
      </c>
      <c r="N96" s="6">
        <v>2.2000000000000002</v>
      </c>
      <c r="O96" s="6">
        <v>0</v>
      </c>
      <c r="P96" s="6">
        <v>0.52</v>
      </c>
      <c r="Q96" s="6">
        <v>10</v>
      </c>
      <c r="R96" s="6"/>
      <c r="S96" s="6"/>
      <c r="T96" s="156"/>
      <c r="U96" s="6"/>
    </row>
    <row r="97" spans="1:28" customFormat="1">
      <c r="A97" s="201" t="s">
        <v>808</v>
      </c>
      <c r="B97" s="6">
        <v>6.97</v>
      </c>
      <c r="C97" s="6">
        <v>6.68</v>
      </c>
      <c r="D97" s="6">
        <v>13.66</v>
      </c>
      <c r="E97" s="6">
        <v>6.42</v>
      </c>
      <c r="F97" s="6">
        <v>2</v>
      </c>
      <c r="G97" s="6">
        <v>34.21</v>
      </c>
      <c r="H97" s="6">
        <v>8.52</v>
      </c>
      <c r="I97" s="6">
        <v>8.9</v>
      </c>
      <c r="J97" s="6">
        <v>0.21</v>
      </c>
      <c r="K97" s="6">
        <v>236.94</v>
      </c>
      <c r="L97" s="6">
        <v>20.78</v>
      </c>
      <c r="M97" s="6">
        <v>34.24</v>
      </c>
      <c r="N97" s="6">
        <v>2.2000000000000002</v>
      </c>
      <c r="O97" s="6">
        <v>0</v>
      </c>
      <c r="P97" s="6">
        <v>0.53</v>
      </c>
      <c r="Q97" s="6">
        <v>10</v>
      </c>
      <c r="R97" s="6"/>
      <c r="S97" s="6"/>
      <c r="T97" s="156"/>
      <c r="U97" s="6"/>
    </row>
    <row r="98" spans="1:28" customFormat="1">
      <c r="A98" s="201" t="s">
        <v>809</v>
      </c>
      <c r="B98" s="6">
        <v>6.92</v>
      </c>
      <c r="C98" s="6">
        <v>6.65</v>
      </c>
      <c r="D98" s="6">
        <v>13.57</v>
      </c>
      <c r="E98" s="6">
        <v>6.52</v>
      </c>
      <c r="F98" s="6">
        <v>2</v>
      </c>
      <c r="G98" s="6">
        <v>34.21</v>
      </c>
      <c r="H98" s="6">
        <v>8.52</v>
      </c>
      <c r="I98" s="6">
        <v>9.0399999999999991</v>
      </c>
      <c r="J98" s="6">
        <v>0.23</v>
      </c>
      <c r="K98" s="6">
        <v>246.17</v>
      </c>
      <c r="L98" s="6">
        <v>21.29</v>
      </c>
      <c r="M98" s="6">
        <v>35.51</v>
      </c>
      <c r="N98" s="6">
        <v>2.2999999999999998</v>
      </c>
      <c r="O98" s="6">
        <v>0</v>
      </c>
      <c r="P98" s="6">
        <v>0.55000000000000004</v>
      </c>
      <c r="Q98" s="6">
        <v>10</v>
      </c>
      <c r="R98" s="6"/>
      <c r="S98" s="6"/>
      <c r="T98" s="156"/>
      <c r="U98" s="6"/>
    </row>
    <row r="99" spans="1:28" customFormat="1">
      <c r="A99" s="201" t="s">
        <v>810</v>
      </c>
      <c r="B99" s="6">
        <v>6.88</v>
      </c>
      <c r="C99" s="6">
        <v>6.55</v>
      </c>
      <c r="D99" s="6">
        <v>13.43</v>
      </c>
      <c r="E99" s="6">
        <v>6.8</v>
      </c>
      <c r="F99" s="6">
        <v>2.0699999999999998</v>
      </c>
      <c r="G99" s="6">
        <v>29.72</v>
      </c>
      <c r="H99" s="6">
        <v>10.71</v>
      </c>
      <c r="I99" s="6">
        <v>9.24</v>
      </c>
      <c r="J99" s="6">
        <v>0.17</v>
      </c>
      <c r="K99" s="6">
        <v>250.39</v>
      </c>
      <c r="L99" s="6">
        <v>22.08</v>
      </c>
      <c r="M99" s="6">
        <v>37.47</v>
      </c>
      <c r="N99" s="6">
        <v>2.2000000000000002</v>
      </c>
      <c r="O99" s="6">
        <v>0</v>
      </c>
      <c r="P99" s="6">
        <v>0.56999999999999995</v>
      </c>
      <c r="Q99" s="6">
        <v>10</v>
      </c>
      <c r="R99" s="6"/>
      <c r="S99" s="6"/>
      <c r="T99" s="156"/>
      <c r="U99" s="6"/>
    </row>
    <row r="100" spans="1:28" customFormat="1">
      <c r="A100" s="201" t="s">
        <v>811</v>
      </c>
      <c r="B100" s="6">
        <v>6.81</v>
      </c>
      <c r="C100" s="6">
        <v>6.44</v>
      </c>
      <c r="D100" s="6">
        <v>13.24</v>
      </c>
      <c r="E100" s="6">
        <v>6.52</v>
      </c>
      <c r="F100" s="6">
        <v>2</v>
      </c>
      <c r="G100" s="6">
        <v>28.44</v>
      </c>
      <c r="H100" s="6">
        <v>10.71</v>
      </c>
      <c r="I100" s="6">
        <v>9.4</v>
      </c>
      <c r="J100" s="6">
        <v>0.17</v>
      </c>
      <c r="K100" s="6">
        <v>245.56</v>
      </c>
      <c r="L100" s="6">
        <v>22</v>
      </c>
      <c r="M100" s="6">
        <v>37.26</v>
      </c>
      <c r="N100" s="6">
        <v>2.2999999999999998</v>
      </c>
      <c r="O100" s="6">
        <v>0</v>
      </c>
      <c r="P100" s="6">
        <v>0.56999999999999995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812</v>
      </c>
      <c r="B101" s="6">
        <v>6.71</v>
      </c>
      <c r="C101" s="6">
        <v>6.36</v>
      </c>
      <c r="D101" s="6">
        <v>13.07</v>
      </c>
      <c r="E101" s="6">
        <v>6.64</v>
      </c>
      <c r="F101" s="6">
        <v>2</v>
      </c>
      <c r="G101" s="6">
        <v>28.44</v>
      </c>
      <c r="H101" s="6">
        <v>10.71</v>
      </c>
      <c r="I101" s="6">
        <v>9.48</v>
      </c>
      <c r="J101" s="6">
        <v>0.12</v>
      </c>
      <c r="K101" s="6">
        <v>213.49</v>
      </c>
      <c r="L101" s="6">
        <v>18.690000000000001</v>
      </c>
      <c r="M101" s="6">
        <v>29.01</v>
      </c>
      <c r="N101" s="6">
        <v>2.2000000000000002</v>
      </c>
      <c r="O101" s="6">
        <v>0</v>
      </c>
      <c r="P101" s="6">
        <v>0.57999999999999996</v>
      </c>
      <c r="Q101" s="6">
        <v>10</v>
      </c>
      <c r="R101" s="6"/>
      <c r="S101" s="6"/>
      <c r="T101" s="156"/>
      <c r="U101" s="6"/>
    </row>
    <row r="102" spans="1:28" customFormat="1">
      <c r="A102" s="201" t="s">
        <v>813</v>
      </c>
      <c r="B102" s="6">
        <v>6.63</v>
      </c>
      <c r="C102" s="6">
        <v>6.24</v>
      </c>
      <c r="D102" s="6">
        <v>12.87</v>
      </c>
      <c r="E102" s="6">
        <v>6.68</v>
      </c>
      <c r="F102" s="6">
        <v>2</v>
      </c>
      <c r="G102" s="6">
        <v>28.44</v>
      </c>
      <c r="H102" s="6">
        <v>10.71</v>
      </c>
      <c r="I102" s="6">
        <v>9.57</v>
      </c>
      <c r="J102" s="6">
        <v>0.08</v>
      </c>
      <c r="K102" s="6">
        <v>260.41000000000003</v>
      </c>
      <c r="L102" s="6">
        <v>20.329999999999998</v>
      </c>
      <c r="M102" s="6">
        <v>33.04</v>
      </c>
      <c r="N102" s="6">
        <v>2.2000000000000002</v>
      </c>
      <c r="O102" s="6">
        <v>0</v>
      </c>
      <c r="P102" s="6">
        <v>0.57999999999999996</v>
      </c>
      <c r="Q102" s="6">
        <v>10</v>
      </c>
      <c r="R102" s="6"/>
      <c r="S102" s="6"/>
      <c r="T102" s="156"/>
      <c r="U102" s="6"/>
    </row>
    <row r="103" spans="1:28" customFormat="1">
      <c r="A103" s="201" t="s">
        <v>814</v>
      </c>
      <c r="B103" s="6">
        <v>6.57</v>
      </c>
      <c r="C103" s="6">
        <v>6.19</v>
      </c>
      <c r="D103" s="6">
        <v>12.76</v>
      </c>
      <c r="E103" s="6">
        <v>6.19</v>
      </c>
      <c r="F103" s="6">
        <v>2.0099999999999998</v>
      </c>
      <c r="G103" s="6">
        <v>25.94</v>
      </c>
      <c r="H103" s="6">
        <v>10.98</v>
      </c>
      <c r="I103" s="6">
        <v>9.6</v>
      </c>
      <c r="J103" s="6">
        <v>0.1</v>
      </c>
      <c r="K103" s="6">
        <v>234.26</v>
      </c>
      <c r="L103" s="6">
        <v>20.87</v>
      </c>
      <c r="M103" s="6">
        <v>34.44</v>
      </c>
      <c r="N103" s="6">
        <v>2.2000000000000002</v>
      </c>
      <c r="O103" s="6">
        <v>0</v>
      </c>
      <c r="P103" s="6">
        <v>0.59</v>
      </c>
      <c r="Q103" s="6">
        <v>10</v>
      </c>
      <c r="R103" s="6"/>
      <c r="S103" s="6"/>
      <c r="T103" s="156"/>
      <c r="U103" s="6"/>
    </row>
    <row r="104" spans="1:28" customFormat="1">
      <c r="A104" s="201" t="s">
        <v>815</v>
      </c>
      <c r="B104" s="6">
        <v>6.6</v>
      </c>
      <c r="C104" s="6">
        <v>6.13</v>
      </c>
      <c r="D104" s="6">
        <v>12.72</v>
      </c>
      <c r="E104" s="6">
        <v>6.51</v>
      </c>
      <c r="F104" s="6">
        <v>2.02</v>
      </c>
      <c r="G104" s="6">
        <v>25.22</v>
      </c>
      <c r="H104" s="6">
        <v>10.98</v>
      </c>
      <c r="I104" s="6">
        <v>9.6199999999999992</v>
      </c>
      <c r="J104" s="6">
        <v>0.11</v>
      </c>
      <c r="K104" s="6">
        <v>196.92</v>
      </c>
      <c r="L104" s="6">
        <v>18.5</v>
      </c>
      <c r="M104" s="6">
        <v>28.55</v>
      </c>
      <c r="N104" s="6">
        <v>2.1</v>
      </c>
      <c r="O104" s="6">
        <v>0</v>
      </c>
      <c r="P104" s="6">
        <v>0.59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1.55</v>
      </c>
      <c r="C106" s="158">
        <f>MIN(C9:C104)</f>
        <v>5.54</v>
      </c>
      <c r="D106" s="158">
        <f t="shared" ref="D106:Q106" si="0">MIN(D9:D104)</f>
        <v>8.3800000000000008</v>
      </c>
      <c r="E106" s="158">
        <f t="shared" si="0"/>
        <v>3.97</v>
      </c>
      <c r="F106" s="158">
        <f t="shared" si="0"/>
        <v>2</v>
      </c>
      <c r="G106" s="158">
        <f t="shared" si="0"/>
        <v>0</v>
      </c>
      <c r="H106" s="158">
        <f t="shared" si="0"/>
        <v>0</v>
      </c>
      <c r="I106" s="158">
        <f t="shared" si="0"/>
        <v>4.58</v>
      </c>
      <c r="J106" s="158">
        <f t="shared" si="0"/>
        <v>0.06</v>
      </c>
      <c r="K106" s="158">
        <f t="shared" si="0"/>
        <v>24.44</v>
      </c>
      <c r="L106" s="158">
        <f t="shared" si="0"/>
        <v>7.85</v>
      </c>
      <c r="M106" s="158">
        <f t="shared" si="0"/>
        <v>1.45</v>
      </c>
      <c r="N106" s="158">
        <f t="shared" si="0"/>
        <v>2.1</v>
      </c>
      <c r="O106" s="158">
        <f t="shared" si="0"/>
        <v>0</v>
      </c>
      <c r="P106" s="158">
        <f t="shared" si="0"/>
        <v>0.17</v>
      </c>
      <c r="Q106" s="158">
        <f t="shared" si="0"/>
        <v>9.81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7.03</v>
      </c>
      <c r="C107" s="157">
        <f t="shared" ref="C107:Q107" si="1">MAX(C9:C104)</f>
        <v>8.2899999999999991</v>
      </c>
      <c r="D107" s="157">
        <f t="shared" si="1"/>
        <v>14.07</v>
      </c>
      <c r="E107" s="157">
        <f t="shared" si="1"/>
        <v>8.14</v>
      </c>
      <c r="F107" s="157">
        <f t="shared" si="1"/>
        <v>18.18</v>
      </c>
      <c r="G107" s="157">
        <f t="shared" si="1"/>
        <v>41.69</v>
      </c>
      <c r="H107" s="157">
        <f t="shared" si="1"/>
        <v>24.39</v>
      </c>
      <c r="I107" s="157">
        <f t="shared" si="1"/>
        <v>10.37</v>
      </c>
      <c r="J107" s="157">
        <f t="shared" si="1"/>
        <v>0.56000000000000005</v>
      </c>
      <c r="K107" s="157">
        <f t="shared" si="1"/>
        <v>319.3</v>
      </c>
      <c r="L107" s="157">
        <f t="shared" si="1"/>
        <v>27.58</v>
      </c>
      <c r="M107" s="157">
        <f t="shared" si="1"/>
        <v>51.01</v>
      </c>
      <c r="N107" s="157">
        <f t="shared" si="1"/>
        <v>601.9</v>
      </c>
      <c r="O107" s="157">
        <f t="shared" si="1"/>
        <v>0.2</v>
      </c>
      <c r="P107" s="157">
        <f t="shared" si="1"/>
        <v>0.59</v>
      </c>
      <c r="Q107" s="157">
        <f t="shared" si="1"/>
        <v>15.43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4.7961458333333349</v>
      </c>
      <c r="C108" s="158">
        <f t="shared" ref="C108:Q108" si="2">AVERAGE(C9:C104)</f>
        <v>6.6187499999999986</v>
      </c>
      <c r="D108" s="158">
        <f t="shared" si="2"/>
        <v>11.4140625</v>
      </c>
      <c r="E108" s="158">
        <f t="shared" si="2"/>
        <v>5.5255208333333341</v>
      </c>
      <c r="F108" s="158">
        <f t="shared" si="2"/>
        <v>3.6040624999999995</v>
      </c>
      <c r="G108" s="158">
        <f t="shared" si="2"/>
        <v>22.838020833333342</v>
      </c>
      <c r="H108" s="158">
        <f t="shared" si="2"/>
        <v>9.6511458333333344</v>
      </c>
      <c r="I108" s="158">
        <f t="shared" si="2"/>
        <v>7.0996875000000017</v>
      </c>
      <c r="J108" s="158">
        <f t="shared" si="2"/>
        <v>0.19687499999999999</v>
      </c>
      <c r="K108" s="158">
        <f t="shared" si="2"/>
        <v>223.42375000000001</v>
      </c>
      <c r="L108" s="158">
        <f t="shared" si="2"/>
        <v>20.168125</v>
      </c>
      <c r="M108" s="158">
        <f t="shared" si="2"/>
        <v>31.499062499999997</v>
      </c>
      <c r="N108" s="158">
        <f t="shared" si="2"/>
        <v>51.452083333333313</v>
      </c>
      <c r="O108" s="158">
        <f t="shared" si="2"/>
        <v>8.3333333333333332E-3</v>
      </c>
      <c r="P108" s="158">
        <f t="shared" si="2"/>
        <v>0.36083333333333351</v>
      </c>
      <c r="Q108" s="158">
        <f t="shared" si="2"/>
        <v>10.143125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1.7971833926813923</v>
      </c>
      <c r="C109" s="158">
        <f t="shared" ref="C109:Q109" si="3">STDEV(C9:C104)</f>
        <v>0.67676513845764752</v>
      </c>
      <c r="D109" s="158">
        <f t="shared" si="3"/>
        <v>1.6097777408698486</v>
      </c>
      <c r="E109" s="158">
        <f t="shared" si="3"/>
        <v>0.83606329374058197</v>
      </c>
      <c r="F109" s="158">
        <f t="shared" si="3"/>
        <v>3.6042129086375398</v>
      </c>
      <c r="G109" s="158">
        <f t="shared" si="3"/>
        <v>11.686900414773108</v>
      </c>
      <c r="H109" s="158">
        <f t="shared" si="3"/>
        <v>5.6419462617623397</v>
      </c>
      <c r="I109" s="158">
        <f t="shared" si="3"/>
        <v>1.8950953055467215</v>
      </c>
      <c r="J109" s="158">
        <f t="shared" si="3"/>
        <v>0.10802838320991102</v>
      </c>
      <c r="K109" s="158">
        <f t="shared" si="3"/>
        <v>48.291341018535014</v>
      </c>
      <c r="L109" s="158">
        <f t="shared" si="3"/>
        <v>3.0923512813663963</v>
      </c>
      <c r="M109" s="158">
        <f t="shared" si="3"/>
        <v>7.4294476777249132</v>
      </c>
      <c r="N109" s="158">
        <f t="shared" si="3"/>
        <v>100.01975171163021</v>
      </c>
      <c r="O109" s="158">
        <f t="shared" si="3"/>
        <v>4.0175055540960972E-2</v>
      </c>
      <c r="P109" s="158">
        <f t="shared" si="3"/>
        <v>0.12127104628338345</v>
      </c>
      <c r="Q109" s="158">
        <f t="shared" si="3"/>
        <v>0.66935210229154052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" sqref="F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816</v>
      </c>
      <c r="B9" s="6">
        <v>6.81</v>
      </c>
      <c r="C9" s="6">
        <v>6.12</v>
      </c>
      <c r="D9" s="6">
        <v>12.93</v>
      </c>
      <c r="E9" s="6">
        <v>6.63</v>
      </c>
      <c r="F9" s="6">
        <v>2.11</v>
      </c>
      <c r="G9" s="6">
        <v>25.22</v>
      </c>
      <c r="H9" s="6">
        <v>10.98</v>
      </c>
      <c r="I9" s="6">
        <v>9.69</v>
      </c>
      <c r="J9" s="6">
        <v>0.13</v>
      </c>
      <c r="K9" s="6">
        <v>209.93</v>
      </c>
      <c r="L9" s="6">
        <v>19.559999999999999</v>
      </c>
      <c r="M9" s="6">
        <v>31.19</v>
      </c>
      <c r="N9" s="6">
        <v>2.1</v>
      </c>
      <c r="O9" s="6">
        <v>0</v>
      </c>
      <c r="P9" s="6">
        <v>0.6</v>
      </c>
      <c r="Q9" s="6">
        <v>10</v>
      </c>
      <c r="R9" s="6"/>
      <c r="S9" s="6"/>
      <c r="T9" s="156"/>
      <c r="U9" s="6"/>
    </row>
    <row r="10" spans="1:21" customFormat="1">
      <c r="A10" s="201" t="s">
        <v>817</v>
      </c>
      <c r="B10" s="6">
        <v>6.97</v>
      </c>
      <c r="C10" s="6">
        <v>6.2</v>
      </c>
      <c r="D10" s="6">
        <v>13.18</v>
      </c>
      <c r="E10" s="6">
        <v>6.75</v>
      </c>
      <c r="F10" s="6">
        <v>2</v>
      </c>
      <c r="G10" s="6">
        <v>25.22</v>
      </c>
      <c r="H10" s="6">
        <v>10.98</v>
      </c>
      <c r="I10" s="6">
        <v>9.74</v>
      </c>
      <c r="J10" s="6">
        <v>0.11</v>
      </c>
      <c r="K10" s="6">
        <v>194.91</v>
      </c>
      <c r="L10" s="6">
        <v>17.5</v>
      </c>
      <c r="M10" s="6">
        <v>26.08</v>
      </c>
      <c r="N10" s="6">
        <v>2.2000000000000002</v>
      </c>
      <c r="O10" s="6">
        <v>0</v>
      </c>
      <c r="P10" s="6">
        <v>0.63</v>
      </c>
      <c r="Q10" s="6">
        <v>10</v>
      </c>
      <c r="R10" s="6"/>
      <c r="S10" s="6"/>
      <c r="T10" s="156"/>
      <c r="U10" s="6"/>
    </row>
    <row r="11" spans="1:21" customFormat="1">
      <c r="A11" s="201" t="s">
        <v>818</v>
      </c>
      <c r="B11" s="6">
        <v>7.22</v>
      </c>
      <c r="C11" s="6">
        <v>6.09</v>
      </c>
      <c r="D11" s="6">
        <v>13.31</v>
      </c>
      <c r="E11" s="6">
        <v>6.83</v>
      </c>
      <c r="F11" s="6">
        <v>2</v>
      </c>
      <c r="G11" s="6">
        <v>31.69</v>
      </c>
      <c r="H11" s="6">
        <v>9.42</v>
      </c>
      <c r="I11" s="6">
        <v>9.83</v>
      </c>
      <c r="J11" s="6">
        <v>0.15</v>
      </c>
      <c r="K11" s="6">
        <v>156.34</v>
      </c>
      <c r="L11" s="6">
        <v>15.38</v>
      </c>
      <c r="M11" s="6">
        <v>20.66</v>
      </c>
      <c r="N11" s="6">
        <v>2.1</v>
      </c>
      <c r="O11" s="6">
        <v>0</v>
      </c>
      <c r="P11" s="6">
        <v>0.64</v>
      </c>
      <c r="Q11" s="6">
        <v>10</v>
      </c>
      <c r="R11" s="6"/>
      <c r="S11" s="6"/>
      <c r="T11" s="156"/>
      <c r="U11" s="6"/>
    </row>
    <row r="12" spans="1:21" customFormat="1">
      <c r="A12" s="201" t="s">
        <v>819</v>
      </c>
      <c r="B12" s="6">
        <v>7.44</v>
      </c>
      <c r="C12" s="6">
        <v>6.05</v>
      </c>
      <c r="D12" s="6">
        <v>13.49</v>
      </c>
      <c r="E12" s="6">
        <v>6.77</v>
      </c>
      <c r="F12" s="6">
        <v>2</v>
      </c>
      <c r="G12" s="6">
        <v>33.53</v>
      </c>
      <c r="H12" s="6">
        <v>9.42</v>
      </c>
      <c r="I12" s="6">
        <v>9.94</v>
      </c>
      <c r="J12" s="6">
        <v>0.11</v>
      </c>
      <c r="K12" s="6">
        <v>182.39</v>
      </c>
      <c r="L12" s="6">
        <v>17.79</v>
      </c>
      <c r="M12" s="6">
        <v>26.8</v>
      </c>
      <c r="N12" s="6">
        <v>2.2000000000000002</v>
      </c>
      <c r="O12" s="6">
        <v>0</v>
      </c>
      <c r="P12" s="6">
        <v>0.66</v>
      </c>
      <c r="Q12" s="6">
        <v>10</v>
      </c>
      <c r="R12" s="6"/>
      <c r="S12" s="6"/>
      <c r="T12" s="156"/>
      <c r="U12" s="6"/>
    </row>
    <row r="13" spans="1:21" customFormat="1">
      <c r="A13" s="201" t="s">
        <v>820</v>
      </c>
      <c r="B13" s="6">
        <v>7.6</v>
      </c>
      <c r="C13" s="6">
        <v>6.01</v>
      </c>
      <c r="D13" s="6">
        <v>13.61</v>
      </c>
      <c r="E13" s="6">
        <v>6.53</v>
      </c>
      <c r="F13" s="6">
        <v>2</v>
      </c>
      <c r="G13" s="6">
        <v>33.53</v>
      </c>
      <c r="H13" s="6">
        <v>9.42</v>
      </c>
      <c r="I13" s="6">
        <v>10.02</v>
      </c>
      <c r="J13" s="6">
        <v>0.13</v>
      </c>
      <c r="K13" s="6">
        <v>195.86</v>
      </c>
      <c r="L13" s="6">
        <v>19.04</v>
      </c>
      <c r="M13" s="6">
        <v>29.89</v>
      </c>
      <c r="N13" s="6">
        <v>2.1</v>
      </c>
      <c r="O13" s="6">
        <v>0</v>
      </c>
      <c r="P13" s="6">
        <v>0.65</v>
      </c>
      <c r="Q13" s="6">
        <v>10</v>
      </c>
      <c r="R13" s="6"/>
      <c r="S13" s="6"/>
      <c r="T13" s="156"/>
      <c r="U13" s="6"/>
    </row>
    <row r="14" spans="1:21" customFormat="1">
      <c r="A14" s="201" t="s">
        <v>821</v>
      </c>
      <c r="B14" s="6">
        <v>7.67</v>
      </c>
      <c r="C14" s="6">
        <v>6.14</v>
      </c>
      <c r="D14" s="6">
        <v>13.82</v>
      </c>
      <c r="E14" s="6">
        <v>6.37</v>
      </c>
      <c r="F14" s="6">
        <v>2</v>
      </c>
      <c r="G14" s="6">
        <v>33.53</v>
      </c>
      <c r="H14" s="6">
        <v>9.42</v>
      </c>
      <c r="I14" s="6">
        <v>10.130000000000001</v>
      </c>
      <c r="J14" s="6">
        <v>0.08</v>
      </c>
      <c r="K14" s="6">
        <v>256.20999999999998</v>
      </c>
      <c r="L14" s="6">
        <v>22.82</v>
      </c>
      <c r="M14" s="6">
        <v>39.340000000000003</v>
      </c>
      <c r="N14" s="6">
        <v>2.2000000000000002</v>
      </c>
      <c r="O14" s="6">
        <v>0</v>
      </c>
      <c r="P14" s="6">
        <v>0.66</v>
      </c>
      <c r="Q14" s="6">
        <v>10</v>
      </c>
      <c r="R14" s="6"/>
      <c r="S14" s="6"/>
      <c r="T14" s="156"/>
      <c r="U14" s="6"/>
    </row>
    <row r="15" spans="1:21" customFormat="1">
      <c r="A15" s="201" t="s">
        <v>822</v>
      </c>
      <c r="B15" s="6">
        <v>7.81</v>
      </c>
      <c r="C15" s="6">
        <v>6.11</v>
      </c>
      <c r="D15" s="6">
        <v>13.92</v>
      </c>
      <c r="E15" s="6">
        <v>6.45</v>
      </c>
      <c r="F15" s="6">
        <v>2</v>
      </c>
      <c r="G15" s="6">
        <v>30.37</v>
      </c>
      <c r="H15" s="6">
        <v>11.28</v>
      </c>
      <c r="I15" s="6">
        <v>10.16</v>
      </c>
      <c r="J15" s="6">
        <v>0.17</v>
      </c>
      <c r="K15" s="6">
        <v>246.39</v>
      </c>
      <c r="L15" s="6">
        <v>22.22</v>
      </c>
      <c r="M15" s="6">
        <v>37.83</v>
      </c>
      <c r="N15" s="6">
        <v>2.4</v>
      </c>
      <c r="O15" s="6">
        <v>0</v>
      </c>
      <c r="P15" s="6">
        <v>0.65</v>
      </c>
      <c r="Q15" s="6">
        <v>10</v>
      </c>
      <c r="R15" s="6"/>
      <c r="S15" s="6"/>
      <c r="T15" s="156"/>
      <c r="U15" s="6"/>
    </row>
    <row r="16" spans="1:21" customFormat="1">
      <c r="A16" s="201" t="s">
        <v>823</v>
      </c>
      <c r="B16" s="6">
        <v>7.96</v>
      </c>
      <c r="C16" s="6">
        <v>6.04</v>
      </c>
      <c r="D16" s="6">
        <v>14</v>
      </c>
      <c r="E16" s="6">
        <v>6.21</v>
      </c>
      <c r="F16" s="6">
        <v>2</v>
      </c>
      <c r="G16" s="6">
        <v>29.46</v>
      </c>
      <c r="H16" s="6">
        <v>11.28</v>
      </c>
      <c r="I16" s="6">
        <v>10.220000000000001</v>
      </c>
      <c r="J16" s="6">
        <v>0.08</v>
      </c>
      <c r="K16" s="6">
        <v>224.33</v>
      </c>
      <c r="L16" s="6">
        <v>20.54</v>
      </c>
      <c r="M16" s="6">
        <v>33.549999999999997</v>
      </c>
      <c r="N16" s="6">
        <v>2.1</v>
      </c>
      <c r="O16" s="6">
        <v>0</v>
      </c>
      <c r="P16" s="6">
        <v>0.65</v>
      </c>
      <c r="Q16" s="6">
        <v>10</v>
      </c>
      <c r="R16" s="6"/>
      <c r="S16" s="6"/>
      <c r="T16" s="156"/>
      <c r="U16" s="6"/>
    </row>
    <row r="17" spans="1:21" customFormat="1">
      <c r="A17" s="201" t="s">
        <v>824</v>
      </c>
      <c r="B17" s="6">
        <v>8.09</v>
      </c>
      <c r="C17" s="6">
        <v>6.14</v>
      </c>
      <c r="D17" s="6">
        <v>14.22</v>
      </c>
      <c r="E17" s="6">
        <v>4.67</v>
      </c>
      <c r="F17" s="6">
        <v>2</v>
      </c>
      <c r="G17" s="6">
        <v>29.46</v>
      </c>
      <c r="H17" s="6">
        <v>11.28</v>
      </c>
      <c r="I17" s="6">
        <v>10.36</v>
      </c>
      <c r="J17" s="6">
        <v>0.09</v>
      </c>
      <c r="K17" s="6">
        <v>265.64</v>
      </c>
      <c r="L17" s="6">
        <v>22.77</v>
      </c>
      <c r="M17" s="6">
        <v>39.17</v>
      </c>
      <c r="N17" s="6">
        <v>2.2000000000000002</v>
      </c>
      <c r="O17" s="6">
        <v>0</v>
      </c>
      <c r="P17" s="6">
        <v>0.66</v>
      </c>
      <c r="Q17" s="6">
        <v>10</v>
      </c>
      <c r="R17" s="6"/>
      <c r="S17" s="6"/>
      <c r="T17" s="156"/>
      <c r="U17" s="6"/>
    </row>
    <row r="18" spans="1:21" customFormat="1">
      <c r="A18" s="201" t="s">
        <v>825</v>
      </c>
      <c r="B18" s="6">
        <v>8.34</v>
      </c>
      <c r="C18" s="6">
        <v>6.18</v>
      </c>
      <c r="D18" s="6">
        <v>14.52</v>
      </c>
      <c r="E18" s="6">
        <v>5.79</v>
      </c>
      <c r="F18" s="6">
        <v>2</v>
      </c>
      <c r="G18" s="6">
        <v>29.46</v>
      </c>
      <c r="H18" s="6">
        <v>11.28</v>
      </c>
      <c r="I18" s="6">
        <v>10.48</v>
      </c>
      <c r="J18" s="6">
        <v>0.13</v>
      </c>
      <c r="K18" s="6">
        <v>186.09</v>
      </c>
      <c r="L18" s="6">
        <v>18.34</v>
      </c>
      <c r="M18" s="6">
        <v>28.11</v>
      </c>
      <c r="N18" s="6">
        <v>2.2000000000000002</v>
      </c>
      <c r="O18" s="6">
        <v>0</v>
      </c>
      <c r="P18" s="6">
        <v>0.67</v>
      </c>
      <c r="Q18" s="6">
        <v>10</v>
      </c>
      <c r="R18" s="6"/>
      <c r="S18" s="6"/>
      <c r="T18" s="156"/>
      <c r="U18" s="6"/>
    </row>
    <row r="19" spans="1:21" customFormat="1">
      <c r="A19" s="201" t="s">
        <v>826</v>
      </c>
      <c r="B19" s="6">
        <v>8.5500000000000007</v>
      </c>
      <c r="C19" s="6">
        <v>6.33</v>
      </c>
      <c r="D19" s="6">
        <v>14.88</v>
      </c>
      <c r="E19" s="6">
        <v>5.77</v>
      </c>
      <c r="F19" s="6">
        <v>2</v>
      </c>
      <c r="G19" s="6">
        <v>31.44</v>
      </c>
      <c r="H19" s="6">
        <v>13.39</v>
      </c>
      <c r="I19" s="6">
        <v>10.69</v>
      </c>
      <c r="J19" s="6">
        <v>0.1</v>
      </c>
      <c r="K19" s="6">
        <v>169.57</v>
      </c>
      <c r="L19" s="6">
        <v>16.72</v>
      </c>
      <c r="M19" s="6">
        <v>24.05</v>
      </c>
      <c r="N19" s="6">
        <v>2.4</v>
      </c>
      <c r="O19" s="6">
        <v>0</v>
      </c>
      <c r="P19" s="6">
        <v>0.66</v>
      </c>
      <c r="Q19" s="6">
        <v>10</v>
      </c>
      <c r="R19" s="6"/>
      <c r="S19" s="6"/>
      <c r="T19" s="156"/>
      <c r="U19" s="6"/>
    </row>
    <row r="20" spans="1:21" customFormat="1">
      <c r="A20" s="201" t="s">
        <v>827</v>
      </c>
      <c r="B20" s="6">
        <v>8.7200000000000006</v>
      </c>
      <c r="C20" s="6">
        <v>6.36</v>
      </c>
      <c r="D20" s="6">
        <v>15.08</v>
      </c>
      <c r="E20" s="6">
        <v>5.79</v>
      </c>
      <c r="F20" s="6">
        <v>2</v>
      </c>
      <c r="G20" s="6">
        <v>32</v>
      </c>
      <c r="H20" s="6">
        <v>13.39</v>
      </c>
      <c r="I20" s="6">
        <v>10.78</v>
      </c>
      <c r="J20" s="6">
        <v>0.14000000000000001</v>
      </c>
      <c r="K20" s="6">
        <v>186.85</v>
      </c>
      <c r="L20" s="6">
        <v>18.53</v>
      </c>
      <c r="M20" s="6">
        <v>28.6</v>
      </c>
      <c r="N20" s="6">
        <v>2.4</v>
      </c>
      <c r="O20" s="6">
        <v>0</v>
      </c>
      <c r="P20" s="6">
        <v>0.66</v>
      </c>
      <c r="Q20" s="6">
        <v>10</v>
      </c>
      <c r="R20" s="6"/>
      <c r="S20" s="6"/>
      <c r="T20" s="156"/>
      <c r="U20" s="6"/>
    </row>
    <row r="21" spans="1:21" customFormat="1">
      <c r="A21" s="201" t="s">
        <v>828</v>
      </c>
      <c r="B21" s="6">
        <v>8.82</v>
      </c>
      <c r="C21" s="6">
        <v>6.41</v>
      </c>
      <c r="D21" s="6">
        <v>15.23</v>
      </c>
      <c r="E21" s="6">
        <v>5.88</v>
      </c>
      <c r="F21" s="6">
        <v>2</v>
      </c>
      <c r="G21" s="6">
        <v>32</v>
      </c>
      <c r="H21" s="6">
        <v>13.39</v>
      </c>
      <c r="I21" s="6">
        <v>11.11</v>
      </c>
      <c r="J21" s="6">
        <v>0.14000000000000001</v>
      </c>
      <c r="K21" s="6">
        <v>254.2</v>
      </c>
      <c r="L21" s="6">
        <v>22.85</v>
      </c>
      <c r="M21" s="6">
        <v>39.409999999999997</v>
      </c>
      <c r="N21" s="6">
        <v>2.4</v>
      </c>
      <c r="O21" s="6">
        <v>0</v>
      </c>
      <c r="P21" s="6">
        <v>0.67</v>
      </c>
      <c r="Q21" s="6">
        <v>10</v>
      </c>
      <c r="R21" s="6"/>
      <c r="S21" s="6"/>
      <c r="T21" s="156"/>
      <c r="U21" s="6"/>
    </row>
    <row r="22" spans="1:21" customFormat="1">
      <c r="A22" s="201" t="s">
        <v>829</v>
      </c>
      <c r="B22" s="6">
        <v>8.93</v>
      </c>
      <c r="C22" s="6">
        <v>6.27</v>
      </c>
      <c r="D22" s="6">
        <v>15.19</v>
      </c>
      <c r="E22" s="6">
        <v>5.67</v>
      </c>
      <c r="F22" s="6">
        <v>2</v>
      </c>
      <c r="G22" s="6">
        <v>32</v>
      </c>
      <c r="H22" s="6">
        <v>13.39</v>
      </c>
      <c r="I22" s="6">
        <v>11.18</v>
      </c>
      <c r="J22" s="6">
        <v>7.0000000000000007E-2</v>
      </c>
      <c r="K22" s="6">
        <v>167.4</v>
      </c>
      <c r="L22" s="6">
        <v>17.190000000000001</v>
      </c>
      <c r="M22" s="6">
        <v>25.3</v>
      </c>
      <c r="N22" s="6">
        <v>2.2999999999999998</v>
      </c>
      <c r="O22" s="6">
        <v>0</v>
      </c>
      <c r="P22" s="6">
        <v>0.66</v>
      </c>
      <c r="Q22" s="6">
        <v>10</v>
      </c>
      <c r="R22" s="6"/>
      <c r="S22" s="6"/>
      <c r="T22" s="156"/>
      <c r="U22" s="6"/>
    </row>
    <row r="23" spans="1:21" customFormat="1">
      <c r="A23" s="201" t="s">
        <v>830</v>
      </c>
      <c r="B23" s="6">
        <v>8.99</v>
      </c>
      <c r="C23" s="6">
        <v>6.41</v>
      </c>
      <c r="D23" s="6">
        <v>15.4</v>
      </c>
      <c r="E23" s="6">
        <v>5.62</v>
      </c>
      <c r="F23" s="6">
        <v>2</v>
      </c>
      <c r="G23" s="6">
        <v>35.26</v>
      </c>
      <c r="H23" s="6">
        <v>14.13</v>
      </c>
      <c r="I23" s="6">
        <v>11.39</v>
      </c>
      <c r="J23" s="6">
        <v>0.14000000000000001</v>
      </c>
      <c r="K23" s="6">
        <v>151.54</v>
      </c>
      <c r="L23" s="6">
        <v>15.01</v>
      </c>
      <c r="M23" s="6">
        <v>19.86</v>
      </c>
      <c r="N23" s="6">
        <v>2.4</v>
      </c>
      <c r="O23" s="6">
        <v>0</v>
      </c>
      <c r="P23" s="6">
        <v>0.67</v>
      </c>
      <c r="Q23" s="6">
        <v>10</v>
      </c>
      <c r="R23" s="6"/>
      <c r="S23" s="6"/>
      <c r="T23" s="156"/>
      <c r="U23" s="6"/>
    </row>
    <row r="24" spans="1:21" customFormat="1">
      <c r="A24" s="201" t="s">
        <v>831</v>
      </c>
      <c r="B24" s="6">
        <v>9.11</v>
      </c>
      <c r="C24" s="6">
        <v>6.35</v>
      </c>
      <c r="D24" s="6">
        <v>15.47</v>
      </c>
      <c r="E24" s="6">
        <v>5.77</v>
      </c>
      <c r="F24" s="6">
        <v>2</v>
      </c>
      <c r="G24" s="6">
        <v>36.19</v>
      </c>
      <c r="H24" s="6">
        <v>14.13</v>
      </c>
      <c r="I24" s="6">
        <v>11.41</v>
      </c>
      <c r="J24" s="6">
        <v>0.12</v>
      </c>
      <c r="K24" s="6">
        <v>151.01</v>
      </c>
      <c r="L24" s="6">
        <v>14.93</v>
      </c>
      <c r="M24" s="6">
        <v>19.579999999999998</v>
      </c>
      <c r="N24" s="6">
        <v>2.2999999999999998</v>
      </c>
      <c r="O24" s="6">
        <v>0</v>
      </c>
      <c r="P24" s="6">
        <v>0.66</v>
      </c>
      <c r="Q24" s="6">
        <v>10</v>
      </c>
      <c r="R24" s="6"/>
      <c r="S24" s="6"/>
      <c r="T24" s="156"/>
      <c r="U24" s="6"/>
    </row>
    <row r="25" spans="1:21" customFormat="1">
      <c r="A25" s="201" t="s">
        <v>832</v>
      </c>
      <c r="B25" s="6">
        <v>9.19</v>
      </c>
      <c r="C25" s="6">
        <v>6.37</v>
      </c>
      <c r="D25" s="6">
        <v>15.56</v>
      </c>
      <c r="E25" s="6">
        <v>5.67</v>
      </c>
      <c r="F25" s="6">
        <v>2</v>
      </c>
      <c r="G25" s="6">
        <v>36.19</v>
      </c>
      <c r="H25" s="6">
        <v>14.13</v>
      </c>
      <c r="I25" s="6">
        <v>11.54</v>
      </c>
      <c r="J25" s="6">
        <v>0.16</v>
      </c>
      <c r="K25" s="6">
        <v>258.17</v>
      </c>
      <c r="L25" s="6">
        <v>23.01</v>
      </c>
      <c r="M25" s="6">
        <v>39.89</v>
      </c>
      <c r="N25" s="6">
        <v>2.2999999999999998</v>
      </c>
      <c r="O25" s="6">
        <v>0</v>
      </c>
      <c r="P25" s="6">
        <v>0.67</v>
      </c>
      <c r="Q25" s="6">
        <v>10</v>
      </c>
      <c r="R25" s="6"/>
      <c r="S25" s="6"/>
      <c r="T25" s="156"/>
      <c r="U25" s="6"/>
    </row>
    <row r="26" spans="1:21" customFormat="1">
      <c r="A26" s="201" t="s">
        <v>833</v>
      </c>
      <c r="B26" s="6">
        <v>9.25</v>
      </c>
      <c r="C26" s="6">
        <v>6.31</v>
      </c>
      <c r="D26" s="6">
        <v>15.56</v>
      </c>
      <c r="E26" s="6">
        <v>6.15</v>
      </c>
      <c r="F26" s="6">
        <v>2</v>
      </c>
      <c r="G26" s="6">
        <v>36.19</v>
      </c>
      <c r="H26" s="6">
        <v>14.13</v>
      </c>
      <c r="I26" s="6">
        <v>11.57</v>
      </c>
      <c r="J26" s="6">
        <v>0.09</v>
      </c>
      <c r="K26" s="6">
        <v>237.77</v>
      </c>
      <c r="L26" s="6">
        <v>21.7</v>
      </c>
      <c r="M26" s="6">
        <v>36.56</v>
      </c>
      <c r="N26" s="6">
        <v>2.4</v>
      </c>
      <c r="O26" s="6">
        <v>0</v>
      </c>
      <c r="P26" s="6">
        <v>0.66</v>
      </c>
      <c r="Q26" s="6">
        <v>10</v>
      </c>
      <c r="R26" s="6"/>
      <c r="S26" s="6"/>
      <c r="T26" s="156"/>
      <c r="U26" s="6"/>
    </row>
    <row r="27" spans="1:21" customFormat="1">
      <c r="A27" s="201" t="s">
        <v>834</v>
      </c>
      <c r="B27" s="6">
        <v>9.31</v>
      </c>
      <c r="C27" s="6">
        <v>6.37</v>
      </c>
      <c r="D27" s="6">
        <v>15.68</v>
      </c>
      <c r="E27" s="6">
        <v>5.82</v>
      </c>
      <c r="F27" s="6">
        <v>2</v>
      </c>
      <c r="G27" s="6">
        <v>34.840000000000003</v>
      </c>
      <c r="H27" s="6">
        <v>15.21</v>
      </c>
      <c r="I27" s="6">
        <v>11.66</v>
      </c>
      <c r="J27" s="6">
        <v>0.11</v>
      </c>
      <c r="K27" s="6">
        <v>291.61</v>
      </c>
      <c r="L27" s="6">
        <v>21.53</v>
      </c>
      <c r="M27" s="6">
        <v>35.979999999999997</v>
      </c>
      <c r="N27" s="6">
        <v>2.4</v>
      </c>
      <c r="O27" s="6">
        <v>0</v>
      </c>
      <c r="P27" s="6">
        <v>0.66</v>
      </c>
      <c r="Q27" s="6">
        <v>10</v>
      </c>
      <c r="R27" s="6"/>
      <c r="S27" s="6"/>
      <c r="T27" s="156"/>
      <c r="U27" s="6"/>
    </row>
    <row r="28" spans="1:21" customFormat="1">
      <c r="A28" s="201" t="s">
        <v>835</v>
      </c>
      <c r="B28" s="6">
        <v>9.56</v>
      </c>
      <c r="C28" s="6">
        <v>6.47</v>
      </c>
      <c r="D28" s="6">
        <v>16.03</v>
      </c>
      <c r="E28" s="6">
        <v>6.14</v>
      </c>
      <c r="F28" s="6">
        <v>2</v>
      </c>
      <c r="G28" s="6">
        <v>34.46</v>
      </c>
      <c r="H28" s="6">
        <v>15.21</v>
      </c>
      <c r="I28" s="6">
        <v>11.64</v>
      </c>
      <c r="J28" s="6">
        <v>0.21</v>
      </c>
      <c r="K28" s="6">
        <v>296.08999999999997</v>
      </c>
      <c r="L28" s="6">
        <v>24.57</v>
      </c>
      <c r="M28" s="6">
        <v>43.6</v>
      </c>
      <c r="N28" s="6">
        <v>2.4</v>
      </c>
      <c r="O28" s="6">
        <v>0</v>
      </c>
      <c r="P28" s="6">
        <v>0.65</v>
      </c>
      <c r="Q28" s="6">
        <v>10</v>
      </c>
      <c r="R28" s="6"/>
      <c r="S28" s="6"/>
      <c r="T28" s="156"/>
      <c r="U28" s="6"/>
    </row>
    <row r="29" spans="1:21" customFormat="1">
      <c r="A29" s="201" t="s">
        <v>836</v>
      </c>
      <c r="B29" s="6">
        <v>9.68</v>
      </c>
      <c r="C29" s="6">
        <v>6.51</v>
      </c>
      <c r="D29" s="6">
        <v>16.190000000000001</v>
      </c>
      <c r="E29" s="6">
        <v>5.94</v>
      </c>
      <c r="F29" s="6">
        <v>2</v>
      </c>
      <c r="G29" s="6">
        <v>34.46</v>
      </c>
      <c r="H29" s="6">
        <v>15.21</v>
      </c>
      <c r="I29" s="6">
        <v>11.57</v>
      </c>
      <c r="J29" s="6">
        <v>0.09</v>
      </c>
      <c r="K29" s="6">
        <v>212.95</v>
      </c>
      <c r="L29" s="6">
        <v>18.27</v>
      </c>
      <c r="M29" s="6">
        <v>27.92</v>
      </c>
      <c r="N29" s="6">
        <v>2.4</v>
      </c>
      <c r="O29" s="6">
        <v>0</v>
      </c>
      <c r="P29" s="6">
        <v>0.61</v>
      </c>
      <c r="Q29" s="6">
        <v>10</v>
      </c>
      <c r="R29" s="6"/>
      <c r="S29" s="6"/>
      <c r="T29" s="156"/>
      <c r="U29" s="6"/>
    </row>
    <row r="30" spans="1:21" customFormat="1">
      <c r="A30" s="201" t="s">
        <v>837</v>
      </c>
      <c r="B30" s="6">
        <v>9.57</v>
      </c>
      <c r="C30" s="6">
        <v>6.79</v>
      </c>
      <c r="D30" s="6">
        <v>16.36</v>
      </c>
      <c r="E30" s="6">
        <v>6.05</v>
      </c>
      <c r="F30" s="6">
        <v>2</v>
      </c>
      <c r="G30" s="6">
        <v>34.46</v>
      </c>
      <c r="H30" s="6">
        <v>15.21</v>
      </c>
      <c r="I30" s="6">
        <v>11.53</v>
      </c>
      <c r="J30" s="6">
        <v>7.0000000000000007E-2</v>
      </c>
      <c r="K30" s="6">
        <v>166.07</v>
      </c>
      <c r="L30" s="6">
        <v>16.59</v>
      </c>
      <c r="M30" s="6">
        <v>23.73</v>
      </c>
      <c r="N30" s="6">
        <v>2.4</v>
      </c>
      <c r="O30" s="6">
        <v>0</v>
      </c>
      <c r="P30" s="6">
        <v>0.59</v>
      </c>
      <c r="Q30" s="6">
        <v>10</v>
      </c>
      <c r="R30" s="6"/>
      <c r="S30" s="6"/>
      <c r="T30" s="156"/>
      <c r="U30" s="6"/>
    </row>
    <row r="31" spans="1:21" customFormat="1">
      <c r="A31" s="201" t="s">
        <v>838</v>
      </c>
      <c r="B31" s="6">
        <v>9.44</v>
      </c>
      <c r="C31" s="6">
        <v>6.88</v>
      </c>
      <c r="D31" s="6">
        <v>16.32</v>
      </c>
      <c r="E31" s="6">
        <v>6.12</v>
      </c>
      <c r="F31" s="6">
        <v>2</v>
      </c>
      <c r="G31" s="6">
        <v>36.700000000000003</v>
      </c>
      <c r="H31" s="6">
        <v>12.11</v>
      </c>
      <c r="I31" s="6">
        <v>11.43</v>
      </c>
      <c r="J31" s="6">
        <v>0.11</v>
      </c>
      <c r="K31" s="6">
        <v>144.41</v>
      </c>
      <c r="L31" s="6">
        <v>14.52</v>
      </c>
      <c r="M31" s="6">
        <v>18.600000000000001</v>
      </c>
      <c r="N31" s="6">
        <v>2.4</v>
      </c>
      <c r="O31" s="6">
        <v>0</v>
      </c>
      <c r="P31" s="6">
        <v>0.59</v>
      </c>
      <c r="Q31" s="6">
        <v>10</v>
      </c>
      <c r="R31" s="6"/>
      <c r="S31" s="6"/>
      <c r="T31" s="156"/>
      <c r="U31" s="6"/>
    </row>
    <row r="32" spans="1:21" customFormat="1">
      <c r="A32" s="201" t="s">
        <v>839</v>
      </c>
      <c r="B32" s="6">
        <v>9.34</v>
      </c>
      <c r="C32" s="6">
        <v>6.86</v>
      </c>
      <c r="D32" s="6">
        <v>16.2</v>
      </c>
      <c r="E32" s="6">
        <v>6.31</v>
      </c>
      <c r="F32" s="6">
        <v>2</v>
      </c>
      <c r="G32" s="6">
        <v>37.340000000000003</v>
      </c>
      <c r="H32" s="6">
        <v>12.11</v>
      </c>
      <c r="I32" s="6">
        <v>11.43</v>
      </c>
      <c r="J32" s="6">
        <v>0.11</v>
      </c>
      <c r="K32" s="6">
        <v>143.19</v>
      </c>
      <c r="L32" s="6">
        <v>14.19</v>
      </c>
      <c r="M32" s="6">
        <v>17.739999999999998</v>
      </c>
      <c r="N32" s="6">
        <v>3</v>
      </c>
      <c r="O32" s="6">
        <v>0</v>
      </c>
      <c r="P32" s="6">
        <v>0.57999999999999996</v>
      </c>
      <c r="Q32" s="6">
        <v>10</v>
      </c>
      <c r="R32" s="6"/>
      <c r="S32" s="6"/>
      <c r="T32" s="156"/>
      <c r="U32" s="6"/>
    </row>
    <row r="33" spans="1:21" customFormat="1">
      <c r="A33" s="201" t="s">
        <v>840</v>
      </c>
      <c r="B33" s="6">
        <v>9.25</v>
      </c>
      <c r="C33" s="6">
        <v>6.81</v>
      </c>
      <c r="D33" s="6">
        <v>16.059999999999999</v>
      </c>
      <c r="E33" s="6">
        <v>6.37</v>
      </c>
      <c r="F33" s="6">
        <v>2</v>
      </c>
      <c r="G33" s="6">
        <v>37.340000000000003</v>
      </c>
      <c r="H33" s="6">
        <v>12.11</v>
      </c>
      <c r="I33" s="6">
        <v>11.38</v>
      </c>
      <c r="J33" s="6">
        <v>0.12</v>
      </c>
      <c r="K33" s="6">
        <v>164.78</v>
      </c>
      <c r="L33" s="6">
        <v>16.5</v>
      </c>
      <c r="M33" s="6">
        <v>23.39</v>
      </c>
      <c r="N33" s="6">
        <v>7.1</v>
      </c>
      <c r="O33" s="6">
        <v>0</v>
      </c>
      <c r="P33" s="6">
        <v>0.57999999999999996</v>
      </c>
      <c r="Q33" s="6">
        <v>10</v>
      </c>
      <c r="R33" s="6"/>
      <c r="S33" s="6"/>
      <c r="T33" s="156"/>
      <c r="U33" s="6"/>
    </row>
    <row r="34" spans="1:21" customFormat="1">
      <c r="A34" s="201" t="s">
        <v>841</v>
      </c>
      <c r="B34" s="6">
        <v>9.26</v>
      </c>
      <c r="C34" s="6">
        <v>6.72</v>
      </c>
      <c r="D34" s="6">
        <v>15.99</v>
      </c>
      <c r="E34" s="6">
        <v>6.29</v>
      </c>
      <c r="F34" s="6">
        <v>2</v>
      </c>
      <c r="G34" s="6">
        <v>37.340000000000003</v>
      </c>
      <c r="H34" s="6">
        <v>12.11</v>
      </c>
      <c r="I34" s="6">
        <v>11.3</v>
      </c>
      <c r="J34" s="6">
        <v>0.09</v>
      </c>
      <c r="K34" s="6">
        <v>179.41</v>
      </c>
      <c r="L34" s="6">
        <v>17.649999999999999</v>
      </c>
      <c r="M34" s="6">
        <v>26.1</v>
      </c>
      <c r="N34" s="6">
        <v>16.3</v>
      </c>
      <c r="O34" s="6">
        <v>0</v>
      </c>
      <c r="P34" s="6">
        <v>0.56999999999999995</v>
      </c>
      <c r="Q34" s="6">
        <v>10</v>
      </c>
      <c r="R34" s="6"/>
      <c r="S34" s="6"/>
      <c r="T34" s="156"/>
      <c r="U34" s="6"/>
    </row>
    <row r="35" spans="1:21" customFormat="1">
      <c r="A35" s="201" t="s">
        <v>842</v>
      </c>
      <c r="B35" s="6">
        <v>9.1999999999999993</v>
      </c>
      <c r="C35" s="6">
        <v>6.69</v>
      </c>
      <c r="D35" s="6">
        <v>15.9</v>
      </c>
      <c r="E35" s="6">
        <v>6.28</v>
      </c>
      <c r="F35" s="6">
        <v>2</v>
      </c>
      <c r="G35" s="6">
        <v>33.92</v>
      </c>
      <c r="H35" s="6">
        <v>14.44</v>
      </c>
      <c r="I35" s="6">
        <v>11.27</v>
      </c>
      <c r="J35" s="6">
        <v>0.13</v>
      </c>
      <c r="K35" s="6">
        <v>167.94</v>
      </c>
      <c r="L35" s="6">
        <v>16.68</v>
      </c>
      <c r="M35" s="6">
        <v>23.5</v>
      </c>
      <c r="N35" s="6">
        <v>22.9</v>
      </c>
      <c r="O35" s="6">
        <v>0</v>
      </c>
      <c r="P35" s="6">
        <v>0.56000000000000005</v>
      </c>
      <c r="Q35" s="6">
        <v>10</v>
      </c>
      <c r="R35" s="6"/>
      <c r="S35" s="6"/>
      <c r="T35" s="156"/>
      <c r="U35" s="6"/>
    </row>
    <row r="36" spans="1:21" customFormat="1">
      <c r="A36" s="201" t="s">
        <v>843</v>
      </c>
      <c r="B36" s="6">
        <v>9.1</v>
      </c>
      <c r="C36" s="6">
        <v>6.59</v>
      </c>
      <c r="D36" s="6">
        <v>15.7</v>
      </c>
      <c r="E36" s="6">
        <v>6.33</v>
      </c>
      <c r="F36" s="6">
        <v>2</v>
      </c>
      <c r="G36" s="6">
        <v>32.94</v>
      </c>
      <c r="H36" s="6">
        <v>14.44</v>
      </c>
      <c r="I36" s="6">
        <v>11.33</v>
      </c>
      <c r="J36" s="6">
        <v>7.0000000000000007E-2</v>
      </c>
      <c r="K36" s="6">
        <v>232.57</v>
      </c>
      <c r="L36" s="6">
        <v>20.02</v>
      </c>
      <c r="M36" s="6">
        <v>31.64</v>
      </c>
      <c r="N36" s="6">
        <v>31.7</v>
      </c>
      <c r="O36" s="6">
        <v>0</v>
      </c>
      <c r="P36" s="6">
        <v>0.56000000000000005</v>
      </c>
      <c r="Q36" s="6">
        <v>10</v>
      </c>
      <c r="R36" s="6"/>
      <c r="S36" s="6"/>
      <c r="T36" s="156"/>
      <c r="U36" s="6"/>
    </row>
    <row r="37" spans="1:21" customFormat="1">
      <c r="A37" s="201" t="s">
        <v>844</v>
      </c>
      <c r="B37" s="6">
        <v>9.07</v>
      </c>
      <c r="C37" s="6">
        <v>6.46</v>
      </c>
      <c r="D37" s="6">
        <v>15.52</v>
      </c>
      <c r="E37" s="6">
        <v>6.42</v>
      </c>
      <c r="F37" s="6">
        <v>2</v>
      </c>
      <c r="G37" s="6">
        <v>32.94</v>
      </c>
      <c r="H37" s="6">
        <v>14.44</v>
      </c>
      <c r="I37" s="6">
        <v>11.56</v>
      </c>
      <c r="J37" s="6">
        <v>0.3</v>
      </c>
      <c r="K37" s="6">
        <v>255.14</v>
      </c>
      <c r="L37" s="6">
        <v>23.17</v>
      </c>
      <c r="M37" s="6">
        <v>38.92</v>
      </c>
      <c r="N37" s="6">
        <v>55.9</v>
      </c>
      <c r="O37" s="6">
        <v>0</v>
      </c>
      <c r="P37" s="6">
        <v>0.56999999999999995</v>
      </c>
      <c r="Q37" s="6">
        <v>10</v>
      </c>
      <c r="R37" s="6"/>
      <c r="S37" s="6"/>
      <c r="T37" s="156"/>
      <c r="U37" s="6"/>
    </row>
    <row r="38" spans="1:21" customFormat="1">
      <c r="A38" s="201" t="s">
        <v>845</v>
      </c>
      <c r="B38" s="6">
        <v>8.92</v>
      </c>
      <c r="C38" s="6">
        <v>6.49</v>
      </c>
      <c r="D38" s="6">
        <v>15.41</v>
      </c>
      <c r="E38" s="6">
        <v>6.2</v>
      </c>
      <c r="F38" s="6">
        <v>2.06</v>
      </c>
      <c r="G38" s="6">
        <v>32.94</v>
      </c>
      <c r="H38" s="6">
        <v>14.44</v>
      </c>
      <c r="I38" s="6">
        <v>11.92</v>
      </c>
      <c r="J38" s="6">
        <v>0.25</v>
      </c>
      <c r="K38" s="6">
        <v>263</v>
      </c>
      <c r="L38" s="6">
        <v>23.61</v>
      </c>
      <c r="M38" s="6">
        <v>39.65</v>
      </c>
      <c r="N38" s="6">
        <v>70.7</v>
      </c>
      <c r="O38" s="6">
        <v>0</v>
      </c>
      <c r="P38" s="6">
        <v>0.56000000000000005</v>
      </c>
      <c r="Q38" s="6">
        <v>10</v>
      </c>
      <c r="R38" s="6"/>
      <c r="S38" s="6"/>
      <c r="T38" s="156"/>
      <c r="U38" s="6"/>
    </row>
    <row r="39" spans="1:21" customFormat="1">
      <c r="A39" s="201" t="s">
        <v>846</v>
      </c>
      <c r="B39" s="6">
        <v>8.7899999999999991</v>
      </c>
      <c r="C39" s="6">
        <v>6.6</v>
      </c>
      <c r="D39" s="6">
        <v>15.4</v>
      </c>
      <c r="E39" s="6">
        <v>6.03</v>
      </c>
      <c r="F39" s="6">
        <v>2</v>
      </c>
      <c r="G39" s="6">
        <v>34.450000000000003</v>
      </c>
      <c r="H39" s="6">
        <v>20.170000000000002</v>
      </c>
      <c r="I39" s="6">
        <v>12.27</v>
      </c>
      <c r="J39" s="6">
        <v>0.43</v>
      </c>
      <c r="K39" s="6">
        <v>254.74</v>
      </c>
      <c r="L39" s="6">
        <v>23.79</v>
      </c>
      <c r="M39" s="6">
        <v>38.409999999999997</v>
      </c>
      <c r="N39" s="6">
        <v>144.1</v>
      </c>
      <c r="O39" s="6">
        <v>0</v>
      </c>
      <c r="P39" s="6">
        <v>0.56000000000000005</v>
      </c>
      <c r="Q39" s="6">
        <v>10</v>
      </c>
      <c r="R39" s="6"/>
      <c r="S39" s="6"/>
      <c r="T39" s="156"/>
      <c r="U39" s="6"/>
    </row>
    <row r="40" spans="1:21" customFormat="1">
      <c r="A40" s="201" t="s">
        <v>847</v>
      </c>
      <c r="B40" s="6">
        <v>8.68</v>
      </c>
      <c r="C40" s="6">
        <v>6.68</v>
      </c>
      <c r="D40" s="6">
        <v>15.36</v>
      </c>
      <c r="E40" s="6">
        <v>6.3</v>
      </c>
      <c r="F40" s="6">
        <v>2</v>
      </c>
      <c r="G40" s="6">
        <v>34.89</v>
      </c>
      <c r="H40" s="6">
        <v>20.170000000000002</v>
      </c>
      <c r="I40" s="6">
        <v>12.24</v>
      </c>
      <c r="J40" s="6">
        <v>0.39</v>
      </c>
      <c r="K40" s="6">
        <v>253.09</v>
      </c>
      <c r="L40" s="6">
        <v>23.57</v>
      </c>
      <c r="M40" s="6">
        <v>38.6</v>
      </c>
      <c r="N40" s="6">
        <v>112.4</v>
      </c>
      <c r="O40" s="6">
        <v>0</v>
      </c>
      <c r="P40" s="6">
        <v>0.56000000000000005</v>
      </c>
      <c r="Q40" s="6">
        <v>10</v>
      </c>
      <c r="R40" s="6"/>
      <c r="S40" s="6"/>
      <c r="T40" s="156"/>
      <c r="U40" s="6"/>
    </row>
    <row r="41" spans="1:21" customFormat="1">
      <c r="A41" s="201" t="s">
        <v>848</v>
      </c>
      <c r="B41" s="6">
        <v>8.49</v>
      </c>
      <c r="C41" s="6">
        <v>6.74</v>
      </c>
      <c r="D41" s="6">
        <v>15.23</v>
      </c>
      <c r="E41" s="6">
        <v>6.22</v>
      </c>
      <c r="F41" s="6">
        <v>2</v>
      </c>
      <c r="G41" s="6">
        <v>34.89</v>
      </c>
      <c r="H41" s="6">
        <v>20.170000000000002</v>
      </c>
      <c r="I41" s="6">
        <v>12.23</v>
      </c>
      <c r="J41" s="6">
        <v>0.48</v>
      </c>
      <c r="K41" s="6">
        <v>250.82</v>
      </c>
      <c r="L41" s="6">
        <v>23.26</v>
      </c>
      <c r="M41" s="6">
        <v>36.880000000000003</v>
      </c>
      <c r="N41" s="6">
        <v>151.9</v>
      </c>
      <c r="O41" s="6">
        <v>0</v>
      </c>
      <c r="P41" s="6">
        <v>0.55000000000000004</v>
      </c>
      <c r="Q41" s="6">
        <v>10</v>
      </c>
      <c r="R41" s="6"/>
      <c r="S41" s="6"/>
      <c r="T41" s="156"/>
      <c r="U41" s="6"/>
    </row>
    <row r="42" spans="1:21" customFormat="1">
      <c r="A42" s="201" t="s">
        <v>849</v>
      </c>
      <c r="B42" s="6">
        <v>8.2799999999999994</v>
      </c>
      <c r="C42" s="6">
        <v>6.61</v>
      </c>
      <c r="D42" s="6">
        <v>14.89</v>
      </c>
      <c r="E42" s="6">
        <v>6.3</v>
      </c>
      <c r="F42" s="6">
        <v>2</v>
      </c>
      <c r="G42" s="6">
        <v>34.89</v>
      </c>
      <c r="H42" s="6">
        <v>20.170000000000002</v>
      </c>
      <c r="I42" s="6">
        <v>12.19</v>
      </c>
      <c r="J42" s="6">
        <v>0.49</v>
      </c>
      <c r="K42" s="6">
        <v>251.47</v>
      </c>
      <c r="L42" s="6">
        <v>23.41</v>
      </c>
      <c r="M42" s="6">
        <v>37.520000000000003</v>
      </c>
      <c r="N42" s="6">
        <v>140.19999999999999</v>
      </c>
      <c r="O42" s="6">
        <v>0</v>
      </c>
      <c r="P42" s="6">
        <v>0.53</v>
      </c>
      <c r="Q42" s="6">
        <v>10</v>
      </c>
      <c r="R42" s="6"/>
      <c r="S42" s="6"/>
      <c r="T42" s="156"/>
      <c r="U42" s="6"/>
    </row>
    <row r="43" spans="1:21" customFormat="1">
      <c r="A43" s="201" t="s">
        <v>850</v>
      </c>
      <c r="B43" s="6">
        <v>8.01</v>
      </c>
      <c r="C43" s="6">
        <v>6.52</v>
      </c>
      <c r="D43" s="6">
        <v>14.53</v>
      </c>
      <c r="E43" s="6">
        <v>6.33</v>
      </c>
      <c r="F43" s="6">
        <v>2.0299999999999998</v>
      </c>
      <c r="G43" s="6">
        <v>36.81</v>
      </c>
      <c r="H43" s="6">
        <v>16.12</v>
      </c>
      <c r="I43" s="6">
        <v>11.99</v>
      </c>
      <c r="J43" s="6">
        <v>0.52</v>
      </c>
      <c r="K43" s="6">
        <v>249.54</v>
      </c>
      <c r="L43" s="6">
        <v>23.96</v>
      </c>
      <c r="M43" s="6">
        <v>37.409999999999997</v>
      </c>
      <c r="N43" s="6">
        <v>206.4</v>
      </c>
      <c r="O43" s="6">
        <v>0</v>
      </c>
      <c r="P43" s="6">
        <v>0.53</v>
      </c>
      <c r="Q43" s="6">
        <v>10</v>
      </c>
      <c r="R43" s="6"/>
      <c r="S43" s="6"/>
      <c r="T43" s="156"/>
      <c r="U43" s="6"/>
    </row>
    <row r="44" spans="1:21" customFormat="1">
      <c r="A44" s="201" t="s">
        <v>851</v>
      </c>
      <c r="B44" s="6">
        <v>7.71</v>
      </c>
      <c r="C44" s="6">
        <v>6.48</v>
      </c>
      <c r="D44" s="6">
        <v>14.19</v>
      </c>
      <c r="E44" s="6">
        <v>6.22</v>
      </c>
      <c r="F44" s="6">
        <v>2.0099999999999998</v>
      </c>
      <c r="G44" s="6">
        <v>37.36</v>
      </c>
      <c r="H44" s="6">
        <v>16.12</v>
      </c>
      <c r="I44" s="6">
        <v>11.72</v>
      </c>
      <c r="J44" s="6">
        <v>0.59</v>
      </c>
      <c r="K44" s="6">
        <v>251.15</v>
      </c>
      <c r="L44" s="6">
        <v>23.58</v>
      </c>
      <c r="M44" s="6">
        <v>37.520000000000003</v>
      </c>
      <c r="N44" s="6">
        <v>157.80000000000001</v>
      </c>
      <c r="O44" s="6">
        <v>0</v>
      </c>
      <c r="P44" s="6">
        <v>0.53</v>
      </c>
      <c r="Q44" s="6">
        <v>10</v>
      </c>
      <c r="R44" s="6"/>
      <c r="S44" s="6"/>
      <c r="T44" s="156"/>
      <c r="U44" s="6"/>
    </row>
    <row r="45" spans="1:21" customFormat="1">
      <c r="A45" s="201" t="s">
        <v>852</v>
      </c>
      <c r="B45" s="6">
        <v>7.37</v>
      </c>
      <c r="C45" s="6">
        <v>6.45</v>
      </c>
      <c r="D45" s="6">
        <v>13.82</v>
      </c>
      <c r="E45" s="6">
        <v>6.31</v>
      </c>
      <c r="F45" s="6">
        <v>2</v>
      </c>
      <c r="G45" s="6">
        <v>37.36</v>
      </c>
      <c r="H45" s="6">
        <v>16.12</v>
      </c>
      <c r="I45" s="6">
        <v>11.57</v>
      </c>
      <c r="J45" s="6">
        <v>0.38</v>
      </c>
      <c r="K45" s="6">
        <v>247.33</v>
      </c>
      <c r="L45" s="6">
        <v>22.52</v>
      </c>
      <c r="M45" s="6">
        <v>36.46</v>
      </c>
      <c r="N45" s="6">
        <v>89.7</v>
      </c>
      <c r="O45" s="6">
        <v>0</v>
      </c>
      <c r="P45" s="6">
        <v>0.52</v>
      </c>
      <c r="Q45" s="6">
        <v>10</v>
      </c>
      <c r="R45" s="6"/>
      <c r="S45" s="6"/>
      <c r="T45" s="156"/>
      <c r="U45" s="6"/>
    </row>
    <row r="46" spans="1:21" customFormat="1">
      <c r="A46" s="201" t="s">
        <v>853</v>
      </c>
      <c r="B46" s="6">
        <v>7.04</v>
      </c>
      <c r="C46" s="6">
        <v>6.39</v>
      </c>
      <c r="D46" s="6">
        <v>13.43</v>
      </c>
      <c r="E46" s="6">
        <v>6.32</v>
      </c>
      <c r="F46" s="6">
        <v>2.02</v>
      </c>
      <c r="G46" s="6">
        <v>37.36</v>
      </c>
      <c r="H46" s="6">
        <v>16.12</v>
      </c>
      <c r="I46" s="6">
        <v>11.62</v>
      </c>
      <c r="J46" s="6">
        <v>0.56999999999999995</v>
      </c>
      <c r="K46" s="6">
        <v>251.37</v>
      </c>
      <c r="L46" s="6">
        <v>24.21</v>
      </c>
      <c r="M46" s="6">
        <v>37.65</v>
      </c>
      <c r="N46" s="6">
        <v>221.8</v>
      </c>
      <c r="O46" s="6">
        <v>0</v>
      </c>
      <c r="P46" s="6">
        <v>0.53</v>
      </c>
      <c r="Q46" s="6">
        <v>10</v>
      </c>
      <c r="R46" s="6"/>
      <c r="S46" s="6"/>
      <c r="T46" s="156"/>
      <c r="U46" s="6"/>
    </row>
    <row r="47" spans="1:21" customFormat="1">
      <c r="A47" s="201" t="s">
        <v>854</v>
      </c>
      <c r="B47" s="6">
        <v>6.73</v>
      </c>
      <c r="C47" s="6">
        <v>6.42</v>
      </c>
      <c r="D47" s="6">
        <v>13.15</v>
      </c>
      <c r="E47" s="6">
        <v>6.06</v>
      </c>
      <c r="F47" s="6">
        <v>2</v>
      </c>
      <c r="G47" s="6">
        <v>39.75</v>
      </c>
      <c r="H47" s="6">
        <v>21.71</v>
      </c>
      <c r="I47" s="6">
        <v>11.75</v>
      </c>
      <c r="J47" s="6">
        <v>0.4</v>
      </c>
      <c r="K47" s="6">
        <v>261.37</v>
      </c>
      <c r="L47" s="6">
        <v>25.27</v>
      </c>
      <c r="M47" s="6">
        <v>35.15</v>
      </c>
      <c r="N47" s="6">
        <v>441.9</v>
      </c>
      <c r="O47" s="6">
        <v>0</v>
      </c>
      <c r="P47" s="6">
        <v>0.54</v>
      </c>
      <c r="Q47" s="6">
        <v>10</v>
      </c>
      <c r="R47" s="6"/>
      <c r="S47" s="6"/>
      <c r="T47" s="156"/>
      <c r="U47" s="6"/>
    </row>
    <row r="48" spans="1:21" customFormat="1">
      <c r="A48" s="201" t="s">
        <v>855</v>
      </c>
      <c r="B48" s="6">
        <v>6.39</v>
      </c>
      <c r="C48" s="6">
        <v>6.43</v>
      </c>
      <c r="D48" s="6">
        <v>12.82</v>
      </c>
      <c r="E48" s="6">
        <v>6.16</v>
      </c>
      <c r="F48" s="6">
        <v>2.0099999999999998</v>
      </c>
      <c r="G48" s="6">
        <v>40.44</v>
      </c>
      <c r="H48" s="6">
        <v>21.71</v>
      </c>
      <c r="I48" s="6">
        <v>12.15</v>
      </c>
      <c r="J48" s="6">
        <v>0.43</v>
      </c>
      <c r="K48" s="6">
        <v>241.56</v>
      </c>
      <c r="L48" s="6">
        <v>23.86</v>
      </c>
      <c r="M48" s="6">
        <v>34.58</v>
      </c>
      <c r="N48" s="6">
        <v>315.3</v>
      </c>
      <c r="O48" s="6">
        <v>0</v>
      </c>
      <c r="P48" s="6">
        <v>0.54</v>
      </c>
      <c r="Q48" s="6">
        <v>10</v>
      </c>
      <c r="R48" s="6"/>
      <c r="S48" s="6"/>
      <c r="T48" s="156"/>
      <c r="U48" s="6"/>
    </row>
    <row r="49" spans="1:21" customFormat="1">
      <c r="A49" s="201" t="s">
        <v>856</v>
      </c>
      <c r="B49" s="6">
        <v>6.08</v>
      </c>
      <c r="C49" s="6">
        <v>6.42</v>
      </c>
      <c r="D49" s="6">
        <v>12.49</v>
      </c>
      <c r="E49" s="6">
        <v>4.72</v>
      </c>
      <c r="F49" s="6">
        <v>2</v>
      </c>
      <c r="G49" s="6">
        <v>40.44</v>
      </c>
      <c r="H49" s="6">
        <v>21.71</v>
      </c>
      <c r="I49" s="6">
        <v>12.58</v>
      </c>
      <c r="J49" s="6">
        <v>0.44</v>
      </c>
      <c r="K49" s="6">
        <v>248.16</v>
      </c>
      <c r="L49" s="6">
        <v>22.69</v>
      </c>
      <c r="M49" s="6">
        <v>35.25</v>
      </c>
      <c r="N49" s="6">
        <v>162.5</v>
      </c>
      <c r="O49" s="6">
        <v>0</v>
      </c>
      <c r="P49" s="6">
        <v>0.55000000000000004</v>
      </c>
      <c r="Q49" s="6">
        <v>10</v>
      </c>
      <c r="R49" s="6"/>
      <c r="S49" s="6"/>
      <c r="T49" s="156"/>
      <c r="U49" s="6"/>
    </row>
    <row r="50" spans="1:21" customFormat="1">
      <c r="A50" s="201" t="s">
        <v>857</v>
      </c>
      <c r="B50" s="6">
        <v>5.95</v>
      </c>
      <c r="C50" s="6">
        <v>6.22</v>
      </c>
      <c r="D50" s="6">
        <v>12.17</v>
      </c>
      <c r="E50" s="6">
        <v>5.45</v>
      </c>
      <c r="F50" s="6">
        <v>2</v>
      </c>
      <c r="G50" s="6">
        <v>40.44</v>
      </c>
      <c r="H50" s="6">
        <v>21.71</v>
      </c>
      <c r="I50" s="6">
        <v>12.88</v>
      </c>
      <c r="J50" s="6">
        <v>0.48</v>
      </c>
      <c r="K50" s="6">
        <v>250.93</v>
      </c>
      <c r="L50" s="6">
        <v>22.81</v>
      </c>
      <c r="M50" s="6">
        <v>37.01</v>
      </c>
      <c r="N50" s="6">
        <v>101.7</v>
      </c>
      <c r="O50" s="6">
        <v>0</v>
      </c>
      <c r="P50" s="6">
        <v>0.56999999999999995</v>
      </c>
      <c r="Q50" s="6">
        <v>10</v>
      </c>
      <c r="R50" s="6"/>
      <c r="S50" s="6"/>
      <c r="T50" s="156"/>
      <c r="U50" s="6"/>
    </row>
    <row r="51" spans="1:21" customFormat="1">
      <c r="A51" s="201" t="s">
        <v>858</v>
      </c>
      <c r="B51" s="6">
        <v>5.82</v>
      </c>
      <c r="C51" s="6">
        <v>6.19</v>
      </c>
      <c r="D51" s="6">
        <v>12.01</v>
      </c>
      <c r="E51" s="6">
        <v>5.3</v>
      </c>
      <c r="F51" s="6">
        <v>2.36</v>
      </c>
      <c r="G51" s="6">
        <v>41.55</v>
      </c>
      <c r="H51" s="6">
        <v>21.23</v>
      </c>
      <c r="I51" s="6">
        <v>13.03</v>
      </c>
      <c r="J51" s="6">
        <v>0.57999999999999996</v>
      </c>
      <c r="K51" s="6">
        <v>251.94</v>
      </c>
      <c r="L51" s="6">
        <v>27.01</v>
      </c>
      <c r="M51" s="6">
        <v>37.57</v>
      </c>
      <c r="N51" s="6">
        <v>526.1</v>
      </c>
      <c r="O51" s="6">
        <v>0</v>
      </c>
      <c r="P51" s="6">
        <v>0.56999999999999995</v>
      </c>
      <c r="Q51" s="6">
        <v>10</v>
      </c>
      <c r="R51" s="6"/>
      <c r="S51" s="6"/>
      <c r="T51" s="156"/>
      <c r="U51" s="6"/>
    </row>
    <row r="52" spans="1:21" customFormat="1">
      <c r="A52" s="201" t="s">
        <v>859</v>
      </c>
      <c r="B52" s="6">
        <v>5.73</v>
      </c>
      <c r="C52" s="6">
        <v>6.18</v>
      </c>
      <c r="D52" s="6">
        <v>11.91</v>
      </c>
      <c r="E52" s="6">
        <v>4.8899999999999997</v>
      </c>
      <c r="F52" s="6">
        <v>2.1800000000000002</v>
      </c>
      <c r="G52" s="6">
        <v>41.86</v>
      </c>
      <c r="H52" s="6">
        <v>21.23</v>
      </c>
      <c r="I52" s="6">
        <v>13.13</v>
      </c>
      <c r="J52" s="6">
        <v>0.5</v>
      </c>
      <c r="K52" s="6">
        <v>267.55</v>
      </c>
      <c r="L52" s="6">
        <v>28.49</v>
      </c>
      <c r="M52" s="6">
        <v>40.93</v>
      </c>
      <c r="N52" s="6">
        <v>540.4</v>
      </c>
      <c r="O52" s="6">
        <v>0</v>
      </c>
      <c r="P52" s="6">
        <v>0.56000000000000005</v>
      </c>
      <c r="Q52" s="6">
        <v>10</v>
      </c>
      <c r="R52" s="6"/>
      <c r="S52" s="6"/>
      <c r="T52" s="156"/>
      <c r="U52" s="6"/>
    </row>
    <row r="53" spans="1:21" customFormat="1">
      <c r="A53" s="201" t="s">
        <v>860</v>
      </c>
      <c r="B53" s="6">
        <v>5.57</v>
      </c>
      <c r="C53" s="6">
        <v>6.28</v>
      </c>
      <c r="D53" s="6">
        <v>11.85</v>
      </c>
      <c r="E53" s="6">
        <v>4.83</v>
      </c>
      <c r="F53" s="6">
        <v>2.29</v>
      </c>
      <c r="G53" s="6">
        <v>41.86</v>
      </c>
      <c r="H53" s="6">
        <v>21.23</v>
      </c>
      <c r="I53" s="6">
        <v>13.17</v>
      </c>
      <c r="J53" s="6">
        <v>0.37</v>
      </c>
      <c r="K53" s="6">
        <v>230.68</v>
      </c>
      <c r="L53" s="6">
        <v>23.72</v>
      </c>
      <c r="M53" s="6">
        <v>32.71</v>
      </c>
      <c r="N53" s="6">
        <v>382.3</v>
      </c>
      <c r="O53" s="6">
        <v>0</v>
      </c>
      <c r="P53" s="6">
        <v>0.56000000000000005</v>
      </c>
      <c r="Q53" s="6">
        <v>10</v>
      </c>
      <c r="R53" s="6"/>
      <c r="S53" s="6"/>
      <c r="T53" s="156"/>
      <c r="U53" s="6"/>
    </row>
    <row r="54" spans="1:21" customFormat="1">
      <c r="A54" s="201" t="s">
        <v>861</v>
      </c>
      <c r="B54" s="6">
        <v>5.38</v>
      </c>
      <c r="C54" s="6">
        <v>6.46</v>
      </c>
      <c r="D54" s="6">
        <v>11.84</v>
      </c>
      <c r="E54" s="6">
        <v>4.66</v>
      </c>
      <c r="F54" s="6">
        <v>2.13</v>
      </c>
      <c r="G54" s="6">
        <v>41.86</v>
      </c>
      <c r="H54" s="6">
        <v>21.23</v>
      </c>
      <c r="I54" s="6">
        <v>13.14</v>
      </c>
      <c r="J54" s="6">
        <v>0.43</v>
      </c>
      <c r="K54" s="6">
        <v>281.45</v>
      </c>
      <c r="L54" s="6">
        <v>28.11</v>
      </c>
      <c r="M54" s="6">
        <v>42.26</v>
      </c>
      <c r="N54" s="6">
        <v>442.9</v>
      </c>
      <c r="O54" s="6">
        <v>0</v>
      </c>
      <c r="P54" s="6">
        <v>0.56999999999999995</v>
      </c>
      <c r="Q54" s="6">
        <v>10</v>
      </c>
      <c r="R54" s="6"/>
      <c r="S54" s="6"/>
      <c r="T54" s="156"/>
      <c r="U54" s="6"/>
    </row>
    <row r="55" spans="1:21" customFormat="1">
      <c r="A55" s="201" t="s">
        <v>862</v>
      </c>
      <c r="B55" s="6">
        <v>5.21</v>
      </c>
      <c r="C55" s="6">
        <v>6.54</v>
      </c>
      <c r="D55" s="6">
        <v>11.75</v>
      </c>
      <c r="E55" s="6">
        <v>4.66</v>
      </c>
      <c r="F55" s="6">
        <v>3.97</v>
      </c>
      <c r="G55" s="6">
        <v>44.3</v>
      </c>
      <c r="H55" s="6">
        <v>23.25</v>
      </c>
      <c r="I55" s="6">
        <v>13.11</v>
      </c>
      <c r="J55" s="6">
        <v>0.41</v>
      </c>
      <c r="K55" s="6">
        <v>284.60000000000002</v>
      </c>
      <c r="L55" s="6">
        <v>28.27</v>
      </c>
      <c r="M55" s="6">
        <v>38.56</v>
      </c>
      <c r="N55" s="6">
        <v>618.29999999999995</v>
      </c>
      <c r="O55" s="6">
        <v>0</v>
      </c>
      <c r="P55" s="6">
        <v>0.56000000000000005</v>
      </c>
      <c r="Q55" s="6">
        <v>10</v>
      </c>
      <c r="R55" s="6"/>
      <c r="S55" s="6"/>
      <c r="T55" s="156"/>
      <c r="U55" s="6"/>
    </row>
    <row r="56" spans="1:21" customFormat="1">
      <c r="A56" s="201" t="s">
        <v>863</v>
      </c>
      <c r="B56" s="6">
        <v>5.03</v>
      </c>
      <c r="C56" s="6">
        <v>6.67</v>
      </c>
      <c r="D56" s="6">
        <v>11.7</v>
      </c>
      <c r="E56" s="6">
        <v>4.8499999999999996</v>
      </c>
      <c r="F56" s="6">
        <v>4.41</v>
      </c>
      <c r="G56" s="6">
        <v>45</v>
      </c>
      <c r="H56" s="6">
        <v>23.25</v>
      </c>
      <c r="I56" s="6">
        <v>12.98</v>
      </c>
      <c r="J56" s="6">
        <v>0.22</v>
      </c>
      <c r="K56" s="6">
        <v>291.39</v>
      </c>
      <c r="L56" s="6">
        <v>24.26</v>
      </c>
      <c r="M56" s="6">
        <v>32.880000000000003</v>
      </c>
      <c r="N56" s="6">
        <v>426.3</v>
      </c>
      <c r="O56" s="6">
        <v>0</v>
      </c>
      <c r="P56" s="6">
        <v>0.55000000000000004</v>
      </c>
      <c r="Q56" s="6">
        <v>10</v>
      </c>
      <c r="R56" s="6"/>
      <c r="S56" s="6"/>
      <c r="T56" s="156"/>
      <c r="U56" s="6"/>
    </row>
    <row r="57" spans="1:21" customFormat="1">
      <c r="A57" s="201" t="s">
        <v>864</v>
      </c>
      <c r="B57" s="6">
        <v>4.79</v>
      </c>
      <c r="C57" s="6">
        <v>6.94</v>
      </c>
      <c r="D57" s="6">
        <v>11.73</v>
      </c>
      <c r="E57" s="6">
        <v>5.03</v>
      </c>
      <c r="F57" s="6">
        <v>5.0199999999999996</v>
      </c>
      <c r="G57" s="6">
        <v>45</v>
      </c>
      <c r="H57" s="6">
        <v>23.25</v>
      </c>
      <c r="I57" s="6">
        <v>12.78</v>
      </c>
      <c r="J57" s="6">
        <v>0.08</v>
      </c>
      <c r="K57" s="6">
        <v>66.290000000000006</v>
      </c>
      <c r="L57" s="6">
        <v>21.17</v>
      </c>
      <c r="M57" s="6">
        <v>23.57</v>
      </c>
      <c r="N57" s="6">
        <v>494</v>
      </c>
      <c r="O57" s="6">
        <v>0</v>
      </c>
      <c r="P57" s="6">
        <v>0.54</v>
      </c>
      <c r="Q57" s="6">
        <v>10</v>
      </c>
      <c r="R57" s="6"/>
      <c r="S57" s="6"/>
      <c r="T57" s="156"/>
      <c r="U57" s="6"/>
    </row>
    <row r="58" spans="1:21" customFormat="1">
      <c r="A58" s="201" t="s">
        <v>865</v>
      </c>
      <c r="B58" s="6">
        <v>4.53</v>
      </c>
      <c r="C58" s="6">
        <v>7.01</v>
      </c>
      <c r="D58" s="6">
        <v>11.54</v>
      </c>
      <c r="E58" s="6">
        <v>4.93</v>
      </c>
      <c r="F58" s="6">
        <v>5.53</v>
      </c>
      <c r="G58" s="6">
        <v>45</v>
      </c>
      <c r="H58" s="6">
        <v>23.25</v>
      </c>
      <c r="I58" s="6">
        <v>12.65</v>
      </c>
      <c r="J58" s="6">
        <v>0.26</v>
      </c>
      <c r="K58" s="6">
        <v>310.27999999999997</v>
      </c>
      <c r="L58" s="6">
        <v>25.31</v>
      </c>
      <c r="M58" s="6">
        <v>33.700000000000003</v>
      </c>
      <c r="N58" s="6">
        <v>504.1</v>
      </c>
      <c r="O58" s="6">
        <v>0</v>
      </c>
      <c r="P58" s="6">
        <v>0.53</v>
      </c>
      <c r="Q58" s="6">
        <v>10.01</v>
      </c>
      <c r="R58" s="6"/>
      <c r="S58" s="6"/>
      <c r="T58" s="156"/>
      <c r="U58" s="6"/>
    </row>
    <row r="59" spans="1:21" customFormat="1">
      <c r="A59" s="201" t="s">
        <v>866</v>
      </c>
      <c r="B59" s="6">
        <v>4.32</v>
      </c>
      <c r="C59" s="6">
        <v>7.72</v>
      </c>
      <c r="D59" s="6">
        <v>12.04</v>
      </c>
      <c r="E59" s="6">
        <v>4.99</v>
      </c>
      <c r="F59" s="6">
        <v>7.93</v>
      </c>
      <c r="G59" s="6">
        <v>50.49</v>
      </c>
      <c r="H59" s="6">
        <v>20.83</v>
      </c>
      <c r="I59" s="6">
        <v>12.33</v>
      </c>
      <c r="J59" s="6">
        <v>0.31</v>
      </c>
      <c r="K59" s="6">
        <v>23.57</v>
      </c>
      <c r="L59" s="6">
        <v>16.03</v>
      </c>
      <c r="M59" s="6">
        <v>14.04</v>
      </c>
      <c r="N59" s="6">
        <v>341.4</v>
      </c>
      <c r="O59" s="6">
        <v>0</v>
      </c>
      <c r="P59" s="6">
        <v>0.52</v>
      </c>
      <c r="Q59" s="6">
        <v>10.19</v>
      </c>
      <c r="R59" s="6"/>
      <c r="S59" s="6"/>
      <c r="T59" s="156"/>
      <c r="U59" s="6"/>
    </row>
    <row r="60" spans="1:21" customFormat="1">
      <c r="A60" s="201" t="s">
        <v>867</v>
      </c>
      <c r="B60" s="6">
        <v>4.1100000000000003</v>
      </c>
      <c r="C60" s="6">
        <v>7.71</v>
      </c>
      <c r="D60" s="6">
        <v>11.83</v>
      </c>
      <c r="E60" s="6">
        <v>5.07</v>
      </c>
      <c r="F60" s="6">
        <v>10.55</v>
      </c>
      <c r="G60" s="6">
        <v>52.05</v>
      </c>
      <c r="H60" s="6">
        <v>20.83</v>
      </c>
      <c r="I60" s="6">
        <v>12.07</v>
      </c>
      <c r="J60" s="6">
        <v>0.03</v>
      </c>
      <c r="K60" s="6">
        <v>31.65</v>
      </c>
      <c r="L60" s="6">
        <v>20.21</v>
      </c>
      <c r="M60" s="6">
        <v>23.14</v>
      </c>
      <c r="N60" s="6">
        <v>407.9</v>
      </c>
      <c r="O60" s="6">
        <v>0</v>
      </c>
      <c r="P60" s="6">
        <v>0.5</v>
      </c>
      <c r="Q60" s="6">
        <v>11.06</v>
      </c>
      <c r="R60" s="6"/>
      <c r="S60" s="6"/>
      <c r="T60" s="156"/>
      <c r="U60" s="6"/>
    </row>
    <row r="61" spans="1:21" customFormat="1">
      <c r="A61" s="201" t="s">
        <v>868</v>
      </c>
      <c r="B61" s="6">
        <v>3.77</v>
      </c>
      <c r="C61" s="6">
        <v>7.39</v>
      </c>
      <c r="D61" s="6">
        <v>11.16</v>
      </c>
      <c r="E61" s="6">
        <v>4.92</v>
      </c>
      <c r="F61" s="6">
        <v>7.21</v>
      </c>
      <c r="G61" s="6">
        <v>52.05</v>
      </c>
      <c r="H61" s="6">
        <v>20.83</v>
      </c>
      <c r="I61" s="6">
        <v>11.61</v>
      </c>
      <c r="J61" s="6">
        <v>0.26</v>
      </c>
      <c r="K61" s="6">
        <v>270.44</v>
      </c>
      <c r="L61" s="6">
        <v>24.51</v>
      </c>
      <c r="M61" s="6">
        <v>38.090000000000003</v>
      </c>
      <c r="N61" s="6">
        <v>232.4</v>
      </c>
      <c r="O61" s="6">
        <v>0</v>
      </c>
      <c r="P61" s="6">
        <v>0.5</v>
      </c>
      <c r="Q61" s="6">
        <v>11.66</v>
      </c>
      <c r="R61" s="6"/>
      <c r="S61" s="6"/>
      <c r="T61" s="156"/>
      <c r="U61" s="6"/>
    </row>
    <row r="62" spans="1:21" customFormat="1">
      <c r="A62" s="201" t="s">
        <v>869</v>
      </c>
      <c r="B62" s="6">
        <v>3.51</v>
      </c>
      <c r="C62" s="6">
        <v>7.48</v>
      </c>
      <c r="D62" s="6">
        <v>10.99</v>
      </c>
      <c r="E62" s="6">
        <v>4.8600000000000003</v>
      </c>
      <c r="F62" s="6">
        <v>8.32</v>
      </c>
      <c r="G62" s="6">
        <v>52.05</v>
      </c>
      <c r="H62" s="6">
        <v>20.83</v>
      </c>
      <c r="I62" s="6">
        <v>11.43</v>
      </c>
      <c r="J62" s="6">
        <v>0.1</v>
      </c>
      <c r="K62" s="6">
        <v>326.95</v>
      </c>
      <c r="L62" s="6">
        <v>24.09</v>
      </c>
      <c r="M62" s="6">
        <v>35.79</v>
      </c>
      <c r="N62" s="6">
        <v>284.5</v>
      </c>
      <c r="O62" s="6">
        <v>0</v>
      </c>
      <c r="P62" s="6">
        <v>0.49</v>
      </c>
      <c r="Q62" s="6">
        <v>11.74</v>
      </c>
      <c r="R62" s="6"/>
      <c r="S62" s="6"/>
      <c r="T62" s="156"/>
      <c r="U62" s="6"/>
    </row>
    <row r="63" spans="1:21" customFormat="1">
      <c r="A63" s="201" t="s">
        <v>870</v>
      </c>
      <c r="B63" s="6">
        <v>3.38</v>
      </c>
      <c r="C63" s="6">
        <v>7.64</v>
      </c>
      <c r="D63" s="6">
        <v>11.02</v>
      </c>
      <c r="E63" s="6">
        <v>5.73</v>
      </c>
      <c r="F63" s="6">
        <v>7.3</v>
      </c>
      <c r="G63" s="6">
        <v>54.67</v>
      </c>
      <c r="H63" s="6">
        <v>25.19</v>
      </c>
      <c r="I63" s="6">
        <v>11.26</v>
      </c>
      <c r="J63" s="6">
        <v>0.28999999999999998</v>
      </c>
      <c r="K63" s="6">
        <v>51.78</v>
      </c>
      <c r="L63" s="6">
        <v>12.41</v>
      </c>
      <c r="M63" s="6">
        <v>8.59</v>
      </c>
      <c r="N63" s="6">
        <v>188.9</v>
      </c>
      <c r="O63" s="6">
        <v>0</v>
      </c>
      <c r="P63" s="6">
        <v>0.49</v>
      </c>
      <c r="Q63" s="6">
        <v>11.83</v>
      </c>
      <c r="R63" s="6"/>
      <c r="S63" s="6"/>
      <c r="T63" s="156"/>
      <c r="U63" s="6"/>
    </row>
    <row r="64" spans="1:21" customFormat="1">
      <c r="A64" s="201" t="s">
        <v>871</v>
      </c>
      <c r="B64" s="6">
        <v>3.4</v>
      </c>
      <c r="C64" s="6">
        <v>7.7</v>
      </c>
      <c r="D64" s="6">
        <v>11.11</v>
      </c>
      <c r="E64" s="6">
        <v>5.43</v>
      </c>
      <c r="F64" s="6">
        <v>7.87</v>
      </c>
      <c r="G64" s="6">
        <v>55.42</v>
      </c>
      <c r="H64" s="6">
        <v>25.19</v>
      </c>
      <c r="I64" s="6">
        <v>10.88</v>
      </c>
      <c r="J64" s="6">
        <v>7.0000000000000007E-2</v>
      </c>
      <c r="K64" s="6">
        <v>290.86</v>
      </c>
      <c r="L64" s="6">
        <v>23.91</v>
      </c>
      <c r="M64" s="6">
        <v>36.28</v>
      </c>
      <c r="N64" s="6">
        <v>244.1</v>
      </c>
      <c r="O64" s="6">
        <v>0</v>
      </c>
      <c r="P64" s="6">
        <v>0.5</v>
      </c>
      <c r="Q64" s="6">
        <v>11.55</v>
      </c>
      <c r="R64" s="6"/>
      <c r="S64" s="6"/>
      <c r="T64" s="156"/>
      <c r="U64" s="6"/>
    </row>
    <row r="65" spans="1:21" customFormat="1">
      <c r="A65" s="201" t="s">
        <v>872</v>
      </c>
      <c r="B65" s="6">
        <v>3.3</v>
      </c>
      <c r="C65" s="6">
        <v>7.53</v>
      </c>
      <c r="D65" s="6">
        <v>10.82</v>
      </c>
      <c r="E65" s="6">
        <v>6.31</v>
      </c>
      <c r="F65" s="6">
        <v>8.7200000000000006</v>
      </c>
      <c r="G65" s="6">
        <v>55.42</v>
      </c>
      <c r="H65" s="6">
        <v>25.19</v>
      </c>
      <c r="I65" s="6">
        <v>10.37</v>
      </c>
      <c r="J65" s="6">
        <v>0.16</v>
      </c>
      <c r="K65" s="6">
        <v>218.88</v>
      </c>
      <c r="L65" s="6">
        <v>21.76</v>
      </c>
      <c r="M65" s="6">
        <v>30.73</v>
      </c>
      <c r="N65" s="6">
        <v>256.7</v>
      </c>
      <c r="O65" s="6">
        <v>0</v>
      </c>
      <c r="P65" s="6">
        <v>0.37</v>
      </c>
      <c r="Q65" s="6">
        <v>11.39</v>
      </c>
      <c r="R65" s="6"/>
      <c r="S65" s="6"/>
      <c r="T65" s="156"/>
      <c r="U65" s="6"/>
    </row>
    <row r="66" spans="1:21" customFormat="1">
      <c r="A66" s="201" t="s">
        <v>873</v>
      </c>
      <c r="B66" s="6">
        <v>3.2</v>
      </c>
      <c r="C66" s="6">
        <v>7.66</v>
      </c>
      <c r="D66" s="6">
        <v>10.87</v>
      </c>
      <c r="E66" s="6">
        <v>6.57</v>
      </c>
      <c r="F66" s="6">
        <v>9.35</v>
      </c>
      <c r="G66" s="6">
        <v>55.42</v>
      </c>
      <c r="H66" s="6">
        <v>25.19</v>
      </c>
      <c r="I66" s="6">
        <v>10.19</v>
      </c>
      <c r="J66" s="6">
        <v>0.06</v>
      </c>
      <c r="K66" s="6">
        <v>209.75</v>
      </c>
      <c r="L66" s="6">
        <v>19.36</v>
      </c>
      <c r="M66" s="6">
        <v>29.17</v>
      </c>
      <c r="N66" s="6">
        <v>63.4</v>
      </c>
      <c r="O66" s="6">
        <v>0</v>
      </c>
      <c r="P66" s="6">
        <v>0.38</v>
      </c>
      <c r="Q66" s="6">
        <v>11.56</v>
      </c>
      <c r="R66" s="6"/>
      <c r="S66" s="6"/>
      <c r="T66" s="156"/>
      <c r="U66" s="6"/>
    </row>
    <row r="67" spans="1:21" customFormat="1">
      <c r="A67" s="201" t="s">
        <v>874</v>
      </c>
      <c r="B67" s="6">
        <v>3.06</v>
      </c>
      <c r="C67" s="6">
        <v>7.45</v>
      </c>
      <c r="D67" s="6">
        <v>10.51</v>
      </c>
      <c r="E67" s="6">
        <v>5.89</v>
      </c>
      <c r="F67" s="6">
        <v>14.34</v>
      </c>
      <c r="G67" s="6">
        <v>53.94</v>
      </c>
      <c r="H67" s="6">
        <v>24.05</v>
      </c>
      <c r="I67" s="6">
        <v>9.8699999999999992</v>
      </c>
      <c r="J67" s="6">
        <v>0.18</v>
      </c>
      <c r="K67" s="6">
        <v>175.79</v>
      </c>
      <c r="L67" s="6">
        <v>17.27</v>
      </c>
      <c r="M67" s="6">
        <v>23.3</v>
      </c>
      <c r="N67" s="6">
        <v>89.4</v>
      </c>
      <c r="O67" s="6">
        <v>0</v>
      </c>
      <c r="P67" s="6">
        <v>0.34</v>
      </c>
      <c r="Q67" s="6">
        <v>11.42</v>
      </c>
      <c r="R67" s="6"/>
      <c r="S67" s="6"/>
      <c r="T67" s="156"/>
      <c r="U67" s="6"/>
    </row>
    <row r="68" spans="1:21" customFormat="1">
      <c r="A68" s="201" t="s">
        <v>875</v>
      </c>
      <c r="B68" s="6">
        <v>3.03</v>
      </c>
      <c r="C68" s="6">
        <v>6.88</v>
      </c>
      <c r="D68" s="6">
        <v>9.92</v>
      </c>
      <c r="E68" s="6">
        <v>5.37</v>
      </c>
      <c r="F68" s="6">
        <v>6.81</v>
      </c>
      <c r="G68" s="6">
        <v>53.51</v>
      </c>
      <c r="H68" s="6">
        <v>24.05</v>
      </c>
      <c r="I68" s="6">
        <v>9.4499999999999993</v>
      </c>
      <c r="J68" s="6">
        <v>0.41</v>
      </c>
      <c r="K68" s="6">
        <v>243.85</v>
      </c>
      <c r="L68" s="6">
        <v>21.81</v>
      </c>
      <c r="M68" s="6">
        <v>34.69</v>
      </c>
      <c r="N68" s="6">
        <v>88.1</v>
      </c>
      <c r="O68" s="6">
        <v>0</v>
      </c>
      <c r="P68" s="6">
        <v>0.36</v>
      </c>
      <c r="Q68" s="6">
        <v>11.53</v>
      </c>
      <c r="R68" s="6"/>
      <c r="S68" s="6"/>
      <c r="T68" s="156"/>
      <c r="U68" s="6"/>
    </row>
    <row r="69" spans="1:21" customFormat="1">
      <c r="A69" s="201" t="s">
        <v>876</v>
      </c>
      <c r="B69" s="6">
        <v>2.95</v>
      </c>
      <c r="C69" s="6">
        <v>6.88</v>
      </c>
      <c r="D69" s="6">
        <v>9.83</v>
      </c>
      <c r="E69" s="6">
        <v>4.84</v>
      </c>
      <c r="F69" s="6">
        <v>6.98</v>
      </c>
      <c r="G69" s="6">
        <v>53.51</v>
      </c>
      <c r="H69" s="6">
        <v>24.05</v>
      </c>
      <c r="I69" s="6">
        <v>8.99</v>
      </c>
      <c r="J69" s="6">
        <v>0.22</v>
      </c>
      <c r="K69" s="6">
        <v>212.33</v>
      </c>
      <c r="L69" s="6">
        <v>18.66</v>
      </c>
      <c r="M69" s="6">
        <v>27.02</v>
      </c>
      <c r="N69" s="6">
        <v>82.3</v>
      </c>
      <c r="O69" s="6">
        <v>0</v>
      </c>
      <c r="P69" s="6">
        <v>0.34</v>
      </c>
      <c r="Q69" s="6">
        <v>11.37</v>
      </c>
      <c r="R69" s="6"/>
      <c r="S69" s="6"/>
      <c r="T69" s="156"/>
      <c r="U69" s="6"/>
    </row>
    <row r="70" spans="1:21" customFormat="1">
      <c r="A70" s="201" t="s">
        <v>877</v>
      </c>
      <c r="B70" s="6">
        <v>2.74</v>
      </c>
      <c r="C70" s="6">
        <v>6.81</v>
      </c>
      <c r="D70" s="6">
        <v>9.5500000000000007</v>
      </c>
      <c r="E70" s="6">
        <v>4.83</v>
      </c>
      <c r="F70" s="6">
        <v>5.6</v>
      </c>
      <c r="G70" s="6">
        <v>53.51</v>
      </c>
      <c r="H70" s="6">
        <v>24.05</v>
      </c>
      <c r="I70" s="6">
        <v>9.32</v>
      </c>
      <c r="J70" s="6">
        <v>0.27</v>
      </c>
      <c r="K70" s="6">
        <v>177.46</v>
      </c>
      <c r="L70" s="6">
        <v>17.93</v>
      </c>
      <c r="M70" s="6">
        <v>25.41</v>
      </c>
      <c r="N70" s="6">
        <v>73.7</v>
      </c>
      <c r="O70" s="6">
        <v>0</v>
      </c>
      <c r="P70" s="6">
        <v>0.33</v>
      </c>
      <c r="Q70" s="6">
        <v>11.34</v>
      </c>
      <c r="R70" s="6"/>
      <c r="S70" s="6"/>
      <c r="T70" s="156"/>
      <c r="U70" s="6"/>
    </row>
    <row r="71" spans="1:21" customFormat="1">
      <c r="A71" s="201" t="s">
        <v>878</v>
      </c>
      <c r="B71" s="6">
        <v>2.59</v>
      </c>
      <c r="C71" s="6">
        <v>6.67</v>
      </c>
      <c r="D71" s="6">
        <v>9.25</v>
      </c>
      <c r="E71" s="6">
        <v>5.35</v>
      </c>
      <c r="F71" s="6">
        <v>5.25</v>
      </c>
      <c r="G71" s="6">
        <v>52.78</v>
      </c>
      <c r="H71" s="6">
        <v>23.13</v>
      </c>
      <c r="I71" s="6">
        <v>9.44</v>
      </c>
      <c r="J71" s="6">
        <v>0.27</v>
      </c>
      <c r="K71" s="6">
        <v>176.7</v>
      </c>
      <c r="L71" s="6">
        <v>17.59</v>
      </c>
      <c r="M71" s="6">
        <v>24.77</v>
      </c>
      <c r="N71" s="6">
        <v>64.2</v>
      </c>
      <c r="O71" s="6">
        <v>0</v>
      </c>
      <c r="P71" s="6">
        <v>0.32</v>
      </c>
      <c r="Q71" s="6">
        <v>11.26</v>
      </c>
      <c r="R71" s="6"/>
      <c r="S71" s="6"/>
      <c r="T71" s="156"/>
      <c r="U71" s="6"/>
    </row>
    <row r="72" spans="1:21" customFormat="1">
      <c r="A72" s="201" t="s">
        <v>879</v>
      </c>
      <c r="B72" s="6">
        <v>2.4700000000000002</v>
      </c>
      <c r="C72" s="6">
        <v>6.54</v>
      </c>
      <c r="D72" s="6">
        <v>9.01</v>
      </c>
      <c r="E72" s="6">
        <v>5.42</v>
      </c>
      <c r="F72" s="6">
        <v>4.7</v>
      </c>
      <c r="G72" s="6">
        <v>52.57</v>
      </c>
      <c r="H72" s="6">
        <v>23.13</v>
      </c>
      <c r="I72" s="6">
        <v>9.11</v>
      </c>
      <c r="J72" s="6">
        <v>0.26</v>
      </c>
      <c r="K72" s="6">
        <v>233.05</v>
      </c>
      <c r="L72" s="6">
        <v>20.89</v>
      </c>
      <c r="M72" s="6">
        <v>33.24</v>
      </c>
      <c r="N72" s="6">
        <v>53.7</v>
      </c>
      <c r="O72" s="6">
        <v>0</v>
      </c>
      <c r="P72" s="6">
        <v>0.31</v>
      </c>
      <c r="Q72" s="6">
        <v>11.37</v>
      </c>
      <c r="R72" s="6"/>
      <c r="S72" s="6"/>
      <c r="T72" s="156"/>
      <c r="U72" s="6"/>
    </row>
    <row r="73" spans="1:21" customFormat="1">
      <c r="A73" s="201" t="s">
        <v>880</v>
      </c>
      <c r="B73" s="6">
        <v>2.4</v>
      </c>
      <c r="C73" s="6">
        <v>6.37</v>
      </c>
      <c r="D73" s="6">
        <v>8.77</v>
      </c>
      <c r="E73" s="6">
        <v>5.19</v>
      </c>
      <c r="F73" s="6">
        <v>5.54</v>
      </c>
      <c r="G73" s="6">
        <v>52.57</v>
      </c>
      <c r="H73" s="6">
        <v>23.13</v>
      </c>
      <c r="I73" s="6">
        <v>8.85</v>
      </c>
      <c r="J73" s="6">
        <v>0.35</v>
      </c>
      <c r="K73" s="6">
        <v>229.51</v>
      </c>
      <c r="L73" s="6">
        <v>20.02</v>
      </c>
      <c r="M73" s="6">
        <v>31.27</v>
      </c>
      <c r="N73" s="6">
        <v>46.6</v>
      </c>
      <c r="O73" s="6">
        <v>0</v>
      </c>
      <c r="P73" s="6">
        <v>0.3</v>
      </c>
      <c r="Q73" s="6">
        <v>11.49</v>
      </c>
      <c r="R73" s="6"/>
      <c r="S73" s="6"/>
      <c r="T73" s="156"/>
      <c r="U73" s="6"/>
    </row>
    <row r="74" spans="1:21" customFormat="1">
      <c r="A74" s="201" t="s">
        <v>881</v>
      </c>
      <c r="B74" s="6">
        <v>2.3199999999999998</v>
      </c>
      <c r="C74" s="6">
        <v>6.21</v>
      </c>
      <c r="D74" s="6">
        <v>8.5299999999999994</v>
      </c>
      <c r="E74" s="6">
        <v>5.3</v>
      </c>
      <c r="F74" s="6">
        <v>5.24</v>
      </c>
      <c r="G74" s="6">
        <v>52.57</v>
      </c>
      <c r="H74" s="6">
        <v>23.13</v>
      </c>
      <c r="I74" s="6">
        <v>8.67</v>
      </c>
      <c r="J74" s="6">
        <v>0.2</v>
      </c>
      <c r="K74" s="6">
        <v>158.02000000000001</v>
      </c>
      <c r="L74" s="6">
        <v>16.28</v>
      </c>
      <c r="M74" s="6">
        <v>22.16</v>
      </c>
      <c r="N74" s="6">
        <v>35.299999999999997</v>
      </c>
      <c r="O74" s="6">
        <v>0</v>
      </c>
      <c r="P74" s="6">
        <v>0.3</v>
      </c>
      <c r="Q74" s="6">
        <v>11.45</v>
      </c>
      <c r="R74" s="6"/>
      <c r="S74" s="6"/>
      <c r="T74" s="156"/>
      <c r="U74" s="6"/>
    </row>
    <row r="75" spans="1:21" customFormat="1">
      <c r="A75" s="201" t="s">
        <v>882</v>
      </c>
      <c r="B75" s="6">
        <v>2.3199999999999998</v>
      </c>
      <c r="C75" s="6">
        <v>6.13</v>
      </c>
      <c r="D75" s="6">
        <v>8.4499999999999993</v>
      </c>
      <c r="E75" s="6">
        <v>5.18</v>
      </c>
      <c r="F75" s="6">
        <v>5.57</v>
      </c>
      <c r="G75" s="6">
        <v>52.99</v>
      </c>
      <c r="H75" s="6">
        <v>23.02</v>
      </c>
      <c r="I75" s="6">
        <v>8.4499999999999993</v>
      </c>
      <c r="J75" s="6">
        <v>0.28000000000000003</v>
      </c>
      <c r="K75" s="6">
        <v>150.03</v>
      </c>
      <c r="L75" s="6">
        <v>15.07</v>
      </c>
      <c r="M75" s="6">
        <v>19.36</v>
      </c>
      <c r="N75" s="6">
        <v>28.1</v>
      </c>
      <c r="O75" s="6">
        <v>0</v>
      </c>
      <c r="P75" s="6">
        <v>0.3</v>
      </c>
      <c r="Q75" s="6">
        <v>11.57</v>
      </c>
      <c r="R75" s="6"/>
      <c r="S75" s="6"/>
      <c r="T75" s="156"/>
      <c r="U75" s="6"/>
    </row>
    <row r="76" spans="1:21" customFormat="1">
      <c r="A76" s="201" t="s">
        <v>883</v>
      </c>
      <c r="B76" s="6">
        <v>2.29</v>
      </c>
      <c r="C76" s="6">
        <v>6.01</v>
      </c>
      <c r="D76" s="6">
        <v>8.3000000000000007</v>
      </c>
      <c r="E76" s="6">
        <v>5.41</v>
      </c>
      <c r="F76" s="6">
        <v>4.0999999999999996</v>
      </c>
      <c r="G76" s="6">
        <v>53.11</v>
      </c>
      <c r="H76" s="6">
        <v>23.02</v>
      </c>
      <c r="I76" s="6">
        <v>8.24</v>
      </c>
      <c r="J76" s="6">
        <v>0.24</v>
      </c>
      <c r="K76" s="6">
        <v>146.44</v>
      </c>
      <c r="L76" s="6">
        <v>14.75</v>
      </c>
      <c r="M76" s="6">
        <v>18.649999999999999</v>
      </c>
      <c r="N76" s="6">
        <v>21.5</v>
      </c>
      <c r="O76" s="6">
        <v>0</v>
      </c>
      <c r="P76" s="6">
        <v>0.28999999999999998</v>
      </c>
      <c r="Q76" s="6">
        <v>10.91</v>
      </c>
      <c r="R76" s="6"/>
      <c r="S76" s="6"/>
      <c r="T76" s="156"/>
      <c r="U76" s="6"/>
    </row>
    <row r="77" spans="1:21" customFormat="1">
      <c r="A77" s="201" t="s">
        <v>884</v>
      </c>
      <c r="B77" s="6">
        <v>2.29</v>
      </c>
      <c r="C77" s="6">
        <v>5.94</v>
      </c>
      <c r="D77" s="6">
        <v>8.2200000000000006</v>
      </c>
      <c r="E77" s="6">
        <v>5.25</v>
      </c>
      <c r="F77" s="6">
        <v>3.98</v>
      </c>
      <c r="G77" s="6">
        <v>53.11</v>
      </c>
      <c r="H77" s="6">
        <v>23.02</v>
      </c>
      <c r="I77" s="6">
        <v>7.94</v>
      </c>
      <c r="J77" s="6">
        <v>0.19</v>
      </c>
      <c r="K77" s="6">
        <v>148.55000000000001</v>
      </c>
      <c r="L77" s="6">
        <v>14.85</v>
      </c>
      <c r="M77" s="6">
        <v>19.149999999999999</v>
      </c>
      <c r="N77" s="6">
        <v>13.7</v>
      </c>
      <c r="O77" s="6">
        <v>0</v>
      </c>
      <c r="P77" s="6">
        <v>0.28000000000000003</v>
      </c>
      <c r="Q77" s="6">
        <v>11.32</v>
      </c>
      <c r="R77" s="6"/>
      <c r="S77" s="6"/>
      <c r="T77" s="156"/>
      <c r="U77" s="6"/>
    </row>
    <row r="78" spans="1:21" customFormat="1">
      <c r="A78" s="201" t="s">
        <v>885</v>
      </c>
      <c r="B78" s="6">
        <v>2.29</v>
      </c>
      <c r="C78" s="6">
        <v>5.85</v>
      </c>
      <c r="D78" s="6">
        <v>8.1300000000000008</v>
      </c>
      <c r="E78" s="6">
        <v>5.39</v>
      </c>
      <c r="F78" s="6">
        <v>3.96</v>
      </c>
      <c r="G78" s="6">
        <v>53.11</v>
      </c>
      <c r="H78" s="6">
        <v>23.02</v>
      </c>
      <c r="I78" s="6">
        <v>7.85</v>
      </c>
      <c r="J78" s="6">
        <v>0.16</v>
      </c>
      <c r="K78" s="6">
        <v>152.88999999999999</v>
      </c>
      <c r="L78" s="6">
        <v>14.96</v>
      </c>
      <c r="M78" s="6">
        <v>19.55</v>
      </c>
      <c r="N78" s="6">
        <v>7.7</v>
      </c>
      <c r="O78" s="6">
        <v>0</v>
      </c>
      <c r="P78" s="6">
        <v>0.28000000000000003</v>
      </c>
      <c r="Q78" s="6">
        <v>11.53</v>
      </c>
      <c r="R78" s="6"/>
      <c r="S78" s="6"/>
      <c r="T78" s="156"/>
      <c r="U78" s="6"/>
    </row>
    <row r="79" spans="1:21" customFormat="1">
      <c r="A79" s="201" t="s">
        <v>886</v>
      </c>
      <c r="B79" s="6">
        <v>2.31</v>
      </c>
      <c r="C79" s="6">
        <v>5.77</v>
      </c>
      <c r="D79" s="6">
        <v>8.08</v>
      </c>
      <c r="E79" s="6">
        <v>5.33</v>
      </c>
      <c r="F79" s="6">
        <v>4.62</v>
      </c>
      <c r="G79" s="6">
        <v>48.64</v>
      </c>
      <c r="H79" s="6">
        <v>22.97</v>
      </c>
      <c r="I79" s="6">
        <v>7.65</v>
      </c>
      <c r="J79" s="6">
        <v>0.1</v>
      </c>
      <c r="K79" s="6">
        <v>168.51</v>
      </c>
      <c r="L79" s="6">
        <v>16.27</v>
      </c>
      <c r="M79" s="6">
        <v>22.91</v>
      </c>
      <c r="N79" s="6">
        <v>4.7</v>
      </c>
      <c r="O79" s="6">
        <v>0</v>
      </c>
      <c r="P79" s="6">
        <v>0.27</v>
      </c>
      <c r="Q79" s="6">
        <v>11.12</v>
      </c>
      <c r="R79" s="6"/>
      <c r="S79" s="6"/>
      <c r="T79" s="156"/>
      <c r="U79" s="6"/>
    </row>
    <row r="80" spans="1:21" customFormat="1">
      <c r="A80" s="201" t="s">
        <v>887</v>
      </c>
      <c r="B80" s="6">
        <v>2.35</v>
      </c>
      <c r="C80" s="6">
        <v>5.73</v>
      </c>
      <c r="D80" s="6">
        <v>8.08</v>
      </c>
      <c r="E80" s="6">
        <v>5.38</v>
      </c>
      <c r="F80" s="6">
        <v>3.46</v>
      </c>
      <c r="G80" s="6">
        <v>47.36</v>
      </c>
      <c r="H80" s="6">
        <v>22.97</v>
      </c>
      <c r="I80" s="6">
        <v>7.47</v>
      </c>
      <c r="J80" s="6">
        <v>0.16</v>
      </c>
      <c r="K80" s="6">
        <v>143.21</v>
      </c>
      <c r="L80" s="6">
        <v>14.17</v>
      </c>
      <c r="M80" s="6">
        <v>17.66</v>
      </c>
      <c r="N80" s="6">
        <v>2.8</v>
      </c>
      <c r="O80" s="6">
        <v>0</v>
      </c>
      <c r="P80" s="6">
        <v>0.28000000000000003</v>
      </c>
      <c r="Q80" s="6">
        <v>10.07</v>
      </c>
      <c r="R80" s="6"/>
      <c r="S80" s="6"/>
      <c r="T80" s="156"/>
      <c r="U80" s="6"/>
    </row>
    <row r="81" spans="1:21" customFormat="1">
      <c r="A81" s="201" t="s">
        <v>888</v>
      </c>
      <c r="B81" s="6">
        <v>2.37</v>
      </c>
      <c r="C81" s="6">
        <v>5.62</v>
      </c>
      <c r="D81" s="6">
        <v>7.99</v>
      </c>
      <c r="E81" s="6">
        <v>4.2300000000000004</v>
      </c>
      <c r="F81" s="6">
        <v>2.72</v>
      </c>
      <c r="G81" s="6">
        <v>47.36</v>
      </c>
      <c r="H81" s="6">
        <v>22.97</v>
      </c>
      <c r="I81" s="6">
        <v>7.33</v>
      </c>
      <c r="J81" s="6">
        <v>0.16</v>
      </c>
      <c r="K81" s="6">
        <v>134.83000000000001</v>
      </c>
      <c r="L81" s="6">
        <v>13.53</v>
      </c>
      <c r="M81" s="6">
        <v>16.079999999999998</v>
      </c>
      <c r="N81" s="6">
        <v>2.4</v>
      </c>
      <c r="O81" s="6">
        <v>0</v>
      </c>
      <c r="P81" s="6">
        <v>0.27</v>
      </c>
      <c r="Q81" s="6">
        <v>10</v>
      </c>
      <c r="R81" s="6"/>
      <c r="S81" s="6"/>
      <c r="T81" s="156"/>
      <c r="U81" s="6"/>
    </row>
    <row r="82" spans="1:21" customFormat="1">
      <c r="A82" s="201" t="s">
        <v>889</v>
      </c>
      <c r="B82" s="6">
        <v>2.42</v>
      </c>
      <c r="C82" s="6">
        <v>5.49</v>
      </c>
      <c r="D82" s="6">
        <v>7.91</v>
      </c>
      <c r="E82" s="6">
        <v>4.87</v>
      </c>
      <c r="F82" s="6">
        <v>2.69</v>
      </c>
      <c r="G82" s="6">
        <v>47.36</v>
      </c>
      <c r="H82" s="6">
        <v>22.97</v>
      </c>
      <c r="I82" s="6">
        <v>7.37</v>
      </c>
      <c r="J82" s="6">
        <v>0.16</v>
      </c>
      <c r="K82" s="6">
        <v>148.5</v>
      </c>
      <c r="L82" s="6">
        <v>14.65</v>
      </c>
      <c r="M82" s="6">
        <v>18.920000000000002</v>
      </c>
      <c r="N82" s="6">
        <v>2.4</v>
      </c>
      <c r="O82" s="6">
        <v>0</v>
      </c>
      <c r="P82" s="6">
        <v>0.27</v>
      </c>
      <c r="Q82" s="6">
        <v>10</v>
      </c>
      <c r="R82" s="6"/>
      <c r="S82" s="6"/>
      <c r="T82" s="156"/>
      <c r="U82" s="6"/>
    </row>
    <row r="83" spans="1:21" customFormat="1">
      <c r="A83" s="201" t="s">
        <v>890</v>
      </c>
      <c r="B83" s="6">
        <v>2.4900000000000002</v>
      </c>
      <c r="C83" s="6">
        <v>5.48</v>
      </c>
      <c r="D83" s="6">
        <v>7.97</v>
      </c>
      <c r="E83" s="6">
        <v>4.91</v>
      </c>
      <c r="F83" s="6">
        <v>3.82</v>
      </c>
      <c r="G83" s="6">
        <v>42.5</v>
      </c>
      <c r="H83" s="6">
        <v>23.26</v>
      </c>
      <c r="I83" s="6">
        <v>7.33</v>
      </c>
      <c r="J83" s="6">
        <v>0.12</v>
      </c>
      <c r="K83" s="6">
        <v>155.06</v>
      </c>
      <c r="L83" s="6">
        <v>15.07</v>
      </c>
      <c r="M83" s="6">
        <v>19.98</v>
      </c>
      <c r="N83" s="6">
        <v>2.4</v>
      </c>
      <c r="O83" s="6">
        <v>0</v>
      </c>
      <c r="P83" s="6">
        <v>0.27</v>
      </c>
      <c r="Q83" s="6">
        <v>10.07</v>
      </c>
      <c r="R83" s="6"/>
      <c r="S83" s="6"/>
      <c r="T83" s="156"/>
      <c r="U83" s="6"/>
    </row>
    <row r="84" spans="1:21" customFormat="1">
      <c r="A84" s="201" t="s">
        <v>891</v>
      </c>
      <c r="B84" s="6">
        <v>2.5299999999999998</v>
      </c>
      <c r="C84" s="6">
        <v>5.47</v>
      </c>
      <c r="D84" s="6">
        <v>8</v>
      </c>
      <c r="E84" s="6">
        <v>5.17</v>
      </c>
      <c r="F84" s="6">
        <v>2.08</v>
      </c>
      <c r="G84" s="6">
        <v>41.11</v>
      </c>
      <c r="H84" s="6">
        <v>23.26</v>
      </c>
      <c r="I84" s="6">
        <v>7.29</v>
      </c>
      <c r="J84" s="6">
        <v>0.08</v>
      </c>
      <c r="K84" s="6">
        <v>170.99</v>
      </c>
      <c r="L84" s="6">
        <v>17.239999999999998</v>
      </c>
      <c r="M84" s="6">
        <v>25.35</v>
      </c>
      <c r="N84" s="6">
        <v>2.2000000000000002</v>
      </c>
      <c r="O84" s="6">
        <v>0</v>
      </c>
      <c r="P84" s="6">
        <v>0.27</v>
      </c>
      <c r="Q84" s="6">
        <v>10</v>
      </c>
      <c r="R84" s="6"/>
      <c r="S84" s="6"/>
      <c r="T84" s="156"/>
      <c r="U84" s="6"/>
    </row>
    <row r="85" spans="1:21" customFormat="1">
      <c r="A85" s="201" t="s">
        <v>892</v>
      </c>
      <c r="B85" s="6">
        <v>2.57</v>
      </c>
      <c r="C85" s="6">
        <v>5.47</v>
      </c>
      <c r="D85" s="6">
        <v>8.0399999999999991</v>
      </c>
      <c r="E85" s="6">
        <v>5.0599999999999996</v>
      </c>
      <c r="F85" s="6">
        <v>2.15</v>
      </c>
      <c r="G85" s="6">
        <v>41.11</v>
      </c>
      <c r="H85" s="6">
        <v>23.26</v>
      </c>
      <c r="I85" s="6">
        <v>7.26</v>
      </c>
      <c r="J85" s="6">
        <v>0.12</v>
      </c>
      <c r="K85" s="6">
        <v>163.43</v>
      </c>
      <c r="L85" s="6">
        <v>15.58</v>
      </c>
      <c r="M85" s="6">
        <v>21.27</v>
      </c>
      <c r="N85" s="6">
        <v>2.2000000000000002</v>
      </c>
      <c r="O85" s="6">
        <v>0</v>
      </c>
      <c r="P85" s="6">
        <v>0.27</v>
      </c>
      <c r="Q85" s="6">
        <v>10.32</v>
      </c>
      <c r="R85" s="6"/>
      <c r="S85" s="6"/>
      <c r="T85" s="156"/>
      <c r="U85" s="6"/>
    </row>
    <row r="86" spans="1:21" customFormat="1">
      <c r="A86" s="201" t="s">
        <v>893</v>
      </c>
      <c r="B86" s="6">
        <v>2.61</v>
      </c>
      <c r="C86" s="6">
        <v>5.53</v>
      </c>
      <c r="D86" s="6">
        <v>8.14</v>
      </c>
      <c r="E86" s="6">
        <v>5.42</v>
      </c>
      <c r="F86" s="6">
        <v>2.1800000000000002</v>
      </c>
      <c r="G86" s="6">
        <v>41.11</v>
      </c>
      <c r="H86" s="6">
        <v>23.26</v>
      </c>
      <c r="I86" s="6">
        <v>7.27</v>
      </c>
      <c r="J86" s="6">
        <v>0.1</v>
      </c>
      <c r="K86" s="6">
        <v>159.51</v>
      </c>
      <c r="L86" s="6">
        <v>15.26</v>
      </c>
      <c r="M86" s="6">
        <v>20.420000000000002</v>
      </c>
      <c r="N86" s="6">
        <v>2.2000000000000002</v>
      </c>
      <c r="O86" s="6">
        <v>0</v>
      </c>
      <c r="P86" s="6">
        <v>0.28000000000000003</v>
      </c>
      <c r="Q86" s="6">
        <v>12.6</v>
      </c>
      <c r="R86" s="6"/>
      <c r="S86" s="6"/>
      <c r="T86" s="156"/>
      <c r="U86" s="6"/>
    </row>
    <row r="87" spans="1:21" customFormat="1">
      <c r="A87" s="201" t="s">
        <v>894</v>
      </c>
      <c r="B87" s="6">
        <v>2.64</v>
      </c>
      <c r="C87" s="6">
        <v>5.63</v>
      </c>
      <c r="D87" s="6">
        <v>8.27</v>
      </c>
      <c r="E87" s="6">
        <v>5.35</v>
      </c>
      <c r="F87" s="6">
        <v>2.42</v>
      </c>
      <c r="G87" s="6">
        <v>42.19</v>
      </c>
      <c r="H87" s="6">
        <v>24.45</v>
      </c>
      <c r="I87" s="6">
        <v>7.33</v>
      </c>
      <c r="J87" s="6">
        <v>0.09</v>
      </c>
      <c r="K87" s="6">
        <v>172.31</v>
      </c>
      <c r="L87" s="6">
        <v>16.11</v>
      </c>
      <c r="M87" s="6">
        <v>22.57</v>
      </c>
      <c r="N87" s="6">
        <v>2.2000000000000002</v>
      </c>
      <c r="O87" s="6">
        <v>0</v>
      </c>
      <c r="P87" s="6">
        <v>0.3</v>
      </c>
      <c r="Q87" s="6">
        <v>13.69</v>
      </c>
      <c r="R87" s="6"/>
      <c r="S87" s="6"/>
      <c r="T87" s="156"/>
      <c r="U87" s="6"/>
    </row>
    <row r="88" spans="1:21" customFormat="1">
      <c r="A88" s="201" t="s">
        <v>895</v>
      </c>
      <c r="B88" s="6">
        <v>2.71</v>
      </c>
      <c r="C88" s="6">
        <v>5.6</v>
      </c>
      <c r="D88" s="6">
        <v>8.3000000000000007</v>
      </c>
      <c r="E88" s="6">
        <v>5.5</v>
      </c>
      <c r="F88" s="6">
        <v>2.0699999999999998</v>
      </c>
      <c r="G88" s="6">
        <v>42.5</v>
      </c>
      <c r="H88" s="6">
        <v>24.45</v>
      </c>
      <c r="I88" s="6">
        <v>7.39</v>
      </c>
      <c r="J88" s="6">
        <v>0.11</v>
      </c>
      <c r="K88" s="6">
        <v>187.27</v>
      </c>
      <c r="L88" s="6">
        <v>17.36</v>
      </c>
      <c r="M88" s="6">
        <v>25.72</v>
      </c>
      <c r="N88" s="6">
        <v>2.2000000000000002</v>
      </c>
      <c r="O88" s="6">
        <v>0</v>
      </c>
      <c r="P88" s="6">
        <v>0.3</v>
      </c>
      <c r="Q88" s="6">
        <v>12.3</v>
      </c>
      <c r="R88" s="6"/>
      <c r="S88" s="6"/>
      <c r="T88" s="156"/>
      <c r="U88" s="6"/>
    </row>
    <row r="89" spans="1:21" customFormat="1">
      <c r="A89" s="201" t="s">
        <v>896</v>
      </c>
      <c r="B89" s="6">
        <v>2.74</v>
      </c>
      <c r="C89" s="6">
        <v>5.66</v>
      </c>
      <c r="D89" s="6">
        <v>8.4</v>
      </c>
      <c r="E89" s="6">
        <v>5.43</v>
      </c>
      <c r="F89" s="6">
        <v>2.89</v>
      </c>
      <c r="G89" s="6">
        <v>42.5</v>
      </c>
      <c r="H89" s="6">
        <v>24.45</v>
      </c>
      <c r="I89" s="6">
        <v>7.55</v>
      </c>
      <c r="J89" s="6">
        <v>0.1</v>
      </c>
      <c r="K89" s="6">
        <v>166.52</v>
      </c>
      <c r="L89" s="6">
        <v>16.420000000000002</v>
      </c>
      <c r="M89" s="6">
        <v>23.36</v>
      </c>
      <c r="N89" s="6">
        <v>2.1</v>
      </c>
      <c r="O89" s="6">
        <v>0</v>
      </c>
      <c r="P89" s="6">
        <v>0.34</v>
      </c>
      <c r="Q89" s="6">
        <v>10.89</v>
      </c>
      <c r="R89" s="6"/>
      <c r="S89" s="6"/>
      <c r="T89" s="156"/>
      <c r="U89" s="6"/>
    </row>
    <row r="90" spans="1:21" customFormat="1">
      <c r="A90" s="201" t="s">
        <v>897</v>
      </c>
      <c r="B90" s="6">
        <v>2.69</v>
      </c>
      <c r="C90" s="6">
        <v>5.84</v>
      </c>
      <c r="D90" s="6">
        <v>8.5299999999999994</v>
      </c>
      <c r="E90" s="6">
        <v>4.8600000000000003</v>
      </c>
      <c r="F90" s="6">
        <v>5.62</v>
      </c>
      <c r="G90" s="6">
        <v>42.5</v>
      </c>
      <c r="H90" s="6">
        <v>24.45</v>
      </c>
      <c r="I90" s="6">
        <v>7.79</v>
      </c>
      <c r="J90" s="6">
        <v>0.06</v>
      </c>
      <c r="K90" s="6">
        <v>195.94</v>
      </c>
      <c r="L90" s="6">
        <v>16.77</v>
      </c>
      <c r="M90" s="6">
        <v>24.25</v>
      </c>
      <c r="N90" s="6">
        <v>2.2000000000000002</v>
      </c>
      <c r="O90" s="6">
        <v>0</v>
      </c>
      <c r="P90" s="6">
        <v>0.35</v>
      </c>
      <c r="Q90" s="6">
        <v>10.46</v>
      </c>
      <c r="R90" s="6"/>
      <c r="S90" s="6"/>
      <c r="T90" s="156"/>
      <c r="U90" s="6"/>
    </row>
    <row r="91" spans="1:21" customFormat="1">
      <c r="A91" s="201" t="s">
        <v>898</v>
      </c>
      <c r="B91" s="6">
        <v>2.86</v>
      </c>
      <c r="C91" s="6">
        <v>5.74</v>
      </c>
      <c r="D91" s="6">
        <v>8.61</v>
      </c>
      <c r="E91" s="6">
        <v>4.93</v>
      </c>
      <c r="F91" s="6">
        <v>3.86</v>
      </c>
      <c r="G91" s="6">
        <v>42.3</v>
      </c>
      <c r="H91" s="6">
        <v>26.37</v>
      </c>
      <c r="I91" s="6">
        <v>8.08</v>
      </c>
      <c r="J91" s="6">
        <v>0.13</v>
      </c>
      <c r="K91" s="6">
        <v>149.58000000000001</v>
      </c>
      <c r="L91" s="6">
        <v>14.45</v>
      </c>
      <c r="M91" s="6">
        <v>18.39</v>
      </c>
      <c r="N91" s="6">
        <v>2.1</v>
      </c>
      <c r="O91" s="6">
        <v>0</v>
      </c>
      <c r="P91" s="6">
        <v>0.35</v>
      </c>
      <c r="Q91" s="6">
        <v>10.24</v>
      </c>
      <c r="R91" s="6"/>
      <c r="S91" s="6"/>
      <c r="T91" s="156"/>
      <c r="U91" s="6"/>
    </row>
    <row r="92" spans="1:21" customFormat="1">
      <c r="A92" s="201" t="s">
        <v>899</v>
      </c>
      <c r="B92" s="6">
        <v>3.12</v>
      </c>
      <c r="C92" s="6">
        <v>5.66</v>
      </c>
      <c r="D92" s="6">
        <v>8.7799999999999994</v>
      </c>
      <c r="E92" s="6">
        <v>5.18</v>
      </c>
      <c r="F92" s="6">
        <v>2.95</v>
      </c>
      <c r="G92" s="6">
        <v>42.24</v>
      </c>
      <c r="H92" s="6">
        <v>26.37</v>
      </c>
      <c r="I92" s="6">
        <v>8.24</v>
      </c>
      <c r="J92" s="6">
        <v>0.1</v>
      </c>
      <c r="K92" s="6">
        <v>181.06</v>
      </c>
      <c r="L92" s="6">
        <v>18.399999999999999</v>
      </c>
      <c r="M92" s="6">
        <v>28.32</v>
      </c>
      <c r="N92" s="6">
        <v>2.2000000000000002</v>
      </c>
      <c r="O92" s="6">
        <v>0</v>
      </c>
      <c r="P92" s="6">
        <v>0.36</v>
      </c>
      <c r="Q92" s="6">
        <v>10</v>
      </c>
      <c r="R92" s="6"/>
      <c r="S92" s="6"/>
      <c r="T92" s="156"/>
      <c r="U92" s="6"/>
    </row>
    <row r="93" spans="1:21" customFormat="1">
      <c r="A93" s="201" t="s">
        <v>900</v>
      </c>
      <c r="B93" s="6">
        <v>3.19</v>
      </c>
      <c r="C93" s="6">
        <v>5.77</v>
      </c>
      <c r="D93" s="6">
        <v>8.9499999999999993</v>
      </c>
      <c r="E93" s="6">
        <v>5.0599999999999996</v>
      </c>
      <c r="F93" s="6">
        <v>3.5</v>
      </c>
      <c r="G93" s="6">
        <v>42.24</v>
      </c>
      <c r="H93" s="6">
        <v>26.37</v>
      </c>
      <c r="I93" s="6">
        <v>8.1199999999999992</v>
      </c>
      <c r="J93" s="6">
        <v>0.13</v>
      </c>
      <c r="K93" s="6">
        <v>155.04</v>
      </c>
      <c r="L93" s="6">
        <v>15.26</v>
      </c>
      <c r="M93" s="6">
        <v>20.47</v>
      </c>
      <c r="N93" s="6">
        <v>2.1</v>
      </c>
      <c r="O93" s="6">
        <v>0</v>
      </c>
      <c r="P93" s="6">
        <v>0.36</v>
      </c>
      <c r="Q93" s="6">
        <v>10.050000000000001</v>
      </c>
      <c r="R93" s="6"/>
      <c r="S93" s="6"/>
      <c r="T93" s="156"/>
      <c r="U93" s="6"/>
    </row>
    <row r="94" spans="1:21" customFormat="1">
      <c r="A94" s="201" t="s">
        <v>901</v>
      </c>
      <c r="B94" s="6">
        <v>3.43</v>
      </c>
      <c r="C94" s="6">
        <v>5.66</v>
      </c>
      <c r="D94" s="6">
        <v>9.09</v>
      </c>
      <c r="E94" s="6">
        <v>5.37</v>
      </c>
      <c r="F94" s="6">
        <v>2.33</v>
      </c>
      <c r="G94" s="6">
        <v>42.24</v>
      </c>
      <c r="H94" s="6">
        <v>26.37</v>
      </c>
      <c r="I94" s="6">
        <v>8.19</v>
      </c>
      <c r="J94" s="6">
        <v>0.08</v>
      </c>
      <c r="K94" s="6">
        <v>172.34</v>
      </c>
      <c r="L94" s="6">
        <v>17.440000000000001</v>
      </c>
      <c r="M94" s="6">
        <v>25.92</v>
      </c>
      <c r="N94" s="6">
        <v>2.1</v>
      </c>
      <c r="O94" s="6">
        <v>0</v>
      </c>
      <c r="P94" s="6">
        <v>0.37</v>
      </c>
      <c r="Q94" s="6">
        <v>10.17</v>
      </c>
      <c r="R94" s="6"/>
      <c r="S94" s="6"/>
      <c r="T94" s="156"/>
      <c r="U94" s="6"/>
    </row>
    <row r="95" spans="1:21" customFormat="1">
      <c r="A95" s="201" t="s">
        <v>902</v>
      </c>
      <c r="B95" s="6">
        <v>3.4</v>
      </c>
      <c r="C95" s="6">
        <v>5.91</v>
      </c>
      <c r="D95" s="6">
        <v>9.3000000000000007</v>
      </c>
      <c r="E95" s="6">
        <v>4.6500000000000004</v>
      </c>
      <c r="F95" s="6">
        <v>3.68</v>
      </c>
      <c r="G95" s="6">
        <v>41.58</v>
      </c>
      <c r="H95" s="6">
        <v>25.52</v>
      </c>
      <c r="I95" s="6">
        <v>8.2200000000000006</v>
      </c>
      <c r="J95" s="6">
        <v>0.08</v>
      </c>
      <c r="K95" s="6">
        <v>167.87</v>
      </c>
      <c r="L95" s="6">
        <v>16.34</v>
      </c>
      <c r="M95" s="6">
        <v>23.2</v>
      </c>
      <c r="N95" s="6">
        <v>2.1</v>
      </c>
      <c r="O95" s="6">
        <v>0</v>
      </c>
      <c r="P95" s="6">
        <v>0.38</v>
      </c>
      <c r="Q95" s="6">
        <v>10.27</v>
      </c>
      <c r="R95" s="6"/>
      <c r="S95" s="6"/>
      <c r="T95" s="156"/>
      <c r="U95" s="6"/>
    </row>
    <row r="96" spans="1:21" customFormat="1">
      <c r="A96" s="201" t="s">
        <v>903</v>
      </c>
      <c r="B96" s="6">
        <v>3.66</v>
      </c>
      <c r="C96" s="6">
        <v>5.69</v>
      </c>
      <c r="D96" s="6">
        <v>9.35</v>
      </c>
      <c r="E96" s="6">
        <v>5.04</v>
      </c>
      <c r="F96" s="6">
        <v>2.5299999999999998</v>
      </c>
      <c r="G96" s="6">
        <v>41.41</v>
      </c>
      <c r="H96" s="6">
        <v>25.52</v>
      </c>
      <c r="I96" s="6">
        <v>8.36</v>
      </c>
      <c r="J96" s="6">
        <v>0.08</v>
      </c>
      <c r="K96" s="6">
        <v>160.1</v>
      </c>
      <c r="L96" s="6">
        <v>15.35</v>
      </c>
      <c r="M96" s="6">
        <v>20.68</v>
      </c>
      <c r="N96" s="6">
        <v>2.1</v>
      </c>
      <c r="O96" s="6">
        <v>0</v>
      </c>
      <c r="P96" s="6">
        <v>0.36</v>
      </c>
      <c r="Q96" s="6">
        <v>10.09</v>
      </c>
      <c r="R96" s="6"/>
      <c r="S96" s="6"/>
      <c r="T96" s="156"/>
      <c r="U96" s="6"/>
    </row>
    <row r="97" spans="1:28" customFormat="1">
      <c r="A97" s="201" t="s">
        <v>904</v>
      </c>
      <c r="B97" s="6">
        <v>3.78</v>
      </c>
      <c r="C97" s="6">
        <v>5.75</v>
      </c>
      <c r="D97" s="6">
        <v>9.5299999999999994</v>
      </c>
      <c r="E97" s="6">
        <v>4.93</v>
      </c>
      <c r="F97" s="6">
        <v>2.2799999999999998</v>
      </c>
      <c r="G97" s="6">
        <v>41.41</v>
      </c>
      <c r="H97" s="6">
        <v>25.52</v>
      </c>
      <c r="I97" s="6">
        <v>8.44</v>
      </c>
      <c r="J97" s="6">
        <v>0.08</v>
      </c>
      <c r="K97" s="6">
        <v>199.73</v>
      </c>
      <c r="L97" s="6">
        <v>18.64</v>
      </c>
      <c r="M97" s="6">
        <v>28.95</v>
      </c>
      <c r="N97" s="6">
        <v>2.1</v>
      </c>
      <c r="O97" s="6">
        <v>0</v>
      </c>
      <c r="P97" s="6">
        <v>0.38</v>
      </c>
      <c r="Q97" s="6">
        <v>10.19</v>
      </c>
      <c r="R97" s="6"/>
      <c r="S97" s="6"/>
      <c r="T97" s="156"/>
      <c r="U97" s="6"/>
    </row>
    <row r="98" spans="1:28" customFormat="1">
      <c r="A98" s="201" t="s">
        <v>905</v>
      </c>
      <c r="B98" s="6">
        <v>3.84</v>
      </c>
      <c r="C98" s="6">
        <v>5.76</v>
      </c>
      <c r="D98" s="6">
        <v>9.6</v>
      </c>
      <c r="E98" s="6">
        <v>4.96</v>
      </c>
      <c r="F98" s="6">
        <v>3.36</v>
      </c>
      <c r="G98" s="6">
        <v>41.41</v>
      </c>
      <c r="H98" s="6">
        <v>25.52</v>
      </c>
      <c r="I98" s="6">
        <v>8.2899999999999991</v>
      </c>
      <c r="J98" s="6">
        <v>0.09</v>
      </c>
      <c r="K98" s="6">
        <v>155.38999999999999</v>
      </c>
      <c r="L98" s="6">
        <v>15.83</v>
      </c>
      <c r="M98" s="6">
        <v>21.88</v>
      </c>
      <c r="N98" s="6">
        <v>2.1</v>
      </c>
      <c r="O98" s="6">
        <v>0</v>
      </c>
      <c r="P98" s="6">
        <v>0.37</v>
      </c>
      <c r="Q98" s="6">
        <v>10.15</v>
      </c>
      <c r="R98" s="6"/>
      <c r="S98" s="6"/>
      <c r="T98" s="156"/>
      <c r="U98" s="6"/>
    </row>
    <row r="99" spans="1:28" customFormat="1">
      <c r="A99" s="201" t="s">
        <v>906</v>
      </c>
      <c r="B99" s="6">
        <v>4.13</v>
      </c>
      <c r="C99" s="6">
        <v>5.69</v>
      </c>
      <c r="D99" s="6">
        <v>9.83</v>
      </c>
      <c r="E99" s="6">
        <v>5.01</v>
      </c>
      <c r="F99" s="6">
        <v>2.19</v>
      </c>
      <c r="G99" s="6">
        <v>44.72</v>
      </c>
      <c r="H99" s="6">
        <v>26.81</v>
      </c>
      <c r="I99" s="6">
        <v>8.52</v>
      </c>
      <c r="J99" s="6">
        <v>0.08</v>
      </c>
      <c r="K99" s="6">
        <v>206.59</v>
      </c>
      <c r="L99" s="6">
        <v>19</v>
      </c>
      <c r="M99" s="6">
        <v>29.88</v>
      </c>
      <c r="N99" s="6">
        <v>2.2000000000000002</v>
      </c>
      <c r="O99" s="6">
        <v>0</v>
      </c>
      <c r="P99" s="6">
        <v>0.38</v>
      </c>
      <c r="Q99" s="6">
        <v>10.71</v>
      </c>
      <c r="R99" s="6"/>
      <c r="S99" s="6"/>
      <c r="T99" s="156"/>
      <c r="U99" s="6"/>
    </row>
    <row r="100" spans="1:28" customFormat="1">
      <c r="A100" s="201" t="s">
        <v>907</v>
      </c>
      <c r="B100" s="6">
        <v>4.1399999999999997</v>
      </c>
      <c r="C100" s="6">
        <v>5.65</v>
      </c>
      <c r="D100" s="6">
        <v>9.8000000000000007</v>
      </c>
      <c r="E100" s="6">
        <v>4.95</v>
      </c>
      <c r="F100" s="6">
        <v>2.36</v>
      </c>
      <c r="G100" s="6">
        <v>45.61</v>
      </c>
      <c r="H100" s="6">
        <v>26.81</v>
      </c>
      <c r="I100" s="6">
        <v>8.5</v>
      </c>
      <c r="J100" s="6">
        <v>7.0000000000000007E-2</v>
      </c>
      <c r="K100" s="6">
        <v>215.94</v>
      </c>
      <c r="L100" s="6">
        <v>19.420000000000002</v>
      </c>
      <c r="M100" s="6">
        <v>30.88</v>
      </c>
      <c r="N100" s="6">
        <v>2.1</v>
      </c>
      <c r="O100" s="6">
        <v>0</v>
      </c>
      <c r="P100" s="6">
        <v>0.38</v>
      </c>
      <c r="Q100" s="6">
        <v>11.97</v>
      </c>
      <c r="R100" s="6"/>
      <c r="S100" s="6"/>
      <c r="T100" s="156"/>
      <c r="U100" s="6"/>
      <c r="AB100" s="161"/>
    </row>
    <row r="101" spans="1:28" customFormat="1">
      <c r="A101" s="201" t="s">
        <v>908</v>
      </c>
      <c r="B101" s="6">
        <v>4.32</v>
      </c>
      <c r="C101" s="6">
        <v>5.6</v>
      </c>
      <c r="D101" s="6">
        <v>9.92</v>
      </c>
      <c r="E101" s="6">
        <v>4.9800000000000004</v>
      </c>
      <c r="F101" s="6">
        <v>2.3199999999999998</v>
      </c>
      <c r="G101" s="6">
        <v>45.61</v>
      </c>
      <c r="H101" s="6">
        <v>26.81</v>
      </c>
      <c r="I101" s="6">
        <v>8.4499999999999993</v>
      </c>
      <c r="J101" s="6">
        <v>0.09</v>
      </c>
      <c r="K101" s="6">
        <v>232.68</v>
      </c>
      <c r="L101" s="6">
        <v>20.45</v>
      </c>
      <c r="M101" s="6">
        <v>33.43</v>
      </c>
      <c r="N101" s="6">
        <v>2.1</v>
      </c>
      <c r="O101" s="6">
        <v>0</v>
      </c>
      <c r="P101" s="6">
        <v>0.37</v>
      </c>
      <c r="Q101" s="6">
        <v>11.71</v>
      </c>
      <c r="R101" s="6"/>
      <c r="S101" s="6"/>
      <c r="T101" s="156"/>
      <c r="U101" s="6"/>
    </row>
    <row r="102" spans="1:28" customFormat="1">
      <c r="A102" s="201" t="s">
        <v>909</v>
      </c>
      <c r="B102" s="6">
        <v>4.41</v>
      </c>
      <c r="C102" s="6">
        <v>5.65</v>
      </c>
      <c r="D102" s="6">
        <v>10.07</v>
      </c>
      <c r="E102" s="6">
        <v>4.93</v>
      </c>
      <c r="F102" s="6">
        <v>2.12</v>
      </c>
      <c r="G102" s="6">
        <v>45.61</v>
      </c>
      <c r="H102" s="6">
        <v>26.81</v>
      </c>
      <c r="I102" s="6">
        <v>8.52</v>
      </c>
      <c r="J102" s="6">
        <v>0.09</v>
      </c>
      <c r="K102" s="6">
        <v>212.05</v>
      </c>
      <c r="L102" s="6">
        <v>19.38</v>
      </c>
      <c r="M102" s="6">
        <v>30.77</v>
      </c>
      <c r="N102" s="6">
        <v>2.2000000000000002</v>
      </c>
      <c r="O102" s="6">
        <v>0</v>
      </c>
      <c r="P102" s="6">
        <v>0.38</v>
      </c>
      <c r="Q102" s="6">
        <v>11.33</v>
      </c>
      <c r="R102" s="6"/>
      <c r="S102" s="6"/>
      <c r="T102" s="156"/>
      <c r="U102" s="6"/>
    </row>
    <row r="103" spans="1:28" customFormat="1">
      <c r="A103" s="201" t="s">
        <v>910</v>
      </c>
      <c r="B103" s="6">
        <v>4.41</v>
      </c>
      <c r="C103" s="6">
        <v>5.7</v>
      </c>
      <c r="D103" s="6">
        <v>10.1</v>
      </c>
      <c r="E103" s="6">
        <v>4.8</v>
      </c>
      <c r="F103" s="6">
        <v>2.5099999999999998</v>
      </c>
      <c r="G103" s="6">
        <v>42.65</v>
      </c>
      <c r="H103" s="6">
        <v>21.4</v>
      </c>
      <c r="I103" s="6">
        <v>8.4499999999999993</v>
      </c>
      <c r="J103" s="6">
        <v>0.15</v>
      </c>
      <c r="K103" s="6">
        <v>243.07</v>
      </c>
      <c r="L103" s="6">
        <v>21.14</v>
      </c>
      <c r="M103" s="6">
        <v>35.130000000000003</v>
      </c>
      <c r="N103" s="6">
        <v>2.1</v>
      </c>
      <c r="O103" s="6">
        <v>0</v>
      </c>
      <c r="P103" s="6">
        <v>0.38</v>
      </c>
      <c r="Q103" s="6">
        <v>10.95</v>
      </c>
      <c r="R103" s="6"/>
      <c r="S103" s="6"/>
      <c r="T103" s="156"/>
      <c r="U103" s="6"/>
    </row>
    <row r="104" spans="1:28" customFormat="1">
      <c r="A104" s="201" t="s">
        <v>911</v>
      </c>
      <c r="B104" s="6">
        <v>4.75</v>
      </c>
      <c r="C104" s="6">
        <v>5.75</v>
      </c>
      <c r="D104" s="6">
        <v>10.5</v>
      </c>
      <c r="E104" s="6">
        <v>5.36</v>
      </c>
      <c r="F104" s="6">
        <v>2</v>
      </c>
      <c r="G104" s="6">
        <v>41.81</v>
      </c>
      <c r="H104" s="6">
        <v>21.4</v>
      </c>
      <c r="I104" s="6">
        <v>8.4499999999999993</v>
      </c>
      <c r="J104" s="6">
        <v>0.09</v>
      </c>
      <c r="K104" s="6">
        <v>156.55000000000001</v>
      </c>
      <c r="L104" s="6">
        <v>14.87</v>
      </c>
      <c r="M104" s="6">
        <v>19.489999999999998</v>
      </c>
      <c r="N104" s="6">
        <v>2.1</v>
      </c>
      <c r="O104" s="6">
        <v>0</v>
      </c>
      <c r="P104" s="6">
        <v>0.38</v>
      </c>
      <c r="Q104" s="6">
        <v>10.68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2.29</v>
      </c>
      <c r="C106" s="158">
        <f>MIN(C9:C104)</f>
        <v>5.47</v>
      </c>
      <c r="D106" s="158">
        <f t="shared" ref="D106:Q106" si="0">MIN(D9:D104)</f>
        <v>7.91</v>
      </c>
      <c r="E106" s="158">
        <f t="shared" si="0"/>
        <v>4.2300000000000004</v>
      </c>
      <c r="F106" s="158">
        <f t="shared" si="0"/>
        <v>2</v>
      </c>
      <c r="G106" s="158">
        <f t="shared" si="0"/>
        <v>25.22</v>
      </c>
      <c r="H106" s="158">
        <f t="shared" si="0"/>
        <v>9.42</v>
      </c>
      <c r="I106" s="158">
        <f t="shared" si="0"/>
        <v>7.26</v>
      </c>
      <c r="J106" s="158">
        <f t="shared" si="0"/>
        <v>0.03</v>
      </c>
      <c r="K106" s="158">
        <f t="shared" si="0"/>
        <v>23.57</v>
      </c>
      <c r="L106" s="158">
        <f t="shared" si="0"/>
        <v>12.41</v>
      </c>
      <c r="M106" s="158">
        <f t="shared" si="0"/>
        <v>8.59</v>
      </c>
      <c r="N106" s="158">
        <f t="shared" si="0"/>
        <v>2.1</v>
      </c>
      <c r="O106" s="158">
        <f t="shared" si="0"/>
        <v>0</v>
      </c>
      <c r="P106" s="158">
        <f t="shared" si="0"/>
        <v>0.27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9.68</v>
      </c>
      <c r="C107" s="157">
        <f t="shared" ref="C107:Q107" si="1">MAX(C9:C104)</f>
        <v>7.72</v>
      </c>
      <c r="D107" s="157">
        <f t="shared" si="1"/>
        <v>16.36</v>
      </c>
      <c r="E107" s="157">
        <f t="shared" si="1"/>
        <v>6.83</v>
      </c>
      <c r="F107" s="157">
        <f t="shared" si="1"/>
        <v>14.34</v>
      </c>
      <c r="G107" s="157">
        <f t="shared" si="1"/>
        <v>55.42</v>
      </c>
      <c r="H107" s="157">
        <f t="shared" si="1"/>
        <v>26.81</v>
      </c>
      <c r="I107" s="157">
        <f t="shared" si="1"/>
        <v>13.17</v>
      </c>
      <c r="J107" s="157">
        <f t="shared" si="1"/>
        <v>0.59</v>
      </c>
      <c r="K107" s="157">
        <f t="shared" si="1"/>
        <v>326.95</v>
      </c>
      <c r="L107" s="157">
        <f t="shared" si="1"/>
        <v>28.49</v>
      </c>
      <c r="M107" s="157">
        <f t="shared" si="1"/>
        <v>43.6</v>
      </c>
      <c r="N107" s="157">
        <f t="shared" si="1"/>
        <v>618.29999999999995</v>
      </c>
      <c r="O107" s="157">
        <f t="shared" si="1"/>
        <v>0</v>
      </c>
      <c r="P107" s="157">
        <f t="shared" si="1"/>
        <v>0.67</v>
      </c>
      <c r="Q107" s="157">
        <f t="shared" si="1"/>
        <v>13.69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5.5662499999999975</v>
      </c>
      <c r="C108" s="158">
        <f t="shared" ref="C108:Q108" si="2">AVERAGE(C9:C104)</f>
        <v>6.3291666666666666</v>
      </c>
      <c r="D108" s="158">
        <f t="shared" si="2"/>
        <v>11.895729166666662</v>
      </c>
      <c r="E108" s="158">
        <f t="shared" si="2"/>
        <v>5.5637500000000024</v>
      </c>
      <c r="F108" s="158">
        <f t="shared" si="2"/>
        <v>3.3974999999999991</v>
      </c>
      <c r="G108" s="158">
        <f t="shared" si="2"/>
        <v>41.456875000000018</v>
      </c>
      <c r="H108" s="158">
        <f t="shared" si="2"/>
        <v>19.760416666666675</v>
      </c>
      <c r="I108" s="158">
        <f t="shared" si="2"/>
        <v>10.204375000000006</v>
      </c>
      <c r="J108" s="158">
        <f t="shared" si="2"/>
        <v>0.20062499999999986</v>
      </c>
      <c r="K108" s="158">
        <f t="shared" si="2"/>
        <v>202.18791666666664</v>
      </c>
      <c r="L108" s="158">
        <f t="shared" si="2"/>
        <v>19.471145833333331</v>
      </c>
      <c r="M108" s="158">
        <f t="shared" si="2"/>
        <v>28.766041666666666</v>
      </c>
      <c r="N108" s="158">
        <f t="shared" si="2"/>
        <v>95.038541666666788</v>
      </c>
      <c r="O108" s="158">
        <f t="shared" si="2"/>
        <v>0</v>
      </c>
      <c r="P108" s="158">
        <f t="shared" si="2"/>
        <v>0.4789583333333336</v>
      </c>
      <c r="Q108" s="158">
        <f t="shared" si="2"/>
        <v>10.495625000000002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2.6322150967938556</v>
      </c>
      <c r="C109" s="158">
        <f t="shared" ref="C109:Q109" si="3">STDEV(C9:C104)</f>
        <v>0.57444465935951283</v>
      </c>
      <c r="D109" s="158">
        <f t="shared" si="3"/>
        <v>2.8143967269032264</v>
      </c>
      <c r="E109" s="158">
        <f t="shared" si="3"/>
        <v>0.62755037541553105</v>
      </c>
      <c r="F109" s="158">
        <f t="shared" si="3"/>
        <v>2.2938159426918667</v>
      </c>
      <c r="G109" s="158">
        <f t="shared" si="3"/>
        <v>7.7688634015942437</v>
      </c>
      <c r="H109" s="158">
        <f t="shared" si="3"/>
        <v>5.3201432344522255</v>
      </c>
      <c r="I109" s="158">
        <f t="shared" si="3"/>
        <v>1.8337277606013105</v>
      </c>
      <c r="J109" s="158">
        <f t="shared" si="3"/>
        <v>0.14417688332118478</v>
      </c>
      <c r="K109" s="158">
        <f t="shared" si="3"/>
        <v>57.878661769650613</v>
      </c>
      <c r="L109" s="158">
        <f t="shared" si="3"/>
        <v>3.8473295919423216</v>
      </c>
      <c r="M109" s="158">
        <f t="shared" si="3"/>
        <v>7.7563191866091525</v>
      </c>
      <c r="N109" s="158">
        <f t="shared" si="3"/>
        <v>154.63728655676908</v>
      </c>
      <c r="O109" s="158">
        <f t="shared" si="3"/>
        <v>0</v>
      </c>
      <c r="P109" s="158">
        <f t="shared" si="3"/>
        <v>0.13717817201432833</v>
      </c>
      <c r="Q109" s="158">
        <f t="shared" si="3"/>
        <v>0.76350550613256007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J102" sqref="J10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912</v>
      </c>
      <c r="B9" s="6">
        <v>4.55</v>
      </c>
      <c r="C9" s="6">
        <v>5.53</v>
      </c>
      <c r="D9" s="6">
        <v>10.08</v>
      </c>
      <c r="E9" s="6">
        <v>5.32</v>
      </c>
      <c r="F9" s="6">
        <v>2.25</v>
      </c>
      <c r="G9" s="6">
        <v>41.81</v>
      </c>
      <c r="H9" s="6">
        <v>21.4</v>
      </c>
      <c r="I9" s="6">
        <v>8.49</v>
      </c>
      <c r="J9" s="6">
        <v>0.09</v>
      </c>
      <c r="K9" s="6">
        <v>159.03</v>
      </c>
      <c r="L9" s="6">
        <v>17.5</v>
      </c>
      <c r="M9" s="6">
        <v>26.06</v>
      </c>
      <c r="N9" s="6">
        <v>2.1</v>
      </c>
      <c r="O9" s="6">
        <v>0</v>
      </c>
      <c r="P9" s="6">
        <v>0.36</v>
      </c>
      <c r="Q9" s="6">
        <v>10.44</v>
      </c>
      <c r="R9" s="6"/>
      <c r="S9" s="6"/>
      <c r="T9" s="156"/>
      <c r="U9" s="6"/>
    </row>
    <row r="10" spans="1:21" customFormat="1">
      <c r="A10" s="201" t="s">
        <v>913</v>
      </c>
      <c r="B10" s="6">
        <v>4.75</v>
      </c>
      <c r="C10" s="6">
        <v>5.62</v>
      </c>
      <c r="D10" s="6">
        <v>10.37</v>
      </c>
      <c r="E10" s="6">
        <v>5.47</v>
      </c>
      <c r="F10" s="6">
        <v>2.12</v>
      </c>
      <c r="G10" s="6">
        <v>41.81</v>
      </c>
      <c r="H10" s="6">
        <v>21.4</v>
      </c>
      <c r="I10" s="6">
        <v>8.49</v>
      </c>
      <c r="J10" s="6">
        <v>0.12</v>
      </c>
      <c r="K10" s="6">
        <v>166.82</v>
      </c>
      <c r="L10" s="6">
        <v>16.260000000000002</v>
      </c>
      <c r="M10" s="6">
        <v>22.96</v>
      </c>
      <c r="N10" s="6">
        <v>2.2000000000000002</v>
      </c>
      <c r="O10" s="6">
        <v>0</v>
      </c>
      <c r="P10" s="6">
        <v>0.38</v>
      </c>
      <c r="Q10" s="6">
        <v>10.39</v>
      </c>
      <c r="R10" s="6"/>
      <c r="S10" s="6"/>
      <c r="T10" s="156"/>
      <c r="U10" s="6"/>
    </row>
    <row r="11" spans="1:21" customFormat="1">
      <c r="A11" s="201" t="s">
        <v>914</v>
      </c>
      <c r="B11" s="6">
        <v>4.6900000000000004</v>
      </c>
      <c r="C11" s="6">
        <v>5.54</v>
      </c>
      <c r="D11" s="6">
        <v>10.23</v>
      </c>
      <c r="E11" s="6">
        <v>5.07</v>
      </c>
      <c r="F11" s="6">
        <v>2.17</v>
      </c>
      <c r="G11" s="6">
        <v>36.85</v>
      </c>
      <c r="H11" s="6">
        <v>16.27</v>
      </c>
      <c r="I11" s="6">
        <v>8.2799999999999994</v>
      </c>
      <c r="J11" s="6">
        <v>0.09</v>
      </c>
      <c r="K11" s="6">
        <v>211.33</v>
      </c>
      <c r="L11" s="6">
        <v>19.84</v>
      </c>
      <c r="M11" s="6">
        <v>31.92</v>
      </c>
      <c r="N11" s="6">
        <v>2.1</v>
      </c>
      <c r="O11" s="6">
        <v>0</v>
      </c>
      <c r="P11" s="6">
        <v>0.35</v>
      </c>
      <c r="Q11" s="6">
        <v>10.33</v>
      </c>
      <c r="R11" s="6"/>
      <c r="S11" s="6"/>
      <c r="T11" s="156"/>
      <c r="U11" s="6"/>
    </row>
    <row r="12" spans="1:21" customFormat="1">
      <c r="A12" s="201" t="s">
        <v>915</v>
      </c>
      <c r="B12" s="6">
        <v>4.8899999999999997</v>
      </c>
      <c r="C12" s="6">
        <v>5.63</v>
      </c>
      <c r="D12" s="6">
        <v>10.52</v>
      </c>
      <c r="E12" s="6">
        <v>5.46</v>
      </c>
      <c r="F12" s="6">
        <v>2.04</v>
      </c>
      <c r="G12" s="6">
        <v>35.520000000000003</v>
      </c>
      <c r="H12" s="6">
        <v>16.27</v>
      </c>
      <c r="I12" s="6">
        <v>8.2899999999999991</v>
      </c>
      <c r="J12" s="6">
        <v>0.06</v>
      </c>
      <c r="K12" s="6">
        <v>178.14</v>
      </c>
      <c r="L12" s="6">
        <v>15.57</v>
      </c>
      <c r="M12" s="6">
        <v>21.21</v>
      </c>
      <c r="N12" s="6">
        <v>2.1</v>
      </c>
      <c r="O12" s="6">
        <v>0</v>
      </c>
      <c r="P12" s="6">
        <v>0.33</v>
      </c>
      <c r="Q12" s="6">
        <v>10.199999999999999</v>
      </c>
      <c r="R12" s="6"/>
      <c r="S12" s="6"/>
      <c r="T12" s="156"/>
      <c r="U12" s="6"/>
    </row>
    <row r="13" spans="1:21" customFormat="1">
      <c r="A13" s="201" t="s">
        <v>916</v>
      </c>
      <c r="B13" s="6">
        <v>4.8600000000000003</v>
      </c>
      <c r="C13" s="6">
        <v>5.78</v>
      </c>
      <c r="D13" s="6">
        <v>10.65</v>
      </c>
      <c r="E13" s="6">
        <v>5.28</v>
      </c>
      <c r="F13" s="6">
        <v>2</v>
      </c>
      <c r="G13" s="6">
        <v>35.520000000000003</v>
      </c>
      <c r="H13" s="6">
        <v>16.27</v>
      </c>
      <c r="I13" s="6">
        <v>7.98</v>
      </c>
      <c r="J13" s="6">
        <v>0.14000000000000001</v>
      </c>
      <c r="K13" s="6">
        <v>168.17</v>
      </c>
      <c r="L13" s="6">
        <v>16.36</v>
      </c>
      <c r="M13" s="6">
        <v>23.19</v>
      </c>
      <c r="N13" s="6">
        <v>2.1</v>
      </c>
      <c r="O13" s="6">
        <v>0</v>
      </c>
      <c r="P13" s="6">
        <v>0.31</v>
      </c>
      <c r="Q13" s="6">
        <v>10.199999999999999</v>
      </c>
      <c r="R13" s="6"/>
      <c r="S13" s="6"/>
      <c r="T13" s="156"/>
      <c r="U13" s="6"/>
    </row>
    <row r="14" spans="1:21" customFormat="1">
      <c r="A14" s="201" t="s">
        <v>917</v>
      </c>
      <c r="B14" s="6">
        <v>4.82</v>
      </c>
      <c r="C14" s="6">
        <v>5.86</v>
      </c>
      <c r="D14" s="6">
        <v>10.67</v>
      </c>
      <c r="E14" s="6">
        <v>5.51</v>
      </c>
      <c r="F14" s="6">
        <v>2</v>
      </c>
      <c r="G14" s="6">
        <v>35.520000000000003</v>
      </c>
      <c r="H14" s="6">
        <v>16.27</v>
      </c>
      <c r="I14" s="6">
        <v>8.1</v>
      </c>
      <c r="J14" s="6">
        <v>0.1</v>
      </c>
      <c r="K14" s="6">
        <v>171.5</v>
      </c>
      <c r="L14" s="6">
        <v>15.85</v>
      </c>
      <c r="M14" s="6">
        <v>21.93</v>
      </c>
      <c r="N14" s="6">
        <v>2.1</v>
      </c>
      <c r="O14" s="6">
        <v>0</v>
      </c>
      <c r="P14" s="6">
        <v>0.31</v>
      </c>
      <c r="Q14" s="6">
        <v>10.16</v>
      </c>
      <c r="R14" s="6"/>
      <c r="S14" s="6"/>
      <c r="T14" s="156"/>
      <c r="U14" s="6"/>
    </row>
    <row r="15" spans="1:21" customFormat="1">
      <c r="A15" s="201" t="s">
        <v>918</v>
      </c>
      <c r="B15" s="6">
        <v>4.84</v>
      </c>
      <c r="C15" s="6">
        <v>5.94</v>
      </c>
      <c r="D15" s="6">
        <v>10.78</v>
      </c>
      <c r="E15" s="6">
        <v>5.46</v>
      </c>
      <c r="F15" s="6">
        <v>2</v>
      </c>
      <c r="G15" s="6">
        <v>36.619999999999997</v>
      </c>
      <c r="H15" s="6">
        <v>18.03</v>
      </c>
      <c r="I15" s="6">
        <v>7.97</v>
      </c>
      <c r="J15" s="6">
        <v>0.01</v>
      </c>
      <c r="K15" s="6">
        <v>89.22</v>
      </c>
      <c r="L15" s="6">
        <v>13.26</v>
      </c>
      <c r="M15" s="6">
        <v>15.19</v>
      </c>
      <c r="N15" s="6">
        <v>2.1</v>
      </c>
      <c r="O15" s="6">
        <v>0</v>
      </c>
      <c r="P15" s="6">
        <v>0.31</v>
      </c>
      <c r="Q15" s="6">
        <v>10.119999999999999</v>
      </c>
      <c r="R15" s="6"/>
      <c r="S15" s="6"/>
      <c r="T15" s="156"/>
      <c r="U15" s="6"/>
    </row>
    <row r="16" spans="1:21" customFormat="1">
      <c r="A16" s="201" t="s">
        <v>919</v>
      </c>
      <c r="B16" s="6">
        <v>5.23</v>
      </c>
      <c r="C16" s="6">
        <v>6.05</v>
      </c>
      <c r="D16" s="6">
        <v>11.28</v>
      </c>
      <c r="E16" s="6">
        <v>5.74</v>
      </c>
      <c r="F16" s="6">
        <v>2</v>
      </c>
      <c r="G16" s="6">
        <v>36.93</v>
      </c>
      <c r="H16" s="6">
        <v>18.03</v>
      </c>
      <c r="I16" s="6">
        <v>7.85</v>
      </c>
      <c r="J16" s="6">
        <v>0.14000000000000001</v>
      </c>
      <c r="K16" s="6">
        <v>159.57</v>
      </c>
      <c r="L16" s="6">
        <v>15.75</v>
      </c>
      <c r="M16" s="6">
        <v>21.68</v>
      </c>
      <c r="N16" s="6">
        <v>2.1</v>
      </c>
      <c r="O16" s="6">
        <v>0</v>
      </c>
      <c r="P16" s="6">
        <v>0.3</v>
      </c>
      <c r="Q16" s="6">
        <v>10.1</v>
      </c>
      <c r="R16" s="6"/>
      <c r="S16" s="6"/>
      <c r="T16" s="156"/>
      <c r="U16" s="6"/>
    </row>
    <row r="17" spans="1:21" customFormat="1">
      <c r="A17" s="201" t="s">
        <v>920</v>
      </c>
      <c r="B17" s="6">
        <v>5.52</v>
      </c>
      <c r="C17" s="6">
        <v>6.16</v>
      </c>
      <c r="D17" s="6">
        <v>11.68</v>
      </c>
      <c r="E17" s="6">
        <v>4.68</v>
      </c>
      <c r="F17" s="6">
        <v>2</v>
      </c>
      <c r="G17" s="6">
        <v>36.93</v>
      </c>
      <c r="H17" s="6">
        <v>18.03</v>
      </c>
      <c r="I17" s="6">
        <v>7.83</v>
      </c>
      <c r="J17" s="6">
        <v>0.15</v>
      </c>
      <c r="K17" s="6">
        <v>158.93</v>
      </c>
      <c r="L17" s="6">
        <v>15.18</v>
      </c>
      <c r="M17" s="6">
        <v>20.28</v>
      </c>
      <c r="N17" s="6">
        <v>2.1</v>
      </c>
      <c r="O17" s="6">
        <v>0</v>
      </c>
      <c r="P17" s="6">
        <v>0.3</v>
      </c>
      <c r="Q17" s="6">
        <v>10.08</v>
      </c>
      <c r="R17" s="6"/>
      <c r="S17" s="6"/>
      <c r="T17" s="156"/>
      <c r="U17" s="6"/>
    </row>
    <row r="18" spans="1:21" customFormat="1">
      <c r="A18" s="201" t="s">
        <v>921</v>
      </c>
      <c r="B18" s="6">
        <v>5.64</v>
      </c>
      <c r="C18" s="6">
        <v>6.12</v>
      </c>
      <c r="D18" s="6">
        <v>11.76</v>
      </c>
      <c r="E18" s="6">
        <v>5.89</v>
      </c>
      <c r="F18" s="6">
        <v>2</v>
      </c>
      <c r="G18" s="6">
        <v>36.93</v>
      </c>
      <c r="H18" s="6">
        <v>18.03</v>
      </c>
      <c r="I18" s="6">
        <v>7.81</v>
      </c>
      <c r="J18" s="6">
        <v>0.14000000000000001</v>
      </c>
      <c r="K18" s="6">
        <v>202.85</v>
      </c>
      <c r="L18" s="6">
        <v>19.04</v>
      </c>
      <c r="M18" s="6">
        <v>29.9</v>
      </c>
      <c r="N18" s="6">
        <v>2.1</v>
      </c>
      <c r="O18" s="6">
        <v>0</v>
      </c>
      <c r="P18" s="6">
        <v>0.3</v>
      </c>
      <c r="Q18" s="6">
        <v>10.27</v>
      </c>
      <c r="R18" s="6"/>
      <c r="S18" s="6"/>
      <c r="T18" s="156"/>
      <c r="U18" s="6"/>
    </row>
    <row r="19" spans="1:21" customFormat="1">
      <c r="A19" s="201" t="s">
        <v>922</v>
      </c>
      <c r="B19" s="6">
        <v>5.68</v>
      </c>
      <c r="C19" s="6">
        <v>6.03</v>
      </c>
      <c r="D19" s="6">
        <v>11.7</v>
      </c>
      <c r="E19" s="6">
        <v>5.83</v>
      </c>
      <c r="F19" s="6">
        <v>2</v>
      </c>
      <c r="G19" s="6">
        <v>40.380000000000003</v>
      </c>
      <c r="H19" s="6">
        <v>19.079999999999998</v>
      </c>
      <c r="I19" s="6">
        <v>7.87</v>
      </c>
      <c r="J19" s="6">
        <v>0.1</v>
      </c>
      <c r="K19" s="6">
        <v>155.77000000000001</v>
      </c>
      <c r="L19" s="6">
        <v>15.1</v>
      </c>
      <c r="M19" s="6">
        <v>20.03</v>
      </c>
      <c r="N19" s="6">
        <v>2.1</v>
      </c>
      <c r="O19" s="6">
        <v>0</v>
      </c>
      <c r="P19" s="6">
        <v>0.3</v>
      </c>
      <c r="Q19" s="6">
        <v>10.23</v>
      </c>
      <c r="R19" s="6"/>
      <c r="S19" s="6"/>
      <c r="T19" s="156"/>
      <c r="U19" s="6"/>
    </row>
    <row r="20" spans="1:21" customFormat="1">
      <c r="A20" s="201" t="s">
        <v>923</v>
      </c>
      <c r="B20" s="6">
        <v>5.74</v>
      </c>
      <c r="C20" s="6">
        <v>5.89</v>
      </c>
      <c r="D20" s="6">
        <v>11.63</v>
      </c>
      <c r="E20" s="6">
        <v>5.63</v>
      </c>
      <c r="F20" s="6">
        <v>2</v>
      </c>
      <c r="G20" s="6">
        <v>41.37</v>
      </c>
      <c r="H20" s="6">
        <v>19.079999999999998</v>
      </c>
      <c r="I20" s="6">
        <v>7.9</v>
      </c>
      <c r="J20" s="6">
        <v>0.1</v>
      </c>
      <c r="K20" s="6">
        <v>150.47</v>
      </c>
      <c r="L20" s="6">
        <v>14.06</v>
      </c>
      <c r="M20" s="6">
        <v>17.38</v>
      </c>
      <c r="N20" s="6">
        <v>2.1</v>
      </c>
      <c r="O20" s="6">
        <v>0</v>
      </c>
      <c r="P20" s="6">
        <v>0.3</v>
      </c>
      <c r="Q20" s="6">
        <v>10.28</v>
      </c>
      <c r="R20" s="6"/>
      <c r="S20" s="6"/>
      <c r="T20" s="156"/>
      <c r="U20" s="6"/>
    </row>
    <row r="21" spans="1:21" customFormat="1">
      <c r="A21" s="201" t="s">
        <v>924</v>
      </c>
      <c r="B21" s="6">
        <v>6.07</v>
      </c>
      <c r="C21" s="6">
        <v>5.9</v>
      </c>
      <c r="D21" s="6">
        <v>11.97</v>
      </c>
      <c r="E21" s="6">
        <v>5.95</v>
      </c>
      <c r="F21" s="6">
        <v>2</v>
      </c>
      <c r="G21" s="6">
        <v>41.37</v>
      </c>
      <c r="H21" s="6">
        <v>19.079999999999998</v>
      </c>
      <c r="I21" s="6">
        <v>7.9</v>
      </c>
      <c r="J21" s="6">
        <v>0.11</v>
      </c>
      <c r="K21" s="6">
        <v>195.28</v>
      </c>
      <c r="L21" s="6">
        <v>18.27</v>
      </c>
      <c r="M21" s="6">
        <v>28.02</v>
      </c>
      <c r="N21" s="6">
        <v>2.1</v>
      </c>
      <c r="O21" s="6">
        <v>0</v>
      </c>
      <c r="P21" s="6">
        <v>0.28999999999999998</v>
      </c>
      <c r="Q21" s="6">
        <v>10.19</v>
      </c>
      <c r="R21" s="6"/>
      <c r="S21" s="6"/>
      <c r="T21" s="156"/>
      <c r="U21" s="6"/>
    </row>
    <row r="22" spans="1:21" customFormat="1">
      <c r="A22" s="201" t="s">
        <v>925</v>
      </c>
      <c r="B22" s="6">
        <v>6.3</v>
      </c>
      <c r="C22" s="6">
        <v>5.98</v>
      </c>
      <c r="D22" s="6">
        <v>12.28</v>
      </c>
      <c r="E22" s="6">
        <v>6.02</v>
      </c>
      <c r="F22" s="6">
        <v>2</v>
      </c>
      <c r="G22" s="6">
        <v>41.37</v>
      </c>
      <c r="H22" s="6">
        <v>19.079999999999998</v>
      </c>
      <c r="I22" s="6">
        <v>7.83</v>
      </c>
      <c r="J22" s="6">
        <v>0.13</v>
      </c>
      <c r="K22" s="6">
        <v>216.17</v>
      </c>
      <c r="L22" s="6">
        <v>19.059999999999999</v>
      </c>
      <c r="M22" s="6">
        <v>29.97</v>
      </c>
      <c r="N22" s="6">
        <v>2.1</v>
      </c>
      <c r="O22" s="6">
        <v>0</v>
      </c>
      <c r="P22" s="6">
        <v>0.3</v>
      </c>
      <c r="Q22" s="6">
        <v>10.77</v>
      </c>
      <c r="R22" s="6"/>
      <c r="S22" s="6"/>
      <c r="T22" s="156"/>
      <c r="U22" s="6"/>
    </row>
    <row r="23" spans="1:21" customFormat="1">
      <c r="A23" s="201" t="s">
        <v>926</v>
      </c>
      <c r="B23" s="6">
        <v>6.4</v>
      </c>
      <c r="C23" s="6">
        <v>5.92</v>
      </c>
      <c r="D23" s="6">
        <v>12.32</v>
      </c>
      <c r="E23" s="6">
        <v>5.84</v>
      </c>
      <c r="F23" s="6">
        <v>2</v>
      </c>
      <c r="G23" s="6">
        <v>40.729999999999997</v>
      </c>
      <c r="H23" s="6">
        <v>14.71</v>
      </c>
      <c r="I23" s="6">
        <v>7.86</v>
      </c>
      <c r="J23" s="6">
        <v>0.1</v>
      </c>
      <c r="K23" s="6">
        <v>153.87</v>
      </c>
      <c r="L23" s="6">
        <v>13.81</v>
      </c>
      <c r="M23" s="6">
        <v>16.760000000000002</v>
      </c>
      <c r="N23" s="6">
        <v>2.1</v>
      </c>
      <c r="O23" s="6">
        <v>0</v>
      </c>
      <c r="P23" s="6">
        <v>0.28999999999999998</v>
      </c>
      <c r="Q23" s="6">
        <v>11.01</v>
      </c>
      <c r="R23" s="6"/>
      <c r="S23" s="6"/>
      <c r="T23" s="156"/>
      <c r="U23" s="6"/>
    </row>
    <row r="24" spans="1:21" customFormat="1">
      <c r="A24" s="201" t="s">
        <v>927</v>
      </c>
      <c r="B24" s="6">
        <v>6.42</v>
      </c>
      <c r="C24" s="6">
        <v>5.87</v>
      </c>
      <c r="D24" s="6">
        <v>12.29</v>
      </c>
      <c r="E24" s="6">
        <v>6.13</v>
      </c>
      <c r="F24" s="6">
        <v>2</v>
      </c>
      <c r="G24" s="6">
        <v>40.54</v>
      </c>
      <c r="H24" s="6">
        <v>14.71</v>
      </c>
      <c r="I24" s="6">
        <v>7.85</v>
      </c>
      <c r="J24" s="6">
        <v>0.18</v>
      </c>
      <c r="K24" s="6">
        <v>162.01</v>
      </c>
      <c r="L24" s="6">
        <v>16.18</v>
      </c>
      <c r="M24" s="6">
        <v>22.72</v>
      </c>
      <c r="N24" s="6">
        <v>2.1</v>
      </c>
      <c r="O24" s="6">
        <v>0</v>
      </c>
      <c r="P24" s="6">
        <v>0.28999999999999998</v>
      </c>
      <c r="Q24" s="6">
        <v>10.77</v>
      </c>
      <c r="R24" s="6"/>
      <c r="S24" s="6"/>
      <c r="T24" s="156"/>
      <c r="U24" s="6"/>
    </row>
    <row r="25" spans="1:21" customFormat="1">
      <c r="A25" s="201" t="s">
        <v>928</v>
      </c>
      <c r="B25" s="6">
        <v>6.4</v>
      </c>
      <c r="C25" s="6">
        <v>5.75</v>
      </c>
      <c r="D25" s="6">
        <v>12.15</v>
      </c>
      <c r="E25" s="6">
        <v>5.88</v>
      </c>
      <c r="F25" s="6">
        <v>2.0099999999999998</v>
      </c>
      <c r="G25" s="6">
        <v>40.54</v>
      </c>
      <c r="H25" s="6">
        <v>14.71</v>
      </c>
      <c r="I25" s="6">
        <v>7.71</v>
      </c>
      <c r="J25" s="6">
        <v>0.11</v>
      </c>
      <c r="K25" s="6">
        <v>179.14</v>
      </c>
      <c r="L25" s="6">
        <v>18.32</v>
      </c>
      <c r="M25" s="6">
        <v>28.1</v>
      </c>
      <c r="N25" s="6">
        <v>2.1</v>
      </c>
      <c r="O25" s="6">
        <v>0</v>
      </c>
      <c r="P25" s="6">
        <v>0.28000000000000003</v>
      </c>
      <c r="Q25" s="6">
        <v>10.87</v>
      </c>
      <c r="R25" s="6"/>
      <c r="S25" s="6"/>
      <c r="T25" s="156"/>
      <c r="U25" s="6"/>
    </row>
    <row r="26" spans="1:21" customFormat="1">
      <c r="A26" s="201" t="s">
        <v>929</v>
      </c>
      <c r="B26" s="6">
        <v>6.35</v>
      </c>
      <c r="C26" s="6">
        <v>5.65</v>
      </c>
      <c r="D26" s="6">
        <v>12</v>
      </c>
      <c r="E26" s="6">
        <v>6.11</v>
      </c>
      <c r="F26" s="6">
        <v>2</v>
      </c>
      <c r="G26" s="6">
        <v>40.54</v>
      </c>
      <c r="H26" s="6">
        <v>14.71</v>
      </c>
      <c r="I26" s="6">
        <v>7.72</v>
      </c>
      <c r="J26" s="6">
        <v>7.0000000000000007E-2</v>
      </c>
      <c r="K26" s="6">
        <v>162.33000000000001</v>
      </c>
      <c r="L26" s="6">
        <v>14.43</v>
      </c>
      <c r="M26" s="6">
        <v>18.239999999999998</v>
      </c>
      <c r="N26" s="6">
        <v>2.2000000000000002</v>
      </c>
      <c r="O26" s="6">
        <v>0</v>
      </c>
      <c r="P26" s="6">
        <v>0.28000000000000003</v>
      </c>
      <c r="Q26" s="6">
        <v>10.65</v>
      </c>
      <c r="R26" s="6"/>
      <c r="S26" s="6"/>
      <c r="T26" s="156"/>
      <c r="U26" s="6"/>
    </row>
    <row r="27" spans="1:21" customFormat="1">
      <c r="A27" s="201" t="s">
        <v>930</v>
      </c>
      <c r="B27" s="6">
        <v>6.44</v>
      </c>
      <c r="C27" s="6">
        <v>5.65</v>
      </c>
      <c r="D27" s="6">
        <v>12.09</v>
      </c>
      <c r="E27" s="6">
        <v>5.68</v>
      </c>
      <c r="F27" s="6">
        <v>2.0099999999999998</v>
      </c>
      <c r="G27" s="6">
        <v>36.29</v>
      </c>
      <c r="H27" s="6">
        <v>15.52</v>
      </c>
      <c r="I27" s="6">
        <v>7.78</v>
      </c>
      <c r="J27" s="6">
        <v>0.08</v>
      </c>
      <c r="K27" s="6">
        <v>168.39</v>
      </c>
      <c r="L27" s="6">
        <v>15.55</v>
      </c>
      <c r="M27" s="6">
        <v>21.35</v>
      </c>
      <c r="N27" s="6">
        <v>2.1</v>
      </c>
      <c r="O27" s="6">
        <v>0</v>
      </c>
      <c r="P27" s="6">
        <v>0.27</v>
      </c>
      <c r="Q27" s="6">
        <v>10.59</v>
      </c>
      <c r="R27" s="6"/>
      <c r="S27" s="6"/>
      <c r="T27" s="156"/>
      <c r="U27" s="6"/>
    </row>
    <row r="28" spans="1:21" customFormat="1">
      <c r="A28" s="201" t="s">
        <v>931</v>
      </c>
      <c r="B28" s="6">
        <v>6.48</v>
      </c>
      <c r="C28" s="6">
        <v>5.64</v>
      </c>
      <c r="D28" s="6">
        <v>12.12</v>
      </c>
      <c r="E28" s="6">
        <v>6.16</v>
      </c>
      <c r="F28" s="6">
        <v>2</v>
      </c>
      <c r="G28" s="6">
        <v>35.07</v>
      </c>
      <c r="H28" s="6">
        <v>15.52</v>
      </c>
      <c r="I28" s="6">
        <v>7.73</v>
      </c>
      <c r="J28" s="6">
        <v>0.12</v>
      </c>
      <c r="K28" s="6">
        <v>233.86</v>
      </c>
      <c r="L28" s="6">
        <v>20.010000000000002</v>
      </c>
      <c r="M28" s="6">
        <v>32.36</v>
      </c>
      <c r="N28" s="6">
        <v>2.1</v>
      </c>
      <c r="O28" s="6">
        <v>0</v>
      </c>
      <c r="P28" s="6">
        <v>0.27</v>
      </c>
      <c r="Q28" s="6">
        <v>10.71</v>
      </c>
      <c r="R28" s="6"/>
      <c r="S28" s="6"/>
      <c r="T28" s="156"/>
      <c r="U28" s="6"/>
    </row>
    <row r="29" spans="1:21" customFormat="1">
      <c r="A29" s="201" t="s">
        <v>932</v>
      </c>
      <c r="B29" s="6">
        <v>6.48</v>
      </c>
      <c r="C29" s="6">
        <v>5.57</v>
      </c>
      <c r="D29" s="6">
        <v>12.05</v>
      </c>
      <c r="E29" s="6">
        <v>6.19</v>
      </c>
      <c r="F29" s="6">
        <v>2</v>
      </c>
      <c r="G29" s="6">
        <v>35.07</v>
      </c>
      <c r="H29" s="6">
        <v>15.52</v>
      </c>
      <c r="I29" s="6">
        <v>7.72</v>
      </c>
      <c r="J29" s="6">
        <v>0.14000000000000001</v>
      </c>
      <c r="K29" s="6">
        <v>235.21</v>
      </c>
      <c r="L29" s="6">
        <v>21.98</v>
      </c>
      <c r="M29" s="6">
        <v>37.24</v>
      </c>
      <c r="N29" s="6">
        <v>2.1</v>
      </c>
      <c r="O29" s="6">
        <v>0</v>
      </c>
      <c r="P29" s="6">
        <v>0.28000000000000003</v>
      </c>
      <c r="Q29" s="6">
        <v>11.07</v>
      </c>
      <c r="R29" s="6"/>
      <c r="S29" s="6"/>
      <c r="T29" s="156"/>
      <c r="U29" s="6"/>
    </row>
    <row r="30" spans="1:21" customFormat="1">
      <c r="A30" s="201" t="s">
        <v>933</v>
      </c>
      <c r="B30" s="6">
        <v>6.49</v>
      </c>
      <c r="C30" s="6">
        <v>5.53</v>
      </c>
      <c r="D30" s="6">
        <v>12.02</v>
      </c>
      <c r="E30" s="6">
        <v>6.14</v>
      </c>
      <c r="F30" s="6">
        <v>2</v>
      </c>
      <c r="G30" s="6">
        <v>35.07</v>
      </c>
      <c r="H30" s="6">
        <v>15.52</v>
      </c>
      <c r="I30" s="6">
        <v>7.75</v>
      </c>
      <c r="J30" s="6">
        <v>0.14000000000000001</v>
      </c>
      <c r="K30" s="6">
        <v>146.30000000000001</v>
      </c>
      <c r="L30" s="6">
        <v>14.62</v>
      </c>
      <c r="M30" s="6">
        <v>18.86</v>
      </c>
      <c r="N30" s="6">
        <v>2.1</v>
      </c>
      <c r="O30" s="6">
        <v>0</v>
      </c>
      <c r="P30" s="6">
        <v>0.27</v>
      </c>
      <c r="Q30" s="6">
        <v>10.74</v>
      </c>
      <c r="R30" s="6"/>
      <c r="S30" s="6"/>
      <c r="T30" s="156"/>
      <c r="U30" s="6"/>
    </row>
    <row r="31" spans="1:21" customFormat="1">
      <c r="A31" s="201" t="s">
        <v>934</v>
      </c>
      <c r="B31" s="6">
        <v>6.58</v>
      </c>
      <c r="C31" s="6">
        <v>5.58</v>
      </c>
      <c r="D31" s="6">
        <v>12.16</v>
      </c>
      <c r="E31" s="6">
        <v>5.93</v>
      </c>
      <c r="F31" s="6">
        <v>2</v>
      </c>
      <c r="G31" s="6">
        <v>38.409999999999997</v>
      </c>
      <c r="H31" s="6">
        <v>12.69</v>
      </c>
      <c r="I31" s="6">
        <v>7.82</v>
      </c>
      <c r="J31" s="6">
        <v>0.14000000000000001</v>
      </c>
      <c r="K31" s="6">
        <v>189.15</v>
      </c>
      <c r="L31" s="6">
        <v>17.41</v>
      </c>
      <c r="M31" s="6">
        <v>25.86</v>
      </c>
      <c r="N31" s="6">
        <v>2.2000000000000002</v>
      </c>
      <c r="O31" s="6">
        <v>0</v>
      </c>
      <c r="P31" s="6">
        <v>0.28000000000000003</v>
      </c>
      <c r="Q31" s="6">
        <v>10.5</v>
      </c>
      <c r="R31" s="6"/>
      <c r="S31" s="6"/>
      <c r="T31" s="156"/>
      <c r="U31" s="6"/>
    </row>
    <row r="32" spans="1:21" customFormat="1">
      <c r="A32" s="201" t="s">
        <v>935</v>
      </c>
      <c r="B32" s="6">
        <v>6.77</v>
      </c>
      <c r="C32" s="6">
        <v>5.55</v>
      </c>
      <c r="D32" s="6">
        <v>12.33</v>
      </c>
      <c r="E32" s="6">
        <v>6.09</v>
      </c>
      <c r="F32" s="6">
        <v>2</v>
      </c>
      <c r="G32" s="6">
        <v>39.36</v>
      </c>
      <c r="H32" s="6">
        <v>12.69</v>
      </c>
      <c r="I32" s="6">
        <v>7.87</v>
      </c>
      <c r="J32" s="6">
        <v>0.04</v>
      </c>
      <c r="K32" s="6">
        <v>157.82</v>
      </c>
      <c r="L32" s="6">
        <v>17.48</v>
      </c>
      <c r="M32" s="6">
        <v>25.97</v>
      </c>
      <c r="N32" s="6">
        <v>3.1</v>
      </c>
      <c r="O32" s="6">
        <v>0</v>
      </c>
      <c r="P32" s="6">
        <v>0.3</v>
      </c>
      <c r="Q32" s="6">
        <v>11.15</v>
      </c>
      <c r="R32" s="6"/>
      <c r="S32" s="6"/>
      <c r="T32" s="156"/>
      <c r="U32" s="6"/>
    </row>
    <row r="33" spans="1:21" customFormat="1">
      <c r="A33" s="201" t="s">
        <v>936</v>
      </c>
      <c r="B33" s="6">
        <v>6.96</v>
      </c>
      <c r="C33" s="6">
        <v>5.44</v>
      </c>
      <c r="D33" s="6">
        <v>12.4</v>
      </c>
      <c r="E33" s="6">
        <v>5.99</v>
      </c>
      <c r="F33" s="6">
        <v>2</v>
      </c>
      <c r="G33" s="6">
        <v>39.36</v>
      </c>
      <c r="H33" s="6">
        <v>12.69</v>
      </c>
      <c r="I33" s="6">
        <v>7.91</v>
      </c>
      <c r="J33" s="6">
        <v>0.08</v>
      </c>
      <c r="K33" s="6">
        <v>182.37</v>
      </c>
      <c r="L33" s="6">
        <v>16.440000000000001</v>
      </c>
      <c r="M33" s="6">
        <v>23.34</v>
      </c>
      <c r="N33" s="6">
        <v>5</v>
      </c>
      <c r="O33" s="6">
        <v>0</v>
      </c>
      <c r="P33" s="6">
        <v>0.31</v>
      </c>
      <c r="Q33" s="6">
        <v>11.51</v>
      </c>
      <c r="R33" s="6"/>
      <c r="S33" s="6"/>
      <c r="T33" s="156"/>
      <c r="U33" s="6"/>
    </row>
    <row r="34" spans="1:21" customFormat="1">
      <c r="A34" s="201" t="s">
        <v>937</v>
      </c>
      <c r="B34" s="6">
        <v>7.48</v>
      </c>
      <c r="C34" s="6">
        <v>5.53</v>
      </c>
      <c r="D34" s="6">
        <v>13.01</v>
      </c>
      <c r="E34" s="6">
        <v>5.52</v>
      </c>
      <c r="F34" s="6">
        <v>2</v>
      </c>
      <c r="G34" s="6">
        <v>39.36</v>
      </c>
      <c r="H34" s="6">
        <v>12.69</v>
      </c>
      <c r="I34" s="6">
        <v>7.99</v>
      </c>
      <c r="J34" s="6">
        <v>0.1</v>
      </c>
      <c r="K34" s="6">
        <v>24.39</v>
      </c>
      <c r="L34" s="6">
        <v>17.03</v>
      </c>
      <c r="M34" s="6">
        <v>24.37</v>
      </c>
      <c r="N34" s="6">
        <v>14</v>
      </c>
      <c r="O34" s="6">
        <v>0</v>
      </c>
      <c r="P34" s="6">
        <v>0.31</v>
      </c>
      <c r="Q34" s="6">
        <v>10.92</v>
      </c>
      <c r="R34" s="6"/>
      <c r="S34" s="6"/>
      <c r="T34" s="156"/>
      <c r="U34" s="6"/>
    </row>
    <row r="35" spans="1:21" customFormat="1">
      <c r="A35" s="201" t="s">
        <v>938</v>
      </c>
      <c r="B35" s="6">
        <v>8.77</v>
      </c>
      <c r="C35" s="6">
        <v>5.89</v>
      </c>
      <c r="D35" s="6">
        <v>14.66</v>
      </c>
      <c r="E35" s="6">
        <v>5.54</v>
      </c>
      <c r="F35" s="6">
        <v>2</v>
      </c>
      <c r="G35" s="6">
        <v>43.13</v>
      </c>
      <c r="H35" s="6">
        <v>17.59</v>
      </c>
      <c r="I35" s="6">
        <v>8.01</v>
      </c>
      <c r="J35" s="6">
        <v>0.16</v>
      </c>
      <c r="K35" s="6">
        <v>23.57</v>
      </c>
      <c r="L35" s="6">
        <v>11</v>
      </c>
      <c r="M35" s="6">
        <v>8.9600000000000009</v>
      </c>
      <c r="N35" s="6">
        <v>22.8</v>
      </c>
      <c r="O35" s="6">
        <v>0</v>
      </c>
      <c r="P35" s="6">
        <v>0.34</v>
      </c>
      <c r="Q35" s="6">
        <v>11.47</v>
      </c>
      <c r="R35" s="6"/>
      <c r="S35" s="6"/>
      <c r="T35" s="156"/>
      <c r="U35" s="6"/>
    </row>
    <row r="36" spans="1:21" customFormat="1">
      <c r="A36" s="201" t="s">
        <v>939</v>
      </c>
      <c r="B36" s="6">
        <v>8.9600000000000009</v>
      </c>
      <c r="C36" s="6">
        <v>6.15</v>
      </c>
      <c r="D36" s="6">
        <v>15.11</v>
      </c>
      <c r="E36" s="6">
        <v>5.41</v>
      </c>
      <c r="F36" s="6">
        <v>2</v>
      </c>
      <c r="G36" s="6">
        <v>44.21</v>
      </c>
      <c r="H36" s="6">
        <v>17.59</v>
      </c>
      <c r="I36" s="6">
        <v>8.1300000000000008</v>
      </c>
      <c r="J36" s="6">
        <v>0.18</v>
      </c>
      <c r="K36" s="6">
        <v>28.25</v>
      </c>
      <c r="L36" s="6">
        <v>14.68</v>
      </c>
      <c r="M36" s="6">
        <v>17.829999999999998</v>
      </c>
      <c r="N36" s="6">
        <v>37.299999999999997</v>
      </c>
      <c r="O36" s="6">
        <v>0</v>
      </c>
      <c r="P36" s="6">
        <v>0.33</v>
      </c>
      <c r="Q36" s="6">
        <v>11.31</v>
      </c>
      <c r="R36" s="6"/>
      <c r="S36" s="6"/>
      <c r="T36" s="156"/>
      <c r="U36" s="6"/>
    </row>
    <row r="37" spans="1:21" customFormat="1">
      <c r="A37" s="201" t="s">
        <v>940</v>
      </c>
      <c r="B37" s="6">
        <v>9.27</v>
      </c>
      <c r="C37" s="6">
        <v>6.3</v>
      </c>
      <c r="D37" s="6">
        <v>15.58</v>
      </c>
      <c r="E37" s="6">
        <v>5.71</v>
      </c>
      <c r="F37" s="6">
        <v>2</v>
      </c>
      <c r="G37" s="6">
        <v>44.21</v>
      </c>
      <c r="H37" s="6">
        <v>17.59</v>
      </c>
      <c r="I37" s="6">
        <v>8.48</v>
      </c>
      <c r="J37" s="6">
        <v>0.17</v>
      </c>
      <c r="K37" s="6">
        <v>17.87</v>
      </c>
      <c r="L37" s="6">
        <v>14.53</v>
      </c>
      <c r="M37" s="6">
        <v>17.11</v>
      </c>
      <c r="N37" s="6">
        <v>53.7</v>
      </c>
      <c r="O37" s="6">
        <v>0</v>
      </c>
      <c r="P37" s="6">
        <v>0.35</v>
      </c>
      <c r="Q37" s="6">
        <v>11.41</v>
      </c>
      <c r="R37" s="6"/>
      <c r="S37" s="6"/>
      <c r="T37" s="156"/>
      <c r="U37" s="6"/>
    </row>
    <row r="38" spans="1:21" customFormat="1">
      <c r="A38" s="201" t="s">
        <v>941</v>
      </c>
      <c r="B38" s="6">
        <v>9.6300000000000008</v>
      </c>
      <c r="C38" s="6">
        <v>6.38</v>
      </c>
      <c r="D38" s="6">
        <v>16.010000000000002</v>
      </c>
      <c r="E38" s="6">
        <v>5.8</v>
      </c>
      <c r="F38" s="6">
        <v>2</v>
      </c>
      <c r="G38" s="6">
        <v>44.21</v>
      </c>
      <c r="H38" s="6">
        <v>17.59</v>
      </c>
      <c r="I38" s="6">
        <v>8.5</v>
      </c>
      <c r="J38" s="6">
        <v>0.16</v>
      </c>
      <c r="K38" s="6">
        <v>325.60000000000002</v>
      </c>
      <c r="L38" s="6">
        <v>18.48</v>
      </c>
      <c r="M38" s="6">
        <v>26.67</v>
      </c>
      <c r="N38" s="6">
        <v>74.900000000000006</v>
      </c>
      <c r="O38" s="6">
        <v>0</v>
      </c>
      <c r="P38" s="6">
        <v>0.35</v>
      </c>
      <c r="Q38" s="6">
        <v>11.42</v>
      </c>
      <c r="R38" s="6"/>
      <c r="S38" s="6"/>
      <c r="T38" s="156"/>
      <c r="U38" s="6"/>
    </row>
    <row r="39" spans="1:21" customFormat="1">
      <c r="A39" s="201" t="s">
        <v>942</v>
      </c>
      <c r="B39" s="6">
        <v>9.94</v>
      </c>
      <c r="C39" s="6">
        <v>6.57</v>
      </c>
      <c r="D39" s="6">
        <v>16.510000000000002</v>
      </c>
      <c r="E39" s="6">
        <v>5.9</v>
      </c>
      <c r="F39" s="6">
        <v>2</v>
      </c>
      <c r="G39" s="6">
        <v>59.96</v>
      </c>
      <c r="H39" s="6">
        <v>27.84</v>
      </c>
      <c r="I39" s="6">
        <v>8.58</v>
      </c>
      <c r="J39" s="6">
        <v>0.22</v>
      </c>
      <c r="K39" s="6">
        <v>43.87</v>
      </c>
      <c r="L39" s="6">
        <v>13.22</v>
      </c>
      <c r="M39" s="6">
        <v>11.69</v>
      </c>
      <c r="N39" s="6">
        <v>143.6</v>
      </c>
      <c r="O39" s="6">
        <v>0</v>
      </c>
      <c r="P39" s="6">
        <v>0.36</v>
      </c>
      <c r="Q39" s="6">
        <v>11.04</v>
      </c>
      <c r="R39" s="6"/>
      <c r="S39" s="6"/>
      <c r="T39" s="156"/>
      <c r="U39" s="6"/>
    </row>
    <row r="40" spans="1:21" customFormat="1">
      <c r="A40" s="201" t="s">
        <v>943</v>
      </c>
      <c r="B40" s="6">
        <v>10.27</v>
      </c>
      <c r="C40" s="6">
        <v>6.75</v>
      </c>
      <c r="D40" s="6">
        <v>17.02</v>
      </c>
      <c r="E40" s="6">
        <v>6.06</v>
      </c>
      <c r="F40" s="6">
        <v>2</v>
      </c>
      <c r="G40" s="6">
        <v>64.459999999999994</v>
      </c>
      <c r="H40" s="6">
        <v>27.84</v>
      </c>
      <c r="I40" s="6">
        <v>8.58</v>
      </c>
      <c r="J40" s="6">
        <v>0.27</v>
      </c>
      <c r="K40" s="6">
        <v>43.86</v>
      </c>
      <c r="L40" s="6">
        <v>13.44</v>
      </c>
      <c r="M40" s="6">
        <v>12.11</v>
      </c>
      <c r="N40" s="6">
        <v>149.19999999999999</v>
      </c>
      <c r="O40" s="6">
        <v>0</v>
      </c>
      <c r="P40" s="6">
        <v>0.36</v>
      </c>
      <c r="Q40" s="6">
        <v>10.42</v>
      </c>
      <c r="R40" s="6"/>
      <c r="S40" s="6"/>
      <c r="T40" s="156"/>
      <c r="U40" s="6"/>
    </row>
    <row r="41" spans="1:21" customFormat="1">
      <c r="A41" s="201" t="s">
        <v>944</v>
      </c>
      <c r="B41" s="6">
        <v>10.4</v>
      </c>
      <c r="C41" s="6">
        <v>6.83</v>
      </c>
      <c r="D41" s="6">
        <v>17.23</v>
      </c>
      <c r="E41" s="6">
        <v>5.45</v>
      </c>
      <c r="F41" s="6">
        <v>2</v>
      </c>
      <c r="G41" s="6">
        <v>64.459999999999994</v>
      </c>
      <c r="H41" s="6">
        <v>27.84</v>
      </c>
      <c r="I41" s="6">
        <v>8.67</v>
      </c>
      <c r="J41" s="6">
        <v>0.21</v>
      </c>
      <c r="K41" s="6">
        <v>38.950000000000003</v>
      </c>
      <c r="L41" s="6">
        <v>12.48</v>
      </c>
      <c r="M41" s="6">
        <v>7.91</v>
      </c>
      <c r="N41" s="6">
        <v>223.7</v>
      </c>
      <c r="O41" s="6">
        <v>0</v>
      </c>
      <c r="P41" s="6">
        <v>0.37</v>
      </c>
      <c r="Q41" s="6">
        <v>10.199999999999999</v>
      </c>
      <c r="R41" s="6"/>
      <c r="S41" s="6"/>
      <c r="T41" s="156"/>
      <c r="U41" s="6"/>
    </row>
    <row r="42" spans="1:21" customFormat="1">
      <c r="A42" s="201" t="s">
        <v>945</v>
      </c>
      <c r="B42" s="6">
        <v>10.5</v>
      </c>
      <c r="C42" s="6">
        <v>6.99</v>
      </c>
      <c r="D42" s="6">
        <v>17.489999999999998</v>
      </c>
      <c r="E42" s="6">
        <v>5.91</v>
      </c>
      <c r="F42" s="6">
        <v>2.0099999999999998</v>
      </c>
      <c r="G42" s="6">
        <v>64.459999999999994</v>
      </c>
      <c r="H42" s="6">
        <v>27.84</v>
      </c>
      <c r="I42" s="6">
        <v>8.6999999999999993</v>
      </c>
      <c r="J42" s="6">
        <v>0.23</v>
      </c>
      <c r="K42" s="6">
        <v>44.57</v>
      </c>
      <c r="L42" s="6">
        <v>13.33</v>
      </c>
      <c r="M42" s="6">
        <v>8.2100000000000009</v>
      </c>
      <c r="N42" s="6">
        <v>306.2</v>
      </c>
      <c r="O42" s="6">
        <v>0</v>
      </c>
      <c r="P42" s="6">
        <v>0.38</v>
      </c>
      <c r="Q42" s="6">
        <v>10.11</v>
      </c>
      <c r="R42" s="6"/>
      <c r="S42" s="6"/>
      <c r="T42" s="156"/>
      <c r="U42" s="6"/>
    </row>
    <row r="43" spans="1:21" customFormat="1">
      <c r="A43" s="201" t="s">
        <v>946</v>
      </c>
      <c r="B43" s="6">
        <v>10.37</v>
      </c>
      <c r="C43" s="6">
        <v>7.6</v>
      </c>
      <c r="D43" s="6">
        <v>17.96</v>
      </c>
      <c r="E43" s="6">
        <v>7.28</v>
      </c>
      <c r="F43" s="6">
        <v>2.76</v>
      </c>
      <c r="G43" s="6">
        <v>77.95</v>
      </c>
      <c r="H43" s="6">
        <v>31.4</v>
      </c>
      <c r="I43" s="6">
        <v>8.6300000000000008</v>
      </c>
      <c r="J43" s="6">
        <v>0.28999999999999998</v>
      </c>
      <c r="K43" s="6">
        <v>40.36</v>
      </c>
      <c r="L43" s="6">
        <v>13.78</v>
      </c>
      <c r="M43" s="6">
        <v>9.08</v>
      </c>
      <c r="N43" s="6">
        <v>343.3</v>
      </c>
      <c r="O43" s="6">
        <v>0</v>
      </c>
      <c r="P43" s="6">
        <v>0.38</v>
      </c>
      <c r="Q43" s="6">
        <v>10.5</v>
      </c>
      <c r="R43" s="6"/>
      <c r="S43" s="6"/>
      <c r="T43" s="156"/>
      <c r="U43" s="6"/>
    </row>
    <row r="44" spans="1:21" customFormat="1">
      <c r="A44" s="201" t="s">
        <v>947</v>
      </c>
      <c r="B44" s="6">
        <v>10.43</v>
      </c>
      <c r="C44" s="6">
        <v>7.49</v>
      </c>
      <c r="D44" s="6">
        <v>17.920000000000002</v>
      </c>
      <c r="E44" s="6">
        <v>6.6</v>
      </c>
      <c r="F44" s="6">
        <v>2.15</v>
      </c>
      <c r="G44" s="6">
        <v>81.8</v>
      </c>
      <c r="H44" s="6">
        <v>31.4</v>
      </c>
      <c r="I44" s="6">
        <v>8.5299999999999994</v>
      </c>
      <c r="J44" s="6">
        <v>0.3</v>
      </c>
      <c r="K44" s="6">
        <v>38.24</v>
      </c>
      <c r="L44" s="6">
        <v>14.13</v>
      </c>
      <c r="M44" s="6">
        <v>9.51</v>
      </c>
      <c r="N44" s="6">
        <v>333.4</v>
      </c>
      <c r="O44" s="6">
        <v>0</v>
      </c>
      <c r="P44" s="6">
        <v>0.38</v>
      </c>
      <c r="Q44" s="6">
        <v>10.67</v>
      </c>
      <c r="R44" s="6"/>
      <c r="S44" s="6"/>
      <c r="T44" s="156"/>
      <c r="U44" s="6"/>
    </row>
    <row r="45" spans="1:21" customFormat="1">
      <c r="A45" s="201" t="s">
        <v>948</v>
      </c>
      <c r="B45" s="6">
        <v>10.41</v>
      </c>
      <c r="C45" s="6">
        <v>7.65</v>
      </c>
      <c r="D45" s="6">
        <v>18.059999999999999</v>
      </c>
      <c r="E45" s="6">
        <v>6.58</v>
      </c>
      <c r="F45" s="6">
        <v>2.4500000000000002</v>
      </c>
      <c r="G45" s="6">
        <v>81.8</v>
      </c>
      <c r="H45" s="6">
        <v>31.4</v>
      </c>
      <c r="I45" s="6">
        <v>8.2899999999999991</v>
      </c>
      <c r="J45" s="6">
        <v>0.23</v>
      </c>
      <c r="K45" s="6">
        <v>20.53</v>
      </c>
      <c r="L45" s="6">
        <v>18.309999999999999</v>
      </c>
      <c r="M45" s="6">
        <v>18.510000000000002</v>
      </c>
      <c r="N45" s="6">
        <v>398.3</v>
      </c>
      <c r="O45" s="6">
        <v>0</v>
      </c>
      <c r="P45" s="6">
        <v>0.38</v>
      </c>
      <c r="Q45" s="6">
        <v>10.56</v>
      </c>
      <c r="R45" s="6"/>
      <c r="S45" s="6"/>
      <c r="T45" s="156"/>
      <c r="U45" s="6"/>
    </row>
    <row r="46" spans="1:21" customFormat="1">
      <c r="A46" s="201" t="s">
        <v>949</v>
      </c>
      <c r="B46" s="6">
        <v>10.23</v>
      </c>
      <c r="C46" s="6">
        <v>7.7</v>
      </c>
      <c r="D46" s="6">
        <v>17.93</v>
      </c>
      <c r="E46" s="6">
        <v>7</v>
      </c>
      <c r="F46" s="6">
        <v>3.2</v>
      </c>
      <c r="G46" s="6">
        <v>81.8</v>
      </c>
      <c r="H46" s="6">
        <v>31.4</v>
      </c>
      <c r="I46" s="6">
        <v>8.42</v>
      </c>
      <c r="J46" s="6">
        <v>0.21</v>
      </c>
      <c r="K46" s="6">
        <v>59.02</v>
      </c>
      <c r="L46" s="6">
        <v>14.59</v>
      </c>
      <c r="M46" s="6">
        <v>9.7899999999999991</v>
      </c>
      <c r="N46" s="6">
        <v>373.4</v>
      </c>
      <c r="O46" s="6">
        <v>0</v>
      </c>
      <c r="P46" s="6">
        <v>0.38</v>
      </c>
      <c r="Q46" s="6">
        <v>10.49</v>
      </c>
      <c r="R46" s="6"/>
      <c r="S46" s="6"/>
      <c r="T46" s="156"/>
      <c r="U46" s="6"/>
    </row>
    <row r="47" spans="1:21" customFormat="1">
      <c r="A47" s="201" t="s">
        <v>950</v>
      </c>
      <c r="B47" s="6">
        <v>10.31</v>
      </c>
      <c r="C47" s="6">
        <v>8.19</v>
      </c>
      <c r="D47" s="6">
        <v>18.5</v>
      </c>
      <c r="E47" s="6">
        <v>9.4</v>
      </c>
      <c r="F47" s="6">
        <v>4.09</v>
      </c>
      <c r="G47" s="6">
        <v>88.88</v>
      </c>
      <c r="H47" s="6">
        <v>36.08</v>
      </c>
      <c r="I47" s="6">
        <v>8.35</v>
      </c>
      <c r="J47" s="6">
        <v>0.3</v>
      </c>
      <c r="K47" s="6">
        <v>357.67</v>
      </c>
      <c r="L47" s="6">
        <v>20.34</v>
      </c>
      <c r="M47" s="6">
        <v>20.67</v>
      </c>
      <c r="N47" s="6">
        <v>519.5</v>
      </c>
      <c r="O47" s="6">
        <v>0</v>
      </c>
      <c r="P47" s="6">
        <v>0.37</v>
      </c>
      <c r="Q47" s="6">
        <v>10.3</v>
      </c>
      <c r="R47" s="6"/>
      <c r="S47" s="6"/>
      <c r="T47" s="156"/>
      <c r="U47" s="6"/>
    </row>
    <row r="48" spans="1:21" customFormat="1">
      <c r="A48" s="201" t="s">
        <v>951</v>
      </c>
      <c r="B48" s="6">
        <v>10.26</v>
      </c>
      <c r="C48" s="6">
        <v>8.39</v>
      </c>
      <c r="D48" s="6">
        <v>18.649999999999999</v>
      </c>
      <c r="E48" s="6">
        <v>8.1300000000000008</v>
      </c>
      <c r="F48" s="6">
        <v>4.17</v>
      </c>
      <c r="G48" s="6">
        <v>90.9</v>
      </c>
      <c r="H48" s="6">
        <v>36.08</v>
      </c>
      <c r="I48" s="6">
        <v>8.15</v>
      </c>
      <c r="J48" s="6">
        <v>0.15</v>
      </c>
      <c r="K48" s="6">
        <v>63.47</v>
      </c>
      <c r="L48" s="6">
        <v>19.2</v>
      </c>
      <c r="M48" s="6">
        <v>20.190000000000001</v>
      </c>
      <c r="N48" s="6">
        <v>424</v>
      </c>
      <c r="O48" s="6">
        <v>0</v>
      </c>
      <c r="P48" s="6">
        <v>0.36</v>
      </c>
      <c r="Q48" s="6">
        <v>10.039999999999999</v>
      </c>
      <c r="R48" s="6"/>
      <c r="S48" s="6"/>
      <c r="T48" s="156"/>
      <c r="U48" s="6"/>
    </row>
    <row r="49" spans="1:21" customFormat="1">
      <c r="A49" s="201" t="s">
        <v>952</v>
      </c>
      <c r="B49" s="6">
        <v>9.9600000000000009</v>
      </c>
      <c r="C49" s="6">
        <v>8.6999999999999993</v>
      </c>
      <c r="D49" s="6">
        <v>18.66</v>
      </c>
      <c r="E49" s="6">
        <v>5.95</v>
      </c>
      <c r="F49" s="6">
        <v>3.75</v>
      </c>
      <c r="G49" s="6">
        <v>90.9</v>
      </c>
      <c r="H49" s="6">
        <v>36.08</v>
      </c>
      <c r="I49" s="6">
        <v>7.87</v>
      </c>
      <c r="J49" s="6">
        <v>0.3</v>
      </c>
      <c r="K49" s="6">
        <v>2.5</v>
      </c>
      <c r="L49" s="6">
        <v>17.5</v>
      </c>
      <c r="M49" s="6">
        <v>19.62</v>
      </c>
      <c r="N49" s="6">
        <v>256.89999999999998</v>
      </c>
      <c r="O49" s="6">
        <v>0</v>
      </c>
      <c r="P49" s="6">
        <v>0.36</v>
      </c>
      <c r="Q49" s="6">
        <v>10</v>
      </c>
      <c r="R49" s="6"/>
      <c r="S49" s="6"/>
      <c r="T49" s="156"/>
      <c r="U49" s="6"/>
    </row>
    <row r="50" spans="1:21" customFormat="1">
      <c r="A50" s="201" t="s">
        <v>953</v>
      </c>
      <c r="B50" s="6">
        <v>9.5500000000000007</v>
      </c>
      <c r="C50" s="6">
        <v>8.58</v>
      </c>
      <c r="D50" s="6">
        <v>18.13</v>
      </c>
      <c r="E50" s="6">
        <v>6.79</v>
      </c>
      <c r="F50" s="6">
        <v>5.62</v>
      </c>
      <c r="G50" s="6">
        <v>90.9</v>
      </c>
      <c r="H50" s="6">
        <v>36.08</v>
      </c>
      <c r="I50" s="6">
        <v>7.79</v>
      </c>
      <c r="J50" s="6">
        <v>0.14000000000000001</v>
      </c>
      <c r="K50" s="6">
        <v>63.93</v>
      </c>
      <c r="L50" s="6">
        <v>19.32</v>
      </c>
      <c r="M50" s="6">
        <v>15.14</v>
      </c>
      <c r="N50" s="6">
        <v>651.4</v>
      </c>
      <c r="O50" s="6">
        <v>0</v>
      </c>
      <c r="P50" s="6">
        <v>0.34</v>
      </c>
      <c r="Q50" s="6">
        <v>10</v>
      </c>
      <c r="R50" s="6"/>
      <c r="S50" s="6"/>
      <c r="T50" s="156"/>
      <c r="U50" s="6"/>
    </row>
    <row r="51" spans="1:21" customFormat="1">
      <c r="A51" s="201" t="s">
        <v>954</v>
      </c>
      <c r="B51" s="6">
        <v>9.16</v>
      </c>
      <c r="C51" s="6">
        <v>8.19</v>
      </c>
      <c r="D51" s="6">
        <v>17.350000000000001</v>
      </c>
      <c r="E51" s="6">
        <v>6.31</v>
      </c>
      <c r="F51" s="6">
        <v>3.69</v>
      </c>
      <c r="G51" s="6">
        <v>82.91</v>
      </c>
      <c r="H51" s="6">
        <v>31.63</v>
      </c>
      <c r="I51" s="6">
        <v>7.63</v>
      </c>
      <c r="J51" s="6">
        <v>0.16</v>
      </c>
      <c r="K51" s="6">
        <v>32.229999999999997</v>
      </c>
      <c r="L51" s="6">
        <v>20.9</v>
      </c>
      <c r="M51" s="6">
        <v>18.510000000000002</v>
      </c>
      <c r="N51" s="6">
        <v>676.5</v>
      </c>
      <c r="O51" s="6">
        <v>0</v>
      </c>
      <c r="P51" s="6">
        <v>0.33</v>
      </c>
      <c r="Q51" s="6">
        <v>10</v>
      </c>
      <c r="R51" s="6"/>
      <c r="S51" s="6"/>
      <c r="T51" s="156"/>
      <c r="U51" s="6"/>
    </row>
    <row r="52" spans="1:21" customFormat="1">
      <c r="A52" s="201" t="s">
        <v>955</v>
      </c>
      <c r="B52" s="6">
        <v>8.5</v>
      </c>
      <c r="C52" s="6">
        <v>8.3000000000000007</v>
      </c>
      <c r="D52" s="6">
        <v>16.8</v>
      </c>
      <c r="E52" s="6">
        <v>6.3</v>
      </c>
      <c r="F52" s="6">
        <v>5.9</v>
      </c>
      <c r="G52" s="6">
        <v>80.63</v>
      </c>
      <c r="H52" s="6">
        <v>31.63</v>
      </c>
      <c r="I52" s="6">
        <v>7.42</v>
      </c>
      <c r="J52" s="6">
        <v>0.18</v>
      </c>
      <c r="K52" s="6">
        <v>82.81</v>
      </c>
      <c r="L52" s="6">
        <v>18.260000000000002</v>
      </c>
      <c r="M52" s="6">
        <v>13.24</v>
      </c>
      <c r="N52" s="6">
        <v>620.1</v>
      </c>
      <c r="O52" s="6">
        <v>0</v>
      </c>
      <c r="P52" s="6">
        <v>0.31</v>
      </c>
      <c r="Q52" s="6">
        <v>10</v>
      </c>
      <c r="R52" s="6"/>
      <c r="S52" s="6"/>
      <c r="T52" s="156"/>
      <c r="U52" s="6"/>
    </row>
    <row r="53" spans="1:21" customFormat="1">
      <c r="A53" s="201" t="s">
        <v>956</v>
      </c>
      <c r="B53" s="6">
        <v>6.02</v>
      </c>
      <c r="C53" s="6">
        <v>9.83</v>
      </c>
      <c r="D53" s="6">
        <v>15.84</v>
      </c>
      <c r="E53" s="6">
        <v>8.1300000000000008</v>
      </c>
      <c r="F53" s="6">
        <v>19.29</v>
      </c>
      <c r="G53" s="6">
        <v>80.63</v>
      </c>
      <c r="H53" s="6">
        <v>31.63</v>
      </c>
      <c r="I53" s="6">
        <v>7.42</v>
      </c>
      <c r="J53" s="6">
        <v>0.05</v>
      </c>
      <c r="K53" s="6">
        <v>0.31</v>
      </c>
      <c r="L53" s="6">
        <v>21.04</v>
      </c>
      <c r="M53" s="6">
        <v>18.760000000000002</v>
      </c>
      <c r="N53" s="6">
        <v>678.6</v>
      </c>
      <c r="O53" s="6">
        <v>0</v>
      </c>
      <c r="P53" s="6">
        <v>0.25</v>
      </c>
      <c r="Q53" s="6">
        <v>10</v>
      </c>
      <c r="R53" s="6"/>
      <c r="S53" s="6"/>
      <c r="T53" s="156"/>
      <c r="U53" s="6"/>
    </row>
    <row r="54" spans="1:21" customFormat="1">
      <c r="A54" s="201" t="s">
        <v>957</v>
      </c>
      <c r="B54" s="6">
        <v>3.36</v>
      </c>
      <c r="C54" s="6">
        <v>11.01</v>
      </c>
      <c r="D54" s="6">
        <v>14.36</v>
      </c>
      <c r="E54" s="6">
        <v>9.74</v>
      </c>
      <c r="F54" s="6">
        <v>19.29</v>
      </c>
      <c r="G54" s="6">
        <v>80.63</v>
      </c>
      <c r="H54" s="6">
        <v>31.63</v>
      </c>
      <c r="I54" s="6">
        <v>6.09</v>
      </c>
      <c r="J54" s="6">
        <v>0.33</v>
      </c>
      <c r="K54" s="6">
        <v>348.59</v>
      </c>
      <c r="L54" s="6">
        <v>29.73</v>
      </c>
      <c r="M54" s="6">
        <v>40.89</v>
      </c>
      <c r="N54" s="6">
        <v>665.2</v>
      </c>
      <c r="O54" s="6">
        <v>0</v>
      </c>
      <c r="P54" s="6">
        <v>0.27</v>
      </c>
      <c r="Q54" s="6">
        <v>0</v>
      </c>
      <c r="R54" s="6"/>
      <c r="S54" s="6"/>
      <c r="T54" s="156"/>
      <c r="U54" s="6"/>
    </row>
    <row r="55" spans="1:21" customFormat="1">
      <c r="A55" s="201" t="s">
        <v>958</v>
      </c>
      <c r="B55" s="6">
        <v>2.83</v>
      </c>
      <c r="C55" s="6">
        <v>10.63</v>
      </c>
      <c r="D55" s="6">
        <v>13.46</v>
      </c>
      <c r="E55" s="6">
        <v>9.8800000000000008</v>
      </c>
      <c r="F55" s="6">
        <v>19.29</v>
      </c>
      <c r="G55" s="6">
        <v>73.78</v>
      </c>
      <c r="H55" s="6">
        <v>29.08</v>
      </c>
      <c r="I55" s="6">
        <v>6.03</v>
      </c>
      <c r="J55" s="6">
        <v>0.25</v>
      </c>
      <c r="K55" s="6">
        <v>359.64</v>
      </c>
      <c r="L55" s="6">
        <v>23.68</v>
      </c>
      <c r="M55" s="6">
        <v>25.99</v>
      </c>
      <c r="N55" s="6">
        <v>656.9</v>
      </c>
      <c r="O55" s="6">
        <v>0</v>
      </c>
      <c r="P55" s="6">
        <v>0.24</v>
      </c>
      <c r="Q55" s="6">
        <v>10</v>
      </c>
      <c r="R55" s="6"/>
      <c r="S55" s="6"/>
      <c r="T55" s="156"/>
      <c r="U55" s="6"/>
    </row>
    <row r="56" spans="1:21" customFormat="1">
      <c r="A56" s="201" t="s">
        <v>959</v>
      </c>
      <c r="B56" s="6">
        <v>2.4300000000000002</v>
      </c>
      <c r="C56" s="6">
        <v>10.6</v>
      </c>
      <c r="D56" s="6">
        <v>13.03</v>
      </c>
      <c r="E56" s="6">
        <v>8.2899999999999991</v>
      </c>
      <c r="F56" s="6">
        <v>19.29</v>
      </c>
      <c r="G56" s="6">
        <v>71.819999999999993</v>
      </c>
      <c r="H56" s="6">
        <v>29.08</v>
      </c>
      <c r="I56" s="6">
        <v>5.67</v>
      </c>
      <c r="J56" s="6">
        <v>0.19</v>
      </c>
      <c r="K56" s="6">
        <v>0.06</v>
      </c>
      <c r="L56" s="6">
        <v>17.760000000000002</v>
      </c>
      <c r="M56" s="6">
        <v>23.28</v>
      </c>
      <c r="N56" s="6">
        <v>134.4</v>
      </c>
      <c r="O56" s="6">
        <v>0</v>
      </c>
      <c r="P56" s="6">
        <v>0.24</v>
      </c>
      <c r="Q56" s="6">
        <v>10</v>
      </c>
      <c r="R56" s="6"/>
      <c r="S56" s="6"/>
      <c r="T56" s="156"/>
      <c r="U56" s="6"/>
    </row>
    <row r="57" spans="1:21" customFormat="1">
      <c r="A57" s="201" t="s">
        <v>960</v>
      </c>
      <c r="B57" s="6">
        <v>2.4500000000000002</v>
      </c>
      <c r="C57" s="6">
        <v>11.61</v>
      </c>
      <c r="D57" s="6">
        <v>14.06</v>
      </c>
      <c r="E57" s="6">
        <v>8.09</v>
      </c>
      <c r="F57" s="6">
        <v>19.29</v>
      </c>
      <c r="G57" s="6">
        <v>71.819999999999993</v>
      </c>
      <c r="H57" s="6">
        <v>29.08</v>
      </c>
      <c r="I57" s="6">
        <v>5.33</v>
      </c>
      <c r="J57" s="6">
        <v>0.42</v>
      </c>
      <c r="K57" s="6">
        <v>301.62</v>
      </c>
      <c r="L57" s="6">
        <v>24.09</v>
      </c>
      <c r="M57" s="6">
        <v>40.909999999999997</v>
      </c>
      <c r="N57" s="6">
        <v>55.5</v>
      </c>
      <c r="O57" s="6">
        <v>0.6</v>
      </c>
      <c r="P57" s="6">
        <v>0.22</v>
      </c>
      <c r="Q57" s="6">
        <v>10</v>
      </c>
      <c r="R57" s="6"/>
      <c r="S57" s="6"/>
      <c r="T57" s="156"/>
      <c r="U57" s="6"/>
    </row>
    <row r="58" spans="1:21" customFormat="1">
      <c r="A58" s="201" t="s">
        <v>961</v>
      </c>
      <c r="B58" s="6">
        <v>2.44</v>
      </c>
      <c r="C58" s="6">
        <v>11.7</v>
      </c>
      <c r="D58" s="6">
        <v>14.14</v>
      </c>
      <c r="E58" s="6">
        <v>6.32</v>
      </c>
      <c r="F58" s="6">
        <v>19.29</v>
      </c>
      <c r="G58" s="6">
        <v>71.819999999999993</v>
      </c>
      <c r="H58" s="6">
        <v>29.08</v>
      </c>
      <c r="I58" s="6">
        <v>5.16</v>
      </c>
      <c r="J58" s="6">
        <v>0.94</v>
      </c>
      <c r="K58" s="6">
        <v>301.83999999999997</v>
      </c>
      <c r="L58" s="6">
        <v>27.08</v>
      </c>
      <c r="M58" s="6">
        <v>46.95</v>
      </c>
      <c r="N58" s="6">
        <v>125.4</v>
      </c>
      <c r="O58" s="6">
        <v>2.8</v>
      </c>
      <c r="P58" s="6">
        <v>0.28000000000000003</v>
      </c>
      <c r="Q58" s="6">
        <v>10</v>
      </c>
      <c r="R58" s="6"/>
      <c r="S58" s="6"/>
      <c r="T58" s="156"/>
      <c r="U58" s="6"/>
    </row>
    <row r="59" spans="1:21" customFormat="1">
      <c r="A59" s="201" t="s">
        <v>962</v>
      </c>
      <c r="B59" s="6">
        <v>2.42</v>
      </c>
      <c r="C59" s="6">
        <v>10.65</v>
      </c>
      <c r="D59" s="6">
        <v>13.07</v>
      </c>
      <c r="E59" s="6">
        <v>5.92</v>
      </c>
      <c r="F59" s="6">
        <v>19.29</v>
      </c>
      <c r="G59" s="6">
        <v>72.540000000000006</v>
      </c>
      <c r="H59" s="6">
        <v>29.38</v>
      </c>
      <c r="I59" s="6">
        <v>4.99</v>
      </c>
      <c r="J59" s="6">
        <v>1.1599999999999999</v>
      </c>
      <c r="K59" s="6">
        <v>311</v>
      </c>
      <c r="L59" s="6">
        <v>25.39</v>
      </c>
      <c r="M59" s="6">
        <v>44.21</v>
      </c>
      <c r="N59" s="6">
        <v>56.9</v>
      </c>
      <c r="O59" s="6">
        <v>5.2</v>
      </c>
      <c r="P59" s="6">
        <v>0.24</v>
      </c>
      <c r="Q59" s="6">
        <v>10</v>
      </c>
      <c r="R59" s="6"/>
      <c r="S59" s="6"/>
      <c r="T59" s="156"/>
      <c r="U59" s="6"/>
    </row>
    <row r="60" spans="1:21" customFormat="1">
      <c r="A60" s="201" t="s">
        <v>963</v>
      </c>
      <c r="B60" s="6">
        <v>2.29</v>
      </c>
      <c r="C60" s="6">
        <v>10.57</v>
      </c>
      <c r="D60" s="6">
        <v>12.86</v>
      </c>
      <c r="E60" s="6">
        <v>5.03</v>
      </c>
      <c r="F60" s="6">
        <v>19.29</v>
      </c>
      <c r="G60" s="6">
        <v>72.75</v>
      </c>
      <c r="H60" s="6">
        <v>29.38</v>
      </c>
      <c r="I60" s="6">
        <v>5.47</v>
      </c>
      <c r="J60" s="6">
        <v>0.8</v>
      </c>
      <c r="K60" s="6">
        <v>254.48</v>
      </c>
      <c r="L60" s="6">
        <v>22.79</v>
      </c>
      <c r="M60" s="6">
        <v>38.46</v>
      </c>
      <c r="N60" s="6">
        <v>33.799999999999997</v>
      </c>
      <c r="O60" s="6">
        <v>3.2</v>
      </c>
      <c r="P60" s="6">
        <v>0.21</v>
      </c>
      <c r="Q60" s="6">
        <v>10</v>
      </c>
      <c r="R60" s="6"/>
      <c r="S60" s="6"/>
      <c r="T60" s="156"/>
      <c r="U60" s="6"/>
    </row>
    <row r="61" spans="1:21" customFormat="1">
      <c r="A61" s="201" t="s">
        <v>964</v>
      </c>
      <c r="B61" s="6">
        <v>2.12</v>
      </c>
      <c r="C61" s="6">
        <v>10.17</v>
      </c>
      <c r="D61" s="6">
        <v>12.29</v>
      </c>
      <c r="E61" s="6">
        <v>4.45</v>
      </c>
      <c r="F61" s="6">
        <v>19.29</v>
      </c>
      <c r="G61" s="6">
        <v>72.75</v>
      </c>
      <c r="H61" s="6">
        <v>29.38</v>
      </c>
      <c r="I61" s="6">
        <v>4.95</v>
      </c>
      <c r="J61" s="6">
        <v>0.25</v>
      </c>
      <c r="K61" s="6">
        <v>232.68</v>
      </c>
      <c r="L61" s="6">
        <v>17.93</v>
      </c>
      <c r="M61" s="6">
        <v>25.46</v>
      </c>
      <c r="N61" s="6">
        <v>67.8</v>
      </c>
      <c r="O61" s="6">
        <v>0.6</v>
      </c>
      <c r="P61" s="6">
        <v>0.2</v>
      </c>
      <c r="Q61" s="6">
        <v>10</v>
      </c>
      <c r="R61" s="6"/>
      <c r="S61" s="6"/>
      <c r="T61" s="156"/>
      <c r="U61" s="6"/>
    </row>
    <row r="62" spans="1:21" customFormat="1">
      <c r="A62" s="201" t="s">
        <v>965</v>
      </c>
      <c r="B62" s="6">
        <v>2.1</v>
      </c>
      <c r="C62" s="6">
        <v>9.35</v>
      </c>
      <c r="D62" s="6">
        <v>11.45</v>
      </c>
      <c r="E62" s="6">
        <v>4.5199999999999996</v>
      </c>
      <c r="F62" s="6">
        <v>19.29</v>
      </c>
      <c r="G62" s="6">
        <v>72.75</v>
      </c>
      <c r="H62" s="6">
        <v>29.38</v>
      </c>
      <c r="I62" s="6">
        <v>4.63</v>
      </c>
      <c r="J62" s="6">
        <v>0.2</v>
      </c>
      <c r="K62" s="6">
        <v>166.5</v>
      </c>
      <c r="L62" s="6">
        <v>18.47</v>
      </c>
      <c r="M62" s="6">
        <v>24.21</v>
      </c>
      <c r="N62" s="6">
        <v>185.3</v>
      </c>
      <c r="O62" s="6">
        <v>0.2</v>
      </c>
      <c r="P62" s="6">
        <v>0.2</v>
      </c>
      <c r="Q62" s="6">
        <v>10</v>
      </c>
      <c r="R62" s="6"/>
      <c r="S62" s="6"/>
      <c r="T62" s="156"/>
      <c r="U62" s="6"/>
    </row>
    <row r="63" spans="1:21" customFormat="1">
      <c r="A63" s="201" t="s">
        <v>966</v>
      </c>
      <c r="B63" s="6">
        <v>1.94</v>
      </c>
      <c r="C63" s="6">
        <v>8.48</v>
      </c>
      <c r="D63" s="6">
        <v>10.42</v>
      </c>
      <c r="E63" s="6">
        <v>3.99</v>
      </c>
      <c r="F63" s="6">
        <v>19.29</v>
      </c>
      <c r="G63" s="6">
        <v>66.13</v>
      </c>
      <c r="H63" s="6">
        <v>24.34</v>
      </c>
      <c r="I63" s="6">
        <v>4.41</v>
      </c>
      <c r="J63" s="6">
        <v>0.2</v>
      </c>
      <c r="K63" s="6">
        <v>140.13999999999999</v>
      </c>
      <c r="L63" s="6">
        <v>17.440000000000001</v>
      </c>
      <c r="M63" s="6">
        <v>16.010000000000002</v>
      </c>
      <c r="N63" s="6">
        <v>422.4</v>
      </c>
      <c r="O63" s="6">
        <v>0</v>
      </c>
      <c r="P63" s="6">
        <v>0.2</v>
      </c>
      <c r="Q63" s="6">
        <v>10</v>
      </c>
      <c r="R63" s="6"/>
      <c r="S63" s="6"/>
      <c r="T63" s="156"/>
      <c r="U63" s="6"/>
    </row>
    <row r="64" spans="1:21" customFormat="1">
      <c r="A64" s="201" t="s">
        <v>967</v>
      </c>
      <c r="B64" s="6">
        <v>1.65</v>
      </c>
      <c r="C64" s="6">
        <v>7.12</v>
      </c>
      <c r="D64" s="6">
        <v>8.7799999999999994</v>
      </c>
      <c r="E64" s="6">
        <v>4.24</v>
      </c>
      <c r="F64" s="6">
        <v>19.29</v>
      </c>
      <c r="G64" s="6">
        <v>64.239999999999995</v>
      </c>
      <c r="H64" s="6">
        <v>24.34</v>
      </c>
      <c r="I64" s="6">
        <v>4.3</v>
      </c>
      <c r="J64" s="6">
        <v>0.28000000000000003</v>
      </c>
      <c r="K64" s="6">
        <v>155.37</v>
      </c>
      <c r="L64" s="6">
        <v>20.27</v>
      </c>
      <c r="M64" s="6">
        <v>20.57</v>
      </c>
      <c r="N64" s="6">
        <v>530.5</v>
      </c>
      <c r="O64" s="6">
        <v>0</v>
      </c>
      <c r="P64" s="6">
        <v>0.14000000000000001</v>
      </c>
      <c r="Q64" s="6">
        <v>10</v>
      </c>
      <c r="R64" s="6"/>
      <c r="S64" s="6"/>
      <c r="T64" s="156"/>
      <c r="U64" s="6"/>
    </row>
    <row r="65" spans="1:21" customFormat="1">
      <c r="A65" s="201" t="s">
        <v>968</v>
      </c>
      <c r="B65" s="6">
        <v>1.63</v>
      </c>
      <c r="C65" s="6">
        <v>6.58</v>
      </c>
      <c r="D65" s="6">
        <v>8.2100000000000009</v>
      </c>
      <c r="E65" s="6">
        <v>3.77</v>
      </c>
      <c r="F65" s="6">
        <v>19.29</v>
      </c>
      <c r="G65" s="6">
        <v>64.239999999999995</v>
      </c>
      <c r="H65" s="6">
        <v>24.34</v>
      </c>
      <c r="I65" s="6">
        <v>4.1399999999999997</v>
      </c>
      <c r="J65" s="6">
        <v>0.14000000000000001</v>
      </c>
      <c r="K65" s="6">
        <v>50.82</v>
      </c>
      <c r="L65" s="6">
        <v>17.760000000000002</v>
      </c>
      <c r="M65" s="6">
        <v>15.37</v>
      </c>
      <c r="N65" s="6">
        <v>476.8</v>
      </c>
      <c r="O65" s="6">
        <v>0</v>
      </c>
      <c r="P65" s="6">
        <v>0.15</v>
      </c>
      <c r="Q65" s="6">
        <v>10</v>
      </c>
      <c r="R65" s="6"/>
      <c r="S65" s="6"/>
      <c r="T65" s="156"/>
      <c r="U65" s="6"/>
    </row>
    <row r="66" spans="1:21" customFormat="1">
      <c r="A66" s="201" t="s">
        <v>969</v>
      </c>
      <c r="B66" s="6">
        <v>1.75</v>
      </c>
      <c r="C66" s="6">
        <v>6.48</v>
      </c>
      <c r="D66" s="6">
        <v>8.23</v>
      </c>
      <c r="E66" s="6">
        <v>3.86</v>
      </c>
      <c r="F66" s="6">
        <v>19.29</v>
      </c>
      <c r="G66" s="6">
        <v>64.239999999999995</v>
      </c>
      <c r="H66" s="6">
        <v>24.34</v>
      </c>
      <c r="I66" s="6">
        <v>3.62</v>
      </c>
      <c r="J66" s="6">
        <v>0.27</v>
      </c>
      <c r="K66" s="6">
        <v>31.41</v>
      </c>
      <c r="L66" s="6">
        <v>13.39</v>
      </c>
      <c r="M66" s="6">
        <v>7.67</v>
      </c>
      <c r="N66" s="6">
        <v>332.2</v>
      </c>
      <c r="O66" s="6">
        <v>0</v>
      </c>
      <c r="P66" s="6">
        <v>0.16</v>
      </c>
      <c r="Q66" s="6">
        <v>10</v>
      </c>
      <c r="R66" s="6"/>
      <c r="S66" s="6"/>
      <c r="T66" s="156"/>
      <c r="U66" s="6"/>
    </row>
    <row r="67" spans="1:21" customFormat="1">
      <c r="A67" s="201" t="s">
        <v>970</v>
      </c>
      <c r="B67" s="6">
        <v>2.44</v>
      </c>
      <c r="C67" s="6">
        <v>8.68</v>
      </c>
      <c r="D67" s="6">
        <v>11.13</v>
      </c>
      <c r="E67" s="6">
        <v>4.34</v>
      </c>
      <c r="F67" s="6">
        <v>19.29</v>
      </c>
      <c r="G67" s="6">
        <v>58.66</v>
      </c>
      <c r="H67" s="6">
        <v>24.27</v>
      </c>
      <c r="I67" s="6">
        <v>2.84</v>
      </c>
      <c r="J67" s="6">
        <v>0.31</v>
      </c>
      <c r="K67" s="6">
        <v>14.8</v>
      </c>
      <c r="L67" s="6">
        <v>14.24</v>
      </c>
      <c r="M67" s="6">
        <v>15.4</v>
      </c>
      <c r="N67" s="6">
        <v>94.9</v>
      </c>
      <c r="O67" s="6">
        <v>0</v>
      </c>
      <c r="P67" s="6">
        <v>0.16</v>
      </c>
      <c r="Q67" s="6">
        <v>10</v>
      </c>
      <c r="R67" s="6"/>
      <c r="S67" s="6"/>
      <c r="T67" s="156"/>
      <c r="U67" s="6"/>
    </row>
    <row r="68" spans="1:21" customFormat="1">
      <c r="A68" s="201" t="s">
        <v>971</v>
      </c>
      <c r="B68" s="6">
        <v>2.2999999999999998</v>
      </c>
      <c r="C68" s="6">
        <v>7.48</v>
      </c>
      <c r="D68" s="6">
        <v>9.7899999999999991</v>
      </c>
      <c r="E68" s="6">
        <v>4.62</v>
      </c>
      <c r="F68" s="6">
        <v>19.29</v>
      </c>
      <c r="G68" s="6">
        <v>57.07</v>
      </c>
      <c r="H68" s="6">
        <v>24.27</v>
      </c>
      <c r="I68" s="6">
        <v>2.98</v>
      </c>
      <c r="J68" s="6">
        <v>0.25</v>
      </c>
      <c r="K68" s="6">
        <v>74.66</v>
      </c>
      <c r="L68" s="6">
        <v>10.18</v>
      </c>
      <c r="M68" s="6">
        <v>5.81</v>
      </c>
      <c r="N68" s="6">
        <v>76.5</v>
      </c>
      <c r="O68" s="6">
        <v>0</v>
      </c>
      <c r="P68" s="6">
        <v>0.16</v>
      </c>
      <c r="Q68" s="6">
        <v>10</v>
      </c>
      <c r="R68" s="6"/>
      <c r="S68" s="6"/>
      <c r="T68" s="156"/>
      <c r="U68" s="6"/>
    </row>
    <row r="69" spans="1:21" customFormat="1">
      <c r="A69" s="201" t="s">
        <v>972</v>
      </c>
      <c r="B69" s="6">
        <v>2.2599999999999998</v>
      </c>
      <c r="C69" s="6">
        <v>6.86</v>
      </c>
      <c r="D69" s="6">
        <v>9.11</v>
      </c>
      <c r="E69" s="6">
        <v>4.43</v>
      </c>
      <c r="F69" s="6">
        <v>19.29</v>
      </c>
      <c r="G69" s="6">
        <v>57.07</v>
      </c>
      <c r="H69" s="6">
        <v>24.27</v>
      </c>
      <c r="I69" s="6">
        <v>3.67</v>
      </c>
      <c r="J69" s="6">
        <v>0.21</v>
      </c>
      <c r="K69" s="6">
        <v>69.650000000000006</v>
      </c>
      <c r="L69" s="6">
        <v>12.32</v>
      </c>
      <c r="M69" s="6">
        <v>11.39</v>
      </c>
      <c r="N69" s="6">
        <v>66.5</v>
      </c>
      <c r="O69" s="6">
        <v>0</v>
      </c>
      <c r="P69" s="6">
        <v>0.17</v>
      </c>
      <c r="Q69" s="6">
        <v>10</v>
      </c>
      <c r="R69" s="6"/>
      <c r="S69" s="6"/>
      <c r="T69" s="156"/>
      <c r="U69" s="6"/>
    </row>
    <row r="70" spans="1:21" customFormat="1">
      <c r="A70" s="201" t="s">
        <v>973</v>
      </c>
      <c r="B70" s="6">
        <v>2.5499999999999998</v>
      </c>
      <c r="C70" s="6">
        <v>6.87</v>
      </c>
      <c r="D70" s="6">
        <v>9.42</v>
      </c>
      <c r="E70" s="6">
        <v>4.46</v>
      </c>
      <c r="F70" s="6">
        <v>19.29</v>
      </c>
      <c r="G70" s="6">
        <v>57.07</v>
      </c>
      <c r="H70" s="6">
        <v>24.27</v>
      </c>
      <c r="I70" s="6">
        <v>3.66</v>
      </c>
      <c r="J70" s="6">
        <v>0.47</v>
      </c>
      <c r="K70" s="6">
        <v>36.020000000000003</v>
      </c>
      <c r="L70" s="6">
        <v>8.6199999999999992</v>
      </c>
      <c r="M70" s="6">
        <v>2.06</v>
      </c>
      <c r="N70" s="6">
        <v>58</v>
      </c>
      <c r="O70" s="6">
        <v>0</v>
      </c>
      <c r="P70" s="6">
        <v>0.17</v>
      </c>
      <c r="Q70" s="6">
        <v>10</v>
      </c>
      <c r="R70" s="6"/>
      <c r="S70" s="6"/>
      <c r="T70" s="156"/>
      <c r="U70" s="6"/>
    </row>
    <row r="71" spans="1:21" customFormat="1">
      <c r="A71" s="201" t="s">
        <v>974</v>
      </c>
      <c r="B71" s="6">
        <v>3.62</v>
      </c>
      <c r="C71" s="6">
        <v>8.3000000000000007</v>
      </c>
      <c r="D71" s="6">
        <v>11.92</v>
      </c>
      <c r="E71" s="6">
        <v>5.04</v>
      </c>
      <c r="F71" s="6">
        <v>19.29</v>
      </c>
      <c r="G71" s="6">
        <v>62.54</v>
      </c>
      <c r="H71" s="6">
        <v>24.89</v>
      </c>
      <c r="I71" s="6">
        <v>3.72</v>
      </c>
      <c r="J71" s="6">
        <v>0.48</v>
      </c>
      <c r="K71" s="6">
        <v>35.26</v>
      </c>
      <c r="L71" s="6">
        <v>8.43</v>
      </c>
      <c r="M71" s="6">
        <v>1.61</v>
      </c>
      <c r="N71" s="6">
        <v>58.1</v>
      </c>
      <c r="O71" s="6">
        <v>0</v>
      </c>
      <c r="P71" s="6">
        <v>0.19</v>
      </c>
      <c r="Q71" s="6">
        <v>10</v>
      </c>
      <c r="R71" s="6"/>
      <c r="S71" s="6"/>
      <c r="T71" s="156"/>
      <c r="U71" s="6"/>
    </row>
    <row r="72" spans="1:21" customFormat="1">
      <c r="A72" s="201" t="s">
        <v>975</v>
      </c>
      <c r="B72" s="6">
        <v>3.26</v>
      </c>
      <c r="C72" s="6">
        <v>7.99</v>
      </c>
      <c r="D72" s="6">
        <v>11.25</v>
      </c>
      <c r="E72" s="6">
        <v>5.49</v>
      </c>
      <c r="F72" s="6">
        <v>19.29</v>
      </c>
      <c r="G72" s="6">
        <v>64.099999999999994</v>
      </c>
      <c r="H72" s="6">
        <v>24.89</v>
      </c>
      <c r="I72" s="6">
        <v>3.75</v>
      </c>
      <c r="J72" s="6">
        <v>0.43</v>
      </c>
      <c r="K72" s="6">
        <v>27.25</v>
      </c>
      <c r="L72" s="6">
        <v>12.37</v>
      </c>
      <c r="M72" s="6">
        <v>11.12</v>
      </c>
      <c r="N72" s="6">
        <v>47.5</v>
      </c>
      <c r="O72" s="6">
        <v>0</v>
      </c>
      <c r="P72" s="6">
        <v>0.22</v>
      </c>
      <c r="Q72" s="6">
        <v>10</v>
      </c>
      <c r="R72" s="6"/>
      <c r="S72" s="6"/>
      <c r="T72" s="156"/>
      <c r="U72" s="6"/>
    </row>
    <row r="73" spans="1:21" customFormat="1">
      <c r="A73" s="201" t="s">
        <v>976</v>
      </c>
      <c r="B73" s="6">
        <v>3.6</v>
      </c>
      <c r="C73" s="6">
        <v>9.01</v>
      </c>
      <c r="D73" s="6">
        <v>12.61</v>
      </c>
      <c r="E73" s="6">
        <v>5.71</v>
      </c>
      <c r="F73" s="6">
        <v>19.29</v>
      </c>
      <c r="G73" s="6">
        <v>64.099999999999994</v>
      </c>
      <c r="H73" s="6">
        <v>24.89</v>
      </c>
      <c r="I73" s="6">
        <v>3.81</v>
      </c>
      <c r="J73" s="6">
        <v>0.48</v>
      </c>
      <c r="K73" s="6">
        <v>34.39</v>
      </c>
      <c r="L73" s="6">
        <v>9.85</v>
      </c>
      <c r="M73" s="6">
        <v>5.65</v>
      </c>
      <c r="N73" s="6">
        <v>38.799999999999997</v>
      </c>
      <c r="O73" s="6">
        <v>0</v>
      </c>
      <c r="P73" s="6">
        <v>0.23</v>
      </c>
      <c r="Q73" s="6">
        <v>10</v>
      </c>
      <c r="R73" s="6"/>
      <c r="S73" s="6"/>
      <c r="T73" s="156"/>
      <c r="U73" s="6"/>
    </row>
    <row r="74" spans="1:21" customFormat="1">
      <c r="A74" s="201" t="s">
        <v>977</v>
      </c>
      <c r="B74" s="6">
        <v>5.05</v>
      </c>
      <c r="C74" s="6">
        <v>10.27</v>
      </c>
      <c r="D74" s="6">
        <v>15.32</v>
      </c>
      <c r="E74" s="6">
        <v>5.71</v>
      </c>
      <c r="F74" s="6">
        <v>19.29</v>
      </c>
      <c r="G74" s="6">
        <v>64.099999999999994</v>
      </c>
      <c r="H74" s="6">
        <v>24.89</v>
      </c>
      <c r="I74" s="6">
        <v>3.76</v>
      </c>
      <c r="J74" s="6">
        <v>0.27</v>
      </c>
      <c r="K74" s="6">
        <v>20.77</v>
      </c>
      <c r="L74" s="6">
        <v>11.36</v>
      </c>
      <c r="M74" s="6">
        <v>10.45</v>
      </c>
      <c r="N74" s="6">
        <v>25.2</v>
      </c>
      <c r="O74" s="6">
        <v>0</v>
      </c>
      <c r="P74" s="6">
        <v>0.23</v>
      </c>
      <c r="Q74" s="6">
        <v>10</v>
      </c>
      <c r="R74" s="6"/>
      <c r="S74" s="6"/>
      <c r="T74" s="156"/>
      <c r="U74" s="6"/>
    </row>
    <row r="75" spans="1:21" customFormat="1">
      <c r="A75" s="201" t="s">
        <v>978</v>
      </c>
      <c r="B75" s="6">
        <v>5.67</v>
      </c>
      <c r="C75" s="6">
        <v>12.12</v>
      </c>
      <c r="D75" s="6">
        <v>17.79</v>
      </c>
      <c r="E75" s="6">
        <v>5.77</v>
      </c>
      <c r="F75" s="6">
        <v>19.29</v>
      </c>
      <c r="G75" s="6">
        <v>66.58</v>
      </c>
      <c r="H75" s="6">
        <v>25.95</v>
      </c>
      <c r="I75" s="6">
        <v>3.88</v>
      </c>
      <c r="J75" s="6">
        <v>0.23</v>
      </c>
      <c r="K75" s="6">
        <v>44.17</v>
      </c>
      <c r="L75" s="6">
        <v>8.17</v>
      </c>
      <c r="M75" s="6">
        <v>1.98</v>
      </c>
      <c r="N75" s="6">
        <v>17.600000000000001</v>
      </c>
      <c r="O75" s="6">
        <v>0</v>
      </c>
      <c r="P75" s="6">
        <v>0.25</v>
      </c>
      <c r="Q75" s="6">
        <v>10</v>
      </c>
      <c r="R75" s="6"/>
      <c r="S75" s="6"/>
      <c r="T75" s="156"/>
      <c r="U75" s="6"/>
    </row>
    <row r="76" spans="1:21" customFormat="1">
      <c r="A76" s="201" t="s">
        <v>979</v>
      </c>
      <c r="B76" s="6">
        <v>4.33</v>
      </c>
      <c r="C76" s="6">
        <v>9.93</v>
      </c>
      <c r="D76" s="6">
        <v>14.25</v>
      </c>
      <c r="E76" s="6">
        <v>5.27</v>
      </c>
      <c r="F76" s="6">
        <v>19.29</v>
      </c>
      <c r="G76" s="6">
        <v>67.290000000000006</v>
      </c>
      <c r="H76" s="6">
        <v>25.95</v>
      </c>
      <c r="I76" s="6">
        <v>3.86</v>
      </c>
      <c r="J76" s="6">
        <v>0.14000000000000001</v>
      </c>
      <c r="K76" s="6">
        <v>126.36</v>
      </c>
      <c r="L76" s="6">
        <v>12.54</v>
      </c>
      <c r="M76" s="6">
        <v>13.34</v>
      </c>
      <c r="N76" s="6">
        <v>11.9</v>
      </c>
      <c r="O76" s="6">
        <v>0</v>
      </c>
      <c r="P76" s="6">
        <v>0.23</v>
      </c>
      <c r="Q76" s="6">
        <v>10</v>
      </c>
      <c r="R76" s="6"/>
      <c r="S76" s="6"/>
      <c r="T76" s="156"/>
      <c r="U76" s="6"/>
    </row>
    <row r="77" spans="1:21" customFormat="1">
      <c r="A77" s="201" t="s">
        <v>980</v>
      </c>
      <c r="B77" s="6">
        <v>4.05</v>
      </c>
      <c r="C77" s="6">
        <v>9.4600000000000009</v>
      </c>
      <c r="D77" s="6">
        <v>13.51</v>
      </c>
      <c r="E77" s="6">
        <v>4.92</v>
      </c>
      <c r="F77" s="6">
        <v>19.29</v>
      </c>
      <c r="G77" s="6">
        <v>67.290000000000006</v>
      </c>
      <c r="H77" s="6">
        <v>25.95</v>
      </c>
      <c r="I77" s="6">
        <v>4.12</v>
      </c>
      <c r="J77" s="6">
        <v>0.04</v>
      </c>
      <c r="K77" s="6">
        <v>126.29</v>
      </c>
      <c r="L77" s="6">
        <v>14.76</v>
      </c>
      <c r="M77" s="6">
        <v>19</v>
      </c>
      <c r="N77" s="6">
        <v>9</v>
      </c>
      <c r="O77" s="6">
        <v>0</v>
      </c>
      <c r="P77" s="6">
        <v>0.26</v>
      </c>
      <c r="Q77" s="6">
        <v>10.02</v>
      </c>
      <c r="R77" s="6"/>
      <c r="S77" s="6"/>
      <c r="T77" s="156"/>
      <c r="U77" s="6"/>
    </row>
    <row r="78" spans="1:21" customFormat="1">
      <c r="A78" s="201" t="s">
        <v>981</v>
      </c>
      <c r="B78" s="6">
        <v>6.16</v>
      </c>
      <c r="C78" s="6">
        <v>11.55</v>
      </c>
      <c r="D78" s="6">
        <v>17.71</v>
      </c>
      <c r="E78" s="6">
        <v>5.45</v>
      </c>
      <c r="F78" s="6">
        <v>19.29</v>
      </c>
      <c r="G78" s="6">
        <v>67.290000000000006</v>
      </c>
      <c r="H78" s="6">
        <v>25.95</v>
      </c>
      <c r="I78" s="6">
        <v>4.1500000000000004</v>
      </c>
      <c r="J78" s="6">
        <v>0.28999999999999998</v>
      </c>
      <c r="K78" s="6">
        <v>46.44</v>
      </c>
      <c r="L78" s="6">
        <v>7.97</v>
      </c>
      <c r="M78" s="6">
        <v>1.77</v>
      </c>
      <c r="N78" s="6">
        <v>7.5</v>
      </c>
      <c r="O78" s="6">
        <v>0</v>
      </c>
      <c r="P78" s="6">
        <v>0.33</v>
      </c>
      <c r="Q78" s="6">
        <v>10.02</v>
      </c>
      <c r="R78" s="6"/>
      <c r="S78" s="6"/>
      <c r="T78" s="156"/>
      <c r="U78" s="6"/>
    </row>
    <row r="79" spans="1:21" customFormat="1">
      <c r="A79" s="201" t="s">
        <v>982</v>
      </c>
      <c r="B79" s="6">
        <v>5.87</v>
      </c>
      <c r="C79" s="6">
        <v>10.75</v>
      </c>
      <c r="D79" s="6">
        <v>16.62</v>
      </c>
      <c r="E79" s="6">
        <v>5.82</v>
      </c>
      <c r="F79" s="6">
        <v>19.29</v>
      </c>
      <c r="G79" s="6">
        <v>74.48</v>
      </c>
      <c r="H79" s="6">
        <v>26.42</v>
      </c>
      <c r="I79" s="6">
        <v>4.43</v>
      </c>
      <c r="J79" s="6">
        <v>0.21</v>
      </c>
      <c r="K79" s="6">
        <v>164.41</v>
      </c>
      <c r="L79" s="6">
        <v>15.95</v>
      </c>
      <c r="M79" s="6">
        <v>22.17</v>
      </c>
      <c r="N79" s="6">
        <v>5.6</v>
      </c>
      <c r="O79" s="6">
        <v>0</v>
      </c>
      <c r="P79" s="6">
        <v>0.25</v>
      </c>
      <c r="Q79" s="6">
        <v>10</v>
      </c>
      <c r="R79" s="6"/>
      <c r="S79" s="6"/>
      <c r="T79" s="156"/>
      <c r="U79" s="6"/>
    </row>
    <row r="80" spans="1:21" customFormat="1">
      <c r="A80" s="201" t="s">
        <v>983</v>
      </c>
      <c r="B80" s="6">
        <v>4.51</v>
      </c>
      <c r="C80" s="6">
        <v>8.64</v>
      </c>
      <c r="D80" s="6">
        <v>13.15</v>
      </c>
      <c r="E80" s="6">
        <v>5.16</v>
      </c>
      <c r="F80" s="6">
        <v>19.29</v>
      </c>
      <c r="G80" s="6">
        <v>76.53</v>
      </c>
      <c r="H80" s="6">
        <v>26.42</v>
      </c>
      <c r="I80" s="6">
        <v>5.01</v>
      </c>
      <c r="J80" s="6">
        <v>0.31</v>
      </c>
      <c r="K80" s="6">
        <v>158.85</v>
      </c>
      <c r="L80" s="6">
        <v>15.08</v>
      </c>
      <c r="M80" s="6">
        <v>20.04</v>
      </c>
      <c r="N80" s="6">
        <v>3.5</v>
      </c>
      <c r="O80" s="6">
        <v>0</v>
      </c>
      <c r="P80" s="6">
        <v>0.26</v>
      </c>
      <c r="Q80" s="6">
        <v>10</v>
      </c>
      <c r="R80" s="6"/>
      <c r="S80" s="6"/>
      <c r="T80" s="156"/>
      <c r="U80" s="6"/>
    </row>
    <row r="81" spans="1:21" customFormat="1">
      <c r="A81" s="201" t="s">
        <v>984</v>
      </c>
      <c r="B81" s="6">
        <v>4.33</v>
      </c>
      <c r="C81" s="6">
        <v>8.08</v>
      </c>
      <c r="D81" s="6">
        <v>12.41</v>
      </c>
      <c r="E81" s="6">
        <v>4.34</v>
      </c>
      <c r="F81" s="6">
        <v>19.29</v>
      </c>
      <c r="G81" s="6">
        <v>76.53</v>
      </c>
      <c r="H81" s="6">
        <v>26.42</v>
      </c>
      <c r="I81" s="6">
        <v>4.59</v>
      </c>
      <c r="J81" s="6">
        <v>0.04</v>
      </c>
      <c r="K81" s="6">
        <v>145.66</v>
      </c>
      <c r="L81" s="6">
        <v>16.170000000000002</v>
      </c>
      <c r="M81" s="6">
        <v>22.66</v>
      </c>
      <c r="N81" s="6">
        <v>2.6</v>
      </c>
      <c r="O81" s="6">
        <v>0</v>
      </c>
      <c r="P81" s="6">
        <v>0.27</v>
      </c>
      <c r="Q81" s="6">
        <v>10</v>
      </c>
      <c r="R81" s="6"/>
      <c r="S81" s="6"/>
      <c r="T81" s="156"/>
      <c r="U81" s="6"/>
    </row>
    <row r="82" spans="1:21" customFormat="1">
      <c r="A82" s="201" t="s">
        <v>985</v>
      </c>
      <c r="B82" s="6">
        <v>4.45</v>
      </c>
      <c r="C82" s="6">
        <v>7.33</v>
      </c>
      <c r="D82" s="6">
        <v>11.78</v>
      </c>
      <c r="E82" s="6">
        <v>4.76</v>
      </c>
      <c r="F82" s="6">
        <v>19.29</v>
      </c>
      <c r="G82" s="6">
        <v>76.53</v>
      </c>
      <c r="H82" s="6">
        <v>26.42</v>
      </c>
      <c r="I82" s="6">
        <v>4.6399999999999997</v>
      </c>
      <c r="J82" s="6">
        <v>0.16</v>
      </c>
      <c r="K82" s="6">
        <v>138.05000000000001</v>
      </c>
      <c r="L82" s="6">
        <v>13.3</v>
      </c>
      <c r="M82" s="6">
        <v>15.48</v>
      </c>
      <c r="N82" s="6">
        <v>2.4</v>
      </c>
      <c r="O82" s="6">
        <v>0</v>
      </c>
      <c r="P82" s="6">
        <v>0.26</v>
      </c>
      <c r="Q82" s="6">
        <v>10</v>
      </c>
      <c r="R82" s="6"/>
      <c r="S82" s="6"/>
      <c r="T82" s="156"/>
      <c r="U82" s="6"/>
    </row>
    <row r="83" spans="1:21" customFormat="1">
      <c r="A83" s="201" t="s">
        <v>986</v>
      </c>
      <c r="B83" s="6">
        <v>4.24</v>
      </c>
      <c r="C83" s="6">
        <v>6.82</v>
      </c>
      <c r="D83" s="6">
        <v>11.05</v>
      </c>
      <c r="E83" s="6">
        <v>4.46</v>
      </c>
      <c r="F83" s="6">
        <v>19.29</v>
      </c>
      <c r="G83" s="6">
        <v>69.72</v>
      </c>
      <c r="H83" s="6">
        <v>23.3</v>
      </c>
      <c r="I83" s="6">
        <v>4.87</v>
      </c>
      <c r="J83" s="6">
        <v>0.06</v>
      </c>
      <c r="K83" s="6">
        <v>192.75</v>
      </c>
      <c r="L83" s="6">
        <v>17.57</v>
      </c>
      <c r="M83" s="6">
        <v>26.23</v>
      </c>
      <c r="N83" s="6">
        <v>2.7</v>
      </c>
      <c r="O83" s="6">
        <v>0</v>
      </c>
      <c r="P83" s="6">
        <v>0.24</v>
      </c>
      <c r="Q83" s="6">
        <v>10.02</v>
      </c>
      <c r="R83" s="6"/>
      <c r="S83" s="6"/>
      <c r="T83" s="156"/>
      <c r="U83" s="6"/>
    </row>
    <row r="84" spans="1:21" customFormat="1">
      <c r="A84" s="201" t="s">
        <v>987</v>
      </c>
      <c r="B84" s="6">
        <v>4.46</v>
      </c>
      <c r="C84" s="6">
        <v>6.55</v>
      </c>
      <c r="D84" s="6">
        <v>11.01</v>
      </c>
      <c r="E84" s="6">
        <v>4.57</v>
      </c>
      <c r="F84" s="6">
        <v>19.29</v>
      </c>
      <c r="G84" s="6">
        <v>67.78</v>
      </c>
      <c r="H84" s="6">
        <v>23.3</v>
      </c>
      <c r="I84" s="6">
        <v>4.5199999999999996</v>
      </c>
      <c r="J84" s="6">
        <v>0.15</v>
      </c>
      <c r="K84" s="6">
        <v>212.09</v>
      </c>
      <c r="L84" s="6">
        <v>17.850000000000001</v>
      </c>
      <c r="M84" s="6">
        <v>26.95</v>
      </c>
      <c r="N84" s="6">
        <v>2.6</v>
      </c>
      <c r="O84" s="6">
        <v>0</v>
      </c>
      <c r="P84" s="6">
        <v>0.25</v>
      </c>
      <c r="Q84" s="6">
        <v>10</v>
      </c>
      <c r="R84" s="6"/>
      <c r="S84" s="6"/>
      <c r="T84" s="156"/>
      <c r="U84" s="6"/>
    </row>
    <row r="85" spans="1:21" customFormat="1">
      <c r="A85" s="201" t="s">
        <v>988</v>
      </c>
      <c r="B85" s="6">
        <v>4.25</v>
      </c>
      <c r="C85" s="6">
        <v>6.46</v>
      </c>
      <c r="D85" s="6">
        <v>10.71</v>
      </c>
      <c r="E85" s="6">
        <v>4.22</v>
      </c>
      <c r="F85" s="6">
        <v>19.29</v>
      </c>
      <c r="G85" s="6">
        <v>67.78</v>
      </c>
      <c r="H85" s="6">
        <v>23.3</v>
      </c>
      <c r="I85" s="6">
        <v>4.41</v>
      </c>
      <c r="J85" s="6">
        <v>0.13</v>
      </c>
      <c r="K85" s="6">
        <v>230.75</v>
      </c>
      <c r="L85" s="6">
        <v>17.47</v>
      </c>
      <c r="M85" s="6">
        <v>26.01</v>
      </c>
      <c r="N85" s="6">
        <v>2.4</v>
      </c>
      <c r="O85" s="6">
        <v>0</v>
      </c>
      <c r="P85" s="6">
        <v>0.23</v>
      </c>
      <c r="Q85" s="6">
        <v>10</v>
      </c>
      <c r="R85" s="6"/>
      <c r="S85" s="6"/>
      <c r="T85" s="156"/>
      <c r="U85" s="6"/>
    </row>
    <row r="86" spans="1:21" customFormat="1">
      <c r="A86" s="201" t="s">
        <v>989</v>
      </c>
      <c r="B86" s="6">
        <v>4.51</v>
      </c>
      <c r="C86" s="6">
        <v>6.32</v>
      </c>
      <c r="D86" s="6">
        <v>10.83</v>
      </c>
      <c r="E86" s="6">
        <v>4.4400000000000004</v>
      </c>
      <c r="F86" s="6">
        <v>19.29</v>
      </c>
      <c r="G86" s="6">
        <v>67.78</v>
      </c>
      <c r="H86" s="6">
        <v>23.3</v>
      </c>
      <c r="I86" s="6">
        <v>4.5199999999999996</v>
      </c>
      <c r="J86" s="6">
        <v>0.13</v>
      </c>
      <c r="K86" s="6">
        <v>151.16999999999999</v>
      </c>
      <c r="L86" s="6">
        <v>15.59</v>
      </c>
      <c r="M86" s="6">
        <v>21.28</v>
      </c>
      <c r="N86" s="6">
        <v>2.2000000000000002</v>
      </c>
      <c r="O86" s="6">
        <v>0</v>
      </c>
      <c r="P86" s="6">
        <v>0.25</v>
      </c>
      <c r="Q86" s="6">
        <v>10</v>
      </c>
      <c r="R86" s="6"/>
      <c r="S86" s="6"/>
      <c r="T86" s="156"/>
      <c r="U86" s="6"/>
    </row>
    <row r="87" spans="1:21" customFormat="1">
      <c r="A87" s="201" t="s">
        <v>990</v>
      </c>
      <c r="B87" s="6">
        <v>4.25</v>
      </c>
      <c r="C87" s="6">
        <v>6.72</v>
      </c>
      <c r="D87" s="6">
        <v>10.97</v>
      </c>
      <c r="E87" s="6">
        <v>4.4400000000000004</v>
      </c>
      <c r="F87" s="6">
        <v>19.29</v>
      </c>
      <c r="G87" s="6">
        <v>55.29</v>
      </c>
      <c r="H87" s="6">
        <v>22.99</v>
      </c>
      <c r="I87" s="6">
        <v>4.4800000000000004</v>
      </c>
      <c r="J87" s="6">
        <v>0.06</v>
      </c>
      <c r="K87" s="6">
        <v>151.97999999999999</v>
      </c>
      <c r="L87" s="6">
        <v>14.26</v>
      </c>
      <c r="M87" s="6">
        <v>17.920000000000002</v>
      </c>
      <c r="N87" s="6">
        <v>2.4</v>
      </c>
      <c r="O87" s="6">
        <v>0</v>
      </c>
      <c r="P87" s="6">
        <v>0.27</v>
      </c>
      <c r="Q87" s="6">
        <v>10</v>
      </c>
      <c r="R87" s="6"/>
      <c r="S87" s="6"/>
      <c r="T87" s="156"/>
      <c r="U87" s="6"/>
    </row>
    <row r="88" spans="1:21" customFormat="1">
      <c r="A88" s="201" t="s">
        <v>991</v>
      </c>
      <c r="B88" s="6">
        <v>4.55</v>
      </c>
      <c r="C88" s="6">
        <v>6.38</v>
      </c>
      <c r="D88" s="6">
        <v>10.93</v>
      </c>
      <c r="E88" s="6">
        <v>4.72</v>
      </c>
      <c r="F88" s="6">
        <v>19.29</v>
      </c>
      <c r="G88" s="6">
        <v>51.72</v>
      </c>
      <c r="H88" s="6">
        <v>22.99</v>
      </c>
      <c r="I88" s="6">
        <v>4.72</v>
      </c>
      <c r="J88" s="6">
        <v>0.11</v>
      </c>
      <c r="K88" s="6">
        <v>179.65</v>
      </c>
      <c r="L88" s="6">
        <v>17.84</v>
      </c>
      <c r="M88" s="6">
        <v>26.97</v>
      </c>
      <c r="N88" s="6">
        <v>2.4</v>
      </c>
      <c r="O88" s="6">
        <v>0</v>
      </c>
      <c r="P88" s="6">
        <v>0.26</v>
      </c>
      <c r="Q88" s="6">
        <v>10</v>
      </c>
      <c r="R88" s="6"/>
      <c r="S88" s="6"/>
      <c r="T88" s="156"/>
      <c r="U88" s="6"/>
    </row>
    <row r="89" spans="1:21" customFormat="1">
      <c r="A89" s="201" t="s">
        <v>992</v>
      </c>
      <c r="B89" s="6">
        <v>4.54</v>
      </c>
      <c r="C89" s="6">
        <v>6.37</v>
      </c>
      <c r="D89" s="6">
        <v>10.91</v>
      </c>
      <c r="E89" s="6">
        <v>4.59</v>
      </c>
      <c r="F89" s="6">
        <v>19.29</v>
      </c>
      <c r="G89" s="6">
        <v>51.72</v>
      </c>
      <c r="H89" s="6">
        <v>22.99</v>
      </c>
      <c r="I89" s="6">
        <v>5.0199999999999996</v>
      </c>
      <c r="J89" s="6">
        <v>0.11</v>
      </c>
      <c r="K89" s="6">
        <v>154.19999999999999</v>
      </c>
      <c r="L89" s="6">
        <v>15.4</v>
      </c>
      <c r="M89" s="6">
        <v>20.84</v>
      </c>
      <c r="N89" s="6">
        <v>2.2999999999999998</v>
      </c>
      <c r="O89" s="6">
        <v>0</v>
      </c>
      <c r="P89" s="6">
        <v>0.26</v>
      </c>
      <c r="Q89" s="6">
        <v>10</v>
      </c>
      <c r="R89" s="6"/>
      <c r="S89" s="6"/>
      <c r="T89" s="156"/>
      <c r="U89" s="6"/>
    </row>
    <row r="90" spans="1:21" customFormat="1">
      <c r="A90" s="201" t="s">
        <v>993</v>
      </c>
      <c r="B90" s="6">
        <v>4.54</v>
      </c>
      <c r="C90" s="6">
        <v>6.53</v>
      </c>
      <c r="D90" s="6">
        <v>11.06</v>
      </c>
      <c r="E90" s="6">
        <v>4.6100000000000003</v>
      </c>
      <c r="F90" s="6">
        <v>19.29</v>
      </c>
      <c r="G90" s="6">
        <v>51.72</v>
      </c>
      <c r="H90" s="6">
        <v>22.99</v>
      </c>
      <c r="I90" s="6">
        <v>4.76</v>
      </c>
      <c r="J90" s="6">
        <v>0.19</v>
      </c>
      <c r="K90" s="6">
        <v>143.05000000000001</v>
      </c>
      <c r="L90" s="6">
        <v>14.03</v>
      </c>
      <c r="M90" s="6">
        <v>17.38</v>
      </c>
      <c r="N90" s="6">
        <v>2.2000000000000002</v>
      </c>
      <c r="O90" s="6">
        <v>0</v>
      </c>
      <c r="P90" s="6">
        <v>0.26</v>
      </c>
      <c r="Q90" s="6">
        <v>10</v>
      </c>
      <c r="R90" s="6"/>
      <c r="S90" s="6"/>
      <c r="T90" s="156"/>
      <c r="U90" s="6"/>
    </row>
    <row r="91" spans="1:21" customFormat="1">
      <c r="A91" s="201" t="s">
        <v>994</v>
      </c>
      <c r="B91" s="6">
        <v>4.71</v>
      </c>
      <c r="C91" s="6">
        <v>6.34</v>
      </c>
      <c r="D91" s="6">
        <v>11.05</v>
      </c>
      <c r="E91" s="6">
        <v>4.9000000000000004</v>
      </c>
      <c r="F91" s="6">
        <v>19.29</v>
      </c>
      <c r="G91" s="6">
        <v>47.56</v>
      </c>
      <c r="H91" s="6">
        <v>21.92</v>
      </c>
      <c r="I91" s="6">
        <v>4.8499999999999996</v>
      </c>
      <c r="J91" s="6">
        <v>0.12</v>
      </c>
      <c r="K91" s="6">
        <v>183.56</v>
      </c>
      <c r="L91" s="6">
        <v>17.68</v>
      </c>
      <c r="M91" s="6">
        <v>26.55</v>
      </c>
      <c r="N91" s="6">
        <v>2.2999999999999998</v>
      </c>
      <c r="O91" s="6">
        <v>0</v>
      </c>
      <c r="P91" s="6">
        <v>0.24</v>
      </c>
      <c r="Q91" s="6">
        <v>10</v>
      </c>
      <c r="R91" s="6"/>
      <c r="S91" s="6"/>
      <c r="T91" s="156"/>
      <c r="U91" s="6"/>
    </row>
    <row r="92" spans="1:21" customFormat="1">
      <c r="A92" s="201" t="s">
        <v>995</v>
      </c>
      <c r="B92" s="6">
        <v>4.67</v>
      </c>
      <c r="C92" s="6">
        <v>6.21</v>
      </c>
      <c r="D92" s="6">
        <v>10.88</v>
      </c>
      <c r="E92" s="6">
        <v>5.01</v>
      </c>
      <c r="F92" s="6">
        <v>19.29</v>
      </c>
      <c r="G92" s="6">
        <v>46.37</v>
      </c>
      <c r="H92" s="6">
        <v>21.92</v>
      </c>
      <c r="I92" s="6">
        <v>4.92</v>
      </c>
      <c r="J92" s="6">
        <v>0.05</v>
      </c>
      <c r="K92" s="6">
        <v>169.94</v>
      </c>
      <c r="L92" s="6">
        <v>15.63</v>
      </c>
      <c r="M92" s="6">
        <v>21.35</v>
      </c>
      <c r="N92" s="6">
        <v>2.4</v>
      </c>
      <c r="O92" s="6">
        <v>0</v>
      </c>
      <c r="P92" s="6">
        <v>0.24</v>
      </c>
      <c r="Q92" s="6">
        <v>10</v>
      </c>
      <c r="R92" s="6"/>
      <c r="S92" s="6"/>
      <c r="T92" s="156"/>
      <c r="U92" s="6"/>
    </row>
    <row r="93" spans="1:21" customFormat="1">
      <c r="A93" s="201" t="s">
        <v>996</v>
      </c>
      <c r="B93" s="6">
        <v>4.5999999999999996</v>
      </c>
      <c r="C93" s="6">
        <v>6.09</v>
      </c>
      <c r="D93" s="6">
        <v>10.68</v>
      </c>
      <c r="E93" s="6">
        <v>5.22</v>
      </c>
      <c r="F93" s="6">
        <v>19.29</v>
      </c>
      <c r="G93" s="6">
        <v>46.37</v>
      </c>
      <c r="H93" s="6">
        <v>21.92</v>
      </c>
      <c r="I93" s="6">
        <v>4.92</v>
      </c>
      <c r="J93" s="6">
        <v>0.08</v>
      </c>
      <c r="K93" s="6">
        <v>205.89</v>
      </c>
      <c r="L93" s="6">
        <v>18.32</v>
      </c>
      <c r="M93" s="6">
        <v>28.15</v>
      </c>
      <c r="N93" s="6">
        <v>2.2000000000000002</v>
      </c>
      <c r="O93" s="6">
        <v>0</v>
      </c>
      <c r="P93" s="6">
        <v>0.25</v>
      </c>
      <c r="Q93" s="6">
        <v>10</v>
      </c>
      <c r="R93" s="6"/>
      <c r="S93" s="6"/>
      <c r="T93" s="156"/>
      <c r="U93" s="6"/>
    </row>
    <row r="94" spans="1:21" customFormat="1">
      <c r="A94" s="201" t="s">
        <v>997</v>
      </c>
      <c r="B94" s="6">
        <v>4.53</v>
      </c>
      <c r="C94" s="6">
        <v>6</v>
      </c>
      <c r="D94" s="6">
        <v>10.53</v>
      </c>
      <c r="E94" s="6">
        <v>5.26</v>
      </c>
      <c r="F94" s="6">
        <v>19.29</v>
      </c>
      <c r="G94" s="6">
        <v>46.37</v>
      </c>
      <c r="H94" s="6">
        <v>21.92</v>
      </c>
      <c r="I94" s="6">
        <v>4.97</v>
      </c>
      <c r="J94" s="6">
        <v>0.2</v>
      </c>
      <c r="K94" s="6">
        <v>149.11000000000001</v>
      </c>
      <c r="L94" s="6">
        <v>14.56</v>
      </c>
      <c r="M94" s="6">
        <v>18.72</v>
      </c>
      <c r="N94" s="6">
        <v>2.1</v>
      </c>
      <c r="O94" s="6">
        <v>0</v>
      </c>
      <c r="P94" s="6">
        <v>0.25</v>
      </c>
      <c r="Q94" s="6">
        <v>10</v>
      </c>
      <c r="R94" s="6"/>
      <c r="S94" s="6"/>
      <c r="T94" s="156"/>
      <c r="U94" s="6"/>
    </row>
    <row r="95" spans="1:21" customFormat="1">
      <c r="A95" s="201" t="s">
        <v>998</v>
      </c>
      <c r="B95" s="6">
        <v>4.4800000000000004</v>
      </c>
      <c r="C95" s="6">
        <v>5.98</v>
      </c>
      <c r="D95" s="6">
        <v>10.46</v>
      </c>
      <c r="E95" s="6">
        <v>5.28</v>
      </c>
      <c r="F95" s="6">
        <v>19.29</v>
      </c>
      <c r="G95" s="6">
        <v>45.88</v>
      </c>
      <c r="H95" s="6">
        <v>22.28</v>
      </c>
      <c r="I95" s="6">
        <v>5.03</v>
      </c>
      <c r="J95" s="6">
        <v>0.18</v>
      </c>
      <c r="K95" s="6">
        <v>154.88999999999999</v>
      </c>
      <c r="L95" s="6">
        <v>15.2</v>
      </c>
      <c r="M95" s="6">
        <v>20.34</v>
      </c>
      <c r="N95" s="6">
        <v>2.2000000000000002</v>
      </c>
      <c r="O95" s="6">
        <v>0</v>
      </c>
      <c r="P95" s="6">
        <v>0.25</v>
      </c>
      <c r="Q95" s="6">
        <v>10</v>
      </c>
      <c r="R95" s="6"/>
      <c r="S95" s="6"/>
      <c r="T95" s="156"/>
      <c r="U95" s="6"/>
    </row>
    <row r="96" spans="1:21" customFormat="1">
      <c r="A96" s="201" t="s">
        <v>999</v>
      </c>
      <c r="B96" s="6">
        <v>4.46</v>
      </c>
      <c r="C96" s="6">
        <v>5.91</v>
      </c>
      <c r="D96" s="6">
        <v>10.36</v>
      </c>
      <c r="E96" s="6">
        <v>5.2</v>
      </c>
      <c r="F96" s="6">
        <v>19.29</v>
      </c>
      <c r="G96" s="6">
        <v>45.74</v>
      </c>
      <c r="H96" s="6">
        <v>22.28</v>
      </c>
      <c r="I96" s="6">
        <v>5.08</v>
      </c>
      <c r="J96" s="6">
        <v>7.0000000000000007E-2</v>
      </c>
      <c r="K96" s="6">
        <v>170.58</v>
      </c>
      <c r="L96" s="6">
        <v>15.55</v>
      </c>
      <c r="M96" s="6">
        <v>21.18</v>
      </c>
      <c r="N96" s="6">
        <v>2.2999999999999998</v>
      </c>
      <c r="O96" s="6">
        <v>0</v>
      </c>
      <c r="P96" s="6">
        <v>0.26</v>
      </c>
      <c r="Q96" s="6">
        <v>10</v>
      </c>
      <c r="R96" s="6"/>
      <c r="S96" s="6"/>
      <c r="T96" s="156"/>
      <c r="U96" s="6"/>
    </row>
    <row r="97" spans="1:28" customFormat="1">
      <c r="A97" s="201" t="s">
        <v>1000</v>
      </c>
      <c r="B97" s="6">
        <v>4.49</v>
      </c>
      <c r="C97" s="6">
        <v>5.79</v>
      </c>
      <c r="D97" s="6">
        <v>10.28</v>
      </c>
      <c r="E97" s="6">
        <v>5.39</v>
      </c>
      <c r="F97" s="6">
        <v>19.29</v>
      </c>
      <c r="G97" s="6">
        <v>45.74</v>
      </c>
      <c r="H97" s="6">
        <v>22.28</v>
      </c>
      <c r="I97" s="6">
        <v>5.14</v>
      </c>
      <c r="J97" s="6">
        <v>0.1</v>
      </c>
      <c r="K97" s="6">
        <v>151.77000000000001</v>
      </c>
      <c r="L97" s="6">
        <v>14.16</v>
      </c>
      <c r="M97" s="6">
        <v>17.68</v>
      </c>
      <c r="N97" s="6">
        <v>2.2999999999999998</v>
      </c>
      <c r="O97" s="6">
        <v>0</v>
      </c>
      <c r="P97" s="6">
        <v>0.27</v>
      </c>
      <c r="Q97" s="6">
        <v>10</v>
      </c>
      <c r="R97" s="6"/>
      <c r="S97" s="6"/>
      <c r="T97" s="156"/>
      <c r="U97" s="6"/>
    </row>
    <row r="98" spans="1:28" customFormat="1">
      <c r="A98" s="201" t="s">
        <v>1001</v>
      </c>
      <c r="B98" s="6">
        <v>4.53</v>
      </c>
      <c r="C98" s="6">
        <v>5.93</v>
      </c>
      <c r="D98" s="6">
        <v>10.47</v>
      </c>
      <c r="E98" s="6">
        <v>5.64</v>
      </c>
      <c r="F98" s="6">
        <v>19.29</v>
      </c>
      <c r="G98" s="6">
        <v>45.74</v>
      </c>
      <c r="H98" s="6">
        <v>22.28</v>
      </c>
      <c r="I98" s="6">
        <v>5.22</v>
      </c>
      <c r="J98" s="6">
        <v>0.18</v>
      </c>
      <c r="K98" s="6">
        <v>164.16</v>
      </c>
      <c r="L98" s="6">
        <v>15.79</v>
      </c>
      <c r="M98" s="6">
        <v>21.82</v>
      </c>
      <c r="N98" s="6">
        <v>2.2000000000000002</v>
      </c>
      <c r="O98" s="6">
        <v>0</v>
      </c>
      <c r="P98" s="6">
        <v>0.27</v>
      </c>
      <c r="Q98" s="6">
        <v>10</v>
      </c>
      <c r="R98" s="6"/>
      <c r="S98" s="6"/>
      <c r="T98" s="156"/>
      <c r="U98" s="6"/>
    </row>
    <row r="99" spans="1:28" customFormat="1">
      <c r="A99" s="201" t="s">
        <v>1002</v>
      </c>
      <c r="B99" s="6">
        <v>4.7</v>
      </c>
      <c r="C99" s="6">
        <v>6.08</v>
      </c>
      <c r="D99" s="6">
        <v>10.78</v>
      </c>
      <c r="E99" s="6">
        <v>5.55</v>
      </c>
      <c r="F99" s="6">
        <v>19.29</v>
      </c>
      <c r="G99" s="6">
        <v>46.35</v>
      </c>
      <c r="H99" s="6">
        <v>24.59</v>
      </c>
      <c r="I99" s="6">
        <v>5.37</v>
      </c>
      <c r="J99" s="6">
        <v>0.11</v>
      </c>
      <c r="K99" s="6">
        <v>202.2</v>
      </c>
      <c r="L99" s="6">
        <v>20.03</v>
      </c>
      <c r="M99" s="6">
        <v>32.42</v>
      </c>
      <c r="N99" s="6">
        <v>2.2999999999999998</v>
      </c>
      <c r="O99" s="6">
        <v>0</v>
      </c>
      <c r="P99" s="6">
        <v>0.28999999999999998</v>
      </c>
      <c r="Q99" s="6">
        <v>10</v>
      </c>
      <c r="R99" s="6"/>
      <c r="S99" s="6"/>
      <c r="T99" s="156"/>
      <c r="U99" s="6"/>
    </row>
    <row r="100" spans="1:28" customFormat="1">
      <c r="A100" s="201" t="s">
        <v>1003</v>
      </c>
      <c r="B100" s="6">
        <v>4.76</v>
      </c>
      <c r="C100" s="6">
        <v>6.04</v>
      </c>
      <c r="D100" s="6">
        <v>10.8</v>
      </c>
      <c r="E100" s="6">
        <v>5.49</v>
      </c>
      <c r="F100" s="6">
        <v>19.29</v>
      </c>
      <c r="G100" s="6">
        <v>46.52</v>
      </c>
      <c r="H100" s="6">
        <v>24.59</v>
      </c>
      <c r="I100" s="6">
        <v>5.5</v>
      </c>
      <c r="J100" s="6">
        <v>0.11</v>
      </c>
      <c r="K100" s="6">
        <v>164.85</v>
      </c>
      <c r="L100" s="6">
        <v>15.97</v>
      </c>
      <c r="M100" s="6">
        <v>22.3</v>
      </c>
      <c r="N100" s="6">
        <v>2.1</v>
      </c>
      <c r="O100" s="6">
        <v>0</v>
      </c>
      <c r="P100" s="6">
        <v>0.28999999999999998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1004</v>
      </c>
      <c r="B101" s="6">
        <v>4.79</v>
      </c>
      <c r="C101" s="6">
        <v>5.94</v>
      </c>
      <c r="D101" s="6">
        <v>10.72</v>
      </c>
      <c r="E101" s="6">
        <v>5.59</v>
      </c>
      <c r="F101" s="6">
        <v>19.29</v>
      </c>
      <c r="G101" s="6">
        <v>46.52</v>
      </c>
      <c r="H101" s="6">
        <v>24.59</v>
      </c>
      <c r="I101" s="6">
        <v>5.63</v>
      </c>
      <c r="J101" s="6">
        <v>7.0000000000000007E-2</v>
      </c>
      <c r="K101" s="6">
        <v>170.4</v>
      </c>
      <c r="L101" s="6">
        <v>16.420000000000002</v>
      </c>
      <c r="M101" s="6">
        <v>23.39</v>
      </c>
      <c r="N101" s="6">
        <v>2.1</v>
      </c>
      <c r="O101" s="6">
        <v>0</v>
      </c>
      <c r="P101" s="6">
        <v>0.31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1005</v>
      </c>
      <c r="B102" s="6">
        <v>4.82</v>
      </c>
      <c r="C102" s="6">
        <v>5.92</v>
      </c>
      <c r="D102" s="6">
        <v>10.74</v>
      </c>
      <c r="E102" s="6">
        <v>5.78</v>
      </c>
      <c r="F102" s="6">
        <v>19.29</v>
      </c>
      <c r="G102" s="6">
        <v>46.52</v>
      </c>
      <c r="H102" s="6">
        <v>24.59</v>
      </c>
      <c r="I102" s="6">
        <v>5.76</v>
      </c>
      <c r="J102" s="6">
        <v>0.09</v>
      </c>
      <c r="K102" s="6">
        <v>172.22</v>
      </c>
      <c r="L102" s="6">
        <v>16.8</v>
      </c>
      <c r="M102" s="6">
        <v>24.35</v>
      </c>
      <c r="N102" s="6">
        <v>2.2999999999999998</v>
      </c>
      <c r="O102" s="6">
        <v>0</v>
      </c>
      <c r="P102" s="6">
        <v>0.31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1006</v>
      </c>
      <c r="B103" s="6">
        <v>4.8499999999999996</v>
      </c>
      <c r="C103" s="6">
        <v>5.86</v>
      </c>
      <c r="D103" s="6">
        <v>10.71</v>
      </c>
      <c r="E103" s="6">
        <v>5.76</v>
      </c>
      <c r="F103" s="6">
        <v>19.29</v>
      </c>
      <c r="G103" s="6">
        <v>49.02</v>
      </c>
      <c r="H103" s="6">
        <v>25.76</v>
      </c>
      <c r="I103" s="6">
        <v>5.88</v>
      </c>
      <c r="J103" s="6">
        <v>0.09</v>
      </c>
      <c r="K103" s="6">
        <v>181.89</v>
      </c>
      <c r="L103" s="6">
        <v>17.760000000000002</v>
      </c>
      <c r="M103" s="6">
        <v>26.75</v>
      </c>
      <c r="N103" s="6">
        <v>2.2999999999999998</v>
      </c>
      <c r="O103" s="6">
        <v>0</v>
      </c>
      <c r="P103" s="6">
        <v>0.33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1007</v>
      </c>
      <c r="B104" s="6">
        <v>4.93</v>
      </c>
      <c r="C104" s="6">
        <v>5.84</v>
      </c>
      <c r="D104" s="6">
        <v>10.77</v>
      </c>
      <c r="E104" s="6">
        <v>5.82</v>
      </c>
      <c r="F104" s="6">
        <v>19.29</v>
      </c>
      <c r="G104" s="6">
        <v>49.73</v>
      </c>
      <c r="H104" s="6">
        <v>25.76</v>
      </c>
      <c r="I104" s="6">
        <v>6.02</v>
      </c>
      <c r="J104" s="6">
        <v>0.19</v>
      </c>
      <c r="K104" s="6">
        <v>247.17</v>
      </c>
      <c r="L104" s="6">
        <v>21.95</v>
      </c>
      <c r="M104" s="6">
        <v>37.19</v>
      </c>
      <c r="N104" s="6">
        <v>2.4</v>
      </c>
      <c r="O104" s="6">
        <v>0</v>
      </c>
      <c r="P104" s="6">
        <v>0.33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1.63</v>
      </c>
      <c r="C106" s="158">
        <f>MIN(C9:C104)</f>
        <v>5.44</v>
      </c>
      <c r="D106" s="158">
        <f t="shared" ref="D106:Q106" si="0">MIN(D9:D104)</f>
        <v>8.2100000000000009</v>
      </c>
      <c r="E106" s="158">
        <f t="shared" si="0"/>
        <v>3.77</v>
      </c>
      <c r="F106" s="158">
        <f t="shared" si="0"/>
        <v>2</v>
      </c>
      <c r="G106" s="158">
        <f t="shared" si="0"/>
        <v>35.07</v>
      </c>
      <c r="H106" s="158">
        <f t="shared" si="0"/>
        <v>12.69</v>
      </c>
      <c r="I106" s="158">
        <f t="shared" si="0"/>
        <v>2.84</v>
      </c>
      <c r="J106" s="158">
        <f t="shared" si="0"/>
        <v>0.01</v>
      </c>
      <c r="K106" s="158">
        <f t="shared" si="0"/>
        <v>0.06</v>
      </c>
      <c r="L106" s="158">
        <f t="shared" si="0"/>
        <v>7.97</v>
      </c>
      <c r="M106" s="158">
        <f t="shared" si="0"/>
        <v>1.61</v>
      </c>
      <c r="N106" s="158">
        <f t="shared" si="0"/>
        <v>2.1</v>
      </c>
      <c r="O106" s="158">
        <f t="shared" si="0"/>
        <v>0</v>
      </c>
      <c r="P106" s="158">
        <f t="shared" si="0"/>
        <v>0.14000000000000001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10.5</v>
      </c>
      <c r="C107" s="157">
        <f t="shared" ref="C107:Q107" si="1">MAX(C9:C104)</f>
        <v>12.12</v>
      </c>
      <c r="D107" s="157">
        <f t="shared" si="1"/>
        <v>18.66</v>
      </c>
      <c r="E107" s="157">
        <f t="shared" si="1"/>
        <v>9.8800000000000008</v>
      </c>
      <c r="F107" s="157">
        <f t="shared" si="1"/>
        <v>19.29</v>
      </c>
      <c r="G107" s="157">
        <f t="shared" si="1"/>
        <v>90.9</v>
      </c>
      <c r="H107" s="157">
        <f t="shared" si="1"/>
        <v>36.08</v>
      </c>
      <c r="I107" s="157">
        <f t="shared" si="1"/>
        <v>8.6999999999999993</v>
      </c>
      <c r="J107" s="157">
        <f t="shared" si="1"/>
        <v>1.1599999999999999</v>
      </c>
      <c r="K107" s="157">
        <f t="shared" si="1"/>
        <v>359.64</v>
      </c>
      <c r="L107" s="157">
        <f t="shared" si="1"/>
        <v>29.73</v>
      </c>
      <c r="M107" s="157">
        <f t="shared" si="1"/>
        <v>46.95</v>
      </c>
      <c r="N107" s="157">
        <f t="shared" si="1"/>
        <v>678.6</v>
      </c>
      <c r="O107" s="157">
        <f t="shared" si="1"/>
        <v>5.2</v>
      </c>
      <c r="P107" s="157">
        <f t="shared" si="1"/>
        <v>0.38</v>
      </c>
      <c r="Q107" s="157">
        <f t="shared" si="1"/>
        <v>11.51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5.523854166666669</v>
      </c>
      <c r="C108" s="158">
        <f t="shared" ref="C108:Q108" si="2">AVERAGE(C9:C104)</f>
        <v>7.2556250000000029</v>
      </c>
      <c r="D108" s="158">
        <f t="shared" si="2"/>
        <v>12.778958333333334</v>
      </c>
      <c r="E108" s="158">
        <f t="shared" si="2"/>
        <v>5.672395833333332</v>
      </c>
      <c r="F108" s="158">
        <f t="shared" si="2"/>
        <v>11.556979166666657</v>
      </c>
      <c r="G108" s="158">
        <f t="shared" si="2"/>
        <v>57.001562500000013</v>
      </c>
      <c r="H108" s="158">
        <f t="shared" si="2"/>
        <v>23.492916666666687</v>
      </c>
      <c r="I108" s="158">
        <f t="shared" si="2"/>
        <v>6.2677083333333341</v>
      </c>
      <c r="J108" s="158">
        <f t="shared" si="2"/>
        <v>0.19812499999999997</v>
      </c>
      <c r="K108" s="158">
        <f t="shared" si="2"/>
        <v>140.90781250000001</v>
      </c>
      <c r="L108" s="158">
        <f t="shared" si="2"/>
        <v>16.414687499999996</v>
      </c>
      <c r="M108" s="158">
        <f t="shared" si="2"/>
        <v>20.667500000000008</v>
      </c>
      <c r="N108" s="158">
        <f t="shared" si="2"/>
        <v>111.21770833333331</v>
      </c>
      <c r="O108" s="158">
        <f t="shared" si="2"/>
        <v>0.13125000000000001</v>
      </c>
      <c r="P108" s="158">
        <f t="shared" si="2"/>
        <v>0.27968749999999998</v>
      </c>
      <c r="Q108" s="158">
        <f t="shared" si="2"/>
        <v>10.148437500000002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2.476705948928156</v>
      </c>
      <c r="C109" s="158">
        <f t="shared" ref="C109:Q109" si="3">STDEV(C9:C104)</f>
        <v>1.7942192628432714</v>
      </c>
      <c r="D109" s="158">
        <f t="shared" si="3"/>
        <v>2.7380117562189175</v>
      </c>
      <c r="E109" s="158">
        <f t="shared" si="3"/>
        <v>1.1407677422099081</v>
      </c>
      <c r="F109" s="158">
        <f t="shared" si="3"/>
        <v>8.4744270565274089</v>
      </c>
      <c r="G109" s="158">
        <f t="shared" si="3"/>
        <v>16.340248682519498</v>
      </c>
      <c r="H109" s="158">
        <f t="shared" si="3"/>
        <v>5.7811260816495453</v>
      </c>
      <c r="I109" s="158">
        <f t="shared" si="3"/>
        <v>1.7922302948629534</v>
      </c>
      <c r="J109" s="158">
        <f t="shared" si="3"/>
        <v>0.17260427816860535</v>
      </c>
      <c r="K109" s="158">
        <f t="shared" si="3"/>
        <v>86.946196650610204</v>
      </c>
      <c r="L109" s="158">
        <f t="shared" si="3"/>
        <v>3.8051391711529061</v>
      </c>
      <c r="M109" s="158">
        <f t="shared" si="3"/>
        <v>9.0713320556111192</v>
      </c>
      <c r="N109" s="158">
        <f t="shared" si="3"/>
        <v>193.65207215915629</v>
      </c>
      <c r="O109" s="158">
        <f t="shared" si="3"/>
        <v>0.68230453148444681</v>
      </c>
      <c r="P109" s="158">
        <f t="shared" si="3"/>
        <v>5.8874587941344737E-2</v>
      </c>
      <c r="Q109" s="158">
        <f t="shared" si="3"/>
        <v>1.1233505598267666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M91" sqref="M91:M9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1008</v>
      </c>
      <c r="B9" s="6">
        <v>4.95</v>
      </c>
      <c r="C9" s="6">
        <v>5.64</v>
      </c>
      <c r="D9" s="6">
        <v>10.59</v>
      </c>
      <c r="E9" s="6">
        <v>6.03</v>
      </c>
      <c r="F9" s="151" t="s">
        <v>8</v>
      </c>
      <c r="G9" s="6">
        <v>49.73</v>
      </c>
      <c r="H9" s="6">
        <v>25.76</v>
      </c>
      <c r="I9" s="6">
        <v>6.19</v>
      </c>
      <c r="J9" s="6">
        <v>0.13</v>
      </c>
      <c r="K9" s="6">
        <v>180.96</v>
      </c>
      <c r="L9" s="6">
        <v>17.940000000000001</v>
      </c>
      <c r="M9" s="6">
        <v>27.18</v>
      </c>
      <c r="N9" s="6">
        <v>2.2999999999999998</v>
      </c>
      <c r="O9" s="6">
        <v>0</v>
      </c>
      <c r="P9" s="6">
        <v>0.32</v>
      </c>
      <c r="Q9" s="6">
        <v>10</v>
      </c>
      <c r="R9" s="6"/>
      <c r="S9" s="6"/>
      <c r="T9" s="156"/>
      <c r="U9" s="6"/>
    </row>
    <row r="10" spans="1:21" customFormat="1">
      <c r="A10" s="201" t="s">
        <v>1009</v>
      </c>
      <c r="B10" s="6">
        <v>4.9000000000000004</v>
      </c>
      <c r="C10" s="6">
        <v>5.62</v>
      </c>
      <c r="D10" s="6">
        <v>10.52</v>
      </c>
      <c r="E10" s="6">
        <v>5.78</v>
      </c>
      <c r="F10" s="151" t="s">
        <v>8</v>
      </c>
      <c r="G10" s="6">
        <v>49.73</v>
      </c>
      <c r="H10" s="6">
        <v>25.76</v>
      </c>
      <c r="I10" s="6">
        <v>6.26</v>
      </c>
      <c r="J10" s="6">
        <v>0.14000000000000001</v>
      </c>
      <c r="K10" s="6">
        <v>195.41</v>
      </c>
      <c r="L10" s="6">
        <v>17.59</v>
      </c>
      <c r="M10" s="6">
        <v>26.34</v>
      </c>
      <c r="N10" s="6">
        <v>2.4</v>
      </c>
      <c r="O10" s="6">
        <v>0</v>
      </c>
      <c r="P10" s="6">
        <v>0.32</v>
      </c>
      <c r="Q10" s="6">
        <v>10</v>
      </c>
      <c r="R10" s="6"/>
      <c r="S10" s="6"/>
      <c r="T10" s="156"/>
      <c r="U10" s="6"/>
    </row>
    <row r="11" spans="1:21" customFormat="1">
      <c r="A11" s="201" t="s">
        <v>1010</v>
      </c>
      <c r="B11" s="6">
        <v>4.8499999999999996</v>
      </c>
      <c r="C11" s="6">
        <v>5.58</v>
      </c>
      <c r="D11" s="6">
        <v>10.43</v>
      </c>
      <c r="E11" s="6">
        <v>5.91</v>
      </c>
      <c r="F11" s="151" t="s">
        <v>8</v>
      </c>
      <c r="G11" s="6">
        <v>42.64</v>
      </c>
      <c r="H11" s="6">
        <v>24.18</v>
      </c>
      <c r="I11" s="6">
        <v>6.23</v>
      </c>
      <c r="J11" s="6">
        <v>0.13</v>
      </c>
      <c r="K11" s="6">
        <v>225.7</v>
      </c>
      <c r="L11" s="6">
        <v>19.05</v>
      </c>
      <c r="M11" s="6">
        <v>29.9</v>
      </c>
      <c r="N11" s="6">
        <v>2.2000000000000002</v>
      </c>
      <c r="O11" s="6">
        <v>0</v>
      </c>
      <c r="P11" s="6">
        <v>0.31</v>
      </c>
      <c r="Q11" s="6">
        <v>10</v>
      </c>
      <c r="R11" s="6"/>
      <c r="S11" s="6"/>
      <c r="T11" s="156"/>
      <c r="U11" s="6"/>
    </row>
    <row r="12" spans="1:21" customFormat="1">
      <c r="A12" s="201" t="s">
        <v>1011</v>
      </c>
      <c r="B12" s="6">
        <v>4.7699999999999996</v>
      </c>
      <c r="C12" s="6">
        <v>5.54</v>
      </c>
      <c r="D12" s="6">
        <v>10.31</v>
      </c>
      <c r="E12" s="6">
        <v>5.97</v>
      </c>
      <c r="F12" s="151" t="s">
        <v>8</v>
      </c>
      <c r="G12" s="6">
        <v>40.61</v>
      </c>
      <c r="H12" s="6">
        <v>24.18</v>
      </c>
      <c r="I12" s="6">
        <v>6.18</v>
      </c>
      <c r="J12" s="6">
        <v>0.1</v>
      </c>
      <c r="K12" s="6">
        <v>198.13</v>
      </c>
      <c r="L12" s="6">
        <v>18.02</v>
      </c>
      <c r="M12" s="6">
        <v>27.38</v>
      </c>
      <c r="N12" s="6">
        <v>2.1</v>
      </c>
      <c r="O12" s="6">
        <v>0</v>
      </c>
      <c r="P12" s="6">
        <v>0.31</v>
      </c>
      <c r="Q12" s="6">
        <v>10</v>
      </c>
      <c r="R12" s="6"/>
      <c r="S12" s="6"/>
      <c r="T12" s="156"/>
      <c r="U12" s="6"/>
    </row>
    <row r="13" spans="1:21" customFormat="1">
      <c r="A13" s="201" t="s">
        <v>1012</v>
      </c>
      <c r="B13" s="6">
        <v>4.7300000000000004</v>
      </c>
      <c r="C13" s="6">
        <v>5.54</v>
      </c>
      <c r="D13" s="6">
        <v>10.27</v>
      </c>
      <c r="E13" s="6">
        <v>6.03</v>
      </c>
      <c r="F13" s="151" t="s">
        <v>8</v>
      </c>
      <c r="G13" s="6">
        <v>40.61</v>
      </c>
      <c r="H13" s="6">
        <v>24.18</v>
      </c>
      <c r="I13" s="6">
        <v>6.21</v>
      </c>
      <c r="J13" s="6">
        <v>0.08</v>
      </c>
      <c r="K13" s="6">
        <v>204.9</v>
      </c>
      <c r="L13" s="6">
        <v>18.43</v>
      </c>
      <c r="M13" s="6">
        <v>28.39</v>
      </c>
      <c r="N13" s="6">
        <v>2.2000000000000002</v>
      </c>
      <c r="O13" s="6">
        <v>0</v>
      </c>
      <c r="P13" s="6">
        <v>0.31</v>
      </c>
      <c r="Q13" s="6">
        <v>10</v>
      </c>
      <c r="R13" s="6"/>
      <c r="S13" s="6"/>
      <c r="T13" s="156"/>
      <c r="U13" s="6"/>
    </row>
    <row r="14" spans="1:21" customFormat="1">
      <c r="A14" s="201" t="s">
        <v>1013</v>
      </c>
      <c r="B14" s="6">
        <v>4.74</v>
      </c>
      <c r="C14" s="6">
        <v>5.5</v>
      </c>
      <c r="D14" s="6">
        <v>10.23</v>
      </c>
      <c r="E14" s="6">
        <v>6.08</v>
      </c>
      <c r="F14" s="151" t="s">
        <v>8</v>
      </c>
      <c r="G14" s="6">
        <v>40.61</v>
      </c>
      <c r="H14" s="6">
        <v>24.18</v>
      </c>
      <c r="I14" s="6">
        <v>6.38</v>
      </c>
      <c r="J14" s="6">
        <v>0.08</v>
      </c>
      <c r="K14" s="6">
        <v>202.22</v>
      </c>
      <c r="L14" s="6">
        <v>18.66</v>
      </c>
      <c r="M14" s="6">
        <v>29</v>
      </c>
      <c r="N14" s="6">
        <v>2.1</v>
      </c>
      <c r="O14" s="6">
        <v>0</v>
      </c>
      <c r="P14" s="6">
        <v>0.31</v>
      </c>
      <c r="Q14" s="6">
        <v>10</v>
      </c>
      <c r="R14" s="6"/>
      <c r="S14" s="6"/>
      <c r="T14" s="156"/>
      <c r="U14" s="6"/>
    </row>
    <row r="15" spans="1:21" customFormat="1">
      <c r="A15" s="201" t="s">
        <v>1014</v>
      </c>
      <c r="B15" s="6">
        <v>4.8</v>
      </c>
      <c r="C15" s="6">
        <v>5.49</v>
      </c>
      <c r="D15" s="6">
        <v>10.3</v>
      </c>
      <c r="E15" s="6">
        <v>6.02</v>
      </c>
      <c r="F15" s="151" t="s">
        <v>8</v>
      </c>
      <c r="G15" s="6">
        <v>39.07</v>
      </c>
      <c r="H15" s="6">
        <v>22.55</v>
      </c>
      <c r="I15" s="6">
        <v>6.58</v>
      </c>
      <c r="J15" s="6">
        <v>0.11</v>
      </c>
      <c r="K15" s="6">
        <v>162.9</v>
      </c>
      <c r="L15" s="6">
        <v>15.77</v>
      </c>
      <c r="M15" s="6">
        <v>21.75</v>
      </c>
      <c r="N15" s="6">
        <v>2.2000000000000002</v>
      </c>
      <c r="O15" s="6">
        <v>0</v>
      </c>
      <c r="P15" s="6">
        <v>0.32</v>
      </c>
      <c r="Q15" s="6">
        <v>10</v>
      </c>
      <c r="R15" s="6"/>
      <c r="S15" s="6"/>
      <c r="T15" s="156"/>
      <c r="U15" s="6"/>
    </row>
    <row r="16" spans="1:21" customFormat="1">
      <c r="A16" s="201" t="s">
        <v>1015</v>
      </c>
      <c r="B16" s="6">
        <v>4.95</v>
      </c>
      <c r="C16" s="6">
        <v>5.43</v>
      </c>
      <c r="D16" s="6">
        <v>10.38</v>
      </c>
      <c r="E16" s="6">
        <v>5.89</v>
      </c>
      <c r="F16" s="151" t="s">
        <v>8</v>
      </c>
      <c r="G16" s="6">
        <v>38.630000000000003</v>
      </c>
      <c r="H16" s="6">
        <v>22.55</v>
      </c>
      <c r="I16" s="6">
        <v>6.92</v>
      </c>
      <c r="J16" s="6">
        <v>0.09</v>
      </c>
      <c r="K16" s="6">
        <v>141.86000000000001</v>
      </c>
      <c r="L16" s="6">
        <v>14.86</v>
      </c>
      <c r="M16" s="6">
        <v>19.43</v>
      </c>
      <c r="N16" s="6">
        <v>2.1</v>
      </c>
      <c r="O16" s="6">
        <v>0</v>
      </c>
      <c r="P16" s="6">
        <v>0.32</v>
      </c>
      <c r="Q16" s="6">
        <v>10</v>
      </c>
      <c r="R16" s="6"/>
      <c r="S16" s="6"/>
      <c r="T16" s="156"/>
      <c r="U16" s="6"/>
    </row>
    <row r="17" spans="1:21" customFormat="1">
      <c r="A17" s="201" t="s">
        <v>1016</v>
      </c>
      <c r="B17" s="6">
        <v>5.22</v>
      </c>
      <c r="C17" s="6">
        <v>5.5</v>
      </c>
      <c r="D17" s="6">
        <v>10.73</v>
      </c>
      <c r="E17" s="6">
        <v>4.05</v>
      </c>
      <c r="F17" s="151" t="s">
        <v>8</v>
      </c>
      <c r="G17" s="6">
        <v>38.630000000000003</v>
      </c>
      <c r="H17" s="6">
        <v>22.55</v>
      </c>
      <c r="I17" s="6">
        <v>7.2</v>
      </c>
      <c r="J17" s="6">
        <v>0.09</v>
      </c>
      <c r="K17" s="6">
        <v>198.44</v>
      </c>
      <c r="L17" s="6">
        <v>17.440000000000001</v>
      </c>
      <c r="M17" s="6">
        <v>25.95</v>
      </c>
      <c r="N17" s="6">
        <v>2.2000000000000002</v>
      </c>
      <c r="O17" s="6">
        <v>0</v>
      </c>
      <c r="P17" s="6">
        <v>0.33</v>
      </c>
      <c r="Q17" s="6">
        <v>10</v>
      </c>
      <c r="R17" s="6"/>
      <c r="S17" s="6"/>
      <c r="T17" s="156"/>
      <c r="U17" s="6"/>
    </row>
    <row r="18" spans="1:21" customFormat="1">
      <c r="A18" s="201" t="s">
        <v>1017</v>
      </c>
      <c r="B18" s="6">
        <v>5.61</v>
      </c>
      <c r="C18" s="6">
        <v>5.6</v>
      </c>
      <c r="D18" s="6">
        <v>11.21</v>
      </c>
      <c r="E18" s="6">
        <v>4.88</v>
      </c>
      <c r="F18" s="151" t="s">
        <v>8</v>
      </c>
      <c r="G18" s="6">
        <v>38.630000000000003</v>
      </c>
      <c r="H18" s="6">
        <v>22.55</v>
      </c>
      <c r="I18" s="6">
        <v>7.4</v>
      </c>
      <c r="J18" s="6">
        <v>0.11</v>
      </c>
      <c r="K18" s="6">
        <v>135.41999999999999</v>
      </c>
      <c r="L18" s="6">
        <v>15.36</v>
      </c>
      <c r="M18" s="6">
        <v>20.68</v>
      </c>
      <c r="N18" s="6">
        <v>2.1</v>
      </c>
      <c r="O18" s="6">
        <v>0</v>
      </c>
      <c r="P18" s="6">
        <v>0.32</v>
      </c>
      <c r="Q18" s="6">
        <v>10</v>
      </c>
      <c r="R18" s="6"/>
      <c r="S18" s="6"/>
      <c r="T18" s="156"/>
      <c r="U18" s="6"/>
    </row>
    <row r="19" spans="1:21" customFormat="1">
      <c r="A19" s="201" t="s">
        <v>1018</v>
      </c>
      <c r="B19" s="6">
        <v>6.07</v>
      </c>
      <c r="C19" s="6">
        <v>5.82</v>
      </c>
      <c r="D19" s="6">
        <v>11.89</v>
      </c>
      <c r="E19" s="6">
        <v>4.4000000000000004</v>
      </c>
      <c r="F19" s="151" t="s">
        <v>8</v>
      </c>
      <c r="G19" s="6">
        <v>39.56</v>
      </c>
      <c r="H19" s="6">
        <v>18.18</v>
      </c>
      <c r="I19" s="6">
        <v>7.37</v>
      </c>
      <c r="J19" s="6">
        <v>0.11</v>
      </c>
      <c r="K19" s="6">
        <v>171.23</v>
      </c>
      <c r="L19" s="6">
        <v>15.8</v>
      </c>
      <c r="M19" s="6">
        <v>21.84</v>
      </c>
      <c r="N19" s="6">
        <v>2.2000000000000002</v>
      </c>
      <c r="O19" s="6">
        <v>0</v>
      </c>
      <c r="P19" s="6">
        <v>0.32</v>
      </c>
      <c r="Q19" s="6">
        <v>10</v>
      </c>
      <c r="R19" s="6"/>
      <c r="S19" s="6"/>
      <c r="T19" s="156"/>
      <c r="U19" s="6"/>
    </row>
    <row r="20" spans="1:21" customFormat="1">
      <c r="A20" s="201" t="s">
        <v>1019</v>
      </c>
      <c r="B20" s="6">
        <v>6.34</v>
      </c>
      <c r="C20" s="6">
        <v>5.89</v>
      </c>
      <c r="D20" s="6">
        <v>12.24</v>
      </c>
      <c r="E20" s="6">
        <v>4.5199999999999996</v>
      </c>
      <c r="F20" s="151" t="s">
        <v>8</v>
      </c>
      <c r="G20" s="6">
        <v>39.83</v>
      </c>
      <c r="H20" s="6">
        <v>18.18</v>
      </c>
      <c r="I20" s="6">
        <v>7.43</v>
      </c>
      <c r="J20" s="6">
        <v>0.12</v>
      </c>
      <c r="K20" s="6">
        <v>156.86000000000001</v>
      </c>
      <c r="L20" s="6">
        <v>15.34</v>
      </c>
      <c r="M20" s="6">
        <v>20.65</v>
      </c>
      <c r="N20" s="6">
        <v>2.2000000000000002</v>
      </c>
      <c r="O20" s="6">
        <v>0</v>
      </c>
      <c r="P20" s="6">
        <v>0.33</v>
      </c>
      <c r="Q20" s="6">
        <v>10</v>
      </c>
      <c r="R20" s="6"/>
      <c r="S20" s="6"/>
      <c r="T20" s="156"/>
      <c r="U20" s="6"/>
    </row>
    <row r="21" spans="1:21" customFormat="1">
      <c r="A21" s="201" t="s">
        <v>1020</v>
      </c>
      <c r="B21" s="6">
        <v>6.58</v>
      </c>
      <c r="C21" s="6">
        <v>5.84</v>
      </c>
      <c r="D21" s="6">
        <v>12.43</v>
      </c>
      <c r="E21" s="6">
        <v>4.97</v>
      </c>
      <c r="F21" s="151" t="s">
        <v>8</v>
      </c>
      <c r="G21" s="6">
        <v>39.83</v>
      </c>
      <c r="H21" s="6">
        <v>18.18</v>
      </c>
      <c r="I21" s="6">
        <v>7.34</v>
      </c>
      <c r="J21" s="6">
        <v>0.08</v>
      </c>
      <c r="K21" s="6">
        <v>176.84</v>
      </c>
      <c r="L21" s="6">
        <v>16.47</v>
      </c>
      <c r="M21" s="6">
        <v>23.55</v>
      </c>
      <c r="N21" s="6">
        <v>2.2999999999999998</v>
      </c>
      <c r="O21" s="6">
        <v>0</v>
      </c>
      <c r="P21" s="6">
        <v>0.33</v>
      </c>
      <c r="Q21" s="6">
        <v>10</v>
      </c>
      <c r="R21" s="6"/>
      <c r="S21" s="6"/>
      <c r="T21" s="156"/>
      <c r="U21" s="6"/>
    </row>
    <row r="22" spans="1:21" customFormat="1">
      <c r="A22" s="201" t="s">
        <v>1021</v>
      </c>
      <c r="B22" s="6">
        <v>6.7</v>
      </c>
      <c r="C22" s="6">
        <v>5.81</v>
      </c>
      <c r="D22" s="6">
        <v>12.51</v>
      </c>
      <c r="E22" s="6">
        <v>4.4400000000000004</v>
      </c>
      <c r="F22" s="151" t="s">
        <v>8</v>
      </c>
      <c r="G22" s="6">
        <v>39.83</v>
      </c>
      <c r="H22" s="6">
        <v>18.18</v>
      </c>
      <c r="I22" s="6">
        <v>7.42</v>
      </c>
      <c r="J22" s="6">
        <v>0.06</v>
      </c>
      <c r="K22" s="6">
        <v>114.66</v>
      </c>
      <c r="L22" s="6">
        <v>13.36</v>
      </c>
      <c r="M22" s="6">
        <v>15.62</v>
      </c>
      <c r="N22" s="6">
        <v>2.1</v>
      </c>
      <c r="O22" s="6">
        <v>0</v>
      </c>
      <c r="P22" s="6">
        <v>0.32</v>
      </c>
      <c r="Q22" s="6">
        <v>10</v>
      </c>
      <c r="R22" s="6"/>
      <c r="S22" s="6"/>
      <c r="T22" s="156"/>
      <c r="U22" s="6"/>
    </row>
    <row r="23" spans="1:21" customFormat="1">
      <c r="A23" s="201" t="s">
        <v>1022</v>
      </c>
      <c r="B23" s="6">
        <v>7.08</v>
      </c>
      <c r="C23" s="6">
        <v>6.02</v>
      </c>
      <c r="D23" s="6">
        <v>13.09</v>
      </c>
      <c r="E23" s="6">
        <v>4.59</v>
      </c>
      <c r="F23" s="151" t="s">
        <v>8</v>
      </c>
      <c r="G23" s="6">
        <v>42.93</v>
      </c>
      <c r="H23" s="6">
        <v>16.96</v>
      </c>
      <c r="I23" s="6">
        <v>7.49</v>
      </c>
      <c r="J23" s="6">
        <v>0.14000000000000001</v>
      </c>
      <c r="K23" s="6">
        <v>174.81</v>
      </c>
      <c r="L23" s="6">
        <v>16.420000000000002</v>
      </c>
      <c r="M23" s="6">
        <v>23.44</v>
      </c>
      <c r="N23" s="6">
        <v>2.1</v>
      </c>
      <c r="O23" s="6">
        <v>0</v>
      </c>
      <c r="P23" s="6">
        <v>0.33</v>
      </c>
      <c r="Q23" s="6">
        <v>10</v>
      </c>
      <c r="R23" s="6"/>
      <c r="S23" s="6"/>
      <c r="T23" s="156"/>
      <c r="U23" s="6"/>
    </row>
    <row r="24" spans="1:21" customFormat="1">
      <c r="A24" s="201" t="s">
        <v>1023</v>
      </c>
      <c r="B24" s="6">
        <v>7.43</v>
      </c>
      <c r="C24" s="6">
        <v>5.96</v>
      </c>
      <c r="D24" s="6">
        <v>13.39</v>
      </c>
      <c r="E24" s="6">
        <v>4.93</v>
      </c>
      <c r="F24" s="151" t="s">
        <v>8</v>
      </c>
      <c r="G24" s="6">
        <v>43.82</v>
      </c>
      <c r="H24" s="6">
        <v>16.96</v>
      </c>
      <c r="I24" s="6">
        <v>7.43</v>
      </c>
      <c r="J24" s="6">
        <v>0.08</v>
      </c>
      <c r="K24" s="6">
        <v>195.09</v>
      </c>
      <c r="L24" s="6">
        <v>17.97</v>
      </c>
      <c r="M24" s="6">
        <v>27.28</v>
      </c>
      <c r="N24" s="6">
        <v>2.1</v>
      </c>
      <c r="O24" s="6">
        <v>0</v>
      </c>
      <c r="P24" s="6">
        <v>0.32</v>
      </c>
      <c r="Q24" s="6">
        <v>10</v>
      </c>
      <c r="R24" s="6"/>
      <c r="S24" s="6"/>
      <c r="T24" s="156"/>
      <c r="U24" s="6"/>
    </row>
    <row r="25" spans="1:21" customFormat="1">
      <c r="A25" s="201" t="s">
        <v>1024</v>
      </c>
      <c r="B25" s="6">
        <v>7.66</v>
      </c>
      <c r="C25" s="6">
        <v>6</v>
      </c>
      <c r="D25" s="6">
        <v>13.66</v>
      </c>
      <c r="E25" s="6">
        <v>4.4400000000000004</v>
      </c>
      <c r="F25" s="151" t="s">
        <v>8</v>
      </c>
      <c r="G25" s="6">
        <v>43.82</v>
      </c>
      <c r="H25" s="6">
        <v>16.96</v>
      </c>
      <c r="I25" s="6">
        <v>7.48</v>
      </c>
      <c r="J25" s="6">
        <v>0.08</v>
      </c>
      <c r="K25" s="6">
        <v>169.56</v>
      </c>
      <c r="L25" s="6">
        <v>16.440000000000001</v>
      </c>
      <c r="M25" s="6">
        <v>23.5</v>
      </c>
      <c r="N25" s="6">
        <v>2.1</v>
      </c>
      <c r="O25" s="6">
        <v>0</v>
      </c>
      <c r="P25" s="6">
        <v>0.33</v>
      </c>
      <c r="Q25" s="6">
        <v>10</v>
      </c>
      <c r="R25" s="6"/>
      <c r="S25" s="6"/>
      <c r="T25" s="156"/>
      <c r="U25" s="6"/>
    </row>
    <row r="26" spans="1:21" customFormat="1">
      <c r="A26" s="201" t="s">
        <v>1025</v>
      </c>
      <c r="B26" s="6">
        <v>8.15</v>
      </c>
      <c r="C26" s="6">
        <v>6.08</v>
      </c>
      <c r="D26" s="6">
        <v>14.23</v>
      </c>
      <c r="E26" s="6">
        <v>4.63</v>
      </c>
      <c r="F26" s="151" t="s">
        <v>8</v>
      </c>
      <c r="G26" s="6">
        <v>43.82</v>
      </c>
      <c r="H26" s="6">
        <v>16.96</v>
      </c>
      <c r="I26" s="6">
        <v>7.56</v>
      </c>
      <c r="J26" s="6">
        <v>0.09</v>
      </c>
      <c r="K26" s="6">
        <v>128.75</v>
      </c>
      <c r="L26" s="6">
        <v>13.69</v>
      </c>
      <c r="M26" s="6">
        <v>16.52</v>
      </c>
      <c r="N26" s="6">
        <v>2.1</v>
      </c>
      <c r="O26" s="6">
        <v>0</v>
      </c>
      <c r="P26" s="6">
        <v>0.32</v>
      </c>
      <c r="Q26" s="6">
        <v>10</v>
      </c>
      <c r="R26" s="6"/>
      <c r="S26" s="6"/>
      <c r="T26" s="156"/>
      <c r="U26" s="6"/>
    </row>
    <row r="27" spans="1:21" customFormat="1">
      <c r="A27" s="201" t="s">
        <v>1026</v>
      </c>
      <c r="B27" s="6">
        <v>8.66</v>
      </c>
      <c r="C27" s="6">
        <v>6.13</v>
      </c>
      <c r="D27" s="6">
        <v>14.8</v>
      </c>
      <c r="E27" s="6">
        <v>4.5999999999999996</v>
      </c>
      <c r="F27" s="151" t="s">
        <v>8</v>
      </c>
      <c r="G27" s="6">
        <v>50.92</v>
      </c>
      <c r="H27" s="6">
        <v>16.79</v>
      </c>
      <c r="I27" s="6">
        <v>7.58</v>
      </c>
      <c r="J27" s="6">
        <v>7.0000000000000007E-2</v>
      </c>
      <c r="K27" s="6">
        <v>42.6</v>
      </c>
      <c r="L27" s="6">
        <v>9.92</v>
      </c>
      <c r="M27" s="6">
        <v>6.81</v>
      </c>
      <c r="N27" s="6">
        <v>2.1</v>
      </c>
      <c r="O27" s="6">
        <v>0</v>
      </c>
      <c r="P27" s="6">
        <v>0.33</v>
      </c>
      <c r="Q27" s="6">
        <v>10</v>
      </c>
      <c r="R27" s="6"/>
      <c r="S27" s="6"/>
      <c r="T27" s="156"/>
      <c r="U27" s="6"/>
    </row>
    <row r="28" spans="1:21" customFormat="1">
      <c r="A28" s="201" t="s">
        <v>1027</v>
      </c>
      <c r="B28" s="6">
        <v>9.4</v>
      </c>
      <c r="C28" s="6">
        <v>6.35</v>
      </c>
      <c r="D28" s="6">
        <v>15.75</v>
      </c>
      <c r="E28" s="6">
        <v>4.71</v>
      </c>
      <c r="F28" s="151" t="s">
        <v>8</v>
      </c>
      <c r="G28" s="6">
        <v>52.95</v>
      </c>
      <c r="H28" s="6">
        <v>16.79</v>
      </c>
      <c r="I28" s="6">
        <v>7.6</v>
      </c>
      <c r="J28" s="6">
        <v>0.16</v>
      </c>
      <c r="K28" s="6">
        <v>42.91</v>
      </c>
      <c r="L28" s="6">
        <v>12.05</v>
      </c>
      <c r="M28" s="6">
        <v>12.12</v>
      </c>
      <c r="N28" s="6">
        <v>2.2000000000000002</v>
      </c>
      <c r="O28" s="6">
        <v>0</v>
      </c>
      <c r="P28" s="6">
        <v>0.32</v>
      </c>
      <c r="Q28" s="6">
        <v>10</v>
      </c>
      <c r="R28" s="6"/>
      <c r="S28" s="6"/>
      <c r="T28" s="156"/>
      <c r="U28" s="6"/>
    </row>
    <row r="29" spans="1:21" customFormat="1">
      <c r="A29" s="201" t="s">
        <v>1028</v>
      </c>
      <c r="B29" s="6">
        <v>9.9</v>
      </c>
      <c r="C29" s="6">
        <v>6.44</v>
      </c>
      <c r="D29" s="6">
        <v>16.329999999999998</v>
      </c>
      <c r="E29" s="6">
        <v>4.59</v>
      </c>
      <c r="F29" s="151" t="s">
        <v>8</v>
      </c>
      <c r="G29" s="6">
        <v>52.95</v>
      </c>
      <c r="H29" s="6">
        <v>16.79</v>
      </c>
      <c r="I29" s="6">
        <v>7.56</v>
      </c>
      <c r="J29" s="6">
        <v>0.08</v>
      </c>
      <c r="K29" s="6">
        <v>54.66</v>
      </c>
      <c r="L29" s="6">
        <v>14.59</v>
      </c>
      <c r="M29" s="6">
        <v>18.61</v>
      </c>
      <c r="N29" s="6">
        <v>2.1</v>
      </c>
      <c r="O29" s="6">
        <v>0</v>
      </c>
      <c r="P29" s="6">
        <v>0.32</v>
      </c>
      <c r="Q29" s="6">
        <v>10</v>
      </c>
      <c r="R29" s="6"/>
      <c r="S29" s="6"/>
      <c r="T29" s="156"/>
      <c r="U29" s="6"/>
    </row>
    <row r="30" spans="1:21" customFormat="1">
      <c r="A30" s="201" t="s">
        <v>1029</v>
      </c>
      <c r="B30" s="6">
        <v>10.32</v>
      </c>
      <c r="C30" s="6">
        <v>6.52</v>
      </c>
      <c r="D30" s="6">
        <v>16.850000000000001</v>
      </c>
      <c r="E30" s="6">
        <v>4.49</v>
      </c>
      <c r="F30" s="151" t="s">
        <v>8</v>
      </c>
      <c r="G30" s="6">
        <v>52.95</v>
      </c>
      <c r="H30" s="6">
        <v>16.79</v>
      </c>
      <c r="I30" s="6">
        <v>7.66</v>
      </c>
      <c r="J30" s="6">
        <v>7.0000000000000007E-2</v>
      </c>
      <c r="K30" s="6">
        <v>51.19</v>
      </c>
      <c r="L30" s="6">
        <v>11.25</v>
      </c>
      <c r="M30" s="6">
        <v>10.25</v>
      </c>
      <c r="N30" s="6">
        <v>2.1</v>
      </c>
      <c r="O30" s="6">
        <v>0</v>
      </c>
      <c r="P30" s="6">
        <v>0.33</v>
      </c>
      <c r="Q30" s="6">
        <v>10</v>
      </c>
      <c r="R30" s="6"/>
      <c r="S30" s="6"/>
      <c r="T30" s="156"/>
      <c r="U30" s="6"/>
    </row>
    <row r="31" spans="1:21" customFormat="1">
      <c r="A31" s="201" t="s">
        <v>1030</v>
      </c>
      <c r="B31" s="6">
        <v>10.91</v>
      </c>
      <c r="C31" s="6">
        <v>6.68</v>
      </c>
      <c r="D31" s="6">
        <v>17.59</v>
      </c>
      <c r="E31" s="6">
        <v>4.71</v>
      </c>
      <c r="F31" s="151" t="s">
        <v>8</v>
      </c>
      <c r="G31" s="6">
        <v>65.59</v>
      </c>
      <c r="H31" s="6">
        <v>20.57</v>
      </c>
      <c r="I31" s="6">
        <v>7.64</v>
      </c>
      <c r="J31" s="6">
        <v>0.13</v>
      </c>
      <c r="K31" s="6">
        <v>41.99</v>
      </c>
      <c r="L31" s="6">
        <v>11.18</v>
      </c>
      <c r="M31" s="6">
        <v>9.9600000000000009</v>
      </c>
      <c r="N31" s="6">
        <v>2.2000000000000002</v>
      </c>
      <c r="O31" s="6">
        <v>0</v>
      </c>
      <c r="P31" s="6">
        <v>0.34</v>
      </c>
      <c r="Q31" s="6">
        <v>10</v>
      </c>
      <c r="R31" s="6"/>
      <c r="S31" s="6"/>
      <c r="T31" s="156"/>
      <c r="U31" s="6"/>
    </row>
    <row r="32" spans="1:21" customFormat="1">
      <c r="A32" s="201" t="s">
        <v>1031</v>
      </c>
      <c r="B32" s="6">
        <v>11.21</v>
      </c>
      <c r="C32" s="6">
        <v>6.75</v>
      </c>
      <c r="D32" s="6">
        <v>17.96</v>
      </c>
      <c r="E32" s="6">
        <v>4.82</v>
      </c>
      <c r="F32" s="151" t="s">
        <v>8</v>
      </c>
      <c r="G32" s="6">
        <v>69.209999999999994</v>
      </c>
      <c r="H32" s="6">
        <v>20.57</v>
      </c>
      <c r="I32" s="6">
        <v>7.84</v>
      </c>
      <c r="J32" s="6">
        <v>0.14000000000000001</v>
      </c>
      <c r="K32" s="6">
        <v>58.27</v>
      </c>
      <c r="L32" s="6">
        <v>7.75</v>
      </c>
      <c r="M32" s="6">
        <v>1.33</v>
      </c>
      <c r="N32" s="6">
        <v>3.4</v>
      </c>
      <c r="O32" s="6">
        <v>0</v>
      </c>
      <c r="P32" s="6">
        <v>0.34</v>
      </c>
      <c r="Q32" s="6">
        <v>10</v>
      </c>
      <c r="R32" s="6"/>
      <c r="S32" s="6"/>
      <c r="T32" s="156"/>
      <c r="U32" s="6"/>
    </row>
    <row r="33" spans="1:21" customFormat="1">
      <c r="A33" s="201" t="s">
        <v>1032</v>
      </c>
      <c r="B33" s="6">
        <v>11.82</v>
      </c>
      <c r="C33" s="6">
        <v>6.77</v>
      </c>
      <c r="D33" s="6">
        <v>18.59</v>
      </c>
      <c r="E33" s="6">
        <v>4.9800000000000004</v>
      </c>
      <c r="F33" s="151" t="s">
        <v>8</v>
      </c>
      <c r="G33" s="6">
        <v>69.209999999999994</v>
      </c>
      <c r="H33" s="6">
        <v>20.57</v>
      </c>
      <c r="I33" s="6">
        <v>7.85</v>
      </c>
      <c r="J33" s="6">
        <v>0.18</v>
      </c>
      <c r="K33" s="6">
        <v>27.64</v>
      </c>
      <c r="L33" s="6">
        <v>12.61</v>
      </c>
      <c r="M33" s="6">
        <v>13.28</v>
      </c>
      <c r="N33" s="6">
        <v>7.7</v>
      </c>
      <c r="O33" s="6">
        <v>0</v>
      </c>
      <c r="P33" s="6">
        <v>0.35</v>
      </c>
      <c r="Q33" s="6">
        <v>10</v>
      </c>
      <c r="R33" s="6"/>
      <c r="S33" s="6"/>
      <c r="T33" s="156"/>
      <c r="U33" s="6"/>
    </row>
    <row r="34" spans="1:21" customFormat="1">
      <c r="A34" s="201" t="s">
        <v>1033</v>
      </c>
      <c r="B34" s="6">
        <v>12.24</v>
      </c>
      <c r="C34" s="6">
        <v>7.01</v>
      </c>
      <c r="D34" s="6">
        <v>19.25</v>
      </c>
      <c r="E34" s="6">
        <v>4.9800000000000004</v>
      </c>
      <c r="F34" s="151" t="s">
        <v>8</v>
      </c>
      <c r="G34" s="6">
        <v>69.209999999999994</v>
      </c>
      <c r="H34" s="6">
        <v>20.57</v>
      </c>
      <c r="I34" s="6">
        <v>7.83</v>
      </c>
      <c r="J34" s="6">
        <v>0.18</v>
      </c>
      <c r="K34" s="6">
        <v>27.76</v>
      </c>
      <c r="L34" s="6">
        <v>12.1</v>
      </c>
      <c r="M34" s="6">
        <v>11.9</v>
      </c>
      <c r="N34" s="6">
        <v>15.7</v>
      </c>
      <c r="O34" s="6">
        <v>0</v>
      </c>
      <c r="P34" s="6">
        <v>0.33</v>
      </c>
      <c r="Q34" s="6">
        <v>10</v>
      </c>
      <c r="R34" s="6"/>
      <c r="S34" s="6"/>
      <c r="T34" s="156"/>
      <c r="U34" s="6"/>
    </row>
    <row r="35" spans="1:21" customFormat="1">
      <c r="A35" s="201" t="s">
        <v>1034</v>
      </c>
      <c r="B35" s="6">
        <v>12.84</v>
      </c>
      <c r="C35" s="6">
        <v>7.22</v>
      </c>
      <c r="D35" s="6">
        <v>20.07</v>
      </c>
      <c r="E35" s="6">
        <v>4.7300000000000004</v>
      </c>
      <c r="F35" s="151" t="s">
        <v>8</v>
      </c>
      <c r="G35" s="6">
        <v>76.760000000000005</v>
      </c>
      <c r="H35" s="6">
        <v>22.33</v>
      </c>
      <c r="I35" s="6">
        <v>7.86</v>
      </c>
      <c r="J35" s="6">
        <v>0.1</v>
      </c>
      <c r="K35" s="6">
        <v>317.26</v>
      </c>
      <c r="L35" s="6">
        <v>22.46</v>
      </c>
      <c r="M35" s="6">
        <v>37.74</v>
      </c>
      <c r="N35" s="6">
        <v>26.8</v>
      </c>
      <c r="O35" s="6">
        <v>0</v>
      </c>
      <c r="P35" s="6">
        <v>0.33</v>
      </c>
      <c r="Q35" s="6">
        <v>10</v>
      </c>
      <c r="R35" s="6"/>
      <c r="S35" s="6"/>
      <c r="T35" s="156"/>
      <c r="U35" s="6"/>
    </row>
    <row r="36" spans="1:21" customFormat="1">
      <c r="A36" s="201" t="s">
        <v>1035</v>
      </c>
      <c r="B36" s="6">
        <v>13.27</v>
      </c>
      <c r="C36" s="6">
        <v>7.38</v>
      </c>
      <c r="D36" s="6">
        <v>20.65</v>
      </c>
      <c r="E36" s="6">
        <v>4.95</v>
      </c>
      <c r="F36" s="151" t="s">
        <v>8</v>
      </c>
      <c r="G36" s="6">
        <v>78.91</v>
      </c>
      <c r="H36" s="6">
        <v>22.33</v>
      </c>
      <c r="I36" s="6">
        <v>7.97</v>
      </c>
      <c r="J36" s="6">
        <v>0.21</v>
      </c>
      <c r="K36" s="6">
        <v>321.12</v>
      </c>
      <c r="L36" s="6">
        <v>19.59</v>
      </c>
      <c r="M36" s="6">
        <v>30.2</v>
      </c>
      <c r="N36" s="6">
        <v>39.4</v>
      </c>
      <c r="O36" s="6">
        <v>0</v>
      </c>
      <c r="P36" s="6">
        <v>0.34</v>
      </c>
      <c r="Q36" s="6">
        <v>10</v>
      </c>
      <c r="R36" s="6"/>
      <c r="S36" s="6"/>
      <c r="T36" s="156"/>
      <c r="U36" s="6"/>
    </row>
    <row r="37" spans="1:21" customFormat="1">
      <c r="A37" s="201" t="s">
        <v>1036</v>
      </c>
      <c r="B37" s="6">
        <v>13.54</v>
      </c>
      <c r="C37" s="6">
        <v>7.47</v>
      </c>
      <c r="D37" s="6">
        <v>21.01</v>
      </c>
      <c r="E37" s="6">
        <v>5.04</v>
      </c>
      <c r="F37" s="151" t="s">
        <v>8</v>
      </c>
      <c r="G37" s="6">
        <v>78.91</v>
      </c>
      <c r="H37" s="6">
        <v>22.33</v>
      </c>
      <c r="I37" s="6">
        <v>8.19</v>
      </c>
      <c r="J37" s="6">
        <v>0.24</v>
      </c>
      <c r="K37" s="6">
        <v>357.08</v>
      </c>
      <c r="L37" s="6">
        <v>18.149999999999999</v>
      </c>
      <c r="M37" s="6">
        <v>26.18</v>
      </c>
      <c r="N37" s="6">
        <v>54.3</v>
      </c>
      <c r="O37" s="6">
        <v>0</v>
      </c>
      <c r="P37" s="6">
        <v>0.35</v>
      </c>
      <c r="Q37" s="6">
        <v>10</v>
      </c>
      <c r="R37" s="6"/>
      <c r="S37" s="6"/>
      <c r="T37" s="156"/>
      <c r="U37" s="6"/>
    </row>
    <row r="38" spans="1:21" customFormat="1">
      <c r="A38" s="201" t="s">
        <v>1037</v>
      </c>
      <c r="B38" s="6">
        <v>13.78</v>
      </c>
      <c r="C38" s="6">
        <v>7.42</v>
      </c>
      <c r="D38" s="6">
        <v>21.2</v>
      </c>
      <c r="E38" s="6">
        <v>5.19</v>
      </c>
      <c r="F38" s="151" t="s">
        <v>8</v>
      </c>
      <c r="G38" s="6">
        <v>78.91</v>
      </c>
      <c r="H38" s="6">
        <v>22.33</v>
      </c>
      <c r="I38" s="6">
        <v>8.26</v>
      </c>
      <c r="J38" s="6">
        <v>0.26</v>
      </c>
      <c r="K38" s="6">
        <v>359.99</v>
      </c>
      <c r="L38" s="6">
        <v>18.21</v>
      </c>
      <c r="M38" s="6">
        <v>25.91</v>
      </c>
      <c r="N38" s="6">
        <v>73.7</v>
      </c>
      <c r="O38" s="6">
        <v>0</v>
      </c>
      <c r="P38" s="6">
        <v>0.35</v>
      </c>
      <c r="Q38" s="6">
        <v>10</v>
      </c>
      <c r="R38" s="6"/>
      <c r="S38" s="6"/>
      <c r="T38" s="156"/>
      <c r="U38" s="6"/>
    </row>
    <row r="39" spans="1:21" customFormat="1">
      <c r="A39" s="201" t="s">
        <v>1038</v>
      </c>
      <c r="B39" s="6">
        <v>13.86</v>
      </c>
      <c r="C39" s="6">
        <v>7.44</v>
      </c>
      <c r="D39" s="6">
        <v>21.3</v>
      </c>
      <c r="E39" s="6">
        <v>5.19</v>
      </c>
      <c r="F39" s="151" t="s">
        <v>8</v>
      </c>
      <c r="G39" s="6">
        <v>83.06</v>
      </c>
      <c r="H39" s="6">
        <v>26.95</v>
      </c>
      <c r="I39" s="6">
        <v>8.35</v>
      </c>
      <c r="J39" s="6">
        <v>0.26</v>
      </c>
      <c r="K39" s="6">
        <v>18.43</v>
      </c>
      <c r="L39" s="6">
        <v>14.15</v>
      </c>
      <c r="M39" s="6">
        <v>14.48</v>
      </c>
      <c r="N39" s="6">
        <v>124.2</v>
      </c>
      <c r="O39" s="6">
        <v>0</v>
      </c>
      <c r="P39" s="6">
        <v>0.37</v>
      </c>
      <c r="Q39" s="6">
        <v>10</v>
      </c>
      <c r="R39" s="6"/>
      <c r="S39" s="6"/>
      <c r="T39" s="156"/>
      <c r="U39" s="6"/>
    </row>
    <row r="40" spans="1:21" customFormat="1">
      <c r="A40" s="201" t="s">
        <v>1039</v>
      </c>
      <c r="B40" s="6">
        <v>13.92</v>
      </c>
      <c r="C40" s="6">
        <v>7.57</v>
      </c>
      <c r="D40" s="6">
        <v>21.5</v>
      </c>
      <c r="E40" s="6">
        <v>5.59</v>
      </c>
      <c r="F40" s="151" t="s">
        <v>8</v>
      </c>
      <c r="G40" s="6">
        <v>84.24</v>
      </c>
      <c r="H40" s="6">
        <v>26.95</v>
      </c>
      <c r="I40" s="6">
        <v>8.41</v>
      </c>
      <c r="J40" s="6">
        <v>0.4</v>
      </c>
      <c r="K40" s="6">
        <v>23.93</v>
      </c>
      <c r="L40" s="6">
        <v>11.17</v>
      </c>
      <c r="M40" s="6">
        <v>5.86</v>
      </c>
      <c r="N40" s="6">
        <v>136.4</v>
      </c>
      <c r="O40" s="6">
        <v>0</v>
      </c>
      <c r="P40" s="6">
        <v>0.37</v>
      </c>
      <c r="Q40" s="6">
        <v>10</v>
      </c>
      <c r="R40" s="6"/>
      <c r="S40" s="6"/>
      <c r="T40" s="156"/>
      <c r="U40" s="6"/>
    </row>
    <row r="41" spans="1:21" customFormat="1">
      <c r="A41" s="201" t="s">
        <v>1040</v>
      </c>
      <c r="B41" s="6">
        <v>13.94</v>
      </c>
      <c r="C41" s="6">
        <v>7.59</v>
      </c>
      <c r="D41" s="6">
        <v>21.52</v>
      </c>
      <c r="E41" s="6">
        <v>5.49</v>
      </c>
      <c r="F41" s="151" t="s">
        <v>8</v>
      </c>
      <c r="G41" s="6">
        <v>84.24</v>
      </c>
      <c r="H41" s="6">
        <v>26.95</v>
      </c>
      <c r="I41" s="6">
        <v>8.49</v>
      </c>
      <c r="J41" s="6">
        <v>0.46</v>
      </c>
      <c r="K41" s="6">
        <v>13.42</v>
      </c>
      <c r="L41" s="6">
        <v>13.93</v>
      </c>
      <c r="M41" s="6">
        <v>12.33</v>
      </c>
      <c r="N41" s="6">
        <v>188.5</v>
      </c>
      <c r="O41" s="6">
        <v>0</v>
      </c>
      <c r="P41" s="6">
        <v>0.37</v>
      </c>
      <c r="Q41" s="6">
        <v>10</v>
      </c>
      <c r="R41" s="6"/>
      <c r="S41" s="6"/>
      <c r="T41" s="156"/>
      <c r="U41" s="6"/>
    </row>
    <row r="42" spans="1:21" customFormat="1">
      <c r="A42" s="201" t="s">
        <v>1041</v>
      </c>
      <c r="B42" s="6">
        <v>13.7</v>
      </c>
      <c r="C42" s="6">
        <v>7.53</v>
      </c>
      <c r="D42" s="6">
        <v>21.24</v>
      </c>
      <c r="E42" s="6">
        <v>5.42</v>
      </c>
      <c r="F42" s="151" t="s">
        <v>8</v>
      </c>
      <c r="G42" s="6">
        <v>84.24</v>
      </c>
      <c r="H42" s="6">
        <v>26.95</v>
      </c>
      <c r="I42" s="6">
        <v>8.35</v>
      </c>
      <c r="J42" s="6">
        <v>0.7</v>
      </c>
      <c r="K42" s="6">
        <v>30.62</v>
      </c>
      <c r="L42" s="6">
        <v>11.1</v>
      </c>
      <c r="M42" s="6">
        <v>3.53</v>
      </c>
      <c r="N42" s="6">
        <v>262.10000000000002</v>
      </c>
      <c r="O42" s="6">
        <v>0</v>
      </c>
      <c r="P42" s="6">
        <v>0.36</v>
      </c>
      <c r="Q42" s="6">
        <v>10</v>
      </c>
      <c r="R42" s="6"/>
      <c r="S42" s="6"/>
      <c r="T42" s="156"/>
      <c r="U42" s="6"/>
    </row>
    <row r="43" spans="1:21" customFormat="1">
      <c r="A43" s="201" t="s">
        <v>1042</v>
      </c>
      <c r="B43" s="6">
        <v>13.38</v>
      </c>
      <c r="C43" s="6">
        <v>7.69</v>
      </c>
      <c r="D43" s="6">
        <v>21.07</v>
      </c>
      <c r="E43" s="6">
        <v>5.0199999999999996</v>
      </c>
      <c r="F43" s="151" t="s">
        <v>8</v>
      </c>
      <c r="G43" s="6">
        <v>84.33</v>
      </c>
      <c r="H43" s="6">
        <v>24.78</v>
      </c>
      <c r="I43" s="6">
        <v>8.26</v>
      </c>
      <c r="J43" s="6">
        <v>0.54</v>
      </c>
      <c r="K43" s="6">
        <v>18.28</v>
      </c>
      <c r="L43" s="6">
        <v>13.61</v>
      </c>
      <c r="M43" s="6">
        <v>10.09</v>
      </c>
      <c r="N43" s="6">
        <v>247.8</v>
      </c>
      <c r="O43" s="6">
        <v>0</v>
      </c>
      <c r="P43" s="6">
        <v>0.36</v>
      </c>
      <c r="Q43" s="6">
        <v>10</v>
      </c>
      <c r="R43" s="6"/>
      <c r="S43" s="6"/>
      <c r="T43" s="156"/>
      <c r="U43" s="6"/>
    </row>
    <row r="44" spans="1:21" customFormat="1">
      <c r="A44" s="201" t="s">
        <v>1043</v>
      </c>
      <c r="B44" s="6">
        <v>13.26</v>
      </c>
      <c r="C44" s="6">
        <v>7.84</v>
      </c>
      <c r="D44" s="6">
        <v>21.1</v>
      </c>
      <c r="E44" s="6">
        <v>6.06</v>
      </c>
      <c r="F44" s="151" t="s">
        <v>8</v>
      </c>
      <c r="G44" s="6">
        <v>84.36</v>
      </c>
      <c r="H44" s="6">
        <v>24.78</v>
      </c>
      <c r="I44" s="6">
        <v>8.27</v>
      </c>
      <c r="J44" s="6">
        <v>0.75</v>
      </c>
      <c r="K44" s="6">
        <v>28.69</v>
      </c>
      <c r="L44" s="6">
        <v>11.45</v>
      </c>
      <c r="M44" s="6">
        <v>3.75</v>
      </c>
      <c r="N44" s="6">
        <v>288.5</v>
      </c>
      <c r="O44" s="6">
        <v>0</v>
      </c>
      <c r="P44" s="6">
        <v>0.35</v>
      </c>
      <c r="Q44" s="6">
        <v>10</v>
      </c>
      <c r="R44" s="6"/>
      <c r="S44" s="6"/>
      <c r="T44" s="156"/>
      <c r="U44" s="6"/>
    </row>
    <row r="45" spans="1:21" customFormat="1">
      <c r="A45" s="201" t="s">
        <v>1044</v>
      </c>
      <c r="B45" s="6">
        <v>12.98</v>
      </c>
      <c r="C45" s="6">
        <v>7.78</v>
      </c>
      <c r="D45" s="6">
        <v>20.76</v>
      </c>
      <c r="E45" s="6">
        <v>5.68</v>
      </c>
      <c r="F45" s="151" t="s">
        <v>8</v>
      </c>
      <c r="G45" s="6">
        <v>84.36</v>
      </c>
      <c r="H45" s="6">
        <v>24.78</v>
      </c>
      <c r="I45" s="6">
        <v>8.17</v>
      </c>
      <c r="J45" s="6">
        <v>0.84</v>
      </c>
      <c r="K45" s="6">
        <v>37.11</v>
      </c>
      <c r="L45" s="6">
        <v>10.31</v>
      </c>
      <c r="M45" s="6">
        <v>-0.99</v>
      </c>
      <c r="N45" s="6">
        <v>368.4</v>
      </c>
      <c r="O45" s="6">
        <v>0</v>
      </c>
      <c r="P45" s="6">
        <v>0.36</v>
      </c>
      <c r="Q45" s="6">
        <v>10</v>
      </c>
      <c r="R45" s="6"/>
      <c r="S45" s="6"/>
      <c r="T45" s="156"/>
      <c r="U45" s="6"/>
    </row>
    <row r="46" spans="1:21" customFormat="1">
      <c r="A46" s="201" t="s">
        <v>1045</v>
      </c>
      <c r="B46" s="6">
        <v>12.6</v>
      </c>
      <c r="C46" s="6">
        <v>7.79</v>
      </c>
      <c r="D46" s="6">
        <v>20.38</v>
      </c>
      <c r="E46" s="6">
        <v>5.59</v>
      </c>
      <c r="F46" s="151" t="s">
        <v>8</v>
      </c>
      <c r="G46" s="6">
        <v>84.36</v>
      </c>
      <c r="H46" s="6">
        <v>24.78</v>
      </c>
      <c r="I46" s="6">
        <v>8</v>
      </c>
      <c r="J46" s="6">
        <v>0.77</v>
      </c>
      <c r="K46" s="6">
        <v>35.979999999999997</v>
      </c>
      <c r="L46" s="6">
        <v>12.22</v>
      </c>
      <c r="M46" s="6">
        <v>3.25</v>
      </c>
      <c r="N46" s="6">
        <v>394.1</v>
      </c>
      <c r="O46" s="6">
        <v>0</v>
      </c>
      <c r="P46" s="6">
        <v>0.36</v>
      </c>
      <c r="Q46" s="6">
        <v>10</v>
      </c>
      <c r="R46" s="6"/>
      <c r="S46" s="6"/>
      <c r="T46" s="156"/>
      <c r="U46" s="6"/>
    </row>
    <row r="47" spans="1:21" customFormat="1">
      <c r="A47" s="201" t="s">
        <v>1046</v>
      </c>
      <c r="B47" s="6">
        <v>12.16</v>
      </c>
      <c r="C47" s="6">
        <v>7.98</v>
      </c>
      <c r="D47" s="6">
        <v>20.14</v>
      </c>
      <c r="E47" s="6">
        <v>5.3</v>
      </c>
      <c r="F47" s="151" t="s">
        <v>8</v>
      </c>
      <c r="G47" s="6">
        <v>83.58</v>
      </c>
      <c r="H47" s="6">
        <v>31.43</v>
      </c>
      <c r="I47" s="6">
        <v>7.95</v>
      </c>
      <c r="J47" s="6">
        <v>0.53</v>
      </c>
      <c r="K47" s="6">
        <v>28.48</v>
      </c>
      <c r="L47" s="6">
        <v>13.76</v>
      </c>
      <c r="M47" s="6">
        <v>6.08</v>
      </c>
      <c r="N47" s="6">
        <v>434.1</v>
      </c>
      <c r="O47" s="6">
        <v>0</v>
      </c>
      <c r="P47" s="6">
        <v>0.37</v>
      </c>
      <c r="Q47" s="6">
        <v>10</v>
      </c>
      <c r="R47" s="6"/>
      <c r="S47" s="6"/>
      <c r="T47" s="156"/>
      <c r="U47" s="6"/>
    </row>
    <row r="48" spans="1:21" customFormat="1">
      <c r="A48" s="201" t="s">
        <v>1047</v>
      </c>
      <c r="B48" s="6">
        <v>11.78</v>
      </c>
      <c r="C48" s="6">
        <v>7.98</v>
      </c>
      <c r="D48" s="6">
        <v>19.77</v>
      </c>
      <c r="E48" s="6">
        <v>5.42</v>
      </c>
      <c r="F48" s="151" t="s">
        <v>8</v>
      </c>
      <c r="G48" s="6">
        <v>83.36</v>
      </c>
      <c r="H48" s="6">
        <v>31.43</v>
      </c>
      <c r="I48" s="6">
        <v>7.93</v>
      </c>
      <c r="J48" s="6">
        <v>0.48</v>
      </c>
      <c r="K48" s="6">
        <v>29.81</v>
      </c>
      <c r="L48" s="6">
        <v>12.14</v>
      </c>
      <c r="M48" s="6">
        <v>5.53</v>
      </c>
      <c r="N48" s="6">
        <v>286.7</v>
      </c>
      <c r="O48" s="6">
        <v>0</v>
      </c>
      <c r="P48" s="6">
        <v>0.36</v>
      </c>
      <c r="Q48" s="6">
        <v>10</v>
      </c>
      <c r="R48" s="6"/>
      <c r="S48" s="6"/>
      <c r="T48" s="156"/>
      <c r="U48" s="6"/>
    </row>
    <row r="49" spans="1:21" customFormat="1">
      <c r="A49" s="201" t="s">
        <v>1048</v>
      </c>
      <c r="B49" s="6">
        <v>11.26</v>
      </c>
      <c r="C49" s="6">
        <v>8.02</v>
      </c>
      <c r="D49" s="6">
        <v>19.28</v>
      </c>
      <c r="E49" s="6">
        <v>4.7699999999999996</v>
      </c>
      <c r="F49" s="151" t="s">
        <v>8</v>
      </c>
      <c r="G49" s="6">
        <v>83.36</v>
      </c>
      <c r="H49" s="6">
        <v>31.43</v>
      </c>
      <c r="I49" s="6">
        <v>7.93</v>
      </c>
      <c r="J49" s="6">
        <v>0.59</v>
      </c>
      <c r="K49" s="6">
        <v>35.15</v>
      </c>
      <c r="L49" s="6">
        <v>8.07</v>
      </c>
      <c r="M49" s="6">
        <v>-1.0900000000000001</v>
      </c>
      <c r="N49" s="6">
        <v>134.5</v>
      </c>
      <c r="O49" s="6">
        <v>0</v>
      </c>
      <c r="P49" s="6">
        <v>0.37</v>
      </c>
      <c r="Q49" s="6">
        <v>10</v>
      </c>
      <c r="R49" s="6"/>
      <c r="S49" s="6"/>
      <c r="T49" s="156"/>
      <c r="U49" s="6"/>
    </row>
    <row r="50" spans="1:21" customFormat="1">
      <c r="A50" s="201" t="s">
        <v>1049</v>
      </c>
      <c r="B50" s="6">
        <v>10.71</v>
      </c>
      <c r="C50" s="6">
        <v>8.14</v>
      </c>
      <c r="D50" s="6">
        <v>18.84</v>
      </c>
      <c r="E50" s="6">
        <v>5.5</v>
      </c>
      <c r="F50" s="151" t="s">
        <v>8</v>
      </c>
      <c r="G50" s="6">
        <v>83.36</v>
      </c>
      <c r="H50" s="6">
        <v>31.43</v>
      </c>
      <c r="I50" s="6">
        <v>7.9</v>
      </c>
      <c r="J50" s="6">
        <v>0.25</v>
      </c>
      <c r="K50" s="6">
        <v>64.989999999999995</v>
      </c>
      <c r="L50" s="6">
        <v>13.62</v>
      </c>
      <c r="M50" s="6">
        <v>12.54</v>
      </c>
      <c r="N50" s="6">
        <v>155.1</v>
      </c>
      <c r="O50" s="6">
        <v>0</v>
      </c>
      <c r="P50" s="6">
        <v>0.37</v>
      </c>
      <c r="Q50" s="6">
        <v>10</v>
      </c>
      <c r="R50" s="6"/>
      <c r="S50" s="6"/>
      <c r="T50" s="156"/>
      <c r="U50" s="6"/>
    </row>
    <row r="51" spans="1:21" customFormat="1">
      <c r="A51" s="201" t="s">
        <v>1050</v>
      </c>
      <c r="B51" s="6">
        <v>10.130000000000001</v>
      </c>
      <c r="C51" s="6">
        <v>8.3000000000000007</v>
      </c>
      <c r="D51" s="6">
        <v>18.43</v>
      </c>
      <c r="E51" s="6">
        <v>5.73</v>
      </c>
      <c r="F51" s="151" t="s">
        <v>8</v>
      </c>
      <c r="G51" s="6">
        <v>83.23</v>
      </c>
      <c r="H51" s="6">
        <v>29.89</v>
      </c>
      <c r="I51" s="6">
        <v>7.88</v>
      </c>
      <c r="J51" s="6">
        <v>0.33</v>
      </c>
      <c r="K51" s="6">
        <v>64.22</v>
      </c>
      <c r="L51" s="6">
        <v>12.97</v>
      </c>
      <c r="M51" s="6">
        <v>7.82</v>
      </c>
      <c r="N51" s="6">
        <v>286.60000000000002</v>
      </c>
      <c r="O51" s="6">
        <v>0</v>
      </c>
      <c r="P51" s="6">
        <v>0.38</v>
      </c>
      <c r="Q51" s="6">
        <v>10</v>
      </c>
      <c r="R51" s="6"/>
      <c r="S51" s="6"/>
      <c r="T51" s="156"/>
      <c r="U51" s="6"/>
    </row>
    <row r="52" spans="1:21" customFormat="1">
      <c r="A52" s="201" t="s">
        <v>1051</v>
      </c>
      <c r="B52" s="6">
        <v>9.52</v>
      </c>
      <c r="C52" s="6">
        <v>8.1300000000000008</v>
      </c>
      <c r="D52" s="6">
        <v>17.649999999999999</v>
      </c>
      <c r="E52" s="6">
        <v>5.6</v>
      </c>
      <c r="F52" s="151" t="s">
        <v>8</v>
      </c>
      <c r="G52" s="6">
        <v>83.19</v>
      </c>
      <c r="H52" s="6">
        <v>29.89</v>
      </c>
      <c r="I52" s="6">
        <v>7.78</v>
      </c>
      <c r="J52" s="6">
        <v>0.39</v>
      </c>
      <c r="K52" s="6">
        <v>44.08</v>
      </c>
      <c r="L52" s="6">
        <v>10.86</v>
      </c>
      <c r="M52" s="6">
        <v>3.67</v>
      </c>
      <c r="N52" s="6">
        <v>234.1</v>
      </c>
      <c r="O52" s="6">
        <v>0</v>
      </c>
      <c r="P52" s="6">
        <v>0.37</v>
      </c>
      <c r="Q52" s="6">
        <v>10</v>
      </c>
      <c r="R52" s="6"/>
      <c r="S52" s="6"/>
      <c r="T52" s="156"/>
      <c r="U52" s="6"/>
    </row>
    <row r="53" spans="1:21" customFormat="1">
      <c r="A53" s="201" t="s">
        <v>1052</v>
      </c>
      <c r="B53" s="6">
        <v>8.82</v>
      </c>
      <c r="C53" s="6">
        <v>8.1</v>
      </c>
      <c r="D53" s="6">
        <v>16.920000000000002</v>
      </c>
      <c r="E53" s="6">
        <v>5.53</v>
      </c>
      <c r="F53" s="151" t="s">
        <v>8</v>
      </c>
      <c r="G53" s="6">
        <v>83.19</v>
      </c>
      <c r="H53" s="6">
        <v>29.89</v>
      </c>
      <c r="I53" s="6">
        <v>7.61</v>
      </c>
      <c r="J53" s="6">
        <v>0.27</v>
      </c>
      <c r="K53" s="6">
        <v>33.950000000000003</v>
      </c>
      <c r="L53" s="6">
        <v>13.35</v>
      </c>
      <c r="M53" s="6">
        <v>10.67</v>
      </c>
      <c r="N53" s="6">
        <v>201.8</v>
      </c>
      <c r="O53" s="6">
        <v>0</v>
      </c>
      <c r="P53" s="6">
        <v>0.36</v>
      </c>
      <c r="Q53" s="6">
        <v>10</v>
      </c>
      <c r="R53" s="6"/>
      <c r="S53" s="6"/>
      <c r="T53" s="156"/>
      <c r="U53" s="6"/>
    </row>
    <row r="54" spans="1:21" customFormat="1">
      <c r="A54" s="201" t="s">
        <v>1053</v>
      </c>
      <c r="B54" s="6">
        <v>8.17</v>
      </c>
      <c r="C54" s="6">
        <v>8.09</v>
      </c>
      <c r="D54" s="6">
        <v>16.260000000000002</v>
      </c>
      <c r="E54" s="6">
        <v>5.52</v>
      </c>
      <c r="F54" s="151" t="s">
        <v>8</v>
      </c>
      <c r="G54" s="6">
        <v>83.19</v>
      </c>
      <c r="H54" s="6">
        <v>29.89</v>
      </c>
      <c r="I54" s="6">
        <v>7.47</v>
      </c>
      <c r="J54" s="6">
        <v>0.16</v>
      </c>
      <c r="K54" s="6">
        <v>46.37</v>
      </c>
      <c r="L54" s="6">
        <v>18.27</v>
      </c>
      <c r="M54" s="6">
        <v>23.64</v>
      </c>
      <c r="N54" s="6">
        <v>182.3</v>
      </c>
      <c r="O54" s="6">
        <v>0</v>
      </c>
      <c r="P54" s="6">
        <v>0.39</v>
      </c>
      <c r="Q54" s="6">
        <v>10</v>
      </c>
      <c r="R54" s="6"/>
      <c r="S54" s="6"/>
      <c r="T54" s="156"/>
      <c r="U54" s="6"/>
    </row>
    <row r="55" spans="1:21" customFormat="1">
      <c r="A55" s="201" t="s">
        <v>1054</v>
      </c>
      <c r="B55" s="6">
        <v>7.49</v>
      </c>
      <c r="C55" s="6">
        <v>7.87</v>
      </c>
      <c r="D55" s="6">
        <v>15.36</v>
      </c>
      <c r="E55" s="6">
        <v>5.58</v>
      </c>
      <c r="F55" s="151" t="s">
        <v>8</v>
      </c>
      <c r="G55" s="6">
        <v>81.81</v>
      </c>
      <c r="H55" s="6">
        <v>32.479999999999997</v>
      </c>
      <c r="I55" s="6">
        <v>7.45</v>
      </c>
      <c r="J55" s="6">
        <v>0.26</v>
      </c>
      <c r="K55" s="6">
        <v>91.98</v>
      </c>
      <c r="L55" s="6">
        <v>14.33</v>
      </c>
      <c r="M55" s="6">
        <v>7.38</v>
      </c>
      <c r="N55" s="6">
        <v>452.9</v>
      </c>
      <c r="O55" s="6">
        <v>0</v>
      </c>
      <c r="P55" s="6">
        <v>0.38</v>
      </c>
      <c r="Q55" s="6">
        <v>10</v>
      </c>
      <c r="R55" s="6"/>
      <c r="S55" s="6"/>
      <c r="T55" s="156"/>
      <c r="U55" s="6"/>
    </row>
    <row r="56" spans="1:21" customFormat="1">
      <c r="A56" s="201" t="s">
        <v>1055</v>
      </c>
      <c r="B56" s="6">
        <v>7.18</v>
      </c>
      <c r="C56" s="6">
        <v>7.61</v>
      </c>
      <c r="D56" s="6">
        <v>14.79</v>
      </c>
      <c r="E56" s="6">
        <v>5.32</v>
      </c>
      <c r="F56" s="151" t="s">
        <v>8</v>
      </c>
      <c r="G56" s="6">
        <v>81.42</v>
      </c>
      <c r="H56" s="6">
        <v>32.479999999999997</v>
      </c>
      <c r="I56" s="6">
        <v>7.27</v>
      </c>
      <c r="J56" s="6">
        <v>0.3</v>
      </c>
      <c r="K56" s="6">
        <v>25.25</v>
      </c>
      <c r="L56" s="6">
        <v>18.47</v>
      </c>
      <c r="M56" s="6">
        <v>13.46</v>
      </c>
      <c r="N56" s="6">
        <v>629.9</v>
      </c>
      <c r="O56" s="6">
        <v>0</v>
      </c>
      <c r="P56" s="6">
        <v>0.38</v>
      </c>
      <c r="Q56" s="6">
        <v>10</v>
      </c>
      <c r="R56" s="6"/>
      <c r="S56" s="6"/>
      <c r="T56" s="156"/>
      <c r="U56" s="6"/>
    </row>
    <row r="57" spans="1:21" customFormat="1">
      <c r="A57" s="201" t="s">
        <v>1056</v>
      </c>
      <c r="B57" s="6">
        <v>6.93</v>
      </c>
      <c r="C57" s="6">
        <v>7.57</v>
      </c>
      <c r="D57" s="6">
        <v>14.5</v>
      </c>
      <c r="E57" s="6">
        <v>5.6</v>
      </c>
      <c r="F57" s="151" t="s">
        <v>8</v>
      </c>
      <c r="G57" s="6">
        <v>81.42</v>
      </c>
      <c r="H57" s="6">
        <v>32.479999999999997</v>
      </c>
      <c r="I57" s="6">
        <v>7.03</v>
      </c>
      <c r="J57" s="6">
        <v>0.31</v>
      </c>
      <c r="K57" s="6">
        <v>39.53</v>
      </c>
      <c r="L57" s="6">
        <v>15.22</v>
      </c>
      <c r="M57" s="6">
        <v>6.6</v>
      </c>
      <c r="N57" s="6">
        <v>603</v>
      </c>
      <c r="O57" s="6">
        <v>0</v>
      </c>
      <c r="P57" s="6">
        <v>0.37</v>
      </c>
      <c r="Q57" s="6">
        <v>10</v>
      </c>
      <c r="R57" s="6"/>
      <c r="S57" s="6"/>
      <c r="T57" s="156"/>
      <c r="U57" s="6"/>
    </row>
    <row r="58" spans="1:21" customFormat="1">
      <c r="A58" s="201" t="s">
        <v>1057</v>
      </c>
      <c r="B58" s="6">
        <v>6.58</v>
      </c>
      <c r="C58" s="6">
        <v>7.7</v>
      </c>
      <c r="D58" s="6">
        <v>14.28</v>
      </c>
      <c r="E58" s="6">
        <v>5.17</v>
      </c>
      <c r="F58" s="151" t="s">
        <v>8</v>
      </c>
      <c r="G58" s="6">
        <v>81.42</v>
      </c>
      <c r="H58" s="6">
        <v>32.479999999999997</v>
      </c>
      <c r="I58" s="6">
        <v>6.99</v>
      </c>
      <c r="J58" s="6">
        <v>0.28999999999999998</v>
      </c>
      <c r="K58" s="6">
        <v>23.25</v>
      </c>
      <c r="L58" s="6">
        <v>20.84</v>
      </c>
      <c r="M58" s="6">
        <v>20.62</v>
      </c>
      <c r="N58" s="6">
        <v>583.6</v>
      </c>
      <c r="O58" s="6">
        <v>0</v>
      </c>
      <c r="P58" s="6">
        <v>0.37</v>
      </c>
      <c r="Q58" s="6">
        <v>10</v>
      </c>
      <c r="R58" s="6"/>
      <c r="S58" s="6"/>
      <c r="T58" s="156"/>
      <c r="U58" s="6"/>
    </row>
    <row r="59" spans="1:21" customFormat="1">
      <c r="A59" s="201" t="s">
        <v>1058</v>
      </c>
      <c r="B59" s="6">
        <v>6.32</v>
      </c>
      <c r="C59" s="6">
        <v>7.82</v>
      </c>
      <c r="D59" s="6">
        <v>14.14</v>
      </c>
      <c r="E59" s="6">
        <v>5.03</v>
      </c>
      <c r="F59" s="151" t="s">
        <v>8</v>
      </c>
      <c r="G59" s="6">
        <v>79.91</v>
      </c>
      <c r="H59" s="6">
        <v>26.86</v>
      </c>
      <c r="I59" s="6">
        <v>7</v>
      </c>
      <c r="J59" s="6">
        <v>0.42</v>
      </c>
      <c r="K59" s="6">
        <v>33.26</v>
      </c>
      <c r="L59" s="6">
        <v>17.12</v>
      </c>
      <c r="M59" s="6">
        <v>12.89</v>
      </c>
      <c r="N59" s="6">
        <v>495.1</v>
      </c>
      <c r="O59" s="6">
        <v>0</v>
      </c>
      <c r="P59" s="6">
        <v>0.36</v>
      </c>
      <c r="Q59" s="6">
        <v>10</v>
      </c>
      <c r="R59" s="6"/>
      <c r="S59" s="6"/>
      <c r="T59" s="156"/>
      <c r="U59" s="6"/>
    </row>
    <row r="60" spans="1:21" customFormat="1">
      <c r="A60" s="201" t="s">
        <v>1059</v>
      </c>
      <c r="B60" s="6">
        <v>5.93</v>
      </c>
      <c r="C60" s="6">
        <v>8.02</v>
      </c>
      <c r="D60" s="6">
        <v>13.95</v>
      </c>
      <c r="E60" s="6">
        <v>5.52</v>
      </c>
      <c r="F60" s="151" t="s">
        <v>8</v>
      </c>
      <c r="G60" s="6">
        <v>79.48</v>
      </c>
      <c r="H60" s="6">
        <v>26.86</v>
      </c>
      <c r="I60" s="6">
        <v>6.79</v>
      </c>
      <c r="J60" s="6">
        <v>0.54</v>
      </c>
      <c r="K60" s="6">
        <v>316.70999999999998</v>
      </c>
      <c r="L60" s="6">
        <v>24.83</v>
      </c>
      <c r="M60" s="6">
        <v>39.15</v>
      </c>
      <c r="N60" s="6">
        <v>219.5</v>
      </c>
      <c r="O60" s="6">
        <v>0</v>
      </c>
      <c r="P60" s="6">
        <v>0.36</v>
      </c>
      <c r="Q60" s="6">
        <v>10</v>
      </c>
      <c r="R60" s="6"/>
      <c r="S60" s="6"/>
      <c r="T60" s="156"/>
      <c r="U60" s="6"/>
    </row>
    <row r="61" spans="1:21" customFormat="1">
      <c r="A61" s="201" t="s">
        <v>1060</v>
      </c>
      <c r="B61" s="6">
        <v>5.68</v>
      </c>
      <c r="C61" s="6">
        <v>8.23</v>
      </c>
      <c r="D61" s="6">
        <v>13.91</v>
      </c>
      <c r="E61" s="6">
        <v>6</v>
      </c>
      <c r="F61" s="151" t="s">
        <v>8</v>
      </c>
      <c r="G61" s="6">
        <v>79.48</v>
      </c>
      <c r="H61" s="6">
        <v>26.86</v>
      </c>
      <c r="I61" s="6">
        <v>6.64</v>
      </c>
      <c r="J61" s="6">
        <v>0.84</v>
      </c>
      <c r="K61" s="6">
        <v>303.13</v>
      </c>
      <c r="L61" s="6">
        <v>28.44</v>
      </c>
      <c r="M61" s="6">
        <v>48.23</v>
      </c>
      <c r="N61" s="6">
        <v>220.6</v>
      </c>
      <c r="O61" s="6">
        <v>0</v>
      </c>
      <c r="P61" s="6">
        <v>0.36</v>
      </c>
      <c r="Q61" s="6">
        <v>10</v>
      </c>
      <c r="R61" s="6"/>
      <c r="S61" s="6"/>
      <c r="T61" s="156"/>
      <c r="U61" s="6"/>
    </row>
    <row r="62" spans="1:21" customFormat="1">
      <c r="A62" s="201" t="s">
        <v>1061</v>
      </c>
      <c r="B62" s="6">
        <v>5.48</v>
      </c>
      <c r="C62" s="6">
        <v>8.49</v>
      </c>
      <c r="D62" s="6">
        <v>13.97</v>
      </c>
      <c r="E62" s="6">
        <v>6.3</v>
      </c>
      <c r="F62" s="151" t="s">
        <v>8</v>
      </c>
      <c r="G62" s="6">
        <v>79.48</v>
      </c>
      <c r="H62" s="6">
        <v>26.86</v>
      </c>
      <c r="I62" s="6">
        <v>6.69</v>
      </c>
      <c r="J62" s="6">
        <v>0.46</v>
      </c>
      <c r="K62" s="6">
        <v>306.27999999999997</v>
      </c>
      <c r="L62" s="6">
        <v>27.69</v>
      </c>
      <c r="M62" s="6">
        <v>40.659999999999997</v>
      </c>
      <c r="N62" s="6">
        <v>463.6</v>
      </c>
      <c r="O62" s="6">
        <v>0</v>
      </c>
      <c r="P62" s="6">
        <v>0.35</v>
      </c>
      <c r="Q62" s="6">
        <v>10</v>
      </c>
      <c r="R62" s="6"/>
      <c r="S62" s="6"/>
      <c r="T62" s="156"/>
      <c r="U62" s="6"/>
    </row>
    <row r="63" spans="1:21" customFormat="1">
      <c r="A63" s="201" t="s">
        <v>1062</v>
      </c>
      <c r="B63" s="6">
        <v>5</v>
      </c>
      <c r="C63" s="6">
        <v>8.39</v>
      </c>
      <c r="D63" s="6">
        <v>13.4</v>
      </c>
      <c r="E63" s="6">
        <v>6.34</v>
      </c>
      <c r="F63" s="151" t="s">
        <v>8</v>
      </c>
      <c r="G63" s="6">
        <v>76.17</v>
      </c>
      <c r="H63" s="6">
        <v>31.44</v>
      </c>
      <c r="I63" s="6">
        <v>6.82</v>
      </c>
      <c r="J63" s="6">
        <v>0.38</v>
      </c>
      <c r="K63" s="6">
        <v>294.57</v>
      </c>
      <c r="L63" s="6">
        <v>25.84</v>
      </c>
      <c r="M63" s="6">
        <v>39.380000000000003</v>
      </c>
      <c r="N63" s="6">
        <v>319.5</v>
      </c>
      <c r="O63" s="6">
        <v>0</v>
      </c>
      <c r="P63" s="6">
        <v>0.34</v>
      </c>
      <c r="Q63" s="6">
        <v>10</v>
      </c>
      <c r="R63" s="6"/>
      <c r="S63" s="6"/>
      <c r="T63" s="156"/>
      <c r="U63" s="6"/>
    </row>
    <row r="64" spans="1:21" customFormat="1">
      <c r="A64" s="201" t="s">
        <v>1063</v>
      </c>
      <c r="B64" s="6">
        <v>4.72</v>
      </c>
      <c r="C64" s="6">
        <v>8.32</v>
      </c>
      <c r="D64" s="6">
        <v>13.05</v>
      </c>
      <c r="E64" s="6">
        <v>6.4</v>
      </c>
      <c r="F64" s="151" t="s">
        <v>8</v>
      </c>
      <c r="G64" s="6">
        <v>75.22</v>
      </c>
      <c r="H64" s="6">
        <v>31.44</v>
      </c>
      <c r="I64" s="6">
        <v>6.69</v>
      </c>
      <c r="J64" s="6">
        <v>0.26</v>
      </c>
      <c r="K64" s="6">
        <v>337.31</v>
      </c>
      <c r="L64" s="6">
        <v>22.72</v>
      </c>
      <c r="M64" s="6">
        <v>30.5</v>
      </c>
      <c r="N64" s="6">
        <v>362.4</v>
      </c>
      <c r="O64" s="6">
        <v>0</v>
      </c>
      <c r="P64" s="6">
        <v>0.34</v>
      </c>
      <c r="Q64" s="6">
        <v>10</v>
      </c>
      <c r="R64" s="6"/>
      <c r="S64" s="6"/>
      <c r="T64" s="156"/>
      <c r="U64" s="6"/>
    </row>
    <row r="65" spans="1:21" customFormat="1">
      <c r="A65" s="201" t="s">
        <v>1064</v>
      </c>
      <c r="B65" s="6">
        <v>4.53</v>
      </c>
      <c r="C65" s="6">
        <v>8.0299999999999994</v>
      </c>
      <c r="D65" s="6">
        <v>12.57</v>
      </c>
      <c r="E65" s="6">
        <v>5.75</v>
      </c>
      <c r="F65" s="151" t="s">
        <v>8</v>
      </c>
      <c r="G65" s="6">
        <v>75.22</v>
      </c>
      <c r="H65" s="6">
        <v>31.44</v>
      </c>
      <c r="I65" s="6">
        <v>6.48</v>
      </c>
      <c r="J65" s="6">
        <v>0.33</v>
      </c>
      <c r="K65" s="6">
        <v>33.4</v>
      </c>
      <c r="L65" s="6">
        <v>14.57</v>
      </c>
      <c r="M65" s="6">
        <v>10.75</v>
      </c>
      <c r="N65" s="6">
        <v>330.9</v>
      </c>
      <c r="O65" s="6">
        <v>0</v>
      </c>
      <c r="P65" s="6">
        <v>0.34</v>
      </c>
      <c r="Q65" s="6">
        <v>10</v>
      </c>
      <c r="R65" s="6"/>
      <c r="S65" s="6"/>
      <c r="T65" s="156"/>
      <c r="U65" s="6"/>
    </row>
    <row r="66" spans="1:21" customFormat="1">
      <c r="A66" s="201" t="s">
        <v>1065</v>
      </c>
      <c r="B66" s="6">
        <v>4.55</v>
      </c>
      <c r="C66" s="6">
        <v>8.57</v>
      </c>
      <c r="D66" s="6">
        <v>13.12</v>
      </c>
      <c r="E66" s="6">
        <v>6.02</v>
      </c>
      <c r="F66" s="151" t="s">
        <v>8</v>
      </c>
      <c r="G66" s="6">
        <v>75.22</v>
      </c>
      <c r="H66" s="6">
        <v>31.44</v>
      </c>
      <c r="I66" s="6">
        <v>6.4</v>
      </c>
      <c r="J66" s="6">
        <v>0.48</v>
      </c>
      <c r="K66" s="6">
        <v>18.12</v>
      </c>
      <c r="L66" s="6">
        <v>16.12</v>
      </c>
      <c r="M66" s="6">
        <v>16.66</v>
      </c>
      <c r="N66" s="6">
        <v>242.2</v>
      </c>
      <c r="O66" s="6">
        <v>0</v>
      </c>
      <c r="P66" s="6">
        <v>0.33</v>
      </c>
      <c r="Q66" s="6">
        <v>10</v>
      </c>
      <c r="R66" s="6"/>
      <c r="S66" s="6"/>
      <c r="T66" s="156"/>
      <c r="U66" s="6"/>
    </row>
    <row r="67" spans="1:21" customFormat="1">
      <c r="A67" s="201" t="s">
        <v>1066</v>
      </c>
      <c r="B67" s="6">
        <v>4.2699999999999996</v>
      </c>
      <c r="C67" s="6">
        <v>8.3800000000000008</v>
      </c>
      <c r="D67" s="6">
        <v>12.65</v>
      </c>
      <c r="E67" s="6">
        <v>5.62</v>
      </c>
      <c r="F67" s="151" t="s">
        <v>8</v>
      </c>
      <c r="G67" s="6">
        <v>71.03</v>
      </c>
      <c r="H67" s="6">
        <v>28.27</v>
      </c>
      <c r="I67" s="6">
        <v>6.29</v>
      </c>
      <c r="J67" s="6">
        <v>0.46</v>
      </c>
      <c r="K67" s="6">
        <v>30.23</v>
      </c>
      <c r="L67" s="6">
        <v>10.86</v>
      </c>
      <c r="M67" s="6">
        <v>5.99</v>
      </c>
      <c r="N67" s="6">
        <v>103</v>
      </c>
      <c r="O67" s="6">
        <v>0</v>
      </c>
      <c r="P67" s="6">
        <v>0.32</v>
      </c>
      <c r="Q67" s="6">
        <v>10</v>
      </c>
      <c r="R67" s="6"/>
      <c r="S67" s="6"/>
      <c r="T67" s="156"/>
      <c r="U67" s="6"/>
    </row>
    <row r="68" spans="1:21" customFormat="1">
      <c r="A68" s="201" t="s">
        <v>1067</v>
      </c>
      <c r="B68" s="6">
        <v>4.32</v>
      </c>
      <c r="C68" s="6">
        <v>8.8699999999999992</v>
      </c>
      <c r="D68" s="6">
        <v>13.19</v>
      </c>
      <c r="E68" s="6">
        <v>5.42</v>
      </c>
      <c r="F68" s="151" t="s">
        <v>8</v>
      </c>
      <c r="G68" s="6">
        <v>69.83</v>
      </c>
      <c r="H68" s="6">
        <v>28.27</v>
      </c>
      <c r="I68" s="6">
        <v>5.92</v>
      </c>
      <c r="J68" s="6">
        <v>0.34</v>
      </c>
      <c r="K68" s="6">
        <v>9.41</v>
      </c>
      <c r="L68" s="6">
        <v>15.62</v>
      </c>
      <c r="M68" s="6">
        <v>18.690000000000001</v>
      </c>
      <c r="N68" s="6">
        <v>70.099999999999994</v>
      </c>
      <c r="O68" s="6">
        <v>0</v>
      </c>
      <c r="P68" s="6">
        <v>0.32</v>
      </c>
      <c r="Q68" s="6">
        <v>10</v>
      </c>
      <c r="R68" s="6"/>
      <c r="S68" s="6"/>
      <c r="T68" s="156"/>
      <c r="U68" s="6"/>
    </row>
    <row r="69" spans="1:21" customFormat="1">
      <c r="A69" s="201" t="s">
        <v>1068</v>
      </c>
      <c r="B69" s="6">
        <v>5.19</v>
      </c>
      <c r="C69" s="6">
        <v>10.1</v>
      </c>
      <c r="D69" s="6">
        <v>15.29</v>
      </c>
      <c r="E69" s="6">
        <v>5.49</v>
      </c>
      <c r="F69" s="151" t="s">
        <v>8</v>
      </c>
      <c r="G69" s="6">
        <v>69.83</v>
      </c>
      <c r="H69" s="6">
        <v>28.27</v>
      </c>
      <c r="I69" s="6">
        <v>5.75</v>
      </c>
      <c r="J69" s="6">
        <v>0.28999999999999998</v>
      </c>
      <c r="K69" s="6">
        <v>356.29</v>
      </c>
      <c r="L69" s="6">
        <v>15.07</v>
      </c>
      <c r="M69" s="6">
        <v>17.940000000000001</v>
      </c>
      <c r="N69" s="6">
        <v>70.900000000000006</v>
      </c>
      <c r="O69" s="6">
        <v>0</v>
      </c>
      <c r="P69" s="6">
        <v>0.32</v>
      </c>
      <c r="Q69" s="6">
        <v>10</v>
      </c>
      <c r="R69" s="6"/>
      <c r="S69" s="6"/>
      <c r="T69" s="156"/>
      <c r="U69" s="6"/>
    </row>
    <row r="70" spans="1:21" customFormat="1">
      <c r="A70" s="201" t="s">
        <v>1069</v>
      </c>
      <c r="B70" s="6">
        <v>4.78</v>
      </c>
      <c r="C70" s="6">
        <v>9.81</v>
      </c>
      <c r="D70" s="6">
        <v>14.58</v>
      </c>
      <c r="E70" s="6">
        <v>6.07</v>
      </c>
      <c r="F70" s="151" t="s">
        <v>8</v>
      </c>
      <c r="G70" s="6">
        <v>69.83</v>
      </c>
      <c r="H70" s="6">
        <v>28.27</v>
      </c>
      <c r="I70" s="6">
        <v>5.71</v>
      </c>
      <c r="J70" s="6">
        <v>0.28999999999999998</v>
      </c>
      <c r="K70" s="6">
        <v>0.38</v>
      </c>
      <c r="L70" s="6">
        <v>17</v>
      </c>
      <c r="M70" s="6">
        <v>22.22</v>
      </c>
      <c r="N70" s="6">
        <v>66.7</v>
      </c>
      <c r="O70" s="6">
        <v>0</v>
      </c>
      <c r="P70" s="6">
        <v>0.31</v>
      </c>
      <c r="Q70" s="6">
        <v>10</v>
      </c>
      <c r="R70" s="6"/>
      <c r="S70" s="6"/>
      <c r="T70" s="156"/>
      <c r="U70" s="6"/>
    </row>
    <row r="71" spans="1:21" customFormat="1">
      <c r="A71" s="201" t="s">
        <v>1070</v>
      </c>
      <c r="B71" s="133" t="s">
        <v>4</v>
      </c>
      <c r="C71" s="133" t="s">
        <v>4</v>
      </c>
      <c r="D71" s="133" t="s">
        <v>4</v>
      </c>
      <c r="E71" s="133" t="s">
        <v>4</v>
      </c>
      <c r="F71" s="133" t="s">
        <v>4</v>
      </c>
      <c r="G71" s="133" t="s">
        <v>4</v>
      </c>
      <c r="H71" s="133" t="s">
        <v>4</v>
      </c>
      <c r="I71" s="133" t="s">
        <v>4</v>
      </c>
      <c r="J71" s="133" t="s">
        <v>4</v>
      </c>
      <c r="K71" s="133" t="s">
        <v>4</v>
      </c>
      <c r="L71" s="133" t="s">
        <v>4</v>
      </c>
      <c r="M71" s="133" t="s">
        <v>4</v>
      </c>
      <c r="N71" s="133" t="s">
        <v>4</v>
      </c>
      <c r="O71" s="133" t="s">
        <v>4</v>
      </c>
      <c r="P71" s="133" t="s">
        <v>4</v>
      </c>
      <c r="Q71" s="133" t="s">
        <v>4</v>
      </c>
      <c r="R71" s="6"/>
      <c r="S71" s="6"/>
      <c r="T71" s="156"/>
      <c r="U71" s="6"/>
    </row>
    <row r="72" spans="1:21" customFormat="1">
      <c r="A72" s="201" t="s">
        <v>1071</v>
      </c>
      <c r="B72" s="133" t="s">
        <v>4</v>
      </c>
      <c r="C72" s="133" t="s">
        <v>4</v>
      </c>
      <c r="D72" s="133" t="s">
        <v>4</v>
      </c>
      <c r="E72" s="133" t="s">
        <v>4</v>
      </c>
      <c r="F72" s="133" t="s">
        <v>4</v>
      </c>
      <c r="G72" s="133" t="s">
        <v>4</v>
      </c>
      <c r="H72" s="133" t="s">
        <v>4</v>
      </c>
      <c r="I72" s="133" t="s">
        <v>4</v>
      </c>
      <c r="J72" s="133" t="s">
        <v>4</v>
      </c>
      <c r="K72" s="133" t="s">
        <v>4</v>
      </c>
      <c r="L72" s="133" t="s">
        <v>4</v>
      </c>
      <c r="M72" s="133" t="s">
        <v>4</v>
      </c>
      <c r="N72" s="133" t="s">
        <v>4</v>
      </c>
      <c r="O72" s="133" t="s">
        <v>4</v>
      </c>
      <c r="P72" s="133" t="s">
        <v>4</v>
      </c>
      <c r="Q72" s="133" t="s">
        <v>4</v>
      </c>
      <c r="R72" s="6"/>
      <c r="S72" s="6"/>
      <c r="T72" s="156"/>
      <c r="U72" s="6"/>
    </row>
    <row r="73" spans="1:21" customFormat="1">
      <c r="A73" s="201" t="s">
        <v>1072</v>
      </c>
      <c r="B73" s="150" t="s">
        <v>21</v>
      </c>
      <c r="C73" s="150" t="s">
        <v>21</v>
      </c>
      <c r="D73" s="150" t="s">
        <v>21</v>
      </c>
      <c r="E73" s="150" t="s">
        <v>21</v>
      </c>
      <c r="F73" s="151" t="s">
        <v>8</v>
      </c>
      <c r="G73" s="6">
        <v>67.64</v>
      </c>
      <c r="H73" s="6">
        <v>32.21</v>
      </c>
      <c r="I73" s="150" t="s">
        <v>21</v>
      </c>
      <c r="J73" s="6">
        <v>0.51</v>
      </c>
      <c r="K73" s="6">
        <v>41.21</v>
      </c>
      <c r="L73" s="6">
        <v>7.87</v>
      </c>
      <c r="M73" s="6">
        <v>-0.4</v>
      </c>
      <c r="N73" s="6">
        <v>61.9</v>
      </c>
      <c r="O73" s="6">
        <v>0</v>
      </c>
      <c r="P73" s="6">
        <v>0.42</v>
      </c>
      <c r="Q73" s="150" t="s">
        <v>21</v>
      </c>
      <c r="R73" s="6"/>
      <c r="S73" s="6"/>
      <c r="T73" s="156"/>
      <c r="U73" s="6"/>
    </row>
    <row r="74" spans="1:21" customFormat="1">
      <c r="A74" s="201" t="s">
        <v>1073</v>
      </c>
      <c r="B74" s="6">
        <v>3.75</v>
      </c>
      <c r="C74" s="6">
        <v>6.52</v>
      </c>
      <c r="D74" s="6">
        <v>10.27</v>
      </c>
      <c r="E74" s="6">
        <v>4.32</v>
      </c>
      <c r="F74" s="151" t="s">
        <v>8</v>
      </c>
      <c r="G74" s="6">
        <v>67.64</v>
      </c>
      <c r="H74" s="6">
        <v>32.76</v>
      </c>
      <c r="I74" s="150" t="s">
        <v>21</v>
      </c>
      <c r="J74" s="6">
        <v>0.45</v>
      </c>
      <c r="K74" s="6">
        <v>35</v>
      </c>
      <c r="L74" s="6">
        <v>10.68</v>
      </c>
      <c r="M74" s="6">
        <v>7.06</v>
      </c>
      <c r="N74" s="6">
        <v>56.4</v>
      </c>
      <c r="O74" s="6">
        <v>0</v>
      </c>
      <c r="P74" s="6">
        <v>0.47</v>
      </c>
      <c r="Q74" s="6">
        <v>10</v>
      </c>
      <c r="R74" s="6"/>
      <c r="S74" s="6"/>
      <c r="T74" s="156"/>
      <c r="U74" s="6"/>
    </row>
    <row r="75" spans="1:21" customFormat="1">
      <c r="A75" s="201" t="s">
        <v>1074</v>
      </c>
      <c r="B75" s="6">
        <v>3.21</v>
      </c>
      <c r="C75" s="6">
        <v>9.48</v>
      </c>
      <c r="D75" s="6">
        <v>12.69</v>
      </c>
      <c r="E75" s="6">
        <v>5.4</v>
      </c>
      <c r="F75" s="151" t="s">
        <v>8</v>
      </c>
      <c r="G75" s="6">
        <v>66.540000000000006</v>
      </c>
      <c r="H75" s="6">
        <v>32.01</v>
      </c>
      <c r="I75" s="6">
        <v>5.34</v>
      </c>
      <c r="J75" s="6">
        <v>0.43</v>
      </c>
      <c r="K75" s="6">
        <v>42.66</v>
      </c>
      <c r="L75" s="6">
        <v>8.44</v>
      </c>
      <c r="M75" s="6">
        <v>1.88</v>
      </c>
      <c r="N75" s="6">
        <v>47.1</v>
      </c>
      <c r="O75" s="6">
        <v>0</v>
      </c>
      <c r="P75" s="6">
        <v>0.45</v>
      </c>
      <c r="Q75" s="6">
        <v>10</v>
      </c>
      <c r="R75" s="6"/>
      <c r="S75" s="6"/>
      <c r="T75" s="156"/>
      <c r="U75" s="6"/>
    </row>
    <row r="76" spans="1:21" customFormat="1">
      <c r="A76" s="201" t="s">
        <v>1075</v>
      </c>
      <c r="B76" s="6">
        <v>3.5</v>
      </c>
      <c r="C76" s="6">
        <v>11.45</v>
      </c>
      <c r="D76" s="6">
        <v>14.96</v>
      </c>
      <c r="E76" s="6">
        <v>6.71</v>
      </c>
      <c r="F76" s="151" t="s">
        <v>8</v>
      </c>
      <c r="G76" s="6">
        <v>66.22</v>
      </c>
      <c r="H76" s="6">
        <v>32.01</v>
      </c>
      <c r="I76" s="6">
        <v>7.67</v>
      </c>
      <c r="J76" s="6">
        <v>0.25</v>
      </c>
      <c r="K76" s="6">
        <v>137.44999999999999</v>
      </c>
      <c r="L76" s="6">
        <v>13.17</v>
      </c>
      <c r="M76" s="6">
        <v>14.19</v>
      </c>
      <c r="N76" s="6">
        <v>38.6</v>
      </c>
      <c r="O76" s="6">
        <v>0</v>
      </c>
      <c r="P76" s="6">
        <v>0.42</v>
      </c>
      <c r="Q76" s="6">
        <v>10</v>
      </c>
      <c r="R76" s="6"/>
      <c r="S76" s="6"/>
      <c r="T76" s="156"/>
      <c r="U76" s="6"/>
    </row>
    <row r="77" spans="1:21" customFormat="1">
      <c r="A77" s="201" t="s">
        <v>1076</v>
      </c>
      <c r="B77" s="6">
        <v>1.78</v>
      </c>
      <c r="C77" s="6">
        <v>8.27</v>
      </c>
      <c r="D77" s="6">
        <v>10.050000000000001</v>
      </c>
      <c r="E77" s="6">
        <v>1.69</v>
      </c>
      <c r="F77" s="151" t="s">
        <v>8</v>
      </c>
      <c r="G77" s="6">
        <v>66.22</v>
      </c>
      <c r="H77" s="6">
        <v>32.01</v>
      </c>
      <c r="I77" s="6">
        <v>7.6</v>
      </c>
      <c r="J77" s="6">
        <v>0.17</v>
      </c>
      <c r="K77" s="6">
        <v>164.77</v>
      </c>
      <c r="L77" s="6">
        <v>16.32</v>
      </c>
      <c r="M77" s="6">
        <v>22.39</v>
      </c>
      <c r="N77" s="6">
        <v>28.3</v>
      </c>
      <c r="O77" s="6">
        <v>0</v>
      </c>
      <c r="P77" s="6">
        <v>0.38</v>
      </c>
      <c r="Q77" s="6">
        <v>10</v>
      </c>
      <c r="R77" s="6"/>
      <c r="S77" s="6"/>
      <c r="T77" s="156"/>
      <c r="U77" s="6"/>
    </row>
    <row r="78" spans="1:21" customFormat="1">
      <c r="A78" s="201" t="s">
        <v>1077</v>
      </c>
      <c r="B78" s="6">
        <v>1.53</v>
      </c>
      <c r="C78" s="6">
        <v>7.41</v>
      </c>
      <c r="D78" s="6">
        <v>8.94</v>
      </c>
      <c r="E78" s="6">
        <v>0.11</v>
      </c>
      <c r="F78" s="151" t="s">
        <v>8</v>
      </c>
      <c r="G78" s="6">
        <v>66.22</v>
      </c>
      <c r="H78" s="6">
        <v>32.01</v>
      </c>
      <c r="I78" s="6">
        <v>6.95</v>
      </c>
      <c r="J78" s="6">
        <v>0.14000000000000001</v>
      </c>
      <c r="K78" s="6">
        <v>130.68</v>
      </c>
      <c r="L78" s="6">
        <v>14.09</v>
      </c>
      <c r="M78" s="6">
        <v>17</v>
      </c>
      <c r="N78" s="6">
        <v>19.5</v>
      </c>
      <c r="O78" s="6">
        <v>0</v>
      </c>
      <c r="P78" s="6">
        <v>0.41</v>
      </c>
      <c r="Q78" s="6">
        <v>10</v>
      </c>
      <c r="R78" s="6"/>
      <c r="S78" s="6"/>
      <c r="T78" s="156"/>
      <c r="U78" s="6"/>
    </row>
    <row r="79" spans="1:21" customFormat="1">
      <c r="A79" s="201" t="s">
        <v>1078</v>
      </c>
      <c r="B79" s="6">
        <v>1.51</v>
      </c>
      <c r="C79" s="6">
        <v>7.08</v>
      </c>
      <c r="D79" s="6">
        <v>8.59</v>
      </c>
      <c r="E79" s="6">
        <v>0</v>
      </c>
      <c r="F79" s="151" t="s">
        <v>8</v>
      </c>
      <c r="G79" s="6">
        <v>65.94</v>
      </c>
      <c r="H79" s="6">
        <v>35.21</v>
      </c>
      <c r="I79" s="6">
        <v>6.16</v>
      </c>
      <c r="J79" s="6">
        <v>0.17</v>
      </c>
      <c r="K79" s="6">
        <v>153.34</v>
      </c>
      <c r="L79" s="6">
        <v>15.15</v>
      </c>
      <c r="M79" s="6">
        <v>20.02</v>
      </c>
      <c r="N79" s="6">
        <v>9</v>
      </c>
      <c r="O79" s="6">
        <v>0</v>
      </c>
      <c r="P79" s="6">
        <v>0.42</v>
      </c>
      <c r="Q79" s="6">
        <v>10</v>
      </c>
      <c r="R79" s="6"/>
      <c r="S79" s="6"/>
      <c r="T79" s="156"/>
      <c r="U79" s="6"/>
    </row>
    <row r="80" spans="1:21" customFormat="1">
      <c r="A80" s="201" t="s">
        <v>1079</v>
      </c>
      <c r="B80" s="6">
        <v>1.29</v>
      </c>
      <c r="C80" s="6">
        <v>6.82</v>
      </c>
      <c r="D80" s="6">
        <v>8.11</v>
      </c>
      <c r="E80" s="6">
        <v>0</v>
      </c>
      <c r="F80" s="151" t="s">
        <v>8</v>
      </c>
      <c r="G80" s="6">
        <v>65.86</v>
      </c>
      <c r="H80" s="6">
        <v>35.21</v>
      </c>
      <c r="I80" s="6">
        <v>6.35</v>
      </c>
      <c r="J80" s="6">
        <v>0.09</v>
      </c>
      <c r="K80" s="6">
        <v>155.63999999999999</v>
      </c>
      <c r="L80" s="6">
        <v>16.11</v>
      </c>
      <c r="M80" s="6">
        <v>22.53</v>
      </c>
      <c r="N80" s="6">
        <v>3.6</v>
      </c>
      <c r="O80" s="6">
        <v>0</v>
      </c>
      <c r="P80" s="6">
        <v>0.38</v>
      </c>
      <c r="Q80" s="6">
        <v>10</v>
      </c>
      <c r="R80" s="6"/>
      <c r="S80" s="6"/>
      <c r="T80" s="156"/>
      <c r="U80" s="6"/>
    </row>
    <row r="81" spans="1:21" customFormat="1">
      <c r="A81" s="201" t="s">
        <v>1080</v>
      </c>
      <c r="B81" s="6">
        <v>1.1399999999999999</v>
      </c>
      <c r="C81" s="6">
        <v>6.71</v>
      </c>
      <c r="D81" s="6">
        <v>7.85</v>
      </c>
      <c r="E81" s="6">
        <v>5.47</v>
      </c>
      <c r="F81" s="151" t="s">
        <v>8</v>
      </c>
      <c r="G81" s="6">
        <v>65.86</v>
      </c>
      <c r="H81" s="6">
        <v>35.21</v>
      </c>
      <c r="I81" s="6">
        <v>6.27</v>
      </c>
      <c r="J81" s="6">
        <v>0.12</v>
      </c>
      <c r="K81" s="6">
        <v>142.96</v>
      </c>
      <c r="L81" s="6">
        <v>14.74</v>
      </c>
      <c r="M81" s="6">
        <v>19.14</v>
      </c>
      <c r="N81" s="6">
        <v>2.6</v>
      </c>
      <c r="O81" s="6">
        <v>0</v>
      </c>
      <c r="P81" s="6">
        <v>0.37</v>
      </c>
      <c r="Q81" s="6">
        <v>10</v>
      </c>
      <c r="R81" s="6"/>
      <c r="S81" s="6"/>
      <c r="T81" s="156"/>
      <c r="U81" s="6"/>
    </row>
    <row r="82" spans="1:21" customFormat="1">
      <c r="A82" s="201" t="s">
        <v>1081</v>
      </c>
      <c r="B82" s="6">
        <v>1.34</v>
      </c>
      <c r="C82" s="6">
        <v>6.4</v>
      </c>
      <c r="D82" s="6">
        <v>7.74</v>
      </c>
      <c r="E82" s="6">
        <v>6.2</v>
      </c>
      <c r="F82" s="151" t="s">
        <v>8</v>
      </c>
      <c r="G82" s="6">
        <v>65.86</v>
      </c>
      <c r="H82" s="6">
        <v>35.21</v>
      </c>
      <c r="I82" s="6">
        <v>5.9</v>
      </c>
      <c r="J82" s="6">
        <v>7.0000000000000007E-2</v>
      </c>
      <c r="K82" s="6">
        <v>231.84</v>
      </c>
      <c r="L82" s="6">
        <v>20.96</v>
      </c>
      <c r="M82" s="6">
        <v>34.71</v>
      </c>
      <c r="N82" s="6">
        <v>2.6</v>
      </c>
      <c r="O82" s="6">
        <v>0</v>
      </c>
      <c r="P82" s="6">
        <v>0.4</v>
      </c>
      <c r="Q82" s="6">
        <v>10</v>
      </c>
      <c r="R82" s="6"/>
      <c r="S82" s="6"/>
      <c r="T82" s="156"/>
      <c r="U82" s="6"/>
    </row>
    <row r="83" spans="1:21" customFormat="1">
      <c r="A83" s="201" t="s">
        <v>1082</v>
      </c>
      <c r="B83" s="6">
        <v>1.07</v>
      </c>
      <c r="C83" s="6">
        <v>6.62</v>
      </c>
      <c r="D83" s="6">
        <v>7.69</v>
      </c>
      <c r="E83" s="6">
        <v>5.98</v>
      </c>
      <c r="F83" s="151" t="s">
        <v>8</v>
      </c>
      <c r="G83" s="6">
        <v>56.58</v>
      </c>
      <c r="H83" s="6">
        <v>33.75</v>
      </c>
      <c r="I83" s="6">
        <v>5.95</v>
      </c>
      <c r="J83" s="6">
        <v>0.08</v>
      </c>
      <c r="K83" s="6">
        <v>180.53</v>
      </c>
      <c r="L83" s="6">
        <v>17.55</v>
      </c>
      <c r="M83" s="6">
        <v>26.2</v>
      </c>
      <c r="N83" s="6">
        <v>2.4</v>
      </c>
      <c r="O83" s="6">
        <v>0</v>
      </c>
      <c r="P83" s="6">
        <v>0.37</v>
      </c>
      <c r="Q83" s="6">
        <v>10</v>
      </c>
      <c r="R83" s="6"/>
      <c r="S83" s="6"/>
      <c r="T83" s="156"/>
      <c r="U83" s="6"/>
    </row>
    <row r="84" spans="1:21" customFormat="1">
      <c r="A84" s="201" t="s">
        <v>1083</v>
      </c>
      <c r="B84" s="6">
        <v>1.23</v>
      </c>
      <c r="C84" s="6">
        <v>6.31</v>
      </c>
      <c r="D84" s="6">
        <v>7.55</v>
      </c>
      <c r="E84" s="6">
        <v>6.17</v>
      </c>
      <c r="F84" s="151" t="s">
        <v>8</v>
      </c>
      <c r="G84" s="6">
        <v>53.93</v>
      </c>
      <c r="H84" s="6">
        <v>33.75</v>
      </c>
      <c r="I84" s="6">
        <v>6.03</v>
      </c>
      <c r="J84" s="6">
        <v>0.16</v>
      </c>
      <c r="K84" s="6">
        <v>239.21</v>
      </c>
      <c r="L84" s="6">
        <v>20.32</v>
      </c>
      <c r="M84" s="6">
        <v>33.21</v>
      </c>
      <c r="N84" s="6">
        <v>2.4</v>
      </c>
      <c r="O84" s="6">
        <v>0</v>
      </c>
      <c r="P84" s="6">
        <v>0.38</v>
      </c>
      <c r="Q84" s="6">
        <v>10</v>
      </c>
      <c r="R84" s="6"/>
      <c r="S84" s="6"/>
      <c r="T84" s="156"/>
      <c r="U84" s="6"/>
    </row>
    <row r="85" spans="1:21" customFormat="1">
      <c r="A85" s="201" t="s">
        <v>1084</v>
      </c>
      <c r="B85" s="6">
        <v>1.26</v>
      </c>
      <c r="C85" s="6">
        <v>6.17</v>
      </c>
      <c r="D85" s="6">
        <v>7.43</v>
      </c>
      <c r="E85" s="6">
        <v>6.14</v>
      </c>
      <c r="F85" s="151" t="s">
        <v>8</v>
      </c>
      <c r="G85" s="6">
        <v>53.93</v>
      </c>
      <c r="H85" s="6">
        <v>33.75</v>
      </c>
      <c r="I85" s="6">
        <v>5.74</v>
      </c>
      <c r="J85" s="6">
        <v>0.24</v>
      </c>
      <c r="K85" s="6">
        <v>246.92</v>
      </c>
      <c r="L85" s="6">
        <v>21.28</v>
      </c>
      <c r="M85" s="6">
        <v>35.5</v>
      </c>
      <c r="N85" s="6">
        <v>2.2999999999999998</v>
      </c>
      <c r="O85" s="6">
        <v>0</v>
      </c>
      <c r="P85" s="6">
        <v>0.38</v>
      </c>
      <c r="Q85" s="6">
        <v>10</v>
      </c>
      <c r="R85" s="6"/>
      <c r="S85" s="6"/>
      <c r="T85" s="156"/>
      <c r="U85" s="6"/>
    </row>
    <row r="86" spans="1:21" customFormat="1">
      <c r="A86" s="201" t="s">
        <v>1085</v>
      </c>
      <c r="B86" s="6">
        <v>1.1100000000000001</v>
      </c>
      <c r="C86" s="6">
        <v>6.12</v>
      </c>
      <c r="D86" s="6">
        <v>7.23</v>
      </c>
      <c r="E86" s="6">
        <v>6.16</v>
      </c>
      <c r="F86" s="151" t="s">
        <v>8</v>
      </c>
      <c r="G86" s="6">
        <v>53.93</v>
      </c>
      <c r="H86" s="6">
        <v>33.75</v>
      </c>
      <c r="I86" s="6">
        <v>5.9</v>
      </c>
      <c r="J86" s="6">
        <v>0.19</v>
      </c>
      <c r="K86" s="6">
        <v>237.29</v>
      </c>
      <c r="L86" s="6">
        <v>19.62</v>
      </c>
      <c r="M86" s="6">
        <v>31.36</v>
      </c>
      <c r="N86" s="6">
        <v>2.4</v>
      </c>
      <c r="O86" s="6">
        <v>0</v>
      </c>
      <c r="P86" s="6">
        <v>0.36</v>
      </c>
      <c r="Q86" s="6">
        <v>10</v>
      </c>
      <c r="R86" s="6"/>
      <c r="S86" s="6"/>
      <c r="T86" s="156"/>
      <c r="U86" s="6"/>
    </row>
    <row r="87" spans="1:21" customFormat="1">
      <c r="A87" s="201" t="s">
        <v>1086</v>
      </c>
      <c r="B87" s="6">
        <v>1.25</v>
      </c>
      <c r="C87" s="6">
        <v>6.02</v>
      </c>
      <c r="D87" s="6">
        <v>7.27</v>
      </c>
      <c r="E87" s="6">
        <v>6.07</v>
      </c>
      <c r="F87" s="151" t="s">
        <v>8</v>
      </c>
      <c r="G87" s="6">
        <v>53.02</v>
      </c>
      <c r="H87" s="6">
        <v>31.24</v>
      </c>
      <c r="I87" s="6">
        <v>5.86</v>
      </c>
      <c r="J87" s="6">
        <v>0.12</v>
      </c>
      <c r="K87" s="6">
        <v>197.94</v>
      </c>
      <c r="L87" s="6">
        <v>19.399999999999999</v>
      </c>
      <c r="M87" s="6">
        <v>30.82</v>
      </c>
      <c r="N87" s="6">
        <v>2.4</v>
      </c>
      <c r="O87" s="6">
        <v>0</v>
      </c>
      <c r="P87" s="6">
        <v>0.37</v>
      </c>
      <c r="Q87" s="6">
        <v>10</v>
      </c>
      <c r="R87" s="6"/>
      <c r="S87" s="6"/>
      <c r="T87" s="156"/>
      <c r="U87" s="6"/>
    </row>
    <row r="88" spans="1:21" customFormat="1">
      <c r="A88" s="201" t="s">
        <v>1087</v>
      </c>
      <c r="B88" s="6">
        <v>1.28</v>
      </c>
      <c r="C88" s="6">
        <v>6.01</v>
      </c>
      <c r="D88" s="6">
        <v>7.29</v>
      </c>
      <c r="E88" s="6">
        <v>5.88</v>
      </c>
      <c r="F88" s="151" t="s">
        <v>8</v>
      </c>
      <c r="G88" s="6">
        <v>52.76</v>
      </c>
      <c r="H88" s="6">
        <v>31.24</v>
      </c>
      <c r="I88" s="6">
        <v>5.8</v>
      </c>
      <c r="J88" s="6">
        <v>0.17</v>
      </c>
      <c r="K88" s="6">
        <v>222.73</v>
      </c>
      <c r="L88" s="6">
        <v>18.670000000000002</v>
      </c>
      <c r="M88" s="6">
        <v>28.95</v>
      </c>
      <c r="N88" s="6">
        <v>2.4</v>
      </c>
      <c r="O88" s="6">
        <v>0</v>
      </c>
      <c r="P88" s="6">
        <v>0.37</v>
      </c>
      <c r="Q88" s="6">
        <v>10</v>
      </c>
      <c r="R88" s="6"/>
      <c r="S88" s="6"/>
      <c r="T88" s="156"/>
      <c r="U88" s="6"/>
    </row>
    <row r="89" spans="1:21" customFormat="1">
      <c r="A89" s="201" t="s">
        <v>1088</v>
      </c>
      <c r="B89" s="6">
        <v>1.27</v>
      </c>
      <c r="C89" s="6">
        <v>5.84</v>
      </c>
      <c r="D89" s="6">
        <v>7.11</v>
      </c>
      <c r="E89" s="6">
        <v>5.69</v>
      </c>
      <c r="F89" s="151" t="s">
        <v>8</v>
      </c>
      <c r="G89" s="6">
        <v>52.76</v>
      </c>
      <c r="H89" s="6">
        <v>31.24</v>
      </c>
      <c r="I89" s="6">
        <v>5.92</v>
      </c>
      <c r="J89" s="6">
        <v>0.12</v>
      </c>
      <c r="K89" s="6">
        <v>243.52</v>
      </c>
      <c r="L89" s="6">
        <v>20.72</v>
      </c>
      <c r="M89" s="6">
        <v>34.090000000000003</v>
      </c>
      <c r="N89" s="6">
        <v>2.4</v>
      </c>
      <c r="O89" s="6">
        <v>0</v>
      </c>
      <c r="P89" s="6">
        <v>0.37</v>
      </c>
      <c r="Q89" s="6">
        <v>10</v>
      </c>
      <c r="R89" s="6"/>
      <c r="S89" s="6"/>
      <c r="T89" s="156"/>
      <c r="U89" s="6"/>
    </row>
    <row r="90" spans="1:21" customFormat="1">
      <c r="A90" s="201" t="s">
        <v>1089</v>
      </c>
      <c r="B90" s="6">
        <v>1.32</v>
      </c>
      <c r="C90" s="6">
        <v>5.86</v>
      </c>
      <c r="D90" s="6">
        <v>7.18</v>
      </c>
      <c r="E90" s="6">
        <v>5.53</v>
      </c>
      <c r="F90" s="151" t="s">
        <v>8</v>
      </c>
      <c r="G90" s="6">
        <v>52.76</v>
      </c>
      <c r="H90" s="6">
        <v>31.24</v>
      </c>
      <c r="I90" s="6">
        <v>5.93</v>
      </c>
      <c r="J90" s="6">
        <v>0.12</v>
      </c>
      <c r="K90" s="6">
        <v>179.19</v>
      </c>
      <c r="L90" s="6">
        <v>17.93</v>
      </c>
      <c r="M90" s="6">
        <v>27.13</v>
      </c>
      <c r="N90" s="6">
        <v>2.4</v>
      </c>
      <c r="O90" s="6">
        <v>0</v>
      </c>
      <c r="P90" s="6">
        <v>0.39</v>
      </c>
      <c r="Q90" s="6">
        <v>10</v>
      </c>
      <c r="R90" s="6"/>
      <c r="S90" s="6"/>
      <c r="T90" s="156"/>
      <c r="U90" s="6"/>
    </row>
    <row r="91" spans="1:21" customFormat="1">
      <c r="A91" s="201" t="s">
        <v>1090</v>
      </c>
      <c r="B91" s="6">
        <v>1.17</v>
      </c>
      <c r="C91" s="6">
        <v>6.05</v>
      </c>
      <c r="D91" s="6">
        <v>7.22</v>
      </c>
      <c r="E91" s="6">
        <v>5.72</v>
      </c>
      <c r="F91" s="151" t="s">
        <v>8</v>
      </c>
      <c r="G91" s="6">
        <v>49.69</v>
      </c>
      <c r="H91" s="6">
        <v>27.61</v>
      </c>
      <c r="I91" s="6">
        <v>5.92</v>
      </c>
      <c r="J91" s="6">
        <v>0.09</v>
      </c>
      <c r="K91" s="6">
        <v>65.72</v>
      </c>
      <c r="L91" s="6">
        <v>15.71</v>
      </c>
      <c r="M91" s="6">
        <v>21.5</v>
      </c>
      <c r="N91" s="6">
        <v>2.4</v>
      </c>
      <c r="O91" s="6">
        <v>0</v>
      </c>
      <c r="P91" s="6">
        <v>0.36</v>
      </c>
      <c r="Q91" s="6">
        <v>10</v>
      </c>
      <c r="R91" s="6"/>
      <c r="S91" s="6"/>
      <c r="T91" s="156"/>
      <c r="U91" s="6"/>
    </row>
    <row r="92" spans="1:21" customFormat="1">
      <c r="A92" s="201" t="s">
        <v>1091</v>
      </c>
      <c r="B92" s="6">
        <v>1.46</v>
      </c>
      <c r="C92" s="6">
        <v>5.96</v>
      </c>
      <c r="D92" s="6">
        <v>7.42</v>
      </c>
      <c r="E92" s="6">
        <v>5.94</v>
      </c>
      <c r="F92" s="151" t="s">
        <v>8</v>
      </c>
      <c r="G92" s="6">
        <v>48.81</v>
      </c>
      <c r="H92" s="6">
        <v>27.61</v>
      </c>
      <c r="I92" s="6">
        <v>5.84</v>
      </c>
      <c r="J92" s="6">
        <v>1.19</v>
      </c>
      <c r="K92" s="6">
        <v>34.770000000000003</v>
      </c>
      <c r="L92" s="6">
        <v>7.06</v>
      </c>
      <c r="M92" s="6">
        <v>21.5</v>
      </c>
      <c r="N92" s="6">
        <v>3.4</v>
      </c>
      <c r="O92" s="6">
        <v>0</v>
      </c>
      <c r="P92" s="6">
        <v>0.37</v>
      </c>
      <c r="Q92" s="6">
        <v>10</v>
      </c>
      <c r="R92" s="6"/>
      <c r="S92" s="6"/>
      <c r="T92" s="156"/>
      <c r="U92" s="6"/>
    </row>
    <row r="93" spans="1:21" customFormat="1">
      <c r="A93" s="201" t="s">
        <v>1092</v>
      </c>
      <c r="B93" s="6">
        <v>1.47</v>
      </c>
      <c r="C93" s="6">
        <v>6.14</v>
      </c>
      <c r="D93" s="6">
        <v>7.61</v>
      </c>
      <c r="E93" s="6">
        <v>5.7</v>
      </c>
      <c r="F93" s="151" t="s">
        <v>8</v>
      </c>
      <c r="G93" s="6">
        <v>48.81</v>
      </c>
      <c r="H93" s="6">
        <v>27.61</v>
      </c>
      <c r="I93" s="6">
        <v>5.74</v>
      </c>
      <c r="J93" s="6">
        <v>1.02</v>
      </c>
      <c r="K93" s="6">
        <v>28.85</v>
      </c>
      <c r="L93" s="6">
        <v>8.66</v>
      </c>
      <c r="M93" s="6">
        <v>3.5</v>
      </c>
      <c r="N93" s="6">
        <v>3.3</v>
      </c>
      <c r="O93" s="6">
        <v>0</v>
      </c>
      <c r="P93" s="6">
        <v>0.33</v>
      </c>
      <c r="Q93" s="6">
        <v>10</v>
      </c>
      <c r="R93" s="6"/>
      <c r="S93" s="6"/>
      <c r="T93" s="156"/>
      <c r="U93" s="6"/>
    </row>
    <row r="94" spans="1:21" customFormat="1">
      <c r="A94" s="201" t="s">
        <v>1093</v>
      </c>
      <c r="B94" s="6">
        <v>1.36</v>
      </c>
      <c r="C94" s="6">
        <v>6.41</v>
      </c>
      <c r="D94" s="6">
        <v>7.77</v>
      </c>
      <c r="E94" s="6">
        <v>6.05</v>
      </c>
      <c r="F94" s="151" t="s">
        <v>8</v>
      </c>
      <c r="G94" s="6">
        <v>48.81</v>
      </c>
      <c r="H94" s="6">
        <v>27.61</v>
      </c>
      <c r="I94" s="6">
        <v>5.87</v>
      </c>
      <c r="J94" s="6">
        <v>0.67</v>
      </c>
      <c r="K94" s="6">
        <v>22.91</v>
      </c>
      <c r="L94" s="6">
        <v>12.03</v>
      </c>
      <c r="M94" s="6">
        <v>11.97</v>
      </c>
      <c r="N94" s="6">
        <v>2.9</v>
      </c>
      <c r="O94" s="6">
        <v>0</v>
      </c>
      <c r="P94" s="6">
        <v>0.32</v>
      </c>
      <c r="Q94" s="6">
        <v>10</v>
      </c>
      <c r="R94" s="6"/>
      <c r="S94" s="6"/>
      <c r="T94" s="156"/>
      <c r="U94" s="6"/>
    </row>
    <row r="95" spans="1:21" customFormat="1">
      <c r="A95" s="201" t="s">
        <v>1094</v>
      </c>
      <c r="B95" s="6">
        <v>1.32</v>
      </c>
      <c r="C95" s="6">
        <v>6.61</v>
      </c>
      <c r="D95" s="6">
        <v>7.93</v>
      </c>
      <c r="E95" s="6">
        <v>6.13</v>
      </c>
      <c r="F95" s="151" t="s">
        <v>8</v>
      </c>
      <c r="G95" s="6">
        <v>43.75</v>
      </c>
      <c r="H95" s="6">
        <v>24.77</v>
      </c>
      <c r="I95" s="6">
        <v>5.69</v>
      </c>
      <c r="J95" s="6">
        <v>0.67</v>
      </c>
      <c r="K95" s="6">
        <v>27.4</v>
      </c>
      <c r="L95" s="6">
        <v>10.050000000000001</v>
      </c>
      <c r="M95" s="6">
        <v>6.95</v>
      </c>
      <c r="N95" s="6">
        <v>2.7</v>
      </c>
      <c r="O95" s="6">
        <v>0</v>
      </c>
      <c r="P95" s="6">
        <v>0.32</v>
      </c>
      <c r="Q95" s="6">
        <v>10</v>
      </c>
      <c r="R95" s="6"/>
      <c r="S95" s="6"/>
      <c r="T95" s="156"/>
      <c r="U95" s="6"/>
    </row>
    <row r="96" spans="1:21" customFormat="1">
      <c r="A96" s="201" t="s">
        <v>1095</v>
      </c>
      <c r="B96" s="6">
        <v>1.36</v>
      </c>
      <c r="C96" s="6">
        <v>6.71</v>
      </c>
      <c r="D96" s="6">
        <v>8.07</v>
      </c>
      <c r="E96" s="6">
        <v>6.02</v>
      </c>
      <c r="F96" s="151" t="s">
        <v>8</v>
      </c>
      <c r="G96" s="6">
        <v>42.31</v>
      </c>
      <c r="H96" s="6">
        <v>24.77</v>
      </c>
      <c r="I96" s="6">
        <v>5.49</v>
      </c>
      <c r="J96" s="6">
        <v>0.24</v>
      </c>
      <c r="K96" s="6">
        <v>9.1999999999999993</v>
      </c>
      <c r="L96" s="6">
        <v>16.48</v>
      </c>
      <c r="M96" s="6">
        <v>23.14</v>
      </c>
      <c r="N96" s="6">
        <v>2.4</v>
      </c>
      <c r="O96" s="6">
        <v>0</v>
      </c>
      <c r="P96" s="6">
        <v>0.32</v>
      </c>
      <c r="Q96" s="6">
        <v>9.7899999999999991</v>
      </c>
      <c r="R96" s="6"/>
      <c r="S96" s="6"/>
      <c r="T96" s="156"/>
      <c r="U96" s="6"/>
    </row>
    <row r="97" spans="1:28" customFormat="1">
      <c r="A97" s="201" t="s">
        <v>1096</v>
      </c>
      <c r="B97" s="6">
        <v>1.44</v>
      </c>
      <c r="C97" s="6">
        <v>6.78</v>
      </c>
      <c r="D97" s="6">
        <v>8.2200000000000006</v>
      </c>
      <c r="E97" s="6">
        <v>5.97</v>
      </c>
      <c r="F97" s="151" t="s">
        <v>8</v>
      </c>
      <c r="G97" s="6">
        <v>42.31</v>
      </c>
      <c r="H97" s="6">
        <v>24.77</v>
      </c>
      <c r="I97" s="6">
        <v>5.37</v>
      </c>
      <c r="J97" s="6">
        <v>0.22</v>
      </c>
      <c r="K97" s="6">
        <v>45.77</v>
      </c>
      <c r="L97" s="6">
        <v>11.92</v>
      </c>
      <c r="M97" s="6">
        <v>11.71</v>
      </c>
      <c r="N97" s="6">
        <v>2.5</v>
      </c>
      <c r="O97" s="6">
        <v>0</v>
      </c>
      <c r="P97" s="6">
        <v>0.32</v>
      </c>
      <c r="Q97" s="6">
        <v>12.27</v>
      </c>
      <c r="R97" s="6"/>
      <c r="S97" s="6"/>
      <c r="T97" s="156"/>
      <c r="U97" s="6"/>
    </row>
    <row r="98" spans="1:28" customFormat="1">
      <c r="A98" s="201" t="s">
        <v>1097</v>
      </c>
      <c r="B98" s="6">
        <v>1.46</v>
      </c>
      <c r="C98" s="6">
        <v>6.77</v>
      </c>
      <c r="D98" s="6">
        <v>8.23</v>
      </c>
      <c r="E98" s="6">
        <v>6.08</v>
      </c>
      <c r="F98" s="151" t="s">
        <v>8</v>
      </c>
      <c r="G98" s="6">
        <v>42.31</v>
      </c>
      <c r="H98" s="6">
        <v>24.77</v>
      </c>
      <c r="I98" s="6">
        <v>5.33</v>
      </c>
      <c r="J98" s="6">
        <v>0.12</v>
      </c>
      <c r="K98" s="6">
        <v>43.62</v>
      </c>
      <c r="L98" s="6">
        <v>13.55</v>
      </c>
      <c r="M98" s="6">
        <v>15.9</v>
      </c>
      <c r="N98" s="6">
        <v>2.2000000000000002</v>
      </c>
      <c r="O98" s="6">
        <v>0</v>
      </c>
      <c r="P98" s="6">
        <v>0.31</v>
      </c>
      <c r="Q98" s="6">
        <v>10</v>
      </c>
      <c r="R98" s="6"/>
      <c r="S98" s="6"/>
      <c r="T98" s="156"/>
      <c r="U98" s="6"/>
    </row>
    <row r="99" spans="1:28" customFormat="1">
      <c r="A99" s="201" t="s">
        <v>1098</v>
      </c>
      <c r="B99" s="6">
        <v>1.43</v>
      </c>
      <c r="C99" s="6">
        <v>6.75</v>
      </c>
      <c r="D99" s="6">
        <v>8.18</v>
      </c>
      <c r="E99" s="6">
        <v>6.12</v>
      </c>
      <c r="F99" s="151" t="s">
        <v>8</v>
      </c>
      <c r="G99" s="6">
        <v>39.4</v>
      </c>
      <c r="H99" s="6">
        <v>19.14</v>
      </c>
      <c r="I99" s="6">
        <v>5.28</v>
      </c>
      <c r="J99" s="6">
        <v>0.25</v>
      </c>
      <c r="K99" s="6">
        <v>235.11</v>
      </c>
      <c r="L99" s="6">
        <v>20.329999999999998</v>
      </c>
      <c r="M99" s="6">
        <v>33.130000000000003</v>
      </c>
      <c r="N99" s="6">
        <v>2.2000000000000002</v>
      </c>
      <c r="O99" s="6">
        <v>0</v>
      </c>
      <c r="P99" s="6">
        <v>0.3</v>
      </c>
      <c r="Q99" s="6">
        <v>10</v>
      </c>
      <c r="R99" s="6"/>
      <c r="S99" s="6"/>
      <c r="T99" s="156"/>
      <c r="U99" s="6"/>
    </row>
    <row r="100" spans="1:28" customFormat="1">
      <c r="A100" s="201" t="s">
        <v>1099</v>
      </c>
      <c r="B100" s="6">
        <v>1.41</v>
      </c>
      <c r="C100" s="6">
        <v>6.58</v>
      </c>
      <c r="D100" s="6">
        <v>7.99</v>
      </c>
      <c r="E100" s="6">
        <v>6.15</v>
      </c>
      <c r="F100" s="151" t="s">
        <v>8</v>
      </c>
      <c r="G100" s="6">
        <v>38.57</v>
      </c>
      <c r="H100" s="6">
        <v>19.14</v>
      </c>
      <c r="I100" s="6">
        <v>5.19</v>
      </c>
      <c r="J100" s="6">
        <v>0.13</v>
      </c>
      <c r="K100" s="6">
        <v>223.26</v>
      </c>
      <c r="L100" s="6">
        <v>18.12</v>
      </c>
      <c r="M100" s="6">
        <v>27.59</v>
      </c>
      <c r="N100" s="6">
        <v>2.2999999999999998</v>
      </c>
      <c r="O100" s="6">
        <v>0</v>
      </c>
      <c r="P100" s="6">
        <v>0.3</v>
      </c>
      <c r="Q100" s="6">
        <v>10.050000000000001</v>
      </c>
      <c r="R100" s="6"/>
      <c r="S100" s="6"/>
      <c r="T100" s="156"/>
      <c r="U100" s="6"/>
      <c r="AB100" s="161"/>
    </row>
    <row r="101" spans="1:28" customFormat="1">
      <c r="A101" s="201" t="s">
        <v>1100</v>
      </c>
      <c r="B101" s="6">
        <v>1.36</v>
      </c>
      <c r="C101" s="6">
        <v>6.4</v>
      </c>
      <c r="D101" s="6">
        <v>7.76</v>
      </c>
      <c r="E101" s="6">
        <v>5.96</v>
      </c>
      <c r="F101" s="151" t="s">
        <v>8</v>
      </c>
      <c r="G101" s="6">
        <v>38.57</v>
      </c>
      <c r="H101" s="6">
        <v>19.14</v>
      </c>
      <c r="I101" s="6">
        <v>5.0999999999999996</v>
      </c>
      <c r="J101" s="6">
        <v>0.11</v>
      </c>
      <c r="K101" s="6">
        <v>250.41</v>
      </c>
      <c r="L101" s="6">
        <v>22.74</v>
      </c>
      <c r="M101" s="6">
        <v>39.049999999999997</v>
      </c>
      <c r="N101" s="6">
        <v>2.2999999999999998</v>
      </c>
      <c r="O101" s="6">
        <v>0</v>
      </c>
      <c r="P101" s="6">
        <v>0.3</v>
      </c>
      <c r="Q101" s="6">
        <v>10.02</v>
      </c>
      <c r="R101" s="6"/>
      <c r="S101" s="6"/>
      <c r="T101" s="156"/>
      <c r="U101" s="6"/>
    </row>
    <row r="102" spans="1:28" customFormat="1">
      <c r="A102" s="201" t="s">
        <v>1101</v>
      </c>
      <c r="B102" s="6">
        <v>1.32</v>
      </c>
      <c r="C102" s="6">
        <v>6.36</v>
      </c>
      <c r="D102" s="6">
        <v>7.67</v>
      </c>
      <c r="E102" s="6">
        <v>5.94</v>
      </c>
      <c r="F102" s="151" t="s">
        <v>8</v>
      </c>
      <c r="G102" s="6">
        <v>38.57</v>
      </c>
      <c r="H102" s="6">
        <v>19.14</v>
      </c>
      <c r="I102" s="6">
        <v>5.01</v>
      </c>
      <c r="J102" s="6">
        <v>0.14000000000000001</v>
      </c>
      <c r="K102" s="6">
        <v>177.57</v>
      </c>
      <c r="L102" s="6">
        <v>16.77</v>
      </c>
      <c r="M102" s="6">
        <v>24.27</v>
      </c>
      <c r="N102" s="6">
        <v>2.2999999999999998</v>
      </c>
      <c r="O102" s="6">
        <v>0</v>
      </c>
      <c r="P102" s="6">
        <v>0.3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1102</v>
      </c>
      <c r="B103" s="6">
        <v>1.35</v>
      </c>
      <c r="C103" s="6">
        <v>6.32</v>
      </c>
      <c r="D103" s="6">
        <v>7.67</v>
      </c>
      <c r="E103" s="6">
        <v>6.07</v>
      </c>
      <c r="F103" s="151" t="s">
        <v>8</v>
      </c>
      <c r="G103" s="6">
        <v>38.76</v>
      </c>
      <c r="H103" s="6">
        <v>19.79</v>
      </c>
      <c r="I103" s="6">
        <v>4.9800000000000004</v>
      </c>
      <c r="J103" s="6">
        <v>0.04</v>
      </c>
      <c r="K103" s="6">
        <v>217.98</v>
      </c>
      <c r="L103" s="6">
        <v>15.98</v>
      </c>
      <c r="M103" s="6">
        <v>22.15</v>
      </c>
      <c r="N103" s="6">
        <v>2.1</v>
      </c>
      <c r="O103" s="6">
        <v>0</v>
      </c>
      <c r="P103" s="6">
        <v>0.3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1103</v>
      </c>
      <c r="B104" s="6">
        <v>1.47</v>
      </c>
      <c r="C104" s="6">
        <v>6.24</v>
      </c>
      <c r="D104" s="6">
        <v>7.7</v>
      </c>
      <c r="E104" s="6">
        <v>6.05</v>
      </c>
      <c r="F104" s="151" t="s">
        <v>8</v>
      </c>
      <c r="G104" s="6">
        <v>38.81</v>
      </c>
      <c r="H104" s="6">
        <v>19.79</v>
      </c>
      <c r="I104" s="6">
        <v>4.95</v>
      </c>
      <c r="J104" s="6">
        <v>0.13</v>
      </c>
      <c r="K104" s="6">
        <v>176.52</v>
      </c>
      <c r="L104" s="6">
        <v>17.09</v>
      </c>
      <c r="M104" s="6">
        <v>25.04</v>
      </c>
      <c r="N104" s="6">
        <v>2.1</v>
      </c>
      <c r="O104" s="6">
        <v>0</v>
      </c>
      <c r="P104" s="6">
        <v>0.3</v>
      </c>
      <c r="Q104" s="6">
        <v>11.07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1.07</v>
      </c>
      <c r="C106" s="158">
        <f>MIN(C9:C104)</f>
        <v>5.43</v>
      </c>
      <c r="D106" s="158">
        <f t="shared" ref="D106:Q106" si="0">MIN(D9:D104)</f>
        <v>7.11</v>
      </c>
      <c r="E106" s="158">
        <f t="shared" si="0"/>
        <v>0</v>
      </c>
      <c r="F106" s="158">
        <f t="shared" si="0"/>
        <v>0</v>
      </c>
      <c r="G106" s="158">
        <f t="shared" si="0"/>
        <v>38.57</v>
      </c>
      <c r="H106" s="158">
        <f t="shared" si="0"/>
        <v>16.79</v>
      </c>
      <c r="I106" s="158">
        <f t="shared" si="0"/>
        <v>4.95</v>
      </c>
      <c r="J106" s="158">
        <f t="shared" si="0"/>
        <v>0.04</v>
      </c>
      <c r="K106" s="158">
        <f t="shared" si="0"/>
        <v>0.38</v>
      </c>
      <c r="L106" s="158">
        <f t="shared" si="0"/>
        <v>7.06</v>
      </c>
      <c r="M106" s="158">
        <f t="shared" si="0"/>
        <v>-1.0900000000000001</v>
      </c>
      <c r="N106" s="158">
        <f t="shared" si="0"/>
        <v>2.1</v>
      </c>
      <c r="O106" s="158">
        <f t="shared" si="0"/>
        <v>0</v>
      </c>
      <c r="P106" s="158">
        <f t="shared" si="0"/>
        <v>0.3</v>
      </c>
      <c r="Q106" s="158">
        <f t="shared" si="0"/>
        <v>9.7899999999999991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13.94</v>
      </c>
      <c r="C107" s="157">
        <f t="shared" ref="C107:Q107" si="1">MAX(C9:C104)</f>
        <v>11.45</v>
      </c>
      <c r="D107" s="157">
        <f t="shared" si="1"/>
        <v>21.52</v>
      </c>
      <c r="E107" s="157">
        <f t="shared" si="1"/>
        <v>6.71</v>
      </c>
      <c r="F107" s="157">
        <f t="shared" si="1"/>
        <v>0</v>
      </c>
      <c r="G107" s="157">
        <f t="shared" si="1"/>
        <v>84.36</v>
      </c>
      <c r="H107" s="157">
        <f t="shared" si="1"/>
        <v>35.21</v>
      </c>
      <c r="I107" s="157">
        <f t="shared" si="1"/>
        <v>8.49</v>
      </c>
      <c r="J107" s="157">
        <f t="shared" si="1"/>
        <v>1.19</v>
      </c>
      <c r="K107" s="157">
        <f t="shared" si="1"/>
        <v>359.99</v>
      </c>
      <c r="L107" s="157">
        <f t="shared" si="1"/>
        <v>28.44</v>
      </c>
      <c r="M107" s="157">
        <f t="shared" si="1"/>
        <v>48.23</v>
      </c>
      <c r="N107" s="157">
        <f t="shared" si="1"/>
        <v>629.9</v>
      </c>
      <c r="O107" s="157">
        <f t="shared" si="1"/>
        <v>0</v>
      </c>
      <c r="P107" s="157">
        <f t="shared" si="1"/>
        <v>0.47</v>
      </c>
      <c r="Q107" s="157">
        <f t="shared" si="1"/>
        <v>12.27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6.1374193548387135</v>
      </c>
      <c r="C108" s="158">
        <f t="shared" ref="C108:Q108" si="2">AVERAGE(C9:C104)</f>
        <v>7.0313978494623637</v>
      </c>
      <c r="D108" s="158">
        <f t="shared" si="2"/>
        <v>13.169462365591395</v>
      </c>
      <c r="E108" s="158">
        <f t="shared" si="2"/>
        <v>5.2882795698924712</v>
      </c>
      <c r="F108" s="158" t="e">
        <f t="shared" si="2"/>
        <v>#DIV/0!</v>
      </c>
      <c r="G108" s="158">
        <f t="shared" si="2"/>
        <v>61.791276595744733</v>
      </c>
      <c r="H108" s="158">
        <f t="shared" si="2"/>
        <v>26.230106382978718</v>
      </c>
      <c r="I108" s="158">
        <f t="shared" si="2"/>
        <v>6.8338043478260877</v>
      </c>
      <c r="J108" s="158">
        <f t="shared" si="2"/>
        <v>0.27904255319148946</v>
      </c>
      <c r="K108" s="158">
        <f t="shared" si="2"/>
        <v>129.2637234042553</v>
      </c>
      <c r="L108" s="158">
        <f t="shared" si="2"/>
        <v>15.677659574468088</v>
      </c>
      <c r="M108" s="158">
        <f t="shared" si="2"/>
        <v>19.129255319148943</v>
      </c>
      <c r="N108" s="158">
        <f t="shared" si="2"/>
        <v>103.76276595744677</v>
      </c>
      <c r="O108" s="158">
        <f t="shared" si="2"/>
        <v>0</v>
      </c>
      <c r="P108" s="158">
        <f t="shared" si="2"/>
        <v>0.348723404255319</v>
      </c>
      <c r="Q108" s="158">
        <f t="shared" si="2"/>
        <v>10.034408602150537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4.2608653701642272</v>
      </c>
      <c r="C109" s="158">
        <f t="shared" ref="C109:Q109" si="3">STDEV(C9:C104)</f>
        <v>1.1619526213848763</v>
      </c>
      <c r="D109" s="158">
        <f t="shared" si="3"/>
        <v>4.6914024892885893</v>
      </c>
      <c r="E109" s="158">
        <f t="shared" si="3"/>
        <v>1.1920676443965876</v>
      </c>
      <c r="F109" s="158" t="e">
        <f t="shared" si="3"/>
        <v>#DIV/0!</v>
      </c>
      <c r="G109" s="158">
        <f t="shared" si="3"/>
        <v>16.921534236983934</v>
      </c>
      <c r="H109" s="158">
        <f t="shared" si="3"/>
        <v>5.5226301772419264</v>
      </c>
      <c r="I109" s="158">
        <f t="shared" si="3"/>
        <v>0.99359027351783025</v>
      </c>
      <c r="J109" s="158">
        <f t="shared" si="3"/>
        <v>0.23081468221192927</v>
      </c>
      <c r="K109" s="158">
        <f t="shared" si="3"/>
        <v>102.87814430825323</v>
      </c>
      <c r="L109" s="158">
        <f t="shared" si="3"/>
        <v>4.2992508538546019</v>
      </c>
      <c r="M109" s="158">
        <f t="shared" si="3"/>
        <v>10.978878180677386</v>
      </c>
      <c r="N109" s="158">
        <f t="shared" si="3"/>
        <v>160.58754955424502</v>
      </c>
      <c r="O109" s="158">
        <f t="shared" si="3"/>
        <v>0</v>
      </c>
      <c r="P109" s="158">
        <f t="shared" si="3"/>
        <v>3.3990322549162608E-2</v>
      </c>
      <c r="Q109" s="158">
        <f t="shared" si="3"/>
        <v>0.26032363789509744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COUNT(B9:B104)+3</f>
        <v>96</v>
      </c>
      <c r="C110" s="157">
        <f t="shared" ref="C110:Q110" si="4">COUNT(C9:C104)+3</f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>COUNT(G9:G104)+2</f>
        <v>96</v>
      </c>
      <c r="H110" s="157">
        <f t="shared" ref="H110:Q110" si="5">COUNT(H9:H104)+2</f>
        <v>96</v>
      </c>
      <c r="I110" s="157">
        <f t="shared" si="5"/>
        <v>94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COUNT(Q9:Q104)+3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1104</v>
      </c>
      <c r="B9" s="6">
        <v>3.84</v>
      </c>
      <c r="C9" s="6">
        <v>6.56</v>
      </c>
      <c r="D9" s="6">
        <v>10.4</v>
      </c>
      <c r="E9" s="6">
        <v>6.29</v>
      </c>
      <c r="F9" s="151" t="s">
        <v>8</v>
      </c>
      <c r="G9" s="6">
        <v>38.81</v>
      </c>
      <c r="H9" s="6">
        <v>19.79</v>
      </c>
      <c r="I9" s="6">
        <v>4.83</v>
      </c>
      <c r="J9" s="6">
        <v>0.13</v>
      </c>
      <c r="K9" s="6">
        <v>221.48</v>
      </c>
      <c r="L9" s="6">
        <v>18.579999999999998</v>
      </c>
      <c r="M9" s="6">
        <v>28.73</v>
      </c>
      <c r="N9" s="6">
        <v>2.1</v>
      </c>
      <c r="O9" s="6">
        <v>0</v>
      </c>
      <c r="P9" s="6">
        <v>0.3</v>
      </c>
      <c r="Q9" s="6">
        <v>9.56</v>
      </c>
      <c r="R9" s="6"/>
      <c r="S9" s="6"/>
      <c r="T9" s="156"/>
      <c r="U9" s="6"/>
    </row>
    <row r="10" spans="1:21" customFormat="1">
      <c r="A10" s="201" t="s">
        <v>1105</v>
      </c>
      <c r="B10" s="6">
        <v>4.03</v>
      </c>
      <c r="C10" s="6">
        <v>6.46</v>
      </c>
      <c r="D10" s="6">
        <v>10.49</v>
      </c>
      <c r="E10" s="6">
        <v>6.24</v>
      </c>
      <c r="F10" s="151" t="s">
        <v>8</v>
      </c>
      <c r="G10" s="6">
        <v>38.81</v>
      </c>
      <c r="H10" s="6">
        <v>19.79</v>
      </c>
      <c r="I10" s="6">
        <v>4.84</v>
      </c>
      <c r="J10" s="6">
        <v>0.34</v>
      </c>
      <c r="K10" s="6">
        <v>53.89</v>
      </c>
      <c r="L10" s="6">
        <v>7.84</v>
      </c>
      <c r="M10" s="6">
        <v>1.58</v>
      </c>
      <c r="N10" s="6">
        <v>2.2000000000000002</v>
      </c>
      <c r="O10" s="6">
        <v>0</v>
      </c>
      <c r="P10" s="6">
        <v>0.3</v>
      </c>
      <c r="Q10" s="6">
        <v>9.89</v>
      </c>
      <c r="R10" s="6"/>
      <c r="S10" s="6"/>
      <c r="T10" s="156"/>
      <c r="U10" s="6"/>
    </row>
    <row r="11" spans="1:21" customFormat="1">
      <c r="A11" s="201" t="s">
        <v>1106</v>
      </c>
      <c r="B11" s="6">
        <v>4.45</v>
      </c>
      <c r="C11" s="6">
        <v>6.64</v>
      </c>
      <c r="D11" s="6">
        <v>11.08</v>
      </c>
      <c r="E11" s="6">
        <v>6.38</v>
      </c>
      <c r="F11" s="151" t="s">
        <v>8</v>
      </c>
      <c r="G11" s="6">
        <v>33.43</v>
      </c>
      <c r="H11" s="6">
        <v>14.56</v>
      </c>
      <c r="I11" s="6">
        <v>4.88</v>
      </c>
      <c r="J11" s="6">
        <v>0.25</v>
      </c>
      <c r="K11" s="6">
        <v>31.64</v>
      </c>
      <c r="L11" s="6">
        <v>10.37</v>
      </c>
      <c r="M11" s="6">
        <v>8.61</v>
      </c>
      <c r="N11" s="6">
        <v>2.1</v>
      </c>
      <c r="O11" s="6">
        <v>0</v>
      </c>
      <c r="P11" s="6">
        <v>0.31</v>
      </c>
      <c r="Q11" s="6">
        <v>10</v>
      </c>
      <c r="R11" s="6"/>
      <c r="S11" s="6"/>
      <c r="T11" s="156"/>
      <c r="U11" s="6"/>
    </row>
    <row r="12" spans="1:21" customFormat="1">
      <c r="A12" s="201" t="s">
        <v>1107</v>
      </c>
      <c r="B12" s="6">
        <v>4.96</v>
      </c>
      <c r="C12" s="6">
        <v>6.78</v>
      </c>
      <c r="D12" s="6">
        <v>11.74</v>
      </c>
      <c r="E12" s="6">
        <v>6.32</v>
      </c>
      <c r="F12" s="151" t="s">
        <v>8</v>
      </c>
      <c r="G12" s="6">
        <v>31.89</v>
      </c>
      <c r="H12" s="6">
        <v>14.56</v>
      </c>
      <c r="I12" s="6">
        <v>4.9000000000000004</v>
      </c>
      <c r="J12" s="6">
        <v>0.3</v>
      </c>
      <c r="K12" s="6">
        <v>38.880000000000003</v>
      </c>
      <c r="L12" s="6">
        <v>9.19</v>
      </c>
      <c r="M12" s="6">
        <v>4.91</v>
      </c>
      <c r="N12" s="6">
        <v>2.4</v>
      </c>
      <c r="O12" s="6">
        <v>0</v>
      </c>
      <c r="P12" s="6">
        <v>0.31</v>
      </c>
      <c r="Q12" s="6">
        <v>10</v>
      </c>
      <c r="R12" s="6"/>
      <c r="S12" s="6"/>
      <c r="T12" s="156"/>
      <c r="U12" s="6"/>
    </row>
    <row r="13" spans="1:21" customFormat="1">
      <c r="A13" s="201" t="s">
        <v>1108</v>
      </c>
      <c r="B13" s="6">
        <v>5.41</v>
      </c>
      <c r="C13" s="6">
        <v>6.9</v>
      </c>
      <c r="D13" s="6">
        <v>12.32</v>
      </c>
      <c r="E13" s="6">
        <v>6.44</v>
      </c>
      <c r="F13" s="151" t="s">
        <v>8</v>
      </c>
      <c r="G13" s="6">
        <v>31.89</v>
      </c>
      <c r="H13" s="6">
        <v>14.56</v>
      </c>
      <c r="I13" s="6">
        <v>4.9000000000000004</v>
      </c>
      <c r="J13" s="6">
        <v>0.27</v>
      </c>
      <c r="K13" s="6">
        <v>20.45</v>
      </c>
      <c r="L13" s="6">
        <v>11.11</v>
      </c>
      <c r="M13" s="6">
        <v>9.58</v>
      </c>
      <c r="N13" s="6">
        <v>2.4</v>
      </c>
      <c r="O13" s="6">
        <v>0</v>
      </c>
      <c r="P13" s="6">
        <v>0.31</v>
      </c>
      <c r="Q13" s="6">
        <v>10</v>
      </c>
      <c r="R13" s="6"/>
      <c r="S13" s="6"/>
      <c r="T13" s="156"/>
      <c r="U13" s="6"/>
    </row>
    <row r="14" spans="1:21" customFormat="1">
      <c r="A14" s="201" t="s">
        <v>1109</v>
      </c>
      <c r="B14" s="6">
        <v>5.64</v>
      </c>
      <c r="C14" s="6">
        <v>6.95</v>
      </c>
      <c r="D14" s="6">
        <v>12.59</v>
      </c>
      <c r="E14" s="6">
        <v>6.12</v>
      </c>
      <c r="F14" s="151" t="s">
        <v>8</v>
      </c>
      <c r="G14" s="6">
        <v>31.89</v>
      </c>
      <c r="H14" s="6">
        <v>14.56</v>
      </c>
      <c r="I14" s="6">
        <v>4.97</v>
      </c>
      <c r="J14" s="6">
        <v>0.37</v>
      </c>
      <c r="K14" s="6">
        <v>29.93</v>
      </c>
      <c r="L14" s="6">
        <v>10.32</v>
      </c>
      <c r="M14" s="6">
        <v>7.71</v>
      </c>
      <c r="N14" s="6">
        <v>2.5</v>
      </c>
      <c r="O14" s="6">
        <v>0</v>
      </c>
      <c r="P14" s="6">
        <v>0.32</v>
      </c>
      <c r="Q14" s="6">
        <v>10</v>
      </c>
      <c r="R14" s="6"/>
      <c r="S14" s="6"/>
      <c r="T14" s="156"/>
      <c r="U14" s="6"/>
    </row>
    <row r="15" spans="1:21" customFormat="1">
      <c r="A15" s="201" t="s">
        <v>1110</v>
      </c>
      <c r="B15" s="6">
        <v>5.9</v>
      </c>
      <c r="C15" s="6">
        <v>6.92</v>
      </c>
      <c r="D15" s="6">
        <v>12.82</v>
      </c>
      <c r="E15" s="6">
        <v>6.29</v>
      </c>
      <c r="F15" s="151" t="s">
        <v>8</v>
      </c>
      <c r="G15" s="6">
        <v>43.33</v>
      </c>
      <c r="H15" s="6">
        <v>18.86</v>
      </c>
      <c r="I15" s="6">
        <v>4.99</v>
      </c>
      <c r="J15" s="6">
        <v>0.33</v>
      </c>
      <c r="K15" s="6">
        <v>24.41</v>
      </c>
      <c r="L15" s="6">
        <v>11.23</v>
      </c>
      <c r="M15" s="6">
        <v>9.91</v>
      </c>
      <c r="N15" s="6">
        <v>2.4</v>
      </c>
      <c r="O15" s="6">
        <v>0</v>
      </c>
      <c r="P15" s="6">
        <v>0.34</v>
      </c>
      <c r="Q15" s="6">
        <v>10</v>
      </c>
      <c r="R15" s="6"/>
      <c r="S15" s="6"/>
      <c r="T15" s="156"/>
      <c r="U15" s="6"/>
    </row>
    <row r="16" spans="1:21" customFormat="1">
      <c r="A16" s="201" t="s">
        <v>1111</v>
      </c>
      <c r="B16" s="6">
        <v>6.26</v>
      </c>
      <c r="C16" s="6">
        <v>6.91</v>
      </c>
      <c r="D16" s="6">
        <v>13.16</v>
      </c>
      <c r="E16" s="6">
        <v>6.42</v>
      </c>
      <c r="F16" s="151" t="s">
        <v>8</v>
      </c>
      <c r="G16" s="6">
        <v>46.6</v>
      </c>
      <c r="H16" s="6">
        <v>18.86</v>
      </c>
      <c r="I16" s="6">
        <v>5.01</v>
      </c>
      <c r="J16" s="6">
        <v>0.39</v>
      </c>
      <c r="K16" s="6">
        <v>23.93</v>
      </c>
      <c r="L16" s="6">
        <v>7.73</v>
      </c>
      <c r="M16" s="6">
        <v>1.06</v>
      </c>
      <c r="N16" s="6">
        <v>2.6</v>
      </c>
      <c r="O16" s="6">
        <v>0</v>
      </c>
      <c r="P16" s="6">
        <v>0.37</v>
      </c>
      <c r="Q16" s="6">
        <v>10</v>
      </c>
      <c r="R16" s="6"/>
      <c r="S16" s="6"/>
      <c r="T16" s="156"/>
      <c r="U16" s="6"/>
    </row>
    <row r="17" spans="1:21" customFormat="1">
      <c r="A17" s="201" t="s">
        <v>1112</v>
      </c>
      <c r="B17" s="6">
        <v>6.67</v>
      </c>
      <c r="C17" s="6">
        <v>6.95</v>
      </c>
      <c r="D17" s="6">
        <v>13.62</v>
      </c>
      <c r="E17" s="6">
        <v>4.1399999999999997</v>
      </c>
      <c r="F17" s="151" t="s">
        <v>8</v>
      </c>
      <c r="G17" s="6">
        <v>46.6</v>
      </c>
      <c r="H17" s="6">
        <v>18.86</v>
      </c>
      <c r="I17" s="6">
        <v>5.16</v>
      </c>
      <c r="J17" s="6">
        <v>0.46</v>
      </c>
      <c r="K17" s="6">
        <v>30.31</v>
      </c>
      <c r="L17" s="6">
        <v>7.27</v>
      </c>
      <c r="M17" s="6">
        <v>0.02</v>
      </c>
      <c r="N17" s="6">
        <v>2.4</v>
      </c>
      <c r="O17" s="6">
        <v>0</v>
      </c>
      <c r="P17" s="6">
        <v>0.41</v>
      </c>
      <c r="Q17" s="6">
        <v>10</v>
      </c>
      <c r="R17" s="6"/>
      <c r="S17" s="6"/>
      <c r="T17" s="156"/>
      <c r="U17" s="6"/>
    </row>
    <row r="18" spans="1:21" customFormat="1">
      <c r="A18" s="201" t="s">
        <v>1113</v>
      </c>
      <c r="B18" s="6">
        <v>6.99</v>
      </c>
      <c r="C18" s="6">
        <v>6.88</v>
      </c>
      <c r="D18" s="6">
        <v>13.87</v>
      </c>
      <c r="E18" s="6">
        <v>5</v>
      </c>
      <c r="F18" s="151" t="s">
        <v>8</v>
      </c>
      <c r="G18" s="6">
        <v>46.6</v>
      </c>
      <c r="H18" s="6">
        <v>18.86</v>
      </c>
      <c r="I18" s="6">
        <v>5.46</v>
      </c>
      <c r="J18" s="6">
        <v>0.38</v>
      </c>
      <c r="K18" s="6">
        <v>30.66</v>
      </c>
      <c r="L18" s="6">
        <v>8.33</v>
      </c>
      <c r="M18" s="6">
        <v>2.74</v>
      </c>
      <c r="N18" s="6">
        <v>2.2999999999999998</v>
      </c>
      <c r="O18" s="6">
        <v>0</v>
      </c>
      <c r="P18" s="6">
        <v>0.42</v>
      </c>
      <c r="Q18" s="6">
        <v>10</v>
      </c>
      <c r="R18" s="6"/>
      <c r="S18" s="6"/>
      <c r="T18" s="156"/>
      <c r="U18" s="6"/>
    </row>
    <row r="19" spans="1:21" customFormat="1">
      <c r="A19" s="201" t="s">
        <v>1114</v>
      </c>
      <c r="B19" s="6">
        <v>7.28</v>
      </c>
      <c r="C19" s="6">
        <v>6.68</v>
      </c>
      <c r="D19" s="6">
        <v>13.96</v>
      </c>
      <c r="E19" s="6">
        <v>4.7300000000000004</v>
      </c>
      <c r="F19" s="151" t="s">
        <v>8</v>
      </c>
      <c r="G19" s="6">
        <v>80.8</v>
      </c>
      <c r="H19" s="6">
        <v>23.39</v>
      </c>
      <c r="I19" s="6">
        <v>5.82</v>
      </c>
      <c r="J19" s="6">
        <v>0.34</v>
      </c>
      <c r="K19" s="6">
        <v>37.549999999999997</v>
      </c>
      <c r="L19" s="6">
        <v>6.94</v>
      </c>
      <c r="M19" s="6">
        <v>-0.79</v>
      </c>
      <c r="N19" s="6">
        <v>2.2000000000000002</v>
      </c>
      <c r="O19" s="6">
        <v>0</v>
      </c>
      <c r="P19" s="6">
        <v>0.43</v>
      </c>
      <c r="Q19" s="6">
        <v>10.01</v>
      </c>
      <c r="R19" s="6"/>
      <c r="S19" s="6"/>
      <c r="T19" s="156"/>
      <c r="U19" s="6"/>
    </row>
    <row r="20" spans="1:21" customFormat="1">
      <c r="A20" s="201" t="s">
        <v>1115</v>
      </c>
      <c r="B20" s="6">
        <v>7.53</v>
      </c>
      <c r="C20" s="6">
        <v>6.58</v>
      </c>
      <c r="D20" s="6">
        <v>14.1</v>
      </c>
      <c r="E20" s="6">
        <v>4.99</v>
      </c>
      <c r="F20" s="151" t="s">
        <v>8</v>
      </c>
      <c r="G20" s="6">
        <v>90.57</v>
      </c>
      <c r="H20" s="6">
        <v>23.39</v>
      </c>
      <c r="I20" s="6">
        <v>5.97</v>
      </c>
      <c r="J20" s="6">
        <v>0.26</v>
      </c>
      <c r="K20" s="6">
        <v>47.55</v>
      </c>
      <c r="L20" s="6">
        <v>8.68</v>
      </c>
      <c r="M20" s="6">
        <v>3.7</v>
      </c>
      <c r="N20" s="6">
        <v>2.1</v>
      </c>
      <c r="O20" s="6">
        <v>0</v>
      </c>
      <c r="P20" s="6">
        <v>0.44</v>
      </c>
      <c r="Q20" s="6">
        <v>10</v>
      </c>
      <c r="R20" s="6"/>
      <c r="S20" s="6"/>
      <c r="T20" s="156"/>
      <c r="U20" s="6"/>
    </row>
    <row r="21" spans="1:21" customFormat="1">
      <c r="A21" s="201" t="s">
        <v>1116</v>
      </c>
      <c r="B21" s="6">
        <v>7.67</v>
      </c>
      <c r="C21" s="6">
        <v>6.55</v>
      </c>
      <c r="D21" s="6">
        <v>14.22</v>
      </c>
      <c r="E21" s="6">
        <v>4.49</v>
      </c>
      <c r="F21" s="151" t="s">
        <v>8</v>
      </c>
      <c r="G21" s="6">
        <v>90.57</v>
      </c>
      <c r="H21" s="6">
        <v>23.39</v>
      </c>
      <c r="I21" s="6">
        <v>6.06</v>
      </c>
      <c r="J21" s="6">
        <v>0.14000000000000001</v>
      </c>
      <c r="K21" s="6">
        <v>71.819999999999993</v>
      </c>
      <c r="L21" s="6">
        <v>10.09</v>
      </c>
      <c r="M21" s="6">
        <v>7.35</v>
      </c>
      <c r="N21" s="6">
        <v>2.1</v>
      </c>
      <c r="O21" s="6">
        <v>0</v>
      </c>
      <c r="P21" s="6">
        <v>0.44</v>
      </c>
      <c r="Q21" s="6">
        <v>10</v>
      </c>
      <c r="R21" s="6"/>
      <c r="S21" s="6"/>
      <c r="T21" s="156"/>
      <c r="U21" s="6"/>
    </row>
    <row r="22" spans="1:21" customFormat="1">
      <c r="A22" s="201" t="s">
        <v>1117</v>
      </c>
      <c r="B22" s="6">
        <v>7.78</v>
      </c>
      <c r="C22" s="6">
        <v>6.52</v>
      </c>
      <c r="D22" s="6">
        <v>14.3</v>
      </c>
      <c r="E22" s="6">
        <v>4.33</v>
      </c>
      <c r="F22" s="151" t="s">
        <v>8</v>
      </c>
      <c r="G22" s="6">
        <v>90.57</v>
      </c>
      <c r="H22" s="6">
        <v>23.39</v>
      </c>
      <c r="I22" s="6">
        <v>6.15</v>
      </c>
      <c r="J22" s="6">
        <v>0.06</v>
      </c>
      <c r="K22" s="6">
        <v>98.17</v>
      </c>
      <c r="L22" s="6">
        <v>12.8</v>
      </c>
      <c r="M22" s="6">
        <v>14.21</v>
      </c>
      <c r="N22" s="6">
        <v>2.1</v>
      </c>
      <c r="O22" s="6">
        <v>0</v>
      </c>
      <c r="P22" s="6">
        <v>0.43</v>
      </c>
      <c r="Q22" s="6">
        <v>10</v>
      </c>
      <c r="R22" s="6"/>
      <c r="S22" s="6"/>
      <c r="T22" s="156"/>
      <c r="U22" s="6"/>
    </row>
    <row r="23" spans="1:21" customFormat="1">
      <c r="A23" s="201" t="s">
        <v>1118</v>
      </c>
      <c r="B23" s="6">
        <v>7.93</v>
      </c>
      <c r="C23" s="6">
        <v>6.5</v>
      </c>
      <c r="D23" s="6">
        <v>14.43</v>
      </c>
      <c r="E23" s="6">
        <v>3.6</v>
      </c>
      <c r="F23" s="151" t="s">
        <v>8</v>
      </c>
      <c r="G23" s="6">
        <v>73.459999999999994</v>
      </c>
      <c r="H23" s="6">
        <v>22.97</v>
      </c>
      <c r="I23" s="6">
        <v>6.17</v>
      </c>
      <c r="J23" s="6">
        <v>0.1</v>
      </c>
      <c r="K23" s="6">
        <v>189.79</v>
      </c>
      <c r="L23" s="6">
        <v>17.93</v>
      </c>
      <c r="M23" s="6">
        <v>27.22</v>
      </c>
      <c r="N23" s="6">
        <v>2.2000000000000002</v>
      </c>
      <c r="O23" s="6">
        <v>0</v>
      </c>
      <c r="P23" s="6">
        <v>0.43</v>
      </c>
      <c r="Q23" s="6">
        <v>10</v>
      </c>
      <c r="R23" s="6"/>
      <c r="S23" s="6"/>
      <c r="T23" s="156"/>
      <c r="U23" s="6"/>
    </row>
    <row r="24" spans="1:21" customFormat="1">
      <c r="A24" s="201" t="s">
        <v>1119</v>
      </c>
      <c r="B24" s="6">
        <v>8.15</v>
      </c>
      <c r="C24" s="6">
        <v>6.49</v>
      </c>
      <c r="D24" s="6">
        <v>14.64</v>
      </c>
      <c r="E24" s="6">
        <v>4.74</v>
      </c>
      <c r="F24" s="151" t="s">
        <v>8</v>
      </c>
      <c r="G24" s="6">
        <v>68.58</v>
      </c>
      <c r="H24" s="6">
        <v>22.97</v>
      </c>
      <c r="I24" s="6">
        <v>6.16</v>
      </c>
      <c r="J24" s="6">
        <v>0.12</v>
      </c>
      <c r="K24" s="6">
        <v>190.24</v>
      </c>
      <c r="L24" s="6">
        <v>18.18</v>
      </c>
      <c r="M24" s="6">
        <v>27.81</v>
      </c>
      <c r="N24" s="6">
        <v>2.1</v>
      </c>
      <c r="O24" s="6">
        <v>0</v>
      </c>
      <c r="P24" s="6">
        <v>0.42</v>
      </c>
      <c r="Q24" s="6">
        <v>10</v>
      </c>
      <c r="R24" s="6"/>
      <c r="S24" s="6"/>
      <c r="T24" s="156"/>
      <c r="U24" s="6"/>
    </row>
    <row r="25" spans="1:21" customFormat="1">
      <c r="A25" s="201" t="s">
        <v>1120</v>
      </c>
      <c r="B25" s="6">
        <v>8.31</v>
      </c>
      <c r="C25" s="6">
        <v>6.52</v>
      </c>
      <c r="D25" s="6">
        <v>14.83</v>
      </c>
      <c r="E25" s="6">
        <v>4.87</v>
      </c>
      <c r="F25" s="151" t="s">
        <v>8</v>
      </c>
      <c r="G25" s="6">
        <v>68.58</v>
      </c>
      <c r="H25" s="6">
        <v>22.97</v>
      </c>
      <c r="I25" s="6">
        <v>6.1</v>
      </c>
      <c r="J25" s="6">
        <v>0.16</v>
      </c>
      <c r="K25" s="6">
        <v>168.2</v>
      </c>
      <c r="L25" s="6">
        <v>16.32</v>
      </c>
      <c r="M25" s="6">
        <v>23.17</v>
      </c>
      <c r="N25" s="6">
        <v>2.1</v>
      </c>
      <c r="O25" s="6">
        <v>0</v>
      </c>
      <c r="P25" s="6">
        <v>0.43</v>
      </c>
      <c r="Q25" s="6">
        <v>10</v>
      </c>
      <c r="R25" s="6"/>
      <c r="S25" s="6"/>
      <c r="T25" s="156"/>
      <c r="U25" s="6"/>
    </row>
    <row r="26" spans="1:21" customFormat="1">
      <c r="A26" s="201" t="s">
        <v>1121</v>
      </c>
      <c r="B26" s="6">
        <v>8.44</v>
      </c>
      <c r="C26" s="6">
        <v>6.47</v>
      </c>
      <c r="D26" s="6">
        <v>14.91</v>
      </c>
      <c r="E26" s="6">
        <v>4.9800000000000004</v>
      </c>
      <c r="F26" s="151" t="s">
        <v>8</v>
      </c>
      <c r="G26" s="6">
        <v>68.58</v>
      </c>
      <c r="H26" s="6">
        <v>22.97</v>
      </c>
      <c r="I26" s="6">
        <v>6.11</v>
      </c>
      <c r="J26" s="6">
        <v>0.1</v>
      </c>
      <c r="K26" s="6">
        <v>202.49</v>
      </c>
      <c r="L26" s="6">
        <v>18.34</v>
      </c>
      <c r="M26" s="6">
        <v>28.2</v>
      </c>
      <c r="N26" s="6">
        <v>2.1</v>
      </c>
      <c r="O26" s="6">
        <v>0</v>
      </c>
      <c r="P26" s="6">
        <v>0.42</v>
      </c>
      <c r="Q26" s="6">
        <v>10</v>
      </c>
      <c r="R26" s="6"/>
      <c r="S26" s="6"/>
      <c r="T26" s="156"/>
      <c r="U26" s="6"/>
    </row>
    <row r="27" spans="1:21" customFormat="1">
      <c r="A27" s="201" t="s">
        <v>1122</v>
      </c>
      <c r="B27" s="6">
        <v>8.5299999999999994</v>
      </c>
      <c r="C27" s="6">
        <v>6.53</v>
      </c>
      <c r="D27" s="6">
        <v>15.06</v>
      </c>
      <c r="E27" s="6">
        <v>4.58</v>
      </c>
      <c r="F27" s="151" t="s">
        <v>8</v>
      </c>
      <c r="G27" s="6">
        <v>62.51</v>
      </c>
      <c r="H27" s="6">
        <v>21.09</v>
      </c>
      <c r="I27" s="6">
        <v>6.02</v>
      </c>
      <c r="J27" s="6">
        <v>0.09</v>
      </c>
      <c r="K27" s="6">
        <v>173.55</v>
      </c>
      <c r="L27" s="6">
        <v>17.41</v>
      </c>
      <c r="M27" s="6">
        <v>25.88</v>
      </c>
      <c r="N27" s="6">
        <v>2.1</v>
      </c>
      <c r="O27" s="6">
        <v>0</v>
      </c>
      <c r="P27" s="6">
        <v>0.42</v>
      </c>
      <c r="Q27" s="6">
        <v>10</v>
      </c>
      <c r="R27" s="6"/>
      <c r="S27" s="6"/>
      <c r="T27" s="156"/>
      <c r="U27" s="6"/>
    </row>
    <row r="28" spans="1:21" customFormat="1">
      <c r="A28" s="201" t="s">
        <v>1123</v>
      </c>
      <c r="B28" s="6">
        <v>8.67</v>
      </c>
      <c r="C28" s="6">
        <v>6.47</v>
      </c>
      <c r="D28" s="6">
        <v>15.14</v>
      </c>
      <c r="E28" s="6">
        <v>4.8600000000000003</v>
      </c>
      <c r="F28" s="151" t="s">
        <v>8</v>
      </c>
      <c r="G28" s="6">
        <v>60.77</v>
      </c>
      <c r="H28" s="6">
        <v>21.09</v>
      </c>
      <c r="I28" s="6">
        <v>5.98</v>
      </c>
      <c r="J28" s="6">
        <v>0.14000000000000001</v>
      </c>
      <c r="K28" s="6">
        <v>180.52</v>
      </c>
      <c r="L28" s="6">
        <v>17.079999999999998</v>
      </c>
      <c r="M28" s="6">
        <v>25.03</v>
      </c>
      <c r="N28" s="6">
        <v>2.1</v>
      </c>
      <c r="O28" s="6">
        <v>0</v>
      </c>
      <c r="P28" s="6">
        <v>0.41</v>
      </c>
      <c r="Q28" s="6">
        <v>10</v>
      </c>
      <c r="R28" s="6"/>
      <c r="S28" s="6"/>
      <c r="T28" s="156"/>
      <c r="U28" s="6"/>
    </row>
    <row r="29" spans="1:21" customFormat="1">
      <c r="A29" s="201" t="s">
        <v>1124</v>
      </c>
      <c r="B29" s="6">
        <v>8.7899999999999991</v>
      </c>
      <c r="C29" s="6">
        <v>6.55</v>
      </c>
      <c r="D29" s="6">
        <v>15.33</v>
      </c>
      <c r="E29" s="6">
        <v>4.82</v>
      </c>
      <c r="F29" s="151" t="s">
        <v>8</v>
      </c>
      <c r="G29" s="6">
        <v>60.77</v>
      </c>
      <c r="H29" s="6">
        <v>21.09</v>
      </c>
      <c r="I29" s="6">
        <v>5.96</v>
      </c>
      <c r="J29" s="6">
        <v>0.1</v>
      </c>
      <c r="K29" s="6">
        <v>169.87</v>
      </c>
      <c r="L29" s="6">
        <v>15.67</v>
      </c>
      <c r="M29" s="6">
        <v>21.48</v>
      </c>
      <c r="N29" s="6">
        <v>2.1</v>
      </c>
      <c r="O29" s="6">
        <v>0</v>
      </c>
      <c r="P29" s="6">
        <v>0.42</v>
      </c>
      <c r="Q29" s="6">
        <v>10</v>
      </c>
      <c r="R29" s="6"/>
      <c r="S29" s="6"/>
      <c r="T29" s="156"/>
      <c r="U29" s="6"/>
    </row>
    <row r="30" spans="1:21" customFormat="1">
      <c r="A30" s="201" t="s">
        <v>1125</v>
      </c>
      <c r="B30" s="6">
        <v>8.9499999999999993</v>
      </c>
      <c r="C30" s="6">
        <v>6.52</v>
      </c>
      <c r="D30" s="6">
        <v>15.47</v>
      </c>
      <c r="E30" s="6">
        <v>4.82</v>
      </c>
      <c r="F30" s="151" t="s">
        <v>8</v>
      </c>
      <c r="G30" s="6">
        <v>60.77</v>
      </c>
      <c r="H30" s="6">
        <v>21.09</v>
      </c>
      <c r="I30" s="6">
        <v>5.88</v>
      </c>
      <c r="J30" s="6">
        <v>0.11</v>
      </c>
      <c r="K30" s="6">
        <v>125.15</v>
      </c>
      <c r="L30" s="6">
        <v>12.64</v>
      </c>
      <c r="M30" s="6">
        <v>13.87</v>
      </c>
      <c r="N30" s="6">
        <v>2</v>
      </c>
      <c r="O30" s="6">
        <v>0</v>
      </c>
      <c r="P30" s="6">
        <v>0.41</v>
      </c>
      <c r="Q30" s="6">
        <v>10.07</v>
      </c>
      <c r="R30" s="6"/>
      <c r="S30" s="6"/>
      <c r="T30" s="156"/>
      <c r="U30" s="6"/>
    </row>
    <row r="31" spans="1:21" customFormat="1">
      <c r="A31" s="201" t="s">
        <v>1126</v>
      </c>
      <c r="B31" s="6">
        <v>9.2100000000000009</v>
      </c>
      <c r="C31" s="6">
        <v>6.49</v>
      </c>
      <c r="D31" s="6">
        <v>15.7</v>
      </c>
      <c r="E31" s="6">
        <v>4.53</v>
      </c>
      <c r="F31" s="151" t="s">
        <v>8</v>
      </c>
      <c r="G31" s="6">
        <v>49.7</v>
      </c>
      <c r="H31" s="6">
        <v>19.18</v>
      </c>
      <c r="I31" s="6">
        <v>5.87</v>
      </c>
      <c r="J31" s="6">
        <v>0.13</v>
      </c>
      <c r="K31" s="6">
        <v>45.41</v>
      </c>
      <c r="L31" s="6">
        <v>12.36</v>
      </c>
      <c r="M31" s="6">
        <v>12.97</v>
      </c>
      <c r="N31" s="6">
        <v>2.1</v>
      </c>
      <c r="O31" s="6">
        <v>0</v>
      </c>
      <c r="P31" s="6">
        <v>0.4</v>
      </c>
      <c r="Q31" s="6">
        <v>10.02</v>
      </c>
      <c r="R31" s="6"/>
      <c r="S31" s="6"/>
      <c r="T31" s="156"/>
      <c r="U31" s="6"/>
    </row>
    <row r="32" spans="1:21" customFormat="1">
      <c r="A32" s="201" t="s">
        <v>1127</v>
      </c>
      <c r="B32" s="6">
        <v>9.52</v>
      </c>
      <c r="C32" s="6">
        <v>6.7</v>
      </c>
      <c r="D32" s="6">
        <v>16.23</v>
      </c>
      <c r="E32" s="6">
        <v>4.96</v>
      </c>
      <c r="F32" s="151" t="s">
        <v>8</v>
      </c>
      <c r="G32" s="6">
        <v>46.54</v>
      </c>
      <c r="H32" s="6">
        <v>19.18</v>
      </c>
      <c r="I32" s="6">
        <v>5.89</v>
      </c>
      <c r="J32" s="6">
        <v>0.02</v>
      </c>
      <c r="K32" s="6">
        <v>74.64</v>
      </c>
      <c r="L32" s="6">
        <v>16.16</v>
      </c>
      <c r="M32" s="6">
        <v>21.99</v>
      </c>
      <c r="N32" s="6">
        <v>3.1</v>
      </c>
      <c r="O32" s="6">
        <v>0</v>
      </c>
      <c r="P32" s="6">
        <v>0.4</v>
      </c>
      <c r="Q32" s="6">
        <v>10.07</v>
      </c>
      <c r="R32" s="6"/>
      <c r="S32" s="6"/>
      <c r="T32" s="156"/>
      <c r="U32" s="6"/>
    </row>
    <row r="33" spans="1:21" customFormat="1">
      <c r="A33" s="201" t="s">
        <v>1128</v>
      </c>
      <c r="B33" s="6">
        <v>9.86</v>
      </c>
      <c r="C33" s="6">
        <v>6.77</v>
      </c>
      <c r="D33" s="6">
        <v>16.63</v>
      </c>
      <c r="E33" s="6">
        <v>4.8499999999999996</v>
      </c>
      <c r="F33" s="151" t="s">
        <v>8</v>
      </c>
      <c r="G33" s="6">
        <v>46.54</v>
      </c>
      <c r="H33" s="6">
        <v>19.18</v>
      </c>
      <c r="I33" s="6">
        <v>5.84</v>
      </c>
      <c r="J33" s="6">
        <v>0.14000000000000001</v>
      </c>
      <c r="K33" s="6">
        <v>157.62</v>
      </c>
      <c r="L33" s="6">
        <v>15.29</v>
      </c>
      <c r="M33" s="6">
        <v>20.440000000000001</v>
      </c>
      <c r="N33" s="6">
        <v>7.7</v>
      </c>
      <c r="O33" s="6">
        <v>0</v>
      </c>
      <c r="P33" s="6">
        <v>0.4</v>
      </c>
      <c r="Q33" s="6">
        <v>10</v>
      </c>
      <c r="R33" s="6"/>
      <c r="S33" s="6"/>
      <c r="T33" s="156"/>
      <c r="U33" s="6"/>
    </row>
    <row r="34" spans="1:21" customFormat="1">
      <c r="A34" s="201" t="s">
        <v>1129</v>
      </c>
      <c r="B34" s="6">
        <v>10.130000000000001</v>
      </c>
      <c r="C34" s="6">
        <v>6.86</v>
      </c>
      <c r="D34" s="6">
        <v>16.98</v>
      </c>
      <c r="E34" s="6">
        <v>4.76</v>
      </c>
      <c r="F34" s="151" t="s">
        <v>8</v>
      </c>
      <c r="G34" s="6">
        <v>46.54</v>
      </c>
      <c r="H34" s="6">
        <v>19.18</v>
      </c>
      <c r="I34" s="6">
        <v>5.79</v>
      </c>
      <c r="J34" s="6">
        <v>0.12</v>
      </c>
      <c r="K34" s="6">
        <v>207.15</v>
      </c>
      <c r="L34" s="6">
        <v>19.23</v>
      </c>
      <c r="M34" s="6">
        <v>30.12</v>
      </c>
      <c r="N34" s="6">
        <v>15.6</v>
      </c>
      <c r="O34" s="6">
        <v>0</v>
      </c>
      <c r="P34" s="6">
        <v>0.4</v>
      </c>
      <c r="Q34" s="6">
        <v>10</v>
      </c>
      <c r="R34" s="6"/>
      <c r="S34" s="6"/>
      <c r="T34" s="156"/>
      <c r="U34" s="6"/>
    </row>
    <row r="35" spans="1:21" customFormat="1">
      <c r="A35" s="201" t="s">
        <v>1130</v>
      </c>
      <c r="B35" s="6">
        <v>10.29</v>
      </c>
      <c r="C35" s="6">
        <v>6.84</v>
      </c>
      <c r="D35" s="6">
        <v>17.13</v>
      </c>
      <c r="E35" s="6">
        <v>4.72</v>
      </c>
      <c r="F35" s="151" t="s">
        <v>8</v>
      </c>
      <c r="G35" s="6">
        <v>55.74</v>
      </c>
      <c r="H35" s="6">
        <v>24.45</v>
      </c>
      <c r="I35" s="6">
        <v>5.74</v>
      </c>
      <c r="J35" s="6">
        <v>0.13</v>
      </c>
      <c r="K35" s="6">
        <v>154.79</v>
      </c>
      <c r="L35" s="6">
        <v>15.37</v>
      </c>
      <c r="M35" s="6">
        <v>20.3</v>
      </c>
      <c r="N35" s="6">
        <v>23</v>
      </c>
      <c r="O35" s="6">
        <v>0</v>
      </c>
      <c r="P35" s="6">
        <v>0.38</v>
      </c>
      <c r="Q35" s="6">
        <v>10</v>
      </c>
      <c r="R35" s="6"/>
      <c r="S35" s="6"/>
      <c r="T35" s="156"/>
      <c r="U35" s="6"/>
    </row>
    <row r="36" spans="1:21" customFormat="1">
      <c r="A36" s="201" t="s">
        <v>1131</v>
      </c>
      <c r="B36" s="6">
        <v>10.23</v>
      </c>
      <c r="C36" s="6">
        <v>6.85</v>
      </c>
      <c r="D36" s="6">
        <v>17.079999999999998</v>
      </c>
      <c r="E36" s="6">
        <v>4.82</v>
      </c>
      <c r="F36" s="151" t="s">
        <v>8</v>
      </c>
      <c r="G36" s="6">
        <v>58.37</v>
      </c>
      <c r="H36" s="6">
        <v>24.45</v>
      </c>
      <c r="I36" s="6">
        <v>5.83</v>
      </c>
      <c r="J36" s="6">
        <v>0.05</v>
      </c>
      <c r="K36" s="6">
        <v>213.15</v>
      </c>
      <c r="L36" s="6">
        <v>17.29</v>
      </c>
      <c r="M36" s="6">
        <v>24.71</v>
      </c>
      <c r="N36" s="6">
        <v>33.200000000000003</v>
      </c>
      <c r="O36" s="6">
        <v>0</v>
      </c>
      <c r="P36" s="6">
        <v>0.35</v>
      </c>
      <c r="Q36" s="6">
        <v>10</v>
      </c>
      <c r="R36" s="6"/>
      <c r="S36" s="6"/>
      <c r="T36" s="156"/>
      <c r="U36" s="6"/>
    </row>
    <row r="37" spans="1:21" customFormat="1">
      <c r="A37" s="201" t="s">
        <v>1132</v>
      </c>
      <c r="B37" s="6">
        <v>10.17</v>
      </c>
      <c r="C37" s="6">
        <v>6.98</v>
      </c>
      <c r="D37" s="6">
        <v>17.149999999999999</v>
      </c>
      <c r="E37" s="6">
        <v>4.82</v>
      </c>
      <c r="F37" s="151" t="s">
        <v>8</v>
      </c>
      <c r="G37" s="6">
        <v>58.37</v>
      </c>
      <c r="H37" s="6">
        <v>24.45</v>
      </c>
      <c r="I37" s="6">
        <v>5.74</v>
      </c>
      <c r="J37" s="6">
        <v>0.13</v>
      </c>
      <c r="K37" s="6">
        <v>358.18</v>
      </c>
      <c r="L37" s="6">
        <v>18.82</v>
      </c>
      <c r="M37" s="6">
        <v>27.88</v>
      </c>
      <c r="N37" s="6">
        <v>52.8</v>
      </c>
      <c r="O37" s="6">
        <v>0</v>
      </c>
      <c r="P37" s="6">
        <v>0.35</v>
      </c>
      <c r="Q37" s="6">
        <v>13.11</v>
      </c>
      <c r="R37" s="6"/>
      <c r="S37" s="6"/>
      <c r="T37" s="156"/>
      <c r="U37" s="6"/>
    </row>
    <row r="38" spans="1:21" customFormat="1">
      <c r="A38" s="201" t="s">
        <v>1133</v>
      </c>
      <c r="B38" s="6">
        <v>10.29</v>
      </c>
      <c r="C38" s="6">
        <v>7.17</v>
      </c>
      <c r="D38" s="6">
        <v>17.46</v>
      </c>
      <c r="E38" s="6">
        <v>4.8099999999999996</v>
      </c>
      <c r="F38" s="151" t="s">
        <v>8</v>
      </c>
      <c r="G38" s="6">
        <v>58.37</v>
      </c>
      <c r="H38" s="6">
        <v>24.45</v>
      </c>
      <c r="I38" s="6">
        <v>5.71</v>
      </c>
      <c r="J38" s="6">
        <v>0.26</v>
      </c>
      <c r="K38" s="6">
        <v>21.9</v>
      </c>
      <c r="L38" s="6">
        <v>11.45</v>
      </c>
      <c r="M38" s="6">
        <v>10.220000000000001</v>
      </c>
      <c r="N38" s="6">
        <v>44.8</v>
      </c>
      <c r="O38" s="6">
        <v>0</v>
      </c>
      <c r="P38" s="6">
        <v>0.35</v>
      </c>
      <c r="Q38" s="6">
        <v>11.71</v>
      </c>
      <c r="R38" s="6"/>
      <c r="S38" s="6"/>
      <c r="T38" s="156"/>
      <c r="U38" s="6"/>
    </row>
    <row r="39" spans="1:21" customFormat="1">
      <c r="A39" s="201" t="s">
        <v>1134</v>
      </c>
      <c r="B39" s="6">
        <v>10.32</v>
      </c>
      <c r="C39" s="6">
        <v>7.29</v>
      </c>
      <c r="D39" s="6">
        <v>17.61</v>
      </c>
      <c r="E39" s="6">
        <v>4.72</v>
      </c>
      <c r="F39" s="151" t="s">
        <v>8</v>
      </c>
      <c r="G39" s="6">
        <v>64.34</v>
      </c>
      <c r="H39" s="6">
        <v>24.12</v>
      </c>
      <c r="I39" s="6">
        <v>5.7</v>
      </c>
      <c r="J39" s="6">
        <v>0.33</v>
      </c>
      <c r="K39" s="6">
        <v>43.83</v>
      </c>
      <c r="L39" s="6">
        <v>9.67</v>
      </c>
      <c r="M39" s="6">
        <v>5.16</v>
      </c>
      <c r="N39" s="6">
        <v>42.8</v>
      </c>
      <c r="O39" s="6">
        <v>0</v>
      </c>
      <c r="P39" s="6">
        <v>0.37</v>
      </c>
      <c r="Q39" s="6">
        <v>14.71</v>
      </c>
      <c r="R39" s="6"/>
      <c r="S39" s="6"/>
      <c r="T39" s="156"/>
      <c r="U39" s="6"/>
    </row>
    <row r="40" spans="1:21" customFormat="1">
      <c r="A40" s="201" t="s">
        <v>1135</v>
      </c>
      <c r="B40" s="6">
        <v>10.4</v>
      </c>
      <c r="C40" s="6">
        <v>7.35</v>
      </c>
      <c r="D40" s="6">
        <v>17.75</v>
      </c>
      <c r="E40" s="6">
        <v>5.01</v>
      </c>
      <c r="F40" s="151" t="s">
        <v>8</v>
      </c>
      <c r="G40" s="6">
        <v>66.05</v>
      </c>
      <c r="H40" s="6">
        <v>24.12</v>
      </c>
      <c r="I40" s="6">
        <v>5.75</v>
      </c>
      <c r="J40" s="6">
        <v>0.39</v>
      </c>
      <c r="K40" s="6">
        <v>29.47</v>
      </c>
      <c r="L40" s="6">
        <v>10.87</v>
      </c>
      <c r="M40" s="6">
        <v>7.83</v>
      </c>
      <c r="N40" s="6">
        <v>55.5</v>
      </c>
      <c r="O40" s="6">
        <v>0</v>
      </c>
      <c r="P40" s="6">
        <v>0.37</v>
      </c>
      <c r="Q40" s="6">
        <v>9.7799999999999994</v>
      </c>
      <c r="R40" s="6"/>
      <c r="S40" s="6"/>
      <c r="T40" s="156"/>
      <c r="U40" s="6"/>
    </row>
    <row r="41" spans="1:21" customFormat="1">
      <c r="A41" s="201" t="s">
        <v>1136</v>
      </c>
      <c r="B41" s="6">
        <v>10.66</v>
      </c>
      <c r="C41" s="6">
        <v>7.56</v>
      </c>
      <c r="D41" s="6">
        <v>18.22</v>
      </c>
      <c r="E41" s="6">
        <v>4.7</v>
      </c>
      <c r="F41" s="151" t="s">
        <v>8</v>
      </c>
      <c r="G41" s="6">
        <v>66.05</v>
      </c>
      <c r="H41" s="6">
        <v>24.12</v>
      </c>
      <c r="I41" s="6">
        <v>5.83</v>
      </c>
      <c r="J41" s="6">
        <v>0.33</v>
      </c>
      <c r="K41" s="6">
        <v>44.38</v>
      </c>
      <c r="L41" s="6">
        <v>7.5</v>
      </c>
      <c r="M41" s="6">
        <v>-0.63</v>
      </c>
      <c r="N41" s="6">
        <v>57.4</v>
      </c>
      <c r="O41" s="6">
        <v>0</v>
      </c>
      <c r="P41" s="6">
        <v>0.38</v>
      </c>
      <c r="Q41" s="6">
        <v>11</v>
      </c>
      <c r="R41" s="6"/>
      <c r="S41" s="6"/>
      <c r="T41" s="156"/>
      <c r="U41" s="6"/>
    </row>
    <row r="42" spans="1:21" customFormat="1">
      <c r="A42" s="201" t="s">
        <v>1137</v>
      </c>
      <c r="B42" s="6">
        <v>10.78</v>
      </c>
      <c r="C42" s="6">
        <v>7.6</v>
      </c>
      <c r="D42" s="6">
        <v>18.38</v>
      </c>
      <c r="E42" s="6">
        <v>4.87</v>
      </c>
      <c r="F42" s="151" t="s">
        <v>8</v>
      </c>
      <c r="G42" s="6">
        <v>66.05</v>
      </c>
      <c r="H42" s="6">
        <v>24.12</v>
      </c>
      <c r="I42" s="6">
        <v>5.94</v>
      </c>
      <c r="J42" s="6">
        <v>0.26</v>
      </c>
      <c r="K42" s="6">
        <v>46.99</v>
      </c>
      <c r="L42" s="6">
        <v>9.9600000000000009</v>
      </c>
      <c r="M42" s="6">
        <v>5.34</v>
      </c>
      <c r="N42" s="6">
        <v>70</v>
      </c>
      <c r="O42" s="6">
        <v>0</v>
      </c>
      <c r="P42" s="6">
        <v>0.38</v>
      </c>
      <c r="Q42" s="6">
        <v>10.71</v>
      </c>
      <c r="R42" s="6"/>
      <c r="S42" s="6"/>
      <c r="T42" s="156"/>
      <c r="U42" s="6"/>
    </row>
    <row r="43" spans="1:21" customFormat="1">
      <c r="A43" s="201" t="s">
        <v>1138</v>
      </c>
      <c r="B43" s="6">
        <v>10.82</v>
      </c>
      <c r="C43" s="6">
        <v>7.74</v>
      </c>
      <c r="D43" s="6">
        <v>18.55</v>
      </c>
      <c r="E43" s="6">
        <v>4.96</v>
      </c>
      <c r="F43" s="151" t="s">
        <v>8</v>
      </c>
      <c r="G43" s="6">
        <v>70.819999999999993</v>
      </c>
      <c r="H43" s="6">
        <v>23.1</v>
      </c>
      <c r="I43" s="6">
        <v>6.05</v>
      </c>
      <c r="J43" s="6">
        <v>0.2</v>
      </c>
      <c r="K43" s="6">
        <v>58.7</v>
      </c>
      <c r="L43" s="6">
        <v>12.18</v>
      </c>
      <c r="M43" s="6">
        <v>10.96</v>
      </c>
      <c r="N43" s="6">
        <v>70.2</v>
      </c>
      <c r="O43" s="6">
        <v>0</v>
      </c>
      <c r="P43" s="6">
        <v>0.39</v>
      </c>
      <c r="Q43" s="6">
        <v>18.07</v>
      </c>
      <c r="R43" s="6"/>
      <c r="S43" s="6"/>
      <c r="T43" s="156"/>
      <c r="U43" s="6"/>
    </row>
    <row r="44" spans="1:21" customFormat="1">
      <c r="A44" s="201" t="s">
        <v>1139</v>
      </c>
      <c r="B44" s="6">
        <v>10.82</v>
      </c>
      <c r="C44" s="6">
        <v>7.72</v>
      </c>
      <c r="D44" s="6">
        <v>18.54</v>
      </c>
      <c r="E44" s="6">
        <v>4.9000000000000004</v>
      </c>
      <c r="F44" s="151" t="s">
        <v>8</v>
      </c>
      <c r="G44" s="6">
        <v>72.180000000000007</v>
      </c>
      <c r="H44" s="6">
        <v>23.1</v>
      </c>
      <c r="I44" s="6">
        <v>6.11</v>
      </c>
      <c r="J44" s="6">
        <v>0.31</v>
      </c>
      <c r="K44" s="6">
        <v>55.07</v>
      </c>
      <c r="L44" s="6">
        <v>9.43</v>
      </c>
      <c r="M44" s="6">
        <v>3.54</v>
      </c>
      <c r="N44" s="6">
        <v>90</v>
      </c>
      <c r="O44" s="6">
        <v>0</v>
      </c>
      <c r="P44" s="6">
        <v>0.38</v>
      </c>
      <c r="Q44" s="6">
        <v>11.5</v>
      </c>
      <c r="R44" s="6"/>
      <c r="S44" s="6"/>
      <c r="T44" s="156"/>
      <c r="U44" s="6"/>
    </row>
    <row r="45" spans="1:21" customFormat="1">
      <c r="A45" s="201" t="s">
        <v>1140</v>
      </c>
      <c r="B45" s="6">
        <v>10.64</v>
      </c>
      <c r="C45" s="6">
        <v>7.75</v>
      </c>
      <c r="D45" s="6">
        <v>18.399999999999999</v>
      </c>
      <c r="E45" s="6">
        <v>4.83</v>
      </c>
      <c r="F45" s="151" t="s">
        <v>8</v>
      </c>
      <c r="G45" s="6">
        <v>72.180000000000007</v>
      </c>
      <c r="H45" s="6">
        <v>23.1</v>
      </c>
      <c r="I45" s="6">
        <v>6.14</v>
      </c>
      <c r="J45" s="6">
        <v>0.39</v>
      </c>
      <c r="K45" s="6">
        <v>39.840000000000003</v>
      </c>
      <c r="L45" s="6">
        <v>9.64</v>
      </c>
      <c r="M45" s="6">
        <v>2.66</v>
      </c>
      <c r="N45" s="6">
        <v>146.9</v>
      </c>
      <c r="O45" s="6">
        <v>0</v>
      </c>
      <c r="P45" s="6">
        <v>0.39</v>
      </c>
      <c r="Q45" s="6">
        <v>11.23</v>
      </c>
      <c r="R45" s="6"/>
      <c r="S45" s="6"/>
      <c r="T45" s="156"/>
      <c r="U45" s="6"/>
    </row>
    <row r="46" spans="1:21" customFormat="1">
      <c r="A46" s="201" t="s">
        <v>1141</v>
      </c>
      <c r="B46" s="6">
        <v>10.42</v>
      </c>
      <c r="C46" s="6">
        <v>7.81</v>
      </c>
      <c r="D46" s="6">
        <v>18.23</v>
      </c>
      <c r="E46" s="6">
        <v>4.91</v>
      </c>
      <c r="F46" s="151" t="s">
        <v>8</v>
      </c>
      <c r="G46" s="6">
        <v>72.180000000000007</v>
      </c>
      <c r="H46" s="6">
        <v>23.1</v>
      </c>
      <c r="I46" s="6">
        <v>6.22</v>
      </c>
      <c r="J46" s="6">
        <v>0.63</v>
      </c>
      <c r="K46" s="6">
        <v>34.28</v>
      </c>
      <c r="L46" s="6">
        <v>10.72</v>
      </c>
      <c r="M46" s="6">
        <v>3.14</v>
      </c>
      <c r="N46" s="6">
        <v>241.2</v>
      </c>
      <c r="O46" s="6">
        <v>0</v>
      </c>
      <c r="P46" s="6">
        <v>0.39</v>
      </c>
      <c r="Q46" s="6">
        <v>18.7</v>
      </c>
      <c r="R46" s="6"/>
      <c r="S46" s="6"/>
      <c r="T46" s="156"/>
      <c r="U46" s="6"/>
    </row>
    <row r="47" spans="1:21" customFormat="1">
      <c r="A47" s="201" t="s">
        <v>1142</v>
      </c>
      <c r="B47" s="6">
        <v>10.26</v>
      </c>
      <c r="C47" s="6">
        <v>7.79</v>
      </c>
      <c r="D47" s="6">
        <v>18.05</v>
      </c>
      <c r="E47" s="6">
        <v>5.04</v>
      </c>
      <c r="F47" s="151" t="s">
        <v>8</v>
      </c>
      <c r="G47" s="6">
        <v>74.400000000000006</v>
      </c>
      <c r="H47" s="6">
        <v>26.35</v>
      </c>
      <c r="I47" s="6">
        <v>6.25</v>
      </c>
      <c r="J47" s="6">
        <v>0.43</v>
      </c>
      <c r="K47" s="6">
        <v>48.31</v>
      </c>
      <c r="L47" s="6">
        <v>10.19</v>
      </c>
      <c r="M47" s="6">
        <v>4.1100000000000003</v>
      </c>
      <c r="N47" s="6">
        <v>176.5</v>
      </c>
      <c r="O47" s="6">
        <v>0</v>
      </c>
      <c r="P47" s="6">
        <v>0.4</v>
      </c>
      <c r="Q47" s="6">
        <v>26.01</v>
      </c>
      <c r="R47" s="6"/>
      <c r="S47" s="6"/>
      <c r="T47" s="156"/>
      <c r="U47" s="6"/>
    </row>
    <row r="48" spans="1:21" customFormat="1">
      <c r="A48" s="201" t="s">
        <v>1143</v>
      </c>
      <c r="B48" s="6">
        <v>10.16</v>
      </c>
      <c r="C48" s="6">
        <v>7.84</v>
      </c>
      <c r="D48" s="6">
        <v>17.989999999999998</v>
      </c>
      <c r="E48" s="6">
        <v>4.76</v>
      </c>
      <c r="F48" s="151" t="s">
        <v>8</v>
      </c>
      <c r="G48" s="6">
        <v>75.03</v>
      </c>
      <c r="H48" s="6">
        <v>26.35</v>
      </c>
      <c r="I48" s="6">
        <v>6.26</v>
      </c>
      <c r="J48" s="6">
        <v>0.32</v>
      </c>
      <c r="K48" s="6">
        <v>73.84</v>
      </c>
      <c r="L48" s="6">
        <v>13.29</v>
      </c>
      <c r="M48" s="6">
        <v>7.73</v>
      </c>
      <c r="N48" s="6">
        <v>324.8</v>
      </c>
      <c r="O48" s="6">
        <v>0</v>
      </c>
      <c r="P48" s="6">
        <v>0.4</v>
      </c>
      <c r="Q48" s="6">
        <v>12.38</v>
      </c>
      <c r="R48" s="6"/>
      <c r="S48" s="6"/>
      <c r="T48" s="156"/>
      <c r="U48" s="6"/>
    </row>
    <row r="49" spans="1:21" customFormat="1">
      <c r="A49" s="201" t="s">
        <v>1144</v>
      </c>
      <c r="B49" s="6">
        <v>9.83</v>
      </c>
      <c r="C49" s="6">
        <v>7.94</v>
      </c>
      <c r="D49" s="6">
        <v>17.77</v>
      </c>
      <c r="E49" s="6">
        <v>4.24</v>
      </c>
      <c r="F49" s="151" t="s">
        <v>8</v>
      </c>
      <c r="G49" s="6">
        <v>75.03</v>
      </c>
      <c r="H49" s="6">
        <v>26.35</v>
      </c>
      <c r="I49" s="6">
        <v>6.37</v>
      </c>
      <c r="J49" s="6">
        <v>0.34</v>
      </c>
      <c r="K49" s="6">
        <v>61.73</v>
      </c>
      <c r="L49" s="6">
        <v>12.85</v>
      </c>
      <c r="M49" s="6">
        <v>5.5</v>
      </c>
      <c r="N49" s="6">
        <v>370.3</v>
      </c>
      <c r="O49" s="6">
        <v>0</v>
      </c>
      <c r="P49" s="6">
        <v>0.41</v>
      </c>
      <c r="Q49" s="6">
        <v>48.5</v>
      </c>
      <c r="R49" s="6"/>
      <c r="S49" s="6"/>
      <c r="T49" s="156"/>
      <c r="U49" s="6"/>
    </row>
    <row r="50" spans="1:21" customFormat="1">
      <c r="A50" s="201" t="s">
        <v>1145</v>
      </c>
      <c r="B50" s="6">
        <v>9.41</v>
      </c>
      <c r="C50" s="6">
        <v>7.97</v>
      </c>
      <c r="D50" s="6">
        <v>17.38</v>
      </c>
      <c r="E50" s="6">
        <v>5.0999999999999996</v>
      </c>
      <c r="F50" s="151" t="s">
        <v>8</v>
      </c>
      <c r="G50" s="6">
        <v>75.03</v>
      </c>
      <c r="H50" s="6">
        <v>26.35</v>
      </c>
      <c r="I50" s="6">
        <v>6.42</v>
      </c>
      <c r="J50" s="6">
        <v>0.3</v>
      </c>
      <c r="K50" s="6">
        <v>50.99</v>
      </c>
      <c r="L50" s="6">
        <v>13.64</v>
      </c>
      <c r="M50" s="6">
        <v>8.48</v>
      </c>
      <c r="N50" s="6">
        <v>327.60000000000002</v>
      </c>
      <c r="O50" s="6">
        <v>0</v>
      </c>
      <c r="P50" s="6">
        <v>0.4</v>
      </c>
      <c r="Q50" s="6">
        <v>38.03</v>
      </c>
      <c r="R50" s="6"/>
      <c r="S50" s="6"/>
      <c r="T50" s="156"/>
      <c r="U50" s="6"/>
    </row>
    <row r="51" spans="1:21" customFormat="1">
      <c r="A51" s="201" t="s">
        <v>1146</v>
      </c>
      <c r="B51" s="6">
        <v>8.9600000000000009</v>
      </c>
      <c r="C51" s="6">
        <v>7.93</v>
      </c>
      <c r="D51" s="6">
        <v>16.89</v>
      </c>
      <c r="E51" s="6">
        <v>5.07</v>
      </c>
      <c r="F51" s="151" t="s">
        <v>8</v>
      </c>
      <c r="G51" s="6">
        <v>77.430000000000007</v>
      </c>
      <c r="H51" s="6">
        <v>28.88</v>
      </c>
      <c r="I51" s="6">
        <v>6.46</v>
      </c>
      <c r="J51" s="6">
        <v>0.31</v>
      </c>
      <c r="K51" s="6">
        <v>53.63</v>
      </c>
      <c r="L51" s="6">
        <v>12.33</v>
      </c>
      <c r="M51" s="6">
        <v>7.11</v>
      </c>
      <c r="N51" s="6">
        <v>250</v>
      </c>
      <c r="O51" s="6">
        <v>0</v>
      </c>
      <c r="P51" s="6">
        <v>0.4</v>
      </c>
      <c r="Q51" s="6">
        <v>10</v>
      </c>
      <c r="R51" s="6"/>
      <c r="S51" s="6"/>
      <c r="T51" s="156"/>
      <c r="U51" s="6"/>
    </row>
    <row r="52" spans="1:21" customFormat="1">
      <c r="A52" s="201" t="s">
        <v>1147</v>
      </c>
      <c r="B52" s="6">
        <v>8.4499999999999993</v>
      </c>
      <c r="C52" s="6">
        <v>7.94</v>
      </c>
      <c r="D52" s="6">
        <v>16.39</v>
      </c>
      <c r="E52" s="6">
        <v>4.8600000000000003</v>
      </c>
      <c r="F52" s="151" t="s">
        <v>8</v>
      </c>
      <c r="G52" s="6">
        <v>78.12</v>
      </c>
      <c r="H52" s="6">
        <v>28.88</v>
      </c>
      <c r="I52" s="6">
        <v>6.46</v>
      </c>
      <c r="J52" s="6">
        <v>0.32</v>
      </c>
      <c r="K52" s="6">
        <v>55.65</v>
      </c>
      <c r="L52" s="6">
        <v>12.23</v>
      </c>
      <c r="M52" s="6">
        <v>6.16</v>
      </c>
      <c r="N52" s="6">
        <v>273.7</v>
      </c>
      <c r="O52" s="6">
        <v>0</v>
      </c>
      <c r="P52" s="6">
        <v>0.41</v>
      </c>
      <c r="Q52" s="6">
        <v>10</v>
      </c>
      <c r="R52" s="6"/>
      <c r="S52" s="6"/>
      <c r="T52" s="156"/>
      <c r="U52" s="6"/>
    </row>
    <row r="53" spans="1:21" customFormat="1">
      <c r="A53" s="201" t="s">
        <v>1148</v>
      </c>
      <c r="B53" s="6">
        <v>8.1</v>
      </c>
      <c r="C53" s="6">
        <v>8.09</v>
      </c>
      <c r="D53" s="6">
        <v>16.190000000000001</v>
      </c>
      <c r="E53" s="6">
        <v>5.0199999999999996</v>
      </c>
      <c r="F53" s="151" t="s">
        <v>8</v>
      </c>
      <c r="G53" s="6">
        <v>78.12</v>
      </c>
      <c r="H53" s="6">
        <v>28.88</v>
      </c>
      <c r="I53" s="6">
        <v>6.41</v>
      </c>
      <c r="J53" s="6">
        <v>0.32</v>
      </c>
      <c r="K53" s="6">
        <v>44.55</v>
      </c>
      <c r="L53" s="6">
        <v>12.57</v>
      </c>
      <c r="M53" s="6">
        <v>7.32</v>
      </c>
      <c r="N53" s="6">
        <v>263.2</v>
      </c>
      <c r="O53" s="6">
        <v>0</v>
      </c>
      <c r="P53" s="6">
        <v>0.39</v>
      </c>
      <c r="Q53" s="6">
        <v>12.18</v>
      </c>
      <c r="R53" s="6"/>
      <c r="S53" s="6"/>
      <c r="T53" s="156"/>
      <c r="U53" s="6"/>
    </row>
    <row r="54" spans="1:21" customFormat="1">
      <c r="A54" s="201" t="s">
        <v>1149</v>
      </c>
      <c r="B54" s="6">
        <v>7.67</v>
      </c>
      <c r="C54" s="6">
        <v>8.16</v>
      </c>
      <c r="D54" s="6">
        <v>15.82</v>
      </c>
      <c r="E54" s="6">
        <v>5.23</v>
      </c>
      <c r="F54" s="151" t="s">
        <v>8</v>
      </c>
      <c r="G54" s="6">
        <v>78.12</v>
      </c>
      <c r="H54" s="6">
        <v>28.88</v>
      </c>
      <c r="I54" s="6">
        <v>6.37</v>
      </c>
      <c r="J54" s="6">
        <v>0.39</v>
      </c>
      <c r="K54" s="6">
        <v>39.369999999999997</v>
      </c>
      <c r="L54" s="6">
        <v>10.84</v>
      </c>
      <c r="M54" s="6">
        <v>2.39</v>
      </c>
      <c r="N54" s="6">
        <v>285.7</v>
      </c>
      <c r="O54" s="6">
        <v>0</v>
      </c>
      <c r="P54" s="6">
        <v>0.4</v>
      </c>
      <c r="Q54" s="6">
        <v>10</v>
      </c>
      <c r="R54" s="6"/>
      <c r="S54" s="6"/>
      <c r="T54" s="156"/>
      <c r="U54" s="6"/>
    </row>
    <row r="55" spans="1:21" customFormat="1">
      <c r="A55" s="201" t="s">
        <v>1150</v>
      </c>
      <c r="B55" s="6">
        <v>7.18</v>
      </c>
      <c r="C55" s="6">
        <v>8.1300000000000008</v>
      </c>
      <c r="D55" s="6">
        <v>15.31</v>
      </c>
      <c r="E55" s="6">
        <v>5.33</v>
      </c>
      <c r="F55" s="151" t="s">
        <v>8</v>
      </c>
      <c r="G55" s="6">
        <v>79.44</v>
      </c>
      <c r="H55" s="6">
        <v>29.06</v>
      </c>
      <c r="I55" s="6">
        <v>6.37</v>
      </c>
      <c r="J55" s="6">
        <v>0.33</v>
      </c>
      <c r="K55" s="6">
        <v>65.900000000000006</v>
      </c>
      <c r="L55" s="6">
        <v>11.7</v>
      </c>
      <c r="M55" s="6">
        <v>3.96</v>
      </c>
      <c r="N55" s="6">
        <v>313.2</v>
      </c>
      <c r="O55" s="6">
        <v>0</v>
      </c>
      <c r="P55" s="6">
        <v>0.41</v>
      </c>
      <c r="Q55" s="6">
        <v>34.71</v>
      </c>
      <c r="R55" s="6"/>
      <c r="S55" s="6"/>
      <c r="T55" s="156"/>
      <c r="U55" s="6"/>
    </row>
    <row r="56" spans="1:21" customFormat="1">
      <c r="A56" s="201" t="s">
        <v>1151</v>
      </c>
      <c r="B56" s="6">
        <v>6.7</v>
      </c>
      <c r="C56" s="6">
        <v>8.06</v>
      </c>
      <c r="D56" s="6">
        <v>14.75</v>
      </c>
      <c r="E56" s="6">
        <v>5.37</v>
      </c>
      <c r="F56" s="151" t="s">
        <v>8</v>
      </c>
      <c r="G56" s="6">
        <v>79.819999999999993</v>
      </c>
      <c r="H56" s="6">
        <v>29.06</v>
      </c>
      <c r="I56" s="6">
        <v>6.37</v>
      </c>
      <c r="J56" s="6">
        <v>0.43</v>
      </c>
      <c r="K56" s="6">
        <v>33.22</v>
      </c>
      <c r="L56" s="6">
        <v>11.74</v>
      </c>
      <c r="M56" s="6">
        <v>4.91</v>
      </c>
      <c r="N56" s="6">
        <v>273.8</v>
      </c>
      <c r="O56" s="6">
        <v>0</v>
      </c>
      <c r="P56" s="6">
        <v>0.43</v>
      </c>
      <c r="Q56" s="6">
        <v>37.479999999999997</v>
      </c>
      <c r="R56" s="6"/>
      <c r="S56" s="6"/>
      <c r="T56" s="156"/>
      <c r="U56" s="6"/>
    </row>
    <row r="57" spans="1:21" customFormat="1">
      <c r="A57" s="201" t="s">
        <v>1152</v>
      </c>
      <c r="B57" s="6">
        <v>6.42</v>
      </c>
      <c r="C57" s="6">
        <v>8.0500000000000007</v>
      </c>
      <c r="D57" s="6">
        <v>14.47</v>
      </c>
      <c r="E57" s="6">
        <v>5.48</v>
      </c>
      <c r="F57" s="151" t="s">
        <v>8</v>
      </c>
      <c r="G57" s="6">
        <v>79.819999999999993</v>
      </c>
      <c r="H57" s="6">
        <v>29.06</v>
      </c>
      <c r="I57" s="6">
        <v>6.29</v>
      </c>
      <c r="J57" s="6">
        <v>0.31</v>
      </c>
      <c r="K57" s="6">
        <v>57.2</v>
      </c>
      <c r="L57" s="6">
        <v>12.02</v>
      </c>
      <c r="M57" s="6">
        <v>7.34</v>
      </c>
      <c r="N57" s="6">
        <v>204.1</v>
      </c>
      <c r="O57" s="6">
        <v>0</v>
      </c>
      <c r="P57" s="6">
        <v>0.45</v>
      </c>
      <c r="Q57" s="6">
        <v>13.65</v>
      </c>
      <c r="R57" s="6"/>
      <c r="S57" s="6"/>
      <c r="T57" s="156"/>
      <c r="U57" s="6"/>
    </row>
    <row r="58" spans="1:21" customFormat="1">
      <c r="A58" s="201" t="s">
        <v>1153</v>
      </c>
      <c r="B58" s="6">
        <v>6.07</v>
      </c>
      <c r="C58" s="6">
        <v>7.97</v>
      </c>
      <c r="D58" s="6">
        <v>14.05</v>
      </c>
      <c r="E58" s="6">
        <v>5.23</v>
      </c>
      <c r="F58" s="151" t="s">
        <v>8</v>
      </c>
      <c r="G58" s="6">
        <v>79.819999999999993</v>
      </c>
      <c r="H58" s="6">
        <v>29.06</v>
      </c>
      <c r="I58" s="6">
        <v>6.25</v>
      </c>
      <c r="J58" s="6">
        <v>0.25</v>
      </c>
      <c r="K58" s="6">
        <v>90.23</v>
      </c>
      <c r="L58" s="6">
        <v>12.79</v>
      </c>
      <c r="M58" s="6">
        <v>10.94</v>
      </c>
      <c r="N58" s="6">
        <v>136.6</v>
      </c>
      <c r="O58" s="6">
        <v>0</v>
      </c>
      <c r="P58" s="6">
        <v>0.45</v>
      </c>
      <c r="Q58" s="6">
        <v>10</v>
      </c>
      <c r="R58" s="6"/>
      <c r="S58" s="6"/>
      <c r="T58" s="156"/>
      <c r="U58" s="6"/>
    </row>
    <row r="59" spans="1:21" customFormat="1">
      <c r="A59" s="201" t="s">
        <v>1154</v>
      </c>
      <c r="B59" s="6">
        <v>5.69</v>
      </c>
      <c r="C59" s="6">
        <v>8.09</v>
      </c>
      <c r="D59" s="6">
        <v>13.79</v>
      </c>
      <c r="E59" s="6">
        <v>5.63</v>
      </c>
      <c r="F59" s="151" t="s">
        <v>8</v>
      </c>
      <c r="G59" s="6">
        <v>78.489999999999995</v>
      </c>
      <c r="H59" s="6">
        <v>33.549999999999997</v>
      </c>
      <c r="I59" s="6">
        <v>6.29</v>
      </c>
      <c r="J59" s="6">
        <v>0.35</v>
      </c>
      <c r="K59" s="6">
        <v>49.15</v>
      </c>
      <c r="L59" s="6">
        <v>9.9499999999999993</v>
      </c>
      <c r="M59" s="6">
        <v>3.89</v>
      </c>
      <c r="N59" s="6">
        <v>127</v>
      </c>
      <c r="O59" s="6">
        <v>0</v>
      </c>
      <c r="P59" s="6">
        <v>0.43</v>
      </c>
      <c r="Q59" s="6">
        <v>10</v>
      </c>
      <c r="R59" s="6"/>
      <c r="S59" s="6"/>
      <c r="T59" s="156"/>
      <c r="U59" s="6"/>
    </row>
    <row r="60" spans="1:21" customFormat="1">
      <c r="A60" s="201" t="s">
        <v>1155</v>
      </c>
      <c r="B60" s="6">
        <v>5.55</v>
      </c>
      <c r="C60" s="6">
        <v>8.27</v>
      </c>
      <c r="D60" s="6">
        <v>13.82</v>
      </c>
      <c r="E60" s="6">
        <v>5.41</v>
      </c>
      <c r="F60" s="151" t="s">
        <v>8</v>
      </c>
      <c r="G60" s="6">
        <v>78.099999999999994</v>
      </c>
      <c r="H60" s="6">
        <v>33.549999999999997</v>
      </c>
      <c r="I60" s="6">
        <v>6.23</v>
      </c>
      <c r="J60" s="6">
        <v>0.28000000000000003</v>
      </c>
      <c r="K60" s="6">
        <v>57.76</v>
      </c>
      <c r="L60" s="6">
        <v>10.039999999999999</v>
      </c>
      <c r="M60" s="6">
        <v>4.76</v>
      </c>
      <c r="N60" s="6">
        <v>102.8</v>
      </c>
      <c r="O60" s="6">
        <v>0</v>
      </c>
      <c r="P60" s="6">
        <v>0.42</v>
      </c>
      <c r="Q60" s="6">
        <v>10</v>
      </c>
      <c r="R60" s="6"/>
      <c r="S60" s="6"/>
      <c r="T60" s="156"/>
      <c r="U60" s="6"/>
    </row>
    <row r="61" spans="1:21" customFormat="1">
      <c r="A61" s="201" t="s">
        <v>1156</v>
      </c>
      <c r="B61" s="6">
        <v>5.39</v>
      </c>
      <c r="C61" s="6">
        <v>8.4499999999999993</v>
      </c>
      <c r="D61" s="6">
        <v>13.84</v>
      </c>
      <c r="E61" s="6">
        <v>5.73</v>
      </c>
      <c r="F61" s="151" t="s">
        <v>8</v>
      </c>
      <c r="G61" s="6">
        <v>78.099999999999994</v>
      </c>
      <c r="H61" s="6">
        <v>33.549999999999997</v>
      </c>
      <c r="I61" s="6">
        <v>6.14</v>
      </c>
      <c r="J61" s="6">
        <v>0.33</v>
      </c>
      <c r="K61" s="6">
        <v>48.23</v>
      </c>
      <c r="L61" s="6">
        <v>11.31</v>
      </c>
      <c r="M61" s="6">
        <v>7.81</v>
      </c>
      <c r="N61" s="6">
        <v>105.8</v>
      </c>
      <c r="O61" s="6">
        <v>0</v>
      </c>
      <c r="P61" s="6">
        <v>0.43</v>
      </c>
      <c r="Q61" s="6">
        <v>10.33</v>
      </c>
      <c r="R61" s="6"/>
      <c r="S61" s="6"/>
      <c r="T61" s="156"/>
      <c r="U61" s="6"/>
    </row>
    <row r="62" spans="1:21" customFormat="1">
      <c r="A62" s="201" t="s">
        <v>1157</v>
      </c>
      <c r="B62" s="6">
        <v>5.17</v>
      </c>
      <c r="C62" s="6">
        <v>8.02</v>
      </c>
      <c r="D62" s="6">
        <v>13.19</v>
      </c>
      <c r="E62" s="6">
        <v>5.26</v>
      </c>
      <c r="F62" s="151" t="s">
        <v>8</v>
      </c>
      <c r="G62" s="6">
        <v>78.099999999999994</v>
      </c>
      <c r="H62" s="6">
        <v>33.549999999999997</v>
      </c>
      <c r="I62" s="6">
        <v>6.13</v>
      </c>
      <c r="J62" s="6">
        <v>0.18</v>
      </c>
      <c r="K62" s="6">
        <v>86.13</v>
      </c>
      <c r="L62" s="6">
        <v>13.74</v>
      </c>
      <c r="M62" s="6">
        <v>12.11</v>
      </c>
      <c r="N62" s="6">
        <v>187.3</v>
      </c>
      <c r="O62" s="6">
        <v>0</v>
      </c>
      <c r="P62" s="6">
        <v>0.42</v>
      </c>
      <c r="Q62" s="6">
        <v>9.98</v>
      </c>
      <c r="R62" s="6"/>
      <c r="S62" s="6"/>
      <c r="T62" s="156"/>
      <c r="U62" s="6"/>
    </row>
    <row r="63" spans="1:21" customFormat="1">
      <c r="A63" s="201" t="s">
        <v>1158</v>
      </c>
      <c r="B63" s="6">
        <v>4.93</v>
      </c>
      <c r="C63" s="6">
        <v>8.17</v>
      </c>
      <c r="D63" s="6">
        <v>13.1</v>
      </c>
      <c r="E63" s="6">
        <v>5.81</v>
      </c>
      <c r="F63" s="151" t="s">
        <v>8</v>
      </c>
      <c r="G63" s="6">
        <v>77.14</v>
      </c>
      <c r="H63" s="6">
        <v>36.25</v>
      </c>
      <c r="I63" s="6">
        <v>6.08</v>
      </c>
      <c r="J63" s="6">
        <v>0.33</v>
      </c>
      <c r="K63" s="6">
        <v>28.86</v>
      </c>
      <c r="L63" s="6">
        <v>13.5</v>
      </c>
      <c r="M63" s="6">
        <v>9.57</v>
      </c>
      <c r="N63" s="6">
        <v>265.89999999999998</v>
      </c>
      <c r="O63" s="6">
        <v>0</v>
      </c>
      <c r="P63" s="6">
        <v>0.43</v>
      </c>
      <c r="Q63" s="6">
        <v>10</v>
      </c>
      <c r="R63" s="6"/>
      <c r="S63" s="6"/>
      <c r="T63" s="156"/>
      <c r="U63" s="6"/>
    </row>
    <row r="64" spans="1:21" customFormat="1">
      <c r="A64" s="201" t="s">
        <v>1159</v>
      </c>
      <c r="B64" s="6">
        <v>4.76</v>
      </c>
      <c r="C64" s="6">
        <v>8.0500000000000007</v>
      </c>
      <c r="D64" s="6">
        <v>12.81</v>
      </c>
      <c r="E64" s="6">
        <v>5.86</v>
      </c>
      <c r="F64" s="151" t="s">
        <v>8</v>
      </c>
      <c r="G64" s="6">
        <v>76.86</v>
      </c>
      <c r="H64" s="6">
        <v>36.25</v>
      </c>
      <c r="I64" s="6">
        <v>5.95</v>
      </c>
      <c r="J64" s="6">
        <v>0.24</v>
      </c>
      <c r="K64" s="6">
        <v>123.59</v>
      </c>
      <c r="L64" s="6">
        <v>13.12</v>
      </c>
      <c r="M64" s="6">
        <v>13.09</v>
      </c>
      <c r="N64" s="6">
        <v>84.8</v>
      </c>
      <c r="O64" s="6">
        <v>0</v>
      </c>
      <c r="P64" s="6">
        <v>0.42</v>
      </c>
      <c r="Q64" s="6">
        <v>10</v>
      </c>
      <c r="R64" s="6"/>
      <c r="S64" s="6"/>
      <c r="T64" s="156"/>
      <c r="U64" s="6"/>
    </row>
    <row r="65" spans="1:21" customFormat="1">
      <c r="A65" s="201" t="s">
        <v>1160</v>
      </c>
      <c r="B65" s="6">
        <v>4.43</v>
      </c>
      <c r="C65" s="6">
        <v>8.2100000000000009</v>
      </c>
      <c r="D65" s="6">
        <v>12.64</v>
      </c>
      <c r="E65" s="6">
        <v>6.24</v>
      </c>
      <c r="F65" s="151" t="s">
        <v>8</v>
      </c>
      <c r="G65" s="6">
        <v>76.86</v>
      </c>
      <c r="H65" s="6">
        <v>36.25</v>
      </c>
      <c r="I65" s="6">
        <v>5.96</v>
      </c>
      <c r="J65" s="6">
        <v>0.04</v>
      </c>
      <c r="K65" s="6">
        <v>45.98</v>
      </c>
      <c r="L65" s="6">
        <v>15.54</v>
      </c>
      <c r="M65" s="6">
        <v>18.54</v>
      </c>
      <c r="N65" s="6">
        <v>109.2</v>
      </c>
      <c r="O65" s="6">
        <v>0</v>
      </c>
      <c r="P65" s="6">
        <v>0.33</v>
      </c>
      <c r="Q65" s="6">
        <v>10</v>
      </c>
      <c r="R65" s="6"/>
      <c r="S65" s="6"/>
      <c r="T65" s="156"/>
      <c r="U65" s="6"/>
    </row>
    <row r="66" spans="1:21" customFormat="1">
      <c r="A66" s="201" t="s">
        <v>1161</v>
      </c>
      <c r="B66" s="6">
        <v>4.34</v>
      </c>
      <c r="C66" s="6">
        <v>9.64</v>
      </c>
      <c r="D66" s="6">
        <v>13.97</v>
      </c>
      <c r="E66" s="6">
        <v>6.68</v>
      </c>
      <c r="F66" s="151" t="s">
        <v>8</v>
      </c>
      <c r="G66" s="6">
        <v>76.86</v>
      </c>
      <c r="H66" s="6">
        <v>36.25</v>
      </c>
      <c r="I66" s="6">
        <v>5.96</v>
      </c>
      <c r="J66" s="6">
        <v>0.2</v>
      </c>
      <c r="K66" s="6">
        <v>50.8</v>
      </c>
      <c r="L66" s="6">
        <v>13.08</v>
      </c>
      <c r="M66" s="6">
        <v>12.9</v>
      </c>
      <c r="N66" s="6">
        <v>82.1</v>
      </c>
      <c r="O66" s="6">
        <v>0</v>
      </c>
      <c r="P66" s="6">
        <v>0.34</v>
      </c>
      <c r="Q66" s="6">
        <v>10</v>
      </c>
      <c r="R66" s="6"/>
      <c r="S66" s="6"/>
      <c r="T66" s="156"/>
      <c r="U66" s="6"/>
    </row>
    <row r="67" spans="1:21" customFormat="1">
      <c r="A67" s="201" t="s">
        <v>1162</v>
      </c>
      <c r="B67" s="6">
        <v>4.51</v>
      </c>
      <c r="C67" s="6">
        <v>9.81</v>
      </c>
      <c r="D67" s="6">
        <v>14.32</v>
      </c>
      <c r="E67" s="6">
        <v>5.98</v>
      </c>
      <c r="F67" s="151" t="s">
        <v>8</v>
      </c>
      <c r="G67" s="6">
        <v>77.66</v>
      </c>
      <c r="H67" s="6">
        <v>35.71</v>
      </c>
      <c r="I67" s="6">
        <v>5.78</v>
      </c>
      <c r="J67" s="6">
        <v>0.34</v>
      </c>
      <c r="K67" s="6">
        <v>12</v>
      </c>
      <c r="L67" s="6">
        <v>14.64</v>
      </c>
      <c r="M67" s="6">
        <v>17.21</v>
      </c>
      <c r="N67" s="6">
        <v>54.7</v>
      </c>
      <c r="O67" s="6">
        <v>0</v>
      </c>
      <c r="P67" s="6">
        <v>0.34</v>
      </c>
      <c r="Q67" s="6">
        <v>10</v>
      </c>
      <c r="R67" s="6"/>
      <c r="S67" s="6"/>
      <c r="T67" s="156"/>
      <c r="U67" s="6"/>
    </row>
    <row r="68" spans="1:21" customFormat="1">
      <c r="A68" s="201" t="s">
        <v>1163</v>
      </c>
      <c r="B68" s="6">
        <v>4.78</v>
      </c>
      <c r="C68" s="6">
        <v>10.01</v>
      </c>
      <c r="D68" s="6">
        <v>14.79</v>
      </c>
      <c r="E68" s="6">
        <v>5.58</v>
      </c>
      <c r="F68" s="151" t="s">
        <v>8</v>
      </c>
      <c r="G68" s="6">
        <v>77.89</v>
      </c>
      <c r="H68" s="6">
        <v>35.71</v>
      </c>
      <c r="I68" s="6">
        <v>5.87</v>
      </c>
      <c r="J68" s="6">
        <v>0.3</v>
      </c>
      <c r="K68" s="6">
        <v>9.2899999999999991</v>
      </c>
      <c r="L68" s="6">
        <v>13.73</v>
      </c>
      <c r="M68" s="6">
        <v>15.07</v>
      </c>
      <c r="N68" s="6">
        <v>50.4</v>
      </c>
      <c r="O68" s="6">
        <v>0</v>
      </c>
      <c r="P68" s="6">
        <v>0.37</v>
      </c>
      <c r="Q68" s="6">
        <v>10</v>
      </c>
      <c r="R68" s="6"/>
      <c r="S68" s="6"/>
      <c r="T68" s="156"/>
      <c r="U68" s="6"/>
    </row>
    <row r="69" spans="1:21" customFormat="1">
      <c r="A69" s="201" t="s">
        <v>1164</v>
      </c>
      <c r="B69" s="6">
        <v>5.22</v>
      </c>
      <c r="C69" s="6">
        <v>10.7</v>
      </c>
      <c r="D69" s="6">
        <v>15.92</v>
      </c>
      <c r="E69" s="6">
        <v>6.7</v>
      </c>
      <c r="F69" s="151" t="s">
        <v>8</v>
      </c>
      <c r="G69" s="6">
        <v>77.89</v>
      </c>
      <c r="H69" s="6">
        <v>35.71</v>
      </c>
      <c r="I69" s="6">
        <v>5.98</v>
      </c>
      <c r="J69" s="6">
        <v>0.45</v>
      </c>
      <c r="K69" s="6">
        <v>357.83</v>
      </c>
      <c r="L69" s="6">
        <v>16.989999999999998</v>
      </c>
      <c r="M69" s="6">
        <v>23.23</v>
      </c>
      <c r="N69" s="6">
        <v>52.9</v>
      </c>
      <c r="O69" s="6">
        <v>0</v>
      </c>
      <c r="P69" s="6">
        <v>0.35</v>
      </c>
      <c r="Q69" s="6">
        <v>10</v>
      </c>
      <c r="R69" s="6"/>
      <c r="S69" s="6"/>
      <c r="T69" s="156"/>
      <c r="U69" s="6"/>
    </row>
    <row r="70" spans="1:21" customFormat="1">
      <c r="A70" s="201" t="s">
        <v>1165</v>
      </c>
      <c r="B70" s="6">
        <v>5.27</v>
      </c>
      <c r="C70" s="6">
        <v>10.18</v>
      </c>
      <c r="D70" s="6">
        <v>15.44</v>
      </c>
      <c r="E70" s="6">
        <v>6.36</v>
      </c>
      <c r="F70" s="151" t="s">
        <v>8</v>
      </c>
      <c r="G70" s="6">
        <v>77.89</v>
      </c>
      <c r="H70" s="6">
        <v>35.71</v>
      </c>
      <c r="I70" s="6">
        <v>5.85</v>
      </c>
      <c r="J70" s="6">
        <v>0.39</v>
      </c>
      <c r="K70" s="6">
        <v>14.53</v>
      </c>
      <c r="L70" s="6">
        <v>13.88</v>
      </c>
      <c r="M70" s="6">
        <v>16.190000000000001</v>
      </c>
      <c r="N70" s="6">
        <v>22.8</v>
      </c>
      <c r="O70" s="6">
        <v>0</v>
      </c>
      <c r="P70" s="6">
        <v>0.36</v>
      </c>
      <c r="Q70" s="6">
        <v>10</v>
      </c>
      <c r="R70" s="6"/>
      <c r="S70" s="6"/>
      <c r="T70" s="156"/>
      <c r="U70" s="6"/>
    </row>
    <row r="71" spans="1:21" customFormat="1">
      <c r="A71" s="201" t="s">
        <v>1166</v>
      </c>
      <c r="B71" s="6">
        <v>5.04</v>
      </c>
      <c r="C71" s="6">
        <v>9.51</v>
      </c>
      <c r="D71" s="6">
        <v>14.55</v>
      </c>
      <c r="E71" s="6">
        <v>6</v>
      </c>
      <c r="F71" s="151" t="s">
        <v>8</v>
      </c>
      <c r="G71" s="6">
        <v>75.75</v>
      </c>
      <c r="H71" s="6">
        <v>37.54</v>
      </c>
      <c r="I71" s="6">
        <v>5.8</v>
      </c>
      <c r="J71" s="6">
        <v>0.26</v>
      </c>
      <c r="K71" s="6">
        <v>10.31</v>
      </c>
      <c r="L71" s="6">
        <v>12.89</v>
      </c>
      <c r="M71" s="6">
        <v>13.88</v>
      </c>
      <c r="N71" s="6">
        <v>16.8</v>
      </c>
      <c r="O71" s="6">
        <v>0</v>
      </c>
      <c r="P71" s="6">
        <v>0.36</v>
      </c>
      <c r="Q71" s="6">
        <v>10</v>
      </c>
      <c r="R71" s="6"/>
      <c r="S71" s="6"/>
      <c r="T71" s="156"/>
      <c r="U71" s="6"/>
    </row>
    <row r="72" spans="1:21" customFormat="1">
      <c r="A72" s="201" t="s">
        <v>1167</v>
      </c>
      <c r="B72" s="6">
        <v>5.22</v>
      </c>
      <c r="C72" s="6">
        <v>9.41</v>
      </c>
      <c r="D72" s="6">
        <v>14.63</v>
      </c>
      <c r="E72" s="6">
        <v>5.45</v>
      </c>
      <c r="F72" s="151" t="s">
        <v>8</v>
      </c>
      <c r="G72" s="6">
        <v>75.14</v>
      </c>
      <c r="H72" s="6">
        <v>37.54</v>
      </c>
      <c r="I72" s="6">
        <v>5.83</v>
      </c>
      <c r="J72" s="6">
        <v>0.15</v>
      </c>
      <c r="K72" s="6">
        <v>79.540000000000006</v>
      </c>
      <c r="L72" s="6">
        <v>14.36</v>
      </c>
      <c r="M72" s="6">
        <v>17.71</v>
      </c>
      <c r="N72" s="6">
        <v>17.899999999999999</v>
      </c>
      <c r="O72" s="6">
        <v>4.4000000000000004</v>
      </c>
      <c r="P72" s="6">
        <v>0.37</v>
      </c>
      <c r="Q72" s="6">
        <v>10</v>
      </c>
      <c r="R72" s="6"/>
      <c r="S72" s="6"/>
      <c r="T72" s="156"/>
      <c r="U72" s="6"/>
    </row>
    <row r="73" spans="1:21" customFormat="1">
      <c r="A73" s="201" t="s">
        <v>1168</v>
      </c>
      <c r="B73" s="6">
        <v>4.99</v>
      </c>
      <c r="C73" s="6">
        <v>9.1199999999999992</v>
      </c>
      <c r="D73" s="6">
        <v>14.11</v>
      </c>
      <c r="E73" s="6">
        <v>4.8</v>
      </c>
      <c r="F73" s="151" t="s">
        <v>8</v>
      </c>
      <c r="G73" s="6">
        <v>75.14</v>
      </c>
      <c r="H73" s="6">
        <v>37.54</v>
      </c>
      <c r="I73" s="6">
        <v>5.86</v>
      </c>
      <c r="J73" s="6">
        <v>0.25</v>
      </c>
      <c r="K73" s="6">
        <v>181.66</v>
      </c>
      <c r="L73" s="6">
        <v>18.190000000000001</v>
      </c>
      <c r="M73" s="6">
        <v>27.49</v>
      </c>
      <c r="N73" s="6">
        <v>19.5</v>
      </c>
      <c r="O73" s="6">
        <v>2.2000000000000002</v>
      </c>
      <c r="P73" s="6">
        <v>0.35</v>
      </c>
      <c r="Q73" s="6">
        <v>10</v>
      </c>
      <c r="R73" s="6"/>
      <c r="S73" s="6"/>
      <c r="T73" s="156"/>
      <c r="U73" s="6"/>
    </row>
    <row r="74" spans="1:21" customFormat="1">
      <c r="A74" s="201" t="s">
        <v>1169</v>
      </c>
      <c r="B74" s="6">
        <v>4.96</v>
      </c>
      <c r="C74" s="6">
        <v>8.34</v>
      </c>
      <c r="D74" s="6">
        <v>13.3</v>
      </c>
      <c r="E74" s="6">
        <v>4.49</v>
      </c>
      <c r="F74" s="151" t="s">
        <v>8</v>
      </c>
      <c r="G74" s="6">
        <v>75.14</v>
      </c>
      <c r="H74" s="6">
        <v>37.54</v>
      </c>
      <c r="I74" s="6">
        <v>5.88</v>
      </c>
      <c r="J74" s="6">
        <v>0.2</v>
      </c>
      <c r="K74" s="6">
        <v>180.73</v>
      </c>
      <c r="L74" s="6">
        <v>16.95</v>
      </c>
      <c r="M74" s="6">
        <v>23.77</v>
      </c>
      <c r="N74" s="6">
        <v>42.5</v>
      </c>
      <c r="O74" s="6">
        <v>3.4</v>
      </c>
      <c r="P74" s="6">
        <v>0.35</v>
      </c>
      <c r="Q74" s="6">
        <v>10</v>
      </c>
      <c r="R74" s="6"/>
      <c r="S74" s="6"/>
      <c r="T74" s="156"/>
      <c r="U74" s="6"/>
    </row>
    <row r="75" spans="1:21" customFormat="1">
      <c r="A75" s="201" t="s">
        <v>1170</v>
      </c>
      <c r="B75" s="6">
        <v>5</v>
      </c>
      <c r="C75" s="6">
        <v>7.77</v>
      </c>
      <c r="D75" s="6">
        <v>12.77</v>
      </c>
      <c r="E75" s="6">
        <v>4.6500000000000004</v>
      </c>
      <c r="F75" s="151" t="s">
        <v>8</v>
      </c>
      <c r="G75" s="6">
        <v>70.290000000000006</v>
      </c>
      <c r="H75" s="6">
        <v>39.22</v>
      </c>
      <c r="I75" s="6">
        <v>5.8</v>
      </c>
      <c r="J75" s="6">
        <v>0.09</v>
      </c>
      <c r="K75" s="6">
        <v>176.28</v>
      </c>
      <c r="L75" s="6">
        <v>15.42</v>
      </c>
      <c r="M75" s="6">
        <v>19.54</v>
      </c>
      <c r="N75" s="6">
        <v>58.5</v>
      </c>
      <c r="O75" s="6">
        <v>0.2</v>
      </c>
      <c r="P75" s="6">
        <v>0.33</v>
      </c>
      <c r="Q75" s="6">
        <v>10</v>
      </c>
      <c r="R75" s="6"/>
      <c r="S75" s="6"/>
      <c r="T75" s="156"/>
      <c r="U75" s="6"/>
    </row>
    <row r="76" spans="1:21" customFormat="1">
      <c r="A76" s="201" t="s">
        <v>1171</v>
      </c>
      <c r="B76" s="6">
        <v>4.71</v>
      </c>
      <c r="C76" s="6">
        <v>7.56</v>
      </c>
      <c r="D76" s="6">
        <v>12.27</v>
      </c>
      <c r="E76" s="6">
        <v>4.28</v>
      </c>
      <c r="F76" s="151" t="s">
        <v>8</v>
      </c>
      <c r="G76" s="6">
        <v>68.900000000000006</v>
      </c>
      <c r="H76" s="6">
        <v>39.22</v>
      </c>
      <c r="I76" s="6">
        <v>5.77</v>
      </c>
      <c r="J76" s="6">
        <v>0.16</v>
      </c>
      <c r="K76" s="6">
        <v>201.86</v>
      </c>
      <c r="L76" s="6">
        <v>19.29</v>
      </c>
      <c r="M76" s="6">
        <v>29.47</v>
      </c>
      <c r="N76" s="6">
        <v>49.4</v>
      </c>
      <c r="O76" s="6">
        <v>0</v>
      </c>
      <c r="P76" s="6">
        <v>0.32</v>
      </c>
      <c r="Q76" s="6">
        <v>10</v>
      </c>
      <c r="R76" s="6"/>
      <c r="S76" s="6"/>
      <c r="T76" s="156"/>
      <c r="U76" s="6"/>
    </row>
    <row r="77" spans="1:21" customFormat="1">
      <c r="A77" s="201" t="s">
        <v>1172</v>
      </c>
      <c r="B77" s="6">
        <v>4.4000000000000004</v>
      </c>
      <c r="C77" s="6">
        <v>7.39</v>
      </c>
      <c r="D77" s="6">
        <v>11.79</v>
      </c>
      <c r="E77" s="6">
        <v>4.49</v>
      </c>
      <c r="F77" s="151" t="s">
        <v>8</v>
      </c>
      <c r="G77" s="6">
        <v>68.900000000000006</v>
      </c>
      <c r="H77" s="6">
        <v>39.22</v>
      </c>
      <c r="I77" s="6">
        <v>5.78</v>
      </c>
      <c r="J77" s="6">
        <v>0.17</v>
      </c>
      <c r="K77" s="6">
        <v>128.94</v>
      </c>
      <c r="L77" s="6">
        <v>14.53</v>
      </c>
      <c r="M77" s="6">
        <v>17.79</v>
      </c>
      <c r="N77" s="6">
        <v>35.5</v>
      </c>
      <c r="O77" s="6">
        <v>0</v>
      </c>
      <c r="P77" s="6">
        <v>0.3</v>
      </c>
      <c r="Q77" s="6">
        <v>10</v>
      </c>
      <c r="R77" s="6"/>
      <c r="S77" s="6"/>
      <c r="T77" s="156"/>
      <c r="U77" s="6"/>
    </row>
    <row r="78" spans="1:21" customFormat="1">
      <c r="A78" s="201" t="s">
        <v>1173</v>
      </c>
      <c r="B78" s="6">
        <v>4.04</v>
      </c>
      <c r="C78" s="6">
        <v>7.19</v>
      </c>
      <c r="D78" s="6">
        <v>11.23</v>
      </c>
      <c r="E78" s="6">
        <v>4.6500000000000004</v>
      </c>
      <c r="F78" s="151" t="s">
        <v>8</v>
      </c>
      <c r="G78" s="6">
        <v>68.900000000000006</v>
      </c>
      <c r="H78" s="6">
        <v>39.22</v>
      </c>
      <c r="I78" s="6">
        <v>5.64</v>
      </c>
      <c r="J78" s="6">
        <v>0.35</v>
      </c>
      <c r="K78" s="6">
        <v>110.64</v>
      </c>
      <c r="L78" s="6">
        <v>12.93</v>
      </c>
      <c r="M78" s="6">
        <v>14.1</v>
      </c>
      <c r="N78" s="6">
        <v>17.7</v>
      </c>
      <c r="O78" s="6">
        <v>0</v>
      </c>
      <c r="P78" s="6">
        <v>0.28999999999999998</v>
      </c>
      <c r="Q78" s="6">
        <v>10</v>
      </c>
      <c r="R78" s="6"/>
      <c r="S78" s="6"/>
      <c r="T78" s="156"/>
      <c r="U78" s="6"/>
    </row>
    <row r="79" spans="1:21" customFormat="1">
      <c r="A79" s="201" t="s">
        <v>1174</v>
      </c>
      <c r="B79" s="6">
        <v>3.71</v>
      </c>
      <c r="C79" s="6">
        <v>7</v>
      </c>
      <c r="D79" s="6">
        <v>10.72</v>
      </c>
      <c r="E79" s="6">
        <v>4.75</v>
      </c>
      <c r="F79" s="151" t="s">
        <v>8</v>
      </c>
      <c r="G79" s="6">
        <v>62.1</v>
      </c>
      <c r="H79" s="6">
        <v>33.15</v>
      </c>
      <c r="I79" s="6">
        <v>5.5</v>
      </c>
      <c r="J79" s="6">
        <v>0.14000000000000001</v>
      </c>
      <c r="K79" s="6">
        <v>144.44999999999999</v>
      </c>
      <c r="L79" s="6">
        <v>14.98</v>
      </c>
      <c r="M79" s="6">
        <v>19.440000000000001</v>
      </c>
      <c r="N79" s="6">
        <v>8.8000000000000007</v>
      </c>
      <c r="O79" s="6">
        <v>0</v>
      </c>
      <c r="P79" s="6">
        <v>0.28999999999999998</v>
      </c>
      <c r="Q79" s="6">
        <v>10</v>
      </c>
      <c r="R79" s="6"/>
      <c r="S79" s="6"/>
      <c r="T79" s="156"/>
      <c r="U79" s="6"/>
    </row>
    <row r="80" spans="1:21" customFormat="1">
      <c r="A80" s="201" t="s">
        <v>1175</v>
      </c>
      <c r="B80" s="6">
        <v>3.47</v>
      </c>
      <c r="C80" s="6">
        <v>6.89</v>
      </c>
      <c r="D80" s="6">
        <v>10.36</v>
      </c>
      <c r="E80" s="6">
        <v>4.78</v>
      </c>
      <c r="F80" s="151" t="s">
        <v>8</v>
      </c>
      <c r="G80" s="6">
        <v>60.16</v>
      </c>
      <c r="H80" s="6">
        <v>33.15</v>
      </c>
      <c r="I80" s="6">
        <v>5.37</v>
      </c>
      <c r="J80" s="6">
        <v>0.2</v>
      </c>
      <c r="K80" s="6">
        <v>78.11</v>
      </c>
      <c r="L80" s="6">
        <v>11.36</v>
      </c>
      <c r="M80" s="6">
        <v>10.52</v>
      </c>
      <c r="N80" s="6">
        <v>3.9</v>
      </c>
      <c r="O80" s="6">
        <v>0</v>
      </c>
      <c r="P80" s="6">
        <v>0.28000000000000003</v>
      </c>
      <c r="Q80" s="6">
        <v>10</v>
      </c>
      <c r="R80" s="6"/>
      <c r="S80" s="6"/>
      <c r="T80" s="156"/>
      <c r="U80" s="6"/>
    </row>
    <row r="81" spans="1:21" customFormat="1">
      <c r="A81" s="201" t="s">
        <v>1176</v>
      </c>
      <c r="B81" s="6">
        <v>3.37</v>
      </c>
      <c r="C81" s="6">
        <v>6.89</v>
      </c>
      <c r="D81" s="6">
        <v>10.26</v>
      </c>
      <c r="E81" s="6">
        <v>4.18</v>
      </c>
      <c r="F81" s="151" t="s">
        <v>8</v>
      </c>
      <c r="G81" s="6">
        <v>60.16</v>
      </c>
      <c r="H81" s="6">
        <v>33.15</v>
      </c>
      <c r="I81" s="6">
        <v>5.23</v>
      </c>
      <c r="J81" s="6">
        <v>0.15</v>
      </c>
      <c r="K81" s="6">
        <v>168.29</v>
      </c>
      <c r="L81" s="6">
        <v>17.21</v>
      </c>
      <c r="M81" s="6">
        <v>25.43</v>
      </c>
      <c r="N81" s="6">
        <v>3.6</v>
      </c>
      <c r="O81" s="6">
        <v>0</v>
      </c>
      <c r="P81" s="6">
        <v>0.28000000000000003</v>
      </c>
      <c r="Q81" s="6">
        <v>10</v>
      </c>
      <c r="R81" s="6"/>
      <c r="S81" s="6"/>
      <c r="T81" s="156"/>
      <c r="U81" s="6"/>
    </row>
    <row r="82" spans="1:21" customFormat="1">
      <c r="A82" s="201" t="s">
        <v>1177</v>
      </c>
      <c r="B82" s="6">
        <v>3.29</v>
      </c>
      <c r="C82" s="6">
        <v>6.91</v>
      </c>
      <c r="D82" s="6">
        <v>10.199999999999999</v>
      </c>
      <c r="E82" s="6">
        <v>5.32</v>
      </c>
      <c r="F82" s="151" t="s">
        <v>8</v>
      </c>
      <c r="G82" s="6">
        <v>60.16</v>
      </c>
      <c r="H82" s="6">
        <v>33.15</v>
      </c>
      <c r="I82" s="6">
        <v>5.16</v>
      </c>
      <c r="J82" s="6">
        <v>0.09</v>
      </c>
      <c r="K82" s="6">
        <v>54.56</v>
      </c>
      <c r="L82" s="6">
        <v>13.56</v>
      </c>
      <c r="M82" s="6">
        <v>16</v>
      </c>
      <c r="N82" s="6">
        <v>2.4</v>
      </c>
      <c r="O82" s="6">
        <v>0</v>
      </c>
      <c r="P82" s="6">
        <v>0.28000000000000003</v>
      </c>
      <c r="Q82" s="6">
        <v>10</v>
      </c>
      <c r="R82" s="6"/>
      <c r="S82" s="6"/>
      <c r="T82" s="156"/>
      <c r="U82" s="6"/>
    </row>
    <row r="83" spans="1:21" customFormat="1">
      <c r="A83" s="201" t="s">
        <v>1178</v>
      </c>
      <c r="B83" s="6">
        <v>3.48</v>
      </c>
      <c r="C83" s="6">
        <v>7.08</v>
      </c>
      <c r="D83" s="6">
        <v>10.57</v>
      </c>
      <c r="E83" s="6">
        <v>5.29</v>
      </c>
      <c r="F83" s="151" t="s">
        <v>8</v>
      </c>
      <c r="G83" s="6">
        <v>55.26</v>
      </c>
      <c r="H83" s="6">
        <v>21.98</v>
      </c>
      <c r="I83" s="6">
        <v>5.13</v>
      </c>
      <c r="J83" s="6">
        <v>0.02</v>
      </c>
      <c r="K83" s="6">
        <v>343.5</v>
      </c>
      <c r="L83" s="6">
        <v>17.489999999999998</v>
      </c>
      <c r="M83" s="6">
        <v>25.91</v>
      </c>
      <c r="N83" s="6">
        <v>2.5</v>
      </c>
      <c r="O83" s="6">
        <v>0</v>
      </c>
      <c r="P83" s="6">
        <v>0.28999999999999998</v>
      </c>
      <c r="Q83" s="6">
        <v>10</v>
      </c>
      <c r="R83" s="6"/>
      <c r="S83" s="6"/>
      <c r="T83" s="156"/>
      <c r="U83" s="6"/>
    </row>
    <row r="84" spans="1:21" customFormat="1">
      <c r="A84" s="201" t="s">
        <v>1179</v>
      </c>
      <c r="B84" s="6">
        <v>3.92</v>
      </c>
      <c r="C84" s="6">
        <v>7.37</v>
      </c>
      <c r="D84" s="6">
        <v>11.29</v>
      </c>
      <c r="E84" s="6">
        <v>5.13</v>
      </c>
      <c r="F84" s="151" t="s">
        <v>8</v>
      </c>
      <c r="G84" s="6">
        <v>53.85</v>
      </c>
      <c r="H84" s="6">
        <v>21.98</v>
      </c>
      <c r="I84" s="6">
        <v>5.14</v>
      </c>
      <c r="J84" s="6">
        <v>0.17</v>
      </c>
      <c r="K84" s="6">
        <v>170.02</v>
      </c>
      <c r="L84" s="6">
        <v>16.39</v>
      </c>
      <c r="M84" s="6">
        <v>23.28</v>
      </c>
      <c r="N84" s="6">
        <v>2.5</v>
      </c>
      <c r="O84" s="6">
        <v>0</v>
      </c>
      <c r="P84" s="6">
        <v>0.3</v>
      </c>
      <c r="Q84" s="6">
        <v>10</v>
      </c>
      <c r="R84" s="6"/>
      <c r="S84" s="6"/>
      <c r="T84" s="156"/>
      <c r="U84" s="6"/>
    </row>
    <row r="85" spans="1:21" customFormat="1">
      <c r="A85" s="201" t="s">
        <v>1180</v>
      </c>
      <c r="B85" s="6">
        <v>4.12</v>
      </c>
      <c r="C85" s="6">
        <v>7.44</v>
      </c>
      <c r="D85" s="6">
        <v>11.56</v>
      </c>
      <c r="E85" s="6">
        <v>5.48</v>
      </c>
      <c r="F85" s="151" t="s">
        <v>8</v>
      </c>
      <c r="G85" s="6">
        <v>53.85</v>
      </c>
      <c r="H85" s="6">
        <v>21.98</v>
      </c>
      <c r="I85" s="6">
        <v>5.28</v>
      </c>
      <c r="J85" s="6">
        <v>0.14000000000000001</v>
      </c>
      <c r="K85" s="6">
        <v>186.77</v>
      </c>
      <c r="L85" s="6">
        <v>19.02</v>
      </c>
      <c r="M85" s="6">
        <v>29.87</v>
      </c>
      <c r="N85" s="6">
        <v>2.2000000000000002</v>
      </c>
      <c r="O85" s="6">
        <v>0</v>
      </c>
      <c r="P85" s="6">
        <v>0.31</v>
      </c>
      <c r="Q85" s="6">
        <v>10</v>
      </c>
      <c r="R85" s="6"/>
      <c r="S85" s="6"/>
      <c r="T85" s="156"/>
      <c r="U85" s="6"/>
    </row>
    <row r="86" spans="1:21" customFormat="1">
      <c r="A86" s="201" t="s">
        <v>1181</v>
      </c>
      <c r="B86" s="6">
        <v>4.22</v>
      </c>
      <c r="C86" s="6">
        <v>7.42</v>
      </c>
      <c r="D86" s="6">
        <v>11.64</v>
      </c>
      <c r="E86" s="6">
        <v>5.3</v>
      </c>
      <c r="F86" s="151" t="s">
        <v>8</v>
      </c>
      <c r="G86" s="6">
        <v>53.85</v>
      </c>
      <c r="H86" s="6">
        <v>21.98</v>
      </c>
      <c r="I86" s="6">
        <v>5.54</v>
      </c>
      <c r="J86" s="6">
        <v>0.17</v>
      </c>
      <c r="K86" s="6">
        <v>141.88</v>
      </c>
      <c r="L86" s="6">
        <v>14.37</v>
      </c>
      <c r="M86" s="6">
        <v>18.23</v>
      </c>
      <c r="N86" s="6">
        <v>2.2000000000000002</v>
      </c>
      <c r="O86" s="6">
        <v>0</v>
      </c>
      <c r="P86" s="6">
        <v>0.32</v>
      </c>
      <c r="Q86" s="6">
        <v>10.08</v>
      </c>
      <c r="R86" s="6"/>
      <c r="S86" s="6"/>
      <c r="T86" s="156"/>
      <c r="U86" s="6"/>
    </row>
    <row r="87" spans="1:21" customFormat="1">
      <c r="A87" s="201" t="s">
        <v>1182</v>
      </c>
      <c r="B87" s="6">
        <v>4.3099999999999996</v>
      </c>
      <c r="C87" s="6">
        <v>7.39</v>
      </c>
      <c r="D87" s="6">
        <v>11.7</v>
      </c>
      <c r="E87" s="6">
        <v>5.47</v>
      </c>
      <c r="F87" s="151" t="s">
        <v>8</v>
      </c>
      <c r="G87" s="6">
        <v>53.63</v>
      </c>
      <c r="H87" s="6">
        <v>23.4</v>
      </c>
      <c r="I87" s="6">
        <v>5.72</v>
      </c>
      <c r="J87" s="6">
        <v>0.17</v>
      </c>
      <c r="K87" s="6">
        <v>67.19</v>
      </c>
      <c r="L87" s="6">
        <v>9.7200000000000006</v>
      </c>
      <c r="M87" s="6">
        <v>6.39</v>
      </c>
      <c r="N87" s="6">
        <v>2.6</v>
      </c>
      <c r="O87" s="6">
        <v>0</v>
      </c>
      <c r="P87" s="6">
        <v>0.32</v>
      </c>
      <c r="Q87" s="6">
        <v>9.8800000000000008</v>
      </c>
      <c r="R87" s="6"/>
      <c r="S87" s="6"/>
      <c r="T87" s="156"/>
      <c r="U87" s="6"/>
    </row>
    <row r="88" spans="1:21" customFormat="1">
      <c r="A88" s="201" t="s">
        <v>1183</v>
      </c>
      <c r="B88" s="6">
        <v>4.68</v>
      </c>
      <c r="C88" s="6">
        <v>7.52</v>
      </c>
      <c r="D88" s="6">
        <v>12.2</v>
      </c>
      <c r="E88" s="6">
        <v>5.57</v>
      </c>
      <c r="F88" s="151" t="s">
        <v>8</v>
      </c>
      <c r="G88" s="6">
        <v>53.56</v>
      </c>
      <c r="H88" s="6">
        <v>23.4</v>
      </c>
      <c r="I88" s="6">
        <v>5.77</v>
      </c>
      <c r="J88" s="6">
        <v>0.16</v>
      </c>
      <c r="K88" s="6">
        <v>33.369999999999997</v>
      </c>
      <c r="L88" s="6">
        <v>10.16</v>
      </c>
      <c r="M88" s="6">
        <v>7.3</v>
      </c>
      <c r="N88" s="6">
        <v>2.6</v>
      </c>
      <c r="O88" s="6">
        <v>0</v>
      </c>
      <c r="P88" s="6">
        <v>0.34</v>
      </c>
      <c r="Q88" s="6">
        <v>10.8</v>
      </c>
      <c r="R88" s="6"/>
      <c r="S88" s="6"/>
      <c r="T88" s="156"/>
      <c r="U88" s="6"/>
    </row>
    <row r="89" spans="1:21" customFormat="1">
      <c r="A89" s="201" t="s">
        <v>1184</v>
      </c>
      <c r="B89" s="6">
        <v>5.13</v>
      </c>
      <c r="C89" s="6">
        <v>7.72</v>
      </c>
      <c r="D89" s="6">
        <v>12.84</v>
      </c>
      <c r="E89" s="6">
        <v>5.35</v>
      </c>
      <c r="F89" s="151" t="s">
        <v>8</v>
      </c>
      <c r="G89" s="6">
        <v>53.56</v>
      </c>
      <c r="H89" s="6">
        <v>23.4</v>
      </c>
      <c r="I89" s="6">
        <v>5.87</v>
      </c>
      <c r="J89" s="6">
        <v>0.13</v>
      </c>
      <c r="K89" s="6">
        <v>126.36</v>
      </c>
      <c r="L89" s="6">
        <v>13.66</v>
      </c>
      <c r="M89" s="6">
        <v>16.38</v>
      </c>
      <c r="N89" s="6">
        <v>2.2999999999999998</v>
      </c>
      <c r="O89" s="6">
        <v>0</v>
      </c>
      <c r="P89" s="6">
        <v>0.34</v>
      </c>
      <c r="Q89" s="6">
        <v>10</v>
      </c>
      <c r="R89" s="6"/>
      <c r="S89" s="6"/>
      <c r="T89" s="156"/>
      <c r="U89" s="6"/>
    </row>
    <row r="90" spans="1:21" customFormat="1">
      <c r="A90" s="201" t="s">
        <v>1185</v>
      </c>
      <c r="B90" s="6">
        <v>5.49</v>
      </c>
      <c r="C90" s="6">
        <v>7.68</v>
      </c>
      <c r="D90" s="6">
        <v>13.18</v>
      </c>
      <c r="E90" s="6">
        <v>5.43</v>
      </c>
      <c r="F90" s="151" t="s">
        <v>8</v>
      </c>
      <c r="G90" s="6">
        <v>53.56</v>
      </c>
      <c r="H90" s="6">
        <v>23.4</v>
      </c>
      <c r="I90" s="6">
        <v>6.02</v>
      </c>
      <c r="J90" s="6">
        <v>0.15</v>
      </c>
      <c r="K90" s="6">
        <v>58.64</v>
      </c>
      <c r="L90" s="6">
        <v>8.73</v>
      </c>
      <c r="M90" s="6">
        <v>3.8</v>
      </c>
      <c r="N90" s="6">
        <v>2.2999999999999998</v>
      </c>
      <c r="O90" s="6">
        <v>0</v>
      </c>
      <c r="P90" s="6">
        <v>0.35</v>
      </c>
      <c r="Q90" s="6">
        <v>10</v>
      </c>
      <c r="R90" s="6"/>
      <c r="S90" s="6"/>
      <c r="T90" s="156"/>
      <c r="U90" s="6"/>
    </row>
    <row r="91" spans="1:21" customFormat="1">
      <c r="A91" s="201" t="s">
        <v>1186</v>
      </c>
      <c r="B91" s="6">
        <v>5.82</v>
      </c>
      <c r="C91" s="6">
        <v>7.72</v>
      </c>
      <c r="D91" s="6">
        <v>13.54</v>
      </c>
      <c r="E91" s="6">
        <v>5.29</v>
      </c>
      <c r="F91" s="151" t="s">
        <v>8</v>
      </c>
      <c r="G91" s="6">
        <v>66.63</v>
      </c>
      <c r="H91" s="6">
        <v>25.74</v>
      </c>
      <c r="I91" s="6">
        <v>6.19</v>
      </c>
      <c r="J91" s="6">
        <v>0.24</v>
      </c>
      <c r="K91" s="6">
        <v>44.07</v>
      </c>
      <c r="L91" s="6">
        <v>7.09</v>
      </c>
      <c r="M91" s="6">
        <v>-0.31</v>
      </c>
      <c r="N91" s="6">
        <v>2.5</v>
      </c>
      <c r="O91" s="6">
        <v>0</v>
      </c>
      <c r="P91" s="6">
        <v>0.36</v>
      </c>
      <c r="Q91" s="6">
        <v>10</v>
      </c>
      <c r="R91" s="6"/>
      <c r="S91" s="6"/>
      <c r="T91" s="156"/>
      <c r="U91" s="6"/>
    </row>
    <row r="92" spans="1:21" customFormat="1">
      <c r="A92" s="201" t="s">
        <v>1187</v>
      </c>
      <c r="B92" s="6">
        <v>6.2</v>
      </c>
      <c r="C92" s="6">
        <v>7.79</v>
      </c>
      <c r="D92" s="6">
        <v>13.99</v>
      </c>
      <c r="E92" s="6">
        <v>5.45</v>
      </c>
      <c r="F92" s="151" t="s">
        <v>8</v>
      </c>
      <c r="G92" s="6">
        <v>70.37</v>
      </c>
      <c r="H92" s="6">
        <v>25.74</v>
      </c>
      <c r="I92" s="6">
        <v>6.31</v>
      </c>
      <c r="J92" s="6">
        <v>0.14000000000000001</v>
      </c>
      <c r="K92" s="6">
        <v>58.68</v>
      </c>
      <c r="L92" s="6">
        <v>8.11</v>
      </c>
      <c r="M92" s="6">
        <v>2.31</v>
      </c>
      <c r="N92" s="6">
        <v>2.5</v>
      </c>
      <c r="O92" s="6">
        <v>0</v>
      </c>
      <c r="P92" s="6">
        <v>0.38</v>
      </c>
      <c r="Q92" s="6">
        <v>10</v>
      </c>
      <c r="R92" s="6"/>
      <c r="S92" s="6"/>
      <c r="T92" s="156"/>
      <c r="U92" s="6"/>
    </row>
    <row r="93" spans="1:21" customFormat="1">
      <c r="A93" s="201" t="s">
        <v>1188</v>
      </c>
      <c r="B93" s="6">
        <v>6.45</v>
      </c>
      <c r="C93" s="6">
        <v>7.93</v>
      </c>
      <c r="D93" s="6">
        <v>14.37</v>
      </c>
      <c r="E93" s="6">
        <v>5.15</v>
      </c>
      <c r="F93" s="151" t="s">
        <v>8</v>
      </c>
      <c r="G93" s="6">
        <v>70.37</v>
      </c>
      <c r="H93" s="6">
        <v>25.74</v>
      </c>
      <c r="I93" s="6">
        <v>6.39</v>
      </c>
      <c r="J93" s="6">
        <v>0.12</v>
      </c>
      <c r="K93" s="6">
        <v>46.02</v>
      </c>
      <c r="L93" s="6">
        <v>11.16</v>
      </c>
      <c r="M93" s="6">
        <v>9.91</v>
      </c>
      <c r="N93" s="6">
        <v>2.4</v>
      </c>
      <c r="O93" s="6">
        <v>0</v>
      </c>
      <c r="P93" s="6">
        <v>0.38</v>
      </c>
      <c r="Q93" s="6">
        <v>10</v>
      </c>
      <c r="R93" s="6"/>
      <c r="S93" s="6"/>
      <c r="T93" s="156"/>
      <c r="U93" s="6"/>
    </row>
    <row r="94" spans="1:21" customFormat="1">
      <c r="A94" s="201" t="s">
        <v>1189</v>
      </c>
      <c r="B94" s="6">
        <v>6.69</v>
      </c>
      <c r="C94" s="6">
        <v>7.9</v>
      </c>
      <c r="D94" s="6">
        <v>14.59</v>
      </c>
      <c r="E94" s="6">
        <v>5.32</v>
      </c>
      <c r="F94" s="151" t="s">
        <v>8</v>
      </c>
      <c r="G94" s="6">
        <v>70.37</v>
      </c>
      <c r="H94" s="6">
        <v>25.74</v>
      </c>
      <c r="I94" s="6">
        <v>6.44</v>
      </c>
      <c r="J94" s="6">
        <v>0.24</v>
      </c>
      <c r="K94" s="6">
        <v>25.47</v>
      </c>
      <c r="L94" s="6">
        <v>10.54</v>
      </c>
      <c r="M94" s="6">
        <v>8.19</v>
      </c>
      <c r="N94" s="6">
        <v>2.5</v>
      </c>
      <c r="O94" s="6">
        <v>0</v>
      </c>
      <c r="P94" s="6">
        <v>0.39</v>
      </c>
      <c r="Q94" s="6">
        <v>10.31</v>
      </c>
      <c r="R94" s="6"/>
      <c r="S94" s="6"/>
      <c r="T94" s="156"/>
      <c r="U94" s="6"/>
    </row>
    <row r="95" spans="1:21" customFormat="1">
      <c r="A95" s="201" t="s">
        <v>1190</v>
      </c>
      <c r="B95" s="6">
        <v>7.01</v>
      </c>
      <c r="C95" s="6">
        <v>7.89</v>
      </c>
      <c r="D95" s="6">
        <v>14.9</v>
      </c>
      <c r="E95" s="6">
        <v>5.52</v>
      </c>
      <c r="F95" s="151" t="s">
        <v>8</v>
      </c>
      <c r="G95" s="6">
        <v>82.49</v>
      </c>
      <c r="H95" s="6">
        <v>26.21</v>
      </c>
      <c r="I95" s="6">
        <v>6.46</v>
      </c>
      <c r="J95" s="6">
        <v>0.21</v>
      </c>
      <c r="K95" s="6">
        <v>33.28</v>
      </c>
      <c r="L95" s="6">
        <v>7.51</v>
      </c>
      <c r="M95" s="6">
        <v>0.76</v>
      </c>
      <c r="N95" s="6">
        <v>2.4</v>
      </c>
      <c r="O95" s="6">
        <v>0</v>
      </c>
      <c r="P95" s="6">
        <v>0.41</v>
      </c>
      <c r="Q95" s="6">
        <v>10.07</v>
      </c>
      <c r="R95" s="6"/>
      <c r="S95" s="6"/>
      <c r="T95" s="156"/>
      <c r="U95" s="6"/>
    </row>
    <row r="96" spans="1:21" customFormat="1">
      <c r="A96" s="201" t="s">
        <v>1191</v>
      </c>
      <c r="B96" s="6">
        <v>7.6</v>
      </c>
      <c r="C96" s="6">
        <v>7.86</v>
      </c>
      <c r="D96" s="6">
        <v>15.46</v>
      </c>
      <c r="E96" s="6">
        <v>5.34</v>
      </c>
      <c r="F96" s="151" t="s">
        <v>8</v>
      </c>
      <c r="G96" s="6">
        <v>85.95</v>
      </c>
      <c r="H96" s="6">
        <v>26.21</v>
      </c>
      <c r="I96" s="6">
        <v>6.57</v>
      </c>
      <c r="J96" s="6">
        <v>0.2</v>
      </c>
      <c r="K96" s="6">
        <v>14.61</v>
      </c>
      <c r="L96" s="6">
        <v>11.26</v>
      </c>
      <c r="M96" s="6">
        <v>10.02</v>
      </c>
      <c r="N96" s="6">
        <v>2.5</v>
      </c>
      <c r="O96" s="6">
        <v>0</v>
      </c>
      <c r="P96" s="6">
        <v>0.43</v>
      </c>
      <c r="Q96" s="6">
        <v>10</v>
      </c>
      <c r="R96" s="6"/>
      <c r="S96" s="6"/>
      <c r="T96" s="156"/>
      <c r="U96" s="6"/>
    </row>
    <row r="97" spans="1:28" customFormat="1">
      <c r="A97" s="201" t="s">
        <v>1192</v>
      </c>
      <c r="B97" s="6">
        <v>8.06</v>
      </c>
      <c r="C97" s="6">
        <v>7.75</v>
      </c>
      <c r="D97" s="6">
        <v>15.81</v>
      </c>
      <c r="E97" s="6">
        <v>5.21</v>
      </c>
      <c r="F97" s="151" t="s">
        <v>8</v>
      </c>
      <c r="G97" s="6">
        <v>85.95</v>
      </c>
      <c r="H97" s="6">
        <v>26.21</v>
      </c>
      <c r="I97" s="6">
        <v>6.62</v>
      </c>
      <c r="J97" s="6">
        <v>0.18</v>
      </c>
      <c r="K97" s="6">
        <v>24.34</v>
      </c>
      <c r="L97" s="6">
        <v>7.47</v>
      </c>
      <c r="M97" s="6">
        <v>0.52</v>
      </c>
      <c r="N97" s="6">
        <v>2.4</v>
      </c>
      <c r="O97" s="6">
        <v>0</v>
      </c>
      <c r="P97" s="6">
        <v>0.42</v>
      </c>
      <c r="Q97" s="6">
        <v>10</v>
      </c>
      <c r="R97" s="6"/>
      <c r="S97" s="6"/>
      <c r="T97" s="156"/>
      <c r="U97" s="6"/>
    </row>
    <row r="98" spans="1:28" customFormat="1">
      <c r="A98" s="201" t="s">
        <v>1193</v>
      </c>
      <c r="B98" s="6">
        <v>8.3800000000000008</v>
      </c>
      <c r="C98" s="6">
        <v>7.67</v>
      </c>
      <c r="D98" s="6">
        <v>16.059999999999999</v>
      </c>
      <c r="E98" s="6">
        <v>5.34</v>
      </c>
      <c r="F98" s="151" t="s">
        <v>8</v>
      </c>
      <c r="G98" s="6">
        <v>85.95</v>
      </c>
      <c r="H98" s="6">
        <v>26.21</v>
      </c>
      <c r="I98" s="6">
        <v>6.68</v>
      </c>
      <c r="J98" s="6">
        <v>0.25</v>
      </c>
      <c r="K98" s="6">
        <v>18.59</v>
      </c>
      <c r="L98" s="6">
        <v>7.9</v>
      </c>
      <c r="M98" s="6">
        <v>1.51</v>
      </c>
      <c r="N98" s="6">
        <v>2.5</v>
      </c>
      <c r="O98" s="6">
        <v>0</v>
      </c>
      <c r="P98" s="6">
        <v>0.44</v>
      </c>
      <c r="Q98" s="6">
        <v>10</v>
      </c>
      <c r="R98" s="6"/>
      <c r="S98" s="6"/>
      <c r="T98" s="156"/>
      <c r="U98" s="6"/>
    </row>
    <row r="99" spans="1:28" customFormat="1">
      <c r="A99" s="201" t="s">
        <v>1194</v>
      </c>
      <c r="B99" s="6">
        <v>8.75</v>
      </c>
      <c r="C99" s="6">
        <v>7.79</v>
      </c>
      <c r="D99" s="6">
        <v>16.54</v>
      </c>
      <c r="E99" s="6">
        <v>4.6900000000000004</v>
      </c>
      <c r="F99" s="151" t="s">
        <v>8</v>
      </c>
      <c r="G99" s="6">
        <v>98.44</v>
      </c>
      <c r="H99" s="6">
        <v>28.68</v>
      </c>
      <c r="I99" s="6">
        <v>6.7</v>
      </c>
      <c r="J99" s="6">
        <v>0.26</v>
      </c>
      <c r="K99" s="6">
        <v>28.8</v>
      </c>
      <c r="L99" s="6">
        <v>11.05</v>
      </c>
      <c r="M99" s="6">
        <v>9.5</v>
      </c>
      <c r="N99" s="6">
        <v>2.4</v>
      </c>
      <c r="O99" s="6">
        <v>0</v>
      </c>
      <c r="P99" s="6">
        <v>0.44</v>
      </c>
      <c r="Q99" s="6">
        <v>10</v>
      </c>
      <c r="R99" s="6"/>
      <c r="S99" s="6"/>
      <c r="T99" s="156"/>
      <c r="U99" s="6"/>
    </row>
    <row r="100" spans="1:28" customFormat="1">
      <c r="A100" s="201" t="s">
        <v>1195</v>
      </c>
      <c r="B100" s="6">
        <v>8.98</v>
      </c>
      <c r="C100" s="6">
        <v>7.51</v>
      </c>
      <c r="D100" s="6">
        <v>16.489999999999998</v>
      </c>
      <c r="E100" s="6">
        <v>5.12</v>
      </c>
      <c r="F100" s="151" t="s">
        <v>8</v>
      </c>
      <c r="G100" s="6">
        <v>101.78</v>
      </c>
      <c r="H100" s="6">
        <v>28.68</v>
      </c>
      <c r="I100" s="6">
        <v>6.77</v>
      </c>
      <c r="J100" s="6">
        <v>0.27</v>
      </c>
      <c r="K100" s="6">
        <v>25.99</v>
      </c>
      <c r="L100" s="6">
        <v>11.82</v>
      </c>
      <c r="M100" s="6">
        <v>11.36</v>
      </c>
      <c r="N100" s="6">
        <v>2.4</v>
      </c>
      <c r="O100" s="6">
        <v>0</v>
      </c>
      <c r="P100" s="6">
        <v>0.43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1196</v>
      </c>
      <c r="B101" s="6">
        <v>9.14</v>
      </c>
      <c r="C101" s="6">
        <v>7.48</v>
      </c>
      <c r="D101" s="6">
        <v>16.62</v>
      </c>
      <c r="E101" s="6">
        <v>5.18</v>
      </c>
      <c r="F101" s="151" t="s">
        <v>8</v>
      </c>
      <c r="G101" s="6">
        <v>101.78</v>
      </c>
      <c r="H101" s="6">
        <v>28.68</v>
      </c>
      <c r="I101" s="6">
        <v>6.79</v>
      </c>
      <c r="J101" s="6">
        <v>0.22</v>
      </c>
      <c r="K101" s="6">
        <v>20.98</v>
      </c>
      <c r="L101" s="6">
        <v>10.54</v>
      </c>
      <c r="M101" s="6">
        <v>7.53</v>
      </c>
      <c r="N101" s="6">
        <v>2.4</v>
      </c>
      <c r="O101" s="6">
        <v>0</v>
      </c>
      <c r="P101" s="6">
        <v>0.43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1197</v>
      </c>
      <c r="B102" s="6">
        <v>9.34</v>
      </c>
      <c r="C102" s="6">
        <v>7.41</v>
      </c>
      <c r="D102" s="6">
        <v>16.75</v>
      </c>
      <c r="E102" s="6">
        <v>5.1100000000000003</v>
      </c>
      <c r="F102" s="151" t="s">
        <v>8</v>
      </c>
      <c r="G102" s="6">
        <v>101.78</v>
      </c>
      <c r="H102" s="6">
        <v>28.68</v>
      </c>
      <c r="I102" s="6">
        <v>6.83</v>
      </c>
      <c r="J102" s="6">
        <v>0.28999999999999998</v>
      </c>
      <c r="K102" s="6">
        <v>24.57</v>
      </c>
      <c r="L102" s="6">
        <v>9.58</v>
      </c>
      <c r="M102" s="6">
        <v>5.74</v>
      </c>
      <c r="N102" s="6">
        <v>2.4</v>
      </c>
      <c r="O102" s="6">
        <v>0</v>
      </c>
      <c r="P102" s="6">
        <v>0.44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1198</v>
      </c>
      <c r="B103" s="6">
        <v>9.7899999999999991</v>
      </c>
      <c r="C103" s="6">
        <v>7.76</v>
      </c>
      <c r="D103" s="6">
        <v>17.55</v>
      </c>
      <c r="E103" s="6">
        <v>5.09</v>
      </c>
      <c r="F103" s="151" t="s">
        <v>8</v>
      </c>
      <c r="G103" s="6">
        <v>96.24</v>
      </c>
      <c r="H103" s="6">
        <v>34.69</v>
      </c>
      <c r="I103" s="6">
        <v>6.78</v>
      </c>
      <c r="J103" s="6">
        <v>0.4</v>
      </c>
      <c r="K103" s="6">
        <v>36.700000000000003</v>
      </c>
      <c r="L103" s="6">
        <v>6.19</v>
      </c>
      <c r="M103" s="6">
        <v>-2.65</v>
      </c>
      <c r="N103" s="6">
        <v>2.4</v>
      </c>
      <c r="O103" s="6">
        <v>0</v>
      </c>
      <c r="P103" s="6">
        <v>0.42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1199</v>
      </c>
      <c r="B104" s="6">
        <v>9.8699999999999992</v>
      </c>
      <c r="C104" s="6">
        <v>7.45</v>
      </c>
      <c r="D104" s="6">
        <v>17.32</v>
      </c>
      <c r="E104" s="6">
        <v>5.22</v>
      </c>
      <c r="F104" s="151" t="s">
        <v>8</v>
      </c>
      <c r="G104" s="6">
        <v>94.66</v>
      </c>
      <c r="H104" s="6">
        <v>34.69</v>
      </c>
      <c r="I104" s="6">
        <v>6.68</v>
      </c>
      <c r="J104" s="6">
        <v>0.44</v>
      </c>
      <c r="K104" s="6">
        <v>42.24</v>
      </c>
      <c r="L104" s="6">
        <v>6.42</v>
      </c>
      <c r="M104" s="6">
        <v>-2.06</v>
      </c>
      <c r="N104" s="6">
        <v>2.4</v>
      </c>
      <c r="O104" s="6">
        <v>0</v>
      </c>
      <c r="P104" s="6">
        <v>0.43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3.29</v>
      </c>
      <c r="C106" s="158">
        <f>MIN(C9:C104)</f>
        <v>6.46</v>
      </c>
      <c r="D106" s="158">
        <f t="shared" ref="D106:Q106" si="0">MIN(D9:D104)</f>
        <v>10.199999999999999</v>
      </c>
      <c r="E106" s="158">
        <f t="shared" si="0"/>
        <v>3.6</v>
      </c>
      <c r="F106" s="158">
        <f t="shared" si="0"/>
        <v>0</v>
      </c>
      <c r="G106" s="158">
        <f t="shared" si="0"/>
        <v>31.89</v>
      </c>
      <c r="H106" s="158">
        <f t="shared" si="0"/>
        <v>14.56</v>
      </c>
      <c r="I106" s="158">
        <f t="shared" si="0"/>
        <v>4.83</v>
      </c>
      <c r="J106" s="158">
        <f t="shared" si="0"/>
        <v>0.02</v>
      </c>
      <c r="K106" s="158">
        <f t="shared" si="0"/>
        <v>9.2899999999999991</v>
      </c>
      <c r="L106" s="158">
        <f t="shared" si="0"/>
        <v>6.19</v>
      </c>
      <c r="M106" s="158">
        <f t="shared" si="0"/>
        <v>-2.65</v>
      </c>
      <c r="N106" s="158">
        <f t="shared" si="0"/>
        <v>2</v>
      </c>
      <c r="O106" s="158">
        <f t="shared" si="0"/>
        <v>0</v>
      </c>
      <c r="P106" s="158">
        <f t="shared" si="0"/>
        <v>0.28000000000000003</v>
      </c>
      <c r="Q106" s="158">
        <f t="shared" si="0"/>
        <v>9.56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10.82</v>
      </c>
      <c r="C107" s="157">
        <f t="shared" ref="C107:Q107" si="1">MAX(C9:C104)</f>
        <v>10.7</v>
      </c>
      <c r="D107" s="157">
        <f t="shared" si="1"/>
        <v>18.55</v>
      </c>
      <c r="E107" s="157">
        <f t="shared" si="1"/>
        <v>6.7</v>
      </c>
      <c r="F107" s="157">
        <f t="shared" si="1"/>
        <v>0</v>
      </c>
      <c r="G107" s="157">
        <f t="shared" si="1"/>
        <v>101.78</v>
      </c>
      <c r="H107" s="157">
        <f t="shared" si="1"/>
        <v>39.22</v>
      </c>
      <c r="I107" s="157">
        <f t="shared" si="1"/>
        <v>6.83</v>
      </c>
      <c r="J107" s="157">
        <f t="shared" si="1"/>
        <v>0.63</v>
      </c>
      <c r="K107" s="157">
        <f t="shared" si="1"/>
        <v>358.18</v>
      </c>
      <c r="L107" s="157">
        <f t="shared" si="1"/>
        <v>19.29</v>
      </c>
      <c r="M107" s="157">
        <f t="shared" si="1"/>
        <v>30.12</v>
      </c>
      <c r="N107" s="157">
        <f t="shared" si="1"/>
        <v>370.3</v>
      </c>
      <c r="O107" s="157">
        <f t="shared" si="1"/>
        <v>4.4000000000000004</v>
      </c>
      <c r="P107" s="157">
        <f t="shared" si="1"/>
        <v>0.45</v>
      </c>
      <c r="Q107" s="157">
        <f t="shared" si="1"/>
        <v>48.5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7.0377083333333337</v>
      </c>
      <c r="C108" s="158">
        <f t="shared" ref="C108:Q108" si="2">AVERAGE(C9:C104)</f>
        <v>7.5707291666666636</v>
      </c>
      <c r="D108" s="158">
        <f t="shared" si="2"/>
        <v>14.608020833333327</v>
      </c>
      <c r="E108" s="158">
        <f t="shared" si="2"/>
        <v>5.1924999999999999</v>
      </c>
      <c r="F108" s="158" t="e">
        <f t="shared" si="2"/>
        <v>#DIV/0!</v>
      </c>
      <c r="G108" s="158">
        <f t="shared" si="2"/>
        <v>68.364999999999995</v>
      </c>
      <c r="H108" s="158">
        <f t="shared" si="2"/>
        <v>26.861666666666661</v>
      </c>
      <c r="I108" s="158">
        <f t="shared" si="2"/>
        <v>5.9298958333333323</v>
      </c>
      <c r="J108" s="158">
        <f t="shared" si="2"/>
        <v>0.23979166666666665</v>
      </c>
      <c r="K108" s="158">
        <f t="shared" si="2"/>
        <v>87.417604166666635</v>
      </c>
      <c r="L108" s="158">
        <f t="shared" si="2"/>
        <v>12.536979166666669</v>
      </c>
      <c r="M108" s="158">
        <f t="shared" si="2"/>
        <v>12.057916666666669</v>
      </c>
      <c r="N108" s="158">
        <f t="shared" si="2"/>
        <v>60.208333333333286</v>
      </c>
      <c r="O108" s="158">
        <f t="shared" si="2"/>
        <v>0.10625</v>
      </c>
      <c r="P108" s="158">
        <f t="shared" si="2"/>
        <v>0.37843749999999998</v>
      </c>
      <c r="Q108" s="158">
        <f t="shared" si="2"/>
        <v>11.818020833333334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2.3161053876425073</v>
      </c>
      <c r="C109" s="158">
        <f t="shared" ref="C109:Q109" si="3">STDEV(C9:C104)</f>
        <v>0.8833098577648697</v>
      </c>
      <c r="D109" s="158">
        <f t="shared" si="3"/>
        <v>2.2810379077085927</v>
      </c>
      <c r="E109" s="158">
        <f t="shared" si="3"/>
        <v>0.60618913150757237</v>
      </c>
      <c r="F109" s="158" t="e">
        <f t="shared" si="3"/>
        <v>#DIV/0!</v>
      </c>
      <c r="G109" s="158">
        <f t="shared" si="3"/>
        <v>15.982314897213293</v>
      </c>
      <c r="H109" s="158">
        <f t="shared" si="3"/>
        <v>6.4414481318324919</v>
      </c>
      <c r="I109" s="158">
        <f t="shared" si="3"/>
        <v>0.48807569471540962</v>
      </c>
      <c r="J109" s="158">
        <f t="shared" si="3"/>
        <v>0.11648337732476001</v>
      </c>
      <c r="K109" s="158">
        <f t="shared" si="3"/>
        <v>76.885937811455065</v>
      </c>
      <c r="L109" s="158">
        <f t="shared" si="3"/>
        <v>3.4244179281930269</v>
      </c>
      <c r="M109" s="158">
        <f t="shared" si="3"/>
        <v>9.0130499442888645</v>
      </c>
      <c r="N109" s="158">
        <f t="shared" si="3"/>
        <v>94.944014158668324</v>
      </c>
      <c r="O109" s="158">
        <f t="shared" si="3"/>
        <v>0.60451154705788357</v>
      </c>
      <c r="P109" s="158">
        <f t="shared" si="3"/>
        <v>4.7998423767979491E-2</v>
      </c>
      <c r="Q109" s="158">
        <f t="shared" si="3"/>
        <v>6.3065741170859342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101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1200</v>
      </c>
      <c r="B9" s="6">
        <v>9.7100000000000009</v>
      </c>
      <c r="C9" s="6">
        <v>7.57</v>
      </c>
      <c r="D9" s="6">
        <v>17.28</v>
      </c>
      <c r="E9" s="6">
        <v>5.35</v>
      </c>
      <c r="F9" s="151" t="s">
        <v>8</v>
      </c>
      <c r="G9" s="6">
        <v>94.66</v>
      </c>
      <c r="H9" s="6">
        <v>34.69</v>
      </c>
      <c r="I9" s="6">
        <v>6.64</v>
      </c>
      <c r="J9" s="6">
        <v>0.32</v>
      </c>
      <c r="K9" s="6">
        <v>51.3</v>
      </c>
      <c r="L9" s="6">
        <v>7.68</v>
      </c>
      <c r="M9" s="6">
        <v>1.1599999999999999</v>
      </c>
      <c r="N9" s="6">
        <v>2.4</v>
      </c>
      <c r="O9" s="6">
        <v>0</v>
      </c>
      <c r="P9" s="6">
        <v>0.42</v>
      </c>
      <c r="Q9" s="6">
        <v>10</v>
      </c>
      <c r="R9" s="6"/>
      <c r="S9" s="6"/>
      <c r="T9" s="156"/>
      <c r="U9" s="6"/>
    </row>
    <row r="10" spans="1:21" customFormat="1">
      <c r="A10" s="201" t="s">
        <v>1201</v>
      </c>
      <c r="B10" s="6">
        <v>9.8699999999999992</v>
      </c>
      <c r="C10" s="6">
        <v>7.42</v>
      </c>
      <c r="D10" s="6">
        <v>17.29</v>
      </c>
      <c r="E10" s="6">
        <v>5.34</v>
      </c>
      <c r="F10" s="151" t="s">
        <v>8</v>
      </c>
      <c r="G10" s="6">
        <v>94.66</v>
      </c>
      <c r="H10" s="6">
        <v>34.69</v>
      </c>
      <c r="I10" s="6">
        <v>6.76</v>
      </c>
      <c r="J10" s="6">
        <v>0.32</v>
      </c>
      <c r="K10" s="6">
        <v>44.15</v>
      </c>
      <c r="L10" s="6">
        <v>7.56</v>
      </c>
      <c r="M10" s="6">
        <v>0.87</v>
      </c>
      <c r="N10" s="6">
        <v>2.5</v>
      </c>
      <c r="O10" s="6">
        <v>0</v>
      </c>
      <c r="P10" s="6">
        <v>0.43</v>
      </c>
      <c r="Q10" s="6">
        <v>10</v>
      </c>
      <c r="R10" s="6"/>
      <c r="S10" s="6"/>
      <c r="T10" s="156"/>
      <c r="U10" s="6"/>
    </row>
    <row r="11" spans="1:21" customFormat="1">
      <c r="A11" s="201" t="s">
        <v>1202</v>
      </c>
      <c r="B11" s="6">
        <v>9.9499999999999993</v>
      </c>
      <c r="C11" s="6">
        <v>7.64</v>
      </c>
      <c r="D11" s="6">
        <v>17.579999999999998</v>
      </c>
      <c r="E11" s="6">
        <v>5.24</v>
      </c>
      <c r="F11" s="151" t="s">
        <v>8</v>
      </c>
      <c r="G11" s="6">
        <v>89.3</v>
      </c>
      <c r="H11" s="6">
        <v>32.17</v>
      </c>
      <c r="I11" s="6">
        <v>6.7</v>
      </c>
      <c r="J11" s="6">
        <v>0.4</v>
      </c>
      <c r="K11" s="6">
        <v>35.86</v>
      </c>
      <c r="L11" s="6">
        <v>6.79</v>
      </c>
      <c r="M11" s="6">
        <v>-1.17</v>
      </c>
      <c r="N11" s="6">
        <v>2.4</v>
      </c>
      <c r="O11" s="6">
        <v>0</v>
      </c>
      <c r="P11" s="6">
        <v>0.41</v>
      </c>
      <c r="Q11" s="6">
        <v>10</v>
      </c>
      <c r="R11" s="6"/>
      <c r="S11" s="6"/>
      <c r="T11" s="156"/>
      <c r="U11" s="6"/>
    </row>
    <row r="12" spans="1:21" customFormat="1">
      <c r="A12" s="201" t="s">
        <v>1203</v>
      </c>
      <c r="B12" s="6">
        <v>10.029999999999999</v>
      </c>
      <c r="C12" s="6">
        <v>7.43</v>
      </c>
      <c r="D12" s="6">
        <v>17.46</v>
      </c>
      <c r="E12" s="6">
        <v>5.19</v>
      </c>
      <c r="F12" s="151" t="s">
        <v>8</v>
      </c>
      <c r="G12" s="6">
        <v>87.86</v>
      </c>
      <c r="H12" s="6">
        <v>32.17</v>
      </c>
      <c r="I12" s="6">
        <v>6.67</v>
      </c>
      <c r="J12" s="6">
        <v>0.35</v>
      </c>
      <c r="K12" s="6">
        <v>35.880000000000003</v>
      </c>
      <c r="L12" s="6">
        <v>6.55</v>
      </c>
      <c r="M12" s="6">
        <v>-1.68</v>
      </c>
      <c r="N12" s="6">
        <v>2.4</v>
      </c>
      <c r="O12" s="6">
        <v>0</v>
      </c>
      <c r="P12" s="6">
        <v>0.42</v>
      </c>
      <c r="Q12" s="6">
        <v>10</v>
      </c>
      <c r="R12" s="6"/>
      <c r="S12" s="6"/>
      <c r="T12" s="156"/>
      <c r="U12" s="6"/>
    </row>
    <row r="13" spans="1:21" customFormat="1">
      <c r="A13" s="201" t="s">
        <v>1204</v>
      </c>
      <c r="B13" s="6">
        <v>10.039999999999999</v>
      </c>
      <c r="C13" s="6">
        <v>7.42</v>
      </c>
      <c r="D13" s="6">
        <v>17.46</v>
      </c>
      <c r="E13" s="6">
        <v>5.33</v>
      </c>
      <c r="F13" s="151" t="s">
        <v>8</v>
      </c>
      <c r="G13" s="6">
        <v>87.86</v>
      </c>
      <c r="H13" s="6">
        <v>32.17</v>
      </c>
      <c r="I13" s="6">
        <v>6.63</v>
      </c>
      <c r="J13" s="6">
        <v>0.45</v>
      </c>
      <c r="K13" s="6">
        <v>32.76</v>
      </c>
      <c r="L13" s="6">
        <v>7.55</v>
      </c>
      <c r="M13" s="6">
        <v>0.8</v>
      </c>
      <c r="N13" s="6">
        <v>2.4</v>
      </c>
      <c r="O13" s="6">
        <v>0</v>
      </c>
      <c r="P13" s="6">
        <v>0.41</v>
      </c>
      <c r="Q13" s="6">
        <v>10</v>
      </c>
      <c r="R13" s="6"/>
      <c r="S13" s="6"/>
      <c r="T13" s="156"/>
      <c r="U13" s="6"/>
    </row>
    <row r="14" spans="1:21" customFormat="1">
      <c r="A14" s="201" t="s">
        <v>1205</v>
      </c>
      <c r="B14" s="6">
        <v>10</v>
      </c>
      <c r="C14" s="6">
        <v>7.37</v>
      </c>
      <c r="D14" s="6">
        <v>17.37</v>
      </c>
      <c r="E14" s="6">
        <v>5.13</v>
      </c>
      <c r="F14" s="151" t="s">
        <v>8</v>
      </c>
      <c r="G14" s="6">
        <v>87.86</v>
      </c>
      <c r="H14" s="6">
        <v>32.17</v>
      </c>
      <c r="I14" s="6">
        <v>6.61</v>
      </c>
      <c r="J14" s="6">
        <v>0.33</v>
      </c>
      <c r="K14" s="6">
        <v>24.75</v>
      </c>
      <c r="L14" s="6">
        <v>9.8699999999999992</v>
      </c>
      <c r="M14" s="6">
        <v>6.63</v>
      </c>
      <c r="N14" s="6">
        <v>2.4</v>
      </c>
      <c r="O14" s="6">
        <v>0</v>
      </c>
      <c r="P14" s="6">
        <v>0.42</v>
      </c>
      <c r="Q14" s="6">
        <v>10</v>
      </c>
      <c r="R14" s="6"/>
      <c r="S14" s="6"/>
      <c r="T14" s="156"/>
      <c r="U14" s="6"/>
    </row>
    <row r="15" spans="1:21" customFormat="1">
      <c r="A15" s="201" t="s">
        <v>1206</v>
      </c>
      <c r="B15" s="6">
        <v>9.9700000000000006</v>
      </c>
      <c r="C15" s="6">
        <v>7.53</v>
      </c>
      <c r="D15" s="6">
        <v>17.489999999999998</v>
      </c>
      <c r="E15" s="6">
        <v>5.21</v>
      </c>
      <c r="F15" s="151" t="s">
        <v>8</v>
      </c>
      <c r="G15" s="6">
        <v>76.08</v>
      </c>
      <c r="H15" s="6">
        <v>26.83</v>
      </c>
      <c r="I15" s="6">
        <v>6.6</v>
      </c>
      <c r="J15" s="6">
        <v>0.33</v>
      </c>
      <c r="K15" s="6">
        <v>34.26</v>
      </c>
      <c r="L15" s="6">
        <v>11.5</v>
      </c>
      <c r="M15" s="6">
        <v>10.71</v>
      </c>
      <c r="N15" s="6">
        <v>2.4</v>
      </c>
      <c r="O15" s="6">
        <v>0</v>
      </c>
      <c r="P15" s="6">
        <v>0.4</v>
      </c>
      <c r="Q15" s="6">
        <v>10</v>
      </c>
      <c r="R15" s="6"/>
      <c r="S15" s="6"/>
      <c r="T15" s="156"/>
      <c r="U15" s="6"/>
    </row>
    <row r="16" spans="1:21" customFormat="1">
      <c r="A16" s="201" t="s">
        <v>1207</v>
      </c>
      <c r="B16" s="6">
        <v>9.92</v>
      </c>
      <c r="C16" s="6">
        <v>7.49</v>
      </c>
      <c r="D16" s="6">
        <v>17.41</v>
      </c>
      <c r="E16" s="6">
        <v>4.91</v>
      </c>
      <c r="F16" s="151" t="s">
        <v>8</v>
      </c>
      <c r="G16" s="6">
        <v>72.709999999999994</v>
      </c>
      <c r="H16" s="6">
        <v>26.83</v>
      </c>
      <c r="I16" s="6">
        <v>6.49</v>
      </c>
      <c r="J16" s="6">
        <v>0.26</v>
      </c>
      <c r="K16" s="6">
        <v>30.33</v>
      </c>
      <c r="L16" s="6">
        <v>8.76</v>
      </c>
      <c r="M16" s="6">
        <v>3.8</v>
      </c>
      <c r="N16" s="6">
        <v>2.2000000000000002</v>
      </c>
      <c r="O16" s="6">
        <v>0</v>
      </c>
      <c r="P16" s="6">
        <v>0.4</v>
      </c>
      <c r="Q16" s="6">
        <v>10</v>
      </c>
      <c r="R16" s="6"/>
      <c r="S16" s="6"/>
      <c r="T16" s="156"/>
      <c r="U16" s="6"/>
    </row>
    <row r="17" spans="1:21" customFormat="1">
      <c r="A17" s="201" t="s">
        <v>1208</v>
      </c>
      <c r="B17" s="6">
        <v>10</v>
      </c>
      <c r="C17" s="6">
        <v>7.34</v>
      </c>
      <c r="D17" s="6">
        <v>17.34</v>
      </c>
      <c r="E17" s="6">
        <v>5.21</v>
      </c>
      <c r="F17" s="151" t="s">
        <v>8</v>
      </c>
      <c r="G17" s="6">
        <v>72.709999999999994</v>
      </c>
      <c r="H17" s="6">
        <v>26.83</v>
      </c>
      <c r="I17" s="6">
        <v>6.49</v>
      </c>
      <c r="J17" s="6">
        <v>0.18</v>
      </c>
      <c r="K17" s="6">
        <v>0.33</v>
      </c>
      <c r="L17" s="6">
        <v>14.28</v>
      </c>
      <c r="M17" s="6">
        <v>17.59</v>
      </c>
      <c r="N17" s="6">
        <v>2.2000000000000002</v>
      </c>
      <c r="O17" s="6">
        <v>0</v>
      </c>
      <c r="P17" s="6">
        <v>0.39</v>
      </c>
      <c r="Q17" s="6">
        <v>10</v>
      </c>
      <c r="R17" s="6"/>
      <c r="S17" s="6"/>
      <c r="T17" s="156"/>
      <c r="U17" s="6"/>
    </row>
    <row r="18" spans="1:21" customFormat="1">
      <c r="A18" s="201" t="s">
        <v>1209</v>
      </c>
      <c r="B18" s="6">
        <v>9.98</v>
      </c>
      <c r="C18" s="6">
        <v>7.42</v>
      </c>
      <c r="D18" s="6">
        <v>17.399999999999999</v>
      </c>
      <c r="E18" s="6">
        <v>6.3</v>
      </c>
      <c r="F18" s="151" t="s">
        <v>8</v>
      </c>
      <c r="G18" s="6">
        <v>72.709999999999994</v>
      </c>
      <c r="H18" s="6">
        <v>26.83</v>
      </c>
      <c r="I18" s="6">
        <v>6.46</v>
      </c>
      <c r="J18" s="6">
        <v>0.1</v>
      </c>
      <c r="K18" s="6">
        <v>19.96</v>
      </c>
      <c r="L18" s="6">
        <v>13.75</v>
      </c>
      <c r="M18" s="6">
        <v>16.41</v>
      </c>
      <c r="N18" s="6">
        <v>2.2000000000000002</v>
      </c>
      <c r="O18" s="6">
        <v>0</v>
      </c>
      <c r="P18" s="6">
        <v>0.37</v>
      </c>
      <c r="Q18" s="6">
        <v>10</v>
      </c>
      <c r="R18" s="6"/>
      <c r="S18" s="6"/>
      <c r="T18" s="156"/>
      <c r="U18" s="6"/>
    </row>
    <row r="19" spans="1:21" customFormat="1">
      <c r="A19" s="201" t="s">
        <v>1210</v>
      </c>
      <c r="B19" s="6">
        <v>9.81</v>
      </c>
      <c r="C19" s="6">
        <v>7.57</v>
      </c>
      <c r="D19" s="6">
        <v>17.39</v>
      </c>
      <c r="E19" s="6">
        <v>6.45</v>
      </c>
      <c r="F19" s="151" t="s">
        <v>8</v>
      </c>
      <c r="G19" s="6">
        <v>66.010000000000005</v>
      </c>
      <c r="H19" s="6">
        <v>27.43</v>
      </c>
      <c r="I19" s="6">
        <v>6.41</v>
      </c>
      <c r="J19" s="6">
        <v>0.2</v>
      </c>
      <c r="K19" s="6">
        <v>24.62</v>
      </c>
      <c r="L19" s="6">
        <v>9.68</v>
      </c>
      <c r="M19" s="6">
        <v>6.07</v>
      </c>
      <c r="N19" s="6">
        <v>2.1</v>
      </c>
      <c r="O19" s="6">
        <v>0</v>
      </c>
      <c r="P19" s="6">
        <v>0.35</v>
      </c>
      <c r="Q19" s="6">
        <v>10</v>
      </c>
      <c r="R19" s="6"/>
      <c r="S19" s="6"/>
      <c r="T19" s="156"/>
      <c r="U19" s="6"/>
    </row>
    <row r="20" spans="1:21" customFormat="1">
      <c r="A20" s="201" t="s">
        <v>1211</v>
      </c>
      <c r="B20" s="6">
        <v>9.7200000000000006</v>
      </c>
      <c r="C20" s="6">
        <v>7.6</v>
      </c>
      <c r="D20" s="6">
        <v>17.32</v>
      </c>
      <c r="E20" s="6">
        <v>6.73</v>
      </c>
      <c r="F20" s="151" t="s">
        <v>8</v>
      </c>
      <c r="G20" s="6">
        <v>64.09</v>
      </c>
      <c r="H20" s="6">
        <v>27.43</v>
      </c>
      <c r="I20" s="6">
        <v>6.33</v>
      </c>
      <c r="J20" s="6">
        <v>0.32</v>
      </c>
      <c r="K20" s="6">
        <v>29.72</v>
      </c>
      <c r="L20" s="6">
        <v>9.07</v>
      </c>
      <c r="M20" s="6">
        <v>4.55</v>
      </c>
      <c r="N20" s="6">
        <v>2.1</v>
      </c>
      <c r="O20" s="6">
        <v>0</v>
      </c>
      <c r="P20" s="6">
        <v>0.34</v>
      </c>
      <c r="Q20" s="6">
        <v>10</v>
      </c>
      <c r="R20" s="6"/>
      <c r="S20" s="6"/>
      <c r="T20" s="156"/>
      <c r="U20" s="6"/>
    </row>
    <row r="21" spans="1:21" customFormat="1">
      <c r="A21" s="201" t="s">
        <v>1212</v>
      </c>
      <c r="B21" s="6">
        <v>9.68</v>
      </c>
      <c r="C21" s="6">
        <v>7.62</v>
      </c>
      <c r="D21" s="6">
        <v>17.3</v>
      </c>
      <c r="E21" s="6">
        <v>6.55</v>
      </c>
      <c r="F21" s="151" t="s">
        <v>8</v>
      </c>
      <c r="G21" s="6">
        <v>64.09</v>
      </c>
      <c r="H21" s="6">
        <v>27.43</v>
      </c>
      <c r="I21" s="6">
        <v>6.23</v>
      </c>
      <c r="J21" s="6">
        <v>0.28000000000000003</v>
      </c>
      <c r="K21" s="6">
        <v>7.87</v>
      </c>
      <c r="L21" s="6">
        <v>12.33</v>
      </c>
      <c r="M21" s="6">
        <v>12.71</v>
      </c>
      <c r="N21" s="6">
        <v>2.2999999999999998</v>
      </c>
      <c r="O21" s="6">
        <v>0</v>
      </c>
      <c r="P21" s="6">
        <v>0.33</v>
      </c>
      <c r="Q21" s="6">
        <v>10</v>
      </c>
      <c r="R21" s="6"/>
      <c r="S21" s="6"/>
      <c r="T21" s="156"/>
      <c r="U21" s="6"/>
    </row>
    <row r="22" spans="1:21" customFormat="1">
      <c r="A22" s="201" t="s">
        <v>1213</v>
      </c>
      <c r="B22" s="6">
        <v>9.83</v>
      </c>
      <c r="C22" s="6">
        <v>7.59</v>
      </c>
      <c r="D22" s="6">
        <v>17.420000000000002</v>
      </c>
      <c r="E22" s="6">
        <v>6.75</v>
      </c>
      <c r="F22" s="151" t="s">
        <v>8</v>
      </c>
      <c r="G22" s="6">
        <v>64.09</v>
      </c>
      <c r="H22" s="6">
        <v>27.43</v>
      </c>
      <c r="I22" s="6">
        <v>6.15</v>
      </c>
      <c r="J22" s="6">
        <v>0.33</v>
      </c>
      <c r="K22" s="6">
        <v>33.82</v>
      </c>
      <c r="L22" s="6">
        <v>7.72</v>
      </c>
      <c r="M22" s="6">
        <v>1.21</v>
      </c>
      <c r="N22" s="6">
        <v>2.4</v>
      </c>
      <c r="O22" s="6">
        <v>0</v>
      </c>
      <c r="P22" s="6">
        <v>0.33</v>
      </c>
      <c r="Q22" s="6">
        <v>10</v>
      </c>
      <c r="R22" s="6"/>
      <c r="S22" s="6"/>
      <c r="T22" s="156"/>
      <c r="U22" s="6"/>
    </row>
    <row r="23" spans="1:21" customFormat="1">
      <c r="A23" s="201" t="s">
        <v>1214</v>
      </c>
      <c r="B23" s="6">
        <v>9.93</v>
      </c>
      <c r="C23" s="6">
        <v>7.6</v>
      </c>
      <c r="D23" s="6">
        <v>17.53</v>
      </c>
      <c r="E23" s="6">
        <v>6.69</v>
      </c>
      <c r="F23" s="151" t="s">
        <v>8</v>
      </c>
      <c r="G23" s="6">
        <v>72.84</v>
      </c>
      <c r="H23" s="6">
        <v>26.69</v>
      </c>
      <c r="I23" s="6">
        <v>6.13</v>
      </c>
      <c r="J23" s="6">
        <v>0.36</v>
      </c>
      <c r="K23" s="6">
        <v>36.24</v>
      </c>
      <c r="L23" s="6">
        <v>6.51</v>
      </c>
      <c r="M23" s="6">
        <v>-1.81</v>
      </c>
      <c r="N23" s="6">
        <v>2.4</v>
      </c>
      <c r="O23" s="6">
        <v>0</v>
      </c>
      <c r="P23" s="6">
        <v>0.34</v>
      </c>
      <c r="Q23" s="6">
        <v>10</v>
      </c>
      <c r="R23" s="6"/>
      <c r="S23" s="6"/>
      <c r="T23" s="156"/>
      <c r="U23" s="6"/>
    </row>
    <row r="24" spans="1:21" customFormat="1">
      <c r="A24" s="201" t="s">
        <v>1215</v>
      </c>
      <c r="B24" s="6">
        <v>9.9700000000000006</v>
      </c>
      <c r="C24" s="6">
        <v>7.53</v>
      </c>
      <c r="D24" s="6">
        <v>17.5</v>
      </c>
      <c r="E24" s="6">
        <v>6.72</v>
      </c>
      <c r="F24" s="151" t="s">
        <v>8</v>
      </c>
      <c r="G24" s="6">
        <v>75.34</v>
      </c>
      <c r="H24" s="6">
        <v>26.69</v>
      </c>
      <c r="I24" s="6">
        <v>6.22</v>
      </c>
      <c r="J24" s="6">
        <v>0.24</v>
      </c>
      <c r="K24" s="6">
        <v>39.72</v>
      </c>
      <c r="L24" s="6">
        <v>10.56</v>
      </c>
      <c r="M24" s="6">
        <v>8.36</v>
      </c>
      <c r="N24" s="6">
        <v>2.2000000000000002</v>
      </c>
      <c r="O24" s="6">
        <v>0</v>
      </c>
      <c r="P24" s="6">
        <v>0.33</v>
      </c>
      <c r="Q24" s="6">
        <v>9.93</v>
      </c>
      <c r="R24" s="6"/>
      <c r="S24" s="6"/>
      <c r="T24" s="156"/>
      <c r="U24" s="6"/>
    </row>
    <row r="25" spans="1:21" customFormat="1">
      <c r="A25" s="201" t="s">
        <v>1216</v>
      </c>
      <c r="B25" s="6">
        <v>9.9600000000000009</v>
      </c>
      <c r="C25" s="6">
        <v>7.49</v>
      </c>
      <c r="D25" s="6">
        <v>17.45</v>
      </c>
      <c r="E25" s="6">
        <v>6.78</v>
      </c>
      <c r="F25" s="151" t="s">
        <v>8</v>
      </c>
      <c r="G25" s="6">
        <v>75.34</v>
      </c>
      <c r="H25" s="6">
        <v>26.69</v>
      </c>
      <c r="I25" s="6">
        <v>6.18</v>
      </c>
      <c r="J25" s="6">
        <v>0.17</v>
      </c>
      <c r="K25" s="6">
        <v>17.63</v>
      </c>
      <c r="L25" s="6">
        <v>11.46</v>
      </c>
      <c r="M25" s="6">
        <v>10.51</v>
      </c>
      <c r="N25" s="6">
        <v>2.2999999999999998</v>
      </c>
      <c r="O25" s="6">
        <v>0</v>
      </c>
      <c r="P25" s="6">
        <v>0.33</v>
      </c>
      <c r="Q25" s="6">
        <v>10</v>
      </c>
      <c r="R25" s="6"/>
      <c r="S25" s="6"/>
      <c r="T25" s="156"/>
      <c r="U25" s="6"/>
    </row>
    <row r="26" spans="1:21" customFormat="1">
      <c r="A26" s="201" t="s">
        <v>1217</v>
      </c>
      <c r="B26" s="6">
        <v>10.029999999999999</v>
      </c>
      <c r="C26" s="6">
        <v>7.41</v>
      </c>
      <c r="D26" s="6">
        <v>17.45</v>
      </c>
      <c r="E26" s="6">
        <v>6.82</v>
      </c>
      <c r="F26" s="151" t="s">
        <v>8</v>
      </c>
      <c r="G26" s="6">
        <v>75.34</v>
      </c>
      <c r="H26" s="6">
        <v>26.69</v>
      </c>
      <c r="I26" s="6">
        <v>6.2</v>
      </c>
      <c r="J26" s="6">
        <v>0.21</v>
      </c>
      <c r="K26" s="6">
        <v>44.51</v>
      </c>
      <c r="L26" s="6">
        <v>10.91</v>
      </c>
      <c r="M26" s="6">
        <v>9.1999999999999993</v>
      </c>
      <c r="N26" s="6">
        <v>2.2999999999999998</v>
      </c>
      <c r="O26" s="6">
        <v>0</v>
      </c>
      <c r="P26" s="6">
        <v>0.33</v>
      </c>
      <c r="Q26" s="6">
        <v>10</v>
      </c>
      <c r="R26" s="6"/>
      <c r="S26" s="6"/>
      <c r="T26" s="156"/>
      <c r="U26" s="6"/>
    </row>
    <row r="27" spans="1:21" customFormat="1">
      <c r="A27" s="201" t="s">
        <v>1218</v>
      </c>
      <c r="B27" s="6">
        <v>10.26</v>
      </c>
      <c r="C27" s="6">
        <v>7.47</v>
      </c>
      <c r="D27" s="6">
        <v>17.73</v>
      </c>
      <c r="E27" s="6">
        <v>6.79</v>
      </c>
      <c r="F27" s="151" t="s">
        <v>8</v>
      </c>
      <c r="G27" s="6">
        <v>85.19</v>
      </c>
      <c r="H27" s="6">
        <v>26.43</v>
      </c>
      <c r="I27" s="6">
        <v>6.15</v>
      </c>
      <c r="J27" s="6">
        <v>0.25</v>
      </c>
      <c r="K27" s="6">
        <v>38.46</v>
      </c>
      <c r="L27" s="6">
        <v>6.52</v>
      </c>
      <c r="M27" s="6">
        <v>-1.79</v>
      </c>
      <c r="N27" s="6">
        <v>2.2999999999999998</v>
      </c>
      <c r="O27" s="6">
        <v>0</v>
      </c>
      <c r="P27" s="6">
        <v>0.33</v>
      </c>
      <c r="Q27" s="6">
        <v>9.89</v>
      </c>
      <c r="R27" s="6"/>
      <c r="S27" s="6"/>
      <c r="T27" s="156"/>
      <c r="U27" s="6"/>
    </row>
    <row r="28" spans="1:21" customFormat="1">
      <c r="A28" s="201" t="s">
        <v>1219</v>
      </c>
      <c r="B28" s="6">
        <v>10.43</v>
      </c>
      <c r="C28" s="6">
        <v>7.38</v>
      </c>
      <c r="D28" s="6">
        <v>17.82</v>
      </c>
      <c r="E28" s="6">
        <v>6.79</v>
      </c>
      <c r="F28" s="151" t="s">
        <v>8</v>
      </c>
      <c r="G28" s="6">
        <v>88</v>
      </c>
      <c r="H28" s="6">
        <v>26.43</v>
      </c>
      <c r="I28" s="6">
        <v>6.08</v>
      </c>
      <c r="J28" s="6">
        <v>0.2</v>
      </c>
      <c r="K28" s="6">
        <v>21.84</v>
      </c>
      <c r="L28" s="6">
        <v>7.86</v>
      </c>
      <c r="M28" s="6">
        <v>1.48</v>
      </c>
      <c r="N28" s="6">
        <v>2.2999999999999998</v>
      </c>
      <c r="O28" s="6">
        <v>0</v>
      </c>
      <c r="P28" s="6">
        <v>0.33</v>
      </c>
      <c r="Q28" s="6">
        <v>9.89</v>
      </c>
      <c r="R28" s="6"/>
      <c r="S28" s="6"/>
      <c r="T28" s="156"/>
      <c r="U28" s="6"/>
    </row>
    <row r="29" spans="1:21" customFormat="1">
      <c r="A29" s="201" t="s">
        <v>1220</v>
      </c>
      <c r="B29" s="6">
        <v>10.51</v>
      </c>
      <c r="C29" s="6">
        <v>7.34</v>
      </c>
      <c r="D29" s="6">
        <v>17.850000000000001</v>
      </c>
      <c r="E29" s="6">
        <v>6.7</v>
      </c>
      <c r="F29" s="151" t="s">
        <v>8</v>
      </c>
      <c r="G29" s="6">
        <v>88</v>
      </c>
      <c r="H29" s="6">
        <v>26.43</v>
      </c>
      <c r="I29" s="6">
        <v>6</v>
      </c>
      <c r="J29" s="6">
        <v>0.2</v>
      </c>
      <c r="K29" s="6">
        <v>40.53</v>
      </c>
      <c r="L29" s="6">
        <v>12.62</v>
      </c>
      <c r="M29" s="6">
        <v>13.54</v>
      </c>
      <c r="N29" s="6">
        <v>2.2000000000000002</v>
      </c>
      <c r="O29" s="6">
        <v>0</v>
      </c>
      <c r="P29" s="6">
        <v>0.33</v>
      </c>
      <c r="Q29" s="6">
        <v>10</v>
      </c>
      <c r="R29" s="6"/>
      <c r="S29" s="6"/>
      <c r="T29" s="156"/>
      <c r="U29" s="6"/>
    </row>
    <row r="30" spans="1:21" customFormat="1">
      <c r="A30" s="201" t="s">
        <v>1221</v>
      </c>
      <c r="B30" s="6">
        <v>10.61</v>
      </c>
      <c r="C30" s="6">
        <v>7.26</v>
      </c>
      <c r="D30" s="6">
        <v>17.87</v>
      </c>
      <c r="E30" s="6">
        <v>6.76</v>
      </c>
      <c r="F30" s="151" t="s">
        <v>8</v>
      </c>
      <c r="G30" s="6">
        <v>88</v>
      </c>
      <c r="H30" s="6">
        <v>26.43</v>
      </c>
      <c r="I30" s="6">
        <v>6.02</v>
      </c>
      <c r="J30" s="6">
        <v>0.16</v>
      </c>
      <c r="K30" s="6">
        <v>45.75</v>
      </c>
      <c r="L30" s="6">
        <v>8.85</v>
      </c>
      <c r="M30" s="6">
        <v>4.13</v>
      </c>
      <c r="N30" s="6">
        <v>2.1</v>
      </c>
      <c r="O30" s="6">
        <v>0</v>
      </c>
      <c r="P30" s="6">
        <v>0.32</v>
      </c>
      <c r="Q30" s="6">
        <v>10.029999999999999</v>
      </c>
      <c r="R30" s="6"/>
      <c r="S30" s="6"/>
      <c r="T30" s="156"/>
      <c r="U30" s="6"/>
    </row>
    <row r="31" spans="1:21" customFormat="1">
      <c r="A31" s="201" t="s">
        <v>1222</v>
      </c>
      <c r="B31" s="6">
        <v>10.84</v>
      </c>
      <c r="C31" s="6">
        <v>7.3</v>
      </c>
      <c r="D31" s="6">
        <v>18.14</v>
      </c>
      <c r="E31" s="6">
        <v>6.5</v>
      </c>
      <c r="F31" s="151" t="s">
        <v>8</v>
      </c>
      <c r="G31" s="6">
        <v>92.39</v>
      </c>
      <c r="H31" s="6">
        <v>28.47</v>
      </c>
      <c r="I31" s="6">
        <v>6.05</v>
      </c>
      <c r="J31" s="6">
        <v>0.25</v>
      </c>
      <c r="K31" s="6">
        <v>40.54</v>
      </c>
      <c r="L31" s="6">
        <v>6.62</v>
      </c>
      <c r="M31" s="6">
        <v>-1.51</v>
      </c>
      <c r="N31" s="6">
        <v>2.2999999999999998</v>
      </c>
      <c r="O31" s="6">
        <v>0</v>
      </c>
      <c r="P31" s="6">
        <v>0.32</v>
      </c>
      <c r="Q31" s="6">
        <v>10.61</v>
      </c>
      <c r="R31" s="6"/>
      <c r="S31" s="6"/>
      <c r="T31" s="156"/>
      <c r="U31" s="6"/>
    </row>
    <row r="32" spans="1:21" customFormat="1">
      <c r="A32" s="201" t="s">
        <v>1223</v>
      </c>
      <c r="B32" s="6">
        <v>11.17</v>
      </c>
      <c r="C32" s="6">
        <v>7.34</v>
      </c>
      <c r="D32" s="6">
        <v>18.510000000000002</v>
      </c>
      <c r="E32" s="6">
        <v>6.56</v>
      </c>
      <c r="F32" s="151" t="s">
        <v>8</v>
      </c>
      <c r="G32" s="6">
        <v>93.65</v>
      </c>
      <c r="H32" s="6">
        <v>28.47</v>
      </c>
      <c r="I32" s="6">
        <v>6.05</v>
      </c>
      <c r="J32" s="6">
        <v>0.09</v>
      </c>
      <c r="K32" s="6">
        <v>48.11</v>
      </c>
      <c r="L32" s="6">
        <v>13.63</v>
      </c>
      <c r="M32" s="6">
        <v>16.149999999999999</v>
      </c>
      <c r="N32" s="6">
        <v>3.4</v>
      </c>
      <c r="O32" s="6">
        <v>0</v>
      </c>
      <c r="P32" s="6">
        <v>0.33</v>
      </c>
      <c r="Q32" s="6">
        <v>10.79</v>
      </c>
      <c r="R32" s="6"/>
      <c r="S32" s="6"/>
      <c r="T32" s="156"/>
      <c r="U32" s="6"/>
    </row>
    <row r="33" spans="1:21" customFormat="1">
      <c r="A33" s="201" t="s">
        <v>1224</v>
      </c>
      <c r="B33" s="6">
        <v>11.47</v>
      </c>
      <c r="C33" s="6">
        <v>7.35</v>
      </c>
      <c r="D33" s="6">
        <v>18.829999999999998</v>
      </c>
      <c r="E33" s="6">
        <v>6.8</v>
      </c>
      <c r="F33" s="151" t="s">
        <v>8</v>
      </c>
      <c r="G33" s="6">
        <v>93.65</v>
      </c>
      <c r="H33" s="6">
        <v>28.47</v>
      </c>
      <c r="I33" s="6">
        <v>6.07</v>
      </c>
      <c r="J33" s="6">
        <v>0.11</v>
      </c>
      <c r="K33" s="6">
        <v>191.91</v>
      </c>
      <c r="L33" s="6">
        <v>17.64</v>
      </c>
      <c r="M33" s="6">
        <v>26.41</v>
      </c>
      <c r="N33" s="6">
        <v>6.4</v>
      </c>
      <c r="O33" s="6">
        <v>0</v>
      </c>
      <c r="P33" s="6">
        <v>0.33</v>
      </c>
      <c r="Q33" s="6">
        <v>10.71</v>
      </c>
      <c r="R33" s="6"/>
      <c r="S33" s="6"/>
      <c r="T33" s="156"/>
      <c r="U33" s="6"/>
    </row>
    <row r="34" spans="1:21" customFormat="1">
      <c r="A34" s="201" t="s">
        <v>1225</v>
      </c>
      <c r="B34" s="6">
        <v>11.53</v>
      </c>
      <c r="C34" s="6">
        <v>7.31</v>
      </c>
      <c r="D34" s="6">
        <v>18.850000000000001</v>
      </c>
      <c r="E34" s="6">
        <v>6.83</v>
      </c>
      <c r="F34" s="151" t="s">
        <v>8</v>
      </c>
      <c r="G34" s="6">
        <v>93.65</v>
      </c>
      <c r="H34" s="6">
        <v>28.47</v>
      </c>
      <c r="I34" s="6">
        <v>6.07</v>
      </c>
      <c r="J34" s="6">
        <v>0.15</v>
      </c>
      <c r="K34" s="6">
        <v>46.87</v>
      </c>
      <c r="L34" s="6">
        <v>12.45</v>
      </c>
      <c r="M34" s="6">
        <v>13.07</v>
      </c>
      <c r="N34" s="6">
        <v>7.5</v>
      </c>
      <c r="O34" s="6">
        <v>0</v>
      </c>
      <c r="P34" s="6">
        <v>0.33</v>
      </c>
      <c r="Q34" s="6">
        <v>10.029999999999999</v>
      </c>
      <c r="R34" s="6"/>
      <c r="S34" s="6"/>
      <c r="T34" s="156"/>
      <c r="U34" s="6"/>
    </row>
    <row r="35" spans="1:21" customFormat="1">
      <c r="A35" s="201" t="s">
        <v>1226</v>
      </c>
      <c r="B35" s="6">
        <v>11.85</v>
      </c>
      <c r="C35" s="6">
        <v>7.4</v>
      </c>
      <c r="D35" s="6">
        <v>19.260000000000002</v>
      </c>
      <c r="E35" s="6">
        <v>6.67</v>
      </c>
      <c r="F35" s="151" t="s">
        <v>8</v>
      </c>
      <c r="G35" s="6">
        <v>98.4</v>
      </c>
      <c r="H35" s="6">
        <v>32.43</v>
      </c>
      <c r="I35" s="6">
        <v>6.09</v>
      </c>
      <c r="J35" s="6">
        <v>7.0000000000000007E-2</v>
      </c>
      <c r="K35" s="6">
        <v>316.51</v>
      </c>
      <c r="L35" s="6">
        <v>16.68</v>
      </c>
      <c r="M35" s="6">
        <v>23.64</v>
      </c>
      <c r="N35" s="6">
        <v>11.4</v>
      </c>
      <c r="O35" s="6">
        <v>0</v>
      </c>
      <c r="P35" s="6">
        <v>0.34</v>
      </c>
      <c r="Q35" s="6">
        <v>10</v>
      </c>
      <c r="R35" s="6"/>
      <c r="S35" s="6"/>
      <c r="T35" s="156"/>
      <c r="U35" s="6"/>
    </row>
    <row r="36" spans="1:21" customFormat="1">
      <c r="A36" s="201" t="s">
        <v>1227</v>
      </c>
      <c r="B36" s="6">
        <v>12.19</v>
      </c>
      <c r="C36" s="6">
        <v>7.36</v>
      </c>
      <c r="D36" s="6">
        <v>19.55</v>
      </c>
      <c r="E36" s="6">
        <v>7.08</v>
      </c>
      <c r="F36" s="151" t="s">
        <v>8</v>
      </c>
      <c r="G36" s="6">
        <v>99.75</v>
      </c>
      <c r="H36" s="6">
        <v>32.43</v>
      </c>
      <c r="I36" s="6">
        <v>6.08</v>
      </c>
      <c r="J36" s="6">
        <v>0.14000000000000001</v>
      </c>
      <c r="K36" s="6">
        <v>349.95</v>
      </c>
      <c r="L36" s="6">
        <v>19.420000000000002</v>
      </c>
      <c r="M36" s="6">
        <v>29.84</v>
      </c>
      <c r="N36" s="6">
        <v>31.4</v>
      </c>
      <c r="O36" s="6">
        <v>0</v>
      </c>
      <c r="P36" s="6">
        <v>0.34</v>
      </c>
      <c r="Q36" s="6">
        <v>10</v>
      </c>
      <c r="R36" s="6"/>
      <c r="S36" s="6"/>
      <c r="T36" s="156"/>
      <c r="U36" s="6"/>
    </row>
    <row r="37" spans="1:21" customFormat="1">
      <c r="A37" s="201" t="s">
        <v>1228</v>
      </c>
      <c r="B37" s="6">
        <v>12.31</v>
      </c>
      <c r="C37" s="6">
        <v>7.34</v>
      </c>
      <c r="D37" s="6">
        <v>19.649999999999999</v>
      </c>
      <c r="E37" s="6">
        <v>6.92</v>
      </c>
      <c r="F37" s="151" t="s">
        <v>8</v>
      </c>
      <c r="G37" s="6">
        <v>99.75</v>
      </c>
      <c r="H37" s="6">
        <v>32.43</v>
      </c>
      <c r="I37" s="6">
        <v>6.09</v>
      </c>
      <c r="J37" s="6">
        <v>0.32</v>
      </c>
      <c r="K37" s="6">
        <v>309.94</v>
      </c>
      <c r="L37" s="6">
        <v>27.51</v>
      </c>
      <c r="M37" s="6">
        <v>49.7</v>
      </c>
      <c r="N37" s="6">
        <v>53.2</v>
      </c>
      <c r="O37" s="6">
        <v>0</v>
      </c>
      <c r="P37" s="6">
        <v>0.34</v>
      </c>
      <c r="Q37" s="6">
        <v>10</v>
      </c>
      <c r="R37" s="6"/>
      <c r="S37" s="6"/>
      <c r="T37" s="156"/>
      <c r="U37" s="6"/>
    </row>
    <row r="38" spans="1:21" customFormat="1">
      <c r="A38" s="201" t="s">
        <v>1229</v>
      </c>
      <c r="B38" s="6">
        <v>12.34</v>
      </c>
      <c r="C38" s="6">
        <v>7.41</v>
      </c>
      <c r="D38" s="6">
        <v>19.75</v>
      </c>
      <c r="E38" s="6">
        <v>6.89</v>
      </c>
      <c r="F38" s="151" t="s">
        <v>8</v>
      </c>
      <c r="G38" s="6">
        <v>99.75</v>
      </c>
      <c r="H38" s="6">
        <v>32.43</v>
      </c>
      <c r="I38" s="6">
        <v>6.24</v>
      </c>
      <c r="J38" s="6">
        <v>0.37</v>
      </c>
      <c r="K38" s="6">
        <v>312.04000000000002</v>
      </c>
      <c r="L38" s="6">
        <v>26.62</v>
      </c>
      <c r="M38" s="6">
        <v>47.11</v>
      </c>
      <c r="N38" s="6">
        <v>64.2</v>
      </c>
      <c r="O38" s="6">
        <v>0</v>
      </c>
      <c r="P38" s="6">
        <v>0.36</v>
      </c>
      <c r="Q38" s="6">
        <v>10</v>
      </c>
      <c r="R38" s="6"/>
      <c r="S38" s="6"/>
      <c r="T38" s="156"/>
      <c r="U38" s="6"/>
    </row>
    <row r="39" spans="1:21" customFormat="1">
      <c r="A39" s="201" t="s">
        <v>1230</v>
      </c>
      <c r="B39" s="6">
        <v>12.63</v>
      </c>
      <c r="C39" s="6">
        <v>7.25</v>
      </c>
      <c r="D39" s="6">
        <v>19.88</v>
      </c>
      <c r="E39" s="6">
        <v>6.77</v>
      </c>
      <c r="F39" s="151" t="s">
        <v>8</v>
      </c>
      <c r="G39" s="6">
        <v>109.75</v>
      </c>
      <c r="H39" s="6">
        <v>33.590000000000003</v>
      </c>
      <c r="I39" s="6">
        <v>6.41</v>
      </c>
      <c r="J39" s="6">
        <v>0.23</v>
      </c>
      <c r="K39" s="6">
        <v>336.69</v>
      </c>
      <c r="L39" s="6">
        <v>19.579999999999998</v>
      </c>
      <c r="M39" s="6">
        <v>30.15</v>
      </c>
      <c r="N39" s="6">
        <v>39.4</v>
      </c>
      <c r="O39" s="6">
        <v>0</v>
      </c>
      <c r="P39" s="6">
        <v>0.39</v>
      </c>
      <c r="Q39" s="6">
        <v>10</v>
      </c>
      <c r="R39" s="6"/>
      <c r="S39" s="6"/>
      <c r="T39" s="156"/>
      <c r="U39" s="6"/>
    </row>
    <row r="40" spans="1:21" customFormat="1">
      <c r="A40" s="201" t="s">
        <v>1231</v>
      </c>
      <c r="B40" s="6">
        <v>12.8</v>
      </c>
      <c r="C40" s="6">
        <v>7.13</v>
      </c>
      <c r="D40" s="6">
        <v>19.93</v>
      </c>
      <c r="E40" s="6">
        <v>6.57</v>
      </c>
      <c r="F40" s="151" t="s">
        <v>8</v>
      </c>
      <c r="G40" s="6">
        <v>112.6</v>
      </c>
      <c r="H40" s="6">
        <v>33.590000000000003</v>
      </c>
      <c r="I40" s="6">
        <v>6.59</v>
      </c>
      <c r="J40" s="6">
        <v>0.15</v>
      </c>
      <c r="K40" s="6">
        <v>1.54</v>
      </c>
      <c r="L40" s="6">
        <v>17.04</v>
      </c>
      <c r="M40" s="6">
        <v>23.24</v>
      </c>
      <c r="N40" s="6">
        <v>60.1</v>
      </c>
      <c r="O40" s="6">
        <v>0</v>
      </c>
      <c r="P40" s="6">
        <v>0.39</v>
      </c>
      <c r="Q40" s="6">
        <v>10</v>
      </c>
      <c r="R40" s="6"/>
      <c r="S40" s="6"/>
      <c r="T40" s="156"/>
      <c r="U40" s="6"/>
    </row>
    <row r="41" spans="1:21" customFormat="1">
      <c r="A41" s="201" t="s">
        <v>1232</v>
      </c>
      <c r="B41" s="6">
        <v>12.95</v>
      </c>
      <c r="C41" s="6">
        <v>7.24</v>
      </c>
      <c r="D41" s="6">
        <v>20.2</v>
      </c>
      <c r="E41" s="6">
        <v>6.76</v>
      </c>
      <c r="F41" s="151" t="s">
        <v>8</v>
      </c>
      <c r="G41" s="6">
        <v>112.6</v>
      </c>
      <c r="H41" s="6">
        <v>33.590000000000003</v>
      </c>
      <c r="I41" s="6">
        <v>6.73</v>
      </c>
      <c r="J41" s="6">
        <v>0.32</v>
      </c>
      <c r="K41" s="6">
        <v>29.53</v>
      </c>
      <c r="L41" s="6">
        <v>8.84</v>
      </c>
      <c r="M41" s="6">
        <v>2.4300000000000002</v>
      </c>
      <c r="N41" s="6">
        <v>67.099999999999994</v>
      </c>
      <c r="O41" s="6">
        <v>0</v>
      </c>
      <c r="P41" s="6">
        <v>0.39</v>
      </c>
      <c r="Q41" s="6">
        <v>10</v>
      </c>
      <c r="R41" s="6"/>
      <c r="S41" s="6"/>
      <c r="T41" s="156"/>
      <c r="U41" s="6"/>
    </row>
    <row r="42" spans="1:21" customFormat="1">
      <c r="A42" s="201" t="s">
        <v>1233</v>
      </c>
      <c r="B42" s="6">
        <v>13.1</v>
      </c>
      <c r="C42" s="6">
        <v>7.23</v>
      </c>
      <c r="D42" s="6">
        <v>20.329999999999998</v>
      </c>
      <c r="E42" s="6">
        <v>6.34</v>
      </c>
      <c r="F42" s="151" t="s">
        <v>8</v>
      </c>
      <c r="G42" s="6">
        <v>112.6</v>
      </c>
      <c r="H42" s="6">
        <v>33.590000000000003</v>
      </c>
      <c r="I42" s="6">
        <v>6.79</v>
      </c>
      <c r="J42" s="6">
        <v>0.15</v>
      </c>
      <c r="K42" s="6">
        <v>314.56</v>
      </c>
      <c r="L42" s="6">
        <v>21.9</v>
      </c>
      <c r="M42" s="6">
        <v>35.36</v>
      </c>
      <c r="N42" s="6">
        <v>68.400000000000006</v>
      </c>
      <c r="O42" s="6">
        <v>0</v>
      </c>
      <c r="P42" s="6">
        <v>0.39</v>
      </c>
      <c r="Q42" s="6">
        <v>10</v>
      </c>
      <c r="R42" s="6"/>
      <c r="S42" s="6"/>
      <c r="T42" s="156"/>
      <c r="U42" s="6"/>
    </row>
    <row r="43" spans="1:21" customFormat="1">
      <c r="A43" s="201" t="s">
        <v>1234</v>
      </c>
      <c r="B43" s="6">
        <v>13.11</v>
      </c>
      <c r="C43" s="6">
        <v>7.37</v>
      </c>
      <c r="D43" s="6">
        <v>20.48</v>
      </c>
      <c r="E43" s="6">
        <v>6.5</v>
      </c>
      <c r="F43" s="151" t="s">
        <v>8</v>
      </c>
      <c r="G43" s="6">
        <v>113.18</v>
      </c>
      <c r="H43" s="6">
        <v>33.35</v>
      </c>
      <c r="I43" s="6">
        <v>6.9</v>
      </c>
      <c r="J43" s="6">
        <v>0.35</v>
      </c>
      <c r="K43" s="6">
        <v>322.3</v>
      </c>
      <c r="L43" s="6">
        <v>23.93</v>
      </c>
      <c r="M43" s="6">
        <v>39.130000000000003</v>
      </c>
      <c r="N43" s="6">
        <v>120.7</v>
      </c>
      <c r="O43" s="6">
        <v>0</v>
      </c>
      <c r="P43" s="6">
        <v>0.4</v>
      </c>
      <c r="Q43" s="6">
        <v>10</v>
      </c>
      <c r="R43" s="6"/>
      <c r="S43" s="6"/>
      <c r="T43" s="156"/>
      <c r="U43" s="6"/>
    </row>
    <row r="44" spans="1:21" customFormat="1">
      <c r="A44" s="201" t="s">
        <v>1235</v>
      </c>
      <c r="B44" s="6">
        <v>13.34</v>
      </c>
      <c r="C44" s="6">
        <v>7.34</v>
      </c>
      <c r="D44" s="6">
        <v>20.68</v>
      </c>
      <c r="E44" s="6">
        <v>6.57</v>
      </c>
      <c r="F44" s="151" t="s">
        <v>8</v>
      </c>
      <c r="G44" s="6">
        <v>113.35</v>
      </c>
      <c r="H44" s="6">
        <v>33.35</v>
      </c>
      <c r="I44" s="6">
        <v>6.94</v>
      </c>
      <c r="J44" s="6">
        <v>0.13</v>
      </c>
      <c r="K44" s="6">
        <v>339.1</v>
      </c>
      <c r="L44" s="6">
        <v>18.47</v>
      </c>
      <c r="M44" s="6">
        <v>24.94</v>
      </c>
      <c r="N44" s="6">
        <v>143.80000000000001</v>
      </c>
      <c r="O44" s="6">
        <v>0</v>
      </c>
      <c r="P44" s="6">
        <v>0.4</v>
      </c>
      <c r="Q44" s="6">
        <v>10</v>
      </c>
      <c r="R44" s="6"/>
      <c r="S44" s="6"/>
      <c r="T44" s="156"/>
      <c r="U44" s="6"/>
    </row>
    <row r="45" spans="1:21" customFormat="1">
      <c r="A45" s="201" t="s">
        <v>1236</v>
      </c>
      <c r="B45" s="6">
        <v>13.28</v>
      </c>
      <c r="C45" s="6">
        <v>7.39</v>
      </c>
      <c r="D45" s="6">
        <v>20.67</v>
      </c>
      <c r="E45" s="6">
        <v>6.23</v>
      </c>
      <c r="F45" s="151" t="s">
        <v>8</v>
      </c>
      <c r="G45" s="6">
        <v>113.35</v>
      </c>
      <c r="H45" s="6">
        <v>33.35</v>
      </c>
      <c r="I45" s="6">
        <v>7.02</v>
      </c>
      <c r="J45" s="6">
        <v>0.13</v>
      </c>
      <c r="K45" s="6">
        <v>291.19</v>
      </c>
      <c r="L45" s="6">
        <v>20.239999999999998</v>
      </c>
      <c r="M45" s="6">
        <v>28.27</v>
      </c>
      <c r="N45" s="6">
        <v>191.6</v>
      </c>
      <c r="O45" s="6">
        <v>0</v>
      </c>
      <c r="P45" s="6">
        <v>0.4</v>
      </c>
      <c r="Q45" s="6">
        <v>10</v>
      </c>
      <c r="R45" s="6"/>
      <c r="S45" s="6"/>
      <c r="T45" s="156"/>
      <c r="U45" s="6"/>
    </row>
    <row r="46" spans="1:21" customFormat="1">
      <c r="A46" s="201" t="s">
        <v>1237</v>
      </c>
      <c r="B46" s="6">
        <v>13.16</v>
      </c>
      <c r="C46" s="6">
        <v>7.43</v>
      </c>
      <c r="D46" s="6">
        <v>20.59</v>
      </c>
      <c r="E46" s="6">
        <v>6.53</v>
      </c>
      <c r="F46" s="151" t="s">
        <v>8</v>
      </c>
      <c r="G46" s="6">
        <v>113.35</v>
      </c>
      <c r="H46" s="6">
        <v>33.35</v>
      </c>
      <c r="I46" s="6">
        <v>7.04</v>
      </c>
      <c r="J46" s="6">
        <v>0.21</v>
      </c>
      <c r="K46" s="6">
        <v>142.16999999999999</v>
      </c>
      <c r="L46" s="6">
        <v>17.84</v>
      </c>
      <c r="M46" s="6">
        <v>21.89</v>
      </c>
      <c r="N46" s="6">
        <v>213.5</v>
      </c>
      <c r="O46" s="6">
        <v>0</v>
      </c>
      <c r="P46" s="6">
        <v>0.39</v>
      </c>
      <c r="Q46" s="6">
        <v>10</v>
      </c>
      <c r="R46" s="6"/>
      <c r="S46" s="6"/>
      <c r="T46" s="156"/>
      <c r="U46" s="6"/>
    </row>
    <row r="47" spans="1:21" customFormat="1">
      <c r="A47" s="201" t="s">
        <v>1238</v>
      </c>
      <c r="B47" s="6">
        <v>12.88</v>
      </c>
      <c r="C47" s="6">
        <v>7.46</v>
      </c>
      <c r="D47" s="6">
        <v>20.34</v>
      </c>
      <c r="E47" s="6">
        <v>6.56</v>
      </c>
      <c r="F47" s="151" t="s">
        <v>8</v>
      </c>
      <c r="G47" s="6">
        <v>115.71</v>
      </c>
      <c r="H47" s="6">
        <v>35.4</v>
      </c>
      <c r="I47" s="6">
        <v>7.03</v>
      </c>
      <c r="J47" s="6">
        <v>0.22</v>
      </c>
      <c r="K47" s="6">
        <v>32.57</v>
      </c>
      <c r="L47" s="6">
        <v>12.65</v>
      </c>
      <c r="M47" s="6">
        <v>9.01</v>
      </c>
      <c r="N47" s="6">
        <v>199.2</v>
      </c>
      <c r="O47" s="6">
        <v>0</v>
      </c>
      <c r="P47" s="6">
        <v>0.39</v>
      </c>
      <c r="Q47" s="6">
        <v>10</v>
      </c>
      <c r="R47" s="6"/>
      <c r="S47" s="6"/>
      <c r="T47" s="156"/>
      <c r="U47" s="6"/>
    </row>
    <row r="48" spans="1:21" customFormat="1">
      <c r="A48" s="201" t="s">
        <v>1239</v>
      </c>
      <c r="B48" s="6">
        <v>12.79</v>
      </c>
      <c r="C48" s="6">
        <v>7.67</v>
      </c>
      <c r="D48" s="6">
        <v>20.46</v>
      </c>
      <c r="E48" s="6">
        <v>6.43</v>
      </c>
      <c r="F48" s="151" t="s">
        <v>8</v>
      </c>
      <c r="G48" s="6">
        <v>116.39</v>
      </c>
      <c r="H48" s="6">
        <v>35.4</v>
      </c>
      <c r="I48" s="6">
        <v>7.08</v>
      </c>
      <c r="J48" s="6">
        <v>0.13</v>
      </c>
      <c r="K48" s="6">
        <v>345.46</v>
      </c>
      <c r="L48" s="6">
        <v>18.03</v>
      </c>
      <c r="M48" s="6">
        <v>23.7</v>
      </c>
      <c r="N48" s="6">
        <v>150.80000000000001</v>
      </c>
      <c r="O48" s="6">
        <v>0</v>
      </c>
      <c r="P48" s="6">
        <v>0.41</v>
      </c>
      <c r="Q48" s="6">
        <v>10.74</v>
      </c>
      <c r="R48" s="6"/>
      <c r="S48" s="6"/>
      <c r="T48" s="156"/>
      <c r="U48" s="6"/>
    </row>
    <row r="49" spans="1:21" customFormat="1">
      <c r="A49" s="201" t="s">
        <v>1240</v>
      </c>
      <c r="B49" s="6">
        <v>12.7</v>
      </c>
      <c r="C49" s="6">
        <v>7.8</v>
      </c>
      <c r="D49" s="6">
        <v>20.5</v>
      </c>
      <c r="E49" s="6">
        <v>5.12</v>
      </c>
      <c r="F49" s="151" t="s">
        <v>8</v>
      </c>
      <c r="G49" s="6">
        <v>116.39</v>
      </c>
      <c r="H49" s="6">
        <v>35.4</v>
      </c>
      <c r="I49" s="6">
        <v>7.15</v>
      </c>
      <c r="J49" s="6">
        <v>0.37</v>
      </c>
      <c r="K49" s="6">
        <v>24.42</v>
      </c>
      <c r="L49" s="6">
        <v>14.33</v>
      </c>
      <c r="M49" s="6">
        <v>13.2</v>
      </c>
      <c r="N49" s="6">
        <v>194.3</v>
      </c>
      <c r="O49" s="6">
        <v>0</v>
      </c>
      <c r="P49" s="6">
        <v>0.41</v>
      </c>
      <c r="Q49" s="6">
        <v>11.05</v>
      </c>
      <c r="R49" s="6"/>
      <c r="S49" s="6"/>
      <c r="T49" s="156"/>
      <c r="U49" s="6"/>
    </row>
    <row r="50" spans="1:21" customFormat="1">
      <c r="A50" s="201" t="s">
        <v>1241</v>
      </c>
      <c r="B50" s="6">
        <v>12.43</v>
      </c>
      <c r="C50" s="6">
        <v>7.97</v>
      </c>
      <c r="D50" s="6">
        <v>20.399999999999999</v>
      </c>
      <c r="E50" s="6">
        <v>6.06</v>
      </c>
      <c r="F50" s="151" t="s">
        <v>8</v>
      </c>
      <c r="G50" s="6">
        <v>116.39</v>
      </c>
      <c r="H50" s="6">
        <v>35.4</v>
      </c>
      <c r="I50" s="6">
        <v>7.22</v>
      </c>
      <c r="J50" s="6">
        <v>0.27</v>
      </c>
      <c r="K50" s="6">
        <v>49.47</v>
      </c>
      <c r="L50" s="6">
        <v>12.84</v>
      </c>
      <c r="M50" s="6">
        <v>8.0299999999999994</v>
      </c>
      <c r="N50" s="6">
        <v>291.3</v>
      </c>
      <c r="O50" s="6">
        <v>0</v>
      </c>
      <c r="P50" s="6">
        <v>0.41</v>
      </c>
      <c r="Q50" s="6">
        <v>11.68</v>
      </c>
      <c r="R50" s="6"/>
      <c r="S50" s="6"/>
      <c r="T50" s="156"/>
      <c r="U50" s="6"/>
    </row>
    <row r="51" spans="1:21" customFormat="1">
      <c r="A51" s="201" t="s">
        <v>1242</v>
      </c>
      <c r="B51" s="6">
        <v>11.94</v>
      </c>
      <c r="C51" s="6">
        <v>8.26</v>
      </c>
      <c r="D51" s="6">
        <v>20.2</v>
      </c>
      <c r="E51" s="6">
        <v>5.97</v>
      </c>
      <c r="F51" s="151" t="s">
        <v>8</v>
      </c>
      <c r="G51" s="6">
        <v>114.83</v>
      </c>
      <c r="H51" s="6">
        <v>36.270000000000003</v>
      </c>
      <c r="I51" s="6">
        <v>7.17</v>
      </c>
      <c r="J51" s="6">
        <v>0.25</v>
      </c>
      <c r="K51" s="6">
        <v>353.05</v>
      </c>
      <c r="L51" s="6">
        <v>16.98</v>
      </c>
      <c r="M51" s="6">
        <v>19.98</v>
      </c>
      <c r="N51" s="6">
        <v>193.2</v>
      </c>
      <c r="O51" s="6">
        <v>0</v>
      </c>
      <c r="P51" s="6">
        <v>0.42</v>
      </c>
      <c r="Q51" s="6">
        <v>10.56</v>
      </c>
      <c r="R51" s="6"/>
      <c r="S51" s="6"/>
      <c r="T51" s="156"/>
      <c r="U51" s="6"/>
    </row>
    <row r="52" spans="1:21" customFormat="1">
      <c r="A52" s="201" t="s">
        <v>1243</v>
      </c>
      <c r="B52" s="6">
        <v>9.9700000000000006</v>
      </c>
      <c r="C52" s="6">
        <v>10.199999999999999</v>
      </c>
      <c r="D52" s="6">
        <v>20.170000000000002</v>
      </c>
      <c r="E52" s="6">
        <v>6.52</v>
      </c>
      <c r="F52" s="151" t="s">
        <v>8</v>
      </c>
      <c r="G52" s="6">
        <v>114.38</v>
      </c>
      <c r="H52" s="6">
        <v>36.270000000000003</v>
      </c>
      <c r="I52" s="6">
        <v>7.18</v>
      </c>
      <c r="J52" s="6">
        <v>0.34</v>
      </c>
      <c r="K52" s="6">
        <v>28.72</v>
      </c>
      <c r="L52" s="6">
        <v>10.37</v>
      </c>
      <c r="M52" s="6">
        <v>5.08</v>
      </c>
      <c r="N52" s="6">
        <v>114.5</v>
      </c>
      <c r="O52" s="6">
        <v>0</v>
      </c>
      <c r="P52" s="6">
        <v>0.45</v>
      </c>
      <c r="Q52" s="6">
        <v>11.72</v>
      </c>
      <c r="R52" s="6"/>
      <c r="S52" s="6"/>
      <c r="T52" s="156"/>
      <c r="U52" s="6"/>
    </row>
    <row r="53" spans="1:21" customFormat="1">
      <c r="A53" s="201" t="s">
        <v>1244</v>
      </c>
      <c r="B53" s="6">
        <v>7.3</v>
      </c>
      <c r="C53" s="6">
        <v>12</v>
      </c>
      <c r="D53" s="6">
        <v>19.3</v>
      </c>
      <c r="E53" s="6">
        <v>6.8</v>
      </c>
      <c r="F53" s="151" t="s">
        <v>8</v>
      </c>
      <c r="G53" s="6">
        <v>114.38</v>
      </c>
      <c r="H53" s="6">
        <v>36.270000000000003</v>
      </c>
      <c r="I53" s="6">
        <v>7.24</v>
      </c>
      <c r="J53" s="6">
        <v>0.34</v>
      </c>
      <c r="K53" s="6">
        <v>316.31</v>
      </c>
      <c r="L53" s="6">
        <v>25.46</v>
      </c>
      <c r="M53" s="6">
        <v>42.71</v>
      </c>
      <c r="N53" s="6">
        <v>135.9</v>
      </c>
      <c r="O53" s="6">
        <v>0</v>
      </c>
      <c r="P53" s="6">
        <v>0.44</v>
      </c>
      <c r="Q53" s="6">
        <v>10.44</v>
      </c>
      <c r="R53" s="6"/>
      <c r="S53" s="6"/>
      <c r="T53" s="156"/>
      <c r="U53" s="6"/>
    </row>
    <row r="54" spans="1:21" customFormat="1">
      <c r="A54" s="201" t="s">
        <v>1245</v>
      </c>
      <c r="B54" s="6">
        <v>5.45</v>
      </c>
      <c r="C54" s="6">
        <v>12.71</v>
      </c>
      <c r="D54" s="6">
        <v>18.16</v>
      </c>
      <c r="E54" s="6">
        <v>6.84</v>
      </c>
      <c r="F54" s="151" t="s">
        <v>8</v>
      </c>
      <c r="G54" s="6">
        <v>114.38</v>
      </c>
      <c r="H54" s="6">
        <v>36.270000000000003</v>
      </c>
      <c r="I54" s="6">
        <v>7.2</v>
      </c>
      <c r="J54" s="6">
        <v>0.39</v>
      </c>
      <c r="K54" s="6">
        <v>338.91</v>
      </c>
      <c r="L54" s="6">
        <v>20.51</v>
      </c>
      <c r="M54" s="6">
        <v>30.3</v>
      </c>
      <c r="N54" s="6">
        <v>130.30000000000001</v>
      </c>
      <c r="O54" s="6">
        <v>0</v>
      </c>
      <c r="P54" s="6">
        <v>0.45</v>
      </c>
      <c r="Q54" s="6">
        <v>9.91</v>
      </c>
      <c r="R54" s="6"/>
      <c r="S54" s="6"/>
      <c r="T54" s="156"/>
      <c r="U54" s="6"/>
    </row>
    <row r="55" spans="1:21" customFormat="1">
      <c r="A55" s="201" t="s">
        <v>1246</v>
      </c>
      <c r="B55" s="6">
        <v>4.6500000000000004</v>
      </c>
      <c r="C55" s="6">
        <v>13.53</v>
      </c>
      <c r="D55" s="6">
        <v>18.18</v>
      </c>
      <c r="E55" s="6">
        <v>7.37</v>
      </c>
      <c r="F55" s="151" t="s">
        <v>8</v>
      </c>
      <c r="G55" s="6">
        <v>111.88</v>
      </c>
      <c r="H55" s="6">
        <v>33.409999999999997</v>
      </c>
      <c r="I55" s="6">
        <v>7.24</v>
      </c>
      <c r="J55" s="6">
        <v>0.21</v>
      </c>
      <c r="K55" s="6">
        <v>303.77</v>
      </c>
      <c r="L55" s="6">
        <v>24.24</v>
      </c>
      <c r="M55" s="6">
        <v>34.869999999999997</v>
      </c>
      <c r="N55" s="6">
        <v>339.6</v>
      </c>
      <c r="O55" s="6">
        <v>0</v>
      </c>
      <c r="P55" s="6">
        <v>0.45</v>
      </c>
      <c r="Q55" s="6">
        <v>10.02</v>
      </c>
      <c r="R55" s="6"/>
      <c r="S55" s="6"/>
      <c r="T55" s="156"/>
      <c r="U55" s="6"/>
    </row>
    <row r="56" spans="1:21" customFormat="1">
      <c r="A56" s="201" t="s">
        <v>1247</v>
      </c>
      <c r="B56" s="6">
        <v>3.29</v>
      </c>
      <c r="C56" s="6">
        <v>12.35</v>
      </c>
      <c r="D56" s="6">
        <v>15.64</v>
      </c>
      <c r="E56" s="6">
        <v>6.86</v>
      </c>
      <c r="F56" s="151" t="s">
        <v>8</v>
      </c>
      <c r="G56" s="6">
        <v>111.16</v>
      </c>
      <c r="H56" s="6">
        <v>33.409999999999997</v>
      </c>
      <c r="I56" s="6">
        <v>7.3</v>
      </c>
      <c r="J56" s="6">
        <v>0.19</v>
      </c>
      <c r="K56" s="6">
        <v>224.97</v>
      </c>
      <c r="L56" s="6">
        <v>23.2</v>
      </c>
      <c r="M56" s="6">
        <v>28.44</v>
      </c>
      <c r="N56" s="6">
        <v>507.8</v>
      </c>
      <c r="O56" s="6">
        <v>0</v>
      </c>
      <c r="P56" s="6">
        <v>0.42</v>
      </c>
      <c r="Q56" s="6">
        <v>10</v>
      </c>
      <c r="R56" s="6"/>
      <c r="S56" s="6"/>
      <c r="T56" s="156"/>
      <c r="U56" s="6"/>
    </row>
    <row r="57" spans="1:21" customFormat="1">
      <c r="A57" s="201" t="s">
        <v>1248</v>
      </c>
      <c r="B57" s="6">
        <v>2.65</v>
      </c>
      <c r="C57" s="6">
        <v>11.77</v>
      </c>
      <c r="D57" s="6">
        <v>14.43</v>
      </c>
      <c r="E57" s="6">
        <v>5.99</v>
      </c>
      <c r="F57" s="151" t="s">
        <v>8</v>
      </c>
      <c r="G57" s="6">
        <v>111.16</v>
      </c>
      <c r="H57" s="6">
        <v>33.409999999999997</v>
      </c>
      <c r="I57" s="6">
        <v>7.23</v>
      </c>
      <c r="J57" s="6">
        <v>0.66</v>
      </c>
      <c r="K57" s="6">
        <v>283.42</v>
      </c>
      <c r="L57" s="6">
        <v>28.42</v>
      </c>
      <c r="M57" s="6">
        <v>43.04</v>
      </c>
      <c r="N57" s="6">
        <v>442</v>
      </c>
      <c r="O57" s="6">
        <v>0</v>
      </c>
      <c r="P57" s="6">
        <v>0.42</v>
      </c>
      <c r="Q57" s="6">
        <v>10</v>
      </c>
      <c r="R57" s="6"/>
      <c r="S57" s="6"/>
      <c r="T57" s="156"/>
      <c r="U57" s="6"/>
    </row>
    <row r="58" spans="1:21" customFormat="1">
      <c r="A58" s="201" t="s">
        <v>1249</v>
      </c>
      <c r="B58" s="6">
        <v>2.37</v>
      </c>
      <c r="C58" s="6">
        <v>11.08</v>
      </c>
      <c r="D58" s="6">
        <v>13.45</v>
      </c>
      <c r="E58" s="6">
        <v>5.78</v>
      </c>
      <c r="F58" s="151" t="s">
        <v>8</v>
      </c>
      <c r="G58" s="6">
        <v>111.16</v>
      </c>
      <c r="H58" s="6">
        <v>33.409999999999997</v>
      </c>
      <c r="I58" s="6">
        <v>6.57</v>
      </c>
      <c r="J58" s="6">
        <v>0.38</v>
      </c>
      <c r="K58" s="6">
        <v>304.36</v>
      </c>
      <c r="L58" s="6">
        <v>25.9</v>
      </c>
      <c r="M58" s="6">
        <v>40.17</v>
      </c>
      <c r="N58" s="6">
        <v>290.5</v>
      </c>
      <c r="O58" s="6">
        <v>0</v>
      </c>
      <c r="P58" s="6">
        <v>0.39</v>
      </c>
      <c r="Q58" s="6">
        <v>10</v>
      </c>
      <c r="R58" s="6"/>
      <c r="S58" s="6"/>
      <c r="T58" s="156"/>
      <c r="U58" s="6"/>
    </row>
    <row r="59" spans="1:21" customFormat="1">
      <c r="A59" s="201" t="s">
        <v>1250</v>
      </c>
      <c r="B59" s="6">
        <v>2.21</v>
      </c>
      <c r="C59" s="6">
        <v>12.04</v>
      </c>
      <c r="D59" s="6">
        <v>14.25</v>
      </c>
      <c r="E59" s="6">
        <v>5.75</v>
      </c>
      <c r="F59" s="151" t="s">
        <v>8</v>
      </c>
      <c r="G59" s="6">
        <v>105.95</v>
      </c>
      <c r="H59" s="6">
        <v>39.65</v>
      </c>
      <c r="I59" s="6">
        <v>5.76</v>
      </c>
      <c r="J59" s="6">
        <v>0.41</v>
      </c>
      <c r="K59" s="6">
        <v>311.62</v>
      </c>
      <c r="L59" s="6">
        <v>26.12</v>
      </c>
      <c r="M59" s="6">
        <v>41.8</v>
      </c>
      <c r="N59" s="6">
        <v>242.9</v>
      </c>
      <c r="O59" s="6">
        <v>0</v>
      </c>
      <c r="P59" s="6">
        <v>0.41</v>
      </c>
      <c r="Q59" s="6">
        <v>10</v>
      </c>
      <c r="R59" s="6"/>
      <c r="S59" s="6"/>
      <c r="T59" s="156"/>
      <c r="U59" s="6"/>
    </row>
    <row r="60" spans="1:21" customFormat="1">
      <c r="A60" s="201" t="s">
        <v>1251</v>
      </c>
      <c r="B60" s="6">
        <v>2.2799999999999998</v>
      </c>
      <c r="C60" s="6">
        <v>15.37</v>
      </c>
      <c r="D60" s="6">
        <v>17.649999999999999</v>
      </c>
      <c r="E60" s="6">
        <v>6.8</v>
      </c>
      <c r="F60" s="151" t="s">
        <v>8</v>
      </c>
      <c r="G60" s="6">
        <v>104.46</v>
      </c>
      <c r="H60" s="6">
        <v>39.65</v>
      </c>
      <c r="I60" s="6">
        <v>6.53</v>
      </c>
      <c r="J60" s="6">
        <v>0.68</v>
      </c>
      <c r="K60" s="6">
        <v>315.64</v>
      </c>
      <c r="L60" s="6">
        <v>28.04</v>
      </c>
      <c r="M60" s="6">
        <v>43.17</v>
      </c>
      <c r="N60" s="6">
        <v>390.4</v>
      </c>
      <c r="O60" s="6">
        <v>0</v>
      </c>
      <c r="P60" s="6">
        <v>0.44</v>
      </c>
      <c r="Q60" s="6">
        <v>10.029999999999999</v>
      </c>
      <c r="R60" s="6"/>
      <c r="S60" s="6"/>
      <c r="T60" s="156"/>
      <c r="U60" s="6"/>
    </row>
    <row r="61" spans="1:21" customFormat="1">
      <c r="A61" s="201" t="s">
        <v>1252</v>
      </c>
      <c r="B61" s="6">
        <v>2.3199999999999998</v>
      </c>
      <c r="C61" s="6">
        <v>14.57</v>
      </c>
      <c r="D61" s="6">
        <v>16.89</v>
      </c>
      <c r="E61" s="6">
        <v>5.7</v>
      </c>
      <c r="F61" s="151" t="s">
        <v>8</v>
      </c>
      <c r="G61" s="6">
        <v>104.46</v>
      </c>
      <c r="H61" s="6">
        <v>39.65</v>
      </c>
      <c r="I61" s="6">
        <v>7.8</v>
      </c>
      <c r="J61" s="6">
        <v>0.57999999999999996</v>
      </c>
      <c r="K61" s="6">
        <v>318.19</v>
      </c>
      <c r="L61" s="6">
        <v>26.61</v>
      </c>
      <c r="M61" s="6">
        <v>43.4</v>
      </c>
      <c r="N61" s="6">
        <v>228.3</v>
      </c>
      <c r="O61" s="6">
        <v>0</v>
      </c>
      <c r="P61" s="6">
        <v>0.47</v>
      </c>
      <c r="Q61" s="6">
        <v>10</v>
      </c>
      <c r="R61" s="6"/>
      <c r="S61" s="6"/>
      <c r="T61" s="156"/>
      <c r="U61" s="6"/>
    </row>
    <row r="62" spans="1:21" customFormat="1">
      <c r="A62" s="201" t="s">
        <v>1253</v>
      </c>
      <c r="B62" s="6">
        <v>2.66</v>
      </c>
      <c r="C62" s="6">
        <v>14.4</v>
      </c>
      <c r="D62" s="6">
        <v>17.059999999999999</v>
      </c>
      <c r="E62" s="6">
        <v>8</v>
      </c>
      <c r="F62" s="151" t="s">
        <v>8</v>
      </c>
      <c r="G62" s="6">
        <v>104.46</v>
      </c>
      <c r="H62" s="6">
        <v>39.65</v>
      </c>
      <c r="I62" s="6">
        <v>8.0399999999999991</v>
      </c>
      <c r="J62" s="6">
        <v>0.76</v>
      </c>
      <c r="K62" s="6">
        <v>303.58999999999997</v>
      </c>
      <c r="L62" s="6">
        <v>27.86</v>
      </c>
      <c r="M62" s="6">
        <v>46.07</v>
      </c>
      <c r="N62" s="6">
        <v>249.1</v>
      </c>
      <c r="O62" s="6">
        <v>0</v>
      </c>
      <c r="P62" s="6">
        <v>0.45</v>
      </c>
      <c r="Q62" s="6">
        <v>10.19</v>
      </c>
      <c r="R62" s="6"/>
      <c r="S62" s="6"/>
      <c r="T62" s="156"/>
      <c r="U62" s="6"/>
    </row>
    <row r="63" spans="1:21" customFormat="1">
      <c r="A63" s="201" t="s">
        <v>1254</v>
      </c>
      <c r="B63" s="6">
        <v>2.4300000000000002</v>
      </c>
      <c r="C63" s="6">
        <v>13.15</v>
      </c>
      <c r="D63" s="6">
        <v>15.58</v>
      </c>
      <c r="E63" s="6">
        <v>7.17</v>
      </c>
      <c r="F63" s="151" t="s">
        <v>8</v>
      </c>
      <c r="G63" s="6">
        <v>124.39</v>
      </c>
      <c r="H63" s="6">
        <v>39.36</v>
      </c>
      <c r="I63" s="6">
        <v>8.08</v>
      </c>
      <c r="J63" s="6">
        <v>0.47</v>
      </c>
      <c r="K63" s="6">
        <v>323.02999999999997</v>
      </c>
      <c r="L63" s="6">
        <v>22.24</v>
      </c>
      <c r="M63" s="6">
        <v>33.71</v>
      </c>
      <c r="N63" s="6">
        <v>173.2</v>
      </c>
      <c r="O63" s="6">
        <v>0</v>
      </c>
      <c r="P63" s="6">
        <v>0.44</v>
      </c>
      <c r="Q63" s="6">
        <v>10.14</v>
      </c>
      <c r="R63" s="6"/>
      <c r="S63" s="6"/>
      <c r="T63" s="156"/>
      <c r="U63" s="6"/>
    </row>
    <row r="64" spans="1:21" customFormat="1">
      <c r="A64" s="201" t="s">
        <v>1255</v>
      </c>
      <c r="B64" s="6">
        <v>2.44</v>
      </c>
      <c r="C64" s="6">
        <v>12.31</v>
      </c>
      <c r="D64" s="6">
        <v>14.75</v>
      </c>
      <c r="E64" s="6">
        <v>6.15</v>
      </c>
      <c r="F64" s="151" t="s">
        <v>8</v>
      </c>
      <c r="G64" s="6">
        <v>130.08000000000001</v>
      </c>
      <c r="H64" s="6">
        <v>39.36</v>
      </c>
      <c r="I64" s="6">
        <v>7.96</v>
      </c>
      <c r="J64" s="6">
        <v>0.34</v>
      </c>
      <c r="K64" s="6">
        <v>345.64</v>
      </c>
      <c r="L64" s="6">
        <v>17.670000000000002</v>
      </c>
      <c r="M64" s="6">
        <v>24.53</v>
      </c>
      <c r="N64" s="6">
        <v>70.2</v>
      </c>
      <c r="O64" s="6">
        <v>0</v>
      </c>
      <c r="P64" s="6">
        <v>0.41</v>
      </c>
      <c r="Q64" s="6">
        <v>9.86</v>
      </c>
      <c r="R64" s="6"/>
      <c r="S64" s="6"/>
      <c r="T64" s="156"/>
      <c r="U64" s="6"/>
    </row>
    <row r="65" spans="1:21" customFormat="1">
      <c r="A65" s="201" t="s">
        <v>1256</v>
      </c>
      <c r="B65" s="6">
        <v>2.48</v>
      </c>
      <c r="C65" s="6">
        <v>11.9</v>
      </c>
      <c r="D65" s="6">
        <v>14.38</v>
      </c>
      <c r="E65" s="6">
        <v>5.75</v>
      </c>
      <c r="F65" s="151" t="s">
        <v>8</v>
      </c>
      <c r="G65" s="6">
        <v>130.08000000000001</v>
      </c>
      <c r="H65" s="6">
        <v>39.36</v>
      </c>
      <c r="I65" s="6">
        <v>7.84</v>
      </c>
      <c r="J65" s="6">
        <v>0.53</v>
      </c>
      <c r="K65" s="6">
        <v>332.23</v>
      </c>
      <c r="L65" s="6">
        <v>21.14</v>
      </c>
      <c r="M65" s="6">
        <v>31.37</v>
      </c>
      <c r="N65" s="6">
        <v>149.5</v>
      </c>
      <c r="O65" s="6">
        <v>0</v>
      </c>
      <c r="P65" s="6">
        <v>0.4</v>
      </c>
      <c r="Q65" s="6">
        <v>9.92</v>
      </c>
      <c r="R65" s="6"/>
      <c r="S65" s="6"/>
      <c r="T65" s="156"/>
      <c r="U65" s="6"/>
    </row>
    <row r="66" spans="1:21" customFormat="1">
      <c r="A66" s="201" t="s">
        <v>1257</v>
      </c>
      <c r="B66" s="6">
        <v>2.65</v>
      </c>
      <c r="C66" s="6">
        <v>11.88</v>
      </c>
      <c r="D66" s="6">
        <v>14.53</v>
      </c>
      <c r="E66" s="6">
        <v>5.63</v>
      </c>
      <c r="F66" s="151" t="s">
        <v>8</v>
      </c>
      <c r="G66" s="6">
        <v>130.08000000000001</v>
      </c>
      <c r="H66" s="6">
        <v>39.36</v>
      </c>
      <c r="I66" s="6">
        <v>7.71</v>
      </c>
      <c r="J66" s="6">
        <v>0.56999999999999995</v>
      </c>
      <c r="K66" s="6">
        <v>2.4300000000000002</v>
      </c>
      <c r="L66" s="6">
        <v>17.61</v>
      </c>
      <c r="M66" s="6">
        <v>21.3</v>
      </c>
      <c r="N66" s="6">
        <v>167.7</v>
      </c>
      <c r="O66" s="6">
        <v>0</v>
      </c>
      <c r="P66" s="6">
        <v>0.38</v>
      </c>
      <c r="Q66" s="6">
        <v>10</v>
      </c>
      <c r="R66" s="6"/>
      <c r="S66" s="6"/>
      <c r="T66" s="156"/>
      <c r="U66" s="6"/>
    </row>
    <row r="67" spans="1:21" customFormat="1">
      <c r="A67" s="201" t="s">
        <v>1258</v>
      </c>
      <c r="B67" s="6">
        <v>3.3</v>
      </c>
      <c r="C67" s="6">
        <v>12</v>
      </c>
      <c r="D67" s="6">
        <v>15.29</v>
      </c>
      <c r="E67" s="6">
        <v>6.44</v>
      </c>
      <c r="F67" s="151" t="s">
        <v>8</v>
      </c>
      <c r="G67" s="6">
        <v>123.11</v>
      </c>
      <c r="H67" s="6">
        <v>42.58</v>
      </c>
      <c r="I67" s="6">
        <v>7.43</v>
      </c>
      <c r="J67" s="6">
        <v>0.94</v>
      </c>
      <c r="K67" s="6">
        <v>27.21</v>
      </c>
      <c r="L67" s="6">
        <v>9.1</v>
      </c>
      <c r="M67" s="6">
        <v>4.32</v>
      </c>
      <c r="N67" s="6">
        <v>39.700000000000003</v>
      </c>
      <c r="O67" s="6">
        <v>0</v>
      </c>
      <c r="P67" s="6">
        <v>0.38</v>
      </c>
      <c r="Q67" s="6">
        <v>10</v>
      </c>
      <c r="R67" s="6"/>
      <c r="S67" s="6"/>
      <c r="T67" s="156"/>
      <c r="U67" s="6"/>
    </row>
    <row r="68" spans="1:21" customFormat="1">
      <c r="A68" s="201" t="s">
        <v>1259</v>
      </c>
      <c r="B68" s="6">
        <v>2.44</v>
      </c>
      <c r="C68" s="6">
        <v>12.5</v>
      </c>
      <c r="D68" s="6">
        <v>14.94</v>
      </c>
      <c r="E68" s="6">
        <v>4.92</v>
      </c>
      <c r="F68" s="151" t="s">
        <v>8</v>
      </c>
      <c r="G68" s="6">
        <v>121.12</v>
      </c>
      <c r="H68" s="6">
        <v>42.58</v>
      </c>
      <c r="I68" s="6">
        <v>7.09</v>
      </c>
      <c r="J68" s="6">
        <v>0.94</v>
      </c>
      <c r="K68" s="6">
        <v>20.74</v>
      </c>
      <c r="L68" s="6">
        <v>11.76</v>
      </c>
      <c r="M68" s="6">
        <v>10.46</v>
      </c>
      <c r="N68" s="6">
        <v>33.299999999999997</v>
      </c>
      <c r="O68" s="6">
        <v>0</v>
      </c>
      <c r="P68" s="6">
        <v>0.37</v>
      </c>
      <c r="Q68" s="6">
        <v>10</v>
      </c>
      <c r="R68" s="6"/>
      <c r="S68" s="6"/>
      <c r="T68" s="156"/>
      <c r="U68" s="6"/>
    </row>
    <row r="69" spans="1:21" customFormat="1">
      <c r="A69" s="201" t="s">
        <v>1260</v>
      </c>
      <c r="B69" s="6">
        <v>2.2400000000000002</v>
      </c>
      <c r="C69" s="6">
        <v>11.19</v>
      </c>
      <c r="D69" s="6">
        <v>13.43</v>
      </c>
      <c r="E69" s="6">
        <v>4.16</v>
      </c>
      <c r="F69" s="151" t="s">
        <v>8</v>
      </c>
      <c r="G69" s="6">
        <v>121.12</v>
      </c>
      <c r="H69" s="6">
        <v>42.58</v>
      </c>
      <c r="I69" s="6">
        <v>6.67</v>
      </c>
      <c r="J69" s="6">
        <v>1.17</v>
      </c>
      <c r="K69" s="6">
        <v>30.46</v>
      </c>
      <c r="L69" s="6">
        <v>9.07</v>
      </c>
      <c r="M69" s="6">
        <v>3.78</v>
      </c>
      <c r="N69" s="6">
        <v>27.2</v>
      </c>
      <c r="O69" s="6">
        <v>0</v>
      </c>
      <c r="P69" s="6">
        <v>0.37</v>
      </c>
      <c r="Q69" s="6">
        <v>10.43</v>
      </c>
      <c r="R69" s="6"/>
      <c r="S69" s="6"/>
      <c r="T69" s="156"/>
      <c r="U69" s="6"/>
    </row>
    <row r="70" spans="1:21" customFormat="1">
      <c r="A70" s="201" t="s">
        <v>1261</v>
      </c>
      <c r="B70" s="6">
        <v>2.2599999999999998</v>
      </c>
      <c r="C70" s="6">
        <v>9.99</v>
      </c>
      <c r="D70" s="6">
        <v>12.24</v>
      </c>
      <c r="E70" s="6">
        <v>3.83</v>
      </c>
      <c r="F70" s="151" t="s">
        <v>8</v>
      </c>
      <c r="G70" s="6">
        <v>121.12</v>
      </c>
      <c r="H70" s="6">
        <v>42.58</v>
      </c>
      <c r="I70" s="6">
        <v>6.42</v>
      </c>
      <c r="J70" s="6">
        <v>1.0900000000000001</v>
      </c>
      <c r="K70" s="6">
        <v>32.72</v>
      </c>
      <c r="L70" s="6">
        <v>8.9700000000000006</v>
      </c>
      <c r="M70" s="6">
        <v>3.45</v>
      </c>
      <c r="N70" s="6">
        <v>31.6</v>
      </c>
      <c r="O70" s="6">
        <v>0</v>
      </c>
      <c r="P70" s="6">
        <v>0.36</v>
      </c>
      <c r="Q70" s="6">
        <v>10</v>
      </c>
      <c r="R70" s="6"/>
      <c r="S70" s="6"/>
      <c r="T70" s="156"/>
      <c r="U70" s="6"/>
    </row>
    <row r="71" spans="1:21" customFormat="1">
      <c r="A71" s="201" t="s">
        <v>1262</v>
      </c>
      <c r="B71" s="6">
        <v>2.33</v>
      </c>
      <c r="C71" s="6">
        <v>9.11</v>
      </c>
      <c r="D71" s="6">
        <v>11.44</v>
      </c>
      <c r="E71" s="6">
        <v>3.85</v>
      </c>
      <c r="F71" s="151" t="s">
        <v>8</v>
      </c>
      <c r="G71" s="6">
        <v>103.93</v>
      </c>
      <c r="H71" s="6">
        <v>36.68</v>
      </c>
      <c r="I71" s="6">
        <v>5.81</v>
      </c>
      <c r="J71" s="6">
        <v>0.77</v>
      </c>
      <c r="K71" s="6">
        <v>32.15</v>
      </c>
      <c r="L71" s="6">
        <v>8.14</v>
      </c>
      <c r="M71" s="6">
        <v>1.43</v>
      </c>
      <c r="N71" s="6">
        <v>29.1</v>
      </c>
      <c r="O71" s="6">
        <v>0</v>
      </c>
      <c r="P71" s="6">
        <v>0.35</v>
      </c>
      <c r="Q71" s="6">
        <v>10</v>
      </c>
      <c r="R71" s="6"/>
      <c r="S71" s="6"/>
      <c r="T71" s="156"/>
      <c r="U71" s="6"/>
    </row>
    <row r="72" spans="1:21" customFormat="1">
      <c r="A72" s="201" t="s">
        <v>1263</v>
      </c>
      <c r="B72" s="6">
        <v>2.4700000000000002</v>
      </c>
      <c r="C72" s="6">
        <v>8.44</v>
      </c>
      <c r="D72" s="6">
        <v>10.91</v>
      </c>
      <c r="E72" s="6">
        <v>3.82</v>
      </c>
      <c r="F72" s="151" t="s">
        <v>8</v>
      </c>
      <c r="G72" s="6">
        <v>99.02</v>
      </c>
      <c r="H72" s="6">
        <v>36.68</v>
      </c>
      <c r="I72" s="6">
        <v>5.3</v>
      </c>
      <c r="J72" s="6">
        <v>0.71</v>
      </c>
      <c r="K72" s="6">
        <v>36.1</v>
      </c>
      <c r="L72" s="6">
        <v>9.14</v>
      </c>
      <c r="M72" s="6">
        <v>3.85</v>
      </c>
      <c r="N72" s="6">
        <v>36.6</v>
      </c>
      <c r="O72" s="6">
        <v>0</v>
      </c>
      <c r="P72" s="6">
        <v>0.34</v>
      </c>
      <c r="Q72" s="6">
        <v>10.98</v>
      </c>
      <c r="R72" s="6"/>
      <c r="S72" s="6"/>
      <c r="T72" s="156"/>
      <c r="U72" s="6"/>
    </row>
    <row r="73" spans="1:21" customFormat="1">
      <c r="A73" s="201" t="s">
        <v>1264</v>
      </c>
      <c r="B73" s="6">
        <v>2.58</v>
      </c>
      <c r="C73" s="6">
        <v>7.96</v>
      </c>
      <c r="D73" s="6">
        <v>10.54</v>
      </c>
      <c r="E73" s="6">
        <v>4.0999999999999996</v>
      </c>
      <c r="F73" s="151" t="s">
        <v>8</v>
      </c>
      <c r="G73" s="6">
        <v>99.02</v>
      </c>
      <c r="H73" s="6">
        <v>36.68</v>
      </c>
      <c r="I73" s="6">
        <v>6.01</v>
      </c>
      <c r="J73" s="6">
        <v>0.45</v>
      </c>
      <c r="K73" s="6">
        <v>44.33</v>
      </c>
      <c r="L73" s="6">
        <v>9.07</v>
      </c>
      <c r="M73" s="6">
        <v>3.84</v>
      </c>
      <c r="N73" s="6">
        <v>29.4</v>
      </c>
      <c r="O73" s="6">
        <v>0</v>
      </c>
      <c r="P73" s="6">
        <v>0.35</v>
      </c>
      <c r="Q73" s="6">
        <v>10.65</v>
      </c>
      <c r="R73" s="6"/>
      <c r="S73" s="6"/>
      <c r="T73" s="156"/>
      <c r="U73" s="6"/>
    </row>
    <row r="74" spans="1:21" customFormat="1">
      <c r="A74" s="201" t="s">
        <v>1265</v>
      </c>
      <c r="B74" s="6">
        <v>2.74</v>
      </c>
      <c r="C74" s="6">
        <v>7.7</v>
      </c>
      <c r="D74" s="6">
        <v>10.44</v>
      </c>
      <c r="E74" s="6">
        <v>4.09</v>
      </c>
      <c r="F74" s="151" t="s">
        <v>8</v>
      </c>
      <c r="G74" s="6">
        <v>99.02</v>
      </c>
      <c r="H74" s="6">
        <v>36.68</v>
      </c>
      <c r="I74" s="6">
        <v>6.1</v>
      </c>
      <c r="J74" s="6">
        <v>0.54</v>
      </c>
      <c r="K74" s="6">
        <v>42.43</v>
      </c>
      <c r="L74" s="6">
        <v>9.44</v>
      </c>
      <c r="M74" s="6">
        <v>4.87</v>
      </c>
      <c r="N74" s="6">
        <v>27.6</v>
      </c>
      <c r="O74" s="6">
        <v>0</v>
      </c>
      <c r="P74" s="6">
        <v>0.34</v>
      </c>
      <c r="Q74" s="6">
        <v>10.01</v>
      </c>
      <c r="R74" s="6"/>
      <c r="S74" s="6"/>
      <c r="T74" s="156"/>
      <c r="U74" s="6"/>
    </row>
    <row r="75" spans="1:21" customFormat="1">
      <c r="A75" s="201" t="s">
        <v>1266</v>
      </c>
      <c r="B75" s="6">
        <v>2.82</v>
      </c>
      <c r="C75" s="6">
        <v>7.37</v>
      </c>
      <c r="D75" s="6">
        <v>10.19</v>
      </c>
      <c r="E75" s="6">
        <v>4.08</v>
      </c>
      <c r="F75" s="151" t="s">
        <v>8</v>
      </c>
      <c r="G75" s="6">
        <v>80.819999999999993</v>
      </c>
      <c r="H75" s="6">
        <v>26.51</v>
      </c>
      <c r="I75" s="6">
        <v>6.09</v>
      </c>
      <c r="J75" s="6">
        <v>0.32</v>
      </c>
      <c r="K75" s="6">
        <v>70.33</v>
      </c>
      <c r="L75" s="6">
        <v>10.55</v>
      </c>
      <c r="M75" s="6">
        <v>7.94</v>
      </c>
      <c r="N75" s="6">
        <v>14.4</v>
      </c>
      <c r="O75" s="6">
        <v>0</v>
      </c>
      <c r="P75" s="6">
        <v>0.34</v>
      </c>
      <c r="Q75" s="6">
        <v>10</v>
      </c>
      <c r="R75" s="6"/>
      <c r="S75" s="6"/>
      <c r="T75" s="156"/>
      <c r="U75" s="6"/>
    </row>
    <row r="76" spans="1:21" customFormat="1">
      <c r="A76" s="201" t="s">
        <v>1267</v>
      </c>
      <c r="B76" s="6">
        <v>2.82</v>
      </c>
      <c r="C76" s="6">
        <v>7.18</v>
      </c>
      <c r="D76" s="6">
        <v>10</v>
      </c>
      <c r="E76" s="6">
        <v>4.07</v>
      </c>
      <c r="F76" s="151" t="s">
        <v>8</v>
      </c>
      <c r="G76" s="6">
        <v>75.62</v>
      </c>
      <c r="H76" s="6">
        <v>26.51</v>
      </c>
      <c r="I76" s="6">
        <v>6</v>
      </c>
      <c r="J76" s="6">
        <v>0.21</v>
      </c>
      <c r="K76" s="6">
        <v>105.3</v>
      </c>
      <c r="L76" s="6">
        <v>12.85</v>
      </c>
      <c r="M76" s="6">
        <v>13.67</v>
      </c>
      <c r="N76" s="6">
        <v>21.4</v>
      </c>
      <c r="O76" s="6">
        <v>0</v>
      </c>
      <c r="P76" s="6">
        <v>0.33</v>
      </c>
      <c r="Q76" s="6">
        <v>10</v>
      </c>
      <c r="R76" s="6"/>
      <c r="S76" s="6"/>
      <c r="T76" s="156"/>
      <c r="U76" s="6"/>
    </row>
    <row r="77" spans="1:21" customFormat="1">
      <c r="A77" s="201" t="s">
        <v>1268</v>
      </c>
      <c r="B77" s="6">
        <v>2.88</v>
      </c>
      <c r="C77" s="6">
        <v>7.13</v>
      </c>
      <c r="D77" s="6">
        <v>10.01</v>
      </c>
      <c r="E77" s="6">
        <v>4.26</v>
      </c>
      <c r="F77" s="151" t="s">
        <v>8</v>
      </c>
      <c r="G77" s="6">
        <v>75.62</v>
      </c>
      <c r="H77" s="6">
        <v>26.51</v>
      </c>
      <c r="I77" s="6">
        <v>5.97</v>
      </c>
      <c r="J77" s="6">
        <v>0.32</v>
      </c>
      <c r="K77" s="6">
        <v>52.92</v>
      </c>
      <c r="L77" s="6">
        <v>9.85</v>
      </c>
      <c r="M77" s="6">
        <v>6.24</v>
      </c>
      <c r="N77" s="6">
        <v>15.4</v>
      </c>
      <c r="O77" s="6">
        <v>0</v>
      </c>
      <c r="P77" s="6">
        <v>0.35</v>
      </c>
      <c r="Q77" s="6">
        <v>10</v>
      </c>
      <c r="R77" s="6"/>
      <c r="S77" s="6"/>
      <c r="T77" s="156"/>
      <c r="U77" s="6"/>
    </row>
    <row r="78" spans="1:21" customFormat="1">
      <c r="A78" s="201" t="s">
        <v>1269</v>
      </c>
      <c r="B78" s="6">
        <v>3.19</v>
      </c>
      <c r="C78" s="6">
        <v>7.27</v>
      </c>
      <c r="D78" s="6">
        <v>10.46</v>
      </c>
      <c r="E78" s="6">
        <v>4.41</v>
      </c>
      <c r="F78" s="151" t="s">
        <v>8</v>
      </c>
      <c r="G78" s="6">
        <v>75.62</v>
      </c>
      <c r="H78" s="6">
        <v>26.51</v>
      </c>
      <c r="I78" s="6">
        <v>5.94</v>
      </c>
      <c r="J78" s="6">
        <v>0.41</v>
      </c>
      <c r="K78" s="6">
        <v>40.229999999999997</v>
      </c>
      <c r="L78" s="6">
        <v>8.8699999999999992</v>
      </c>
      <c r="M78" s="6">
        <v>3.97</v>
      </c>
      <c r="N78" s="6">
        <v>7</v>
      </c>
      <c r="O78" s="6">
        <v>0</v>
      </c>
      <c r="P78" s="6">
        <v>0.37</v>
      </c>
      <c r="Q78" s="6">
        <v>10.51</v>
      </c>
      <c r="R78" s="6"/>
      <c r="S78" s="6"/>
      <c r="T78" s="156"/>
      <c r="U78" s="6"/>
    </row>
    <row r="79" spans="1:21" customFormat="1">
      <c r="A79" s="201" t="s">
        <v>1270</v>
      </c>
      <c r="B79" s="6">
        <v>3.57</v>
      </c>
      <c r="C79" s="6">
        <v>7.48</v>
      </c>
      <c r="D79" s="6">
        <v>11.05</v>
      </c>
      <c r="E79" s="6">
        <v>3.64</v>
      </c>
      <c r="F79" s="151" t="s">
        <v>8</v>
      </c>
      <c r="G79" s="6">
        <v>64.010000000000005</v>
      </c>
      <c r="H79" s="6">
        <v>22.07</v>
      </c>
      <c r="I79" s="6">
        <v>5.99</v>
      </c>
      <c r="J79" s="6">
        <v>0.3</v>
      </c>
      <c r="K79" s="6">
        <v>49.38</v>
      </c>
      <c r="L79" s="6">
        <v>8.57</v>
      </c>
      <c r="M79" s="6">
        <v>3.24</v>
      </c>
      <c r="N79" s="6">
        <v>4.2</v>
      </c>
      <c r="O79" s="6">
        <v>0</v>
      </c>
      <c r="P79" s="6">
        <v>0.36</v>
      </c>
      <c r="Q79" s="6">
        <v>10.78</v>
      </c>
      <c r="R79" s="6"/>
      <c r="S79" s="6"/>
      <c r="T79" s="156"/>
      <c r="U79" s="6"/>
    </row>
    <row r="80" spans="1:21" customFormat="1">
      <c r="A80" s="201" t="s">
        <v>1271</v>
      </c>
      <c r="B80" s="6">
        <v>3.84</v>
      </c>
      <c r="C80" s="6">
        <v>7.07</v>
      </c>
      <c r="D80" s="6">
        <v>10.91</v>
      </c>
      <c r="E80" s="6">
        <v>4.0999999999999996</v>
      </c>
      <c r="F80" s="151" t="s">
        <v>8</v>
      </c>
      <c r="G80" s="6">
        <v>60.69</v>
      </c>
      <c r="H80" s="6">
        <v>22.07</v>
      </c>
      <c r="I80" s="6">
        <v>6.05</v>
      </c>
      <c r="J80" s="6">
        <v>0.56999999999999995</v>
      </c>
      <c r="K80" s="6">
        <v>38.51</v>
      </c>
      <c r="L80" s="6">
        <v>6.2</v>
      </c>
      <c r="M80" s="6">
        <v>-2.72</v>
      </c>
      <c r="N80" s="6">
        <v>3.2</v>
      </c>
      <c r="O80" s="6">
        <v>0</v>
      </c>
      <c r="P80" s="6">
        <v>0.36</v>
      </c>
      <c r="Q80" s="6">
        <v>10.06</v>
      </c>
      <c r="R80" s="6"/>
      <c r="S80" s="6"/>
      <c r="T80" s="156"/>
      <c r="U80" s="6"/>
    </row>
    <row r="81" spans="1:21" customFormat="1">
      <c r="A81" s="201" t="s">
        <v>1272</v>
      </c>
      <c r="B81" s="6">
        <v>4.25</v>
      </c>
      <c r="C81" s="6">
        <v>7.1</v>
      </c>
      <c r="D81" s="6">
        <v>11.35</v>
      </c>
      <c r="E81" s="6">
        <v>4.09</v>
      </c>
      <c r="F81" s="151" t="s">
        <v>8</v>
      </c>
      <c r="G81" s="6">
        <v>60.69</v>
      </c>
      <c r="H81" s="6">
        <v>22.07</v>
      </c>
      <c r="I81" s="6">
        <v>6.07</v>
      </c>
      <c r="J81" s="6">
        <v>0.28999999999999998</v>
      </c>
      <c r="K81" s="6">
        <v>47.85</v>
      </c>
      <c r="L81" s="6">
        <v>7.61</v>
      </c>
      <c r="M81" s="6">
        <v>0.87</v>
      </c>
      <c r="N81" s="6">
        <v>2.5</v>
      </c>
      <c r="O81" s="6">
        <v>0</v>
      </c>
      <c r="P81" s="6">
        <v>0.36</v>
      </c>
      <c r="Q81" s="6">
        <v>10.43</v>
      </c>
      <c r="R81" s="6"/>
      <c r="S81" s="6"/>
      <c r="T81" s="156"/>
      <c r="U81" s="6"/>
    </row>
    <row r="82" spans="1:21" customFormat="1">
      <c r="A82" s="201" t="s">
        <v>1273</v>
      </c>
      <c r="B82" s="6">
        <v>4.5</v>
      </c>
      <c r="C82" s="6">
        <v>7.08</v>
      </c>
      <c r="D82" s="6">
        <v>11.58</v>
      </c>
      <c r="E82" s="6">
        <v>4.92</v>
      </c>
      <c r="F82" s="151" t="s">
        <v>8</v>
      </c>
      <c r="G82" s="6">
        <v>60.69</v>
      </c>
      <c r="H82" s="6">
        <v>22.07</v>
      </c>
      <c r="I82" s="6">
        <v>6.24</v>
      </c>
      <c r="J82" s="6">
        <v>0.22</v>
      </c>
      <c r="K82" s="6">
        <v>67.34</v>
      </c>
      <c r="L82" s="6">
        <v>10.39</v>
      </c>
      <c r="M82" s="6">
        <v>7.96</v>
      </c>
      <c r="N82" s="6">
        <v>2.4</v>
      </c>
      <c r="O82" s="6">
        <v>0</v>
      </c>
      <c r="P82" s="6">
        <v>0.37</v>
      </c>
      <c r="Q82" s="6">
        <v>10.18</v>
      </c>
      <c r="R82" s="6"/>
      <c r="S82" s="6"/>
      <c r="T82" s="156"/>
      <c r="U82" s="6"/>
    </row>
    <row r="83" spans="1:21" customFormat="1">
      <c r="A83" s="201" t="s">
        <v>1274</v>
      </c>
      <c r="B83" s="6">
        <v>5.08</v>
      </c>
      <c r="C83" s="6">
        <v>7.6</v>
      </c>
      <c r="D83" s="6">
        <v>12.68</v>
      </c>
      <c r="E83" s="6">
        <v>4.95</v>
      </c>
      <c r="F83" s="151" t="s">
        <v>8</v>
      </c>
      <c r="G83" s="6">
        <v>61.14</v>
      </c>
      <c r="H83" s="6">
        <v>20.84</v>
      </c>
      <c r="I83" s="6">
        <v>6.37</v>
      </c>
      <c r="J83" s="6">
        <v>0.41</v>
      </c>
      <c r="K83" s="6">
        <v>38.57</v>
      </c>
      <c r="L83" s="6">
        <v>6.73</v>
      </c>
      <c r="M83" s="6">
        <v>-1.39</v>
      </c>
      <c r="N83" s="6">
        <v>2.4</v>
      </c>
      <c r="O83" s="6">
        <v>0</v>
      </c>
      <c r="P83" s="6">
        <v>0.36</v>
      </c>
      <c r="Q83" s="6">
        <v>10</v>
      </c>
      <c r="R83" s="6"/>
      <c r="S83" s="6"/>
      <c r="T83" s="156"/>
      <c r="U83" s="6"/>
    </row>
    <row r="84" spans="1:21" customFormat="1">
      <c r="A84" s="201" t="s">
        <v>1275</v>
      </c>
      <c r="B84" s="6">
        <v>5.48</v>
      </c>
      <c r="C84" s="6">
        <v>7.46</v>
      </c>
      <c r="D84" s="6">
        <v>12.94</v>
      </c>
      <c r="E84" s="6">
        <v>4.59</v>
      </c>
      <c r="F84" s="151" t="s">
        <v>8</v>
      </c>
      <c r="G84" s="6">
        <v>61.27</v>
      </c>
      <c r="H84" s="6">
        <v>20.84</v>
      </c>
      <c r="I84" s="6">
        <v>6.38</v>
      </c>
      <c r="J84" s="6">
        <v>0.65</v>
      </c>
      <c r="K84" s="6">
        <v>34.36</v>
      </c>
      <c r="L84" s="6">
        <v>6.12</v>
      </c>
      <c r="M84" s="6">
        <v>-2.92</v>
      </c>
      <c r="N84" s="6">
        <v>2.2000000000000002</v>
      </c>
      <c r="O84" s="6">
        <v>0</v>
      </c>
      <c r="P84" s="6">
        <v>0.37</v>
      </c>
      <c r="Q84" s="6">
        <v>10</v>
      </c>
      <c r="R84" s="6"/>
      <c r="S84" s="6"/>
      <c r="T84" s="156"/>
      <c r="U84" s="6"/>
    </row>
    <row r="85" spans="1:21" customFormat="1">
      <c r="A85" s="201" t="s">
        <v>1276</v>
      </c>
      <c r="B85" s="6">
        <v>6.08</v>
      </c>
      <c r="C85" s="6">
        <v>7.77</v>
      </c>
      <c r="D85" s="6">
        <v>13.86</v>
      </c>
      <c r="E85" s="6">
        <v>4.9400000000000004</v>
      </c>
      <c r="F85" s="151" t="s">
        <v>8</v>
      </c>
      <c r="G85" s="6">
        <v>61.27</v>
      </c>
      <c r="H85" s="6">
        <v>20.84</v>
      </c>
      <c r="I85" s="6">
        <v>6.42</v>
      </c>
      <c r="J85" s="6">
        <v>0.86</v>
      </c>
      <c r="K85" s="6">
        <v>38.08</v>
      </c>
      <c r="L85" s="6">
        <v>6.74</v>
      </c>
      <c r="M85" s="6">
        <v>-1.34</v>
      </c>
      <c r="N85" s="6">
        <v>2.2999999999999998</v>
      </c>
      <c r="O85" s="6">
        <v>0</v>
      </c>
      <c r="P85" s="6">
        <v>0.36</v>
      </c>
      <c r="Q85" s="6">
        <v>10</v>
      </c>
      <c r="R85" s="6"/>
      <c r="S85" s="6"/>
      <c r="T85" s="156"/>
      <c r="U85" s="6"/>
    </row>
    <row r="86" spans="1:21" customFormat="1">
      <c r="A86" s="201" t="s">
        <v>1277</v>
      </c>
      <c r="B86" s="6">
        <v>6.52</v>
      </c>
      <c r="C86" s="6">
        <v>7.6</v>
      </c>
      <c r="D86" s="6">
        <v>14.13</v>
      </c>
      <c r="E86" s="6">
        <v>4.83</v>
      </c>
      <c r="F86" s="151" t="s">
        <v>8</v>
      </c>
      <c r="G86" s="6">
        <v>61.27</v>
      </c>
      <c r="H86" s="6">
        <v>20.84</v>
      </c>
      <c r="I86" s="6">
        <v>6.47</v>
      </c>
      <c r="J86" s="6">
        <v>0.52</v>
      </c>
      <c r="K86" s="6">
        <v>38.58</v>
      </c>
      <c r="L86" s="6">
        <v>8.06</v>
      </c>
      <c r="M86" s="6">
        <v>1.96</v>
      </c>
      <c r="N86" s="6">
        <v>2.4</v>
      </c>
      <c r="O86" s="6">
        <v>0</v>
      </c>
      <c r="P86" s="6">
        <v>0.37</v>
      </c>
      <c r="Q86" s="6">
        <v>10.07</v>
      </c>
      <c r="R86" s="6"/>
      <c r="S86" s="6"/>
      <c r="T86" s="156"/>
      <c r="U86" s="6"/>
    </row>
    <row r="87" spans="1:21" customFormat="1">
      <c r="A87" s="201" t="s">
        <v>1278</v>
      </c>
      <c r="B87" s="6">
        <v>7.09</v>
      </c>
      <c r="C87" s="6">
        <v>7.8</v>
      </c>
      <c r="D87" s="6">
        <v>14.9</v>
      </c>
      <c r="E87" s="6">
        <v>5.37</v>
      </c>
      <c r="F87" s="151" t="s">
        <v>8</v>
      </c>
      <c r="G87" s="6">
        <v>65.94</v>
      </c>
      <c r="H87" s="6">
        <v>22.31</v>
      </c>
      <c r="I87" s="6">
        <v>6.51</v>
      </c>
      <c r="J87" s="6">
        <v>0.54</v>
      </c>
      <c r="K87" s="6">
        <v>33.299999999999997</v>
      </c>
      <c r="L87" s="6">
        <v>8.6</v>
      </c>
      <c r="M87" s="6">
        <v>3.3</v>
      </c>
      <c r="N87" s="6">
        <v>2.4</v>
      </c>
      <c r="O87" s="6">
        <v>0</v>
      </c>
      <c r="P87" s="6">
        <v>0.37</v>
      </c>
      <c r="Q87" s="6">
        <v>10.58</v>
      </c>
      <c r="R87" s="6"/>
      <c r="S87" s="6"/>
      <c r="T87" s="156"/>
      <c r="U87" s="6"/>
    </row>
    <row r="88" spans="1:21" customFormat="1">
      <c r="A88" s="201" t="s">
        <v>1279</v>
      </c>
      <c r="B88" s="6">
        <v>7.37</v>
      </c>
      <c r="C88" s="6">
        <v>7.58</v>
      </c>
      <c r="D88" s="6">
        <v>14.95</v>
      </c>
      <c r="E88" s="6">
        <v>5.22</v>
      </c>
      <c r="F88" s="151" t="s">
        <v>8</v>
      </c>
      <c r="G88" s="6">
        <v>67.27</v>
      </c>
      <c r="H88" s="6">
        <v>22.31</v>
      </c>
      <c r="I88" s="6">
        <v>6.52</v>
      </c>
      <c r="J88" s="6">
        <v>0.6</v>
      </c>
      <c r="K88" s="6">
        <v>32.200000000000003</v>
      </c>
      <c r="L88" s="6">
        <v>8.23</v>
      </c>
      <c r="M88" s="6">
        <v>2.36</v>
      </c>
      <c r="N88" s="6">
        <v>2.4</v>
      </c>
      <c r="O88" s="6">
        <v>0</v>
      </c>
      <c r="P88" s="6">
        <v>0.38</v>
      </c>
      <c r="Q88" s="6">
        <v>9.9700000000000006</v>
      </c>
      <c r="R88" s="6"/>
      <c r="S88" s="6"/>
      <c r="T88" s="156"/>
      <c r="U88" s="6"/>
    </row>
    <row r="89" spans="1:21" customFormat="1">
      <c r="A89" s="201" t="s">
        <v>1280</v>
      </c>
      <c r="B89" s="6">
        <v>7.64</v>
      </c>
      <c r="C89" s="6">
        <v>7.56</v>
      </c>
      <c r="D89" s="6">
        <v>15.2</v>
      </c>
      <c r="E89" s="6">
        <v>5.2</v>
      </c>
      <c r="F89" s="151" t="s">
        <v>8</v>
      </c>
      <c r="G89" s="6">
        <v>67.27</v>
      </c>
      <c r="H89" s="6">
        <v>22.31</v>
      </c>
      <c r="I89" s="6">
        <v>6.55</v>
      </c>
      <c r="J89" s="6">
        <v>0.39</v>
      </c>
      <c r="K89" s="6">
        <v>29.52</v>
      </c>
      <c r="L89" s="6">
        <v>10.34</v>
      </c>
      <c r="M89" s="6">
        <v>7.67</v>
      </c>
      <c r="N89" s="6">
        <v>2.4</v>
      </c>
      <c r="O89" s="6">
        <v>0</v>
      </c>
      <c r="P89" s="6">
        <v>0.38</v>
      </c>
      <c r="Q89" s="6">
        <v>10.16</v>
      </c>
      <c r="R89" s="6"/>
      <c r="S89" s="6"/>
      <c r="T89" s="156"/>
      <c r="U89" s="6"/>
    </row>
    <row r="90" spans="1:21" customFormat="1">
      <c r="A90" s="201" t="s">
        <v>1281</v>
      </c>
      <c r="B90" s="6">
        <v>7.9</v>
      </c>
      <c r="C90" s="6">
        <v>7.5</v>
      </c>
      <c r="D90" s="6">
        <v>15.41</v>
      </c>
      <c r="E90" s="6">
        <v>5.0999999999999996</v>
      </c>
      <c r="F90" s="151" t="s">
        <v>8</v>
      </c>
      <c r="G90" s="6">
        <v>67.27</v>
      </c>
      <c r="H90" s="6">
        <v>22.31</v>
      </c>
      <c r="I90" s="6">
        <v>6.57</v>
      </c>
      <c r="J90" s="6">
        <v>0.38</v>
      </c>
      <c r="K90" s="6">
        <v>25.6</v>
      </c>
      <c r="L90" s="6">
        <v>10.14</v>
      </c>
      <c r="M90" s="6">
        <v>7.87</v>
      </c>
      <c r="N90" s="6">
        <v>2.4</v>
      </c>
      <c r="O90" s="6">
        <v>0</v>
      </c>
      <c r="P90" s="6">
        <v>0.39</v>
      </c>
      <c r="Q90" s="6">
        <v>9.25</v>
      </c>
      <c r="R90" s="6"/>
      <c r="S90" s="6"/>
      <c r="T90" s="156"/>
      <c r="U90" s="6"/>
    </row>
    <row r="91" spans="1:21" customFormat="1">
      <c r="A91" s="201" t="s">
        <v>1282</v>
      </c>
      <c r="B91" s="6">
        <v>8.16</v>
      </c>
      <c r="C91" s="6">
        <v>7.54</v>
      </c>
      <c r="D91" s="6">
        <v>15.7</v>
      </c>
      <c r="E91" s="6">
        <v>5.27</v>
      </c>
      <c r="F91" s="151" t="s">
        <v>8</v>
      </c>
      <c r="G91" s="6">
        <v>59.57</v>
      </c>
      <c r="H91" s="6">
        <v>16.13</v>
      </c>
      <c r="I91" s="6">
        <v>6.62</v>
      </c>
      <c r="J91" s="6">
        <v>0.59</v>
      </c>
      <c r="K91" s="6">
        <v>44.19</v>
      </c>
      <c r="L91" s="6">
        <v>8.1199999999999992</v>
      </c>
      <c r="M91" s="6">
        <v>2.25</v>
      </c>
      <c r="N91" s="6">
        <v>2.4</v>
      </c>
      <c r="O91" s="6">
        <v>0</v>
      </c>
      <c r="P91" s="6">
        <v>0.39</v>
      </c>
      <c r="Q91" s="6">
        <v>9.9499999999999993</v>
      </c>
      <c r="R91" s="6"/>
      <c r="S91" s="6"/>
      <c r="T91" s="156"/>
      <c r="U91" s="6"/>
    </row>
    <row r="92" spans="1:21" customFormat="1">
      <c r="A92" s="201" t="s">
        <v>1283</v>
      </c>
      <c r="B92" s="6">
        <v>8.4</v>
      </c>
      <c r="C92" s="6">
        <v>7.46</v>
      </c>
      <c r="D92" s="6">
        <v>15.86</v>
      </c>
      <c r="E92" s="6">
        <v>5.44</v>
      </c>
      <c r="F92" s="151" t="s">
        <v>8</v>
      </c>
      <c r="G92" s="6">
        <v>57.37</v>
      </c>
      <c r="H92" s="6">
        <v>16.13</v>
      </c>
      <c r="I92" s="6">
        <v>6.61</v>
      </c>
      <c r="J92" s="6">
        <v>0.54</v>
      </c>
      <c r="K92" s="6">
        <v>37.17</v>
      </c>
      <c r="L92" s="6">
        <v>7.25</v>
      </c>
      <c r="M92" s="6">
        <v>0.02</v>
      </c>
      <c r="N92" s="6">
        <v>2.4</v>
      </c>
      <c r="O92" s="6">
        <v>0</v>
      </c>
      <c r="P92" s="6">
        <v>0.39</v>
      </c>
      <c r="Q92" s="6">
        <v>10</v>
      </c>
      <c r="R92" s="6"/>
      <c r="S92" s="6"/>
      <c r="T92" s="156"/>
      <c r="U92" s="6"/>
    </row>
    <row r="93" spans="1:21" customFormat="1">
      <c r="A93" s="201" t="s">
        <v>1284</v>
      </c>
      <c r="B93" s="6">
        <v>8.6300000000000008</v>
      </c>
      <c r="C93" s="6">
        <v>7.47</v>
      </c>
      <c r="D93" s="6">
        <v>16.100000000000001</v>
      </c>
      <c r="E93" s="6">
        <v>5.19</v>
      </c>
      <c r="F93" s="151" t="s">
        <v>8</v>
      </c>
      <c r="G93" s="6">
        <v>57.37</v>
      </c>
      <c r="H93" s="6">
        <v>16.13</v>
      </c>
      <c r="I93" s="6">
        <v>6.7</v>
      </c>
      <c r="J93" s="6">
        <v>0.38</v>
      </c>
      <c r="K93" s="6">
        <v>30.95</v>
      </c>
      <c r="L93" s="6">
        <v>8.81</v>
      </c>
      <c r="M93" s="6">
        <v>3.81</v>
      </c>
      <c r="N93" s="6">
        <v>2.4</v>
      </c>
      <c r="O93" s="6">
        <v>0</v>
      </c>
      <c r="P93" s="6">
        <v>0.39</v>
      </c>
      <c r="Q93" s="6">
        <v>10</v>
      </c>
      <c r="R93" s="6"/>
      <c r="S93" s="6"/>
      <c r="T93" s="156"/>
      <c r="U93" s="6"/>
    </row>
    <row r="94" spans="1:21" customFormat="1">
      <c r="A94" s="201" t="s">
        <v>1285</v>
      </c>
      <c r="B94" s="6">
        <v>8.86</v>
      </c>
      <c r="C94" s="6">
        <v>7.45</v>
      </c>
      <c r="D94" s="6">
        <v>16.309999999999999</v>
      </c>
      <c r="E94" s="6">
        <v>5.38</v>
      </c>
      <c r="F94" s="151" t="s">
        <v>8</v>
      </c>
      <c r="G94" s="6">
        <v>57.37</v>
      </c>
      <c r="H94" s="6">
        <v>16.13</v>
      </c>
      <c r="I94" s="6">
        <v>6.7</v>
      </c>
      <c r="J94" s="6">
        <v>0.45</v>
      </c>
      <c r="K94" s="6">
        <v>40.36</v>
      </c>
      <c r="L94" s="6">
        <v>7.02</v>
      </c>
      <c r="M94" s="6">
        <v>-0.63</v>
      </c>
      <c r="N94" s="6">
        <v>2.4</v>
      </c>
      <c r="O94" s="6">
        <v>0</v>
      </c>
      <c r="P94" s="6">
        <v>0.39</v>
      </c>
      <c r="Q94" s="6">
        <v>10</v>
      </c>
      <c r="R94" s="6"/>
      <c r="S94" s="6"/>
      <c r="T94" s="156"/>
      <c r="U94" s="6"/>
    </row>
    <row r="95" spans="1:21" customFormat="1">
      <c r="A95" s="201" t="s">
        <v>1286</v>
      </c>
      <c r="B95" s="6">
        <v>9.07</v>
      </c>
      <c r="C95" s="6">
        <v>7.43</v>
      </c>
      <c r="D95" s="6">
        <v>16.5</v>
      </c>
      <c r="E95" s="6">
        <v>5.57</v>
      </c>
      <c r="F95" s="151" t="s">
        <v>8</v>
      </c>
      <c r="G95" s="6">
        <v>58.93</v>
      </c>
      <c r="H95" s="6">
        <v>16.72</v>
      </c>
      <c r="I95" s="6">
        <v>6.71</v>
      </c>
      <c r="J95" s="6">
        <v>0.28000000000000003</v>
      </c>
      <c r="K95" s="6">
        <v>40.98</v>
      </c>
      <c r="L95" s="6">
        <v>7.93</v>
      </c>
      <c r="M95" s="6">
        <v>1.74</v>
      </c>
      <c r="N95" s="6">
        <v>2.2000000000000002</v>
      </c>
      <c r="O95" s="6">
        <v>0</v>
      </c>
      <c r="P95" s="6">
        <v>0.39</v>
      </c>
      <c r="Q95" s="6">
        <v>10</v>
      </c>
      <c r="R95" s="6"/>
      <c r="S95" s="6"/>
      <c r="T95" s="156"/>
      <c r="U95" s="6"/>
    </row>
    <row r="96" spans="1:21" customFormat="1">
      <c r="A96" s="201" t="s">
        <v>1287</v>
      </c>
      <c r="B96" s="6">
        <v>9.5500000000000007</v>
      </c>
      <c r="C96" s="6">
        <v>7.47</v>
      </c>
      <c r="D96" s="6">
        <v>17.02</v>
      </c>
      <c r="E96" s="6">
        <v>5.7</v>
      </c>
      <c r="F96" s="151" t="s">
        <v>8</v>
      </c>
      <c r="G96" s="6">
        <v>59.37</v>
      </c>
      <c r="H96" s="6">
        <v>16.72</v>
      </c>
      <c r="I96" s="6">
        <v>6.78</v>
      </c>
      <c r="J96" s="6">
        <v>0.24</v>
      </c>
      <c r="K96" s="6">
        <v>38.74</v>
      </c>
      <c r="L96" s="6">
        <v>10.51</v>
      </c>
      <c r="M96" s="6">
        <v>8.16</v>
      </c>
      <c r="N96" s="6">
        <v>2.2000000000000002</v>
      </c>
      <c r="O96" s="6">
        <v>0</v>
      </c>
      <c r="P96" s="6">
        <v>0.39</v>
      </c>
      <c r="Q96" s="6">
        <v>10</v>
      </c>
      <c r="R96" s="6"/>
      <c r="S96" s="6"/>
      <c r="T96" s="156"/>
      <c r="U96" s="6"/>
    </row>
    <row r="97" spans="1:28" customFormat="1">
      <c r="A97" s="201" t="s">
        <v>1288</v>
      </c>
      <c r="B97" s="6">
        <v>10.08</v>
      </c>
      <c r="C97" s="6">
        <v>7.79</v>
      </c>
      <c r="D97" s="6">
        <v>17.87</v>
      </c>
      <c r="E97" s="6">
        <v>5.66</v>
      </c>
      <c r="F97" s="151" t="s">
        <v>8</v>
      </c>
      <c r="G97" s="6">
        <v>59.37</v>
      </c>
      <c r="H97" s="6">
        <v>16.72</v>
      </c>
      <c r="I97" s="6">
        <v>6.72</v>
      </c>
      <c r="J97" s="6">
        <v>0.28999999999999998</v>
      </c>
      <c r="K97" s="6">
        <v>44.5</v>
      </c>
      <c r="L97" s="6">
        <v>6.64</v>
      </c>
      <c r="M97" s="6">
        <v>-1.55</v>
      </c>
      <c r="N97" s="6">
        <v>2.2000000000000002</v>
      </c>
      <c r="O97" s="6">
        <v>0</v>
      </c>
      <c r="P97" s="6">
        <v>0.38</v>
      </c>
      <c r="Q97" s="6">
        <v>10</v>
      </c>
      <c r="R97" s="6"/>
      <c r="S97" s="6"/>
      <c r="T97" s="156"/>
      <c r="U97" s="6"/>
    </row>
    <row r="98" spans="1:28" customFormat="1">
      <c r="A98" s="201" t="s">
        <v>1289</v>
      </c>
      <c r="B98" s="6">
        <v>10.32</v>
      </c>
      <c r="C98" s="6">
        <v>8.0399999999999991</v>
      </c>
      <c r="D98" s="6">
        <v>18.37</v>
      </c>
      <c r="E98" s="6">
        <v>5.67</v>
      </c>
      <c r="F98" s="151" t="s">
        <v>8</v>
      </c>
      <c r="G98" s="6">
        <v>59.37</v>
      </c>
      <c r="H98" s="6">
        <v>16.72</v>
      </c>
      <c r="I98" s="6">
        <v>6.78</v>
      </c>
      <c r="J98" s="6">
        <v>0.24</v>
      </c>
      <c r="K98" s="6">
        <v>35.76</v>
      </c>
      <c r="L98" s="6">
        <v>6.11</v>
      </c>
      <c r="M98" s="6">
        <v>-2.96</v>
      </c>
      <c r="N98" s="6">
        <v>2.1</v>
      </c>
      <c r="O98" s="6">
        <v>0</v>
      </c>
      <c r="P98" s="6">
        <v>0.37</v>
      </c>
      <c r="Q98" s="6">
        <v>10</v>
      </c>
      <c r="R98" s="6"/>
      <c r="S98" s="6"/>
      <c r="T98" s="156"/>
      <c r="U98" s="6"/>
    </row>
    <row r="99" spans="1:28" customFormat="1">
      <c r="A99" s="201" t="s">
        <v>1290</v>
      </c>
      <c r="B99" s="6">
        <v>10.61</v>
      </c>
      <c r="C99" s="6">
        <v>8.24</v>
      </c>
      <c r="D99" s="6">
        <v>18.850000000000001</v>
      </c>
      <c r="E99" s="6">
        <v>5.92</v>
      </c>
      <c r="F99" s="151" t="s">
        <v>8</v>
      </c>
      <c r="G99" s="6">
        <v>63.01</v>
      </c>
      <c r="H99" s="6">
        <v>21.12</v>
      </c>
      <c r="I99" s="6">
        <v>6.77</v>
      </c>
      <c r="J99" s="6">
        <v>0.31</v>
      </c>
      <c r="K99" s="6">
        <v>48.29</v>
      </c>
      <c r="L99" s="6">
        <v>6.96</v>
      </c>
      <c r="M99" s="6">
        <v>-0.79</v>
      </c>
      <c r="N99" s="6">
        <v>2.1</v>
      </c>
      <c r="O99" s="6">
        <v>0</v>
      </c>
      <c r="P99" s="6">
        <v>0.38</v>
      </c>
      <c r="Q99" s="6">
        <v>10</v>
      </c>
      <c r="R99" s="6"/>
      <c r="S99" s="6"/>
      <c r="T99" s="156"/>
      <c r="U99" s="6"/>
    </row>
    <row r="100" spans="1:28" customFormat="1">
      <c r="A100" s="201" t="s">
        <v>1291</v>
      </c>
      <c r="B100" s="6">
        <v>11.08</v>
      </c>
      <c r="C100" s="6">
        <v>8.32</v>
      </c>
      <c r="D100" s="6">
        <v>19.399999999999999</v>
      </c>
      <c r="E100" s="6">
        <v>6.19</v>
      </c>
      <c r="F100" s="151" t="s">
        <v>8</v>
      </c>
      <c r="G100" s="6">
        <v>64.040000000000006</v>
      </c>
      <c r="H100" s="6">
        <v>21.12</v>
      </c>
      <c r="I100" s="6">
        <v>6.75</v>
      </c>
      <c r="J100" s="6">
        <v>0.21</v>
      </c>
      <c r="K100" s="6">
        <v>30.14</v>
      </c>
      <c r="L100" s="6">
        <v>10.84</v>
      </c>
      <c r="M100" s="6">
        <v>8.85</v>
      </c>
      <c r="N100" s="6">
        <v>2.1</v>
      </c>
      <c r="O100" s="6">
        <v>0</v>
      </c>
      <c r="P100" s="6">
        <v>0.38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1292</v>
      </c>
      <c r="B101" s="6">
        <v>11.55</v>
      </c>
      <c r="C101" s="6">
        <v>8.31</v>
      </c>
      <c r="D101" s="6">
        <v>19.87</v>
      </c>
      <c r="E101" s="6">
        <v>6.09</v>
      </c>
      <c r="F101" s="151" t="s">
        <v>8</v>
      </c>
      <c r="G101" s="6">
        <v>64.040000000000006</v>
      </c>
      <c r="H101" s="6">
        <v>21.12</v>
      </c>
      <c r="I101" s="6">
        <v>6.75</v>
      </c>
      <c r="J101" s="6">
        <v>0.2</v>
      </c>
      <c r="K101" s="6">
        <v>22.42</v>
      </c>
      <c r="L101" s="6">
        <v>11.51</v>
      </c>
      <c r="M101" s="6">
        <v>10.57</v>
      </c>
      <c r="N101" s="6">
        <v>2.2000000000000002</v>
      </c>
      <c r="O101" s="6">
        <v>0</v>
      </c>
      <c r="P101" s="6">
        <v>0.38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1293</v>
      </c>
      <c r="B102" s="6">
        <v>11.89</v>
      </c>
      <c r="C102" s="6">
        <v>8.31</v>
      </c>
      <c r="D102" s="6">
        <v>20.2</v>
      </c>
      <c r="E102" s="6">
        <v>6.37</v>
      </c>
      <c r="F102" s="151" t="s">
        <v>8</v>
      </c>
      <c r="G102" s="6">
        <v>64.040000000000006</v>
      </c>
      <c r="H102" s="6">
        <v>21.12</v>
      </c>
      <c r="I102" s="6">
        <v>6.77</v>
      </c>
      <c r="J102" s="6">
        <v>0.11</v>
      </c>
      <c r="K102" s="6">
        <v>348.99</v>
      </c>
      <c r="L102" s="6">
        <v>18.32</v>
      </c>
      <c r="M102" s="6">
        <v>27.75</v>
      </c>
      <c r="N102" s="6">
        <v>2.1</v>
      </c>
      <c r="O102" s="6">
        <v>0</v>
      </c>
      <c r="P102" s="6">
        <v>0.38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1294</v>
      </c>
      <c r="B103" s="6">
        <v>12.22</v>
      </c>
      <c r="C103" s="6">
        <v>8.3000000000000007</v>
      </c>
      <c r="D103" s="6">
        <v>20.52</v>
      </c>
      <c r="E103" s="6">
        <v>6.44</v>
      </c>
      <c r="F103" s="151" t="s">
        <v>8</v>
      </c>
      <c r="G103" s="6">
        <v>67.819999999999993</v>
      </c>
      <c r="H103" s="6">
        <v>20.98</v>
      </c>
      <c r="I103" s="6">
        <v>6.81</v>
      </c>
      <c r="J103" s="6">
        <v>0.16</v>
      </c>
      <c r="K103" s="6">
        <v>354.57</v>
      </c>
      <c r="L103" s="6">
        <v>17.25</v>
      </c>
      <c r="M103" s="6">
        <v>25.02</v>
      </c>
      <c r="N103" s="6">
        <v>2.2000000000000002</v>
      </c>
      <c r="O103" s="6">
        <v>0</v>
      </c>
      <c r="P103" s="6">
        <v>0.39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1295</v>
      </c>
      <c r="B104" s="6">
        <v>12.5</v>
      </c>
      <c r="C104" s="6">
        <v>8.1999999999999993</v>
      </c>
      <c r="D104" s="6">
        <v>20.69</v>
      </c>
      <c r="E104" s="6">
        <v>6.32</v>
      </c>
      <c r="F104" s="151" t="s">
        <v>8</v>
      </c>
      <c r="G104" s="6">
        <v>68.900000000000006</v>
      </c>
      <c r="H104" s="6">
        <v>20.98</v>
      </c>
      <c r="I104" s="6">
        <v>6.84</v>
      </c>
      <c r="J104" s="6">
        <v>0.19</v>
      </c>
      <c r="K104" s="6">
        <v>17.309999999999999</v>
      </c>
      <c r="L104" s="6">
        <v>11.41</v>
      </c>
      <c r="M104" s="6">
        <v>10.25</v>
      </c>
      <c r="N104" s="6">
        <v>2.2000000000000002</v>
      </c>
      <c r="O104" s="6">
        <v>0</v>
      </c>
      <c r="P104" s="6">
        <v>0.38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2.21</v>
      </c>
      <c r="C106" s="158">
        <f>MIN(C9:C104)</f>
        <v>7.07</v>
      </c>
      <c r="D106" s="158">
        <f t="shared" ref="D106:Q106" si="0">MIN(D9:D104)</f>
        <v>10</v>
      </c>
      <c r="E106" s="158">
        <f t="shared" si="0"/>
        <v>3.64</v>
      </c>
      <c r="F106" s="158">
        <f t="shared" si="0"/>
        <v>0</v>
      </c>
      <c r="G106" s="158">
        <f t="shared" si="0"/>
        <v>57.37</v>
      </c>
      <c r="H106" s="158">
        <f t="shared" si="0"/>
        <v>16.13</v>
      </c>
      <c r="I106" s="158">
        <f t="shared" si="0"/>
        <v>5.3</v>
      </c>
      <c r="J106" s="158">
        <f t="shared" si="0"/>
        <v>7.0000000000000007E-2</v>
      </c>
      <c r="K106" s="158">
        <f t="shared" si="0"/>
        <v>0.33</v>
      </c>
      <c r="L106" s="158">
        <f t="shared" si="0"/>
        <v>6.11</v>
      </c>
      <c r="M106" s="158">
        <f t="shared" si="0"/>
        <v>-2.96</v>
      </c>
      <c r="N106" s="158">
        <f t="shared" si="0"/>
        <v>2.1</v>
      </c>
      <c r="O106" s="158">
        <f t="shared" si="0"/>
        <v>0</v>
      </c>
      <c r="P106" s="158">
        <f t="shared" si="0"/>
        <v>0.32</v>
      </c>
      <c r="Q106" s="158">
        <f t="shared" si="0"/>
        <v>9.25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13.34</v>
      </c>
      <c r="C107" s="157">
        <f t="shared" ref="C107:Q107" si="1">MAX(C9:C104)</f>
        <v>15.37</v>
      </c>
      <c r="D107" s="157">
        <f t="shared" si="1"/>
        <v>20.69</v>
      </c>
      <c r="E107" s="157">
        <f t="shared" si="1"/>
        <v>8</v>
      </c>
      <c r="F107" s="157">
        <f t="shared" si="1"/>
        <v>0</v>
      </c>
      <c r="G107" s="157">
        <f t="shared" si="1"/>
        <v>130.08000000000001</v>
      </c>
      <c r="H107" s="157">
        <f t="shared" si="1"/>
        <v>42.58</v>
      </c>
      <c r="I107" s="157">
        <f t="shared" si="1"/>
        <v>8.08</v>
      </c>
      <c r="J107" s="157">
        <f t="shared" si="1"/>
        <v>1.17</v>
      </c>
      <c r="K107" s="157">
        <f t="shared" si="1"/>
        <v>354.57</v>
      </c>
      <c r="L107" s="157">
        <f t="shared" si="1"/>
        <v>28.42</v>
      </c>
      <c r="M107" s="157">
        <f t="shared" si="1"/>
        <v>49.7</v>
      </c>
      <c r="N107" s="157">
        <f t="shared" si="1"/>
        <v>507.8</v>
      </c>
      <c r="O107" s="157">
        <f t="shared" si="1"/>
        <v>0</v>
      </c>
      <c r="P107" s="157">
        <f t="shared" si="1"/>
        <v>0.47</v>
      </c>
      <c r="Q107" s="157">
        <f t="shared" si="1"/>
        <v>11.72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8.1300000000000061</v>
      </c>
      <c r="C108" s="158">
        <f t="shared" ref="C108:Q108" si="2">AVERAGE(C9:C104)</f>
        <v>8.5194791666666685</v>
      </c>
      <c r="D108" s="158">
        <f t="shared" si="2"/>
        <v>16.650416666666668</v>
      </c>
      <c r="E108" s="158">
        <f t="shared" si="2"/>
        <v>5.8093750000000002</v>
      </c>
      <c r="F108" s="158" t="e">
        <f t="shared" si="2"/>
        <v>#DIV/0!</v>
      </c>
      <c r="G108" s="158">
        <f t="shared" si="2"/>
        <v>88.866354166666682</v>
      </c>
      <c r="H108" s="158">
        <f t="shared" si="2"/>
        <v>29.344791666666669</v>
      </c>
      <c r="I108" s="158">
        <f t="shared" si="2"/>
        <v>6.6033333333333344</v>
      </c>
      <c r="J108" s="158">
        <f t="shared" si="2"/>
        <v>0.36468750000000011</v>
      </c>
      <c r="K108" s="158">
        <f t="shared" si="2"/>
        <v>115.45437499999998</v>
      </c>
      <c r="L108" s="158">
        <f t="shared" si="2"/>
        <v>13.231562499999997</v>
      </c>
      <c r="M108" s="158">
        <f t="shared" si="2"/>
        <v>13.584895833333325</v>
      </c>
      <c r="N108" s="158">
        <f t="shared" si="2"/>
        <v>64.278124999999946</v>
      </c>
      <c r="O108" s="158">
        <f t="shared" si="2"/>
        <v>0</v>
      </c>
      <c r="P108" s="158">
        <f t="shared" si="2"/>
        <v>0.37937500000000024</v>
      </c>
      <c r="Q108" s="158">
        <f t="shared" si="2"/>
        <v>10.126562499999999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3.819058853476303</v>
      </c>
      <c r="C109" s="158">
        <f t="shared" ref="C109:Q109" si="3">STDEV(C9:C104)</f>
        <v>2.0396307043402979</v>
      </c>
      <c r="D109" s="158">
        <f t="shared" si="3"/>
        <v>3.0605396554294364</v>
      </c>
      <c r="E109" s="158">
        <f t="shared" si="3"/>
        <v>0.98457344490954335</v>
      </c>
      <c r="F109" s="158" t="e">
        <f t="shared" si="3"/>
        <v>#DIV/0!</v>
      </c>
      <c r="G109" s="158">
        <f t="shared" si="3"/>
        <v>22.563021266515616</v>
      </c>
      <c r="H109" s="158">
        <f t="shared" si="3"/>
        <v>7.2495473512658339</v>
      </c>
      <c r="I109" s="158">
        <f t="shared" si="3"/>
        <v>0.53234667506817424</v>
      </c>
      <c r="J109" s="158">
        <f t="shared" si="3"/>
        <v>0.21986097581019334</v>
      </c>
      <c r="K109" s="158">
        <f t="shared" si="3"/>
        <v>128.10570342545867</v>
      </c>
      <c r="L109" s="158">
        <f t="shared" si="3"/>
        <v>6.4565718992968213</v>
      </c>
      <c r="M109" s="158">
        <f t="shared" si="3"/>
        <v>14.516087844347894</v>
      </c>
      <c r="N109" s="158">
        <f t="shared" si="3"/>
        <v>107.00339217753805</v>
      </c>
      <c r="O109" s="158">
        <f t="shared" si="3"/>
        <v>0</v>
      </c>
      <c r="P109" s="158">
        <f t="shared" si="3"/>
        <v>3.5267772675258137E-2</v>
      </c>
      <c r="Q109" s="158">
        <f t="shared" si="3"/>
        <v>0.34962785666747853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M74" sqref="M74:M7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1296</v>
      </c>
      <c r="B9" s="6">
        <v>12.71</v>
      </c>
      <c r="C9" s="6">
        <v>8.5299999999999994</v>
      </c>
      <c r="D9" s="6">
        <v>21.23</v>
      </c>
      <c r="E9" s="6">
        <v>6.48</v>
      </c>
      <c r="F9" s="152" t="s">
        <v>15</v>
      </c>
      <c r="G9" s="6">
        <v>68.900000000000006</v>
      </c>
      <c r="H9" s="6">
        <v>20.98</v>
      </c>
      <c r="I9" s="6">
        <v>6.84</v>
      </c>
      <c r="J9" s="6">
        <v>0.14000000000000001</v>
      </c>
      <c r="K9" s="6">
        <v>24.27</v>
      </c>
      <c r="L9" s="6">
        <v>14.88</v>
      </c>
      <c r="M9" s="6">
        <v>19.079999999999998</v>
      </c>
      <c r="N9" s="6">
        <v>2.1</v>
      </c>
      <c r="O9" s="6">
        <v>0</v>
      </c>
      <c r="P9" s="6">
        <v>0.38</v>
      </c>
      <c r="Q9" s="6">
        <v>10</v>
      </c>
      <c r="R9" s="6"/>
      <c r="S9" s="6"/>
      <c r="T9" s="156"/>
      <c r="U9" s="6"/>
    </row>
    <row r="10" spans="1:21" customFormat="1">
      <c r="A10" s="201" t="s">
        <v>1297</v>
      </c>
      <c r="B10" s="6">
        <v>13.03</v>
      </c>
      <c r="C10" s="6">
        <v>8.3000000000000007</v>
      </c>
      <c r="D10" s="6">
        <v>21.33</v>
      </c>
      <c r="E10" s="6">
        <v>6.49</v>
      </c>
      <c r="F10" s="152" t="s">
        <v>15</v>
      </c>
      <c r="G10" s="6">
        <v>68.900000000000006</v>
      </c>
      <c r="H10" s="6">
        <v>20.98</v>
      </c>
      <c r="I10" s="6">
        <v>6.83</v>
      </c>
      <c r="J10" s="6">
        <v>0.19</v>
      </c>
      <c r="K10" s="6">
        <v>22.87</v>
      </c>
      <c r="L10" s="6">
        <v>12.38</v>
      </c>
      <c r="M10" s="6">
        <v>12.77</v>
      </c>
      <c r="N10" s="6">
        <v>2.1</v>
      </c>
      <c r="O10" s="6">
        <v>0</v>
      </c>
      <c r="P10" s="6">
        <v>0.38</v>
      </c>
      <c r="Q10" s="6">
        <v>10</v>
      </c>
      <c r="R10" s="6"/>
      <c r="S10" s="6"/>
      <c r="T10" s="156"/>
      <c r="U10" s="6"/>
    </row>
    <row r="11" spans="1:21" customFormat="1">
      <c r="A11" s="201" t="s">
        <v>1298</v>
      </c>
      <c r="B11" s="6">
        <v>13.12</v>
      </c>
      <c r="C11" s="6">
        <v>8.2100000000000009</v>
      </c>
      <c r="D11" s="6">
        <v>21.33</v>
      </c>
      <c r="E11" s="6">
        <v>6.44</v>
      </c>
      <c r="F11" s="152" t="s">
        <v>15</v>
      </c>
      <c r="G11" s="6">
        <v>67.31</v>
      </c>
      <c r="H11" s="6">
        <v>19.43</v>
      </c>
      <c r="I11" s="6">
        <v>6.79</v>
      </c>
      <c r="J11" s="6">
        <v>0.27</v>
      </c>
      <c r="K11" s="6">
        <v>32</v>
      </c>
      <c r="L11" s="6">
        <v>7.98</v>
      </c>
      <c r="M11" s="6">
        <v>1.73</v>
      </c>
      <c r="N11" s="6">
        <v>2.2999999999999998</v>
      </c>
      <c r="O11" s="6">
        <v>0</v>
      </c>
      <c r="P11" s="6">
        <v>0.37</v>
      </c>
      <c r="Q11" s="6">
        <v>10</v>
      </c>
      <c r="R11" s="6"/>
      <c r="S11" s="6"/>
      <c r="T11" s="156"/>
      <c r="U11" s="6"/>
    </row>
    <row r="12" spans="1:21" customFormat="1">
      <c r="A12" s="201" t="s">
        <v>1299</v>
      </c>
      <c r="B12" s="6">
        <v>13.08</v>
      </c>
      <c r="C12" s="6">
        <v>8.08</v>
      </c>
      <c r="D12" s="6">
        <v>21.16</v>
      </c>
      <c r="E12" s="6">
        <v>6.6</v>
      </c>
      <c r="F12" s="152" t="s">
        <v>15</v>
      </c>
      <c r="G12" s="6">
        <v>66.89</v>
      </c>
      <c r="H12" s="6">
        <v>19.43</v>
      </c>
      <c r="I12" s="6">
        <v>6.73</v>
      </c>
      <c r="J12" s="6">
        <v>0.21</v>
      </c>
      <c r="K12" s="6">
        <v>39.83</v>
      </c>
      <c r="L12" s="6">
        <v>8.15</v>
      </c>
      <c r="M12" s="6">
        <v>2.21</v>
      </c>
      <c r="N12" s="6">
        <v>2.2000000000000002</v>
      </c>
      <c r="O12" s="6">
        <v>0</v>
      </c>
      <c r="P12" s="6">
        <v>0.37</v>
      </c>
      <c r="Q12" s="6">
        <v>10</v>
      </c>
      <c r="R12" s="6"/>
      <c r="S12" s="6"/>
      <c r="T12" s="156"/>
      <c r="U12" s="6"/>
    </row>
    <row r="13" spans="1:21" customFormat="1">
      <c r="A13" s="201" t="s">
        <v>1300</v>
      </c>
      <c r="B13" s="6">
        <v>13.13</v>
      </c>
      <c r="C13" s="6">
        <v>8.1199999999999992</v>
      </c>
      <c r="D13" s="6">
        <v>21.25</v>
      </c>
      <c r="E13" s="6">
        <v>6.61</v>
      </c>
      <c r="F13" s="152" t="s">
        <v>15</v>
      </c>
      <c r="G13" s="6">
        <v>66.89</v>
      </c>
      <c r="H13" s="6">
        <v>19.43</v>
      </c>
      <c r="I13" s="6">
        <v>6.65</v>
      </c>
      <c r="J13" s="6">
        <v>0.22</v>
      </c>
      <c r="K13" s="6">
        <v>38.64</v>
      </c>
      <c r="L13" s="6">
        <v>8.82</v>
      </c>
      <c r="M13" s="6">
        <v>3.89</v>
      </c>
      <c r="N13" s="6">
        <v>2.2000000000000002</v>
      </c>
      <c r="O13" s="6">
        <v>0</v>
      </c>
      <c r="P13" s="6">
        <v>0.36</v>
      </c>
      <c r="Q13" s="6">
        <v>10</v>
      </c>
      <c r="R13" s="6"/>
      <c r="S13" s="6"/>
      <c r="T13" s="156"/>
      <c r="U13" s="6"/>
    </row>
    <row r="14" spans="1:21" customFormat="1">
      <c r="A14" s="201" t="s">
        <v>1301</v>
      </c>
      <c r="B14" s="6">
        <v>13.2</v>
      </c>
      <c r="C14" s="6">
        <v>8.08</v>
      </c>
      <c r="D14" s="6">
        <v>21.28</v>
      </c>
      <c r="E14" s="6">
        <v>6.66</v>
      </c>
      <c r="F14" s="152" t="s">
        <v>15</v>
      </c>
      <c r="G14" s="6">
        <v>66.89</v>
      </c>
      <c r="H14" s="6">
        <v>19.43</v>
      </c>
      <c r="I14" s="6">
        <v>6.57</v>
      </c>
      <c r="J14" s="6">
        <v>0.33</v>
      </c>
      <c r="K14" s="6">
        <v>44.89</v>
      </c>
      <c r="L14" s="6">
        <v>7.11</v>
      </c>
      <c r="M14" s="6">
        <v>3.89</v>
      </c>
      <c r="N14" s="6">
        <v>2.4</v>
      </c>
      <c r="O14" s="6">
        <v>0</v>
      </c>
      <c r="P14" s="6">
        <v>0.36</v>
      </c>
      <c r="Q14" s="6">
        <v>10</v>
      </c>
      <c r="R14" s="6"/>
      <c r="S14" s="6"/>
      <c r="T14" s="156"/>
      <c r="U14" s="6"/>
    </row>
    <row r="15" spans="1:21" customFormat="1">
      <c r="A15" s="201" t="s">
        <v>1302</v>
      </c>
      <c r="B15" s="6">
        <v>13.13</v>
      </c>
      <c r="C15" s="6">
        <v>8.0399999999999991</v>
      </c>
      <c r="D15" s="6">
        <v>21.17</v>
      </c>
      <c r="E15" s="6">
        <v>6.8</v>
      </c>
      <c r="F15" s="152" t="s">
        <v>15</v>
      </c>
      <c r="G15" s="6">
        <v>60.8</v>
      </c>
      <c r="H15" s="6">
        <v>18.87</v>
      </c>
      <c r="I15" s="6">
        <v>6.53</v>
      </c>
      <c r="J15" s="6">
        <v>0.18</v>
      </c>
      <c r="K15" s="6">
        <v>40.74</v>
      </c>
      <c r="L15" s="6">
        <v>11.51</v>
      </c>
      <c r="M15" s="6">
        <v>10.66</v>
      </c>
      <c r="N15" s="6">
        <v>2.4</v>
      </c>
      <c r="O15" s="6">
        <v>0</v>
      </c>
      <c r="P15" s="6">
        <v>0.35</v>
      </c>
      <c r="Q15" s="6">
        <v>10</v>
      </c>
      <c r="R15" s="6"/>
      <c r="S15" s="6"/>
      <c r="T15" s="156"/>
      <c r="U15" s="6"/>
    </row>
    <row r="16" spans="1:21" customFormat="1">
      <c r="A16" s="201" t="s">
        <v>1303</v>
      </c>
      <c r="B16" s="6">
        <v>13.05</v>
      </c>
      <c r="C16" s="6">
        <v>7.93</v>
      </c>
      <c r="D16" s="6">
        <v>20.98</v>
      </c>
      <c r="E16" s="6">
        <v>6.77</v>
      </c>
      <c r="F16" s="152" t="s">
        <v>15</v>
      </c>
      <c r="G16" s="6">
        <v>59.06</v>
      </c>
      <c r="H16" s="6">
        <v>18.87</v>
      </c>
      <c r="I16" s="6">
        <v>6.42</v>
      </c>
      <c r="J16" s="6">
        <v>0.19</v>
      </c>
      <c r="K16" s="6">
        <v>33.18</v>
      </c>
      <c r="L16" s="6">
        <v>12.36</v>
      </c>
      <c r="M16" s="6">
        <v>12.77</v>
      </c>
      <c r="N16" s="6">
        <v>2.4</v>
      </c>
      <c r="O16" s="6">
        <v>0</v>
      </c>
      <c r="P16" s="6">
        <v>0.35</v>
      </c>
      <c r="Q16" s="6">
        <v>10</v>
      </c>
      <c r="R16" s="6"/>
      <c r="S16" s="6"/>
      <c r="T16" s="156"/>
      <c r="U16" s="6"/>
    </row>
    <row r="17" spans="1:21" customFormat="1">
      <c r="A17" s="201" t="s">
        <v>1304</v>
      </c>
      <c r="B17" s="6">
        <v>12.81</v>
      </c>
      <c r="C17" s="6">
        <v>7.9</v>
      </c>
      <c r="D17" s="6">
        <v>20.71</v>
      </c>
      <c r="E17" s="6">
        <v>4.6399999999999997</v>
      </c>
      <c r="F17" s="152" t="s">
        <v>15</v>
      </c>
      <c r="G17" s="6">
        <v>59.06</v>
      </c>
      <c r="H17" s="6">
        <v>18.87</v>
      </c>
      <c r="I17" s="6">
        <v>6.31</v>
      </c>
      <c r="J17" s="6">
        <v>0.45</v>
      </c>
      <c r="K17" s="6">
        <v>41.43</v>
      </c>
      <c r="L17" s="6">
        <v>8.1</v>
      </c>
      <c r="M17" s="6">
        <v>2.0499999999999998</v>
      </c>
      <c r="N17" s="6">
        <v>2.4</v>
      </c>
      <c r="O17" s="6">
        <v>0</v>
      </c>
      <c r="P17" s="6">
        <v>0.34</v>
      </c>
      <c r="Q17" s="6">
        <v>10</v>
      </c>
      <c r="R17" s="6"/>
      <c r="S17" s="6"/>
      <c r="T17" s="156"/>
      <c r="U17" s="6"/>
    </row>
    <row r="18" spans="1:21" customFormat="1">
      <c r="A18" s="201" t="s">
        <v>1305</v>
      </c>
      <c r="B18" s="6">
        <v>12.53</v>
      </c>
      <c r="C18" s="6">
        <v>7.77</v>
      </c>
      <c r="D18" s="6">
        <v>20.29</v>
      </c>
      <c r="E18" s="6">
        <v>5.39</v>
      </c>
      <c r="F18" s="152" t="s">
        <v>15</v>
      </c>
      <c r="G18" s="6">
        <v>59.06</v>
      </c>
      <c r="H18" s="6">
        <v>18.87</v>
      </c>
      <c r="I18" s="6">
        <v>6.22</v>
      </c>
      <c r="J18" s="6">
        <v>0.28999999999999998</v>
      </c>
      <c r="K18" s="6">
        <v>36.36</v>
      </c>
      <c r="L18" s="6">
        <v>7.02</v>
      </c>
      <c r="M18" s="6">
        <v>2.0499999999999998</v>
      </c>
      <c r="N18" s="6">
        <v>2.4</v>
      </c>
      <c r="O18" s="6">
        <v>0</v>
      </c>
      <c r="P18" s="6">
        <v>0.34</v>
      </c>
      <c r="Q18" s="6">
        <v>10</v>
      </c>
      <c r="R18" s="6"/>
      <c r="S18" s="6"/>
      <c r="T18" s="156"/>
      <c r="U18" s="6"/>
    </row>
    <row r="19" spans="1:21" customFormat="1">
      <c r="A19" s="201" t="s">
        <v>1306</v>
      </c>
      <c r="B19" s="6">
        <v>12.35</v>
      </c>
      <c r="C19" s="6">
        <v>7.57</v>
      </c>
      <c r="D19" s="6">
        <v>19.920000000000002</v>
      </c>
      <c r="E19" s="6">
        <v>5.26</v>
      </c>
      <c r="F19" s="152" t="s">
        <v>15</v>
      </c>
      <c r="G19" s="6">
        <v>55.57</v>
      </c>
      <c r="H19" s="6">
        <v>17.47</v>
      </c>
      <c r="I19" s="6">
        <v>6.18</v>
      </c>
      <c r="J19" s="6">
        <v>0.38</v>
      </c>
      <c r="K19" s="6">
        <v>29.2</v>
      </c>
      <c r="L19" s="6">
        <v>7.95</v>
      </c>
      <c r="M19" s="6">
        <v>1.67</v>
      </c>
      <c r="N19" s="6">
        <v>2.4</v>
      </c>
      <c r="O19" s="6">
        <v>0</v>
      </c>
      <c r="P19" s="6">
        <v>0.33</v>
      </c>
      <c r="Q19" s="6">
        <v>10</v>
      </c>
      <c r="R19" s="6"/>
      <c r="S19" s="6"/>
      <c r="T19" s="156"/>
      <c r="U19" s="6"/>
    </row>
    <row r="20" spans="1:21" customFormat="1">
      <c r="A20" s="201" t="s">
        <v>1307</v>
      </c>
      <c r="B20" s="6">
        <v>12.21</v>
      </c>
      <c r="C20" s="6">
        <v>7.52</v>
      </c>
      <c r="D20" s="6">
        <v>19.72</v>
      </c>
      <c r="E20" s="6">
        <v>5.22</v>
      </c>
      <c r="F20" s="152" t="s">
        <v>15</v>
      </c>
      <c r="G20" s="6">
        <v>54.58</v>
      </c>
      <c r="H20" s="6">
        <v>17.47</v>
      </c>
      <c r="I20" s="6">
        <v>6.15</v>
      </c>
      <c r="J20" s="6">
        <v>0.37</v>
      </c>
      <c r="K20" s="6">
        <v>34.08</v>
      </c>
      <c r="L20" s="6">
        <v>7.32</v>
      </c>
      <c r="M20" s="6">
        <v>0.88</v>
      </c>
      <c r="N20" s="6">
        <v>2.4</v>
      </c>
      <c r="O20" s="6">
        <v>0</v>
      </c>
      <c r="P20" s="6">
        <v>0.33</v>
      </c>
      <c r="Q20" s="6">
        <v>10</v>
      </c>
      <c r="R20" s="6"/>
      <c r="S20" s="6"/>
      <c r="T20" s="156"/>
      <c r="U20" s="6"/>
    </row>
    <row r="21" spans="1:21" customFormat="1">
      <c r="A21" s="201" t="s">
        <v>1308</v>
      </c>
      <c r="B21" s="6">
        <v>12.16</v>
      </c>
      <c r="C21" s="6">
        <v>7.5</v>
      </c>
      <c r="D21" s="6">
        <v>19.66</v>
      </c>
      <c r="E21" s="6">
        <v>5.47</v>
      </c>
      <c r="F21" s="152" t="s">
        <v>15</v>
      </c>
      <c r="G21" s="6">
        <v>54.58</v>
      </c>
      <c r="H21" s="6">
        <v>17.47</v>
      </c>
      <c r="I21" s="6">
        <v>6.03</v>
      </c>
      <c r="J21" s="6">
        <v>0.21</v>
      </c>
      <c r="K21" s="6">
        <v>45.77</v>
      </c>
      <c r="L21" s="6">
        <v>8.83</v>
      </c>
      <c r="M21" s="6">
        <v>4</v>
      </c>
      <c r="N21" s="6">
        <v>2.4</v>
      </c>
      <c r="O21" s="6">
        <v>0</v>
      </c>
      <c r="P21" s="6">
        <v>0.36</v>
      </c>
      <c r="Q21" s="6">
        <v>10</v>
      </c>
      <c r="R21" s="6"/>
      <c r="S21" s="6"/>
      <c r="T21" s="156"/>
      <c r="U21" s="6"/>
    </row>
    <row r="22" spans="1:21" customFormat="1">
      <c r="A22" s="201" t="s">
        <v>1309</v>
      </c>
      <c r="B22" s="6">
        <v>12.39</v>
      </c>
      <c r="C22" s="6">
        <v>7.25</v>
      </c>
      <c r="D22" s="6">
        <v>19.649999999999999</v>
      </c>
      <c r="E22" s="6">
        <v>5.16</v>
      </c>
      <c r="F22" s="152" t="s">
        <v>15</v>
      </c>
      <c r="G22" s="6">
        <v>54.58</v>
      </c>
      <c r="H22" s="6">
        <v>17.47</v>
      </c>
      <c r="I22" s="6">
        <v>5.9</v>
      </c>
      <c r="J22" s="6">
        <v>0.24</v>
      </c>
      <c r="K22" s="6">
        <v>45.29</v>
      </c>
      <c r="L22" s="6">
        <v>10.01</v>
      </c>
      <c r="M22" s="6">
        <v>6.91</v>
      </c>
      <c r="N22" s="6">
        <v>2.4</v>
      </c>
      <c r="O22" s="6">
        <v>0</v>
      </c>
      <c r="P22" s="6">
        <v>0.36</v>
      </c>
      <c r="Q22" s="6">
        <v>10</v>
      </c>
      <c r="R22" s="6"/>
      <c r="S22" s="6"/>
      <c r="T22" s="156"/>
      <c r="U22" s="6"/>
    </row>
    <row r="23" spans="1:21" customFormat="1">
      <c r="A23" s="201" t="s">
        <v>1310</v>
      </c>
      <c r="B23" s="6">
        <v>12.57</v>
      </c>
      <c r="C23" s="6">
        <v>7.14</v>
      </c>
      <c r="D23" s="6">
        <v>19.7</v>
      </c>
      <c r="E23" s="6">
        <v>5.0599999999999996</v>
      </c>
      <c r="F23" s="152" t="s">
        <v>15</v>
      </c>
      <c r="G23" s="6">
        <v>55</v>
      </c>
      <c r="H23" s="6">
        <v>18.22</v>
      </c>
      <c r="I23" s="6">
        <v>5.89</v>
      </c>
      <c r="J23" s="6">
        <v>0.34</v>
      </c>
      <c r="K23" s="6">
        <v>44.79</v>
      </c>
      <c r="L23" s="6">
        <v>6.66</v>
      </c>
      <c r="M23" s="6">
        <v>6.91</v>
      </c>
      <c r="N23" s="6">
        <v>2.4</v>
      </c>
      <c r="O23" s="6">
        <v>0</v>
      </c>
      <c r="P23" s="6">
        <v>0.35</v>
      </c>
      <c r="Q23" s="6">
        <v>10</v>
      </c>
      <c r="R23" s="6"/>
      <c r="S23" s="6"/>
      <c r="T23" s="156"/>
      <c r="U23" s="6"/>
    </row>
    <row r="24" spans="1:21" customFormat="1">
      <c r="A24" s="201" t="s">
        <v>1311</v>
      </c>
      <c r="B24" s="6">
        <v>12.68</v>
      </c>
      <c r="C24" s="6">
        <v>7.15</v>
      </c>
      <c r="D24" s="6">
        <v>19.829999999999998</v>
      </c>
      <c r="E24" s="6">
        <v>5.22</v>
      </c>
      <c r="F24" s="152" t="s">
        <v>15</v>
      </c>
      <c r="G24" s="6">
        <v>55.12</v>
      </c>
      <c r="H24" s="6">
        <v>18.22</v>
      </c>
      <c r="I24" s="6">
        <v>5.96</v>
      </c>
      <c r="J24" s="6">
        <v>0.28000000000000003</v>
      </c>
      <c r="K24" s="6">
        <v>31.28</v>
      </c>
      <c r="L24" s="6">
        <v>9.27</v>
      </c>
      <c r="M24" s="6">
        <v>5.0199999999999996</v>
      </c>
      <c r="N24" s="6">
        <v>2.4</v>
      </c>
      <c r="O24" s="6">
        <v>0</v>
      </c>
      <c r="P24" s="6">
        <v>0.34</v>
      </c>
      <c r="Q24" s="6">
        <v>10</v>
      </c>
      <c r="R24" s="6"/>
      <c r="S24" s="6"/>
      <c r="T24" s="156"/>
      <c r="U24" s="6"/>
    </row>
    <row r="25" spans="1:21" customFormat="1">
      <c r="A25" s="201" t="s">
        <v>1312</v>
      </c>
      <c r="B25" s="6">
        <v>12.92</v>
      </c>
      <c r="C25" s="6">
        <v>7.13</v>
      </c>
      <c r="D25" s="6">
        <v>20.05</v>
      </c>
      <c r="E25" s="6">
        <v>5.2</v>
      </c>
      <c r="F25" s="152" t="s">
        <v>15</v>
      </c>
      <c r="G25" s="6">
        <v>55.12</v>
      </c>
      <c r="H25" s="6">
        <v>18.22</v>
      </c>
      <c r="I25" s="6">
        <v>6</v>
      </c>
      <c r="J25" s="6">
        <v>0.28000000000000003</v>
      </c>
      <c r="K25" s="6">
        <v>32.69</v>
      </c>
      <c r="L25" s="6">
        <v>8.7799999999999994</v>
      </c>
      <c r="M25" s="6">
        <v>3</v>
      </c>
      <c r="N25" s="6">
        <v>2.4</v>
      </c>
      <c r="O25" s="6">
        <v>0</v>
      </c>
      <c r="P25" s="6">
        <v>0.33</v>
      </c>
      <c r="Q25" s="6">
        <v>10</v>
      </c>
      <c r="R25" s="6"/>
      <c r="S25" s="6"/>
      <c r="T25" s="156"/>
      <c r="U25" s="6"/>
    </row>
    <row r="26" spans="1:21" customFormat="1">
      <c r="A26" s="201" t="s">
        <v>1313</v>
      </c>
      <c r="B26" s="6">
        <v>13.12</v>
      </c>
      <c r="C26" s="6">
        <v>7.17</v>
      </c>
      <c r="D26" s="6">
        <v>20.29</v>
      </c>
      <c r="E26" s="6">
        <v>4.9000000000000004</v>
      </c>
      <c r="F26" s="152" t="s">
        <v>15</v>
      </c>
      <c r="G26" s="6">
        <v>55.12</v>
      </c>
      <c r="H26" s="6">
        <v>18.22</v>
      </c>
      <c r="I26" s="6">
        <v>5.97</v>
      </c>
      <c r="J26" s="6">
        <v>0.13</v>
      </c>
      <c r="K26" s="6">
        <v>42.68</v>
      </c>
      <c r="L26" s="6">
        <v>10.76</v>
      </c>
      <c r="M26" s="6">
        <v>8.74</v>
      </c>
      <c r="N26" s="6">
        <v>2.2000000000000002</v>
      </c>
      <c r="O26" s="6">
        <v>0</v>
      </c>
      <c r="P26" s="6">
        <v>0.34</v>
      </c>
      <c r="Q26" s="6">
        <v>10</v>
      </c>
      <c r="R26" s="6"/>
      <c r="S26" s="6"/>
      <c r="T26" s="156"/>
      <c r="U26" s="6"/>
    </row>
    <row r="27" spans="1:21" customFormat="1">
      <c r="A27" s="201" t="s">
        <v>1314</v>
      </c>
      <c r="B27" s="6">
        <v>13.32</v>
      </c>
      <c r="C27" s="6">
        <v>7.25</v>
      </c>
      <c r="D27" s="6">
        <v>20.56</v>
      </c>
      <c r="E27" s="6">
        <v>5.25</v>
      </c>
      <c r="F27" s="152" t="s">
        <v>15</v>
      </c>
      <c r="G27" s="6">
        <v>54.7</v>
      </c>
      <c r="H27" s="6">
        <v>18.61</v>
      </c>
      <c r="I27" s="6">
        <v>5.99</v>
      </c>
      <c r="J27" s="6">
        <v>0.15</v>
      </c>
      <c r="K27" s="6">
        <v>36.26</v>
      </c>
      <c r="L27" s="6">
        <v>9.09</v>
      </c>
      <c r="M27" s="6">
        <v>4.57</v>
      </c>
      <c r="N27" s="6">
        <v>2.2000000000000002</v>
      </c>
      <c r="O27" s="6">
        <v>0</v>
      </c>
      <c r="P27" s="6">
        <v>0.33</v>
      </c>
      <c r="Q27" s="6">
        <v>10</v>
      </c>
      <c r="R27" s="6"/>
      <c r="S27" s="6"/>
      <c r="T27" s="156"/>
      <c r="U27" s="6"/>
    </row>
    <row r="28" spans="1:21" customFormat="1">
      <c r="A28" s="201" t="s">
        <v>1315</v>
      </c>
      <c r="B28" s="6">
        <v>13.5</v>
      </c>
      <c r="C28" s="6">
        <v>7.32</v>
      </c>
      <c r="D28" s="6">
        <v>20.82</v>
      </c>
      <c r="E28" s="6">
        <v>5.08</v>
      </c>
      <c r="F28" s="152" t="s">
        <v>15</v>
      </c>
      <c r="G28" s="6">
        <v>54.58</v>
      </c>
      <c r="H28" s="6">
        <v>18.61</v>
      </c>
      <c r="I28" s="6">
        <v>5.88</v>
      </c>
      <c r="J28" s="6">
        <v>0.14000000000000001</v>
      </c>
      <c r="K28" s="6">
        <v>37.950000000000003</v>
      </c>
      <c r="L28" s="6">
        <v>8.08</v>
      </c>
      <c r="M28" s="6">
        <v>2.04</v>
      </c>
      <c r="N28" s="6">
        <v>2.2999999999999998</v>
      </c>
      <c r="O28" s="6">
        <v>0</v>
      </c>
      <c r="P28" s="6">
        <v>0.34</v>
      </c>
      <c r="Q28" s="6">
        <v>10</v>
      </c>
      <c r="R28" s="6"/>
      <c r="S28" s="6"/>
      <c r="T28" s="156"/>
      <c r="U28" s="6"/>
    </row>
    <row r="29" spans="1:21" customFormat="1">
      <c r="A29" s="201" t="s">
        <v>1316</v>
      </c>
      <c r="B29" s="6">
        <v>13.85</v>
      </c>
      <c r="C29" s="6">
        <v>7.26</v>
      </c>
      <c r="D29" s="6">
        <v>21.11</v>
      </c>
      <c r="E29" s="6">
        <v>5.15</v>
      </c>
      <c r="F29" s="152" t="s">
        <v>15</v>
      </c>
      <c r="G29" s="6">
        <v>54.58</v>
      </c>
      <c r="H29" s="6">
        <v>18.61</v>
      </c>
      <c r="I29" s="6">
        <v>5.95</v>
      </c>
      <c r="J29" s="6">
        <v>0.11</v>
      </c>
      <c r="K29" s="6">
        <v>35.31</v>
      </c>
      <c r="L29" s="6">
        <v>11.2</v>
      </c>
      <c r="M29" s="6">
        <v>9.9600000000000009</v>
      </c>
      <c r="N29" s="6">
        <v>2.2999999999999998</v>
      </c>
      <c r="O29" s="6">
        <v>0</v>
      </c>
      <c r="P29" s="6">
        <v>0.34</v>
      </c>
      <c r="Q29" s="6">
        <v>10</v>
      </c>
      <c r="R29" s="6"/>
      <c r="S29" s="6"/>
      <c r="T29" s="156"/>
      <c r="U29" s="6"/>
    </row>
    <row r="30" spans="1:21" customFormat="1">
      <c r="A30" s="201" t="s">
        <v>1317</v>
      </c>
      <c r="B30" s="6">
        <v>14.1</v>
      </c>
      <c r="C30" s="6">
        <v>7.34</v>
      </c>
      <c r="D30" s="6">
        <v>21.44</v>
      </c>
      <c r="E30" s="6">
        <v>5.29</v>
      </c>
      <c r="F30" s="152" t="s">
        <v>15</v>
      </c>
      <c r="G30" s="6">
        <v>54.58</v>
      </c>
      <c r="H30" s="6">
        <v>18.61</v>
      </c>
      <c r="I30" s="6">
        <v>5.99</v>
      </c>
      <c r="J30" s="6">
        <v>0.14000000000000001</v>
      </c>
      <c r="K30" s="6">
        <v>38.11</v>
      </c>
      <c r="L30" s="6">
        <v>8.5399999999999991</v>
      </c>
      <c r="M30" s="6">
        <v>3.19</v>
      </c>
      <c r="N30" s="6">
        <v>2.2999999999999998</v>
      </c>
      <c r="O30" s="6">
        <v>0</v>
      </c>
      <c r="P30" s="6">
        <v>0.34</v>
      </c>
      <c r="Q30" s="6">
        <v>10</v>
      </c>
      <c r="R30" s="6"/>
      <c r="S30" s="6"/>
      <c r="T30" s="156"/>
      <c r="U30" s="6"/>
    </row>
    <row r="31" spans="1:21" customFormat="1">
      <c r="A31" s="201" t="s">
        <v>1318</v>
      </c>
      <c r="B31" s="6">
        <v>14.38</v>
      </c>
      <c r="C31" s="6">
        <v>7.35</v>
      </c>
      <c r="D31" s="6">
        <v>21.74</v>
      </c>
      <c r="E31" s="6">
        <v>5.12</v>
      </c>
      <c r="F31" s="152" t="s">
        <v>15</v>
      </c>
      <c r="G31" s="6">
        <v>53.15</v>
      </c>
      <c r="H31" s="6">
        <v>18.739999999999998</v>
      </c>
      <c r="I31" s="6">
        <v>6</v>
      </c>
      <c r="J31" s="6">
        <v>0.05</v>
      </c>
      <c r="K31" s="6">
        <v>81.66</v>
      </c>
      <c r="L31" s="6">
        <v>11.2</v>
      </c>
      <c r="M31" s="6">
        <v>10.01</v>
      </c>
      <c r="N31" s="6">
        <v>2.2999999999999998</v>
      </c>
      <c r="O31" s="6">
        <v>0</v>
      </c>
      <c r="P31" s="6">
        <v>0.33</v>
      </c>
      <c r="Q31" s="6">
        <v>10</v>
      </c>
      <c r="R31" s="6"/>
      <c r="S31" s="6"/>
      <c r="T31" s="156"/>
      <c r="U31" s="6"/>
    </row>
    <row r="32" spans="1:21" customFormat="1">
      <c r="A32" s="201" t="s">
        <v>1319</v>
      </c>
      <c r="B32" s="6">
        <v>14.63</v>
      </c>
      <c r="C32" s="6">
        <v>7.49</v>
      </c>
      <c r="D32" s="6">
        <v>22.12</v>
      </c>
      <c r="E32" s="6">
        <v>5.2</v>
      </c>
      <c r="F32" s="152" t="s">
        <v>15</v>
      </c>
      <c r="G32" s="6">
        <v>52.74</v>
      </c>
      <c r="H32" s="6">
        <v>18.739999999999998</v>
      </c>
      <c r="I32" s="6">
        <v>6.1</v>
      </c>
      <c r="J32" s="6">
        <v>0.25</v>
      </c>
      <c r="K32" s="6">
        <v>38.94</v>
      </c>
      <c r="L32" s="6">
        <v>6.84</v>
      </c>
      <c r="M32" s="6">
        <v>10.01</v>
      </c>
      <c r="N32" s="6">
        <v>3.1</v>
      </c>
      <c r="O32" s="6">
        <v>0</v>
      </c>
      <c r="P32" s="6">
        <v>0.34</v>
      </c>
      <c r="Q32" s="6">
        <v>10</v>
      </c>
      <c r="R32" s="6"/>
      <c r="S32" s="6"/>
      <c r="T32" s="156"/>
      <c r="U32" s="6"/>
    </row>
    <row r="33" spans="1:21" customFormat="1">
      <c r="A33" s="201" t="s">
        <v>1320</v>
      </c>
      <c r="B33" s="6">
        <v>14.86</v>
      </c>
      <c r="C33" s="6">
        <v>7.48</v>
      </c>
      <c r="D33" s="6">
        <v>22.35</v>
      </c>
      <c r="E33" s="6">
        <v>5.01</v>
      </c>
      <c r="F33" s="152" t="s">
        <v>15</v>
      </c>
      <c r="G33" s="6">
        <v>52.74</v>
      </c>
      <c r="H33" s="6">
        <v>18.739999999999998</v>
      </c>
      <c r="I33" s="6">
        <v>6.12</v>
      </c>
      <c r="J33" s="6">
        <v>0.2</v>
      </c>
      <c r="K33" s="6">
        <v>34.130000000000003</v>
      </c>
      <c r="L33" s="6">
        <v>10.15</v>
      </c>
      <c r="M33" s="6">
        <v>7.16</v>
      </c>
      <c r="N33" s="6">
        <v>6.5</v>
      </c>
      <c r="O33" s="6">
        <v>0</v>
      </c>
      <c r="P33" s="6">
        <v>0.34</v>
      </c>
      <c r="Q33" s="6">
        <v>10</v>
      </c>
      <c r="R33" s="6"/>
      <c r="S33" s="6"/>
      <c r="T33" s="156"/>
      <c r="U33" s="6"/>
    </row>
    <row r="34" spans="1:21" customFormat="1">
      <c r="A34" s="201" t="s">
        <v>1321</v>
      </c>
      <c r="B34" s="6">
        <v>15.14</v>
      </c>
      <c r="C34" s="6">
        <v>7.57</v>
      </c>
      <c r="D34" s="6">
        <v>22.71</v>
      </c>
      <c r="E34" s="6">
        <v>5.15</v>
      </c>
      <c r="F34" s="152" t="s">
        <v>15</v>
      </c>
      <c r="G34" s="6">
        <v>52.74</v>
      </c>
      <c r="H34" s="6">
        <v>18.739999999999998</v>
      </c>
      <c r="I34" s="6">
        <v>6.24</v>
      </c>
      <c r="J34" s="6">
        <v>0.18</v>
      </c>
      <c r="K34" s="6">
        <v>27.88</v>
      </c>
      <c r="L34" s="6">
        <v>6.99</v>
      </c>
      <c r="M34" s="6">
        <v>7.16</v>
      </c>
      <c r="N34" s="6">
        <v>13.5</v>
      </c>
      <c r="O34" s="6">
        <v>0</v>
      </c>
      <c r="P34" s="6">
        <v>0.34</v>
      </c>
      <c r="Q34" s="6">
        <v>10</v>
      </c>
      <c r="R34" s="6"/>
      <c r="S34" s="6"/>
      <c r="T34" s="156"/>
      <c r="U34" s="6"/>
    </row>
    <row r="35" spans="1:21" customFormat="1">
      <c r="A35" s="201" t="s">
        <v>1322</v>
      </c>
      <c r="B35" s="6">
        <v>15.35</v>
      </c>
      <c r="C35" s="6">
        <v>7.7</v>
      </c>
      <c r="D35" s="6">
        <v>23.04</v>
      </c>
      <c r="E35" s="6">
        <v>5.13</v>
      </c>
      <c r="F35" s="152" t="s">
        <v>15</v>
      </c>
      <c r="G35" s="6">
        <v>52</v>
      </c>
      <c r="H35" s="6">
        <v>16.38</v>
      </c>
      <c r="I35" s="6">
        <v>6.23</v>
      </c>
      <c r="J35" s="6">
        <v>0.16</v>
      </c>
      <c r="K35" s="6">
        <v>19.98</v>
      </c>
      <c r="L35" s="6">
        <v>12.52</v>
      </c>
      <c r="M35" s="6">
        <v>12.73</v>
      </c>
      <c r="N35" s="6">
        <v>21.8</v>
      </c>
      <c r="O35" s="6">
        <v>0</v>
      </c>
      <c r="P35" s="6">
        <v>0.35</v>
      </c>
      <c r="Q35" s="6">
        <v>10</v>
      </c>
      <c r="R35" s="6"/>
      <c r="S35" s="6"/>
      <c r="T35" s="156"/>
      <c r="U35" s="6"/>
    </row>
    <row r="36" spans="1:21" customFormat="1">
      <c r="A36" s="201" t="s">
        <v>1323</v>
      </c>
      <c r="B36" s="6">
        <v>15.67</v>
      </c>
      <c r="C36" s="6">
        <v>7.62</v>
      </c>
      <c r="D36" s="6">
        <v>23.29</v>
      </c>
      <c r="E36" s="6">
        <v>5.37</v>
      </c>
      <c r="F36" s="152" t="s">
        <v>15</v>
      </c>
      <c r="G36" s="6">
        <v>51.79</v>
      </c>
      <c r="H36" s="6">
        <v>16.38</v>
      </c>
      <c r="I36" s="6">
        <v>6.35</v>
      </c>
      <c r="J36" s="6">
        <v>0.33</v>
      </c>
      <c r="K36" s="6">
        <v>24.26</v>
      </c>
      <c r="L36" s="6">
        <v>11.61</v>
      </c>
      <c r="M36" s="6">
        <v>10.71</v>
      </c>
      <c r="N36" s="6">
        <v>36.700000000000003</v>
      </c>
      <c r="O36" s="6">
        <v>0</v>
      </c>
      <c r="P36" s="6">
        <v>0.35</v>
      </c>
      <c r="Q36" s="6">
        <v>10</v>
      </c>
      <c r="R36" s="6"/>
      <c r="S36" s="6"/>
      <c r="T36" s="156"/>
      <c r="U36" s="6"/>
    </row>
    <row r="37" spans="1:21" customFormat="1">
      <c r="A37" s="201" t="s">
        <v>1324</v>
      </c>
      <c r="B37" s="6">
        <v>15.73</v>
      </c>
      <c r="C37" s="6">
        <v>7.69</v>
      </c>
      <c r="D37" s="6">
        <v>23.42</v>
      </c>
      <c r="E37" s="6">
        <v>5.36</v>
      </c>
      <c r="F37" s="152" t="s">
        <v>15</v>
      </c>
      <c r="G37" s="6">
        <v>51.79</v>
      </c>
      <c r="H37" s="6">
        <v>16.38</v>
      </c>
      <c r="I37" s="6">
        <v>6.32</v>
      </c>
      <c r="J37" s="6">
        <v>0.41</v>
      </c>
      <c r="K37" s="6">
        <v>28.72</v>
      </c>
      <c r="L37" s="6">
        <v>8.5299999999999994</v>
      </c>
      <c r="M37" s="6">
        <v>1.86</v>
      </c>
      <c r="N37" s="6">
        <v>55.7</v>
      </c>
      <c r="O37" s="6">
        <v>0</v>
      </c>
      <c r="P37" s="6">
        <v>0.36</v>
      </c>
      <c r="Q37" s="6">
        <v>10</v>
      </c>
      <c r="R37" s="6"/>
      <c r="S37" s="6"/>
      <c r="T37" s="156"/>
      <c r="U37" s="6"/>
    </row>
    <row r="38" spans="1:21" customFormat="1">
      <c r="A38" s="201" t="s">
        <v>1325</v>
      </c>
      <c r="B38" s="6">
        <v>15.8</v>
      </c>
      <c r="C38" s="6">
        <v>7.8</v>
      </c>
      <c r="D38" s="6">
        <v>23.61</v>
      </c>
      <c r="E38" s="6">
        <v>5.16</v>
      </c>
      <c r="F38" s="152" t="s">
        <v>15</v>
      </c>
      <c r="G38" s="6">
        <v>51.79</v>
      </c>
      <c r="H38" s="6">
        <v>16.38</v>
      </c>
      <c r="I38" s="6">
        <v>6.33</v>
      </c>
      <c r="J38" s="6">
        <v>0.39</v>
      </c>
      <c r="K38" s="6">
        <v>3.79</v>
      </c>
      <c r="L38" s="6">
        <v>17.25</v>
      </c>
      <c r="M38" s="6">
        <v>23.5</v>
      </c>
      <c r="N38" s="6">
        <v>67.599999999999994</v>
      </c>
      <c r="O38" s="6">
        <v>0</v>
      </c>
      <c r="P38" s="6">
        <v>0.35</v>
      </c>
      <c r="Q38" s="6">
        <v>10</v>
      </c>
      <c r="R38" s="6"/>
      <c r="S38" s="6"/>
      <c r="T38" s="156"/>
      <c r="U38" s="6"/>
    </row>
    <row r="39" spans="1:21" customFormat="1">
      <c r="A39" s="201" t="s">
        <v>1326</v>
      </c>
      <c r="B39" s="6">
        <v>15.91</v>
      </c>
      <c r="C39" s="6">
        <v>7.93</v>
      </c>
      <c r="D39" s="6">
        <v>23.84</v>
      </c>
      <c r="E39" s="6">
        <v>5.27</v>
      </c>
      <c r="F39" s="152" t="s">
        <v>15</v>
      </c>
      <c r="G39" s="6">
        <v>54.29</v>
      </c>
      <c r="H39" s="6">
        <v>22.25</v>
      </c>
      <c r="I39" s="6">
        <v>6.44</v>
      </c>
      <c r="J39" s="6">
        <v>0.4</v>
      </c>
      <c r="K39" s="6">
        <v>15.41</v>
      </c>
      <c r="L39" s="6">
        <v>13.08</v>
      </c>
      <c r="M39" s="6">
        <v>12.16</v>
      </c>
      <c r="N39" s="6">
        <v>101.2</v>
      </c>
      <c r="O39" s="6">
        <v>0</v>
      </c>
      <c r="P39" s="6">
        <v>0.35</v>
      </c>
      <c r="Q39" s="6">
        <v>10</v>
      </c>
      <c r="R39" s="6"/>
      <c r="S39" s="6"/>
      <c r="T39" s="156"/>
      <c r="U39" s="6"/>
    </row>
    <row r="40" spans="1:21" customFormat="1">
      <c r="A40" s="201" t="s">
        <v>1327</v>
      </c>
      <c r="B40" s="6">
        <v>15.97</v>
      </c>
      <c r="C40" s="6">
        <v>7.93</v>
      </c>
      <c r="D40" s="6">
        <v>23.89</v>
      </c>
      <c r="E40" s="6">
        <v>5.1100000000000003</v>
      </c>
      <c r="F40" s="152" t="s">
        <v>15</v>
      </c>
      <c r="G40" s="6">
        <v>55</v>
      </c>
      <c r="H40" s="6">
        <v>22.25</v>
      </c>
      <c r="I40" s="6">
        <v>6.45</v>
      </c>
      <c r="J40" s="6">
        <v>0.28999999999999998</v>
      </c>
      <c r="K40" s="6">
        <v>50.35</v>
      </c>
      <c r="L40" s="6">
        <v>11.68</v>
      </c>
      <c r="M40" s="6">
        <v>8.5399999999999991</v>
      </c>
      <c r="N40" s="6">
        <v>111.6</v>
      </c>
      <c r="O40" s="6">
        <v>0</v>
      </c>
      <c r="P40" s="6">
        <v>0.32</v>
      </c>
      <c r="Q40" s="6">
        <v>10</v>
      </c>
      <c r="R40" s="6"/>
      <c r="S40" s="6"/>
      <c r="T40" s="156"/>
      <c r="U40" s="6"/>
    </row>
    <row r="41" spans="1:21" customFormat="1">
      <c r="A41" s="201" t="s">
        <v>1328</v>
      </c>
      <c r="B41" s="6">
        <v>15.62</v>
      </c>
      <c r="C41" s="6">
        <v>8.18</v>
      </c>
      <c r="D41" s="6">
        <v>23.8</v>
      </c>
      <c r="E41" s="6">
        <v>5.14</v>
      </c>
      <c r="F41" s="152" t="s">
        <v>15</v>
      </c>
      <c r="G41" s="6">
        <v>55</v>
      </c>
      <c r="H41" s="6">
        <v>22.25</v>
      </c>
      <c r="I41" s="6">
        <v>6.51</v>
      </c>
      <c r="J41" s="6">
        <v>0.49</v>
      </c>
      <c r="K41" s="6">
        <v>51.89</v>
      </c>
      <c r="L41" s="6">
        <v>9.39</v>
      </c>
      <c r="M41" s="6">
        <v>1.03</v>
      </c>
      <c r="N41" s="6">
        <v>188</v>
      </c>
      <c r="O41" s="6">
        <v>0</v>
      </c>
      <c r="P41" s="6">
        <v>0.32</v>
      </c>
      <c r="Q41" s="6">
        <v>10</v>
      </c>
      <c r="R41" s="6"/>
      <c r="S41" s="6"/>
      <c r="T41" s="156"/>
      <c r="U41" s="6"/>
    </row>
    <row r="42" spans="1:21" customFormat="1">
      <c r="A42" s="201" t="s">
        <v>1329</v>
      </c>
      <c r="B42" s="6">
        <v>15.29</v>
      </c>
      <c r="C42" s="6">
        <v>8.32</v>
      </c>
      <c r="D42" s="6">
        <v>23.62</v>
      </c>
      <c r="E42" s="6">
        <v>4.8499999999999996</v>
      </c>
      <c r="F42" s="152" t="s">
        <v>15</v>
      </c>
      <c r="G42" s="6">
        <v>55</v>
      </c>
      <c r="H42" s="6">
        <v>22.25</v>
      </c>
      <c r="I42" s="6">
        <v>6.41</v>
      </c>
      <c r="J42" s="6">
        <v>0.38</v>
      </c>
      <c r="K42" s="6">
        <v>49.42</v>
      </c>
      <c r="L42" s="6">
        <v>10.050000000000001</v>
      </c>
      <c r="M42" s="6">
        <v>1.39</v>
      </c>
      <c r="N42" s="6">
        <v>210.1</v>
      </c>
      <c r="O42" s="6">
        <v>0</v>
      </c>
      <c r="P42" s="6">
        <v>0.31</v>
      </c>
      <c r="Q42" s="6">
        <v>10</v>
      </c>
      <c r="R42" s="6"/>
      <c r="S42" s="6"/>
      <c r="T42" s="156"/>
      <c r="U42" s="6"/>
    </row>
    <row r="43" spans="1:21" customFormat="1">
      <c r="A43" s="201" t="s">
        <v>1330</v>
      </c>
      <c r="B43" s="6">
        <v>14.98</v>
      </c>
      <c r="C43" s="6">
        <v>8.59</v>
      </c>
      <c r="D43" s="6">
        <v>23.57</v>
      </c>
      <c r="E43" s="6">
        <v>4.8499999999999996</v>
      </c>
      <c r="F43" s="152" t="s">
        <v>15</v>
      </c>
      <c r="G43" s="6">
        <v>53.87</v>
      </c>
      <c r="H43" s="6">
        <v>20.55</v>
      </c>
      <c r="I43" s="6">
        <v>6.34</v>
      </c>
      <c r="J43" s="6">
        <v>0.67</v>
      </c>
      <c r="K43" s="6">
        <v>34.520000000000003</v>
      </c>
      <c r="L43" s="6">
        <v>9.9499999999999993</v>
      </c>
      <c r="M43" s="6">
        <v>0.14000000000000001</v>
      </c>
      <c r="N43" s="6">
        <v>279.39999999999998</v>
      </c>
      <c r="O43" s="6">
        <v>0</v>
      </c>
      <c r="P43" s="6">
        <v>0.32</v>
      </c>
      <c r="Q43" s="6">
        <v>10</v>
      </c>
      <c r="R43" s="6"/>
      <c r="S43" s="6"/>
      <c r="T43" s="156"/>
      <c r="U43" s="6"/>
    </row>
    <row r="44" spans="1:21" customFormat="1">
      <c r="A44" s="201" t="s">
        <v>1331</v>
      </c>
      <c r="B44" s="6">
        <v>14.92</v>
      </c>
      <c r="C44" s="6">
        <v>8.7799999999999994</v>
      </c>
      <c r="D44" s="6">
        <v>23.7</v>
      </c>
      <c r="E44" s="6">
        <v>4.62</v>
      </c>
      <c r="F44" s="152" t="s">
        <v>15</v>
      </c>
      <c r="G44" s="6">
        <v>53.55</v>
      </c>
      <c r="H44" s="6">
        <v>20.55</v>
      </c>
      <c r="I44" s="6">
        <v>6.37</v>
      </c>
      <c r="J44" s="6">
        <v>0.51</v>
      </c>
      <c r="K44" s="6">
        <v>35.83</v>
      </c>
      <c r="L44" s="6">
        <v>10.41</v>
      </c>
      <c r="M44" s="6">
        <v>1.72</v>
      </c>
      <c r="N44" s="6">
        <v>262.89999999999998</v>
      </c>
      <c r="O44" s="6">
        <v>0</v>
      </c>
      <c r="P44" s="6">
        <v>0.32</v>
      </c>
      <c r="Q44" s="6">
        <v>10</v>
      </c>
      <c r="R44" s="6"/>
      <c r="S44" s="6"/>
      <c r="T44" s="156"/>
      <c r="U44" s="6"/>
    </row>
    <row r="45" spans="1:21" customFormat="1">
      <c r="A45" s="201" t="s">
        <v>1332</v>
      </c>
      <c r="B45" s="6">
        <v>14.98</v>
      </c>
      <c r="C45" s="6">
        <v>9.07</v>
      </c>
      <c r="D45" s="6">
        <v>24.05</v>
      </c>
      <c r="E45" s="6">
        <v>5.01</v>
      </c>
      <c r="F45" s="152" t="s">
        <v>15</v>
      </c>
      <c r="G45" s="6">
        <v>53.55</v>
      </c>
      <c r="H45" s="6">
        <v>20.55</v>
      </c>
      <c r="I45" s="6">
        <v>6.32</v>
      </c>
      <c r="J45" s="6">
        <v>0.47</v>
      </c>
      <c r="K45" s="6">
        <v>38.299999999999997</v>
      </c>
      <c r="L45" s="6">
        <v>11.68</v>
      </c>
      <c r="M45" s="6">
        <v>3.2</v>
      </c>
      <c r="N45" s="6">
        <v>338.7</v>
      </c>
      <c r="O45" s="6">
        <v>0</v>
      </c>
      <c r="P45" s="6">
        <v>0.32</v>
      </c>
      <c r="Q45" s="6">
        <v>10</v>
      </c>
      <c r="R45" s="6"/>
      <c r="S45" s="6"/>
      <c r="T45" s="156"/>
      <c r="U45" s="6"/>
    </row>
    <row r="46" spans="1:21" customFormat="1">
      <c r="A46" s="201" t="s">
        <v>1333</v>
      </c>
      <c r="B46" s="6">
        <v>15.06</v>
      </c>
      <c r="C46" s="6">
        <v>9.15</v>
      </c>
      <c r="D46" s="6">
        <v>24.2</v>
      </c>
      <c r="E46" s="6">
        <v>4.8099999999999996</v>
      </c>
      <c r="F46" s="152" t="s">
        <v>15</v>
      </c>
      <c r="G46" s="6">
        <v>53.55</v>
      </c>
      <c r="H46" s="6">
        <v>20.55</v>
      </c>
      <c r="I46" s="6">
        <v>6.24</v>
      </c>
      <c r="J46" s="6">
        <v>0.31</v>
      </c>
      <c r="K46" s="6">
        <v>61.33</v>
      </c>
      <c r="L46" s="6">
        <v>13.33</v>
      </c>
      <c r="M46" s="6">
        <v>5.65</v>
      </c>
      <c r="N46" s="6">
        <v>412.2</v>
      </c>
      <c r="O46" s="6">
        <v>0</v>
      </c>
      <c r="P46" s="6">
        <v>0.32</v>
      </c>
      <c r="Q46" s="6">
        <v>10</v>
      </c>
      <c r="R46" s="6"/>
      <c r="S46" s="6"/>
      <c r="T46" s="156"/>
      <c r="U46" s="6"/>
    </row>
    <row r="47" spans="1:21" customFormat="1">
      <c r="A47" s="201" t="s">
        <v>1334</v>
      </c>
      <c r="B47" s="6">
        <v>15.08</v>
      </c>
      <c r="C47" s="6">
        <v>9.2200000000000006</v>
      </c>
      <c r="D47" s="6">
        <v>24.3</v>
      </c>
      <c r="E47" s="6">
        <v>4.8899999999999997</v>
      </c>
      <c r="F47" s="152" t="s">
        <v>15</v>
      </c>
      <c r="G47" s="6">
        <v>54.87</v>
      </c>
      <c r="H47" s="6">
        <v>23.2</v>
      </c>
      <c r="I47" s="6">
        <v>6.16</v>
      </c>
      <c r="J47" s="6">
        <v>0.32</v>
      </c>
      <c r="K47" s="6">
        <v>45.78</v>
      </c>
      <c r="L47" s="6">
        <v>14.68</v>
      </c>
      <c r="M47" s="6">
        <v>8.36</v>
      </c>
      <c r="N47" s="6">
        <v>439.7</v>
      </c>
      <c r="O47" s="6">
        <v>0</v>
      </c>
      <c r="P47" s="6">
        <v>0.32</v>
      </c>
      <c r="Q47" s="6">
        <v>10</v>
      </c>
      <c r="R47" s="6"/>
      <c r="S47" s="6"/>
      <c r="T47" s="156"/>
      <c r="U47" s="6"/>
    </row>
    <row r="48" spans="1:21" customFormat="1">
      <c r="A48" s="201" t="s">
        <v>1335</v>
      </c>
      <c r="B48" s="6">
        <v>14.97</v>
      </c>
      <c r="C48" s="6">
        <v>9.1999999999999993</v>
      </c>
      <c r="D48" s="6">
        <v>24.17</v>
      </c>
      <c r="E48" s="6">
        <v>4.9800000000000004</v>
      </c>
      <c r="F48" s="152" t="s">
        <v>15</v>
      </c>
      <c r="G48" s="6">
        <v>55.24</v>
      </c>
      <c r="H48" s="6">
        <v>23.2</v>
      </c>
      <c r="I48" s="6">
        <v>6.11</v>
      </c>
      <c r="J48" s="6">
        <v>0.3</v>
      </c>
      <c r="K48" s="6">
        <v>48.87</v>
      </c>
      <c r="L48" s="6">
        <v>12.68</v>
      </c>
      <c r="M48" s="6">
        <v>2.92</v>
      </c>
      <c r="N48" s="6">
        <v>457</v>
      </c>
      <c r="O48" s="6">
        <v>0</v>
      </c>
      <c r="P48" s="6">
        <v>0.32</v>
      </c>
      <c r="Q48" s="6">
        <v>10</v>
      </c>
      <c r="R48" s="6"/>
      <c r="S48" s="6"/>
      <c r="T48" s="156"/>
      <c r="U48" s="6"/>
    </row>
    <row r="49" spans="1:21" customFormat="1">
      <c r="A49" s="201" t="s">
        <v>1336</v>
      </c>
      <c r="B49" s="6">
        <v>14.59</v>
      </c>
      <c r="C49" s="6">
        <v>9.16</v>
      </c>
      <c r="D49" s="6">
        <v>23.74</v>
      </c>
      <c r="E49" s="6">
        <v>5.51</v>
      </c>
      <c r="F49" s="152" t="s">
        <v>15</v>
      </c>
      <c r="G49" s="6">
        <v>55.24</v>
      </c>
      <c r="H49" s="6">
        <v>23.2</v>
      </c>
      <c r="I49" s="6">
        <v>6.08</v>
      </c>
      <c r="J49" s="6">
        <v>0.3</v>
      </c>
      <c r="K49" s="6">
        <v>62.33</v>
      </c>
      <c r="L49" s="6">
        <v>15.32</v>
      </c>
      <c r="M49" s="6">
        <v>9.84</v>
      </c>
      <c r="N49" s="6">
        <v>449.1</v>
      </c>
      <c r="O49" s="6">
        <v>0</v>
      </c>
      <c r="P49" s="6">
        <v>0.32</v>
      </c>
      <c r="Q49" s="6">
        <v>10</v>
      </c>
      <c r="R49" s="6"/>
      <c r="S49" s="6"/>
      <c r="T49" s="156"/>
      <c r="U49" s="6"/>
    </row>
    <row r="50" spans="1:21" customFormat="1">
      <c r="A50" s="201" t="s">
        <v>1337</v>
      </c>
      <c r="B50" s="6">
        <v>13.95</v>
      </c>
      <c r="C50" s="6">
        <v>9.11</v>
      </c>
      <c r="D50" s="6">
        <v>23.06</v>
      </c>
      <c r="E50" s="6">
        <v>6.57</v>
      </c>
      <c r="F50" s="152" t="s">
        <v>15</v>
      </c>
      <c r="G50" s="6">
        <v>55.24</v>
      </c>
      <c r="H50" s="6">
        <v>23.2</v>
      </c>
      <c r="I50" s="6">
        <v>6.04</v>
      </c>
      <c r="J50" s="6">
        <v>0.27</v>
      </c>
      <c r="K50" s="6">
        <v>87</v>
      </c>
      <c r="L50" s="6">
        <v>16.34</v>
      </c>
      <c r="M50" s="6">
        <v>10.87</v>
      </c>
      <c r="N50" s="6">
        <v>517.1</v>
      </c>
      <c r="O50" s="6">
        <v>0</v>
      </c>
      <c r="P50" s="6">
        <v>0.33</v>
      </c>
      <c r="Q50" s="6">
        <v>10</v>
      </c>
      <c r="R50" s="6"/>
      <c r="S50" s="6"/>
      <c r="T50" s="156"/>
      <c r="U50" s="6"/>
    </row>
    <row r="51" spans="1:21" customFormat="1">
      <c r="A51" s="201" t="s">
        <v>1338</v>
      </c>
      <c r="B51" s="6">
        <v>13.16</v>
      </c>
      <c r="C51" s="6">
        <v>9.1300000000000008</v>
      </c>
      <c r="D51" s="6">
        <v>22.29</v>
      </c>
      <c r="E51" s="6">
        <v>6.45</v>
      </c>
      <c r="F51" s="152" t="s">
        <v>15</v>
      </c>
      <c r="G51" s="6">
        <v>58.33</v>
      </c>
      <c r="H51" s="6">
        <v>22.04</v>
      </c>
      <c r="I51" s="6">
        <v>6</v>
      </c>
      <c r="J51" s="6">
        <v>0.28000000000000003</v>
      </c>
      <c r="K51" s="6">
        <v>63.57</v>
      </c>
      <c r="L51" s="6">
        <v>16.64</v>
      </c>
      <c r="M51" s="6">
        <v>10.97</v>
      </c>
      <c r="N51" s="6">
        <v>542.1</v>
      </c>
      <c r="O51" s="6">
        <v>0</v>
      </c>
      <c r="P51" s="6">
        <v>0.34</v>
      </c>
      <c r="Q51" s="6">
        <v>10</v>
      </c>
      <c r="R51" s="6"/>
      <c r="S51" s="6"/>
      <c r="T51" s="156"/>
      <c r="U51" s="6"/>
    </row>
    <row r="52" spans="1:21" customFormat="1">
      <c r="A52" s="201" t="s">
        <v>1339</v>
      </c>
      <c r="B52" s="6">
        <v>12.43</v>
      </c>
      <c r="C52" s="6">
        <v>9.0399999999999991</v>
      </c>
      <c r="D52" s="6">
        <v>21.46</v>
      </c>
      <c r="E52" s="6">
        <v>6.54</v>
      </c>
      <c r="F52" s="152" t="s">
        <v>15</v>
      </c>
      <c r="G52" s="6">
        <v>59.21</v>
      </c>
      <c r="H52" s="6">
        <v>22.04</v>
      </c>
      <c r="I52" s="6">
        <v>6</v>
      </c>
      <c r="J52" s="6">
        <v>0.34</v>
      </c>
      <c r="K52" s="6">
        <v>50.86</v>
      </c>
      <c r="L52" s="6">
        <v>15.11</v>
      </c>
      <c r="M52" s="6">
        <v>7.79</v>
      </c>
      <c r="N52" s="6">
        <v>512.1</v>
      </c>
      <c r="O52" s="6">
        <v>0</v>
      </c>
      <c r="P52" s="6">
        <v>0.32</v>
      </c>
      <c r="Q52" s="6">
        <v>10</v>
      </c>
      <c r="R52" s="6"/>
      <c r="S52" s="6"/>
      <c r="T52" s="156"/>
      <c r="U52" s="6"/>
    </row>
    <row r="53" spans="1:21" customFormat="1">
      <c r="A53" s="201" t="s">
        <v>1340</v>
      </c>
      <c r="B53" s="6">
        <v>11.58</v>
      </c>
      <c r="C53" s="6">
        <v>8.92</v>
      </c>
      <c r="D53" s="6">
        <v>20.5</v>
      </c>
      <c r="E53" s="6">
        <v>6.43</v>
      </c>
      <c r="F53" s="152" t="s">
        <v>15</v>
      </c>
      <c r="G53" s="6">
        <v>59.21</v>
      </c>
      <c r="H53" s="6">
        <v>22.04</v>
      </c>
      <c r="I53" s="6">
        <v>6.11</v>
      </c>
      <c r="J53" s="6">
        <v>0.35</v>
      </c>
      <c r="K53" s="6">
        <v>40.97</v>
      </c>
      <c r="L53" s="6">
        <v>14.43</v>
      </c>
      <c r="M53" s="6">
        <v>8.93</v>
      </c>
      <c r="N53" s="6">
        <v>389.5</v>
      </c>
      <c r="O53" s="6">
        <v>0</v>
      </c>
      <c r="P53" s="6">
        <v>0.33</v>
      </c>
      <c r="Q53" s="6">
        <v>10</v>
      </c>
      <c r="R53" s="6"/>
      <c r="S53" s="6"/>
      <c r="T53" s="156"/>
      <c r="U53" s="6"/>
    </row>
    <row r="54" spans="1:21" customFormat="1">
      <c r="A54" s="201" t="s">
        <v>1341</v>
      </c>
      <c r="B54" s="6">
        <v>10.7</v>
      </c>
      <c r="C54" s="6">
        <v>8.91</v>
      </c>
      <c r="D54" s="6">
        <v>19.600000000000001</v>
      </c>
      <c r="E54" s="6">
        <v>6.44</v>
      </c>
      <c r="F54" s="152" t="s">
        <v>15</v>
      </c>
      <c r="G54" s="6">
        <v>59.21</v>
      </c>
      <c r="H54" s="6">
        <v>22.04</v>
      </c>
      <c r="I54" s="6">
        <v>6.19</v>
      </c>
      <c r="J54" s="6">
        <v>0.37</v>
      </c>
      <c r="K54" s="6">
        <v>44.37</v>
      </c>
      <c r="L54" s="6">
        <v>14.11</v>
      </c>
      <c r="M54" s="6">
        <v>4.4400000000000004</v>
      </c>
      <c r="N54" s="6">
        <v>543.70000000000005</v>
      </c>
      <c r="O54" s="6">
        <v>0</v>
      </c>
      <c r="P54" s="6">
        <v>0.33</v>
      </c>
      <c r="Q54" s="6">
        <v>10</v>
      </c>
      <c r="R54" s="6"/>
      <c r="S54" s="6"/>
      <c r="T54" s="156"/>
      <c r="U54" s="6"/>
    </row>
    <row r="55" spans="1:21" customFormat="1">
      <c r="A55" s="201" t="s">
        <v>1342</v>
      </c>
      <c r="B55" s="6">
        <v>9.7100000000000009</v>
      </c>
      <c r="C55" s="6">
        <v>8.92</v>
      </c>
      <c r="D55" s="6">
        <v>18.63</v>
      </c>
      <c r="E55" s="6">
        <v>6.4</v>
      </c>
      <c r="F55" s="152" t="s">
        <v>15</v>
      </c>
      <c r="G55" s="6">
        <v>56.41</v>
      </c>
      <c r="H55" s="6">
        <v>20.16</v>
      </c>
      <c r="I55" s="6">
        <v>6.17</v>
      </c>
      <c r="J55" s="6">
        <v>0.27</v>
      </c>
      <c r="K55" s="6">
        <v>84.92</v>
      </c>
      <c r="L55" s="6">
        <v>15.09</v>
      </c>
      <c r="M55" s="6">
        <v>8.6</v>
      </c>
      <c r="N55" s="6">
        <v>477.2</v>
      </c>
      <c r="O55" s="6">
        <v>0</v>
      </c>
      <c r="P55" s="6">
        <v>0.34</v>
      </c>
      <c r="Q55" s="6">
        <v>10</v>
      </c>
      <c r="R55" s="6"/>
      <c r="S55" s="6"/>
      <c r="T55" s="156"/>
      <c r="U55" s="6"/>
    </row>
    <row r="56" spans="1:21" customFormat="1">
      <c r="A56" s="201" t="s">
        <v>1343</v>
      </c>
      <c r="B56" s="6">
        <v>8.69</v>
      </c>
      <c r="C56" s="6">
        <v>8.8800000000000008</v>
      </c>
      <c r="D56" s="6">
        <v>17.57</v>
      </c>
      <c r="E56" s="6">
        <v>6.2</v>
      </c>
      <c r="F56" s="152" t="s">
        <v>15</v>
      </c>
      <c r="G56" s="6">
        <v>55.61</v>
      </c>
      <c r="H56" s="6">
        <v>20.16</v>
      </c>
      <c r="I56" s="6">
        <v>6.12</v>
      </c>
      <c r="J56" s="6">
        <v>0.27</v>
      </c>
      <c r="K56" s="6">
        <v>73.14</v>
      </c>
      <c r="L56" s="6">
        <v>15.48</v>
      </c>
      <c r="M56" s="6">
        <v>8.58</v>
      </c>
      <c r="N56" s="6">
        <v>518.70000000000005</v>
      </c>
      <c r="O56" s="6">
        <v>0</v>
      </c>
      <c r="P56" s="6">
        <v>0.32</v>
      </c>
      <c r="Q56" s="6">
        <v>10</v>
      </c>
      <c r="R56" s="6"/>
      <c r="S56" s="6"/>
      <c r="T56" s="156"/>
      <c r="U56" s="6"/>
    </row>
    <row r="57" spans="1:21" customFormat="1">
      <c r="A57" s="201" t="s">
        <v>1344</v>
      </c>
      <c r="B57" s="6">
        <v>7.73</v>
      </c>
      <c r="C57" s="6">
        <v>8.7200000000000006</v>
      </c>
      <c r="D57" s="6">
        <v>16.45</v>
      </c>
      <c r="E57" s="6">
        <v>6.42</v>
      </c>
      <c r="F57" s="152" t="s">
        <v>15</v>
      </c>
      <c r="G57" s="6">
        <v>55.61</v>
      </c>
      <c r="H57" s="6">
        <v>20.16</v>
      </c>
      <c r="I57" s="6">
        <v>6.04</v>
      </c>
      <c r="J57" s="6">
        <v>0.21</v>
      </c>
      <c r="K57" s="6">
        <v>125.16</v>
      </c>
      <c r="L57" s="6">
        <v>17.059999999999999</v>
      </c>
      <c r="M57" s="6">
        <v>15.8</v>
      </c>
      <c r="N57" s="6">
        <v>384.5</v>
      </c>
      <c r="O57" s="6">
        <v>0</v>
      </c>
      <c r="P57" s="6">
        <v>0.33</v>
      </c>
      <c r="Q57" s="6">
        <v>10</v>
      </c>
      <c r="R57" s="6"/>
      <c r="S57" s="6"/>
      <c r="T57" s="156"/>
      <c r="U57" s="6"/>
    </row>
    <row r="58" spans="1:21" customFormat="1">
      <c r="A58" s="201" t="s">
        <v>1345</v>
      </c>
      <c r="B58" s="6">
        <v>6.73</v>
      </c>
      <c r="C58" s="6">
        <v>8.64</v>
      </c>
      <c r="D58" s="6">
        <v>15.36</v>
      </c>
      <c r="E58" s="6">
        <v>6.41</v>
      </c>
      <c r="F58" s="152" t="s">
        <v>15</v>
      </c>
      <c r="G58" s="6">
        <v>55.61</v>
      </c>
      <c r="H58" s="6">
        <v>20.16</v>
      </c>
      <c r="I58" s="6">
        <v>6.03</v>
      </c>
      <c r="J58" s="6">
        <v>0.33</v>
      </c>
      <c r="K58" s="6">
        <v>157.58000000000001</v>
      </c>
      <c r="L58" s="6">
        <v>19.809999999999999</v>
      </c>
      <c r="M58" s="6">
        <v>18.46</v>
      </c>
      <c r="N58" s="6">
        <v>570</v>
      </c>
      <c r="O58" s="6">
        <v>0</v>
      </c>
      <c r="P58" s="6">
        <v>0.32</v>
      </c>
      <c r="Q58" s="6">
        <v>10</v>
      </c>
      <c r="R58" s="6"/>
      <c r="S58" s="6"/>
      <c r="T58" s="156"/>
      <c r="U58" s="6"/>
    </row>
    <row r="59" spans="1:21" customFormat="1">
      <c r="A59" s="201" t="s">
        <v>1346</v>
      </c>
      <c r="B59" s="6">
        <v>5.82</v>
      </c>
      <c r="C59" s="6">
        <v>8.57</v>
      </c>
      <c r="D59" s="6">
        <v>14.39</v>
      </c>
      <c r="E59" s="6">
        <v>5.63</v>
      </c>
      <c r="F59" s="152" t="s">
        <v>15</v>
      </c>
      <c r="G59" s="6">
        <v>52.36</v>
      </c>
      <c r="H59" s="6">
        <v>20.34</v>
      </c>
      <c r="I59" s="6">
        <v>5.96</v>
      </c>
      <c r="J59" s="6">
        <v>0.35</v>
      </c>
      <c r="K59" s="6">
        <v>35.92</v>
      </c>
      <c r="L59" s="6">
        <v>17.5</v>
      </c>
      <c r="M59" s="6">
        <v>12.72</v>
      </c>
      <c r="N59" s="6">
        <v>555.9</v>
      </c>
      <c r="O59" s="6">
        <v>0</v>
      </c>
      <c r="P59" s="6">
        <v>0.31</v>
      </c>
      <c r="Q59" s="6">
        <v>10</v>
      </c>
      <c r="R59" s="6"/>
      <c r="S59" s="6"/>
      <c r="T59" s="156"/>
      <c r="U59" s="6"/>
    </row>
    <row r="60" spans="1:21" customFormat="1">
      <c r="A60" s="201" t="s">
        <v>1347</v>
      </c>
      <c r="B60" s="6">
        <v>5.17</v>
      </c>
      <c r="C60" s="6">
        <v>8.41</v>
      </c>
      <c r="D60" s="6">
        <v>13.58</v>
      </c>
      <c r="E60" s="6">
        <v>6.56</v>
      </c>
      <c r="F60" s="152" t="s">
        <v>15</v>
      </c>
      <c r="G60" s="6">
        <v>51.43</v>
      </c>
      <c r="H60" s="6">
        <v>20.34</v>
      </c>
      <c r="I60" s="6">
        <v>5.88</v>
      </c>
      <c r="J60" s="6">
        <v>0.76</v>
      </c>
      <c r="K60" s="6">
        <v>31.97</v>
      </c>
      <c r="L60" s="6">
        <v>15.56</v>
      </c>
      <c r="M60" s="6">
        <v>9.4499999999999993</v>
      </c>
      <c r="N60" s="6">
        <v>486.8</v>
      </c>
      <c r="O60" s="6">
        <v>0</v>
      </c>
      <c r="P60" s="6">
        <v>0.35</v>
      </c>
      <c r="Q60" s="6">
        <v>10</v>
      </c>
      <c r="R60" s="6"/>
      <c r="S60" s="6"/>
      <c r="T60" s="156"/>
      <c r="U60" s="6"/>
    </row>
    <row r="61" spans="1:21" customFormat="1">
      <c r="A61" s="201" t="s">
        <v>1348</v>
      </c>
      <c r="B61" s="6">
        <v>4.75</v>
      </c>
      <c r="C61" s="6">
        <v>8.1300000000000008</v>
      </c>
      <c r="D61" s="6">
        <v>12.88</v>
      </c>
      <c r="E61" s="6">
        <v>6.99</v>
      </c>
      <c r="F61" s="152" t="s">
        <v>15</v>
      </c>
      <c r="G61" s="6">
        <v>51.43</v>
      </c>
      <c r="H61" s="6">
        <v>20.34</v>
      </c>
      <c r="I61" s="6">
        <v>5.9</v>
      </c>
      <c r="J61" s="6">
        <v>0.53</v>
      </c>
      <c r="K61" s="6">
        <v>37.54</v>
      </c>
      <c r="L61" s="6">
        <v>10.74</v>
      </c>
      <c r="M61" s="6">
        <v>3.56</v>
      </c>
      <c r="N61" s="6">
        <v>221.1</v>
      </c>
      <c r="O61" s="6">
        <v>0</v>
      </c>
      <c r="P61" s="6">
        <v>0.37</v>
      </c>
      <c r="Q61" s="6">
        <v>10</v>
      </c>
      <c r="R61" s="6"/>
      <c r="S61" s="6"/>
      <c r="T61" s="156"/>
      <c r="U61" s="6"/>
    </row>
    <row r="62" spans="1:21" customFormat="1">
      <c r="A62" s="201" t="s">
        <v>1349</v>
      </c>
      <c r="B62" s="6">
        <v>4.4400000000000004</v>
      </c>
      <c r="C62" s="6">
        <v>7.88</v>
      </c>
      <c r="D62" s="6">
        <v>12.32</v>
      </c>
      <c r="E62" s="6">
        <v>6.51</v>
      </c>
      <c r="F62" s="152" t="s">
        <v>15</v>
      </c>
      <c r="G62" s="6">
        <v>51.43</v>
      </c>
      <c r="H62" s="6">
        <v>20.34</v>
      </c>
      <c r="I62" s="6">
        <v>5.91</v>
      </c>
      <c r="J62" s="6">
        <v>0.35</v>
      </c>
      <c r="K62" s="6">
        <v>56.51</v>
      </c>
      <c r="L62" s="6">
        <v>10.56</v>
      </c>
      <c r="M62" s="6">
        <v>5.9</v>
      </c>
      <c r="N62" s="6">
        <v>108.1</v>
      </c>
      <c r="O62" s="6">
        <v>0</v>
      </c>
      <c r="P62" s="6">
        <v>0.37</v>
      </c>
      <c r="Q62" s="6">
        <v>10</v>
      </c>
      <c r="R62" s="6"/>
      <c r="S62" s="6"/>
      <c r="T62" s="156"/>
      <c r="U62" s="6"/>
    </row>
    <row r="63" spans="1:21" customFormat="1">
      <c r="A63" s="201" t="s">
        <v>1350</v>
      </c>
      <c r="B63" s="6">
        <v>4.3</v>
      </c>
      <c r="C63" s="6">
        <v>8</v>
      </c>
      <c r="D63" s="6">
        <v>12.3</v>
      </c>
      <c r="E63" s="6">
        <v>6.46</v>
      </c>
      <c r="F63" s="152" t="s">
        <v>15</v>
      </c>
      <c r="G63" s="6">
        <v>53.19</v>
      </c>
      <c r="H63" s="6">
        <v>21.1</v>
      </c>
      <c r="I63" s="6">
        <v>5.94</v>
      </c>
      <c r="J63" s="6">
        <v>0.42</v>
      </c>
      <c r="K63" s="6">
        <v>41.5</v>
      </c>
      <c r="L63" s="6">
        <v>11.4</v>
      </c>
      <c r="M63" s="6">
        <v>6.12</v>
      </c>
      <c r="N63" s="6">
        <v>182.2</v>
      </c>
      <c r="O63" s="6">
        <v>0</v>
      </c>
      <c r="P63" s="6">
        <v>0.35</v>
      </c>
      <c r="Q63" s="6">
        <v>10</v>
      </c>
      <c r="R63" s="6"/>
      <c r="S63" s="6"/>
      <c r="T63" s="156"/>
      <c r="U63" s="6"/>
    </row>
    <row r="64" spans="1:21" customFormat="1">
      <c r="A64" s="201" t="s">
        <v>1351</v>
      </c>
      <c r="B64" s="6">
        <v>4.1500000000000004</v>
      </c>
      <c r="C64" s="6">
        <v>7.64</v>
      </c>
      <c r="D64" s="6">
        <v>11.79</v>
      </c>
      <c r="E64" s="6">
        <v>6.24</v>
      </c>
      <c r="F64" s="152" t="s">
        <v>15</v>
      </c>
      <c r="G64" s="6">
        <v>53.69</v>
      </c>
      <c r="H64" s="6">
        <v>21.1</v>
      </c>
      <c r="I64" s="6">
        <v>5.98</v>
      </c>
      <c r="J64" s="6">
        <v>0.33</v>
      </c>
      <c r="K64" s="6">
        <v>55.35</v>
      </c>
      <c r="L64" s="6">
        <v>12.98</v>
      </c>
      <c r="M64" s="6">
        <v>5.91</v>
      </c>
      <c r="N64" s="6">
        <v>367.6</v>
      </c>
      <c r="O64" s="6">
        <v>0</v>
      </c>
      <c r="P64" s="6">
        <v>0.35</v>
      </c>
      <c r="Q64" s="6">
        <v>10</v>
      </c>
      <c r="R64" s="6"/>
      <c r="S64" s="6"/>
      <c r="T64" s="156"/>
      <c r="U64" s="6"/>
    </row>
    <row r="65" spans="1:21" customFormat="1">
      <c r="A65" s="201" t="s">
        <v>1352</v>
      </c>
      <c r="B65" s="6">
        <v>4.04</v>
      </c>
      <c r="C65" s="6">
        <v>7.5</v>
      </c>
      <c r="D65" s="6">
        <v>11.55</v>
      </c>
      <c r="E65" s="6">
        <v>6</v>
      </c>
      <c r="F65" s="152" t="s">
        <v>15</v>
      </c>
      <c r="G65" s="6">
        <v>53.69</v>
      </c>
      <c r="H65" s="6">
        <v>21.1</v>
      </c>
      <c r="I65" s="6">
        <v>5.88</v>
      </c>
      <c r="J65" s="6">
        <v>0.56000000000000005</v>
      </c>
      <c r="K65" s="6">
        <v>41.2</v>
      </c>
      <c r="L65" s="6">
        <v>10.66</v>
      </c>
      <c r="M65" s="6">
        <v>3.02</v>
      </c>
      <c r="N65" s="6">
        <v>239</v>
      </c>
      <c r="O65" s="6">
        <v>0</v>
      </c>
      <c r="P65" s="6">
        <v>0.34</v>
      </c>
      <c r="Q65" s="6">
        <v>10</v>
      </c>
      <c r="R65" s="6"/>
      <c r="S65" s="6"/>
      <c r="T65" s="156"/>
      <c r="U65" s="6"/>
    </row>
    <row r="66" spans="1:21" customFormat="1">
      <c r="A66" s="201" t="s">
        <v>1353</v>
      </c>
      <c r="B66" s="6">
        <v>3.91</v>
      </c>
      <c r="C66" s="6">
        <v>7.67</v>
      </c>
      <c r="D66" s="6">
        <v>11.58</v>
      </c>
      <c r="E66" s="6">
        <v>6.07</v>
      </c>
      <c r="F66" s="152" t="s">
        <v>15</v>
      </c>
      <c r="G66" s="6">
        <v>53.69</v>
      </c>
      <c r="H66" s="6">
        <v>21.1</v>
      </c>
      <c r="I66" s="6">
        <v>5.81</v>
      </c>
      <c r="J66" s="6">
        <v>0.44</v>
      </c>
      <c r="K66" s="6">
        <v>40.01</v>
      </c>
      <c r="L66" s="6">
        <v>11.64</v>
      </c>
      <c r="M66" s="6">
        <v>4.7</v>
      </c>
      <c r="N66" s="6">
        <v>268.5</v>
      </c>
      <c r="O66" s="6">
        <v>0</v>
      </c>
      <c r="P66" s="6">
        <v>0.34</v>
      </c>
      <c r="Q66" s="6">
        <v>10</v>
      </c>
      <c r="R66" s="6"/>
      <c r="S66" s="6"/>
      <c r="T66" s="156"/>
      <c r="U66" s="6"/>
    </row>
    <row r="67" spans="1:21" customFormat="1">
      <c r="A67" s="201" t="s">
        <v>1354</v>
      </c>
      <c r="B67" s="6">
        <v>3.87</v>
      </c>
      <c r="C67" s="6">
        <v>7.55</v>
      </c>
      <c r="D67" s="6">
        <v>11.43</v>
      </c>
      <c r="E67" s="6">
        <v>6.04</v>
      </c>
      <c r="F67" s="152" t="s">
        <v>15</v>
      </c>
      <c r="G67" s="6">
        <v>49.42</v>
      </c>
      <c r="H67" s="6">
        <v>18.98</v>
      </c>
      <c r="I67" s="6">
        <v>5.77</v>
      </c>
      <c r="J67" s="6">
        <v>0.43</v>
      </c>
      <c r="K67" s="6">
        <v>44.92</v>
      </c>
      <c r="L67" s="6">
        <v>10.74</v>
      </c>
      <c r="M67" s="6">
        <v>6.35</v>
      </c>
      <c r="N67" s="6">
        <v>105.1</v>
      </c>
      <c r="O67" s="6">
        <v>0</v>
      </c>
      <c r="P67" s="6">
        <v>0.35</v>
      </c>
      <c r="Q67" s="6">
        <v>10</v>
      </c>
      <c r="R67" s="6"/>
      <c r="S67" s="6"/>
      <c r="T67" s="156"/>
      <c r="U67" s="6"/>
    </row>
    <row r="68" spans="1:21" customFormat="1">
      <c r="A68" s="201" t="s">
        <v>1355</v>
      </c>
      <c r="B68" s="6">
        <v>3.78</v>
      </c>
      <c r="C68" s="6">
        <v>7.47</v>
      </c>
      <c r="D68" s="6">
        <v>11.26</v>
      </c>
      <c r="E68" s="6">
        <v>6.29</v>
      </c>
      <c r="F68" s="152" t="s">
        <v>15</v>
      </c>
      <c r="G68" s="6">
        <v>48.2</v>
      </c>
      <c r="H68" s="6">
        <v>18.98</v>
      </c>
      <c r="I68" s="6">
        <v>5.74</v>
      </c>
      <c r="J68" s="6">
        <v>0.36</v>
      </c>
      <c r="K68" s="6">
        <v>39.06</v>
      </c>
      <c r="L68" s="6">
        <v>12.03</v>
      </c>
      <c r="M68" s="6">
        <v>10.37</v>
      </c>
      <c r="N68" s="6">
        <v>74.099999999999994</v>
      </c>
      <c r="O68" s="6">
        <v>0</v>
      </c>
      <c r="P68" s="6">
        <v>0.35</v>
      </c>
      <c r="Q68" s="6">
        <v>10</v>
      </c>
      <c r="R68" s="6"/>
      <c r="S68" s="6"/>
      <c r="T68" s="156"/>
      <c r="U68" s="6"/>
    </row>
    <row r="69" spans="1:21" customFormat="1">
      <c r="A69" s="201" t="s">
        <v>1356</v>
      </c>
      <c r="B69" s="6">
        <v>3.6</v>
      </c>
      <c r="C69" s="6">
        <v>7.4</v>
      </c>
      <c r="D69" s="6">
        <v>11</v>
      </c>
      <c r="E69" s="6">
        <v>6.19</v>
      </c>
      <c r="F69" s="152" t="s">
        <v>15</v>
      </c>
      <c r="G69" s="6">
        <v>48.2</v>
      </c>
      <c r="H69" s="6">
        <v>18.98</v>
      </c>
      <c r="I69" s="6">
        <v>5.74</v>
      </c>
      <c r="J69" s="6">
        <v>0.23</v>
      </c>
      <c r="K69" s="6">
        <v>117.45</v>
      </c>
      <c r="L69" s="6">
        <v>14.72</v>
      </c>
      <c r="M69" s="6">
        <v>17.38</v>
      </c>
      <c r="N69" s="6">
        <v>67.8</v>
      </c>
      <c r="O69" s="6">
        <v>0</v>
      </c>
      <c r="P69" s="6">
        <v>0.34</v>
      </c>
      <c r="Q69" s="6">
        <v>10</v>
      </c>
      <c r="R69" s="6"/>
      <c r="S69" s="6"/>
      <c r="T69" s="156"/>
      <c r="U69" s="6"/>
    </row>
    <row r="70" spans="1:21" customFormat="1">
      <c r="A70" s="201" t="s">
        <v>1357</v>
      </c>
      <c r="B70" s="6">
        <v>3.4</v>
      </c>
      <c r="C70" s="6">
        <v>7.17</v>
      </c>
      <c r="D70" s="6">
        <v>10.57</v>
      </c>
      <c r="E70" s="6">
        <v>6.37</v>
      </c>
      <c r="F70" s="152" t="s">
        <v>15</v>
      </c>
      <c r="G70" s="6">
        <v>48.2</v>
      </c>
      <c r="H70" s="6">
        <v>18.98</v>
      </c>
      <c r="I70" s="6">
        <v>5.69</v>
      </c>
      <c r="J70" s="6">
        <v>0.16</v>
      </c>
      <c r="K70" s="6">
        <v>77.08</v>
      </c>
      <c r="L70" s="6">
        <v>12.06</v>
      </c>
      <c r="M70" s="6">
        <v>10.75</v>
      </c>
      <c r="N70" s="6">
        <v>62.7</v>
      </c>
      <c r="O70" s="6">
        <v>0</v>
      </c>
      <c r="P70" s="6">
        <v>0.34</v>
      </c>
      <c r="Q70" s="6">
        <v>10</v>
      </c>
      <c r="R70" s="6"/>
      <c r="S70" s="6"/>
      <c r="T70" s="156"/>
      <c r="U70" s="6"/>
    </row>
    <row r="71" spans="1:21" customFormat="1">
      <c r="A71" s="201" t="s">
        <v>1358</v>
      </c>
      <c r="B71" s="6">
        <v>3.4</v>
      </c>
      <c r="C71" s="6">
        <v>7.53</v>
      </c>
      <c r="D71" s="6">
        <v>10.93</v>
      </c>
      <c r="E71" s="6">
        <v>6.62</v>
      </c>
      <c r="F71" s="152" t="s">
        <v>15</v>
      </c>
      <c r="G71" s="6">
        <v>51.12</v>
      </c>
      <c r="H71" s="6">
        <v>19.760000000000002</v>
      </c>
      <c r="I71" s="6">
        <v>5.64</v>
      </c>
      <c r="J71" s="6">
        <v>0.36</v>
      </c>
      <c r="K71" s="6">
        <v>60.18</v>
      </c>
      <c r="L71" s="6">
        <v>9.5</v>
      </c>
      <c r="M71" s="6">
        <v>3.76</v>
      </c>
      <c r="N71" s="6">
        <v>55.1</v>
      </c>
      <c r="O71" s="6">
        <v>0</v>
      </c>
      <c r="P71" s="6">
        <v>0.34</v>
      </c>
      <c r="Q71" s="6">
        <v>10</v>
      </c>
      <c r="R71" s="6"/>
      <c r="S71" s="6"/>
      <c r="T71" s="156"/>
      <c r="U71" s="6"/>
    </row>
    <row r="72" spans="1:21" customFormat="1">
      <c r="A72" s="201" t="s">
        <v>1359</v>
      </c>
      <c r="B72" s="6">
        <v>3.4</v>
      </c>
      <c r="C72" s="6">
        <v>7.44</v>
      </c>
      <c r="D72" s="6">
        <v>10.84</v>
      </c>
      <c r="E72" s="6">
        <v>6.5</v>
      </c>
      <c r="F72" s="152" t="s">
        <v>15</v>
      </c>
      <c r="G72" s="6">
        <v>51.96</v>
      </c>
      <c r="H72" s="6">
        <v>19.760000000000002</v>
      </c>
      <c r="I72" s="6">
        <v>5.61</v>
      </c>
      <c r="J72" s="6">
        <v>0.33</v>
      </c>
      <c r="K72" s="6">
        <v>64.7</v>
      </c>
      <c r="L72" s="6">
        <v>10</v>
      </c>
      <c r="M72" s="6">
        <v>5.86</v>
      </c>
      <c r="N72" s="6">
        <v>52.6</v>
      </c>
      <c r="O72" s="6">
        <v>0</v>
      </c>
      <c r="P72" s="6">
        <v>0.35</v>
      </c>
      <c r="Q72" s="6">
        <v>10</v>
      </c>
      <c r="R72" s="6"/>
      <c r="S72" s="6"/>
      <c r="T72" s="156"/>
      <c r="U72" s="6"/>
    </row>
    <row r="73" spans="1:21" customFormat="1">
      <c r="A73" s="201" t="s">
        <v>1360</v>
      </c>
      <c r="B73" s="6">
        <v>3.25</v>
      </c>
      <c r="C73" s="6">
        <v>7.77</v>
      </c>
      <c r="D73" s="6">
        <v>11.02</v>
      </c>
      <c r="E73" s="6">
        <v>6.74</v>
      </c>
      <c r="F73" s="152" t="s">
        <v>15</v>
      </c>
      <c r="G73" s="6">
        <v>51.96</v>
      </c>
      <c r="H73" s="6">
        <v>19.760000000000002</v>
      </c>
      <c r="I73" s="6">
        <v>5.61</v>
      </c>
      <c r="J73" s="6">
        <v>0.24</v>
      </c>
      <c r="K73" s="6">
        <v>62.34</v>
      </c>
      <c r="L73" s="6">
        <v>10.98</v>
      </c>
      <c r="M73" s="6">
        <v>8.59</v>
      </c>
      <c r="N73" s="6">
        <v>38.9</v>
      </c>
      <c r="O73" s="6">
        <v>0</v>
      </c>
      <c r="P73" s="6">
        <v>0.34</v>
      </c>
      <c r="Q73" s="6">
        <v>10</v>
      </c>
      <c r="R73" s="6"/>
      <c r="S73" s="6"/>
      <c r="T73" s="156"/>
      <c r="U73" s="6"/>
    </row>
    <row r="74" spans="1:21" customFormat="1">
      <c r="A74" s="201" t="s">
        <v>1361</v>
      </c>
      <c r="B74" s="6">
        <v>3.15</v>
      </c>
      <c r="C74" s="6">
        <v>7.69</v>
      </c>
      <c r="D74" s="6">
        <v>10.83</v>
      </c>
      <c r="E74" s="6">
        <v>6.54</v>
      </c>
      <c r="F74" s="152" t="s">
        <v>15</v>
      </c>
      <c r="G74" s="6">
        <v>51.96</v>
      </c>
      <c r="H74" s="6">
        <v>19.760000000000002</v>
      </c>
      <c r="I74" s="6">
        <v>5.64</v>
      </c>
      <c r="J74" s="6">
        <v>0.48</v>
      </c>
      <c r="K74" s="6">
        <v>37.25</v>
      </c>
      <c r="L74" s="6">
        <v>8.0299999999999994</v>
      </c>
      <c r="M74" s="6">
        <v>1.22</v>
      </c>
      <c r="N74" s="6">
        <v>32.4</v>
      </c>
      <c r="O74" s="6">
        <v>0</v>
      </c>
      <c r="P74" s="6">
        <v>0.35</v>
      </c>
      <c r="Q74" s="6">
        <v>10</v>
      </c>
      <c r="R74" s="6"/>
      <c r="S74" s="6"/>
      <c r="T74" s="156"/>
      <c r="U74" s="6"/>
    </row>
    <row r="75" spans="1:21" customFormat="1">
      <c r="A75" s="201" t="s">
        <v>1362</v>
      </c>
      <c r="B75" s="6">
        <v>3.26</v>
      </c>
      <c r="C75" s="6">
        <v>8.5500000000000007</v>
      </c>
      <c r="D75" s="6">
        <v>11.81</v>
      </c>
      <c r="E75" s="6">
        <v>7.2</v>
      </c>
      <c r="F75" s="152" t="s">
        <v>15</v>
      </c>
      <c r="G75" s="6">
        <v>52.35</v>
      </c>
      <c r="H75" s="6">
        <v>19.920000000000002</v>
      </c>
      <c r="I75" s="6">
        <v>5.62</v>
      </c>
      <c r="J75" s="6">
        <v>0.5</v>
      </c>
      <c r="K75" s="6">
        <v>35.090000000000003</v>
      </c>
      <c r="L75" s="6">
        <v>7.23</v>
      </c>
      <c r="M75" s="6">
        <v>1.22</v>
      </c>
      <c r="N75" s="6">
        <v>25.5</v>
      </c>
      <c r="O75" s="6">
        <v>0</v>
      </c>
      <c r="P75" s="6">
        <v>0.35</v>
      </c>
      <c r="Q75" s="6">
        <v>10</v>
      </c>
      <c r="R75" s="6"/>
      <c r="S75" s="6"/>
      <c r="T75" s="156"/>
      <c r="U75" s="6"/>
    </row>
    <row r="76" spans="1:21" customFormat="1">
      <c r="A76" s="201" t="s">
        <v>1363</v>
      </c>
      <c r="B76" s="6">
        <v>3.82</v>
      </c>
      <c r="C76" s="6">
        <v>9.74</v>
      </c>
      <c r="D76" s="6">
        <v>13.56</v>
      </c>
      <c r="E76" s="6">
        <v>7.43</v>
      </c>
      <c r="F76" s="152" t="s">
        <v>15</v>
      </c>
      <c r="G76" s="6">
        <v>52.46</v>
      </c>
      <c r="H76" s="6">
        <v>19.920000000000002</v>
      </c>
      <c r="I76" s="6">
        <v>5.79</v>
      </c>
      <c r="J76" s="6">
        <v>0.48</v>
      </c>
      <c r="K76" s="6">
        <v>39.159999999999997</v>
      </c>
      <c r="L76" s="6">
        <v>6.53</v>
      </c>
      <c r="M76" s="6">
        <v>1.22</v>
      </c>
      <c r="N76" s="6">
        <v>19.100000000000001</v>
      </c>
      <c r="O76" s="6">
        <v>0</v>
      </c>
      <c r="P76" s="6">
        <v>0.35</v>
      </c>
      <c r="Q76" s="6">
        <v>10</v>
      </c>
      <c r="R76" s="6"/>
      <c r="S76" s="6"/>
      <c r="T76" s="156"/>
      <c r="U76" s="6"/>
    </row>
    <row r="77" spans="1:21" customFormat="1">
      <c r="A77" s="201" t="s">
        <v>1364</v>
      </c>
      <c r="B77" s="6">
        <v>3.81</v>
      </c>
      <c r="C77" s="6">
        <v>9.4600000000000009</v>
      </c>
      <c r="D77" s="6">
        <v>13.27</v>
      </c>
      <c r="E77" s="6">
        <v>6.77</v>
      </c>
      <c r="F77" s="152" t="s">
        <v>15</v>
      </c>
      <c r="G77" s="6">
        <v>52.46</v>
      </c>
      <c r="H77" s="6">
        <v>19.920000000000002</v>
      </c>
      <c r="I77" s="6">
        <v>6.26</v>
      </c>
      <c r="J77" s="6">
        <v>0.35</v>
      </c>
      <c r="K77" s="6">
        <v>49.9</v>
      </c>
      <c r="L77" s="6">
        <v>9.24</v>
      </c>
      <c r="M77" s="6">
        <v>4.8</v>
      </c>
      <c r="N77" s="6">
        <v>13.3</v>
      </c>
      <c r="O77" s="6">
        <v>0</v>
      </c>
      <c r="P77" s="6">
        <v>0.36</v>
      </c>
      <c r="Q77" s="6">
        <v>10</v>
      </c>
      <c r="R77" s="6"/>
      <c r="S77" s="6"/>
      <c r="T77" s="156"/>
      <c r="U77" s="6"/>
    </row>
    <row r="78" spans="1:21" customFormat="1">
      <c r="A78" s="201" t="s">
        <v>1365</v>
      </c>
      <c r="B78" s="6">
        <v>3.39</v>
      </c>
      <c r="C78" s="6">
        <v>9.98</v>
      </c>
      <c r="D78" s="6">
        <v>13.37</v>
      </c>
      <c r="E78" s="6">
        <v>7.25</v>
      </c>
      <c r="F78" s="152" t="s">
        <v>15</v>
      </c>
      <c r="G78" s="6">
        <v>52.46</v>
      </c>
      <c r="H78" s="6">
        <v>19.920000000000002</v>
      </c>
      <c r="I78" s="6">
        <v>6.49</v>
      </c>
      <c r="J78" s="6">
        <v>0.17</v>
      </c>
      <c r="K78" s="6">
        <v>74.34</v>
      </c>
      <c r="L78" s="6">
        <v>10.26</v>
      </c>
      <c r="M78" s="6">
        <v>7.61</v>
      </c>
      <c r="N78" s="6">
        <v>7.7</v>
      </c>
      <c r="O78" s="6">
        <v>0</v>
      </c>
      <c r="P78" s="6">
        <v>0.37</v>
      </c>
      <c r="Q78" s="6">
        <v>10</v>
      </c>
      <c r="R78" s="6"/>
      <c r="S78" s="6"/>
      <c r="T78" s="156"/>
      <c r="U78" s="6"/>
    </row>
    <row r="79" spans="1:21" customFormat="1">
      <c r="A79" s="201" t="s">
        <v>1366</v>
      </c>
      <c r="B79" s="6">
        <v>3.21</v>
      </c>
      <c r="C79" s="6">
        <v>9.08</v>
      </c>
      <c r="D79" s="6">
        <v>12.3</v>
      </c>
      <c r="E79" s="6">
        <v>6.82</v>
      </c>
      <c r="F79" s="152" t="s">
        <v>15</v>
      </c>
      <c r="G79" s="6">
        <v>51.22</v>
      </c>
      <c r="H79" s="6">
        <v>19.440000000000001</v>
      </c>
      <c r="I79" s="6">
        <v>6.13</v>
      </c>
      <c r="J79" s="6">
        <v>0.17</v>
      </c>
      <c r="K79" s="6">
        <v>105.33</v>
      </c>
      <c r="L79" s="6">
        <v>11.39</v>
      </c>
      <c r="M79" s="6">
        <v>10.64</v>
      </c>
      <c r="N79" s="6">
        <v>4.0999999999999996</v>
      </c>
      <c r="O79" s="6">
        <v>0</v>
      </c>
      <c r="P79" s="6">
        <v>0.35</v>
      </c>
      <c r="Q79" s="6">
        <v>10</v>
      </c>
      <c r="R79" s="6"/>
      <c r="S79" s="6"/>
      <c r="T79" s="156"/>
      <c r="U79" s="6"/>
    </row>
    <row r="80" spans="1:21" customFormat="1">
      <c r="A80" s="201" t="s">
        <v>1367</v>
      </c>
      <c r="B80" s="6">
        <v>3.24</v>
      </c>
      <c r="C80" s="6">
        <v>8.57</v>
      </c>
      <c r="D80" s="6">
        <v>11.81</v>
      </c>
      <c r="E80" s="6">
        <v>6.2</v>
      </c>
      <c r="F80" s="152" t="s">
        <v>15</v>
      </c>
      <c r="G80" s="6">
        <v>50.86</v>
      </c>
      <c r="H80" s="6">
        <v>19.440000000000001</v>
      </c>
      <c r="I80" s="6">
        <v>6.01</v>
      </c>
      <c r="J80" s="6">
        <v>0.17</v>
      </c>
      <c r="K80" s="6">
        <v>63.81</v>
      </c>
      <c r="L80" s="6">
        <v>9.9499999999999993</v>
      </c>
      <c r="M80" s="6">
        <v>7.02</v>
      </c>
      <c r="N80" s="6">
        <v>2.7</v>
      </c>
      <c r="O80" s="6">
        <v>0</v>
      </c>
      <c r="P80" s="6">
        <v>0.33</v>
      </c>
      <c r="Q80" s="6">
        <v>10</v>
      </c>
      <c r="R80" s="6"/>
      <c r="S80" s="6"/>
      <c r="T80" s="156"/>
      <c r="U80" s="6"/>
    </row>
    <row r="81" spans="1:21" customFormat="1">
      <c r="A81" s="201" t="s">
        <v>1368</v>
      </c>
      <c r="B81" s="6">
        <v>3.22</v>
      </c>
      <c r="C81" s="6">
        <v>8.58</v>
      </c>
      <c r="D81" s="6">
        <v>11.8</v>
      </c>
      <c r="E81" s="6">
        <v>5.32</v>
      </c>
      <c r="F81" s="152" t="s">
        <v>15</v>
      </c>
      <c r="G81" s="6">
        <v>50.86</v>
      </c>
      <c r="H81" s="6">
        <v>19.440000000000001</v>
      </c>
      <c r="I81" s="6">
        <v>6.06</v>
      </c>
      <c r="J81" s="6">
        <v>0.14000000000000001</v>
      </c>
      <c r="K81" s="6">
        <v>106.75</v>
      </c>
      <c r="L81" s="6">
        <v>12.08</v>
      </c>
      <c r="M81" s="6">
        <v>12.42</v>
      </c>
      <c r="N81" s="6">
        <v>2.6</v>
      </c>
      <c r="O81" s="6">
        <v>0</v>
      </c>
      <c r="P81" s="6">
        <v>0.34</v>
      </c>
      <c r="Q81" s="6">
        <v>10</v>
      </c>
      <c r="R81" s="6"/>
      <c r="S81" s="6"/>
      <c r="T81" s="156"/>
      <c r="U81" s="6"/>
    </row>
    <row r="82" spans="1:21" customFormat="1">
      <c r="A82" s="201" t="s">
        <v>1369</v>
      </c>
      <c r="B82" s="6">
        <v>3.13</v>
      </c>
      <c r="C82" s="6">
        <v>8.36</v>
      </c>
      <c r="D82" s="6">
        <v>11.49</v>
      </c>
      <c r="E82" s="6">
        <v>6.11</v>
      </c>
      <c r="F82" s="152" t="s">
        <v>15</v>
      </c>
      <c r="G82" s="6">
        <v>50.86</v>
      </c>
      <c r="H82" s="6">
        <v>19.440000000000001</v>
      </c>
      <c r="I82" s="6">
        <v>6.2</v>
      </c>
      <c r="J82" s="6">
        <v>0.2</v>
      </c>
      <c r="K82" s="6">
        <v>143.65</v>
      </c>
      <c r="L82" s="6">
        <v>14.19</v>
      </c>
      <c r="M82" s="6">
        <v>17.77</v>
      </c>
      <c r="N82" s="6">
        <v>2.5</v>
      </c>
      <c r="O82" s="6">
        <v>0</v>
      </c>
      <c r="P82" s="6">
        <v>0.35</v>
      </c>
      <c r="Q82" s="6">
        <v>10</v>
      </c>
      <c r="R82" s="6"/>
      <c r="S82" s="6"/>
      <c r="T82" s="156"/>
      <c r="U82" s="6"/>
    </row>
    <row r="83" spans="1:21" customFormat="1">
      <c r="A83" s="201" t="s">
        <v>1370</v>
      </c>
      <c r="B83" s="6">
        <v>3.07</v>
      </c>
      <c r="C83" s="6">
        <v>8.4</v>
      </c>
      <c r="D83" s="6">
        <v>11.47</v>
      </c>
      <c r="E83" s="6">
        <v>6.36</v>
      </c>
      <c r="F83" s="152" t="s">
        <v>15</v>
      </c>
      <c r="G83" s="6">
        <v>52.8</v>
      </c>
      <c r="H83" s="6">
        <v>21.04</v>
      </c>
      <c r="I83" s="6">
        <v>6.29</v>
      </c>
      <c r="J83" s="6">
        <v>0.14000000000000001</v>
      </c>
      <c r="K83" s="6">
        <v>124.54</v>
      </c>
      <c r="L83" s="6">
        <v>12.63</v>
      </c>
      <c r="M83" s="6">
        <v>14.42</v>
      </c>
      <c r="N83" s="6">
        <v>2.5</v>
      </c>
      <c r="O83" s="6">
        <v>0</v>
      </c>
      <c r="P83" s="6">
        <v>0.36</v>
      </c>
      <c r="Q83" s="6">
        <v>10</v>
      </c>
      <c r="R83" s="6"/>
      <c r="S83" s="6"/>
      <c r="T83" s="156"/>
      <c r="U83" s="6"/>
    </row>
    <row r="84" spans="1:21" customFormat="1">
      <c r="A84" s="201" t="s">
        <v>1371</v>
      </c>
      <c r="B84" s="6">
        <v>3.08</v>
      </c>
      <c r="C84" s="6">
        <v>8.31</v>
      </c>
      <c r="D84" s="6">
        <v>11.39</v>
      </c>
      <c r="E84" s="6">
        <v>6.13</v>
      </c>
      <c r="F84" s="152" t="s">
        <v>15</v>
      </c>
      <c r="G84" s="6">
        <v>53.35</v>
      </c>
      <c r="H84" s="6">
        <v>21.04</v>
      </c>
      <c r="I84" s="6">
        <v>6.34</v>
      </c>
      <c r="J84" s="6">
        <v>0.14000000000000001</v>
      </c>
      <c r="K84" s="6">
        <v>66.31</v>
      </c>
      <c r="L84" s="6">
        <v>9.5</v>
      </c>
      <c r="M84" s="6">
        <v>5.81</v>
      </c>
      <c r="N84" s="6">
        <v>2.4</v>
      </c>
      <c r="O84" s="6">
        <v>0</v>
      </c>
      <c r="P84" s="6">
        <v>0.36</v>
      </c>
      <c r="Q84" s="6">
        <v>10</v>
      </c>
      <c r="R84" s="6"/>
      <c r="S84" s="6"/>
      <c r="T84" s="156"/>
      <c r="U84" s="6"/>
    </row>
    <row r="85" spans="1:21" customFormat="1">
      <c r="A85" s="201" t="s">
        <v>1372</v>
      </c>
      <c r="B85" s="6">
        <v>3.16</v>
      </c>
      <c r="C85" s="6">
        <v>8.2200000000000006</v>
      </c>
      <c r="D85" s="6">
        <v>11.38</v>
      </c>
      <c r="E85" s="6">
        <v>6.34</v>
      </c>
      <c r="F85" s="152" t="s">
        <v>15</v>
      </c>
      <c r="G85" s="6">
        <v>53.35</v>
      </c>
      <c r="H85" s="6">
        <v>21.04</v>
      </c>
      <c r="I85" s="6">
        <v>6.41</v>
      </c>
      <c r="J85" s="6">
        <v>0.16</v>
      </c>
      <c r="K85" s="6">
        <v>136.34</v>
      </c>
      <c r="L85" s="6">
        <v>12.76</v>
      </c>
      <c r="M85" s="6">
        <v>14.08</v>
      </c>
      <c r="N85" s="6">
        <v>2.6</v>
      </c>
      <c r="O85" s="6">
        <v>0</v>
      </c>
      <c r="P85" s="6">
        <v>0.38</v>
      </c>
      <c r="Q85" s="6">
        <v>10</v>
      </c>
      <c r="R85" s="6"/>
      <c r="S85" s="6"/>
      <c r="T85" s="156"/>
      <c r="U85" s="6"/>
    </row>
    <row r="86" spans="1:21" customFormat="1">
      <c r="A86" s="201" t="s">
        <v>1373</v>
      </c>
      <c r="B86" s="6">
        <v>3.15</v>
      </c>
      <c r="C86" s="6">
        <v>8.11</v>
      </c>
      <c r="D86" s="6">
        <v>11.27</v>
      </c>
      <c r="E86" s="6">
        <v>6.28</v>
      </c>
      <c r="F86" s="152" t="s">
        <v>15</v>
      </c>
      <c r="G86" s="6">
        <v>53.35</v>
      </c>
      <c r="H86" s="6">
        <v>21.04</v>
      </c>
      <c r="I86" s="6">
        <v>6.5</v>
      </c>
      <c r="J86" s="6">
        <v>0.08</v>
      </c>
      <c r="K86" s="6">
        <v>101.38</v>
      </c>
      <c r="L86" s="6">
        <v>12.74</v>
      </c>
      <c r="M86" s="6">
        <v>14.03</v>
      </c>
      <c r="N86" s="6">
        <v>2.4</v>
      </c>
      <c r="O86" s="6">
        <v>0</v>
      </c>
      <c r="P86" s="6">
        <v>0.39</v>
      </c>
      <c r="Q86" s="6">
        <v>10</v>
      </c>
      <c r="R86" s="6"/>
      <c r="S86" s="6"/>
      <c r="T86" s="156"/>
      <c r="U86" s="6"/>
    </row>
    <row r="87" spans="1:21" customFormat="1">
      <c r="A87" s="201" t="s">
        <v>1374</v>
      </c>
      <c r="B87" s="6">
        <v>3.26</v>
      </c>
      <c r="C87" s="6">
        <v>8.17</v>
      </c>
      <c r="D87" s="6">
        <v>11.43</v>
      </c>
      <c r="E87" s="6">
        <v>6.16</v>
      </c>
      <c r="F87" s="152" t="s">
        <v>15</v>
      </c>
      <c r="G87" s="6">
        <v>63.24</v>
      </c>
      <c r="H87" s="6">
        <v>22.05</v>
      </c>
      <c r="I87" s="6">
        <v>6.62</v>
      </c>
      <c r="J87" s="6">
        <v>0.23</v>
      </c>
      <c r="K87" s="6">
        <v>156.43</v>
      </c>
      <c r="L87" s="6">
        <v>15.37</v>
      </c>
      <c r="M87" s="6">
        <v>20.75</v>
      </c>
      <c r="N87" s="6">
        <v>2.4</v>
      </c>
      <c r="O87" s="6">
        <v>0</v>
      </c>
      <c r="P87" s="6">
        <v>0.41</v>
      </c>
      <c r="Q87" s="6">
        <v>10</v>
      </c>
      <c r="R87" s="6"/>
      <c r="S87" s="6"/>
      <c r="T87" s="156"/>
      <c r="U87" s="6"/>
    </row>
    <row r="88" spans="1:21" customFormat="1">
      <c r="A88" s="201" t="s">
        <v>1375</v>
      </c>
      <c r="B88" s="6">
        <v>3.38</v>
      </c>
      <c r="C88" s="6">
        <v>8.1</v>
      </c>
      <c r="D88" s="6">
        <v>11.48</v>
      </c>
      <c r="E88" s="6">
        <v>6.14</v>
      </c>
      <c r="F88" s="152" t="s">
        <v>15</v>
      </c>
      <c r="G88" s="6">
        <v>66.069999999999993</v>
      </c>
      <c r="H88" s="6">
        <v>22.05</v>
      </c>
      <c r="I88" s="6">
        <v>6.78</v>
      </c>
      <c r="J88" s="6">
        <v>0.22</v>
      </c>
      <c r="K88" s="6">
        <v>148.38</v>
      </c>
      <c r="L88" s="6">
        <v>14.28</v>
      </c>
      <c r="M88" s="6">
        <v>17.989999999999998</v>
      </c>
      <c r="N88" s="6">
        <v>2.2999999999999998</v>
      </c>
      <c r="O88" s="6">
        <v>0</v>
      </c>
      <c r="P88" s="6">
        <v>0.42</v>
      </c>
      <c r="Q88" s="6">
        <v>10</v>
      </c>
      <c r="R88" s="6"/>
      <c r="S88" s="6"/>
      <c r="T88" s="156"/>
      <c r="U88" s="6"/>
    </row>
    <row r="89" spans="1:21" customFormat="1">
      <c r="A89" s="201" t="s">
        <v>1376</v>
      </c>
      <c r="B89" s="6">
        <v>3.5</v>
      </c>
      <c r="C89" s="6">
        <v>8.0500000000000007</v>
      </c>
      <c r="D89" s="6">
        <v>11.56</v>
      </c>
      <c r="E89" s="6">
        <v>6.22</v>
      </c>
      <c r="F89" s="152" t="s">
        <v>15</v>
      </c>
      <c r="G89" s="6">
        <v>66.069999999999993</v>
      </c>
      <c r="H89" s="6">
        <v>22.05</v>
      </c>
      <c r="I89" s="6">
        <v>6.96</v>
      </c>
      <c r="J89" s="6">
        <v>0.1</v>
      </c>
      <c r="K89" s="6">
        <v>65.69</v>
      </c>
      <c r="L89" s="6">
        <v>8.85</v>
      </c>
      <c r="M89" s="6">
        <v>4.13</v>
      </c>
      <c r="N89" s="6">
        <v>2.1</v>
      </c>
      <c r="O89" s="6">
        <v>0</v>
      </c>
      <c r="P89" s="6">
        <v>0.43</v>
      </c>
      <c r="Q89" s="6">
        <v>10</v>
      </c>
      <c r="R89" s="6"/>
      <c r="S89" s="6"/>
      <c r="T89" s="156"/>
      <c r="U89" s="6"/>
    </row>
    <row r="90" spans="1:21" customFormat="1">
      <c r="A90" s="201" t="s">
        <v>1377</v>
      </c>
      <c r="B90" s="6">
        <v>3.69</v>
      </c>
      <c r="C90" s="6">
        <v>8.14</v>
      </c>
      <c r="D90" s="6">
        <v>11.83</v>
      </c>
      <c r="E90" s="6">
        <v>6.21</v>
      </c>
      <c r="F90" s="152" t="s">
        <v>15</v>
      </c>
      <c r="G90" s="6">
        <v>66.069999999999993</v>
      </c>
      <c r="H90" s="6">
        <v>22.05</v>
      </c>
      <c r="I90" s="6">
        <v>7.11</v>
      </c>
      <c r="J90" s="6">
        <v>0.14000000000000001</v>
      </c>
      <c r="K90" s="6">
        <v>73.02</v>
      </c>
      <c r="L90" s="6">
        <v>9.1</v>
      </c>
      <c r="M90" s="6">
        <v>4.79</v>
      </c>
      <c r="N90" s="6">
        <v>2.1</v>
      </c>
      <c r="O90" s="6">
        <v>0</v>
      </c>
      <c r="P90" s="6">
        <v>0.45</v>
      </c>
      <c r="Q90" s="6">
        <v>10</v>
      </c>
      <c r="R90" s="6"/>
      <c r="S90" s="6"/>
      <c r="T90" s="156"/>
      <c r="U90" s="6"/>
    </row>
    <row r="91" spans="1:21" customFormat="1">
      <c r="A91" s="201" t="s">
        <v>1378</v>
      </c>
      <c r="B91" s="6">
        <v>3.77</v>
      </c>
      <c r="C91" s="6">
        <v>8.0399999999999991</v>
      </c>
      <c r="D91" s="6">
        <v>11.81</v>
      </c>
      <c r="E91" s="6">
        <v>6.46</v>
      </c>
      <c r="F91" s="152" t="s">
        <v>15</v>
      </c>
      <c r="G91" s="6">
        <v>85.68</v>
      </c>
      <c r="H91" s="6">
        <v>23.94</v>
      </c>
      <c r="I91" s="6">
        <v>7.35</v>
      </c>
      <c r="J91" s="6">
        <v>0.1</v>
      </c>
      <c r="K91" s="6">
        <v>107.37</v>
      </c>
      <c r="L91" s="6">
        <v>11.09</v>
      </c>
      <c r="M91" s="6">
        <v>9.83</v>
      </c>
      <c r="N91" s="6">
        <v>2.2999999999999998</v>
      </c>
      <c r="O91" s="6">
        <v>0</v>
      </c>
      <c r="P91" s="6">
        <v>0.46</v>
      </c>
      <c r="Q91" s="6">
        <v>10</v>
      </c>
      <c r="R91" s="6"/>
      <c r="S91" s="6"/>
      <c r="T91" s="156"/>
      <c r="U91" s="6"/>
    </row>
    <row r="92" spans="1:21" customFormat="1">
      <c r="A92" s="201" t="s">
        <v>1379</v>
      </c>
      <c r="B92" s="6">
        <v>3.99</v>
      </c>
      <c r="C92" s="6">
        <v>8.0299999999999994</v>
      </c>
      <c r="D92" s="6">
        <v>12.03</v>
      </c>
      <c r="E92" s="6">
        <v>6.55</v>
      </c>
      <c r="F92" s="152" t="s">
        <v>15</v>
      </c>
      <c r="G92" s="6">
        <v>91.28</v>
      </c>
      <c r="H92" s="6">
        <v>23.94</v>
      </c>
      <c r="I92" s="6">
        <v>7.62</v>
      </c>
      <c r="J92" s="6">
        <v>0.13</v>
      </c>
      <c r="K92" s="6">
        <v>79.28</v>
      </c>
      <c r="L92" s="6">
        <v>9.5299999999999994</v>
      </c>
      <c r="M92" s="6">
        <v>5.88</v>
      </c>
      <c r="N92" s="6">
        <v>2.2000000000000002</v>
      </c>
      <c r="O92" s="6">
        <v>0</v>
      </c>
      <c r="P92" s="6">
        <v>0.47</v>
      </c>
      <c r="Q92" s="6">
        <v>10</v>
      </c>
      <c r="R92" s="6"/>
      <c r="S92" s="6"/>
      <c r="T92" s="156"/>
      <c r="U92" s="6"/>
    </row>
    <row r="93" spans="1:21" customFormat="1">
      <c r="A93" s="201" t="s">
        <v>1380</v>
      </c>
      <c r="B93" s="6">
        <v>4.29</v>
      </c>
      <c r="C93" s="6">
        <v>8.15</v>
      </c>
      <c r="D93" s="6">
        <v>12.44</v>
      </c>
      <c r="E93" s="6">
        <v>6.65</v>
      </c>
      <c r="F93" s="152" t="s">
        <v>15</v>
      </c>
      <c r="G93" s="6">
        <v>91.28</v>
      </c>
      <c r="H93" s="6">
        <v>23.94</v>
      </c>
      <c r="I93" s="6">
        <v>7.85</v>
      </c>
      <c r="J93" s="6">
        <v>0.19</v>
      </c>
      <c r="K93" s="6">
        <v>38.56</v>
      </c>
      <c r="L93" s="6">
        <v>6.8</v>
      </c>
      <c r="M93" s="6">
        <v>5.88</v>
      </c>
      <c r="N93" s="6">
        <v>2.1</v>
      </c>
      <c r="O93" s="6">
        <v>0</v>
      </c>
      <c r="P93" s="6">
        <v>0.48</v>
      </c>
      <c r="Q93" s="6">
        <v>10</v>
      </c>
      <c r="R93" s="6"/>
      <c r="S93" s="6"/>
      <c r="T93" s="156"/>
      <c r="U93" s="6"/>
    </row>
    <row r="94" spans="1:21" customFormat="1">
      <c r="A94" s="201" t="s">
        <v>1381</v>
      </c>
      <c r="B94" s="6">
        <v>4.62</v>
      </c>
      <c r="C94" s="6">
        <v>8.17</v>
      </c>
      <c r="D94" s="6">
        <v>12.79</v>
      </c>
      <c r="E94" s="6">
        <v>6.54</v>
      </c>
      <c r="F94" s="152" t="s">
        <v>15</v>
      </c>
      <c r="G94" s="6">
        <v>91.28</v>
      </c>
      <c r="H94" s="6">
        <v>23.94</v>
      </c>
      <c r="I94" s="6">
        <v>7.99</v>
      </c>
      <c r="J94" s="6">
        <v>0.14000000000000001</v>
      </c>
      <c r="K94" s="6">
        <v>68.5</v>
      </c>
      <c r="L94" s="6">
        <v>9.02</v>
      </c>
      <c r="M94" s="6">
        <v>5.88</v>
      </c>
      <c r="N94" s="6">
        <v>2.2000000000000002</v>
      </c>
      <c r="O94" s="6">
        <v>0</v>
      </c>
      <c r="P94" s="6">
        <v>0.49</v>
      </c>
      <c r="Q94" s="6">
        <v>10</v>
      </c>
      <c r="R94" s="6"/>
      <c r="S94" s="6"/>
      <c r="T94" s="156"/>
      <c r="U94" s="6"/>
    </row>
    <row r="95" spans="1:21" customFormat="1">
      <c r="A95" s="201" t="s">
        <v>1382</v>
      </c>
      <c r="B95" s="6">
        <v>4.8499999999999996</v>
      </c>
      <c r="C95" s="6">
        <v>8.07</v>
      </c>
      <c r="D95" s="6">
        <v>12.92</v>
      </c>
      <c r="E95" s="6">
        <v>6.79</v>
      </c>
      <c r="F95" s="152" t="s">
        <v>15</v>
      </c>
      <c r="G95" s="6">
        <v>86.21</v>
      </c>
      <c r="H95" s="6">
        <v>24.63</v>
      </c>
      <c r="I95" s="6">
        <v>8.1</v>
      </c>
      <c r="J95" s="6">
        <v>0.22</v>
      </c>
      <c r="K95" s="6">
        <v>53.59</v>
      </c>
      <c r="L95" s="6">
        <v>7.6</v>
      </c>
      <c r="M95" s="6">
        <v>0.95</v>
      </c>
      <c r="N95" s="6">
        <v>2.2000000000000002</v>
      </c>
      <c r="O95" s="6">
        <v>0</v>
      </c>
      <c r="P95" s="6">
        <v>0.49</v>
      </c>
      <c r="Q95" s="6">
        <v>10</v>
      </c>
      <c r="R95" s="6"/>
      <c r="S95" s="6"/>
      <c r="T95" s="156"/>
      <c r="U95" s="6"/>
    </row>
    <row r="96" spans="1:21" customFormat="1">
      <c r="A96" s="201" t="s">
        <v>1383</v>
      </c>
      <c r="B96" s="6">
        <v>5.0599999999999996</v>
      </c>
      <c r="C96" s="6">
        <v>8.0299999999999994</v>
      </c>
      <c r="D96" s="6">
        <v>13.09</v>
      </c>
      <c r="E96" s="6">
        <v>6.6</v>
      </c>
      <c r="F96" s="152" t="s">
        <v>15</v>
      </c>
      <c r="G96" s="6">
        <v>84.76</v>
      </c>
      <c r="H96" s="6">
        <v>24.63</v>
      </c>
      <c r="I96" s="6">
        <v>8.18</v>
      </c>
      <c r="J96" s="6">
        <v>0.12</v>
      </c>
      <c r="K96" s="6">
        <v>25.72</v>
      </c>
      <c r="L96" s="6">
        <v>13.9</v>
      </c>
      <c r="M96" s="6">
        <v>16.760000000000002</v>
      </c>
      <c r="N96" s="6">
        <v>2.2000000000000002</v>
      </c>
      <c r="O96" s="6">
        <v>0</v>
      </c>
      <c r="P96" s="6">
        <v>0.5</v>
      </c>
      <c r="Q96" s="6">
        <v>10</v>
      </c>
      <c r="R96" s="6"/>
      <c r="S96" s="6"/>
      <c r="T96" s="156"/>
      <c r="U96" s="6"/>
    </row>
    <row r="97" spans="1:28" customFormat="1">
      <c r="A97" s="201" t="s">
        <v>1384</v>
      </c>
      <c r="B97" s="6">
        <v>5.33</v>
      </c>
      <c r="C97" s="6">
        <v>8.1300000000000008</v>
      </c>
      <c r="D97" s="6">
        <v>13.46</v>
      </c>
      <c r="E97" s="6">
        <v>6.8</v>
      </c>
      <c r="F97" s="152" t="s">
        <v>15</v>
      </c>
      <c r="G97" s="6">
        <v>84.76</v>
      </c>
      <c r="H97" s="6">
        <v>24.63</v>
      </c>
      <c r="I97" s="6">
        <v>8.1999999999999993</v>
      </c>
      <c r="J97" s="6">
        <v>0.14000000000000001</v>
      </c>
      <c r="K97" s="6">
        <v>141.61000000000001</v>
      </c>
      <c r="L97" s="6">
        <v>14.16</v>
      </c>
      <c r="M97" s="6">
        <v>17.57</v>
      </c>
      <c r="N97" s="6">
        <v>2.4</v>
      </c>
      <c r="O97" s="6">
        <v>0</v>
      </c>
      <c r="P97" s="6">
        <v>0.5</v>
      </c>
      <c r="Q97" s="6">
        <v>10</v>
      </c>
      <c r="R97" s="6"/>
      <c r="S97" s="6"/>
      <c r="T97" s="156"/>
      <c r="U97" s="6"/>
    </row>
    <row r="98" spans="1:28" customFormat="1">
      <c r="A98" s="201" t="s">
        <v>1385</v>
      </c>
      <c r="B98" s="6">
        <v>5.48</v>
      </c>
      <c r="C98" s="6">
        <v>8.07</v>
      </c>
      <c r="D98" s="6">
        <v>13.55</v>
      </c>
      <c r="E98" s="6">
        <v>6.66</v>
      </c>
      <c r="F98" s="152" t="s">
        <v>15</v>
      </c>
      <c r="G98" s="6">
        <v>84.76</v>
      </c>
      <c r="H98" s="6">
        <v>24.63</v>
      </c>
      <c r="I98" s="6">
        <v>8.23</v>
      </c>
      <c r="J98" s="6">
        <v>0.06</v>
      </c>
      <c r="K98" s="6">
        <v>92.3</v>
      </c>
      <c r="L98" s="6">
        <v>9.61</v>
      </c>
      <c r="M98" s="6">
        <v>6.03</v>
      </c>
      <c r="N98" s="6">
        <v>2.2999999999999998</v>
      </c>
      <c r="O98" s="6">
        <v>0</v>
      </c>
      <c r="P98" s="6">
        <v>0.5</v>
      </c>
      <c r="Q98" s="6">
        <v>10</v>
      </c>
      <c r="R98" s="6"/>
      <c r="S98" s="6"/>
      <c r="T98" s="156"/>
      <c r="U98" s="6"/>
    </row>
    <row r="99" spans="1:28" customFormat="1">
      <c r="A99" s="201" t="s">
        <v>1386</v>
      </c>
      <c r="B99" s="6">
        <v>5.75</v>
      </c>
      <c r="C99" s="6">
        <v>8.01</v>
      </c>
      <c r="D99" s="6">
        <v>13.76</v>
      </c>
      <c r="E99" s="6">
        <v>6.86</v>
      </c>
      <c r="F99" s="152" t="s">
        <v>15</v>
      </c>
      <c r="G99" s="6">
        <v>81.44</v>
      </c>
      <c r="H99" s="6">
        <v>25.17</v>
      </c>
      <c r="I99" s="6">
        <v>8.3000000000000007</v>
      </c>
      <c r="J99" s="6">
        <v>7.0000000000000007E-2</v>
      </c>
      <c r="K99" s="6">
        <v>112.91</v>
      </c>
      <c r="L99" s="6">
        <v>12.1</v>
      </c>
      <c r="M99" s="6">
        <v>12.36</v>
      </c>
      <c r="N99" s="6">
        <v>2.2999999999999998</v>
      </c>
      <c r="O99" s="6">
        <v>0</v>
      </c>
      <c r="P99" s="6">
        <v>0.52</v>
      </c>
      <c r="Q99" s="6">
        <v>10</v>
      </c>
      <c r="R99" s="6"/>
      <c r="S99" s="6"/>
      <c r="T99" s="156"/>
      <c r="U99" s="6"/>
    </row>
    <row r="100" spans="1:28" customFormat="1">
      <c r="A100" s="201" t="s">
        <v>1387</v>
      </c>
      <c r="B100" s="6">
        <v>6.15</v>
      </c>
      <c r="C100" s="6">
        <v>7.94</v>
      </c>
      <c r="D100" s="6">
        <v>14.09</v>
      </c>
      <c r="E100" s="6">
        <v>6.75</v>
      </c>
      <c r="F100" s="152" t="s">
        <v>15</v>
      </c>
      <c r="G100" s="6">
        <v>80.489999999999995</v>
      </c>
      <c r="H100" s="6">
        <v>25.17</v>
      </c>
      <c r="I100" s="6">
        <v>8.4</v>
      </c>
      <c r="J100" s="6">
        <v>7.0000000000000007E-2</v>
      </c>
      <c r="K100" s="6">
        <v>72.02</v>
      </c>
      <c r="L100" s="6">
        <v>8.77</v>
      </c>
      <c r="M100" s="6">
        <v>3.95</v>
      </c>
      <c r="N100" s="6">
        <v>2.1</v>
      </c>
      <c r="O100" s="6">
        <v>0</v>
      </c>
      <c r="P100" s="6">
        <v>0.54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1388</v>
      </c>
      <c r="B101" s="6">
        <v>6.54</v>
      </c>
      <c r="C101" s="6">
        <v>7.58</v>
      </c>
      <c r="D101" s="6">
        <v>14.12</v>
      </c>
      <c r="E101" s="6">
        <v>6.46</v>
      </c>
      <c r="F101" s="152" t="s">
        <v>15</v>
      </c>
      <c r="G101" s="6">
        <v>80.489999999999995</v>
      </c>
      <c r="H101" s="6">
        <v>25.17</v>
      </c>
      <c r="I101" s="6">
        <v>8.4600000000000009</v>
      </c>
      <c r="J101" s="6">
        <v>0.08</v>
      </c>
      <c r="K101" s="6">
        <v>45.2</v>
      </c>
      <c r="L101" s="6">
        <v>12.53</v>
      </c>
      <c r="M101" s="6">
        <v>13.32</v>
      </c>
      <c r="N101" s="6">
        <v>2.1</v>
      </c>
      <c r="O101" s="6">
        <v>0</v>
      </c>
      <c r="P101" s="6">
        <v>0.54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1389</v>
      </c>
      <c r="B102" s="6">
        <v>6.96</v>
      </c>
      <c r="C102" s="6">
        <v>7.51</v>
      </c>
      <c r="D102" s="6">
        <v>14.47</v>
      </c>
      <c r="E102" s="6">
        <v>6.64</v>
      </c>
      <c r="F102" s="152" t="s">
        <v>15</v>
      </c>
      <c r="G102" s="6">
        <v>80.489999999999995</v>
      </c>
      <c r="H102" s="6">
        <v>25.17</v>
      </c>
      <c r="I102" s="6">
        <v>8.4499999999999993</v>
      </c>
      <c r="J102" s="6">
        <v>0.13</v>
      </c>
      <c r="K102" s="6">
        <v>42.1</v>
      </c>
      <c r="L102" s="6">
        <v>7.84</v>
      </c>
      <c r="M102" s="6">
        <v>1.53</v>
      </c>
      <c r="N102" s="6">
        <v>2.1</v>
      </c>
      <c r="O102" s="6">
        <v>0</v>
      </c>
      <c r="P102" s="6">
        <v>0.54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1390</v>
      </c>
      <c r="B103" s="6">
        <v>7.25</v>
      </c>
      <c r="C103" s="6">
        <v>7.39</v>
      </c>
      <c r="D103" s="6">
        <v>14.64</v>
      </c>
      <c r="E103" s="6">
        <v>6.71</v>
      </c>
      <c r="F103" s="152" t="s">
        <v>15</v>
      </c>
      <c r="G103" s="6">
        <v>77.12</v>
      </c>
      <c r="H103" s="6">
        <v>25.46</v>
      </c>
      <c r="I103" s="6">
        <v>8.4499999999999993</v>
      </c>
      <c r="J103" s="6">
        <v>0.1</v>
      </c>
      <c r="K103" s="6">
        <v>81.62</v>
      </c>
      <c r="L103" s="6">
        <v>10.11</v>
      </c>
      <c r="M103" s="6">
        <v>7.33</v>
      </c>
      <c r="N103" s="6">
        <v>2.2999999999999998</v>
      </c>
      <c r="O103" s="6">
        <v>0</v>
      </c>
      <c r="P103" s="6">
        <v>0.54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1391</v>
      </c>
      <c r="B104" s="6">
        <v>7.48</v>
      </c>
      <c r="C104" s="6">
        <v>7.18</v>
      </c>
      <c r="D104" s="6">
        <v>14.66</v>
      </c>
      <c r="E104" s="6">
        <v>6.95</v>
      </c>
      <c r="F104" s="152" t="s">
        <v>15</v>
      </c>
      <c r="G104" s="6">
        <v>76.209999999999994</v>
      </c>
      <c r="H104" s="6">
        <v>25.46</v>
      </c>
      <c r="I104" s="6">
        <v>8.56</v>
      </c>
      <c r="J104" s="6">
        <v>0.08</v>
      </c>
      <c r="K104" s="6">
        <v>142.5</v>
      </c>
      <c r="L104" s="6">
        <v>12.89</v>
      </c>
      <c r="M104" s="6">
        <v>14.4</v>
      </c>
      <c r="N104" s="6">
        <v>2.2999999999999998</v>
      </c>
      <c r="O104" s="6">
        <v>0</v>
      </c>
      <c r="P104" s="6">
        <v>0.54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3.07</v>
      </c>
      <c r="C106" s="158">
        <f>MIN(C9:C104)</f>
        <v>7.13</v>
      </c>
      <c r="D106" s="158">
        <f t="shared" ref="D106:Q106" si="0">MIN(D9:D104)</f>
        <v>10.57</v>
      </c>
      <c r="E106" s="158">
        <f t="shared" si="0"/>
        <v>4.62</v>
      </c>
      <c r="F106" s="158">
        <f t="shared" si="0"/>
        <v>0</v>
      </c>
      <c r="G106" s="158">
        <f t="shared" si="0"/>
        <v>48.2</v>
      </c>
      <c r="H106" s="158">
        <f t="shared" si="0"/>
        <v>16.38</v>
      </c>
      <c r="I106" s="158">
        <f t="shared" si="0"/>
        <v>5.61</v>
      </c>
      <c r="J106" s="158">
        <f t="shared" si="0"/>
        <v>0.05</v>
      </c>
      <c r="K106" s="158">
        <f t="shared" si="0"/>
        <v>3.79</v>
      </c>
      <c r="L106" s="158">
        <f t="shared" si="0"/>
        <v>6.53</v>
      </c>
      <c r="M106" s="158">
        <f t="shared" si="0"/>
        <v>0.14000000000000001</v>
      </c>
      <c r="N106" s="158">
        <f t="shared" si="0"/>
        <v>2.1</v>
      </c>
      <c r="O106" s="158">
        <f t="shared" si="0"/>
        <v>0</v>
      </c>
      <c r="P106" s="158">
        <f t="shared" si="0"/>
        <v>0.31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15.97</v>
      </c>
      <c r="C107" s="157">
        <f t="shared" ref="C107:Q107" si="1">MAX(C9:C104)</f>
        <v>9.98</v>
      </c>
      <c r="D107" s="157">
        <f t="shared" si="1"/>
        <v>24.3</v>
      </c>
      <c r="E107" s="157">
        <f t="shared" si="1"/>
        <v>7.43</v>
      </c>
      <c r="F107" s="157">
        <f t="shared" si="1"/>
        <v>0</v>
      </c>
      <c r="G107" s="157">
        <f t="shared" si="1"/>
        <v>91.28</v>
      </c>
      <c r="H107" s="157">
        <f t="shared" si="1"/>
        <v>25.46</v>
      </c>
      <c r="I107" s="157">
        <f t="shared" si="1"/>
        <v>8.56</v>
      </c>
      <c r="J107" s="157">
        <f t="shared" si="1"/>
        <v>0.76</v>
      </c>
      <c r="K107" s="157">
        <f t="shared" si="1"/>
        <v>157.58000000000001</v>
      </c>
      <c r="L107" s="157">
        <f t="shared" si="1"/>
        <v>19.809999999999999</v>
      </c>
      <c r="M107" s="157">
        <f t="shared" si="1"/>
        <v>23.5</v>
      </c>
      <c r="N107" s="157">
        <f t="shared" si="1"/>
        <v>570</v>
      </c>
      <c r="O107" s="157">
        <f t="shared" si="1"/>
        <v>0</v>
      </c>
      <c r="P107" s="157">
        <f t="shared" si="1"/>
        <v>0.54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8.9988541666666695</v>
      </c>
      <c r="C108" s="158">
        <f t="shared" ref="C108:Q108" si="2">AVERAGE(C9:C104)</f>
        <v>8.0937500000000018</v>
      </c>
      <c r="D108" s="158">
        <f t="shared" si="2"/>
        <v>17.09249999999999</v>
      </c>
      <c r="E108" s="158">
        <f t="shared" si="2"/>
        <v>6.0171874999999995</v>
      </c>
      <c r="F108" s="158" t="e">
        <f t="shared" si="2"/>
        <v>#DIV/0!</v>
      </c>
      <c r="G108" s="158">
        <f t="shared" si="2"/>
        <v>59.585624999999986</v>
      </c>
      <c r="H108" s="158">
        <f t="shared" si="2"/>
        <v>20.646250000000006</v>
      </c>
      <c r="I108" s="158">
        <f t="shared" si="2"/>
        <v>6.4584375000000014</v>
      </c>
      <c r="J108" s="158">
        <f t="shared" si="2"/>
        <v>0.2676041666666667</v>
      </c>
      <c r="K108" s="158">
        <f t="shared" si="2"/>
        <v>59.634999999999998</v>
      </c>
      <c r="L108" s="158">
        <f t="shared" si="2"/>
        <v>11.222499999999997</v>
      </c>
      <c r="M108" s="158">
        <f t="shared" si="2"/>
        <v>7.8807291666666677</v>
      </c>
      <c r="N108" s="158">
        <f t="shared" si="2"/>
        <v>114.6697916666667</v>
      </c>
      <c r="O108" s="158">
        <f t="shared" si="2"/>
        <v>0</v>
      </c>
      <c r="P108" s="158">
        <f t="shared" si="2"/>
        <v>0.3708333333333334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4.8774786130350094</v>
      </c>
      <c r="C109" s="158">
        <f t="shared" ref="C109:Q109" si="3">STDEV(C9:C104)</f>
        <v>0.64455819221998489</v>
      </c>
      <c r="D109" s="158">
        <f t="shared" si="3"/>
        <v>4.8810311680174987</v>
      </c>
      <c r="E109" s="158">
        <f t="shared" si="3"/>
        <v>0.7229263675470301</v>
      </c>
      <c r="F109" s="158" t="e">
        <f t="shared" si="3"/>
        <v>#DIV/0!</v>
      </c>
      <c r="G109" s="158">
        <f t="shared" si="3"/>
        <v>11.275335337527144</v>
      </c>
      <c r="H109" s="158">
        <f t="shared" si="3"/>
        <v>2.2911009764325234</v>
      </c>
      <c r="I109" s="158">
        <f t="shared" si="3"/>
        <v>0.77724117793913172</v>
      </c>
      <c r="J109" s="158">
        <f t="shared" si="3"/>
        <v>0.14125560848980301</v>
      </c>
      <c r="K109" s="158">
        <f t="shared" si="3"/>
        <v>34.794195674445142</v>
      </c>
      <c r="L109" s="158">
        <f t="shared" si="3"/>
        <v>2.9125250394225382</v>
      </c>
      <c r="M109" s="158">
        <f t="shared" si="3"/>
        <v>5.271342632283524</v>
      </c>
      <c r="N109" s="158">
        <f t="shared" si="3"/>
        <v>179.61014220559483</v>
      </c>
      <c r="O109" s="158">
        <f t="shared" si="3"/>
        <v>0</v>
      </c>
      <c r="P109" s="158">
        <f t="shared" si="3"/>
        <v>6.238533340907472E-2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I100" sqref="I10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1392</v>
      </c>
      <c r="B9" s="6">
        <v>7.94</v>
      </c>
      <c r="C9" s="6">
        <v>6.86</v>
      </c>
      <c r="D9" s="6">
        <v>14.8</v>
      </c>
      <c r="E9" s="6">
        <v>6.64</v>
      </c>
      <c r="F9" s="152" t="s">
        <v>15</v>
      </c>
      <c r="G9" s="6">
        <v>76.209999999999994</v>
      </c>
      <c r="H9" s="6">
        <v>25.46</v>
      </c>
      <c r="I9" s="6">
        <v>8.5500000000000007</v>
      </c>
      <c r="J9" s="6">
        <v>0.14000000000000001</v>
      </c>
      <c r="K9" s="6">
        <v>165.53</v>
      </c>
      <c r="L9" s="6">
        <v>16.03</v>
      </c>
      <c r="M9" s="6">
        <v>22.35</v>
      </c>
      <c r="N9" s="6">
        <v>2.2999999999999998</v>
      </c>
      <c r="O9" s="6">
        <v>0</v>
      </c>
      <c r="P9" s="6">
        <v>0.55000000000000004</v>
      </c>
      <c r="Q9" s="6">
        <v>10</v>
      </c>
      <c r="R9" s="6"/>
      <c r="S9" s="6"/>
      <c r="T9" s="156"/>
      <c r="U9" s="6"/>
    </row>
    <row r="10" spans="1:21" customFormat="1">
      <c r="A10" s="201" t="s">
        <v>1393</v>
      </c>
      <c r="B10" s="6">
        <v>8.1300000000000008</v>
      </c>
      <c r="C10" s="6">
        <v>7.09</v>
      </c>
      <c r="D10" s="6">
        <v>15.21</v>
      </c>
      <c r="E10" s="6">
        <v>6.65</v>
      </c>
      <c r="F10" s="152" t="s">
        <v>15</v>
      </c>
      <c r="G10" s="6">
        <v>76.209999999999994</v>
      </c>
      <c r="H10" s="6">
        <v>25.46</v>
      </c>
      <c r="I10" s="6">
        <v>8.5500000000000007</v>
      </c>
      <c r="J10" s="6">
        <v>7.0000000000000007E-2</v>
      </c>
      <c r="K10" s="6">
        <v>12.31</v>
      </c>
      <c r="L10" s="6">
        <v>16.66</v>
      </c>
      <c r="M10" s="6">
        <v>23.75</v>
      </c>
      <c r="N10" s="6">
        <v>2.1</v>
      </c>
      <c r="O10" s="6">
        <v>0</v>
      </c>
      <c r="P10" s="6">
        <v>0.54</v>
      </c>
      <c r="Q10" s="6">
        <v>10</v>
      </c>
      <c r="R10" s="6"/>
      <c r="S10" s="6"/>
      <c r="T10" s="156"/>
      <c r="U10" s="6"/>
    </row>
    <row r="11" spans="1:21" customFormat="1">
      <c r="A11" s="201" t="s">
        <v>1394</v>
      </c>
      <c r="B11" s="6">
        <v>8.3699999999999992</v>
      </c>
      <c r="C11" s="6">
        <v>7.13</v>
      </c>
      <c r="D11" s="6">
        <v>15.49</v>
      </c>
      <c r="E11" s="6">
        <v>6.53</v>
      </c>
      <c r="F11" s="152" t="s">
        <v>15</v>
      </c>
      <c r="G11" s="6">
        <v>70.510000000000005</v>
      </c>
      <c r="H11" s="6">
        <v>24.44</v>
      </c>
      <c r="I11" s="6">
        <v>8.52</v>
      </c>
      <c r="J11" s="6">
        <v>0.06</v>
      </c>
      <c r="K11" s="6">
        <v>97.05</v>
      </c>
      <c r="L11" s="6">
        <v>11</v>
      </c>
      <c r="M11" s="6">
        <v>9.6199999999999992</v>
      </c>
      <c r="N11" s="6">
        <v>2.1</v>
      </c>
      <c r="O11" s="6">
        <v>0</v>
      </c>
      <c r="P11" s="6">
        <v>0.54</v>
      </c>
      <c r="Q11" s="6">
        <v>10</v>
      </c>
      <c r="R11" s="6"/>
      <c r="S11" s="6"/>
      <c r="T11" s="156"/>
      <c r="U11" s="6"/>
    </row>
    <row r="12" spans="1:21" customFormat="1">
      <c r="A12" s="201" t="s">
        <v>1395</v>
      </c>
      <c r="B12" s="6">
        <v>8.7100000000000009</v>
      </c>
      <c r="C12" s="6">
        <v>7.26</v>
      </c>
      <c r="D12" s="6">
        <v>15.97</v>
      </c>
      <c r="E12" s="6">
        <v>6.71</v>
      </c>
      <c r="F12" s="152" t="s">
        <v>15</v>
      </c>
      <c r="G12" s="6">
        <v>68.98</v>
      </c>
      <c r="H12" s="6">
        <v>24.44</v>
      </c>
      <c r="I12" s="6">
        <v>8.49</v>
      </c>
      <c r="J12" s="6">
        <v>0.11</v>
      </c>
      <c r="K12" s="6">
        <v>36.15</v>
      </c>
      <c r="L12" s="6">
        <v>7.31</v>
      </c>
      <c r="M12" s="6">
        <v>0.14000000000000001</v>
      </c>
      <c r="N12" s="6">
        <v>2.1</v>
      </c>
      <c r="O12" s="6">
        <v>0</v>
      </c>
      <c r="P12" s="6">
        <v>0.54</v>
      </c>
      <c r="Q12" s="6">
        <v>10.02</v>
      </c>
      <c r="R12" s="6"/>
      <c r="S12" s="6"/>
      <c r="T12" s="156"/>
      <c r="U12" s="6"/>
    </row>
    <row r="13" spans="1:21" customFormat="1">
      <c r="A13" s="201" t="s">
        <v>1396</v>
      </c>
      <c r="B13" s="6">
        <v>8.9499999999999993</v>
      </c>
      <c r="C13" s="6">
        <v>7.26</v>
      </c>
      <c r="D13" s="6">
        <v>16.21</v>
      </c>
      <c r="E13" s="6">
        <v>6.66</v>
      </c>
      <c r="F13" s="152" t="s">
        <v>15</v>
      </c>
      <c r="G13" s="6">
        <v>68.98</v>
      </c>
      <c r="H13" s="6">
        <v>24.44</v>
      </c>
      <c r="I13" s="6">
        <v>8.43</v>
      </c>
      <c r="J13" s="6">
        <v>0.2</v>
      </c>
      <c r="K13" s="6">
        <v>18.11</v>
      </c>
      <c r="L13" s="6">
        <v>13.78</v>
      </c>
      <c r="M13" s="6">
        <v>16.309999999999999</v>
      </c>
      <c r="N13" s="6">
        <v>2.1</v>
      </c>
      <c r="O13" s="6">
        <v>0</v>
      </c>
      <c r="P13" s="6">
        <v>0.54</v>
      </c>
      <c r="Q13" s="6">
        <v>10.029999999999999</v>
      </c>
      <c r="R13" s="6"/>
      <c r="S13" s="6"/>
      <c r="T13" s="156"/>
      <c r="U13" s="6"/>
    </row>
    <row r="14" spans="1:21" customFormat="1">
      <c r="A14" s="201" t="s">
        <v>1397</v>
      </c>
      <c r="B14" s="6">
        <v>9.17</v>
      </c>
      <c r="C14" s="6">
        <v>7.37</v>
      </c>
      <c r="D14" s="6">
        <v>16.55</v>
      </c>
      <c r="E14" s="6">
        <v>6.66</v>
      </c>
      <c r="F14" s="152" t="s">
        <v>15</v>
      </c>
      <c r="G14" s="6">
        <v>68.98</v>
      </c>
      <c r="H14" s="6">
        <v>24.44</v>
      </c>
      <c r="I14" s="6">
        <v>8.48</v>
      </c>
      <c r="J14" s="6">
        <v>0.2</v>
      </c>
      <c r="K14" s="6">
        <v>20.14</v>
      </c>
      <c r="L14" s="6">
        <v>8.44</v>
      </c>
      <c r="M14" s="6">
        <v>2.89</v>
      </c>
      <c r="N14" s="6">
        <v>2.1</v>
      </c>
      <c r="O14" s="6">
        <v>0</v>
      </c>
      <c r="P14" s="6">
        <v>0.54</v>
      </c>
      <c r="Q14" s="6">
        <v>10</v>
      </c>
      <c r="R14" s="6"/>
      <c r="S14" s="6"/>
      <c r="T14" s="156"/>
      <c r="U14" s="6"/>
    </row>
    <row r="15" spans="1:21" customFormat="1">
      <c r="A15" s="201" t="s">
        <v>1398</v>
      </c>
      <c r="B15" s="6">
        <v>9.3800000000000008</v>
      </c>
      <c r="C15" s="6">
        <v>7.27</v>
      </c>
      <c r="D15" s="6">
        <v>16.64</v>
      </c>
      <c r="E15" s="6">
        <v>6.62</v>
      </c>
      <c r="F15" s="152" t="s">
        <v>15</v>
      </c>
      <c r="G15" s="6">
        <v>74.099999999999994</v>
      </c>
      <c r="H15" s="6">
        <v>24.6</v>
      </c>
      <c r="I15" s="6">
        <v>8.4499999999999993</v>
      </c>
      <c r="J15" s="6">
        <v>0.25</v>
      </c>
      <c r="K15" s="6">
        <v>28.91</v>
      </c>
      <c r="L15" s="6">
        <v>8.89</v>
      </c>
      <c r="M15" s="6">
        <v>4.78</v>
      </c>
      <c r="N15" s="6">
        <v>2.2999999999999998</v>
      </c>
      <c r="O15" s="6">
        <v>0</v>
      </c>
      <c r="P15" s="6">
        <v>0.54</v>
      </c>
      <c r="Q15" s="6">
        <v>10</v>
      </c>
      <c r="R15" s="6"/>
      <c r="S15" s="6"/>
      <c r="T15" s="156"/>
      <c r="U15" s="6"/>
    </row>
    <row r="16" spans="1:21" customFormat="1">
      <c r="A16" s="201" t="s">
        <v>1399</v>
      </c>
      <c r="B16" s="6">
        <v>9.66</v>
      </c>
      <c r="C16" s="6">
        <v>7.58</v>
      </c>
      <c r="D16" s="6">
        <v>17.239999999999998</v>
      </c>
      <c r="E16" s="6">
        <v>7.05</v>
      </c>
      <c r="F16" s="152" t="s">
        <v>15</v>
      </c>
      <c r="G16" s="6">
        <v>75.56</v>
      </c>
      <c r="H16" s="6">
        <v>24.6</v>
      </c>
      <c r="I16" s="6">
        <v>8.5299999999999994</v>
      </c>
      <c r="J16" s="6">
        <v>0.21</v>
      </c>
      <c r="K16" s="6">
        <v>14.73</v>
      </c>
      <c r="L16" s="6">
        <v>9.85</v>
      </c>
      <c r="M16" s="6">
        <v>6.43</v>
      </c>
      <c r="N16" s="6">
        <v>2.4</v>
      </c>
      <c r="O16" s="6">
        <v>0</v>
      </c>
      <c r="P16" s="6">
        <v>0.53</v>
      </c>
      <c r="Q16" s="6">
        <v>10</v>
      </c>
      <c r="R16" s="6"/>
      <c r="S16" s="6"/>
      <c r="T16" s="156"/>
      <c r="U16" s="6"/>
    </row>
    <row r="17" spans="1:21" customFormat="1">
      <c r="A17" s="201" t="s">
        <v>1400</v>
      </c>
      <c r="B17" s="6">
        <v>9.8800000000000008</v>
      </c>
      <c r="C17" s="6">
        <v>7.45</v>
      </c>
      <c r="D17" s="6">
        <v>17.329999999999998</v>
      </c>
      <c r="E17" s="6">
        <v>4.55</v>
      </c>
      <c r="F17" s="152" t="s">
        <v>15</v>
      </c>
      <c r="G17" s="6">
        <v>75.56</v>
      </c>
      <c r="H17" s="6">
        <v>24.6</v>
      </c>
      <c r="I17" s="6">
        <v>8.51</v>
      </c>
      <c r="J17" s="6">
        <v>0.22</v>
      </c>
      <c r="K17" s="6">
        <v>25.6</v>
      </c>
      <c r="L17" s="6">
        <v>8.83</v>
      </c>
      <c r="M17" s="6">
        <v>3.87</v>
      </c>
      <c r="N17" s="6">
        <v>2.4</v>
      </c>
      <c r="O17" s="6">
        <v>0</v>
      </c>
      <c r="P17" s="6">
        <v>0.54</v>
      </c>
      <c r="Q17" s="6">
        <v>10</v>
      </c>
      <c r="R17" s="6"/>
      <c r="S17" s="6"/>
      <c r="T17" s="156"/>
      <c r="U17" s="6"/>
    </row>
    <row r="18" spans="1:21" customFormat="1">
      <c r="A18" s="201" t="s">
        <v>1401</v>
      </c>
      <c r="B18" s="6">
        <v>10.1</v>
      </c>
      <c r="C18" s="6">
        <v>7.43</v>
      </c>
      <c r="D18" s="6">
        <v>17.53</v>
      </c>
      <c r="E18" s="6">
        <v>5.64</v>
      </c>
      <c r="F18" s="152" t="s">
        <v>15</v>
      </c>
      <c r="G18" s="6">
        <v>75.56</v>
      </c>
      <c r="H18" s="6">
        <v>24.6</v>
      </c>
      <c r="I18" s="6">
        <v>8.5399999999999991</v>
      </c>
      <c r="J18" s="6">
        <v>0.31</v>
      </c>
      <c r="K18" s="6">
        <v>43.63</v>
      </c>
      <c r="L18" s="6">
        <v>6.86</v>
      </c>
      <c r="M18" s="6">
        <v>-0.93</v>
      </c>
      <c r="N18" s="6">
        <v>2.2999999999999998</v>
      </c>
      <c r="O18" s="6">
        <v>0</v>
      </c>
      <c r="P18" s="6">
        <v>0.53</v>
      </c>
      <c r="Q18" s="6">
        <v>10</v>
      </c>
      <c r="R18" s="6"/>
      <c r="S18" s="6"/>
      <c r="T18" s="156"/>
      <c r="U18" s="6"/>
    </row>
    <row r="19" spans="1:21" customFormat="1">
      <c r="A19" s="201" t="s">
        <v>1402</v>
      </c>
      <c r="B19" s="6">
        <v>10.24</v>
      </c>
      <c r="C19" s="6">
        <v>7.35</v>
      </c>
      <c r="D19" s="6">
        <v>17.59</v>
      </c>
      <c r="E19" s="6">
        <v>5.84</v>
      </c>
      <c r="F19" s="152" t="s">
        <v>15</v>
      </c>
      <c r="G19" s="6">
        <v>78.760000000000005</v>
      </c>
      <c r="H19" s="6">
        <v>27.12</v>
      </c>
      <c r="I19" s="6">
        <v>8.5399999999999991</v>
      </c>
      <c r="J19" s="6">
        <v>0.37</v>
      </c>
      <c r="K19" s="6">
        <v>37.43</v>
      </c>
      <c r="L19" s="6">
        <v>8.25</v>
      </c>
      <c r="M19" s="6">
        <v>2.5</v>
      </c>
      <c r="N19" s="6">
        <v>2.2000000000000002</v>
      </c>
      <c r="O19" s="6">
        <v>0</v>
      </c>
      <c r="P19" s="6">
        <v>0.54</v>
      </c>
      <c r="Q19" s="6">
        <v>10</v>
      </c>
      <c r="R19" s="6"/>
      <c r="S19" s="6"/>
      <c r="T19" s="156"/>
      <c r="U19" s="6"/>
    </row>
    <row r="20" spans="1:21" customFormat="1">
      <c r="A20" s="201" t="s">
        <v>1403</v>
      </c>
      <c r="B20" s="6">
        <v>10.39</v>
      </c>
      <c r="C20" s="6">
        <v>7.35</v>
      </c>
      <c r="D20" s="6">
        <v>17.739999999999998</v>
      </c>
      <c r="E20" s="6">
        <v>5.83</v>
      </c>
      <c r="F20" s="152" t="s">
        <v>15</v>
      </c>
      <c r="G20" s="6">
        <v>79.67</v>
      </c>
      <c r="H20" s="6">
        <v>27.12</v>
      </c>
      <c r="I20" s="6">
        <v>8.5</v>
      </c>
      <c r="J20" s="6">
        <v>0.39</v>
      </c>
      <c r="K20" s="6">
        <v>37.39</v>
      </c>
      <c r="L20" s="6">
        <v>6.5</v>
      </c>
      <c r="M20" s="6">
        <v>-1.93</v>
      </c>
      <c r="N20" s="6">
        <v>2.2000000000000002</v>
      </c>
      <c r="O20" s="6">
        <v>0</v>
      </c>
      <c r="P20" s="6">
        <v>0.52</v>
      </c>
      <c r="Q20" s="6">
        <v>10</v>
      </c>
      <c r="R20" s="6"/>
      <c r="S20" s="6"/>
      <c r="T20" s="156"/>
      <c r="U20" s="6"/>
    </row>
    <row r="21" spans="1:21" customFormat="1">
      <c r="A21" s="201" t="s">
        <v>1404</v>
      </c>
      <c r="B21" s="6">
        <v>10.45</v>
      </c>
      <c r="C21" s="6">
        <v>7.44</v>
      </c>
      <c r="D21" s="6">
        <v>17.89</v>
      </c>
      <c r="E21" s="6">
        <v>5.79</v>
      </c>
      <c r="F21" s="152" t="s">
        <v>15</v>
      </c>
      <c r="G21" s="6">
        <v>79.67</v>
      </c>
      <c r="H21" s="6">
        <v>27.12</v>
      </c>
      <c r="I21" s="6">
        <v>8.43</v>
      </c>
      <c r="J21" s="6">
        <v>0.43</v>
      </c>
      <c r="K21" s="6">
        <v>30.12</v>
      </c>
      <c r="L21" s="6">
        <v>7.6</v>
      </c>
      <c r="M21" s="6">
        <v>0.8</v>
      </c>
      <c r="N21" s="6">
        <v>2.2000000000000002</v>
      </c>
      <c r="O21" s="6">
        <v>0</v>
      </c>
      <c r="P21" s="6">
        <v>0.53</v>
      </c>
      <c r="Q21" s="6">
        <v>10</v>
      </c>
      <c r="R21" s="6"/>
      <c r="S21" s="6"/>
      <c r="T21" s="156"/>
      <c r="U21" s="6"/>
    </row>
    <row r="22" spans="1:21" customFormat="1">
      <c r="A22" s="201" t="s">
        <v>1405</v>
      </c>
      <c r="B22" s="6">
        <v>10.43</v>
      </c>
      <c r="C22" s="6">
        <v>7.33</v>
      </c>
      <c r="D22" s="6">
        <v>17.760000000000002</v>
      </c>
      <c r="E22" s="6">
        <v>6.02</v>
      </c>
      <c r="F22" s="152" t="s">
        <v>15</v>
      </c>
      <c r="G22" s="6">
        <v>79.67</v>
      </c>
      <c r="H22" s="6">
        <v>27.12</v>
      </c>
      <c r="I22" s="6">
        <v>8.43</v>
      </c>
      <c r="J22" s="6">
        <v>0.33</v>
      </c>
      <c r="K22" s="6">
        <v>39.78</v>
      </c>
      <c r="L22" s="6">
        <v>7.38</v>
      </c>
      <c r="M22" s="6">
        <v>0.36</v>
      </c>
      <c r="N22" s="6">
        <v>2.2000000000000002</v>
      </c>
      <c r="O22" s="6">
        <v>0</v>
      </c>
      <c r="P22" s="6">
        <v>0.51</v>
      </c>
      <c r="Q22" s="6">
        <v>10</v>
      </c>
      <c r="R22" s="6"/>
      <c r="S22" s="6"/>
      <c r="T22" s="156"/>
      <c r="U22" s="6"/>
    </row>
    <row r="23" spans="1:21" customFormat="1">
      <c r="A23" s="201" t="s">
        <v>1406</v>
      </c>
      <c r="B23" s="6">
        <v>10.14</v>
      </c>
      <c r="C23" s="6">
        <v>7.45</v>
      </c>
      <c r="D23" s="6">
        <v>17.59</v>
      </c>
      <c r="E23" s="6">
        <v>5.64</v>
      </c>
      <c r="F23" s="152" t="s">
        <v>15</v>
      </c>
      <c r="G23" s="6">
        <v>70.650000000000006</v>
      </c>
      <c r="H23" s="6">
        <v>25.15</v>
      </c>
      <c r="I23" s="6">
        <v>8.31</v>
      </c>
      <c r="J23" s="6">
        <v>0.33</v>
      </c>
      <c r="K23" s="6">
        <v>37.11</v>
      </c>
      <c r="L23" s="6">
        <v>7.55</v>
      </c>
      <c r="M23" s="6">
        <v>0.74</v>
      </c>
      <c r="N23" s="6">
        <v>2.4</v>
      </c>
      <c r="O23" s="6">
        <v>0</v>
      </c>
      <c r="P23" s="6">
        <v>0.48</v>
      </c>
      <c r="Q23" s="6">
        <v>10</v>
      </c>
      <c r="R23" s="6"/>
      <c r="S23" s="6"/>
      <c r="T23" s="156"/>
      <c r="U23" s="6"/>
    </row>
    <row r="24" spans="1:21" customFormat="1">
      <c r="A24" s="201" t="s">
        <v>1407</v>
      </c>
      <c r="B24" s="6">
        <v>10</v>
      </c>
      <c r="C24" s="6">
        <v>7.71</v>
      </c>
      <c r="D24" s="6">
        <v>17.71</v>
      </c>
      <c r="E24" s="6">
        <v>5.47</v>
      </c>
      <c r="F24" s="152" t="s">
        <v>15</v>
      </c>
      <c r="G24" s="6">
        <v>68.069999999999993</v>
      </c>
      <c r="H24" s="6">
        <v>25.15</v>
      </c>
      <c r="I24" s="6">
        <v>8.3000000000000007</v>
      </c>
      <c r="J24" s="6">
        <v>0.27</v>
      </c>
      <c r="K24" s="6">
        <v>39.340000000000003</v>
      </c>
      <c r="L24" s="6">
        <v>6.48</v>
      </c>
      <c r="M24" s="6">
        <v>-1.87</v>
      </c>
      <c r="N24" s="6">
        <v>2.4</v>
      </c>
      <c r="O24" s="6">
        <v>0</v>
      </c>
      <c r="P24" s="6">
        <v>0.47</v>
      </c>
      <c r="Q24" s="6">
        <v>10</v>
      </c>
      <c r="R24" s="6"/>
      <c r="S24" s="6"/>
      <c r="T24" s="156"/>
      <c r="U24" s="6"/>
    </row>
    <row r="25" spans="1:21" customFormat="1">
      <c r="A25" s="201" t="s">
        <v>1408</v>
      </c>
      <c r="B25" s="6">
        <v>9.94</v>
      </c>
      <c r="C25" s="6">
        <v>7.91</v>
      </c>
      <c r="D25" s="6">
        <v>17.850000000000001</v>
      </c>
      <c r="E25" s="6">
        <v>5.46</v>
      </c>
      <c r="F25" s="152" t="s">
        <v>15</v>
      </c>
      <c r="G25" s="6">
        <v>68.069999999999993</v>
      </c>
      <c r="H25" s="6">
        <v>25.15</v>
      </c>
      <c r="I25" s="6">
        <v>8.3000000000000007</v>
      </c>
      <c r="J25" s="6">
        <v>0.42</v>
      </c>
      <c r="K25" s="6">
        <v>33.68</v>
      </c>
      <c r="L25" s="6">
        <v>6.08</v>
      </c>
      <c r="M25" s="6">
        <v>-2.99</v>
      </c>
      <c r="N25" s="6">
        <v>2.2999999999999998</v>
      </c>
      <c r="O25" s="6">
        <v>0</v>
      </c>
      <c r="P25" s="6">
        <v>0.46</v>
      </c>
      <c r="Q25" s="6">
        <v>10</v>
      </c>
      <c r="R25" s="6"/>
      <c r="S25" s="6"/>
      <c r="T25" s="156"/>
      <c r="U25" s="6"/>
    </row>
    <row r="26" spans="1:21" customFormat="1">
      <c r="A26" s="201" t="s">
        <v>1409</v>
      </c>
      <c r="B26" s="6">
        <v>10</v>
      </c>
      <c r="C26" s="6">
        <v>8.07</v>
      </c>
      <c r="D26" s="6">
        <v>18.059999999999999</v>
      </c>
      <c r="E26" s="6">
        <v>5.31</v>
      </c>
      <c r="F26" s="152" t="s">
        <v>15</v>
      </c>
      <c r="G26" s="6">
        <v>68.069999999999993</v>
      </c>
      <c r="H26" s="6">
        <v>25.15</v>
      </c>
      <c r="I26" s="6">
        <v>8.24</v>
      </c>
      <c r="J26" s="6">
        <v>0.46</v>
      </c>
      <c r="K26" s="6">
        <v>36.31</v>
      </c>
      <c r="L26" s="6">
        <v>6.01</v>
      </c>
      <c r="M26" s="6">
        <v>-3.12</v>
      </c>
      <c r="N26" s="6">
        <v>2.2999999999999998</v>
      </c>
      <c r="O26" s="6">
        <v>0</v>
      </c>
      <c r="P26" s="6">
        <v>0.46</v>
      </c>
      <c r="Q26" s="6">
        <v>10</v>
      </c>
      <c r="R26" s="6"/>
      <c r="S26" s="6"/>
      <c r="T26" s="156"/>
      <c r="U26" s="6"/>
    </row>
    <row r="27" spans="1:21" customFormat="1">
      <c r="A27" s="201" t="s">
        <v>1410</v>
      </c>
      <c r="B27" s="6">
        <v>9.94</v>
      </c>
      <c r="C27" s="6">
        <v>8.1</v>
      </c>
      <c r="D27" s="6">
        <v>18.03</v>
      </c>
      <c r="E27" s="6">
        <v>5.33</v>
      </c>
      <c r="F27" s="152" t="s">
        <v>15</v>
      </c>
      <c r="G27" s="6">
        <v>67.73</v>
      </c>
      <c r="H27" s="6">
        <v>23.76</v>
      </c>
      <c r="I27" s="6">
        <v>8.14</v>
      </c>
      <c r="J27" s="6">
        <v>0.47</v>
      </c>
      <c r="K27" s="6">
        <v>36.44</v>
      </c>
      <c r="L27" s="6">
        <v>6.34</v>
      </c>
      <c r="M27" s="6">
        <v>-2.3199999999999998</v>
      </c>
      <c r="N27" s="6">
        <v>2.2000000000000002</v>
      </c>
      <c r="O27" s="6">
        <v>0</v>
      </c>
      <c r="P27" s="6">
        <v>0.45</v>
      </c>
      <c r="Q27" s="6">
        <v>10</v>
      </c>
      <c r="R27" s="6"/>
      <c r="S27" s="6"/>
      <c r="T27" s="156"/>
      <c r="U27" s="6"/>
    </row>
    <row r="28" spans="1:21" customFormat="1">
      <c r="A28" s="201" t="s">
        <v>1411</v>
      </c>
      <c r="B28" s="6">
        <v>9.81</v>
      </c>
      <c r="C28" s="6">
        <v>8.1300000000000008</v>
      </c>
      <c r="D28" s="6">
        <v>17.940000000000001</v>
      </c>
      <c r="E28" s="6">
        <v>5.34</v>
      </c>
      <c r="F28" s="152" t="s">
        <v>15</v>
      </c>
      <c r="G28" s="6">
        <v>67.64</v>
      </c>
      <c r="H28" s="6">
        <v>23.76</v>
      </c>
      <c r="I28" s="6">
        <v>8.0500000000000007</v>
      </c>
      <c r="J28" s="6">
        <v>0.31</v>
      </c>
      <c r="K28" s="6">
        <v>45.27</v>
      </c>
      <c r="L28" s="6">
        <v>7.69</v>
      </c>
      <c r="M28" s="6">
        <v>1.19</v>
      </c>
      <c r="N28" s="6">
        <v>2.1</v>
      </c>
      <c r="O28" s="6">
        <v>0</v>
      </c>
      <c r="P28" s="6">
        <v>0.44</v>
      </c>
      <c r="Q28" s="6">
        <v>10</v>
      </c>
      <c r="R28" s="6"/>
      <c r="S28" s="6"/>
      <c r="T28" s="156"/>
      <c r="U28" s="6"/>
    </row>
    <row r="29" spans="1:21" customFormat="1">
      <c r="A29" s="201" t="s">
        <v>1412</v>
      </c>
      <c r="B29" s="6">
        <v>9.68</v>
      </c>
      <c r="C29" s="6">
        <v>8.15</v>
      </c>
      <c r="D29" s="6">
        <v>17.829999999999998</v>
      </c>
      <c r="E29" s="6">
        <v>5.33</v>
      </c>
      <c r="F29" s="152" t="s">
        <v>15</v>
      </c>
      <c r="G29" s="6">
        <v>67.64</v>
      </c>
      <c r="H29" s="6">
        <v>23.76</v>
      </c>
      <c r="I29" s="6">
        <v>8.02</v>
      </c>
      <c r="J29" s="6">
        <v>0.23</v>
      </c>
      <c r="K29" s="6">
        <v>58.46</v>
      </c>
      <c r="L29" s="6">
        <v>8.86</v>
      </c>
      <c r="M29" s="6">
        <v>4.17</v>
      </c>
      <c r="N29" s="6">
        <v>2.1</v>
      </c>
      <c r="O29" s="6">
        <v>0</v>
      </c>
      <c r="P29" s="6">
        <v>0.44</v>
      </c>
      <c r="Q29" s="6">
        <v>10</v>
      </c>
      <c r="R29" s="6"/>
      <c r="S29" s="6"/>
      <c r="T29" s="156"/>
      <c r="U29" s="6"/>
    </row>
    <row r="30" spans="1:21" customFormat="1">
      <c r="A30" s="201" t="s">
        <v>1413</v>
      </c>
      <c r="B30" s="6">
        <v>9.4700000000000006</v>
      </c>
      <c r="C30" s="6">
        <v>8.08</v>
      </c>
      <c r="D30" s="6">
        <v>17.55</v>
      </c>
      <c r="E30" s="6">
        <v>5.21</v>
      </c>
      <c r="F30" s="152" t="s">
        <v>15</v>
      </c>
      <c r="G30" s="6">
        <v>67.64</v>
      </c>
      <c r="H30" s="6">
        <v>23.76</v>
      </c>
      <c r="I30" s="6">
        <v>7.98</v>
      </c>
      <c r="J30" s="6">
        <v>0.22</v>
      </c>
      <c r="K30" s="6">
        <v>55.32</v>
      </c>
      <c r="L30" s="6">
        <v>9.15</v>
      </c>
      <c r="M30" s="6">
        <v>4.91</v>
      </c>
      <c r="N30" s="6">
        <v>2.1</v>
      </c>
      <c r="O30" s="6">
        <v>0</v>
      </c>
      <c r="P30" s="6">
        <v>0.43</v>
      </c>
      <c r="Q30" s="6">
        <v>10</v>
      </c>
      <c r="R30" s="6"/>
      <c r="S30" s="6"/>
      <c r="T30" s="156"/>
      <c r="U30" s="6"/>
    </row>
    <row r="31" spans="1:21" customFormat="1">
      <c r="A31" s="201" t="s">
        <v>1414</v>
      </c>
      <c r="B31" s="6">
        <v>9.4499999999999993</v>
      </c>
      <c r="C31" s="6">
        <v>8.1300000000000008</v>
      </c>
      <c r="D31" s="6">
        <v>17.57</v>
      </c>
      <c r="E31" s="6">
        <v>5.17</v>
      </c>
      <c r="F31" s="152" t="s">
        <v>15</v>
      </c>
      <c r="G31" s="6">
        <v>63.23</v>
      </c>
      <c r="H31" s="6">
        <v>22.48</v>
      </c>
      <c r="I31" s="6">
        <v>7.94</v>
      </c>
      <c r="J31" s="6">
        <v>0.31</v>
      </c>
      <c r="K31" s="6">
        <v>49.65</v>
      </c>
      <c r="L31" s="6">
        <v>7.22</v>
      </c>
      <c r="M31" s="6">
        <v>-0.01</v>
      </c>
      <c r="N31" s="6">
        <v>2.2999999999999998</v>
      </c>
      <c r="O31" s="6">
        <v>0</v>
      </c>
      <c r="P31" s="6">
        <v>0.43</v>
      </c>
      <c r="Q31" s="6">
        <v>10</v>
      </c>
      <c r="R31" s="6"/>
      <c r="S31" s="6"/>
      <c r="T31" s="156"/>
      <c r="U31" s="6"/>
    </row>
    <row r="32" spans="1:21" customFormat="1">
      <c r="A32" s="201" t="s">
        <v>1415</v>
      </c>
      <c r="B32" s="6">
        <v>9.5399999999999991</v>
      </c>
      <c r="C32" s="6">
        <v>8.23</v>
      </c>
      <c r="D32" s="6">
        <v>17.77</v>
      </c>
      <c r="E32" s="6">
        <v>5.3</v>
      </c>
      <c r="F32" s="152" t="s">
        <v>15</v>
      </c>
      <c r="G32" s="6">
        <v>61.97</v>
      </c>
      <c r="H32" s="6">
        <v>22.48</v>
      </c>
      <c r="I32" s="6">
        <v>7.89</v>
      </c>
      <c r="J32" s="6">
        <v>0.26</v>
      </c>
      <c r="K32" s="6">
        <v>51.6</v>
      </c>
      <c r="L32" s="6">
        <v>8.93</v>
      </c>
      <c r="M32" s="6">
        <v>4.32</v>
      </c>
      <c r="N32" s="6">
        <v>3.1</v>
      </c>
      <c r="O32" s="6">
        <v>0</v>
      </c>
      <c r="P32" s="6">
        <v>0.42</v>
      </c>
      <c r="Q32" s="6">
        <v>10</v>
      </c>
      <c r="R32" s="6"/>
      <c r="S32" s="6"/>
      <c r="T32" s="156"/>
      <c r="U32" s="6"/>
    </row>
    <row r="33" spans="1:21" customFormat="1">
      <c r="A33" s="201" t="s">
        <v>1416</v>
      </c>
      <c r="B33" s="6">
        <v>9.65</v>
      </c>
      <c r="C33" s="6">
        <v>8.35</v>
      </c>
      <c r="D33" s="6">
        <v>18</v>
      </c>
      <c r="E33" s="6">
        <v>4.99</v>
      </c>
      <c r="F33" s="152" t="s">
        <v>15</v>
      </c>
      <c r="G33" s="6">
        <v>61.97</v>
      </c>
      <c r="H33" s="6">
        <v>22.48</v>
      </c>
      <c r="I33" s="6">
        <v>7.79</v>
      </c>
      <c r="J33" s="6">
        <v>0.37</v>
      </c>
      <c r="K33" s="6">
        <v>45.44</v>
      </c>
      <c r="L33" s="6">
        <v>7.35</v>
      </c>
      <c r="M33" s="6">
        <v>0.13</v>
      </c>
      <c r="N33" s="6">
        <v>8</v>
      </c>
      <c r="O33" s="6">
        <v>0</v>
      </c>
      <c r="P33" s="6">
        <v>0.42</v>
      </c>
      <c r="Q33" s="6">
        <v>10</v>
      </c>
      <c r="R33" s="6"/>
      <c r="S33" s="6"/>
      <c r="T33" s="156"/>
      <c r="U33" s="6"/>
    </row>
    <row r="34" spans="1:21" customFormat="1">
      <c r="A34" s="201" t="s">
        <v>1417</v>
      </c>
      <c r="B34" s="6">
        <v>9.81</v>
      </c>
      <c r="C34" s="6">
        <v>8.4499999999999993</v>
      </c>
      <c r="D34" s="6">
        <v>18.260000000000002</v>
      </c>
      <c r="E34" s="6">
        <v>5.45</v>
      </c>
      <c r="F34" s="152" t="s">
        <v>15</v>
      </c>
      <c r="G34" s="6">
        <v>61.97</v>
      </c>
      <c r="H34" s="6">
        <v>22.48</v>
      </c>
      <c r="I34" s="6">
        <v>7.69</v>
      </c>
      <c r="J34" s="6">
        <v>0.38</v>
      </c>
      <c r="K34" s="6">
        <v>50.23</v>
      </c>
      <c r="L34" s="6">
        <v>8.2200000000000006</v>
      </c>
      <c r="M34" s="6">
        <v>2.17</v>
      </c>
      <c r="N34" s="6">
        <v>17.5</v>
      </c>
      <c r="O34" s="6">
        <v>0</v>
      </c>
      <c r="P34" s="6">
        <v>0.42</v>
      </c>
      <c r="Q34" s="6">
        <v>10</v>
      </c>
      <c r="R34" s="6"/>
      <c r="S34" s="6"/>
      <c r="T34" s="156"/>
      <c r="U34" s="6"/>
    </row>
    <row r="35" spans="1:21" customFormat="1">
      <c r="A35" s="201" t="s">
        <v>1418</v>
      </c>
      <c r="B35" s="6">
        <v>9.86</v>
      </c>
      <c r="C35" s="6">
        <v>8.4499999999999993</v>
      </c>
      <c r="D35" s="6">
        <v>18.309999999999999</v>
      </c>
      <c r="E35" s="6">
        <v>5.32</v>
      </c>
      <c r="F35" s="152" t="s">
        <v>15</v>
      </c>
      <c r="G35" s="6">
        <v>60</v>
      </c>
      <c r="H35" s="6">
        <v>21.72</v>
      </c>
      <c r="I35" s="6">
        <v>7.72</v>
      </c>
      <c r="J35" s="6">
        <v>0.41</v>
      </c>
      <c r="K35" s="6">
        <v>42.48</v>
      </c>
      <c r="L35" s="6">
        <v>6.92</v>
      </c>
      <c r="M35" s="6">
        <v>-1.41</v>
      </c>
      <c r="N35" s="6">
        <v>28.9</v>
      </c>
      <c r="O35" s="6">
        <v>0</v>
      </c>
      <c r="P35" s="6">
        <v>0.42</v>
      </c>
      <c r="Q35" s="6">
        <v>10</v>
      </c>
      <c r="R35" s="6"/>
      <c r="S35" s="6"/>
      <c r="T35" s="156"/>
      <c r="U35" s="6"/>
    </row>
    <row r="36" spans="1:21" customFormat="1">
      <c r="A36" s="201" t="s">
        <v>1419</v>
      </c>
      <c r="B36" s="6">
        <v>9.89</v>
      </c>
      <c r="C36" s="6">
        <v>8.5299999999999994</v>
      </c>
      <c r="D36" s="6">
        <v>18.420000000000002</v>
      </c>
      <c r="E36" s="6">
        <v>5.25</v>
      </c>
      <c r="F36" s="152" t="s">
        <v>15</v>
      </c>
      <c r="G36" s="6">
        <v>59.44</v>
      </c>
      <c r="H36" s="6">
        <v>21.72</v>
      </c>
      <c r="I36" s="6">
        <v>7.76</v>
      </c>
      <c r="J36" s="6">
        <v>0.37</v>
      </c>
      <c r="K36" s="6">
        <v>45.56</v>
      </c>
      <c r="L36" s="6">
        <v>7.44</v>
      </c>
      <c r="M36" s="6">
        <v>-0.39</v>
      </c>
      <c r="N36" s="6">
        <v>41.5</v>
      </c>
      <c r="O36" s="6">
        <v>0</v>
      </c>
      <c r="P36" s="6">
        <v>0.42</v>
      </c>
      <c r="Q36" s="6">
        <v>10</v>
      </c>
      <c r="R36" s="6"/>
      <c r="S36" s="6"/>
      <c r="T36" s="156"/>
      <c r="U36" s="6"/>
    </row>
    <row r="37" spans="1:21" customFormat="1">
      <c r="A37" s="201" t="s">
        <v>1420</v>
      </c>
      <c r="B37" s="6">
        <v>9.93</v>
      </c>
      <c r="C37" s="6">
        <v>8.51</v>
      </c>
      <c r="D37" s="6">
        <v>18.440000000000001</v>
      </c>
      <c r="E37" s="6">
        <v>5.21</v>
      </c>
      <c r="F37" s="152" t="s">
        <v>15</v>
      </c>
      <c r="G37" s="6">
        <v>59.44</v>
      </c>
      <c r="H37" s="6">
        <v>21.72</v>
      </c>
      <c r="I37" s="6">
        <v>7.76</v>
      </c>
      <c r="J37" s="6">
        <v>0.36</v>
      </c>
      <c r="K37" s="6">
        <v>37.380000000000003</v>
      </c>
      <c r="L37" s="6">
        <v>9.1999999999999993</v>
      </c>
      <c r="M37" s="6">
        <v>3.74</v>
      </c>
      <c r="N37" s="6">
        <v>54</v>
      </c>
      <c r="O37" s="6">
        <v>0</v>
      </c>
      <c r="P37" s="6">
        <v>0.42</v>
      </c>
      <c r="Q37" s="6">
        <v>10</v>
      </c>
      <c r="R37" s="6"/>
      <c r="S37" s="6"/>
      <c r="T37" s="156"/>
      <c r="U37" s="6"/>
    </row>
    <row r="38" spans="1:21" customFormat="1">
      <c r="A38" s="201" t="s">
        <v>1421</v>
      </c>
      <c r="B38" s="6">
        <v>9.98</v>
      </c>
      <c r="C38" s="6">
        <v>8.5</v>
      </c>
      <c r="D38" s="6">
        <v>18.48</v>
      </c>
      <c r="E38" s="6">
        <v>5.26</v>
      </c>
      <c r="F38" s="152" t="s">
        <v>15</v>
      </c>
      <c r="G38" s="6">
        <v>59.44</v>
      </c>
      <c r="H38" s="6">
        <v>21.72</v>
      </c>
      <c r="I38" s="6">
        <v>7.86</v>
      </c>
      <c r="J38" s="6">
        <v>0.31</v>
      </c>
      <c r="K38" s="6">
        <v>47.52</v>
      </c>
      <c r="L38" s="6">
        <v>9.44</v>
      </c>
      <c r="M38" s="6">
        <v>4.08</v>
      </c>
      <c r="N38" s="6">
        <v>64.3</v>
      </c>
      <c r="O38" s="6">
        <v>0</v>
      </c>
      <c r="P38" s="6">
        <v>0.43</v>
      </c>
      <c r="Q38" s="6">
        <v>10</v>
      </c>
      <c r="R38" s="6"/>
      <c r="S38" s="6"/>
      <c r="T38" s="156"/>
      <c r="U38" s="6"/>
    </row>
    <row r="39" spans="1:21" customFormat="1">
      <c r="A39" s="201" t="s">
        <v>1422</v>
      </c>
      <c r="B39" s="6">
        <v>9.83</v>
      </c>
      <c r="C39" s="6">
        <v>8.5</v>
      </c>
      <c r="D39" s="6">
        <v>18.329999999999998</v>
      </c>
      <c r="E39" s="6">
        <v>4.8</v>
      </c>
      <c r="F39" s="152" t="s">
        <v>15</v>
      </c>
      <c r="G39" s="6">
        <v>59.53</v>
      </c>
      <c r="H39" s="6">
        <v>23.92</v>
      </c>
      <c r="I39" s="6">
        <v>7.9</v>
      </c>
      <c r="J39" s="6">
        <v>0.38</v>
      </c>
      <c r="K39" s="6">
        <v>43.11</v>
      </c>
      <c r="L39" s="6">
        <v>8.01</v>
      </c>
      <c r="M39" s="6">
        <v>-0.78</v>
      </c>
      <c r="N39" s="6">
        <v>118.6</v>
      </c>
      <c r="O39" s="6">
        <v>0</v>
      </c>
      <c r="P39" s="6">
        <v>0.43</v>
      </c>
      <c r="Q39" s="6">
        <v>10</v>
      </c>
      <c r="R39" s="6"/>
      <c r="S39" s="6"/>
      <c r="T39" s="156"/>
      <c r="U39" s="6"/>
    </row>
    <row r="40" spans="1:21" customFormat="1">
      <c r="A40" s="201" t="s">
        <v>1423</v>
      </c>
      <c r="B40" s="6">
        <v>9.6999999999999993</v>
      </c>
      <c r="C40" s="6">
        <v>8.4499999999999993</v>
      </c>
      <c r="D40" s="6">
        <v>18.149999999999999</v>
      </c>
      <c r="E40" s="6">
        <v>5.47</v>
      </c>
      <c r="F40" s="152" t="s">
        <v>15</v>
      </c>
      <c r="G40" s="6">
        <v>59.56</v>
      </c>
      <c r="H40" s="6">
        <v>23.92</v>
      </c>
      <c r="I40" s="6">
        <v>7.94</v>
      </c>
      <c r="J40" s="6">
        <v>0.4</v>
      </c>
      <c r="K40" s="6">
        <v>50.35</v>
      </c>
      <c r="L40" s="6">
        <v>9.5</v>
      </c>
      <c r="M40" s="6">
        <v>2.46</v>
      </c>
      <c r="N40" s="6">
        <v>141.6</v>
      </c>
      <c r="O40" s="6">
        <v>0</v>
      </c>
      <c r="P40" s="6">
        <v>0.43</v>
      </c>
      <c r="Q40" s="6">
        <v>10</v>
      </c>
      <c r="R40" s="6"/>
      <c r="S40" s="6"/>
      <c r="T40" s="156"/>
      <c r="U40" s="6"/>
    </row>
    <row r="41" spans="1:21" customFormat="1">
      <c r="A41" s="201" t="s">
        <v>1424</v>
      </c>
      <c r="B41" s="6">
        <v>9.4499999999999993</v>
      </c>
      <c r="C41" s="6">
        <v>8.4</v>
      </c>
      <c r="D41" s="6">
        <v>17.850000000000001</v>
      </c>
      <c r="E41" s="6">
        <v>5.13</v>
      </c>
      <c r="F41" s="152" t="s">
        <v>15</v>
      </c>
      <c r="G41" s="6">
        <v>59.56</v>
      </c>
      <c r="H41" s="6">
        <v>23.92</v>
      </c>
      <c r="I41" s="6">
        <v>7.93</v>
      </c>
      <c r="J41" s="6">
        <v>0.4</v>
      </c>
      <c r="K41" s="6">
        <v>52.04</v>
      </c>
      <c r="L41" s="6">
        <v>9.81</v>
      </c>
      <c r="M41" s="6">
        <v>1.19</v>
      </c>
      <c r="N41" s="6">
        <v>227.5</v>
      </c>
      <c r="O41" s="6">
        <v>0</v>
      </c>
      <c r="P41" s="6">
        <v>0.43</v>
      </c>
      <c r="Q41" s="6">
        <v>10</v>
      </c>
      <c r="R41" s="6"/>
      <c r="S41" s="6"/>
      <c r="T41" s="156"/>
      <c r="U41" s="6"/>
    </row>
    <row r="42" spans="1:21" customFormat="1">
      <c r="A42" s="201" t="s">
        <v>1425</v>
      </c>
      <c r="B42" s="6">
        <v>9.1999999999999993</v>
      </c>
      <c r="C42" s="6">
        <v>8.35</v>
      </c>
      <c r="D42" s="6">
        <v>17.559999999999999</v>
      </c>
      <c r="E42" s="6">
        <v>5.38</v>
      </c>
      <c r="F42" s="152" t="s">
        <v>15</v>
      </c>
      <c r="G42" s="6">
        <v>59.56</v>
      </c>
      <c r="H42" s="6">
        <v>23.92</v>
      </c>
      <c r="I42" s="6">
        <v>7.9</v>
      </c>
      <c r="J42" s="6">
        <v>0.32</v>
      </c>
      <c r="K42" s="6">
        <v>45.41</v>
      </c>
      <c r="L42" s="6">
        <v>12.62</v>
      </c>
      <c r="M42" s="6">
        <v>7.14</v>
      </c>
      <c r="N42" s="6">
        <v>273.7</v>
      </c>
      <c r="O42" s="6">
        <v>0</v>
      </c>
      <c r="P42" s="6">
        <v>0.43</v>
      </c>
      <c r="Q42" s="6">
        <v>10</v>
      </c>
      <c r="R42" s="6"/>
      <c r="S42" s="6"/>
      <c r="T42" s="156"/>
      <c r="U42" s="6"/>
    </row>
    <row r="43" spans="1:21" customFormat="1">
      <c r="A43" s="201" t="s">
        <v>1426</v>
      </c>
      <c r="B43" s="6">
        <v>8.94</v>
      </c>
      <c r="C43" s="6">
        <v>8.31</v>
      </c>
      <c r="D43" s="6">
        <v>17.25</v>
      </c>
      <c r="E43" s="6">
        <v>5.65</v>
      </c>
      <c r="F43" s="152" t="s">
        <v>15</v>
      </c>
      <c r="G43" s="6">
        <v>60.99</v>
      </c>
      <c r="H43" s="6">
        <v>25.05</v>
      </c>
      <c r="I43" s="6">
        <v>7.9</v>
      </c>
      <c r="J43" s="6">
        <v>0.32</v>
      </c>
      <c r="K43" s="6">
        <v>66.239999999999995</v>
      </c>
      <c r="L43" s="6">
        <v>12.3</v>
      </c>
      <c r="M43" s="6">
        <v>5.26</v>
      </c>
      <c r="N43" s="6">
        <v>320</v>
      </c>
      <c r="O43" s="6">
        <v>0</v>
      </c>
      <c r="P43" s="6">
        <v>0.45</v>
      </c>
      <c r="Q43" s="6">
        <v>10</v>
      </c>
      <c r="R43" s="6"/>
      <c r="S43" s="6"/>
      <c r="T43" s="156"/>
      <c r="U43" s="6"/>
    </row>
    <row r="44" spans="1:21" customFormat="1">
      <c r="A44" s="201" t="s">
        <v>1427</v>
      </c>
      <c r="B44" s="6">
        <v>8.66</v>
      </c>
      <c r="C44" s="6">
        <v>8</v>
      </c>
      <c r="D44" s="6">
        <v>16.66</v>
      </c>
      <c r="E44" s="6">
        <v>5.96</v>
      </c>
      <c r="F44" s="152" t="s">
        <v>15</v>
      </c>
      <c r="G44" s="6">
        <v>61.4</v>
      </c>
      <c r="H44" s="6">
        <v>25.05</v>
      </c>
      <c r="I44" s="6">
        <v>7.89</v>
      </c>
      <c r="J44" s="6">
        <v>0.28000000000000003</v>
      </c>
      <c r="K44" s="6">
        <v>70.180000000000007</v>
      </c>
      <c r="L44" s="6">
        <v>13.97</v>
      </c>
      <c r="M44" s="6">
        <v>10.31</v>
      </c>
      <c r="N44" s="6">
        <v>288.3</v>
      </c>
      <c r="O44" s="6">
        <v>0</v>
      </c>
      <c r="P44" s="6">
        <v>0.45</v>
      </c>
      <c r="Q44" s="6">
        <v>10</v>
      </c>
      <c r="R44" s="6"/>
      <c r="S44" s="6"/>
      <c r="T44" s="156"/>
      <c r="U44" s="6"/>
    </row>
    <row r="45" spans="1:21" customFormat="1">
      <c r="A45" s="201" t="s">
        <v>1428</v>
      </c>
      <c r="B45" s="6">
        <v>8.3800000000000008</v>
      </c>
      <c r="C45" s="6">
        <v>7.88</v>
      </c>
      <c r="D45" s="6">
        <v>16.27</v>
      </c>
      <c r="E45" s="6">
        <v>5.84</v>
      </c>
      <c r="F45" s="152" t="s">
        <v>15</v>
      </c>
      <c r="G45" s="6">
        <v>61.4</v>
      </c>
      <c r="H45" s="6">
        <v>25.05</v>
      </c>
      <c r="I45" s="6">
        <v>7.88</v>
      </c>
      <c r="J45" s="6">
        <v>0.32</v>
      </c>
      <c r="K45" s="6">
        <v>52.72</v>
      </c>
      <c r="L45" s="6">
        <v>12.67</v>
      </c>
      <c r="M45" s="6">
        <v>4.57</v>
      </c>
      <c r="N45" s="6">
        <v>386.8</v>
      </c>
      <c r="O45" s="6">
        <v>0</v>
      </c>
      <c r="P45" s="6">
        <v>0.45</v>
      </c>
      <c r="Q45" s="6">
        <v>10</v>
      </c>
      <c r="R45" s="6"/>
      <c r="S45" s="6"/>
      <c r="T45" s="156"/>
      <c r="U45" s="6"/>
    </row>
    <row r="46" spans="1:21" customFormat="1">
      <c r="A46" s="201" t="s">
        <v>1429</v>
      </c>
      <c r="B46" s="6">
        <v>8.09</v>
      </c>
      <c r="C46" s="6">
        <v>7.86</v>
      </c>
      <c r="D46" s="6">
        <v>15.96</v>
      </c>
      <c r="E46" s="6">
        <v>6.01</v>
      </c>
      <c r="F46" s="152" t="s">
        <v>15</v>
      </c>
      <c r="G46" s="6">
        <v>61.4</v>
      </c>
      <c r="H46" s="6">
        <v>25.05</v>
      </c>
      <c r="I46" s="6">
        <v>7.81</v>
      </c>
      <c r="J46" s="6">
        <v>0.28999999999999998</v>
      </c>
      <c r="K46" s="6">
        <v>134.88999999999999</v>
      </c>
      <c r="L46" s="6">
        <v>17.75</v>
      </c>
      <c r="M46" s="6">
        <v>16.22</v>
      </c>
      <c r="N46" s="6">
        <v>444.6</v>
      </c>
      <c r="O46" s="6">
        <v>0</v>
      </c>
      <c r="P46" s="6">
        <v>0.45</v>
      </c>
      <c r="Q46" s="6">
        <v>10</v>
      </c>
      <c r="R46" s="6"/>
      <c r="S46" s="6"/>
      <c r="T46" s="156"/>
      <c r="U46" s="6"/>
    </row>
    <row r="47" spans="1:21" customFormat="1">
      <c r="A47" s="201" t="s">
        <v>1430</v>
      </c>
      <c r="B47" s="6">
        <v>7.69</v>
      </c>
      <c r="C47" s="6">
        <v>7.97</v>
      </c>
      <c r="D47" s="6">
        <v>15.66</v>
      </c>
      <c r="E47" s="6">
        <v>6.2</v>
      </c>
      <c r="F47" s="152" t="s">
        <v>15</v>
      </c>
      <c r="G47" s="6">
        <v>59.09</v>
      </c>
      <c r="H47" s="6">
        <v>24.26</v>
      </c>
      <c r="I47" s="6">
        <v>7.75</v>
      </c>
      <c r="J47" s="6">
        <v>0.24</v>
      </c>
      <c r="K47" s="6">
        <v>105.36</v>
      </c>
      <c r="L47" s="6">
        <v>15.78</v>
      </c>
      <c r="M47" s="6">
        <v>10.5</v>
      </c>
      <c r="N47" s="6">
        <v>472.6</v>
      </c>
      <c r="O47" s="6">
        <v>0</v>
      </c>
      <c r="P47" s="6">
        <v>0.45</v>
      </c>
      <c r="Q47" s="6">
        <v>10</v>
      </c>
      <c r="R47" s="6"/>
      <c r="S47" s="6"/>
      <c r="T47" s="156"/>
      <c r="U47" s="6"/>
    </row>
    <row r="48" spans="1:21" customFormat="1">
      <c r="A48" s="201" t="s">
        <v>1431</v>
      </c>
      <c r="B48" s="6">
        <v>7.17</v>
      </c>
      <c r="C48" s="6">
        <v>7.9</v>
      </c>
      <c r="D48" s="6">
        <v>15.07</v>
      </c>
      <c r="E48" s="6">
        <v>5.82</v>
      </c>
      <c r="F48" s="152" t="s">
        <v>15</v>
      </c>
      <c r="G48" s="6">
        <v>58.43</v>
      </c>
      <c r="H48" s="6">
        <v>24.26</v>
      </c>
      <c r="I48" s="6">
        <v>7.79</v>
      </c>
      <c r="J48" s="6">
        <v>0.26</v>
      </c>
      <c r="K48" s="6">
        <v>107.68</v>
      </c>
      <c r="L48" s="6">
        <v>17.239999999999998</v>
      </c>
      <c r="M48" s="6">
        <v>13.5</v>
      </c>
      <c r="N48" s="6">
        <v>498.3</v>
      </c>
      <c r="O48" s="6">
        <v>0</v>
      </c>
      <c r="P48" s="6">
        <v>0.43</v>
      </c>
      <c r="Q48" s="6">
        <v>10</v>
      </c>
      <c r="R48" s="6"/>
      <c r="S48" s="6"/>
      <c r="T48" s="156"/>
      <c r="U48" s="6"/>
    </row>
    <row r="49" spans="1:21" customFormat="1">
      <c r="A49" s="201" t="s">
        <v>1432</v>
      </c>
      <c r="B49" s="6">
        <v>6.77</v>
      </c>
      <c r="C49" s="6">
        <v>7.72</v>
      </c>
      <c r="D49" s="6">
        <v>14.49</v>
      </c>
      <c r="E49" s="6">
        <v>5.08</v>
      </c>
      <c r="F49" s="152" t="s">
        <v>15</v>
      </c>
      <c r="G49" s="6">
        <v>58.43</v>
      </c>
      <c r="H49" s="6">
        <v>24.26</v>
      </c>
      <c r="I49" s="6">
        <v>7.79</v>
      </c>
      <c r="J49" s="6">
        <v>0.36</v>
      </c>
      <c r="K49" s="6">
        <v>159.55000000000001</v>
      </c>
      <c r="L49" s="6">
        <v>21.95</v>
      </c>
      <c r="M49" s="6">
        <v>24.9</v>
      </c>
      <c r="N49" s="6">
        <v>524.70000000000005</v>
      </c>
      <c r="O49" s="6">
        <v>0</v>
      </c>
      <c r="P49" s="6">
        <v>0.42</v>
      </c>
      <c r="Q49" s="6">
        <v>10</v>
      </c>
      <c r="R49" s="6"/>
      <c r="S49" s="6"/>
      <c r="T49" s="156"/>
      <c r="U49" s="6"/>
    </row>
    <row r="50" spans="1:21" customFormat="1">
      <c r="A50" s="201" t="s">
        <v>1433</v>
      </c>
      <c r="B50" s="6">
        <v>6.35</v>
      </c>
      <c r="C50" s="6">
        <v>7.72</v>
      </c>
      <c r="D50" s="6">
        <v>14.07</v>
      </c>
      <c r="E50" s="6">
        <v>5.88</v>
      </c>
      <c r="F50" s="152" t="s">
        <v>15</v>
      </c>
      <c r="G50" s="6">
        <v>58.43</v>
      </c>
      <c r="H50" s="6">
        <v>24.26</v>
      </c>
      <c r="I50" s="6">
        <v>7.73</v>
      </c>
      <c r="J50" s="6">
        <v>0.17</v>
      </c>
      <c r="K50" s="6">
        <v>133.85</v>
      </c>
      <c r="L50" s="6">
        <v>20.87</v>
      </c>
      <c r="M50" s="6">
        <v>20.51</v>
      </c>
      <c r="N50" s="6">
        <v>594.4</v>
      </c>
      <c r="O50" s="6">
        <v>0</v>
      </c>
      <c r="P50" s="6">
        <v>0.42</v>
      </c>
      <c r="Q50" s="6">
        <v>10</v>
      </c>
      <c r="R50" s="6"/>
      <c r="S50" s="6"/>
      <c r="T50" s="156"/>
      <c r="U50" s="6"/>
    </row>
    <row r="51" spans="1:21" customFormat="1">
      <c r="A51" s="201" t="s">
        <v>1434</v>
      </c>
      <c r="B51" s="6">
        <v>5.28</v>
      </c>
      <c r="C51" s="6">
        <v>7.82</v>
      </c>
      <c r="D51" s="6">
        <v>13.1</v>
      </c>
      <c r="E51" s="6">
        <v>6.5</v>
      </c>
      <c r="F51" s="152" t="s">
        <v>15</v>
      </c>
      <c r="G51" s="6">
        <v>51.95</v>
      </c>
      <c r="H51" s="6">
        <v>21.27</v>
      </c>
      <c r="I51" s="6">
        <v>7.68</v>
      </c>
      <c r="J51" s="6">
        <v>0.24</v>
      </c>
      <c r="K51" s="6">
        <v>93.06</v>
      </c>
      <c r="L51" s="6">
        <v>18.420000000000002</v>
      </c>
      <c r="M51" s="6">
        <v>14.15</v>
      </c>
      <c r="N51" s="6">
        <v>591.6</v>
      </c>
      <c r="O51" s="6">
        <v>0</v>
      </c>
      <c r="P51" s="6">
        <v>0.4</v>
      </c>
      <c r="Q51" s="6">
        <v>10</v>
      </c>
      <c r="R51" s="6"/>
      <c r="S51" s="6"/>
      <c r="T51" s="156"/>
      <c r="U51" s="6"/>
    </row>
    <row r="52" spans="1:21" customFormat="1">
      <c r="A52" s="201" t="s">
        <v>1435</v>
      </c>
      <c r="B52" s="6">
        <v>3.33</v>
      </c>
      <c r="C52" s="6">
        <v>9.33</v>
      </c>
      <c r="D52" s="6">
        <v>12.67</v>
      </c>
      <c r="E52" s="6">
        <v>6.51</v>
      </c>
      <c r="F52" s="152" t="s">
        <v>15</v>
      </c>
      <c r="G52" s="6">
        <v>50.1</v>
      </c>
      <c r="H52" s="6">
        <v>21.27</v>
      </c>
      <c r="I52" s="6">
        <v>7.52</v>
      </c>
      <c r="J52" s="6">
        <v>0.31</v>
      </c>
      <c r="K52" s="6">
        <v>87.55</v>
      </c>
      <c r="L52" s="6">
        <v>16.47</v>
      </c>
      <c r="M52" s="6">
        <v>11.95</v>
      </c>
      <c r="N52" s="6">
        <v>485.6</v>
      </c>
      <c r="O52" s="6">
        <v>0</v>
      </c>
      <c r="P52" s="6">
        <v>0.39</v>
      </c>
      <c r="Q52" s="6">
        <v>10</v>
      </c>
      <c r="R52" s="6"/>
      <c r="S52" s="6"/>
      <c r="T52" s="156"/>
      <c r="U52" s="6"/>
    </row>
    <row r="53" spans="1:21" customFormat="1">
      <c r="A53" s="201" t="s">
        <v>1436</v>
      </c>
      <c r="B53" s="6">
        <v>2.2599999999999998</v>
      </c>
      <c r="C53" s="6">
        <v>9.84</v>
      </c>
      <c r="D53" s="6">
        <v>12.1</v>
      </c>
      <c r="E53" s="6">
        <v>6.27</v>
      </c>
      <c r="F53" s="152" t="s">
        <v>15</v>
      </c>
      <c r="G53" s="6">
        <v>50.1</v>
      </c>
      <c r="H53" s="6">
        <v>21.27</v>
      </c>
      <c r="I53" s="6">
        <v>7.12</v>
      </c>
      <c r="J53" s="6">
        <v>0.32</v>
      </c>
      <c r="K53" s="6">
        <v>67.13</v>
      </c>
      <c r="L53" s="6">
        <v>12.56</v>
      </c>
      <c r="M53" s="6">
        <v>6.15</v>
      </c>
      <c r="N53" s="6">
        <v>312.3</v>
      </c>
      <c r="O53" s="6">
        <v>0</v>
      </c>
      <c r="P53" s="6">
        <v>0.39</v>
      </c>
      <c r="Q53" s="6">
        <v>10</v>
      </c>
      <c r="R53" s="6"/>
      <c r="S53" s="6"/>
      <c r="T53" s="156"/>
      <c r="U53" s="6"/>
    </row>
    <row r="54" spans="1:21" customFormat="1">
      <c r="A54" s="201" t="s">
        <v>1437</v>
      </c>
      <c r="B54" s="6">
        <v>2.04</v>
      </c>
      <c r="C54" s="6">
        <v>10.37</v>
      </c>
      <c r="D54" s="6">
        <v>12.4</v>
      </c>
      <c r="E54" s="6">
        <v>5.76</v>
      </c>
      <c r="F54" s="152" t="s">
        <v>15</v>
      </c>
      <c r="G54" s="6">
        <v>50.1</v>
      </c>
      <c r="H54" s="6">
        <v>21.27</v>
      </c>
      <c r="I54" s="6">
        <v>6.72</v>
      </c>
      <c r="J54" s="6">
        <v>0.21</v>
      </c>
      <c r="K54" s="6">
        <v>101.65</v>
      </c>
      <c r="L54" s="6">
        <v>15.33</v>
      </c>
      <c r="M54" s="6">
        <v>9.7100000000000009</v>
      </c>
      <c r="N54" s="6">
        <v>456.9</v>
      </c>
      <c r="O54" s="6">
        <v>0</v>
      </c>
      <c r="P54" s="6">
        <v>0.35</v>
      </c>
      <c r="Q54" s="6">
        <v>10</v>
      </c>
      <c r="R54" s="6"/>
      <c r="S54" s="6"/>
      <c r="T54" s="156"/>
      <c r="U54" s="6"/>
    </row>
    <row r="55" spans="1:21" customFormat="1">
      <c r="A55" s="201" t="s">
        <v>1438</v>
      </c>
      <c r="B55" s="6">
        <v>184.08</v>
      </c>
      <c r="C55" s="6">
        <v>34.04</v>
      </c>
      <c r="D55" s="6">
        <v>218.12</v>
      </c>
      <c r="E55" s="6">
        <v>5.82</v>
      </c>
      <c r="F55" s="152" t="s">
        <v>15</v>
      </c>
      <c r="G55" s="6">
        <v>50.1</v>
      </c>
      <c r="H55" s="6">
        <v>21.27</v>
      </c>
      <c r="I55" s="6">
        <v>5.81</v>
      </c>
      <c r="J55" s="6">
        <v>0.22</v>
      </c>
      <c r="K55" s="6">
        <v>109.27</v>
      </c>
      <c r="L55" s="6">
        <v>17.22</v>
      </c>
      <c r="M55" s="6">
        <v>12.97</v>
      </c>
      <c r="N55" s="6">
        <v>517.9</v>
      </c>
      <c r="O55" s="6">
        <v>0</v>
      </c>
      <c r="P55" s="6">
        <v>0.31</v>
      </c>
      <c r="Q55" s="6">
        <v>10</v>
      </c>
      <c r="R55" s="6"/>
      <c r="S55" s="6"/>
      <c r="T55" s="156"/>
      <c r="U55" s="6"/>
    </row>
    <row r="56" spans="1:21" customFormat="1">
      <c r="A56" s="201" t="s">
        <v>1439</v>
      </c>
      <c r="B56" s="6">
        <v>195.81</v>
      </c>
      <c r="C56" s="6">
        <v>36.369999999999997</v>
      </c>
      <c r="D56" s="6">
        <v>232.18</v>
      </c>
      <c r="E56" s="6">
        <v>5.97</v>
      </c>
      <c r="F56" s="152" t="s">
        <v>15</v>
      </c>
      <c r="G56" s="6">
        <v>50.1</v>
      </c>
      <c r="H56" s="6">
        <v>21.27</v>
      </c>
      <c r="I56" s="6">
        <v>5.51</v>
      </c>
      <c r="J56" s="6">
        <v>0.35</v>
      </c>
      <c r="K56" s="6">
        <v>133.19</v>
      </c>
      <c r="L56" s="6">
        <v>19.7</v>
      </c>
      <c r="M56" s="6">
        <v>18.14</v>
      </c>
      <c r="N56" s="6">
        <v>569.1</v>
      </c>
      <c r="O56" s="6">
        <v>0</v>
      </c>
      <c r="P56" s="6">
        <v>0.28999999999999998</v>
      </c>
      <c r="Q56" s="6">
        <v>10</v>
      </c>
      <c r="R56" s="6"/>
      <c r="S56" s="6"/>
      <c r="T56" s="156"/>
      <c r="U56" s="6"/>
    </row>
    <row r="57" spans="1:21" customFormat="1">
      <c r="A57" s="201" t="s">
        <v>1440</v>
      </c>
      <c r="B57" s="6">
        <v>1.98</v>
      </c>
      <c r="C57" s="6">
        <v>5.46</v>
      </c>
      <c r="D57" s="6">
        <v>7.44</v>
      </c>
      <c r="E57" s="6">
        <v>5.2</v>
      </c>
      <c r="F57" s="152" t="s">
        <v>15</v>
      </c>
      <c r="G57" s="6">
        <v>50.1</v>
      </c>
      <c r="H57" s="6">
        <v>21.27</v>
      </c>
      <c r="I57" s="6">
        <v>7.31</v>
      </c>
      <c r="J57" s="6">
        <v>0.25</v>
      </c>
      <c r="K57" s="6">
        <v>72.540000000000006</v>
      </c>
      <c r="L57" s="6">
        <v>15.73</v>
      </c>
      <c r="M57" s="6">
        <v>12.18</v>
      </c>
      <c r="N57" s="6">
        <v>388.4</v>
      </c>
      <c r="O57" s="6">
        <v>0</v>
      </c>
      <c r="P57" s="6">
        <v>0.28000000000000003</v>
      </c>
      <c r="Q57" s="6">
        <v>10</v>
      </c>
      <c r="R57" s="6"/>
      <c r="S57" s="6"/>
      <c r="T57" s="156"/>
      <c r="U57" s="6"/>
    </row>
    <row r="58" spans="1:21" customFormat="1">
      <c r="A58" s="201" t="s">
        <v>1441</v>
      </c>
      <c r="B58" s="6">
        <v>1.94</v>
      </c>
      <c r="C58" s="6">
        <v>8.69</v>
      </c>
      <c r="D58" s="6">
        <v>10.63</v>
      </c>
      <c r="E58" s="6">
        <v>2.9</v>
      </c>
      <c r="F58" s="152" t="s">
        <v>15</v>
      </c>
      <c r="G58" s="6">
        <v>0</v>
      </c>
      <c r="H58" s="6">
        <v>0</v>
      </c>
      <c r="I58" s="6">
        <v>8.57</v>
      </c>
      <c r="J58" s="6">
        <v>0.35</v>
      </c>
      <c r="K58" s="6">
        <v>64.760000000000005</v>
      </c>
      <c r="L58" s="6">
        <v>14.14</v>
      </c>
      <c r="M58" s="6">
        <v>9.16</v>
      </c>
      <c r="N58" s="6">
        <v>348.2</v>
      </c>
      <c r="O58" s="6">
        <v>0</v>
      </c>
      <c r="P58" s="6">
        <v>0.28000000000000003</v>
      </c>
      <c r="Q58" s="6">
        <v>10</v>
      </c>
      <c r="R58" s="6"/>
      <c r="S58" s="6"/>
      <c r="T58" s="156"/>
      <c r="U58" s="6"/>
    </row>
    <row r="59" spans="1:21" customFormat="1">
      <c r="A59" s="201" t="s">
        <v>1442</v>
      </c>
      <c r="B59" s="6">
        <v>1.91</v>
      </c>
      <c r="C59" s="6">
        <v>10.01</v>
      </c>
      <c r="D59" s="6">
        <v>11.92</v>
      </c>
      <c r="E59" s="6">
        <v>1.91</v>
      </c>
      <c r="F59" s="152" t="s">
        <v>15</v>
      </c>
      <c r="G59" s="6">
        <v>0</v>
      </c>
      <c r="H59" s="6">
        <v>0</v>
      </c>
      <c r="I59" s="6">
        <v>8.43</v>
      </c>
      <c r="J59" s="6">
        <v>0.33</v>
      </c>
      <c r="K59" s="6">
        <v>60.94</v>
      </c>
      <c r="L59" s="6">
        <v>13.71</v>
      </c>
      <c r="M59" s="6">
        <v>11.79</v>
      </c>
      <c r="N59" s="6">
        <v>184.5</v>
      </c>
      <c r="O59" s="6">
        <v>0</v>
      </c>
      <c r="P59" s="6">
        <v>0.3</v>
      </c>
      <c r="Q59" s="6">
        <v>10</v>
      </c>
      <c r="R59" s="6"/>
      <c r="S59" s="6"/>
      <c r="T59" s="156"/>
      <c r="U59" s="6"/>
    </row>
    <row r="60" spans="1:21" customFormat="1">
      <c r="A60" s="201" t="s">
        <v>1443</v>
      </c>
      <c r="B60" s="6">
        <v>1.95</v>
      </c>
      <c r="C60" s="6">
        <v>9.77</v>
      </c>
      <c r="D60" s="6">
        <v>11.72</v>
      </c>
      <c r="E60" s="6">
        <v>563.32000000000005</v>
      </c>
      <c r="F60" s="152" t="s">
        <v>15</v>
      </c>
      <c r="G60" s="6">
        <v>0</v>
      </c>
      <c r="H60" s="6">
        <v>0</v>
      </c>
      <c r="I60" s="6">
        <v>7.92</v>
      </c>
      <c r="J60" s="6">
        <v>0.33</v>
      </c>
      <c r="K60" s="6">
        <v>56.68</v>
      </c>
      <c r="L60" s="6">
        <v>13.31</v>
      </c>
      <c r="M60" s="6">
        <v>5.51</v>
      </c>
      <c r="N60" s="6">
        <v>409.8</v>
      </c>
      <c r="O60" s="6">
        <v>0</v>
      </c>
      <c r="P60" s="6">
        <v>0.3</v>
      </c>
      <c r="Q60" s="6">
        <v>10</v>
      </c>
      <c r="R60" s="6"/>
      <c r="S60" s="6"/>
      <c r="T60" s="156"/>
      <c r="U60" s="6"/>
    </row>
    <row r="61" spans="1:21" customFormat="1">
      <c r="A61" s="201" t="s">
        <v>1444</v>
      </c>
      <c r="B61" s="6">
        <v>1.89</v>
      </c>
      <c r="C61" s="6">
        <v>8.8800000000000008</v>
      </c>
      <c r="D61" s="6">
        <v>10.77</v>
      </c>
      <c r="E61" s="6">
        <v>726.5</v>
      </c>
      <c r="F61" s="152" t="s">
        <v>15</v>
      </c>
      <c r="G61" s="6">
        <v>0</v>
      </c>
      <c r="H61" s="6">
        <v>0</v>
      </c>
      <c r="I61" s="6">
        <v>9.08</v>
      </c>
      <c r="J61" s="6">
        <v>0.28999999999999998</v>
      </c>
      <c r="K61" s="6">
        <v>144.07</v>
      </c>
      <c r="L61" s="6">
        <v>17.66</v>
      </c>
      <c r="M61" s="6">
        <v>17.809999999999999</v>
      </c>
      <c r="N61" s="6">
        <v>357.8</v>
      </c>
      <c r="O61" s="6">
        <v>0</v>
      </c>
      <c r="P61" s="6">
        <v>0.3</v>
      </c>
      <c r="Q61" s="6">
        <v>10</v>
      </c>
      <c r="R61" s="6"/>
      <c r="S61" s="6"/>
      <c r="T61" s="156"/>
      <c r="U61" s="6"/>
    </row>
    <row r="62" spans="1:21" customFormat="1">
      <c r="A62" s="201" t="s">
        <v>1445</v>
      </c>
      <c r="B62" s="6">
        <v>1.98</v>
      </c>
      <c r="C62" s="6">
        <v>8.31</v>
      </c>
      <c r="D62" s="6">
        <v>10.29</v>
      </c>
      <c r="E62" s="6">
        <v>151.13</v>
      </c>
      <c r="F62" s="152" t="s">
        <v>15</v>
      </c>
      <c r="G62" s="6">
        <v>0</v>
      </c>
      <c r="H62" s="6">
        <v>0</v>
      </c>
      <c r="I62" s="6">
        <v>10.73</v>
      </c>
      <c r="J62" s="6">
        <v>0.3</v>
      </c>
      <c r="K62" s="6">
        <v>66.28</v>
      </c>
      <c r="L62" s="6">
        <v>12.18</v>
      </c>
      <c r="M62" s="6">
        <v>8.6199999999999992</v>
      </c>
      <c r="N62" s="6">
        <v>156.6</v>
      </c>
      <c r="O62" s="6">
        <v>0</v>
      </c>
      <c r="P62" s="6">
        <v>0.27</v>
      </c>
      <c r="Q62" s="6">
        <v>10</v>
      </c>
      <c r="R62" s="6"/>
      <c r="S62" s="6"/>
      <c r="T62" s="156"/>
      <c r="U62" s="6"/>
    </row>
    <row r="63" spans="1:21" customFormat="1">
      <c r="A63" s="201" t="s">
        <v>1446</v>
      </c>
      <c r="B63" s="6">
        <v>2.04</v>
      </c>
      <c r="C63" s="6">
        <v>8.15</v>
      </c>
      <c r="D63" s="6">
        <v>10.19</v>
      </c>
      <c r="E63" s="6">
        <v>147.72999999999999</v>
      </c>
      <c r="F63" s="152" t="s">
        <v>15</v>
      </c>
      <c r="G63" s="6">
        <v>0.24</v>
      </c>
      <c r="H63" s="6">
        <v>0.17</v>
      </c>
      <c r="I63" s="6">
        <v>12.82</v>
      </c>
      <c r="J63" s="6">
        <v>0.22</v>
      </c>
      <c r="K63" s="6">
        <v>100.75</v>
      </c>
      <c r="L63" s="6">
        <v>13.71</v>
      </c>
      <c r="M63" s="6">
        <v>9.9</v>
      </c>
      <c r="N63" s="6">
        <v>250.4</v>
      </c>
      <c r="O63" s="6">
        <v>0</v>
      </c>
      <c r="P63" s="6">
        <v>0.25</v>
      </c>
      <c r="Q63" s="6">
        <v>10</v>
      </c>
      <c r="R63" s="6"/>
      <c r="S63" s="6"/>
      <c r="T63" s="156"/>
      <c r="U63" s="6"/>
    </row>
    <row r="64" spans="1:21" customFormat="1">
      <c r="A64" s="201" t="s">
        <v>1447</v>
      </c>
      <c r="B64" s="6">
        <v>2.0699999999999998</v>
      </c>
      <c r="C64" s="6">
        <v>7.94</v>
      </c>
      <c r="D64" s="6">
        <v>10.01</v>
      </c>
      <c r="E64" s="6">
        <v>134.44999999999999</v>
      </c>
      <c r="F64" s="152" t="s">
        <v>15</v>
      </c>
      <c r="G64" s="6">
        <v>7.33</v>
      </c>
      <c r="H64" s="6">
        <v>5.76</v>
      </c>
      <c r="I64" s="6">
        <v>14.62</v>
      </c>
      <c r="J64" s="6">
        <v>0.28000000000000003</v>
      </c>
      <c r="K64" s="6">
        <v>117.91</v>
      </c>
      <c r="L64" s="6">
        <v>17.920000000000002</v>
      </c>
      <c r="M64" s="6">
        <v>16.04</v>
      </c>
      <c r="N64" s="6">
        <v>463.6</v>
      </c>
      <c r="O64" s="6">
        <v>0</v>
      </c>
      <c r="P64" s="6">
        <v>0.25</v>
      </c>
      <c r="Q64" s="6">
        <v>10</v>
      </c>
      <c r="R64" s="6"/>
      <c r="S64" s="6"/>
      <c r="T64" s="156"/>
      <c r="U64" s="6"/>
    </row>
    <row r="65" spans="1:21" customFormat="1">
      <c r="A65" s="201" t="s">
        <v>1448</v>
      </c>
      <c r="B65" s="6">
        <v>2.11</v>
      </c>
      <c r="C65" s="6">
        <v>7.93</v>
      </c>
      <c r="D65" s="6">
        <v>10.039999999999999</v>
      </c>
      <c r="E65" s="6">
        <v>145.03</v>
      </c>
      <c r="F65" s="152" t="s">
        <v>15</v>
      </c>
      <c r="G65" s="6">
        <v>7.33</v>
      </c>
      <c r="H65" s="6">
        <v>5.76</v>
      </c>
      <c r="I65" s="6">
        <v>15.81</v>
      </c>
      <c r="J65" s="6">
        <v>0.33</v>
      </c>
      <c r="K65" s="6">
        <v>60.97</v>
      </c>
      <c r="L65" s="6">
        <v>14.69</v>
      </c>
      <c r="M65" s="6">
        <v>11.62</v>
      </c>
      <c r="N65" s="6">
        <v>298.60000000000002</v>
      </c>
      <c r="O65" s="6">
        <v>0</v>
      </c>
      <c r="P65" s="6">
        <v>0.26</v>
      </c>
      <c r="Q65" s="6">
        <v>10</v>
      </c>
      <c r="R65" s="6"/>
      <c r="S65" s="6"/>
      <c r="T65" s="156"/>
      <c r="U65" s="6"/>
    </row>
    <row r="66" spans="1:21" customFormat="1">
      <c r="A66" s="201" t="s">
        <v>1449</v>
      </c>
      <c r="B66" s="6">
        <v>2.14</v>
      </c>
      <c r="C66" s="6">
        <v>9.08</v>
      </c>
      <c r="D66" s="6">
        <v>11.22</v>
      </c>
      <c r="E66" s="6">
        <v>169.41</v>
      </c>
      <c r="F66" s="152" t="s">
        <v>15</v>
      </c>
      <c r="G66" s="6">
        <v>7.33</v>
      </c>
      <c r="H66" s="6">
        <v>5.76</v>
      </c>
      <c r="I66" s="6">
        <v>16.75</v>
      </c>
      <c r="J66" s="6">
        <v>0.41</v>
      </c>
      <c r="K66" s="6">
        <v>56.71</v>
      </c>
      <c r="L66" s="6">
        <v>12.49</v>
      </c>
      <c r="M66" s="6">
        <v>6.35</v>
      </c>
      <c r="N66" s="6">
        <v>288.8</v>
      </c>
      <c r="O66" s="6">
        <v>0</v>
      </c>
      <c r="P66" s="6">
        <v>0.27</v>
      </c>
      <c r="Q66" s="6">
        <v>10</v>
      </c>
      <c r="R66" s="6"/>
      <c r="S66" s="6"/>
      <c r="T66" s="156"/>
      <c r="U66" s="6"/>
    </row>
    <row r="67" spans="1:21" customFormat="1">
      <c r="A67" s="201" t="s">
        <v>1450</v>
      </c>
      <c r="B67" s="6">
        <v>2.11</v>
      </c>
      <c r="C67" s="6">
        <v>9.49</v>
      </c>
      <c r="D67" s="6">
        <v>11.6</v>
      </c>
      <c r="E67" s="6">
        <v>6.77</v>
      </c>
      <c r="F67" s="152" t="s">
        <v>15</v>
      </c>
      <c r="G67" s="6">
        <v>8.3800000000000008</v>
      </c>
      <c r="H67" s="6">
        <v>5.81</v>
      </c>
      <c r="I67" s="6">
        <v>15.55</v>
      </c>
      <c r="J67" s="6">
        <v>0.41</v>
      </c>
      <c r="K67" s="6">
        <v>71.91</v>
      </c>
      <c r="L67" s="6">
        <v>10.86</v>
      </c>
      <c r="M67" s="6">
        <v>7.04</v>
      </c>
      <c r="N67" s="6">
        <v>110.2</v>
      </c>
      <c r="O67" s="6">
        <v>0</v>
      </c>
      <c r="P67" s="6">
        <v>0.26</v>
      </c>
      <c r="Q67" s="6">
        <v>10</v>
      </c>
      <c r="R67" s="6"/>
      <c r="S67" s="6"/>
      <c r="T67" s="156"/>
      <c r="U67" s="6"/>
    </row>
    <row r="68" spans="1:21" customFormat="1">
      <c r="A68" s="201" t="s">
        <v>1451</v>
      </c>
      <c r="B68" s="6">
        <v>2.19</v>
      </c>
      <c r="C68" s="6">
        <v>11.01</v>
      </c>
      <c r="D68" s="6">
        <v>13.2</v>
      </c>
      <c r="E68" s="6">
        <v>3.47</v>
      </c>
      <c r="F68" s="152" t="s">
        <v>15</v>
      </c>
      <c r="G68" s="6">
        <v>39.049999999999997</v>
      </c>
      <c r="H68" s="6">
        <v>9.25</v>
      </c>
      <c r="I68" s="6">
        <v>12.5</v>
      </c>
      <c r="J68" s="6">
        <v>0.24</v>
      </c>
      <c r="K68" s="6">
        <v>109.42</v>
      </c>
      <c r="L68" s="6">
        <v>12.82</v>
      </c>
      <c r="M68" s="6">
        <v>12.19</v>
      </c>
      <c r="N68" s="6">
        <v>73.8</v>
      </c>
      <c r="O68" s="6">
        <v>0</v>
      </c>
      <c r="P68" s="6">
        <v>0.27</v>
      </c>
      <c r="Q68" s="6">
        <v>10</v>
      </c>
      <c r="R68" s="6"/>
      <c r="S68" s="6"/>
      <c r="T68" s="156"/>
      <c r="U68" s="6"/>
    </row>
    <row r="69" spans="1:21" customFormat="1">
      <c r="A69" s="201" t="s">
        <v>1452</v>
      </c>
      <c r="B69" s="6">
        <v>1.95</v>
      </c>
      <c r="C69" s="6">
        <v>10.09</v>
      </c>
      <c r="D69" s="6">
        <v>12.04</v>
      </c>
      <c r="E69" s="6">
        <v>5.46</v>
      </c>
      <c r="F69" s="152" t="s">
        <v>15</v>
      </c>
      <c r="G69" s="6">
        <v>39.049999999999997</v>
      </c>
      <c r="H69" s="6">
        <v>9.25</v>
      </c>
      <c r="I69" s="6">
        <v>11.09</v>
      </c>
      <c r="J69" s="6">
        <v>0.37</v>
      </c>
      <c r="K69" s="6">
        <v>62.88</v>
      </c>
      <c r="L69" s="6">
        <v>11.12</v>
      </c>
      <c r="M69" s="6">
        <v>8.1199999999999992</v>
      </c>
      <c r="N69" s="6">
        <v>65.7</v>
      </c>
      <c r="O69" s="6">
        <v>0</v>
      </c>
      <c r="P69" s="6">
        <v>0.25</v>
      </c>
      <c r="Q69" s="6">
        <v>10</v>
      </c>
      <c r="R69" s="6"/>
      <c r="S69" s="6"/>
      <c r="T69" s="156"/>
      <c r="U69" s="6"/>
    </row>
    <row r="70" spans="1:21" customFormat="1">
      <c r="A70" s="201" t="s">
        <v>1453</v>
      </c>
      <c r="B70" s="6">
        <v>2.02</v>
      </c>
      <c r="C70" s="6">
        <v>9.26</v>
      </c>
      <c r="D70" s="6">
        <v>11.27</v>
      </c>
      <c r="E70" s="6">
        <v>4.45</v>
      </c>
      <c r="F70" s="152" t="s">
        <v>15</v>
      </c>
      <c r="G70" s="6">
        <v>39.049999999999997</v>
      </c>
      <c r="H70" s="6">
        <v>9.25</v>
      </c>
      <c r="I70" s="6">
        <v>9.4499999999999993</v>
      </c>
      <c r="J70" s="6">
        <v>0.41</v>
      </c>
      <c r="K70" s="6">
        <v>57.68</v>
      </c>
      <c r="L70" s="6">
        <v>9.68</v>
      </c>
      <c r="M70" s="6">
        <v>5.3</v>
      </c>
      <c r="N70" s="6">
        <v>62.7</v>
      </c>
      <c r="O70" s="6">
        <v>0</v>
      </c>
      <c r="P70" s="6">
        <v>0.26</v>
      </c>
      <c r="Q70" s="6">
        <v>10</v>
      </c>
      <c r="R70" s="6"/>
      <c r="S70" s="6"/>
      <c r="T70" s="156"/>
      <c r="U70" s="6"/>
    </row>
    <row r="71" spans="1:21" customFormat="1">
      <c r="A71" s="201" t="s">
        <v>1454</v>
      </c>
      <c r="B71" s="6">
        <v>2.09</v>
      </c>
      <c r="C71" s="6">
        <v>9.2200000000000006</v>
      </c>
      <c r="D71" s="6">
        <v>11.31</v>
      </c>
      <c r="E71" s="6">
        <v>4.9000000000000004</v>
      </c>
      <c r="F71" s="152" t="s">
        <v>15</v>
      </c>
      <c r="G71" s="6">
        <v>39.04</v>
      </c>
      <c r="H71" s="6">
        <v>9.27</v>
      </c>
      <c r="I71" s="6">
        <v>8.77</v>
      </c>
      <c r="J71" s="6">
        <v>0.28999999999999998</v>
      </c>
      <c r="K71" s="6">
        <v>70.84</v>
      </c>
      <c r="L71" s="6">
        <v>11.28</v>
      </c>
      <c r="M71" s="6">
        <v>8.98</v>
      </c>
      <c r="N71" s="6">
        <v>50.1</v>
      </c>
      <c r="O71" s="6">
        <v>0</v>
      </c>
      <c r="P71" s="6">
        <v>0.23</v>
      </c>
      <c r="Q71" s="6">
        <v>10</v>
      </c>
      <c r="R71" s="6"/>
      <c r="S71" s="6"/>
      <c r="T71" s="156"/>
      <c r="U71" s="6"/>
    </row>
    <row r="72" spans="1:21" customFormat="1">
      <c r="A72" s="201" t="s">
        <v>1455</v>
      </c>
      <c r="B72" s="6">
        <v>1.98</v>
      </c>
      <c r="C72" s="6">
        <v>9.5399999999999991</v>
      </c>
      <c r="D72" s="6">
        <v>11.52</v>
      </c>
      <c r="E72" s="6">
        <v>4.3499999999999996</v>
      </c>
      <c r="F72" s="152" t="s">
        <v>15</v>
      </c>
      <c r="G72" s="6">
        <v>38.71</v>
      </c>
      <c r="H72" s="6">
        <v>11.11</v>
      </c>
      <c r="I72" s="6">
        <v>8.34</v>
      </c>
      <c r="J72" s="6">
        <v>0.26</v>
      </c>
      <c r="K72" s="6">
        <v>66.27</v>
      </c>
      <c r="L72" s="6">
        <v>10.85</v>
      </c>
      <c r="M72" s="6">
        <v>8.06</v>
      </c>
      <c r="N72" s="6">
        <v>40.799999999999997</v>
      </c>
      <c r="O72" s="6">
        <v>0</v>
      </c>
      <c r="P72" s="6">
        <v>0.24</v>
      </c>
      <c r="Q72" s="6">
        <v>10</v>
      </c>
      <c r="R72" s="6"/>
      <c r="S72" s="6"/>
      <c r="T72" s="156"/>
      <c r="U72" s="6"/>
    </row>
    <row r="73" spans="1:21" customFormat="1">
      <c r="A73" s="201" t="s">
        <v>1456</v>
      </c>
      <c r="B73" s="6">
        <v>2.36</v>
      </c>
      <c r="C73" s="6">
        <v>10.67</v>
      </c>
      <c r="D73" s="6">
        <v>13.03</v>
      </c>
      <c r="E73" s="6">
        <v>5.07</v>
      </c>
      <c r="F73" s="152" t="s">
        <v>15</v>
      </c>
      <c r="G73" s="6">
        <v>38.71</v>
      </c>
      <c r="H73" s="6">
        <v>11.11</v>
      </c>
      <c r="I73" s="6">
        <v>6.15</v>
      </c>
      <c r="J73" s="6">
        <v>0.43</v>
      </c>
      <c r="K73" s="6">
        <v>48.84</v>
      </c>
      <c r="L73" s="6">
        <v>8.4600000000000009</v>
      </c>
      <c r="M73" s="6">
        <v>2.21</v>
      </c>
      <c r="N73" s="6">
        <v>35.4</v>
      </c>
      <c r="O73" s="6">
        <v>0</v>
      </c>
      <c r="P73" s="6">
        <v>0.26</v>
      </c>
      <c r="Q73" s="6">
        <v>10</v>
      </c>
      <c r="R73" s="6"/>
      <c r="S73" s="6"/>
      <c r="T73" s="156"/>
      <c r="U73" s="6"/>
    </row>
    <row r="74" spans="1:21" customFormat="1">
      <c r="A74" s="201" t="s">
        <v>1457</v>
      </c>
      <c r="B74" s="6">
        <v>2.64</v>
      </c>
      <c r="C74" s="6">
        <v>12.12</v>
      </c>
      <c r="D74" s="6">
        <v>14.77</v>
      </c>
      <c r="E74" s="6">
        <v>4.76</v>
      </c>
      <c r="F74" s="152" t="s">
        <v>15</v>
      </c>
      <c r="G74" s="6">
        <v>38.71</v>
      </c>
      <c r="H74" s="6">
        <v>11.11</v>
      </c>
      <c r="I74" s="6">
        <v>4.49</v>
      </c>
      <c r="J74" s="6">
        <v>0.54</v>
      </c>
      <c r="K74" s="6">
        <v>45.4</v>
      </c>
      <c r="L74" s="6">
        <v>7.86</v>
      </c>
      <c r="M74" s="6">
        <v>0.82</v>
      </c>
      <c r="N74" s="6">
        <v>28.8</v>
      </c>
      <c r="O74" s="6">
        <v>0</v>
      </c>
      <c r="P74" s="6">
        <v>0.26</v>
      </c>
      <c r="Q74" s="6">
        <v>10</v>
      </c>
      <c r="R74" s="6"/>
      <c r="S74" s="6"/>
      <c r="T74" s="156"/>
      <c r="U74" s="6"/>
    </row>
    <row r="75" spans="1:21" customFormat="1">
      <c r="A75" s="201" t="s">
        <v>1458</v>
      </c>
      <c r="B75" s="6">
        <v>2.08</v>
      </c>
      <c r="C75" s="6">
        <v>10.98</v>
      </c>
      <c r="D75" s="6">
        <v>13.06</v>
      </c>
      <c r="E75" s="6">
        <v>4.8</v>
      </c>
      <c r="F75" s="152" t="s">
        <v>15</v>
      </c>
      <c r="G75" s="6">
        <v>38.770000000000003</v>
      </c>
      <c r="H75" s="6">
        <v>11.13</v>
      </c>
      <c r="I75" s="6">
        <v>4.47</v>
      </c>
      <c r="J75" s="6">
        <v>0.2</v>
      </c>
      <c r="K75" s="6">
        <v>75.64</v>
      </c>
      <c r="L75" s="6">
        <v>11.49</v>
      </c>
      <c r="M75" s="6">
        <v>10.119999999999999</v>
      </c>
      <c r="N75" s="6">
        <v>23.3</v>
      </c>
      <c r="O75" s="6">
        <v>0</v>
      </c>
      <c r="P75" s="6">
        <v>0.25</v>
      </c>
      <c r="Q75" s="6">
        <v>10</v>
      </c>
      <c r="R75" s="6"/>
      <c r="S75" s="6"/>
      <c r="T75" s="156"/>
      <c r="U75" s="6"/>
    </row>
    <row r="76" spans="1:21" customFormat="1">
      <c r="A76" s="201" t="s">
        <v>1459</v>
      </c>
      <c r="B76" s="6">
        <v>2.02</v>
      </c>
      <c r="C76" s="6">
        <v>9.82</v>
      </c>
      <c r="D76" s="6">
        <v>11.84</v>
      </c>
      <c r="E76" s="6">
        <v>4.6500000000000004</v>
      </c>
      <c r="F76" s="152" t="s">
        <v>15</v>
      </c>
      <c r="G76" s="6">
        <v>40.43</v>
      </c>
      <c r="H76" s="6">
        <v>12.59</v>
      </c>
      <c r="I76" s="6">
        <v>4.51</v>
      </c>
      <c r="J76" s="6">
        <v>0.25</v>
      </c>
      <c r="K76" s="6">
        <v>56.65</v>
      </c>
      <c r="L76" s="6">
        <v>10.85</v>
      </c>
      <c r="M76" s="6">
        <v>8.65</v>
      </c>
      <c r="N76" s="6">
        <v>17.3</v>
      </c>
      <c r="O76" s="6">
        <v>0</v>
      </c>
      <c r="P76" s="6">
        <v>0.27</v>
      </c>
      <c r="Q76" s="6">
        <v>10</v>
      </c>
      <c r="R76" s="6"/>
      <c r="S76" s="6"/>
      <c r="T76" s="156"/>
      <c r="U76" s="6"/>
    </row>
    <row r="77" spans="1:21" customFormat="1">
      <c r="A77" s="201" t="s">
        <v>1460</v>
      </c>
      <c r="B77" s="6">
        <v>2.21</v>
      </c>
      <c r="C77" s="6">
        <v>9.1300000000000008</v>
      </c>
      <c r="D77" s="6">
        <v>11.33</v>
      </c>
      <c r="E77" s="6">
        <v>4.82</v>
      </c>
      <c r="F77" s="152" t="s">
        <v>15</v>
      </c>
      <c r="G77" s="6">
        <v>40.43</v>
      </c>
      <c r="H77" s="6">
        <v>12.59</v>
      </c>
      <c r="I77" s="6">
        <v>4.0999999999999996</v>
      </c>
      <c r="J77" s="6">
        <v>0.22</v>
      </c>
      <c r="K77" s="6">
        <v>119.51</v>
      </c>
      <c r="L77" s="6">
        <v>12.64</v>
      </c>
      <c r="M77" s="6">
        <v>13.21</v>
      </c>
      <c r="N77" s="6">
        <v>10.7</v>
      </c>
      <c r="O77" s="6">
        <v>0</v>
      </c>
      <c r="P77" s="6">
        <v>0.27</v>
      </c>
      <c r="Q77" s="6">
        <v>10</v>
      </c>
      <c r="R77" s="6"/>
      <c r="S77" s="6"/>
      <c r="T77" s="156"/>
      <c r="U77" s="6"/>
    </row>
    <row r="78" spans="1:21" customFormat="1">
      <c r="A78" s="201" t="s">
        <v>1461</v>
      </c>
      <c r="B78" s="6">
        <v>2.4</v>
      </c>
      <c r="C78" s="6">
        <v>8.58</v>
      </c>
      <c r="D78" s="6">
        <v>10.98</v>
      </c>
      <c r="E78" s="6">
        <v>4.8099999999999996</v>
      </c>
      <c r="F78" s="152" t="s">
        <v>15</v>
      </c>
      <c r="G78" s="6">
        <v>40.43</v>
      </c>
      <c r="H78" s="6">
        <v>12.59</v>
      </c>
      <c r="I78" s="6">
        <v>3.47</v>
      </c>
      <c r="J78" s="6">
        <v>0.16</v>
      </c>
      <c r="K78" s="6">
        <v>106.61</v>
      </c>
      <c r="L78" s="6">
        <v>12.38</v>
      </c>
      <c r="M78" s="6">
        <v>12.88</v>
      </c>
      <c r="N78" s="6">
        <v>6.8</v>
      </c>
      <c r="O78" s="6">
        <v>0</v>
      </c>
      <c r="P78" s="6">
        <v>0.28999999999999998</v>
      </c>
      <c r="Q78" s="6">
        <v>10</v>
      </c>
      <c r="R78" s="6"/>
      <c r="S78" s="6"/>
      <c r="T78" s="156"/>
      <c r="U78" s="6"/>
    </row>
    <row r="79" spans="1:21" customFormat="1">
      <c r="A79" s="201" t="s">
        <v>1462</v>
      </c>
      <c r="B79" s="6">
        <v>2.81</v>
      </c>
      <c r="C79" s="6">
        <v>9.66</v>
      </c>
      <c r="D79" s="6">
        <v>12.47</v>
      </c>
      <c r="E79" s="6">
        <v>4.71</v>
      </c>
      <c r="F79" s="152" t="s">
        <v>15</v>
      </c>
      <c r="G79" s="6">
        <v>40.630000000000003</v>
      </c>
      <c r="H79" s="6">
        <v>12.68</v>
      </c>
      <c r="I79" s="6">
        <v>3.9</v>
      </c>
      <c r="J79" s="6">
        <v>0.14000000000000001</v>
      </c>
      <c r="K79" s="6">
        <v>117.59</v>
      </c>
      <c r="L79" s="6">
        <v>12.41</v>
      </c>
      <c r="M79" s="6">
        <v>13.01</v>
      </c>
      <c r="N79" s="6">
        <v>3.7</v>
      </c>
      <c r="O79" s="6">
        <v>0</v>
      </c>
      <c r="P79" s="6">
        <v>0.31</v>
      </c>
      <c r="Q79" s="6">
        <v>10</v>
      </c>
      <c r="R79" s="6"/>
      <c r="S79" s="6"/>
      <c r="T79" s="156"/>
      <c r="U79" s="6"/>
    </row>
    <row r="80" spans="1:21" customFormat="1">
      <c r="A80" s="201" t="s">
        <v>1463</v>
      </c>
      <c r="B80" s="6">
        <v>2.86</v>
      </c>
      <c r="C80" s="6">
        <v>12.16</v>
      </c>
      <c r="D80" s="6">
        <v>15.02</v>
      </c>
      <c r="E80" s="6">
        <v>5.21</v>
      </c>
      <c r="F80" s="152" t="s">
        <v>15</v>
      </c>
      <c r="G80" s="6">
        <v>46.51</v>
      </c>
      <c r="H80" s="6">
        <v>18.48</v>
      </c>
      <c r="I80" s="6">
        <v>4.59</v>
      </c>
      <c r="J80" s="6">
        <v>0.16</v>
      </c>
      <c r="K80" s="6">
        <v>125.88</v>
      </c>
      <c r="L80" s="6">
        <v>12.94</v>
      </c>
      <c r="M80" s="6">
        <v>14.36</v>
      </c>
      <c r="N80" s="6">
        <v>2.7</v>
      </c>
      <c r="O80" s="6">
        <v>0</v>
      </c>
      <c r="P80" s="6">
        <v>0.34</v>
      </c>
      <c r="Q80" s="6">
        <v>10</v>
      </c>
      <c r="R80" s="6"/>
      <c r="S80" s="6"/>
      <c r="T80" s="156"/>
      <c r="U80" s="6"/>
    </row>
    <row r="81" spans="1:21" customFormat="1">
      <c r="A81" s="201" t="s">
        <v>1464</v>
      </c>
      <c r="B81" s="6">
        <v>3.06</v>
      </c>
      <c r="C81" s="6">
        <v>13.17</v>
      </c>
      <c r="D81" s="6">
        <v>16.23</v>
      </c>
      <c r="E81" s="6">
        <v>4.96</v>
      </c>
      <c r="F81" s="152" t="s">
        <v>15</v>
      </c>
      <c r="G81" s="6">
        <v>46.51</v>
      </c>
      <c r="H81" s="6">
        <v>18.48</v>
      </c>
      <c r="I81" s="6">
        <v>4.8899999999999997</v>
      </c>
      <c r="J81" s="6">
        <v>0.18</v>
      </c>
      <c r="K81" s="6">
        <v>127.62</v>
      </c>
      <c r="L81" s="6">
        <v>12.9</v>
      </c>
      <c r="M81" s="6">
        <v>14.34</v>
      </c>
      <c r="N81" s="6">
        <v>2.2999999999999998</v>
      </c>
      <c r="O81" s="6">
        <v>0</v>
      </c>
      <c r="P81" s="6">
        <v>0.36</v>
      </c>
      <c r="Q81" s="6">
        <v>10</v>
      </c>
      <c r="R81" s="6"/>
      <c r="S81" s="6"/>
      <c r="T81" s="156"/>
      <c r="U81" s="6"/>
    </row>
    <row r="82" spans="1:21" customFormat="1">
      <c r="A82" s="201" t="s">
        <v>1465</v>
      </c>
      <c r="B82" s="6">
        <v>2.72</v>
      </c>
      <c r="C82" s="6">
        <v>13.63</v>
      </c>
      <c r="D82" s="6">
        <v>16.36</v>
      </c>
      <c r="E82" s="6">
        <v>5.35</v>
      </c>
      <c r="F82" s="152" t="s">
        <v>15</v>
      </c>
      <c r="G82" s="6">
        <v>46.51</v>
      </c>
      <c r="H82" s="6">
        <v>18.48</v>
      </c>
      <c r="I82" s="6">
        <v>5.29</v>
      </c>
      <c r="J82" s="6">
        <v>0.15</v>
      </c>
      <c r="K82" s="6">
        <v>128.41</v>
      </c>
      <c r="L82" s="6">
        <v>12.78</v>
      </c>
      <c r="M82" s="6">
        <v>14.07</v>
      </c>
      <c r="N82" s="6">
        <v>2.5</v>
      </c>
      <c r="O82" s="6">
        <v>0</v>
      </c>
      <c r="P82" s="6">
        <v>0.42</v>
      </c>
      <c r="Q82" s="6">
        <v>10</v>
      </c>
      <c r="R82" s="6"/>
      <c r="S82" s="6"/>
      <c r="T82" s="156"/>
      <c r="U82" s="6"/>
    </row>
    <row r="83" spans="1:21" customFormat="1">
      <c r="A83" s="201" t="s">
        <v>1466</v>
      </c>
      <c r="B83" s="6">
        <v>2.9</v>
      </c>
      <c r="C83" s="6">
        <v>13.21</v>
      </c>
      <c r="D83" s="6">
        <v>16.11</v>
      </c>
      <c r="E83" s="6">
        <v>5</v>
      </c>
      <c r="F83" s="152" t="s">
        <v>15</v>
      </c>
      <c r="G83" s="6">
        <v>46.95</v>
      </c>
      <c r="H83" s="6">
        <v>18.47</v>
      </c>
      <c r="I83" s="6">
        <v>5.55</v>
      </c>
      <c r="J83" s="6">
        <v>0.14000000000000001</v>
      </c>
      <c r="K83" s="6">
        <v>97.85</v>
      </c>
      <c r="L83" s="6">
        <v>11.59</v>
      </c>
      <c r="M83" s="6">
        <v>11.04</v>
      </c>
      <c r="N83" s="6">
        <v>2.4</v>
      </c>
      <c r="O83" s="6">
        <v>0</v>
      </c>
      <c r="P83" s="6">
        <v>0.47</v>
      </c>
      <c r="Q83" s="6">
        <v>10</v>
      </c>
      <c r="R83" s="6"/>
      <c r="S83" s="6"/>
      <c r="T83" s="156"/>
      <c r="U83" s="6"/>
    </row>
    <row r="84" spans="1:21" customFormat="1">
      <c r="A84" s="201" t="s">
        <v>1467</v>
      </c>
      <c r="B84" s="6">
        <v>2.87</v>
      </c>
      <c r="C84" s="6">
        <v>11.98</v>
      </c>
      <c r="D84" s="6">
        <v>14.85</v>
      </c>
      <c r="E84" s="6">
        <v>5.07</v>
      </c>
      <c r="F84" s="152" t="s">
        <v>15</v>
      </c>
      <c r="G84" s="6">
        <v>59.77</v>
      </c>
      <c r="H84" s="6">
        <v>17.97</v>
      </c>
      <c r="I84" s="6">
        <v>5.86</v>
      </c>
      <c r="J84" s="6">
        <v>0.16</v>
      </c>
      <c r="K84" s="6">
        <v>130.82</v>
      </c>
      <c r="L84" s="6">
        <v>13.61</v>
      </c>
      <c r="M84" s="6">
        <v>16.04</v>
      </c>
      <c r="N84" s="6">
        <v>2.2999999999999998</v>
      </c>
      <c r="O84" s="6">
        <v>0</v>
      </c>
      <c r="P84" s="6">
        <v>0.44</v>
      </c>
      <c r="Q84" s="6">
        <v>10</v>
      </c>
      <c r="R84" s="6"/>
      <c r="S84" s="6"/>
      <c r="T84" s="156"/>
      <c r="U84" s="6"/>
    </row>
    <row r="85" spans="1:21" customFormat="1">
      <c r="A85" s="201" t="s">
        <v>1468</v>
      </c>
      <c r="B85" s="6">
        <v>3.01</v>
      </c>
      <c r="C85" s="6">
        <v>10.220000000000001</v>
      </c>
      <c r="D85" s="6">
        <v>13.23</v>
      </c>
      <c r="E85" s="6">
        <v>5.34</v>
      </c>
      <c r="F85" s="152" t="s">
        <v>15</v>
      </c>
      <c r="G85" s="6">
        <v>59.77</v>
      </c>
      <c r="H85" s="6">
        <v>17.97</v>
      </c>
      <c r="I85" s="6">
        <v>6.13</v>
      </c>
      <c r="J85" s="6">
        <v>0.16</v>
      </c>
      <c r="K85" s="6">
        <v>91.06</v>
      </c>
      <c r="L85" s="6">
        <v>10.37</v>
      </c>
      <c r="M85" s="6">
        <v>7.92</v>
      </c>
      <c r="N85" s="6">
        <v>2.4</v>
      </c>
      <c r="O85" s="6">
        <v>0</v>
      </c>
      <c r="P85" s="6">
        <v>0.44</v>
      </c>
      <c r="Q85" s="6">
        <v>10</v>
      </c>
      <c r="R85" s="6"/>
      <c r="S85" s="6"/>
      <c r="T85" s="156"/>
      <c r="U85" s="6"/>
    </row>
    <row r="86" spans="1:21" customFormat="1">
      <c r="A86" s="201" t="s">
        <v>1469</v>
      </c>
      <c r="B86" s="6">
        <v>3.19</v>
      </c>
      <c r="C86" s="6">
        <v>10.14</v>
      </c>
      <c r="D86" s="6">
        <v>13.33</v>
      </c>
      <c r="E86" s="6">
        <v>5.67</v>
      </c>
      <c r="F86" s="152" t="s">
        <v>15</v>
      </c>
      <c r="G86" s="6">
        <v>59.77</v>
      </c>
      <c r="H86" s="6">
        <v>17.97</v>
      </c>
      <c r="I86" s="6">
        <v>6.11</v>
      </c>
      <c r="J86" s="6">
        <v>0.21</v>
      </c>
      <c r="K86" s="6">
        <v>73.739999999999995</v>
      </c>
      <c r="L86" s="6">
        <v>9.93</v>
      </c>
      <c r="M86" s="6">
        <v>6.71</v>
      </c>
      <c r="N86" s="6">
        <v>2.2999999999999998</v>
      </c>
      <c r="O86" s="6">
        <v>0</v>
      </c>
      <c r="P86" s="6">
        <v>0.45</v>
      </c>
      <c r="Q86" s="6">
        <v>10</v>
      </c>
      <c r="R86" s="6"/>
      <c r="S86" s="6"/>
      <c r="T86" s="156"/>
      <c r="U86" s="6"/>
    </row>
    <row r="87" spans="1:21" customFormat="1">
      <c r="A87" s="201" t="s">
        <v>1470</v>
      </c>
      <c r="B87" s="6">
        <v>3.33</v>
      </c>
      <c r="C87" s="6">
        <v>9.14</v>
      </c>
      <c r="D87" s="6">
        <v>12.47</v>
      </c>
      <c r="E87" s="6">
        <v>5.54</v>
      </c>
      <c r="F87" s="152" t="s">
        <v>15</v>
      </c>
      <c r="G87" s="6">
        <v>59.82</v>
      </c>
      <c r="H87" s="6">
        <v>17.989999999999998</v>
      </c>
      <c r="I87" s="6">
        <v>5.98</v>
      </c>
      <c r="J87" s="6">
        <v>0.2</v>
      </c>
      <c r="K87" s="6">
        <v>93.85</v>
      </c>
      <c r="L87" s="6">
        <v>10.7</v>
      </c>
      <c r="M87" s="6">
        <v>8.7799999999999994</v>
      </c>
      <c r="N87" s="6">
        <v>2.2999999999999998</v>
      </c>
      <c r="O87" s="6">
        <v>0</v>
      </c>
      <c r="P87" s="6">
        <v>0.44</v>
      </c>
      <c r="Q87" s="6">
        <v>10</v>
      </c>
      <c r="R87" s="6"/>
      <c r="S87" s="6"/>
      <c r="T87" s="156"/>
      <c r="U87" s="6"/>
    </row>
    <row r="88" spans="1:21" customFormat="1">
      <c r="A88" s="201" t="s">
        <v>1471</v>
      </c>
      <c r="B88" s="6">
        <v>3.22</v>
      </c>
      <c r="C88" s="6">
        <v>9.09</v>
      </c>
      <c r="D88" s="6">
        <v>12.31</v>
      </c>
      <c r="E88" s="6">
        <v>5.61</v>
      </c>
      <c r="F88" s="152" t="s">
        <v>15</v>
      </c>
      <c r="G88" s="6">
        <v>61.14</v>
      </c>
      <c r="H88" s="6">
        <v>19.22</v>
      </c>
      <c r="I88" s="6">
        <v>6.03</v>
      </c>
      <c r="J88" s="6">
        <v>0.18</v>
      </c>
      <c r="K88" s="6">
        <v>89.56</v>
      </c>
      <c r="L88" s="6">
        <v>10.74</v>
      </c>
      <c r="M88" s="6">
        <v>8.84</v>
      </c>
      <c r="N88" s="6">
        <v>2.4</v>
      </c>
      <c r="O88" s="6">
        <v>0</v>
      </c>
      <c r="P88" s="6">
        <v>0.45</v>
      </c>
      <c r="Q88" s="6">
        <v>10</v>
      </c>
      <c r="R88" s="6"/>
      <c r="S88" s="6"/>
      <c r="T88" s="156"/>
      <c r="U88" s="6"/>
    </row>
    <row r="89" spans="1:21" customFormat="1">
      <c r="A89" s="201" t="s">
        <v>1472</v>
      </c>
      <c r="B89" s="6">
        <v>3.41</v>
      </c>
      <c r="C89" s="6">
        <v>8.41</v>
      </c>
      <c r="D89" s="6">
        <v>11.82</v>
      </c>
      <c r="E89" s="6">
        <v>5.53</v>
      </c>
      <c r="F89" s="152" t="s">
        <v>15</v>
      </c>
      <c r="G89" s="6">
        <v>61.14</v>
      </c>
      <c r="H89" s="6">
        <v>19.22</v>
      </c>
      <c r="I89" s="6">
        <v>6</v>
      </c>
      <c r="J89" s="6">
        <v>0.19</v>
      </c>
      <c r="K89" s="6">
        <v>79.319999999999993</v>
      </c>
      <c r="L89" s="6">
        <v>10.89</v>
      </c>
      <c r="M89" s="6">
        <v>9.19</v>
      </c>
      <c r="N89" s="6">
        <v>2.2999999999999998</v>
      </c>
      <c r="O89" s="6">
        <v>0</v>
      </c>
      <c r="P89" s="6">
        <v>0.45</v>
      </c>
      <c r="Q89" s="6">
        <v>10</v>
      </c>
      <c r="R89" s="6"/>
      <c r="S89" s="6"/>
      <c r="T89" s="156"/>
      <c r="U89" s="6"/>
    </row>
    <row r="90" spans="1:21" customFormat="1">
      <c r="A90" s="201" t="s">
        <v>1473</v>
      </c>
      <c r="B90" s="6">
        <v>3.51</v>
      </c>
      <c r="C90" s="6">
        <v>8.76</v>
      </c>
      <c r="D90" s="6">
        <v>12.27</v>
      </c>
      <c r="E90" s="6">
        <v>5.8</v>
      </c>
      <c r="F90" s="152" t="s">
        <v>15</v>
      </c>
      <c r="G90" s="6">
        <v>61.14</v>
      </c>
      <c r="H90" s="6">
        <v>19.22</v>
      </c>
      <c r="I90" s="6">
        <v>6.03</v>
      </c>
      <c r="J90" s="6">
        <v>0.2</v>
      </c>
      <c r="K90" s="6">
        <v>81</v>
      </c>
      <c r="L90" s="6">
        <v>10.15</v>
      </c>
      <c r="M90" s="6">
        <v>7.39</v>
      </c>
      <c r="N90" s="6">
        <v>2.2999999999999998</v>
      </c>
      <c r="O90" s="6">
        <v>0</v>
      </c>
      <c r="P90" s="6">
        <v>0.46</v>
      </c>
      <c r="Q90" s="6">
        <v>10</v>
      </c>
      <c r="R90" s="6"/>
      <c r="S90" s="6"/>
      <c r="T90" s="156"/>
      <c r="U90" s="6"/>
    </row>
    <row r="91" spans="1:21" customFormat="1">
      <c r="A91" s="201" t="s">
        <v>1474</v>
      </c>
      <c r="B91" s="6">
        <v>3.61</v>
      </c>
      <c r="C91" s="6">
        <v>8.51</v>
      </c>
      <c r="D91" s="6">
        <v>12.12</v>
      </c>
      <c r="E91" s="6">
        <v>5.73</v>
      </c>
      <c r="F91" s="152" t="s">
        <v>15</v>
      </c>
      <c r="G91" s="6">
        <v>61.11</v>
      </c>
      <c r="H91" s="6">
        <v>19.25</v>
      </c>
      <c r="I91" s="6">
        <v>6.14</v>
      </c>
      <c r="J91" s="6">
        <v>0.23</v>
      </c>
      <c r="K91" s="6">
        <v>67.569999999999993</v>
      </c>
      <c r="L91" s="6">
        <v>9.77</v>
      </c>
      <c r="M91" s="6">
        <v>6.37</v>
      </c>
      <c r="N91" s="6">
        <v>2.2000000000000002</v>
      </c>
      <c r="O91" s="6">
        <v>0</v>
      </c>
      <c r="P91" s="6">
        <v>0.46</v>
      </c>
      <c r="Q91" s="6">
        <v>10</v>
      </c>
      <c r="R91" s="6"/>
      <c r="S91" s="6"/>
      <c r="T91" s="156"/>
      <c r="U91" s="6"/>
    </row>
    <row r="92" spans="1:21" customFormat="1">
      <c r="A92" s="201" t="s">
        <v>1475</v>
      </c>
      <c r="B92" s="6">
        <v>3.61</v>
      </c>
      <c r="C92" s="6">
        <v>9.1300000000000008</v>
      </c>
      <c r="D92" s="6">
        <v>12.74</v>
      </c>
      <c r="E92" s="6">
        <v>5.56</v>
      </c>
      <c r="F92" s="152" t="s">
        <v>15</v>
      </c>
      <c r="G92" s="6">
        <v>60.25</v>
      </c>
      <c r="H92" s="6">
        <v>21.32</v>
      </c>
      <c r="I92" s="6">
        <v>6.22</v>
      </c>
      <c r="J92" s="6">
        <v>0.15</v>
      </c>
      <c r="K92" s="6">
        <v>101.39</v>
      </c>
      <c r="L92" s="6">
        <v>11.56</v>
      </c>
      <c r="M92" s="6">
        <v>10.92</v>
      </c>
      <c r="N92" s="6">
        <v>2.2999999999999998</v>
      </c>
      <c r="O92" s="6">
        <v>0</v>
      </c>
      <c r="P92" s="6">
        <v>0.46</v>
      </c>
      <c r="Q92" s="6">
        <v>10</v>
      </c>
      <c r="R92" s="6"/>
      <c r="S92" s="6"/>
      <c r="T92" s="156"/>
      <c r="U92" s="6"/>
    </row>
    <row r="93" spans="1:21" customFormat="1">
      <c r="A93" s="201" t="s">
        <v>1476</v>
      </c>
      <c r="B93" s="6">
        <v>3.82</v>
      </c>
      <c r="C93" s="6">
        <v>8</v>
      </c>
      <c r="D93" s="6">
        <v>11.82</v>
      </c>
      <c r="E93" s="6">
        <v>5.94</v>
      </c>
      <c r="F93" s="152" t="s">
        <v>15</v>
      </c>
      <c r="G93" s="6">
        <v>60.25</v>
      </c>
      <c r="H93" s="6">
        <v>21.32</v>
      </c>
      <c r="I93" s="6">
        <v>6.26</v>
      </c>
      <c r="J93" s="6">
        <v>0.34</v>
      </c>
      <c r="K93" s="6">
        <v>43.11</v>
      </c>
      <c r="L93" s="6">
        <v>7.01</v>
      </c>
      <c r="M93" s="6">
        <v>-0.64</v>
      </c>
      <c r="N93" s="6">
        <v>2.2000000000000002</v>
      </c>
      <c r="O93" s="6">
        <v>0</v>
      </c>
      <c r="P93" s="6">
        <v>0.46</v>
      </c>
      <c r="Q93" s="6">
        <v>10</v>
      </c>
      <c r="R93" s="6"/>
      <c r="S93" s="6"/>
      <c r="T93" s="156"/>
      <c r="U93" s="6"/>
    </row>
    <row r="94" spans="1:21" customFormat="1">
      <c r="A94" s="201" t="s">
        <v>1477</v>
      </c>
      <c r="B94" s="6">
        <v>4.07</v>
      </c>
      <c r="C94" s="6">
        <v>8.5399999999999991</v>
      </c>
      <c r="D94" s="6">
        <v>12.61</v>
      </c>
      <c r="E94" s="6">
        <v>5.89</v>
      </c>
      <c r="F94" s="152" t="s">
        <v>15</v>
      </c>
      <c r="G94" s="6">
        <v>60.25</v>
      </c>
      <c r="H94" s="6">
        <v>21.32</v>
      </c>
      <c r="I94" s="6">
        <v>6.32</v>
      </c>
      <c r="J94" s="6">
        <v>0.43</v>
      </c>
      <c r="K94" s="6">
        <v>41.55</v>
      </c>
      <c r="L94" s="6">
        <v>7.25</v>
      </c>
      <c r="M94" s="6">
        <v>-0.03</v>
      </c>
      <c r="N94" s="6">
        <v>2.1</v>
      </c>
      <c r="O94" s="6">
        <v>0</v>
      </c>
      <c r="P94" s="6">
        <v>0.47</v>
      </c>
      <c r="Q94" s="6">
        <v>10</v>
      </c>
      <c r="R94" s="6"/>
      <c r="S94" s="6"/>
      <c r="T94" s="156"/>
      <c r="U94" s="6"/>
    </row>
    <row r="95" spans="1:21" customFormat="1">
      <c r="A95" s="201" t="s">
        <v>1478</v>
      </c>
      <c r="B95" s="6">
        <v>4.13</v>
      </c>
      <c r="C95" s="6">
        <v>7.93</v>
      </c>
      <c r="D95" s="6">
        <v>12.05</v>
      </c>
      <c r="E95" s="6">
        <v>6.1</v>
      </c>
      <c r="F95" s="152" t="s">
        <v>15</v>
      </c>
      <c r="G95" s="6">
        <v>60.45</v>
      </c>
      <c r="H95" s="6">
        <v>21.34</v>
      </c>
      <c r="I95" s="6">
        <v>6.47</v>
      </c>
      <c r="J95" s="6">
        <v>0.35</v>
      </c>
      <c r="K95" s="6">
        <v>46.31</v>
      </c>
      <c r="L95" s="6">
        <v>7.68</v>
      </c>
      <c r="M95" s="6">
        <v>1.06</v>
      </c>
      <c r="N95" s="6">
        <v>2.2000000000000002</v>
      </c>
      <c r="O95" s="6">
        <v>0</v>
      </c>
      <c r="P95" s="6">
        <v>0.47</v>
      </c>
      <c r="Q95" s="6">
        <v>10</v>
      </c>
      <c r="R95" s="6"/>
      <c r="S95" s="6"/>
      <c r="T95" s="156"/>
      <c r="U95" s="6"/>
    </row>
    <row r="96" spans="1:21" customFormat="1">
      <c r="A96" s="201" t="s">
        <v>1479</v>
      </c>
      <c r="B96" s="6">
        <v>4.34</v>
      </c>
      <c r="C96" s="6">
        <v>9.17</v>
      </c>
      <c r="D96" s="6">
        <v>13.51</v>
      </c>
      <c r="E96" s="6">
        <v>6.37</v>
      </c>
      <c r="F96" s="152" t="s">
        <v>15</v>
      </c>
      <c r="G96" s="6">
        <v>66.14</v>
      </c>
      <c r="H96" s="6">
        <v>21.99</v>
      </c>
      <c r="I96" s="6">
        <v>6.66</v>
      </c>
      <c r="J96" s="6">
        <v>0.33</v>
      </c>
      <c r="K96" s="6">
        <v>48.23</v>
      </c>
      <c r="L96" s="6">
        <v>7.6</v>
      </c>
      <c r="M96" s="6">
        <v>0.87</v>
      </c>
      <c r="N96" s="6">
        <v>2.2000000000000002</v>
      </c>
      <c r="O96" s="6">
        <v>0</v>
      </c>
      <c r="P96" s="6">
        <v>0.48</v>
      </c>
      <c r="Q96" s="6">
        <v>10</v>
      </c>
      <c r="R96" s="6"/>
      <c r="S96" s="6"/>
      <c r="T96" s="156"/>
      <c r="U96" s="6"/>
    </row>
    <row r="97" spans="1:28" customFormat="1">
      <c r="A97" s="201" t="s">
        <v>1480</v>
      </c>
      <c r="B97" s="6">
        <v>4.4000000000000004</v>
      </c>
      <c r="C97" s="6">
        <v>8.08</v>
      </c>
      <c r="D97" s="6">
        <v>12.48</v>
      </c>
      <c r="E97" s="6">
        <v>5.95</v>
      </c>
      <c r="F97" s="152" t="s">
        <v>15</v>
      </c>
      <c r="G97" s="6">
        <v>66.14</v>
      </c>
      <c r="H97" s="6">
        <v>21.99</v>
      </c>
      <c r="I97" s="6">
        <v>6.48</v>
      </c>
      <c r="J97" s="6">
        <v>0.19</v>
      </c>
      <c r="K97" s="6">
        <v>75.78</v>
      </c>
      <c r="L97" s="6">
        <v>11.12</v>
      </c>
      <c r="M97" s="6">
        <v>9.85</v>
      </c>
      <c r="N97" s="6">
        <v>2.2000000000000002</v>
      </c>
      <c r="O97" s="6">
        <v>0</v>
      </c>
      <c r="P97" s="6">
        <v>0.48</v>
      </c>
      <c r="Q97" s="6">
        <v>10</v>
      </c>
      <c r="R97" s="6"/>
      <c r="S97" s="6"/>
      <c r="T97" s="156"/>
      <c r="U97" s="6"/>
    </row>
    <row r="98" spans="1:28" customFormat="1">
      <c r="A98" s="201" t="s">
        <v>1481</v>
      </c>
      <c r="B98" s="6">
        <v>4.47</v>
      </c>
      <c r="C98" s="6">
        <v>8.58</v>
      </c>
      <c r="D98" s="6">
        <v>13.05</v>
      </c>
      <c r="E98" s="6">
        <v>6.04</v>
      </c>
      <c r="F98" s="152" t="s">
        <v>15</v>
      </c>
      <c r="G98" s="6">
        <v>66.14</v>
      </c>
      <c r="H98" s="6">
        <v>21.99</v>
      </c>
      <c r="I98" s="6">
        <v>6.52</v>
      </c>
      <c r="J98" s="6">
        <v>0.39</v>
      </c>
      <c r="K98" s="6">
        <v>43.47</v>
      </c>
      <c r="L98" s="6">
        <v>7.19</v>
      </c>
      <c r="M98" s="6">
        <v>-0.21</v>
      </c>
      <c r="N98" s="6">
        <v>2.2000000000000002</v>
      </c>
      <c r="O98" s="6">
        <v>0</v>
      </c>
      <c r="P98" s="6">
        <v>0.48</v>
      </c>
      <c r="Q98" s="6">
        <v>10</v>
      </c>
      <c r="R98" s="6"/>
      <c r="S98" s="6"/>
      <c r="T98" s="156"/>
      <c r="U98" s="6"/>
    </row>
    <row r="99" spans="1:28" customFormat="1">
      <c r="A99" s="201" t="s">
        <v>1482</v>
      </c>
      <c r="B99" s="6">
        <v>4.59</v>
      </c>
      <c r="C99" s="6">
        <v>8.01</v>
      </c>
      <c r="D99" s="6">
        <v>12.61</v>
      </c>
      <c r="E99" s="6">
        <v>6.25</v>
      </c>
      <c r="F99" s="152" t="s">
        <v>15</v>
      </c>
      <c r="G99" s="6">
        <v>66.180000000000007</v>
      </c>
      <c r="H99" s="6">
        <v>22.01</v>
      </c>
      <c r="I99" s="6">
        <v>6.49</v>
      </c>
      <c r="J99" s="6">
        <v>0.38</v>
      </c>
      <c r="K99" s="6">
        <v>44.65</v>
      </c>
      <c r="L99" s="6">
        <v>6.86</v>
      </c>
      <c r="M99" s="6">
        <v>-0.99</v>
      </c>
      <c r="N99" s="6">
        <v>2.2999999999999998</v>
      </c>
      <c r="O99" s="6">
        <v>0</v>
      </c>
      <c r="P99" s="6">
        <v>0.47</v>
      </c>
      <c r="Q99" s="6">
        <v>10</v>
      </c>
      <c r="R99" s="6"/>
      <c r="S99" s="6"/>
      <c r="T99" s="156"/>
      <c r="U99" s="6"/>
    </row>
    <row r="100" spans="1:28" customFormat="1">
      <c r="A100" s="201" t="s">
        <v>1483</v>
      </c>
      <c r="B100" s="6">
        <v>5.04</v>
      </c>
      <c r="C100" s="6">
        <v>9.0299999999999994</v>
      </c>
      <c r="D100" s="6">
        <v>14.06</v>
      </c>
      <c r="E100" s="6">
        <v>6.19</v>
      </c>
      <c r="F100" s="152" t="s">
        <v>15</v>
      </c>
      <c r="G100" s="6">
        <v>67.45</v>
      </c>
      <c r="H100" s="6">
        <v>23.13</v>
      </c>
      <c r="I100" s="6">
        <v>6.51</v>
      </c>
      <c r="J100" s="6">
        <v>0.27</v>
      </c>
      <c r="K100" s="6">
        <v>47.79</v>
      </c>
      <c r="L100" s="6">
        <v>7.06</v>
      </c>
      <c r="M100" s="6">
        <v>-0.5</v>
      </c>
      <c r="N100" s="6">
        <v>2.2000000000000002</v>
      </c>
      <c r="O100" s="6">
        <v>0</v>
      </c>
      <c r="P100" s="6">
        <v>0.47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1484</v>
      </c>
      <c r="B101" s="6">
        <v>5.09</v>
      </c>
      <c r="C101" s="6">
        <v>8.1</v>
      </c>
      <c r="D101" s="6">
        <v>13.2</v>
      </c>
      <c r="E101" s="6">
        <v>6.41</v>
      </c>
      <c r="F101" s="152" t="s">
        <v>15</v>
      </c>
      <c r="G101" s="6">
        <v>67.45</v>
      </c>
      <c r="H101" s="6">
        <v>23.13</v>
      </c>
      <c r="I101" s="6">
        <v>6.49</v>
      </c>
      <c r="J101" s="6">
        <v>0.08</v>
      </c>
      <c r="K101" s="6">
        <v>93.09</v>
      </c>
      <c r="L101" s="6">
        <v>11.2</v>
      </c>
      <c r="M101" s="6">
        <v>10.02</v>
      </c>
      <c r="N101" s="6">
        <v>2.2999999999999998</v>
      </c>
      <c r="O101" s="6">
        <v>0</v>
      </c>
      <c r="P101" s="6">
        <v>0.45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1485</v>
      </c>
      <c r="B102" s="6">
        <v>5.15</v>
      </c>
      <c r="C102" s="6">
        <v>7.71</v>
      </c>
      <c r="D102" s="6">
        <v>12.86</v>
      </c>
      <c r="E102" s="6">
        <v>6.35</v>
      </c>
      <c r="F102" s="152" t="s">
        <v>15</v>
      </c>
      <c r="G102" s="6">
        <v>67.45</v>
      </c>
      <c r="H102" s="6">
        <v>23.13</v>
      </c>
      <c r="I102" s="6">
        <v>6.46</v>
      </c>
      <c r="J102" s="6">
        <v>0.11</v>
      </c>
      <c r="K102" s="6">
        <v>139.33000000000001</v>
      </c>
      <c r="L102" s="6">
        <v>14.42</v>
      </c>
      <c r="M102" s="6">
        <v>18.22</v>
      </c>
      <c r="N102" s="6">
        <v>2.2000000000000002</v>
      </c>
      <c r="O102" s="6">
        <v>0</v>
      </c>
      <c r="P102" s="6">
        <v>0.45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1486</v>
      </c>
      <c r="B103" s="6">
        <v>5.09</v>
      </c>
      <c r="C103" s="6">
        <v>7.58</v>
      </c>
      <c r="D103" s="6">
        <v>12.67</v>
      </c>
      <c r="E103" s="6">
        <v>6.46</v>
      </c>
      <c r="F103" s="152" t="s">
        <v>15</v>
      </c>
      <c r="G103" s="6">
        <v>67.55</v>
      </c>
      <c r="H103" s="6">
        <v>23.13</v>
      </c>
      <c r="I103" s="6">
        <v>6.45</v>
      </c>
      <c r="J103" s="6">
        <v>0.12</v>
      </c>
      <c r="K103" s="6">
        <v>82.73</v>
      </c>
      <c r="L103" s="6">
        <v>10.71</v>
      </c>
      <c r="M103" s="6">
        <v>8.8000000000000007</v>
      </c>
      <c r="N103" s="6">
        <v>2.1</v>
      </c>
      <c r="O103" s="6">
        <v>0</v>
      </c>
      <c r="P103" s="6">
        <v>0.44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1487</v>
      </c>
      <c r="B104" s="6">
        <v>5.12</v>
      </c>
      <c r="C104" s="6">
        <v>7.46</v>
      </c>
      <c r="D104" s="6">
        <v>12.58</v>
      </c>
      <c r="E104" s="6">
        <v>6.72</v>
      </c>
      <c r="F104" s="152" t="s">
        <v>15</v>
      </c>
      <c r="G104" s="6">
        <v>70.290000000000006</v>
      </c>
      <c r="H104" s="6">
        <v>23.16</v>
      </c>
      <c r="I104" s="6">
        <v>6.42</v>
      </c>
      <c r="J104" s="6">
        <v>0.14000000000000001</v>
      </c>
      <c r="K104" s="6">
        <v>69.38</v>
      </c>
      <c r="L104" s="6">
        <v>9.16</v>
      </c>
      <c r="M104" s="6">
        <v>4.82</v>
      </c>
      <c r="N104" s="6">
        <v>2.1</v>
      </c>
      <c r="O104" s="6">
        <v>0</v>
      </c>
      <c r="P104" s="6">
        <v>0.44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1.89</v>
      </c>
      <c r="C106" s="158">
        <f>MIN(C9:C104)</f>
        <v>5.46</v>
      </c>
      <c r="D106" s="158">
        <f t="shared" ref="D106:Q106" si="0">MIN(D9:D104)</f>
        <v>7.44</v>
      </c>
      <c r="E106" s="158">
        <f t="shared" si="0"/>
        <v>1.91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3.47</v>
      </c>
      <c r="J106" s="158">
        <f t="shared" si="0"/>
        <v>0.06</v>
      </c>
      <c r="K106" s="158">
        <f t="shared" si="0"/>
        <v>12.31</v>
      </c>
      <c r="L106" s="158">
        <f t="shared" si="0"/>
        <v>6.01</v>
      </c>
      <c r="M106" s="158">
        <f t="shared" si="0"/>
        <v>-3.12</v>
      </c>
      <c r="N106" s="158">
        <f t="shared" si="0"/>
        <v>2.1</v>
      </c>
      <c r="O106" s="158">
        <f t="shared" si="0"/>
        <v>0</v>
      </c>
      <c r="P106" s="158">
        <f t="shared" si="0"/>
        <v>0.23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195.81</v>
      </c>
      <c r="C107" s="157">
        <f t="shared" ref="C107:Q107" si="1">MAX(C9:C104)</f>
        <v>36.369999999999997</v>
      </c>
      <c r="D107" s="157">
        <f t="shared" si="1"/>
        <v>232.18</v>
      </c>
      <c r="E107" s="157">
        <f t="shared" si="1"/>
        <v>726.5</v>
      </c>
      <c r="F107" s="157">
        <f t="shared" si="1"/>
        <v>0</v>
      </c>
      <c r="G107" s="157">
        <f t="shared" si="1"/>
        <v>79.67</v>
      </c>
      <c r="H107" s="157">
        <f t="shared" si="1"/>
        <v>27.12</v>
      </c>
      <c r="I107" s="157">
        <f t="shared" si="1"/>
        <v>16.75</v>
      </c>
      <c r="J107" s="157">
        <f t="shared" si="1"/>
        <v>0.54</v>
      </c>
      <c r="K107" s="157">
        <f t="shared" si="1"/>
        <v>165.53</v>
      </c>
      <c r="L107" s="157">
        <f t="shared" si="1"/>
        <v>21.95</v>
      </c>
      <c r="M107" s="157">
        <f t="shared" si="1"/>
        <v>24.9</v>
      </c>
      <c r="N107" s="157">
        <f t="shared" si="1"/>
        <v>594.4</v>
      </c>
      <c r="O107" s="157">
        <f t="shared" si="1"/>
        <v>0</v>
      </c>
      <c r="P107" s="157">
        <f t="shared" si="1"/>
        <v>0.55000000000000004</v>
      </c>
      <c r="Q107" s="157">
        <f t="shared" si="1"/>
        <v>10.029999999999999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9.66041666666667</v>
      </c>
      <c r="C108" s="158">
        <f t="shared" ref="C108:Q108" si="2">AVERAGE(C9:C104)</f>
        <v>9.2424999999999997</v>
      </c>
      <c r="D108" s="158">
        <f t="shared" si="2"/>
        <v>18.902708333333322</v>
      </c>
      <c r="E108" s="158">
        <f t="shared" si="2"/>
        <v>26.374166666666671</v>
      </c>
      <c r="F108" s="158" t="e">
        <f t="shared" si="2"/>
        <v>#DIV/0!</v>
      </c>
      <c r="G108" s="158">
        <f t="shared" si="2"/>
        <v>53.869479166666679</v>
      </c>
      <c r="H108" s="158">
        <f t="shared" si="2"/>
        <v>19.13208333333333</v>
      </c>
      <c r="I108" s="158">
        <f t="shared" si="2"/>
        <v>7.7338541666666698</v>
      </c>
      <c r="J108" s="158">
        <f t="shared" si="2"/>
        <v>0.27718749999999998</v>
      </c>
      <c r="K108" s="158">
        <f t="shared" si="2"/>
        <v>70.898333333333341</v>
      </c>
      <c r="L108" s="158">
        <f t="shared" si="2"/>
        <v>11.206875000000004</v>
      </c>
      <c r="M108" s="158">
        <f t="shared" si="2"/>
        <v>7.2910416666666675</v>
      </c>
      <c r="N108" s="158">
        <f t="shared" si="2"/>
        <v>116.93749999999999</v>
      </c>
      <c r="O108" s="158">
        <f t="shared" si="2"/>
        <v>0</v>
      </c>
      <c r="P108" s="158">
        <f t="shared" si="2"/>
        <v>0.40885416666666669</v>
      </c>
      <c r="Q108" s="158">
        <f t="shared" si="2"/>
        <v>10.000520833333333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26.647162657951014</v>
      </c>
      <c r="C109" s="158">
        <f t="shared" ref="C109:Q109" si="3">STDEV(C9:C104)</f>
        <v>4.0656318211642253</v>
      </c>
      <c r="D109" s="158">
        <f t="shared" si="3"/>
        <v>30.382110334491145</v>
      </c>
      <c r="E109" s="158">
        <f t="shared" si="3"/>
        <v>96.987979913591886</v>
      </c>
      <c r="F109" s="158" t="e">
        <f t="shared" si="3"/>
        <v>#DIV/0!</v>
      </c>
      <c r="G109" s="158">
        <f t="shared" si="3"/>
        <v>20.466852861191544</v>
      </c>
      <c r="H109" s="158">
        <f t="shared" si="3"/>
        <v>7.3262393478821064</v>
      </c>
      <c r="I109" s="158">
        <f t="shared" si="3"/>
        <v>2.3068234572067348</v>
      </c>
      <c r="J109" s="158">
        <f t="shared" si="3"/>
        <v>0.1013457149926351</v>
      </c>
      <c r="K109" s="158">
        <f t="shared" si="3"/>
        <v>35.046054531795896</v>
      </c>
      <c r="L109" s="158">
        <f t="shared" si="3"/>
        <v>3.6399740636727618</v>
      </c>
      <c r="M109" s="158">
        <f t="shared" si="3"/>
        <v>6.4614113627167891</v>
      </c>
      <c r="N109" s="158">
        <f t="shared" si="3"/>
        <v>180.21791151708248</v>
      </c>
      <c r="O109" s="158">
        <f t="shared" si="3"/>
        <v>0</v>
      </c>
      <c r="P109" s="158">
        <f t="shared" si="3"/>
        <v>9.2290956296027113E-2</v>
      </c>
      <c r="Q109" s="158">
        <f t="shared" si="3"/>
        <v>3.6619786617753214E-3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1488</v>
      </c>
      <c r="B9" s="6">
        <v>5.0999999999999996</v>
      </c>
      <c r="C9" s="6">
        <v>7.31</v>
      </c>
      <c r="D9" s="6">
        <v>12.41</v>
      </c>
      <c r="E9" s="6">
        <v>6.9</v>
      </c>
      <c r="F9" s="151" t="s">
        <v>8</v>
      </c>
      <c r="G9" s="6">
        <v>70.290000000000006</v>
      </c>
      <c r="H9" s="6">
        <v>23.16</v>
      </c>
      <c r="I9" s="6">
        <v>6.38</v>
      </c>
      <c r="J9" s="6">
        <v>0.11</v>
      </c>
      <c r="K9" s="6">
        <v>104.83</v>
      </c>
      <c r="L9" s="6">
        <v>11.85</v>
      </c>
      <c r="M9" s="6">
        <v>11.71</v>
      </c>
      <c r="N9" s="6">
        <v>2.2000000000000002</v>
      </c>
      <c r="O9" s="6">
        <v>0</v>
      </c>
      <c r="P9" s="6">
        <v>0.43</v>
      </c>
      <c r="Q9" s="6">
        <v>10</v>
      </c>
      <c r="R9" s="6"/>
      <c r="S9" s="6"/>
      <c r="T9" s="156"/>
      <c r="U9" s="6"/>
    </row>
    <row r="10" spans="1:21" customFormat="1">
      <c r="A10" s="201" t="s">
        <v>1489</v>
      </c>
      <c r="B10" s="6">
        <v>5.16</v>
      </c>
      <c r="C10" s="6">
        <v>7.39</v>
      </c>
      <c r="D10" s="6">
        <v>12.55</v>
      </c>
      <c r="E10" s="6">
        <v>7.09</v>
      </c>
      <c r="F10" s="151" t="s">
        <v>8</v>
      </c>
      <c r="G10" s="6">
        <v>70.290000000000006</v>
      </c>
      <c r="H10" s="6">
        <v>23.16</v>
      </c>
      <c r="I10" s="6">
        <v>6.35</v>
      </c>
      <c r="J10" s="6">
        <v>0.19</v>
      </c>
      <c r="K10" s="6">
        <v>58.11</v>
      </c>
      <c r="L10" s="6">
        <v>8.98</v>
      </c>
      <c r="M10" s="6">
        <v>4.4400000000000004</v>
      </c>
      <c r="N10" s="6">
        <v>2.1</v>
      </c>
      <c r="O10" s="6">
        <v>0</v>
      </c>
      <c r="P10" s="6">
        <v>0.43</v>
      </c>
      <c r="Q10" s="6">
        <v>10</v>
      </c>
      <c r="R10" s="6"/>
      <c r="S10" s="6"/>
      <c r="T10" s="156"/>
      <c r="U10" s="6"/>
    </row>
    <row r="11" spans="1:21" customFormat="1">
      <c r="A11" s="201" t="s">
        <v>1490</v>
      </c>
      <c r="B11" s="6">
        <v>5.28</v>
      </c>
      <c r="C11" s="6">
        <v>7.43</v>
      </c>
      <c r="D11" s="6">
        <v>12.71</v>
      </c>
      <c r="E11" s="6">
        <v>7.01</v>
      </c>
      <c r="F11" s="151" t="s">
        <v>8</v>
      </c>
      <c r="G11" s="6">
        <v>69.959999999999994</v>
      </c>
      <c r="H11" s="6">
        <v>23.19</v>
      </c>
      <c r="I11" s="6">
        <v>6.37</v>
      </c>
      <c r="J11" s="6">
        <v>0.21</v>
      </c>
      <c r="K11" s="6">
        <v>51</v>
      </c>
      <c r="L11" s="6">
        <v>7.79</v>
      </c>
      <c r="M11" s="6">
        <v>1.39</v>
      </c>
      <c r="N11" s="6">
        <v>2.1</v>
      </c>
      <c r="O11" s="6">
        <v>0</v>
      </c>
      <c r="P11" s="6">
        <v>0.44</v>
      </c>
      <c r="Q11" s="6">
        <v>10</v>
      </c>
      <c r="R11" s="6"/>
      <c r="S11" s="6"/>
      <c r="T11" s="156"/>
      <c r="U11" s="6"/>
    </row>
    <row r="12" spans="1:21" customFormat="1">
      <c r="A12" s="201" t="s">
        <v>1491</v>
      </c>
      <c r="B12" s="6">
        <v>5.33</v>
      </c>
      <c r="C12" s="6">
        <v>7.36</v>
      </c>
      <c r="D12" s="6">
        <v>12.69</v>
      </c>
      <c r="E12" s="6">
        <v>6.89</v>
      </c>
      <c r="F12" s="151" t="s">
        <v>8</v>
      </c>
      <c r="G12" s="6">
        <v>60.42</v>
      </c>
      <c r="H12" s="6">
        <v>25.2</v>
      </c>
      <c r="I12" s="6">
        <v>6.44</v>
      </c>
      <c r="J12" s="6">
        <v>0.14000000000000001</v>
      </c>
      <c r="K12" s="6">
        <v>68.3</v>
      </c>
      <c r="L12" s="6">
        <v>8.8699999999999992</v>
      </c>
      <c r="M12" s="6">
        <v>4.17</v>
      </c>
      <c r="N12" s="6">
        <v>2.1</v>
      </c>
      <c r="O12" s="6">
        <v>0</v>
      </c>
      <c r="P12" s="6">
        <v>0.44</v>
      </c>
      <c r="Q12" s="6">
        <v>10</v>
      </c>
      <c r="R12" s="6"/>
      <c r="S12" s="6"/>
      <c r="T12" s="156"/>
      <c r="U12" s="6"/>
    </row>
    <row r="13" spans="1:21" customFormat="1">
      <c r="A13" s="201" t="s">
        <v>1492</v>
      </c>
      <c r="B13" s="6">
        <v>5.33</v>
      </c>
      <c r="C13" s="6">
        <v>7.23</v>
      </c>
      <c r="D13" s="6">
        <v>12.56</v>
      </c>
      <c r="E13" s="6">
        <v>6.65</v>
      </c>
      <c r="F13" s="151" t="s">
        <v>8</v>
      </c>
      <c r="G13" s="6">
        <v>60.42</v>
      </c>
      <c r="H13" s="6">
        <v>25.2</v>
      </c>
      <c r="I13" s="6">
        <v>6.41</v>
      </c>
      <c r="J13" s="6">
        <v>0.11</v>
      </c>
      <c r="K13" s="6">
        <v>68.819999999999993</v>
      </c>
      <c r="L13" s="6">
        <v>8.92</v>
      </c>
      <c r="M13" s="6">
        <v>4.28</v>
      </c>
      <c r="N13" s="6">
        <v>2.1</v>
      </c>
      <c r="O13" s="6">
        <v>0</v>
      </c>
      <c r="P13" s="6">
        <v>0.43</v>
      </c>
      <c r="Q13" s="6">
        <v>10</v>
      </c>
      <c r="R13" s="6"/>
      <c r="S13" s="6"/>
      <c r="T13" s="156"/>
      <c r="U13" s="6"/>
    </row>
    <row r="14" spans="1:21" customFormat="1">
      <c r="A14" s="201" t="s">
        <v>1493</v>
      </c>
      <c r="B14" s="6">
        <v>5.43</v>
      </c>
      <c r="C14" s="6">
        <v>7.35</v>
      </c>
      <c r="D14" s="6">
        <v>12.78</v>
      </c>
      <c r="E14" s="6">
        <v>7.17</v>
      </c>
      <c r="F14" s="151" t="s">
        <v>8</v>
      </c>
      <c r="G14" s="6">
        <v>60.42</v>
      </c>
      <c r="H14" s="6">
        <v>25.2</v>
      </c>
      <c r="I14" s="6">
        <v>6.33</v>
      </c>
      <c r="J14" s="6">
        <v>0.09</v>
      </c>
      <c r="K14" s="6">
        <v>166.83</v>
      </c>
      <c r="L14" s="6">
        <v>16.11</v>
      </c>
      <c r="M14" s="6">
        <v>22.52</v>
      </c>
      <c r="N14" s="6">
        <v>2.1</v>
      </c>
      <c r="O14" s="6">
        <v>0</v>
      </c>
      <c r="P14" s="6">
        <v>0.42</v>
      </c>
      <c r="Q14" s="6">
        <v>10</v>
      </c>
      <c r="R14" s="6"/>
      <c r="S14" s="6"/>
      <c r="T14" s="156"/>
      <c r="U14" s="6"/>
    </row>
    <row r="15" spans="1:21" customFormat="1">
      <c r="A15" s="201" t="s">
        <v>1494</v>
      </c>
      <c r="B15" s="6">
        <v>5.62</v>
      </c>
      <c r="C15" s="6">
        <v>7.38</v>
      </c>
      <c r="D15" s="6">
        <v>13</v>
      </c>
      <c r="E15" s="6">
        <v>7.2</v>
      </c>
      <c r="F15" s="151" t="s">
        <v>8</v>
      </c>
      <c r="G15" s="6">
        <v>60.37</v>
      </c>
      <c r="H15" s="6">
        <v>25.17</v>
      </c>
      <c r="I15" s="6">
        <v>6.28</v>
      </c>
      <c r="J15" s="6">
        <v>0.11</v>
      </c>
      <c r="K15" s="6">
        <v>155.65</v>
      </c>
      <c r="L15" s="6">
        <v>15.31</v>
      </c>
      <c r="M15" s="6">
        <v>20.55</v>
      </c>
      <c r="N15" s="6">
        <v>2.1</v>
      </c>
      <c r="O15" s="6">
        <v>0</v>
      </c>
      <c r="P15" s="6">
        <v>0.41</v>
      </c>
      <c r="Q15" s="6">
        <v>10</v>
      </c>
      <c r="R15" s="6"/>
      <c r="S15" s="6"/>
      <c r="T15" s="156"/>
      <c r="U15" s="6"/>
    </row>
    <row r="16" spans="1:21" customFormat="1">
      <c r="A16" s="201" t="s">
        <v>1495</v>
      </c>
      <c r="B16" s="6">
        <v>5.73</v>
      </c>
      <c r="C16" s="6">
        <v>7.22</v>
      </c>
      <c r="D16" s="6">
        <v>12.95</v>
      </c>
      <c r="E16" s="6">
        <v>6.97</v>
      </c>
      <c r="F16" s="151" t="s">
        <v>8</v>
      </c>
      <c r="G16" s="6">
        <v>58.1</v>
      </c>
      <c r="H16" s="6">
        <v>23.19</v>
      </c>
      <c r="I16" s="6">
        <v>6.24</v>
      </c>
      <c r="J16" s="6">
        <v>0.08</v>
      </c>
      <c r="K16" s="6">
        <v>157.78</v>
      </c>
      <c r="L16" s="6">
        <v>16.61</v>
      </c>
      <c r="M16" s="6">
        <v>23.72</v>
      </c>
      <c r="N16" s="6">
        <v>2.1</v>
      </c>
      <c r="O16" s="6">
        <v>0</v>
      </c>
      <c r="P16" s="6">
        <v>0.42</v>
      </c>
      <c r="Q16" s="6">
        <v>10</v>
      </c>
      <c r="R16" s="6"/>
      <c r="S16" s="6"/>
      <c r="T16" s="156"/>
      <c r="U16" s="6"/>
    </row>
    <row r="17" spans="1:21" customFormat="1">
      <c r="A17" s="201" t="s">
        <v>1496</v>
      </c>
      <c r="B17" s="6">
        <v>5.92</v>
      </c>
      <c r="C17" s="6">
        <v>7.12</v>
      </c>
      <c r="D17" s="6">
        <v>13.04</v>
      </c>
      <c r="E17" s="6">
        <v>5.05</v>
      </c>
      <c r="F17" s="151" t="s">
        <v>8</v>
      </c>
      <c r="G17" s="6">
        <v>58.1</v>
      </c>
      <c r="H17" s="6">
        <v>23.19</v>
      </c>
      <c r="I17" s="6">
        <v>6.22</v>
      </c>
      <c r="J17" s="6">
        <v>0.08</v>
      </c>
      <c r="K17" s="6">
        <v>57.08</v>
      </c>
      <c r="L17" s="6">
        <v>10.1</v>
      </c>
      <c r="M17" s="6">
        <v>7.23</v>
      </c>
      <c r="N17" s="6">
        <v>2.1</v>
      </c>
      <c r="O17" s="6">
        <v>0</v>
      </c>
      <c r="P17" s="6">
        <v>0.4</v>
      </c>
      <c r="Q17" s="6">
        <v>10</v>
      </c>
      <c r="R17" s="6"/>
      <c r="S17" s="6"/>
      <c r="T17" s="156"/>
      <c r="U17" s="6"/>
    </row>
    <row r="18" spans="1:21" customFormat="1">
      <c r="A18" s="201" t="s">
        <v>1497</v>
      </c>
      <c r="B18" s="6">
        <v>6.21</v>
      </c>
      <c r="C18" s="6">
        <v>7.22</v>
      </c>
      <c r="D18" s="6">
        <v>13.42</v>
      </c>
      <c r="E18" s="6">
        <v>4.01</v>
      </c>
      <c r="F18" s="151" t="s">
        <v>8</v>
      </c>
      <c r="G18" s="6">
        <v>58.1</v>
      </c>
      <c r="H18" s="6">
        <v>23.19</v>
      </c>
      <c r="I18" s="6">
        <v>6.18</v>
      </c>
      <c r="J18" s="6">
        <v>0.11</v>
      </c>
      <c r="K18" s="6">
        <v>54.67</v>
      </c>
      <c r="L18" s="6">
        <v>7.57</v>
      </c>
      <c r="M18" s="6">
        <v>0.89</v>
      </c>
      <c r="N18" s="6">
        <v>2.1</v>
      </c>
      <c r="O18" s="6">
        <v>0</v>
      </c>
      <c r="P18" s="6">
        <v>0.4</v>
      </c>
      <c r="Q18" s="6">
        <v>10</v>
      </c>
      <c r="R18" s="6"/>
      <c r="S18" s="6"/>
      <c r="T18" s="156"/>
      <c r="U18" s="6"/>
    </row>
    <row r="19" spans="1:21" customFormat="1">
      <c r="A19" s="201" t="s">
        <v>1498</v>
      </c>
      <c r="B19" s="6">
        <v>6.43</v>
      </c>
      <c r="C19" s="6">
        <v>7.22</v>
      </c>
      <c r="D19" s="6">
        <v>13.66</v>
      </c>
      <c r="E19" s="6">
        <v>4.8</v>
      </c>
      <c r="F19" s="151" t="s">
        <v>8</v>
      </c>
      <c r="G19" s="6">
        <v>58.09</v>
      </c>
      <c r="H19" s="6">
        <v>23.19</v>
      </c>
      <c r="I19" s="6">
        <v>6.1</v>
      </c>
      <c r="J19" s="6">
        <v>0.1</v>
      </c>
      <c r="K19" s="6">
        <v>124.31</v>
      </c>
      <c r="L19" s="6">
        <v>12.2</v>
      </c>
      <c r="M19" s="6">
        <v>12.68</v>
      </c>
      <c r="N19" s="6">
        <v>2.1</v>
      </c>
      <c r="O19" s="6">
        <v>0</v>
      </c>
      <c r="P19" s="6">
        <v>0.41</v>
      </c>
      <c r="Q19" s="6">
        <v>10</v>
      </c>
      <c r="R19" s="6"/>
      <c r="S19" s="6"/>
      <c r="T19" s="156"/>
      <c r="U19" s="6"/>
    </row>
    <row r="20" spans="1:21" customFormat="1">
      <c r="A20" s="201" t="s">
        <v>1499</v>
      </c>
      <c r="B20" s="6">
        <v>6.58</v>
      </c>
      <c r="C20" s="6">
        <v>7.18</v>
      </c>
      <c r="D20" s="6">
        <v>13.76</v>
      </c>
      <c r="E20" s="6">
        <v>5.08</v>
      </c>
      <c r="F20" s="151" t="s">
        <v>8</v>
      </c>
      <c r="G20" s="6">
        <v>57.75</v>
      </c>
      <c r="H20" s="6">
        <v>23.32</v>
      </c>
      <c r="I20" s="6">
        <v>6.13</v>
      </c>
      <c r="J20" s="6">
        <v>0.15</v>
      </c>
      <c r="K20" s="6">
        <v>99.91</v>
      </c>
      <c r="L20" s="6">
        <v>11.15</v>
      </c>
      <c r="M20" s="6">
        <v>9.9600000000000009</v>
      </c>
      <c r="N20" s="6">
        <v>2.1</v>
      </c>
      <c r="O20" s="6">
        <v>0</v>
      </c>
      <c r="P20" s="6">
        <v>0.41</v>
      </c>
      <c r="Q20" s="6">
        <v>10</v>
      </c>
      <c r="R20" s="6"/>
      <c r="S20" s="6"/>
      <c r="T20" s="156"/>
      <c r="U20" s="6"/>
    </row>
    <row r="21" spans="1:21" customFormat="1">
      <c r="A21" s="201" t="s">
        <v>1500</v>
      </c>
      <c r="B21" s="6">
        <v>6.67</v>
      </c>
      <c r="C21" s="6">
        <v>7.13</v>
      </c>
      <c r="D21" s="6">
        <v>13.8</v>
      </c>
      <c r="E21" s="6">
        <v>5.04</v>
      </c>
      <c r="F21" s="151" t="s">
        <v>8</v>
      </c>
      <c r="G21" s="6">
        <v>57.75</v>
      </c>
      <c r="H21" s="6">
        <v>23.32</v>
      </c>
      <c r="I21" s="6">
        <v>6.16</v>
      </c>
      <c r="J21" s="6">
        <v>0.21</v>
      </c>
      <c r="K21" s="6">
        <v>55.35</v>
      </c>
      <c r="L21" s="6">
        <v>7.66</v>
      </c>
      <c r="M21" s="6">
        <v>1.1200000000000001</v>
      </c>
      <c r="N21" s="6">
        <v>2.1</v>
      </c>
      <c r="O21" s="6">
        <v>0</v>
      </c>
      <c r="P21" s="6">
        <v>0.4</v>
      </c>
      <c r="Q21" s="6">
        <v>10</v>
      </c>
      <c r="R21" s="6"/>
      <c r="S21" s="6"/>
      <c r="T21" s="156"/>
      <c r="U21" s="6"/>
    </row>
    <row r="22" spans="1:21" customFormat="1">
      <c r="A22" s="201" t="s">
        <v>1501</v>
      </c>
      <c r="B22" s="6">
        <v>6.71</v>
      </c>
      <c r="C22" s="6">
        <v>7.03</v>
      </c>
      <c r="D22" s="6">
        <v>13.74</v>
      </c>
      <c r="E22" s="6">
        <v>5.1100000000000003</v>
      </c>
      <c r="F22" s="151" t="s">
        <v>8</v>
      </c>
      <c r="G22" s="6">
        <v>57.75</v>
      </c>
      <c r="H22" s="6">
        <v>23.32</v>
      </c>
      <c r="I22" s="6">
        <v>6.13</v>
      </c>
      <c r="J22" s="6">
        <v>0.17</v>
      </c>
      <c r="K22" s="6">
        <v>67.55</v>
      </c>
      <c r="L22" s="6">
        <v>8.65</v>
      </c>
      <c r="M22" s="6">
        <v>3.64</v>
      </c>
      <c r="N22" s="6">
        <v>2.1</v>
      </c>
      <c r="O22" s="6">
        <v>0</v>
      </c>
      <c r="P22" s="6">
        <v>0.4</v>
      </c>
      <c r="Q22" s="6">
        <v>10</v>
      </c>
      <c r="R22" s="6"/>
      <c r="S22" s="6"/>
      <c r="T22" s="156"/>
      <c r="U22" s="6"/>
    </row>
    <row r="23" spans="1:21" customFormat="1">
      <c r="A23" s="201" t="s">
        <v>1502</v>
      </c>
      <c r="B23" s="6">
        <v>6.69</v>
      </c>
      <c r="C23" s="6">
        <v>6.98</v>
      </c>
      <c r="D23" s="6">
        <v>13.67</v>
      </c>
      <c r="E23" s="6">
        <v>4.82</v>
      </c>
      <c r="F23" s="151" t="s">
        <v>8</v>
      </c>
      <c r="G23" s="6">
        <v>57.77</v>
      </c>
      <c r="H23" s="6">
        <v>23.32</v>
      </c>
      <c r="I23" s="6">
        <v>6.11</v>
      </c>
      <c r="J23" s="6">
        <v>0.11</v>
      </c>
      <c r="K23" s="6">
        <v>80.290000000000006</v>
      </c>
      <c r="L23" s="6">
        <v>11.5</v>
      </c>
      <c r="M23" s="6">
        <v>10.84</v>
      </c>
      <c r="N23" s="6">
        <v>2.1</v>
      </c>
      <c r="O23" s="6">
        <v>0</v>
      </c>
      <c r="P23" s="6">
        <v>0.4</v>
      </c>
      <c r="Q23" s="6">
        <v>10</v>
      </c>
      <c r="R23" s="6"/>
      <c r="S23" s="6"/>
      <c r="T23" s="156"/>
      <c r="U23" s="6"/>
    </row>
    <row r="24" spans="1:21" customFormat="1">
      <c r="A24" s="201" t="s">
        <v>1503</v>
      </c>
      <c r="B24" s="6">
        <v>6.81</v>
      </c>
      <c r="C24" s="6">
        <v>6.98</v>
      </c>
      <c r="D24" s="6">
        <v>13.79</v>
      </c>
      <c r="E24" s="6">
        <v>4.87</v>
      </c>
      <c r="F24" s="151" t="s">
        <v>8</v>
      </c>
      <c r="G24" s="6">
        <v>58.45</v>
      </c>
      <c r="H24" s="6">
        <v>23.44</v>
      </c>
      <c r="I24" s="6">
        <v>6.13</v>
      </c>
      <c r="J24" s="6">
        <v>0.1</v>
      </c>
      <c r="K24" s="6">
        <v>43.31</v>
      </c>
      <c r="L24" s="6">
        <v>6.47</v>
      </c>
      <c r="M24" s="6">
        <v>-1.98</v>
      </c>
      <c r="N24" s="6">
        <v>2.1</v>
      </c>
      <c r="O24" s="6">
        <v>0</v>
      </c>
      <c r="P24" s="6">
        <v>0.4</v>
      </c>
      <c r="Q24" s="6">
        <v>10</v>
      </c>
      <c r="R24" s="6"/>
      <c r="S24" s="6"/>
      <c r="T24" s="156"/>
      <c r="U24" s="6"/>
    </row>
    <row r="25" spans="1:21" customFormat="1">
      <c r="A25" s="201" t="s">
        <v>1504</v>
      </c>
      <c r="B25" s="6">
        <v>7.05</v>
      </c>
      <c r="C25" s="6">
        <v>6.97</v>
      </c>
      <c r="D25" s="6">
        <v>14.02</v>
      </c>
      <c r="E25" s="6">
        <v>5.16</v>
      </c>
      <c r="F25" s="151" t="s">
        <v>8</v>
      </c>
      <c r="G25" s="6">
        <v>58.45</v>
      </c>
      <c r="H25" s="6">
        <v>23.44</v>
      </c>
      <c r="I25" s="6">
        <v>6.2</v>
      </c>
      <c r="J25" s="6">
        <v>0.25</v>
      </c>
      <c r="K25" s="6">
        <v>42.33</v>
      </c>
      <c r="L25" s="6">
        <v>6.59</v>
      </c>
      <c r="M25" s="6">
        <v>-1.65</v>
      </c>
      <c r="N25" s="6">
        <v>2.1</v>
      </c>
      <c r="O25" s="6">
        <v>0</v>
      </c>
      <c r="P25" s="6">
        <v>0.41</v>
      </c>
      <c r="Q25" s="6">
        <v>10</v>
      </c>
      <c r="R25" s="6"/>
      <c r="S25" s="6"/>
      <c r="T25" s="156"/>
      <c r="U25" s="6"/>
    </row>
    <row r="26" spans="1:21" customFormat="1">
      <c r="A26" s="201" t="s">
        <v>1505</v>
      </c>
      <c r="B26" s="6">
        <v>7.31</v>
      </c>
      <c r="C26" s="6">
        <v>6.79</v>
      </c>
      <c r="D26" s="6">
        <v>14.09</v>
      </c>
      <c r="E26" s="6">
        <v>5.01</v>
      </c>
      <c r="F26" s="151" t="s">
        <v>8</v>
      </c>
      <c r="G26" s="6">
        <v>58.45</v>
      </c>
      <c r="H26" s="6">
        <v>23.44</v>
      </c>
      <c r="I26" s="6">
        <v>6.14</v>
      </c>
      <c r="J26" s="6">
        <v>0.21</v>
      </c>
      <c r="K26" s="6">
        <v>51.17</v>
      </c>
      <c r="L26" s="6">
        <v>7.68</v>
      </c>
      <c r="M26" s="6">
        <v>1.1299999999999999</v>
      </c>
      <c r="N26" s="6">
        <v>2.1</v>
      </c>
      <c r="O26" s="6">
        <v>0</v>
      </c>
      <c r="P26" s="6">
        <v>0.43</v>
      </c>
      <c r="Q26" s="6">
        <v>10</v>
      </c>
      <c r="R26" s="6"/>
      <c r="S26" s="6"/>
      <c r="T26" s="156"/>
      <c r="U26" s="6"/>
    </row>
    <row r="27" spans="1:21" customFormat="1">
      <c r="A27" s="201" t="s">
        <v>1506</v>
      </c>
      <c r="B27" s="6">
        <v>7.5</v>
      </c>
      <c r="C27" s="6">
        <v>6.65</v>
      </c>
      <c r="D27" s="6">
        <v>14.15</v>
      </c>
      <c r="E27" s="6">
        <v>4.6100000000000003</v>
      </c>
      <c r="F27" s="151" t="s">
        <v>8</v>
      </c>
      <c r="G27" s="6">
        <v>58.57</v>
      </c>
      <c r="H27" s="6">
        <v>23.42</v>
      </c>
      <c r="I27" s="6">
        <v>6.15</v>
      </c>
      <c r="J27" s="6">
        <v>0.35</v>
      </c>
      <c r="K27" s="6">
        <v>36.04</v>
      </c>
      <c r="L27" s="6">
        <v>6.3</v>
      </c>
      <c r="M27" s="6">
        <v>-2.41</v>
      </c>
      <c r="N27" s="6">
        <v>2.1</v>
      </c>
      <c r="O27" s="6">
        <v>0</v>
      </c>
      <c r="P27" s="6">
        <v>0.44</v>
      </c>
      <c r="Q27" s="6">
        <v>10</v>
      </c>
      <c r="R27" s="6"/>
      <c r="S27" s="6"/>
      <c r="T27" s="156"/>
      <c r="U27" s="6"/>
    </row>
    <row r="28" spans="1:21" customFormat="1">
      <c r="A28" s="201" t="s">
        <v>1507</v>
      </c>
      <c r="B28" s="6">
        <v>7.71</v>
      </c>
      <c r="C28" s="6">
        <v>6.79</v>
      </c>
      <c r="D28" s="6">
        <v>14.51</v>
      </c>
      <c r="E28" s="6">
        <v>4.6399999999999997</v>
      </c>
      <c r="F28" s="151" t="s">
        <v>8</v>
      </c>
      <c r="G28" s="6">
        <v>62.21</v>
      </c>
      <c r="H28" s="6">
        <v>22.68</v>
      </c>
      <c r="I28" s="6">
        <v>6.22</v>
      </c>
      <c r="J28" s="6">
        <v>0.34</v>
      </c>
      <c r="K28" s="6">
        <v>40.31</v>
      </c>
      <c r="L28" s="6">
        <v>7.45</v>
      </c>
      <c r="M28" s="6">
        <v>0.48</v>
      </c>
      <c r="N28" s="6">
        <v>2.1</v>
      </c>
      <c r="O28" s="6">
        <v>0</v>
      </c>
      <c r="P28" s="6">
        <v>0.44</v>
      </c>
      <c r="Q28" s="6">
        <v>10</v>
      </c>
      <c r="R28" s="6"/>
      <c r="S28" s="6"/>
      <c r="T28" s="156"/>
      <c r="U28" s="6"/>
    </row>
    <row r="29" spans="1:21" customFormat="1">
      <c r="A29" s="201" t="s">
        <v>1508</v>
      </c>
      <c r="B29" s="6">
        <v>8.01</v>
      </c>
      <c r="C29" s="6">
        <v>6.76</v>
      </c>
      <c r="D29" s="6">
        <v>14.77</v>
      </c>
      <c r="E29" s="6">
        <v>4.99</v>
      </c>
      <c r="F29" s="151" t="s">
        <v>8</v>
      </c>
      <c r="G29" s="6">
        <v>62.21</v>
      </c>
      <c r="H29" s="6">
        <v>22.68</v>
      </c>
      <c r="I29" s="6">
        <v>6.2</v>
      </c>
      <c r="J29" s="6">
        <v>0.34</v>
      </c>
      <c r="K29" s="6">
        <v>41.01</v>
      </c>
      <c r="L29" s="6">
        <v>6.7</v>
      </c>
      <c r="M29" s="6">
        <v>-1.39</v>
      </c>
      <c r="N29" s="6">
        <v>2.1</v>
      </c>
      <c r="O29" s="6">
        <v>0</v>
      </c>
      <c r="P29" s="6">
        <v>0.45</v>
      </c>
      <c r="Q29" s="6">
        <v>10</v>
      </c>
      <c r="R29" s="6"/>
      <c r="S29" s="6"/>
      <c r="T29" s="156"/>
      <c r="U29" s="6"/>
    </row>
    <row r="30" spans="1:21" customFormat="1">
      <c r="A30" s="201" t="s">
        <v>1509</v>
      </c>
      <c r="B30" s="6">
        <v>8.32</v>
      </c>
      <c r="C30" s="6">
        <v>6.75</v>
      </c>
      <c r="D30" s="6">
        <v>15.07</v>
      </c>
      <c r="E30" s="6">
        <v>4.97</v>
      </c>
      <c r="F30" s="151" t="s">
        <v>8</v>
      </c>
      <c r="G30" s="6">
        <v>62.21</v>
      </c>
      <c r="H30" s="6">
        <v>22.68</v>
      </c>
      <c r="I30" s="6">
        <v>6.32</v>
      </c>
      <c r="J30" s="6">
        <v>0.26</v>
      </c>
      <c r="K30" s="6">
        <v>45.98</v>
      </c>
      <c r="L30" s="6">
        <v>7.62</v>
      </c>
      <c r="M30" s="6">
        <v>0.96</v>
      </c>
      <c r="N30" s="6">
        <v>2.1</v>
      </c>
      <c r="O30" s="6">
        <v>0</v>
      </c>
      <c r="P30" s="6">
        <v>0.45</v>
      </c>
      <c r="Q30" s="6">
        <v>10</v>
      </c>
      <c r="R30" s="6"/>
      <c r="S30" s="6"/>
      <c r="T30" s="156"/>
      <c r="U30" s="6"/>
    </row>
    <row r="31" spans="1:21" customFormat="1">
      <c r="A31" s="201" t="s">
        <v>1510</v>
      </c>
      <c r="B31" s="6">
        <v>8.73</v>
      </c>
      <c r="C31" s="6">
        <v>6.87</v>
      </c>
      <c r="D31" s="6">
        <v>15.61</v>
      </c>
      <c r="E31" s="6">
        <v>4.97</v>
      </c>
      <c r="F31" s="151" t="s">
        <v>8</v>
      </c>
      <c r="G31" s="6">
        <v>62.22</v>
      </c>
      <c r="H31" s="6">
        <v>22.63</v>
      </c>
      <c r="I31" s="6">
        <v>6.33</v>
      </c>
      <c r="J31" s="6">
        <v>0.22</v>
      </c>
      <c r="K31" s="6">
        <v>48.02</v>
      </c>
      <c r="L31" s="6">
        <v>7.15</v>
      </c>
      <c r="M31" s="6">
        <v>-0.22</v>
      </c>
      <c r="N31" s="6">
        <v>2.1</v>
      </c>
      <c r="O31" s="6">
        <v>0</v>
      </c>
      <c r="P31" s="6">
        <v>0.46</v>
      </c>
      <c r="Q31" s="6">
        <v>10</v>
      </c>
      <c r="R31" s="6"/>
      <c r="S31" s="6"/>
      <c r="T31" s="156"/>
      <c r="U31" s="6"/>
    </row>
    <row r="32" spans="1:21" customFormat="1">
      <c r="A32" s="201" t="s">
        <v>1511</v>
      </c>
      <c r="B32" s="6">
        <v>8.99</v>
      </c>
      <c r="C32" s="6">
        <v>6.86</v>
      </c>
      <c r="D32" s="6">
        <v>15.86</v>
      </c>
      <c r="E32" s="6">
        <v>5.0199999999999996</v>
      </c>
      <c r="F32" s="151" t="s">
        <v>8</v>
      </c>
      <c r="G32" s="6">
        <v>62.45</v>
      </c>
      <c r="H32" s="6">
        <v>20.98</v>
      </c>
      <c r="I32" s="6">
        <v>6.29</v>
      </c>
      <c r="J32" s="6">
        <v>0.27</v>
      </c>
      <c r="K32" s="6">
        <v>33.56</v>
      </c>
      <c r="L32" s="6">
        <v>6.46</v>
      </c>
      <c r="M32" s="6">
        <v>-2.0299999999999998</v>
      </c>
      <c r="N32" s="6">
        <v>3.1</v>
      </c>
      <c r="O32" s="6">
        <v>0</v>
      </c>
      <c r="P32" s="6">
        <v>0.45</v>
      </c>
      <c r="Q32" s="6">
        <v>10</v>
      </c>
      <c r="R32" s="6"/>
      <c r="S32" s="6"/>
      <c r="T32" s="156"/>
      <c r="U32" s="6"/>
    </row>
    <row r="33" spans="1:21" customFormat="1">
      <c r="A33" s="201" t="s">
        <v>1512</v>
      </c>
      <c r="B33" s="6">
        <v>9.35</v>
      </c>
      <c r="C33" s="6">
        <v>6.86</v>
      </c>
      <c r="D33" s="6">
        <v>16.22</v>
      </c>
      <c r="E33" s="6">
        <v>4.9800000000000004</v>
      </c>
      <c r="F33" s="151" t="s">
        <v>8</v>
      </c>
      <c r="G33" s="6">
        <v>62.45</v>
      </c>
      <c r="H33" s="6">
        <v>20.98</v>
      </c>
      <c r="I33" s="6">
        <v>6.37</v>
      </c>
      <c r="J33" s="6">
        <v>0.32</v>
      </c>
      <c r="K33" s="6">
        <v>38.380000000000003</v>
      </c>
      <c r="L33" s="6">
        <v>6.5</v>
      </c>
      <c r="M33" s="6">
        <v>-2.0299999999999998</v>
      </c>
      <c r="N33" s="6">
        <v>6.8</v>
      </c>
      <c r="O33" s="6">
        <v>0</v>
      </c>
      <c r="P33" s="6">
        <v>0.45</v>
      </c>
      <c r="Q33" s="6">
        <v>10</v>
      </c>
      <c r="R33" s="6"/>
      <c r="S33" s="6"/>
      <c r="T33" s="156"/>
      <c r="U33" s="6"/>
    </row>
    <row r="34" spans="1:21" customFormat="1">
      <c r="A34" s="201" t="s">
        <v>1513</v>
      </c>
      <c r="B34" s="6">
        <v>9.5500000000000007</v>
      </c>
      <c r="C34" s="6">
        <v>6.95</v>
      </c>
      <c r="D34" s="6">
        <v>16.510000000000002</v>
      </c>
      <c r="E34" s="6">
        <v>4.62</v>
      </c>
      <c r="F34" s="151" t="s">
        <v>8</v>
      </c>
      <c r="G34" s="6">
        <v>62.45</v>
      </c>
      <c r="H34" s="6">
        <v>20.98</v>
      </c>
      <c r="I34" s="6">
        <v>6.47</v>
      </c>
      <c r="J34" s="6">
        <v>0.28000000000000003</v>
      </c>
      <c r="K34" s="6">
        <v>34.96</v>
      </c>
      <c r="L34" s="6">
        <v>6.01</v>
      </c>
      <c r="M34" s="6">
        <v>-3.43</v>
      </c>
      <c r="N34" s="6">
        <v>14.5</v>
      </c>
      <c r="O34" s="6">
        <v>0</v>
      </c>
      <c r="P34" s="6">
        <v>0.46</v>
      </c>
      <c r="Q34" s="6">
        <v>10</v>
      </c>
      <c r="R34" s="6"/>
      <c r="S34" s="6"/>
      <c r="T34" s="156"/>
      <c r="U34" s="6"/>
    </row>
    <row r="35" spans="1:21" customFormat="1">
      <c r="A35" s="201" t="s">
        <v>1514</v>
      </c>
      <c r="B35" s="6">
        <v>9.7899999999999991</v>
      </c>
      <c r="C35" s="6">
        <v>6.95</v>
      </c>
      <c r="D35" s="6">
        <v>16.75</v>
      </c>
      <c r="E35" s="6">
        <v>4.78</v>
      </c>
      <c r="F35" s="151" t="s">
        <v>8</v>
      </c>
      <c r="G35" s="6">
        <v>62.67</v>
      </c>
      <c r="H35" s="6">
        <v>21.15</v>
      </c>
      <c r="I35" s="6">
        <v>6.59</v>
      </c>
      <c r="J35" s="6">
        <v>0.48</v>
      </c>
      <c r="K35" s="6">
        <v>38.299999999999997</v>
      </c>
      <c r="L35" s="6">
        <v>6.3</v>
      </c>
      <c r="M35" s="6">
        <v>-2.95</v>
      </c>
      <c r="N35" s="6">
        <v>24.3</v>
      </c>
      <c r="O35" s="6">
        <v>0</v>
      </c>
      <c r="P35" s="6">
        <v>0.47</v>
      </c>
      <c r="Q35" s="6">
        <v>10</v>
      </c>
      <c r="R35" s="6"/>
      <c r="S35" s="6"/>
      <c r="T35" s="156"/>
      <c r="U35" s="6"/>
    </row>
    <row r="36" spans="1:21" customFormat="1">
      <c r="A36" s="201" t="s">
        <v>1515</v>
      </c>
      <c r="B36" s="6">
        <v>10</v>
      </c>
      <c r="C36" s="6">
        <v>6.98</v>
      </c>
      <c r="D36" s="6">
        <v>16.97</v>
      </c>
      <c r="E36" s="6">
        <v>4.9400000000000004</v>
      </c>
      <c r="F36" s="151" t="s">
        <v>8</v>
      </c>
      <c r="G36" s="6">
        <v>68.959999999999994</v>
      </c>
      <c r="H36" s="6">
        <v>26.58</v>
      </c>
      <c r="I36" s="6">
        <v>6.66</v>
      </c>
      <c r="J36" s="6">
        <v>0.5</v>
      </c>
      <c r="K36" s="6">
        <v>40.54</v>
      </c>
      <c r="L36" s="6">
        <v>7.27</v>
      </c>
      <c r="M36" s="6">
        <v>-0.78</v>
      </c>
      <c r="N36" s="6">
        <v>36.200000000000003</v>
      </c>
      <c r="O36" s="6">
        <v>0</v>
      </c>
      <c r="P36" s="6">
        <v>0.47</v>
      </c>
      <c r="Q36" s="6">
        <v>10</v>
      </c>
      <c r="R36" s="6"/>
      <c r="S36" s="6"/>
      <c r="T36" s="156"/>
      <c r="U36" s="6"/>
    </row>
    <row r="37" spans="1:21" customFormat="1">
      <c r="A37" s="201" t="s">
        <v>1516</v>
      </c>
      <c r="B37" s="6">
        <v>10.17</v>
      </c>
      <c r="C37" s="6">
        <v>7.01</v>
      </c>
      <c r="D37" s="6">
        <v>17.18</v>
      </c>
      <c r="E37" s="6">
        <v>5.05</v>
      </c>
      <c r="F37" s="151" t="s">
        <v>8</v>
      </c>
      <c r="G37" s="6">
        <v>68.959999999999994</v>
      </c>
      <c r="H37" s="6">
        <v>26.58</v>
      </c>
      <c r="I37" s="6">
        <v>6.78</v>
      </c>
      <c r="J37" s="6">
        <v>0.4</v>
      </c>
      <c r="K37" s="6">
        <v>41.31</v>
      </c>
      <c r="L37" s="6">
        <v>8.31</v>
      </c>
      <c r="M37" s="6">
        <v>1.47</v>
      </c>
      <c r="N37" s="6">
        <v>51.5</v>
      </c>
      <c r="O37" s="6">
        <v>0</v>
      </c>
      <c r="P37" s="6">
        <v>0.46</v>
      </c>
      <c r="Q37" s="6">
        <v>10</v>
      </c>
      <c r="R37" s="6"/>
      <c r="S37" s="6"/>
      <c r="T37" s="156"/>
      <c r="U37" s="6"/>
    </row>
    <row r="38" spans="1:21" customFormat="1">
      <c r="A38" s="201" t="s">
        <v>1517</v>
      </c>
      <c r="B38" s="6">
        <v>10.210000000000001</v>
      </c>
      <c r="C38" s="6">
        <v>7.15</v>
      </c>
      <c r="D38" s="6">
        <v>17.36</v>
      </c>
      <c r="E38" s="6">
        <v>4.75</v>
      </c>
      <c r="F38" s="151" t="s">
        <v>8</v>
      </c>
      <c r="G38" s="6">
        <v>68.959999999999994</v>
      </c>
      <c r="H38" s="6">
        <v>26.58</v>
      </c>
      <c r="I38" s="6">
        <v>6.9</v>
      </c>
      <c r="J38" s="6">
        <v>0.44</v>
      </c>
      <c r="K38" s="6">
        <v>36.68</v>
      </c>
      <c r="L38" s="6">
        <v>7.07</v>
      </c>
      <c r="M38" s="6">
        <v>-2.0499999999999998</v>
      </c>
      <c r="N38" s="6">
        <v>68.3</v>
      </c>
      <c r="O38" s="6">
        <v>0</v>
      </c>
      <c r="P38" s="6">
        <v>0.48</v>
      </c>
      <c r="Q38" s="6">
        <v>10</v>
      </c>
      <c r="R38" s="6"/>
      <c r="S38" s="6"/>
      <c r="T38" s="156"/>
      <c r="U38" s="6"/>
    </row>
    <row r="39" spans="1:21" customFormat="1">
      <c r="A39" s="201" t="s">
        <v>1518</v>
      </c>
      <c r="B39" s="6">
        <v>10.29</v>
      </c>
      <c r="C39" s="6">
        <v>7.09</v>
      </c>
      <c r="D39" s="6">
        <v>17.38</v>
      </c>
      <c r="E39" s="6">
        <v>4.93</v>
      </c>
      <c r="F39" s="151" t="s">
        <v>8</v>
      </c>
      <c r="G39" s="6">
        <v>68.97</v>
      </c>
      <c r="H39" s="6">
        <v>26.67</v>
      </c>
      <c r="I39" s="6">
        <v>7.04</v>
      </c>
      <c r="J39" s="6">
        <v>0.31</v>
      </c>
      <c r="K39" s="6">
        <v>73.150000000000006</v>
      </c>
      <c r="L39" s="6">
        <v>10.63</v>
      </c>
      <c r="M39" s="6">
        <v>5.87</v>
      </c>
      <c r="N39" s="6">
        <v>118.4</v>
      </c>
      <c r="O39" s="6">
        <v>0</v>
      </c>
      <c r="P39" s="6">
        <v>0.48</v>
      </c>
      <c r="Q39" s="6">
        <v>10</v>
      </c>
      <c r="R39" s="6"/>
      <c r="S39" s="6"/>
      <c r="T39" s="156"/>
      <c r="U39" s="6"/>
    </row>
    <row r="40" spans="1:21" customFormat="1">
      <c r="A40" s="201" t="s">
        <v>1519</v>
      </c>
      <c r="B40" s="6">
        <v>10.210000000000001</v>
      </c>
      <c r="C40" s="6">
        <v>7.16</v>
      </c>
      <c r="D40" s="6">
        <v>17.36</v>
      </c>
      <c r="E40" s="6">
        <v>4.7699999999999996</v>
      </c>
      <c r="F40" s="151" t="s">
        <v>8</v>
      </c>
      <c r="G40" s="6">
        <v>69.5</v>
      </c>
      <c r="H40" s="6">
        <v>29.59</v>
      </c>
      <c r="I40" s="6">
        <v>7.12</v>
      </c>
      <c r="J40" s="6">
        <v>0.32</v>
      </c>
      <c r="K40" s="6">
        <v>84.19</v>
      </c>
      <c r="L40" s="6">
        <v>11.51</v>
      </c>
      <c r="M40" s="6">
        <v>7.71</v>
      </c>
      <c r="N40" s="6">
        <v>134.19999999999999</v>
      </c>
      <c r="O40" s="6">
        <v>0</v>
      </c>
      <c r="P40" s="6">
        <v>0.49</v>
      </c>
      <c r="Q40" s="6">
        <v>10</v>
      </c>
      <c r="R40" s="6"/>
      <c r="S40" s="6"/>
      <c r="T40" s="156"/>
      <c r="U40" s="6"/>
    </row>
    <row r="41" spans="1:21" customFormat="1">
      <c r="A41" s="201" t="s">
        <v>1520</v>
      </c>
      <c r="B41" s="6">
        <v>9.94</v>
      </c>
      <c r="C41" s="6">
        <v>7.19</v>
      </c>
      <c r="D41" s="6">
        <v>17.12</v>
      </c>
      <c r="E41" s="6">
        <v>5.0999999999999996</v>
      </c>
      <c r="F41" s="151" t="s">
        <v>8</v>
      </c>
      <c r="G41" s="6">
        <v>69.5</v>
      </c>
      <c r="H41" s="6">
        <v>29.59</v>
      </c>
      <c r="I41" s="6">
        <v>7.27</v>
      </c>
      <c r="J41" s="6">
        <v>0.25</v>
      </c>
      <c r="K41" s="6">
        <v>84.31</v>
      </c>
      <c r="L41" s="6">
        <v>11.65</v>
      </c>
      <c r="M41" s="6">
        <v>8.2899999999999991</v>
      </c>
      <c r="N41" s="6">
        <v>115.7</v>
      </c>
      <c r="O41" s="6">
        <v>0</v>
      </c>
      <c r="P41" s="6">
        <v>0.49</v>
      </c>
      <c r="Q41" s="6">
        <v>10</v>
      </c>
      <c r="R41" s="6"/>
      <c r="S41" s="6"/>
      <c r="T41" s="156"/>
      <c r="U41" s="6"/>
    </row>
    <row r="42" spans="1:21" customFormat="1">
      <c r="A42" s="201" t="s">
        <v>1521</v>
      </c>
      <c r="B42" s="6">
        <v>9.68</v>
      </c>
      <c r="C42" s="6">
        <v>7.3</v>
      </c>
      <c r="D42" s="6">
        <v>16.98</v>
      </c>
      <c r="E42" s="6">
        <v>4.8899999999999997</v>
      </c>
      <c r="F42" s="151" t="s">
        <v>8</v>
      </c>
      <c r="G42" s="6">
        <v>69.5</v>
      </c>
      <c r="H42" s="6">
        <v>29.59</v>
      </c>
      <c r="I42" s="6">
        <v>7.29</v>
      </c>
      <c r="J42" s="6">
        <v>0.45</v>
      </c>
      <c r="K42" s="6">
        <v>44.8</v>
      </c>
      <c r="L42" s="6">
        <v>9.57</v>
      </c>
      <c r="M42" s="6">
        <v>3.06</v>
      </c>
      <c r="N42" s="6">
        <v>121.6</v>
      </c>
      <c r="O42" s="6">
        <v>0</v>
      </c>
      <c r="P42" s="6">
        <v>0.49</v>
      </c>
      <c r="Q42" s="6">
        <v>10</v>
      </c>
      <c r="R42" s="6"/>
      <c r="S42" s="6"/>
      <c r="T42" s="156"/>
      <c r="U42" s="6"/>
    </row>
    <row r="43" spans="1:21" customFormat="1">
      <c r="A43" s="201" t="s">
        <v>1522</v>
      </c>
      <c r="B43" s="6">
        <v>9.35</v>
      </c>
      <c r="C43" s="6">
        <v>7.44</v>
      </c>
      <c r="D43" s="6">
        <v>16.78</v>
      </c>
      <c r="E43" s="6">
        <v>4.9400000000000004</v>
      </c>
      <c r="F43" s="151" t="s">
        <v>8</v>
      </c>
      <c r="G43" s="6">
        <v>69.53</v>
      </c>
      <c r="H43" s="6">
        <v>29.55</v>
      </c>
      <c r="I43" s="6">
        <v>7.36</v>
      </c>
      <c r="J43" s="6">
        <v>0.3</v>
      </c>
      <c r="K43" s="6">
        <v>57.06</v>
      </c>
      <c r="L43" s="6">
        <v>11.03</v>
      </c>
      <c r="M43" s="6">
        <v>5.74</v>
      </c>
      <c r="N43" s="6">
        <v>166</v>
      </c>
      <c r="O43" s="6">
        <v>0</v>
      </c>
      <c r="P43" s="6">
        <v>0.49</v>
      </c>
      <c r="Q43" s="6">
        <v>10</v>
      </c>
      <c r="R43" s="6"/>
      <c r="S43" s="6"/>
      <c r="T43" s="156"/>
      <c r="U43" s="6"/>
    </row>
    <row r="44" spans="1:21" customFormat="1">
      <c r="A44" s="201" t="s">
        <v>1523</v>
      </c>
      <c r="B44" s="6">
        <v>9.18</v>
      </c>
      <c r="C44" s="6">
        <v>7.41</v>
      </c>
      <c r="D44" s="6">
        <v>16.59</v>
      </c>
      <c r="E44" s="6">
        <v>4.8600000000000003</v>
      </c>
      <c r="F44" s="151" t="s">
        <v>8</v>
      </c>
      <c r="G44" s="6">
        <v>70.47</v>
      </c>
      <c r="H44" s="6">
        <v>28.19</v>
      </c>
      <c r="I44" s="6">
        <v>7.36</v>
      </c>
      <c r="J44" s="6">
        <v>0.32</v>
      </c>
      <c r="K44" s="6">
        <v>55.67</v>
      </c>
      <c r="L44" s="6">
        <v>10.050000000000001</v>
      </c>
      <c r="M44" s="6">
        <v>2.96</v>
      </c>
      <c r="N44" s="6">
        <v>175.5</v>
      </c>
      <c r="O44" s="6">
        <v>0</v>
      </c>
      <c r="P44" s="6">
        <v>0.47</v>
      </c>
      <c r="Q44" s="6">
        <v>10</v>
      </c>
      <c r="R44" s="6"/>
      <c r="S44" s="6"/>
      <c r="T44" s="156"/>
      <c r="U44" s="6"/>
    </row>
    <row r="45" spans="1:21" customFormat="1">
      <c r="A45" s="201" t="s">
        <v>1524</v>
      </c>
      <c r="B45" s="6">
        <v>8.89</v>
      </c>
      <c r="C45" s="6">
        <v>7.66</v>
      </c>
      <c r="D45" s="6">
        <v>16.55</v>
      </c>
      <c r="E45" s="6">
        <v>4.75</v>
      </c>
      <c r="F45" s="151" t="s">
        <v>8</v>
      </c>
      <c r="G45" s="6">
        <v>70.47</v>
      </c>
      <c r="H45" s="6">
        <v>28.19</v>
      </c>
      <c r="I45" s="6">
        <v>7.39</v>
      </c>
      <c r="J45" s="6">
        <v>0.35</v>
      </c>
      <c r="K45" s="6">
        <v>49.2</v>
      </c>
      <c r="L45" s="6">
        <v>12.17</v>
      </c>
      <c r="M45" s="6">
        <v>3.43</v>
      </c>
      <c r="N45" s="6">
        <v>354.5</v>
      </c>
      <c r="O45" s="6">
        <v>0</v>
      </c>
      <c r="P45" s="6">
        <v>0.46</v>
      </c>
      <c r="Q45" s="6">
        <v>10</v>
      </c>
      <c r="R45" s="6"/>
      <c r="S45" s="6"/>
      <c r="T45" s="156"/>
      <c r="U45" s="6"/>
    </row>
    <row r="46" spans="1:21" customFormat="1">
      <c r="A46" s="201" t="s">
        <v>1525</v>
      </c>
      <c r="B46" s="6">
        <v>8.3699999999999992</v>
      </c>
      <c r="C46" s="6">
        <v>7.76</v>
      </c>
      <c r="D46" s="6">
        <v>16.12</v>
      </c>
      <c r="E46" s="6">
        <v>5.05</v>
      </c>
      <c r="F46" s="151" t="s">
        <v>8</v>
      </c>
      <c r="G46" s="6">
        <v>70.47</v>
      </c>
      <c r="H46" s="6">
        <v>28.19</v>
      </c>
      <c r="I46" s="6">
        <v>7.32</v>
      </c>
      <c r="J46" s="6">
        <v>0.36</v>
      </c>
      <c r="K46" s="6">
        <v>59.39</v>
      </c>
      <c r="L46" s="6">
        <v>12.61</v>
      </c>
      <c r="M46" s="6">
        <v>3.34</v>
      </c>
      <c r="N46" s="6">
        <v>433.7</v>
      </c>
      <c r="O46" s="6">
        <v>0</v>
      </c>
      <c r="P46" s="6">
        <v>0.45</v>
      </c>
      <c r="Q46" s="6">
        <v>10</v>
      </c>
      <c r="R46" s="6"/>
      <c r="S46" s="6"/>
      <c r="T46" s="156"/>
      <c r="U46" s="6"/>
    </row>
    <row r="47" spans="1:21" customFormat="1">
      <c r="A47" s="201" t="s">
        <v>1526</v>
      </c>
      <c r="B47" s="6">
        <v>7.72</v>
      </c>
      <c r="C47" s="6">
        <v>7.85</v>
      </c>
      <c r="D47" s="6">
        <v>15.57</v>
      </c>
      <c r="E47" s="6">
        <v>5.3</v>
      </c>
      <c r="F47" s="151" t="s">
        <v>8</v>
      </c>
      <c r="G47" s="6">
        <v>70.52</v>
      </c>
      <c r="H47" s="6">
        <v>28.16</v>
      </c>
      <c r="I47" s="6">
        <v>7.32</v>
      </c>
      <c r="J47" s="6">
        <v>0.36</v>
      </c>
      <c r="K47" s="6">
        <v>40.200000000000003</v>
      </c>
      <c r="L47" s="6">
        <v>14.55</v>
      </c>
      <c r="M47" s="6">
        <v>7.28</v>
      </c>
      <c r="N47" s="6">
        <v>473.9</v>
      </c>
      <c r="O47" s="6">
        <v>0</v>
      </c>
      <c r="P47" s="6">
        <v>0.44</v>
      </c>
      <c r="Q47" s="6">
        <v>10</v>
      </c>
      <c r="R47" s="6"/>
      <c r="S47" s="6"/>
      <c r="T47" s="156"/>
      <c r="U47" s="6"/>
    </row>
    <row r="48" spans="1:21" customFormat="1">
      <c r="A48" s="201" t="s">
        <v>1527</v>
      </c>
      <c r="B48" s="6">
        <v>7.11</v>
      </c>
      <c r="C48" s="6">
        <v>8.24</v>
      </c>
      <c r="D48" s="6">
        <v>15.35</v>
      </c>
      <c r="E48" s="6">
        <v>6.71</v>
      </c>
      <c r="F48" s="151" t="s">
        <v>8</v>
      </c>
      <c r="G48" s="6">
        <v>71.92</v>
      </c>
      <c r="H48" s="6">
        <v>25.9</v>
      </c>
      <c r="I48" s="6">
        <v>7.31</v>
      </c>
      <c r="J48" s="6">
        <v>0.39</v>
      </c>
      <c r="K48" s="6">
        <v>22.84</v>
      </c>
      <c r="L48" s="6">
        <v>16.37</v>
      </c>
      <c r="M48" s="6">
        <v>12.16</v>
      </c>
      <c r="N48" s="6">
        <v>458.1</v>
      </c>
      <c r="O48" s="6">
        <v>0</v>
      </c>
      <c r="P48" s="6">
        <v>0.45</v>
      </c>
      <c r="Q48" s="6">
        <v>10</v>
      </c>
      <c r="R48" s="6"/>
      <c r="S48" s="6"/>
      <c r="T48" s="156"/>
      <c r="U48" s="6"/>
    </row>
    <row r="49" spans="1:21" customFormat="1">
      <c r="A49" s="201" t="s">
        <v>1528</v>
      </c>
      <c r="B49" s="6">
        <v>5.76</v>
      </c>
      <c r="C49" s="6">
        <v>8.9499999999999993</v>
      </c>
      <c r="D49" s="6">
        <v>14.71</v>
      </c>
      <c r="E49" s="6">
        <v>4.97</v>
      </c>
      <c r="F49" s="151" t="s">
        <v>8</v>
      </c>
      <c r="G49" s="6">
        <v>71.92</v>
      </c>
      <c r="H49" s="6">
        <v>25.9</v>
      </c>
      <c r="I49" s="6">
        <v>7.27</v>
      </c>
      <c r="J49" s="6">
        <v>0.28999999999999998</v>
      </c>
      <c r="K49" s="6">
        <v>97.64</v>
      </c>
      <c r="L49" s="6">
        <v>15.85</v>
      </c>
      <c r="M49" s="6">
        <v>10.33</v>
      </c>
      <c r="N49" s="6">
        <v>481.6</v>
      </c>
      <c r="O49" s="6">
        <v>0</v>
      </c>
      <c r="P49" s="6">
        <v>0.44</v>
      </c>
      <c r="Q49" s="6">
        <v>10</v>
      </c>
      <c r="R49" s="6"/>
      <c r="S49" s="6"/>
      <c r="T49" s="156"/>
      <c r="U49" s="6"/>
    </row>
    <row r="50" spans="1:21" customFormat="1">
      <c r="A50" s="201" t="s">
        <v>1529</v>
      </c>
      <c r="B50" s="6">
        <v>3.62</v>
      </c>
      <c r="C50" s="6">
        <v>9.67</v>
      </c>
      <c r="D50" s="6">
        <v>13.29</v>
      </c>
      <c r="E50" s="6">
        <v>5.57</v>
      </c>
      <c r="F50" s="151" t="s">
        <v>8</v>
      </c>
      <c r="G50" s="6">
        <v>71.92</v>
      </c>
      <c r="H50" s="6">
        <v>25.9</v>
      </c>
      <c r="I50" s="6">
        <v>7.3</v>
      </c>
      <c r="J50" s="6">
        <v>0.2</v>
      </c>
      <c r="K50" s="6">
        <v>120.78</v>
      </c>
      <c r="L50" s="6">
        <v>18.88</v>
      </c>
      <c r="M50" s="6">
        <v>15.69</v>
      </c>
      <c r="N50" s="6">
        <v>582.9</v>
      </c>
      <c r="O50" s="6">
        <v>0</v>
      </c>
      <c r="P50" s="6">
        <v>0.43</v>
      </c>
      <c r="Q50" s="6">
        <v>10</v>
      </c>
      <c r="R50" s="6"/>
      <c r="S50" s="6"/>
      <c r="T50" s="156"/>
      <c r="U50" s="6"/>
    </row>
    <row r="51" spans="1:21" customFormat="1">
      <c r="A51" s="201" t="s">
        <v>1530</v>
      </c>
      <c r="B51" s="6">
        <v>2.2200000000000002</v>
      </c>
      <c r="C51" s="6">
        <v>9.51</v>
      </c>
      <c r="D51" s="6">
        <v>11.73</v>
      </c>
      <c r="E51" s="6">
        <v>2.92</v>
      </c>
      <c r="F51" s="151" t="s">
        <v>8</v>
      </c>
      <c r="G51" s="6">
        <v>70.87</v>
      </c>
      <c r="H51" s="6">
        <v>25.63</v>
      </c>
      <c r="I51" s="6">
        <v>7.57</v>
      </c>
      <c r="J51" s="6">
        <v>0.32</v>
      </c>
      <c r="K51" s="6">
        <v>77.66</v>
      </c>
      <c r="L51" s="6">
        <v>14.69</v>
      </c>
      <c r="M51" s="6">
        <v>7.82</v>
      </c>
      <c r="N51" s="6">
        <v>466.5</v>
      </c>
      <c r="O51" s="6">
        <v>0</v>
      </c>
      <c r="P51" s="6">
        <v>0.4</v>
      </c>
      <c r="Q51" s="6">
        <v>10</v>
      </c>
      <c r="R51" s="6"/>
      <c r="S51" s="6"/>
      <c r="T51" s="156"/>
      <c r="U51" s="6"/>
    </row>
    <row r="52" spans="1:21" customFormat="1">
      <c r="A52" s="201" t="s">
        <v>1531</v>
      </c>
      <c r="B52" s="6">
        <v>1.96</v>
      </c>
      <c r="C52" s="6">
        <v>8.76</v>
      </c>
      <c r="D52" s="6">
        <v>10.72</v>
      </c>
      <c r="E52" s="6">
        <v>2.04</v>
      </c>
      <c r="F52" s="151" t="s">
        <v>8</v>
      </c>
      <c r="G52" s="6">
        <v>40.44</v>
      </c>
      <c r="H52" s="6">
        <v>8.81</v>
      </c>
      <c r="I52" s="6">
        <v>7.76</v>
      </c>
      <c r="J52" s="6">
        <v>0.3</v>
      </c>
      <c r="K52" s="6">
        <v>108.01</v>
      </c>
      <c r="L52" s="6">
        <v>16.079999999999998</v>
      </c>
      <c r="M52" s="6">
        <v>13.53</v>
      </c>
      <c r="N52" s="6">
        <v>371.8</v>
      </c>
      <c r="O52" s="6">
        <v>0</v>
      </c>
      <c r="P52" s="6">
        <v>0.41</v>
      </c>
      <c r="Q52" s="6">
        <v>10</v>
      </c>
      <c r="R52" s="6"/>
      <c r="S52" s="6"/>
      <c r="T52" s="156"/>
      <c r="U52" s="6"/>
    </row>
    <row r="53" spans="1:21" customFormat="1">
      <c r="A53" s="201" t="s">
        <v>1532</v>
      </c>
      <c r="B53" s="6">
        <v>1.98</v>
      </c>
      <c r="C53" s="6">
        <v>7.99</v>
      </c>
      <c r="D53" s="6">
        <v>9.9700000000000006</v>
      </c>
      <c r="E53" s="6">
        <v>2.14</v>
      </c>
      <c r="F53" s="151" t="s">
        <v>8</v>
      </c>
      <c r="G53" s="6">
        <v>40.44</v>
      </c>
      <c r="H53" s="6">
        <v>8.81</v>
      </c>
      <c r="I53" s="6">
        <v>7.62</v>
      </c>
      <c r="J53" s="6">
        <v>0.3</v>
      </c>
      <c r="K53" s="6">
        <v>114.66</v>
      </c>
      <c r="L53" s="6">
        <v>15.52</v>
      </c>
      <c r="M53" s="6">
        <v>13.35</v>
      </c>
      <c r="N53" s="6">
        <v>352.2</v>
      </c>
      <c r="O53" s="6">
        <v>0</v>
      </c>
      <c r="P53" s="6">
        <v>0.37</v>
      </c>
      <c r="Q53" s="6">
        <v>10</v>
      </c>
      <c r="R53" s="6"/>
      <c r="S53" s="6"/>
      <c r="T53" s="156"/>
      <c r="U53" s="6"/>
    </row>
    <row r="54" spans="1:21" customFormat="1">
      <c r="A54" s="201" t="s">
        <v>1533</v>
      </c>
      <c r="B54" s="6">
        <v>2.1</v>
      </c>
      <c r="C54" s="6">
        <v>7.63</v>
      </c>
      <c r="D54" s="6">
        <v>9.73</v>
      </c>
      <c r="E54" s="6">
        <v>4.67</v>
      </c>
      <c r="F54" s="6">
        <v>0.13</v>
      </c>
      <c r="G54" s="6">
        <v>40.44</v>
      </c>
      <c r="H54" s="6">
        <v>8.81</v>
      </c>
      <c r="I54" s="6">
        <v>7.48</v>
      </c>
      <c r="J54" s="6">
        <v>0.23</v>
      </c>
      <c r="K54" s="6">
        <v>121.73</v>
      </c>
      <c r="L54" s="6">
        <v>19.07</v>
      </c>
      <c r="M54" s="6">
        <v>14.34</v>
      </c>
      <c r="N54" s="6">
        <v>658.8</v>
      </c>
      <c r="O54" s="6">
        <v>0</v>
      </c>
      <c r="P54" s="6">
        <v>0.36</v>
      </c>
      <c r="Q54" s="6">
        <v>10</v>
      </c>
      <c r="R54" s="6"/>
      <c r="S54" s="6"/>
      <c r="T54" s="156"/>
      <c r="U54" s="6"/>
    </row>
    <row r="55" spans="1:21" customFormat="1">
      <c r="A55" s="201" t="s">
        <v>1534</v>
      </c>
      <c r="B55" s="6">
        <v>2.16</v>
      </c>
      <c r="C55" s="6">
        <v>8.16</v>
      </c>
      <c r="D55" s="6">
        <v>10.33</v>
      </c>
      <c r="E55" s="6">
        <v>5.42</v>
      </c>
      <c r="F55" s="6">
        <v>31.65</v>
      </c>
      <c r="G55" s="6">
        <v>40.200000000000003</v>
      </c>
      <c r="H55" s="6">
        <v>8.8000000000000007</v>
      </c>
      <c r="I55" s="6">
        <v>7.13</v>
      </c>
      <c r="J55" s="6">
        <v>0.45</v>
      </c>
      <c r="K55" s="6">
        <v>68.69</v>
      </c>
      <c r="L55" s="6">
        <v>15.93</v>
      </c>
      <c r="M55" s="6">
        <v>5.5</v>
      </c>
      <c r="N55" s="6">
        <v>698.9</v>
      </c>
      <c r="O55" s="6">
        <v>0</v>
      </c>
      <c r="P55" s="6">
        <v>0.36</v>
      </c>
      <c r="Q55" s="6">
        <v>10</v>
      </c>
      <c r="R55" s="6"/>
      <c r="S55" s="6"/>
      <c r="T55" s="156"/>
      <c r="U55" s="6"/>
    </row>
    <row r="56" spans="1:21" customFormat="1">
      <c r="A56" s="201" t="s">
        <v>1535</v>
      </c>
      <c r="B56" s="6">
        <v>1.94</v>
      </c>
      <c r="C56" s="6">
        <v>9.02</v>
      </c>
      <c r="D56" s="6">
        <v>10.95</v>
      </c>
      <c r="E56" s="6">
        <v>6.48</v>
      </c>
      <c r="F56" s="6">
        <v>36.450000000000003</v>
      </c>
      <c r="G56" s="6">
        <v>33.340000000000003</v>
      </c>
      <c r="H56" s="6">
        <v>8.4700000000000006</v>
      </c>
      <c r="I56" s="6">
        <v>6.61</v>
      </c>
      <c r="J56" s="6">
        <v>0.24</v>
      </c>
      <c r="K56" s="6">
        <v>74.83</v>
      </c>
      <c r="L56" s="6">
        <v>18.45</v>
      </c>
      <c r="M56" s="6">
        <v>13.93</v>
      </c>
      <c r="N56" s="6">
        <v>606.29999999999995</v>
      </c>
      <c r="O56" s="6">
        <v>0</v>
      </c>
      <c r="P56" s="6">
        <v>0.31</v>
      </c>
      <c r="Q56" s="6">
        <v>10</v>
      </c>
      <c r="R56" s="6"/>
      <c r="S56" s="6"/>
      <c r="T56" s="156"/>
      <c r="U56" s="6"/>
    </row>
    <row r="57" spans="1:21" customFormat="1">
      <c r="A57" s="201" t="s">
        <v>1536</v>
      </c>
      <c r="B57" s="6">
        <v>1.92</v>
      </c>
      <c r="C57" s="6">
        <v>9.0399999999999991</v>
      </c>
      <c r="D57" s="6">
        <v>10.96</v>
      </c>
      <c r="E57" s="6">
        <v>5.04</v>
      </c>
      <c r="F57" s="6">
        <v>26.33</v>
      </c>
      <c r="G57" s="6">
        <v>33.340000000000003</v>
      </c>
      <c r="H57" s="6">
        <v>8.4700000000000006</v>
      </c>
      <c r="I57" s="6">
        <v>6.38</v>
      </c>
      <c r="J57" s="6">
        <v>0.43</v>
      </c>
      <c r="K57" s="6">
        <v>51.2</v>
      </c>
      <c r="L57" s="6">
        <v>14.5</v>
      </c>
      <c r="M57" s="6">
        <v>5.53</v>
      </c>
      <c r="N57" s="6">
        <v>541.29999999999995</v>
      </c>
      <c r="O57" s="6">
        <v>0</v>
      </c>
      <c r="P57" s="6">
        <v>0.31</v>
      </c>
      <c r="Q57" s="6">
        <v>10</v>
      </c>
      <c r="R57" s="6"/>
      <c r="S57" s="6"/>
      <c r="T57" s="156"/>
      <c r="U57" s="6"/>
    </row>
    <row r="58" spans="1:21" customFormat="1">
      <c r="A58" s="201" t="s">
        <v>1537</v>
      </c>
      <c r="B58" s="6">
        <v>1.86</v>
      </c>
      <c r="C58" s="6">
        <v>8.74</v>
      </c>
      <c r="D58" s="6">
        <v>10.6</v>
      </c>
      <c r="E58" s="6">
        <v>5.17</v>
      </c>
      <c r="F58" s="6">
        <v>24.07</v>
      </c>
      <c r="G58" s="6">
        <v>33.340000000000003</v>
      </c>
      <c r="H58" s="6">
        <v>8.4700000000000006</v>
      </c>
      <c r="I58" s="6">
        <v>5.95</v>
      </c>
      <c r="J58" s="6">
        <v>0.3</v>
      </c>
      <c r="K58" s="6">
        <v>156.99</v>
      </c>
      <c r="L58" s="6">
        <v>19.190000000000001</v>
      </c>
      <c r="M58" s="6">
        <v>21.08</v>
      </c>
      <c r="N58" s="6">
        <v>391.4</v>
      </c>
      <c r="O58" s="6">
        <v>0</v>
      </c>
      <c r="P58" s="6">
        <v>0.28000000000000003</v>
      </c>
      <c r="Q58" s="6">
        <v>10</v>
      </c>
      <c r="R58" s="6"/>
      <c r="S58" s="6"/>
      <c r="T58" s="156"/>
      <c r="U58" s="6"/>
    </row>
    <row r="59" spans="1:21" customFormat="1">
      <c r="A59" s="201" t="s">
        <v>1538</v>
      </c>
      <c r="B59" s="6">
        <v>1.82</v>
      </c>
      <c r="C59" s="6">
        <v>8.16</v>
      </c>
      <c r="D59" s="6">
        <v>9.98</v>
      </c>
      <c r="E59" s="6">
        <v>5.05</v>
      </c>
      <c r="F59" s="6">
        <v>22.05</v>
      </c>
      <c r="G59" s="6">
        <v>33.26</v>
      </c>
      <c r="H59" s="6">
        <v>8.4</v>
      </c>
      <c r="I59" s="6">
        <v>5.44</v>
      </c>
      <c r="J59" s="6">
        <v>0.28999999999999998</v>
      </c>
      <c r="K59" s="6">
        <v>117.96</v>
      </c>
      <c r="L59" s="6">
        <v>16.239999999999998</v>
      </c>
      <c r="M59" s="6">
        <v>14.18</v>
      </c>
      <c r="N59" s="6">
        <v>364.7</v>
      </c>
      <c r="O59" s="6">
        <v>0</v>
      </c>
      <c r="P59" s="6">
        <v>0.26</v>
      </c>
      <c r="Q59" s="6">
        <v>10</v>
      </c>
      <c r="R59" s="6"/>
      <c r="S59" s="6"/>
      <c r="T59" s="156"/>
      <c r="U59" s="6"/>
    </row>
    <row r="60" spans="1:21" customFormat="1">
      <c r="A60" s="201" t="s">
        <v>1539</v>
      </c>
      <c r="B60" s="6">
        <v>2.3199999999999998</v>
      </c>
      <c r="C60" s="6">
        <v>8.93</v>
      </c>
      <c r="D60" s="6">
        <v>11.25</v>
      </c>
      <c r="E60" s="6">
        <v>4.7300000000000004</v>
      </c>
      <c r="F60" s="6">
        <v>12.68</v>
      </c>
      <c r="G60" s="6">
        <v>31.03</v>
      </c>
      <c r="H60" s="6">
        <v>6.22</v>
      </c>
      <c r="I60" s="6">
        <v>5.3</v>
      </c>
      <c r="J60" s="6">
        <v>0.24</v>
      </c>
      <c r="K60" s="6">
        <v>100.38</v>
      </c>
      <c r="L60" s="6">
        <v>17.23</v>
      </c>
      <c r="M60" s="6">
        <v>14.74</v>
      </c>
      <c r="N60" s="6">
        <v>447</v>
      </c>
      <c r="O60" s="6">
        <v>0</v>
      </c>
      <c r="P60" s="6">
        <v>0.28000000000000003</v>
      </c>
      <c r="Q60" s="6">
        <v>10</v>
      </c>
      <c r="R60" s="6"/>
      <c r="S60" s="6"/>
      <c r="T60" s="156"/>
      <c r="U60" s="6"/>
    </row>
    <row r="61" spans="1:21" customFormat="1">
      <c r="A61" s="201" t="s">
        <v>1540</v>
      </c>
      <c r="B61" s="6">
        <v>2.0099999999999998</v>
      </c>
      <c r="C61" s="6">
        <v>8.49</v>
      </c>
      <c r="D61" s="6">
        <v>10.5</v>
      </c>
      <c r="E61" s="6">
        <v>5.26</v>
      </c>
      <c r="F61" s="6">
        <v>26.63</v>
      </c>
      <c r="G61" s="6">
        <v>31.03</v>
      </c>
      <c r="H61" s="6">
        <v>6.22</v>
      </c>
      <c r="I61" s="6">
        <v>5.29</v>
      </c>
      <c r="J61" s="6">
        <v>0.22</v>
      </c>
      <c r="K61" s="6">
        <v>132.80000000000001</v>
      </c>
      <c r="L61" s="6">
        <v>16.71</v>
      </c>
      <c r="M61" s="6">
        <v>16.760000000000002</v>
      </c>
      <c r="N61" s="6">
        <v>304.7</v>
      </c>
      <c r="O61" s="6">
        <v>0</v>
      </c>
      <c r="P61" s="6">
        <v>0.27</v>
      </c>
      <c r="Q61" s="6">
        <v>10</v>
      </c>
      <c r="R61" s="6"/>
      <c r="S61" s="6"/>
      <c r="T61" s="156"/>
      <c r="U61" s="6"/>
    </row>
    <row r="62" spans="1:21" customFormat="1">
      <c r="A62" s="201" t="s">
        <v>1541</v>
      </c>
      <c r="B62" s="6">
        <v>1.86</v>
      </c>
      <c r="C62" s="6">
        <v>8.31</v>
      </c>
      <c r="D62" s="6">
        <v>10.17</v>
      </c>
      <c r="E62" s="6">
        <v>3.94</v>
      </c>
      <c r="F62" s="6">
        <v>22.53</v>
      </c>
      <c r="G62" s="6">
        <v>31.03</v>
      </c>
      <c r="H62" s="6">
        <v>6.22</v>
      </c>
      <c r="I62" s="6">
        <v>5.26</v>
      </c>
      <c r="J62" s="6">
        <v>0.18</v>
      </c>
      <c r="K62" s="6">
        <v>116.57</v>
      </c>
      <c r="L62" s="6">
        <v>16.11</v>
      </c>
      <c r="M62" s="6">
        <v>17.87</v>
      </c>
      <c r="N62" s="6">
        <v>192.2</v>
      </c>
      <c r="O62" s="6">
        <v>0</v>
      </c>
      <c r="P62" s="6">
        <v>0.28000000000000003</v>
      </c>
      <c r="Q62" s="6">
        <v>10</v>
      </c>
      <c r="R62" s="6"/>
      <c r="S62" s="6"/>
      <c r="T62" s="156"/>
      <c r="U62" s="6"/>
    </row>
    <row r="63" spans="1:21" customFormat="1">
      <c r="A63" s="201" t="s">
        <v>1542</v>
      </c>
      <c r="B63" s="6">
        <v>1.84</v>
      </c>
      <c r="C63" s="6">
        <v>9.0500000000000007</v>
      </c>
      <c r="D63" s="6">
        <v>10.89</v>
      </c>
      <c r="E63" s="6">
        <v>3.56</v>
      </c>
      <c r="F63" s="6">
        <v>25.5</v>
      </c>
      <c r="G63" s="6">
        <v>30.93</v>
      </c>
      <c r="H63" s="6">
        <v>6.23</v>
      </c>
      <c r="I63" s="6">
        <v>5.08</v>
      </c>
      <c r="J63" s="6">
        <v>0.25</v>
      </c>
      <c r="K63" s="6">
        <v>134.13999999999999</v>
      </c>
      <c r="L63" s="6">
        <v>17.75</v>
      </c>
      <c r="M63" s="6">
        <v>17.52</v>
      </c>
      <c r="N63" s="6">
        <v>402.6</v>
      </c>
      <c r="O63" s="6">
        <v>0</v>
      </c>
      <c r="P63" s="6">
        <v>0.27</v>
      </c>
      <c r="Q63" s="6">
        <v>10</v>
      </c>
      <c r="R63" s="6"/>
      <c r="S63" s="6"/>
      <c r="T63" s="156"/>
      <c r="U63" s="6"/>
    </row>
    <row r="64" spans="1:21" customFormat="1">
      <c r="A64" s="201" t="s">
        <v>1543</v>
      </c>
      <c r="B64" s="6">
        <v>1.78</v>
      </c>
      <c r="C64" s="6">
        <v>7.64</v>
      </c>
      <c r="D64" s="6">
        <v>9.42</v>
      </c>
      <c r="E64" s="6">
        <v>2.52</v>
      </c>
      <c r="F64" s="6">
        <v>20.63</v>
      </c>
      <c r="G64" s="6">
        <v>27.85</v>
      </c>
      <c r="H64" s="6">
        <v>6.44</v>
      </c>
      <c r="I64" s="6">
        <v>4.93</v>
      </c>
      <c r="J64" s="6">
        <v>0.23</v>
      </c>
      <c r="K64" s="6">
        <v>128.08000000000001</v>
      </c>
      <c r="L64" s="6">
        <v>17.010000000000002</v>
      </c>
      <c r="M64" s="6">
        <v>14.1</v>
      </c>
      <c r="N64" s="6">
        <v>449.4</v>
      </c>
      <c r="O64" s="6">
        <v>0</v>
      </c>
      <c r="P64" s="6">
        <v>0.25</v>
      </c>
      <c r="Q64" s="6">
        <v>10</v>
      </c>
      <c r="R64" s="6"/>
      <c r="S64" s="6"/>
      <c r="T64" s="156"/>
      <c r="U64" s="6"/>
    </row>
    <row r="65" spans="1:21" customFormat="1">
      <c r="A65" s="201" t="s">
        <v>1544</v>
      </c>
      <c r="B65" s="6">
        <v>1.96</v>
      </c>
      <c r="C65" s="6">
        <v>7.72</v>
      </c>
      <c r="D65" s="6">
        <v>9.68</v>
      </c>
      <c r="E65" s="6">
        <v>2.3199999999999998</v>
      </c>
      <c r="F65" s="6">
        <v>12.21</v>
      </c>
      <c r="G65" s="6">
        <v>27.85</v>
      </c>
      <c r="H65" s="6">
        <v>6.44</v>
      </c>
      <c r="I65" s="6">
        <v>4.6399999999999997</v>
      </c>
      <c r="J65" s="6">
        <v>0.55000000000000004</v>
      </c>
      <c r="K65" s="6">
        <v>44.63</v>
      </c>
      <c r="L65" s="6">
        <v>12.93</v>
      </c>
      <c r="M65" s="6">
        <v>2.87</v>
      </c>
      <c r="N65" s="6">
        <v>486.3</v>
      </c>
      <c r="O65" s="6">
        <v>0</v>
      </c>
      <c r="P65" s="6">
        <v>0.25</v>
      </c>
      <c r="Q65" s="6">
        <v>10</v>
      </c>
      <c r="R65" s="6"/>
      <c r="S65" s="6"/>
      <c r="T65" s="156"/>
      <c r="U65" s="6"/>
    </row>
    <row r="66" spans="1:21" customFormat="1">
      <c r="A66" s="201" t="s">
        <v>1545</v>
      </c>
      <c r="B66" s="6">
        <v>2.62</v>
      </c>
      <c r="C66" s="6">
        <v>9.99</v>
      </c>
      <c r="D66" s="6">
        <v>12.61</v>
      </c>
      <c r="E66" s="6">
        <v>1.91</v>
      </c>
      <c r="F66" s="6">
        <v>13.61</v>
      </c>
      <c r="G66" s="6">
        <v>27.85</v>
      </c>
      <c r="H66" s="6">
        <v>6.44</v>
      </c>
      <c r="I66" s="6">
        <v>4.1900000000000004</v>
      </c>
      <c r="J66" s="6">
        <v>0.42</v>
      </c>
      <c r="K66" s="6">
        <v>53.55</v>
      </c>
      <c r="L66" s="6">
        <v>12.91</v>
      </c>
      <c r="M66" s="6">
        <v>6.23</v>
      </c>
      <c r="N66" s="6">
        <v>324.3</v>
      </c>
      <c r="O66" s="6">
        <v>0</v>
      </c>
      <c r="P66" s="6">
        <v>0.28000000000000003</v>
      </c>
      <c r="Q66" s="6">
        <v>10</v>
      </c>
      <c r="R66" s="6"/>
      <c r="S66" s="6"/>
      <c r="T66" s="156"/>
      <c r="U66" s="6"/>
    </row>
    <row r="67" spans="1:21" customFormat="1">
      <c r="A67" s="201" t="s">
        <v>1546</v>
      </c>
      <c r="B67" s="6">
        <v>2.4300000000000002</v>
      </c>
      <c r="C67" s="6">
        <v>10.81</v>
      </c>
      <c r="D67" s="6">
        <v>13.24</v>
      </c>
      <c r="E67" s="6">
        <v>1.71</v>
      </c>
      <c r="F67" s="6">
        <v>31.32</v>
      </c>
      <c r="G67" s="6">
        <v>27.74</v>
      </c>
      <c r="H67" s="6">
        <v>6.4</v>
      </c>
      <c r="I67" s="6">
        <v>4.1900000000000004</v>
      </c>
      <c r="J67" s="6">
        <v>0.31</v>
      </c>
      <c r="K67" s="6">
        <v>61.37</v>
      </c>
      <c r="L67" s="6">
        <v>11.12</v>
      </c>
      <c r="M67" s="6">
        <v>7.62</v>
      </c>
      <c r="N67" s="6">
        <v>94.6</v>
      </c>
      <c r="O67" s="6">
        <v>0</v>
      </c>
      <c r="P67" s="6">
        <v>0.3</v>
      </c>
      <c r="Q67" s="6">
        <v>10</v>
      </c>
      <c r="R67" s="6"/>
      <c r="S67" s="6"/>
      <c r="T67" s="156"/>
      <c r="U67" s="6"/>
    </row>
    <row r="68" spans="1:21" customFormat="1">
      <c r="A68" s="201" t="s">
        <v>1547</v>
      </c>
      <c r="B68" s="6">
        <v>2.02</v>
      </c>
      <c r="C68" s="6">
        <v>10.19</v>
      </c>
      <c r="D68" s="6">
        <v>12.2</v>
      </c>
      <c r="E68" s="6">
        <v>1.43</v>
      </c>
      <c r="F68" s="6">
        <v>31.9</v>
      </c>
      <c r="G68" s="6">
        <v>24.71</v>
      </c>
      <c r="H68" s="6">
        <v>5.29</v>
      </c>
      <c r="I68" s="6">
        <v>4.0999999999999996</v>
      </c>
      <c r="J68" s="6">
        <v>0.24</v>
      </c>
      <c r="K68" s="6">
        <v>79.22</v>
      </c>
      <c r="L68" s="6">
        <v>12.41</v>
      </c>
      <c r="M68" s="6">
        <v>11.7</v>
      </c>
      <c r="N68" s="6">
        <v>64.599999999999994</v>
      </c>
      <c r="O68" s="6">
        <v>0</v>
      </c>
      <c r="P68" s="6">
        <v>0.27</v>
      </c>
      <c r="Q68" s="6">
        <v>10</v>
      </c>
      <c r="R68" s="6"/>
      <c r="S68" s="6"/>
      <c r="T68" s="156"/>
      <c r="U68" s="6"/>
    </row>
    <row r="69" spans="1:21" customFormat="1">
      <c r="A69" s="201" t="s">
        <v>1548</v>
      </c>
      <c r="B69" s="6">
        <v>2.17</v>
      </c>
      <c r="C69" s="6">
        <v>10.48</v>
      </c>
      <c r="D69" s="6">
        <v>12.65</v>
      </c>
      <c r="E69" s="6">
        <v>2.81</v>
      </c>
      <c r="F69" s="6">
        <v>26.91</v>
      </c>
      <c r="G69" s="6">
        <v>24.71</v>
      </c>
      <c r="H69" s="6">
        <v>5.29</v>
      </c>
      <c r="I69" s="6">
        <v>3.57</v>
      </c>
      <c r="J69" s="6">
        <v>0.4</v>
      </c>
      <c r="K69" s="6">
        <v>66.28</v>
      </c>
      <c r="L69" s="6">
        <v>9.8000000000000007</v>
      </c>
      <c r="M69" s="6">
        <v>5.13</v>
      </c>
      <c r="N69" s="6">
        <v>60.8</v>
      </c>
      <c r="O69" s="6">
        <v>0</v>
      </c>
      <c r="P69" s="6">
        <v>0.26</v>
      </c>
      <c r="Q69" s="6">
        <v>10</v>
      </c>
      <c r="R69" s="6"/>
      <c r="S69" s="6"/>
      <c r="T69" s="156"/>
      <c r="U69" s="6"/>
    </row>
    <row r="70" spans="1:21" customFormat="1">
      <c r="A70" s="201" t="s">
        <v>1549</v>
      </c>
      <c r="B70" s="6">
        <v>2.39</v>
      </c>
      <c r="C70" s="6">
        <v>11.82</v>
      </c>
      <c r="D70" s="6">
        <v>14.21</v>
      </c>
      <c r="E70" s="6">
        <v>2.15</v>
      </c>
      <c r="F70" s="6">
        <v>19.88</v>
      </c>
      <c r="G70" s="6">
        <v>24.71</v>
      </c>
      <c r="H70" s="6">
        <v>5.29</v>
      </c>
      <c r="I70" s="6">
        <v>3.21</v>
      </c>
      <c r="J70" s="6">
        <v>0.4</v>
      </c>
      <c r="K70" s="6">
        <v>58.3</v>
      </c>
      <c r="L70" s="6">
        <v>10.75</v>
      </c>
      <c r="M70" s="6">
        <v>7.57</v>
      </c>
      <c r="N70" s="6">
        <v>54.8</v>
      </c>
      <c r="O70" s="6">
        <v>0</v>
      </c>
      <c r="P70" s="6">
        <v>0.24</v>
      </c>
      <c r="Q70" s="6">
        <v>10</v>
      </c>
      <c r="R70" s="6"/>
      <c r="S70" s="6"/>
      <c r="T70" s="156"/>
      <c r="U70" s="6"/>
    </row>
    <row r="71" spans="1:21" customFormat="1">
      <c r="A71" s="201" t="s">
        <v>1550</v>
      </c>
      <c r="B71" s="6">
        <v>2.06</v>
      </c>
      <c r="C71" s="6">
        <v>10.11</v>
      </c>
      <c r="D71" s="6">
        <v>12.17</v>
      </c>
      <c r="E71" s="6">
        <v>0.98</v>
      </c>
      <c r="F71" s="6">
        <v>17.54</v>
      </c>
      <c r="G71" s="6">
        <v>24.64</v>
      </c>
      <c r="H71" s="6">
        <v>5.3</v>
      </c>
      <c r="I71" s="6">
        <v>3.53</v>
      </c>
      <c r="J71" s="6">
        <v>0.26</v>
      </c>
      <c r="K71" s="6">
        <v>0.16</v>
      </c>
      <c r="L71" s="6">
        <v>11.23</v>
      </c>
      <c r="M71" s="6">
        <v>8.93</v>
      </c>
      <c r="N71" s="6">
        <v>45.5</v>
      </c>
      <c r="O71" s="6">
        <v>0</v>
      </c>
      <c r="P71" s="6">
        <v>0.24</v>
      </c>
      <c r="Q71" s="6">
        <v>10</v>
      </c>
      <c r="R71" s="6"/>
      <c r="S71" s="6"/>
      <c r="T71" s="156"/>
      <c r="U71" s="6"/>
    </row>
    <row r="72" spans="1:21" customFormat="1">
      <c r="A72" s="201" t="s">
        <v>1551</v>
      </c>
      <c r="B72" s="6">
        <v>4.1100000000000003</v>
      </c>
      <c r="C72" s="6">
        <v>10.4</v>
      </c>
      <c r="D72" s="6">
        <v>14.51</v>
      </c>
      <c r="E72" s="6">
        <v>0.88</v>
      </c>
      <c r="F72" s="6">
        <v>18.329999999999998</v>
      </c>
      <c r="G72" s="6">
        <v>22.73</v>
      </c>
      <c r="H72" s="6">
        <v>5.61</v>
      </c>
      <c r="I72" s="6">
        <v>3.66</v>
      </c>
      <c r="J72" s="6">
        <v>0.36</v>
      </c>
      <c r="K72" s="6">
        <v>49.45</v>
      </c>
      <c r="L72" s="6">
        <v>9.0500000000000007</v>
      </c>
      <c r="M72" s="6">
        <v>3.8</v>
      </c>
      <c r="N72" s="6">
        <v>36.1</v>
      </c>
      <c r="O72" s="6">
        <v>0</v>
      </c>
      <c r="P72" s="6">
        <v>0.26</v>
      </c>
      <c r="Q72" s="6">
        <v>10</v>
      </c>
      <c r="R72" s="6"/>
      <c r="S72" s="6"/>
      <c r="T72" s="156"/>
      <c r="U72" s="6"/>
    </row>
    <row r="73" spans="1:21" customFormat="1">
      <c r="A73" s="201" t="s">
        <v>1552</v>
      </c>
      <c r="B73" s="6">
        <v>2.96</v>
      </c>
      <c r="C73" s="6">
        <v>11.33</v>
      </c>
      <c r="D73" s="6">
        <v>14.29</v>
      </c>
      <c r="E73" s="6">
        <v>0.89</v>
      </c>
      <c r="F73" s="6">
        <v>19.93</v>
      </c>
      <c r="G73" s="6">
        <v>22.73</v>
      </c>
      <c r="H73" s="6">
        <v>5.61</v>
      </c>
      <c r="I73" s="6">
        <v>3.65</v>
      </c>
      <c r="J73" s="6">
        <v>0.28999999999999998</v>
      </c>
      <c r="K73" s="6">
        <v>71.69</v>
      </c>
      <c r="L73" s="6">
        <v>10.210000000000001</v>
      </c>
      <c r="M73" s="6">
        <v>6.72</v>
      </c>
      <c r="N73" s="6">
        <v>33.9</v>
      </c>
      <c r="O73" s="6">
        <v>0</v>
      </c>
      <c r="P73" s="6">
        <v>0.26</v>
      </c>
      <c r="Q73" s="6">
        <v>10</v>
      </c>
      <c r="R73" s="6"/>
      <c r="S73" s="6"/>
      <c r="T73" s="156"/>
      <c r="U73" s="6"/>
    </row>
    <row r="74" spans="1:21" customFormat="1">
      <c r="A74" s="201" t="s">
        <v>1553</v>
      </c>
      <c r="B74" s="6">
        <v>2.41</v>
      </c>
      <c r="C74" s="6">
        <v>11.01</v>
      </c>
      <c r="D74" s="6">
        <v>13.42</v>
      </c>
      <c r="E74" s="6">
        <v>0.54</v>
      </c>
      <c r="F74" s="6">
        <v>12.95</v>
      </c>
      <c r="G74" s="6">
        <v>22.73</v>
      </c>
      <c r="H74" s="6">
        <v>5.61</v>
      </c>
      <c r="I74" s="6">
        <v>3.67</v>
      </c>
      <c r="J74" s="6">
        <v>0.31</v>
      </c>
      <c r="K74" s="6">
        <v>67.45</v>
      </c>
      <c r="L74" s="6">
        <v>11.68</v>
      </c>
      <c r="M74" s="6">
        <v>10.56</v>
      </c>
      <c r="N74" s="6">
        <v>27.7</v>
      </c>
      <c r="O74" s="6">
        <v>0</v>
      </c>
      <c r="P74" s="6">
        <v>0.28000000000000003</v>
      </c>
      <c r="Q74" s="6">
        <v>10</v>
      </c>
      <c r="R74" s="6"/>
      <c r="S74" s="6"/>
      <c r="T74" s="156"/>
      <c r="U74" s="6"/>
    </row>
    <row r="75" spans="1:21" customFormat="1">
      <c r="A75" s="201" t="s">
        <v>1554</v>
      </c>
      <c r="B75" s="6">
        <v>2.2599999999999998</v>
      </c>
      <c r="C75" s="6">
        <v>10.61</v>
      </c>
      <c r="D75" s="6">
        <v>12.86</v>
      </c>
      <c r="E75" s="6">
        <v>0.45</v>
      </c>
      <c r="F75" s="6">
        <v>9.49</v>
      </c>
      <c r="G75" s="6">
        <v>22.85</v>
      </c>
      <c r="H75" s="6">
        <v>5.61</v>
      </c>
      <c r="I75" s="6">
        <v>3.71</v>
      </c>
      <c r="J75" s="6">
        <v>0.28999999999999998</v>
      </c>
      <c r="K75" s="6">
        <v>55.31</v>
      </c>
      <c r="L75" s="6">
        <v>9.2200000000000006</v>
      </c>
      <c r="M75" s="6">
        <v>4.46</v>
      </c>
      <c r="N75" s="6">
        <v>20.7</v>
      </c>
      <c r="O75" s="6">
        <v>0</v>
      </c>
      <c r="P75" s="6">
        <v>0.28000000000000003</v>
      </c>
      <c r="Q75" s="6">
        <v>10</v>
      </c>
      <c r="R75" s="6"/>
      <c r="S75" s="6"/>
      <c r="T75" s="156"/>
      <c r="U75" s="6"/>
    </row>
    <row r="76" spans="1:21" customFormat="1">
      <c r="A76" s="201" t="s">
        <v>1555</v>
      </c>
      <c r="B76" s="6">
        <v>2.4700000000000002</v>
      </c>
      <c r="C76" s="6">
        <v>11.24</v>
      </c>
      <c r="D76" s="6">
        <v>13.71</v>
      </c>
      <c r="E76" s="6">
        <v>0.22</v>
      </c>
      <c r="F76" s="6">
        <v>12.29</v>
      </c>
      <c r="G76" s="6">
        <v>26.24</v>
      </c>
      <c r="H76" s="6">
        <v>5.84</v>
      </c>
      <c r="I76" s="6">
        <v>3.92</v>
      </c>
      <c r="J76" s="6">
        <v>0.26</v>
      </c>
      <c r="K76" s="6">
        <v>65.33</v>
      </c>
      <c r="L76" s="6">
        <v>11.23</v>
      </c>
      <c r="M76" s="6">
        <v>9.66</v>
      </c>
      <c r="N76" s="6">
        <v>16</v>
      </c>
      <c r="O76" s="6">
        <v>0</v>
      </c>
      <c r="P76" s="6">
        <v>0.3</v>
      </c>
      <c r="Q76" s="6">
        <v>10</v>
      </c>
      <c r="R76" s="6"/>
      <c r="S76" s="6"/>
      <c r="T76" s="156"/>
      <c r="U76" s="6"/>
    </row>
    <row r="77" spans="1:21" customFormat="1">
      <c r="A77" s="201" t="s">
        <v>1556</v>
      </c>
      <c r="B77" s="6">
        <v>3.26</v>
      </c>
      <c r="C77" s="6">
        <v>14.87</v>
      </c>
      <c r="D77" s="6">
        <v>18.13</v>
      </c>
      <c r="E77" s="6">
        <v>0.41</v>
      </c>
      <c r="F77" s="6">
        <v>12.26</v>
      </c>
      <c r="G77" s="6">
        <v>26.24</v>
      </c>
      <c r="H77" s="6">
        <v>5.84</v>
      </c>
      <c r="I77" s="6">
        <v>4.25</v>
      </c>
      <c r="J77" s="6">
        <v>0.33</v>
      </c>
      <c r="K77" s="6">
        <v>62.45</v>
      </c>
      <c r="L77" s="6">
        <v>8.81</v>
      </c>
      <c r="M77" s="6">
        <v>3.77</v>
      </c>
      <c r="N77" s="6">
        <v>10.9</v>
      </c>
      <c r="O77" s="6">
        <v>0</v>
      </c>
      <c r="P77" s="6">
        <v>0.34</v>
      </c>
      <c r="Q77" s="6">
        <v>10</v>
      </c>
      <c r="R77" s="6"/>
      <c r="S77" s="6"/>
      <c r="T77" s="156"/>
      <c r="U77" s="6"/>
    </row>
    <row r="78" spans="1:21" customFormat="1">
      <c r="A78" s="201" t="s">
        <v>1557</v>
      </c>
      <c r="B78" s="6">
        <v>3.87</v>
      </c>
      <c r="C78" s="6">
        <v>17.32</v>
      </c>
      <c r="D78" s="6">
        <v>21.19</v>
      </c>
      <c r="E78" s="6">
        <v>0.48</v>
      </c>
      <c r="F78" s="6">
        <v>9.34</v>
      </c>
      <c r="G78" s="6">
        <v>26.24</v>
      </c>
      <c r="H78" s="6">
        <v>5.84</v>
      </c>
      <c r="I78" s="6">
        <v>4.25</v>
      </c>
      <c r="J78" s="6">
        <v>0.25</v>
      </c>
      <c r="K78" s="6">
        <v>66.64</v>
      </c>
      <c r="L78" s="6">
        <v>9.34</v>
      </c>
      <c r="M78" s="6">
        <v>5.26</v>
      </c>
      <c r="N78" s="6">
        <v>6.5</v>
      </c>
      <c r="O78" s="6">
        <v>0</v>
      </c>
      <c r="P78" s="6">
        <v>0.41</v>
      </c>
      <c r="Q78" s="6">
        <v>10</v>
      </c>
      <c r="R78" s="6"/>
      <c r="S78" s="6"/>
      <c r="T78" s="156"/>
      <c r="U78" s="6"/>
    </row>
    <row r="79" spans="1:21" customFormat="1">
      <c r="A79" s="201" t="s">
        <v>1558</v>
      </c>
      <c r="B79" s="6">
        <v>4.6500000000000004</v>
      </c>
      <c r="C79" s="6">
        <v>19.489999999999998</v>
      </c>
      <c r="D79" s="6">
        <v>24.14</v>
      </c>
      <c r="E79" s="6">
        <v>0.85</v>
      </c>
      <c r="F79" s="6">
        <v>5.5</v>
      </c>
      <c r="G79" s="6">
        <v>26.39</v>
      </c>
      <c r="H79" s="6">
        <v>5.85</v>
      </c>
      <c r="I79" s="6">
        <v>4.45</v>
      </c>
      <c r="J79" s="6">
        <v>0.27</v>
      </c>
      <c r="K79" s="6">
        <v>58.28</v>
      </c>
      <c r="L79" s="6">
        <v>8.06</v>
      </c>
      <c r="M79" s="6">
        <v>2.06</v>
      </c>
      <c r="N79" s="6">
        <v>3.7</v>
      </c>
      <c r="O79" s="6">
        <v>0</v>
      </c>
      <c r="P79" s="6">
        <v>0.46</v>
      </c>
      <c r="Q79" s="6">
        <v>10</v>
      </c>
      <c r="R79" s="6"/>
      <c r="S79" s="6"/>
      <c r="T79" s="156"/>
      <c r="U79" s="6"/>
    </row>
    <row r="80" spans="1:21" customFormat="1">
      <c r="A80" s="201" t="s">
        <v>1559</v>
      </c>
      <c r="B80" s="6">
        <v>5.85</v>
      </c>
      <c r="C80" s="6">
        <v>21.58</v>
      </c>
      <c r="D80" s="6">
        <v>19.739999999999998</v>
      </c>
      <c r="E80" s="6">
        <v>0.86</v>
      </c>
      <c r="F80" s="6">
        <v>2.96</v>
      </c>
      <c r="G80" s="6">
        <v>33</v>
      </c>
      <c r="H80" s="6">
        <v>6.15</v>
      </c>
      <c r="I80" s="6">
        <v>5.53</v>
      </c>
      <c r="J80" s="6">
        <v>0.22</v>
      </c>
      <c r="K80" s="6">
        <v>55.88</v>
      </c>
      <c r="L80" s="6">
        <v>7.95</v>
      </c>
      <c r="M80" s="6">
        <v>1.78</v>
      </c>
      <c r="N80" s="6">
        <v>2.7</v>
      </c>
      <c r="O80" s="6">
        <v>0</v>
      </c>
      <c r="P80" s="6">
        <v>0.52</v>
      </c>
      <c r="Q80" s="6">
        <v>10</v>
      </c>
      <c r="R80" s="6"/>
      <c r="S80" s="6"/>
      <c r="T80" s="156"/>
      <c r="U80" s="6"/>
    </row>
    <row r="81" spans="1:21" customFormat="1">
      <c r="A81" s="201" t="s">
        <v>1560</v>
      </c>
      <c r="B81" s="6">
        <v>6.19</v>
      </c>
      <c r="C81" s="6">
        <v>23.76</v>
      </c>
      <c r="D81" s="6">
        <v>17.37</v>
      </c>
      <c r="E81" s="6">
        <v>2.97</v>
      </c>
      <c r="F81" s="6">
        <v>2</v>
      </c>
      <c r="G81" s="6">
        <v>33</v>
      </c>
      <c r="H81" s="6">
        <v>6.15</v>
      </c>
      <c r="I81" s="6">
        <v>6.38</v>
      </c>
      <c r="J81" s="6">
        <v>0.28000000000000003</v>
      </c>
      <c r="K81" s="6">
        <v>59.46</v>
      </c>
      <c r="L81" s="6">
        <v>8.68</v>
      </c>
      <c r="M81" s="6">
        <v>3.61</v>
      </c>
      <c r="N81" s="6">
        <v>2.5</v>
      </c>
      <c r="O81" s="6">
        <v>0</v>
      </c>
      <c r="P81" s="6">
        <v>0.53</v>
      </c>
      <c r="Q81" s="6">
        <v>10</v>
      </c>
      <c r="R81" s="6"/>
      <c r="S81" s="6"/>
      <c r="T81" s="156"/>
      <c r="U81" s="6"/>
    </row>
    <row r="82" spans="1:21" customFormat="1">
      <c r="A82" s="201" t="s">
        <v>1561</v>
      </c>
      <c r="B82" s="6">
        <v>5.57</v>
      </c>
      <c r="C82" s="6">
        <v>20.71</v>
      </c>
      <c r="D82" s="6">
        <v>15.29</v>
      </c>
      <c r="E82" s="6">
        <v>3.28</v>
      </c>
      <c r="F82" s="6">
        <v>2</v>
      </c>
      <c r="G82" s="6">
        <v>33</v>
      </c>
      <c r="H82" s="6">
        <v>6.15</v>
      </c>
      <c r="I82" s="6">
        <v>7.26</v>
      </c>
      <c r="J82" s="6">
        <v>0.28000000000000003</v>
      </c>
      <c r="K82" s="6">
        <v>56.15</v>
      </c>
      <c r="L82" s="6">
        <v>7.96</v>
      </c>
      <c r="M82" s="6">
        <v>1.81</v>
      </c>
      <c r="N82" s="6">
        <v>2.4</v>
      </c>
      <c r="O82" s="6">
        <v>0</v>
      </c>
      <c r="P82" s="6">
        <v>0.55000000000000004</v>
      </c>
      <c r="Q82" s="6">
        <v>10</v>
      </c>
      <c r="R82" s="6"/>
      <c r="S82" s="6"/>
      <c r="T82" s="156"/>
      <c r="U82" s="6"/>
    </row>
    <row r="83" spans="1:21" customFormat="1">
      <c r="A83" s="201" t="s">
        <v>1562</v>
      </c>
      <c r="B83" s="6">
        <v>5.28</v>
      </c>
      <c r="C83" s="6">
        <v>16.68</v>
      </c>
      <c r="D83" s="6">
        <v>12.95</v>
      </c>
      <c r="E83" s="6">
        <v>3.2</v>
      </c>
      <c r="F83" s="6">
        <v>2</v>
      </c>
      <c r="G83" s="6">
        <v>33.46</v>
      </c>
      <c r="H83" s="6">
        <v>6.17</v>
      </c>
      <c r="I83" s="6">
        <v>7.9</v>
      </c>
      <c r="J83" s="6">
        <v>0.19</v>
      </c>
      <c r="K83" s="6">
        <v>59.21</v>
      </c>
      <c r="L83" s="6">
        <v>8.9600000000000009</v>
      </c>
      <c r="M83" s="6">
        <v>4.4000000000000004</v>
      </c>
      <c r="N83" s="6">
        <v>2.4</v>
      </c>
      <c r="O83" s="6">
        <v>0</v>
      </c>
      <c r="P83" s="6">
        <v>0.55000000000000004</v>
      </c>
      <c r="Q83" s="6">
        <v>10</v>
      </c>
      <c r="R83" s="6"/>
      <c r="S83" s="6"/>
      <c r="T83" s="156"/>
      <c r="U83" s="6"/>
    </row>
    <row r="84" spans="1:21" customFormat="1">
      <c r="A84" s="201" t="s">
        <v>1563</v>
      </c>
      <c r="B84" s="6">
        <v>5.63</v>
      </c>
      <c r="C84" s="6">
        <v>13.99</v>
      </c>
      <c r="D84" s="6">
        <v>11.82</v>
      </c>
      <c r="E84" s="6">
        <v>3.44</v>
      </c>
      <c r="F84" s="6">
        <v>2</v>
      </c>
      <c r="G84" s="6">
        <v>46.8</v>
      </c>
      <c r="H84" s="6">
        <v>6.95</v>
      </c>
      <c r="I84" s="6">
        <v>8.1199999999999992</v>
      </c>
      <c r="J84" s="6">
        <v>0.32</v>
      </c>
      <c r="K84" s="6">
        <v>46.02</v>
      </c>
      <c r="L84" s="6">
        <v>7.23</v>
      </c>
      <c r="M84" s="6">
        <v>-0.04</v>
      </c>
      <c r="N84" s="6">
        <v>2.4</v>
      </c>
      <c r="O84" s="6">
        <v>0</v>
      </c>
      <c r="P84" s="6">
        <v>0.54</v>
      </c>
      <c r="Q84" s="6">
        <v>10</v>
      </c>
      <c r="R84" s="6"/>
      <c r="S84" s="6"/>
      <c r="T84" s="156"/>
      <c r="U84" s="6"/>
    </row>
    <row r="85" spans="1:21" customFormat="1">
      <c r="A85" s="201" t="s">
        <v>1564</v>
      </c>
      <c r="B85" s="6">
        <v>5.83</v>
      </c>
      <c r="C85" s="6">
        <v>12.18</v>
      </c>
      <c r="D85" s="6">
        <v>11.04</v>
      </c>
      <c r="E85" s="6">
        <v>4.01</v>
      </c>
      <c r="F85" s="6">
        <v>2</v>
      </c>
      <c r="G85" s="6">
        <v>46.8</v>
      </c>
      <c r="H85" s="6">
        <v>6.95</v>
      </c>
      <c r="I85" s="6">
        <v>8.25</v>
      </c>
      <c r="J85" s="6">
        <v>0.2</v>
      </c>
      <c r="K85" s="6">
        <v>59.41</v>
      </c>
      <c r="L85" s="6">
        <v>9.18</v>
      </c>
      <c r="M85" s="6">
        <v>4.95</v>
      </c>
      <c r="N85" s="6">
        <v>2.4</v>
      </c>
      <c r="O85" s="6">
        <v>0</v>
      </c>
      <c r="P85" s="6">
        <v>0.54</v>
      </c>
      <c r="Q85" s="6">
        <v>10</v>
      </c>
      <c r="R85" s="6"/>
      <c r="S85" s="6"/>
      <c r="T85" s="156"/>
      <c r="U85" s="6"/>
    </row>
    <row r="86" spans="1:21" customFormat="1">
      <c r="A86" s="201" t="s">
        <v>1565</v>
      </c>
      <c r="B86" s="6">
        <v>5.87</v>
      </c>
      <c r="C86" s="6">
        <v>11.1</v>
      </c>
      <c r="D86" s="6">
        <v>10.5</v>
      </c>
      <c r="E86" s="6">
        <v>3.65</v>
      </c>
      <c r="F86" s="6">
        <v>2</v>
      </c>
      <c r="G86" s="6">
        <v>46.8</v>
      </c>
      <c r="H86" s="6">
        <v>6.95</v>
      </c>
      <c r="I86" s="6">
        <v>7.65</v>
      </c>
      <c r="J86" s="6">
        <v>0.24</v>
      </c>
      <c r="K86" s="6">
        <v>58.24</v>
      </c>
      <c r="L86" s="6">
        <v>8.1300000000000008</v>
      </c>
      <c r="M86" s="6">
        <v>2.2999999999999998</v>
      </c>
      <c r="N86" s="6">
        <v>2.2999999999999998</v>
      </c>
      <c r="O86" s="6">
        <v>0</v>
      </c>
      <c r="P86" s="6">
        <v>0.52</v>
      </c>
      <c r="Q86" s="6">
        <v>10</v>
      </c>
      <c r="R86" s="6"/>
      <c r="S86" s="6"/>
      <c r="T86" s="156"/>
      <c r="U86" s="6"/>
    </row>
    <row r="87" spans="1:21" customFormat="1">
      <c r="A87" s="201" t="s">
        <v>1566</v>
      </c>
      <c r="B87" s="6">
        <v>5.93</v>
      </c>
      <c r="C87" s="6">
        <v>10.26</v>
      </c>
      <c r="D87" s="6">
        <v>10.119999999999999</v>
      </c>
      <c r="E87" s="6">
        <v>3.93</v>
      </c>
      <c r="F87" s="6">
        <v>2</v>
      </c>
      <c r="G87" s="6">
        <v>47.51</v>
      </c>
      <c r="H87" s="6">
        <v>6.99</v>
      </c>
      <c r="I87" s="6">
        <v>6.58</v>
      </c>
      <c r="J87" s="6">
        <v>0.15</v>
      </c>
      <c r="K87" s="6">
        <v>99.75</v>
      </c>
      <c r="L87" s="6">
        <v>11.37</v>
      </c>
      <c r="M87" s="6">
        <v>10.55</v>
      </c>
      <c r="N87" s="6">
        <v>2.2000000000000002</v>
      </c>
      <c r="O87" s="6">
        <v>0</v>
      </c>
      <c r="P87" s="6">
        <v>0.54</v>
      </c>
      <c r="Q87" s="6">
        <v>10</v>
      </c>
      <c r="R87" s="6"/>
      <c r="S87" s="6"/>
      <c r="T87" s="156"/>
      <c r="U87" s="6"/>
    </row>
    <row r="88" spans="1:21" customFormat="1">
      <c r="A88" s="201" t="s">
        <v>1567</v>
      </c>
      <c r="B88" s="6">
        <v>5.84</v>
      </c>
      <c r="C88" s="6">
        <v>9.52</v>
      </c>
      <c r="D88" s="6">
        <v>9.66</v>
      </c>
      <c r="E88" s="6">
        <v>3.79</v>
      </c>
      <c r="F88" s="6">
        <v>2</v>
      </c>
      <c r="G88" s="6">
        <v>68.17</v>
      </c>
      <c r="H88" s="6">
        <v>8.11</v>
      </c>
      <c r="I88" s="6">
        <v>7.21</v>
      </c>
      <c r="J88" s="6">
        <v>0.2</v>
      </c>
      <c r="K88" s="6">
        <v>81.48</v>
      </c>
      <c r="L88" s="6">
        <v>12.13</v>
      </c>
      <c r="M88" s="6">
        <v>12.43</v>
      </c>
      <c r="N88" s="6">
        <v>2.4</v>
      </c>
      <c r="O88" s="6">
        <v>0</v>
      </c>
      <c r="P88" s="6">
        <v>0.54</v>
      </c>
      <c r="Q88" s="6">
        <v>10</v>
      </c>
      <c r="R88" s="6"/>
      <c r="S88" s="6"/>
      <c r="T88" s="156"/>
      <c r="U88" s="6"/>
    </row>
    <row r="89" spans="1:21" customFormat="1">
      <c r="A89" s="201" t="s">
        <v>1568</v>
      </c>
      <c r="B89" s="6">
        <v>5.57</v>
      </c>
      <c r="C89" s="6">
        <v>8.91</v>
      </c>
      <c r="D89" s="6">
        <v>9.1199999999999992</v>
      </c>
      <c r="E89" s="6">
        <v>4.1100000000000003</v>
      </c>
      <c r="F89" s="6">
        <v>2</v>
      </c>
      <c r="G89" s="6">
        <v>68.17</v>
      </c>
      <c r="H89" s="6">
        <v>8.11</v>
      </c>
      <c r="I89" s="6">
        <v>8.1300000000000008</v>
      </c>
      <c r="J89" s="6">
        <v>0.13</v>
      </c>
      <c r="K89" s="6">
        <v>105.84</v>
      </c>
      <c r="L89" s="6">
        <v>12.17</v>
      </c>
      <c r="M89" s="6">
        <v>12.57</v>
      </c>
      <c r="N89" s="6">
        <v>2.2000000000000002</v>
      </c>
      <c r="O89" s="6">
        <v>0</v>
      </c>
      <c r="P89" s="6">
        <v>0.53</v>
      </c>
      <c r="Q89" s="6">
        <v>10</v>
      </c>
      <c r="R89" s="6"/>
      <c r="S89" s="6"/>
      <c r="T89" s="156"/>
      <c r="U89" s="6"/>
    </row>
    <row r="90" spans="1:21" customFormat="1">
      <c r="A90" s="201" t="s">
        <v>1569</v>
      </c>
      <c r="B90" s="6">
        <v>5.26</v>
      </c>
      <c r="C90" s="6">
        <v>8.51</v>
      </c>
      <c r="D90" s="6">
        <v>8.66</v>
      </c>
      <c r="E90" s="6">
        <v>4.3600000000000003</v>
      </c>
      <c r="F90" s="6">
        <v>2</v>
      </c>
      <c r="G90" s="6">
        <v>68.17</v>
      </c>
      <c r="H90" s="6">
        <v>8.11</v>
      </c>
      <c r="I90" s="6">
        <v>8.07</v>
      </c>
      <c r="J90" s="6">
        <v>0.16</v>
      </c>
      <c r="K90" s="6">
        <v>75.11</v>
      </c>
      <c r="L90" s="6">
        <v>11.53</v>
      </c>
      <c r="M90" s="6">
        <v>10.73</v>
      </c>
      <c r="N90" s="6">
        <v>2.2999999999999998</v>
      </c>
      <c r="O90" s="6">
        <v>0</v>
      </c>
      <c r="P90" s="6">
        <v>0.52</v>
      </c>
      <c r="Q90" s="6">
        <v>10</v>
      </c>
      <c r="R90" s="6"/>
      <c r="S90" s="6"/>
      <c r="T90" s="156"/>
      <c r="U90" s="6"/>
    </row>
    <row r="91" spans="1:21" customFormat="1">
      <c r="A91" s="201" t="s">
        <v>1570</v>
      </c>
      <c r="B91" s="6">
        <v>5</v>
      </c>
      <c r="C91" s="6">
        <v>8.18</v>
      </c>
      <c r="D91" s="6">
        <v>8.2799999999999994</v>
      </c>
      <c r="E91" s="6">
        <v>4.63</v>
      </c>
      <c r="F91" s="6">
        <v>2</v>
      </c>
      <c r="G91" s="6">
        <v>67.88</v>
      </c>
      <c r="H91" s="6">
        <v>8.1199999999999992</v>
      </c>
      <c r="I91" s="6">
        <v>8.02</v>
      </c>
      <c r="J91" s="6">
        <v>0.16</v>
      </c>
      <c r="K91" s="6">
        <v>100.5</v>
      </c>
      <c r="L91" s="6">
        <v>11.64</v>
      </c>
      <c r="M91" s="6">
        <v>11.26</v>
      </c>
      <c r="N91" s="6">
        <v>2.4</v>
      </c>
      <c r="O91" s="6">
        <v>0</v>
      </c>
      <c r="P91" s="6">
        <v>0.52</v>
      </c>
      <c r="Q91" s="6">
        <v>10</v>
      </c>
      <c r="R91" s="6"/>
      <c r="S91" s="6"/>
      <c r="T91" s="156"/>
      <c r="U91" s="6"/>
    </row>
    <row r="92" spans="1:21" customFormat="1">
      <c r="A92" s="201" t="s">
        <v>1571</v>
      </c>
      <c r="B92" s="6">
        <v>4.78</v>
      </c>
      <c r="C92" s="6">
        <v>8.09</v>
      </c>
      <c r="D92" s="6">
        <v>8.06</v>
      </c>
      <c r="E92" s="6">
        <v>4.6100000000000003</v>
      </c>
      <c r="F92" s="6">
        <v>2</v>
      </c>
      <c r="G92" s="6">
        <v>59.62</v>
      </c>
      <c r="H92" s="6">
        <v>8.48</v>
      </c>
      <c r="I92" s="6">
        <v>7.96</v>
      </c>
      <c r="J92" s="6">
        <v>0.24</v>
      </c>
      <c r="K92" s="6">
        <v>53.92</v>
      </c>
      <c r="L92" s="6">
        <v>9.56</v>
      </c>
      <c r="M92" s="6">
        <v>5.72</v>
      </c>
      <c r="N92" s="6">
        <v>2.2999999999999998</v>
      </c>
      <c r="O92" s="6">
        <v>0</v>
      </c>
      <c r="P92" s="6">
        <v>0.52</v>
      </c>
      <c r="Q92" s="6">
        <v>10</v>
      </c>
      <c r="R92" s="6"/>
      <c r="S92" s="6"/>
      <c r="T92" s="156"/>
      <c r="U92" s="6"/>
    </row>
    <row r="93" spans="1:21" customFormat="1">
      <c r="A93" s="201" t="s">
        <v>1572</v>
      </c>
      <c r="B93" s="6">
        <v>4.68</v>
      </c>
      <c r="C93" s="6">
        <v>7.96</v>
      </c>
      <c r="D93" s="6">
        <v>7.91</v>
      </c>
      <c r="E93" s="6">
        <v>4.6100000000000003</v>
      </c>
      <c r="F93" s="6">
        <v>2</v>
      </c>
      <c r="G93" s="6">
        <v>59.62</v>
      </c>
      <c r="H93" s="6">
        <v>8.48</v>
      </c>
      <c r="I93" s="6">
        <v>7.86</v>
      </c>
      <c r="J93" s="6">
        <v>0.28999999999999998</v>
      </c>
      <c r="K93" s="6">
        <v>53.15</v>
      </c>
      <c r="L93" s="6">
        <v>7.48</v>
      </c>
      <c r="M93" s="6">
        <v>0.66</v>
      </c>
      <c r="N93" s="6">
        <v>2.1</v>
      </c>
      <c r="O93" s="6">
        <v>0</v>
      </c>
      <c r="P93" s="6">
        <v>0.51</v>
      </c>
      <c r="Q93" s="6">
        <v>10</v>
      </c>
      <c r="R93" s="6"/>
      <c r="S93" s="6"/>
      <c r="T93" s="156"/>
      <c r="U93" s="6"/>
    </row>
    <row r="94" spans="1:21" customFormat="1">
      <c r="A94" s="201" t="s">
        <v>1573</v>
      </c>
      <c r="B94" s="6">
        <v>4.6100000000000003</v>
      </c>
      <c r="C94" s="6">
        <v>7.89</v>
      </c>
      <c r="D94" s="6">
        <v>7.82</v>
      </c>
      <c r="E94" s="6">
        <v>4.6900000000000004</v>
      </c>
      <c r="F94" s="6">
        <v>2</v>
      </c>
      <c r="G94" s="6">
        <v>59.62</v>
      </c>
      <c r="H94" s="6">
        <v>8.48</v>
      </c>
      <c r="I94" s="6">
        <v>7.82</v>
      </c>
      <c r="J94" s="6">
        <v>0.23</v>
      </c>
      <c r="K94" s="6">
        <v>44.81</v>
      </c>
      <c r="L94" s="6">
        <v>9.6999999999999993</v>
      </c>
      <c r="M94" s="6">
        <v>6.16</v>
      </c>
      <c r="N94" s="6">
        <v>2.2000000000000002</v>
      </c>
      <c r="O94" s="6">
        <v>0</v>
      </c>
      <c r="P94" s="6">
        <v>0.53</v>
      </c>
      <c r="Q94" s="6">
        <v>10</v>
      </c>
      <c r="R94" s="6"/>
      <c r="S94" s="6"/>
      <c r="T94" s="156"/>
      <c r="U94" s="6"/>
    </row>
    <row r="95" spans="1:21" customFormat="1">
      <c r="A95" s="201" t="s">
        <v>1574</v>
      </c>
      <c r="B95" s="6">
        <v>4.7</v>
      </c>
      <c r="C95" s="6">
        <v>7.96</v>
      </c>
      <c r="D95" s="6">
        <v>7.93</v>
      </c>
      <c r="E95" s="6">
        <v>3.91</v>
      </c>
      <c r="F95" s="6">
        <v>2</v>
      </c>
      <c r="G95" s="6">
        <v>59.33</v>
      </c>
      <c r="H95" s="6">
        <v>8.48</v>
      </c>
      <c r="I95" s="6">
        <v>7.81</v>
      </c>
      <c r="J95" s="6">
        <v>0.22</v>
      </c>
      <c r="K95" s="6">
        <v>45.2</v>
      </c>
      <c r="L95" s="6">
        <v>7.81</v>
      </c>
      <c r="M95" s="6">
        <v>1.43</v>
      </c>
      <c r="N95" s="6">
        <v>2.2000000000000002</v>
      </c>
      <c r="O95" s="6">
        <v>0</v>
      </c>
      <c r="P95" s="6">
        <v>0.53</v>
      </c>
      <c r="Q95" s="6">
        <v>10</v>
      </c>
      <c r="R95" s="6"/>
      <c r="S95" s="6"/>
      <c r="T95" s="156"/>
      <c r="U95" s="6"/>
    </row>
    <row r="96" spans="1:21" customFormat="1">
      <c r="A96" s="201" t="s">
        <v>1575</v>
      </c>
      <c r="B96" s="6">
        <v>4.83</v>
      </c>
      <c r="C96" s="6">
        <v>8.0299999999999994</v>
      </c>
      <c r="D96" s="6">
        <v>8.07</v>
      </c>
      <c r="E96" s="6">
        <v>4.53</v>
      </c>
      <c r="F96" s="6">
        <v>2</v>
      </c>
      <c r="G96" s="6">
        <v>51.03</v>
      </c>
      <c r="H96" s="6">
        <v>8.4700000000000006</v>
      </c>
      <c r="I96" s="6">
        <v>7.78</v>
      </c>
      <c r="J96" s="6">
        <v>0.32</v>
      </c>
      <c r="K96" s="6">
        <v>52.04</v>
      </c>
      <c r="L96" s="6">
        <v>7.52</v>
      </c>
      <c r="M96" s="6">
        <v>0.79</v>
      </c>
      <c r="N96" s="6">
        <v>2.1</v>
      </c>
      <c r="O96" s="6">
        <v>0</v>
      </c>
      <c r="P96" s="6">
        <v>0.52</v>
      </c>
      <c r="Q96" s="6">
        <v>10</v>
      </c>
      <c r="R96" s="6"/>
      <c r="S96" s="6"/>
      <c r="T96" s="156"/>
      <c r="U96" s="6"/>
    </row>
    <row r="97" spans="1:28" customFormat="1">
      <c r="A97" s="201" t="s">
        <v>1576</v>
      </c>
      <c r="B97" s="6">
        <v>4.8499999999999996</v>
      </c>
      <c r="C97" s="6">
        <v>7.82</v>
      </c>
      <c r="D97" s="6">
        <v>7.97</v>
      </c>
      <c r="E97" s="6">
        <v>4.99</v>
      </c>
      <c r="F97" s="6">
        <v>2</v>
      </c>
      <c r="G97" s="6">
        <v>51.03</v>
      </c>
      <c r="H97" s="6">
        <v>8.4700000000000006</v>
      </c>
      <c r="I97" s="6">
        <v>7.77</v>
      </c>
      <c r="J97" s="6">
        <v>0.21</v>
      </c>
      <c r="K97" s="6">
        <v>68.319999999999993</v>
      </c>
      <c r="L97" s="6">
        <v>9.43</v>
      </c>
      <c r="M97" s="6">
        <v>5.45</v>
      </c>
      <c r="N97" s="6">
        <v>2.2000000000000002</v>
      </c>
      <c r="O97" s="6">
        <v>0</v>
      </c>
      <c r="P97" s="6">
        <v>0.52</v>
      </c>
      <c r="Q97" s="6">
        <v>10</v>
      </c>
      <c r="R97" s="6"/>
      <c r="S97" s="6"/>
      <c r="T97" s="156"/>
      <c r="U97" s="6"/>
    </row>
    <row r="98" spans="1:28" customFormat="1">
      <c r="A98" s="201" t="s">
        <v>1577</v>
      </c>
      <c r="B98" s="6">
        <v>4.72</v>
      </c>
      <c r="C98" s="6">
        <v>7.73</v>
      </c>
      <c r="D98" s="6">
        <v>7.83</v>
      </c>
      <c r="E98" s="6">
        <v>5.17</v>
      </c>
      <c r="F98" s="6">
        <v>2</v>
      </c>
      <c r="G98" s="6">
        <v>51.03</v>
      </c>
      <c r="H98" s="6">
        <v>8.4700000000000006</v>
      </c>
      <c r="I98" s="6">
        <v>7.79</v>
      </c>
      <c r="J98" s="6">
        <v>0.37</v>
      </c>
      <c r="K98" s="6">
        <v>44.38</v>
      </c>
      <c r="L98" s="6">
        <v>7.09</v>
      </c>
      <c r="M98" s="6">
        <v>-0.35</v>
      </c>
      <c r="N98" s="6">
        <v>2.2999999999999998</v>
      </c>
      <c r="O98" s="6">
        <v>0</v>
      </c>
      <c r="P98" s="6">
        <v>0.52</v>
      </c>
      <c r="Q98" s="6">
        <v>10</v>
      </c>
      <c r="R98" s="6"/>
      <c r="S98" s="6"/>
      <c r="T98" s="156"/>
      <c r="U98" s="6"/>
    </row>
    <row r="99" spans="1:28" customFormat="1">
      <c r="A99" s="201" t="s">
        <v>1578</v>
      </c>
      <c r="B99" s="6">
        <v>4.63</v>
      </c>
      <c r="C99" s="6">
        <v>7.72</v>
      </c>
      <c r="D99" s="6">
        <v>7.75</v>
      </c>
      <c r="E99" s="6">
        <v>5.03</v>
      </c>
      <c r="F99" s="6">
        <v>2</v>
      </c>
      <c r="G99" s="6">
        <v>51.06</v>
      </c>
      <c r="H99" s="6">
        <v>8.49</v>
      </c>
      <c r="I99" s="6">
        <v>7.82</v>
      </c>
      <c r="J99" s="6">
        <v>0.35</v>
      </c>
      <c r="K99" s="6">
        <v>49.85</v>
      </c>
      <c r="L99" s="6">
        <v>7.69</v>
      </c>
      <c r="M99" s="6">
        <v>1.2</v>
      </c>
      <c r="N99" s="6">
        <v>2.1</v>
      </c>
      <c r="O99" s="6">
        <v>0</v>
      </c>
      <c r="P99" s="6">
        <v>0.52</v>
      </c>
      <c r="Q99" s="6">
        <v>10</v>
      </c>
      <c r="R99" s="6"/>
      <c r="S99" s="6"/>
      <c r="T99" s="156"/>
      <c r="U99" s="6"/>
    </row>
    <row r="100" spans="1:28" customFormat="1">
      <c r="A100" s="201" t="s">
        <v>1579</v>
      </c>
      <c r="B100" s="6">
        <v>4.67</v>
      </c>
      <c r="C100" s="6">
        <v>7.68</v>
      </c>
      <c r="D100" s="6">
        <v>7.75</v>
      </c>
      <c r="E100" s="6">
        <v>5.16</v>
      </c>
      <c r="F100" s="6">
        <v>2</v>
      </c>
      <c r="G100" s="6">
        <v>51.74</v>
      </c>
      <c r="H100" s="6">
        <v>9.0299999999999994</v>
      </c>
      <c r="I100" s="6">
        <v>7.8</v>
      </c>
      <c r="J100" s="6">
        <v>0.2</v>
      </c>
      <c r="K100" s="6">
        <v>86.11</v>
      </c>
      <c r="L100" s="6">
        <v>10.86</v>
      </c>
      <c r="M100" s="6">
        <v>9.2799999999999994</v>
      </c>
      <c r="N100" s="6">
        <v>2.2000000000000002</v>
      </c>
      <c r="O100" s="6">
        <v>0</v>
      </c>
      <c r="P100" s="6">
        <v>0.52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1580</v>
      </c>
      <c r="B101" s="6">
        <v>4.59</v>
      </c>
      <c r="C101" s="6">
        <v>7.53</v>
      </c>
      <c r="D101" s="6">
        <v>7.61</v>
      </c>
      <c r="E101" s="6">
        <v>5.18</v>
      </c>
      <c r="F101" s="6">
        <v>2</v>
      </c>
      <c r="G101" s="6">
        <v>51.74</v>
      </c>
      <c r="H101" s="6">
        <v>9.0299999999999994</v>
      </c>
      <c r="I101" s="6">
        <v>7.78</v>
      </c>
      <c r="J101" s="6">
        <v>0.21</v>
      </c>
      <c r="K101" s="6">
        <v>148.66</v>
      </c>
      <c r="L101" s="6">
        <v>14.64</v>
      </c>
      <c r="M101" s="6">
        <v>18.91</v>
      </c>
      <c r="N101" s="6">
        <v>2.1</v>
      </c>
      <c r="O101" s="6">
        <v>0</v>
      </c>
      <c r="P101" s="6">
        <v>0.52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1581</v>
      </c>
      <c r="B102" s="6">
        <v>4.38</v>
      </c>
      <c r="C102" s="6">
        <v>7.19</v>
      </c>
      <c r="D102" s="6">
        <v>7.26</v>
      </c>
      <c r="E102" s="6">
        <v>5.05</v>
      </c>
      <c r="F102" s="6">
        <v>2</v>
      </c>
      <c r="G102" s="6">
        <v>51.74</v>
      </c>
      <c r="H102" s="6">
        <v>9.0299999999999994</v>
      </c>
      <c r="I102" s="6">
        <v>7.77</v>
      </c>
      <c r="J102" s="6">
        <v>0.12</v>
      </c>
      <c r="K102" s="6">
        <v>155.30000000000001</v>
      </c>
      <c r="L102" s="6">
        <v>15.01</v>
      </c>
      <c r="M102" s="6">
        <v>19.809999999999999</v>
      </c>
      <c r="N102" s="6">
        <v>2.2999999999999998</v>
      </c>
      <c r="O102" s="6">
        <v>0</v>
      </c>
      <c r="P102" s="6">
        <v>0.51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1582</v>
      </c>
      <c r="B103" s="6">
        <v>4.1500000000000004</v>
      </c>
      <c r="C103" s="6">
        <v>7.08</v>
      </c>
      <c r="D103" s="6">
        <v>7.03</v>
      </c>
      <c r="E103" s="6">
        <v>5.44</v>
      </c>
      <c r="F103" s="6">
        <v>2</v>
      </c>
      <c r="G103" s="6">
        <v>51.37</v>
      </c>
      <c r="H103" s="6">
        <v>9.02</v>
      </c>
      <c r="I103" s="6">
        <v>7.68</v>
      </c>
      <c r="J103" s="6">
        <v>0.12</v>
      </c>
      <c r="K103" s="6">
        <v>146.86000000000001</v>
      </c>
      <c r="L103" s="6">
        <v>15.25</v>
      </c>
      <c r="M103" s="6">
        <v>20.39</v>
      </c>
      <c r="N103" s="6">
        <v>2.2999999999999998</v>
      </c>
      <c r="O103" s="6">
        <v>0</v>
      </c>
      <c r="P103" s="6">
        <v>0.5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1583</v>
      </c>
      <c r="B104" s="6">
        <v>4.09</v>
      </c>
      <c r="C104" s="6">
        <v>7.15</v>
      </c>
      <c r="D104" s="6">
        <v>7.02</v>
      </c>
      <c r="E104" s="6">
        <v>5.63</v>
      </c>
      <c r="F104" s="6">
        <v>2</v>
      </c>
      <c r="G104" s="6">
        <v>40.69</v>
      </c>
      <c r="H104" s="6">
        <v>8.6300000000000008</v>
      </c>
      <c r="I104" s="6">
        <v>7.59</v>
      </c>
      <c r="J104" s="6">
        <v>0.17</v>
      </c>
      <c r="K104" s="6">
        <v>100.03</v>
      </c>
      <c r="L104" s="6">
        <v>11.01</v>
      </c>
      <c r="M104" s="6">
        <v>9.6999999999999993</v>
      </c>
      <c r="N104" s="6">
        <v>2.1</v>
      </c>
      <c r="O104" s="6">
        <v>0</v>
      </c>
      <c r="P104" s="6">
        <v>0.52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1.78</v>
      </c>
      <c r="C106" s="158">
        <f>MIN(C9:C104)</f>
        <v>6.65</v>
      </c>
      <c r="D106" s="158">
        <f t="shared" ref="D106:Q106" si="0">MIN(D9:D104)</f>
        <v>7.02</v>
      </c>
      <c r="E106" s="158">
        <f t="shared" si="0"/>
        <v>0.22</v>
      </c>
      <c r="F106" s="158">
        <f t="shared" si="0"/>
        <v>0.13</v>
      </c>
      <c r="G106" s="158">
        <f t="shared" si="0"/>
        <v>22.73</v>
      </c>
      <c r="H106" s="158">
        <f t="shared" si="0"/>
        <v>5.29</v>
      </c>
      <c r="I106" s="158">
        <f t="shared" si="0"/>
        <v>3.21</v>
      </c>
      <c r="J106" s="158">
        <f t="shared" si="0"/>
        <v>0.08</v>
      </c>
      <c r="K106" s="158">
        <f t="shared" si="0"/>
        <v>0.16</v>
      </c>
      <c r="L106" s="158">
        <f t="shared" si="0"/>
        <v>6.01</v>
      </c>
      <c r="M106" s="158">
        <f t="shared" si="0"/>
        <v>-3.43</v>
      </c>
      <c r="N106" s="158">
        <f t="shared" si="0"/>
        <v>2.1</v>
      </c>
      <c r="O106" s="158">
        <f t="shared" si="0"/>
        <v>0</v>
      </c>
      <c r="P106" s="158">
        <f t="shared" si="0"/>
        <v>0.24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10.29</v>
      </c>
      <c r="C107" s="157">
        <f t="shared" ref="C107:Q107" si="1">MAX(C9:C104)</f>
        <v>23.76</v>
      </c>
      <c r="D107" s="157">
        <f t="shared" si="1"/>
        <v>24.14</v>
      </c>
      <c r="E107" s="157">
        <f t="shared" si="1"/>
        <v>7.2</v>
      </c>
      <c r="F107" s="157">
        <f t="shared" si="1"/>
        <v>36.450000000000003</v>
      </c>
      <c r="G107" s="157">
        <f t="shared" si="1"/>
        <v>71.92</v>
      </c>
      <c r="H107" s="157">
        <f t="shared" si="1"/>
        <v>29.59</v>
      </c>
      <c r="I107" s="157">
        <f t="shared" si="1"/>
        <v>8.25</v>
      </c>
      <c r="J107" s="157">
        <f t="shared" si="1"/>
        <v>0.55000000000000004</v>
      </c>
      <c r="K107" s="157">
        <f t="shared" si="1"/>
        <v>166.83</v>
      </c>
      <c r="L107" s="157">
        <f t="shared" si="1"/>
        <v>19.190000000000001</v>
      </c>
      <c r="M107" s="157">
        <f t="shared" si="1"/>
        <v>23.72</v>
      </c>
      <c r="N107" s="157">
        <f t="shared" si="1"/>
        <v>698.9</v>
      </c>
      <c r="O107" s="157">
        <f t="shared" si="1"/>
        <v>0</v>
      </c>
      <c r="P107" s="157">
        <f t="shared" si="1"/>
        <v>0.55000000000000004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5.3616666666666655</v>
      </c>
      <c r="C108" s="158">
        <f t="shared" ref="C108:Q108" si="2">AVERAGE(C9:C104)</f>
        <v>9.0377083333333363</v>
      </c>
      <c r="D108" s="158">
        <f t="shared" si="2"/>
        <v>12.855937499999998</v>
      </c>
      <c r="E108" s="158">
        <f t="shared" si="2"/>
        <v>4.2519791666666675</v>
      </c>
      <c r="F108" s="158">
        <f t="shared" si="2"/>
        <v>10.844509803921568</v>
      </c>
      <c r="G108" s="158">
        <f t="shared" si="2"/>
        <v>50.814791666666657</v>
      </c>
      <c r="H108" s="158">
        <f t="shared" si="2"/>
        <v>15.101145833333334</v>
      </c>
      <c r="I108" s="158">
        <f t="shared" si="2"/>
        <v>6.3963541666666641</v>
      </c>
      <c r="J108" s="158">
        <f t="shared" si="2"/>
        <v>0.26177083333333334</v>
      </c>
      <c r="K108" s="158">
        <f t="shared" si="2"/>
        <v>73.344791666666637</v>
      </c>
      <c r="L108" s="158">
        <f t="shared" si="2"/>
        <v>11.096145833333331</v>
      </c>
      <c r="M108" s="158">
        <f t="shared" si="2"/>
        <v>6.981354166666665</v>
      </c>
      <c r="N108" s="158">
        <f t="shared" si="2"/>
        <v>119.38020833333336</v>
      </c>
      <c r="O108" s="158">
        <f t="shared" si="2"/>
        <v>0</v>
      </c>
      <c r="P108" s="158">
        <f t="shared" si="2"/>
        <v>0.42208333333333381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2.5577772697018633</v>
      </c>
      <c r="C109" s="158">
        <f t="shared" ref="C109:Q109" si="3">STDEV(C9:C104)</f>
        <v>3.3006999191293187</v>
      </c>
      <c r="D109" s="158">
        <f t="shared" si="3"/>
        <v>3.414894797832464</v>
      </c>
      <c r="E109" s="158">
        <f t="shared" si="3"/>
        <v>1.7198669592314779</v>
      </c>
      <c r="F109" s="158">
        <f t="shared" si="3"/>
        <v>10.788169689752845</v>
      </c>
      <c r="G109" s="158">
        <f t="shared" si="3"/>
        <v>16.463209252861642</v>
      </c>
      <c r="H109" s="158">
        <f t="shared" si="3"/>
        <v>8.9765529510927529</v>
      </c>
      <c r="I109" s="158">
        <f t="shared" si="3"/>
        <v>1.3193819284974506</v>
      </c>
      <c r="J109" s="158">
        <f t="shared" si="3"/>
        <v>0.10223805854003244</v>
      </c>
      <c r="K109" s="158">
        <f t="shared" si="3"/>
        <v>35.172149448082521</v>
      </c>
      <c r="L109" s="158">
        <f t="shared" si="3"/>
        <v>3.5803003019569486</v>
      </c>
      <c r="M109" s="158">
        <f t="shared" si="3"/>
        <v>6.5441069705244495</v>
      </c>
      <c r="N109" s="158">
        <f t="shared" si="3"/>
        <v>191.68192272330612</v>
      </c>
      <c r="O109" s="158">
        <f t="shared" si="3"/>
        <v>0</v>
      </c>
      <c r="P109" s="158">
        <f t="shared" si="3"/>
        <v>9.2633024310891404E-2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COUNT(F9:F104)+45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1" sqref="F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1584</v>
      </c>
      <c r="B9" s="6">
        <v>4.24</v>
      </c>
      <c r="C9" s="6">
        <v>6.88</v>
      </c>
      <c r="D9" s="6">
        <v>7</v>
      </c>
      <c r="E9" s="6">
        <v>5.27</v>
      </c>
      <c r="F9" s="6">
        <v>2</v>
      </c>
      <c r="G9" s="6">
        <v>40.69</v>
      </c>
      <c r="H9" s="6">
        <v>8.6300000000000008</v>
      </c>
      <c r="I9" s="6">
        <v>7.54</v>
      </c>
      <c r="J9" s="6">
        <v>0.1</v>
      </c>
      <c r="K9" s="6">
        <v>191.45</v>
      </c>
      <c r="L9" s="6">
        <v>16.36</v>
      </c>
      <c r="M9" s="6">
        <v>23.1</v>
      </c>
      <c r="N9" s="6">
        <v>2.2999999999999998</v>
      </c>
      <c r="O9" s="6">
        <v>0</v>
      </c>
      <c r="P9" s="6">
        <v>0.52</v>
      </c>
      <c r="Q9" s="6">
        <v>10</v>
      </c>
      <c r="R9" s="6"/>
      <c r="S9" s="6"/>
      <c r="T9" s="156"/>
      <c r="U9" s="6"/>
    </row>
    <row r="10" spans="1:21" customFormat="1">
      <c r="A10" s="201" t="s">
        <v>1585</v>
      </c>
      <c r="B10" s="6">
        <v>4.32</v>
      </c>
      <c r="C10" s="6">
        <v>6.71</v>
      </c>
      <c r="D10" s="6">
        <v>6.97</v>
      </c>
      <c r="E10" s="6">
        <v>5.37</v>
      </c>
      <c r="F10" s="6">
        <v>2</v>
      </c>
      <c r="G10" s="6">
        <v>40.69</v>
      </c>
      <c r="H10" s="6">
        <v>8.6300000000000008</v>
      </c>
      <c r="I10" s="6">
        <v>7.52</v>
      </c>
      <c r="J10" s="6">
        <v>0.1</v>
      </c>
      <c r="K10" s="6">
        <v>145.96</v>
      </c>
      <c r="L10" s="6">
        <v>14.85</v>
      </c>
      <c r="M10" s="6">
        <v>19.41</v>
      </c>
      <c r="N10" s="6">
        <v>2.2000000000000002</v>
      </c>
      <c r="O10" s="6">
        <v>0</v>
      </c>
      <c r="P10" s="6">
        <v>0.54</v>
      </c>
      <c r="Q10" s="6">
        <v>10</v>
      </c>
      <c r="R10" s="6"/>
      <c r="S10" s="6"/>
      <c r="T10" s="156"/>
      <c r="U10" s="6"/>
    </row>
    <row r="11" spans="1:21" customFormat="1">
      <c r="A11" s="201" t="s">
        <v>1586</v>
      </c>
      <c r="B11" s="6">
        <v>4.42</v>
      </c>
      <c r="C11" s="6">
        <v>6.56</v>
      </c>
      <c r="D11" s="6">
        <v>6.98</v>
      </c>
      <c r="E11" s="6">
        <v>5.3</v>
      </c>
      <c r="F11" s="6">
        <v>2</v>
      </c>
      <c r="G11" s="6">
        <v>41.04</v>
      </c>
      <c r="H11" s="6">
        <v>8.64</v>
      </c>
      <c r="I11" s="6">
        <v>7.56</v>
      </c>
      <c r="J11" s="6">
        <v>0.08</v>
      </c>
      <c r="K11" s="6">
        <v>163.53</v>
      </c>
      <c r="L11" s="6">
        <v>15.01</v>
      </c>
      <c r="M11" s="6">
        <v>19.79</v>
      </c>
      <c r="N11" s="6">
        <v>2.1</v>
      </c>
      <c r="O11" s="6">
        <v>0</v>
      </c>
      <c r="P11" s="6">
        <v>0.51</v>
      </c>
      <c r="Q11" s="6">
        <v>10</v>
      </c>
      <c r="R11" s="6"/>
      <c r="S11" s="6"/>
      <c r="T11" s="156"/>
      <c r="U11" s="6"/>
    </row>
    <row r="12" spans="1:21" customFormat="1">
      <c r="A12" s="201" t="s">
        <v>1587</v>
      </c>
      <c r="B12" s="6">
        <v>4.6399999999999997</v>
      </c>
      <c r="C12" s="6">
        <v>6.42</v>
      </c>
      <c r="D12" s="6">
        <v>7.07</v>
      </c>
      <c r="E12" s="6">
        <v>5.46</v>
      </c>
      <c r="F12" s="6">
        <v>2</v>
      </c>
      <c r="G12" s="6">
        <v>51.07</v>
      </c>
      <c r="H12" s="6">
        <v>8.9700000000000006</v>
      </c>
      <c r="I12" s="6">
        <v>7.62</v>
      </c>
      <c r="J12" s="6">
        <v>0.14000000000000001</v>
      </c>
      <c r="K12" s="6">
        <v>69.47</v>
      </c>
      <c r="L12" s="6">
        <v>10.3</v>
      </c>
      <c r="M12" s="6">
        <v>7.88</v>
      </c>
      <c r="N12" s="6">
        <v>2</v>
      </c>
      <c r="O12" s="6">
        <v>0</v>
      </c>
      <c r="P12" s="6">
        <v>0.53</v>
      </c>
      <c r="Q12" s="6">
        <v>10</v>
      </c>
      <c r="R12" s="6"/>
      <c r="S12" s="6"/>
      <c r="T12" s="156"/>
      <c r="U12" s="6"/>
    </row>
    <row r="13" spans="1:21" customFormat="1">
      <c r="A13" s="201" t="s">
        <v>1588</v>
      </c>
      <c r="B13" s="6">
        <v>5.03</v>
      </c>
      <c r="C13" s="6">
        <v>6.67</v>
      </c>
      <c r="D13" s="6">
        <v>7.52</v>
      </c>
      <c r="E13" s="6">
        <v>5.56</v>
      </c>
      <c r="F13" s="6">
        <v>2</v>
      </c>
      <c r="G13" s="6">
        <v>51.07</v>
      </c>
      <c r="H13" s="6">
        <v>8.9700000000000006</v>
      </c>
      <c r="I13" s="6">
        <v>7.61</v>
      </c>
      <c r="J13" s="6">
        <v>0.21</v>
      </c>
      <c r="K13" s="6">
        <v>47.75</v>
      </c>
      <c r="L13" s="6">
        <v>7.05</v>
      </c>
      <c r="M13" s="6">
        <v>-0.47</v>
      </c>
      <c r="N13" s="6">
        <v>2.1</v>
      </c>
      <c r="O13" s="6">
        <v>0</v>
      </c>
      <c r="P13" s="6">
        <v>0.51</v>
      </c>
      <c r="Q13" s="6">
        <v>10</v>
      </c>
      <c r="R13" s="6"/>
      <c r="S13" s="6"/>
      <c r="T13" s="156"/>
      <c r="U13" s="6"/>
    </row>
    <row r="14" spans="1:21" customFormat="1">
      <c r="A14" s="201" t="s">
        <v>1589</v>
      </c>
      <c r="B14" s="6">
        <v>5.32</v>
      </c>
      <c r="C14" s="6">
        <v>6.56</v>
      </c>
      <c r="D14" s="6">
        <v>7.69</v>
      </c>
      <c r="E14" s="6">
        <v>5.59</v>
      </c>
      <c r="F14" s="6">
        <v>2</v>
      </c>
      <c r="G14" s="6">
        <v>51.07</v>
      </c>
      <c r="H14" s="6">
        <v>8.9700000000000006</v>
      </c>
      <c r="I14" s="6">
        <v>7.61</v>
      </c>
      <c r="J14" s="6">
        <v>0.09</v>
      </c>
      <c r="K14" s="6">
        <v>33.700000000000003</v>
      </c>
      <c r="L14" s="6">
        <v>8.7100000000000009</v>
      </c>
      <c r="M14" s="6">
        <v>3.66</v>
      </c>
      <c r="N14" s="6">
        <v>2.1</v>
      </c>
      <c r="O14" s="6">
        <v>0</v>
      </c>
      <c r="P14" s="6">
        <v>0.52</v>
      </c>
      <c r="Q14" s="6">
        <v>10</v>
      </c>
      <c r="R14" s="6"/>
      <c r="S14" s="6"/>
      <c r="T14" s="156"/>
      <c r="U14" s="6"/>
    </row>
    <row r="15" spans="1:21" customFormat="1">
      <c r="A15" s="201" t="s">
        <v>1590</v>
      </c>
      <c r="B15" s="6">
        <v>5.51</v>
      </c>
      <c r="C15" s="6">
        <v>6.51</v>
      </c>
      <c r="D15" s="6">
        <v>7.82</v>
      </c>
      <c r="E15" s="6">
        <v>5.59</v>
      </c>
      <c r="F15" s="6">
        <v>2</v>
      </c>
      <c r="G15" s="6">
        <v>50.81</v>
      </c>
      <c r="H15" s="6">
        <v>8.9700000000000006</v>
      </c>
      <c r="I15" s="6">
        <v>7.59</v>
      </c>
      <c r="J15" s="6">
        <v>0.12</v>
      </c>
      <c r="K15" s="6">
        <v>113.45</v>
      </c>
      <c r="L15" s="6">
        <v>13.25</v>
      </c>
      <c r="M15" s="6">
        <v>15.35</v>
      </c>
      <c r="N15" s="6">
        <v>2.1</v>
      </c>
      <c r="O15" s="6">
        <v>0</v>
      </c>
      <c r="P15" s="6">
        <v>0.51</v>
      </c>
      <c r="Q15" s="6">
        <v>10</v>
      </c>
      <c r="R15" s="6"/>
      <c r="S15" s="6"/>
      <c r="T15" s="156"/>
      <c r="U15" s="6"/>
    </row>
    <row r="16" spans="1:21" customFormat="1">
      <c r="A16" s="201" t="s">
        <v>1591</v>
      </c>
      <c r="B16" s="6">
        <v>5.67</v>
      </c>
      <c r="C16" s="6">
        <v>6.42</v>
      </c>
      <c r="D16" s="6">
        <v>7.9</v>
      </c>
      <c r="E16" s="6">
        <v>5.62</v>
      </c>
      <c r="F16" s="6">
        <v>2</v>
      </c>
      <c r="G16" s="6">
        <v>43.22</v>
      </c>
      <c r="H16" s="6">
        <v>8.86</v>
      </c>
      <c r="I16" s="6">
        <v>7.58</v>
      </c>
      <c r="J16" s="6">
        <v>0.05</v>
      </c>
      <c r="K16" s="6">
        <v>78.91</v>
      </c>
      <c r="L16" s="6">
        <v>9.5500000000000007</v>
      </c>
      <c r="M16" s="6">
        <v>5.92</v>
      </c>
      <c r="N16" s="6">
        <v>2.1</v>
      </c>
      <c r="O16" s="6">
        <v>0</v>
      </c>
      <c r="P16" s="6">
        <v>0.51</v>
      </c>
      <c r="Q16" s="6">
        <v>10</v>
      </c>
      <c r="R16" s="6"/>
      <c r="S16" s="6"/>
      <c r="T16" s="156"/>
      <c r="U16" s="6"/>
    </row>
    <row r="17" spans="1:21" customFormat="1">
      <c r="A17" s="201" t="s">
        <v>1592</v>
      </c>
      <c r="B17" s="6">
        <v>5.86</v>
      </c>
      <c r="C17" s="6">
        <v>6.3</v>
      </c>
      <c r="D17" s="6">
        <v>7.99</v>
      </c>
      <c r="E17" s="6">
        <v>5.32</v>
      </c>
      <c r="F17" s="6">
        <v>2</v>
      </c>
      <c r="G17" s="6">
        <v>43.22</v>
      </c>
      <c r="H17" s="6">
        <v>8.86</v>
      </c>
      <c r="I17" s="6">
        <v>7.58</v>
      </c>
      <c r="J17" s="6">
        <v>0.03</v>
      </c>
      <c r="K17" s="6">
        <v>122.15</v>
      </c>
      <c r="L17" s="6">
        <v>14.86</v>
      </c>
      <c r="M17" s="6">
        <v>19.350000000000001</v>
      </c>
      <c r="N17" s="6">
        <v>2.1</v>
      </c>
      <c r="O17" s="6">
        <v>0</v>
      </c>
      <c r="P17" s="6">
        <v>0.51</v>
      </c>
      <c r="Q17" s="6">
        <v>10</v>
      </c>
      <c r="R17" s="6"/>
      <c r="S17" s="6"/>
      <c r="T17" s="156"/>
      <c r="U17" s="6"/>
    </row>
    <row r="18" spans="1:21" customFormat="1">
      <c r="A18" s="201" t="s">
        <v>1593</v>
      </c>
      <c r="B18" s="6">
        <v>6.02</v>
      </c>
      <c r="C18" s="6">
        <v>6.32</v>
      </c>
      <c r="D18" s="6">
        <v>8.1199999999999992</v>
      </c>
      <c r="E18" s="6">
        <v>6.48</v>
      </c>
      <c r="F18" s="6">
        <v>2</v>
      </c>
      <c r="G18" s="6">
        <v>43.22</v>
      </c>
      <c r="H18" s="6">
        <v>8.86</v>
      </c>
      <c r="I18" s="6">
        <v>7.55</v>
      </c>
      <c r="J18" s="6">
        <v>0.08</v>
      </c>
      <c r="K18" s="6">
        <v>207.73</v>
      </c>
      <c r="L18" s="6">
        <v>19.41</v>
      </c>
      <c r="M18" s="6">
        <v>30.82</v>
      </c>
      <c r="N18" s="6">
        <v>2.1</v>
      </c>
      <c r="O18" s="6">
        <v>0</v>
      </c>
      <c r="P18" s="6">
        <v>0.51</v>
      </c>
      <c r="Q18" s="6">
        <v>10</v>
      </c>
      <c r="R18" s="6"/>
      <c r="S18" s="6"/>
      <c r="T18" s="156"/>
      <c r="U18" s="6"/>
    </row>
    <row r="19" spans="1:21" customFormat="1">
      <c r="A19" s="201" t="s">
        <v>1594</v>
      </c>
      <c r="B19" s="6">
        <v>6.23</v>
      </c>
      <c r="C19" s="6">
        <v>6.44</v>
      </c>
      <c r="D19" s="6">
        <v>8.36</v>
      </c>
      <c r="E19" s="6">
        <v>6.44</v>
      </c>
      <c r="F19" s="6">
        <v>2</v>
      </c>
      <c r="G19" s="6">
        <v>43.39</v>
      </c>
      <c r="H19" s="6">
        <v>8.86</v>
      </c>
      <c r="I19" s="6">
        <v>7.55</v>
      </c>
      <c r="J19" s="6">
        <v>0.06</v>
      </c>
      <c r="K19" s="6">
        <v>178.56</v>
      </c>
      <c r="L19" s="6">
        <v>16.739999999999998</v>
      </c>
      <c r="M19" s="6">
        <v>24.12</v>
      </c>
      <c r="N19" s="6">
        <v>2.1</v>
      </c>
      <c r="O19" s="6">
        <v>0</v>
      </c>
      <c r="P19" s="6">
        <v>0.5</v>
      </c>
      <c r="Q19" s="6">
        <v>10</v>
      </c>
      <c r="R19" s="6"/>
      <c r="S19" s="6"/>
      <c r="T19" s="156"/>
      <c r="U19" s="6"/>
    </row>
    <row r="20" spans="1:21" customFormat="1">
      <c r="A20" s="201" t="s">
        <v>1595</v>
      </c>
      <c r="B20" s="6">
        <v>6.46</v>
      </c>
      <c r="C20" s="6">
        <v>6.46</v>
      </c>
      <c r="D20" s="6">
        <v>8.5500000000000007</v>
      </c>
      <c r="E20" s="6">
        <v>6.36</v>
      </c>
      <c r="F20" s="6">
        <v>2</v>
      </c>
      <c r="G20" s="6">
        <v>48.42</v>
      </c>
      <c r="H20" s="6">
        <v>8.6999999999999993</v>
      </c>
      <c r="I20" s="6">
        <v>7.51</v>
      </c>
      <c r="J20" s="6">
        <v>0.08</v>
      </c>
      <c r="K20" s="6">
        <v>165.87</v>
      </c>
      <c r="L20" s="6">
        <v>15.86</v>
      </c>
      <c r="M20" s="6">
        <v>21.91</v>
      </c>
      <c r="N20" s="6">
        <v>2.1</v>
      </c>
      <c r="O20" s="6">
        <v>0</v>
      </c>
      <c r="P20" s="6">
        <v>0.5</v>
      </c>
      <c r="Q20" s="6">
        <v>10</v>
      </c>
      <c r="R20" s="6"/>
      <c r="S20" s="6"/>
      <c r="T20" s="156"/>
      <c r="U20" s="6"/>
    </row>
    <row r="21" spans="1:21" customFormat="1">
      <c r="A21" s="201" t="s">
        <v>1596</v>
      </c>
      <c r="B21" s="6">
        <v>6.71</v>
      </c>
      <c r="C21" s="6">
        <v>6.46</v>
      </c>
      <c r="D21" s="6">
        <v>8.76</v>
      </c>
      <c r="E21" s="6">
        <v>6.56</v>
      </c>
      <c r="F21" s="6">
        <v>2</v>
      </c>
      <c r="G21" s="6">
        <v>48.42</v>
      </c>
      <c r="H21" s="6">
        <v>8.6999999999999993</v>
      </c>
      <c r="I21" s="6">
        <v>7.5</v>
      </c>
      <c r="J21" s="6">
        <v>0.09</v>
      </c>
      <c r="K21" s="6">
        <v>156.15</v>
      </c>
      <c r="L21" s="6">
        <v>15.36</v>
      </c>
      <c r="M21" s="6">
        <v>20.71</v>
      </c>
      <c r="N21" s="6">
        <v>2.1</v>
      </c>
      <c r="O21" s="6">
        <v>0</v>
      </c>
      <c r="P21" s="6">
        <v>0.49</v>
      </c>
      <c r="Q21" s="6">
        <v>10</v>
      </c>
      <c r="R21" s="6"/>
      <c r="S21" s="6"/>
      <c r="T21" s="156"/>
      <c r="U21" s="6"/>
    </row>
    <row r="22" spans="1:21" customFormat="1">
      <c r="A22" s="201" t="s">
        <v>1597</v>
      </c>
      <c r="B22" s="6">
        <v>6.92</v>
      </c>
      <c r="C22" s="6">
        <v>6.43</v>
      </c>
      <c r="D22" s="6">
        <v>8.91</v>
      </c>
      <c r="E22" s="6">
        <v>6.77</v>
      </c>
      <c r="F22" s="6">
        <v>2</v>
      </c>
      <c r="G22" s="6">
        <v>48.42</v>
      </c>
      <c r="H22" s="6">
        <v>8.6999999999999993</v>
      </c>
      <c r="I22" s="6">
        <v>7.5</v>
      </c>
      <c r="J22" s="6">
        <v>0.09</v>
      </c>
      <c r="K22" s="6">
        <v>137.36000000000001</v>
      </c>
      <c r="L22" s="6">
        <v>13.66</v>
      </c>
      <c r="M22" s="6">
        <v>16.41</v>
      </c>
      <c r="N22" s="6">
        <v>2.1</v>
      </c>
      <c r="O22" s="6">
        <v>0</v>
      </c>
      <c r="P22" s="6">
        <v>0.5</v>
      </c>
      <c r="Q22" s="6">
        <v>10</v>
      </c>
      <c r="R22" s="6"/>
      <c r="S22" s="6"/>
      <c r="T22" s="156"/>
      <c r="U22" s="6"/>
    </row>
    <row r="23" spans="1:21" customFormat="1">
      <c r="A23" s="201" t="s">
        <v>1598</v>
      </c>
      <c r="B23" s="6">
        <v>7.28</v>
      </c>
      <c r="C23" s="6">
        <v>6.52</v>
      </c>
      <c r="D23" s="6">
        <v>9.24</v>
      </c>
      <c r="E23" s="6">
        <v>6.75</v>
      </c>
      <c r="F23" s="6">
        <v>2</v>
      </c>
      <c r="G23" s="6">
        <v>48.17</v>
      </c>
      <c r="H23" s="6">
        <v>8.73</v>
      </c>
      <c r="I23" s="6">
        <v>7.54</v>
      </c>
      <c r="J23" s="6">
        <v>0.04</v>
      </c>
      <c r="K23" s="6">
        <v>47</v>
      </c>
      <c r="L23" s="6">
        <v>16.2</v>
      </c>
      <c r="M23" s="6">
        <v>22.59</v>
      </c>
      <c r="N23" s="6">
        <v>2.1</v>
      </c>
      <c r="O23" s="6">
        <v>0</v>
      </c>
      <c r="P23" s="6">
        <v>0.48</v>
      </c>
      <c r="Q23" s="6">
        <v>10</v>
      </c>
      <c r="R23" s="6"/>
      <c r="S23" s="6"/>
      <c r="T23" s="156"/>
      <c r="U23" s="6"/>
    </row>
    <row r="24" spans="1:21" customFormat="1">
      <c r="A24" s="201" t="s">
        <v>1599</v>
      </c>
      <c r="B24" s="6">
        <v>7.58</v>
      </c>
      <c r="C24" s="6">
        <v>6.56</v>
      </c>
      <c r="D24" s="6">
        <v>9.51</v>
      </c>
      <c r="E24" s="6">
        <v>6.53</v>
      </c>
      <c r="F24" s="6">
        <v>2</v>
      </c>
      <c r="G24" s="6">
        <v>40.99</v>
      </c>
      <c r="H24" s="6">
        <v>9.61</v>
      </c>
      <c r="I24" s="6">
        <v>7.5</v>
      </c>
      <c r="J24" s="6">
        <v>0.11</v>
      </c>
      <c r="K24" s="6">
        <v>37.85</v>
      </c>
      <c r="L24" s="6">
        <v>9.9499999999999993</v>
      </c>
      <c r="M24" s="6">
        <v>6.75</v>
      </c>
      <c r="N24" s="6">
        <v>2.1</v>
      </c>
      <c r="O24" s="6">
        <v>0</v>
      </c>
      <c r="P24" s="6">
        <v>0.49</v>
      </c>
      <c r="Q24" s="6">
        <v>10</v>
      </c>
      <c r="R24" s="6"/>
      <c r="S24" s="6"/>
      <c r="T24" s="156"/>
      <c r="U24" s="6"/>
    </row>
    <row r="25" spans="1:21" customFormat="1">
      <c r="A25" s="201" t="s">
        <v>1600</v>
      </c>
      <c r="B25" s="6">
        <v>7.84</v>
      </c>
      <c r="C25" s="6">
        <v>6.53</v>
      </c>
      <c r="D25" s="6">
        <v>9.69</v>
      </c>
      <c r="E25" s="6">
        <v>6.4</v>
      </c>
      <c r="F25" s="6">
        <v>2</v>
      </c>
      <c r="G25" s="6">
        <v>40.99</v>
      </c>
      <c r="H25" s="6">
        <v>9.61</v>
      </c>
      <c r="I25" s="6">
        <v>7.45</v>
      </c>
      <c r="J25" s="6">
        <v>0.09</v>
      </c>
      <c r="K25" s="6">
        <v>64.739999999999995</v>
      </c>
      <c r="L25" s="6">
        <v>12.4</v>
      </c>
      <c r="M25" s="6">
        <v>13.09</v>
      </c>
      <c r="N25" s="6">
        <v>2.1</v>
      </c>
      <c r="O25" s="6">
        <v>0</v>
      </c>
      <c r="P25" s="6">
        <v>0.48</v>
      </c>
      <c r="Q25" s="6">
        <v>10</v>
      </c>
      <c r="R25" s="6"/>
      <c r="S25" s="6"/>
      <c r="T25" s="156"/>
      <c r="U25" s="6"/>
    </row>
    <row r="26" spans="1:21" customFormat="1">
      <c r="A26" s="201" t="s">
        <v>1601</v>
      </c>
      <c r="B26" s="6">
        <v>7.99</v>
      </c>
      <c r="C26" s="6">
        <v>6.49</v>
      </c>
      <c r="D26" s="6">
        <v>9.8000000000000007</v>
      </c>
      <c r="E26" s="6">
        <v>6.6</v>
      </c>
      <c r="F26" s="6">
        <v>2</v>
      </c>
      <c r="G26" s="6">
        <v>40.99</v>
      </c>
      <c r="H26" s="6">
        <v>9.61</v>
      </c>
      <c r="I26" s="6">
        <v>7.39</v>
      </c>
      <c r="J26" s="6">
        <v>0.05</v>
      </c>
      <c r="K26" s="6">
        <v>-0.11</v>
      </c>
      <c r="L26" s="6">
        <v>15.31</v>
      </c>
      <c r="M26" s="6">
        <v>20.58</v>
      </c>
      <c r="N26" s="6">
        <v>2.1</v>
      </c>
      <c r="O26" s="6">
        <v>0</v>
      </c>
      <c r="P26" s="6">
        <v>0.49</v>
      </c>
      <c r="Q26" s="6">
        <v>10</v>
      </c>
      <c r="R26" s="6"/>
      <c r="S26" s="6"/>
      <c r="T26" s="156"/>
      <c r="U26" s="6"/>
    </row>
    <row r="27" spans="1:21" customFormat="1">
      <c r="A27" s="201" t="s">
        <v>1602</v>
      </c>
      <c r="B27" s="6">
        <v>8.08</v>
      </c>
      <c r="C27" s="6">
        <v>6.65</v>
      </c>
      <c r="D27" s="6">
        <v>9.9499999999999993</v>
      </c>
      <c r="E27" s="6">
        <v>6.91</v>
      </c>
      <c r="F27" s="6">
        <v>2</v>
      </c>
      <c r="G27" s="6">
        <v>40.98</v>
      </c>
      <c r="H27" s="6">
        <v>9.59</v>
      </c>
      <c r="I27" s="6">
        <v>7.4</v>
      </c>
      <c r="J27" s="6">
        <v>0.1</v>
      </c>
      <c r="K27" s="6">
        <v>125.22</v>
      </c>
      <c r="L27" s="6">
        <v>12.81</v>
      </c>
      <c r="M27" s="6">
        <v>14.28</v>
      </c>
      <c r="N27" s="6">
        <v>2.1</v>
      </c>
      <c r="O27" s="6">
        <v>0</v>
      </c>
      <c r="P27" s="6">
        <v>0.46</v>
      </c>
      <c r="Q27" s="6">
        <v>10</v>
      </c>
      <c r="R27" s="6"/>
      <c r="S27" s="6"/>
      <c r="T27" s="156"/>
      <c r="U27" s="6"/>
    </row>
    <row r="28" spans="1:21" customFormat="1">
      <c r="A28" s="201" t="s">
        <v>1603</v>
      </c>
      <c r="B28" s="6">
        <v>8.17</v>
      </c>
      <c r="C28" s="6">
        <v>6.72</v>
      </c>
      <c r="D28" s="6">
        <v>10.07</v>
      </c>
      <c r="E28" s="6">
        <v>6.97</v>
      </c>
      <c r="F28" s="6">
        <v>2</v>
      </c>
      <c r="G28" s="6">
        <v>40.51</v>
      </c>
      <c r="H28" s="6">
        <v>9</v>
      </c>
      <c r="I28" s="6">
        <v>7.34</v>
      </c>
      <c r="J28" s="6">
        <v>0.12</v>
      </c>
      <c r="K28" s="6">
        <v>128.78</v>
      </c>
      <c r="L28" s="6">
        <v>12.61</v>
      </c>
      <c r="M28" s="6">
        <v>13.78</v>
      </c>
      <c r="N28" s="6">
        <v>2.1</v>
      </c>
      <c r="O28" s="6">
        <v>0</v>
      </c>
      <c r="P28" s="6">
        <v>0.46</v>
      </c>
      <c r="Q28" s="6">
        <v>10</v>
      </c>
      <c r="R28" s="6"/>
      <c r="S28" s="6"/>
      <c r="T28" s="156"/>
      <c r="U28" s="6"/>
    </row>
    <row r="29" spans="1:21" customFormat="1">
      <c r="A29" s="201" t="s">
        <v>1604</v>
      </c>
      <c r="B29" s="6">
        <v>8.2100000000000009</v>
      </c>
      <c r="C29" s="6">
        <v>6.77</v>
      </c>
      <c r="D29" s="6">
        <v>10.119999999999999</v>
      </c>
      <c r="E29" s="6">
        <v>7.29</v>
      </c>
      <c r="F29" s="6">
        <v>2</v>
      </c>
      <c r="G29" s="6">
        <v>40.51</v>
      </c>
      <c r="H29" s="6">
        <v>9</v>
      </c>
      <c r="I29" s="6">
        <v>7.31</v>
      </c>
      <c r="J29" s="6">
        <v>0.17</v>
      </c>
      <c r="K29" s="6">
        <v>53.02</v>
      </c>
      <c r="L29" s="6">
        <v>8.49</v>
      </c>
      <c r="M29" s="6">
        <v>3.16</v>
      </c>
      <c r="N29" s="6">
        <v>2.1</v>
      </c>
      <c r="O29" s="6">
        <v>0</v>
      </c>
      <c r="P29" s="6">
        <v>0.45</v>
      </c>
      <c r="Q29" s="6">
        <v>10</v>
      </c>
      <c r="R29" s="6"/>
      <c r="S29" s="6"/>
      <c r="T29" s="156"/>
      <c r="U29" s="6"/>
    </row>
    <row r="30" spans="1:21" customFormat="1">
      <c r="A30" s="201" t="s">
        <v>1605</v>
      </c>
      <c r="B30" s="6">
        <v>8.4700000000000006</v>
      </c>
      <c r="C30" s="6">
        <v>6.97</v>
      </c>
      <c r="D30" s="6">
        <v>10.44</v>
      </c>
      <c r="E30" s="6">
        <v>7.17</v>
      </c>
      <c r="F30" s="6">
        <v>2</v>
      </c>
      <c r="G30" s="6">
        <v>40.51</v>
      </c>
      <c r="H30" s="6">
        <v>9</v>
      </c>
      <c r="I30" s="6">
        <v>7.18</v>
      </c>
      <c r="J30" s="6">
        <v>0.35</v>
      </c>
      <c r="K30" s="6">
        <v>40.9</v>
      </c>
      <c r="L30" s="6">
        <v>6.34</v>
      </c>
      <c r="M30" s="6">
        <v>-2.2599999999999998</v>
      </c>
      <c r="N30" s="6">
        <v>2.1</v>
      </c>
      <c r="O30" s="6">
        <v>0</v>
      </c>
      <c r="P30" s="6">
        <v>0.45</v>
      </c>
      <c r="Q30" s="6">
        <v>10</v>
      </c>
      <c r="R30" s="6"/>
      <c r="S30" s="6"/>
      <c r="T30" s="156"/>
      <c r="U30" s="6"/>
    </row>
    <row r="31" spans="1:21" customFormat="1">
      <c r="A31" s="201" t="s">
        <v>1606</v>
      </c>
      <c r="B31" s="6">
        <v>8.66</v>
      </c>
      <c r="C31" s="6">
        <v>7.11</v>
      </c>
      <c r="D31" s="6">
        <v>10.66</v>
      </c>
      <c r="E31" s="6">
        <v>7.18</v>
      </c>
      <c r="F31" s="6">
        <v>2</v>
      </c>
      <c r="G31" s="6">
        <v>40.61</v>
      </c>
      <c r="H31" s="6">
        <v>8.99</v>
      </c>
      <c r="I31" s="6">
        <v>7.14</v>
      </c>
      <c r="J31" s="6">
        <v>0.2</v>
      </c>
      <c r="K31" s="6">
        <v>50.63</v>
      </c>
      <c r="L31" s="6">
        <v>7.89</v>
      </c>
      <c r="M31" s="6">
        <v>1.7</v>
      </c>
      <c r="N31" s="6">
        <v>2.2000000000000002</v>
      </c>
      <c r="O31" s="6">
        <v>0</v>
      </c>
      <c r="P31" s="6">
        <v>0.46</v>
      </c>
      <c r="Q31" s="6">
        <v>10</v>
      </c>
      <c r="R31" s="6"/>
      <c r="S31" s="6"/>
      <c r="T31" s="156"/>
      <c r="U31" s="6"/>
    </row>
    <row r="32" spans="1:21" customFormat="1">
      <c r="A32" s="201" t="s">
        <v>1607</v>
      </c>
      <c r="B32" s="6">
        <v>8.9600000000000009</v>
      </c>
      <c r="C32" s="6">
        <v>7.27</v>
      </c>
      <c r="D32" s="6">
        <v>10.99</v>
      </c>
      <c r="E32" s="6">
        <v>7.13</v>
      </c>
      <c r="F32" s="6">
        <v>2</v>
      </c>
      <c r="G32" s="6">
        <v>43.72</v>
      </c>
      <c r="H32" s="6">
        <v>8.8800000000000008</v>
      </c>
      <c r="I32" s="6">
        <v>7.2</v>
      </c>
      <c r="J32" s="6">
        <v>0.28999999999999998</v>
      </c>
      <c r="K32" s="6">
        <v>46.52</v>
      </c>
      <c r="L32" s="6">
        <v>7.65</v>
      </c>
      <c r="M32" s="6">
        <v>1.06</v>
      </c>
      <c r="N32" s="6">
        <v>3.1</v>
      </c>
      <c r="O32" s="6">
        <v>0</v>
      </c>
      <c r="P32" s="6">
        <v>0.46</v>
      </c>
      <c r="Q32" s="6">
        <v>10</v>
      </c>
      <c r="R32" s="6"/>
      <c r="S32" s="6"/>
      <c r="T32" s="156"/>
      <c r="U32" s="6"/>
    </row>
    <row r="33" spans="1:21" customFormat="1">
      <c r="A33" s="201" t="s">
        <v>1608</v>
      </c>
      <c r="B33" s="6">
        <v>9.26</v>
      </c>
      <c r="C33" s="6">
        <v>7.33</v>
      </c>
      <c r="D33" s="6">
        <v>11.26</v>
      </c>
      <c r="E33" s="6">
        <v>7.49</v>
      </c>
      <c r="F33" s="6">
        <v>2</v>
      </c>
      <c r="G33" s="6">
        <v>43.72</v>
      </c>
      <c r="H33" s="6">
        <v>8.8800000000000008</v>
      </c>
      <c r="I33" s="6">
        <v>7.26</v>
      </c>
      <c r="J33" s="6">
        <v>0.32</v>
      </c>
      <c r="K33" s="6">
        <v>40.96</v>
      </c>
      <c r="L33" s="6">
        <v>6.52</v>
      </c>
      <c r="M33" s="6">
        <v>-1.93</v>
      </c>
      <c r="N33" s="6">
        <v>5.9</v>
      </c>
      <c r="O33" s="6">
        <v>0</v>
      </c>
      <c r="P33" s="6">
        <v>0.46</v>
      </c>
      <c r="Q33" s="6">
        <v>10</v>
      </c>
      <c r="R33" s="6"/>
      <c r="S33" s="6"/>
      <c r="T33" s="156"/>
      <c r="U33" s="6"/>
    </row>
    <row r="34" spans="1:21" customFormat="1">
      <c r="A34" s="201" t="s">
        <v>1609</v>
      </c>
      <c r="B34" s="6">
        <v>9.4499999999999993</v>
      </c>
      <c r="C34" s="6">
        <v>7.46</v>
      </c>
      <c r="D34" s="6">
        <v>11.48</v>
      </c>
      <c r="E34" s="6">
        <v>7.63</v>
      </c>
      <c r="F34" s="6">
        <v>2</v>
      </c>
      <c r="G34" s="6">
        <v>43.72</v>
      </c>
      <c r="H34" s="6">
        <v>8.8800000000000008</v>
      </c>
      <c r="I34" s="6">
        <v>7.29</v>
      </c>
      <c r="J34" s="6">
        <v>0.36</v>
      </c>
      <c r="K34" s="6">
        <v>38.32</v>
      </c>
      <c r="L34" s="6">
        <v>7.18</v>
      </c>
      <c r="M34" s="6">
        <v>-0.41</v>
      </c>
      <c r="N34" s="6">
        <v>14.1</v>
      </c>
      <c r="O34" s="6">
        <v>0</v>
      </c>
      <c r="P34" s="6">
        <v>0.46</v>
      </c>
      <c r="Q34" s="6">
        <v>10</v>
      </c>
      <c r="R34" s="6"/>
      <c r="S34" s="6"/>
      <c r="T34" s="156"/>
      <c r="U34" s="6"/>
    </row>
    <row r="35" spans="1:21" customFormat="1">
      <c r="A35" s="201" t="s">
        <v>1610</v>
      </c>
      <c r="B35" s="6">
        <v>9.65</v>
      </c>
      <c r="C35" s="6">
        <v>7.43</v>
      </c>
      <c r="D35" s="6">
        <v>11.62</v>
      </c>
      <c r="E35" s="6">
        <v>7.43</v>
      </c>
      <c r="F35" s="6">
        <v>2</v>
      </c>
      <c r="G35" s="6">
        <v>43.83</v>
      </c>
      <c r="H35" s="6">
        <v>8.91</v>
      </c>
      <c r="I35" s="6">
        <v>7.41</v>
      </c>
      <c r="J35" s="6">
        <v>0.32</v>
      </c>
      <c r="K35" s="6">
        <v>45.47</v>
      </c>
      <c r="L35" s="6">
        <v>7.23</v>
      </c>
      <c r="M35" s="6">
        <v>-0.54</v>
      </c>
      <c r="N35" s="6">
        <v>24.7</v>
      </c>
      <c r="O35" s="6">
        <v>0</v>
      </c>
      <c r="P35" s="6">
        <v>0.47</v>
      </c>
      <c r="Q35" s="6">
        <v>10</v>
      </c>
      <c r="R35" s="6"/>
      <c r="S35" s="6"/>
      <c r="T35" s="156"/>
      <c r="U35" s="6"/>
    </row>
    <row r="36" spans="1:21" customFormat="1">
      <c r="A36" s="201" t="s">
        <v>1611</v>
      </c>
      <c r="B36" s="6">
        <v>9.86</v>
      </c>
      <c r="C36" s="6">
        <v>7.55</v>
      </c>
      <c r="D36" s="6">
        <v>11.85</v>
      </c>
      <c r="E36" s="6">
        <v>7.4</v>
      </c>
      <c r="F36" s="6">
        <v>2</v>
      </c>
      <c r="G36" s="6">
        <v>48.47</v>
      </c>
      <c r="H36" s="6">
        <v>9.6999999999999993</v>
      </c>
      <c r="I36" s="6">
        <v>7.61</v>
      </c>
      <c r="J36" s="6">
        <v>0.46</v>
      </c>
      <c r="K36" s="6">
        <v>37.020000000000003</v>
      </c>
      <c r="L36" s="6">
        <v>6.9</v>
      </c>
      <c r="M36" s="6">
        <v>-1.69</v>
      </c>
      <c r="N36" s="6">
        <v>36.200000000000003</v>
      </c>
      <c r="O36" s="6">
        <v>0</v>
      </c>
      <c r="P36" s="6">
        <v>0.48</v>
      </c>
      <c r="Q36" s="6">
        <v>10</v>
      </c>
      <c r="R36" s="6"/>
      <c r="S36" s="6"/>
      <c r="T36" s="156"/>
      <c r="U36" s="6"/>
    </row>
    <row r="37" spans="1:21" customFormat="1">
      <c r="A37" s="201" t="s">
        <v>1612</v>
      </c>
      <c r="B37" s="6">
        <v>9.98</v>
      </c>
      <c r="C37" s="6">
        <v>7.69</v>
      </c>
      <c r="D37" s="6">
        <v>12.02</v>
      </c>
      <c r="E37" s="6">
        <v>7.38</v>
      </c>
      <c r="F37" s="6">
        <v>2</v>
      </c>
      <c r="G37" s="6">
        <v>48.47</v>
      </c>
      <c r="H37" s="6">
        <v>9.6999999999999993</v>
      </c>
      <c r="I37" s="6">
        <v>7.78</v>
      </c>
      <c r="J37" s="6">
        <v>0.38</v>
      </c>
      <c r="K37" s="6">
        <v>30.18</v>
      </c>
      <c r="L37" s="6">
        <v>6.61</v>
      </c>
      <c r="M37" s="6">
        <v>-2.78</v>
      </c>
      <c r="N37" s="6">
        <v>50.2</v>
      </c>
      <c r="O37" s="6">
        <v>0</v>
      </c>
      <c r="P37" s="6">
        <v>0.47</v>
      </c>
      <c r="Q37" s="6">
        <v>10</v>
      </c>
      <c r="R37" s="6"/>
      <c r="S37" s="6"/>
      <c r="T37" s="156"/>
      <c r="U37" s="6"/>
    </row>
    <row r="38" spans="1:21" customFormat="1">
      <c r="A38" s="201" t="s">
        <v>1613</v>
      </c>
      <c r="B38" s="6">
        <v>9.94</v>
      </c>
      <c r="C38" s="6">
        <v>7.73</v>
      </c>
      <c r="D38" s="6">
        <v>12.01</v>
      </c>
      <c r="E38" s="6">
        <v>7.77</v>
      </c>
      <c r="F38" s="6">
        <v>2</v>
      </c>
      <c r="G38" s="6">
        <v>48.47</v>
      </c>
      <c r="H38" s="6">
        <v>9.6999999999999993</v>
      </c>
      <c r="I38" s="6">
        <v>7.96</v>
      </c>
      <c r="J38" s="6">
        <v>0.26</v>
      </c>
      <c r="K38" s="6">
        <v>79.989999999999995</v>
      </c>
      <c r="L38" s="6">
        <v>9.9600000000000009</v>
      </c>
      <c r="M38" s="6">
        <v>5.48</v>
      </c>
      <c r="N38" s="6">
        <v>67.099999999999994</v>
      </c>
      <c r="O38" s="6">
        <v>0</v>
      </c>
      <c r="P38" s="6">
        <v>0.48</v>
      </c>
      <c r="Q38" s="6">
        <v>10</v>
      </c>
      <c r="R38" s="6"/>
      <c r="S38" s="6"/>
      <c r="T38" s="156"/>
      <c r="U38" s="6"/>
    </row>
    <row r="39" spans="1:21" customFormat="1">
      <c r="A39" s="201" t="s">
        <v>1614</v>
      </c>
      <c r="B39" s="6">
        <v>9.6300000000000008</v>
      </c>
      <c r="C39" s="6">
        <v>7.66</v>
      </c>
      <c r="D39" s="6">
        <v>11.73</v>
      </c>
      <c r="E39" s="6">
        <v>7.65</v>
      </c>
      <c r="F39" s="6">
        <v>2</v>
      </c>
      <c r="G39" s="6">
        <v>48.68</v>
      </c>
      <c r="H39" s="6">
        <v>9.75</v>
      </c>
      <c r="I39" s="6">
        <v>8.1</v>
      </c>
      <c r="J39" s="6">
        <v>0.23</v>
      </c>
      <c r="K39" s="6">
        <v>104.8</v>
      </c>
      <c r="L39" s="6">
        <v>13.41</v>
      </c>
      <c r="M39" s="6">
        <v>13.12</v>
      </c>
      <c r="N39" s="6">
        <v>112.6</v>
      </c>
      <c r="O39" s="6">
        <v>0</v>
      </c>
      <c r="P39" s="6">
        <v>0.49</v>
      </c>
      <c r="Q39" s="6">
        <v>10</v>
      </c>
      <c r="R39" s="6"/>
      <c r="S39" s="6"/>
      <c r="T39" s="156"/>
      <c r="U39" s="6"/>
    </row>
    <row r="40" spans="1:21" customFormat="1">
      <c r="A40" s="201" t="s">
        <v>1615</v>
      </c>
      <c r="B40" s="6">
        <v>9.18</v>
      </c>
      <c r="C40" s="6">
        <v>7.54</v>
      </c>
      <c r="D40" s="6">
        <v>11.3</v>
      </c>
      <c r="E40" s="6">
        <v>7.38</v>
      </c>
      <c r="F40" s="6">
        <v>2</v>
      </c>
      <c r="G40" s="6">
        <v>54.58</v>
      </c>
      <c r="H40" s="6">
        <v>11.15</v>
      </c>
      <c r="I40" s="6">
        <v>8.2100000000000009</v>
      </c>
      <c r="J40" s="6">
        <v>0.33</v>
      </c>
      <c r="K40" s="6">
        <v>71.66</v>
      </c>
      <c r="L40" s="6">
        <v>11.96</v>
      </c>
      <c r="M40" s="6">
        <v>8.51</v>
      </c>
      <c r="N40" s="6">
        <v>149.6</v>
      </c>
      <c r="O40" s="6">
        <v>0</v>
      </c>
      <c r="P40" s="6">
        <v>0.49</v>
      </c>
      <c r="Q40" s="6">
        <v>10</v>
      </c>
      <c r="R40" s="6"/>
      <c r="S40" s="6"/>
      <c r="T40" s="156"/>
      <c r="U40" s="6"/>
    </row>
    <row r="41" spans="1:21" customFormat="1">
      <c r="A41" s="201" t="s">
        <v>1616</v>
      </c>
      <c r="B41" s="6">
        <v>8.6999999999999993</v>
      </c>
      <c r="C41" s="6">
        <v>7.46</v>
      </c>
      <c r="D41" s="6">
        <v>10.87</v>
      </c>
      <c r="E41" s="6">
        <v>7.57</v>
      </c>
      <c r="F41" s="6">
        <v>2</v>
      </c>
      <c r="G41" s="6">
        <v>54.58</v>
      </c>
      <c r="H41" s="6">
        <v>11.15</v>
      </c>
      <c r="I41" s="6">
        <v>8.2899999999999991</v>
      </c>
      <c r="J41" s="6">
        <v>0.44</v>
      </c>
      <c r="K41" s="6">
        <v>47.58</v>
      </c>
      <c r="L41" s="6">
        <v>10.59</v>
      </c>
      <c r="M41" s="6">
        <v>3.11</v>
      </c>
      <c r="N41" s="6">
        <v>228.6</v>
      </c>
      <c r="O41" s="6">
        <v>0</v>
      </c>
      <c r="P41" s="6">
        <v>0.48</v>
      </c>
      <c r="Q41" s="6">
        <v>10</v>
      </c>
      <c r="R41" s="6"/>
      <c r="S41" s="6"/>
      <c r="T41" s="156"/>
      <c r="U41" s="6"/>
    </row>
    <row r="42" spans="1:21" customFormat="1">
      <c r="A42" s="201" t="s">
        <v>1617</v>
      </c>
      <c r="B42" s="6">
        <v>8.1300000000000008</v>
      </c>
      <c r="C42" s="6">
        <v>7.64</v>
      </c>
      <c r="D42" s="6">
        <v>10.51</v>
      </c>
      <c r="E42" s="6">
        <v>7.51</v>
      </c>
      <c r="F42" s="6">
        <v>2</v>
      </c>
      <c r="G42" s="6">
        <v>54.58</v>
      </c>
      <c r="H42" s="6">
        <v>11.15</v>
      </c>
      <c r="I42" s="6">
        <v>8.32</v>
      </c>
      <c r="J42" s="6">
        <v>0.62</v>
      </c>
      <c r="K42" s="6">
        <v>38.380000000000003</v>
      </c>
      <c r="L42" s="6">
        <v>9.92</v>
      </c>
      <c r="M42" s="6">
        <v>0.46</v>
      </c>
      <c r="N42" s="6">
        <v>266.60000000000002</v>
      </c>
      <c r="O42" s="6">
        <v>0</v>
      </c>
      <c r="P42" s="6">
        <v>0.47</v>
      </c>
      <c r="Q42" s="6">
        <v>10</v>
      </c>
      <c r="R42" s="6"/>
      <c r="S42" s="6"/>
      <c r="T42" s="156"/>
      <c r="U42" s="6"/>
    </row>
    <row r="43" spans="1:21" customFormat="1">
      <c r="A43" s="201" t="s">
        <v>1618</v>
      </c>
      <c r="B43" s="6">
        <v>7.56</v>
      </c>
      <c r="C43" s="6">
        <v>7.78</v>
      </c>
      <c r="D43" s="6">
        <v>10.130000000000001</v>
      </c>
      <c r="E43" s="6">
        <v>7.44</v>
      </c>
      <c r="F43" s="6">
        <v>2</v>
      </c>
      <c r="G43" s="6">
        <v>54.53</v>
      </c>
      <c r="H43" s="6">
        <v>11.13</v>
      </c>
      <c r="I43" s="6">
        <v>8.4</v>
      </c>
      <c r="J43" s="6">
        <v>0.57999999999999996</v>
      </c>
      <c r="K43" s="6">
        <v>38.94</v>
      </c>
      <c r="L43" s="6">
        <v>9.43</v>
      </c>
      <c r="M43" s="6">
        <v>-2.02</v>
      </c>
      <c r="N43" s="6">
        <v>321</v>
      </c>
      <c r="O43" s="6">
        <v>0</v>
      </c>
      <c r="P43" s="6">
        <v>0.49</v>
      </c>
      <c r="Q43" s="6">
        <v>10</v>
      </c>
      <c r="R43" s="6"/>
      <c r="S43" s="6"/>
      <c r="T43" s="156"/>
      <c r="U43" s="6"/>
    </row>
    <row r="44" spans="1:21" customFormat="1">
      <c r="A44" s="201" t="s">
        <v>1619</v>
      </c>
      <c r="B44" s="6">
        <v>7.06</v>
      </c>
      <c r="C44" s="6">
        <v>7.88</v>
      </c>
      <c r="D44" s="6">
        <v>9.7799999999999994</v>
      </c>
      <c r="E44" s="6">
        <v>7.54</v>
      </c>
      <c r="F44" s="6">
        <v>2</v>
      </c>
      <c r="G44" s="6">
        <v>53.25</v>
      </c>
      <c r="H44" s="6">
        <v>10.4</v>
      </c>
      <c r="I44" s="6">
        <v>8.48</v>
      </c>
      <c r="J44" s="6">
        <v>0.47</v>
      </c>
      <c r="K44" s="6">
        <v>47.52</v>
      </c>
      <c r="L44" s="6">
        <v>10.79</v>
      </c>
      <c r="M44" s="6">
        <v>2.44</v>
      </c>
      <c r="N44" s="6">
        <v>279.89999999999998</v>
      </c>
      <c r="O44" s="6">
        <v>0</v>
      </c>
      <c r="P44" s="6">
        <v>0.48</v>
      </c>
      <c r="Q44" s="6">
        <v>10</v>
      </c>
      <c r="R44" s="6"/>
      <c r="S44" s="6"/>
      <c r="T44" s="156"/>
      <c r="U44" s="6"/>
    </row>
    <row r="45" spans="1:21" customFormat="1">
      <c r="A45" s="201" t="s">
        <v>1620</v>
      </c>
      <c r="B45" s="6">
        <v>6.61</v>
      </c>
      <c r="C45" s="6">
        <v>7.94</v>
      </c>
      <c r="D45" s="6">
        <v>9.4499999999999993</v>
      </c>
      <c r="E45" s="6">
        <v>7.28</v>
      </c>
      <c r="F45" s="6">
        <v>2</v>
      </c>
      <c r="G45" s="6">
        <v>53.25</v>
      </c>
      <c r="H45" s="6">
        <v>10.4</v>
      </c>
      <c r="I45" s="6">
        <v>8.4700000000000006</v>
      </c>
      <c r="J45" s="6">
        <v>0.38</v>
      </c>
      <c r="K45" s="6">
        <v>62.83</v>
      </c>
      <c r="L45" s="6">
        <v>13.3</v>
      </c>
      <c r="M45" s="6">
        <v>5.95</v>
      </c>
      <c r="N45" s="6">
        <v>398.9</v>
      </c>
      <c r="O45" s="6">
        <v>0</v>
      </c>
      <c r="P45" s="6">
        <v>0.48</v>
      </c>
      <c r="Q45" s="6">
        <v>10</v>
      </c>
      <c r="R45" s="6"/>
      <c r="S45" s="6"/>
      <c r="T45" s="156"/>
      <c r="U45" s="6"/>
    </row>
    <row r="46" spans="1:21" customFormat="1">
      <c r="A46" s="201" t="s">
        <v>1621</v>
      </c>
      <c r="B46" s="6">
        <v>6.04</v>
      </c>
      <c r="C46" s="6">
        <v>8.0399999999999991</v>
      </c>
      <c r="D46" s="6">
        <v>9.0399999999999991</v>
      </c>
      <c r="E46" s="6">
        <v>7.12</v>
      </c>
      <c r="F46" s="6">
        <v>2</v>
      </c>
      <c r="G46" s="6">
        <v>53.25</v>
      </c>
      <c r="H46" s="6">
        <v>10.4</v>
      </c>
      <c r="I46" s="6">
        <v>8.42</v>
      </c>
      <c r="J46" s="6">
        <v>0.42</v>
      </c>
      <c r="K46" s="6">
        <v>67.09</v>
      </c>
      <c r="L46" s="6">
        <v>13.45</v>
      </c>
      <c r="M46" s="6">
        <v>5.3</v>
      </c>
      <c r="N46" s="6">
        <v>445.2</v>
      </c>
      <c r="O46" s="6">
        <v>0</v>
      </c>
      <c r="P46" s="6">
        <v>0.48</v>
      </c>
      <c r="Q46" s="6">
        <v>10</v>
      </c>
      <c r="R46" s="6"/>
      <c r="S46" s="6"/>
      <c r="T46" s="156"/>
      <c r="U46" s="6"/>
    </row>
    <row r="47" spans="1:21" customFormat="1">
      <c r="A47" s="201" t="s">
        <v>1622</v>
      </c>
      <c r="B47" s="6">
        <v>5.56</v>
      </c>
      <c r="C47" s="6">
        <v>8.15</v>
      </c>
      <c r="D47" s="6">
        <v>8.7200000000000006</v>
      </c>
      <c r="E47" s="6">
        <v>7.26</v>
      </c>
      <c r="F47" s="6">
        <v>2</v>
      </c>
      <c r="G47" s="6">
        <v>53.11</v>
      </c>
      <c r="H47" s="6">
        <v>10.37</v>
      </c>
      <c r="I47" s="6">
        <v>8.39</v>
      </c>
      <c r="J47" s="6">
        <v>0.39</v>
      </c>
      <c r="K47" s="6">
        <v>64.28</v>
      </c>
      <c r="L47" s="6">
        <v>14.28</v>
      </c>
      <c r="M47" s="6">
        <v>6.56</v>
      </c>
      <c r="N47" s="6">
        <v>477.2</v>
      </c>
      <c r="O47" s="6">
        <v>0</v>
      </c>
      <c r="P47" s="6">
        <v>0.51</v>
      </c>
      <c r="Q47" s="6">
        <v>10</v>
      </c>
      <c r="R47" s="6"/>
      <c r="S47" s="6"/>
      <c r="T47" s="156"/>
      <c r="U47" s="6"/>
    </row>
    <row r="48" spans="1:21" customFormat="1">
      <c r="A48" s="201" t="s">
        <v>1623</v>
      </c>
      <c r="B48" s="6">
        <v>5.29</v>
      </c>
      <c r="C48" s="6">
        <v>7.92</v>
      </c>
      <c r="D48" s="6">
        <v>8.3800000000000008</v>
      </c>
      <c r="E48" s="6">
        <v>7.3</v>
      </c>
      <c r="F48" s="6">
        <v>2</v>
      </c>
      <c r="G48" s="6">
        <v>48.94</v>
      </c>
      <c r="H48" s="6">
        <v>9.4499999999999993</v>
      </c>
      <c r="I48" s="6">
        <v>8.35</v>
      </c>
      <c r="J48" s="6">
        <v>0.23</v>
      </c>
      <c r="K48" s="6">
        <v>85.75</v>
      </c>
      <c r="L48" s="6">
        <v>16.21</v>
      </c>
      <c r="M48" s="6">
        <v>12.45</v>
      </c>
      <c r="N48" s="6">
        <v>434.5</v>
      </c>
      <c r="O48" s="6">
        <v>0</v>
      </c>
      <c r="P48" s="6">
        <v>0.52</v>
      </c>
      <c r="Q48" s="6">
        <v>10</v>
      </c>
      <c r="R48" s="6"/>
      <c r="S48" s="6"/>
      <c r="T48" s="156"/>
      <c r="U48" s="6"/>
    </row>
    <row r="49" spans="1:21" customFormat="1">
      <c r="A49" s="201" t="s">
        <v>1624</v>
      </c>
      <c r="B49" s="6">
        <v>5.0199999999999996</v>
      </c>
      <c r="C49" s="6">
        <v>7.83</v>
      </c>
      <c r="D49" s="6">
        <v>8.1199999999999992</v>
      </c>
      <c r="E49" s="6">
        <v>6.37</v>
      </c>
      <c r="F49" s="6">
        <v>2.4300000000000002</v>
      </c>
      <c r="G49" s="6">
        <v>48.94</v>
      </c>
      <c r="H49" s="6">
        <v>9.4499999999999993</v>
      </c>
      <c r="I49" s="6">
        <v>8.26</v>
      </c>
      <c r="J49" s="6">
        <v>0.24</v>
      </c>
      <c r="K49" s="6">
        <v>56.69</v>
      </c>
      <c r="L49" s="6">
        <v>16.149999999999999</v>
      </c>
      <c r="M49" s="6">
        <v>10.72</v>
      </c>
      <c r="N49" s="6">
        <v>503.2</v>
      </c>
      <c r="O49" s="6">
        <v>0</v>
      </c>
      <c r="P49" s="6">
        <v>0.51</v>
      </c>
      <c r="Q49" s="6">
        <v>10</v>
      </c>
      <c r="R49" s="6"/>
      <c r="S49" s="6"/>
      <c r="T49" s="156"/>
      <c r="U49" s="6"/>
    </row>
    <row r="50" spans="1:21" customFormat="1">
      <c r="A50" s="201" t="s">
        <v>1625</v>
      </c>
      <c r="B50" s="6">
        <v>4.79</v>
      </c>
      <c r="C50" s="6">
        <v>7.8</v>
      </c>
      <c r="D50" s="6">
        <v>7.92</v>
      </c>
      <c r="E50" s="6">
        <v>7.05</v>
      </c>
      <c r="F50" s="6">
        <v>2</v>
      </c>
      <c r="G50" s="6">
        <v>48.94</v>
      </c>
      <c r="H50" s="6">
        <v>9.4499999999999993</v>
      </c>
      <c r="I50" s="6">
        <v>8.23</v>
      </c>
      <c r="J50" s="6">
        <v>0.24</v>
      </c>
      <c r="K50" s="6">
        <v>96.56</v>
      </c>
      <c r="L50" s="6">
        <v>17.91</v>
      </c>
      <c r="M50" s="6">
        <v>13.61</v>
      </c>
      <c r="N50" s="6">
        <v>567.6</v>
      </c>
      <c r="O50" s="6">
        <v>0</v>
      </c>
      <c r="P50" s="6">
        <v>0.51</v>
      </c>
      <c r="Q50" s="6">
        <v>10</v>
      </c>
      <c r="R50" s="6"/>
      <c r="S50" s="6"/>
      <c r="T50" s="156"/>
      <c r="U50" s="6"/>
    </row>
    <row r="51" spans="1:21" customFormat="1">
      <c r="A51" s="201" t="s">
        <v>1626</v>
      </c>
      <c r="B51" s="6">
        <v>4.42</v>
      </c>
      <c r="C51" s="6">
        <v>7.5</v>
      </c>
      <c r="D51" s="6">
        <v>7.46</v>
      </c>
      <c r="E51" s="6">
        <v>7.32</v>
      </c>
      <c r="F51" s="6">
        <v>2.8</v>
      </c>
      <c r="G51" s="6">
        <v>48.67</v>
      </c>
      <c r="H51" s="6">
        <v>9.4499999999999993</v>
      </c>
      <c r="I51" s="6">
        <v>8.23</v>
      </c>
      <c r="J51" s="6">
        <v>0.25</v>
      </c>
      <c r="K51" s="6">
        <v>110.21</v>
      </c>
      <c r="L51" s="6">
        <v>17.63</v>
      </c>
      <c r="M51" s="6">
        <v>12.9</v>
      </c>
      <c r="N51" s="6">
        <v>567.9</v>
      </c>
      <c r="O51" s="6">
        <v>0</v>
      </c>
      <c r="P51" s="6">
        <v>0.49</v>
      </c>
      <c r="Q51" s="6">
        <v>10</v>
      </c>
      <c r="R51" s="6"/>
      <c r="S51" s="6"/>
      <c r="T51" s="156"/>
      <c r="U51" s="6"/>
    </row>
    <row r="52" spans="1:21" customFormat="1">
      <c r="A52" s="201" t="s">
        <v>1627</v>
      </c>
      <c r="B52" s="6">
        <v>4.16</v>
      </c>
      <c r="C52" s="6">
        <v>7.54</v>
      </c>
      <c r="D52" s="6">
        <v>7.28</v>
      </c>
      <c r="E52" s="6">
        <v>7.46</v>
      </c>
      <c r="F52" s="6">
        <v>2</v>
      </c>
      <c r="G52" s="6">
        <v>41.03</v>
      </c>
      <c r="H52" s="6">
        <v>9.61</v>
      </c>
      <c r="I52" s="6">
        <v>8.1300000000000008</v>
      </c>
      <c r="J52" s="6">
        <v>0.24</v>
      </c>
      <c r="K52" s="6">
        <v>75.41</v>
      </c>
      <c r="L52" s="6">
        <v>18.170000000000002</v>
      </c>
      <c r="M52" s="6">
        <v>12.87</v>
      </c>
      <c r="N52" s="6">
        <v>596.20000000000005</v>
      </c>
      <c r="O52" s="6">
        <v>0</v>
      </c>
      <c r="P52" s="6">
        <v>0.49</v>
      </c>
      <c r="Q52" s="6">
        <v>10</v>
      </c>
      <c r="R52" s="6"/>
      <c r="S52" s="6"/>
      <c r="T52" s="156"/>
      <c r="U52" s="6"/>
    </row>
    <row r="53" spans="1:21" customFormat="1">
      <c r="A53" s="201" t="s">
        <v>1628</v>
      </c>
      <c r="B53" s="6">
        <v>3.94</v>
      </c>
      <c r="C53" s="6">
        <v>7.28</v>
      </c>
      <c r="D53" s="6">
        <v>6.96</v>
      </c>
      <c r="E53" s="6">
        <v>7.41</v>
      </c>
      <c r="F53" s="6">
        <v>2.79</v>
      </c>
      <c r="G53" s="6">
        <v>41.03</v>
      </c>
      <c r="H53" s="6">
        <v>9.61</v>
      </c>
      <c r="I53" s="6">
        <v>8.02</v>
      </c>
      <c r="J53" s="6">
        <v>0.25</v>
      </c>
      <c r="K53" s="6">
        <v>120.86</v>
      </c>
      <c r="L53" s="6">
        <v>19.22</v>
      </c>
      <c r="M53" s="6">
        <v>14.46</v>
      </c>
      <c r="N53" s="6">
        <v>675</v>
      </c>
      <c r="O53" s="6">
        <v>0</v>
      </c>
      <c r="P53" s="6">
        <v>0.48</v>
      </c>
      <c r="Q53" s="6">
        <v>10</v>
      </c>
      <c r="R53" s="6"/>
      <c r="S53" s="6"/>
      <c r="T53" s="156"/>
      <c r="U53" s="6"/>
    </row>
    <row r="54" spans="1:21" customFormat="1">
      <c r="A54" s="201" t="s">
        <v>1629</v>
      </c>
      <c r="B54" s="6">
        <v>3.74</v>
      </c>
      <c r="C54" s="6">
        <v>7.09</v>
      </c>
      <c r="D54" s="6">
        <v>6.71</v>
      </c>
      <c r="E54" s="6">
        <v>6.44</v>
      </c>
      <c r="F54" s="6">
        <v>2</v>
      </c>
      <c r="G54" s="6">
        <v>41.03</v>
      </c>
      <c r="H54" s="6">
        <v>9.61</v>
      </c>
      <c r="I54" s="6">
        <v>7.97</v>
      </c>
      <c r="J54" s="6">
        <v>0.28999999999999998</v>
      </c>
      <c r="K54" s="6">
        <v>99.02</v>
      </c>
      <c r="L54" s="6">
        <v>17.739999999999998</v>
      </c>
      <c r="M54" s="6">
        <v>13.1</v>
      </c>
      <c r="N54" s="6">
        <v>569.79999999999995</v>
      </c>
      <c r="O54" s="6">
        <v>0</v>
      </c>
      <c r="P54" s="6">
        <v>0.47</v>
      </c>
      <c r="Q54" s="6">
        <v>10</v>
      </c>
      <c r="R54" s="6"/>
      <c r="S54" s="6"/>
      <c r="T54" s="156"/>
      <c r="U54" s="6"/>
    </row>
    <row r="55" spans="1:21" customFormat="1">
      <c r="A55" s="201" t="s">
        <v>1630</v>
      </c>
      <c r="B55" s="6">
        <v>3.55</v>
      </c>
      <c r="C55" s="6">
        <v>6.93</v>
      </c>
      <c r="D55" s="6">
        <v>6.47</v>
      </c>
      <c r="E55" s="6">
        <v>6.51</v>
      </c>
      <c r="F55" s="6">
        <v>2</v>
      </c>
      <c r="G55" s="6">
        <v>40.96</v>
      </c>
      <c r="H55" s="6">
        <v>9.57</v>
      </c>
      <c r="I55" s="6">
        <v>7.89</v>
      </c>
      <c r="J55" s="6">
        <v>0.28000000000000003</v>
      </c>
      <c r="K55" s="6">
        <v>103.17</v>
      </c>
      <c r="L55" s="6">
        <v>18.440000000000001</v>
      </c>
      <c r="M55" s="6">
        <v>14.05</v>
      </c>
      <c r="N55" s="6">
        <v>604.29999999999995</v>
      </c>
      <c r="O55" s="6">
        <v>0</v>
      </c>
      <c r="P55" s="6">
        <v>0.47</v>
      </c>
      <c r="Q55" s="6">
        <v>10</v>
      </c>
      <c r="R55" s="6"/>
      <c r="S55" s="6"/>
      <c r="T55" s="156"/>
      <c r="U55" s="6"/>
    </row>
    <row r="56" spans="1:21" customFormat="1">
      <c r="A56" s="201" t="s">
        <v>1631</v>
      </c>
      <c r="B56" s="6">
        <v>3.47</v>
      </c>
      <c r="C56" s="6">
        <v>6.86</v>
      </c>
      <c r="D56" s="6">
        <v>6.37</v>
      </c>
      <c r="E56" s="6">
        <v>6.54</v>
      </c>
      <c r="F56" s="6">
        <v>2</v>
      </c>
      <c r="G56" s="6">
        <v>37.79</v>
      </c>
      <c r="H56" s="6">
        <v>8.43</v>
      </c>
      <c r="I56" s="6">
        <v>7.76</v>
      </c>
      <c r="J56" s="6">
        <v>0.25</v>
      </c>
      <c r="K56" s="6">
        <v>74.790000000000006</v>
      </c>
      <c r="L56" s="6">
        <v>19.02</v>
      </c>
      <c r="M56" s="6">
        <v>13.26</v>
      </c>
      <c r="N56" s="6">
        <v>700.1</v>
      </c>
      <c r="O56" s="6">
        <v>0</v>
      </c>
      <c r="P56" s="6">
        <v>0.48</v>
      </c>
      <c r="Q56" s="6">
        <v>10</v>
      </c>
      <c r="R56" s="6"/>
      <c r="S56" s="6"/>
      <c r="T56" s="156"/>
      <c r="U56" s="6"/>
    </row>
    <row r="57" spans="1:21" customFormat="1">
      <c r="A57" s="201" t="s">
        <v>1632</v>
      </c>
      <c r="B57" s="6">
        <v>3.38</v>
      </c>
      <c r="C57" s="6">
        <v>6.8</v>
      </c>
      <c r="D57" s="6">
        <v>6.27</v>
      </c>
      <c r="E57" s="6">
        <v>6.32</v>
      </c>
      <c r="F57" s="6">
        <v>2</v>
      </c>
      <c r="G57" s="6">
        <v>37.79</v>
      </c>
      <c r="H57" s="6">
        <v>8.43</v>
      </c>
      <c r="I57" s="6">
        <v>7.68</v>
      </c>
      <c r="J57" s="6">
        <v>0.37</v>
      </c>
      <c r="K57" s="6">
        <v>54.32</v>
      </c>
      <c r="L57" s="6">
        <v>18.309999999999999</v>
      </c>
      <c r="M57" s="6">
        <v>12.13</v>
      </c>
      <c r="N57" s="6">
        <v>673.4</v>
      </c>
      <c r="O57" s="6">
        <v>0</v>
      </c>
      <c r="P57" s="6">
        <v>0.47</v>
      </c>
      <c r="Q57" s="6">
        <v>10</v>
      </c>
      <c r="R57" s="6"/>
      <c r="S57" s="6"/>
      <c r="T57" s="156"/>
      <c r="U57" s="6"/>
    </row>
    <row r="58" spans="1:21" customFormat="1">
      <c r="A58" s="201" t="s">
        <v>1633</v>
      </c>
      <c r="B58" s="6">
        <v>3.25</v>
      </c>
      <c r="C58" s="6">
        <v>6.64</v>
      </c>
      <c r="D58" s="6">
        <v>6.08</v>
      </c>
      <c r="E58" s="6">
        <v>6.5</v>
      </c>
      <c r="F58" s="6">
        <v>2</v>
      </c>
      <c r="G58" s="6">
        <v>37.79</v>
      </c>
      <c r="H58" s="6">
        <v>8.43</v>
      </c>
      <c r="I58" s="6">
        <v>7.63</v>
      </c>
      <c r="J58" s="6">
        <v>0.28999999999999998</v>
      </c>
      <c r="K58" s="6">
        <v>73.66</v>
      </c>
      <c r="L58" s="6">
        <v>17.48</v>
      </c>
      <c r="M58" s="6">
        <v>9.75</v>
      </c>
      <c r="N58" s="6">
        <v>686.9</v>
      </c>
      <c r="O58" s="6">
        <v>0</v>
      </c>
      <c r="P58" s="6">
        <v>0.46</v>
      </c>
      <c r="Q58" s="6">
        <v>10</v>
      </c>
      <c r="R58" s="6"/>
      <c r="S58" s="6"/>
      <c r="T58" s="156"/>
      <c r="U58" s="6"/>
    </row>
    <row r="59" spans="1:21" customFormat="1">
      <c r="A59" s="201" t="s">
        <v>1634</v>
      </c>
      <c r="B59" s="6">
        <v>3.19</v>
      </c>
      <c r="C59" s="6">
        <v>6.56</v>
      </c>
      <c r="D59" s="6">
        <v>5.99</v>
      </c>
      <c r="E59" s="6">
        <v>6.48</v>
      </c>
      <c r="F59" s="6">
        <v>2</v>
      </c>
      <c r="G59" s="6">
        <v>37.659999999999997</v>
      </c>
      <c r="H59" s="6">
        <v>8.43</v>
      </c>
      <c r="I59" s="6">
        <v>7.51</v>
      </c>
      <c r="J59" s="6">
        <v>0.25</v>
      </c>
      <c r="K59" s="6">
        <v>112.57</v>
      </c>
      <c r="L59" s="6">
        <v>18.78</v>
      </c>
      <c r="M59" s="6">
        <v>13.62</v>
      </c>
      <c r="N59" s="6">
        <v>663.9</v>
      </c>
      <c r="O59" s="6">
        <v>0</v>
      </c>
      <c r="P59" s="6">
        <v>0.46</v>
      </c>
      <c r="Q59" s="6">
        <v>10</v>
      </c>
      <c r="R59" s="6"/>
      <c r="S59" s="6"/>
      <c r="T59" s="156"/>
      <c r="U59" s="6"/>
    </row>
    <row r="60" spans="1:21" customFormat="1">
      <c r="A60" s="201" t="s">
        <v>1635</v>
      </c>
      <c r="B60" s="6">
        <v>3.07</v>
      </c>
      <c r="C60" s="6">
        <v>6.47</v>
      </c>
      <c r="D60" s="6">
        <v>5.84</v>
      </c>
      <c r="E60" s="6">
        <v>6.67</v>
      </c>
      <c r="F60" s="6">
        <v>2.78</v>
      </c>
      <c r="G60" s="6">
        <v>33.6</v>
      </c>
      <c r="H60" s="6">
        <v>8.33</v>
      </c>
      <c r="I60" s="6">
        <v>7.48</v>
      </c>
      <c r="J60" s="6">
        <v>0.21</v>
      </c>
      <c r="K60" s="6">
        <v>139.05000000000001</v>
      </c>
      <c r="L60" s="6">
        <v>20.239999999999998</v>
      </c>
      <c r="M60" s="6">
        <v>18.260000000000002</v>
      </c>
      <c r="N60" s="6">
        <v>621.1</v>
      </c>
      <c r="O60" s="6">
        <v>0</v>
      </c>
      <c r="P60" s="6">
        <v>0.44</v>
      </c>
      <c r="Q60" s="6">
        <v>10</v>
      </c>
      <c r="R60" s="6"/>
      <c r="S60" s="6"/>
      <c r="T60" s="156"/>
      <c r="U60" s="6"/>
    </row>
    <row r="61" spans="1:21" customFormat="1">
      <c r="A61" s="201" t="s">
        <v>1636</v>
      </c>
      <c r="B61" s="6">
        <v>3.02</v>
      </c>
      <c r="C61" s="6">
        <v>6.35</v>
      </c>
      <c r="D61" s="6">
        <v>5.74</v>
      </c>
      <c r="E61" s="6">
        <v>6.41</v>
      </c>
      <c r="F61" s="6">
        <v>2</v>
      </c>
      <c r="G61" s="6">
        <v>33.6</v>
      </c>
      <c r="H61" s="6">
        <v>8.33</v>
      </c>
      <c r="I61" s="6">
        <v>7.41</v>
      </c>
      <c r="J61" s="6">
        <v>0.23</v>
      </c>
      <c r="K61" s="6">
        <v>102.13</v>
      </c>
      <c r="L61" s="6">
        <v>16.57</v>
      </c>
      <c r="M61" s="6">
        <v>13.26</v>
      </c>
      <c r="N61" s="6">
        <v>438.9</v>
      </c>
      <c r="O61" s="6">
        <v>0</v>
      </c>
      <c r="P61" s="6">
        <v>0.43</v>
      </c>
      <c r="Q61" s="6">
        <v>10</v>
      </c>
      <c r="R61" s="6"/>
      <c r="S61" s="6"/>
      <c r="T61" s="156"/>
      <c r="U61" s="6"/>
    </row>
    <row r="62" spans="1:21" customFormat="1">
      <c r="A62" s="201" t="s">
        <v>1637</v>
      </c>
      <c r="B62" s="6">
        <v>2.98</v>
      </c>
      <c r="C62" s="6">
        <v>6.55</v>
      </c>
      <c r="D62" s="6">
        <v>5.81</v>
      </c>
      <c r="E62" s="6">
        <v>6.36</v>
      </c>
      <c r="F62" s="6">
        <v>2.02</v>
      </c>
      <c r="G62" s="6">
        <v>33.6</v>
      </c>
      <c r="H62" s="6">
        <v>8.33</v>
      </c>
      <c r="I62" s="6">
        <v>7.27</v>
      </c>
      <c r="J62" s="6">
        <v>0.42</v>
      </c>
      <c r="K62" s="6">
        <v>62.18</v>
      </c>
      <c r="L62" s="6">
        <v>12.35</v>
      </c>
      <c r="M62" s="6">
        <v>8.57</v>
      </c>
      <c r="N62" s="6">
        <v>184.8</v>
      </c>
      <c r="O62" s="6">
        <v>0</v>
      </c>
      <c r="P62" s="6">
        <v>0.42</v>
      </c>
      <c r="Q62" s="6">
        <v>10</v>
      </c>
      <c r="R62" s="6"/>
      <c r="S62" s="6"/>
      <c r="T62" s="156"/>
      <c r="U62" s="6"/>
    </row>
    <row r="63" spans="1:21" customFormat="1">
      <c r="A63" s="201" t="s">
        <v>1638</v>
      </c>
      <c r="B63" s="6">
        <v>3.19</v>
      </c>
      <c r="C63" s="6">
        <v>7</v>
      </c>
      <c r="D63" s="6">
        <v>6.21</v>
      </c>
      <c r="E63" s="6">
        <v>6.06</v>
      </c>
      <c r="F63" s="6">
        <v>4.04</v>
      </c>
      <c r="G63" s="6">
        <v>33.520000000000003</v>
      </c>
      <c r="H63" s="6">
        <v>8.2899999999999991</v>
      </c>
      <c r="I63" s="6">
        <v>7.29</v>
      </c>
      <c r="J63" s="6">
        <v>0.54</v>
      </c>
      <c r="K63" s="6">
        <v>34.24</v>
      </c>
      <c r="L63" s="6">
        <v>11.68</v>
      </c>
      <c r="M63" s="6">
        <v>3.66</v>
      </c>
      <c r="N63" s="6">
        <v>316.89999999999998</v>
      </c>
      <c r="O63" s="6">
        <v>0</v>
      </c>
      <c r="P63" s="6">
        <v>0.42</v>
      </c>
      <c r="Q63" s="6">
        <v>10</v>
      </c>
      <c r="R63" s="6"/>
      <c r="S63" s="6"/>
      <c r="T63" s="156"/>
      <c r="U63" s="6"/>
    </row>
    <row r="64" spans="1:21" customFormat="1">
      <c r="A64" s="201" t="s">
        <v>1639</v>
      </c>
      <c r="B64" s="6">
        <v>3.13</v>
      </c>
      <c r="C64" s="6">
        <v>6.93</v>
      </c>
      <c r="D64" s="6">
        <v>6.13</v>
      </c>
      <c r="E64" s="6">
        <v>5.92</v>
      </c>
      <c r="F64" s="6">
        <v>2.46</v>
      </c>
      <c r="G64" s="6">
        <v>31.18</v>
      </c>
      <c r="H64" s="6">
        <v>7.07</v>
      </c>
      <c r="I64" s="6">
        <v>7.16</v>
      </c>
      <c r="J64" s="6">
        <v>0.45</v>
      </c>
      <c r="K64" s="6">
        <v>51.19</v>
      </c>
      <c r="L64" s="6">
        <v>11.92</v>
      </c>
      <c r="M64" s="6">
        <v>5.0599999999999996</v>
      </c>
      <c r="N64" s="6">
        <v>286.7</v>
      </c>
      <c r="O64" s="6">
        <v>0</v>
      </c>
      <c r="P64" s="6">
        <v>0.41</v>
      </c>
      <c r="Q64" s="6">
        <v>10</v>
      </c>
      <c r="R64" s="6"/>
      <c r="S64" s="6"/>
      <c r="T64" s="156"/>
      <c r="U64" s="6"/>
    </row>
    <row r="65" spans="1:21" customFormat="1">
      <c r="A65" s="201" t="s">
        <v>1640</v>
      </c>
      <c r="B65" s="6">
        <v>3.15</v>
      </c>
      <c r="C65" s="6">
        <v>6.89</v>
      </c>
      <c r="D65" s="6">
        <v>6.13</v>
      </c>
      <c r="E65" s="6">
        <v>5.69</v>
      </c>
      <c r="F65" s="6">
        <v>2</v>
      </c>
      <c r="G65" s="6">
        <v>31.18</v>
      </c>
      <c r="H65" s="6">
        <v>7.07</v>
      </c>
      <c r="I65" s="6">
        <v>6.9</v>
      </c>
      <c r="J65" s="6">
        <v>0.2</v>
      </c>
      <c r="K65" s="6">
        <v>36.32</v>
      </c>
      <c r="L65" s="6">
        <v>19.260000000000002</v>
      </c>
      <c r="M65" s="6">
        <v>18.96</v>
      </c>
      <c r="N65" s="6">
        <v>483</v>
      </c>
      <c r="O65" s="6">
        <v>0</v>
      </c>
      <c r="P65" s="6">
        <v>0.32</v>
      </c>
      <c r="Q65" s="6">
        <v>10</v>
      </c>
      <c r="R65" s="6"/>
      <c r="S65" s="6"/>
      <c r="T65" s="156"/>
      <c r="U65" s="6"/>
    </row>
    <row r="66" spans="1:21" customFormat="1">
      <c r="A66" s="201" t="s">
        <v>1641</v>
      </c>
      <c r="B66" s="6">
        <v>3.1</v>
      </c>
      <c r="C66" s="6">
        <v>6.64</v>
      </c>
      <c r="D66" s="6">
        <v>5.96</v>
      </c>
      <c r="E66" s="6">
        <v>5.67</v>
      </c>
      <c r="F66" s="6">
        <v>2</v>
      </c>
      <c r="G66" s="6">
        <v>31.18</v>
      </c>
      <c r="H66" s="6">
        <v>7.07</v>
      </c>
      <c r="I66" s="6">
        <v>6.79</v>
      </c>
      <c r="J66" s="6">
        <v>0.25</v>
      </c>
      <c r="K66" s="6">
        <v>110.65</v>
      </c>
      <c r="L66" s="6">
        <v>15.34</v>
      </c>
      <c r="M66" s="6">
        <v>13.91</v>
      </c>
      <c r="N66" s="6">
        <v>281.10000000000002</v>
      </c>
      <c r="O66" s="6">
        <v>0</v>
      </c>
      <c r="P66" s="6">
        <v>0.32</v>
      </c>
      <c r="Q66" s="6">
        <v>10</v>
      </c>
      <c r="R66" s="6"/>
      <c r="S66" s="6"/>
      <c r="T66" s="156"/>
      <c r="U66" s="6"/>
    </row>
    <row r="67" spans="1:21" customFormat="1">
      <c r="A67" s="201" t="s">
        <v>1642</v>
      </c>
      <c r="B67" s="6">
        <v>2.97</v>
      </c>
      <c r="C67" s="6">
        <v>6.52</v>
      </c>
      <c r="D67" s="6">
        <v>5.79</v>
      </c>
      <c r="E67" s="6">
        <v>5.54</v>
      </c>
      <c r="F67" s="6">
        <v>2</v>
      </c>
      <c r="G67" s="6">
        <v>30.98</v>
      </c>
      <c r="H67" s="6">
        <v>7.06</v>
      </c>
      <c r="I67" s="6">
        <v>6.83</v>
      </c>
      <c r="J67" s="6">
        <v>0.39</v>
      </c>
      <c r="K67" s="6">
        <v>45.81</v>
      </c>
      <c r="L67" s="6">
        <v>11.42</v>
      </c>
      <c r="M67" s="6">
        <v>8.65</v>
      </c>
      <c r="N67" s="6">
        <v>82.1</v>
      </c>
      <c r="O67" s="6">
        <v>0</v>
      </c>
      <c r="P67" s="6">
        <v>0.28999999999999998</v>
      </c>
      <c r="Q67" s="6">
        <v>10</v>
      </c>
      <c r="R67" s="6"/>
      <c r="S67" s="6"/>
      <c r="T67" s="156"/>
      <c r="U67" s="6"/>
    </row>
    <row r="68" spans="1:21" customFormat="1">
      <c r="A68" s="201" t="s">
        <v>1643</v>
      </c>
      <c r="B68" s="6">
        <v>2.88</v>
      </c>
      <c r="C68" s="6">
        <v>6.53</v>
      </c>
      <c r="D68" s="6">
        <v>5.72</v>
      </c>
      <c r="E68" s="6">
        <v>5.81</v>
      </c>
      <c r="F68" s="6">
        <v>2</v>
      </c>
      <c r="G68" s="6">
        <v>24.96</v>
      </c>
      <c r="H68" s="6">
        <v>6.62</v>
      </c>
      <c r="I68" s="6">
        <v>6.79</v>
      </c>
      <c r="J68" s="6">
        <v>0.34</v>
      </c>
      <c r="K68" s="6">
        <v>147.47999999999999</v>
      </c>
      <c r="L68" s="6">
        <v>14.56</v>
      </c>
      <c r="M68" s="6">
        <v>17.02</v>
      </c>
      <c r="N68" s="6">
        <v>69.5</v>
      </c>
      <c r="O68" s="6">
        <v>0</v>
      </c>
      <c r="P68" s="6">
        <v>0.28000000000000003</v>
      </c>
      <c r="Q68" s="6">
        <v>10</v>
      </c>
      <c r="R68" s="6"/>
      <c r="S68" s="6"/>
      <c r="T68" s="156"/>
      <c r="U68" s="6"/>
    </row>
    <row r="69" spans="1:21" customFormat="1">
      <c r="A69" s="201" t="s">
        <v>1644</v>
      </c>
      <c r="B69" s="6">
        <v>2.84</v>
      </c>
      <c r="C69" s="6">
        <v>6.54</v>
      </c>
      <c r="D69" s="6">
        <v>5.69</v>
      </c>
      <c r="E69" s="6">
        <v>5.87</v>
      </c>
      <c r="F69" s="6">
        <v>2</v>
      </c>
      <c r="G69" s="6">
        <v>24.96</v>
      </c>
      <c r="H69" s="6">
        <v>6.62</v>
      </c>
      <c r="I69" s="6">
        <v>6.64</v>
      </c>
      <c r="J69" s="6">
        <v>0.36</v>
      </c>
      <c r="K69" s="6">
        <v>45.8</v>
      </c>
      <c r="L69" s="6">
        <v>9.14</v>
      </c>
      <c r="M69" s="6">
        <v>3.33</v>
      </c>
      <c r="N69" s="6">
        <v>63.7</v>
      </c>
      <c r="O69" s="6">
        <v>0</v>
      </c>
      <c r="P69" s="6">
        <v>0.27</v>
      </c>
      <c r="Q69" s="6">
        <v>10</v>
      </c>
      <c r="R69" s="6"/>
      <c r="S69" s="6"/>
      <c r="T69" s="156"/>
      <c r="U69" s="6"/>
    </row>
    <row r="70" spans="1:21" customFormat="1">
      <c r="A70" s="201" t="s">
        <v>1645</v>
      </c>
      <c r="B70" s="6">
        <v>2.77</v>
      </c>
      <c r="C70" s="6">
        <v>6.43</v>
      </c>
      <c r="D70" s="6">
        <v>5.58</v>
      </c>
      <c r="E70" s="6">
        <v>5.86</v>
      </c>
      <c r="F70" s="6">
        <v>2</v>
      </c>
      <c r="G70" s="6">
        <v>24.96</v>
      </c>
      <c r="H70" s="6">
        <v>6.62</v>
      </c>
      <c r="I70" s="6">
        <v>6.55</v>
      </c>
      <c r="J70" s="6">
        <v>0.28999999999999998</v>
      </c>
      <c r="K70" s="6">
        <v>67.239999999999995</v>
      </c>
      <c r="L70" s="6">
        <v>9.4499999999999993</v>
      </c>
      <c r="M70" s="6">
        <v>4.42</v>
      </c>
      <c r="N70" s="6">
        <v>53.5</v>
      </c>
      <c r="O70" s="6">
        <v>0</v>
      </c>
      <c r="P70" s="6">
        <v>0.27</v>
      </c>
      <c r="Q70" s="6">
        <v>10</v>
      </c>
      <c r="R70" s="6"/>
      <c r="S70" s="6"/>
      <c r="T70" s="156"/>
      <c r="U70" s="6"/>
    </row>
    <row r="71" spans="1:21" customFormat="1">
      <c r="A71" s="201" t="s">
        <v>1646</v>
      </c>
      <c r="B71" s="6">
        <v>2.7</v>
      </c>
      <c r="C71" s="6">
        <v>6.46</v>
      </c>
      <c r="D71" s="6">
        <v>5.54</v>
      </c>
      <c r="E71" s="6">
        <v>6.02</v>
      </c>
      <c r="F71" s="6">
        <v>2</v>
      </c>
      <c r="G71" s="6">
        <v>25.08</v>
      </c>
      <c r="H71" s="6">
        <v>6.62</v>
      </c>
      <c r="I71" s="6">
        <v>6.43</v>
      </c>
      <c r="J71" s="6">
        <v>0.33</v>
      </c>
      <c r="K71" s="6">
        <v>149.68</v>
      </c>
      <c r="L71" s="6">
        <v>15.32</v>
      </c>
      <c r="M71" s="6">
        <v>19.55</v>
      </c>
      <c r="N71" s="6">
        <v>44.8</v>
      </c>
      <c r="O71" s="6">
        <v>0</v>
      </c>
      <c r="P71" s="6">
        <v>0.26</v>
      </c>
      <c r="Q71" s="6">
        <v>10</v>
      </c>
      <c r="R71" s="6"/>
      <c r="S71" s="6"/>
      <c r="T71" s="156"/>
      <c r="U71" s="6"/>
    </row>
    <row r="72" spans="1:21" customFormat="1">
      <c r="A72" s="201" t="s">
        <v>1647</v>
      </c>
      <c r="B72" s="6">
        <v>2.64</v>
      </c>
      <c r="C72" s="6">
        <v>6.42</v>
      </c>
      <c r="D72" s="6">
        <v>5.47</v>
      </c>
      <c r="E72" s="6">
        <v>5.96</v>
      </c>
      <c r="F72" s="6">
        <v>2</v>
      </c>
      <c r="G72" s="6">
        <v>28.36</v>
      </c>
      <c r="H72" s="6">
        <v>6.91</v>
      </c>
      <c r="I72" s="6">
        <v>6.25</v>
      </c>
      <c r="J72" s="6">
        <v>0.23</v>
      </c>
      <c r="K72" s="6">
        <v>77.27</v>
      </c>
      <c r="L72" s="6">
        <v>10.75</v>
      </c>
      <c r="M72" s="6">
        <v>8.06</v>
      </c>
      <c r="N72" s="6">
        <v>38</v>
      </c>
      <c r="O72" s="6">
        <v>0</v>
      </c>
      <c r="P72" s="6">
        <v>0.27</v>
      </c>
      <c r="Q72" s="6">
        <v>10</v>
      </c>
      <c r="R72" s="6"/>
      <c r="S72" s="6"/>
      <c r="T72" s="156"/>
      <c r="U72" s="6"/>
    </row>
    <row r="73" spans="1:21" customFormat="1">
      <c r="A73" s="201" t="s">
        <v>1648</v>
      </c>
      <c r="B73" s="6">
        <v>2.57</v>
      </c>
      <c r="C73" s="6">
        <v>6.31</v>
      </c>
      <c r="D73" s="6">
        <v>5.35</v>
      </c>
      <c r="E73" s="6">
        <v>6.16</v>
      </c>
      <c r="F73" s="6">
        <v>2</v>
      </c>
      <c r="G73" s="6">
        <v>28.36</v>
      </c>
      <c r="H73" s="6">
        <v>6.91</v>
      </c>
      <c r="I73" s="6">
        <v>6.18</v>
      </c>
      <c r="J73" s="6">
        <v>0.17</v>
      </c>
      <c r="K73" s="6">
        <v>134.01</v>
      </c>
      <c r="L73" s="6">
        <v>14.01</v>
      </c>
      <c r="M73" s="6">
        <v>16.47</v>
      </c>
      <c r="N73" s="6">
        <v>33.299999999999997</v>
      </c>
      <c r="O73" s="6">
        <v>0</v>
      </c>
      <c r="P73" s="6">
        <v>0.26</v>
      </c>
      <c r="Q73" s="6">
        <v>10</v>
      </c>
      <c r="R73" s="6"/>
      <c r="S73" s="6"/>
      <c r="T73" s="156"/>
      <c r="U73" s="6"/>
    </row>
    <row r="74" spans="1:21" customFormat="1">
      <c r="A74" s="201" t="s">
        <v>1649</v>
      </c>
      <c r="B74" s="6">
        <v>2.5299999999999998</v>
      </c>
      <c r="C74" s="6">
        <v>6.32</v>
      </c>
      <c r="D74" s="6">
        <v>5.33</v>
      </c>
      <c r="E74" s="6">
        <v>5.98</v>
      </c>
      <c r="F74" s="6">
        <v>2</v>
      </c>
      <c r="G74" s="6">
        <v>28.36</v>
      </c>
      <c r="H74" s="6">
        <v>6.91</v>
      </c>
      <c r="I74" s="6">
        <v>6.15</v>
      </c>
      <c r="J74" s="6">
        <v>0.23</v>
      </c>
      <c r="K74" s="6">
        <v>74.84</v>
      </c>
      <c r="L74" s="6">
        <v>10.98</v>
      </c>
      <c r="M74" s="6">
        <v>8.9700000000000006</v>
      </c>
      <c r="N74" s="6">
        <v>27.5</v>
      </c>
      <c r="O74" s="6">
        <v>0</v>
      </c>
      <c r="P74" s="6">
        <v>0.25</v>
      </c>
      <c r="Q74" s="6">
        <v>10</v>
      </c>
      <c r="R74" s="6"/>
      <c r="S74" s="6"/>
      <c r="T74" s="156"/>
      <c r="U74" s="6"/>
    </row>
    <row r="75" spans="1:21" customFormat="1">
      <c r="A75" s="201" t="s">
        <v>1650</v>
      </c>
      <c r="B75" s="6">
        <v>2.61</v>
      </c>
      <c r="C75" s="6">
        <v>6.46</v>
      </c>
      <c r="D75" s="6">
        <v>5.47</v>
      </c>
      <c r="E75" s="6">
        <v>5.78</v>
      </c>
      <c r="F75" s="6">
        <v>2</v>
      </c>
      <c r="G75" s="6">
        <v>28.32</v>
      </c>
      <c r="H75" s="6">
        <v>6.91</v>
      </c>
      <c r="I75" s="6">
        <v>5.99</v>
      </c>
      <c r="J75" s="6">
        <v>0.18</v>
      </c>
      <c r="K75" s="6">
        <v>107.29</v>
      </c>
      <c r="L75" s="6">
        <v>12.54</v>
      </c>
      <c r="M75" s="6">
        <v>13.03</v>
      </c>
      <c r="N75" s="6">
        <v>20.7</v>
      </c>
      <c r="O75" s="6">
        <v>0</v>
      </c>
      <c r="P75" s="6">
        <v>0.25</v>
      </c>
      <c r="Q75" s="6">
        <v>10</v>
      </c>
      <c r="R75" s="6"/>
      <c r="S75" s="6"/>
      <c r="T75" s="156"/>
      <c r="U75" s="6"/>
    </row>
    <row r="76" spans="1:21" customFormat="1">
      <c r="A76" s="201" t="s">
        <v>1651</v>
      </c>
      <c r="B76" s="6">
        <v>2.64</v>
      </c>
      <c r="C76" s="6">
        <v>6.43</v>
      </c>
      <c r="D76" s="6">
        <v>5.47</v>
      </c>
      <c r="E76" s="6">
        <v>6.33</v>
      </c>
      <c r="F76" s="6">
        <v>2</v>
      </c>
      <c r="G76" s="6">
        <v>27.08</v>
      </c>
      <c r="H76" s="6">
        <v>6.85</v>
      </c>
      <c r="I76" s="6">
        <v>5.89</v>
      </c>
      <c r="J76" s="6">
        <v>0.2</v>
      </c>
      <c r="K76" s="6">
        <v>118.15</v>
      </c>
      <c r="L76" s="6">
        <v>13.49</v>
      </c>
      <c r="M76" s="6">
        <v>15.72</v>
      </c>
      <c r="N76" s="6">
        <v>11.3</v>
      </c>
      <c r="O76" s="6">
        <v>0</v>
      </c>
      <c r="P76" s="6">
        <v>0.26</v>
      </c>
      <c r="Q76" s="6">
        <v>10</v>
      </c>
      <c r="R76" s="6"/>
      <c r="S76" s="6"/>
      <c r="T76" s="156"/>
      <c r="U76" s="6"/>
    </row>
    <row r="77" spans="1:21" customFormat="1">
      <c r="A77" s="201" t="s">
        <v>1652</v>
      </c>
      <c r="B77" s="6">
        <v>2.63</v>
      </c>
      <c r="C77" s="6">
        <v>6.3</v>
      </c>
      <c r="D77" s="6">
        <v>5.4</v>
      </c>
      <c r="E77" s="6">
        <v>6.46</v>
      </c>
      <c r="F77" s="6">
        <v>2</v>
      </c>
      <c r="G77" s="6">
        <v>27.08</v>
      </c>
      <c r="H77" s="6">
        <v>6.85</v>
      </c>
      <c r="I77" s="6">
        <v>5.85</v>
      </c>
      <c r="J77" s="6">
        <v>0.19</v>
      </c>
      <c r="K77" s="6">
        <v>146.4</v>
      </c>
      <c r="L77" s="6">
        <v>13.91</v>
      </c>
      <c r="M77" s="6">
        <v>16.87</v>
      </c>
      <c r="N77" s="6">
        <v>7.5</v>
      </c>
      <c r="O77" s="6">
        <v>0</v>
      </c>
      <c r="P77" s="6">
        <v>0.24</v>
      </c>
      <c r="Q77" s="6">
        <v>10</v>
      </c>
      <c r="R77" s="6"/>
      <c r="S77" s="6"/>
      <c r="T77" s="156"/>
      <c r="U77" s="6"/>
    </row>
    <row r="78" spans="1:21" customFormat="1">
      <c r="A78" s="201" t="s">
        <v>1653</v>
      </c>
      <c r="B78" s="6">
        <v>2.6</v>
      </c>
      <c r="C78" s="6">
        <v>6.22</v>
      </c>
      <c r="D78" s="6">
        <v>5.34</v>
      </c>
      <c r="E78" s="6">
        <v>6.41</v>
      </c>
      <c r="F78" s="6">
        <v>2</v>
      </c>
      <c r="G78" s="6">
        <v>27.08</v>
      </c>
      <c r="H78" s="6">
        <v>6.85</v>
      </c>
      <c r="I78" s="6">
        <v>5.74</v>
      </c>
      <c r="J78" s="6">
        <v>0.28000000000000003</v>
      </c>
      <c r="K78" s="6">
        <v>151.01</v>
      </c>
      <c r="L78" s="6">
        <v>14.73</v>
      </c>
      <c r="M78" s="6">
        <v>19.079999999999998</v>
      </c>
      <c r="N78" s="6">
        <v>5.5</v>
      </c>
      <c r="O78" s="6">
        <v>0</v>
      </c>
      <c r="P78" s="6">
        <v>0.25</v>
      </c>
      <c r="Q78" s="6">
        <v>10</v>
      </c>
      <c r="R78" s="6"/>
      <c r="S78" s="6"/>
      <c r="T78" s="156"/>
      <c r="U78" s="6"/>
    </row>
    <row r="79" spans="1:21" customFormat="1">
      <c r="A79" s="201" t="s">
        <v>1654</v>
      </c>
      <c r="B79" s="6">
        <v>2.68</v>
      </c>
      <c r="C79" s="6">
        <v>6.46</v>
      </c>
      <c r="D79" s="6">
        <v>5.53</v>
      </c>
      <c r="E79" s="6">
        <v>6.67</v>
      </c>
      <c r="F79" s="6">
        <v>2</v>
      </c>
      <c r="G79" s="6">
        <v>27.15</v>
      </c>
      <c r="H79" s="6">
        <v>6.85</v>
      </c>
      <c r="I79" s="6">
        <v>5.74</v>
      </c>
      <c r="J79" s="6">
        <v>0.12</v>
      </c>
      <c r="K79" s="6">
        <v>95.61</v>
      </c>
      <c r="L79" s="6">
        <v>11.11</v>
      </c>
      <c r="M79" s="6">
        <v>9.86</v>
      </c>
      <c r="N79" s="6">
        <v>3.3</v>
      </c>
      <c r="O79" s="6">
        <v>0</v>
      </c>
      <c r="P79" s="6">
        <v>0.27</v>
      </c>
      <c r="Q79" s="6">
        <v>10</v>
      </c>
      <c r="R79" s="6"/>
      <c r="S79" s="6"/>
      <c r="T79" s="156"/>
      <c r="U79" s="6"/>
    </row>
    <row r="80" spans="1:21" customFormat="1">
      <c r="A80" s="201" t="s">
        <v>1655</v>
      </c>
      <c r="B80" s="6">
        <v>2.82</v>
      </c>
      <c r="C80" s="6">
        <v>7.12</v>
      </c>
      <c r="D80" s="6">
        <v>5.98</v>
      </c>
      <c r="E80" s="6">
        <v>6.92</v>
      </c>
      <c r="F80" s="6">
        <v>2</v>
      </c>
      <c r="G80" s="6">
        <v>29.17</v>
      </c>
      <c r="H80" s="6">
        <v>6.87</v>
      </c>
      <c r="I80" s="6">
        <v>5.81</v>
      </c>
      <c r="J80" s="6">
        <v>0.23</v>
      </c>
      <c r="K80" s="6">
        <v>139.68</v>
      </c>
      <c r="L80" s="6">
        <v>13.21</v>
      </c>
      <c r="M80" s="6">
        <v>15.28</v>
      </c>
      <c r="N80" s="6">
        <v>2.7</v>
      </c>
      <c r="O80" s="6">
        <v>0</v>
      </c>
      <c r="P80" s="6">
        <v>0.27</v>
      </c>
      <c r="Q80" s="6">
        <v>10</v>
      </c>
      <c r="R80" s="6"/>
      <c r="S80" s="6"/>
      <c r="T80" s="156"/>
      <c r="U80" s="6"/>
    </row>
    <row r="81" spans="1:21" customFormat="1">
      <c r="A81" s="201" t="s">
        <v>1656</v>
      </c>
      <c r="B81" s="6">
        <v>2.79</v>
      </c>
      <c r="C81" s="6">
        <v>6.64</v>
      </c>
      <c r="D81" s="6">
        <v>5.71</v>
      </c>
      <c r="E81" s="6">
        <v>4.9800000000000004</v>
      </c>
      <c r="F81" s="6">
        <v>2</v>
      </c>
      <c r="G81" s="6">
        <v>29.17</v>
      </c>
      <c r="H81" s="6">
        <v>6.87</v>
      </c>
      <c r="I81" s="6">
        <v>5.89</v>
      </c>
      <c r="J81" s="6">
        <v>0.24</v>
      </c>
      <c r="K81" s="6">
        <v>148.24</v>
      </c>
      <c r="L81" s="6">
        <v>14.47</v>
      </c>
      <c r="M81" s="6">
        <v>18.45</v>
      </c>
      <c r="N81" s="6">
        <v>2.6</v>
      </c>
      <c r="O81" s="6">
        <v>0</v>
      </c>
      <c r="P81" s="6">
        <v>0.26</v>
      </c>
      <c r="Q81" s="6">
        <v>10</v>
      </c>
      <c r="R81" s="6"/>
      <c r="S81" s="6"/>
      <c r="T81" s="156"/>
      <c r="U81" s="6"/>
    </row>
    <row r="82" spans="1:21" customFormat="1">
      <c r="A82" s="201" t="s">
        <v>1657</v>
      </c>
      <c r="B82" s="6">
        <v>2.84</v>
      </c>
      <c r="C82" s="6">
        <v>6.92</v>
      </c>
      <c r="D82" s="6">
        <v>5.89</v>
      </c>
      <c r="E82" s="6">
        <v>5.68</v>
      </c>
      <c r="F82" s="6">
        <v>2</v>
      </c>
      <c r="G82" s="6">
        <v>29.17</v>
      </c>
      <c r="H82" s="6">
        <v>6.87</v>
      </c>
      <c r="I82" s="6">
        <v>6</v>
      </c>
      <c r="J82" s="6">
        <v>0.18</v>
      </c>
      <c r="K82" s="6">
        <v>144.09</v>
      </c>
      <c r="L82" s="6">
        <v>13.98</v>
      </c>
      <c r="M82" s="6">
        <v>17.23</v>
      </c>
      <c r="N82" s="6">
        <v>2.4</v>
      </c>
      <c r="O82" s="6">
        <v>0</v>
      </c>
      <c r="P82" s="6">
        <v>0.28000000000000003</v>
      </c>
      <c r="Q82" s="6">
        <v>10</v>
      </c>
      <c r="R82" s="6"/>
      <c r="S82" s="6"/>
      <c r="T82" s="156"/>
      <c r="U82" s="6"/>
    </row>
    <row r="83" spans="1:21" customFormat="1">
      <c r="A83" s="201" t="s">
        <v>1658</v>
      </c>
      <c r="B83" s="6">
        <v>2.88</v>
      </c>
      <c r="C83" s="6">
        <v>7</v>
      </c>
      <c r="D83" s="6">
        <v>5.96</v>
      </c>
      <c r="E83" s="6">
        <v>5.78</v>
      </c>
      <c r="F83" s="6">
        <v>2</v>
      </c>
      <c r="G83" s="6">
        <v>29.66</v>
      </c>
      <c r="H83" s="6">
        <v>6.91</v>
      </c>
      <c r="I83" s="6">
        <v>6.13</v>
      </c>
      <c r="J83" s="6">
        <v>0.19</v>
      </c>
      <c r="K83" s="6">
        <v>137.41</v>
      </c>
      <c r="L83" s="6">
        <v>13.93</v>
      </c>
      <c r="M83" s="6">
        <v>17.12</v>
      </c>
      <c r="N83" s="6">
        <v>2.2000000000000002</v>
      </c>
      <c r="O83" s="6">
        <v>0</v>
      </c>
      <c r="P83" s="6">
        <v>0.3</v>
      </c>
      <c r="Q83" s="6">
        <v>10</v>
      </c>
      <c r="R83" s="6"/>
      <c r="S83" s="6"/>
      <c r="T83" s="156"/>
      <c r="U83" s="6"/>
    </row>
    <row r="84" spans="1:21" customFormat="1">
      <c r="A84" s="201" t="s">
        <v>1659</v>
      </c>
      <c r="B84" s="6">
        <v>2.85</v>
      </c>
      <c r="C84" s="6">
        <v>7.14</v>
      </c>
      <c r="D84" s="6">
        <v>6.02</v>
      </c>
      <c r="E84" s="6">
        <v>6.18</v>
      </c>
      <c r="F84" s="6">
        <v>2</v>
      </c>
      <c r="G84" s="6">
        <v>43.78</v>
      </c>
      <c r="H84" s="6">
        <v>8.2899999999999991</v>
      </c>
      <c r="I84" s="6">
        <v>6.35</v>
      </c>
      <c r="J84" s="6">
        <v>0.17</v>
      </c>
      <c r="K84" s="6">
        <v>160.31</v>
      </c>
      <c r="L84" s="6">
        <v>15.63</v>
      </c>
      <c r="M84" s="6">
        <v>21.39</v>
      </c>
      <c r="N84" s="6">
        <v>2.5</v>
      </c>
      <c r="O84" s="6">
        <v>0</v>
      </c>
      <c r="P84" s="6">
        <v>0.31</v>
      </c>
      <c r="Q84" s="6">
        <v>10</v>
      </c>
      <c r="R84" s="6"/>
      <c r="S84" s="6"/>
      <c r="T84" s="156"/>
      <c r="U84" s="6"/>
    </row>
    <row r="85" spans="1:21" customFormat="1">
      <c r="A85" s="201" t="s">
        <v>1660</v>
      </c>
      <c r="B85" s="6">
        <v>2.9</v>
      </c>
      <c r="C85" s="6">
        <v>6.9</v>
      </c>
      <c r="D85" s="6">
        <v>5.93</v>
      </c>
      <c r="E85" s="6">
        <v>6.1</v>
      </c>
      <c r="F85" s="6">
        <v>2</v>
      </c>
      <c r="G85" s="6">
        <v>43.78</v>
      </c>
      <c r="H85" s="6">
        <v>8.2899999999999991</v>
      </c>
      <c r="I85" s="6">
        <v>6.5</v>
      </c>
      <c r="J85" s="6">
        <v>0.27</v>
      </c>
      <c r="K85" s="6">
        <v>151.66999999999999</v>
      </c>
      <c r="L85" s="6">
        <v>14.82</v>
      </c>
      <c r="M85" s="6">
        <v>19.36</v>
      </c>
      <c r="N85" s="6">
        <v>2.2999999999999998</v>
      </c>
      <c r="O85" s="6">
        <v>0</v>
      </c>
      <c r="P85" s="6">
        <v>0.31</v>
      </c>
      <c r="Q85" s="6">
        <v>10</v>
      </c>
      <c r="R85" s="6"/>
      <c r="S85" s="6"/>
      <c r="T85" s="156"/>
      <c r="U85" s="6"/>
    </row>
    <row r="86" spans="1:21" customFormat="1">
      <c r="A86" s="201" t="s">
        <v>1661</v>
      </c>
      <c r="B86" s="6">
        <v>2.92</v>
      </c>
      <c r="C86" s="6">
        <v>7.21</v>
      </c>
      <c r="D86" s="6">
        <v>6.11</v>
      </c>
      <c r="E86" s="6">
        <v>6.26</v>
      </c>
      <c r="F86" s="6">
        <v>2</v>
      </c>
      <c r="G86" s="6">
        <v>43.78</v>
      </c>
      <c r="H86" s="6">
        <v>8.2899999999999991</v>
      </c>
      <c r="I86" s="6">
        <v>6.66</v>
      </c>
      <c r="J86" s="6">
        <v>0.18</v>
      </c>
      <c r="K86" s="6">
        <v>127.52</v>
      </c>
      <c r="L86" s="6">
        <v>13.47</v>
      </c>
      <c r="M86" s="6">
        <v>15.97</v>
      </c>
      <c r="N86" s="6">
        <v>2</v>
      </c>
      <c r="O86" s="6">
        <v>0</v>
      </c>
      <c r="P86" s="6">
        <v>0.38</v>
      </c>
      <c r="Q86" s="6">
        <v>10</v>
      </c>
      <c r="R86" s="6"/>
      <c r="S86" s="6"/>
      <c r="T86" s="156"/>
      <c r="U86" s="6"/>
    </row>
    <row r="87" spans="1:21" customFormat="1">
      <c r="A87" s="201" t="s">
        <v>1662</v>
      </c>
      <c r="B87" s="6">
        <v>2.82</v>
      </c>
      <c r="C87" s="6">
        <v>8.31</v>
      </c>
      <c r="D87" s="6">
        <v>6.61</v>
      </c>
      <c r="E87" s="6">
        <v>7.22</v>
      </c>
      <c r="F87" s="6">
        <v>4.2699999999999996</v>
      </c>
      <c r="G87" s="6">
        <v>44.48</v>
      </c>
      <c r="H87" s="6">
        <v>8.39</v>
      </c>
      <c r="I87" s="6">
        <v>6.88</v>
      </c>
      <c r="J87" s="6">
        <v>0.18</v>
      </c>
      <c r="K87" s="6">
        <v>122.28</v>
      </c>
      <c r="L87" s="6">
        <v>12.29</v>
      </c>
      <c r="M87" s="6">
        <v>12.95</v>
      </c>
      <c r="N87" s="6">
        <v>2.1</v>
      </c>
      <c r="O87" s="6">
        <v>0</v>
      </c>
      <c r="P87" s="6">
        <v>0.45</v>
      </c>
      <c r="Q87" s="6">
        <v>10</v>
      </c>
      <c r="R87" s="6"/>
      <c r="S87" s="6"/>
      <c r="T87" s="156"/>
      <c r="U87" s="6"/>
    </row>
    <row r="88" spans="1:21" customFormat="1">
      <c r="A88" s="201" t="s">
        <v>1663</v>
      </c>
      <c r="B88" s="6">
        <v>2.76</v>
      </c>
      <c r="C88" s="6">
        <v>9.1300000000000008</v>
      </c>
      <c r="D88" s="6">
        <v>6.99</v>
      </c>
      <c r="E88" s="6">
        <v>8.5299999999999994</v>
      </c>
      <c r="F88" s="6">
        <v>5.43</v>
      </c>
      <c r="G88" s="6">
        <v>64.680000000000007</v>
      </c>
      <c r="H88" s="6">
        <v>11.59</v>
      </c>
      <c r="I88" s="6">
        <v>7.6</v>
      </c>
      <c r="J88" s="6">
        <v>0.16</v>
      </c>
      <c r="K88" s="6">
        <v>107.83</v>
      </c>
      <c r="L88" s="6">
        <v>11.62</v>
      </c>
      <c r="M88" s="6">
        <v>11.19</v>
      </c>
      <c r="N88" s="6">
        <v>2.1</v>
      </c>
      <c r="O88" s="6">
        <v>0</v>
      </c>
      <c r="P88" s="6">
        <v>0.43</v>
      </c>
      <c r="Q88" s="6">
        <v>10</v>
      </c>
      <c r="R88" s="6"/>
      <c r="S88" s="6"/>
      <c r="T88" s="156"/>
      <c r="U88" s="6"/>
    </row>
    <row r="89" spans="1:21" customFormat="1">
      <c r="A89" s="201" t="s">
        <v>1664</v>
      </c>
      <c r="B89" s="6">
        <v>3.01</v>
      </c>
      <c r="C89" s="6">
        <v>8.3000000000000007</v>
      </c>
      <c r="D89" s="6">
        <v>6.75</v>
      </c>
      <c r="E89" s="6">
        <v>7.37</v>
      </c>
      <c r="F89" s="6">
        <v>2</v>
      </c>
      <c r="G89" s="6">
        <v>64.680000000000007</v>
      </c>
      <c r="H89" s="6">
        <v>11.59</v>
      </c>
      <c r="I89" s="6">
        <v>8.58</v>
      </c>
      <c r="J89" s="6">
        <v>0.15</v>
      </c>
      <c r="K89" s="6">
        <v>73.13</v>
      </c>
      <c r="L89" s="6">
        <v>9.9600000000000009</v>
      </c>
      <c r="M89" s="6">
        <v>7</v>
      </c>
      <c r="N89" s="6">
        <v>2.2000000000000002</v>
      </c>
      <c r="O89" s="6">
        <v>0</v>
      </c>
      <c r="P89" s="6">
        <v>0.42</v>
      </c>
      <c r="Q89" s="6">
        <v>10</v>
      </c>
      <c r="R89" s="6"/>
      <c r="S89" s="6"/>
      <c r="T89" s="156"/>
      <c r="U89" s="6"/>
    </row>
    <row r="90" spans="1:21" customFormat="1">
      <c r="A90" s="201" t="s">
        <v>1665</v>
      </c>
      <c r="B90" s="6">
        <v>3.02</v>
      </c>
      <c r="C90" s="6">
        <v>9.11</v>
      </c>
      <c r="D90" s="6">
        <v>7.18</v>
      </c>
      <c r="E90" s="6">
        <v>7.2</v>
      </c>
      <c r="F90" s="6">
        <v>2.1</v>
      </c>
      <c r="G90" s="6">
        <v>64.680000000000007</v>
      </c>
      <c r="H90" s="6">
        <v>11.59</v>
      </c>
      <c r="I90" s="6">
        <v>8.6</v>
      </c>
      <c r="J90" s="6">
        <v>0.16</v>
      </c>
      <c r="K90" s="6">
        <v>113.5</v>
      </c>
      <c r="L90" s="6">
        <v>11.81</v>
      </c>
      <c r="M90" s="6">
        <v>11.7</v>
      </c>
      <c r="N90" s="6">
        <v>2.2000000000000002</v>
      </c>
      <c r="O90" s="6">
        <v>0</v>
      </c>
      <c r="P90" s="6">
        <v>0.44</v>
      </c>
      <c r="Q90" s="6">
        <v>10</v>
      </c>
      <c r="R90" s="6"/>
      <c r="S90" s="6"/>
      <c r="T90" s="156"/>
      <c r="U90" s="6"/>
    </row>
    <row r="91" spans="1:21" customFormat="1">
      <c r="A91" s="201" t="s">
        <v>1666</v>
      </c>
      <c r="B91" s="6">
        <v>3.14</v>
      </c>
      <c r="C91" s="6">
        <v>8.07</v>
      </c>
      <c r="D91" s="6">
        <v>6.73</v>
      </c>
      <c r="E91" s="6">
        <v>7.11</v>
      </c>
      <c r="F91" s="6">
        <v>3.66</v>
      </c>
      <c r="G91" s="6">
        <v>64.67</v>
      </c>
      <c r="H91" s="6">
        <v>11.59</v>
      </c>
      <c r="I91" s="6">
        <v>7.96</v>
      </c>
      <c r="J91" s="6">
        <v>0.3</v>
      </c>
      <c r="K91" s="6">
        <v>49.81</v>
      </c>
      <c r="L91" s="6">
        <v>8.41</v>
      </c>
      <c r="M91" s="6">
        <v>3</v>
      </c>
      <c r="N91" s="6">
        <v>2.2000000000000002</v>
      </c>
      <c r="O91" s="6">
        <v>0</v>
      </c>
      <c r="P91" s="6">
        <v>0.44</v>
      </c>
      <c r="Q91" s="6">
        <v>10</v>
      </c>
      <c r="R91" s="6"/>
      <c r="S91" s="6"/>
      <c r="T91" s="156"/>
      <c r="U91" s="6"/>
    </row>
    <row r="92" spans="1:21" customFormat="1">
      <c r="A92" s="201" t="s">
        <v>1667</v>
      </c>
      <c r="B92" s="6">
        <v>3.28</v>
      </c>
      <c r="C92" s="6">
        <v>9.5</v>
      </c>
      <c r="D92" s="6">
        <v>7.59</v>
      </c>
      <c r="E92" s="6">
        <v>7.24</v>
      </c>
      <c r="F92" s="6">
        <v>2.67</v>
      </c>
      <c r="G92" s="6">
        <v>64.150000000000006</v>
      </c>
      <c r="H92" s="6">
        <v>11.66</v>
      </c>
      <c r="I92" s="6">
        <v>8.08</v>
      </c>
      <c r="J92" s="6">
        <v>0.21</v>
      </c>
      <c r="K92" s="6">
        <v>66.25</v>
      </c>
      <c r="L92" s="6">
        <v>9.6</v>
      </c>
      <c r="M92" s="6">
        <v>6.02</v>
      </c>
      <c r="N92" s="6">
        <v>2.1</v>
      </c>
      <c r="O92" s="6">
        <v>0</v>
      </c>
      <c r="P92" s="6">
        <v>0.45</v>
      </c>
      <c r="Q92" s="6">
        <v>10</v>
      </c>
      <c r="R92" s="6"/>
      <c r="S92" s="6"/>
      <c r="T92" s="156"/>
      <c r="U92" s="6"/>
    </row>
    <row r="93" spans="1:21" customFormat="1">
      <c r="A93" s="201" t="s">
        <v>1668</v>
      </c>
      <c r="B93" s="6">
        <v>3.47</v>
      </c>
      <c r="C93" s="6">
        <v>8.2200000000000006</v>
      </c>
      <c r="D93" s="6">
        <v>7.07</v>
      </c>
      <c r="E93" s="6">
        <v>6.91</v>
      </c>
      <c r="F93" s="6">
        <v>2</v>
      </c>
      <c r="G93" s="6">
        <v>64.150000000000006</v>
      </c>
      <c r="H93" s="6">
        <v>11.66</v>
      </c>
      <c r="I93" s="6">
        <v>8.17</v>
      </c>
      <c r="J93" s="6">
        <v>0.35</v>
      </c>
      <c r="K93" s="6">
        <v>50.81</v>
      </c>
      <c r="L93" s="6">
        <v>7.35</v>
      </c>
      <c r="M93" s="6">
        <v>0.3</v>
      </c>
      <c r="N93" s="6">
        <v>2.1</v>
      </c>
      <c r="O93" s="6">
        <v>0</v>
      </c>
      <c r="P93" s="6">
        <v>0.45</v>
      </c>
      <c r="Q93" s="6">
        <v>10</v>
      </c>
      <c r="R93" s="6"/>
      <c r="S93" s="6"/>
      <c r="T93" s="156"/>
      <c r="U93" s="6"/>
    </row>
    <row r="94" spans="1:21" customFormat="1">
      <c r="A94" s="201" t="s">
        <v>1669</v>
      </c>
      <c r="B94" s="6">
        <v>3.78</v>
      </c>
      <c r="C94" s="6">
        <v>9.48</v>
      </c>
      <c r="D94" s="6">
        <v>7.99</v>
      </c>
      <c r="E94" s="6">
        <v>6.62</v>
      </c>
      <c r="F94" s="6">
        <v>2</v>
      </c>
      <c r="G94" s="6">
        <v>64.150000000000006</v>
      </c>
      <c r="H94" s="6">
        <v>11.66</v>
      </c>
      <c r="I94" s="6">
        <v>8.2899999999999991</v>
      </c>
      <c r="J94" s="6">
        <v>0.24</v>
      </c>
      <c r="K94" s="6">
        <v>49.49</v>
      </c>
      <c r="L94" s="6">
        <v>7.32</v>
      </c>
      <c r="M94" s="6">
        <v>0.26</v>
      </c>
      <c r="N94" s="6">
        <v>2.2000000000000002</v>
      </c>
      <c r="O94" s="6">
        <v>0</v>
      </c>
      <c r="P94" s="6">
        <v>0.48</v>
      </c>
      <c r="Q94" s="6">
        <v>10</v>
      </c>
      <c r="R94" s="6"/>
      <c r="S94" s="6"/>
      <c r="T94" s="156"/>
      <c r="U94" s="6"/>
    </row>
    <row r="95" spans="1:21" customFormat="1">
      <c r="A95" s="201" t="s">
        <v>1670</v>
      </c>
      <c r="B95" s="6">
        <v>3.98</v>
      </c>
      <c r="C95" s="6">
        <v>8.6300000000000008</v>
      </c>
      <c r="D95" s="6">
        <v>7.7</v>
      </c>
      <c r="E95" s="6">
        <v>6.44</v>
      </c>
      <c r="F95" s="6">
        <v>2</v>
      </c>
      <c r="G95" s="6">
        <v>64.2</v>
      </c>
      <c r="H95" s="6">
        <v>11.68</v>
      </c>
      <c r="I95" s="6">
        <v>8.43</v>
      </c>
      <c r="J95" s="6">
        <v>0.19</v>
      </c>
      <c r="K95" s="6">
        <v>56.9</v>
      </c>
      <c r="L95" s="6">
        <v>8.16</v>
      </c>
      <c r="M95" s="6">
        <v>2.4</v>
      </c>
      <c r="N95" s="6">
        <v>2.2999999999999998</v>
      </c>
      <c r="O95" s="6">
        <v>0</v>
      </c>
      <c r="P95" s="6">
        <v>0.48</v>
      </c>
      <c r="Q95" s="6">
        <v>10</v>
      </c>
      <c r="R95" s="6"/>
      <c r="S95" s="6"/>
      <c r="T95" s="156"/>
      <c r="U95" s="6"/>
    </row>
    <row r="96" spans="1:21" customFormat="1">
      <c r="A96" s="201" t="s">
        <v>1671</v>
      </c>
      <c r="B96" s="6">
        <v>4.12</v>
      </c>
      <c r="C96" s="6">
        <v>9.76</v>
      </c>
      <c r="D96" s="6">
        <v>8.41</v>
      </c>
      <c r="E96" s="6">
        <v>6.18</v>
      </c>
      <c r="F96" s="6">
        <v>2</v>
      </c>
      <c r="G96" s="6">
        <v>65.38</v>
      </c>
      <c r="H96" s="6">
        <v>12.53</v>
      </c>
      <c r="I96" s="6">
        <v>8.75</v>
      </c>
      <c r="J96" s="6">
        <v>0.25</v>
      </c>
      <c r="K96" s="6">
        <v>66.680000000000007</v>
      </c>
      <c r="L96" s="6">
        <v>8.86</v>
      </c>
      <c r="M96" s="6">
        <v>4.1399999999999997</v>
      </c>
      <c r="N96" s="6">
        <v>2.2999999999999998</v>
      </c>
      <c r="O96" s="6">
        <v>0</v>
      </c>
      <c r="P96" s="6">
        <v>0.48</v>
      </c>
      <c r="Q96" s="6">
        <v>10</v>
      </c>
      <c r="R96" s="6"/>
      <c r="S96" s="6"/>
      <c r="T96" s="156"/>
      <c r="U96" s="6"/>
    </row>
    <row r="97" spans="1:28" customFormat="1">
      <c r="A97" s="201" t="s">
        <v>1672</v>
      </c>
      <c r="B97" s="6">
        <v>4.12</v>
      </c>
      <c r="C97" s="6">
        <v>8.01</v>
      </c>
      <c r="D97" s="6">
        <v>7.49</v>
      </c>
      <c r="E97" s="6">
        <v>6.17</v>
      </c>
      <c r="F97" s="6">
        <v>2</v>
      </c>
      <c r="G97" s="6">
        <v>65.38</v>
      </c>
      <c r="H97" s="6">
        <v>12.53</v>
      </c>
      <c r="I97" s="6">
        <v>8.57</v>
      </c>
      <c r="J97" s="6">
        <v>0.16</v>
      </c>
      <c r="K97" s="6">
        <v>91.28</v>
      </c>
      <c r="L97" s="6">
        <v>10.62</v>
      </c>
      <c r="M97" s="6">
        <v>8.68</v>
      </c>
      <c r="N97" s="6">
        <v>2.2999999999999998</v>
      </c>
      <c r="O97" s="6">
        <v>0</v>
      </c>
      <c r="P97" s="6">
        <v>0.47</v>
      </c>
      <c r="Q97" s="6">
        <v>10</v>
      </c>
      <c r="R97" s="6"/>
      <c r="S97" s="6"/>
      <c r="T97" s="156"/>
      <c r="U97" s="6"/>
    </row>
    <row r="98" spans="1:28" customFormat="1">
      <c r="A98" s="201" t="s">
        <v>1673</v>
      </c>
      <c r="B98" s="6">
        <v>4.0599999999999996</v>
      </c>
      <c r="C98" s="6">
        <v>8.32</v>
      </c>
      <c r="D98" s="6">
        <v>7.6</v>
      </c>
      <c r="E98" s="6">
        <v>6.29</v>
      </c>
      <c r="F98" s="6">
        <v>2</v>
      </c>
      <c r="G98" s="6">
        <v>65.38</v>
      </c>
      <c r="H98" s="6">
        <v>12.53</v>
      </c>
      <c r="I98" s="6">
        <v>8.7100000000000009</v>
      </c>
      <c r="J98" s="6">
        <v>0.22</v>
      </c>
      <c r="K98" s="6">
        <v>60.09</v>
      </c>
      <c r="L98" s="6">
        <v>9.56</v>
      </c>
      <c r="M98" s="6">
        <v>5.93</v>
      </c>
      <c r="N98" s="6">
        <v>2.2000000000000002</v>
      </c>
      <c r="O98" s="6">
        <v>0</v>
      </c>
      <c r="P98" s="6">
        <v>0.47</v>
      </c>
      <c r="Q98" s="6">
        <v>10</v>
      </c>
      <c r="R98" s="6"/>
      <c r="S98" s="6"/>
      <c r="T98" s="156"/>
      <c r="U98" s="6"/>
    </row>
    <row r="99" spans="1:28" customFormat="1">
      <c r="A99" s="201" t="s">
        <v>1674</v>
      </c>
      <c r="B99" s="6">
        <v>4.22</v>
      </c>
      <c r="C99" s="6">
        <v>7.64</v>
      </c>
      <c r="D99" s="6">
        <v>7.37</v>
      </c>
      <c r="E99" s="6">
        <v>6.14</v>
      </c>
      <c r="F99" s="6">
        <v>2.27</v>
      </c>
      <c r="G99" s="6">
        <v>65.17</v>
      </c>
      <c r="H99" s="6">
        <v>12.52</v>
      </c>
      <c r="I99" s="6">
        <v>8.57</v>
      </c>
      <c r="J99" s="6">
        <v>0.33</v>
      </c>
      <c r="K99" s="6">
        <v>46.81</v>
      </c>
      <c r="L99" s="6">
        <v>7.42</v>
      </c>
      <c r="M99" s="6">
        <v>0.44</v>
      </c>
      <c r="N99" s="6">
        <v>2.2999999999999998</v>
      </c>
      <c r="O99" s="6">
        <v>0</v>
      </c>
      <c r="P99" s="6">
        <v>0.47</v>
      </c>
      <c r="Q99" s="6">
        <v>10</v>
      </c>
      <c r="R99" s="6"/>
      <c r="S99" s="6"/>
      <c r="T99" s="156"/>
      <c r="U99" s="6"/>
    </row>
    <row r="100" spans="1:28" customFormat="1">
      <c r="A100" s="201" t="s">
        <v>1675</v>
      </c>
      <c r="B100" s="6">
        <v>4.3</v>
      </c>
      <c r="C100" s="6">
        <v>8.57</v>
      </c>
      <c r="D100" s="6">
        <v>7.93</v>
      </c>
      <c r="E100" s="6">
        <v>6.22</v>
      </c>
      <c r="F100" s="6">
        <v>2</v>
      </c>
      <c r="G100" s="6">
        <v>59.07</v>
      </c>
      <c r="H100" s="6">
        <v>12.03</v>
      </c>
      <c r="I100" s="6">
        <v>8.56</v>
      </c>
      <c r="J100" s="6">
        <v>0.3</v>
      </c>
      <c r="K100" s="6">
        <v>51.04</v>
      </c>
      <c r="L100" s="6">
        <v>7.67</v>
      </c>
      <c r="M100" s="6">
        <v>1.1100000000000001</v>
      </c>
      <c r="N100" s="6">
        <v>2.2999999999999998</v>
      </c>
      <c r="O100" s="6">
        <v>0</v>
      </c>
      <c r="P100" s="6">
        <v>0.46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1676</v>
      </c>
      <c r="B101" s="6">
        <v>4.38</v>
      </c>
      <c r="C101" s="6">
        <v>7.87</v>
      </c>
      <c r="D101" s="6">
        <v>7.62</v>
      </c>
      <c r="E101" s="6">
        <v>6.25</v>
      </c>
      <c r="F101" s="6">
        <v>2</v>
      </c>
      <c r="G101" s="6">
        <v>59.07</v>
      </c>
      <c r="H101" s="6">
        <v>12.03</v>
      </c>
      <c r="I101" s="6">
        <v>8.48</v>
      </c>
      <c r="J101" s="6">
        <v>0.23</v>
      </c>
      <c r="K101" s="6">
        <v>53.79</v>
      </c>
      <c r="L101" s="6">
        <v>8.5299999999999994</v>
      </c>
      <c r="M101" s="6">
        <v>3.31</v>
      </c>
      <c r="N101" s="6">
        <v>2.1</v>
      </c>
      <c r="O101" s="6">
        <v>0</v>
      </c>
      <c r="P101" s="6">
        <v>0.46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1677</v>
      </c>
      <c r="B102" s="6">
        <v>4.37</v>
      </c>
      <c r="C102" s="6">
        <v>7.95</v>
      </c>
      <c r="D102" s="6">
        <v>7.66</v>
      </c>
      <c r="E102" s="6">
        <v>5.82</v>
      </c>
      <c r="F102" s="6">
        <v>2</v>
      </c>
      <c r="G102" s="6">
        <v>59.07</v>
      </c>
      <c r="H102" s="6">
        <v>12.03</v>
      </c>
      <c r="I102" s="6">
        <v>8.3699999999999992</v>
      </c>
      <c r="J102" s="6">
        <v>0.3</v>
      </c>
      <c r="K102" s="6">
        <v>54.15</v>
      </c>
      <c r="L102" s="6">
        <v>7.94</v>
      </c>
      <c r="M102" s="6">
        <v>1.86</v>
      </c>
      <c r="N102" s="6">
        <v>2.1</v>
      </c>
      <c r="O102" s="6">
        <v>0</v>
      </c>
      <c r="P102" s="6">
        <v>0.45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1678</v>
      </c>
      <c r="B103" s="6">
        <v>4.5599999999999996</v>
      </c>
      <c r="C103" s="6">
        <v>7.64</v>
      </c>
      <c r="D103" s="6">
        <v>7.65</v>
      </c>
      <c r="E103" s="6">
        <v>6.15</v>
      </c>
      <c r="F103" s="6">
        <v>2</v>
      </c>
      <c r="G103" s="6">
        <v>58.99</v>
      </c>
      <c r="H103" s="6">
        <v>12.03</v>
      </c>
      <c r="I103" s="6">
        <v>8.4</v>
      </c>
      <c r="J103" s="6">
        <v>0.16</v>
      </c>
      <c r="K103" s="6">
        <v>74.849999999999994</v>
      </c>
      <c r="L103" s="6">
        <v>10.1</v>
      </c>
      <c r="M103" s="6">
        <v>7.33</v>
      </c>
      <c r="N103" s="6">
        <v>2.2000000000000002</v>
      </c>
      <c r="O103" s="6">
        <v>0</v>
      </c>
      <c r="P103" s="6">
        <v>0.46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1679</v>
      </c>
      <c r="B104" s="6">
        <v>4.66</v>
      </c>
      <c r="C104" s="6">
        <v>7.58</v>
      </c>
      <c r="D104" s="6">
        <v>7.7</v>
      </c>
      <c r="E104" s="6">
        <v>6.07</v>
      </c>
      <c r="F104" s="6">
        <v>2</v>
      </c>
      <c r="G104" s="6">
        <v>56.66</v>
      </c>
      <c r="H104" s="6">
        <v>12.07</v>
      </c>
      <c r="I104" s="6">
        <v>8.4700000000000006</v>
      </c>
      <c r="J104" s="6">
        <v>0.13</v>
      </c>
      <c r="K104" s="6">
        <v>185.67</v>
      </c>
      <c r="L104" s="6">
        <v>17.850000000000001</v>
      </c>
      <c r="M104" s="6">
        <v>26.93</v>
      </c>
      <c r="N104" s="6">
        <v>2.6</v>
      </c>
      <c r="O104" s="6">
        <v>0</v>
      </c>
      <c r="P104" s="6">
        <v>0.46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2.5299999999999998</v>
      </c>
      <c r="C106" s="158">
        <f>MIN(C9:C104)</f>
        <v>6.22</v>
      </c>
      <c r="D106" s="158">
        <f t="shared" ref="D106:Q106" si="0">MIN(D9:D104)</f>
        <v>5.33</v>
      </c>
      <c r="E106" s="158">
        <f t="shared" si="0"/>
        <v>4.9800000000000004</v>
      </c>
      <c r="F106" s="158">
        <f t="shared" si="0"/>
        <v>2</v>
      </c>
      <c r="G106" s="158">
        <f t="shared" si="0"/>
        <v>24.96</v>
      </c>
      <c r="H106" s="158">
        <f t="shared" si="0"/>
        <v>6.62</v>
      </c>
      <c r="I106" s="158">
        <f t="shared" si="0"/>
        <v>5.74</v>
      </c>
      <c r="J106" s="158">
        <f t="shared" si="0"/>
        <v>0.03</v>
      </c>
      <c r="K106" s="158">
        <f t="shared" si="0"/>
        <v>-0.11</v>
      </c>
      <c r="L106" s="158">
        <f t="shared" si="0"/>
        <v>6.34</v>
      </c>
      <c r="M106" s="158">
        <f t="shared" si="0"/>
        <v>-2.78</v>
      </c>
      <c r="N106" s="158">
        <f t="shared" si="0"/>
        <v>2</v>
      </c>
      <c r="O106" s="158">
        <f t="shared" si="0"/>
        <v>0</v>
      </c>
      <c r="P106" s="158">
        <f t="shared" si="0"/>
        <v>0.24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9.98</v>
      </c>
      <c r="C107" s="157">
        <f t="shared" ref="C107:Q107" si="1">MAX(C9:C104)</f>
        <v>9.76</v>
      </c>
      <c r="D107" s="157">
        <f t="shared" si="1"/>
        <v>12.02</v>
      </c>
      <c r="E107" s="157">
        <f t="shared" si="1"/>
        <v>8.5299999999999994</v>
      </c>
      <c r="F107" s="157">
        <f t="shared" si="1"/>
        <v>5.43</v>
      </c>
      <c r="G107" s="157">
        <f t="shared" si="1"/>
        <v>65.38</v>
      </c>
      <c r="H107" s="157">
        <f t="shared" si="1"/>
        <v>12.53</v>
      </c>
      <c r="I107" s="157">
        <f t="shared" si="1"/>
        <v>8.75</v>
      </c>
      <c r="J107" s="157">
        <f t="shared" si="1"/>
        <v>0.62</v>
      </c>
      <c r="K107" s="157">
        <f t="shared" si="1"/>
        <v>207.73</v>
      </c>
      <c r="L107" s="157">
        <f t="shared" si="1"/>
        <v>20.239999999999998</v>
      </c>
      <c r="M107" s="157">
        <f t="shared" si="1"/>
        <v>30.82</v>
      </c>
      <c r="N107" s="157">
        <f t="shared" si="1"/>
        <v>700.1</v>
      </c>
      <c r="O107" s="157">
        <f t="shared" si="1"/>
        <v>0</v>
      </c>
      <c r="P107" s="157">
        <f t="shared" si="1"/>
        <v>0.54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4.9807291666666673</v>
      </c>
      <c r="C108" s="158">
        <f t="shared" ref="C108:Q108" si="2">AVERAGE(C9:C104)</f>
        <v>7.2084375000000023</v>
      </c>
      <c r="D108" s="158">
        <f t="shared" si="2"/>
        <v>7.7607291666666685</v>
      </c>
      <c r="E108" s="158">
        <f t="shared" si="2"/>
        <v>6.537812500000002</v>
      </c>
      <c r="F108" s="158">
        <f t="shared" si="2"/>
        <v>2.1429166666666668</v>
      </c>
      <c r="G108" s="158">
        <f t="shared" si="2"/>
        <v>44.509374999999999</v>
      </c>
      <c r="H108" s="158">
        <f t="shared" si="2"/>
        <v>9.2093749999999961</v>
      </c>
      <c r="I108" s="158">
        <f t="shared" si="2"/>
        <v>7.4943750000000016</v>
      </c>
      <c r="J108" s="158">
        <f t="shared" si="2"/>
        <v>0.24031250000000004</v>
      </c>
      <c r="K108" s="158">
        <f t="shared" si="2"/>
        <v>89.210937500000014</v>
      </c>
      <c r="L108" s="158">
        <f t="shared" si="2"/>
        <v>12.609999999999994</v>
      </c>
      <c r="M108" s="158">
        <f t="shared" si="2"/>
        <v>10.408645833333333</v>
      </c>
      <c r="N108" s="158">
        <f t="shared" si="2"/>
        <v>138.56354166666668</v>
      </c>
      <c r="O108" s="158">
        <f t="shared" si="2"/>
        <v>0</v>
      </c>
      <c r="P108" s="158">
        <f t="shared" si="2"/>
        <v>0.43072916666666689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2.2973830626178806</v>
      </c>
      <c r="C109" s="158">
        <f t="shared" ref="C109:Q109" si="3">STDEV(C9:C104)</f>
        <v>0.81670368023888706</v>
      </c>
      <c r="D109" s="158">
        <f t="shared" si="3"/>
        <v>1.9108957639321944</v>
      </c>
      <c r="E109" s="158">
        <f t="shared" si="3"/>
        <v>0.70960953403222893</v>
      </c>
      <c r="F109" s="158">
        <f t="shared" si="3"/>
        <v>0.50964779720212916</v>
      </c>
      <c r="G109" s="158">
        <f t="shared" si="3"/>
        <v>11.819930341989185</v>
      </c>
      <c r="H109" s="158">
        <f t="shared" si="3"/>
        <v>1.7054579952858175</v>
      </c>
      <c r="I109" s="158">
        <f t="shared" si="3"/>
        <v>0.81067329067295746</v>
      </c>
      <c r="J109" s="158">
        <f t="shared" si="3"/>
        <v>0.12151199312695098</v>
      </c>
      <c r="K109" s="158">
        <f t="shared" si="3"/>
        <v>45.065412763369757</v>
      </c>
      <c r="L109" s="158">
        <f t="shared" si="3"/>
        <v>3.7232736020590291</v>
      </c>
      <c r="M109" s="158">
        <f t="shared" si="3"/>
        <v>7.6195379912145187</v>
      </c>
      <c r="N109" s="158">
        <f t="shared" si="3"/>
        <v>221.63993708136132</v>
      </c>
      <c r="O109" s="158">
        <f t="shared" si="3"/>
        <v>0</v>
      </c>
      <c r="P109" s="158">
        <f t="shared" si="3"/>
        <v>8.7205079423121015E-2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K17" sqref="K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1680</v>
      </c>
      <c r="B9" s="6">
        <v>4.43</v>
      </c>
      <c r="C9" s="6">
        <v>6.91</v>
      </c>
      <c r="D9" s="6">
        <v>7.16</v>
      </c>
      <c r="E9" s="6">
        <v>6.11</v>
      </c>
      <c r="F9" s="6">
        <v>2</v>
      </c>
      <c r="G9" s="6">
        <v>56.66</v>
      </c>
      <c r="H9" s="6">
        <v>12.07</v>
      </c>
      <c r="I9" s="6">
        <v>8.42</v>
      </c>
      <c r="J9" s="6">
        <v>0.15</v>
      </c>
      <c r="K9" s="6">
        <v>197.07</v>
      </c>
      <c r="L9" s="6">
        <v>18.18</v>
      </c>
      <c r="M9" s="6">
        <v>27.78</v>
      </c>
      <c r="N9" s="6">
        <v>2.5</v>
      </c>
      <c r="O9" s="6">
        <v>0</v>
      </c>
      <c r="P9" s="6">
        <v>0.45</v>
      </c>
      <c r="Q9" s="6">
        <v>10</v>
      </c>
      <c r="R9" s="6"/>
      <c r="S9" s="6"/>
      <c r="T9" s="156"/>
      <c r="U9" s="6"/>
    </row>
    <row r="10" spans="1:21" customFormat="1">
      <c r="A10" s="201" t="s">
        <v>1681</v>
      </c>
      <c r="B10" s="6">
        <v>4.3099999999999996</v>
      </c>
      <c r="C10" s="6">
        <v>6.71</v>
      </c>
      <c r="D10" s="6">
        <v>6.96</v>
      </c>
      <c r="E10" s="6">
        <v>6.01</v>
      </c>
      <c r="F10" s="6">
        <v>2</v>
      </c>
      <c r="G10" s="6">
        <v>56.66</v>
      </c>
      <c r="H10" s="6">
        <v>12.07</v>
      </c>
      <c r="I10" s="6">
        <v>8.44</v>
      </c>
      <c r="J10" s="6">
        <v>0.1</v>
      </c>
      <c r="K10" s="6">
        <v>201.48</v>
      </c>
      <c r="L10" s="6">
        <v>18.71</v>
      </c>
      <c r="M10" s="6">
        <v>29.11</v>
      </c>
      <c r="N10" s="6">
        <v>2.2999999999999998</v>
      </c>
      <c r="O10" s="6">
        <v>0</v>
      </c>
      <c r="P10" s="6">
        <v>0.43</v>
      </c>
      <c r="Q10" s="6">
        <v>10</v>
      </c>
      <c r="R10" s="6"/>
      <c r="S10" s="6"/>
      <c r="T10" s="156"/>
      <c r="U10" s="6"/>
    </row>
    <row r="11" spans="1:21" customFormat="1">
      <c r="A11" s="201" t="s">
        <v>1682</v>
      </c>
      <c r="B11" s="6">
        <v>4.1100000000000003</v>
      </c>
      <c r="C11" s="6">
        <v>6.62</v>
      </c>
      <c r="D11" s="6">
        <v>6.75</v>
      </c>
      <c r="E11" s="6">
        <v>6.02</v>
      </c>
      <c r="F11" s="6">
        <v>2</v>
      </c>
      <c r="G11" s="6">
        <v>56.43</v>
      </c>
      <c r="H11" s="6">
        <v>12.07</v>
      </c>
      <c r="I11" s="6">
        <v>8.43</v>
      </c>
      <c r="J11" s="6">
        <v>0.11</v>
      </c>
      <c r="K11" s="6">
        <v>189.73</v>
      </c>
      <c r="L11" s="6">
        <v>17.899999999999999</v>
      </c>
      <c r="M11" s="6">
        <v>27.07</v>
      </c>
      <c r="N11" s="6">
        <v>2.1</v>
      </c>
      <c r="O11" s="6">
        <v>0</v>
      </c>
      <c r="P11" s="6">
        <v>0.42</v>
      </c>
      <c r="Q11" s="6">
        <v>10</v>
      </c>
      <c r="R11" s="6"/>
      <c r="S11" s="6"/>
      <c r="T11" s="156"/>
      <c r="U11" s="6"/>
    </row>
    <row r="12" spans="1:21" customFormat="1">
      <c r="A12" s="201" t="s">
        <v>1683</v>
      </c>
      <c r="B12" s="6">
        <v>4.01</v>
      </c>
      <c r="C12" s="6">
        <v>6.47</v>
      </c>
      <c r="D12" s="6">
        <v>6.6</v>
      </c>
      <c r="E12" s="6">
        <v>6.65</v>
      </c>
      <c r="F12" s="6">
        <v>2</v>
      </c>
      <c r="G12" s="6">
        <v>49.74</v>
      </c>
      <c r="H12" s="6">
        <v>11.9</v>
      </c>
      <c r="I12" s="6">
        <v>8.3699999999999992</v>
      </c>
      <c r="J12" s="6">
        <v>0.12</v>
      </c>
      <c r="K12" s="6">
        <v>167.39</v>
      </c>
      <c r="L12" s="6">
        <v>16.829999999999998</v>
      </c>
      <c r="M12" s="6">
        <v>24.39</v>
      </c>
      <c r="N12" s="6">
        <v>2</v>
      </c>
      <c r="O12" s="6">
        <v>0</v>
      </c>
      <c r="P12" s="6">
        <v>0.42</v>
      </c>
      <c r="Q12" s="6">
        <v>10</v>
      </c>
      <c r="R12" s="6"/>
      <c r="S12" s="6"/>
      <c r="T12" s="156"/>
      <c r="U12" s="6"/>
    </row>
    <row r="13" spans="1:21" customFormat="1">
      <c r="A13" s="201" t="s">
        <v>1684</v>
      </c>
      <c r="B13" s="6">
        <v>3.97</v>
      </c>
      <c r="C13" s="6">
        <v>6.39</v>
      </c>
      <c r="D13" s="6">
        <v>6.52</v>
      </c>
      <c r="E13" s="6">
        <v>6.28</v>
      </c>
      <c r="F13" s="6">
        <v>2</v>
      </c>
      <c r="G13" s="6">
        <v>49.74</v>
      </c>
      <c r="H13" s="6">
        <v>11.9</v>
      </c>
      <c r="I13" s="6">
        <v>8.26</v>
      </c>
      <c r="J13" s="6">
        <v>0.16</v>
      </c>
      <c r="K13" s="6">
        <v>157.38999999999999</v>
      </c>
      <c r="L13" s="6">
        <v>15.22</v>
      </c>
      <c r="M13" s="6">
        <v>20.34</v>
      </c>
      <c r="N13" s="6">
        <v>2.1</v>
      </c>
      <c r="O13" s="6">
        <v>0</v>
      </c>
      <c r="P13" s="6">
        <v>0.41</v>
      </c>
      <c r="Q13" s="6">
        <v>10</v>
      </c>
      <c r="R13" s="6"/>
      <c r="S13" s="6"/>
      <c r="T13" s="156"/>
      <c r="U13" s="6"/>
    </row>
    <row r="14" spans="1:21" customFormat="1">
      <c r="A14" s="201" t="s">
        <v>1685</v>
      </c>
      <c r="B14" s="6">
        <v>3.96</v>
      </c>
      <c r="C14" s="6">
        <v>6.43</v>
      </c>
      <c r="D14" s="6">
        <v>6.54</v>
      </c>
      <c r="E14" s="6">
        <v>6.19</v>
      </c>
      <c r="F14" s="6">
        <v>2</v>
      </c>
      <c r="G14" s="6">
        <v>49.74</v>
      </c>
      <c r="H14" s="6">
        <v>11.9</v>
      </c>
      <c r="I14" s="6">
        <v>8.15</v>
      </c>
      <c r="J14" s="6">
        <v>0.14000000000000001</v>
      </c>
      <c r="K14" s="6">
        <v>154.41999999999999</v>
      </c>
      <c r="L14" s="6">
        <v>14.73</v>
      </c>
      <c r="M14" s="6">
        <v>19.13</v>
      </c>
      <c r="N14" s="6">
        <v>2.1</v>
      </c>
      <c r="O14" s="6">
        <v>0</v>
      </c>
      <c r="P14" s="6">
        <v>0.41</v>
      </c>
      <c r="Q14" s="6">
        <v>10</v>
      </c>
      <c r="R14" s="6"/>
      <c r="S14" s="6"/>
      <c r="T14" s="156"/>
      <c r="U14" s="6"/>
    </row>
    <row r="15" spans="1:21" customFormat="1">
      <c r="A15" s="201" t="s">
        <v>1686</v>
      </c>
      <c r="B15" s="6">
        <v>4.0199999999999996</v>
      </c>
      <c r="C15" s="6">
        <v>6.41</v>
      </c>
      <c r="D15" s="6">
        <v>6.57</v>
      </c>
      <c r="E15" s="6">
        <v>6.25</v>
      </c>
      <c r="F15" s="6">
        <v>2</v>
      </c>
      <c r="G15" s="6">
        <v>49.64</v>
      </c>
      <c r="H15" s="6">
        <v>11.87</v>
      </c>
      <c r="I15" s="6">
        <v>8.23</v>
      </c>
      <c r="J15" s="6">
        <v>0.12</v>
      </c>
      <c r="K15" s="6">
        <v>184.14</v>
      </c>
      <c r="L15" s="6">
        <v>17.52</v>
      </c>
      <c r="M15" s="6">
        <v>26.15</v>
      </c>
      <c r="N15" s="6">
        <v>2.1</v>
      </c>
      <c r="O15" s="6">
        <v>0</v>
      </c>
      <c r="P15" s="6">
        <v>0.41</v>
      </c>
      <c r="Q15" s="6">
        <v>10</v>
      </c>
      <c r="R15" s="6"/>
      <c r="S15" s="6"/>
      <c r="T15" s="156"/>
      <c r="U15" s="6"/>
    </row>
    <row r="16" spans="1:21" customFormat="1">
      <c r="A16" s="201" t="s">
        <v>1687</v>
      </c>
      <c r="B16" s="6">
        <v>4.03</v>
      </c>
      <c r="C16" s="6">
        <v>6.45</v>
      </c>
      <c r="D16" s="6">
        <v>6.6</v>
      </c>
      <c r="E16" s="6">
        <v>6.37</v>
      </c>
      <c r="F16" s="6">
        <v>2</v>
      </c>
      <c r="G16" s="6">
        <v>46.56</v>
      </c>
      <c r="H16" s="6">
        <v>10.97</v>
      </c>
      <c r="I16" s="6">
        <v>8.32</v>
      </c>
      <c r="J16" s="6">
        <v>0.08</v>
      </c>
      <c r="K16" s="6">
        <v>191.82</v>
      </c>
      <c r="L16" s="6">
        <v>17.84</v>
      </c>
      <c r="M16" s="6">
        <v>26.93</v>
      </c>
      <c r="N16" s="6">
        <v>2.1</v>
      </c>
      <c r="O16" s="6">
        <v>0</v>
      </c>
      <c r="P16" s="6">
        <v>0.41</v>
      </c>
      <c r="Q16" s="6">
        <v>10</v>
      </c>
      <c r="R16" s="6"/>
      <c r="S16" s="6"/>
      <c r="T16" s="156"/>
      <c r="U16" s="6"/>
    </row>
    <row r="17" spans="1:21" customFormat="1">
      <c r="A17" s="201" t="s">
        <v>1688</v>
      </c>
      <c r="B17" s="6">
        <v>4.1500000000000004</v>
      </c>
      <c r="C17" s="6">
        <v>6.57</v>
      </c>
      <c r="D17" s="6">
        <v>6.76</v>
      </c>
      <c r="E17" s="6">
        <v>5.0599999999999996</v>
      </c>
      <c r="F17" s="6">
        <v>2</v>
      </c>
      <c r="G17" s="6">
        <v>46.56</v>
      </c>
      <c r="H17" s="6">
        <v>10.97</v>
      </c>
      <c r="I17" s="6">
        <v>8.36</v>
      </c>
      <c r="J17" s="6">
        <v>0.09</v>
      </c>
      <c r="K17" s="6">
        <v>165.41</v>
      </c>
      <c r="L17" s="6">
        <v>16.72</v>
      </c>
      <c r="M17" s="6">
        <v>24.13</v>
      </c>
      <c r="N17" s="6">
        <v>2.1</v>
      </c>
      <c r="O17" s="6">
        <v>0</v>
      </c>
      <c r="P17" s="6">
        <v>0.41</v>
      </c>
      <c r="Q17" s="6">
        <v>10</v>
      </c>
      <c r="R17" s="6"/>
      <c r="S17" s="6"/>
      <c r="T17" s="156"/>
      <c r="U17" s="6"/>
    </row>
    <row r="18" spans="1:21" customFormat="1">
      <c r="A18" s="201" t="s">
        <v>1689</v>
      </c>
      <c r="B18" s="6">
        <v>4.8</v>
      </c>
      <c r="C18" s="6">
        <v>6.78</v>
      </c>
      <c r="D18" s="6">
        <v>7.39</v>
      </c>
      <c r="E18" s="6">
        <v>6.04</v>
      </c>
      <c r="F18" s="6">
        <v>2</v>
      </c>
      <c r="G18" s="6">
        <v>46.56</v>
      </c>
      <c r="H18" s="6">
        <v>10.97</v>
      </c>
      <c r="I18" s="6">
        <v>8.4600000000000009</v>
      </c>
      <c r="J18" s="6">
        <v>0.14000000000000001</v>
      </c>
      <c r="K18" s="6">
        <v>156.66</v>
      </c>
      <c r="L18" s="6">
        <v>15.74</v>
      </c>
      <c r="M18" s="6">
        <v>21.69</v>
      </c>
      <c r="N18" s="6">
        <v>2.1</v>
      </c>
      <c r="O18" s="6">
        <v>0</v>
      </c>
      <c r="P18" s="6">
        <v>0.41</v>
      </c>
      <c r="Q18" s="6">
        <v>10</v>
      </c>
      <c r="R18" s="6"/>
      <c r="S18" s="6"/>
      <c r="T18" s="156"/>
      <c r="U18" s="6"/>
    </row>
    <row r="19" spans="1:21" customFormat="1">
      <c r="A19" s="201" t="s">
        <v>1690</v>
      </c>
      <c r="B19" s="6">
        <v>5.23</v>
      </c>
      <c r="C19" s="6">
        <v>7.02</v>
      </c>
      <c r="D19" s="6">
        <v>7.86</v>
      </c>
      <c r="E19" s="6">
        <v>6.05</v>
      </c>
      <c r="F19" s="6">
        <v>2</v>
      </c>
      <c r="G19" s="6">
        <v>46.59</v>
      </c>
      <c r="H19" s="6">
        <v>10.98</v>
      </c>
      <c r="I19" s="6">
        <v>8.5</v>
      </c>
      <c r="J19" s="6">
        <v>0.13</v>
      </c>
      <c r="K19" s="6">
        <v>184.94</v>
      </c>
      <c r="L19" s="6">
        <v>17.54</v>
      </c>
      <c r="M19" s="6">
        <v>26.22</v>
      </c>
      <c r="N19" s="6">
        <v>2.1</v>
      </c>
      <c r="O19" s="6">
        <v>0</v>
      </c>
      <c r="P19" s="6">
        <v>0.41</v>
      </c>
      <c r="Q19" s="6">
        <v>10</v>
      </c>
      <c r="R19" s="6"/>
      <c r="S19" s="6"/>
      <c r="T19" s="156"/>
      <c r="U19" s="6"/>
    </row>
    <row r="20" spans="1:21" customFormat="1">
      <c r="A20" s="201" t="s">
        <v>1691</v>
      </c>
      <c r="B20" s="6">
        <v>5.3</v>
      </c>
      <c r="C20" s="6">
        <v>6.76</v>
      </c>
      <c r="D20" s="6">
        <v>7.78</v>
      </c>
      <c r="E20" s="6">
        <v>5.9</v>
      </c>
      <c r="F20" s="6">
        <v>2</v>
      </c>
      <c r="G20" s="6">
        <v>47.4</v>
      </c>
      <c r="H20" s="6">
        <v>11.16</v>
      </c>
      <c r="I20" s="6">
        <v>8.57</v>
      </c>
      <c r="J20" s="6">
        <v>0.14000000000000001</v>
      </c>
      <c r="K20" s="6">
        <v>204.9</v>
      </c>
      <c r="L20" s="6">
        <v>19.010000000000002</v>
      </c>
      <c r="M20" s="6">
        <v>29.86</v>
      </c>
      <c r="N20" s="6">
        <v>2.1</v>
      </c>
      <c r="O20" s="6">
        <v>0</v>
      </c>
      <c r="P20" s="6">
        <v>0.42</v>
      </c>
      <c r="Q20" s="6">
        <v>10</v>
      </c>
      <c r="R20" s="6"/>
      <c r="S20" s="6"/>
      <c r="T20" s="156"/>
      <c r="U20" s="6"/>
    </row>
    <row r="21" spans="1:21" customFormat="1">
      <c r="A21" s="201" t="s">
        <v>1692</v>
      </c>
      <c r="B21" s="6">
        <v>5.25</v>
      </c>
      <c r="C21" s="6">
        <v>6.58</v>
      </c>
      <c r="D21" s="6">
        <v>7.65</v>
      </c>
      <c r="E21" s="6">
        <v>5.83</v>
      </c>
      <c r="F21" s="6">
        <v>2</v>
      </c>
      <c r="G21" s="6">
        <v>47.4</v>
      </c>
      <c r="H21" s="6">
        <v>11.16</v>
      </c>
      <c r="I21" s="6">
        <v>8.6999999999999993</v>
      </c>
      <c r="J21" s="6">
        <v>0.1</v>
      </c>
      <c r="K21" s="6">
        <v>161.66999999999999</v>
      </c>
      <c r="L21" s="6">
        <v>16.11</v>
      </c>
      <c r="M21" s="6">
        <v>22.61</v>
      </c>
      <c r="N21" s="6">
        <v>2.1</v>
      </c>
      <c r="O21" s="6">
        <v>0</v>
      </c>
      <c r="P21" s="6">
        <v>0.41</v>
      </c>
      <c r="Q21" s="6">
        <v>10</v>
      </c>
      <c r="R21" s="6"/>
      <c r="S21" s="6"/>
      <c r="T21" s="156"/>
      <c r="U21" s="6"/>
    </row>
    <row r="22" spans="1:21" customFormat="1">
      <c r="A22" s="201" t="s">
        <v>1693</v>
      </c>
      <c r="B22" s="6">
        <v>5.26</v>
      </c>
      <c r="C22" s="6">
        <v>6.37</v>
      </c>
      <c r="D22" s="6">
        <v>7.54</v>
      </c>
      <c r="E22" s="6">
        <v>6.01</v>
      </c>
      <c r="F22" s="6">
        <v>2</v>
      </c>
      <c r="G22" s="6">
        <v>47.4</v>
      </c>
      <c r="H22" s="6">
        <v>11.16</v>
      </c>
      <c r="I22" s="6">
        <v>8.7100000000000009</v>
      </c>
      <c r="J22" s="6">
        <v>0.08</v>
      </c>
      <c r="K22" s="6">
        <v>149.66</v>
      </c>
      <c r="L22" s="6">
        <v>14.8</v>
      </c>
      <c r="M22" s="6">
        <v>19.32</v>
      </c>
      <c r="N22" s="6">
        <v>2.1</v>
      </c>
      <c r="O22" s="6">
        <v>0</v>
      </c>
      <c r="P22" s="6">
        <v>0.41</v>
      </c>
      <c r="Q22" s="6">
        <v>10</v>
      </c>
      <c r="R22" s="6"/>
      <c r="S22" s="6"/>
      <c r="T22" s="156"/>
      <c r="U22" s="6"/>
    </row>
    <row r="23" spans="1:21" customFormat="1">
      <c r="A23" s="201" t="s">
        <v>1694</v>
      </c>
      <c r="B23" s="6">
        <v>5.22</v>
      </c>
      <c r="C23" s="6">
        <v>6.33</v>
      </c>
      <c r="D23" s="6">
        <v>7.5</v>
      </c>
      <c r="E23" s="6">
        <v>6.02</v>
      </c>
      <c r="F23" s="6">
        <v>2</v>
      </c>
      <c r="G23" s="6">
        <v>47.18</v>
      </c>
      <c r="H23" s="6">
        <v>11.15</v>
      </c>
      <c r="I23" s="6">
        <v>8.67</v>
      </c>
      <c r="J23" s="6">
        <v>0.11</v>
      </c>
      <c r="K23" s="6">
        <v>11.51</v>
      </c>
      <c r="L23" s="6">
        <v>14.5</v>
      </c>
      <c r="M23" s="6">
        <v>18.38</v>
      </c>
      <c r="N23" s="6">
        <v>2.1</v>
      </c>
      <c r="O23" s="6">
        <v>0</v>
      </c>
      <c r="P23" s="6">
        <v>0.4</v>
      </c>
      <c r="Q23" s="6">
        <v>10</v>
      </c>
      <c r="R23" s="6"/>
      <c r="S23" s="6"/>
      <c r="T23" s="156"/>
      <c r="U23" s="6"/>
    </row>
    <row r="24" spans="1:21" customFormat="1">
      <c r="A24" s="201" t="s">
        <v>1695</v>
      </c>
      <c r="B24" s="6">
        <v>5.31</v>
      </c>
      <c r="C24" s="6">
        <v>6.36</v>
      </c>
      <c r="D24" s="6">
        <v>7.58</v>
      </c>
      <c r="E24" s="6">
        <v>5.88</v>
      </c>
      <c r="F24" s="6">
        <v>2</v>
      </c>
      <c r="G24" s="6">
        <v>40.76</v>
      </c>
      <c r="H24" s="6">
        <v>10.77</v>
      </c>
      <c r="I24" s="6">
        <v>8.6999999999999993</v>
      </c>
      <c r="J24" s="6">
        <v>0.21</v>
      </c>
      <c r="K24" s="6">
        <v>35.21</v>
      </c>
      <c r="L24" s="6">
        <v>12.66</v>
      </c>
      <c r="M24" s="6">
        <v>13.64</v>
      </c>
      <c r="N24" s="6">
        <v>2</v>
      </c>
      <c r="O24" s="6">
        <v>0</v>
      </c>
      <c r="P24" s="6">
        <v>0.41</v>
      </c>
      <c r="Q24" s="6">
        <v>10</v>
      </c>
      <c r="R24" s="6"/>
      <c r="S24" s="6"/>
      <c r="T24" s="156"/>
      <c r="U24" s="6"/>
    </row>
    <row r="25" spans="1:21" customFormat="1">
      <c r="A25" s="201" t="s">
        <v>1696</v>
      </c>
      <c r="B25" s="6">
        <v>5.4</v>
      </c>
      <c r="C25" s="6">
        <v>6.45</v>
      </c>
      <c r="D25" s="6">
        <v>7.7</v>
      </c>
      <c r="E25" s="6">
        <v>6.3</v>
      </c>
      <c r="F25" s="6">
        <v>2</v>
      </c>
      <c r="G25" s="6">
        <v>40.76</v>
      </c>
      <c r="H25" s="6">
        <v>10.77</v>
      </c>
      <c r="I25" s="6">
        <v>8.77</v>
      </c>
      <c r="J25" s="6">
        <v>0.21</v>
      </c>
      <c r="K25" s="6">
        <v>56.11</v>
      </c>
      <c r="L25" s="6">
        <v>9.06</v>
      </c>
      <c r="M25" s="6">
        <v>4.62</v>
      </c>
      <c r="N25" s="6">
        <v>2.1</v>
      </c>
      <c r="O25" s="6">
        <v>0</v>
      </c>
      <c r="P25" s="6">
        <v>0.4</v>
      </c>
      <c r="Q25" s="6">
        <v>10</v>
      </c>
      <c r="R25" s="6"/>
      <c r="S25" s="6"/>
      <c r="T25" s="156"/>
      <c r="U25" s="6"/>
    </row>
    <row r="26" spans="1:21" customFormat="1">
      <c r="A26" s="201" t="s">
        <v>1697</v>
      </c>
      <c r="B26" s="6">
        <v>5.5</v>
      </c>
      <c r="C26" s="6">
        <v>6.6</v>
      </c>
      <c r="D26" s="6">
        <v>7.86</v>
      </c>
      <c r="E26" s="6">
        <v>6.36</v>
      </c>
      <c r="F26" s="6">
        <v>2</v>
      </c>
      <c r="G26" s="6">
        <v>40.76</v>
      </c>
      <c r="H26" s="6">
        <v>10.77</v>
      </c>
      <c r="I26" s="6">
        <v>8.7200000000000006</v>
      </c>
      <c r="J26" s="6">
        <v>0.13</v>
      </c>
      <c r="K26" s="6">
        <v>96.21</v>
      </c>
      <c r="L26" s="6">
        <v>10.220000000000001</v>
      </c>
      <c r="M26" s="6">
        <v>7.69</v>
      </c>
      <c r="N26" s="6">
        <v>2.1</v>
      </c>
      <c r="O26" s="6">
        <v>0</v>
      </c>
      <c r="P26" s="6">
        <v>0.39</v>
      </c>
      <c r="Q26" s="6">
        <v>10</v>
      </c>
      <c r="R26" s="6"/>
      <c r="S26" s="6"/>
      <c r="T26" s="156"/>
      <c r="U26" s="6"/>
    </row>
    <row r="27" spans="1:21" customFormat="1">
      <c r="A27" s="201" t="s">
        <v>1698</v>
      </c>
      <c r="B27" s="6">
        <v>5.51</v>
      </c>
      <c r="C27" s="6">
        <v>6.66</v>
      </c>
      <c r="D27" s="6">
        <v>7.9</v>
      </c>
      <c r="E27" s="6">
        <v>6.07</v>
      </c>
      <c r="F27" s="6">
        <v>2</v>
      </c>
      <c r="G27" s="6">
        <v>41</v>
      </c>
      <c r="H27" s="6">
        <v>10.76</v>
      </c>
      <c r="I27" s="6">
        <v>8.64</v>
      </c>
      <c r="J27" s="6">
        <v>0.11</v>
      </c>
      <c r="K27" s="6">
        <v>146.47999999999999</v>
      </c>
      <c r="L27" s="6">
        <v>12.75</v>
      </c>
      <c r="M27" s="6">
        <v>14.13</v>
      </c>
      <c r="N27" s="6">
        <v>2</v>
      </c>
      <c r="O27" s="6">
        <v>0</v>
      </c>
      <c r="P27" s="6">
        <v>0.39</v>
      </c>
      <c r="Q27" s="6">
        <v>10</v>
      </c>
      <c r="R27" s="6"/>
      <c r="S27" s="6"/>
      <c r="T27" s="156"/>
      <c r="U27" s="6"/>
    </row>
    <row r="28" spans="1:21" customFormat="1">
      <c r="A28" s="201" t="s">
        <v>1699</v>
      </c>
      <c r="B28" s="6">
        <v>5.44</v>
      </c>
      <c r="C28" s="6">
        <v>6.69</v>
      </c>
      <c r="D28" s="6">
        <v>7.86</v>
      </c>
      <c r="E28" s="6">
        <v>6.24</v>
      </c>
      <c r="F28" s="6">
        <v>2</v>
      </c>
      <c r="G28" s="6">
        <v>47.98</v>
      </c>
      <c r="H28" s="6">
        <v>10.61</v>
      </c>
      <c r="I28" s="6">
        <v>8.58</v>
      </c>
      <c r="J28" s="6">
        <v>0.11</v>
      </c>
      <c r="K28" s="6">
        <v>186.43</v>
      </c>
      <c r="L28" s="6">
        <v>16.43</v>
      </c>
      <c r="M28" s="6">
        <v>23.39</v>
      </c>
      <c r="N28" s="6">
        <v>2.1</v>
      </c>
      <c r="O28" s="6">
        <v>0</v>
      </c>
      <c r="P28" s="6">
        <v>0.4</v>
      </c>
      <c r="Q28" s="6">
        <v>10</v>
      </c>
      <c r="R28" s="6"/>
      <c r="S28" s="6"/>
      <c r="T28" s="156"/>
      <c r="U28" s="6"/>
    </row>
    <row r="29" spans="1:21" customFormat="1">
      <c r="A29" s="201" t="s">
        <v>1700</v>
      </c>
      <c r="B29" s="6">
        <v>5.36</v>
      </c>
      <c r="C29" s="6">
        <v>6.61</v>
      </c>
      <c r="D29" s="6">
        <v>7.75</v>
      </c>
      <c r="E29" s="6">
        <v>6.07</v>
      </c>
      <c r="F29" s="6">
        <v>2</v>
      </c>
      <c r="G29" s="6">
        <v>47.98</v>
      </c>
      <c r="H29" s="6">
        <v>10.61</v>
      </c>
      <c r="I29" s="6">
        <v>8.6</v>
      </c>
      <c r="J29" s="6">
        <v>0.1</v>
      </c>
      <c r="K29" s="6">
        <v>176.57</v>
      </c>
      <c r="L29" s="6">
        <v>16.850000000000001</v>
      </c>
      <c r="M29" s="6">
        <v>24.45</v>
      </c>
      <c r="N29" s="6">
        <v>2.1</v>
      </c>
      <c r="O29" s="6">
        <v>0</v>
      </c>
      <c r="P29" s="6">
        <v>0.4</v>
      </c>
      <c r="Q29" s="6">
        <v>10</v>
      </c>
      <c r="R29" s="6"/>
      <c r="S29" s="6"/>
      <c r="T29" s="156"/>
      <c r="U29" s="6"/>
    </row>
    <row r="30" spans="1:21" customFormat="1">
      <c r="A30" s="201" t="s">
        <v>1701</v>
      </c>
      <c r="B30" s="6">
        <v>5.37</v>
      </c>
      <c r="C30" s="6">
        <v>6.33</v>
      </c>
      <c r="D30" s="6">
        <v>7.61</v>
      </c>
      <c r="E30" s="6">
        <v>6.04</v>
      </c>
      <c r="F30" s="6">
        <v>2</v>
      </c>
      <c r="G30" s="6">
        <v>47.98</v>
      </c>
      <c r="H30" s="6">
        <v>10.61</v>
      </c>
      <c r="I30" s="6">
        <v>8.6199999999999992</v>
      </c>
      <c r="J30" s="6">
        <v>7.0000000000000007E-2</v>
      </c>
      <c r="K30" s="6">
        <v>127.78</v>
      </c>
      <c r="L30" s="6">
        <v>14.67</v>
      </c>
      <c r="M30" s="6">
        <v>18.93</v>
      </c>
      <c r="N30" s="6">
        <v>2.1</v>
      </c>
      <c r="O30" s="6">
        <v>0</v>
      </c>
      <c r="P30" s="6">
        <v>0.42</v>
      </c>
      <c r="Q30" s="6">
        <v>10</v>
      </c>
      <c r="R30" s="6"/>
      <c r="S30" s="6"/>
      <c r="T30" s="156"/>
      <c r="U30" s="6"/>
    </row>
    <row r="31" spans="1:21" customFormat="1">
      <c r="A31" s="201" t="s">
        <v>1702</v>
      </c>
      <c r="B31" s="6">
        <v>5.48</v>
      </c>
      <c r="C31" s="6">
        <v>6.09</v>
      </c>
      <c r="D31" s="6">
        <v>7.58</v>
      </c>
      <c r="E31" s="6">
        <v>5.98</v>
      </c>
      <c r="F31" s="6">
        <v>2</v>
      </c>
      <c r="G31" s="6">
        <v>47.81</v>
      </c>
      <c r="H31" s="6">
        <v>10.6</v>
      </c>
      <c r="I31" s="6">
        <v>8.6199999999999992</v>
      </c>
      <c r="J31" s="6">
        <v>0.13</v>
      </c>
      <c r="K31" s="6">
        <v>149.55000000000001</v>
      </c>
      <c r="L31" s="6">
        <v>14.7</v>
      </c>
      <c r="M31" s="6">
        <v>19.03</v>
      </c>
      <c r="N31" s="6">
        <v>2.1</v>
      </c>
      <c r="O31" s="6">
        <v>0</v>
      </c>
      <c r="P31" s="6">
        <v>0.42</v>
      </c>
      <c r="Q31" s="6">
        <v>10</v>
      </c>
      <c r="R31" s="6"/>
      <c r="S31" s="6"/>
      <c r="T31" s="156"/>
      <c r="U31" s="6"/>
    </row>
    <row r="32" spans="1:21" customFormat="1">
      <c r="A32" s="201" t="s">
        <v>1703</v>
      </c>
      <c r="B32" s="6">
        <v>5.6</v>
      </c>
      <c r="C32" s="6">
        <v>6.1</v>
      </c>
      <c r="D32" s="6">
        <v>7.68</v>
      </c>
      <c r="E32" s="6">
        <v>6.04</v>
      </c>
      <c r="F32" s="6">
        <v>2</v>
      </c>
      <c r="G32" s="6">
        <v>42.63</v>
      </c>
      <c r="H32" s="6">
        <v>10.23</v>
      </c>
      <c r="I32" s="6">
        <v>8.66</v>
      </c>
      <c r="J32" s="6">
        <v>7.0000000000000007E-2</v>
      </c>
      <c r="K32" s="6">
        <v>171.12</v>
      </c>
      <c r="L32" s="6">
        <v>17</v>
      </c>
      <c r="M32" s="6">
        <v>24.72</v>
      </c>
      <c r="N32" s="6">
        <v>3</v>
      </c>
      <c r="O32" s="6">
        <v>0</v>
      </c>
      <c r="P32" s="6">
        <v>0.42</v>
      </c>
      <c r="Q32" s="6">
        <v>10</v>
      </c>
      <c r="R32" s="6"/>
      <c r="S32" s="6"/>
      <c r="T32" s="156"/>
      <c r="U32" s="6"/>
    </row>
    <row r="33" spans="1:21" customFormat="1">
      <c r="A33" s="201" t="s">
        <v>1704</v>
      </c>
      <c r="B33" s="6">
        <v>5.84</v>
      </c>
      <c r="C33" s="6">
        <v>6.06</v>
      </c>
      <c r="D33" s="6">
        <v>7.85</v>
      </c>
      <c r="E33" s="6">
        <v>6</v>
      </c>
      <c r="F33" s="6">
        <v>2</v>
      </c>
      <c r="G33" s="6">
        <v>42.63</v>
      </c>
      <c r="H33" s="6">
        <v>10.23</v>
      </c>
      <c r="I33" s="6">
        <v>8.68</v>
      </c>
      <c r="J33" s="6">
        <v>0.1</v>
      </c>
      <c r="K33" s="6">
        <v>190.5</v>
      </c>
      <c r="L33" s="6">
        <v>16.71</v>
      </c>
      <c r="M33" s="6">
        <v>23.93</v>
      </c>
      <c r="N33" s="6">
        <v>6.4</v>
      </c>
      <c r="O33" s="6">
        <v>0</v>
      </c>
      <c r="P33" s="6">
        <v>0.42</v>
      </c>
      <c r="Q33" s="6">
        <v>10</v>
      </c>
      <c r="R33" s="6"/>
      <c r="S33" s="6"/>
      <c r="T33" s="156"/>
      <c r="U33" s="6"/>
    </row>
    <row r="34" spans="1:21" customFormat="1">
      <c r="A34" s="201" t="s">
        <v>1705</v>
      </c>
      <c r="B34" s="6">
        <v>6.3</v>
      </c>
      <c r="C34" s="6">
        <v>6.18</v>
      </c>
      <c r="D34" s="6">
        <v>8.2799999999999994</v>
      </c>
      <c r="E34" s="6">
        <v>5.95</v>
      </c>
      <c r="F34" s="6">
        <v>2</v>
      </c>
      <c r="G34" s="6">
        <v>42.63</v>
      </c>
      <c r="H34" s="6">
        <v>10.23</v>
      </c>
      <c r="I34" s="6">
        <v>8.75</v>
      </c>
      <c r="J34" s="6">
        <v>7.0000000000000007E-2</v>
      </c>
      <c r="K34" s="6">
        <v>159.03</v>
      </c>
      <c r="L34" s="6">
        <v>15.85</v>
      </c>
      <c r="M34" s="6">
        <v>21.63</v>
      </c>
      <c r="N34" s="6">
        <v>13.7</v>
      </c>
      <c r="O34" s="6">
        <v>0</v>
      </c>
      <c r="P34" s="6">
        <v>0.42</v>
      </c>
      <c r="Q34" s="6">
        <v>10</v>
      </c>
      <c r="R34" s="6"/>
      <c r="S34" s="6"/>
      <c r="T34" s="156"/>
      <c r="U34" s="6"/>
    </row>
    <row r="35" spans="1:21" customFormat="1">
      <c r="A35" s="201" t="s">
        <v>1706</v>
      </c>
      <c r="B35" s="6">
        <v>6.9</v>
      </c>
      <c r="C35" s="6">
        <v>6.44</v>
      </c>
      <c r="D35" s="6">
        <v>8.9</v>
      </c>
      <c r="E35" s="6">
        <v>5.87</v>
      </c>
      <c r="F35" s="6">
        <v>2</v>
      </c>
      <c r="G35" s="6">
        <v>42.68</v>
      </c>
      <c r="H35" s="6">
        <v>10.23</v>
      </c>
      <c r="I35" s="6">
        <v>8.77</v>
      </c>
      <c r="J35" s="6">
        <v>0.06</v>
      </c>
      <c r="K35" s="6">
        <v>56.59</v>
      </c>
      <c r="L35" s="6">
        <v>10.97</v>
      </c>
      <c r="M35" s="6">
        <v>9.01</v>
      </c>
      <c r="N35" s="6">
        <v>23.7</v>
      </c>
      <c r="O35" s="6">
        <v>0</v>
      </c>
      <c r="P35" s="6">
        <v>0.43</v>
      </c>
      <c r="Q35" s="6">
        <v>10</v>
      </c>
      <c r="R35" s="6"/>
      <c r="S35" s="6"/>
      <c r="T35" s="156"/>
      <c r="U35" s="6"/>
    </row>
    <row r="36" spans="1:21" customFormat="1">
      <c r="A36" s="201" t="s">
        <v>1707</v>
      </c>
      <c r="B36" s="6">
        <v>7.82</v>
      </c>
      <c r="C36" s="6">
        <v>6.94</v>
      </c>
      <c r="D36" s="6">
        <v>9.9</v>
      </c>
      <c r="E36" s="6">
        <v>5.74</v>
      </c>
      <c r="F36" s="6">
        <v>2</v>
      </c>
      <c r="G36" s="6">
        <v>44.04</v>
      </c>
      <c r="H36" s="6">
        <v>10.3</v>
      </c>
      <c r="I36" s="6">
        <v>8.81</v>
      </c>
      <c r="J36" s="6">
        <v>0.11</v>
      </c>
      <c r="K36" s="6">
        <v>176.39</v>
      </c>
      <c r="L36" s="6">
        <v>17.690000000000001</v>
      </c>
      <c r="M36" s="6">
        <v>25.71</v>
      </c>
      <c r="N36" s="6">
        <v>35.700000000000003</v>
      </c>
      <c r="O36" s="6">
        <v>0</v>
      </c>
      <c r="P36" s="6">
        <v>0.44</v>
      </c>
      <c r="Q36" s="6">
        <v>10</v>
      </c>
      <c r="R36" s="6"/>
      <c r="S36" s="6"/>
      <c r="T36" s="156"/>
      <c r="U36" s="6"/>
    </row>
    <row r="37" spans="1:21" customFormat="1">
      <c r="A37" s="201" t="s">
        <v>1708</v>
      </c>
      <c r="B37" s="6">
        <v>7.66</v>
      </c>
      <c r="C37" s="6">
        <v>6.66</v>
      </c>
      <c r="D37" s="6">
        <v>9.6199999999999992</v>
      </c>
      <c r="E37" s="6">
        <v>5.94</v>
      </c>
      <c r="F37" s="6">
        <v>2</v>
      </c>
      <c r="G37" s="6">
        <v>44.04</v>
      </c>
      <c r="H37" s="6">
        <v>10.3</v>
      </c>
      <c r="I37" s="6">
        <v>8.89</v>
      </c>
      <c r="J37" s="6">
        <v>0.13</v>
      </c>
      <c r="K37" s="6">
        <v>74.319999999999993</v>
      </c>
      <c r="L37" s="6">
        <v>10.44</v>
      </c>
      <c r="M37" s="6">
        <v>7.03</v>
      </c>
      <c r="N37" s="6">
        <v>49.8</v>
      </c>
      <c r="O37" s="6">
        <v>0</v>
      </c>
      <c r="P37" s="6">
        <v>0.43</v>
      </c>
      <c r="Q37" s="6">
        <v>10</v>
      </c>
      <c r="R37" s="6"/>
      <c r="S37" s="6"/>
      <c r="T37" s="156"/>
      <c r="U37" s="6"/>
    </row>
    <row r="38" spans="1:21" customFormat="1">
      <c r="A38" s="201" t="s">
        <v>1709</v>
      </c>
      <c r="B38" s="6">
        <v>7.65</v>
      </c>
      <c r="C38" s="6">
        <v>6.56</v>
      </c>
      <c r="D38" s="6">
        <v>9.57</v>
      </c>
      <c r="E38" s="6">
        <v>5.81</v>
      </c>
      <c r="F38" s="6">
        <v>2</v>
      </c>
      <c r="G38" s="6">
        <v>44.04</v>
      </c>
      <c r="H38" s="6">
        <v>10.3</v>
      </c>
      <c r="I38" s="6">
        <v>8.99</v>
      </c>
      <c r="J38" s="6">
        <v>0.2</v>
      </c>
      <c r="K38" s="6">
        <v>144.37</v>
      </c>
      <c r="L38" s="6">
        <v>15.93</v>
      </c>
      <c r="M38" s="6">
        <v>20.58</v>
      </c>
      <c r="N38" s="6">
        <v>66.2</v>
      </c>
      <c r="O38" s="6">
        <v>0</v>
      </c>
      <c r="P38" s="6">
        <v>0.43</v>
      </c>
      <c r="Q38" s="6">
        <v>10</v>
      </c>
      <c r="R38" s="6"/>
      <c r="S38" s="6"/>
      <c r="T38" s="156"/>
      <c r="U38" s="6"/>
    </row>
    <row r="39" spans="1:21" customFormat="1">
      <c r="A39" s="201" t="s">
        <v>1710</v>
      </c>
      <c r="B39" s="6">
        <v>7.58</v>
      </c>
      <c r="C39" s="6">
        <v>6.7</v>
      </c>
      <c r="D39" s="6">
        <v>9.58</v>
      </c>
      <c r="E39" s="6">
        <v>5.88</v>
      </c>
      <c r="F39" s="6">
        <v>2</v>
      </c>
      <c r="G39" s="6">
        <v>43.93</v>
      </c>
      <c r="H39" s="6">
        <v>10.32</v>
      </c>
      <c r="I39" s="6">
        <v>8.99</v>
      </c>
      <c r="J39" s="6">
        <v>0.31</v>
      </c>
      <c r="K39" s="6">
        <v>53.63</v>
      </c>
      <c r="L39" s="6">
        <v>8.82</v>
      </c>
      <c r="M39" s="6">
        <v>1.63</v>
      </c>
      <c r="N39" s="6">
        <v>104.9</v>
      </c>
      <c r="O39" s="6">
        <v>0</v>
      </c>
      <c r="P39" s="6">
        <v>0.44</v>
      </c>
      <c r="Q39" s="6">
        <v>10</v>
      </c>
      <c r="R39" s="6"/>
      <c r="S39" s="6"/>
      <c r="T39" s="156"/>
      <c r="U39" s="6"/>
    </row>
    <row r="40" spans="1:21" customFormat="1">
      <c r="A40" s="201" t="s">
        <v>1711</v>
      </c>
      <c r="B40" s="6">
        <v>7.48</v>
      </c>
      <c r="C40" s="6">
        <v>6.83</v>
      </c>
      <c r="D40" s="6">
        <v>9.57</v>
      </c>
      <c r="E40" s="6">
        <v>5.54</v>
      </c>
      <c r="F40" s="6">
        <v>2</v>
      </c>
      <c r="G40" s="6">
        <v>40.590000000000003</v>
      </c>
      <c r="H40" s="6">
        <v>11</v>
      </c>
      <c r="I40" s="6">
        <v>9</v>
      </c>
      <c r="J40" s="6">
        <v>0.37</v>
      </c>
      <c r="K40" s="6">
        <v>54.67</v>
      </c>
      <c r="L40" s="6">
        <v>10.029999999999999</v>
      </c>
      <c r="M40" s="6">
        <v>3.72</v>
      </c>
      <c r="N40" s="6">
        <v>142.9</v>
      </c>
      <c r="O40" s="6">
        <v>0</v>
      </c>
      <c r="P40" s="6">
        <v>0.44</v>
      </c>
      <c r="Q40" s="6">
        <v>10</v>
      </c>
      <c r="R40" s="6"/>
      <c r="S40" s="6"/>
      <c r="T40" s="156"/>
      <c r="U40" s="6"/>
    </row>
    <row r="41" spans="1:21" customFormat="1">
      <c r="A41" s="201" t="s">
        <v>1712</v>
      </c>
      <c r="B41" s="6">
        <v>7.36</v>
      </c>
      <c r="C41" s="6">
        <v>7.04</v>
      </c>
      <c r="D41" s="6">
        <v>9.58</v>
      </c>
      <c r="E41" s="6">
        <v>5.56</v>
      </c>
      <c r="F41" s="6">
        <v>2</v>
      </c>
      <c r="G41" s="6">
        <v>40.590000000000003</v>
      </c>
      <c r="H41" s="6">
        <v>11</v>
      </c>
      <c r="I41" s="6">
        <v>9.02</v>
      </c>
      <c r="J41" s="6">
        <v>0.5</v>
      </c>
      <c r="K41" s="6">
        <v>37.51</v>
      </c>
      <c r="L41" s="6">
        <v>8.4700000000000006</v>
      </c>
      <c r="M41" s="6">
        <v>-1.68</v>
      </c>
      <c r="N41" s="6">
        <v>203.1</v>
      </c>
      <c r="O41" s="6">
        <v>0</v>
      </c>
      <c r="P41" s="6">
        <v>0.44</v>
      </c>
      <c r="Q41" s="6">
        <v>10</v>
      </c>
      <c r="R41" s="6"/>
      <c r="S41" s="6"/>
      <c r="T41" s="156"/>
      <c r="U41" s="6"/>
    </row>
    <row r="42" spans="1:21" customFormat="1">
      <c r="A42" s="201" t="s">
        <v>1713</v>
      </c>
      <c r="B42" s="6">
        <v>7.13</v>
      </c>
      <c r="C42" s="6">
        <v>7.12</v>
      </c>
      <c r="D42" s="6">
        <v>9.44</v>
      </c>
      <c r="E42" s="6">
        <v>5.7</v>
      </c>
      <c r="F42" s="6">
        <v>2</v>
      </c>
      <c r="G42" s="6">
        <v>40.590000000000003</v>
      </c>
      <c r="H42" s="6">
        <v>11</v>
      </c>
      <c r="I42" s="6">
        <v>8.98</v>
      </c>
      <c r="J42" s="6">
        <v>0.57999999999999996</v>
      </c>
      <c r="K42" s="6">
        <v>32.99</v>
      </c>
      <c r="L42" s="6">
        <v>8.42</v>
      </c>
      <c r="M42" s="6">
        <v>-2.93</v>
      </c>
      <c r="N42" s="6">
        <v>249</v>
      </c>
      <c r="O42" s="6">
        <v>0</v>
      </c>
      <c r="P42" s="6">
        <v>0.44</v>
      </c>
      <c r="Q42" s="6">
        <v>10</v>
      </c>
      <c r="R42" s="6"/>
      <c r="S42" s="6"/>
      <c r="T42" s="156"/>
      <c r="U42" s="6"/>
    </row>
    <row r="43" spans="1:21" customFormat="1">
      <c r="A43" s="201" t="s">
        <v>1714</v>
      </c>
      <c r="B43" s="6">
        <v>6.9</v>
      </c>
      <c r="C43" s="6">
        <v>7.31</v>
      </c>
      <c r="D43" s="6">
        <v>9.36</v>
      </c>
      <c r="E43" s="6">
        <v>5.56</v>
      </c>
      <c r="F43" s="6">
        <v>2</v>
      </c>
      <c r="G43" s="6">
        <v>40.700000000000003</v>
      </c>
      <c r="H43" s="6">
        <v>10.97</v>
      </c>
      <c r="I43" s="6">
        <v>8.9700000000000006</v>
      </c>
      <c r="J43" s="6">
        <v>0.32</v>
      </c>
      <c r="K43" s="6">
        <v>58.28</v>
      </c>
      <c r="L43" s="6">
        <v>12.43</v>
      </c>
      <c r="M43" s="6">
        <v>6.49</v>
      </c>
      <c r="N43" s="6">
        <v>282.2</v>
      </c>
      <c r="O43" s="6">
        <v>0</v>
      </c>
      <c r="P43" s="6">
        <v>0.44</v>
      </c>
      <c r="Q43" s="6">
        <v>10</v>
      </c>
      <c r="R43" s="6"/>
      <c r="S43" s="6"/>
      <c r="T43" s="156"/>
      <c r="U43" s="6"/>
    </row>
    <row r="44" spans="1:21" customFormat="1">
      <c r="A44" s="201" t="s">
        <v>1715</v>
      </c>
      <c r="B44" s="6">
        <v>6.57</v>
      </c>
      <c r="C44" s="6">
        <v>7.52</v>
      </c>
      <c r="D44" s="6">
        <v>9.1999999999999993</v>
      </c>
      <c r="E44" s="6">
        <v>5.71</v>
      </c>
      <c r="F44" s="6">
        <v>2.0099999999999998</v>
      </c>
      <c r="G44" s="6">
        <v>43.96</v>
      </c>
      <c r="H44" s="6">
        <v>10.039999999999999</v>
      </c>
      <c r="I44" s="6">
        <v>8.91</v>
      </c>
      <c r="J44" s="6">
        <v>0.26</v>
      </c>
      <c r="K44" s="6">
        <v>88.85</v>
      </c>
      <c r="L44" s="6">
        <v>13.46</v>
      </c>
      <c r="M44" s="6">
        <v>9.6999999999999993</v>
      </c>
      <c r="N44" s="6">
        <v>257</v>
      </c>
      <c r="O44" s="6">
        <v>0</v>
      </c>
      <c r="P44" s="6">
        <v>0.44</v>
      </c>
      <c r="Q44" s="6">
        <v>10</v>
      </c>
      <c r="R44" s="6"/>
      <c r="S44" s="6"/>
      <c r="T44" s="156"/>
      <c r="U44" s="6"/>
    </row>
    <row r="45" spans="1:21" customFormat="1">
      <c r="A45" s="201" t="s">
        <v>1716</v>
      </c>
      <c r="B45" s="6">
        <v>6.35</v>
      </c>
      <c r="C45" s="6">
        <v>7.41</v>
      </c>
      <c r="D45" s="6">
        <v>8.9600000000000009</v>
      </c>
      <c r="E45" s="6">
        <v>5.86</v>
      </c>
      <c r="F45" s="6">
        <v>2</v>
      </c>
      <c r="G45" s="6">
        <v>43.96</v>
      </c>
      <c r="H45" s="6">
        <v>10.039999999999999</v>
      </c>
      <c r="I45" s="6">
        <v>8.89</v>
      </c>
      <c r="J45" s="6">
        <v>0.24</v>
      </c>
      <c r="K45" s="6">
        <v>62.71</v>
      </c>
      <c r="L45" s="6">
        <v>15.13</v>
      </c>
      <c r="M45" s="6">
        <v>11.44</v>
      </c>
      <c r="N45" s="6">
        <v>359.6</v>
      </c>
      <c r="O45" s="6">
        <v>0</v>
      </c>
      <c r="P45" s="6">
        <v>0.44</v>
      </c>
      <c r="Q45" s="6">
        <v>10</v>
      </c>
      <c r="R45" s="6"/>
      <c r="S45" s="6"/>
      <c r="T45" s="156"/>
      <c r="U45" s="6"/>
    </row>
    <row r="46" spans="1:21" customFormat="1">
      <c r="A46" s="201" t="s">
        <v>1717</v>
      </c>
      <c r="B46" s="6">
        <v>5.91</v>
      </c>
      <c r="C46" s="6">
        <v>7.35</v>
      </c>
      <c r="D46" s="6">
        <v>8.58</v>
      </c>
      <c r="E46" s="6">
        <v>5.6</v>
      </c>
      <c r="F46" s="6">
        <v>2.0099999999999998</v>
      </c>
      <c r="G46" s="6">
        <v>43.96</v>
      </c>
      <c r="H46" s="6">
        <v>10.039999999999999</v>
      </c>
      <c r="I46" s="6">
        <v>8.98</v>
      </c>
      <c r="J46" s="6">
        <v>0.19</v>
      </c>
      <c r="K46" s="6">
        <v>119.16</v>
      </c>
      <c r="L46" s="6">
        <v>16.75</v>
      </c>
      <c r="M46" s="6">
        <v>15</v>
      </c>
      <c r="N46" s="6">
        <v>385.8</v>
      </c>
      <c r="O46" s="6">
        <v>0</v>
      </c>
      <c r="P46" s="6">
        <v>0.43</v>
      </c>
      <c r="Q46" s="6">
        <v>10</v>
      </c>
      <c r="R46" s="6"/>
      <c r="S46" s="6"/>
      <c r="T46" s="156"/>
      <c r="U46" s="6"/>
    </row>
    <row r="47" spans="1:21" customFormat="1">
      <c r="A47" s="201" t="s">
        <v>1718</v>
      </c>
      <c r="B47" s="6">
        <v>5.47</v>
      </c>
      <c r="C47" s="6">
        <v>7.42</v>
      </c>
      <c r="D47" s="6">
        <v>8.26</v>
      </c>
      <c r="E47" s="6">
        <v>5.87</v>
      </c>
      <c r="F47" s="6">
        <v>2</v>
      </c>
      <c r="G47" s="6">
        <v>44.07</v>
      </c>
      <c r="H47" s="6">
        <v>10.029999999999999</v>
      </c>
      <c r="I47" s="6">
        <v>9.0299999999999994</v>
      </c>
      <c r="J47" s="6">
        <v>0.28000000000000003</v>
      </c>
      <c r="K47" s="6">
        <v>72.69</v>
      </c>
      <c r="L47" s="6">
        <v>12.92</v>
      </c>
      <c r="M47" s="6">
        <v>4.8899999999999997</v>
      </c>
      <c r="N47" s="6">
        <v>400.9</v>
      </c>
      <c r="O47" s="6">
        <v>0</v>
      </c>
      <c r="P47" s="6">
        <v>0.44</v>
      </c>
      <c r="Q47" s="6">
        <v>10</v>
      </c>
      <c r="R47" s="6"/>
      <c r="S47" s="6"/>
      <c r="T47" s="156"/>
      <c r="U47" s="6"/>
    </row>
    <row r="48" spans="1:21" customFormat="1">
      <c r="A48" s="201" t="s">
        <v>1719</v>
      </c>
      <c r="B48" s="6">
        <v>5.25</v>
      </c>
      <c r="C48" s="6">
        <v>7.57</v>
      </c>
      <c r="D48" s="6">
        <v>8.16</v>
      </c>
      <c r="E48" s="6">
        <v>6.09</v>
      </c>
      <c r="F48" s="6">
        <v>2</v>
      </c>
      <c r="G48" s="6">
        <v>47.33</v>
      </c>
      <c r="H48" s="6">
        <v>9.7899999999999991</v>
      </c>
      <c r="I48" s="6">
        <v>8.98</v>
      </c>
      <c r="J48" s="6">
        <v>0.26</v>
      </c>
      <c r="K48" s="6">
        <v>62.88</v>
      </c>
      <c r="L48" s="6">
        <v>15.27</v>
      </c>
      <c r="M48" s="6">
        <v>11.31</v>
      </c>
      <c r="N48" s="6">
        <v>386.5</v>
      </c>
      <c r="O48" s="6">
        <v>0</v>
      </c>
      <c r="P48" s="6">
        <v>0.42</v>
      </c>
      <c r="Q48" s="6">
        <v>10</v>
      </c>
      <c r="R48" s="6"/>
      <c r="S48" s="6"/>
      <c r="T48" s="156"/>
      <c r="U48" s="6"/>
    </row>
    <row r="49" spans="1:21" customFormat="1">
      <c r="A49" s="201" t="s">
        <v>1720</v>
      </c>
      <c r="B49" s="6">
        <v>4.74</v>
      </c>
      <c r="C49" s="6">
        <v>7.65</v>
      </c>
      <c r="D49" s="6">
        <v>7.8</v>
      </c>
      <c r="E49" s="6">
        <v>5.0199999999999996</v>
      </c>
      <c r="F49" s="6">
        <v>2</v>
      </c>
      <c r="G49" s="6">
        <v>47.33</v>
      </c>
      <c r="H49" s="6">
        <v>9.7899999999999991</v>
      </c>
      <c r="I49" s="6">
        <v>8.9</v>
      </c>
      <c r="J49" s="6">
        <v>0.28999999999999998</v>
      </c>
      <c r="K49" s="6">
        <v>118.44</v>
      </c>
      <c r="L49" s="6">
        <v>16.59</v>
      </c>
      <c r="M49" s="6">
        <v>13.58</v>
      </c>
      <c r="N49" s="6">
        <v>434.8</v>
      </c>
      <c r="O49" s="6">
        <v>0</v>
      </c>
      <c r="P49" s="6">
        <v>0.37</v>
      </c>
      <c r="Q49" s="6">
        <v>10</v>
      </c>
      <c r="R49" s="6"/>
      <c r="S49" s="6"/>
      <c r="T49" s="156"/>
      <c r="U49" s="6"/>
    </row>
    <row r="50" spans="1:21" customFormat="1">
      <c r="A50" s="201" t="s">
        <v>1721</v>
      </c>
      <c r="B50" s="6">
        <v>4.1500000000000004</v>
      </c>
      <c r="C50" s="6">
        <v>7.71</v>
      </c>
      <c r="D50" s="6">
        <v>7.36</v>
      </c>
      <c r="E50" s="6">
        <v>6.26</v>
      </c>
      <c r="F50" s="6">
        <v>2</v>
      </c>
      <c r="G50" s="6">
        <v>47.33</v>
      </c>
      <c r="H50" s="6">
        <v>9.7899999999999991</v>
      </c>
      <c r="I50" s="6">
        <v>8.75</v>
      </c>
      <c r="J50" s="6">
        <v>0.21</v>
      </c>
      <c r="K50" s="6">
        <v>137.72999999999999</v>
      </c>
      <c r="L50" s="6">
        <v>18.66</v>
      </c>
      <c r="M50" s="6">
        <v>17.52</v>
      </c>
      <c r="N50" s="6">
        <v>484.7</v>
      </c>
      <c r="O50" s="6">
        <v>0</v>
      </c>
      <c r="P50" s="6">
        <v>0.36</v>
      </c>
      <c r="Q50" s="6">
        <v>10</v>
      </c>
      <c r="R50" s="6"/>
      <c r="S50" s="6"/>
      <c r="T50" s="156"/>
      <c r="U50" s="6"/>
    </row>
    <row r="51" spans="1:21" customFormat="1">
      <c r="A51" s="201" t="s">
        <v>1722</v>
      </c>
      <c r="B51" s="6">
        <v>3.65</v>
      </c>
      <c r="C51" s="6">
        <v>7.66</v>
      </c>
      <c r="D51" s="6">
        <v>6.93</v>
      </c>
      <c r="E51" s="6">
        <v>6.15</v>
      </c>
      <c r="F51" s="6">
        <v>2</v>
      </c>
      <c r="G51" s="6">
        <v>47.2</v>
      </c>
      <c r="H51" s="6">
        <v>9.8000000000000007</v>
      </c>
      <c r="I51" s="6">
        <v>8.5399999999999991</v>
      </c>
      <c r="J51" s="6">
        <v>0.25</v>
      </c>
      <c r="K51" s="6">
        <v>96.98</v>
      </c>
      <c r="L51" s="6">
        <v>16.16</v>
      </c>
      <c r="M51" s="6">
        <v>11.63</v>
      </c>
      <c r="N51" s="6">
        <v>468</v>
      </c>
      <c r="O51" s="6">
        <v>0</v>
      </c>
      <c r="P51" s="6">
        <v>0.36</v>
      </c>
      <c r="Q51" s="6">
        <v>10</v>
      </c>
      <c r="R51" s="6"/>
      <c r="S51" s="6"/>
      <c r="T51" s="156"/>
      <c r="U51" s="6"/>
    </row>
    <row r="52" spans="1:21" customFormat="1">
      <c r="A52" s="201" t="s">
        <v>1723</v>
      </c>
      <c r="B52" s="6">
        <v>3.21</v>
      </c>
      <c r="C52" s="6">
        <v>7.55</v>
      </c>
      <c r="D52" s="6">
        <v>6.52</v>
      </c>
      <c r="E52" s="6">
        <v>6.36</v>
      </c>
      <c r="F52" s="6">
        <v>2.61</v>
      </c>
      <c r="G52" s="6">
        <v>43.43</v>
      </c>
      <c r="H52" s="6">
        <v>10.199999999999999</v>
      </c>
      <c r="I52" s="6">
        <v>8.3800000000000008</v>
      </c>
      <c r="J52" s="6">
        <v>0.3</v>
      </c>
      <c r="K52" s="6">
        <v>138.04</v>
      </c>
      <c r="L52" s="6">
        <v>17.39</v>
      </c>
      <c r="M52" s="6">
        <v>14.41</v>
      </c>
      <c r="N52" s="6">
        <v>481.3</v>
      </c>
      <c r="O52" s="6">
        <v>0</v>
      </c>
      <c r="P52" s="6">
        <v>0.35</v>
      </c>
      <c r="Q52" s="6">
        <v>10</v>
      </c>
      <c r="R52" s="6"/>
      <c r="S52" s="6"/>
      <c r="T52" s="156"/>
      <c r="U52" s="6"/>
    </row>
    <row r="53" spans="1:21" customFormat="1">
      <c r="A53" s="201" t="s">
        <v>1724</v>
      </c>
      <c r="B53" s="6">
        <v>2.64</v>
      </c>
      <c r="C53" s="6">
        <v>7.96</v>
      </c>
      <c r="D53" s="6">
        <v>6.28</v>
      </c>
      <c r="E53" s="6">
        <v>7.9</v>
      </c>
      <c r="F53" s="6">
        <v>10.3</v>
      </c>
      <c r="G53" s="6">
        <v>43.43</v>
      </c>
      <c r="H53" s="6">
        <v>10.199999999999999</v>
      </c>
      <c r="I53" s="6">
        <v>8.16</v>
      </c>
      <c r="J53" s="6">
        <v>0.17</v>
      </c>
      <c r="K53" s="6">
        <v>89.58</v>
      </c>
      <c r="L53" s="6">
        <v>17.79</v>
      </c>
      <c r="M53" s="6">
        <v>14.78</v>
      </c>
      <c r="N53" s="6">
        <v>505.9</v>
      </c>
      <c r="O53" s="6">
        <v>0</v>
      </c>
      <c r="P53" s="6">
        <v>0.32</v>
      </c>
      <c r="Q53" s="6">
        <v>10</v>
      </c>
      <c r="R53" s="6"/>
      <c r="S53" s="6"/>
      <c r="T53" s="156"/>
      <c r="U53" s="6"/>
    </row>
    <row r="54" spans="1:21" customFormat="1">
      <c r="A54" s="201" t="s">
        <v>1725</v>
      </c>
      <c r="B54" s="6">
        <v>1.95</v>
      </c>
      <c r="C54" s="6">
        <v>8.11</v>
      </c>
      <c r="D54" s="6">
        <v>5.8</v>
      </c>
      <c r="E54" s="6">
        <v>8.7200000000000006</v>
      </c>
      <c r="F54" s="6">
        <v>3.09</v>
      </c>
      <c r="G54" s="6">
        <v>43.43</v>
      </c>
      <c r="H54" s="6">
        <v>10.199999999999999</v>
      </c>
      <c r="I54" s="6">
        <v>7.88</v>
      </c>
      <c r="J54" s="6">
        <v>0.36</v>
      </c>
      <c r="K54" s="6">
        <v>56.5</v>
      </c>
      <c r="L54" s="6">
        <v>13.94</v>
      </c>
      <c r="M54" s="6">
        <v>8.99</v>
      </c>
      <c r="N54" s="6">
        <v>338</v>
      </c>
      <c r="O54" s="6">
        <v>0</v>
      </c>
      <c r="P54" s="6">
        <v>0.31</v>
      </c>
      <c r="Q54" s="6">
        <v>10</v>
      </c>
      <c r="R54" s="6"/>
      <c r="S54" s="6"/>
      <c r="T54" s="156"/>
      <c r="U54" s="6"/>
    </row>
    <row r="55" spans="1:21" customFormat="1">
      <c r="A55" s="201" t="s">
        <v>1726</v>
      </c>
      <c r="B55" s="6">
        <v>1.76</v>
      </c>
      <c r="C55" s="6">
        <v>8.08</v>
      </c>
      <c r="D55" s="6">
        <v>5.63</v>
      </c>
      <c r="E55" s="6">
        <v>5.52</v>
      </c>
      <c r="F55" s="6">
        <v>9.25</v>
      </c>
      <c r="G55" s="6">
        <v>43.46</v>
      </c>
      <c r="H55" s="6">
        <v>10.17</v>
      </c>
      <c r="I55" s="6">
        <v>7.34</v>
      </c>
      <c r="J55" s="6">
        <v>0.35</v>
      </c>
      <c r="K55" s="6">
        <v>61.71</v>
      </c>
      <c r="L55" s="6">
        <v>16.63</v>
      </c>
      <c r="M55" s="6">
        <v>12.61</v>
      </c>
      <c r="N55" s="6">
        <v>469.8</v>
      </c>
      <c r="O55" s="6">
        <v>0</v>
      </c>
      <c r="P55" s="6">
        <v>0.3</v>
      </c>
      <c r="Q55" s="6">
        <v>10</v>
      </c>
      <c r="R55" s="6"/>
      <c r="S55" s="6"/>
      <c r="T55" s="156"/>
      <c r="U55" s="6"/>
    </row>
    <row r="56" spans="1:21" customFormat="1">
      <c r="A56" s="201" t="s">
        <v>1727</v>
      </c>
      <c r="B56" s="6">
        <v>1.97</v>
      </c>
      <c r="C56" s="6">
        <v>8.2899999999999991</v>
      </c>
      <c r="D56" s="6">
        <v>5.92</v>
      </c>
      <c r="E56" s="6">
        <v>7.2</v>
      </c>
      <c r="F56" s="6">
        <v>6.61</v>
      </c>
      <c r="G56" s="6">
        <v>44.19</v>
      </c>
      <c r="H56" s="6">
        <v>9</v>
      </c>
      <c r="I56" s="6">
        <v>7.04</v>
      </c>
      <c r="J56" s="6">
        <v>0.41</v>
      </c>
      <c r="K56" s="6">
        <v>51.07</v>
      </c>
      <c r="L56" s="6">
        <v>14.17</v>
      </c>
      <c r="M56" s="6">
        <v>7.24</v>
      </c>
      <c r="N56" s="6">
        <v>435.4</v>
      </c>
      <c r="O56" s="6">
        <v>0</v>
      </c>
      <c r="P56" s="6">
        <v>0.3</v>
      </c>
      <c r="Q56" s="6">
        <v>10</v>
      </c>
      <c r="R56" s="6"/>
      <c r="S56" s="6"/>
      <c r="T56" s="156"/>
      <c r="U56" s="6"/>
    </row>
    <row r="57" spans="1:21" customFormat="1">
      <c r="A57" s="201" t="s">
        <v>1728</v>
      </c>
      <c r="B57" s="6">
        <v>1.96</v>
      </c>
      <c r="C57" s="6">
        <v>8.57</v>
      </c>
      <c r="D57" s="6">
        <v>6.05</v>
      </c>
      <c r="E57" s="6">
        <v>8.76</v>
      </c>
      <c r="F57" s="6">
        <v>21.33</v>
      </c>
      <c r="G57" s="6">
        <v>44.19</v>
      </c>
      <c r="H57" s="6">
        <v>9</v>
      </c>
      <c r="I57" s="6">
        <v>6.81</v>
      </c>
      <c r="J57" s="6">
        <v>0.28999999999999998</v>
      </c>
      <c r="K57" s="6">
        <v>62.29</v>
      </c>
      <c r="L57" s="6">
        <v>14.61</v>
      </c>
      <c r="M57" s="6">
        <v>8.5</v>
      </c>
      <c r="N57" s="6">
        <v>430.9</v>
      </c>
      <c r="O57" s="6">
        <v>0</v>
      </c>
      <c r="P57" s="6">
        <v>0.28000000000000003</v>
      </c>
      <c r="Q57" s="6">
        <v>10</v>
      </c>
      <c r="R57" s="6"/>
      <c r="S57" s="6"/>
      <c r="T57" s="156"/>
      <c r="U57" s="6"/>
    </row>
    <row r="58" spans="1:21" customFormat="1">
      <c r="A58" s="201" t="s">
        <v>1729</v>
      </c>
      <c r="B58" s="6">
        <v>1.61</v>
      </c>
      <c r="C58" s="6">
        <v>8.23</v>
      </c>
      <c r="D58" s="6">
        <v>5.59</v>
      </c>
      <c r="E58" s="6">
        <v>8.3699999999999992</v>
      </c>
      <c r="F58" s="6">
        <v>11.97</v>
      </c>
      <c r="G58" s="6">
        <v>44.19</v>
      </c>
      <c r="H58" s="6">
        <v>9</v>
      </c>
      <c r="I58" s="6">
        <v>6.45</v>
      </c>
      <c r="J58" s="6">
        <v>0.24</v>
      </c>
      <c r="K58" s="6">
        <v>62.01</v>
      </c>
      <c r="L58" s="6">
        <v>15.74</v>
      </c>
      <c r="M58" s="6">
        <v>12.96</v>
      </c>
      <c r="N58" s="6">
        <v>361.8</v>
      </c>
      <c r="O58" s="6">
        <v>0</v>
      </c>
      <c r="P58" s="6">
        <v>0.25</v>
      </c>
      <c r="Q58" s="6">
        <v>10</v>
      </c>
      <c r="R58" s="6"/>
      <c r="S58" s="6"/>
      <c r="T58" s="156"/>
      <c r="U58" s="6"/>
    </row>
    <row r="59" spans="1:21" customFormat="1">
      <c r="A59" s="201" t="s">
        <v>1730</v>
      </c>
      <c r="B59" s="6">
        <v>1.68</v>
      </c>
      <c r="C59" s="6">
        <v>8.2899999999999991</v>
      </c>
      <c r="D59" s="6">
        <v>5.68</v>
      </c>
      <c r="E59" s="6">
        <v>6.48</v>
      </c>
      <c r="F59" s="6">
        <v>11.93</v>
      </c>
      <c r="G59" s="6">
        <v>44.12</v>
      </c>
      <c r="H59" s="6">
        <v>9.02</v>
      </c>
      <c r="I59" s="6">
        <v>6.05</v>
      </c>
      <c r="J59" s="6">
        <v>0.26</v>
      </c>
      <c r="K59" s="6">
        <v>71.06</v>
      </c>
      <c r="L59" s="6">
        <v>13.41</v>
      </c>
      <c r="M59" s="6">
        <v>7.94</v>
      </c>
      <c r="N59" s="6">
        <v>319.60000000000002</v>
      </c>
      <c r="O59" s="6">
        <v>0</v>
      </c>
      <c r="P59" s="6">
        <v>0.3</v>
      </c>
      <c r="Q59" s="6">
        <v>10</v>
      </c>
      <c r="R59" s="6"/>
      <c r="S59" s="6"/>
      <c r="T59" s="156"/>
      <c r="U59" s="6"/>
    </row>
    <row r="60" spans="1:21" customFormat="1">
      <c r="A60" s="201" t="s">
        <v>1731</v>
      </c>
      <c r="B60" s="6">
        <v>1.62</v>
      </c>
      <c r="C60" s="6">
        <v>7.85</v>
      </c>
      <c r="D60" s="6">
        <v>5.41</v>
      </c>
      <c r="E60" s="6">
        <v>8.9600000000000009</v>
      </c>
      <c r="F60" s="6">
        <v>16.39</v>
      </c>
      <c r="G60" s="6">
        <v>42.03</v>
      </c>
      <c r="H60" s="6">
        <v>9.59</v>
      </c>
      <c r="I60" s="6">
        <v>5.7</v>
      </c>
      <c r="J60" s="6">
        <v>0.23</v>
      </c>
      <c r="K60" s="6">
        <v>117.24</v>
      </c>
      <c r="L60" s="6">
        <v>15.34</v>
      </c>
      <c r="M60" s="6">
        <v>16.309999999999999</v>
      </c>
      <c r="N60" s="6">
        <v>190.3</v>
      </c>
      <c r="O60" s="6">
        <v>0</v>
      </c>
      <c r="P60" s="6">
        <v>0.26</v>
      </c>
      <c r="Q60" s="6">
        <v>10</v>
      </c>
      <c r="R60" s="6"/>
      <c r="S60" s="6"/>
      <c r="T60" s="156"/>
      <c r="U60" s="6"/>
    </row>
    <row r="61" spans="1:21" customFormat="1">
      <c r="A61" s="201" t="s">
        <v>1732</v>
      </c>
      <c r="B61" s="6">
        <v>1.61</v>
      </c>
      <c r="C61" s="6">
        <v>7.57</v>
      </c>
      <c r="D61" s="6">
        <v>5.25</v>
      </c>
      <c r="E61" s="6">
        <v>8.58</v>
      </c>
      <c r="F61" s="6">
        <v>17.87</v>
      </c>
      <c r="G61" s="6">
        <v>42.03</v>
      </c>
      <c r="H61" s="6">
        <v>9.59</v>
      </c>
      <c r="I61" s="6">
        <v>5.65</v>
      </c>
      <c r="J61" s="6">
        <v>0.2</v>
      </c>
      <c r="K61" s="6">
        <v>138.72999999999999</v>
      </c>
      <c r="L61" s="6">
        <v>16.21</v>
      </c>
      <c r="M61" s="6">
        <v>16.93</v>
      </c>
      <c r="N61" s="6">
        <v>247.1</v>
      </c>
      <c r="O61" s="6">
        <v>0</v>
      </c>
      <c r="P61" s="6">
        <v>0.25</v>
      </c>
      <c r="Q61" s="6">
        <v>10</v>
      </c>
      <c r="R61" s="6"/>
      <c r="S61" s="6"/>
      <c r="T61" s="156"/>
      <c r="U61" s="6"/>
    </row>
    <row r="62" spans="1:21" customFormat="1">
      <c r="A62" s="201" t="s">
        <v>1733</v>
      </c>
      <c r="B62" s="6">
        <v>1.66</v>
      </c>
      <c r="C62" s="6">
        <v>7.58</v>
      </c>
      <c r="D62" s="6">
        <v>5.29</v>
      </c>
      <c r="E62" s="6">
        <v>9.76</v>
      </c>
      <c r="F62" s="6">
        <v>21.07</v>
      </c>
      <c r="G62" s="6">
        <v>42.03</v>
      </c>
      <c r="H62" s="6">
        <v>9.59</v>
      </c>
      <c r="I62" s="6">
        <v>5.34</v>
      </c>
      <c r="J62" s="6">
        <v>0.18</v>
      </c>
      <c r="K62" s="6">
        <v>99.69</v>
      </c>
      <c r="L62" s="6">
        <v>12.89</v>
      </c>
      <c r="M62" s="6">
        <v>10.41</v>
      </c>
      <c r="N62" s="6">
        <v>165</v>
      </c>
      <c r="O62" s="6">
        <v>0</v>
      </c>
      <c r="P62" s="6">
        <v>0.21</v>
      </c>
      <c r="Q62" s="6">
        <v>10</v>
      </c>
      <c r="R62" s="6"/>
      <c r="S62" s="6"/>
      <c r="T62" s="156"/>
      <c r="U62" s="6"/>
    </row>
    <row r="63" spans="1:21" customFormat="1">
      <c r="A63" s="201" t="s">
        <v>1734</v>
      </c>
      <c r="B63" s="6">
        <v>2.09</v>
      </c>
      <c r="C63" s="6">
        <v>8.83</v>
      </c>
      <c r="D63" s="6">
        <v>6.28</v>
      </c>
      <c r="E63" s="6">
        <v>8.58</v>
      </c>
      <c r="F63" s="6">
        <v>20.93</v>
      </c>
      <c r="G63" s="6">
        <v>41.97</v>
      </c>
      <c r="H63" s="6">
        <v>9.58</v>
      </c>
      <c r="I63" s="6">
        <v>5.24</v>
      </c>
      <c r="J63" s="6">
        <v>0.18</v>
      </c>
      <c r="K63" s="6">
        <v>140.85</v>
      </c>
      <c r="L63" s="6">
        <v>17.059999999999999</v>
      </c>
      <c r="M63" s="6">
        <v>16.18</v>
      </c>
      <c r="N63" s="6">
        <v>362</v>
      </c>
      <c r="O63" s="6">
        <v>0</v>
      </c>
      <c r="P63" s="6">
        <v>0.23</v>
      </c>
      <c r="Q63" s="6">
        <v>10</v>
      </c>
      <c r="R63" s="6"/>
      <c r="S63" s="6"/>
      <c r="T63" s="156"/>
      <c r="U63" s="6"/>
    </row>
    <row r="64" spans="1:21" customFormat="1">
      <c r="A64" s="201" t="s">
        <v>1735</v>
      </c>
      <c r="B64" s="6">
        <v>1.68</v>
      </c>
      <c r="C64" s="6">
        <v>7.46</v>
      </c>
      <c r="D64" s="6">
        <v>5.25</v>
      </c>
      <c r="E64" s="6">
        <v>10.75</v>
      </c>
      <c r="F64" s="6">
        <v>24.31</v>
      </c>
      <c r="G64" s="6">
        <v>40.18</v>
      </c>
      <c r="H64" s="6">
        <v>9.19</v>
      </c>
      <c r="I64" s="6">
        <v>4.6900000000000004</v>
      </c>
      <c r="J64" s="6">
        <v>0.32</v>
      </c>
      <c r="K64" s="6">
        <v>150.21</v>
      </c>
      <c r="L64" s="6">
        <v>17.63</v>
      </c>
      <c r="M64" s="6">
        <v>18.16</v>
      </c>
      <c r="N64" s="6">
        <v>348.2</v>
      </c>
      <c r="O64" s="6">
        <v>0</v>
      </c>
      <c r="P64" s="6">
        <v>0.19</v>
      </c>
      <c r="Q64" s="6">
        <v>10</v>
      </c>
      <c r="R64" s="6"/>
      <c r="S64" s="6"/>
      <c r="T64" s="156"/>
      <c r="U64" s="6"/>
    </row>
    <row r="65" spans="1:21" customFormat="1">
      <c r="A65" s="201" t="s">
        <v>1736</v>
      </c>
      <c r="B65" s="6">
        <v>1.7</v>
      </c>
      <c r="C65" s="6">
        <v>7.54</v>
      </c>
      <c r="D65" s="6">
        <v>5.3</v>
      </c>
      <c r="E65" s="6">
        <v>10.27</v>
      </c>
      <c r="F65" s="6">
        <v>38.89</v>
      </c>
      <c r="G65" s="6">
        <v>40.18</v>
      </c>
      <c r="H65" s="6">
        <v>9.19</v>
      </c>
      <c r="I65" s="6">
        <v>3.89</v>
      </c>
      <c r="J65" s="6">
        <v>0.12</v>
      </c>
      <c r="K65" s="6">
        <v>359.36</v>
      </c>
      <c r="L65" s="6">
        <v>20.28</v>
      </c>
      <c r="M65" s="6">
        <v>25.16</v>
      </c>
      <c r="N65" s="6">
        <v>327</v>
      </c>
      <c r="O65" s="6">
        <v>0</v>
      </c>
      <c r="P65" s="6">
        <v>0.27</v>
      </c>
      <c r="Q65" s="6">
        <v>10</v>
      </c>
      <c r="R65" s="6"/>
      <c r="S65" s="6"/>
      <c r="T65" s="156"/>
      <c r="U65" s="6"/>
    </row>
    <row r="66" spans="1:21" customFormat="1">
      <c r="A66" s="201" t="s">
        <v>1737</v>
      </c>
      <c r="B66" s="6">
        <v>1.62</v>
      </c>
      <c r="C66" s="6">
        <v>8.06</v>
      </c>
      <c r="D66" s="6">
        <v>5.51</v>
      </c>
      <c r="E66" s="6">
        <v>9.8699999999999992</v>
      </c>
      <c r="F66" s="6">
        <v>21.78</v>
      </c>
      <c r="G66" s="6">
        <v>40.18</v>
      </c>
      <c r="H66" s="6">
        <v>9.19</v>
      </c>
      <c r="I66" s="6">
        <v>4.13</v>
      </c>
      <c r="J66" s="6">
        <v>0.34</v>
      </c>
      <c r="K66" s="6">
        <v>149.1</v>
      </c>
      <c r="L66" s="6">
        <v>15.8</v>
      </c>
      <c r="M66" s="6">
        <v>16.38</v>
      </c>
      <c r="N66" s="6">
        <v>229.4</v>
      </c>
      <c r="O66" s="6">
        <v>0</v>
      </c>
      <c r="P66" s="6">
        <v>0.27</v>
      </c>
      <c r="Q66" s="6">
        <v>10</v>
      </c>
      <c r="R66" s="6"/>
      <c r="S66" s="6"/>
      <c r="T66" s="156"/>
      <c r="U66" s="6"/>
    </row>
    <row r="67" spans="1:21" customFormat="1">
      <c r="A67" s="201" t="s">
        <v>1738</v>
      </c>
      <c r="B67" s="6">
        <v>1.58</v>
      </c>
      <c r="C67" s="6">
        <v>8.26</v>
      </c>
      <c r="D67" s="6">
        <v>5.58</v>
      </c>
      <c r="E67" s="6">
        <v>6.46</v>
      </c>
      <c r="F67" s="6">
        <v>12.17</v>
      </c>
      <c r="G67" s="6">
        <v>40.1</v>
      </c>
      <c r="H67" s="6">
        <v>9.2100000000000009</v>
      </c>
      <c r="I67" s="6">
        <v>4.55</v>
      </c>
      <c r="J67" s="6">
        <v>0.37</v>
      </c>
      <c r="K67" s="6">
        <v>41.69</v>
      </c>
      <c r="L67" s="6">
        <v>8.65</v>
      </c>
      <c r="M67" s="6">
        <v>1.24</v>
      </c>
      <c r="N67" s="6">
        <v>98.6</v>
      </c>
      <c r="O67" s="6">
        <v>0</v>
      </c>
      <c r="P67" s="6">
        <v>0.3</v>
      </c>
      <c r="Q67" s="6">
        <v>10</v>
      </c>
      <c r="R67" s="6"/>
      <c r="S67" s="6"/>
      <c r="T67" s="156"/>
      <c r="U67" s="6"/>
    </row>
    <row r="68" spans="1:21" customFormat="1">
      <c r="A68" s="201" t="s">
        <v>1739</v>
      </c>
      <c r="B68" s="6">
        <v>1.56</v>
      </c>
      <c r="C68" s="6">
        <v>8.56</v>
      </c>
      <c r="D68" s="6">
        <v>5.73</v>
      </c>
      <c r="E68" s="6">
        <v>5.64</v>
      </c>
      <c r="F68" s="6">
        <v>3.47</v>
      </c>
      <c r="G68" s="6">
        <v>37.92</v>
      </c>
      <c r="H68" s="6">
        <v>9.69</v>
      </c>
      <c r="I68" s="6">
        <v>4.29</v>
      </c>
      <c r="J68" s="6">
        <v>0.23</v>
      </c>
      <c r="K68" s="6">
        <v>68.62</v>
      </c>
      <c r="L68" s="6">
        <v>10.84</v>
      </c>
      <c r="M68" s="6">
        <v>7.17</v>
      </c>
      <c r="N68" s="6">
        <v>86.6</v>
      </c>
      <c r="O68" s="6">
        <v>0</v>
      </c>
      <c r="P68" s="6">
        <v>0.31</v>
      </c>
      <c r="Q68" s="6">
        <v>10</v>
      </c>
      <c r="R68" s="6"/>
      <c r="S68" s="6"/>
      <c r="T68" s="156"/>
      <c r="U68" s="6"/>
    </row>
    <row r="69" spans="1:21" customFormat="1">
      <c r="A69" s="201" t="s">
        <v>1740</v>
      </c>
      <c r="B69" s="6">
        <v>1.72</v>
      </c>
      <c r="C69" s="6">
        <v>8.2899999999999991</v>
      </c>
      <c r="D69" s="6">
        <v>5.71</v>
      </c>
      <c r="E69" s="6">
        <v>6.16</v>
      </c>
      <c r="F69" s="6">
        <v>3.71</v>
      </c>
      <c r="G69" s="6">
        <v>37.92</v>
      </c>
      <c r="H69" s="6">
        <v>9.69</v>
      </c>
      <c r="I69" s="6">
        <v>4.43</v>
      </c>
      <c r="J69" s="6">
        <v>0.35</v>
      </c>
      <c r="K69" s="6">
        <v>69.67</v>
      </c>
      <c r="L69" s="6">
        <v>10.14</v>
      </c>
      <c r="M69" s="6">
        <v>5.61</v>
      </c>
      <c r="N69" s="6">
        <v>77.099999999999994</v>
      </c>
      <c r="O69" s="6">
        <v>0</v>
      </c>
      <c r="P69" s="6">
        <v>0.34</v>
      </c>
      <c r="Q69" s="6">
        <v>10</v>
      </c>
      <c r="R69" s="6"/>
      <c r="S69" s="6"/>
      <c r="T69" s="156"/>
      <c r="U69" s="6"/>
    </row>
    <row r="70" spans="1:21" customFormat="1">
      <c r="A70" s="201" t="s">
        <v>1741</v>
      </c>
      <c r="B70" s="6">
        <v>1.81</v>
      </c>
      <c r="C70" s="6">
        <v>8.5399999999999991</v>
      </c>
      <c r="D70" s="6">
        <v>5.91</v>
      </c>
      <c r="E70" s="6">
        <v>7.24</v>
      </c>
      <c r="F70" s="6">
        <v>22.91</v>
      </c>
      <c r="G70" s="6">
        <v>37.92</v>
      </c>
      <c r="H70" s="6">
        <v>9.69</v>
      </c>
      <c r="I70" s="6">
        <v>4.03</v>
      </c>
      <c r="J70" s="6">
        <v>0.28999999999999998</v>
      </c>
      <c r="K70" s="6">
        <v>68.89</v>
      </c>
      <c r="L70" s="6">
        <v>10.29</v>
      </c>
      <c r="M70" s="6">
        <v>6.19</v>
      </c>
      <c r="N70" s="6">
        <v>68.5</v>
      </c>
      <c r="O70" s="6">
        <v>0</v>
      </c>
      <c r="P70" s="6">
        <v>0.36</v>
      </c>
      <c r="Q70" s="6">
        <v>10</v>
      </c>
      <c r="R70" s="6"/>
      <c r="S70" s="6"/>
      <c r="T70" s="156"/>
      <c r="U70" s="6"/>
    </row>
    <row r="71" spans="1:21" customFormat="1">
      <c r="A71" s="201" t="s">
        <v>1742</v>
      </c>
      <c r="B71" s="6">
        <v>1.66</v>
      </c>
      <c r="C71" s="6">
        <v>9.07</v>
      </c>
      <c r="D71" s="6">
        <v>6.07</v>
      </c>
      <c r="E71" s="6">
        <v>7.13</v>
      </c>
      <c r="F71" s="6">
        <v>18.14</v>
      </c>
      <c r="G71" s="6">
        <v>37.950000000000003</v>
      </c>
      <c r="H71" s="6">
        <v>9.68</v>
      </c>
      <c r="I71" s="6">
        <v>3.35</v>
      </c>
      <c r="J71" s="6">
        <v>0.21</v>
      </c>
      <c r="K71" s="6">
        <v>79.11</v>
      </c>
      <c r="L71" s="6">
        <v>11.67</v>
      </c>
      <c r="M71" s="6">
        <v>10.07</v>
      </c>
      <c r="N71" s="6">
        <v>55.7</v>
      </c>
      <c r="O71" s="6">
        <v>0</v>
      </c>
      <c r="P71" s="6">
        <v>0.41</v>
      </c>
      <c r="Q71" s="6">
        <v>10</v>
      </c>
      <c r="R71" s="6"/>
      <c r="S71" s="6"/>
      <c r="T71" s="156"/>
      <c r="U71" s="6"/>
    </row>
    <row r="72" spans="1:21" customFormat="1">
      <c r="A72" s="201" t="s">
        <v>1743</v>
      </c>
      <c r="B72" s="6">
        <v>1.74</v>
      </c>
      <c r="C72" s="6">
        <v>9.36</v>
      </c>
      <c r="D72" s="6">
        <v>6.29</v>
      </c>
      <c r="E72" s="6">
        <v>6.94</v>
      </c>
      <c r="F72" s="6">
        <v>10.57</v>
      </c>
      <c r="G72" s="6">
        <v>38.71</v>
      </c>
      <c r="H72" s="6">
        <v>9.41</v>
      </c>
      <c r="I72" s="6">
        <v>3.54</v>
      </c>
      <c r="J72" s="6">
        <v>0.17</v>
      </c>
      <c r="K72" s="6">
        <v>78.930000000000007</v>
      </c>
      <c r="L72" s="6">
        <v>11.07</v>
      </c>
      <c r="M72" s="6">
        <v>8.6300000000000008</v>
      </c>
      <c r="N72" s="6">
        <v>45.6</v>
      </c>
      <c r="O72" s="6">
        <v>0</v>
      </c>
      <c r="P72" s="6">
        <v>0.41</v>
      </c>
      <c r="Q72" s="6">
        <v>10</v>
      </c>
      <c r="R72" s="6"/>
      <c r="S72" s="6"/>
      <c r="T72" s="156"/>
      <c r="U72" s="6"/>
    </row>
    <row r="73" spans="1:21" customFormat="1">
      <c r="A73" s="201" t="s">
        <v>1744</v>
      </c>
      <c r="B73" s="6">
        <v>2.2000000000000002</v>
      </c>
      <c r="C73" s="6">
        <v>10.02</v>
      </c>
      <c r="D73" s="6">
        <v>7</v>
      </c>
      <c r="E73" s="6">
        <v>6.56</v>
      </c>
      <c r="F73" s="6">
        <v>12.09</v>
      </c>
      <c r="G73" s="6">
        <v>38.71</v>
      </c>
      <c r="H73" s="6">
        <v>9.41</v>
      </c>
      <c r="I73" s="6">
        <v>4.3099999999999996</v>
      </c>
      <c r="J73" s="6">
        <v>0.51</v>
      </c>
      <c r="K73" s="6">
        <v>40.92</v>
      </c>
      <c r="L73" s="6">
        <v>8</v>
      </c>
      <c r="M73" s="6">
        <v>1.03</v>
      </c>
      <c r="N73" s="6">
        <v>38.4</v>
      </c>
      <c r="O73" s="6">
        <v>0</v>
      </c>
      <c r="P73" s="6">
        <v>0.41</v>
      </c>
      <c r="Q73" s="6">
        <v>10</v>
      </c>
      <c r="R73" s="6"/>
      <c r="S73" s="6"/>
      <c r="T73" s="156"/>
      <c r="U73" s="6"/>
    </row>
    <row r="74" spans="1:21" customFormat="1">
      <c r="A74" s="201" t="s">
        <v>1745</v>
      </c>
      <c r="B74" s="6">
        <v>2.33</v>
      </c>
      <c r="C74" s="6">
        <v>9.93</v>
      </c>
      <c r="D74" s="6">
        <v>7.06</v>
      </c>
      <c r="E74" s="6">
        <v>6.99</v>
      </c>
      <c r="F74" s="6">
        <v>12.36</v>
      </c>
      <c r="G74" s="6">
        <v>38.71</v>
      </c>
      <c r="H74" s="6">
        <v>9.41</v>
      </c>
      <c r="I74" s="6">
        <v>5.26</v>
      </c>
      <c r="J74" s="6">
        <v>0.38</v>
      </c>
      <c r="K74" s="6">
        <v>46.51</v>
      </c>
      <c r="L74" s="6">
        <v>7.55</v>
      </c>
      <c r="M74" s="6">
        <v>0.13</v>
      </c>
      <c r="N74" s="6">
        <v>28.1</v>
      </c>
      <c r="O74" s="6">
        <v>0</v>
      </c>
      <c r="P74" s="6">
        <v>0.41</v>
      </c>
      <c r="Q74" s="6">
        <v>10</v>
      </c>
      <c r="R74" s="6"/>
      <c r="S74" s="6"/>
      <c r="T74" s="156"/>
      <c r="U74" s="6"/>
    </row>
    <row r="75" spans="1:21" customFormat="1">
      <c r="A75" s="201" t="s">
        <v>1746</v>
      </c>
      <c r="B75" s="6">
        <v>2.79</v>
      </c>
      <c r="C75" s="6">
        <v>11.16</v>
      </c>
      <c r="D75" s="6">
        <v>8.07</v>
      </c>
      <c r="E75" s="6">
        <v>6.92</v>
      </c>
      <c r="F75" s="6">
        <v>12.11</v>
      </c>
      <c r="G75" s="6">
        <v>38.86</v>
      </c>
      <c r="H75" s="6">
        <v>9.44</v>
      </c>
      <c r="I75" s="6">
        <v>5.82</v>
      </c>
      <c r="J75" s="6">
        <v>0.25</v>
      </c>
      <c r="K75" s="6">
        <v>56.94</v>
      </c>
      <c r="L75" s="6">
        <v>9.4700000000000006</v>
      </c>
      <c r="M75" s="6">
        <v>5.0599999999999996</v>
      </c>
      <c r="N75" s="6">
        <v>21.8</v>
      </c>
      <c r="O75" s="6">
        <v>0</v>
      </c>
      <c r="P75" s="6">
        <v>0.41</v>
      </c>
      <c r="Q75" s="6">
        <v>10</v>
      </c>
      <c r="R75" s="6"/>
      <c r="S75" s="6"/>
      <c r="T75" s="156"/>
      <c r="U75" s="6"/>
    </row>
    <row r="76" spans="1:21" customFormat="1">
      <c r="A76" s="201" t="s">
        <v>1747</v>
      </c>
      <c r="B76" s="6">
        <v>2.52</v>
      </c>
      <c r="C76" s="6">
        <v>10.41</v>
      </c>
      <c r="D76" s="6">
        <v>7.46</v>
      </c>
      <c r="E76" s="6">
        <v>6.27</v>
      </c>
      <c r="F76" s="6">
        <v>6.65</v>
      </c>
      <c r="G76" s="6">
        <v>43.21</v>
      </c>
      <c r="H76" s="6">
        <v>10.37</v>
      </c>
      <c r="I76" s="6">
        <v>6.93</v>
      </c>
      <c r="J76" s="6">
        <v>0.27</v>
      </c>
      <c r="K76" s="6">
        <v>63.06</v>
      </c>
      <c r="L76" s="6">
        <v>9.36</v>
      </c>
      <c r="M76" s="6">
        <v>4.92</v>
      </c>
      <c r="N76" s="6">
        <v>17</v>
      </c>
      <c r="O76" s="6">
        <v>0</v>
      </c>
      <c r="P76" s="6">
        <v>0.41</v>
      </c>
      <c r="Q76" s="6">
        <v>10</v>
      </c>
      <c r="R76" s="6"/>
      <c r="S76" s="6"/>
      <c r="T76" s="156"/>
      <c r="U76" s="6"/>
    </row>
    <row r="77" spans="1:21" customFormat="1">
      <c r="A77" s="201" t="s">
        <v>1748</v>
      </c>
      <c r="B77" s="6">
        <v>2.21</v>
      </c>
      <c r="C77" s="6">
        <v>10.06</v>
      </c>
      <c r="D77" s="6">
        <v>7.03</v>
      </c>
      <c r="E77" s="6">
        <v>6.19</v>
      </c>
      <c r="F77" s="6">
        <v>11.72</v>
      </c>
      <c r="G77" s="6">
        <v>43.21</v>
      </c>
      <c r="H77" s="6">
        <v>10.37</v>
      </c>
      <c r="I77" s="6">
        <v>6.35</v>
      </c>
      <c r="J77" s="6">
        <v>0.15</v>
      </c>
      <c r="K77" s="6">
        <v>106.68</v>
      </c>
      <c r="L77" s="6">
        <v>12.21</v>
      </c>
      <c r="M77" s="6">
        <v>12.37</v>
      </c>
      <c r="N77" s="6">
        <v>10.9</v>
      </c>
      <c r="O77" s="6">
        <v>0</v>
      </c>
      <c r="P77" s="6">
        <v>0.41</v>
      </c>
      <c r="Q77" s="6">
        <v>10</v>
      </c>
      <c r="R77" s="6"/>
      <c r="S77" s="6"/>
      <c r="T77" s="156"/>
      <c r="U77" s="6"/>
    </row>
    <row r="78" spans="1:21" customFormat="1">
      <c r="A78" s="201" t="s">
        <v>1749</v>
      </c>
      <c r="B78" s="6">
        <v>2.52</v>
      </c>
      <c r="C78" s="6">
        <v>10.92</v>
      </c>
      <c r="D78" s="6">
        <v>7.73</v>
      </c>
      <c r="E78" s="6">
        <v>6.2</v>
      </c>
      <c r="F78" s="6">
        <v>5.12</v>
      </c>
      <c r="G78" s="6">
        <v>43.21</v>
      </c>
      <c r="H78" s="6">
        <v>10.37</v>
      </c>
      <c r="I78" s="6">
        <v>4.28</v>
      </c>
      <c r="J78" s="6">
        <v>0.26</v>
      </c>
      <c r="K78" s="6">
        <v>0.23</v>
      </c>
      <c r="L78" s="6">
        <v>8.31</v>
      </c>
      <c r="M78" s="6">
        <v>2.61</v>
      </c>
      <c r="N78" s="6">
        <v>5.8</v>
      </c>
      <c r="O78" s="6">
        <v>0</v>
      </c>
      <c r="P78" s="6">
        <v>0.45</v>
      </c>
      <c r="Q78" s="6">
        <v>10</v>
      </c>
      <c r="R78" s="6"/>
      <c r="S78" s="6"/>
      <c r="T78" s="156"/>
      <c r="U78" s="6"/>
    </row>
    <row r="79" spans="1:21" customFormat="1">
      <c r="A79" s="201" t="s">
        <v>1750</v>
      </c>
      <c r="B79" s="6">
        <v>2.5299999999999998</v>
      </c>
      <c r="C79" s="6">
        <v>13.26</v>
      </c>
      <c r="D79" s="6">
        <v>8.9600000000000009</v>
      </c>
      <c r="E79" s="6">
        <v>5.63</v>
      </c>
      <c r="F79" s="6">
        <v>20</v>
      </c>
      <c r="G79" s="6">
        <v>43.33</v>
      </c>
      <c r="H79" s="6">
        <v>9.74</v>
      </c>
      <c r="I79" s="6">
        <v>4.74</v>
      </c>
      <c r="J79" s="6">
        <v>0.11</v>
      </c>
      <c r="K79" s="6">
        <v>150.44</v>
      </c>
      <c r="L79" s="6">
        <v>15.27</v>
      </c>
      <c r="M79" s="6">
        <v>20.22</v>
      </c>
      <c r="N79" s="6">
        <v>3.1</v>
      </c>
      <c r="O79" s="6">
        <v>0</v>
      </c>
      <c r="P79" s="6">
        <v>0.45</v>
      </c>
      <c r="Q79" s="6">
        <v>10</v>
      </c>
      <c r="R79" s="6"/>
      <c r="S79" s="6"/>
      <c r="T79" s="156"/>
      <c r="U79" s="6"/>
    </row>
    <row r="80" spans="1:21" customFormat="1">
      <c r="A80" s="201" t="s">
        <v>1751</v>
      </c>
      <c r="B80" s="6">
        <v>1.95</v>
      </c>
      <c r="C80" s="6">
        <v>12.66</v>
      </c>
      <c r="D80" s="6">
        <v>8.18</v>
      </c>
      <c r="E80" s="6">
        <v>5.84</v>
      </c>
      <c r="F80" s="6">
        <v>4.87</v>
      </c>
      <c r="G80" s="6">
        <v>46.79</v>
      </c>
      <c r="H80" s="6">
        <v>9.74</v>
      </c>
      <c r="I80" s="6">
        <v>5.35</v>
      </c>
      <c r="J80" s="6">
        <v>0.19</v>
      </c>
      <c r="K80" s="6">
        <v>140.03</v>
      </c>
      <c r="L80" s="6">
        <v>14.11</v>
      </c>
      <c r="M80" s="6">
        <v>17.260000000000002</v>
      </c>
      <c r="N80" s="6">
        <v>2.9</v>
      </c>
      <c r="O80" s="6">
        <v>0</v>
      </c>
      <c r="P80" s="6">
        <v>0.43</v>
      </c>
      <c r="Q80" s="6">
        <v>10</v>
      </c>
      <c r="R80" s="6"/>
      <c r="S80" s="6"/>
      <c r="T80" s="156"/>
      <c r="U80" s="6"/>
    </row>
    <row r="81" spans="1:21" customFormat="1">
      <c r="A81" s="201" t="s">
        <v>1752</v>
      </c>
      <c r="B81" s="6">
        <v>1.92</v>
      </c>
      <c r="C81" s="6">
        <v>10.87</v>
      </c>
      <c r="D81" s="6">
        <v>7.22</v>
      </c>
      <c r="E81" s="6">
        <v>3.9</v>
      </c>
      <c r="F81" s="6">
        <v>2.08</v>
      </c>
      <c r="G81" s="6">
        <v>46.79</v>
      </c>
      <c r="H81" s="6">
        <v>9.74</v>
      </c>
      <c r="I81" s="6">
        <v>4.83</v>
      </c>
      <c r="J81" s="6">
        <v>0.14000000000000001</v>
      </c>
      <c r="K81" s="6">
        <v>128.63</v>
      </c>
      <c r="L81" s="6">
        <v>13.38</v>
      </c>
      <c r="M81" s="6">
        <v>15.51</v>
      </c>
      <c r="N81" s="6">
        <v>2.5</v>
      </c>
      <c r="O81" s="6">
        <v>0</v>
      </c>
      <c r="P81" s="6">
        <v>0.44</v>
      </c>
      <c r="Q81" s="6">
        <v>10</v>
      </c>
      <c r="R81" s="6"/>
      <c r="S81" s="6"/>
      <c r="T81" s="156"/>
      <c r="U81" s="6"/>
    </row>
    <row r="82" spans="1:21" customFormat="1">
      <c r="A82" s="201" t="s">
        <v>1753</v>
      </c>
      <c r="B82" s="6">
        <v>1.99</v>
      </c>
      <c r="C82" s="6">
        <v>10.65</v>
      </c>
      <c r="D82" s="6">
        <v>7.16</v>
      </c>
      <c r="E82" s="6">
        <v>4.55</v>
      </c>
      <c r="F82" s="6">
        <v>2</v>
      </c>
      <c r="G82" s="6">
        <v>46.79</v>
      </c>
      <c r="H82" s="6">
        <v>9.74</v>
      </c>
      <c r="I82" s="6">
        <v>5.27</v>
      </c>
      <c r="J82" s="6">
        <v>0.19</v>
      </c>
      <c r="K82" s="6">
        <v>141.96</v>
      </c>
      <c r="L82" s="6">
        <v>14.24</v>
      </c>
      <c r="M82" s="6">
        <v>17.79</v>
      </c>
      <c r="N82" s="6">
        <v>2.5</v>
      </c>
      <c r="O82" s="6">
        <v>0</v>
      </c>
      <c r="P82" s="6">
        <v>0.44</v>
      </c>
      <c r="Q82" s="6">
        <v>10</v>
      </c>
      <c r="R82" s="6"/>
      <c r="S82" s="6"/>
      <c r="T82" s="156"/>
      <c r="U82" s="6"/>
    </row>
    <row r="83" spans="1:21" customFormat="1">
      <c r="A83" s="201" t="s">
        <v>1754</v>
      </c>
      <c r="B83" s="6">
        <v>2.11</v>
      </c>
      <c r="C83" s="6">
        <v>9.93</v>
      </c>
      <c r="D83" s="6">
        <v>6.88</v>
      </c>
      <c r="E83" s="6">
        <v>4.4000000000000004</v>
      </c>
      <c r="F83" s="6">
        <v>2</v>
      </c>
      <c r="G83" s="6">
        <v>46.98</v>
      </c>
      <c r="H83" s="6">
        <v>9.7799999999999994</v>
      </c>
      <c r="I83" s="6">
        <v>6.05</v>
      </c>
      <c r="J83" s="6">
        <v>0.16</v>
      </c>
      <c r="K83" s="6">
        <v>110.22</v>
      </c>
      <c r="L83" s="6">
        <v>11.93</v>
      </c>
      <c r="M83" s="6">
        <v>11.88</v>
      </c>
      <c r="N83" s="6">
        <v>2.2999999999999998</v>
      </c>
      <c r="O83" s="6">
        <v>0</v>
      </c>
      <c r="P83" s="6">
        <v>0.43</v>
      </c>
      <c r="Q83" s="6">
        <v>10</v>
      </c>
      <c r="R83" s="6"/>
      <c r="S83" s="6"/>
      <c r="T83" s="156"/>
      <c r="U83" s="6"/>
    </row>
    <row r="84" spans="1:21" customFormat="1">
      <c r="A84" s="201" t="s">
        <v>1755</v>
      </c>
      <c r="B84" s="6">
        <v>2.31</v>
      </c>
      <c r="C84" s="6">
        <v>8.8800000000000008</v>
      </c>
      <c r="D84" s="6">
        <v>6.49</v>
      </c>
      <c r="E84" s="6">
        <v>4.1900000000000004</v>
      </c>
      <c r="F84" s="6">
        <v>2.0699999999999998</v>
      </c>
      <c r="G84" s="6">
        <v>52.41</v>
      </c>
      <c r="H84" s="6">
        <v>10.9</v>
      </c>
      <c r="I84" s="6">
        <v>6.21</v>
      </c>
      <c r="J84" s="6">
        <v>0.2</v>
      </c>
      <c r="K84" s="6">
        <v>144.33000000000001</v>
      </c>
      <c r="L84" s="6">
        <v>13.76</v>
      </c>
      <c r="M84" s="6">
        <v>16.579999999999998</v>
      </c>
      <c r="N84" s="6">
        <v>2.2999999999999998</v>
      </c>
      <c r="O84" s="6">
        <v>0</v>
      </c>
      <c r="P84" s="6">
        <v>0.44</v>
      </c>
      <c r="Q84" s="6">
        <v>10</v>
      </c>
      <c r="R84" s="6"/>
      <c r="S84" s="6"/>
      <c r="T84" s="156"/>
      <c r="U84" s="6"/>
    </row>
    <row r="85" spans="1:21" customFormat="1">
      <c r="A85" s="201" t="s">
        <v>1756</v>
      </c>
      <c r="B85" s="6">
        <v>2.39</v>
      </c>
      <c r="C85" s="6">
        <v>8.8800000000000008</v>
      </c>
      <c r="D85" s="6">
        <v>6.56</v>
      </c>
      <c r="E85" s="6">
        <v>4.62</v>
      </c>
      <c r="F85" s="6">
        <v>2</v>
      </c>
      <c r="G85" s="6">
        <v>52.41</v>
      </c>
      <c r="H85" s="6">
        <v>10.9</v>
      </c>
      <c r="I85" s="6">
        <v>6.25</v>
      </c>
      <c r="J85" s="6">
        <v>0.22</v>
      </c>
      <c r="K85" s="6">
        <v>155.85</v>
      </c>
      <c r="L85" s="6">
        <v>15.41</v>
      </c>
      <c r="M85" s="6">
        <v>20.73</v>
      </c>
      <c r="N85" s="6">
        <v>2.2999999999999998</v>
      </c>
      <c r="O85" s="6">
        <v>0</v>
      </c>
      <c r="P85" s="6">
        <v>0.44</v>
      </c>
      <c r="Q85" s="6">
        <v>10</v>
      </c>
      <c r="R85" s="6"/>
      <c r="S85" s="6"/>
      <c r="T85" s="156"/>
      <c r="U85" s="6"/>
    </row>
    <row r="86" spans="1:21" customFormat="1">
      <c r="A86" s="201" t="s">
        <v>1757</v>
      </c>
      <c r="B86" s="6">
        <v>2.64</v>
      </c>
      <c r="C86" s="6">
        <v>8.2100000000000009</v>
      </c>
      <c r="D86" s="6">
        <v>6.4</v>
      </c>
      <c r="E86" s="6">
        <v>4.42</v>
      </c>
      <c r="F86" s="6">
        <v>2</v>
      </c>
      <c r="G86" s="6">
        <v>52.41</v>
      </c>
      <c r="H86" s="6">
        <v>10.9</v>
      </c>
      <c r="I86" s="6">
        <v>6.56</v>
      </c>
      <c r="J86" s="6">
        <v>0.2</v>
      </c>
      <c r="K86" s="6">
        <v>139.97</v>
      </c>
      <c r="L86" s="6">
        <v>13.82</v>
      </c>
      <c r="M86" s="6">
        <v>16.77</v>
      </c>
      <c r="N86" s="6">
        <v>2.2000000000000002</v>
      </c>
      <c r="O86" s="6">
        <v>0</v>
      </c>
      <c r="P86" s="6">
        <v>0.45</v>
      </c>
      <c r="Q86" s="6">
        <v>10</v>
      </c>
      <c r="R86" s="6"/>
      <c r="S86" s="6"/>
      <c r="T86" s="156"/>
      <c r="U86" s="6"/>
    </row>
    <row r="87" spans="1:21" customFormat="1">
      <c r="A87" s="201" t="s">
        <v>1758</v>
      </c>
      <c r="B87" s="6">
        <v>2.69</v>
      </c>
      <c r="C87" s="6">
        <v>8.74</v>
      </c>
      <c r="D87" s="6">
        <v>6.72</v>
      </c>
      <c r="E87" s="6">
        <v>4.62</v>
      </c>
      <c r="F87" s="6">
        <v>2</v>
      </c>
      <c r="G87" s="6">
        <v>52.42</v>
      </c>
      <c r="H87" s="6">
        <v>10.9</v>
      </c>
      <c r="I87" s="6">
        <v>6.7</v>
      </c>
      <c r="J87" s="6">
        <v>0.17</v>
      </c>
      <c r="K87" s="6">
        <v>102.92</v>
      </c>
      <c r="L87" s="6">
        <v>10.97</v>
      </c>
      <c r="M87" s="6">
        <v>9.57</v>
      </c>
      <c r="N87" s="6">
        <v>2.2000000000000002</v>
      </c>
      <c r="O87" s="6">
        <v>0</v>
      </c>
      <c r="P87" s="6">
        <v>0.44</v>
      </c>
      <c r="Q87" s="6">
        <v>10</v>
      </c>
      <c r="R87" s="6"/>
      <c r="S87" s="6"/>
      <c r="T87" s="156"/>
      <c r="U87" s="6"/>
    </row>
    <row r="88" spans="1:21" customFormat="1">
      <c r="A88" s="201" t="s">
        <v>1759</v>
      </c>
      <c r="B88" s="6">
        <v>2.86</v>
      </c>
      <c r="C88" s="6">
        <v>7.77</v>
      </c>
      <c r="D88" s="6">
        <v>6.36</v>
      </c>
      <c r="E88" s="6">
        <v>4.54</v>
      </c>
      <c r="F88" s="6">
        <v>2</v>
      </c>
      <c r="G88" s="6">
        <v>52.78</v>
      </c>
      <c r="H88" s="6">
        <v>10.97</v>
      </c>
      <c r="I88" s="6">
        <v>6.49</v>
      </c>
      <c r="J88" s="6">
        <v>0.15</v>
      </c>
      <c r="K88" s="6">
        <v>104.29</v>
      </c>
      <c r="L88" s="6">
        <v>12.16</v>
      </c>
      <c r="M88" s="6">
        <v>12.58</v>
      </c>
      <c r="N88" s="6">
        <v>2.1</v>
      </c>
      <c r="O88" s="6">
        <v>0</v>
      </c>
      <c r="P88" s="6">
        <v>0.42</v>
      </c>
      <c r="Q88" s="6">
        <v>10</v>
      </c>
      <c r="R88" s="6"/>
      <c r="S88" s="6"/>
      <c r="T88" s="156"/>
      <c r="U88" s="6"/>
    </row>
    <row r="89" spans="1:21" customFormat="1">
      <c r="A89" s="201" t="s">
        <v>1760</v>
      </c>
      <c r="B89" s="6">
        <v>2.93</v>
      </c>
      <c r="C89" s="6">
        <v>7.74</v>
      </c>
      <c r="D89" s="6">
        <v>6.39</v>
      </c>
      <c r="E89" s="6">
        <v>4.0199999999999996</v>
      </c>
      <c r="F89" s="6">
        <v>2</v>
      </c>
      <c r="G89" s="6">
        <v>52.78</v>
      </c>
      <c r="H89" s="6">
        <v>10.97</v>
      </c>
      <c r="I89" s="6">
        <v>6.54</v>
      </c>
      <c r="J89" s="6">
        <v>0.19</v>
      </c>
      <c r="K89" s="6">
        <v>139.85</v>
      </c>
      <c r="L89" s="6">
        <v>13.72</v>
      </c>
      <c r="M89" s="6">
        <v>16.53</v>
      </c>
      <c r="N89" s="6">
        <v>2.2000000000000002</v>
      </c>
      <c r="O89" s="6">
        <v>0</v>
      </c>
      <c r="P89" s="6">
        <v>0.42</v>
      </c>
      <c r="Q89" s="6">
        <v>10</v>
      </c>
      <c r="R89" s="6"/>
      <c r="S89" s="6"/>
      <c r="T89" s="156"/>
      <c r="U89" s="6"/>
    </row>
    <row r="90" spans="1:21" customFormat="1">
      <c r="A90" s="201" t="s">
        <v>1761</v>
      </c>
      <c r="B90" s="6">
        <v>2.97</v>
      </c>
      <c r="C90" s="6">
        <v>7.56</v>
      </c>
      <c r="D90" s="6">
        <v>6.33</v>
      </c>
      <c r="E90" s="6">
        <v>4.41</v>
      </c>
      <c r="F90" s="6">
        <v>2</v>
      </c>
      <c r="G90" s="6">
        <v>52.78</v>
      </c>
      <c r="H90" s="6">
        <v>10.97</v>
      </c>
      <c r="I90" s="6">
        <v>6.47</v>
      </c>
      <c r="J90" s="6">
        <v>0.17</v>
      </c>
      <c r="K90" s="6">
        <v>136.1</v>
      </c>
      <c r="L90" s="6">
        <v>13.64</v>
      </c>
      <c r="M90" s="6">
        <v>16.350000000000001</v>
      </c>
      <c r="N90" s="6">
        <v>2.2999999999999998</v>
      </c>
      <c r="O90" s="6">
        <v>0</v>
      </c>
      <c r="P90" s="6">
        <v>0.42</v>
      </c>
      <c r="Q90" s="6">
        <v>10</v>
      </c>
      <c r="R90" s="6"/>
      <c r="S90" s="6"/>
      <c r="T90" s="156"/>
      <c r="U90" s="6"/>
    </row>
    <row r="91" spans="1:21" customFormat="1">
      <c r="A91" s="201" t="s">
        <v>1762</v>
      </c>
      <c r="B91" s="6">
        <v>3.03</v>
      </c>
      <c r="C91" s="6">
        <v>7.56</v>
      </c>
      <c r="D91" s="6">
        <v>6.38</v>
      </c>
      <c r="E91" s="6">
        <v>4.38</v>
      </c>
      <c r="F91" s="6">
        <v>2</v>
      </c>
      <c r="G91" s="6">
        <v>52.76</v>
      </c>
      <c r="H91" s="6">
        <v>11</v>
      </c>
      <c r="I91" s="6">
        <v>6.5</v>
      </c>
      <c r="J91" s="6">
        <v>0.14000000000000001</v>
      </c>
      <c r="K91" s="6">
        <v>85.46</v>
      </c>
      <c r="L91" s="6">
        <v>10.1</v>
      </c>
      <c r="M91" s="6">
        <v>7.56</v>
      </c>
      <c r="N91" s="6">
        <v>2.2000000000000002</v>
      </c>
      <c r="O91" s="6">
        <v>0</v>
      </c>
      <c r="P91" s="6">
        <v>0.43</v>
      </c>
      <c r="Q91" s="6">
        <v>10</v>
      </c>
      <c r="R91" s="6"/>
      <c r="S91" s="6"/>
      <c r="T91" s="156"/>
      <c r="U91" s="6"/>
    </row>
    <row r="92" spans="1:21" customFormat="1">
      <c r="A92" s="201" t="s">
        <v>1763</v>
      </c>
      <c r="B92" s="6">
        <v>3.22</v>
      </c>
      <c r="C92" s="6">
        <v>7.97</v>
      </c>
      <c r="D92" s="6">
        <v>6.75</v>
      </c>
      <c r="E92" s="6">
        <v>4.5999999999999996</v>
      </c>
      <c r="F92" s="6">
        <v>2</v>
      </c>
      <c r="G92" s="6">
        <v>52.36</v>
      </c>
      <c r="H92" s="6">
        <v>11.82</v>
      </c>
      <c r="I92" s="6">
        <v>6.5</v>
      </c>
      <c r="J92" s="6">
        <v>0.23</v>
      </c>
      <c r="K92" s="6">
        <v>66.78</v>
      </c>
      <c r="L92" s="6">
        <v>10.08</v>
      </c>
      <c r="M92" s="6">
        <v>7.3</v>
      </c>
      <c r="N92" s="6">
        <v>2.1</v>
      </c>
      <c r="O92" s="6">
        <v>0</v>
      </c>
      <c r="P92" s="6">
        <v>0.44</v>
      </c>
      <c r="Q92" s="6">
        <v>10</v>
      </c>
      <c r="R92" s="6"/>
      <c r="S92" s="6"/>
      <c r="T92" s="156"/>
      <c r="U92" s="6"/>
    </row>
    <row r="93" spans="1:21" customFormat="1">
      <c r="A93" s="201" t="s">
        <v>1764</v>
      </c>
      <c r="B93" s="6">
        <v>3.35</v>
      </c>
      <c r="C93" s="6">
        <v>7.75</v>
      </c>
      <c r="D93" s="6">
        <v>6.73</v>
      </c>
      <c r="E93" s="6">
        <v>4.82</v>
      </c>
      <c r="F93" s="6">
        <v>2</v>
      </c>
      <c r="G93" s="6">
        <v>52.36</v>
      </c>
      <c r="H93" s="6">
        <v>11.82</v>
      </c>
      <c r="I93" s="6">
        <v>6.58</v>
      </c>
      <c r="J93" s="6">
        <v>0.16</v>
      </c>
      <c r="K93" s="6">
        <v>74.52</v>
      </c>
      <c r="L93" s="6">
        <v>11</v>
      </c>
      <c r="M93" s="6">
        <v>9.64</v>
      </c>
      <c r="N93" s="6">
        <v>2.2000000000000002</v>
      </c>
      <c r="O93" s="6">
        <v>0</v>
      </c>
      <c r="P93" s="6">
        <v>0.44</v>
      </c>
      <c r="Q93" s="6">
        <v>10</v>
      </c>
      <c r="R93" s="6"/>
      <c r="S93" s="6"/>
      <c r="T93" s="156"/>
      <c r="U93" s="6"/>
    </row>
    <row r="94" spans="1:21" customFormat="1">
      <c r="A94" s="201" t="s">
        <v>1765</v>
      </c>
      <c r="B94" s="6">
        <v>3.51</v>
      </c>
      <c r="C94" s="6">
        <v>7.83</v>
      </c>
      <c r="D94" s="6">
        <v>6.91</v>
      </c>
      <c r="E94" s="6">
        <v>4.72</v>
      </c>
      <c r="F94" s="6">
        <v>2</v>
      </c>
      <c r="G94" s="6">
        <v>52.36</v>
      </c>
      <c r="H94" s="6">
        <v>11.82</v>
      </c>
      <c r="I94" s="6">
        <v>6.67</v>
      </c>
      <c r="J94" s="6">
        <v>0.17</v>
      </c>
      <c r="K94" s="6">
        <v>80.28</v>
      </c>
      <c r="L94" s="6">
        <v>10.27</v>
      </c>
      <c r="M94" s="6">
        <v>7.79</v>
      </c>
      <c r="N94" s="6">
        <v>2.1</v>
      </c>
      <c r="O94" s="6">
        <v>0</v>
      </c>
      <c r="P94" s="6">
        <v>0.45</v>
      </c>
      <c r="Q94" s="6">
        <v>10</v>
      </c>
      <c r="R94" s="6"/>
      <c r="S94" s="6"/>
      <c r="T94" s="156"/>
      <c r="U94" s="6"/>
    </row>
    <row r="95" spans="1:21" customFormat="1">
      <c r="A95" s="201" t="s">
        <v>1766</v>
      </c>
      <c r="B95" s="6">
        <v>3.66</v>
      </c>
      <c r="C95" s="6">
        <v>7.88</v>
      </c>
      <c r="D95" s="6">
        <v>7.06</v>
      </c>
      <c r="E95" s="6">
        <v>4.79</v>
      </c>
      <c r="F95" s="6">
        <v>2</v>
      </c>
      <c r="G95" s="6">
        <v>52.45</v>
      </c>
      <c r="H95" s="6">
        <v>11.88</v>
      </c>
      <c r="I95" s="6">
        <v>6.72</v>
      </c>
      <c r="J95" s="6">
        <v>0.17</v>
      </c>
      <c r="K95" s="6">
        <v>116.58</v>
      </c>
      <c r="L95" s="6">
        <v>12.03</v>
      </c>
      <c r="M95" s="6">
        <v>12.34</v>
      </c>
      <c r="N95" s="6">
        <v>2.2000000000000002</v>
      </c>
      <c r="O95" s="6">
        <v>0</v>
      </c>
      <c r="P95" s="6">
        <v>0.45</v>
      </c>
      <c r="Q95" s="6">
        <v>10</v>
      </c>
      <c r="R95" s="6"/>
      <c r="S95" s="6"/>
      <c r="T95" s="156"/>
      <c r="U95" s="6"/>
    </row>
    <row r="96" spans="1:21" customFormat="1">
      <c r="A96" s="201" t="s">
        <v>1767</v>
      </c>
      <c r="B96" s="6">
        <v>3.72</v>
      </c>
      <c r="C96" s="6">
        <v>7.91</v>
      </c>
      <c r="D96" s="6">
        <v>7.11</v>
      </c>
      <c r="E96" s="6">
        <v>4.91</v>
      </c>
      <c r="F96" s="6">
        <v>2</v>
      </c>
      <c r="G96" s="6">
        <v>54.89</v>
      </c>
      <c r="H96" s="6">
        <v>13.82</v>
      </c>
      <c r="I96" s="6">
        <v>6.77</v>
      </c>
      <c r="J96" s="6">
        <v>0.14000000000000001</v>
      </c>
      <c r="K96" s="6">
        <v>100.69</v>
      </c>
      <c r="L96" s="6">
        <v>12.07</v>
      </c>
      <c r="M96" s="6">
        <v>12.33</v>
      </c>
      <c r="N96" s="6">
        <v>2.1</v>
      </c>
      <c r="O96" s="6">
        <v>0</v>
      </c>
      <c r="P96" s="6">
        <v>0.45</v>
      </c>
      <c r="Q96" s="6">
        <v>10</v>
      </c>
      <c r="R96" s="6"/>
      <c r="S96" s="6"/>
      <c r="T96" s="156"/>
      <c r="U96" s="6"/>
    </row>
    <row r="97" spans="1:28" customFormat="1">
      <c r="A97" s="201" t="s">
        <v>1768</v>
      </c>
      <c r="B97" s="6">
        <v>3.73</v>
      </c>
      <c r="C97" s="6">
        <v>7.69</v>
      </c>
      <c r="D97" s="6">
        <v>7.01</v>
      </c>
      <c r="E97" s="6">
        <v>5.07</v>
      </c>
      <c r="F97" s="6">
        <v>2</v>
      </c>
      <c r="G97" s="6">
        <v>54.89</v>
      </c>
      <c r="H97" s="6">
        <v>13.82</v>
      </c>
      <c r="I97" s="6">
        <v>6.72</v>
      </c>
      <c r="J97" s="6">
        <v>0.19</v>
      </c>
      <c r="K97" s="6">
        <v>136.53</v>
      </c>
      <c r="L97" s="6">
        <v>13.29</v>
      </c>
      <c r="M97" s="6">
        <v>15.47</v>
      </c>
      <c r="N97" s="6">
        <v>2.2999999999999998</v>
      </c>
      <c r="O97" s="6">
        <v>0</v>
      </c>
      <c r="P97" s="6">
        <v>0.44</v>
      </c>
      <c r="Q97" s="6">
        <v>10</v>
      </c>
      <c r="R97" s="6"/>
      <c r="S97" s="6"/>
      <c r="T97" s="156"/>
      <c r="U97" s="6"/>
    </row>
    <row r="98" spans="1:28" customFormat="1">
      <c r="A98" s="201" t="s">
        <v>1769</v>
      </c>
      <c r="B98" s="6">
        <v>3.7</v>
      </c>
      <c r="C98" s="6">
        <v>7.59</v>
      </c>
      <c r="D98" s="6">
        <v>6.93</v>
      </c>
      <c r="E98" s="6">
        <v>5.1100000000000003</v>
      </c>
      <c r="F98" s="6">
        <v>2</v>
      </c>
      <c r="G98" s="6">
        <v>54.89</v>
      </c>
      <c r="H98" s="6">
        <v>13.82</v>
      </c>
      <c r="I98" s="6">
        <v>6.71</v>
      </c>
      <c r="J98" s="6">
        <v>0.18</v>
      </c>
      <c r="K98" s="6">
        <v>139.46</v>
      </c>
      <c r="L98" s="6">
        <v>13.82</v>
      </c>
      <c r="M98" s="6">
        <v>16.82</v>
      </c>
      <c r="N98" s="6">
        <v>2.4</v>
      </c>
      <c r="O98" s="6">
        <v>0</v>
      </c>
      <c r="P98" s="6">
        <v>0.45</v>
      </c>
      <c r="Q98" s="6">
        <v>10</v>
      </c>
      <c r="R98" s="6"/>
      <c r="S98" s="6"/>
      <c r="T98" s="156"/>
      <c r="U98" s="6"/>
    </row>
    <row r="99" spans="1:28" customFormat="1">
      <c r="A99" s="201" t="s">
        <v>1770</v>
      </c>
      <c r="B99" s="6">
        <v>3.7</v>
      </c>
      <c r="C99" s="6">
        <v>7.65</v>
      </c>
      <c r="D99" s="6">
        <v>6.96</v>
      </c>
      <c r="E99" s="6">
        <v>5.17</v>
      </c>
      <c r="F99" s="6">
        <v>2</v>
      </c>
      <c r="G99" s="6">
        <v>54.87</v>
      </c>
      <c r="H99" s="6">
        <v>13.81</v>
      </c>
      <c r="I99" s="6">
        <v>6.71</v>
      </c>
      <c r="J99" s="6">
        <v>0.19</v>
      </c>
      <c r="K99" s="6">
        <v>60.49</v>
      </c>
      <c r="L99" s="6">
        <v>10.32</v>
      </c>
      <c r="M99" s="6">
        <v>7.85</v>
      </c>
      <c r="N99" s="6">
        <v>2.1</v>
      </c>
      <c r="O99" s="6">
        <v>0</v>
      </c>
      <c r="P99" s="6">
        <v>0.45</v>
      </c>
      <c r="Q99" s="6">
        <v>10</v>
      </c>
      <c r="R99" s="6"/>
      <c r="S99" s="6"/>
      <c r="T99" s="156"/>
      <c r="U99" s="6"/>
    </row>
    <row r="100" spans="1:28" customFormat="1">
      <c r="A100" s="201" t="s">
        <v>1771</v>
      </c>
      <c r="B100" s="6">
        <v>3.82</v>
      </c>
      <c r="C100" s="6">
        <v>7.74</v>
      </c>
      <c r="D100" s="6">
        <v>7.11</v>
      </c>
      <c r="E100" s="6">
        <v>5.24</v>
      </c>
      <c r="F100" s="6">
        <v>2</v>
      </c>
      <c r="G100" s="6">
        <v>54.21</v>
      </c>
      <c r="H100" s="6">
        <v>13.27</v>
      </c>
      <c r="I100" s="6">
        <v>6.73</v>
      </c>
      <c r="J100" s="6">
        <v>0.13</v>
      </c>
      <c r="K100" s="6">
        <v>96.21</v>
      </c>
      <c r="L100" s="6">
        <v>11.46</v>
      </c>
      <c r="M100" s="6">
        <v>10.85</v>
      </c>
      <c r="N100" s="6">
        <v>2.1</v>
      </c>
      <c r="O100" s="6">
        <v>0</v>
      </c>
      <c r="P100" s="6">
        <v>0.45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1772</v>
      </c>
      <c r="B101" s="6">
        <v>3.95</v>
      </c>
      <c r="C101" s="6">
        <v>7.79</v>
      </c>
      <c r="D101" s="6">
        <v>7.24</v>
      </c>
      <c r="E101" s="6">
        <v>5.24</v>
      </c>
      <c r="F101" s="6">
        <v>2</v>
      </c>
      <c r="G101" s="6">
        <v>54.21</v>
      </c>
      <c r="H101" s="6">
        <v>13.27</v>
      </c>
      <c r="I101" s="6">
        <v>6.7</v>
      </c>
      <c r="J101" s="6">
        <v>0.16</v>
      </c>
      <c r="K101" s="6">
        <v>57.49</v>
      </c>
      <c r="L101" s="6">
        <v>8.31</v>
      </c>
      <c r="M101" s="6">
        <v>2.77</v>
      </c>
      <c r="N101" s="6">
        <v>2.2000000000000002</v>
      </c>
      <c r="O101" s="6">
        <v>0</v>
      </c>
      <c r="P101" s="6">
        <v>0.45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1773</v>
      </c>
      <c r="B102" s="6">
        <v>4.1500000000000004</v>
      </c>
      <c r="C102" s="6">
        <v>7.78</v>
      </c>
      <c r="D102" s="6">
        <v>7.39</v>
      </c>
      <c r="E102" s="6">
        <v>5.17</v>
      </c>
      <c r="F102" s="6">
        <v>2</v>
      </c>
      <c r="G102" s="6">
        <v>54.21</v>
      </c>
      <c r="H102" s="6">
        <v>13.27</v>
      </c>
      <c r="I102" s="6">
        <v>6.66</v>
      </c>
      <c r="J102" s="6">
        <v>0.15</v>
      </c>
      <c r="K102" s="6">
        <v>144.62</v>
      </c>
      <c r="L102" s="6">
        <v>13.35</v>
      </c>
      <c r="M102" s="6">
        <v>15.64</v>
      </c>
      <c r="N102" s="6">
        <v>2.4</v>
      </c>
      <c r="O102" s="6">
        <v>0</v>
      </c>
      <c r="P102" s="6">
        <v>0.44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1774</v>
      </c>
      <c r="B103" s="6">
        <v>4.29</v>
      </c>
      <c r="C103" s="6">
        <v>7.65</v>
      </c>
      <c r="D103" s="6">
        <v>7.44</v>
      </c>
      <c r="E103" s="6">
        <v>5.39</v>
      </c>
      <c r="F103" s="6">
        <v>2</v>
      </c>
      <c r="G103" s="6">
        <v>54.2</v>
      </c>
      <c r="H103" s="6">
        <v>13.27</v>
      </c>
      <c r="I103" s="6">
        <v>6.67</v>
      </c>
      <c r="J103" s="6">
        <v>0.19</v>
      </c>
      <c r="K103" s="6">
        <v>175.54</v>
      </c>
      <c r="L103" s="6">
        <v>17.12</v>
      </c>
      <c r="M103" s="6">
        <v>25.13</v>
      </c>
      <c r="N103" s="6">
        <v>2.4</v>
      </c>
      <c r="O103" s="6">
        <v>0</v>
      </c>
      <c r="P103" s="6">
        <v>0.45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1775</v>
      </c>
      <c r="B104" s="6">
        <v>4.3</v>
      </c>
      <c r="C104" s="6">
        <v>7.38</v>
      </c>
      <c r="D104" s="6">
        <v>7.3</v>
      </c>
      <c r="E104" s="6">
        <v>5.34</v>
      </c>
      <c r="F104" s="6">
        <v>2</v>
      </c>
      <c r="G104" s="6">
        <v>53.85</v>
      </c>
      <c r="H104" s="6">
        <v>13.44</v>
      </c>
      <c r="I104" s="6">
        <v>6.72</v>
      </c>
      <c r="J104" s="6">
        <v>0.13</v>
      </c>
      <c r="K104" s="6">
        <v>190</v>
      </c>
      <c r="L104" s="6">
        <v>17.93</v>
      </c>
      <c r="M104" s="6">
        <v>27.19</v>
      </c>
      <c r="N104" s="6">
        <v>2.2999999999999998</v>
      </c>
      <c r="O104" s="6">
        <v>0</v>
      </c>
      <c r="P104" s="6">
        <v>0.45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1.56</v>
      </c>
      <c r="C106" s="158">
        <f>MIN(C9:C104)</f>
        <v>6.06</v>
      </c>
      <c r="D106" s="158">
        <f t="shared" ref="D106:Q106" si="0">MIN(D9:D104)</f>
        <v>5.25</v>
      </c>
      <c r="E106" s="158">
        <f t="shared" si="0"/>
        <v>3.9</v>
      </c>
      <c r="F106" s="158">
        <f t="shared" si="0"/>
        <v>2</v>
      </c>
      <c r="G106" s="158">
        <f t="shared" si="0"/>
        <v>37.92</v>
      </c>
      <c r="H106" s="158">
        <f t="shared" si="0"/>
        <v>9</v>
      </c>
      <c r="I106" s="158">
        <f t="shared" si="0"/>
        <v>3.35</v>
      </c>
      <c r="J106" s="158">
        <f t="shared" si="0"/>
        <v>0.06</v>
      </c>
      <c r="K106" s="158">
        <f t="shared" si="0"/>
        <v>0.23</v>
      </c>
      <c r="L106" s="158">
        <f t="shared" si="0"/>
        <v>7.55</v>
      </c>
      <c r="M106" s="158">
        <f t="shared" si="0"/>
        <v>-2.93</v>
      </c>
      <c r="N106" s="158">
        <f t="shared" si="0"/>
        <v>2</v>
      </c>
      <c r="O106" s="158">
        <f t="shared" si="0"/>
        <v>0</v>
      </c>
      <c r="P106" s="158">
        <f t="shared" si="0"/>
        <v>0.19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7.82</v>
      </c>
      <c r="C107" s="157">
        <f t="shared" ref="C107:Q107" si="1">MAX(C9:C104)</f>
        <v>13.26</v>
      </c>
      <c r="D107" s="157">
        <f t="shared" si="1"/>
        <v>9.9</v>
      </c>
      <c r="E107" s="157">
        <f t="shared" si="1"/>
        <v>10.75</v>
      </c>
      <c r="F107" s="157">
        <f t="shared" si="1"/>
        <v>38.89</v>
      </c>
      <c r="G107" s="157">
        <f t="shared" si="1"/>
        <v>56.66</v>
      </c>
      <c r="H107" s="157">
        <f t="shared" si="1"/>
        <v>13.82</v>
      </c>
      <c r="I107" s="157">
        <f t="shared" si="1"/>
        <v>9.0299999999999994</v>
      </c>
      <c r="J107" s="157">
        <f t="shared" si="1"/>
        <v>0.57999999999999996</v>
      </c>
      <c r="K107" s="157">
        <f t="shared" si="1"/>
        <v>359.36</v>
      </c>
      <c r="L107" s="157">
        <f t="shared" si="1"/>
        <v>20.28</v>
      </c>
      <c r="M107" s="157">
        <f t="shared" si="1"/>
        <v>29.86</v>
      </c>
      <c r="N107" s="157">
        <f t="shared" si="1"/>
        <v>505.9</v>
      </c>
      <c r="O107" s="157">
        <f t="shared" si="1"/>
        <v>0</v>
      </c>
      <c r="P107" s="157">
        <f t="shared" si="1"/>
        <v>0.45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3.8807291666666681</v>
      </c>
      <c r="C108" s="158">
        <f t="shared" ref="C108:Q108" si="2">AVERAGE(C9:C104)</f>
        <v>7.7988541666666649</v>
      </c>
      <c r="D108" s="158">
        <f t="shared" si="2"/>
        <v>7.1871874999999994</v>
      </c>
      <c r="E108" s="158">
        <f t="shared" si="2"/>
        <v>6.1015624999999991</v>
      </c>
      <c r="F108" s="158">
        <f t="shared" si="2"/>
        <v>5.5040625000000007</v>
      </c>
      <c r="G108" s="158">
        <f t="shared" si="2"/>
        <v>46.251770833333332</v>
      </c>
      <c r="H108" s="158">
        <f t="shared" si="2"/>
        <v>10.708958333333342</v>
      </c>
      <c r="I108" s="158">
        <f t="shared" si="2"/>
        <v>7.167083333333335</v>
      </c>
      <c r="J108" s="158">
        <f t="shared" si="2"/>
        <v>0.2026041666666667</v>
      </c>
      <c r="K108" s="158">
        <f t="shared" si="2"/>
        <v>114.68020833333333</v>
      </c>
      <c r="L108" s="158">
        <f t="shared" si="2"/>
        <v>13.816666666666663</v>
      </c>
      <c r="M108" s="158">
        <f t="shared" si="2"/>
        <v>14.23270833333333</v>
      </c>
      <c r="N108" s="158">
        <f t="shared" si="2"/>
        <v>106.58645833333337</v>
      </c>
      <c r="O108" s="158">
        <f t="shared" si="2"/>
        <v>0</v>
      </c>
      <c r="P108" s="158">
        <f t="shared" si="2"/>
        <v>0.39677083333333368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1.801425894171887</v>
      </c>
      <c r="C109" s="158">
        <f t="shared" ref="C109:Q109" si="3">STDEV(C9:C104)</f>
        <v>1.3972453122910553</v>
      </c>
      <c r="D109" s="158">
        <f t="shared" si="3"/>
        <v>1.1449492777779366</v>
      </c>
      <c r="E109" s="158">
        <f t="shared" si="3"/>
        <v>1.3394148982809082</v>
      </c>
      <c r="F109" s="158">
        <f t="shared" si="3"/>
        <v>6.971448022677551</v>
      </c>
      <c r="G109" s="158">
        <f t="shared" si="3"/>
        <v>5.2493189522754582</v>
      </c>
      <c r="H109" s="158">
        <f t="shared" si="3"/>
        <v>1.2135250776291497</v>
      </c>
      <c r="I109" s="158">
        <f t="shared" si="3"/>
        <v>1.6327245016369427</v>
      </c>
      <c r="J109" s="158">
        <f t="shared" si="3"/>
        <v>0.10055890959157027</v>
      </c>
      <c r="K109" s="158">
        <f t="shared" si="3"/>
        <v>56.175144456360606</v>
      </c>
      <c r="L109" s="158">
        <f t="shared" si="3"/>
        <v>3.106818195235399</v>
      </c>
      <c r="M109" s="158">
        <f t="shared" si="3"/>
        <v>7.8127526625810111</v>
      </c>
      <c r="N109" s="158">
        <f t="shared" si="3"/>
        <v>160.05171047264471</v>
      </c>
      <c r="O109" s="158">
        <f t="shared" si="3"/>
        <v>0</v>
      </c>
      <c r="P109" s="158">
        <f t="shared" si="3"/>
        <v>6.244989219436313E-2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1776</v>
      </c>
      <c r="B9" s="6">
        <v>4.53</v>
      </c>
      <c r="C9" s="6">
        <v>7.03</v>
      </c>
      <c r="D9" s="6">
        <v>7.3</v>
      </c>
      <c r="E9" s="6">
        <v>5.6</v>
      </c>
      <c r="F9" s="6">
        <v>2</v>
      </c>
      <c r="G9" s="6">
        <v>53.85</v>
      </c>
      <c r="H9" s="6">
        <v>13.44</v>
      </c>
      <c r="I9" s="6">
        <v>6.71</v>
      </c>
      <c r="J9" s="6">
        <v>0.13</v>
      </c>
      <c r="K9" s="6">
        <v>173.04</v>
      </c>
      <c r="L9" s="6">
        <v>16.68</v>
      </c>
      <c r="M9" s="6">
        <v>24.05</v>
      </c>
      <c r="N9" s="6">
        <v>2.1</v>
      </c>
      <c r="O9" s="6">
        <v>0</v>
      </c>
      <c r="P9" s="6">
        <v>0.44</v>
      </c>
      <c r="Q9" s="6">
        <v>10</v>
      </c>
      <c r="R9" s="6"/>
      <c r="S9" s="6"/>
      <c r="T9" s="156"/>
      <c r="U9" s="6"/>
    </row>
    <row r="10" spans="1:21" customFormat="1">
      <c r="A10" s="201" t="s">
        <v>1777</v>
      </c>
      <c r="B10" s="6">
        <v>4.5999999999999996</v>
      </c>
      <c r="C10" s="6">
        <v>6.89</v>
      </c>
      <c r="D10" s="6">
        <v>7.29</v>
      </c>
      <c r="E10" s="6">
        <v>5.53</v>
      </c>
      <c r="F10" s="6">
        <v>2</v>
      </c>
      <c r="G10" s="6">
        <v>53.85</v>
      </c>
      <c r="H10" s="6">
        <v>13.44</v>
      </c>
      <c r="I10" s="6">
        <v>6.66</v>
      </c>
      <c r="J10" s="6">
        <v>0.13</v>
      </c>
      <c r="K10" s="6">
        <v>163.11000000000001</v>
      </c>
      <c r="L10" s="6">
        <v>16.02</v>
      </c>
      <c r="M10" s="6">
        <v>22.45</v>
      </c>
      <c r="N10" s="6">
        <v>2.1</v>
      </c>
      <c r="O10" s="6">
        <v>0</v>
      </c>
      <c r="P10" s="6">
        <v>0.43</v>
      </c>
      <c r="Q10" s="6">
        <v>10</v>
      </c>
      <c r="R10" s="6"/>
      <c r="S10" s="6"/>
      <c r="T10" s="156"/>
      <c r="U10" s="6"/>
    </row>
    <row r="11" spans="1:21" customFormat="1">
      <c r="A11" s="201" t="s">
        <v>1778</v>
      </c>
      <c r="B11" s="6">
        <v>4.84</v>
      </c>
      <c r="C11" s="6">
        <v>6.9</v>
      </c>
      <c r="D11" s="6">
        <v>7.48</v>
      </c>
      <c r="E11" s="6">
        <v>5.5</v>
      </c>
      <c r="F11" s="6">
        <v>2</v>
      </c>
      <c r="G11" s="6">
        <v>53.76</v>
      </c>
      <c r="H11" s="6">
        <v>13.42</v>
      </c>
      <c r="I11" s="6">
        <v>6.63</v>
      </c>
      <c r="J11" s="6">
        <v>0.13</v>
      </c>
      <c r="K11" s="6">
        <v>174.53</v>
      </c>
      <c r="L11" s="6">
        <v>16.97</v>
      </c>
      <c r="M11" s="6">
        <v>24.76</v>
      </c>
      <c r="N11" s="6">
        <v>2.1</v>
      </c>
      <c r="O11" s="6">
        <v>0</v>
      </c>
      <c r="P11" s="6">
        <v>0.44</v>
      </c>
      <c r="Q11" s="6">
        <v>10</v>
      </c>
      <c r="R11" s="6"/>
      <c r="S11" s="6"/>
      <c r="T11" s="156"/>
      <c r="U11" s="6"/>
    </row>
    <row r="12" spans="1:21" customFormat="1">
      <c r="A12" s="201" t="s">
        <v>1779</v>
      </c>
      <c r="B12" s="6">
        <v>6.07</v>
      </c>
      <c r="C12" s="6">
        <v>7.32</v>
      </c>
      <c r="D12" s="6">
        <v>8.69</v>
      </c>
      <c r="E12" s="6">
        <v>5.73</v>
      </c>
      <c r="F12" s="6">
        <v>2</v>
      </c>
      <c r="G12" s="6">
        <v>51.18</v>
      </c>
      <c r="H12" s="6">
        <v>12.73</v>
      </c>
      <c r="I12" s="6">
        <v>6.66</v>
      </c>
      <c r="J12" s="6">
        <v>0.16</v>
      </c>
      <c r="K12" s="6">
        <v>160.34</v>
      </c>
      <c r="L12" s="6">
        <v>15.74</v>
      </c>
      <c r="M12" s="6">
        <v>21.63</v>
      </c>
      <c r="N12" s="6">
        <v>2.1</v>
      </c>
      <c r="O12" s="6">
        <v>0</v>
      </c>
      <c r="P12" s="6">
        <v>0.46</v>
      </c>
      <c r="Q12" s="6">
        <v>10</v>
      </c>
      <c r="R12" s="6"/>
      <c r="S12" s="6"/>
      <c r="T12" s="156"/>
      <c r="U12" s="6"/>
    </row>
    <row r="13" spans="1:21" customFormat="1">
      <c r="A13" s="201" t="s">
        <v>1780</v>
      </c>
      <c r="B13" s="6">
        <v>6.51</v>
      </c>
      <c r="C13" s="6">
        <v>7.07</v>
      </c>
      <c r="D13" s="6">
        <v>8.91</v>
      </c>
      <c r="E13" s="6">
        <v>5.63</v>
      </c>
      <c r="F13" s="6">
        <v>2</v>
      </c>
      <c r="G13" s="6">
        <v>51.18</v>
      </c>
      <c r="H13" s="6">
        <v>12.73</v>
      </c>
      <c r="I13" s="6">
        <v>6.71</v>
      </c>
      <c r="J13" s="6">
        <v>0.12</v>
      </c>
      <c r="K13" s="6">
        <v>190.3</v>
      </c>
      <c r="L13" s="6">
        <v>17.93</v>
      </c>
      <c r="M13" s="6">
        <v>27.02</v>
      </c>
      <c r="N13" s="6">
        <v>2.1</v>
      </c>
      <c r="O13" s="6">
        <v>0</v>
      </c>
      <c r="P13" s="6">
        <v>0.46</v>
      </c>
      <c r="Q13" s="6">
        <v>10</v>
      </c>
      <c r="R13" s="6"/>
      <c r="S13" s="6"/>
      <c r="T13" s="156"/>
      <c r="U13" s="6"/>
    </row>
    <row r="14" spans="1:21" customFormat="1">
      <c r="A14" s="201" t="s">
        <v>1781</v>
      </c>
      <c r="B14" s="6">
        <v>6.68</v>
      </c>
      <c r="C14" s="6">
        <v>6.82</v>
      </c>
      <c r="D14" s="6">
        <v>8.92</v>
      </c>
      <c r="E14" s="6">
        <v>5.32</v>
      </c>
      <c r="F14" s="6">
        <v>2</v>
      </c>
      <c r="G14" s="6">
        <v>51.18</v>
      </c>
      <c r="H14" s="6">
        <v>12.73</v>
      </c>
      <c r="I14" s="6">
        <v>6.81</v>
      </c>
      <c r="J14" s="6">
        <v>0.16</v>
      </c>
      <c r="K14" s="6">
        <v>182.13</v>
      </c>
      <c r="L14" s="6">
        <v>17.27</v>
      </c>
      <c r="M14" s="6">
        <v>25.4</v>
      </c>
      <c r="N14" s="6">
        <v>2.1</v>
      </c>
      <c r="O14" s="6">
        <v>0</v>
      </c>
      <c r="P14" s="6">
        <v>0.47</v>
      </c>
      <c r="Q14" s="6">
        <v>10</v>
      </c>
      <c r="R14" s="6"/>
      <c r="S14" s="6"/>
      <c r="T14" s="156"/>
      <c r="U14" s="6"/>
    </row>
    <row r="15" spans="1:21" customFormat="1">
      <c r="A15" s="201" t="s">
        <v>1782</v>
      </c>
      <c r="B15" s="6">
        <v>6.86</v>
      </c>
      <c r="C15" s="6">
        <v>6.77</v>
      </c>
      <c r="D15" s="6">
        <v>9.0399999999999991</v>
      </c>
      <c r="E15" s="6">
        <v>5.36</v>
      </c>
      <c r="F15" s="6">
        <v>2</v>
      </c>
      <c r="G15" s="6">
        <v>51.14</v>
      </c>
      <c r="H15" s="6">
        <v>12.73</v>
      </c>
      <c r="I15" s="6">
        <v>6.84</v>
      </c>
      <c r="J15" s="6">
        <v>0.09</v>
      </c>
      <c r="K15" s="6">
        <v>186.16</v>
      </c>
      <c r="L15" s="6">
        <v>17.309999999999999</v>
      </c>
      <c r="M15" s="6">
        <v>25.54</v>
      </c>
      <c r="N15" s="6">
        <v>2.1</v>
      </c>
      <c r="O15" s="6">
        <v>0</v>
      </c>
      <c r="P15" s="6">
        <v>0.48</v>
      </c>
      <c r="Q15" s="6">
        <v>10</v>
      </c>
      <c r="R15" s="6"/>
      <c r="S15" s="6"/>
      <c r="T15" s="156"/>
      <c r="U15" s="6"/>
    </row>
    <row r="16" spans="1:21" customFormat="1">
      <c r="A16" s="201" t="s">
        <v>1783</v>
      </c>
      <c r="B16" s="6">
        <v>6.99</v>
      </c>
      <c r="C16" s="6">
        <v>6.75</v>
      </c>
      <c r="D16" s="6">
        <v>9.1300000000000008</v>
      </c>
      <c r="E16" s="6">
        <v>5.35</v>
      </c>
      <c r="F16" s="6">
        <v>2</v>
      </c>
      <c r="G16" s="6">
        <v>50.05</v>
      </c>
      <c r="H16" s="6">
        <v>12.42</v>
      </c>
      <c r="I16" s="6">
        <v>6.88</v>
      </c>
      <c r="J16" s="6">
        <v>0.1</v>
      </c>
      <c r="K16" s="6">
        <v>173.27</v>
      </c>
      <c r="L16" s="6">
        <v>16.23</v>
      </c>
      <c r="M16" s="6">
        <v>22.79</v>
      </c>
      <c r="N16" s="6">
        <v>2.1</v>
      </c>
      <c r="O16" s="6">
        <v>0</v>
      </c>
      <c r="P16" s="6">
        <v>0.48</v>
      </c>
      <c r="Q16" s="6">
        <v>10</v>
      </c>
      <c r="R16" s="6"/>
      <c r="S16" s="6"/>
      <c r="T16" s="156"/>
      <c r="U16" s="6"/>
    </row>
    <row r="17" spans="1:21" customFormat="1">
      <c r="A17" s="201" t="s">
        <v>1784</v>
      </c>
      <c r="B17" s="6">
        <v>7.15</v>
      </c>
      <c r="C17" s="6">
        <v>6.56</v>
      </c>
      <c r="D17" s="6">
        <v>9.16</v>
      </c>
      <c r="E17" s="6">
        <v>4.5999999999999996</v>
      </c>
      <c r="F17" s="6">
        <v>2</v>
      </c>
      <c r="G17" s="6">
        <v>50.05</v>
      </c>
      <c r="H17" s="6">
        <v>12.42</v>
      </c>
      <c r="I17" s="6">
        <v>7.02</v>
      </c>
      <c r="J17" s="6">
        <v>0.11</v>
      </c>
      <c r="K17" s="6">
        <v>189.74</v>
      </c>
      <c r="L17" s="6">
        <v>17.91</v>
      </c>
      <c r="M17" s="6">
        <v>27.03</v>
      </c>
      <c r="N17" s="6">
        <v>2.1</v>
      </c>
      <c r="O17" s="6">
        <v>0</v>
      </c>
      <c r="P17" s="6">
        <v>0.47</v>
      </c>
      <c r="Q17" s="6">
        <v>10</v>
      </c>
      <c r="R17" s="6"/>
      <c r="S17" s="6"/>
      <c r="T17" s="156"/>
      <c r="U17" s="6"/>
    </row>
    <row r="18" spans="1:21" customFormat="1">
      <c r="A18" s="201" t="s">
        <v>1785</v>
      </c>
      <c r="B18" s="6">
        <v>7.19</v>
      </c>
      <c r="C18" s="6">
        <v>6.51</v>
      </c>
      <c r="D18" s="6">
        <v>9.17</v>
      </c>
      <c r="E18" s="6">
        <v>5.15</v>
      </c>
      <c r="F18" s="6">
        <v>2</v>
      </c>
      <c r="G18" s="6">
        <v>50.05</v>
      </c>
      <c r="H18" s="6">
        <v>12.42</v>
      </c>
      <c r="I18" s="6">
        <v>7.02</v>
      </c>
      <c r="J18" s="6">
        <v>0.11</v>
      </c>
      <c r="K18" s="6">
        <v>174.17</v>
      </c>
      <c r="L18" s="6">
        <v>16.809999999999999</v>
      </c>
      <c r="M18" s="6">
        <v>24.15</v>
      </c>
      <c r="N18" s="6">
        <v>2.1</v>
      </c>
      <c r="O18" s="6">
        <v>0</v>
      </c>
      <c r="P18" s="6">
        <v>0.48</v>
      </c>
      <c r="Q18" s="6">
        <v>10</v>
      </c>
      <c r="R18" s="6"/>
      <c r="S18" s="6"/>
      <c r="T18" s="156"/>
      <c r="U18" s="6"/>
    </row>
    <row r="19" spans="1:21" customFormat="1">
      <c r="A19" s="201" t="s">
        <v>1786</v>
      </c>
      <c r="B19" s="6">
        <v>7.25</v>
      </c>
      <c r="C19" s="6">
        <v>6.5</v>
      </c>
      <c r="D19" s="6">
        <v>9.2100000000000009</v>
      </c>
      <c r="E19" s="6">
        <v>5.29</v>
      </c>
      <c r="F19" s="6">
        <v>2</v>
      </c>
      <c r="G19" s="6">
        <v>50.13</v>
      </c>
      <c r="H19" s="6">
        <v>12.41</v>
      </c>
      <c r="I19" s="6">
        <v>7</v>
      </c>
      <c r="J19" s="6">
        <v>0.08</v>
      </c>
      <c r="K19" s="6">
        <v>191.18</v>
      </c>
      <c r="L19" s="6">
        <v>17.850000000000001</v>
      </c>
      <c r="M19" s="6">
        <v>26.88</v>
      </c>
      <c r="N19" s="6">
        <v>2.1</v>
      </c>
      <c r="O19" s="6">
        <v>0</v>
      </c>
      <c r="P19" s="6">
        <v>0.47</v>
      </c>
      <c r="Q19" s="6">
        <v>10</v>
      </c>
      <c r="R19" s="6"/>
      <c r="S19" s="6"/>
      <c r="T19" s="156"/>
      <c r="U19" s="6"/>
    </row>
    <row r="20" spans="1:21" customFormat="1">
      <c r="A20" s="201" t="s">
        <v>1787</v>
      </c>
      <c r="B20" s="6">
        <v>7.35</v>
      </c>
      <c r="C20" s="6">
        <v>6.36</v>
      </c>
      <c r="D20" s="6">
        <v>9.2200000000000006</v>
      </c>
      <c r="E20" s="6">
        <v>5.39</v>
      </c>
      <c r="F20" s="6">
        <v>2</v>
      </c>
      <c r="G20" s="6">
        <v>52.38</v>
      </c>
      <c r="H20" s="6">
        <v>12.03</v>
      </c>
      <c r="I20" s="6">
        <v>7.06</v>
      </c>
      <c r="J20" s="6">
        <v>7.0000000000000007E-2</v>
      </c>
      <c r="K20" s="6">
        <v>207.08</v>
      </c>
      <c r="L20" s="6">
        <v>18.739999999999998</v>
      </c>
      <c r="M20" s="6">
        <v>29.04</v>
      </c>
      <c r="N20" s="6">
        <v>2.1</v>
      </c>
      <c r="O20" s="6">
        <v>0</v>
      </c>
      <c r="P20" s="6">
        <v>0.48</v>
      </c>
      <c r="Q20" s="6">
        <v>10</v>
      </c>
      <c r="R20" s="6"/>
      <c r="S20" s="6"/>
      <c r="T20" s="156"/>
      <c r="U20" s="6"/>
    </row>
    <row r="21" spans="1:21" customFormat="1">
      <c r="A21" s="201" t="s">
        <v>1788</v>
      </c>
      <c r="B21" s="6">
        <v>7.5</v>
      </c>
      <c r="C21" s="6">
        <v>6.28</v>
      </c>
      <c r="D21" s="6">
        <v>9.2899999999999991</v>
      </c>
      <c r="E21" s="6">
        <v>5.52</v>
      </c>
      <c r="F21" s="6">
        <v>2</v>
      </c>
      <c r="G21" s="6">
        <v>52.38</v>
      </c>
      <c r="H21" s="6">
        <v>12.03</v>
      </c>
      <c r="I21" s="6">
        <v>7.17</v>
      </c>
      <c r="J21" s="6">
        <v>0.08</v>
      </c>
      <c r="K21" s="6">
        <v>219.6</v>
      </c>
      <c r="L21" s="6">
        <v>19.829999999999998</v>
      </c>
      <c r="M21" s="6">
        <v>31.82</v>
      </c>
      <c r="N21" s="6">
        <v>2.1</v>
      </c>
      <c r="O21" s="6">
        <v>0</v>
      </c>
      <c r="P21" s="6">
        <v>0.47</v>
      </c>
      <c r="Q21" s="6">
        <v>10</v>
      </c>
      <c r="R21" s="6"/>
      <c r="S21" s="6"/>
      <c r="T21" s="156"/>
      <c r="U21" s="6"/>
    </row>
    <row r="22" spans="1:21" customFormat="1">
      <c r="A22" s="201" t="s">
        <v>1789</v>
      </c>
      <c r="B22" s="6">
        <v>7.53</v>
      </c>
      <c r="C22" s="6">
        <v>6.2</v>
      </c>
      <c r="D22" s="6">
        <v>9.2799999999999994</v>
      </c>
      <c r="E22" s="6">
        <v>5.35</v>
      </c>
      <c r="F22" s="6">
        <v>2</v>
      </c>
      <c r="G22" s="6">
        <v>52.38</v>
      </c>
      <c r="H22" s="6">
        <v>12.03</v>
      </c>
      <c r="I22" s="6">
        <v>7.18</v>
      </c>
      <c r="J22" s="6">
        <v>0.08</v>
      </c>
      <c r="K22" s="6">
        <v>153.25</v>
      </c>
      <c r="L22" s="6">
        <v>15.78</v>
      </c>
      <c r="M22" s="6">
        <v>21.66</v>
      </c>
      <c r="N22" s="6">
        <v>2.1</v>
      </c>
      <c r="O22" s="6">
        <v>0</v>
      </c>
      <c r="P22" s="6">
        <v>0.47</v>
      </c>
      <c r="Q22" s="6">
        <v>10</v>
      </c>
      <c r="R22" s="6"/>
      <c r="S22" s="6"/>
      <c r="T22" s="156"/>
      <c r="U22" s="6"/>
    </row>
    <row r="23" spans="1:21" customFormat="1">
      <c r="A23" s="201" t="s">
        <v>1790</v>
      </c>
      <c r="B23" s="6">
        <v>7.59</v>
      </c>
      <c r="C23" s="6">
        <v>6.14</v>
      </c>
      <c r="D23" s="6">
        <v>9.3000000000000007</v>
      </c>
      <c r="E23" s="6">
        <v>5.46</v>
      </c>
      <c r="F23" s="6">
        <v>2</v>
      </c>
      <c r="G23" s="6">
        <v>52.13</v>
      </c>
      <c r="H23" s="6">
        <v>12</v>
      </c>
      <c r="I23" s="6">
        <v>7.2</v>
      </c>
      <c r="J23" s="6">
        <v>0.11</v>
      </c>
      <c r="K23" s="6">
        <v>80.58</v>
      </c>
      <c r="L23" s="6">
        <v>10.89</v>
      </c>
      <c r="M23" s="6">
        <v>9.3699999999999992</v>
      </c>
      <c r="N23" s="6">
        <v>2.1</v>
      </c>
      <c r="O23" s="6">
        <v>0</v>
      </c>
      <c r="P23" s="6">
        <v>0.47</v>
      </c>
      <c r="Q23" s="6">
        <v>10</v>
      </c>
      <c r="R23" s="6"/>
      <c r="S23" s="6"/>
      <c r="T23" s="156"/>
      <c r="U23" s="6"/>
    </row>
    <row r="24" spans="1:21" customFormat="1">
      <c r="A24" s="201" t="s">
        <v>1791</v>
      </c>
      <c r="B24" s="6">
        <v>7.65</v>
      </c>
      <c r="C24" s="6">
        <v>6.2</v>
      </c>
      <c r="D24" s="6">
        <v>9.3699999999999992</v>
      </c>
      <c r="E24" s="6">
        <v>5.48</v>
      </c>
      <c r="F24" s="6">
        <v>2</v>
      </c>
      <c r="G24" s="6">
        <v>44.89</v>
      </c>
      <c r="H24" s="6">
        <v>10.85</v>
      </c>
      <c r="I24" s="6">
        <v>7.18</v>
      </c>
      <c r="J24" s="6">
        <v>0.14000000000000001</v>
      </c>
      <c r="K24" s="6">
        <v>96.98</v>
      </c>
      <c r="L24" s="6">
        <v>10.9</v>
      </c>
      <c r="M24" s="6">
        <v>9.31</v>
      </c>
      <c r="N24" s="6">
        <v>2</v>
      </c>
      <c r="O24" s="6">
        <v>0</v>
      </c>
      <c r="P24" s="6">
        <v>0.47</v>
      </c>
      <c r="Q24" s="6">
        <v>10</v>
      </c>
      <c r="R24" s="6"/>
      <c r="S24" s="6"/>
      <c r="T24" s="156"/>
      <c r="U24" s="6"/>
    </row>
    <row r="25" spans="1:21" customFormat="1">
      <c r="A25" s="201" t="s">
        <v>1792</v>
      </c>
      <c r="B25" s="6">
        <v>8.1</v>
      </c>
      <c r="C25" s="6">
        <v>6.39</v>
      </c>
      <c r="D25" s="6">
        <v>9.83</v>
      </c>
      <c r="E25" s="6">
        <v>5.43</v>
      </c>
      <c r="F25" s="6">
        <v>2</v>
      </c>
      <c r="G25" s="6">
        <v>44.89</v>
      </c>
      <c r="H25" s="6">
        <v>10.85</v>
      </c>
      <c r="I25" s="6">
        <v>7.26</v>
      </c>
      <c r="J25" s="6">
        <v>0.13</v>
      </c>
      <c r="K25" s="6">
        <v>353.23</v>
      </c>
      <c r="L25" s="6">
        <v>17.329999999999998</v>
      </c>
      <c r="M25" s="6">
        <v>25.17</v>
      </c>
      <c r="N25" s="6">
        <v>2.1</v>
      </c>
      <c r="O25" s="6">
        <v>0</v>
      </c>
      <c r="P25" s="6">
        <v>0.46</v>
      </c>
      <c r="Q25" s="6">
        <v>10</v>
      </c>
      <c r="R25" s="6"/>
      <c r="S25" s="6"/>
      <c r="T25" s="156"/>
      <c r="U25" s="6"/>
    </row>
    <row r="26" spans="1:21" customFormat="1">
      <c r="A26" s="201" t="s">
        <v>1793</v>
      </c>
      <c r="B26" s="6">
        <v>8.49</v>
      </c>
      <c r="C26" s="6">
        <v>6.53</v>
      </c>
      <c r="D26" s="6">
        <v>10.220000000000001</v>
      </c>
      <c r="E26" s="6">
        <v>5.48</v>
      </c>
      <c r="F26" s="6">
        <v>2</v>
      </c>
      <c r="G26" s="6">
        <v>44.89</v>
      </c>
      <c r="H26" s="6">
        <v>10.85</v>
      </c>
      <c r="I26" s="6">
        <v>7.19</v>
      </c>
      <c r="J26" s="6">
        <v>0.05</v>
      </c>
      <c r="K26" s="6">
        <v>347.76</v>
      </c>
      <c r="L26" s="6">
        <v>20.79</v>
      </c>
      <c r="M26" s="6">
        <v>33.950000000000003</v>
      </c>
      <c r="N26" s="6">
        <v>2.1</v>
      </c>
      <c r="O26" s="6">
        <v>0</v>
      </c>
      <c r="P26" s="6">
        <v>0.47</v>
      </c>
      <c r="Q26" s="6">
        <v>10</v>
      </c>
      <c r="R26" s="6"/>
      <c r="S26" s="6"/>
      <c r="T26" s="156"/>
      <c r="U26" s="6"/>
    </row>
    <row r="27" spans="1:21" customFormat="1">
      <c r="A27" s="201" t="s">
        <v>1794</v>
      </c>
      <c r="B27" s="6">
        <v>8.86</v>
      </c>
      <c r="C27" s="6">
        <v>6.68</v>
      </c>
      <c r="D27" s="6">
        <v>10.6</v>
      </c>
      <c r="E27" s="6">
        <v>5.58</v>
      </c>
      <c r="F27" s="6">
        <v>2</v>
      </c>
      <c r="G27" s="6">
        <v>44.8</v>
      </c>
      <c r="H27" s="6">
        <v>10.85</v>
      </c>
      <c r="I27" s="6">
        <v>7.15</v>
      </c>
      <c r="J27" s="6">
        <v>0.08</v>
      </c>
      <c r="K27" s="6">
        <v>17.88</v>
      </c>
      <c r="L27" s="6">
        <v>17.39</v>
      </c>
      <c r="M27" s="6">
        <v>25.48</v>
      </c>
      <c r="N27" s="6">
        <v>2.1</v>
      </c>
      <c r="O27" s="6">
        <v>0</v>
      </c>
      <c r="P27" s="6">
        <v>0.46</v>
      </c>
      <c r="Q27" s="6">
        <v>10</v>
      </c>
      <c r="R27" s="6"/>
      <c r="S27" s="6"/>
      <c r="T27" s="156"/>
      <c r="U27" s="6"/>
    </row>
    <row r="28" spans="1:21" customFormat="1">
      <c r="A28" s="201" t="s">
        <v>1795</v>
      </c>
      <c r="B28" s="6">
        <v>9.14</v>
      </c>
      <c r="C28" s="6">
        <v>6.76</v>
      </c>
      <c r="D28" s="6">
        <v>10.86</v>
      </c>
      <c r="E28" s="6">
        <v>5.52</v>
      </c>
      <c r="F28" s="6">
        <v>2</v>
      </c>
      <c r="G28" s="6">
        <v>42.32</v>
      </c>
      <c r="H28" s="6">
        <v>10.64</v>
      </c>
      <c r="I28" s="6">
        <v>7.15</v>
      </c>
      <c r="J28" s="6">
        <v>0.16</v>
      </c>
      <c r="K28" s="6">
        <v>27.35</v>
      </c>
      <c r="L28" s="6">
        <v>10.7</v>
      </c>
      <c r="M28" s="6">
        <v>8.59</v>
      </c>
      <c r="N28" s="6">
        <v>2.1</v>
      </c>
      <c r="O28" s="6">
        <v>0</v>
      </c>
      <c r="P28" s="6">
        <v>0.48</v>
      </c>
      <c r="Q28" s="6">
        <v>10</v>
      </c>
      <c r="R28" s="6"/>
      <c r="S28" s="6"/>
      <c r="T28" s="156"/>
      <c r="U28" s="6"/>
    </row>
    <row r="29" spans="1:21" customFormat="1">
      <c r="A29" s="201" t="s">
        <v>1796</v>
      </c>
      <c r="B29" s="6">
        <v>9.42</v>
      </c>
      <c r="C29" s="6">
        <v>6.75</v>
      </c>
      <c r="D29" s="6">
        <v>11.08</v>
      </c>
      <c r="E29" s="6">
        <v>5.6</v>
      </c>
      <c r="F29" s="6">
        <v>2</v>
      </c>
      <c r="G29" s="6">
        <v>42.32</v>
      </c>
      <c r="H29" s="6">
        <v>10.64</v>
      </c>
      <c r="I29" s="6">
        <v>7.17</v>
      </c>
      <c r="J29" s="6">
        <v>0.09</v>
      </c>
      <c r="K29" s="6">
        <v>38.770000000000003</v>
      </c>
      <c r="L29" s="6">
        <v>10.24</v>
      </c>
      <c r="M29" s="6">
        <v>7.52</v>
      </c>
      <c r="N29" s="6">
        <v>2.1</v>
      </c>
      <c r="O29" s="6">
        <v>0</v>
      </c>
      <c r="P29" s="6">
        <v>0.46</v>
      </c>
      <c r="Q29" s="6">
        <v>10</v>
      </c>
      <c r="R29" s="6"/>
      <c r="S29" s="6"/>
      <c r="T29" s="156"/>
      <c r="U29" s="6"/>
    </row>
    <row r="30" spans="1:21" customFormat="1">
      <c r="A30" s="201" t="s">
        <v>1797</v>
      </c>
      <c r="B30" s="6">
        <v>9.6999999999999993</v>
      </c>
      <c r="C30" s="6">
        <v>6.9</v>
      </c>
      <c r="D30" s="6">
        <v>11.39</v>
      </c>
      <c r="E30" s="6">
        <v>5.49</v>
      </c>
      <c r="F30" s="6">
        <v>2</v>
      </c>
      <c r="G30" s="6">
        <v>42.32</v>
      </c>
      <c r="H30" s="6">
        <v>10.64</v>
      </c>
      <c r="I30" s="6">
        <v>7.21</v>
      </c>
      <c r="J30" s="6">
        <v>0.05</v>
      </c>
      <c r="K30" s="6">
        <v>50.61</v>
      </c>
      <c r="L30" s="6">
        <v>12.49</v>
      </c>
      <c r="M30" s="6">
        <v>13.18</v>
      </c>
      <c r="N30" s="6">
        <v>2.1</v>
      </c>
      <c r="O30" s="6">
        <v>0</v>
      </c>
      <c r="P30" s="6">
        <v>0.47</v>
      </c>
      <c r="Q30" s="6">
        <v>10</v>
      </c>
      <c r="R30" s="6"/>
      <c r="S30" s="6"/>
      <c r="T30" s="156"/>
      <c r="U30" s="6"/>
    </row>
    <row r="31" spans="1:21" customFormat="1">
      <c r="A31" s="201" t="s">
        <v>1798</v>
      </c>
      <c r="B31" s="6">
        <v>9.99</v>
      </c>
      <c r="C31" s="6">
        <v>7.11</v>
      </c>
      <c r="D31" s="6">
        <v>11.73</v>
      </c>
      <c r="E31" s="6">
        <v>5.68</v>
      </c>
      <c r="F31" s="6">
        <v>2</v>
      </c>
      <c r="G31" s="6">
        <v>42.5</v>
      </c>
      <c r="H31" s="6">
        <v>10.65</v>
      </c>
      <c r="I31" s="6">
        <v>7.28</v>
      </c>
      <c r="J31" s="6">
        <v>0.08</v>
      </c>
      <c r="K31" s="6">
        <v>131.06</v>
      </c>
      <c r="L31" s="6">
        <v>13.23</v>
      </c>
      <c r="M31" s="6">
        <v>15.31</v>
      </c>
      <c r="N31" s="6">
        <v>2.1</v>
      </c>
      <c r="O31" s="6">
        <v>0</v>
      </c>
      <c r="P31" s="6">
        <v>0.45</v>
      </c>
      <c r="Q31" s="6">
        <v>10</v>
      </c>
      <c r="R31" s="6"/>
      <c r="S31" s="6"/>
      <c r="T31" s="156"/>
      <c r="U31" s="6"/>
    </row>
    <row r="32" spans="1:21" customFormat="1">
      <c r="A32" s="201" t="s">
        <v>1799</v>
      </c>
      <c r="B32" s="6">
        <v>10.210000000000001</v>
      </c>
      <c r="C32" s="6">
        <v>7.3</v>
      </c>
      <c r="D32" s="6">
        <v>12</v>
      </c>
      <c r="E32" s="6">
        <v>5.76</v>
      </c>
      <c r="F32" s="6">
        <v>2</v>
      </c>
      <c r="G32" s="6">
        <v>47.79</v>
      </c>
      <c r="H32" s="6">
        <v>10.99</v>
      </c>
      <c r="I32" s="6">
        <v>7.25</v>
      </c>
      <c r="J32" s="6">
        <v>0.27</v>
      </c>
      <c r="K32" s="6">
        <v>44.62</v>
      </c>
      <c r="L32" s="6">
        <v>6.77</v>
      </c>
      <c r="M32" s="6">
        <v>-1.19</v>
      </c>
      <c r="N32" s="6">
        <v>2.9</v>
      </c>
      <c r="O32" s="6">
        <v>0</v>
      </c>
      <c r="P32" s="6">
        <v>0.45</v>
      </c>
      <c r="Q32" s="6">
        <v>10</v>
      </c>
      <c r="R32" s="6"/>
      <c r="S32" s="6"/>
      <c r="T32" s="156"/>
      <c r="U32" s="6"/>
    </row>
    <row r="33" spans="1:21" customFormat="1">
      <c r="A33" s="201" t="s">
        <v>1800</v>
      </c>
      <c r="B33" s="6">
        <v>10.51</v>
      </c>
      <c r="C33" s="6">
        <v>7.52</v>
      </c>
      <c r="D33" s="6">
        <v>12.36</v>
      </c>
      <c r="E33" s="6">
        <v>5.95</v>
      </c>
      <c r="F33" s="6">
        <v>2</v>
      </c>
      <c r="G33" s="6">
        <v>47.79</v>
      </c>
      <c r="H33" s="6">
        <v>10.99</v>
      </c>
      <c r="I33" s="6">
        <v>7.15</v>
      </c>
      <c r="J33" s="6">
        <v>0.24</v>
      </c>
      <c r="K33" s="6">
        <v>56.33</v>
      </c>
      <c r="L33" s="6">
        <v>8.16</v>
      </c>
      <c r="M33" s="6">
        <v>2.3199999999999998</v>
      </c>
      <c r="N33" s="6">
        <v>6.2</v>
      </c>
      <c r="O33" s="6">
        <v>0</v>
      </c>
      <c r="P33" s="6">
        <v>0.45</v>
      </c>
      <c r="Q33" s="6">
        <v>10</v>
      </c>
      <c r="R33" s="6"/>
      <c r="S33" s="6"/>
      <c r="T33" s="156"/>
      <c r="U33" s="6"/>
    </row>
    <row r="34" spans="1:21" customFormat="1">
      <c r="A34" s="201" t="s">
        <v>1801</v>
      </c>
      <c r="B34" s="6">
        <v>10.71</v>
      </c>
      <c r="C34" s="6">
        <v>7.69</v>
      </c>
      <c r="D34" s="6">
        <v>12.61</v>
      </c>
      <c r="E34" s="6">
        <v>5.72</v>
      </c>
      <c r="F34" s="6">
        <v>2</v>
      </c>
      <c r="G34" s="6">
        <v>47.79</v>
      </c>
      <c r="H34" s="6">
        <v>10.99</v>
      </c>
      <c r="I34" s="6">
        <v>7.17</v>
      </c>
      <c r="J34" s="6">
        <v>0.18</v>
      </c>
      <c r="K34" s="6">
        <v>62.78</v>
      </c>
      <c r="L34" s="6">
        <v>9.27</v>
      </c>
      <c r="M34" s="6">
        <v>4.96</v>
      </c>
      <c r="N34" s="6">
        <v>13.2</v>
      </c>
      <c r="O34" s="6">
        <v>0</v>
      </c>
      <c r="P34" s="6">
        <v>0.45</v>
      </c>
      <c r="Q34" s="6">
        <v>10</v>
      </c>
      <c r="R34" s="6"/>
      <c r="S34" s="6"/>
      <c r="T34" s="156"/>
      <c r="U34" s="6"/>
    </row>
    <row r="35" spans="1:21" customFormat="1">
      <c r="A35" s="201" t="s">
        <v>1802</v>
      </c>
      <c r="B35" s="6">
        <v>10.75</v>
      </c>
      <c r="C35" s="6">
        <v>7.73</v>
      </c>
      <c r="D35" s="6">
        <v>12.66</v>
      </c>
      <c r="E35" s="6">
        <v>4.96</v>
      </c>
      <c r="F35" s="6">
        <v>2</v>
      </c>
      <c r="G35" s="6">
        <v>47.91</v>
      </c>
      <c r="H35" s="6">
        <v>11</v>
      </c>
      <c r="I35" s="6">
        <v>7.23</v>
      </c>
      <c r="J35" s="6">
        <v>0.24</v>
      </c>
      <c r="K35" s="6">
        <v>60.25</v>
      </c>
      <c r="L35" s="6">
        <v>10.41</v>
      </c>
      <c r="M35" s="6">
        <v>7.55</v>
      </c>
      <c r="N35" s="6">
        <v>23</v>
      </c>
      <c r="O35" s="6">
        <v>0</v>
      </c>
      <c r="P35" s="6">
        <v>0.44</v>
      </c>
      <c r="Q35" s="6">
        <v>10</v>
      </c>
      <c r="R35" s="6"/>
      <c r="S35" s="6"/>
      <c r="T35" s="156"/>
      <c r="U35" s="6"/>
    </row>
    <row r="36" spans="1:21" customFormat="1">
      <c r="A36" s="201" t="s">
        <v>1803</v>
      </c>
      <c r="B36" s="6">
        <v>10.67</v>
      </c>
      <c r="C36" s="6">
        <v>7.79</v>
      </c>
      <c r="D36" s="6">
        <v>12.63</v>
      </c>
      <c r="E36" s="6">
        <v>5.88</v>
      </c>
      <c r="F36" s="6">
        <v>2</v>
      </c>
      <c r="G36" s="6">
        <v>51.21</v>
      </c>
      <c r="H36" s="6">
        <v>11.12</v>
      </c>
      <c r="I36" s="6">
        <v>7.32</v>
      </c>
      <c r="J36" s="6">
        <v>0.28000000000000003</v>
      </c>
      <c r="K36" s="6">
        <v>54.7</v>
      </c>
      <c r="L36" s="6">
        <v>8.02</v>
      </c>
      <c r="M36" s="6">
        <v>1.28</v>
      </c>
      <c r="N36" s="6">
        <v>34.700000000000003</v>
      </c>
      <c r="O36" s="6">
        <v>0</v>
      </c>
      <c r="P36" s="6">
        <v>0.46</v>
      </c>
      <c r="Q36" s="6">
        <v>10</v>
      </c>
      <c r="R36" s="6"/>
      <c r="S36" s="6"/>
      <c r="T36" s="156"/>
      <c r="U36" s="6"/>
    </row>
    <row r="37" spans="1:21" customFormat="1">
      <c r="A37" s="201" t="s">
        <v>1804</v>
      </c>
      <c r="B37" s="6">
        <v>10.51</v>
      </c>
      <c r="C37" s="6">
        <v>7.88</v>
      </c>
      <c r="D37" s="6">
        <v>12.54</v>
      </c>
      <c r="E37" s="6">
        <v>6.01</v>
      </c>
      <c r="F37" s="6">
        <v>2</v>
      </c>
      <c r="G37" s="6">
        <v>51.21</v>
      </c>
      <c r="H37" s="6">
        <v>11.12</v>
      </c>
      <c r="I37" s="6">
        <v>7.42</v>
      </c>
      <c r="J37" s="6">
        <v>0.4</v>
      </c>
      <c r="K37" s="6">
        <v>43.92</v>
      </c>
      <c r="L37" s="6">
        <v>7.74</v>
      </c>
      <c r="M37" s="6">
        <v>0.22</v>
      </c>
      <c r="N37" s="6">
        <v>48.9</v>
      </c>
      <c r="O37" s="6">
        <v>0</v>
      </c>
      <c r="P37" s="6">
        <v>0.46</v>
      </c>
      <c r="Q37" s="6">
        <v>10</v>
      </c>
      <c r="R37" s="6"/>
      <c r="S37" s="6"/>
      <c r="T37" s="156"/>
      <c r="U37" s="6"/>
    </row>
    <row r="38" spans="1:21" customFormat="1">
      <c r="A38" s="201" t="s">
        <v>1805</v>
      </c>
      <c r="B38" s="6">
        <v>10.31</v>
      </c>
      <c r="C38" s="6">
        <v>7.78</v>
      </c>
      <c r="D38" s="6">
        <v>12.34</v>
      </c>
      <c r="E38" s="6">
        <v>5.76</v>
      </c>
      <c r="F38" s="6">
        <v>2</v>
      </c>
      <c r="G38" s="6">
        <v>51.21</v>
      </c>
      <c r="H38" s="6">
        <v>11.12</v>
      </c>
      <c r="I38" s="6">
        <v>7.52</v>
      </c>
      <c r="J38" s="6">
        <v>0.24</v>
      </c>
      <c r="K38" s="6">
        <v>70.599999999999994</v>
      </c>
      <c r="L38" s="6">
        <v>9.26</v>
      </c>
      <c r="M38" s="6">
        <v>3.72</v>
      </c>
      <c r="N38" s="6">
        <v>65</v>
      </c>
      <c r="O38" s="6">
        <v>0</v>
      </c>
      <c r="P38" s="6">
        <v>0.47</v>
      </c>
      <c r="Q38" s="6">
        <v>10</v>
      </c>
      <c r="R38" s="6"/>
      <c r="S38" s="6"/>
      <c r="T38" s="156"/>
      <c r="U38" s="6"/>
    </row>
    <row r="39" spans="1:21" customFormat="1">
      <c r="A39" s="201" t="s">
        <v>1806</v>
      </c>
      <c r="B39" s="6">
        <v>9.92</v>
      </c>
      <c r="C39" s="6">
        <v>7.71</v>
      </c>
      <c r="D39" s="6">
        <v>11.99</v>
      </c>
      <c r="E39" s="6">
        <v>6.03</v>
      </c>
      <c r="F39" s="6">
        <v>2</v>
      </c>
      <c r="G39" s="6">
        <v>51.22</v>
      </c>
      <c r="H39" s="6">
        <v>11.16</v>
      </c>
      <c r="I39" s="6">
        <v>7.67</v>
      </c>
      <c r="J39" s="6">
        <v>0.27</v>
      </c>
      <c r="K39" s="6">
        <v>71.08</v>
      </c>
      <c r="L39" s="6">
        <v>10.39</v>
      </c>
      <c r="M39" s="6">
        <v>5.88</v>
      </c>
      <c r="N39" s="6">
        <v>93.7</v>
      </c>
      <c r="O39" s="6">
        <v>0</v>
      </c>
      <c r="P39" s="6">
        <v>0.47</v>
      </c>
      <c r="Q39" s="6">
        <v>10</v>
      </c>
      <c r="R39" s="6"/>
      <c r="S39" s="6"/>
      <c r="T39" s="156"/>
      <c r="U39" s="6"/>
    </row>
    <row r="40" spans="1:21" customFormat="1">
      <c r="A40" s="201" t="s">
        <v>1807</v>
      </c>
      <c r="B40" s="6">
        <v>9.4600000000000009</v>
      </c>
      <c r="C40" s="6">
        <v>7.7</v>
      </c>
      <c r="D40" s="6">
        <v>11.61</v>
      </c>
      <c r="E40" s="6">
        <v>6.28</v>
      </c>
      <c r="F40" s="6">
        <v>2</v>
      </c>
      <c r="G40" s="6">
        <v>51.59</v>
      </c>
      <c r="H40" s="6">
        <v>12.37</v>
      </c>
      <c r="I40" s="6">
        <v>7.72</v>
      </c>
      <c r="J40" s="6">
        <v>0.28000000000000003</v>
      </c>
      <c r="K40" s="6">
        <v>54.59</v>
      </c>
      <c r="L40" s="6">
        <v>9.91</v>
      </c>
      <c r="M40" s="6">
        <v>3.75</v>
      </c>
      <c r="N40" s="6">
        <v>132.19999999999999</v>
      </c>
      <c r="O40" s="6">
        <v>0</v>
      </c>
      <c r="P40" s="6">
        <v>0.46</v>
      </c>
      <c r="Q40" s="6">
        <v>10</v>
      </c>
      <c r="R40" s="6"/>
      <c r="S40" s="6"/>
      <c r="T40" s="156"/>
      <c r="U40" s="6"/>
    </row>
    <row r="41" spans="1:21" customFormat="1">
      <c r="A41" s="201" t="s">
        <v>1808</v>
      </c>
      <c r="B41" s="6">
        <v>9.02</v>
      </c>
      <c r="C41" s="6">
        <v>7.83</v>
      </c>
      <c r="D41" s="6">
        <v>11.33</v>
      </c>
      <c r="E41" s="6">
        <v>6.21</v>
      </c>
      <c r="F41" s="6">
        <v>2</v>
      </c>
      <c r="G41" s="6">
        <v>51.59</v>
      </c>
      <c r="H41" s="6">
        <v>12.37</v>
      </c>
      <c r="I41" s="6">
        <v>7.75</v>
      </c>
      <c r="J41" s="6">
        <v>0.23</v>
      </c>
      <c r="K41" s="6">
        <v>95.07</v>
      </c>
      <c r="L41" s="6">
        <v>12.71</v>
      </c>
      <c r="M41" s="6">
        <v>9.65</v>
      </c>
      <c r="N41" s="6">
        <v>182.6</v>
      </c>
      <c r="O41" s="6">
        <v>0</v>
      </c>
      <c r="P41" s="6">
        <v>0.45</v>
      </c>
      <c r="Q41" s="6">
        <v>10</v>
      </c>
      <c r="R41" s="6"/>
      <c r="S41" s="6"/>
      <c r="T41" s="156"/>
      <c r="U41" s="6"/>
    </row>
    <row r="42" spans="1:21" customFormat="1">
      <c r="A42" s="201" t="s">
        <v>1809</v>
      </c>
      <c r="B42" s="6">
        <v>8.42</v>
      </c>
      <c r="C42" s="6">
        <v>7.9</v>
      </c>
      <c r="D42" s="6">
        <v>10.88</v>
      </c>
      <c r="E42" s="6">
        <v>6.16</v>
      </c>
      <c r="F42" s="6">
        <v>2</v>
      </c>
      <c r="G42" s="6">
        <v>51.59</v>
      </c>
      <c r="H42" s="6">
        <v>12.37</v>
      </c>
      <c r="I42" s="6">
        <v>7.73</v>
      </c>
      <c r="J42" s="6">
        <v>0.33</v>
      </c>
      <c r="K42" s="6">
        <v>74.36</v>
      </c>
      <c r="L42" s="6">
        <v>12.23</v>
      </c>
      <c r="M42" s="6">
        <v>7.61</v>
      </c>
      <c r="N42" s="6">
        <v>217.6</v>
      </c>
      <c r="O42" s="6">
        <v>0</v>
      </c>
      <c r="P42" s="6">
        <v>0.45</v>
      </c>
      <c r="Q42" s="6">
        <v>10</v>
      </c>
      <c r="R42" s="6"/>
      <c r="S42" s="6"/>
      <c r="T42" s="156"/>
      <c r="U42" s="6"/>
    </row>
    <row r="43" spans="1:21" customFormat="1">
      <c r="A43" s="201" t="s">
        <v>1810</v>
      </c>
      <c r="B43" s="6">
        <v>7.72</v>
      </c>
      <c r="C43" s="6">
        <v>8.0399999999999991</v>
      </c>
      <c r="D43" s="6">
        <v>10.39</v>
      </c>
      <c r="E43" s="6">
        <v>6.22</v>
      </c>
      <c r="F43" s="6">
        <v>2</v>
      </c>
      <c r="G43" s="6">
        <v>51.59</v>
      </c>
      <c r="H43" s="6">
        <v>12.35</v>
      </c>
      <c r="I43" s="6">
        <v>7.71</v>
      </c>
      <c r="J43" s="6">
        <v>0.3</v>
      </c>
      <c r="K43" s="6">
        <v>59.91</v>
      </c>
      <c r="L43" s="6">
        <v>11.18</v>
      </c>
      <c r="M43" s="6">
        <v>4</v>
      </c>
      <c r="N43" s="6">
        <v>254.9</v>
      </c>
      <c r="O43" s="6">
        <v>0</v>
      </c>
      <c r="P43" s="6">
        <v>0.45</v>
      </c>
      <c r="Q43" s="6">
        <v>10</v>
      </c>
      <c r="R43" s="6"/>
      <c r="S43" s="6"/>
      <c r="T43" s="156"/>
      <c r="U43" s="6"/>
    </row>
    <row r="44" spans="1:21" customFormat="1">
      <c r="A44" s="201" t="s">
        <v>1811</v>
      </c>
      <c r="B44" s="6">
        <v>7.15</v>
      </c>
      <c r="C44" s="6">
        <v>8.07</v>
      </c>
      <c r="D44" s="6">
        <v>9.9499999999999993</v>
      </c>
      <c r="E44" s="6">
        <v>6.39</v>
      </c>
      <c r="F44" s="6">
        <v>2</v>
      </c>
      <c r="G44" s="6">
        <v>51.53</v>
      </c>
      <c r="H44" s="6">
        <v>11.81</v>
      </c>
      <c r="I44" s="6">
        <v>7.63</v>
      </c>
      <c r="J44" s="6">
        <v>0.27</v>
      </c>
      <c r="K44" s="6">
        <v>103.77</v>
      </c>
      <c r="L44" s="6">
        <v>13.5</v>
      </c>
      <c r="M44" s="6">
        <v>10.31</v>
      </c>
      <c r="N44" s="6">
        <v>241.1</v>
      </c>
      <c r="O44" s="6">
        <v>0</v>
      </c>
      <c r="P44" s="6">
        <v>0.45</v>
      </c>
      <c r="Q44" s="6">
        <v>10</v>
      </c>
      <c r="R44" s="6"/>
      <c r="S44" s="6"/>
      <c r="T44" s="156"/>
      <c r="U44" s="6"/>
    </row>
    <row r="45" spans="1:21" customFormat="1">
      <c r="A45" s="201" t="s">
        <v>1812</v>
      </c>
      <c r="B45" s="6">
        <v>6.52</v>
      </c>
      <c r="C45" s="6">
        <v>8.11</v>
      </c>
      <c r="D45" s="6">
        <v>9.4600000000000009</v>
      </c>
      <c r="E45" s="6">
        <v>6.31</v>
      </c>
      <c r="F45" s="6">
        <v>2</v>
      </c>
      <c r="G45" s="6">
        <v>51.53</v>
      </c>
      <c r="H45" s="6">
        <v>11.81</v>
      </c>
      <c r="I45" s="6">
        <v>7.46</v>
      </c>
      <c r="J45" s="6">
        <v>0.26</v>
      </c>
      <c r="K45" s="6">
        <v>67.09</v>
      </c>
      <c r="L45" s="6">
        <v>12.19</v>
      </c>
      <c r="M45" s="6">
        <v>4.97</v>
      </c>
      <c r="N45" s="6">
        <v>321.60000000000002</v>
      </c>
      <c r="O45" s="6">
        <v>0</v>
      </c>
      <c r="P45" s="6">
        <v>0.43</v>
      </c>
      <c r="Q45" s="6">
        <v>10</v>
      </c>
      <c r="R45" s="6"/>
      <c r="S45" s="6"/>
      <c r="T45" s="156"/>
      <c r="U45" s="6"/>
    </row>
    <row r="46" spans="1:21" customFormat="1">
      <c r="A46" s="201" t="s">
        <v>1813</v>
      </c>
      <c r="B46" s="6">
        <v>6.07</v>
      </c>
      <c r="C46" s="6">
        <v>8.2799999999999994</v>
      </c>
      <c r="D46" s="6">
        <v>9.19</v>
      </c>
      <c r="E46" s="6">
        <v>6.41</v>
      </c>
      <c r="F46" s="6">
        <v>2</v>
      </c>
      <c r="G46" s="6">
        <v>51.53</v>
      </c>
      <c r="H46" s="6">
        <v>11.81</v>
      </c>
      <c r="I46" s="6">
        <v>7.34</v>
      </c>
      <c r="J46" s="6">
        <v>0.39</v>
      </c>
      <c r="K46" s="6">
        <v>57.63</v>
      </c>
      <c r="L46" s="6">
        <v>11.82</v>
      </c>
      <c r="M46" s="6">
        <v>3.12</v>
      </c>
      <c r="N46" s="6">
        <v>360.3</v>
      </c>
      <c r="O46" s="6">
        <v>0</v>
      </c>
      <c r="P46" s="6">
        <v>0.42</v>
      </c>
      <c r="Q46" s="6">
        <v>10</v>
      </c>
      <c r="R46" s="6"/>
      <c r="S46" s="6"/>
      <c r="T46" s="156"/>
      <c r="U46" s="6"/>
    </row>
    <row r="47" spans="1:21" customFormat="1">
      <c r="A47" s="201" t="s">
        <v>1814</v>
      </c>
      <c r="B47" s="6">
        <v>5.85</v>
      </c>
      <c r="C47" s="6">
        <v>8.61</v>
      </c>
      <c r="D47" s="6">
        <v>9.19</v>
      </c>
      <c r="E47" s="6">
        <v>6.13</v>
      </c>
      <c r="F47" s="6">
        <v>2</v>
      </c>
      <c r="G47" s="6">
        <v>51.4</v>
      </c>
      <c r="H47" s="6">
        <v>11.8</v>
      </c>
      <c r="I47" s="6">
        <v>7.36</v>
      </c>
      <c r="J47" s="6">
        <v>0.32</v>
      </c>
      <c r="K47" s="6">
        <v>74.06</v>
      </c>
      <c r="L47" s="6">
        <v>13.87</v>
      </c>
      <c r="M47" s="6">
        <v>7.39</v>
      </c>
      <c r="N47" s="6">
        <v>401.8</v>
      </c>
      <c r="O47" s="6">
        <v>0</v>
      </c>
      <c r="P47" s="6">
        <v>0.44</v>
      </c>
      <c r="Q47" s="6">
        <v>10</v>
      </c>
      <c r="R47" s="6"/>
      <c r="S47" s="6"/>
      <c r="T47" s="156"/>
      <c r="U47" s="6"/>
    </row>
    <row r="48" spans="1:21" customFormat="1">
      <c r="A48" s="201" t="s">
        <v>1815</v>
      </c>
      <c r="B48" s="6">
        <v>5.45</v>
      </c>
      <c r="C48" s="6">
        <v>8.66</v>
      </c>
      <c r="D48" s="6">
        <v>8.9</v>
      </c>
      <c r="E48" s="6">
        <v>6.43</v>
      </c>
      <c r="F48" s="6">
        <v>2</v>
      </c>
      <c r="G48" s="6">
        <v>47.77</v>
      </c>
      <c r="H48" s="6">
        <v>11.44</v>
      </c>
      <c r="I48" s="6">
        <v>7.33</v>
      </c>
      <c r="J48" s="6">
        <v>0.37</v>
      </c>
      <c r="K48" s="6">
        <v>47.68</v>
      </c>
      <c r="L48" s="6">
        <v>13.09</v>
      </c>
      <c r="M48" s="6">
        <v>5.82</v>
      </c>
      <c r="N48" s="6">
        <v>379.7</v>
      </c>
      <c r="O48" s="6">
        <v>0</v>
      </c>
      <c r="P48" s="6">
        <v>0.43</v>
      </c>
      <c r="Q48" s="6">
        <v>10</v>
      </c>
      <c r="R48" s="6"/>
      <c r="S48" s="6"/>
      <c r="T48" s="156"/>
      <c r="U48" s="6"/>
    </row>
    <row r="49" spans="1:21" customFormat="1">
      <c r="A49" s="201" t="s">
        <v>1816</v>
      </c>
      <c r="B49" s="6">
        <v>5.05</v>
      </c>
      <c r="C49" s="6">
        <v>8.52</v>
      </c>
      <c r="D49" s="6">
        <v>8.5</v>
      </c>
      <c r="E49" s="6">
        <v>5.18</v>
      </c>
      <c r="F49" s="6">
        <v>2</v>
      </c>
      <c r="G49" s="6">
        <v>47.77</v>
      </c>
      <c r="H49" s="6">
        <v>11.44</v>
      </c>
      <c r="I49" s="6">
        <v>7.27</v>
      </c>
      <c r="J49" s="6">
        <v>0.24</v>
      </c>
      <c r="K49" s="6">
        <v>81.239999999999995</v>
      </c>
      <c r="L49" s="6">
        <v>15.18</v>
      </c>
      <c r="M49" s="6">
        <v>9.86</v>
      </c>
      <c r="N49" s="6">
        <v>435.7</v>
      </c>
      <c r="O49" s="6">
        <v>0</v>
      </c>
      <c r="P49" s="6">
        <v>0.42</v>
      </c>
      <c r="Q49" s="6">
        <v>10</v>
      </c>
      <c r="R49" s="6"/>
      <c r="S49" s="6"/>
      <c r="T49" s="156"/>
      <c r="U49" s="6"/>
    </row>
    <row r="50" spans="1:21" customFormat="1">
      <c r="A50" s="201" t="s">
        <v>1817</v>
      </c>
      <c r="B50" s="6">
        <v>4.58</v>
      </c>
      <c r="C50" s="6">
        <v>8.44</v>
      </c>
      <c r="D50" s="6">
        <v>8.08</v>
      </c>
      <c r="E50" s="6">
        <v>6.28</v>
      </c>
      <c r="F50" s="6">
        <v>2</v>
      </c>
      <c r="G50" s="6">
        <v>47.77</v>
      </c>
      <c r="H50" s="6">
        <v>11.44</v>
      </c>
      <c r="I50" s="6">
        <v>7.14</v>
      </c>
      <c r="J50" s="6">
        <v>0.28000000000000003</v>
      </c>
      <c r="K50" s="6">
        <v>67.03</v>
      </c>
      <c r="L50" s="6">
        <v>15.79</v>
      </c>
      <c r="M50" s="6">
        <v>10.29</v>
      </c>
      <c r="N50" s="6">
        <v>482.3</v>
      </c>
      <c r="O50" s="6">
        <v>0</v>
      </c>
      <c r="P50" s="6">
        <v>0.42</v>
      </c>
      <c r="Q50" s="6">
        <v>10</v>
      </c>
      <c r="R50" s="6"/>
      <c r="S50" s="6"/>
      <c r="T50" s="156"/>
      <c r="U50" s="6"/>
    </row>
    <row r="51" spans="1:21" customFormat="1">
      <c r="A51" s="201" t="s">
        <v>1818</v>
      </c>
      <c r="B51" s="6">
        <v>4.2</v>
      </c>
      <c r="C51" s="6">
        <v>8.25</v>
      </c>
      <c r="D51" s="6">
        <v>7.68</v>
      </c>
      <c r="E51" s="6">
        <v>6.78</v>
      </c>
      <c r="F51" s="6">
        <v>2</v>
      </c>
      <c r="G51" s="6">
        <v>47.82</v>
      </c>
      <c r="H51" s="6">
        <v>11.45</v>
      </c>
      <c r="I51" s="6">
        <v>7.09</v>
      </c>
      <c r="J51" s="6">
        <v>0.27</v>
      </c>
      <c r="K51" s="6">
        <v>93.28</v>
      </c>
      <c r="L51" s="6">
        <v>17.010000000000002</v>
      </c>
      <c r="M51" s="6">
        <v>12.94</v>
      </c>
      <c r="N51" s="6">
        <v>502.8</v>
      </c>
      <c r="O51" s="6">
        <v>0</v>
      </c>
      <c r="P51" s="6">
        <v>0.45</v>
      </c>
      <c r="Q51" s="6">
        <v>10</v>
      </c>
      <c r="R51" s="6"/>
      <c r="S51" s="6"/>
      <c r="T51" s="156"/>
      <c r="U51" s="6"/>
    </row>
    <row r="52" spans="1:21" customFormat="1">
      <c r="A52" s="201" t="s">
        <v>1819</v>
      </c>
      <c r="B52" s="6">
        <v>4.0199999999999996</v>
      </c>
      <c r="C52" s="6">
        <v>7.97</v>
      </c>
      <c r="D52" s="6">
        <v>7.39</v>
      </c>
      <c r="E52" s="6">
        <v>8.18</v>
      </c>
      <c r="F52" s="6">
        <v>2</v>
      </c>
      <c r="G52" s="6">
        <v>49.46</v>
      </c>
      <c r="H52" s="6">
        <v>11.88</v>
      </c>
      <c r="I52" s="6">
        <v>7.15</v>
      </c>
      <c r="J52" s="6">
        <v>0.15</v>
      </c>
      <c r="K52" s="6">
        <v>90.92</v>
      </c>
      <c r="L52" s="6">
        <v>17.04</v>
      </c>
      <c r="M52" s="6">
        <v>13.77</v>
      </c>
      <c r="N52" s="6">
        <v>467.4</v>
      </c>
      <c r="O52" s="6">
        <v>0</v>
      </c>
      <c r="P52" s="6">
        <v>0.47</v>
      </c>
      <c r="Q52" s="6">
        <v>10</v>
      </c>
      <c r="R52" s="6"/>
      <c r="S52" s="6"/>
      <c r="T52" s="156"/>
      <c r="U52" s="6"/>
    </row>
    <row r="53" spans="1:21" customFormat="1">
      <c r="A53" s="201" t="s">
        <v>1820</v>
      </c>
      <c r="B53" s="6">
        <v>3.9</v>
      </c>
      <c r="C53" s="6">
        <v>7.86</v>
      </c>
      <c r="D53" s="6">
        <v>7.24</v>
      </c>
      <c r="E53" s="6">
        <v>8.42</v>
      </c>
      <c r="F53" s="6">
        <v>2.73</v>
      </c>
      <c r="G53" s="6">
        <v>49.46</v>
      </c>
      <c r="H53" s="6">
        <v>11.88</v>
      </c>
      <c r="I53" s="6">
        <v>7.11</v>
      </c>
      <c r="J53" s="6">
        <v>0.14000000000000001</v>
      </c>
      <c r="K53" s="6">
        <v>90.04</v>
      </c>
      <c r="L53" s="6">
        <v>16.16</v>
      </c>
      <c r="M53" s="6">
        <v>13.97</v>
      </c>
      <c r="N53" s="6">
        <v>365.2</v>
      </c>
      <c r="O53" s="6">
        <v>0</v>
      </c>
      <c r="P53" s="6">
        <v>0.47</v>
      </c>
      <c r="Q53" s="6">
        <v>10</v>
      </c>
      <c r="R53" s="6"/>
      <c r="S53" s="6"/>
      <c r="T53" s="156"/>
      <c r="U53" s="6"/>
    </row>
    <row r="54" spans="1:21" customFormat="1">
      <c r="A54" s="201" t="s">
        <v>1821</v>
      </c>
      <c r="B54" s="6">
        <v>3.77</v>
      </c>
      <c r="C54" s="6">
        <v>7.69</v>
      </c>
      <c r="D54" s="6">
        <v>7.04</v>
      </c>
      <c r="E54" s="6">
        <v>8.25</v>
      </c>
      <c r="F54" s="6">
        <v>2</v>
      </c>
      <c r="G54" s="6">
        <v>49.46</v>
      </c>
      <c r="H54" s="6">
        <v>11.88</v>
      </c>
      <c r="I54" s="6">
        <v>7.08</v>
      </c>
      <c r="J54" s="6">
        <v>0.34</v>
      </c>
      <c r="K54" s="6">
        <v>54.47</v>
      </c>
      <c r="L54" s="6">
        <v>15.32</v>
      </c>
      <c r="M54" s="6">
        <v>11.47</v>
      </c>
      <c r="N54" s="6">
        <v>382</v>
      </c>
      <c r="O54" s="6">
        <v>0</v>
      </c>
      <c r="P54" s="6">
        <v>0.47</v>
      </c>
      <c r="Q54" s="6">
        <v>10</v>
      </c>
      <c r="R54" s="6"/>
      <c r="S54" s="6"/>
      <c r="T54" s="156"/>
      <c r="U54" s="6"/>
    </row>
    <row r="55" spans="1:21" customFormat="1">
      <c r="A55" s="201" t="s">
        <v>1822</v>
      </c>
      <c r="B55" s="6">
        <v>3.72</v>
      </c>
      <c r="C55" s="6">
        <v>7.98</v>
      </c>
      <c r="D55" s="6">
        <v>7.15</v>
      </c>
      <c r="E55" s="6">
        <v>8.61</v>
      </c>
      <c r="F55" s="6">
        <v>3.46</v>
      </c>
      <c r="G55" s="6">
        <v>49.56</v>
      </c>
      <c r="H55" s="6">
        <v>11.87</v>
      </c>
      <c r="I55" s="6">
        <v>7.07</v>
      </c>
      <c r="J55" s="6">
        <v>0.4</v>
      </c>
      <c r="K55" s="6">
        <v>19.68</v>
      </c>
      <c r="L55" s="6">
        <v>16.940000000000001</v>
      </c>
      <c r="M55" s="6">
        <v>12.35</v>
      </c>
      <c r="N55" s="6">
        <v>514.1</v>
      </c>
      <c r="O55" s="6">
        <v>0</v>
      </c>
      <c r="P55" s="6">
        <v>0.45</v>
      </c>
      <c r="Q55" s="6">
        <v>10</v>
      </c>
      <c r="R55" s="6"/>
      <c r="S55" s="6"/>
      <c r="T55" s="156"/>
      <c r="U55" s="6"/>
    </row>
    <row r="56" spans="1:21" customFormat="1">
      <c r="A56" s="201" t="s">
        <v>1823</v>
      </c>
      <c r="B56" s="6">
        <v>3.58</v>
      </c>
      <c r="C56" s="6">
        <v>8.06</v>
      </c>
      <c r="D56" s="6">
        <v>7.08</v>
      </c>
      <c r="E56" s="6">
        <v>9.3000000000000007</v>
      </c>
      <c r="F56" s="6">
        <v>2.08</v>
      </c>
      <c r="G56" s="6">
        <v>52.52</v>
      </c>
      <c r="H56" s="6">
        <v>11.45</v>
      </c>
      <c r="I56" s="6">
        <v>6.98</v>
      </c>
      <c r="J56" s="6">
        <v>0.23</v>
      </c>
      <c r="K56" s="6">
        <v>134.34</v>
      </c>
      <c r="L56" s="6">
        <v>17.52</v>
      </c>
      <c r="M56" s="6">
        <v>17.48</v>
      </c>
      <c r="N56" s="6">
        <v>361.7</v>
      </c>
      <c r="O56" s="6">
        <v>0</v>
      </c>
      <c r="P56" s="6">
        <v>0.45</v>
      </c>
      <c r="Q56" s="6">
        <v>10</v>
      </c>
      <c r="R56" s="6"/>
      <c r="S56" s="6"/>
      <c r="T56" s="156"/>
      <c r="U56" s="6"/>
    </row>
    <row r="57" spans="1:21" customFormat="1">
      <c r="A57" s="201" t="s">
        <v>1824</v>
      </c>
      <c r="B57" s="6">
        <v>3.28</v>
      </c>
      <c r="C57" s="6">
        <v>7.44</v>
      </c>
      <c r="D57" s="6">
        <v>6.52</v>
      </c>
      <c r="E57" s="6">
        <v>8.09</v>
      </c>
      <c r="F57" s="6">
        <v>2.1</v>
      </c>
      <c r="G57" s="6">
        <v>52.52</v>
      </c>
      <c r="H57" s="6">
        <v>11.45</v>
      </c>
      <c r="I57" s="6">
        <v>6.87</v>
      </c>
      <c r="J57" s="6">
        <v>0.33</v>
      </c>
      <c r="K57" s="6">
        <v>49.59</v>
      </c>
      <c r="L57" s="6">
        <v>17.04</v>
      </c>
      <c r="M57" s="6">
        <v>13.16</v>
      </c>
      <c r="N57" s="6">
        <v>476.9</v>
      </c>
      <c r="O57" s="6">
        <v>0</v>
      </c>
      <c r="P57" s="6">
        <v>0.44</v>
      </c>
      <c r="Q57" s="6">
        <v>10</v>
      </c>
      <c r="R57" s="6"/>
      <c r="S57" s="6"/>
      <c r="T57" s="156"/>
      <c r="U57" s="6"/>
    </row>
    <row r="58" spans="1:21" customFormat="1">
      <c r="A58" s="201" t="s">
        <v>1825</v>
      </c>
      <c r="B58" s="6">
        <v>3.13</v>
      </c>
      <c r="C58" s="6">
        <v>7.42</v>
      </c>
      <c r="D58" s="6">
        <v>6.39</v>
      </c>
      <c r="E58" s="6">
        <v>8.3800000000000008</v>
      </c>
      <c r="F58" s="6">
        <v>2</v>
      </c>
      <c r="G58" s="6">
        <v>52.52</v>
      </c>
      <c r="H58" s="6">
        <v>11.45</v>
      </c>
      <c r="I58" s="6">
        <v>6.85</v>
      </c>
      <c r="J58" s="6">
        <v>0.27</v>
      </c>
      <c r="K58" s="6">
        <v>93.76</v>
      </c>
      <c r="L58" s="6">
        <v>17.43</v>
      </c>
      <c r="M58" s="6">
        <v>13.91</v>
      </c>
      <c r="N58" s="6">
        <v>503.4</v>
      </c>
      <c r="O58" s="6">
        <v>0</v>
      </c>
      <c r="P58" s="6">
        <v>0.43</v>
      </c>
      <c r="Q58" s="6">
        <v>10</v>
      </c>
      <c r="R58" s="6"/>
      <c r="S58" s="6"/>
      <c r="T58" s="156"/>
      <c r="U58" s="6"/>
    </row>
    <row r="59" spans="1:21" customFormat="1">
      <c r="A59" s="201" t="s">
        <v>1826</v>
      </c>
      <c r="B59" s="6">
        <v>3.05</v>
      </c>
      <c r="C59" s="6">
        <v>7.41</v>
      </c>
      <c r="D59" s="6">
        <v>6.32</v>
      </c>
      <c r="E59" s="6">
        <v>8.1999999999999993</v>
      </c>
      <c r="F59" s="6">
        <v>4.59</v>
      </c>
      <c r="G59" s="6">
        <v>52.47</v>
      </c>
      <c r="H59" s="6">
        <v>11.46</v>
      </c>
      <c r="I59" s="6">
        <v>6.8</v>
      </c>
      <c r="J59" s="6">
        <v>0.33</v>
      </c>
      <c r="K59" s="6">
        <v>76.819999999999993</v>
      </c>
      <c r="L59" s="6">
        <v>14.78</v>
      </c>
      <c r="M59" s="6">
        <v>8.93</v>
      </c>
      <c r="N59" s="6">
        <v>399</v>
      </c>
      <c r="O59" s="6">
        <v>0</v>
      </c>
      <c r="P59" s="6">
        <v>0.43</v>
      </c>
      <c r="Q59" s="6">
        <v>10</v>
      </c>
      <c r="R59" s="6"/>
      <c r="S59" s="6"/>
      <c r="T59" s="156"/>
      <c r="U59" s="6"/>
    </row>
    <row r="60" spans="1:21" customFormat="1">
      <c r="A60" s="201" t="s">
        <v>1827</v>
      </c>
      <c r="B60" s="6">
        <v>3.21</v>
      </c>
      <c r="C60" s="6">
        <v>8.66</v>
      </c>
      <c r="D60" s="6">
        <v>7.1</v>
      </c>
      <c r="E60" s="6">
        <v>11.28</v>
      </c>
      <c r="F60" s="6">
        <v>5.58</v>
      </c>
      <c r="G60" s="6">
        <v>50.82</v>
      </c>
      <c r="H60" s="6">
        <v>11.84</v>
      </c>
      <c r="I60" s="6">
        <v>6.73</v>
      </c>
      <c r="J60" s="6">
        <v>0.38</v>
      </c>
      <c r="K60" s="6">
        <v>50.41</v>
      </c>
      <c r="L60" s="6">
        <v>13.36</v>
      </c>
      <c r="M60" s="6">
        <v>7.61</v>
      </c>
      <c r="N60" s="6">
        <v>324.8</v>
      </c>
      <c r="O60" s="6">
        <v>0</v>
      </c>
      <c r="P60" s="6">
        <v>0.41</v>
      </c>
      <c r="Q60" s="6">
        <v>10</v>
      </c>
      <c r="R60" s="6"/>
      <c r="S60" s="6"/>
      <c r="T60" s="156"/>
      <c r="U60" s="6"/>
    </row>
    <row r="61" spans="1:21" customFormat="1">
      <c r="A61" s="201" t="s">
        <v>1828</v>
      </c>
      <c r="B61" s="6">
        <v>2.99</v>
      </c>
      <c r="C61" s="6">
        <v>7.89</v>
      </c>
      <c r="D61" s="6">
        <v>6.52</v>
      </c>
      <c r="E61" s="6">
        <v>9.92</v>
      </c>
      <c r="F61" s="6">
        <v>3.26</v>
      </c>
      <c r="G61" s="6">
        <v>50.82</v>
      </c>
      <c r="H61" s="6">
        <v>11.84</v>
      </c>
      <c r="I61" s="6">
        <v>6.57</v>
      </c>
      <c r="J61" s="6">
        <v>0.31</v>
      </c>
      <c r="K61" s="6">
        <v>64.83</v>
      </c>
      <c r="L61" s="6">
        <v>14.9</v>
      </c>
      <c r="M61" s="6">
        <v>10.8</v>
      </c>
      <c r="N61" s="6">
        <v>359.4</v>
      </c>
      <c r="O61" s="6">
        <v>0</v>
      </c>
      <c r="P61" s="6">
        <v>0.42</v>
      </c>
      <c r="Q61" s="6">
        <v>10</v>
      </c>
      <c r="R61" s="6"/>
      <c r="S61" s="6"/>
      <c r="T61" s="156"/>
      <c r="U61" s="6"/>
    </row>
    <row r="62" spans="1:21" customFormat="1">
      <c r="A62" s="201" t="s">
        <v>1829</v>
      </c>
      <c r="B62" s="6">
        <v>2.89</v>
      </c>
      <c r="C62" s="6">
        <v>7.2</v>
      </c>
      <c r="D62" s="6">
        <v>6.08</v>
      </c>
      <c r="E62" s="6">
        <v>7.87</v>
      </c>
      <c r="F62" s="6">
        <v>2.91</v>
      </c>
      <c r="G62" s="6">
        <v>50.82</v>
      </c>
      <c r="H62" s="6">
        <v>11.84</v>
      </c>
      <c r="I62" s="6">
        <v>6.34</v>
      </c>
      <c r="J62" s="6">
        <v>0.17</v>
      </c>
      <c r="K62" s="6">
        <v>85.96</v>
      </c>
      <c r="L62" s="6">
        <v>15.68</v>
      </c>
      <c r="M62" s="6">
        <v>16.34</v>
      </c>
      <c r="N62" s="6">
        <v>209.7</v>
      </c>
      <c r="O62" s="6">
        <v>0</v>
      </c>
      <c r="P62" s="6">
        <v>0.43</v>
      </c>
      <c r="Q62" s="6">
        <v>10</v>
      </c>
      <c r="R62" s="6"/>
      <c r="S62" s="6"/>
      <c r="T62" s="156"/>
      <c r="U62" s="6"/>
    </row>
    <row r="63" spans="1:21" customFormat="1">
      <c r="A63" s="201" t="s">
        <v>1830</v>
      </c>
      <c r="B63" s="6">
        <v>2.83</v>
      </c>
      <c r="C63" s="6">
        <v>7.23</v>
      </c>
      <c r="D63" s="6">
        <v>6.05</v>
      </c>
      <c r="E63" s="6">
        <v>8.1199999999999992</v>
      </c>
      <c r="F63" s="6">
        <v>6.92</v>
      </c>
      <c r="G63" s="6">
        <v>50.7</v>
      </c>
      <c r="H63" s="6">
        <v>11.85</v>
      </c>
      <c r="I63" s="6">
        <v>6.39</v>
      </c>
      <c r="J63" s="6">
        <v>0.32</v>
      </c>
      <c r="K63" s="6">
        <v>27.79</v>
      </c>
      <c r="L63" s="6">
        <v>15.28</v>
      </c>
      <c r="M63" s="6">
        <v>12.47</v>
      </c>
      <c r="N63" s="6">
        <v>327.39999999999998</v>
      </c>
      <c r="O63" s="6">
        <v>0</v>
      </c>
      <c r="P63" s="6">
        <v>0.43</v>
      </c>
      <c r="Q63" s="6">
        <v>10</v>
      </c>
      <c r="R63" s="6"/>
      <c r="S63" s="6"/>
      <c r="T63" s="156"/>
      <c r="U63" s="6"/>
    </row>
    <row r="64" spans="1:21" customFormat="1">
      <c r="A64" s="201" t="s">
        <v>1831</v>
      </c>
      <c r="B64" s="6">
        <v>2.79</v>
      </c>
      <c r="C64" s="6">
        <v>7.68</v>
      </c>
      <c r="D64" s="6">
        <v>6.25</v>
      </c>
      <c r="E64" s="6">
        <v>10.130000000000001</v>
      </c>
      <c r="F64" s="6">
        <v>6.69</v>
      </c>
      <c r="G64" s="6">
        <v>47.08</v>
      </c>
      <c r="H64" s="6">
        <v>12.35</v>
      </c>
      <c r="I64" s="6">
        <v>6.39</v>
      </c>
      <c r="J64" s="6">
        <v>0.42</v>
      </c>
      <c r="K64" s="6">
        <v>43.62</v>
      </c>
      <c r="L64" s="6">
        <v>13.6</v>
      </c>
      <c r="M64" s="6">
        <v>7.75</v>
      </c>
      <c r="N64" s="6">
        <v>349.1</v>
      </c>
      <c r="O64" s="6">
        <v>0</v>
      </c>
      <c r="P64" s="6">
        <v>0.41</v>
      </c>
      <c r="Q64" s="6">
        <v>10</v>
      </c>
      <c r="R64" s="6"/>
      <c r="S64" s="6"/>
      <c r="T64" s="156"/>
      <c r="U64" s="6"/>
    </row>
    <row r="65" spans="1:21" customFormat="1">
      <c r="A65" s="201" t="s">
        <v>1832</v>
      </c>
      <c r="B65" s="6">
        <v>2.74</v>
      </c>
      <c r="C65" s="6">
        <v>7.72</v>
      </c>
      <c r="D65" s="6">
        <v>6.23</v>
      </c>
      <c r="E65" s="6">
        <v>9.69</v>
      </c>
      <c r="F65" s="6">
        <v>7.35</v>
      </c>
      <c r="G65" s="6">
        <v>47.08</v>
      </c>
      <c r="H65" s="6">
        <v>12.35</v>
      </c>
      <c r="I65" s="6">
        <v>6.16</v>
      </c>
      <c r="J65" s="6">
        <v>0.6</v>
      </c>
      <c r="K65" s="6">
        <v>46.2</v>
      </c>
      <c r="L65" s="6">
        <v>11.4</v>
      </c>
      <c r="M65" s="6">
        <v>3.98</v>
      </c>
      <c r="N65" s="6">
        <v>274.7</v>
      </c>
      <c r="O65" s="6">
        <v>0</v>
      </c>
      <c r="P65" s="6">
        <v>0.34</v>
      </c>
      <c r="Q65" s="6">
        <v>10</v>
      </c>
      <c r="R65" s="6"/>
      <c r="S65" s="6"/>
      <c r="T65" s="156"/>
      <c r="U65" s="6"/>
    </row>
    <row r="66" spans="1:21" customFormat="1">
      <c r="A66" s="201" t="s">
        <v>1833</v>
      </c>
      <c r="B66" s="6">
        <v>2.63</v>
      </c>
      <c r="C66" s="6">
        <v>7.63</v>
      </c>
      <c r="D66" s="6">
        <v>6.09</v>
      </c>
      <c r="E66" s="6">
        <v>9.67</v>
      </c>
      <c r="F66" s="6">
        <v>6.3</v>
      </c>
      <c r="G66" s="6">
        <v>47.08</v>
      </c>
      <c r="H66" s="6">
        <v>12.35</v>
      </c>
      <c r="I66" s="6">
        <v>5.97</v>
      </c>
      <c r="J66" s="6">
        <v>0.3</v>
      </c>
      <c r="K66" s="6">
        <v>50.16</v>
      </c>
      <c r="L66" s="6">
        <v>13.38</v>
      </c>
      <c r="M66" s="6">
        <v>10.28</v>
      </c>
      <c r="N66" s="6">
        <v>221.7</v>
      </c>
      <c r="O66" s="6">
        <v>0</v>
      </c>
      <c r="P66" s="6">
        <v>0.37</v>
      </c>
      <c r="Q66" s="6">
        <v>10</v>
      </c>
      <c r="R66" s="6"/>
      <c r="S66" s="6"/>
      <c r="T66" s="156"/>
      <c r="U66" s="6"/>
    </row>
    <row r="67" spans="1:21" customFormat="1">
      <c r="A67" s="201" t="s">
        <v>1834</v>
      </c>
      <c r="B67" s="6">
        <v>2.7</v>
      </c>
      <c r="C67" s="6">
        <v>7.62</v>
      </c>
      <c r="D67" s="6">
        <v>6.15</v>
      </c>
      <c r="E67" s="6">
        <v>8.59</v>
      </c>
      <c r="F67" s="6">
        <v>6.45</v>
      </c>
      <c r="G67" s="6">
        <v>47.16</v>
      </c>
      <c r="H67" s="6">
        <v>12.33</v>
      </c>
      <c r="I67" s="6">
        <v>5.93</v>
      </c>
      <c r="J67" s="6">
        <v>0.34</v>
      </c>
      <c r="K67" s="6">
        <v>58.72</v>
      </c>
      <c r="L67" s="6">
        <v>10.37</v>
      </c>
      <c r="M67" s="6">
        <v>6.1</v>
      </c>
      <c r="N67" s="6">
        <v>79.099999999999994</v>
      </c>
      <c r="O67" s="6">
        <v>0</v>
      </c>
      <c r="P67" s="6">
        <v>0.38</v>
      </c>
      <c r="Q67" s="6">
        <v>10</v>
      </c>
      <c r="R67" s="6"/>
      <c r="S67" s="6"/>
      <c r="T67" s="156"/>
      <c r="U67" s="6"/>
    </row>
    <row r="68" spans="1:21" customFormat="1">
      <c r="A68" s="201" t="s">
        <v>1835</v>
      </c>
      <c r="B68" s="6">
        <v>2.68</v>
      </c>
      <c r="C68" s="6">
        <v>8.2100000000000009</v>
      </c>
      <c r="D68" s="6">
        <v>6.44</v>
      </c>
      <c r="E68" s="6">
        <v>10.39</v>
      </c>
      <c r="F68" s="6">
        <v>7.12</v>
      </c>
      <c r="G68" s="6">
        <v>49.41</v>
      </c>
      <c r="H68" s="6">
        <v>11.63</v>
      </c>
      <c r="I68" s="6">
        <v>5.87</v>
      </c>
      <c r="J68" s="6">
        <v>0.26</v>
      </c>
      <c r="K68" s="6">
        <v>19.239999999999998</v>
      </c>
      <c r="L68" s="6">
        <v>17.63</v>
      </c>
      <c r="M68" s="6">
        <v>24.13</v>
      </c>
      <c r="N68" s="6">
        <v>80.2</v>
      </c>
      <c r="O68" s="6">
        <v>0</v>
      </c>
      <c r="P68" s="6">
        <v>0.38</v>
      </c>
      <c r="Q68" s="6">
        <v>10</v>
      </c>
      <c r="R68" s="6"/>
      <c r="S68" s="6"/>
      <c r="T68" s="156"/>
      <c r="U68" s="6"/>
    </row>
    <row r="69" spans="1:21" customFormat="1">
      <c r="A69" s="201" t="s">
        <v>1836</v>
      </c>
      <c r="B69" s="6">
        <v>2.84</v>
      </c>
      <c r="C69" s="6">
        <v>8.89</v>
      </c>
      <c r="D69" s="6">
        <v>6.92</v>
      </c>
      <c r="E69" s="6">
        <v>11.34</v>
      </c>
      <c r="F69" s="6">
        <v>11</v>
      </c>
      <c r="G69" s="6">
        <v>49.41</v>
      </c>
      <c r="H69" s="6">
        <v>11.63</v>
      </c>
      <c r="I69" s="6">
        <v>5.86</v>
      </c>
      <c r="J69" s="6">
        <v>0.56000000000000005</v>
      </c>
      <c r="K69" s="6">
        <v>33.06</v>
      </c>
      <c r="L69" s="6">
        <v>9.82</v>
      </c>
      <c r="M69" s="6">
        <v>4.67</v>
      </c>
      <c r="N69" s="6">
        <v>73</v>
      </c>
      <c r="O69" s="6">
        <v>0</v>
      </c>
      <c r="P69" s="6">
        <v>0.36</v>
      </c>
      <c r="Q69" s="6">
        <v>10</v>
      </c>
      <c r="R69" s="6"/>
      <c r="S69" s="6"/>
      <c r="T69" s="156"/>
      <c r="U69" s="6"/>
    </row>
    <row r="70" spans="1:21" customFormat="1">
      <c r="A70" s="201" t="s">
        <v>1837</v>
      </c>
      <c r="B70" s="6">
        <v>3.13</v>
      </c>
      <c r="C70" s="6">
        <v>9.66</v>
      </c>
      <c r="D70" s="6">
        <v>7.56</v>
      </c>
      <c r="E70" s="6">
        <v>9.5</v>
      </c>
      <c r="F70" s="6">
        <v>2.2000000000000002</v>
      </c>
      <c r="G70" s="6">
        <v>49.41</v>
      </c>
      <c r="H70" s="6">
        <v>11.63</v>
      </c>
      <c r="I70" s="6">
        <v>5.74</v>
      </c>
      <c r="J70" s="6">
        <v>0.28000000000000003</v>
      </c>
      <c r="K70" s="6">
        <v>71.92</v>
      </c>
      <c r="L70" s="6">
        <v>10.43</v>
      </c>
      <c r="M70" s="6">
        <v>6.6</v>
      </c>
      <c r="N70" s="6">
        <v>64.3</v>
      </c>
      <c r="O70" s="6">
        <v>0</v>
      </c>
      <c r="P70" s="6">
        <v>0.35</v>
      </c>
      <c r="Q70" s="6">
        <v>10</v>
      </c>
      <c r="R70" s="6"/>
      <c r="S70" s="6"/>
      <c r="T70" s="156"/>
      <c r="U70" s="6"/>
    </row>
    <row r="71" spans="1:21" customFormat="1">
      <c r="A71" s="201" t="s">
        <v>1838</v>
      </c>
      <c r="B71" s="6">
        <v>2.68</v>
      </c>
      <c r="C71" s="6">
        <v>8.32</v>
      </c>
      <c r="D71" s="6">
        <v>6.5</v>
      </c>
      <c r="E71" s="6">
        <v>7.49</v>
      </c>
      <c r="F71" s="6">
        <v>2.57</v>
      </c>
      <c r="G71" s="6">
        <v>49.43</v>
      </c>
      <c r="H71" s="6">
        <v>11.66</v>
      </c>
      <c r="I71" s="6">
        <v>6.13</v>
      </c>
      <c r="J71" s="6">
        <v>0.22</v>
      </c>
      <c r="K71" s="6">
        <v>80.45</v>
      </c>
      <c r="L71" s="6">
        <v>12.5</v>
      </c>
      <c r="M71" s="6">
        <v>12.07</v>
      </c>
      <c r="N71" s="6">
        <v>54.9</v>
      </c>
      <c r="O71" s="6">
        <v>0</v>
      </c>
      <c r="P71" s="6">
        <v>0.33</v>
      </c>
      <c r="Q71" s="6">
        <v>10</v>
      </c>
      <c r="R71" s="6"/>
      <c r="S71" s="6"/>
      <c r="T71" s="156"/>
      <c r="U71" s="6"/>
    </row>
    <row r="72" spans="1:21" customFormat="1">
      <c r="A72" s="201" t="s">
        <v>1839</v>
      </c>
      <c r="B72" s="6">
        <v>2.5</v>
      </c>
      <c r="C72" s="6">
        <v>7.84</v>
      </c>
      <c r="D72" s="6">
        <v>6.1</v>
      </c>
      <c r="E72" s="6">
        <v>7.42</v>
      </c>
      <c r="F72" s="6">
        <v>2</v>
      </c>
      <c r="G72" s="6">
        <v>50.03</v>
      </c>
      <c r="H72" s="6">
        <v>12.51</v>
      </c>
      <c r="I72" s="6">
        <v>6.4</v>
      </c>
      <c r="J72" s="6">
        <v>0.24</v>
      </c>
      <c r="K72" s="6">
        <v>105.59</v>
      </c>
      <c r="L72" s="6">
        <v>12.83</v>
      </c>
      <c r="M72" s="6">
        <v>13.25</v>
      </c>
      <c r="N72" s="6">
        <v>45.9</v>
      </c>
      <c r="O72" s="6">
        <v>0</v>
      </c>
      <c r="P72" s="6">
        <v>0.32</v>
      </c>
      <c r="Q72" s="6">
        <v>10</v>
      </c>
      <c r="R72" s="6"/>
      <c r="S72" s="6"/>
      <c r="T72" s="156"/>
      <c r="U72" s="6"/>
    </row>
    <row r="73" spans="1:21" customFormat="1">
      <c r="A73" s="201" t="s">
        <v>1840</v>
      </c>
      <c r="B73" s="6">
        <v>2.4</v>
      </c>
      <c r="C73" s="6">
        <v>7.6</v>
      </c>
      <c r="D73" s="6">
        <v>5.9</v>
      </c>
      <c r="E73" s="6">
        <v>7.04</v>
      </c>
      <c r="F73" s="6">
        <v>2</v>
      </c>
      <c r="G73" s="6">
        <v>50.03</v>
      </c>
      <c r="H73" s="6">
        <v>12.51</v>
      </c>
      <c r="I73" s="6">
        <v>6.02</v>
      </c>
      <c r="J73" s="6">
        <v>0.25</v>
      </c>
      <c r="K73" s="6">
        <v>102.22</v>
      </c>
      <c r="L73" s="6">
        <v>13.1</v>
      </c>
      <c r="M73" s="6">
        <v>14.05</v>
      </c>
      <c r="N73" s="6">
        <v>37.5</v>
      </c>
      <c r="O73" s="6">
        <v>0</v>
      </c>
      <c r="P73" s="6">
        <v>0.32</v>
      </c>
      <c r="Q73" s="6">
        <v>10</v>
      </c>
      <c r="R73" s="6"/>
      <c r="S73" s="6"/>
      <c r="T73" s="156"/>
      <c r="U73" s="6"/>
    </row>
    <row r="74" spans="1:21" customFormat="1">
      <c r="A74" s="201" t="s">
        <v>1841</v>
      </c>
      <c r="B74" s="6">
        <v>2.36</v>
      </c>
      <c r="C74" s="6">
        <v>7.65</v>
      </c>
      <c r="D74" s="6">
        <v>5.89</v>
      </c>
      <c r="E74" s="6">
        <v>6.68</v>
      </c>
      <c r="F74" s="6">
        <v>2</v>
      </c>
      <c r="G74" s="6">
        <v>50.03</v>
      </c>
      <c r="H74" s="6">
        <v>12.51</v>
      </c>
      <c r="I74" s="6">
        <v>5.87</v>
      </c>
      <c r="J74" s="6">
        <v>0.21</v>
      </c>
      <c r="K74" s="6">
        <v>114.99</v>
      </c>
      <c r="L74" s="6">
        <v>12.09</v>
      </c>
      <c r="M74" s="6">
        <v>11.72</v>
      </c>
      <c r="N74" s="6">
        <v>29.8</v>
      </c>
      <c r="O74" s="6">
        <v>0</v>
      </c>
      <c r="P74" s="6">
        <v>0.32</v>
      </c>
      <c r="Q74" s="6">
        <v>10</v>
      </c>
      <c r="R74" s="6"/>
      <c r="S74" s="6"/>
      <c r="T74" s="156"/>
      <c r="U74" s="6"/>
    </row>
    <row r="75" spans="1:21" customFormat="1">
      <c r="A75" s="201" t="s">
        <v>1842</v>
      </c>
      <c r="B75" s="6">
        <v>2.33</v>
      </c>
      <c r="C75" s="6">
        <v>7.48</v>
      </c>
      <c r="D75" s="6">
        <v>5.78</v>
      </c>
      <c r="E75" s="6">
        <v>6.87</v>
      </c>
      <c r="F75" s="6">
        <v>3.02</v>
      </c>
      <c r="G75" s="6">
        <v>50.01</v>
      </c>
      <c r="H75" s="6">
        <v>12.5</v>
      </c>
      <c r="I75" s="6">
        <v>5.76</v>
      </c>
      <c r="J75" s="6">
        <v>0.25</v>
      </c>
      <c r="K75" s="6">
        <v>138.1</v>
      </c>
      <c r="L75" s="6">
        <v>13.87</v>
      </c>
      <c r="M75" s="6">
        <v>16.489999999999998</v>
      </c>
      <c r="N75" s="6">
        <v>22.9</v>
      </c>
      <c r="O75" s="6">
        <v>0</v>
      </c>
      <c r="P75" s="6">
        <v>0.32</v>
      </c>
      <c r="Q75" s="6">
        <v>10</v>
      </c>
      <c r="R75" s="6"/>
      <c r="S75" s="6"/>
      <c r="T75" s="156"/>
      <c r="U75" s="6"/>
    </row>
    <row r="76" spans="1:21" customFormat="1">
      <c r="A76" s="201" t="s">
        <v>1843</v>
      </c>
      <c r="B76" s="6">
        <v>2.34</v>
      </c>
      <c r="C76" s="6">
        <v>7.17</v>
      </c>
      <c r="D76" s="6">
        <v>5.62</v>
      </c>
      <c r="E76" s="6">
        <v>6.84</v>
      </c>
      <c r="F76" s="6">
        <v>2</v>
      </c>
      <c r="G76" s="6">
        <v>49.37</v>
      </c>
      <c r="H76" s="6">
        <v>12.15</v>
      </c>
      <c r="I76" s="6">
        <v>5.64</v>
      </c>
      <c r="J76" s="6">
        <v>0.28999999999999998</v>
      </c>
      <c r="K76" s="6">
        <v>148.43</v>
      </c>
      <c r="L76" s="6">
        <v>14.67</v>
      </c>
      <c r="M76" s="6">
        <v>18.68</v>
      </c>
      <c r="N76" s="6">
        <v>16.100000000000001</v>
      </c>
      <c r="O76" s="6">
        <v>0</v>
      </c>
      <c r="P76" s="6">
        <v>0.32</v>
      </c>
      <c r="Q76" s="6">
        <v>10</v>
      </c>
      <c r="R76" s="6"/>
      <c r="S76" s="6"/>
      <c r="T76" s="156"/>
      <c r="U76" s="6"/>
    </row>
    <row r="77" spans="1:21" customFormat="1">
      <c r="A77" s="201" t="s">
        <v>1844</v>
      </c>
      <c r="B77" s="6">
        <v>2.34</v>
      </c>
      <c r="C77" s="6">
        <v>6.84</v>
      </c>
      <c r="D77" s="6">
        <v>5.45</v>
      </c>
      <c r="E77" s="6">
        <v>6.77</v>
      </c>
      <c r="F77" s="6">
        <v>2</v>
      </c>
      <c r="G77" s="6">
        <v>49.37</v>
      </c>
      <c r="H77" s="6">
        <v>12.15</v>
      </c>
      <c r="I77" s="6">
        <v>5.51</v>
      </c>
      <c r="J77" s="6">
        <v>0.26</v>
      </c>
      <c r="K77" s="6">
        <v>150.43</v>
      </c>
      <c r="L77" s="6">
        <v>15.02</v>
      </c>
      <c r="M77" s="6">
        <v>19.64</v>
      </c>
      <c r="N77" s="6">
        <v>10.4</v>
      </c>
      <c r="O77" s="6">
        <v>0</v>
      </c>
      <c r="P77" s="6">
        <v>0.3</v>
      </c>
      <c r="Q77" s="6">
        <v>10</v>
      </c>
      <c r="R77" s="6"/>
      <c r="S77" s="6"/>
      <c r="T77" s="156"/>
      <c r="U77" s="6"/>
    </row>
    <row r="78" spans="1:21" customFormat="1">
      <c r="A78" s="201" t="s">
        <v>1845</v>
      </c>
      <c r="B78" s="6">
        <v>2.2999999999999998</v>
      </c>
      <c r="C78" s="6">
        <v>6.69</v>
      </c>
      <c r="D78" s="6">
        <v>5.34</v>
      </c>
      <c r="E78" s="6">
        <v>6.51</v>
      </c>
      <c r="F78" s="6">
        <v>2</v>
      </c>
      <c r="G78" s="6">
        <v>49.37</v>
      </c>
      <c r="H78" s="6">
        <v>12.15</v>
      </c>
      <c r="I78" s="6">
        <v>5.42</v>
      </c>
      <c r="J78" s="6">
        <v>0.25</v>
      </c>
      <c r="K78" s="6">
        <v>147</v>
      </c>
      <c r="L78" s="6">
        <v>14.62</v>
      </c>
      <c r="M78" s="6">
        <v>18.73</v>
      </c>
      <c r="N78" s="6">
        <v>5.9</v>
      </c>
      <c r="O78" s="6">
        <v>0</v>
      </c>
      <c r="P78" s="6">
        <v>0.31</v>
      </c>
      <c r="Q78" s="6">
        <v>10</v>
      </c>
      <c r="R78" s="6"/>
      <c r="S78" s="6"/>
      <c r="T78" s="156"/>
      <c r="U78" s="6"/>
    </row>
    <row r="79" spans="1:21" customFormat="1">
      <c r="A79" s="201" t="s">
        <v>1846</v>
      </c>
      <c r="B79" s="6">
        <v>2.3199999999999998</v>
      </c>
      <c r="C79" s="6">
        <v>6.62</v>
      </c>
      <c r="D79" s="6">
        <v>5.32</v>
      </c>
      <c r="E79" s="6">
        <v>6.3</v>
      </c>
      <c r="F79" s="6">
        <v>2</v>
      </c>
      <c r="G79" s="6">
        <v>49.35</v>
      </c>
      <c r="H79" s="6">
        <v>12.14</v>
      </c>
      <c r="I79" s="6">
        <v>5.36</v>
      </c>
      <c r="J79" s="6">
        <v>0.25</v>
      </c>
      <c r="K79" s="6">
        <v>146.5</v>
      </c>
      <c r="L79" s="6">
        <v>14.43</v>
      </c>
      <c r="M79" s="6">
        <v>18.329999999999998</v>
      </c>
      <c r="N79" s="6">
        <v>3.3</v>
      </c>
      <c r="O79" s="6">
        <v>0</v>
      </c>
      <c r="P79" s="6">
        <v>0.3</v>
      </c>
      <c r="Q79" s="6">
        <v>10</v>
      </c>
      <c r="R79" s="6"/>
      <c r="S79" s="6"/>
      <c r="T79" s="156"/>
      <c r="U79" s="6"/>
    </row>
    <row r="80" spans="1:21" customFormat="1">
      <c r="A80" s="201" t="s">
        <v>1847</v>
      </c>
      <c r="B80" s="6">
        <v>2.36</v>
      </c>
      <c r="C80" s="6">
        <v>6.56</v>
      </c>
      <c r="D80" s="6">
        <v>5.32</v>
      </c>
      <c r="E80" s="6">
        <v>6.32</v>
      </c>
      <c r="F80" s="6">
        <v>2</v>
      </c>
      <c r="G80" s="6">
        <v>48.74</v>
      </c>
      <c r="H80" s="6">
        <v>11.76</v>
      </c>
      <c r="I80" s="6">
        <v>5.3</v>
      </c>
      <c r="J80" s="6">
        <v>0.23</v>
      </c>
      <c r="K80" s="6">
        <v>156.41999999999999</v>
      </c>
      <c r="L80" s="6">
        <v>15.41</v>
      </c>
      <c r="M80" s="6">
        <v>20.83</v>
      </c>
      <c r="N80" s="6">
        <v>2.8</v>
      </c>
      <c r="O80" s="6">
        <v>0</v>
      </c>
      <c r="P80" s="6">
        <v>0.31</v>
      </c>
      <c r="Q80" s="6">
        <v>10</v>
      </c>
      <c r="R80" s="6"/>
      <c r="S80" s="6"/>
      <c r="T80" s="156"/>
      <c r="U80" s="6"/>
    </row>
    <row r="81" spans="1:21" customFormat="1">
      <c r="A81" s="201" t="s">
        <v>1848</v>
      </c>
      <c r="B81" s="6">
        <v>2.41</v>
      </c>
      <c r="C81" s="6">
        <v>6.46</v>
      </c>
      <c r="D81" s="6">
        <v>5.31</v>
      </c>
      <c r="E81" s="6">
        <v>5.32</v>
      </c>
      <c r="F81" s="6">
        <v>2</v>
      </c>
      <c r="G81" s="6">
        <v>48.74</v>
      </c>
      <c r="H81" s="6">
        <v>11.76</v>
      </c>
      <c r="I81" s="6">
        <v>5.3</v>
      </c>
      <c r="J81" s="6">
        <v>0.16</v>
      </c>
      <c r="K81" s="6">
        <v>168.59</v>
      </c>
      <c r="L81" s="6">
        <v>16.440000000000001</v>
      </c>
      <c r="M81" s="6">
        <v>23.26</v>
      </c>
      <c r="N81" s="6">
        <v>2.8</v>
      </c>
      <c r="O81" s="6">
        <v>0</v>
      </c>
      <c r="P81" s="6">
        <v>0.31</v>
      </c>
      <c r="Q81" s="6">
        <v>10</v>
      </c>
      <c r="R81" s="6"/>
      <c r="S81" s="6"/>
      <c r="T81" s="156"/>
      <c r="U81" s="6"/>
    </row>
    <row r="82" spans="1:21" customFormat="1">
      <c r="A82" s="201" t="s">
        <v>1849</v>
      </c>
      <c r="B82" s="6">
        <v>2.4300000000000002</v>
      </c>
      <c r="C82" s="6">
        <v>6.45</v>
      </c>
      <c r="D82" s="6">
        <v>5.31</v>
      </c>
      <c r="E82" s="6">
        <v>6.47</v>
      </c>
      <c r="F82" s="6">
        <v>2</v>
      </c>
      <c r="G82" s="6">
        <v>48.74</v>
      </c>
      <c r="H82" s="6">
        <v>11.76</v>
      </c>
      <c r="I82" s="6">
        <v>5.32</v>
      </c>
      <c r="J82" s="6">
        <v>0.19</v>
      </c>
      <c r="K82" s="6">
        <v>160.44</v>
      </c>
      <c r="L82" s="6">
        <v>15.82</v>
      </c>
      <c r="M82" s="6">
        <v>21.89</v>
      </c>
      <c r="N82" s="6">
        <v>2.5</v>
      </c>
      <c r="O82" s="6">
        <v>0</v>
      </c>
      <c r="P82" s="6">
        <v>0.32</v>
      </c>
      <c r="Q82" s="6">
        <v>10</v>
      </c>
      <c r="R82" s="6"/>
      <c r="S82" s="6"/>
      <c r="T82" s="156"/>
      <c r="U82" s="6"/>
    </row>
    <row r="83" spans="1:21" customFormat="1">
      <c r="A83" s="201" t="s">
        <v>1850</v>
      </c>
      <c r="B83" s="6">
        <v>2.44</v>
      </c>
      <c r="C83" s="6">
        <v>6.47</v>
      </c>
      <c r="D83" s="6">
        <v>5.34</v>
      </c>
      <c r="E83" s="6">
        <v>6.31</v>
      </c>
      <c r="F83" s="6">
        <v>2</v>
      </c>
      <c r="G83" s="6">
        <v>48.77</v>
      </c>
      <c r="H83" s="6">
        <v>11.76</v>
      </c>
      <c r="I83" s="6">
        <v>5.32</v>
      </c>
      <c r="J83" s="6">
        <v>0.24</v>
      </c>
      <c r="K83" s="6">
        <v>156.63</v>
      </c>
      <c r="L83" s="6">
        <v>15.4</v>
      </c>
      <c r="M83" s="6">
        <v>20.83</v>
      </c>
      <c r="N83" s="6">
        <v>2.2000000000000002</v>
      </c>
      <c r="O83" s="6">
        <v>0</v>
      </c>
      <c r="P83" s="6">
        <v>0.31</v>
      </c>
      <c r="Q83" s="6">
        <v>10</v>
      </c>
      <c r="R83" s="6"/>
      <c r="S83" s="6"/>
      <c r="T83" s="156"/>
      <c r="U83" s="6"/>
    </row>
    <row r="84" spans="1:21" customFormat="1">
      <c r="A84" s="201" t="s">
        <v>1851</v>
      </c>
      <c r="B84" s="6">
        <v>2.48</v>
      </c>
      <c r="C84" s="6">
        <v>6.6</v>
      </c>
      <c r="D84" s="6">
        <v>5.44</v>
      </c>
      <c r="E84" s="6">
        <v>6.26</v>
      </c>
      <c r="F84" s="6">
        <v>2</v>
      </c>
      <c r="G84" s="6">
        <v>49.71</v>
      </c>
      <c r="H84" s="6">
        <v>11.84</v>
      </c>
      <c r="I84" s="6">
        <v>5.4</v>
      </c>
      <c r="J84" s="6">
        <v>0.22</v>
      </c>
      <c r="K84" s="6">
        <v>155.15</v>
      </c>
      <c r="L84" s="6">
        <v>15.3</v>
      </c>
      <c r="M84" s="6">
        <v>20.55</v>
      </c>
      <c r="N84" s="6">
        <v>2.2000000000000002</v>
      </c>
      <c r="O84" s="6">
        <v>0</v>
      </c>
      <c r="P84" s="6">
        <v>0.32</v>
      </c>
      <c r="Q84" s="6">
        <v>10</v>
      </c>
      <c r="R84" s="6"/>
      <c r="S84" s="6"/>
      <c r="T84" s="156"/>
      <c r="U84" s="6"/>
    </row>
    <row r="85" spans="1:21" customFormat="1">
      <c r="A85" s="201" t="s">
        <v>1852</v>
      </c>
      <c r="B85" s="6">
        <v>2.54</v>
      </c>
      <c r="C85" s="6">
        <v>6.65</v>
      </c>
      <c r="D85" s="6">
        <v>5.51</v>
      </c>
      <c r="E85" s="6">
        <v>6.75</v>
      </c>
      <c r="F85" s="6">
        <v>2</v>
      </c>
      <c r="G85" s="6">
        <v>49.71</v>
      </c>
      <c r="H85" s="6">
        <v>11.84</v>
      </c>
      <c r="I85" s="6">
        <v>5.58</v>
      </c>
      <c r="J85" s="6">
        <v>0.25</v>
      </c>
      <c r="K85" s="6">
        <v>154.38999999999999</v>
      </c>
      <c r="L85" s="6">
        <v>15.12</v>
      </c>
      <c r="M85" s="6">
        <v>20.12</v>
      </c>
      <c r="N85" s="6">
        <v>2.2000000000000002</v>
      </c>
      <c r="O85" s="6">
        <v>0</v>
      </c>
      <c r="P85" s="6">
        <v>0.32</v>
      </c>
      <c r="Q85" s="6">
        <v>10</v>
      </c>
      <c r="R85" s="6"/>
      <c r="S85" s="6"/>
      <c r="T85" s="156"/>
      <c r="U85" s="6"/>
    </row>
    <row r="86" spans="1:21" customFormat="1">
      <c r="A86" s="201" t="s">
        <v>1853</v>
      </c>
      <c r="B86" s="6">
        <v>2.62</v>
      </c>
      <c r="C86" s="6">
        <v>6.85</v>
      </c>
      <c r="D86" s="6">
        <v>5.68</v>
      </c>
      <c r="E86" s="6">
        <v>6.61</v>
      </c>
      <c r="F86" s="6">
        <v>2</v>
      </c>
      <c r="G86" s="6">
        <v>49.71</v>
      </c>
      <c r="H86" s="6">
        <v>11.84</v>
      </c>
      <c r="I86" s="6">
        <v>5.77</v>
      </c>
      <c r="J86" s="6">
        <v>0.22</v>
      </c>
      <c r="K86" s="6">
        <v>159.85</v>
      </c>
      <c r="L86" s="6">
        <v>15.68</v>
      </c>
      <c r="M86" s="6">
        <v>21.54</v>
      </c>
      <c r="N86" s="6">
        <v>2.2000000000000002</v>
      </c>
      <c r="O86" s="6">
        <v>0</v>
      </c>
      <c r="P86" s="6">
        <v>0.33</v>
      </c>
      <c r="Q86" s="6">
        <v>10</v>
      </c>
      <c r="R86" s="6"/>
      <c r="S86" s="6"/>
      <c r="T86" s="156"/>
      <c r="U86" s="6"/>
    </row>
    <row r="87" spans="1:21" customFormat="1">
      <c r="A87" s="201" t="s">
        <v>1854</v>
      </c>
      <c r="B87" s="6">
        <v>2.78</v>
      </c>
      <c r="C87" s="6">
        <v>7</v>
      </c>
      <c r="D87" s="6">
        <v>5.89</v>
      </c>
      <c r="E87" s="6">
        <v>6.73</v>
      </c>
      <c r="F87" s="6">
        <v>2</v>
      </c>
      <c r="G87" s="6">
        <v>49.81</v>
      </c>
      <c r="H87" s="6">
        <v>11.87</v>
      </c>
      <c r="I87" s="6">
        <v>5.92</v>
      </c>
      <c r="J87" s="6">
        <v>0.23</v>
      </c>
      <c r="K87" s="6">
        <v>157.61000000000001</v>
      </c>
      <c r="L87" s="6">
        <v>15.4</v>
      </c>
      <c r="M87" s="6">
        <v>20.82</v>
      </c>
      <c r="N87" s="6">
        <v>2.2000000000000002</v>
      </c>
      <c r="O87" s="6">
        <v>0</v>
      </c>
      <c r="P87" s="6">
        <v>0.34</v>
      </c>
      <c r="Q87" s="6">
        <v>10</v>
      </c>
      <c r="R87" s="6"/>
      <c r="S87" s="6"/>
      <c r="T87" s="156"/>
      <c r="U87" s="6"/>
    </row>
    <row r="88" spans="1:21" customFormat="1">
      <c r="A88" s="201" t="s">
        <v>1855</v>
      </c>
      <c r="B88" s="6">
        <v>2.87</v>
      </c>
      <c r="C88" s="6">
        <v>7</v>
      </c>
      <c r="D88" s="6">
        <v>5.96</v>
      </c>
      <c r="E88" s="6">
        <v>6.25</v>
      </c>
      <c r="F88" s="6">
        <v>2</v>
      </c>
      <c r="G88" s="6">
        <v>52.53</v>
      </c>
      <c r="H88" s="6">
        <v>12.61</v>
      </c>
      <c r="I88" s="6">
        <v>6.13</v>
      </c>
      <c r="J88" s="6">
        <v>0.23</v>
      </c>
      <c r="K88" s="6">
        <v>154.02000000000001</v>
      </c>
      <c r="L88" s="6">
        <v>15.06</v>
      </c>
      <c r="M88" s="6">
        <v>20</v>
      </c>
      <c r="N88" s="6">
        <v>2.2000000000000002</v>
      </c>
      <c r="O88" s="6">
        <v>0</v>
      </c>
      <c r="P88" s="6">
        <v>0.35</v>
      </c>
      <c r="Q88" s="6">
        <v>10</v>
      </c>
      <c r="R88" s="6"/>
      <c r="S88" s="6"/>
      <c r="T88" s="156"/>
      <c r="U88" s="6"/>
    </row>
    <row r="89" spans="1:21" customFormat="1">
      <c r="A89" s="201" t="s">
        <v>1856</v>
      </c>
      <c r="B89" s="6">
        <v>2.87</v>
      </c>
      <c r="C89" s="6">
        <v>6.93</v>
      </c>
      <c r="D89" s="6">
        <v>5.92</v>
      </c>
      <c r="E89" s="6">
        <v>6.67</v>
      </c>
      <c r="F89" s="6">
        <v>2</v>
      </c>
      <c r="G89" s="6">
        <v>52.53</v>
      </c>
      <c r="H89" s="6">
        <v>12.61</v>
      </c>
      <c r="I89" s="6">
        <v>6.3</v>
      </c>
      <c r="J89" s="6">
        <v>0.23</v>
      </c>
      <c r="K89" s="6">
        <v>156.36000000000001</v>
      </c>
      <c r="L89" s="6">
        <v>15.31</v>
      </c>
      <c r="M89" s="6">
        <v>20.62</v>
      </c>
      <c r="N89" s="6">
        <v>2.1</v>
      </c>
      <c r="O89" s="6">
        <v>0</v>
      </c>
      <c r="P89" s="6">
        <v>0.34</v>
      </c>
      <c r="Q89" s="6">
        <v>10</v>
      </c>
      <c r="R89" s="6"/>
      <c r="S89" s="6"/>
      <c r="T89" s="156"/>
      <c r="U89" s="6"/>
    </row>
    <row r="90" spans="1:21" customFormat="1">
      <c r="A90" s="201" t="s">
        <v>1857</v>
      </c>
      <c r="B90" s="6">
        <v>2.82</v>
      </c>
      <c r="C90" s="6">
        <v>6.83</v>
      </c>
      <c r="D90" s="6">
        <v>5.83</v>
      </c>
      <c r="E90" s="6">
        <v>6.62</v>
      </c>
      <c r="F90" s="6">
        <v>2</v>
      </c>
      <c r="G90" s="6">
        <v>52.53</v>
      </c>
      <c r="H90" s="6">
        <v>12.61</v>
      </c>
      <c r="I90" s="6">
        <v>6.34</v>
      </c>
      <c r="J90" s="6">
        <v>0.23</v>
      </c>
      <c r="K90" s="6">
        <v>154.01</v>
      </c>
      <c r="L90" s="6">
        <v>15.13</v>
      </c>
      <c r="M90" s="6">
        <v>20.2</v>
      </c>
      <c r="N90" s="6">
        <v>2.1</v>
      </c>
      <c r="O90" s="6">
        <v>0</v>
      </c>
      <c r="P90" s="6">
        <v>0.36</v>
      </c>
      <c r="Q90" s="6">
        <v>10</v>
      </c>
      <c r="R90" s="6"/>
      <c r="S90" s="6"/>
      <c r="T90" s="156"/>
      <c r="U90" s="6"/>
    </row>
    <row r="91" spans="1:21" customFormat="1">
      <c r="A91" s="201" t="s">
        <v>1858</v>
      </c>
      <c r="B91" s="6">
        <v>2.85</v>
      </c>
      <c r="C91" s="6">
        <v>6.78</v>
      </c>
      <c r="D91" s="6">
        <v>5.83</v>
      </c>
      <c r="E91" s="6">
        <v>6.54</v>
      </c>
      <c r="F91" s="6">
        <v>2</v>
      </c>
      <c r="G91" s="6">
        <v>52.56</v>
      </c>
      <c r="H91" s="6">
        <v>12.6</v>
      </c>
      <c r="I91" s="6">
        <v>6.38</v>
      </c>
      <c r="J91" s="6">
        <v>0.19</v>
      </c>
      <c r="K91" s="6">
        <v>171.07</v>
      </c>
      <c r="L91" s="6">
        <v>16.62</v>
      </c>
      <c r="M91" s="6">
        <v>23.87</v>
      </c>
      <c r="N91" s="6">
        <v>2.1</v>
      </c>
      <c r="O91" s="6">
        <v>0</v>
      </c>
      <c r="P91" s="6">
        <v>0.39</v>
      </c>
      <c r="Q91" s="6">
        <v>10</v>
      </c>
      <c r="R91" s="6"/>
      <c r="S91" s="6"/>
      <c r="T91" s="156"/>
      <c r="U91" s="6"/>
    </row>
    <row r="92" spans="1:21" customFormat="1">
      <c r="A92" s="201" t="s">
        <v>1859</v>
      </c>
      <c r="B92" s="6">
        <v>2.99</v>
      </c>
      <c r="C92" s="6">
        <v>6.9</v>
      </c>
      <c r="D92" s="6">
        <v>6</v>
      </c>
      <c r="E92" s="6">
        <v>6.18</v>
      </c>
      <c r="F92" s="6">
        <v>2</v>
      </c>
      <c r="G92" s="6">
        <v>53.2</v>
      </c>
      <c r="H92" s="6">
        <v>12.34</v>
      </c>
      <c r="I92" s="6">
        <v>6.53</v>
      </c>
      <c r="J92" s="6">
        <v>0.14000000000000001</v>
      </c>
      <c r="K92" s="6">
        <v>163.13999999999999</v>
      </c>
      <c r="L92" s="6">
        <v>16.34</v>
      </c>
      <c r="M92" s="6">
        <v>23.02</v>
      </c>
      <c r="N92" s="6">
        <v>2.1</v>
      </c>
      <c r="O92" s="6">
        <v>0</v>
      </c>
      <c r="P92" s="6">
        <v>0.39</v>
      </c>
      <c r="Q92" s="6">
        <v>10</v>
      </c>
      <c r="R92" s="6"/>
      <c r="S92" s="6"/>
      <c r="T92" s="156"/>
      <c r="U92" s="6"/>
    </row>
    <row r="93" spans="1:21" customFormat="1">
      <c r="A93" s="201" t="s">
        <v>1860</v>
      </c>
      <c r="B93" s="6">
        <v>3.2</v>
      </c>
      <c r="C93" s="6">
        <v>6.49</v>
      </c>
      <c r="D93" s="6">
        <v>5.96</v>
      </c>
      <c r="E93" s="6">
        <v>6.29</v>
      </c>
      <c r="F93" s="6">
        <v>2</v>
      </c>
      <c r="G93" s="6">
        <v>53.2</v>
      </c>
      <c r="H93" s="6">
        <v>12.34</v>
      </c>
      <c r="I93" s="6">
        <v>6.7</v>
      </c>
      <c r="J93" s="6">
        <v>0.16</v>
      </c>
      <c r="K93" s="6">
        <v>183.94</v>
      </c>
      <c r="L93" s="6">
        <v>16.940000000000001</v>
      </c>
      <c r="M93" s="6">
        <v>24.6</v>
      </c>
      <c r="N93" s="6">
        <v>2.1</v>
      </c>
      <c r="O93" s="6">
        <v>0</v>
      </c>
      <c r="P93" s="6">
        <v>0.4</v>
      </c>
      <c r="Q93" s="6">
        <v>10</v>
      </c>
      <c r="R93" s="6"/>
      <c r="S93" s="6"/>
      <c r="T93" s="156"/>
      <c r="U93" s="6"/>
    </row>
    <row r="94" spans="1:21" customFormat="1">
      <c r="A94" s="201" t="s">
        <v>1861</v>
      </c>
      <c r="B94" s="6">
        <v>3.32</v>
      </c>
      <c r="C94" s="6">
        <v>6.28</v>
      </c>
      <c r="D94" s="6">
        <v>5.95</v>
      </c>
      <c r="E94" s="6">
        <v>6.36</v>
      </c>
      <c r="F94" s="6">
        <v>2</v>
      </c>
      <c r="G94" s="6">
        <v>53.2</v>
      </c>
      <c r="H94" s="6">
        <v>12.34</v>
      </c>
      <c r="I94" s="6">
        <v>6.8</v>
      </c>
      <c r="J94" s="6">
        <v>0.1</v>
      </c>
      <c r="K94" s="6">
        <v>199.11</v>
      </c>
      <c r="L94" s="6">
        <v>18.399999999999999</v>
      </c>
      <c r="M94" s="6">
        <v>28.23</v>
      </c>
      <c r="N94" s="6">
        <v>2.1</v>
      </c>
      <c r="O94" s="6">
        <v>0</v>
      </c>
      <c r="P94" s="6">
        <v>0.4</v>
      </c>
      <c r="Q94" s="6">
        <v>10</v>
      </c>
      <c r="R94" s="6"/>
      <c r="S94" s="6"/>
      <c r="T94" s="156"/>
      <c r="U94" s="6"/>
    </row>
    <row r="95" spans="1:21" customFormat="1">
      <c r="A95" s="201" t="s">
        <v>1862</v>
      </c>
      <c r="B95" s="6">
        <v>3.51</v>
      </c>
      <c r="C95" s="6">
        <v>6.3</v>
      </c>
      <c r="D95" s="6">
        <v>6.11</v>
      </c>
      <c r="E95" s="6">
        <v>6.21</v>
      </c>
      <c r="F95" s="6">
        <v>2</v>
      </c>
      <c r="G95" s="6">
        <v>53.22</v>
      </c>
      <c r="H95" s="6">
        <v>12.34</v>
      </c>
      <c r="I95" s="6">
        <v>6.83</v>
      </c>
      <c r="J95" s="6">
        <v>0.08</v>
      </c>
      <c r="K95" s="6">
        <v>199.83</v>
      </c>
      <c r="L95" s="6">
        <v>19.079999999999998</v>
      </c>
      <c r="M95" s="6">
        <v>30.01</v>
      </c>
      <c r="N95" s="6">
        <v>2.1</v>
      </c>
      <c r="O95" s="6">
        <v>0</v>
      </c>
      <c r="P95" s="6">
        <v>0.4</v>
      </c>
      <c r="Q95" s="6">
        <v>10</v>
      </c>
      <c r="R95" s="6"/>
      <c r="S95" s="6"/>
      <c r="T95" s="156"/>
      <c r="U95" s="6"/>
    </row>
    <row r="96" spans="1:21" customFormat="1">
      <c r="A96" s="201" t="s">
        <v>1863</v>
      </c>
      <c r="B96" s="6">
        <v>3.64</v>
      </c>
      <c r="C96" s="6">
        <v>6.24</v>
      </c>
      <c r="D96" s="6">
        <v>6.18</v>
      </c>
      <c r="E96" s="6">
        <v>5.89</v>
      </c>
      <c r="F96" s="6">
        <v>2</v>
      </c>
      <c r="G96" s="6">
        <v>53.88</v>
      </c>
      <c r="H96" s="6">
        <v>12.14</v>
      </c>
      <c r="I96" s="6">
        <v>6.84</v>
      </c>
      <c r="J96" s="6">
        <v>0.13</v>
      </c>
      <c r="K96" s="6">
        <v>164.91</v>
      </c>
      <c r="L96" s="6">
        <v>16.23</v>
      </c>
      <c r="M96" s="6">
        <v>22.8</v>
      </c>
      <c r="N96" s="6">
        <v>2.1</v>
      </c>
      <c r="O96" s="6">
        <v>0</v>
      </c>
      <c r="P96" s="6">
        <v>0.41</v>
      </c>
      <c r="Q96" s="6">
        <v>10</v>
      </c>
      <c r="R96" s="6"/>
      <c r="S96" s="6"/>
      <c r="T96" s="156"/>
      <c r="U96" s="6"/>
    </row>
    <row r="97" spans="1:28" customFormat="1">
      <c r="A97" s="201" t="s">
        <v>1864</v>
      </c>
      <c r="B97" s="6">
        <v>3.82</v>
      </c>
      <c r="C97" s="6">
        <v>6.04</v>
      </c>
      <c r="D97" s="6">
        <v>6.22</v>
      </c>
      <c r="E97" s="6">
        <v>6.13</v>
      </c>
      <c r="F97" s="6">
        <v>2</v>
      </c>
      <c r="G97" s="6">
        <v>53.88</v>
      </c>
      <c r="H97" s="6">
        <v>12.14</v>
      </c>
      <c r="I97" s="6">
        <v>6.95</v>
      </c>
      <c r="J97" s="6">
        <v>0.16</v>
      </c>
      <c r="K97" s="6">
        <v>159.43</v>
      </c>
      <c r="L97" s="6">
        <v>15.51</v>
      </c>
      <c r="M97" s="6">
        <v>21.03</v>
      </c>
      <c r="N97" s="6">
        <v>2.1</v>
      </c>
      <c r="O97" s="6">
        <v>0</v>
      </c>
      <c r="P97" s="6">
        <v>0.39</v>
      </c>
      <c r="Q97" s="6">
        <v>10</v>
      </c>
      <c r="R97" s="6"/>
      <c r="S97" s="6"/>
      <c r="T97" s="156"/>
      <c r="U97" s="6"/>
    </row>
    <row r="98" spans="1:28" customFormat="1">
      <c r="A98" s="201" t="s">
        <v>1865</v>
      </c>
      <c r="B98" s="6">
        <v>3.88</v>
      </c>
      <c r="C98" s="6">
        <v>6</v>
      </c>
      <c r="D98" s="6">
        <v>6.25</v>
      </c>
      <c r="E98" s="6">
        <v>5.88</v>
      </c>
      <c r="F98" s="6">
        <v>2</v>
      </c>
      <c r="G98" s="6">
        <v>53.88</v>
      </c>
      <c r="H98" s="6">
        <v>12.14</v>
      </c>
      <c r="I98" s="6">
        <v>7.06</v>
      </c>
      <c r="J98" s="6">
        <v>0.12</v>
      </c>
      <c r="K98" s="6">
        <v>175.21</v>
      </c>
      <c r="L98" s="6">
        <v>17.489999999999998</v>
      </c>
      <c r="M98" s="6">
        <v>26.01</v>
      </c>
      <c r="N98" s="6">
        <v>2</v>
      </c>
      <c r="O98" s="6">
        <v>0</v>
      </c>
      <c r="P98" s="6">
        <v>0.41</v>
      </c>
      <c r="Q98" s="6">
        <v>10</v>
      </c>
      <c r="R98" s="6"/>
      <c r="S98" s="6"/>
      <c r="T98" s="156"/>
      <c r="U98" s="6"/>
    </row>
    <row r="99" spans="1:28" customFormat="1">
      <c r="A99" s="201" t="s">
        <v>1866</v>
      </c>
      <c r="B99" s="6">
        <v>3.95</v>
      </c>
      <c r="C99" s="6">
        <v>6</v>
      </c>
      <c r="D99" s="6">
        <v>6.3</v>
      </c>
      <c r="E99" s="6">
        <v>6.05</v>
      </c>
      <c r="F99" s="6">
        <v>2</v>
      </c>
      <c r="G99" s="6">
        <v>53.88</v>
      </c>
      <c r="H99" s="6">
        <v>12.14</v>
      </c>
      <c r="I99" s="6">
        <v>7.04</v>
      </c>
      <c r="J99" s="6">
        <v>0.1</v>
      </c>
      <c r="K99" s="6">
        <v>196.34</v>
      </c>
      <c r="L99" s="6">
        <v>18.46</v>
      </c>
      <c r="M99" s="6">
        <v>28.45</v>
      </c>
      <c r="N99" s="6">
        <v>2.1</v>
      </c>
      <c r="O99" s="6">
        <v>0</v>
      </c>
      <c r="P99" s="6">
        <v>0.4</v>
      </c>
      <c r="Q99" s="6">
        <v>10</v>
      </c>
      <c r="R99" s="6"/>
      <c r="S99" s="6"/>
      <c r="T99" s="156"/>
      <c r="U99" s="6"/>
    </row>
    <row r="100" spans="1:28" customFormat="1">
      <c r="A100" s="201" t="s">
        <v>1867</v>
      </c>
      <c r="B100" s="6">
        <v>3.98</v>
      </c>
      <c r="C100" s="6">
        <v>6.02</v>
      </c>
      <c r="D100" s="6">
        <v>6.34</v>
      </c>
      <c r="E100" s="6">
        <v>6.04</v>
      </c>
      <c r="F100" s="6">
        <v>2</v>
      </c>
      <c r="G100" s="6">
        <v>53.74</v>
      </c>
      <c r="H100" s="6">
        <v>12.06</v>
      </c>
      <c r="I100" s="6">
        <v>6.98</v>
      </c>
      <c r="J100" s="6">
        <v>0.17</v>
      </c>
      <c r="K100" s="6">
        <v>153.59</v>
      </c>
      <c r="L100" s="6">
        <v>15.46</v>
      </c>
      <c r="M100" s="6">
        <v>20.87</v>
      </c>
      <c r="N100" s="6">
        <v>2.1</v>
      </c>
      <c r="O100" s="6">
        <v>0</v>
      </c>
      <c r="P100" s="6">
        <v>0.4</v>
      </c>
      <c r="Q100" s="6">
        <v>10</v>
      </c>
      <c r="R100" s="6"/>
      <c r="S100" s="6"/>
      <c r="T100" s="156"/>
      <c r="U100" s="6"/>
      <c r="AB100" s="161"/>
    </row>
    <row r="101" spans="1:28" customFormat="1">
      <c r="A101" s="201" t="s">
        <v>1868</v>
      </c>
      <c r="B101" s="6">
        <v>4.09</v>
      </c>
      <c r="C101" s="6">
        <v>6.04</v>
      </c>
      <c r="D101" s="6">
        <v>6.43</v>
      </c>
      <c r="E101" s="6">
        <v>6.29</v>
      </c>
      <c r="F101" s="6">
        <v>2</v>
      </c>
      <c r="G101" s="6">
        <v>53.74</v>
      </c>
      <c r="H101" s="6">
        <v>12.06</v>
      </c>
      <c r="I101" s="6">
        <v>6.98</v>
      </c>
      <c r="J101" s="6">
        <v>0.13</v>
      </c>
      <c r="K101" s="6">
        <v>161.88</v>
      </c>
      <c r="L101" s="6">
        <v>15.78</v>
      </c>
      <c r="M101" s="6">
        <v>21.72</v>
      </c>
      <c r="N101" s="6">
        <v>2.1</v>
      </c>
      <c r="O101" s="6">
        <v>0</v>
      </c>
      <c r="P101" s="6">
        <v>0.4</v>
      </c>
      <c r="Q101" s="6">
        <v>10</v>
      </c>
      <c r="R101" s="6"/>
      <c r="S101" s="6"/>
      <c r="T101" s="156"/>
      <c r="U101" s="6"/>
    </row>
    <row r="102" spans="1:28" customFormat="1">
      <c r="A102" s="201" t="s">
        <v>1869</v>
      </c>
      <c r="B102" s="6">
        <v>4.25</v>
      </c>
      <c r="C102" s="6">
        <v>6.13</v>
      </c>
      <c r="D102" s="6">
        <v>6.61</v>
      </c>
      <c r="E102" s="6">
        <v>6.25</v>
      </c>
      <c r="F102" s="6">
        <v>2</v>
      </c>
      <c r="G102" s="6">
        <v>53.74</v>
      </c>
      <c r="H102" s="6">
        <v>12.06</v>
      </c>
      <c r="I102" s="6">
        <v>7.02</v>
      </c>
      <c r="J102" s="6">
        <v>0.12</v>
      </c>
      <c r="K102" s="6">
        <v>176.07</v>
      </c>
      <c r="L102" s="6">
        <v>16.96</v>
      </c>
      <c r="M102" s="6">
        <v>24.68</v>
      </c>
      <c r="N102" s="6">
        <v>2.1</v>
      </c>
      <c r="O102" s="6">
        <v>0</v>
      </c>
      <c r="P102" s="6">
        <v>0.42</v>
      </c>
      <c r="Q102" s="6">
        <v>10</v>
      </c>
      <c r="R102" s="6"/>
      <c r="S102" s="6"/>
      <c r="T102" s="156"/>
      <c r="U102" s="6"/>
    </row>
    <row r="103" spans="1:28" customFormat="1">
      <c r="A103" s="201" t="s">
        <v>1870</v>
      </c>
      <c r="B103" s="6">
        <v>4.66</v>
      </c>
      <c r="C103" s="6">
        <v>6.41</v>
      </c>
      <c r="D103" s="6">
        <v>7.08</v>
      </c>
      <c r="E103" s="6">
        <v>6.3</v>
      </c>
      <c r="F103" s="6">
        <v>2</v>
      </c>
      <c r="G103" s="6">
        <v>53.55</v>
      </c>
      <c r="H103" s="6">
        <v>12.05</v>
      </c>
      <c r="I103" s="6">
        <v>7.07</v>
      </c>
      <c r="J103" s="6">
        <v>0.15</v>
      </c>
      <c r="K103" s="6">
        <v>158.06</v>
      </c>
      <c r="L103" s="6">
        <v>15.51</v>
      </c>
      <c r="M103" s="6">
        <v>21.04</v>
      </c>
      <c r="N103" s="6">
        <v>2.1</v>
      </c>
      <c r="O103" s="6">
        <v>0</v>
      </c>
      <c r="P103" s="6">
        <v>0.4</v>
      </c>
      <c r="Q103" s="6">
        <v>10</v>
      </c>
      <c r="R103" s="6"/>
      <c r="S103" s="6"/>
      <c r="T103" s="156"/>
      <c r="U103" s="6"/>
    </row>
    <row r="104" spans="1:28" customFormat="1">
      <c r="A104" s="201" t="s">
        <v>1871</v>
      </c>
      <c r="B104" s="6">
        <v>4.95</v>
      </c>
      <c r="C104" s="6">
        <v>6.59</v>
      </c>
      <c r="D104" s="6">
        <v>7.41</v>
      </c>
      <c r="E104" s="6">
        <v>6.17</v>
      </c>
      <c r="F104" s="6">
        <v>2</v>
      </c>
      <c r="G104" s="6">
        <v>48.01</v>
      </c>
      <c r="H104" s="6">
        <v>11.83</v>
      </c>
      <c r="I104" s="6">
        <v>7.04</v>
      </c>
      <c r="J104" s="6">
        <v>0.12</v>
      </c>
      <c r="K104" s="6">
        <v>165.01</v>
      </c>
      <c r="L104" s="6">
        <v>15.69</v>
      </c>
      <c r="M104" s="6">
        <v>21.49</v>
      </c>
      <c r="N104" s="6">
        <v>2</v>
      </c>
      <c r="O104" s="6">
        <v>0</v>
      </c>
      <c r="P104" s="6">
        <v>0.42</v>
      </c>
      <c r="Q104" s="6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2.2999999999999998</v>
      </c>
      <c r="C106" s="158">
        <f>MIN(C9:C104)</f>
        <v>6</v>
      </c>
      <c r="D106" s="158">
        <f t="shared" ref="D106:Q106" si="0">MIN(D9:D104)</f>
        <v>5.31</v>
      </c>
      <c r="E106" s="158">
        <f t="shared" si="0"/>
        <v>4.5999999999999996</v>
      </c>
      <c r="F106" s="158">
        <f t="shared" si="0"/>
        <v>2</v>
      </c>
      <c r="G106" s="158">
        <f t="shared" si="0"/>
        <v>42.32</v>
      </c>
      <c r="H106" s="158">
        <f t="shared" si="0"/>
        <v>10.64</v>
      </c>
      <c r="I106" s="158">
        <f t="shared" si="0"/>
        <v>5.3</v>
      </c>
      <c r="J106" s="158">
        <f t="shared" si="0"/>
        <v>0.05</v>
      </c>
      <c r="K106" s="158">
        <f t="shared" si="0"/>
        <v>17.88</v>
      </c>
      <c r="L106" s="158">
        <f t="shared" si="0"/>
        <v>6.77</v>
      </c>
      <c r="M106" s="158">
        <f t="shared" si="0"/>
        <v>-1.19</v>
      </c>
      <c r="N106" s="158">
        <f t="shared" si="0"/>
        <v>2</v>
      </c>
      <c r="O106" s="158">
        <f t="shared" si="0"/>
        <v>0</v>
      </c>
      <c r="P106" s="158">
        <f t="shared" si="0"/>
        <v>0.3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10.75</v>
      </c>
      <c r="C107" s="157">
        <f t="shared" ref="C107:Q107" si="1">MAX(C9:C104)</f>
        <v>9.66</v>
      </c>
      <c r="D107" s="157">
        <f t="shared" si="1"/>
        <v>12.66</v>
      </c>
      <c r="E107" s="157">
        <f t="shared" si="1"/>
        <v>11.34</v>
      </c>
      <c r="F107" s="157">
        <f t="shared" si="1"/>
        <v>11</v>
      </c>
      <c r="G107" s="157">
        <f t="shared" si="1"/>
        <v>53.88</v>
      </c>
      <c r="H107" s="157">
        <f t="shared" si="1"/>
        <v>13.44</v>
      </c>
      <c r="I107" s="157">
        <f t="shared" si="1"/>
        <v>7.75</v>
      </c>
      <c r="J107" s="157">
        <f t="shared" si="1"/>
        <v>0.6</v>
      </c>
      <c r="K107" s="157">
        <f t="shared" si="1"/>
        <v>353.23</v>
      </c>
      <c r="L107" s="157">
        <f t="shared" si="1"/>
        <v>20.79</v>
      </c>
      <c r="M107" s="157">
        <f t="shared" si="1"/>
        <v>33.950000000000003</v>
      </c>
      <c r="N107" s="157">
        <f t="shared" si="1"/>
        <v>514.1</v>
      </c>
      <c r="O107" s="157">
        <f t="shared" si="1"/>
        <v>0</v>
      </c>
      <c r="P107" s="157">
        <f t="shared" si="1"/>
        <v>0.48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5.1690624999999981</v>
      </c>
      <c r="C108" s="158">
        <f t="shared" ref="C108:Q108" si="2">AVERAGE(C9:C104)</f>
        <v>7.205000000000001</v>
      </c>
      <c r="D108" s="158">
        <f t="shared" si="2"/>
        <v>7.91</v>
      </c>
      <c r="E108" s="158">
        <f t="shared" si="2"/>
        <v>6.6523958333333297</v>
      </c>
      <c r="F108" s="158">
        <f t="shared" si="2"/>
        <v>2.524270833333333</v>
      </c>
      <c r="G108" s="158">
        <f t="shared" si="2"/>
        <v>50.147708333333327</v>
      </c>
      <c r="H108" s="158">
        <f t="shared" si="2"/>
        <v>11.91645833333334</v>
      </c>
      <c r="I108" s="158">
        <f t="shared" si="2"/>
        <v>6.7111458333333323</v>
      </c>
      <c r="J108" s="158">
        <f t="shared" si="2"/>
        <v>0.2161458333333334</v>
      </c>
      <c r="K108" s="158">
        <f t="shared" si="2"/>
        <v>119.56677083333335</v>
      </c>
      <c r="L108" s="158">
        <f t="shared" si="2"/>
        <v>14.57583333333333</v>
      </c>
      <c r="M108" s="158">
        <f t="shared" si="2"/>
        <v>16.080833333333327</v>
      </c>
      <c r="N108" s="158">
        <f t="shared" si="2"/>
        <v>107.94687500000008</v>
      </c>
      <c r="O108" s="158">
        <f t="shared" si="2"/>
        <v>0</v>
      </c>
      <c r="P108" s="158">
        <f t="shared" si="2"/>
        <v>0.41229166666666656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2.7133797445543628</v>
      </c>
      <c r="C109" s="158">
        <f t="shared" ref="C109:Q109" si="3">STDEV(C9:C104)</f>
        <v>0.78412405033628818</v>
      </c>
      <c r="D109" s="158">
        <f t="shared" si="3"/>
        <v>2.2221255826940025</v>
      </c>
      <c r="E109" s="158">
        <f t="shared" si="3"/>
        <v>1.4283002373389515</v>
      </c>
      <c r="F109" s="158">
        <f t="shared" si="3"/>
        <v>1.5216741090976895</v>
      </c>
      <c r="G109" s="158">
        <f t="shared" si="3"/>
        <v>2.7691338106714012</v>
      </c>
      <c r="H109" s="158">
        <f t="shared" si="3"/>
        <v>0.6144093940596711</v>
      </c>
      <c r="I109" s="158">
        <f t="shared" si="3"/>
        <v>0.65967435314174716</v>
      </c>
      <c r="J109" s="158">
        <f t="shared" si="3"/>
        <v>0.10510515828562172</v>
      </c>
      <c r="K109" s="158">
        <f t="shared" si="3"/>
        <v>65.114419657687634</v>
      </c>
      <c r="L109" s="158">
        <f t="shared" si="3"/>
        <v>2.936032291040938</v>
      </c>
      <c r="M109" s="158">
        <f t="shared" si="3"/>
        <v>8.3760876015459704</v>
      </c>
      <c r="N109" s="158">
        <f t="shared" si="3"/>
        <v>163.19378081101846</v>
      </c>
      <c r="O109" s="158">
        <f t="shared" si="3"/>
        <v>0</v>
      </c>
      <c r="P109" s="158">
        <f t="shared" si="3"/>
        <v>5.5620502972171255E-2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D14" sqref="D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1872</v>
      </c>
      <c r="B9" s="6">
        <v>4.91</v>
      </c>
      <c r="C9" s="6">
        <v>6.21</v>
      </c>
      <c r="D9" s="6">
        <v>7.18</v>
      </c>
      <c r="E9" s="6">
        <v>6.39</v>
      </c>
      <c r="F9" s="6">
        <v>2</v>
      </c>
      <c r="G9" s="6">
        <v>48.01</v>
      </c>
      <c r="H9" s="6">
        <v>11.83</v>
      </c>
      <c r="I9" s="6">
        <v>7.12</v>
      </c>
      <c r="J9" s="6">
        <v>0.17</v>
      </c>
      <c r="K9" s="6">
        <v>150.63</v>
      </c>
      <c r="L9" s="6">
        <v>14.74</v>
      </c>
      <c r="M9" s="6">
        <v>19.11</v>
      </c>
      <c r="N9" s="6">
        <v>2.1</v>
      </c>
      <c r="O9" s="6">
        <v>0</v>
      </c>
      <c r="P9" s="6">
        <v>0.42</v>
      </c>
      <c r="Q9" s="6">
        <v>10</v>
      </c>
      <c r="R9" s="6"/>
      <c r="S9" s="6"/>
      <c r="T9" s="156"/>
      <c r="U9" s="6"/>
    </row>
    <row r="10" spans="1:21" customFormat="1">
      <c r="A10" s="201" t="s">
        <v>1873</v>
      </c>
      <c r="B10" s="6">
        <v>5.0599999999999996</v>
      </c>
      <c r="C10" s="6">
        <v>6.38</v>
      </c>
      <c r="D10" s="6">
        <v>7.39</v>
      </c>
      <c r="E10" s="6">
        <v>6.21</v>
      </c>
      <c r="F10" s="6">
        <v>2</v>
      </c>
      <c r="G10" s="6">
        <v>48.01</v>
      </c>
      <c r="H10" s="6">
        <v>11.83</v>
      </c>
      <c r="I10" s="6">
        <v>7.13</v>
      </c>
      <c r="J10" s="6">
        <v>0.12</v>
      </c>
      <c r="K10" s="6">
        <v>156.36000000000001</v>
      </c>
      <c r="L10" s="6">
        <v>15.34</v>
      </c>
      <c r="M10" s="6">
        <v>20.75</v>
      </c>
      <c r="N10" s="6">
        <v>2.1</v>
      </c>
      <c r="O10" s="6">
        <v>0</v>
      </c>
      <c r="P10" s="6">
        <v>0.42</v>
      </c>
      <c r="Q10" s="6">
        <v>10</v>
      </c>
      <c r="R10" s="6"/>
      <c r="S10" s="6"/>
      <c r="T10" s="156"/>
      <c r="U10" s="6"/>
    </row>
    <row r="11" spans="1:21" customFormat="1">
      <c r="A11" s="201" t="s">
        <v>1874</v>
      </c>
      <c r="B11" s="6">
        <v>5.2</v>
      </c>
      <c r="C11" s="6">
        <v>6.4</v>
      </c>
      <c r="D11" s="6">
        <v>7.51</v>
      </c>
      <c r="E11" s="6">
        <v>6.2</v>
      </c>
      <c r="F11" s="6">
        <v>2</v>
      </c>
      <c r="G11" s="6">
        <v>48.03</v>
      </c>
      <c r="H11" s="6">
        <v>11.82</v>
      </c>
      <c r="I11" s="6">
        <v>7.21</v>
      </c>
      <c r="J11" s="6">
        <v>0.11</v>
      </c>
      <c r="K11" s="6">
        <v>151.31</v>
      </c>
      <c r="L11" s="6">
        <v>15.18</v>
      </c>
      <c r="M11" s="6">
        <v>20.21</v>
      </c>
      <c r="N11" s="6">
        <v>2.1</v>
      </c>
      <c r="O11" s="6">
        <v>0</v>
      </c>
      <c r="P11" s="6">
        <v>0.41</v>
      </c>
      <c r="Q11" s="6">
        <v>10</v>
      </c>
      <c r="R11" s="6"/>
      <c r="S11" s="6"/>
      <c r="T11" s="156"/>
      <c r="U11" s="6"/>
    </row>
    <row r="12" spans="1:21" customFormat="1">
      <c r="A12" s="201" t="s">
        <v>1875</v>
      </c>
      <c r="B12" s="6">
        <v>5.39</v>
      </c>
      <c r="C12" s="6">
        <v>6.58</v>
      </c>
      <c r="D12" s="6">
        <v>7.76</v>
      </c>
      <c r="E12" s="6">
        <v>6.42</v>
      </c>
      <c r="F12" s="6">
        <v>2</v>
      </c>
      <c r="G12" s="6">
        <v>48.59</v>
      </c>
      <c r="H12" s="6">
        <v>11.44</v>
      </c>
      <c r="I12" s="6">
        <v>7.28</v>
      </c>
      <c r="J12" s="6">
        <v>7.0000000000000007E-2</v>
      </c>
      <c r="K12" s="6">
        <v>143.22999999999999</v>
      </c>
      <c r="L12" s="6">
        <v>14.2</v>
      </c>
      <c r="M12" s="6">
        <v>17.75</v>
      </c>
      <c r="N12" s="6">
        <v>2.1</v>
      </c>
      <c r="O12" s="6">
        <v>0</v>
      </c>
      <c r="P12" s="6">
        <v>0.43</v>
      </c>
      <c r="Q12" s="6">
        <v>10</v>
      </c>
      <c r="R12" s="6"/>
      <c r="S12" s="6"/>
      <c r="T12" s="156"/>
      <c r="U12" s="6"/>
    </row>
    <row r="13" spans="1:21" customFormat="1">
      <c r="A13" s="201" t="s">
        <v>1876</v>
      </c>
      <c r="B13" s="6">
        <v>5.48</v>
      </c>
      <c r="C13" s="6">
        <v>6.45</v>
      </c>
      <c r="D13" s="6">
        <v>7.77</v>
      </c>
      <c r="E13" s="6">
        <v>6.28</v>
      </c>
      <c r="F13" s="6">
        <v>2</v>
      </c>
      <c r="G13" s="6">
        <v>48.59</v>
      </c>
      <c r="H13" s="6">
        <v>11.44</v>
      </c>
      <c r="I13" s="6">
        <v>7.27</v>
      </c>
      <c r="J13" s="6">
        <v>0.1</v>
      </c>
      <c r="K13" s="6">
        <v>145.72999999999999</v>
      </c>
      <c r="L13" s="6">
        <v>14.97</v>
      </c>
      <c r="M13" s="6">
        <v>19.649999999999999</v>
      </c>
      <c r="N13" s="6">
        <v>2.1</v>
      </c>
      <c r="O13" s="6">
        <v>0</v>
      </c>
      <c r="P13" s="6">
        <v>0.41</v>
      </c>
      <c r="Q13" s="6">
        <v>10</v>
      </c>
      <c r="R13" s="6"/>
      <c r="S13" s="6"/>
      <c r="T13" s="156"/>
      <c r="U13" s="6"/>
    </row>
    <row r="14" spans="1:21" customFormat="1">
      <c r="A14" s="201" t="s">
        <v>1877</v>
      </c>
      <c r="B14" s="6">
        <v>5.38</v>
      </c>
      <c r="C14" s="6">
        <v>6.78</v>
      </c>
      <c r="D14" s="6">
        <v>7.86</v>
      </c>
      <c r="E14" s="6">
        <v>6.48</v>
      </c>
      <c r="F14" s="6">
        <v>2</v>
      </c>
      <c r="G14" s="6">
        <v>48.59</v>
      </c>
      <c r="H14" s="6">
        <v>11.44</v>
      </c>
      <c r="I14" s="6">
        <v>7.35</v>
      </c>
      <c r="J14" s="6">
        <v>0.13</v>
      </c>
      <c r="K14" s="6">
        <v>186.33</v>
      </c>
      <c r="L14" s="6">
        <v>17.13</v>
      </c>
      <c r="M14" s="6">
        <v>25.18</v>
      </c>
      <c r="N14" s="6">
        <v>2.1</v>
      </c>
      <c r="O14" s="6">
        <v>0</v>
      </c>
      <c r="P14" s="6">
        <v>0.39</v>
      </c>
      <c r="Q14" s="6">
        <v>10</v>
      </c>
      <c r="R14" s="6"/>
      <c r="S14" s="6"/>
      <c r="T14" s="156"/>
      <c r="U14" s="6"/>
    </row>
    <row r="15" spans="1:21" customFormat="1">
      <c r="A15" s="201" t="s">
        <v>1878</v>
      </c>
      <c r="B15" s="6">
        <v>5.48</v>
      </c>
      <c r="C15" s="6">
        <v>7.3</v>
      </c>
      <c r="D15" s="6">
        <v>8.2100000000000009</v>
      </c>
      <c r="E15" s="6">
        <v>5.24</v>
      </c>
      <c r="F15" s="6">
        <v>2</v>
      </c>
      <c r="G15" s="6">
        <v>48.46</v>
      </c>
      <c r="H15" s="6">
        <v>11.42</v>
      </c>
      <c r="I15" s="6">
        <v>7.24</v>
      </c>
      <c r="J15" s="6">
        <v>0.09</v>
      </c>
      <c r="K15" s="6">
        <v>169.93</v>
      </c>
      <c r="L15" s="6">
        <v>15.91</v>
      </c>
      <c r="M15" s="6">
        <v>22.12</v>
      </c>
      <c r="N15" s="6">
        <v>2.1</v>
      </c>
      <c r="O15" s="6">
        <v>0</v>
      </c>
      <c r="P15" s="6">
        <v>0.39</v>
      </c>
      <c r="Q15" s="6">
        <v>10</v>
      </c>
      <c r="R15" s="6"/>
      <c r="S15" s="6"/>
      <c r="T15" s="156"/>
      <c r="U15" s="6"/>
    </row>
    <row r="16" spans="1:21" customFormat="1">
      <c r="A16" s="201" t="s">
        <v>1879</v>
      </c>
      <c r="B16" s="6">
        <v>5.5</v>
      </c>
      <c r="C16" s="6">
        <v>7.55</v>
      </c>
      <c r="D16" s="6">
        <v>8.36</v>
      </c>
      <c r="E16" s="6">
        <v>6.23</v>
      </c>
      <c r="F16" s="6">
        <v>2</v>
      </c>
      <c r="G16" s="6">
        <v>44.65</v>
      </c>
      <c r="H16" s="6">
        <v>10.8</v>
      </c>
      <c r="I16" s="6">
        <v>7.19</v>
      </c>
      <c r="J16" s="6">
        <v>0.14000000000000001</v>
      </c>
      <c r="K16" s="6">
        <v>141.93</v>
      </c>
      <c r="L16" s="6">
        <v>14.02</v>
      </c>
      <c r="M16" s="6">
        <v>17.36</v>
      </c>
      <c r="N16" s="6">
        <v>2.1</v>
      </c>
      <c r="O16" s="6">
        <v>0</v>
      </c>
      <c r="P16" s="6">
        <v>0.39</v>
      </c>
      <c r="Q16" s="6">
        <v>10</v>
      </c>
      <c r="R16" s="6"/>
      <c r="S16" s="6"/>
      <c r="T16" s="156"/>
      <c r="U16" s="6"/>
    </row>
    <row r="17" spans="1:21" customFormat="1">
      <c r="A17" s="201" t="s">
        <v>1880</v>
      </c>
      <c r="B17" s="6">
        <v>5.5</v>
      </c>
      <c r="C17" s="6">
        <v>7.82</v>
      </c>
      <c r="D17" s="6">
        <v>8.5</v>
      </c>
      <c r="E17" s="6">
        <v>5.0199999999999996</v>
      </c>
      <c r="F17" s="6">
        <v>2</v>
      </c>
      <c r="G17" s="6">
        <v>44.65</v>
      </c>
      <c r="H17" s="6">
        <v>10.8</v>
      </c>
      <c r="I17" s="6">
        <v>7.13</v>
      </c>
      <c r="J17" s="6">
        <v>0.08</v>
      </c>
      <c r="K17" s="6">
        <v>189.42</v>
      </c>
      <c r="L17" s="6">
        <v>18.440000000000001</v>
      </c>
      <c r="M17" s="6">
        <v>28.48</v>
      </c>
      <c r="N17" s="6">
        <v>2.1</v>
      </c>
      <c r="O17" s="6">
        <v>0</v>
      </c>
      <c r="P17" s="6">
        <v>0.38</v>
      </c>
      <c r="Q17" s="6">
        <v>10</v>
      </c>
      <c r="R17" s="6"/>
      <c r="S17" s="6"/>
      <c r="T17" s="156"/>
      <c r="U17" s="6"/>
    </row>
    <row r="18" spans="1:21" customFormat="1">
      <c r="A18" s="201" t="s">
        <v>1881</v>
      </c>
      <c r="B18" s="6">
        <v>6.16</v>
      </c>
      <c r="C18" s="6">
        <v>8.1199999999999992</v>
      </c>
      <c r="D18" s="6">
        <v>9.18</v>
      </c>
      <c r="E18" s="6">
        <v>6.54</v>
      </c>
      <c r="F18" s="6">
        <v>2</v>
      </c>
      <c r="G18" s="6">
        <v>44.65</v>
      </c>
      <c r="H18" s="6">
        <v>10.8</v>
      </c>
      <c r="I18" s="6">
        <v>7.08</v>
      </c>
      <c r="J18" s="6">
        <v>0.12</v>
      </c>
      <c r="K18" s="6">
        <v>63.26</v>
      </c>
      <c r="L18" s="6">
        <v>8.67</v>
      </c>
      <c r="M18" s="6">
        <v>3.7</v>
      </c>
      <c r="N18" s="6">
        <v>2</v>
      </c>
      <c r="O18" s="6">
        <v>0</v>
      </c>
      <c r="P18" s="6">
        <v>0.38</v>
      </c>
      <c r="Q18" s="6">
        <v>10</v>
      </c>
      <c r="R18" s="6"/>
      <c r="S18" s="6"/>
      <c r="T18" s="156"/>
      <c r="U18" s="6"/>
    </row>
    <row r="19" spans="1:21" customFormat="1">
      <c r="A19" s="201" t="s">
        <v>1882</v>
      </c>
      <c r="B19" s="6">
        <v>6.88</v>
      </c>
      <c r="C19" s="6">
        <v>8.2899999999999991</v>
      </c>
      <c r="D19" s="6">
        <v>9.85</v>
      </c>
      <c r="E19" s="6">
        <v>6.31</v>
      </c>
      <c r="F19" s="6">
        <v>2</v>
      </c>
      <c r="G19" s="6">
        <v>44.9</v>
      </c>
      <c r="H19" s="6">
        <v>10.82</v>
      </c>
      <c r="I19" s="6">
        <v>7.07</v>
      </c>
      <c r="J19" s="6">
        <v>0.21</v>
      </c>
      <c r="K19" s="6">
        <v>43.35</v>
      </c>
      <c r="L19" s="6">
        <v>6.98</v>
      </c>
      <c r="M19" s="6">
        <v>-0.62</v>
      </c>
      <c r="N19" s="6">
        <v>2.1</v>
      </c>
      <c r="O19" s="6">
        <v>0</v>
      </c>
      <c r="P19" s="6">
        <v>0.38</v>
      </c>
      <c r="Q19" s="6">
        <v>10</v>
      </c>
      <c r="R19" s="6"/>
      <c r="S19" s="6"/>
      <c r="T19" s="156"/>
      <c r="U19" s="6"/>
    </row>
    <row r="20" spans="1:21" customFormat="1">
      <c r="A20" s="201" t="s">
        <v>1883</v>
      </c>
      <c r="B20" s="6">
        <v>7.39</v>
      </c>
      <c r="C20" s="6">
        <v>8.33</v>
      </c>
      <c r="D20" s="6">
        <v>10.28</v>
      </c>
      <c r="E20" s="6">
        <v>6.76</v>
      </c>
      <c r="F20" s="6">
        <v>2</v>
      </c>
      <c r="G20" s="6">
        <v>51.95</v>
      </c>
      <c r="H20" s="6">
        <v>11.34</v>
      </c>
      <c r="I20" s="6">
        <v>7.13</v>
      </c>
      <c r="J20" s="6">
        <v>0.18</v>
      </c>
      <c r="K20" s="6">
        <v>51.74</v>
      </c>
      <c r="L20" s="6">
        <v>7.64</v>
      </c>
      <c r="M20" s="6">
        <v>1.08</v>
      </c>
      <c r="N20" s="6">
        <v>2.1</v>
      </c>
      <c r="O20" s="6">
        <v>0</v>
      </c>
      <c r="P20" s="6">
        <v>0.39</v>
      </c>
      <c r="Q20" s="6">
        <v>10</v>
      </c>
      <c r="R20" s="6"/>
      <c r="S20" s="6"/>
      <c r="T20" s="156"/>
      <c r="U20" s="6"/>
    </row>
    <row r="21" spans="1:21" customFormat="1">
      <c r="A21" s="201" t="s">
        <v>1884</v>
      </c>
      <c r="B21" s="6">
        <v>7.5</v>
      </c>
      <c r="C21" s="6">
        <v>8.15</v>
      </c>
      <c r="D21" s="6">
        <v>10.27</v>
      </c>
      <c r="E21" s="6">
        <v>6.9</v>
      </c>
      <c r="F21" s="6">
        <v>2</v>
      </c>
      <c r="G21" s="6">
        <v>51.95</v>
      </c>
      <c r="H21" s="6">
        <v>11.34</v>
      </c>
      <c r="I21" s="6">
        <v>7.21</v>
      </c>
      <c r="J21" s="6">
        <v>0.28000000000000003</v>
      </c>
      <c r="K21" s="6">
        <v>42.52</v>
      </c>
      <c r="L21" s="6">
        <v>7.01</v>
      </c>
      <c r="M21" s="6">
        <v>-0.56999999999999995</v>
      </c>
      <c r="N21" s="6">
        <v>2.1</v>
      </c>
      <c r="O21" s="6">
        <v>0</v>
      </c>
      <c r="P21" s="6">
        <v>0.38</v>
      </c>
      <c r="Q21" s="6">
        <v>10</v>
      </c>
      <c r="R21" s="6"/>
      <c r="S21" s="6"/>
      <c r="T21" s="156"/>
      <c r="U21" s="6"/>
    </row>
    <row r="22" spans="1:21" customFormat="1">
      <c r="A22" s="201" t="s">
        <v>1885</v>
      </c>
      <c r="B22" s="6">
        <v>7.57</v>
      </c>
      <c r="C22" s="6">
        <v>8.1300000000000008</v>
      </c>
      <c r="D22" s="6">
        <v>10.32</v>
      </c>
      <c r="E22" s="6">
        <v>6.74</v>
      </c>
      <c r="F22" s="6">
        <v>2</v>
      </c>
      <c r="G22" s="6">
        <v>51.95</v>
      </c>
      <c r="H22" s="6">
        <v>11.34</v>
      </c>
      <c r="I22" s="6">
        <v>7.27</v>
      </c>
      <c r="J22" s="6">
        <v>0.17</v>
      </c>
      <c r="K22" s="6">
        <v>36.979999999999997</v>
      </c>
      <c r="L22" s="6">
        <v>10.039999999999999</v>
      </c>
      <c r="M22" s="6">
        <v>7.07</v>
      </c>
      <c r="N22" s="6">
        <v>2.1</v>
      </c>
      <c r="O22" s="6">
        <v>0</v>
      </c>
      <c r="P22" s="6">
        <v>0.39</v>
      </c>
      <c r="Q22" s="6">
        <v>10</v>
      </c>
      <c r="R22" s="6"/>
      <c r="S22" s="6"/>
      <c r="T22" s="156"/>
      <c r="U22" s="6"/>
    </row>
    <row r="23" spans="1:21" customFormat="1">
      <c r="A23" s="201" t="s">
        <v>1886</v>
      </c>
      <c r="B23" s="6">
        <v>7.71</v>
      </c>
      <c r="C23" s="6">
        <v>8.09</v>
      </c>
      <c r="D23" s="6">
        <v>10.41</v>
      </c>
      <c r="E23" s="6">
        <v>6.69</v>
      </c>
      <c r="F23" s="6">
        <v>2</v>
      </c>
      <c r="G23" s="6">
        <v>52.06</v>
      </c>
      <c r="H23" s="6">
        <v>11.37</v>
      </c>
      <c r="I23" s="6">
        <v>7.3</v>
      </c>
      <c r="J23" s="6">
        <v>0.12</v>
      </c>
      <c r="K23" s="6">
        <v>75.45</v>
      </c>
      <c r="L23" s="6">
        <v>9.66</v>
      </c>
      <c r="M23" s="6">
        <v>6.28</v>
      </c>
      <c r="N23" s="6">
        <v>2.1</v>
      </c>
      <c r="O23" s="6">
        <v>0</v>
      </c>
      <c r="P23" s="6">
        <v>0.39</v>
      </c>
      <c r="Q23" s="6">
        <v>10</v>
      </c>
      <c r="R23" s="6"/>
      <c r="S23" s="6"/>
      <c r="T23" s="156"/>
      <c r="U23" s="6"/>
    </row>
    <row r="24" spans="1:21" customFormat="1">
      <c r="A24" s="201" t="s">
        <v>1887</v>
      </c>
      <c r="B24" s="6">
        <v>7.73</v>
      </c>
      <c r="C24" s="6">
        <v>7.98</v>
      </c>
      <c r="D24" s="6">
        <v>10.37</v>
      </c>
      <c r="E24" s="6">
        <v>6.86</v>
      </c>
      <c r="F24" s="6">
        <v>2</v>
      </c>
      <c r="G24" s="6">
        <v>55.27</v>
      </c>
      <c r="H24" s="6">
        <v>12.28</v>
      </c>
      <c r="I24" s="6">
        <v>7.35</v>
      </c>
      <c r="J24" s="6">
        <v>0.1</v>
      </c>
      <c r="K24" s="6">
        <v>115.21</v>
      </c>
      <c r="L24" s="6">
        <v>12.15</v>
      </c>
      <c r="M24" s="6">
        <v>12.63</v>
      </c>
      <c r="N24" s="6">
        <v>2.1</v>
      </c>
      <c r="O24" s="6">
        <v>0</v>
      </c>
      <c r="P24" s="6">
        <v>0.4</v>
      </c>
      <c r="Q24" s="6">
        <v>10</v>
      </c>
      <c r="R24" s="6"/>
      <c r="S24" s="6"/>
      <c r="T24" s="156"/>
      <c r="U24" s="6"/>
    </row>
    <row r="25" spans="1:21" customFormat="1">
      <c r="A25" s="201" t="s">
        <v>1888</v>
      </c>
      <c r="B25" s="6">
        <v>7.73</v>
      </c>
      <c r="C25" s="6">
        <v>7.97</v>
      </c>
      <c r="D25" s="6">
        <v>10.37</v>
      </c>
      <c r="E25" s="6">
        <v>6.85</v>
      </c>
      <c r="F25" s="6">
        <v>2</v>
      </c>
      <c r="G25" s="6">
        <v>55.27</v>
      </c>
      <c r="H25" s="6">
        <v>12.28</v>
      </c>
      <c r="I25" s="6">
        <v>7.41</v>
      </c>
      <c r="J25" s="6">
        <v>0.12</v>
      </c>
      <c r="K25" s="6">
        <v>154.41999999999999</v>
      </c>
      <c r="L25" s="6">
        <v>15.37</v>
      </c>
      <c r="M25" s="6">
        <v>20.78</v>
      </c>
      <c r="N25" s="6">
        <v>2.1</v>
      </c>
      <c r="O25" s="6">
        <v>0</v>
      </c>
      <c r="P25" s="6">
        <v>0.4</v>
      </c>
      <c r="Q25" s="6">
        <v>10</v>
      </c>
      <c r="R25" s="6"/>
      <c r="S25" s="6"/>
      <c r="T25" s="156"/>
      <c r="U25" s="6"/>
    </row>
    <row r="26" spans="1:21" customFormat="1">
      <c r="A26" s="201" t="s">
        <v>1889</v>
      </c>
      <c r="B26" s="6">
        <v>7.63</v>
      </c>
      <c r="C26" s="6">
        <v>7.88</v>
      </c>
      <c r="D26" s="6">
        <v>10.23</v>
      </c>
      <c r="E26" s="6">
        <v>6.81</v>
      </c>
      <c r="F26" s="6">
        <v>2</v>
      </c>
      <c r="G26" s="6">
        <v>55.27</v>
      </c>
      <c r="H26" s="6">
        <v>12.28</v>
      </c>
      <c r="I26" s="6">
        <v>7.44</v>
      </c>
      <c r="J26" s="6">
        <v>0.1</v>
      </c>
      <c r="K26" s="6">
        <v>203.12</v>
      </c>
      <c r="L26" s="6">
        <v>18.84</v>
      </c>
      <c r="M26" s="6">
        <v>29.44</v>
      </c>
      <c r="N26" s="6">
        <v>2.1</v>
      </c>
      <c r="O26" s="6">
        <v>0</v>
      </c>
      <c r="P26" s="6">
        <v>0.39</v>
      </c>
      <c r="Q26" s="6">
        <v>10</v>
      </c>
      <c r="R26" s="6"/>
      <c r="S26" s="6"/>
      <c r="T26" s="156"/>
      <c r="U26" s="6"/>
    </row>
    <row r="27" spans="1:21" customFormat="1">
      <c r="A27" s="201" t="s">
        <v>1890</v>
      </c>
      <c r="B27" s="6">
        <v>7.46</v>
      </c>
      <c r="C27" s="6">
        <v>7.69</v>
      </c>
      <c r="D27" s="6">
        <v>10.01</v>
      </c>
      <c r="E27" s="6">
        <v>6.86</v>
      </c>
      <c r="F27" s="6">
        <v>2</v>
      </c>
      <c r="G27" s="6">
        <v>55.18</v>
      </c>
      <c r="H27" s="6">
        <v>12.28</v>
      </c>
      <c r="I27" s="6">
        <v>7.45</v>
      </c>
      <c r="J27" s="6">
        <v>0.12</v>
      </c>
      <c r="K27" s="6">
        <v>217.72</v>
      </c>
      <c r="L27" s="6">
        <v>20</v>
      </c>
      <c r="M27" s="6">
        <v>32.36</v>
      </c>
      <c r="N27" s="6">
        <v>2.1</v>
      </c>
      <c r="O27" s="6">
        <v>0</v>
      </c>
      <c r="P27" s="6">
        <v>0.4</v>
      </c>
      <c r="Q27" s="6">
        <v>10</v>
      </c>
      <c r="R27" s="6"/>
      <c r="S27" s="6"/>
      <c r="T27" s="156"/>
      <c r="U27" s="6"/>
    </row>
    <row r="28" spans="1:21" customFormat="1">
      <c r="A28" s="201" t="s">
        <v>1891</v>
      </c>
      <c r="B28" s="6">
        <v>7.53</v>
      </c>
      <c r="C28" s="6">
        <v>7.51</v>
      </c>
      <c r="D28" s="6">
        <v>9.9700000000000006</v>
      </c>
      <c r="E28" s="6">
        <v>7.21</v>
      </c>
      <c r="F28" s="6">
        <v>2</v>
      </c>
      <c r="G28" s="6">
        <v>52.45</v>
      </c>
      <c r="H28" s="6">
        <v>12.1</v>
      </c>
      <c r="I28" s="6">
        <v>7.43</v>
      </c>
      <c r="J28" s="6">
        <v>0.1</v>
      </c>
      <c r="K28" s="6">
        <v>120.58</v>
      </c>
      <c r="L28" s="6">
        <v>12.86</v>
      </c>
      <c r="M28" s="6">
        <v>14.4</v>
      </c>
      <c r="N28" s="6">
        <v>2.1</v>
      </c>
      <c r="O28" s="6">
        <v>0</v>
      </c>
      <c r="P28" s="6">
        <v>0.4</v>
      </c>
      <c r="Q28" s="6">
        <v>10</v>
      </c>
      <c r="R28" s="6"/>
      <c r="S28" s="6"/>
      <c r="T28" s="156"/>
      <c r="U28" s="6"/>
    </row>
    <row r="29" spans="1:21" customFormat="1">
      <c r="A29" s="201" t="s">
        <v>1892</v>
      </c>
      <c r="B29" s="6">
        <v>7.82</v>
      </c>
      <c r="C29" s="6">
        <v>7.6</v>
      </c>
      <c r="D29" s="6">
        <v>10.24</v>
      </c>
      <c r="E29" s="6">
        <v>7.03</v>
      </c>
      <c r="F29" s="6">
        <v>2</v>
      </c>
      <c r="G29" s="6">
        <v>52.45</v>
      </c>
      <c r="H29" s="6">
        <v>12.1</v>
      </c>
      <c r="I29" s="6">
        <v>7.41</v>
      </c>
      <c r="J29" s="6">
        <v>0.16</v>
      </c>
      <c r="K29" s="6">
        <v>70.209999999999994</v>
      </c>
      <c r="L29" s="6">
        <v>9.3000000000000007</v>
      </c>
      <c r="M29" s="6">
        <v>5.38</v>
      </c>
      <c r="N29" s="6">
        <v>2</v>
      </c>
      <c r="O29" s="6">
        <v>0</v>
      </c>
      <c r="P29" s="6">
        <v>0.4</v>
      </c>
      <c r="Q29" s="6">
        <v>10</v>
      </c>
      <c r="R29" s="6"/>
      <c r="S29" s="6"/>
      <c r="T29" s="156"/>
      <c r="U29" s="6"/>
    </row>
    <row r="30" spans="1:21" customFormat="1">
      <c r="A30" s="201" t="s">
        <v>1893</v>
      </c>
      <c r="B30" s="6">
        <v>8.1300000000000008</v>
      </c>
      <c r="C30" s="6">
        <v>7.68</v>
      </c>
      <c r="D30" s="6">
        <v>10.54</v>
      </c>
      <c r="E30" s="6">
        <v>7.14</v>
      </c>
      <c r="F30" s="6">
        <v>2</v>
      </c>
      <c r="G30" s="6">
        <v>52.45</v>
      </c>
      <c r="H30" s="6">
        <v>12.1</v>
      </c>
      <c r="I30" s="6">
        <v>7.45</v>
      </c>
      <c r="J30" s="6">
        <v>0.05</v>
      </c>
      <c r="K30" s="6">
        <v>112.68</v>
      </c>
      <c r="L30" s="6">
        <v>13.65</v>
      </c>
      <c r="M30" s="6">
        <v>16.38</v>
      </c>
      <c r="N30" s="6">
        <v>2.1</v>
      </c>
      <c r="O30" s="6">
        <v>0</v>
      </c>
      <c r="P30" s="6">
        <v>0.4</v>
      </c>
      <c r="Q30" s="6">
        <v>10</v>
      </c>
      <c r="R30" s="6"/>
      <c r="S30" s="6"/>
      <c r="T30" s="156"/>
      <c r="U30" s="6"/>
    </row>
    <row r="31" spans="1:21" customFormat="1">
      <c r="A31" s="201" t="s">
        <v>1894</v>
      </c>
      <c r="B31" s="6">
        <v>8.2899999999999991</v>
      </c>
      <c r="C31" s="6">
        <v>7.8</v>
      </c>
      <c r="D31" s="6">
        <v>10.73</v>
      </c>
      <c r="E31" s="6">
        <v>7.04</v>
      </c>
      <c r="F31" s="6">
        <v>2</v>
      </c>
      <c r="G31" s="6">
        <v>52.46</v>
      </c>
      <c r="H31" s="6">
        <v>12.09</v>
      </c>
      <c r="I31" s="6">
        <v>7.52</v>
      </c>
      <c r="J31" s="6">
        <v>0.06</v>
      </c>
      <c r="K31" s="6">
        <v>143.47999999999999</v>
      </c>
      <c r="L31" s="6">
        <v>17.39</v>
      </c>
      <c r="M31" s="6">
        <v>25.72</v>
      </c>
      <c r="N31" s="6">
        <v>2.1</v>
      </c>
      <c r="O31" s="6">
        <v>0</v>
      </c>
      <c r="P31" s="6">
        <v>0.41</v>
      </c>
      <c r="Q31" s="6">
        <v>10</v>
      </c>
      <c r="R31" s="6"/>
      <c r="S31" s="6"/>
      <c r="T31" s="156"/>
      <c r="U31" s="6"/>
    </row>
    <row r="32" spans="1:21" customFormat="1">
      <c r="A32" s="201" t="s">
        <v>1895</v>
      </c>
      <c r="B32" s="6">
        <v>8.44</v>
      </c>
      <c r="C32" s="6">
        <v>7.84</v>
      </c>
      <c r="D32" s="6">
        <v>10.86</v>
      </c>
      <c r="E32" s="6">
        <v>7.05</v>
      </c>
      <c r="F32" s="6">
        <v>2</v>
      </c>
      <c r="G32" s="6">
        <v>52.64</v>
      </c>
      <c r="H32" s="6">
        <v>11.62</v>
      </c>
      <c r="I32" s="6">
        <v>7.55</v>
      </c>
      <c r="J32" s="6">
        <v>0.21</v>
      </c>
      <c r="K32" s="6">
        <v>154.88999999999999</v>
      </c>
      <c r="L32" s="6">
        <v>15.09</v>
      </c>
      <c r="M32" s="6">
        <v>20.059999999999999</v>
      </c>
      <c r="N32" s="6">
        <v>2.8</v>
      </c>
      <c r="O32" s="6">
        <v>0</v>
      </c>
      <c r="P32" s="6">
        <v>0.4</v>
      </c>
      <c r="Q32" s="6">
        <v>10</v>
      </c>
      <c r="R32" s="6"/>
      <c r="S32" s="6"/>
      <c r="T32" s="156"/>
      <c r="U32" s="6"/>
    </row>
    <row r="33" spans="1:21" customFormat="1">
      <c r="A33" s="201" t="s">
        <v>1896</v>
      </c>
      <c r="B33" s="6">
        <v>8.4</v>
      </c>
      <c r="C33" s="6">
        <v>7.73</v>
      </c>
      <c r="D33" s="6">
        <v>10.77</v>
      </c>
      <c r="E33" s="6">
        <v>6.89</v>
      </c>
      <c r="F33" s="6">
        <v>2</v>
      </c>
      <c r="G33" s="6">
        <v>52.64</v>
      </c>
      <c r="H33" s="6">
        <v>11.62</v>
      </c>
      <c r="I33" s="6">
        <v>7.6</v>
      </c>
      <c r="J33" s="6">
        <v>0.11</v>
      </c>
      <c r="K33" s="6">
        <v>180.91</v>
      </c>
      <c r="L33" s="6">
        <v>17.7</v>
      </c>
      <c r="M33" s="6">
        <v>26.55</v>
      </c>
      <c r="N33" s="6">
        <v>6</v>
      </c>
      <c r="O33" s="6">
        <v>0</v>
      </c>
      <c r="P33" s="6">
        <v>0.41</v>
      </c>
      <c r="Q33" s="6">
        <v>10</v>
      </c>
      <c r="R33" s="6"/>
      <c r="S33" s="6"/>
      <c r="T33" s="156"/>
      <c r="U33" s="6"/>
    </row>
    <row r="34" spans="1:21" customFormat="1">
      <c r="A34" s="201" t="s">
        <v>1897</v>
      </c>
      <c r="B34" s="6">
        <v>8.44</v>
      </c>
      <c r="C34" s="6">
        <v>7.43</v>
      </c>
      <c r="D34" s="6">
        <v>10.65</v>
      </c>
      <c r="E34" s="6">
        <v>7.16</v>
      </c>
      <c r="F34" s="6">
        <v>2</v>
      </c>
      <c r="G34" s="6">
        <v>52.64</v>
      </c>
      <c r="H34" s="6">
        <v>11.62</v>
      </c>
      <c r="I34" s="6">
        <v>7.62</v>
      </c>
      <c r="J34" s="6">
        <v>7.0000000000000007E-2</v>
      </c>
      <c r="K34" s="6">
        <v>169.49</v>
      </c>
      <c r="L34" s="6">
        <v>16.52</v>
      </c>
      <c r="M34" s="6">
        <v>23.36</v>
      </c>
      <c r="N34" s="6">
        <v>13</v>
      </c>
      <c r="O34" s="6">
        <v>0</v>
      </c>
      <c r="P34" s="6">
        <v>0.43</v>
      </c>
      <c r="Q34" s="6">
        <v>10</v>
      </c>
      <c r="R34" s="6"/>
      <c r="S34" s="6"/>
      <c r="T34" s="156"/>
      <c r="U34" s="6"/>
    </row>
    <row r="35" spans="1:21" customFormat="1">
      <c r="A35" s="201" t="s">
        <v>1898</v>
      </c>
      <c r="B35" s="6">
        <v>8.59</v>
      </c>
      <c r="C35" s="6">
        <v>7.12</v>
      </c>
      <c r="D35" s="6">
        <v>10.61</v>
      </c>
      <c r="E35" s="6">
        <v>6.97</v>
      </c>
      <c r="F35" s="6">
        <v>2</v>
      </c>
      <c r="G35" s="6">
        <v>52.45</v>
      </c>
      <c r="H35" s="6">
        <v>11.62</v>
      </c>
      <c r="I35" s="6">
        <v>7.62</v>
      </c>
      <c r="J35" s="6">
        <v>0.1</v>
      </c>
      <c r="K35" s="6">
        <v>146.13</v>
      </c>
      <c r="L35" s="6">
        <v>14.6</v>
      </c>
      <c r="M35" s="6">
        <v>18.190000000000001</v>
      </c>
      <c r="N35" s="6">
        <v>22.2</v>
      </c>
      <c r="O35" s="6">
        <v>0</v>
      </c>
      <c r="P35" s="6">
        <v>0.43</v>
      </c>
      <c r="Q35" s="6">
        <v>10</v>
      </c>
      <c r="R35" s="6"/>
      <c r="S35" s="6"/>
      <c r="T35" s="156"/>
      <c r="U35" s="6"/>
    </row>
    <row r="36" spans="1:21" customFormat="1">
      <c r="A36" s="201" t="s">
        <v>1899</v>
      </c>
      <c r="B36" s="6">
        <v>8.84</v>
      </c>
      <c r="C36" s="6">
        <v>7.08</v>
      </c>
      <c r="D36" s="6">
        <v>10.79</v>
      </c>
      <c r="E36" s="6">
        <v>6.77</v>
      </c>
      <c r="F36" s="6">
        <v>2</v>
      </c>
      <c r="G36" s="6">
        <v>46.83</v>
      </c>
      <c r="H36" s="6">
        <v>11.69</v>
      </c>
      <c r="I36" s="6">
        <v>7.77</v>
      </c>
      <c r="J36" s="6">
        <v>0.3</v>
      </c>
      <c r="K36" s="6">
        <v>46.73</v>
      </c>
      <c r="L36" s="6">
        <v>6.88</v>
      </c>
      <c r="M36" s="6">
        <v>-1.69</v>
      </c>
      <c r="N36" s="6">
        <v>33.5</v>
      </c>
      <c r="O36" s="6">
        <v>0</v>
      </c>
      <c r="P36" s="6">
        <v>0.44</v>
      </c>
      <c r="Q36" s="6">
        <v>10</v>
      </c>
      <c r="R36" s="6"/>
      <c r="S36" s="6"/>
      <c r="T36" s="156"/>
      <c r="U36" s="6"/>
    </row>
    <row r="37" spans="1:21" customFormat="1">
      <c r="A37" s="201" t="s">
        <v>1900</v>
      </c>
      <c r="B37" s="6">
        <v>9.0399999999999991</v>
      </c>
      <c r="C37" s="6">
        <v>7.12</v>
      </c>
      <c r="D37" s="6">
        <v>10.97</v>
      </c>
      <c r="E37" s="6">
        <v>6.94</v>
      </c>
      <c r="F37" s="6">
        <v>2</v>
      </c>
      <c r="G37" s="6">
        <v>46.83</v>
      </c>
      <c r="H37" s="6">
        <v>11.69</v>
      </c>
      <c r="I37" s="6">
        <v>7.82</v>
      </c>
      <c r="J37" s="6">
        <v>0.28999999999999998</v>
      </c>
      <c r="K37" s="6">
        <v>37.72</v>
      </c>
      <c r="L37" s="6">
        <v>7</v>
      </c>
      <c r="M37" s="6">
        <v>-1.69</v>
      </c>
      <c r="N37" s="6">
        <v>47.4</v>
      </c>
      <c r="O37" s="6">
        <v>0</v>
      </c>
      <c r="P37" s="6">
        <v>0.44</v>
      </c>
      <c r="Q37" s="6">
        <v>10</v>
      </c>
      <c r="R37" s="6"/>
      <c r="S37" s="6"/>
      <c r="T37" s="156"/>
      <c r="U37" s="6"/>
    </row>
    <row r="38" spans="1:21" customFormat="1">
      <c r="A38" s="201" t="s">
        <v>1901</v>
      </c>
      <c r="B38" s="6">
        <v>9.1999999999999993</v>
      </c>
      <c r="C38" s="6">
        <v>7.12</v>
      </c>
      <c r="D38" s="6">
        <v>11.1</v>
      </c>
      <c r="E38" s="6">
        <v>6.97</v>
      </c>
      <c r="F38" s="6">
        <v>2</v>
      </c>
      <c r="G38" s="6">
        <v>46.83</v>
      </c>
      <c r="H38" s="6">
        <v>11.69</v>
      </c>
      <c r="I38" s="6">
        <v>7.9</v>
      </c>
      <c r="J38" s="6">
        <v>0.17</v>
      </c>
      <c r="K38" s="6">
        <v>94.06</v>
      </c>
      <c r="L38" s="6">
        <v>10.88</v>
      </c>
      <c r="M38" s="6">
        <v>7.87</v>
      </c>
      <c r="N38" s="6">
        <v>63.2</v>
      </c>
      <c r="O38" s="6">
        <v>0</v>
      </c>
      <c r="P38" s="6">
        <v>0.45</v>
      </c>
      <c r="Q38" s="6">
        <v>10</v>
      </c>
      <c r="R38" s="6"/>
      <c r="S38" s="6"/>
      <c r="T38" s="156"/>
      <c r="U38" s="6"/>
    </row>
    <row r="39" spans="1:21" customFormat="1">
      <c r="A39" s="201" t="s">
        <v>1902</v>
      </c>
      <c r="B39" s="6">
        <v>9.2200000000000006</v>
      </c>
      <c r="C39" s="6">
        <v>7.14</v>
      </c>
      <c r="D39" s="6">
        <v>11.12</v>
      </c>
      <c r="E39" s="6">
        <v>6.82</v>
      </c>
      <c r="F39" s="6">
        <v>2</v>
      </c>
      <c r="G39" s="6">
        <v>46.93</v>
      </c>
      <c r="H39" s="6">
        <v>11.7</v>
      </c>
      <c r="I39" s="6">
        <v>8.1</v>
      </c>
      <c r="J39" s="6">
        <v>0.21</v>
      </c>
      <c r="K39" s="6">
        <v>82.17</v>
      </c>
      <c r="L39" s="6">
        <v>10.039999999999999</v>
      </c>
      <c r="M39" s="6">
        <v>4.93</v>
      </c>
      <c r="N39" s="6">
        <v>95.7</v>
      </c>
      <c r="O39" s="6">
        <v>0</v>
      </c>
      <c r="P39" s="6">
        <v>0.45</v>
      </c>
      <c r="Q39" s="6">
        <v>10</v>
      </c>
      <c r="R39" s="6"/>
      <c r="S39" s="6"/>
      <c r="T39" s="156"/>
      <c r="U39" s="6"/>
    </row>
    <row r="40" spans="1:21" customFormat="1">
      <c r="A40" s="201" t="s">
        <v>1903</v>
      </c>
      <c r="B40" s="6">
        <v>9.11</v>
      </c>
      <c r="C40" s="6">
        <v>7.24</v>
      </c>
      <c r="D40" s="6">
        <v>11.09</v>
      </c>
      <c r="E40" s="6">
        <v>6.4</v>
      </c>
      <c r="F40" s="6">
        <v>2</v>
      </c>
      <c r="G40" s="6">
        <v>49.81</v>
      </c>
      <c r="H40" s="6">
        <v>12.01</v>
      </c>
      <c r="I40" s="6">
        <v>8.24</v>
      </c>
      <c r="J40" s="6">
        <v>0.3</v>
      </c>
      <c r="K40" s="6">
        <v>138.62</v>
      </c>
      <c r="L40" s="6">
        <v>14.82</v>
      </c>
      <c r="M40" s="6">
        <v>15.89</v>
      </c>
      <c r="N40" s="6">
        <v>146.80000000000001</v>
      </c>
      <c r="O40" s="6">
        <v>0</v>
      </c>
      <c r="P40" s="6">
        <v>0.46</v>
      </c>
      <c r="Q40" s="6">
        <v>10</v>
      </c>
      <c r="R40" s="6"/>
      <c r="S40" s="6"/>
      <c r="T40" s="156"/>
      <c r="U40" s="6"/>
    </row>
    <row r="41" spans="1:21" customFormat="1">
      <c r="A41" s="201" t="s">
        <v>1904</v>
      </c>
      <c r="B41" s="6">
        <v>8.89</v>
      </c>
      <c r="C41" s="6">
        <v>7.18</v>
      </c>
      <c r="D41" s="6">
        <v>10.88</v>
      </c>
      <c r="E41" s="6">
        <v>6.79</v>
      </c>
      <c r="F41" s="6">
        <v>2</v>
      </c>
      <c r="G41" s="6">
        <v>49.81</v>
      </c>
      <c r="H41" s="6">
        <v>12.01</v>
      </c>
      <c r="I41" s="6">
        <v>8.31</v>
      </c>
      <c r="J41" s="6">
        <v>0.17</v>
      </c>
      <c r="K41" s="6">
        <v>111.41</v>
      </c>
      <c r="L41" s="6">
        <v>14.37</v>
      </c>
      <c r="M41" s="6">
        <v>13.35</v>
      </c>
      <c r="N41" s="6">
        <v>203.2</v>
      </c>
      <c r="O41" s="6">
        <v>0</v>
      </c>
      <c r="P41" s="6">
        <v>0.45</v>
      </c>
      <c r="Q41" s="6">
        <v>10</v>
      </c>
      <c r="R41" s="6"/>
      <c r="S41" s="6"/>
      <c r="T41" s="156"/>
      <c r="U41" s="6"/>
    </row>
    <row r="42" spans="1:21" customFormat="1">
      <c r="A42" s="201" t="s">
        <v>1905</v>
      </c>
      <c r="B42" s="6">
        <v>8.5500000000000007</v>
      </c>
      <c r="C42" s="6">
        <v>7.21</v>
      </c>
      <c r="D42" s="6">
        <v>10.62</v>
      </c>
      <c r="E42" s="6">
        <v>6.39</v>
      </c>
      <c r="F42" s="6">
        <v>2</v>
      </c>
      <c r="G42" s="6">
        <v>49.81</v>
      </c>
      <c r="H42" s="6">
        <v>12.01</v>
      </c>
      <c r="I42" s="6">
        <v>8.33</v>
      </c>
      <c r="J42" s="6">
        <v>0.21</v>
      </c>
      <c r="K42" s="6">
        <v>116.79</v>
      </c>
      <c r="L42" s="6">
        <v>14.45</v>
      </c>
      <c r="M42" s="6">
        <v>12.66</v>
      </c>
      <c r="N42" s="6">
        <v>242.1</v>
      </c>
      <c r="O42" s="6">
        <v>0</v>
      </c>
      <c r="P42" s="6">
        <v>0.45</v>
      </c>
      <c r="Q42" s="6">
        <v>10</v>
      </c>
      <c r="R42" s="6"/>
      <c r="S42" s="6"/>
      <c r="T42" s="156"/>
      <c r="U42" s="6"/>
    </row>
    <row r="43" spans="1:21" customFormat="1">
      <c r="A43" s="201" t="s">
        <v>1906</v>
      </c>
      <c r="B43" s="6">
        <v>8.19</v>
      </c>
      <c r="C43" s="6">
        <v>7.27</v>
      </c>
      <c r="D43" s="6">
        <v>10.36</v>
      </c>
      <c r="E43" s="6">
        <v>6.27</v>
      </c>
      <c r="F43" s="6">
        <v>2</v>
      </c>
      <c r="G43" s="6">
        <v>49.67</v>
      </c>
      <c r="H43" s="6">
        <v>11.99</v>
      </c>
      <c r="I43" s="6">
        <v>8.35</v>
      </c>
      <c r="J43" s="6">
        <v>0.24</v>
      </c>
      <c r="K43" s="6">
        <v>80.69</v>
      </c>
      <c r="L43" s="6">
        <v>12.56</v>
      </c>
      <c r="M43" s="6">
        <v>6.92</v>
      </c>
      <c r="N43" s="6">
        <v>281.39999999999998</v>
      </c>
      <c r="O43" s="6">
        <v>0</v>
      </c>
      <c r="P43" s="6">
        <v>0.45</v>
      </c>
      <c r="Q43" s="6">
        <v>10</v>
      </c>
      <c r="R43" s="6"/>
      <c r="S43" s="6"/>
      <c r="T43" s="156"/>
      <c r="U43" s="6"/>
    </row>
    <row r="44" spans="1:21" customFormat="1">
      <c r="A44" s="201" t="s">
        <v>1907</v>
      </c>
      <c r="B44" s="6">
        <v>7.92</v>
      </c>
      <c r="C44" s="6">
        <v>7.28</v>
      </c>
      <c r="D44" s="6">
        <v>10.16</v>
      </c>
      <c r="E44" s="6">
        <v>6.57</v>
      </c>
      <c r="F44" s="6">
        <v>2</v>
      </c>
      <c r="G44" s="6">
        <v>45.79</v>
      </c>
      <c r="H44" s="6">
        <v>11.38</v>
      </c>
      <c r="I44" s="6">
        <v>8.2899999999999991</v>
      </c>
      <c r="J44" s="6">
        <v>0.12</v>
      </c>
      <c r="K44" s="6">
        <v>100.67</v>
      </c>
      <c r="L44" s="6">
        <v>14.92</v>
      </c>
      <c r="M44" s="6">
        <v>13.44</v>
      </c>
      <c r="N44" s="6">
        <v>254.9</v>
      </c>
      <c r="O44" s="6">
        <v>0</v>
      </c>
      <c r="P44" s="6">
        <v>0.45</v>
      </c>
      <c r="Q44" s="6">
        <v>10</v>
      </c>
      <c r="R44" s="6"/>
      <c r="S44" s="6"/>
      <c r="T44" s="156"/>
      <c r="U44" s="6"/>
    </row>
    <row r="45" spans="1:21" customFormat="1">
      <c r="A45" s="201" t="s">
        <v>1908</v>
      </c>
      <c r="B45" s="6">
        <v>7.64</v>
      </c>
      <c r="C45" s="6">
        <v>7.42</v>
      </c>
      <c r="D45" s="6">
        <v>10</v>
      </c>
      <c r="E45" s="6">
        <v>6.74</v>
      </c>
      <c r="F45" s="6">
        <v>2</v>
      </c>
      <c r="G45" s="6">
        <v>45.79</v>
      </c>
      <c r="H45" s="6">
        <v>11.38</v>
      </c>
      <c r="I45" s="6">
        <v>8.24</v>
      </c>
      <c r="J45" s="6">
        <v>0.25</v>
      </c>
      <c r="K45" s="6">
        <v>101.9</v>
      </c>
      <c r="L45" s="6">
        <v>14.51</v>
      </c>
      <c r="M45" s="6">
        <v>10.01</v>
      </c>
      <c r="N45" s="6">
        <v>358.7</v>
      </c>
      <c r="O45" s="6">
        <v>0</v>
      </c>
      <c r="P45" s="6">
        <v>0.46</v>
      </c>
      <c r="Q45" s="6">
        <v>10</v>
      </c>
      <c r="R45" s="6"/>
      <c r="S45" s="6"/>
      <c r="T45" s="156"/>
      <c r="U45" s="6"/>
    </row>
    <row r="46" spans="1:21" customFormat="1">
      <c r="A46" s="201" t="s">
        <v>1909</v>
      </c>
      <c r="B46" s="6">
        <v>7.42</v>
      </c>
      <c r="C46" s="6">
        <v>7.52</v>
      </c>
      <c r="D46" s="6">
        <v>9.8800000000000008</v>
      </c>
      <c r="E46" s="6">
        <v>6.88</v>
      </c>
      <c r="F46" s="6">
        <v>2</v>
      </c>
      <c r="G46" s="6">
        <v>45.79</v>
      </c>
      <c r="H46" s="6">
        <v>11.38</v>
      </c>
      <c r="I46" s="6">
        <v>8.1999999999999993</v>
      </c>
      <c r="J46" s="6">
        <v>0.24</v>
      </c>
      <c r="K46" s="6">
        <v>91.82</v>
      </c>
      <c r="L46" s="6">
        <v>15.53</v>
      </c>
      <c r="M46" s="6">
        <v>11.67</v>
      </c>
      <c r="N46" s="6">
        <v>393.6</v>
      </c>
      <c r="O46" s="6">
        <v>0</v>
      </c>
      <c r="P46" s="6">
        <v>0.45</v>
      </c>
      <c r="Q46" s="6">
        <v>10</v>
      </c>
      <c r="R46" s="6"/>
      <c r="S46" s="6"/>
      <c r="T46" s="156"/>
      <c r="U46" s="6"/>
    </row>
    <row r="47" spans="1:21" customFormat="1">
      <c r="A47" s="201" t="s">
        <v>1910</v>
      </c>
      <c r="B47" s="6">
        <v>7.31</v>
      </c>
      <c r="C47" s="6">
        <v>7.92</v>
      </c>
      <c r="D47" s="6">
        <v>10</v>
      </c>
      <c r="E47" s="6">
        <v>7.29</v>
      </c>
      <c r="F47" s="6">
        <v>2</v>
      </c>
      <c r="G47" s="6">
        <v>45.98</v>
      </c>
      <c r="H47" s="6">
        <v>11.39</v>
      </c>
      <c r="I47" s="6">
        <v>8.2899999999999991</v>
      </c>
      <c r="J47" s="6">
        <v>0.38</v>
      </c>
      <c r="K47" s="6">
        <v>40.81</v>
      </c>
      <c r="L47" s="6">
        <v>12</v>
      </c>
      <c r="M47" s="6">
        <v>2.09</v>
      </c>
      <c r="N47" s="6">
        <v>432.6</v>
      </c>
      <c r="O47" s="6">
        <v>0</v>
      </c>
      <c r="P47" s="6">
        <v>0.47</v>
      </c>
      <c r="Q47" s="6">
        <v>10</v>
      </c>
      <c r="R47" s="6"/>
      <c r="S47" s="6"/>
      <c r="T47" s="156"/>
      <c r="U47" s="6"/>
    </row>
    <row r="48" spans="1:21" customFormat="1">
      <c r="A48" s="201" t="s">
        <v>1911</v>
      </c>
      <c r="B48" s="6">
        <v>7.21</v>
      </c>
      <c r="C48" s="6">
        <v>8.2100000000000009</v>
      </c>
      <c r="D48" s="6">
        <v>10.07</v>
      </c>
      <c r="E48" s="6">
        <v>8.58</v>
      </c>
      <c r="F48" s="6">
        <v>2</v>
      </c>
      <c r="G48" s="6">
        <v>51.7</v>
      </c>
      <c r="H48" s="6">
        <v>11.77</v>
      </c>
      <c r="I48" s="6">
        <v>8.31</v>
      </c>
      <c r="J48" s="6">
        <v>7.0000000000000007E-2</v>
      </c>
      <c r="K48" s="6">
        <v>94.47</v>
      </c>
      <c r="L48" s="6">
        <v>20.7</v>
      </c>
      <c r="M48" s="6">
        <v>24.67</v>
      </c>
      <c r="N48" s="6">
        <v>396.6</v>
      </c>
      <c r="O48" s="6">
        <v>0</v>
      </c>
      <c r="P48" s="6">
        <v>0.47</v>
      </c>
      <c r="Q48" s="6">
        <v>10</v>
      </c>
      <c r="R48" s="6"/>
      <c r="S48" s="6"/>
      <c r="T48" s="156"/>
      <c r="U48" s="6"/>
    </row>
    <row r="49" spans="1:21" customFormat="1">
      <c r="A49" s="201" t="s">
        <v>1912</v>
      </c>
      <c r="B49" s="6">
        <v>5.82</v>
      </c>
      <c r="C49" s="6">
        <v>10.28</v>
      </c>
      <c r="D49" s="6">
        <v>10.039999999999999</v>
      </c>
      <c r="E49" s="6">
        <v>9.2899999999999991</v>
      </c>
      <c r="F49" s="6">
        <v>7.26</v>
      </c>
      <c r="G49" s="6">
        <v>51.7</v>
      </c>
      <c r="H49" s="6">
        <v>11.77</v>
      </c>
      <c r="I49" s="6">
        <v>8.36</v>
      </c>
      <c r="J49" s="6">
        <v>0.34</v>
      </c>
      <c r="K49" s="6">
        <v>53.65</v>
      </c>
      <c r="L49" s="6">
        <v>13.85</v>
      </c>
      <c r="M49" s="6">
        <v>6.14</v>
      </c>
      <c r="N49" s="6">
        <v>479.9</v>
      </c>
      <c r="O49" s="6">
        <v>0</v>
      </c>
      <c r="P49" s="6">
        <v>0.46</v>
      </c>
      <c r="Q49" s="6">
        <v>10</v>
      </c>
      <c r="R49" s="6"/>
      <c r="S49" s="6"/>
      <c r="T49" s="156"/>
      <c r="U49" s="6"/>
    </row>
    <row r="50" spans="1:21" customFormat="1">
      <c r="A50" s="201" t="s">
        <v>1913</v>
      </c>
      <c r="B50" s="6">
        <v>3.39</v>
      </c>
      <c r="C50" s="6">
        <v>15.5</v>
      </c>
      <c r="D50" s="6">
        <v>10.81</v>
      </c>
      <c r="E50" s="6">
        <v>15.45</v>
      </c>
      <c r="F50" s="6">
        <v>4.17</v>
      </c>
      <c r="G50" s="6">
        <v>51.7</v>
      </c>
      <c r="H50" s="6">
        <v>11.77</v>
      </c>
      <c r="I50" s="6">
        <v>8.5299999999999994</v>
      </c>
      <c r="J50" s="6">
        <v>0.26</v>
      </c>
      <c r="K50" s="6">
        <v>54.94</v>
      </c>
      <c r="L50" s="6">
        <v>15.33</v>
      </c>
      <c r="M50" s="6">
        <v>7.96</v>
      </c>
      <c r="N50" s="6">
        <v>526.6</v>
      </c>
      <c r="O50" s="6">
        <v>0</v>
      </c>
      <c r="P50" s="6">
        <v>0.48</v>
      </c>
      <c r="Q50" s="6">
        <v>10</v>
      </c>
      <c r="R50" s="6"/>
      <c r="S50" s="6"/>
      <c r="T50" s="156"/>
      <c r="U50" s="6"/>
    </row>
    <row r="51" spans="1:21" customFormat="1">
      <c r="A51" s="201" t="s">
        <v>1914</v>
      </c>
      <c r="B51" s="6">
        <v>2.59</v>
      </c>
      <c r="C51" s="6">
        <v>15.8</v>
      </c>
      <c r="D51" s="6">
        <v>10.33</v>
      </c>
      <c r="E51" s="6">
        <v>16.47</v>
      </c>
      <c r="F51" s="6">
        <v>16.71</v>
      </c>
      <c r="G51" s="6">
        <v>51.65</v>
      </c>
      <c r="H51" s="6">
        <v>11.73</v>
      </c>
      <c r="I51" s="6">
        <v>8.7100000000000009</v>
      </c>
      <c r="J51" s="6">
        <v>0.25</v>
      </c>
      <c r="K51" s="6">
        <v>159.66</v>
      </c>
      <c r="L51" s="6">
        <v>20.32</v>
      </c>
      <c r="M51" s="6">
        <v>19.62</v>
      </c>
      <c r="N51" s="6">
        <v>575.6</v>
      </c>
      <c r="O51" s="6">
        <v>0</v>
      </c>
      <c r="P51" s="6">
        <v>0.46</v>
      </c>
      <c r="Q51" s="6">
        <v>10</v>
      </c>
      <c r="R51" s="6"/>
      <c r="S51" s="6"/>
      <c r="T51" s="156"/>
      <c r="U51" s="6"/>
    </row>
    <row r="52" spans="1:21" customFormat="1">
      <c r="A52" s="201" t="s">
        <v>1915</v>
      </c>
      <c r="B52" s="6">
        <v>1.83</v>
      </c>
      <c r="C52" s="6">
        <v>12.32</v>
      </c>
      <c r="D52" s="6">
        <v>7.91</v>
      </c>
      <c r="E52" s="6">
        <v>15.57</v>
      </c>
      <c r="F52" s="6">
        <v>31.09</v>
      </c>
      <c r="G52" s="6">
        <v>50.33</v>
      </c>
      <c r="H52" s="6">
        <v>10.32</v>
      </c>
      <c r="I52" s="6">
        <v>8.6199999999999992</v>
      </c>
      <c r="J52" s="6">
        <v>0.26</v>
      </c>
      <c r="K52" s="6">
        <v>172.84</v>
      </c>
      <c r="L52" s="6">
        <v>22.24</v>
      </c>
      <c r="M52" s="6">
        <v>24.97</v>
      </c>
      <c r="N52" s="6">
        <v>556.4</v>
      </c>
      <c r="O52" s="6">
        <v>0</v>
      </c>
      <c r="P52" s="6">
        <v>0.34</v>
      </c>
      <c r="Q52" s="6">
        <v>10</v>
      </c>
      <c r="R52" s="6"/>
      <c r="S52" s="6"/>
      <c r="T52" s="156"/>
      <c r="U52" s="6"/>
    </row>
    <row r="53" spans="1:21" customFormat="1">
      <c r="A53" s="201" t="s">
        <v>1916</v>
      </c>
      <c r="B53" s="6">
        <v>1.58</v>
      </c>
      <c r="C53" s="6">
        <v>10.1</v>
      </c>
      <c r="D53" s="6">
        <v>6.54</v>
      </c>
      <c r="E53" s="6">
        <v>6.96</v>
      </c>
      <c r="F53" s="6">
        <v>9.59</v>
      </c>
      <c r="G53" s="6">
        <v>50.33</v>
      </c>
      <c r="H53" s="6">
        <v>10.32</v>
      </c>
      <c r="I53" s="6">
        <v>7.64</v>
      </c>
      <c r="J53" s="6">
        <v>0.33</v>
      </c>
      <c r="K53" s="6">
        <v>180.65</v>
      </c>
      <c r="L53" s="6">
        <v>23.21</v>
      </c>
      <c r="M53" s="6">
        <v>26.16</v>
      </c>
      <c r="N53" s="6">
        <v>609.1</v>
      </c>
      <c r="O53" s="6">
        <v>0</v>
      </c>
      <c r="P53" s="6">
        <v>0.32</v>
      </c>
      <c r="Q53" s="6">
        <v>10</v>
      </c>
      <c r="R53" s="6"/>
      <c r="S53" s="6"/>
      <c r="T53" s="156"/>
      <c r="U53" s="6"/>
    </row>
    <row r="54" spans="1:21" customFormat="1">
      <c r="A54" s="201" t="s">
        <v>1917</v>
      </c>
      <c r="B54" s="6">
        <v>1.65</v>
      </c>
      <c r="C54" s="6">
        <v>10.119999999999999</v>
      </c>
      <c r="D54" s="6">
        <v>6.61</v>
      </c>
      <c r="E54" s="6">
        <v>9.3800000000000008</v>
      </c>
      <c r="F54" s="6">
        <v>27.35</v>
      </c>
      <c r="G54" s="6">
        <v>50.33</v>
      </c>
      <c r="H54" s="6">
        <v>10.32</v>
      </c>
      <c r="I54" s="6">
        <v>6.18</v>
      </c>
      <c r="J54" s="6">
        <v>0.34</v>
      </c>
      <c r="K54" s="6">
        <v>355.77</v>
      </c>
      <c r="L54" s="6">
        <v>21.29</v>
      </c>
      <c r="M54" s="6">
        <v>21.43</v>
      </c>
      <c r="N54" s="6">
        <v>591.79999999999995</v>
      </c>
      <c r="O54" s="6">
        <v>0</v>
      </c>
      <c r="P54" s="6">
        <v>0.31</v>
      </c>
      <c r="Q54" s="6">
        <v>9.5500000000000007</v>
      </c>
      <c r="R54" s="6"/>
      <c r="S54" s="6"/>
      <c r="T54" s="156"/>
      <c r="U54" s="6"/>
    </row>
    <row r="55" spans="1:21" customFormat="1">
      <c r="A55" s="201" t="s">
        <v>1918</v>
      </c>
      <c r="B55" s="6">
        <v>1.74</v>
      </c>
      <c r="C55" s="6">
        <v>10.96</v>
      </c>
      <c r="D55" s="6">
        <v>7.12</v>
      </c>
      <c r="E55" s="6">
        <v>8.64</v>
      </c>
      <c r="F55" s="6">
        <v>18.27</v>
      </c>
      <c r="G55" s="6">
        <v>50.08</v>
      </c>
      <c r="H55" s="6">
        <v>10.3</v>
      </c>
      <c r="I55" s="6">
        <v>5.66</v>
      </c>
      <c r="J55" s="6">
        <v>0.1</v>
      </c>
      <c r="K55" s="6">
        <v>243.98</v>
      </c>
      <c r="L55" s="6">
        <v>24.18</v>
      </c>
      <c r="M55" s="6">
        <v>28.46</v>
      </c>
      <c r="N55" s="6">
        <v>608.4</v>
      </c>
      <c r="O55" s="6">
        <v>0</v>
      </c>
      <c r="P55" s="6">
        <v>0.33</v>
      </c>
      <c r="Q55" s="6">
        <v>9.32</v>
      </c>
      <c r="R55" s="6"/>
      <c r="S55" s="6"/>
      <c r="T55" s="156"/>
      <c r="U55" s="6"/>
    </row>
    <row r="56" spans="1:21" customFormat="1">
      <c r="A56" s="201" t="s">
        <v>1919</v>
      </c>
      <c r="B56" s="6">
        <v>1.74</v>
      </c>
      <c r="C56" s="6">
        <v>10.47</v>
      </c>
      <c r="D56" s="6">
        <v>6.87</v>
      </c>
      <c r="E56" s="6">
        <v>7.33</v>
      </c>
      <c r="F56" s="6">
        <v>8.9</v>
      </c>
      <c r="G56" s="6">
        <v>42.83</v>
      </c>
      <c r="H56" s="6">
        <v>9.68</v>
      </c>
      <c r="I56" s="6">
        <v>5.5</v>
      </c>
      <c r="J56" s="6">
        <v>0.19</v>
      </c>
      <c r="K56" s="6">
        <v>39.19</v>
      </c>
      <c r="L56" s="6">
        <v>18.2</v>
      </c>
      <c r="M56" s="6">
        <v>13.4</v>
      </c>
      <c r="N56" s="6">
        <v>605.70000000000005</v>
      </c>
      <c r="O56" s="6">
        <v>0</v>
      </c>
      <c r="P56" s="6">
        <v>0.33</v>
      </c>
      <c r="Q56" s="6">
        <v>9.32</v>
      </c>
      <c r="R56" s="6"/>
      <c r="S56" s="6"/>
      <c r="T56" s="156"/>
      <c r="U56" s="6"/>
    </row>
    <row r="57" spans="1:21" customFormat="1">
      <c r="A57" s="201" t="s">
        <v>1920</v>
      </c>
      <c r="B57" s="6">
        <v>1.83</v>
      </c>
      <c r="C57" s="6">
        <v>10.94</v>
      </c>
      <c r="D57" s="6">
        <v>7.19</v>
      </c>
      <c r="E57" s="6">
        <v>7.72</v>
      </c>
      <c r="F57" s="6">
        <v>13.38</v>
      </c>
      <c r="G57" s="6">
        <v>42.83</v>
      </c>
      <c r="H57" s="6">
        <v>9.68</v>
      </c>
      <c r="I57" s="6">
        <v>5.41</v>
      </c>
      <c r="J57" s="6">
        <v>0.18</v>
      </c>
      <c r="K57" s="6">
        <v>346.85</v>
      </c>
      <c r="L57" s="6">
        <v>22.23</v>
      </c>
      <c r="M57" s="6">
        <v>23.59</v>
      </c>
      <c r="N57" s="6">
        <v>599.5</v>
      </c>
      <c r="O57" s="6">
        <v>0</v>
      </c>
      <c r="P57" s="6">
        <v>0.33</v>
      </c>
      <c r="Q57" s="6">
        <v>9.32</v>
      </c>
      <c r="R57" s="6"/>
      <c r="S57" s="6"/>
      <c r="T57" s="156"/>
      <c r="U57" s="6"/>
    </row>
    <row r="58" spans="1:21" customFormat="1">
      <c r="A58" s="201" t="s">
        <v>1921</v>
      </c>
      <c r="B58" s="6">
        <v>1.86</v>
      </c>
      <c r="C58" s="6">
        <v>10.82</v>
      </c>
      <c r="D58" s="6">
        <v>7.14</v>
      </c>
      <c r="E58" s="6">
        <v>6.81</v>
      </c>
      <c r="F58" s="6">
        <v>10.76</v>
      </c>
      <c r="G58" s="6">
        <v>42.83</v>
      </c>
      <c r="H58" s="6">
        <v>9.68</v>
      </c>
      <c r="I58" s="6">
        <v>5.38</v>
      </c>
      <c r="J58" s="6">
        <v>0.28000000000000003</v>
      </c>
      <c r="K58" s="6">
        <v>82.93</v>
      </c>
      <c r="L58" s="6">
        <v>17.29</v>
      </c>
      <c r="M58" s="6">
        <v>11.58</v>
      </c>
      <c r="N58" s="6">
        <v>587</v>
      </c>
      <c r="O58" s="6">
        <v>0</v>
      </c>
      <c r="P58" s="6">
        <v>0.34</v>
      </c>
      <c r="Q58" s="6">
        <v>9.32</v>
      </c>
      <c r="R58" s="6"/>
      <c r="S58" s="6"/>
      <c r="T58" s="156"/>
      <c r="U58" s="6"/>
    </row>
    <row r="59" spans="1:21" customFormat="1">
      <c r="A59" s="201" t="s">
        <v>1922</v>
      </c>
      <c r="B59" s="6">
        <v>1.85</v>
      </c>
      <c r="C59" s="6">
        <v>10.83</v>
      </c>
      <c r="D59" s="6">
        <v>7.15</v>
      </c>
      <c r="E59" s="6">
        <v>7.47</v>
      </c>
      <c r="F59" s="6">
        <v>7.8</v>
      </c>
      <c r="G59" s="6">
        <v>42.79</v>
      </c>
      <c r="H59" s="6">
        <v>9.64</v>
      </c>
      <c r="I59" s="6">
        <v>5.42</v>
      </c>
      <c r="J59" s="6">
        <v>0.41</v>
      </c>
      <c r="K59" s="6">
        <v>50.33</v>
      </c>
      <c r="L59" s="6">
        <v>15.02</v>
      </c>
      <c r="M59" s="6">
        <v>6.46</v>
      </c>
      <c r="N59" s="6">
        <v>559.29999999999995</v>
      </c>
      <c r="O59" s="6">
        <v>0</v>
      </c>
      <c r="P59" s="6">
        <v>0.35</v>
      </c>
      <c r="Q59" s="6">
        <v>9.32</v>
      </c>
      <c r="R59" s="6"/>
      <c r="S59" s="6"/>
      <c r="T59" s="156"/>
      <c r="U59" s="6"/>
    </row>
    <row r="60" spans="1:21" customFormat="1">
      <c r="A60" s="201" t="s">
        <v>1923</v>
      </c>
      <c r="B60" s="6">
        <v>1.84</v>
      </c>
      <c r="C60" s="6">
        <v>11.42</v>
      </c>
      <c r="D60" s="6">
        <v>7.44</v>
      </c>
      <c r="E60" s="6">
        <v>9.0399999999999991</v>
      </c>
      <c r="F60" s="6">
        <v>19.2</v>
      </c>
      <c r="G60" s="6">
        <v>41.67</v>
      </c>
      <c r="H60" s="6">
        <v>8.33</v>
      </c>
      <c r="I60" s="6">
        <v>5.47</v>
      </c>
      <c r="J60" s="6">
        <v>0.33</v>
      </c>
      <c r="K60" s="6">
        <v>352.93</v>
      </c>
      <c r="L60" s="6">
        <v>23.62</v>
      </c>
      <c r="M60" s="6">
        <v>29.15</v>
      </c>
      <c r="N60" s="6">
        <v>505.6</v>
      </c>
      <c r="O60" s="6">
        <v>0</v>
      </c>
      <c r="P60" s="6">
        <v>0.35</v>
      </c>
      <c r="Q60" s="6">
        <v>9.32</v>
      </c>
      <c r="R60" s="6"/>
      <c r="S60" s="6"/>
      <c r="T60" s="156"/>
      <c r="U60" s="6"/>
    </row>
    <row r="61" spans="1:21" customFormat="1">
      <c r="A61" s="201" t="s">
        <v>1924</v>
      </c>
      <c r="B61" s="6">
        <v>1.91</v>
      </c>
      <c r="C61" s="6">
        <v>12.14</v>
      </c>
      <c r="D61" s="6">
        <v>7.87</v>
      </c>
      <c r="E61" s="6">
        <v>10.4</v>
      </c>
      <c r="F61" s="6">
        <v>12.71</v>
      </c>
      <c r="G61" s="6">
        <v>41.67</v>
      </c>
      <c r="H61" s="6">
        <v>8.33</v>
      </c>
      <c r="I61" s="6">
        <v>5.48</v>
      </c>
      <c r="J61" s="6">
        <v>0.4</v>
      </c>
      <c r="K61" s="6">
        <v>20.58</v>
      </c>
      <c r="L61" s="6">
        <v>17.57</v>
      </c>
      <c r="M61" s="6">
        <v>16.75</v>
      </c>
      <c r="N61" s="6">
        <v>387.5</v>
      </c>
      <c r="O61" s="6">
        <v>0</v>
      </c>
      <c r="P61" s="6">
        <v>0.38</v>
      </c>
      <c r="Q61" s="6">
        <v>9.32</v>
      </c>
      <c r="R61" s="6"/>
      <c r="S61" s="6"/>
      <c r="T61" s="156"/>
      <c r="U61" s="6"/>
    </row>
    <row r="62" spans="1:21" customFormat="1">
      <c r="A62" s="201" t="s">
        <v>1925</v>
      </c>
      <c r="B62" s="6">
        <v>2.08</v>
      </c>
      <c r="C62" s="6">
        <v>14.16</v>
      </c>
      <c r="D62" s="6">
        <v>9.07</v>
      </c>
      <c r="E62" s="6">
        <v>16.14</v>
      </c>
      <c r="F62" s="6">
        <v>46.21</v>
      </c>
      <c r="G62" s="6">
        <v>41.67</v>
      </c>
      <c r="H62" s="6">
        <v>8.33</v>
      </c>
      <c r="I62" s="6">
        <v>5.68</v>
      </c>
      <c r="J62" s="6">
        <v>0.69</v>
      </c>
      <c r="K62" s="6">
        <v>20.41</v>
      </c>
      <c r="L62" s="6">
        <v>14.65</v>
      </c>
      <c r="M62" s="6">
        <v>13.56</v>
      </c>
      <c r="N62" s="6">
        <v>211.1</v>
      </c>
      <c r="O62" s="6">
        <v>0</v>
      </c>
      <c r="P62" s="6">
        <v>0.4</v>
      </c>
      <c r="Q62" s="6">
        <v>9.32</v>
      </c>
      <c r="R62" s="6"/>
      <c r="S62" s="6"/>
      <c r="T62" s="156"/>
      <c r="U62" s="6"/>
    </row>
    <row r="63" spans="1:21" customFormat="1">
      <c r="A63" s="201" t="s">
        <v>1926</v>
      </c>
      <c r="B63" s="6">
        <v>1.95</v>
      </c>
      <c r="C63" s="6">
        <v>16.77</v>
      </c>
      <c r="D63" s="6">
        <v>10.33</v>
      </c>
      <c r="E63" s="6">
        <v>16.07</v>
      </c>
      <c r="F63" s="6">
        <v>37.57</v>
      </c>
      <c r="G63" s="6">
        <v>41.93</v>
      </c>
      <c r="H63" s="6">
        <v>8.34</v>
      </c>
      <c r="I63" s="6">
        <v>5.91</v>
      </c>
      <c r="J63" s="6">
        <v>0.6</v>
      </c>
      <c r="K63" s="6">
        <v>16.600000000000001</v>
      </c>
      <c r="L63" s="6">
        <v>15.17</v>
      </c>
      <c r="M63" s="6">
        <v>12.85</v>
      </c>
      <c r="N63" s="6">
        <v>295.8</v>
      </c>
      <c r="O63" s="6">
        <v>0</v>
      </c>
      <c r="P63" s="6">
        <v>0.42</v>
      </c>
      <c r="Q63" s="6">
        <v>9.32</v>
      </c>
      <c r="R63" s="6"/>
      <c r="S63" s="6"/>
      <c r="T63" s="156"/>
      <c r="U63" s="6"/>
    </row>
    <row r="64" spans="1:21" customFormat="1">
      <c r="A64" s="201" t="s">
        <v>1927</v>
      </c>
      <c r="B64" s="6">
        <v>1.9</v>
      </c>
      <c r="C64" s="6">
        <v>15.73</v>
      </c>
      <c r="D64" s="6">
        <v>9.74</v>
      </c>
      <c r="E64" s="6">
        <v>10.9</v>
      </c>
      <c r="F64" s="6">
        <v>26.07</v>
      </c>
      <c r="G64" s="6">
        <v>49.58</v>
      </c>
      <c r="H64" s="6">
        <v>8.77</v>
      </c>
      <c r="I64" s="6">
        <v>5.96</v>
      </c>
      <c r="J64" s="6">
        <v>0.69</v>
      </c>
      <c r="K64" s="6">
        <v>36.43</v>
      </c>
      <c r="L64" s="6">
        <v>10.96</v>
      </c>
      <c r="M64" s="6">
        <v>1.07</v>
      </c>
      <c r="N64" s="6">
        <v>347.9</v>
      </c>
      <c r="O64" s="6">
        <v>0</v>
      </c>
      <c r="P64" s="6">
        <v>0.41</v>
      </c>
      <c r="Q64" s="6">
        <v>9.32</v>
      </c>
      <c r="R64" s="6"/>
      <c r="S64" s="6"/>
      <c r="T64" s="156"/>
      <c r="U64" s="6"/>
    </row>
    <row r="65" spans="1:21" customFormat="1">
      <c r="A65" s="201" t="s">
        <v>1928</v>
      </c>
      <c r="B65" s="6">
        <v>2.0099999999999998</v>
      </c>
      <c r="C65" s="6">
        <v>14.57</v>
      </c>
      <c r="D65" s="6">
        <v>9.2200000000000006</v>
      </c>
      <c r="E65" s="6">
        <v>9.2200000000000006</v>
      </c>
      <c r="F65" s="6">
        <v>17.72</v>
      </c>
      <c r="G65" s="6">
        <v>49.58</v>
      </c>
      <c r="H65" s="6">
        <v>8.77</v>
      </c>
      <c r="I65" s="6">
        <v>6.03</v>
      </c>
      <c r="J65" s="6">
        <v>0.63</v>
      </c>
      <c r="K65" s="6">
        <v>31.65</v>
      </c>
      <c r="L65" s="6">
        <v>14.39</v>
      </c>
      <c r="M65" s="6">
        <v>7.66</v>
      </c>
      <c r="N65" s="6">
        <v>435</v>
      </c>
      <c r="O65" s="6">
        <v>0</v>
      </c>
      <c r="P65" s="6">
        <v>0.33</v>
      </c>
      <c r="Q65" s="6">
        <v>9.32</v>
      </c>
      <c r="R65" s="6"/>
      <c r="S65" s="6"/>
      <c r="T65" s="156"/>
      <c r="U65" s="6"/>
    </row>
    <row r="66" spans="1:21" customFormat="1">
      <c r="A66" s="201" t="s">
        <v>1929</v>
      </c>
      <c r="B66" s="6">
        <v>2.04</v>
      </c>
      <c r="C66" s="6">
        <v>15.07</v>
      </c>
      <c r="D66" s="6">
        <v>9.51</v>
      </c>
      <c r="E66" s="6">
        <v>12.7</v>
      </c>
      <c r="F66" s="6">
        <v>41.28</v>
      </c>
      <c r="G66" s="6">
        <v>49.58</v>
      </c>
      <c r="H66" s="6">
        <v>8.77</v>
      </c>
      <c r="I66" s="6">
        <v>6.11</v>
      </c>
      <c r="J66" s="6">
        <v>0.53</v>
      </c>
      <c r="K66" s="6">
        <v>29.71</v>
      </c>
      <c r="L66" s="6">
        <v>14.69</v>
      </c>
      <c r="M66" s="6">
        <v>12.62</v>
      </c>
      <c r="N66" s="6">
        <v>257.89999999999998</v>
      </c>
      <c r="O66" s="6">
        <v>0</v>
      </c>
      <c r="P66" s="6">
        <v>0.33</v>
      </c>
      <c r="Q66" s="6">
        <v>9.32</v>
      </c>
      <c r="R66" s="6"/>
      <c r="S66" s="6"/>
      <c r="T66" s="156"/>
      <c r="U66" s="6"/>
    </row>
    <row r="67" spans="1:21" customFormat="1">
      <c r="A67" s="201" t="s">
        <v>1930</v>
      </c>
      <c r="B67" s="6">
        <v>1.9</v>
      </c>
      <c r="C67" s="6">
        <v>14.86</v>
      </c>
      <c r="D67" s="6">
        <v>9.2899999999999991</v>
      </c>
      <c r="E67" s="6">
        <v>10.38</v>
      </c>
      <c r="F67" s="6">
        <v>15.68</v>
      </c>
      <c r="G67" s="6">
        <v>49.45</v>
      </c>
      <c r="H67" s="6">
        <v>8.76</v>
      </c>
      <c r="I67" s="6">
        <v>6.05</v>
      </c>
      <c r="J67" s="6">
        <v>0.56000000000000005</v>
      </c>
      <c r="K67" s="6">
        <v>36.67</v>
      </c>
      <c r="L67" s="6">
        <v>7.85</v>
      </c>
      <c r="M67" s="6">
        <v>-0.03</v>
      </c>
      <c r="N67" s="6">
        <v>66</v>
      </c>
      <c r="O67" s="6">
        <v>0</v>
      </c>
      <c r="P67" s="6">
        <v>0.32</v>
      </c>
      <c r="Q67" s="6">
        <v>9.32</v>
      </c>
      <c r="R67" s="6"/>
      <c r="S67" s="6"/>
      <c r="T67" s="156"/>
      <c r="U67" s="6"/>
    </row>
    <row r="68" spans="1:21" customFormat="1">
      <c r="A68" s="201" t="s">
        <v>1931</v>
      </c>
      <c r="B68" s="6">
        <v>2</v>
      </c>
      <c r="C68" s="6">
        <v>14.96</v>
      </c>
      <c r="D68" s="6">
        <v>9.42</v>
      </c>
      <c r="E68" s="6">
        <v>10.08</v>
      </c>
      <c r="F68" s="6">
        <v>23.87</v>
      </c>
      <c r="G68" s="6">
        <v>45.47</v>
      </c>
      <c r="H68" s="6">
        <v>8.51</v>
      </c>
      <c r="I68" s="6">
        <v>5.89</v>
      </c>
      <c r="J68" s="6">
        <v>0.71</v>
      </c>
      <c r="K68" s="6">
        <v>27.55</v>
      </c>
      <c r="L68" s="6">
        <v>12.39</v>
      </c>
      <c r="M68" s="6">
        <v>11.47</v>
      </c>
      <c r="N68" s="6">
        <v>54.1</v>
      </c>
      <c r="O68" s="6">
        <v>0</v>
      </c>
      <c r="P68" s="6">
        <v>0.33</v>
      </c>
      <c r="Q68" s="6">
        <v>9.32</v>
      </c>
      <c r="R68" s="6"/>
      <c r="S68" s="6"/>
      <c r="T68" s="156"/>
      <c r="U68" s="6"/>
    </row>
    <row r="69" spans="1:21" customFormat="1">
      <c r="A69" s="201" t="s">
        <v>1932</v>
      </c>
      <c r="B69" s="6">
        <v>2.09</v>
      </c>
      <c r="C69" s="6">
        <v>16.89</v>
      </c>
      <c r="D69" s="6">
        <v>10.5</v>
      </c>
      <c r="E69" s="6">
        <v>12.21</v>
      </c>
      <c r="F69" s="6">
        <v>54.25</v>
      </c>
      <c r="G69" s="6">
        <v>45.47</v>
      </c>
      <c r="H69" s="6">
        <v>8.51</v>
      </c>
      <c r="I69" s="6">
        <v>5.85</v>
      </c>
      <c r="J69" s="6">
        <v>0.59</v>
      </c>
      <c r="K69" s="6">
        <v>19.25</v>
      </c>
      <c r="L69" s="6">
        <v>15.34</v>
      </c>
      <c r="M69" s="6">
        <v>18.260000000000002</v>
      </c>
      <c r="N69" s="6">
        <v>49.5</v>
      </c>
      <c r="O69" s="6">
        <v>0</v>
      </c>
      <c r="P69" s="6">
        <v>0.3</v>
      </c>
      <c r="Q69" s="6">
        <v>9.32</v>
      </c>
      <c r="R69" s="6"/>
      <c r="S69" s="6"/>
      <c r="T69" s="156"/>
      <c r="U69" s="6"/>
    </row>
    <row r="70" spans="1:21" customFormat="1">
      <c r="A70" s="201" t="s">
        <v>1933</v>
      </c>
      <c r="B70" s="6">
        <v>2.0299999999999998</v>
      </c>
      <c r="C70" s="6">
        <v>18.97</v>
      </c>
      <c r="D70" s="6">
        <v>11.54</v>
      </c>
      <c r="E70" s="6">
        <v>15.05</v>
      </c>
      <c r="F70" s="6">
        <v>63.37</v>
      </c>
      <c r="G70" s="6">
        <v>45.47</v>
      </c>
      <c r="H70" s="6">
        <v>8.51</v>
      </c>
      <c r="I70" s="6">
        <v>5.62</v>
      </c>
      <c r="J70" s="6">
        <v>0.59</v>
      </c>
      <c r="K70" s="6">
        <v>30.14</v>
      </c>
      <c r="L70" s="6">
        <v>11.41</v>
      </c>
      <c r="M70" s="6">
        <v>9.31</v>
      </c>
      <c r="N70" s="6">
        <v>45</v>
      </c>
      <c r="O70" s="6">
        <v>0</v>
      </c>
      <c r="P70" s="6">
        <v>0.28000000000000003</v>
      </c>
      <c r="Q70" s="6">
        <v>9.32</v>
      </c>
      <c r="R70" s="6"/>
      <c r="S70" s="6"/>
      <c r="T70" s="156"/>
      <c r="U70" s="6"/>
    </row>
    <row r="71" spans="1:21" customFormat="1">
      <c r="A71" s="201" t="s">
        <v>1934</v>
      </c>
      <c r="B71" s="6">
        <v>1.75</v>
      </c>
      <c r="C71" s="6">
        <v>21.75</v>
      </c>
      <c r="D71" s="6">
        <v>12.77</v>
      </c>
      <c r="E71" s="6">
        <v>15.25</v>
      </c>
      <c r="F71" s="6">
        <v>59.1</v>
      </c>
      <c r="G71" s="6">
        <v>45.41</v>
      </c>
      <c r="H71" s="6">
        <v>8.5</v>
      </c>
      <c r="I71" s="6">
        <v>5.09</v>
      </c>
      <c r="J71" s="6">
        <v>0.64</v>
      </c>
      <c r="K71" s="6">
        <v>34.28</v>
      </c>
      <c r="L71" s="6">
        <v>6.8</v>
      </c>
      <c r="M71" s="6">
        <v>-2.11</v>
      </c>
      <c r="N71" s="6">
        <v>36.299999999999997</v>
      </c>
      <c r="O71" s="6">
        <v>0</v>
      </c>
      <c r="P71" s="6">
        <v>0.32</v>
      </c>
      <c r="Q71" s="6">
        <v>9.32</v>
      </c>
      <c r="R71" s="6"/>
      <c r="S71" s="6"/>
      <c r="T71" s="156"/>
      <c r="U71" s="6"/>
    </row>
    <row r="72" spans="1:21" customFormat="1">
      <c r="A72" s="201" t="s">
        <v>1935</v>
      </c>
      <c r="B72" s="6">
        <v>1.7</v>
      </c>
      <c r="C72" s="6">
        <v>21.07</v>
      </c>
      <c r="D72" s="6">
        <v>12.37</v>
      </c>
      <c r="E72" s="6">
        <v>12.14</v>
      </c>
      <c r="F72" s="6">
        <v>53.22</v>
      </c>
      <c r="G72" s="6">
        <v>43.61</v>
      </c>
      <c r="H72" s="6">
        <v>7.99</v>
      </c>
      <c r="I72" s="6">
        <v>4.91</v>
      </c>
      <c r="J72" s="6">
        <v>0.59</v>
      </c>
      <c r="K72" s="6">
        <v>27.9</v>
      </c>
      <c r="L72" s="6">
        <v>8.98</v>
      </c>
      <c r="M72" s="6">
        <v>3.38</v>
      </c>
      <c r="N72" s="6">
        <v>31.2</v>
      </c>
      <c r="O72" s="6">
        <v>0</v>
      </c>
      <c r="P72" s="6">
        <v>0.31</v>
      </c>
      <c r="Q72" s="6">
        <v>9.32</v>
      </c>
      <c r="R72" s="6"/>
      <c r="S72" s="6"/>
      <c r="T72" s="156"/>
      <c r="U72" s="6"/>
    </row>
    <row r="73" spans="1:21" customFormat="1">
      <c r="A73" s="201" t="s">
        <v>1936</v>
      </c>
      <c r="B73" s="6">
        <v>1.75</v>
      </c>
      <c r="C73" s="6">
        <v>21.79</v>
      </c>
      <c r="D73" s="6">
        <v>12.79</v>
      </c>
      <c r="E73" s="6">
        <v>11.23</v>
      </c>
      <c r="F73" s="6">
        <v>52.57</v>
      </c>
      <c r="G73" s="6">
        <v>43.61</v>
      </c>
      <c r="H73" s="6">
        <v>7.99</v>
      </c>
      <c r="I73" s="6">
        <v>5.92</v>
      </c>
      <c r="J73" s="6">
        <v>0.52</v>
      </c>
      <c r="K73" s="6">
        <v>35.97</v>
      </c>
      <c r="L73" s="6">
        <v>9.35</v>
      </c>
      <c r="M73" s="6">
        <v>4.38</v>
      </c>
      <c r="N73" s="6">
        <v>27.5</v>
      </c>
      <c r="O73" s="6">
        <v>0</v>
      </c>
      <c r="P73" s="6">
        <v>0.35</v>
      </c>
      <c r="Q73" s="6">
        <v>9.32</v>
      </c>
      <c r="R73" s="6"/>
      <c r="S73" s="6"/>
      <c r="T73" s="156"/>
      <c r="U73" s="6"/>
    </row>
    <row r="74" spans="1:21" customFormat="1">
      <c r="A74" s="201" t="s">
        <v>1937</v>
      </c>
      <c r="B74" s="6">
        <v>1.9</v>
      </c>
      <c r="C74" s="6">
        <v>21.85</v>
      </c>
      <c r="D74" s="6">
        <v>12.94</v>
      </c>
      <c r="E74" s="6">
        <v>10.42</v>
      </c>
      <c r="F74" s="6">
        <v>38.82</v>
      </c>
      <c r="G74" s="6">
        <v>43.61</v>
      </c>
      <c r="H74" s="6">
        <v>7.99</v>
      </c>
      <c r="I74" s="6">
        <v>6.33</v>
      </c>
      <c r="J74" s="6">
        <v>0.38</v>
      </c>
      <c r="K74" s="6">
        <v>40.119999999999997</v>
      </c>
      <c r="L74" s="6">
        <v>8.06</v>
      </c>
      <c r="M74" s="6">
        <v>1.22</v>
      </c>
      <c r="N74" s="6">
        <v>24.2</v>
      </c>
      <c r="O74" s="6">
        <v>0</v>
      </c>
      <c r="P74" s="6">
        <v>0.39</v>
      </c>
      <c r="Q74" s="6">
        <v>9.32</v>
      </c>
      <c r="R74" s="6"/>
      <c r="S74" s="6"/>
      <c r="T74" s="156"/>
      <c r="U74" s="6"/>
    </row>
    <row r="75" spans="1:21" customFormat="1">
      <c r="A75" s="201" t="s">
        <v>1938</v>
      </c>
      <c r="B75" s="6">
        <v>2.3199999999999998</v>
      </c>
      <c r="C75" s="6">
        <v>20.82</v>
      </c>
      <c r="D75" s="6">
        <v>12.74</v>
      </c>
      <c r="E75" s="6">
        <v>7.84</v>
      </c>
      <c r="F75" s="6">
        <v>22.1</v>
      </c>
      <c r="G75" s="6">
        <v>43.51</v>
      </c>
      <c r="H75" s="6">
        <v>8</v>
      </c>
      <c r="I75" s="6">
        <v>5.09</v>
      </c>
      <c r="J75" s="6">
        <v>0.38</v>
      </c>
      <c r="K75" s="6">
        <v>35.049999999999997</v>
      </c>
      <c r="L75" s="6">
        <v>8.8800000000000008</v>
      </c>
      <c r="M75" s="6">
        <v>3.46</v>
      </c>
      <c r="N75" s="6">
        <v>19.3</v>
      </c>
      <c r="O75" s="6">
        <v>0</v>
      </c>
      <c r="P75" s="6">
        <v>0.38</v>
      </c>
      <c r="Q75" s="6">
        <v>9.32</v>
      </c>
      <c r="R75" s="6"/>
      <c r="S75" s="6"/>
      <c r="T75" s="156"/>
      <c r="U75" s="6"/>
    </row>
    <row r="76" spans="1:21" customFormat="1">
      <c r="A76" s="201" t="s">
        <v>1939</v>
      </c>
      <c r="B76" s="6">
        <v>5.56</v>
      </c>
      <c r="C76" s="6">
        <v>28.27</v>
      </c>
      <c r="D76" s="6">
        <v>19.23</v>
      </c>
      <c r="E76" s="6">
        <v>10.18</v>
      </c>
      <c r="F76" s="6">
        <v>29.71</v>
      </c>
      <c r="G76" s="6">
        <v>40.42</v>
      </c>
      <c r="H76" s="6">
        <v>8.3800000000000008</v>
      </c>
      <c r="I76" s="6">
        <v>5.44</v>
      </c>
      <c r="J76" s="6">
        <v>0.31</v>
      </c>
      <c r="K76" s="6">
        <v>38.97</v>
      </c>
      <c r="L76" s="6">
        <v>8.3000000000000007</v>
      </c>
      <c r="M76" s="6">
        <v>2.13</v>
      </c>
      <c r="N76" s="6">
        <v>14.7</v>
      </c>
      <c r="O76" s="6">
        <v>0</v>
      </c>
      <c r="P76" s="6">
        <v>0.39</v>
      </c>
      <c r="Q76" s="6">
        <v>9.32</v>
      </c>
      <c r="R76" s="6"/>
      <c r="S76" s="6"/>
      <c r="T76" s="156"/>
      <c r="U76" s="6"/>
    </row>
    <row r="77" spans="1:21" customFormat="1">
      <c r="A77" s="201" t="s">
        <v>1940</v>
      </c>
      <c r="B77" s="6">
        <v>3.92</v>
      </c>
      <c r="C77" s="6">
        <v>30.08</v>
      </c>
      <c r="D77" s="6">
        <v>18.86</v>
      </c>
      <c r="E77" s="6">
        <v>10.68</v>
      </c>
      <c r="F77" s="6">
        <v>31.35</v>
      </c>
      <c r="G77" s="6">
        <v>40.42</v>
      </c>
      <c r="H77" s="6">
        <v>8.3800000000000008</v>
      </c>
      <c r="I77" s="6">
        <v>6.41</v>
      </c>
      <c r="J77" s="6">
        <v>0.31</v>
      </c>
      <c r="K77" s="6">
        <v>42</v>
      </c>
      <c r="L77" s="6">
        <v>7.61</v>
      </c>
      <c r="M77" s="6">
        <v>0.55000000000000004</v>
      </c>
      <c r="N77" s="6">
        <v>10</v>
      </c>
      <c r="O77" s="6">
        <v>0</v>
      </c>
      <c r="P77" s="6">
        <v>0.38</v>
      </c>
      <c r="Q77" s="6">
        <v>9.32</v>
      </c>
      <c r="R77" s="6"/>
      <c r="S77" s="6"/>
      <c r="T77" s="156"/>
      <c r="U77" s="6"/>
    </row>
    <row r="78" spans="1:21" customFormat="1">
      <c r="A78" s="201" t="s">
        <v>1941</v>
      </c>
      <c r="B78" s="6">
        <v>2.68</v>
      </c>
      <c r="C78" s="6">
        <v>30.99</v>
      </c>
      <c r="D78" s="6">
        <v>18.34</v>
      </c>
      <c r="E78" s="6">
        <v>9.94</v>
      </c>
      <c r="F78" s="6">
        <v>30.18</v>
      </c>
      <c r="G78" s="6">
        <v>40.42</v>
      </c>
      <c r="H78" s="6">
        <v>8.3800000000000008</v>
      </c>
      <c r="I78" s="6">
        <v>6.92</v>
      </c>
      <c r="J78" s="6">
        <v>0.12</v>
      </c>
      <c r="K78" s="6">
        <v>79.5</v>
      </c>
      <c r="L78" s="6">
        <v>9.94</v>
      </c>
      <c r="M78" s="6">
        <v>6.65</v>
      </c>
      <c r="N78" s="6">
        <v>6</v>
      </c>
      <c r="O78" s="6">
        <v>0</v>
      </c>
      <c r="P78" s="6">
        <v>0.43</v>
      </c>
      <c r="Q78" s="6">
        <v>9.32</v>
      </c>
      <c r="R78" s="6"/>
      <c r="S78" s="6"/>
      <c r="T78" s="156"/>
      <c r="U78" s="6"/>
    </row>
    <row r="79" spans="1:21" customFormat="1">
      <c r="A79" s="201" t="s">
        <v>1942</v>
      </c>
      <c r="B79" s="6">
        <v>1.96</v>
      </c>
      <c r="C79" s="6">
        <v>25.84</v>
      </c>
      <c r="D79" s="6">
        <v>15.07</v>
      </c>
      <c r="E79" s="6">
        <v>7.81</v>
      </c>
      <c r="F79" s="6">
        <v>11.75</v>
      </c>
      <c r="G79" s="6">
        <v>40.53</v>
      </c>
      <c r="H79" s="6">
        <v>8.4</v>
      </c>
      <c r="I79" s="6">
        <v>6.87</v>
      </c>
      <c r="J79" s="6">
        <v>0.11</v>
      </c>
      <c r="K79" s="6">
        <v>61.11</v>
      </c>
      <c r="L79" s="6">
        <v>10.199999999999999</v>
      </c>
      <c r="M79" s="6">
        <v>7.33</v>
      </c>
      <c r="N79" s="6">
        <v>3.4</v>
      </c>
      <c r="O79" s="6">
        <v>0</v>
      </c>
      <c r="P79" s="6">
        <v>0.47</v>
      </c>
      <c r="Q79" s="6">
        <v>9.32</v>
      </c>
      <c r="R79" s="6"/>
      <c r="S79" s="6"/>
      <c r="T79" s="156"/>
      <c r="U79" s="6"/>
    </row>
    <row r="80" spans="1:21" customFormat="1">
      <c r="A80" s="201" t="s">
        <v>1943</v>
      </c>
      <c r="B80" s="6">
        <v>1.85</v>
      </c>
      <c r="C80" s="6">
        <v>21.27</v>
      </c>
      <c r="D80" s="6">
        <v>12.59</v>
      </c>
      <c r="E80" s="6">
        <v>5.93</v>
      </c>
      <c r="F80" s="6">
        <v>2.2000000000000002</v>
      </c>
      <c r="G80" s="6">
        <v>43.6</v>
      </c>
      <c r="H80" s="6">
        <v>9.1</v>
      </c>
      <c r="I80" s="6">
        <v>7.2</v>
      </c>
      <c r="J80" s="6">
        <v>0.3</v>
      </c>
      <c r="K80" s="6">
        <v>154.54</v>
      </c>
      <c r="L80" s="6">
        <v>15.21</v>
      </c>
      <c r="M80" s="6">
        <v>20.07</v>
      </c>
      <c r="N80" s="6">
        <v>3.1</v>
      </c>
      <c r="O80" s="6">
        <v>0</v>
      </c>
      <c r="P80" s="6">
        <v>0.47</v>
      </c>
      <c r="Q80" s="6">
        <v>9.32</v>
      </c>
      <c r="R80" s="6"/>
      <c r="S80" s="6"/>
      <c r="T80" s="156"/>
      <c r="U80" s="6"/>
    </row>
    <row r="81" spans="1:21" customFormat="1">
      <c r="A81" s="201" t="s">
        <v>1944</v>
      </c>
      <c r="B81" s="6">
        <v>1.82</v>
      </c>
      <c r="C81" s="6">
        <v>17.91</v>
      </c>
      <c r="D81" s="6">
        <v>10.82</v>
      </c>
      <c r="E81" s="6">
        <v>5.37</v>
      </c>
      <c r="F81" s="6">
        <v>2</v>
      </c>
      <c r="G81" s="6">
        <v>43.6</v>
      </c>
      <c r="H81" s="6">
        <v>9.1</v>
      </c>
      <c r="I81" s="6">
        <v>7.57</v>
      </c>
      <c r="J81" s="6">
        <v>0.24</v>
      </c>
      <c r="K81" s="6">
        <v>150.04</v>
      </c>
      <c r="L81" s="6">
        <v>14.55</v>
      </c>
      <c r="M81" s="6">
        <v>18.45</v>
      </c>
      <c r="N81" s="6">
        <v>2.5</v>
      </c>
      <c r="O81" s="6">
        <v>0</v>
      </c>
      <c r="P81" s="6">
        <v>0.45</v>
      </c>
      <c r="Q81" s="6">
        <v>9.32</v>
      </c>
      <c r="R81" s="6"/>
      <c r="S81" s="6"/>
      <c r="T81" s="156"/>
      <c r="U81" s="6"/>
    </row>
    <row r="82" spans="1:21" customFormat="1">
      <c r="A82" s="201" t="s">
        <v>1945</v>
      </c>
      <c r="B82" s="6">
        <v>2.09</v>
      </c>
      <c r="C82" s="6">
        <v>15.03</v>
      </c>
      <c r="D82" s="6">
        <v>9.5299999999999994</v>
      </c>
      <c r="E82" s="6">
        <v>5.8</v>
      </c>
      <c r="F82" s="6">
        <v>2</v>
      </c>
      <c r="G82" s="6">
        <v>43.6</v>
      </c>
      <c r="H82" s="6">
        <v>9.1</v>
      </c>
      <c r="I82" s="6">
        <v>8.1199999999999992</v>
      </c>
      <c r="J82" s="6">
        <v>0.19</v>
      </c>
      <c r="K82" s="6">
        <v>156.41</v>
      </c>
      <c r="L82" s="6">
        <v>15.52</v>
      </c>
      <c r="M82" s="6">
        <v>20.9</v>
      </c>
      <c r="N82" s="6">
        <v>2.5</v>
      </c>
      <c r="O82" s="6">
        <v>0</v>
      </c>
      <c r="P82" s="6">
        <v>0.46</v>
      </c>
      <c r="Q82" s="6">
        <v>9.32</v>
      </c>
      <c r="R82" s="6"/>
      <c r="S82" s="6"/>
      <c r="T82" s="156"/>
      <c r="U82" s="6"/>
    </row>
    <row r="83" spans="1:21" customFormat="1">
      <c r="A83" s="201" t="s">
        <v>1946</v>
      </c>
      <c r="B83" s="6">
        <v>2.21</v>
      </c>
      <c r="C83" s="6">
        <v>13.83</v>
      </c>
      <c r="D83" s="6">
        <v>9</v>
      </c>
      <c r="E83" s="6">
        <v>6.7</v>
      </c>
      <c r="F83" s="6">
        <v>2.12</v>
      </c>
      <c r="G83" s="6">
        <v>43.74</v>
      </c>
      <c r="H83" s="6">
        <v>9.11</v>
      </c>
      <c r="I83" s="6">
        <v>8.51</v>
      </c>
      <c r="J83" s="6">
        <v>0.15</v>
      </c>
      <c r="K83" s="6">
        <v>136.24</v>
      </c>
      <c r="L83" s="6">
        <v>13.69</v>
      </c>
      <c r="M83" s="6">
        <v>16.260000000000002</v>
      </c>
      <c r="N83" s="6">
        <v>2.1</v>
      </c>
      <c r="O83" s="6">
        <v>0</v>
      </c>
      <c r="P83" s="6">
        <v>0.46</v>
      </c>
      <c r="Q83" s="6">
        <v>9.32</v>
      </c>
      <c r="R83" s="6"/>
      <c r="S83" s="6"/>
      <c r="T83" s="156"/>
      <c r="U83" s="6"/>
    </row>
    <row r="84" spans="1:21" customFormat="1">
      <c r="A84" s="201" t="s">
        <v>1947</v>
      </c>
      <c r="B84" s="6">
        <v>2.42</v>
      </c>
      <c r="C84" s="6">
        <v>12.09</v>
      </c>
      <c r="D84" s="6">
        <v>8.26</v>
      </c>
      <c r="E84" s="6">
        <v>5.48</v>
      </c>
      <c r="F84" s="6">
        <v>2</v>
      </c>
      <c r="G84" s="6">
        <v>47.98</v>
      </c>
      <c r="H84" s="6">
        <v>9.42</v>
      </c>
      <c r="I84" s="6">
        <v>8.85</v>
      </c>
      <c r="J84" s="6">
        <v>0.2</v>
      </c>
      <c r="K84" s="6">
        <v>143.31</v>
      </c>
      <c r="L84" s="6">
        <v>14.48</v>
      </c>
      <c r="M84" s="6">
        <v>18.21</v>
      </c>
      <c r="N84" s="6">
        <v>2.2000000000000002</v>
      </c>
      <c r="O84" s="6">
        <v>0</v>
      </c>
      <c r="P84" s="6">
        <v>0.46</v>
      </c>
      <c r="Q84" s="6">
        <v>9.32</v>
      </c>
      <c r="R84" s="6"/>
      <c r="S84" s="6"/>
      <c r="T84" s="156"/>
      <c r="U84" s="6"/>
    </row>
    <row r="85" spans="1:21" customFormat="1">
      <c r="A85" s="201" t="s">
        <v>1948</v>
      </c>
      <c r="B85" s="6">
        <v>2.69</v>
      </c>
      <c r="C85" s="6">
        <v>10.52</v>
      </c>
      <c r="D85" s="6">
        <v>7.65</v>
      </c>
      <c r="E85" s="6">
        <v>5.57</v>
      </c>
      <c r="F85" s="6">
        <v>2</v>
      </c>
      <c r="G85" s="6">
        <v>47.98</v>
      </c>
      <c r="H85" s="6">
        <v>9.42</v>
      </c>
      <c r="I85" s="6">
        <v>9.5299999999999994</v>
      </c>
      <c r="J85" s="6">
        <v>0.19</v>
      </c>
      <c r="K85" s="6">
        <v>148.09</v>
      </c>
      <c r="L85" s="6">
        <v>14.47</v>
      </c>
      <c r="M85" s="6">
        <v>18.3</v>
      </c>
      <c r="N85" s="6">
        <v>2.2000000000000002</v>
      </c>
      <c r="O85" s="6">
        <v>0</v>
      </c>
      <c r="P85" s="6">
        <v>0.47</v>
      </c>
      <c r="Q85" s="6">
        <v>9.32</v>
      </c>
      <c r="R85" s="6"/>
      <c r="S85" s="6"/>
      <c r="T85" s="156"/>
      <c r="U85" s="6"/>
    </row>
    <row r="86" spans="1:21" customFormat="1">
      <c r="A86" s="201" t="s">
        <v>1949</v>
      </c>
      <c r="B86" s="6">
        <v>2.83</v>
      </c>
      <c r="C86" s="6">
        <v>9.44</v>
      </c>
      <c r="D86" s="6">
        <v>7.2</v>
      </c>
      <c r="E86" s="6">
        <v>5.47</v>
      </c>
      <c r="F86" s="6">
        <v>2</v>
      </c>
      <c r="G86" s="6">
        <v>47.98</v>
      </c>
      <c r="H86" s="6">
        <v>9.42</v>
      </c>
      <c r="I86" s="6">
        <v>8.6999999999999993</v>
      </c>
      <c r="J86" s="6">
        <v>0.15</v>
      </c>
      <c r="K86" s="6">
        <v>147.08000000000001</v>
      </c>
      <c r="L86" s="6">
        <v>14.46</v>
      </c>
      <c r="M86" s="6">
        <v>18.3</v>
      </c>
      <c r="N86" s="6">
        <v>2.2000000000000002</v>
      </c>
      <c r="O86" s="6">
        <v>0</v>
      </c>
      <c r="P86" s="6">
        <v>0.47</v>
      </c>
      <c r="Q86" s="6">
        <v>9.32</v>
      </c>
      <c r="R86" s="6"/>
      <c r="S86" s="6"/>
      <c r="T86" s="156"/>
      <c r="U86" s="6"/>
    </row>
    <row r="87" spans="1:21" customFormat="1">
      <c r="A87" s="201" t="s">
        <v>1950</v>
      </c>
      <c r="B87" s="6">
        <v>2.9</v>
      </c>
      <c r="C87" s="6">
        <v>9.11</v>
      </c>
      <c r="D87" s="6">
        <v>7.08</v>
      </c>
      <c r="E87" s="6">
        <v>5.55</v>
      </c>
      <c r="F87" s="6">
        <v>2.3199999999999998</v>
      </c>
      <c r="G87" s="6">
        <v>48.06</v>
      </c>
      <c r="H87" s="6">
        <v>9.4600000000000009</v>
      </c>
      <c r="I87" s="6">
        <v>6.99</v>
      </c>
      <c r="J87" s="6">
        <v>0.17</v>
      </c>
      <c r="K87" s="6">
        <v>145.91999999999999</v>
      </c>
      <c r="L87" s="6">
        <v>14.72</v>
      </c>
      <c r="M87" s="6">
        <v>18.93</v>
      </c>
      <c r="N87" s="6">
        <v>2.1</v>
      </c>
      <c r="O87" s="6">
        <v>0</v>
      </c>
      <c r="P87" s="6">
        <v>0.45</v>
      </c>
      <c r="Q87" s="6">
        <v>9.32</v>
      </c>
      <c r="R87" s="6"/>
      <c r="S87" s="6"/>
      <c r="T87" s="156"/>
      <c r="U87" s="6"/>
    </row>
    <row r="88" spans="1:21" customFormat="1">
      <c r="A88" s="201" t="s">
        <v>1951</v>
      </c>
      <c r="B88" s="6">
        <v>2.94</v>
      </c>
      <c r="C88" s="6">
        <v>8.69</v>
      </c>
      <c r="D88" s="6">
        <v>6.9</v>
      </c>
      <c r="E88" s="6">
        <v>5.36</v>
      </c>
      <c r="F88" s="6">
        <v>2</v>
      </c>
      <c r="G88" s="6">
        <v>50.39</v>
      </c>
      <c r="H88" s="6">
        <v>10.79</v>
      </c>
      <c r="I88" s="6">
        <v>7.62</v>
      </c>
      <c r="J88" s="6">
        <v>0.14000000000000001</v>
      </c>
      <c r="K88" s="6">
        <v>135.97</v>
      </c>
      <c r="L88" s="6">
        <v>13.24</v>
      </c>
      <c r="M88" s="6">
        <v>15.22</v>
      </c>
      <c r="N88" s="6">
        <v>2.1</v>
      </c>
      <c r="O88" s="6">
        <v>0</v>
      </c>
      <c r="P88" s="6">
        <v>0.46</v>
      </c>
      <c r="Q88" s="6">
        <v>9.32</v>
      </c>
      <c r="R88" s="6"/>
      <c r="S88" s="6"/>
      <c r="T88" s="156"/>
      <c r="U88" s="6"/>
    </row>
    <row r="89" spans="1:21" customFormat="1">
      <c r="A89" s="201" t="s">
        <v>1952</v>
      </c>
      <c r="B89" s="6">
        <v>2.98</v>
      </c>
      <c r="C89" s="6">
        <v>8.57</v>
      </c>
      <c r="D89" s="6">
        <v>6.87</v>
      </c>
      <c r="E89" s="6">
        <v>5.44</v>
      </c>
      <c r="F89" s="6">
        <v>2</v>
      </c>
      <c r="G89" s="6">
        <v>50.39</v>
      </c>
      <c r="H89" s="6">
        <v>10.79</v>
      </c>
      <c r="I89" s="6">
        <v>8.69</v>
      </c>
      <c r="J89" s="6">
        <v>0.14000000000000001</v>
      </c>
      <c r="K89" s="6">
        <v>109.34</v>
      </c>
      <c r="L89" s="6">
        <v>11.77</v>
      </c>
      <c r="M89" s="6">
        <v>11.5</v>
      </c>
      <c r="N89" s="6">
        <v>2.1</v>
      </c>
      <c r="O89" s="6">
        <v>0</v>
      </c>
      <c r="P89" s="6">
        <v>0.46</v>
      </c>
      <c r="Q89" s="6">
        <v>9.32</v>
      </c>
      <c r="R89" s="6"/>
      <c r="S89" s="6"/>
      <c r="T89" s="156"/>
      <c r="U89" s="6"/>
    </row>
    <row r="90" spans="1:21" customFormat="1">
      <c r="A90" s="201" t="s">
        <v>1953</v>
      </c>
      <c r="B90" s="6">
        <v>3.1</v>
      </c>
      <c r="C90" s="6">
        <v>8.36</v>
      </c>
      <c r="D90" s="6">
        <v>6.86</v>
      </c>
      <c r="E90" s="6">
        <v>5.72</v>
      </c>
      <c r="F90" s="6">
        <v>2</v>
      </c>
      <c r="G90" s="6">
        <v>50.39</v>
      </c>
      <c r="H90" s="6">
        <v>10.79</v>
      </c>
      <c r="I90" s="6">
        <v>8.6300000000000008</v>
      </c>
      <c r="J90" s="6">
        <v>0.15</v>
      </c>
      <c r="K90" s="6">
        <v>75.72</v>
      </c>
      <c r="L90" s="6">
        <v>9.6</v>
      </c>
      <c r="M90" s="6">
        <v>5.97</v>
      </c>
      <c r="N90" s="6">
        <v>2</v>
      </c>
      <c r="O90" s="6">
        <v>0</v>
      </c>
      <c r="P90" s="6">
        <v>0.47</v>
      </c>
      <c r="Q90" s="6">
        <v>9.32</v>
      </c>
      <c r="R90" s="6"/>
      <c r="S90" s="6"/>
      <c r="T90" s="156"/>
      <c r="U90" s="6"/>
    </row>
    <row r="91" spans="1:21" customFormat="1">
      <c r="A91" s="201" t="s">
        <v>1954</v>
      </c>
      <c r="B91" s="6">
        <v>3.21</v>
      </c>
      <c r="C91" s="6">
        <v>8.59</v>
      </c>
      <c r="D91" s="6">
        <v>7.07</v>
      </c>
      <c r="E91" s="6">
        <v>5.12</v>
      </c>
      <c r="F91" s="6">
        <v>2</v>
      </c>
      <c r="G91" s="6">
        <v>50.44</v>
      </c>
      <c r="H91" s="6">
        <v>10.79</v>
      </c>
      <c r="I91" s="6">
        <v>8.68</v>
      </c>
      <c r="J91" s="6">
        <v>0.28000000000000003</v>
      </c>
      <c r="K91" s="6">
        <v>53.02</v>
      </c>
      <c r="L91" s="6">
        <v>7.87</v>
      </c>
      <c r="M91" s="6">
        <v>1.6</v>
      </c>
      <c r="N91" s="6">
        <v>2</v>
      </c>
      <c r="O91" s="6">
        <v>0</v>
      </c>
      <c r="P91" s="6">
        <v>0.47</v>
      </c>
      <c r="Q91" s="6">
        <v>9.32</v>
      </c>
      <c r="R91" s="6"/>
      <c r="S91" s="6"/>
      <c r="T91" s="156"/>
      <c r="U91" s="6"/>
    </row>
    <row r="92" spans="1:21" customFormat="1">
      <c r="A92" s="201" t="s">
        <v>1955</v>
      </c>
      <c r="B92" s="6">
        <v>3.33</v>
      </c>
      <c r="C92" s="6">
        <v>8.4600000000000009</v>
      </c>
      <c r="D92" s="6">
        <v>7.09</v>
      </c>
      <c r="E92" s="6">
        <v>5.59</v>
      </c>
      <c r="F92" s="6">
        <v>2</v>
      </c>
      <c r="G92" s="6">
        <v>51.83</v>
      </c>
      <c r="H92" s="6">
        <v>10.8</v>
      </c>
      <c r="I92" s="6">
        <v>8.7200000000000006</v>
      </c>
      <c r="J92" s="6">
        <v>0.21</v>
      </c>
      <c r="K92" s="6">
        <v>71.900000000000006</v>
      </c>
      <c r="L92" s="6">
        <v>9.07</v>
      </c>
      <c r="M92" s="6">
        <v>4.71</v>
      </c>
      <c r="N92" s="6">
        <v>2.1</v>
      </c>
      <c r="O92" s="6">
        <v>0</v>
      </c>
      <c r="P92" s="6">
        <v>0.49</v>
      </c>
      <c r="Q92" s="6">
        <v>9.34</v>
      </c>
      <c r="R92" s="6"/>
      <c r="S92" s="6"/>
      <c r="T92" s="156"/>
      <c r="U92" s="6"/>
    </row>
    <row r="93" spans="1:21" customFormat="1">
      <c r="A93" s="201" t="s">
        <v>1956</v>
      </c>
      <c r="B93" s="6">
        <v>3.39</v>
      </c>
      <c r="C93" s="6">
        <v>8.61</v>
      </c>
      <c r="D93" s="6">
        <v>7.22</v>
      </c>
      <c r="E93" s="6">
        <v>5.73</v>
      </c>
      <c r="F93" s="6">
        <v>2</v>
      </c>
      <c r="G93" s="6">
        <v>51.83</v>
      </c>
      <c r="H93" s="6">
        <v>10.8</v>
      </c>
      <c r="I93" s="6">
        <v>8.77</v>
      </c>
      <c r="J93" s="6">
        <v>0.16</v>
      </c>
      <c r="K93" s="6">
        <v>78.92</v>
      </c>
      <c r="L93" s="6">
        <v>10.08</v>
      </c>
      <c r="M93" s="6">
        <v>7.25</v>
      </c>
      <c r="N93" s="6">
        <v>2.1</v>
      </c>
      <c r="O93" s="6">
        <v>0</v>
      </c>
      <c r="P93" s="6">
        <v>0.51</v>
      </c>
      <c r="Q93" s="6">
        <v>9.32</v>
      </c>
      <c r="R93" s="6"/>
      <c r="S93" s="6"/>
      <c r="T93" s="156"/>
      <c r="U93" s="6"/>
    </row>
    <row r="94" spans="1:21" customFormat="1">
      <c r="A94" s="201" t="s">
        <v>1957</v>
      </c>
      <c r="B94" s="6">
        <v>3.32</v>
      </c>
      <c r="C94" s="6">
        <v>8.73</v>
      </c>
      <c r="D94" s="6">
        <v>7.22</v>
      </c>
      <c r="E94" s="6">
        <v>6.26</v>
      </c>
      <c r="F94" s="6">
        <v>2</v>
      </c>
      <c r="G94" s="6">
        <v>51.83</v>
      </c>
      <c r="H94" s="6">
        <v>10.8</v>
      </c>
      <c r="I94" s="6">
        <v>8.75</v>
      </c>
      <c r="J94" s="6">
        <v>0.15</v>
      </c>
      <c r="K94" s="6">
        <v>74.83</v>
      </c>
      <c r="L94" s="6">
        <v>9.17</v>
      </c>
      <c r="M94" s="6">
        <v>4.93</v>
      </c>
      <c r="N94" s="6">
        <v>2.1</v>
      </c>
      <c r="O94" s="6">
        <v>0</v>
      </c>
      <c r="P94" s="6">
        <v>0.52</v>
      </c>
      <c r="Q94" s="6">
        <v>9.32</v>
      </c>
      <c r="R94" s="6"/>
      <c r="S94" s="6"/>
      <c r="T94" s="156"/>
      <c r="U94" s="6"/>
    </row>
    <row r="95" spans="1:21" customFormat="1">
      <c r="A95" s="201" t="s">
        <v>1958</v>
      </c>
      <c r="B95" s="6">
        <v>3.27</v>
      </c>
      <c r="C95" s="6">
        <v>8.82</v>
      </c>
      <c r="D95" s="6">
        <v>7.23</v>
      </c>
      <c r="E95" s="6">
        <v>6.28</v>
      </c>
      <c r="F95" s="6">
        <v>2</v>
      </c>
      <c r="G95" s="6">
        <v>51.88</v>
      </c>
      <c r="H95" s="6">
        <v>10.83</v>
      </c>
      <c r="I95" s="6">
        <v>8.69</v>
      </c>
      <c r="J95" s="6">
        <v>0.19</v>
      </c>
      <c r="K95" s="6">
        <v>72.12</v>
      </c>
      <c r="L95" s="6">
        <v>9.23</v>
      </c>
      <c r="M95" s="6">
        <v>5.09</v>
      </c>
      <c r="N95" s="6">
        <v>2.1</v>
      </c>
      <c r="O95" s="6">
        <v>0</v>
      </c>
      <c r="P95" s="6">
        <v>0.52</v>
      </c>
      <c r="Q95" s="6">
        <v>9.32</v>
      </c>
      <c r="R95" s="6"/>
      <c r="S95" s="6"/>
      <c r="T95" s="156"/>
      <c r="U95" s="6"/>
    </row>
    <row r="96" spans="1:21" customFormat="1">
      <c r="A96" s="201" t="s">
        <v>1959</v>
      </c>
      <c r="B96" s="6">
        <v>3.27</v>
      </c>
      <c r="C96" s="6">
        <v>8.92</v>
      </c>
      <c r="D96" s="6">
        <v>7.28</v>
      </c>
      <c r="E96" s="6">
        <v>6.1</v>
      </c>
      <c r="F96" s="6">
        <v>2</v>
      </c>
      <c r="G96" s="6">
        <v>53.34</v>
      </c>
      <c r="H96" s="6">
        <v>11.89</v>
      </c>
      <c r="I96" s="6">
        <v>8.66</v>
      </c>
      <c r="J96" s="6">
        <v>0.15</v>
      </c>
      <c r="K96" s="6">
        <v>79.53</v>
      </c>
      <c r="L96" s="6">
        <v>10.74</v>
      </c>
      <c r="M96" s="6">
        <v>8.99</v>
      </c>
      <c r="N96" s="6">
        <v>2.1</v>
      </c>
      <c r="O96" s="6">
        <v>0</v>
      </c>
      <c r="P96" s="6">
        <v>0.51</v>
      </c>
      <c r="Q96" s="6">
        <v>9.32</v>
      </c>
      <c r="R96" s="6"/>
      <c r="S96" s="6"/>
      <c r="T96" s="156"/>
      <c r="U96" s="6"/>
    </row>
    <row r="97" spans="1:28" customFormat="1">
      <c r="A97" s="201" t="s">
        <v>1960</v>
      </c>
      <c r="B97" s="6">
        <v>3.29</v>
      </c>
      <c r="C97" s="6">
        <v>9.06</v>
      </c>
      <c r="D97" s="6">
        <v>7.37</v>
      </c>
      <c r="E97" s="6">
        <v>6.28</v>
      </c>
      <c r="F97" s="6">
        <v>2</v>
      </c>
      <c r="G97" s="6">
        <v>53.34</v>
      </c>
      <c r="H97" s="6">
        <v>11.89</v>
      </c>
      <c r="I97" s="6">
        <v>8.66</v>
      </c>
      <c r="J97" s="6">
        <v>0.2</v>
      </c>
      <c r="K97" s="6">
        <v>58.51</v>
      </c>
      <c r="L97" s="6">
        <v>9</v>
      </c>
      <c r="M97" s="6">
        <v>4.4800000000000004</v>
      </c>
      <c r="N97" s="6">
        <v>2.1</v>
      </c>
      <c r="O97" s="6">
        <v>0</v>
      </c>
      <c r="P97" s="6">
        <v>0.52</v>
      </c>
      <c r="Q97" s="6">
        <v>9.32</v>
      </c>
      <c r="R97" s="6"/>
      <c r="S97" s="6"/>
      <c r="T97" s="156"/>
      <c r="U97" s="6"/>
    </row>
    <row r="98" spans="1:28" customFormat="1">
      <c r="A98" s="201" t="s">
        <v>1961</v>
      </c>
      <c r="B98" s="6">
        <v>3.32</v>
      </c>
      <c r="C98" s="6">
        <v>9.23</v>
      </c>
      <c r="D98" s="6">
        <v>7.49</v>
      </c>
      <c r="E98" s="6">
        <v>6.35</v>
      </c>
      <c r="F98" s="6">
        <v>2</v>
      </c>
      <c r="G98" s="6">
        <v>53.34</v>
      </c>
      <c r="H98" s="6">
        <v>11.89</v>
      </c>
      <c r="I98" s="6">
        <v>8.65</v>
      </c>
      <c r="J98" s="6">
        <v>0.31</v>
      </c>
      <c r="K98" s="6">
        <v>49.6</v>
      </c>
      <c r="L98" s="6">
        <v>7.41</v>
      </c>
      <c r="M98" s="6">
        <v>0.43</v>
      </c>
      <c r="N98" s="6">
        <v>2.1</v>
      </c>
      <c r="O98" s="6">
        <v>0</v>
      </c>
      <c r="P98" s="6">
        <v>0.52</v>
      </c>
      <c r="Q98" s="6">
        <v>9.32</v>
      </c>
      <c r="R98" s="6"/>
      <c r="S98" s="6"/>
      <c r="T98" s="156"/>
      <c r="U98" s="6"/>
    </row>
    <row r="99" spans="1:28" customFormat="1">
      <c r="A99" s="201" t="s">
        <v>1962</v>
      </c>
      <c r="B99" s="6">
        <v>3.41</v>
      </c>
      <c r="C99" s="6">
        <v>9.26</v>
      </c>
      <c r="D99" s="6">
        <v>7.57</v>
      </c>
      <c r="E99" s="6">
        <v>6.33</v>
      </c>
      <c r="F99" s="6">
        <v>2</v>
      </c>
      <c r="G99" s="6">
        <v>53.35</v>
      </c>
      <c r="H99" s="6">
        <v>11.9</v>
      </c>
      <c r="I99" s="6">
        <v>8.6</v>
      </c>
      <c r="J99" s="6">
        <v>0.25</v>
      </c>
      <c r="K99" s="6">
        <v>54.17</v>
      </c>
      <c r="L99" s="6">
        <v>7.56</v>
      </c>
      <c r="M99" s="6">
        <v>0.82</v>
      </c>
      <c r="N99" s="6">
        <v>2.1</v>
      </c>
      <c r="O99" s="6">
        <v>0</v>
      </c>
      <c r="P99" s="6">
        <v>0.52</v>
      </c>
      <c r="Q99" s="6">
        <v>9.32</v>
      </c>
      <c r="R99" s="6"/>
      <c r="S99" s="6"/>
      <c r="T99" s="156"/>
      <c r="U99" s="6"/>
    </row>
    <row r="100" spans="1:28" customFormat="1">
      <c r="A100" s="201" t="s">
        <v>1963</v>
      </c>
      <c r="B100" s="6">
        <v>3.46</v>
      </c>
      <c r="C100" s="6">
        <v>9.33</v>
      </c>
      <c r="D100" s="6">
        <v>7.65</v>
      </c>
      <c r="E100" s="6">
        <v>6.72</v>
      </c>
      <c r="F100" s="6">
        <v>2</v>
      </c>
      <c r="G100" s="6">
        <v>53.59</v>
      </c>
      <c r="H100" s="6">
        <v>12.32</v>
      </c>
      <c r="I100" s="6">
        <v>8.57</v>
      </c>
      <c r="J100" s="6">
        <v>0.14000000000000001</v>
      </c>
      <c r="K100" s="6">
        <v>59.61</v>
      </c>
      <c r="L100" s="6">
        <v>9.07</v>
      </c>
      <c r="M100" s="6">
        <v>4.63</v>
      </c>
      <c r="N100" s="6">
        <v>2.1</v>
      </c>
      <c r="O100" s="6">
        <v>0</v>
      </c>
      <c r="P100" s="6">
        <v>0.51</v>
      </c>
      <c r="Q100" s="6">
        <v>9.32</v>
      </c>
      <c r="R100" s="6"/>
      <c r="S100" s="6"/>
      <c r="T100" s="156"/>
      <c r="U100" s="6"/>
      <c r="AB100" s="161"/>
    </row>
    <row r="101" spans="1:28" customFormat="1">
      <c r="A101" s="201" t="s">
        <v>1964</v>
      </c>
      <c r="B101" s="6">
        <v>3.6</v>
      </c>
      <c r="C101" s="6">
        <v>9.36</v>
      </c>
      <c r="D101" s="6">
        <v>7.77</v>
      </c>
      <c r="E101" s="6">
        <v>6.65</v>
      </c>
      <c r="F101" s="6">
        <v>2</v>
      </c>
      <c r="G101" s="6">
        <v>53.59</v>
      </c>
      <c r="H101" s="6">
        <v>12.32</v>
      </c>
      <c r="I101" s="6">
        <v>8.52</v>
      </c>
      <c r="J101" s="6">
        <v>0.15</v>
      </c>
      <c r="K101" s="6">
        <v>203.77</v>
      </c>
      <c r="L101" s="6">
        <v>18.32</v>
      </c>
      <c r="M101" s="6">
        <v>28.02</v>
      </c>
      <c r="N101" s="6">
        <v>2.4</v>
      </c>
      <c r="O101" s="6">
        <v>0</v>
      </c>
      <c r="P101" s="6">
        <v>0.51</v>
      </c>
      <c r="Q101" s="6">
        <v>9.32</v>
      </c>
      <c r="R101" s="6"/>
      <c r="S101" s="6"/>
      <c r="T101" s="156"/>
      <c r="U101" s="6"/>
    </row>
    <row r="102" spans="1:28" customFormat="1">
      <c r="A102" s="201" t="s">
        <v>1965</v>
      </c>
      <c r="B102" s="6">
        <v>3.64</v>
      </c>
      <c r="C102" s="6">
        <v>9.1300000000000008</v>
      </c>
      <c r="D102" s="6">
        <v>7.68</v>
      </c>
      <c r="E102" s="6">
        <v>6.51</v>
      </c>
      <c r="F102" s="6">
        <v>2</v>
      </c>
      <c r="G102" s="6">
        <v>53.59</v>
      </c>
      <c r="H102" s="6">
        <v>12.32</v>
      </c>
      <c r="I102" s="6">
        <v>8.49</v>
      </c>
      <c r="J102" s="6">
        <v>0.15</v>
      </c>
      <c r="K102" s="6">
        <v>212.97</v>
      </c>
      <c r="L102" s="6">
        <v>19.579999999999998</v>
      </c>
      <c r="M102" s="6">
        <v>31.19</v>
      </c>
      <c r="N102" s="6">
        <v>2.2999999999999998</v>
      </c>
      <c r="O102" s="6">
        <v>0</v>
      </c>
      <c r="P102" s="6">
        <v>0.5</v>
      </c>
      <c r="Q102" s="6">
        <v>9.32</v>
      </c>
      <c r="R102" s="6"/>
      <c r="S102" s="6"/>
      <c r="T102" s="156"/>
      <c r="U102" s="6"/>
    </row>
    <row r="103" spans="1:28" customFormat="1">
      <c r="A103" s="201" t="s">
        <v>1966</v>
      </c>
      <c r="B103" s="6">
        <v>3.73</v>
      </c>
      <c r="C103" s="6">
        <v>8.9700000000000006</v>
      </c>
      <c r="D103" s="6">
        <v>7.68</v>
      </c>
      <c r="E103" s="6">
        <v>6.55</v>
      </c>
      <c r="F103" s="6">
        <v>2</v>
      </c>
      <c r="G103" s="6">
        <v>53.5</v>
      </c>
      <c r="H103" s="6">
        <v>12.3</v>
      </c>
      <c r="I103" s="6">
        <v>8.49</v>
      </c>
      <c r="J103" s="6">
        <v>0.12</v>
      </c>
      <c r="K103" s="6">
        <v>193.02</v>
      </c>
      <c r="L103" s="6">
        <v>18.05</v>
      </c>
      <c r="M103" s="6">
        <v>27.34</v>
      </c>
      <c r="N103" s="6">
        <v>2.1</v>
      </c>
      <c r="O103" s="6">
        <v>0</v>
      </c>
      <c r="P103" s="6">
        <v>0.5</v>
      </c>
      <c r="Q103" s="6">
        <v>9.32</v>
      </c>
      <c r="R103" s="6"/>
      <c r="S103" s="6"/>
      <c r="T103" s="156"/>
      <c r="U103" s="6"/>
    </row>
    <row r="104" spans="1:28" customFormat="1">
      <c r="A104" s="201" t="s">
        <v>1967</v>
      </c>
      <c r="B104" s="6">
        <v>4.2300000000000004</v>
      </c>
      <c r="C104" s="6">
        <v>9.19</v>
      </c>
      <c r="D104" s="6">
        <v>8.1999999999999993</v>
      </c>
      <c r="E104" s="6">
        <v>6.7</v>
      </c>
      <c r="F104" s="6">
        <v>2</v>
      </c>
      <c r="G104" s="6">
        <v>50.84</v>
      </c>
      <c r="H104" s="6">
        <v>11.54</v>
      </c>
      <c r="I104" s="6">
        <v>8.4499999999999993</v>
      </c>
      <c r="J104" s="6">
        <v>0.14000000000000001</v>
      </c>
      <c r="K104" s="6">
        <v>174.29</v>
      </c>
      <c r="L104" s="6">
        <v>16.989999999999998</v>
      </c>
      <c r="M104" s="6">
        <v>24.68</v>
      </c>
      <c r="N104" s="6">
        <v>2.1</v>
      </c>
      <c r="O104" s="6">
        <v>0</v>
      </c>
      <c r="P104" s="6">
        <v>0.5</v>
      </c>
      <c r="Q104" s="6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1.58</v>
      </c>
      <c r="C106" s="158">
        <f>MIN(C9:C104)</f>
        <v>6.21</v>
      </c>
      <c r="D106" s="158">
        <f t="shared" ref="D106:Q106" si="0">MIN(D9:D104)</f>
        <v>6.54</v>
      </c>
      <c r="E106" s="158">
        <f t="shared" si="0"/>
        <v>5.0199999999999996</v>
      </c>
      <c r="F106" s="158">
        <f t="shared" si="0"/>
        <v>2</v>
      </c>
      <c r="G106" s="158">
        <f t="shared" si="0"/>
        <v>40.42</v>
      </c>
      <c r="H106" s="158">
        <f t="shared" si="0"/>
        <v>7.99</v>
      </c>
      <c r="I106" s="158">
        <f t="shared" si="0"/>
        <v>4.91</v>
      </c>
      <c r="J106" s="158">
        <f t="shared" si="0"/>
        <v>0.05</v>
      </c>
      <c r="K106" s="158">
        <f t="shared" si="0"/>
        <v>16.600000000000001</v>
      </c>
      <c r="L106" s="158">
        <f t="shared" si="0"/>
        <v>6.8</v>
      </c>
      <c r="M106" s="158">
        <f t="shared" si="0"/>
        <v>-2.11</v>
      </c>
      <c r="N106" s="158">
        <f t="shared" si="0"/>
        <v>2</v>
      </c>
      <c r="O106" s="158">
        <f t="shared" si="0"/>
        <v>0</v>
      </c>
      <c r="P106" s="158">
        <f t="shared" si="0"/>
        <v>0.28000000000000003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9.2200000000000006</v>
      </c>
      <c r="C107" s="157">
        <f t="shared" ref="C107:Q107" si="1">MAX(C9:C104)</f>
        <v>30.99</v>
      </c>
      <c r="D107" s="157">
        <f t="shared" si="1"/>
        <v>19.23</v>
      </c>
      <c r="E107" s="157">
        <f t="shared" si="1"/>
        <v>16.47</v>
      </c>
      <c r="F107" s="157">
        <f t="shared" si="1"/>
        <v>63.37</v>
      </c>
      <c r="G107" s="157">
        <f t="shared" si="1"/>
        <v>55.27</v>
      </c>
      <c r="H107" s="157">
        <f t="shared" si="1"/>
        <v>12.32</v>
      </c>
      <c r="I107" s="157">
        <f t="shared" si="1"/>
        <v>9.5299999999999994</v>
      </c>
      <c r="J107" s="157">
        <f t="shared" si="1"/>
        <v>0.71</v>
      </c>
      <c r="K107" s="157">
        <f t="shared" si="1"/>
        <v>355.77</v>
      </c>
      <c r="L107" s="157">
        <f t="shared" si="1"/>
        <v>24.18</v>
      </c>
      <c r="M107" s="157">
        <f t="shared" si="1"/>
        <v>32.36</v>
      </c>
      <c r="N107" s="157">
        <f t="shared" si="1"/>
        <v>609.1</v>
      </c>
      <c r="O107" s="157">
        <f t="shared" si="1"/>
        <v>0</v>
      </c>
      <c r="P107" s="157">
        <f t="shared" si="1"/>
        <v>0.52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4.6178124999999968</v>
      </c>
      <c r="C108" s="158">
        <f t="shared" ref="C108:Q108" si="2">AVERAGE(C9:C104)</f>
        <v>11.199375000000005</v>
      </c>
      <c r="D108" s="158">
        <f t="shared" si="2"/>
        <v>9.5548958333333367</v>
      </c>
      <c r="E108" s="158">
        <f t="shared" si="2"/>
        <v>7.8752083333333331</v>
      </c>
      <c r="F108" s="158">
        <f t="shared" si="2"/>
        <v>10.131770833333336</v>
      </c>
      <c r="G108" s="158">
        <f t="shared" si="2"/>
        <v>48.461041666666667</v>
      </c>
      <c r="H108" s="158">
        <f t="shared" si="2"/>
        <v>10.60364583333333</v>
      </c>
      <c r="I108" s="158">
        <f t="shared" si="2"/>
        <v>7.3701041666666702</v>
      </c>
      <c r="J108" s="158">
        <f t="shared" si="2"/>
        <v>0.2456249999999999</v>
      </c>
      <c r="K108" s="158">
        <f t="shared" si="2"/>
        <v>108.03541666666666</v>
      </c>
      <c r="L108" s="158">
        <f t="shared" si="2"/>
        <v>13.596145833333331</v>
      </c>
      <c r="M108" s="158">
        <f t="shared" si="2"/>
        <v>13.110625000000004</v>
      </c>
      <c r="N108" s="158">
        <f t="shared" si="2"/>
        <v>127.33333333333339</v>
      </c>
      <c r="O108" s="158">
        <f t="shared" si="2"/>
        <v>0</v>
      </c>
      <c r="P108" s="158">
        <f t="shared" si="2"/>
        <v>0.41885416666666658</v>
      </c>
      <c r="Q108" s="158">
        <f t="shared" si="2"/>
        <v>9.6413541666666891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2.6035021769774533</v>
      </c>
      <c r="C109" s="158">
        <f t="shared" ref="C109:Q109" si="3">STDEV(C9:C104)</f>
        <v>5.4991484149342238</v>
      </c>
      <c r="D109" s="158">
        <f t="shared" si="3"/>
        <v>2.456269312677954</v>
      </c>
      <c r="E109" s="158">
        <f t="shared" si="3"/>
        <v>2.7682222983319966</v>
      </c>
      <c r="F109" s="158">
        <f t="shared" si="3"/>
        <v>15.176288568878659</v>
      </c>
      <c r="G109" s="158">
        <f t="shared" si="3"/>
        <v>4.0826623097052392</v>
      </c>
      <c r="H109" s="158">
        <f t="shared" si="3"/>
        <v>1.4173616110236777</v>
      </c>
      <c r="I109" s="158">
        <f t="shared" si="3"/>
        <v>1.1353353270397821</v>
      </c>
      <c r="J109" s="158">
        <f t="shared" si="3"/>
        <v>0.1637765647395707</v>
      </c>
      <c r="K109" s="158">
        <f t="shared" si="3"/>
        <v>72.282529954800737</v>
      </c>
      <c r="L109" s="158">
        <f t="shared" si="3"/>
        <v>4.3260538405272326</v>
      </c>
      <c r="M109" s="158">
        <f t="shared" si="3"/>
        <v>9.2372827871335357</v>
      </c>
      <c r="N109" s="158">
        <f t="shared" si="3"/>
        <v>202.84438560613364</v>
      </c>
      <c r="O109" s="158">
        <f t="shared" si="3"/>
        <v>0</v>
      </c>
      <c r="P109" s="158">
        <f t="shared" si="3"/>
        <v>5.9909928738095253E-2</v>
      </c>
      <c r="Q109" s="158">
        <f t="shared" si="3"/>
        <v>0.33946589563348711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8" activePane="bottomRight" state="frozen"/>
      <selection pane="topRight"/>
      <selection pane="bottomLeft"/>
      <selection pane="bottomRight" activeCell="K98" sqref="K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1968</v>
      </c>
      <c r="B9" s="6">
        <v>5.08</v>
      </c>
      <c r="C9" s="6">
        <v>9.34</v>
      </c>
      <c r="D9" s="6">
        <v>8.9499999999999993</v>
      </c>
      <c r="E9" s="6">
        <v>6.69</v>
      </c>
      <c r="F9" s="6">
        <v>2</v>
      </c>
      <c r="G9" s="6">
        <v>50.84</v>
      </c>
      <c r="H9" s="6">
        <v>11.54</v>
      </c>
      <c r="I9" s="6">
        <v>8.3800000000000008</v>
      </c>
      <c r="J9" s="6">
        <v>0.15</v>
      </c>
      <c r="K9" s="6">
        <v>192.39</v>
      </c>
      <c r="L9" s="6">
        <v>17.940000000000001</v>
      </c>
      <c r="M9" s="6">
        <v>27.11</v>
      </c>
      <c r="N9" s="6">
        <v>2.1</v>
      </c>
      <c r="O9" s="6">
        <v>0</v>
      </c>
      <c r="P9" s="6">
        <v>0.5</v>
      </c>
      <c r="Q9" s="6">
        <v>9.32</v>
      </c>
      <c r="R9" s="6"/>
      <c r="S9" s="6"/>
      <c r="T9" s="156"/>
      <c r="U9" s="6"/>
    </row>
    <row r="10" spans="1:21" customFormat="1">
      <c r="A10" s="201" t="s">
        <v>1969</v>
      </c>
      <c r="B10" s="6">
        <v>5.15</v>
      </c>
      <c r="C10" s="6">
        <v>9.11</v>
      </c>
      <c r="D10" s="6">
        <v>8.89</v>
      </c>
      <c r="E10" s="6">
        <v>6.79</v>
      </c>
      <c r="F10" s="6">
        <v>2</v>
      </c>
      <c r="G10" s="6">
        <v>50.84</v>
      </c>
      <c r="H10" s="6">
        <v>11.54</v>
      </c>
      <c r="I10" s="6">
        <v>8.35</v>
      </c>
      <c r="J10" s="6">
        <v>0.12</v>
      </c>
      <c r="K10" s="6">
        <v>184.66</v>
      </c>
      <c r="L10" s="6">
        <v>17.57</v>
      </c>
      <c r="M10" s="6">
        <v>26.13</v>
      </c>
      <c r="N10" s="6">
        <v>2.1</v>
      </c>
      <c r="O10" s="6">
        <v>0</v>
      </c>
      <c r="P10" s="6">
        <v>0.49</v>
      </c>
      <c r="Q10" s="6">
        <v>9.32</v>
      </c>
      <c r="R10" s="6"/>
      <c r="S10" s="6"/>
      <c r="T10" s="156"/>
      <c r="U10" s="6"/>
    </row>
    <row r="11" spans="1:21" customFormat="1">
      <c r="A11" s="201" t="s">
        <v>1970</v>
      </c>
      <c r="B11" s="6">
        <v>5.16</v>
      </c>
      <c r="C11" s="6">
        <v>8.74</v>
      </c>
      <c r="D11" s="6">
        <v>8.7100000000000009</v>
      </c>
      <c r="E11" s="6">
        <v>7.01</v>
      </c>
      <c r="F11" s="6">
        <v>2</v>
      </c>
      <c r="G11" s="6">
        <v>50.77</v>
      </c>
      <c r="H11" s="6">
        <v>11.55</v>
      </c>
      <c r="I11" s="6">
        <v>8.3699999999999992</v>
      </c>
      <c r="J11" s="6">
        <v>0.13</v>
      </c>
      <c r="K11" s="6">
        <v>178.7</v>
      </c>
      <c r="L11" s="6">
        <v>17.399999999999999</v>
      </c>
      <c r="M11" s="6">
        <v>25.75</v>
      </c>
      <c r="N11" s="6">
        <v>2.1</v>
      </c>
      <c r="O11" s="6">
        <v>0</v>
      </c>
      <c r="P11" s="6">
        <v>0.49</v>
      </c>
      <c r="Q11" s="6">
        <v>9.32</v>
      </c>
      <c r="R11" s="6"/>
      <c r="S11" s="6"/>
      <c r="T11" s="156"/>
      <c r="U11" s="6"/>
    </row>
    <row r="12" spans="1:21" customFormat="1">
      <c r="A12" s="201" t="s">
        <v>1971</v>
      </c>
      <c r="B12" s="6">
        <v>5.2</v>
      </c>
      <c r="C12" s="6">
        <v>8.66</v>
      </c>
      <c r="D12" s="6">
        <v>8.6999999999999993</v>
      </c>
      <c r="E12" s="6">
        <v>7.22</v>
      </c>
      <c r="F12" s="6">
        <v>2</v>
      </c>
      <c r="G12" s="6">
        <v>48.7</v>
      </c>
      <c r="H12" s="6">
        <v>11.94</v>
      </c>
      <c r="I12" s="6">
        <v>8.36</v>
      </c>
      <c r="J12" s="6">
        <v>0.12</v>
      </c>
      <c r="K12" s="6">
        <v>172.76</v>
      </c>
      <c r="L12" s="6">
        <v>16.89</v>
      </c>
      <c r="M12" s="6">
        <v>24.42</v>
      </c>
      <c r="N12" s="6">
        <v>2.1</v>
      </c>
      <c r="O12" s="6">
        <v>0</v>
      </c>
      <c r="P12" s="6">
        <v>0.48</v>
      </c>
      <c r="Q12" s="6">
        <v>9.32</v>
      </c>
      <c r="R12" s="6"/>
      <c r="S12" s="6"/>
      <c r="T12" s="156"/>
      <c r="U12" s="6"/>
    </row>
    <row r="13" spans="1:21" customFormat="1">
      <c r="A13" s="201" t="s">
        <v>1972</v>
      </c>
      <c r="B13" s="6">
        <v>5.51</v>
      </c>
      <c r="C13" s="6">
        <v>8.73</v>
      </c>
      <c r="D13" s="6">
        <v>8.98</v>
      </c>
      <c r="E13" s="6">
        <v>6.87</v>
      </c>
      <c r="F13" s="6">
        <v>2</v>
      </c>
      <c r="G13" s="6">
        <v>48.7</v>
      </c>
      <c r="H13" s="6">
        <v>11.94</v>
      </c>
      <c r="I13" s="6">
        <v>8.39</v>
      </c>
      <c r="J13" s="6">
        <v>0.15</v>
      </c>
      <c r="K13" s="6">
        <v>163.26</v>
      </c>
      <c r="L13" s="6">
        <v>15.84</v>
      </c>
      <c r="M13" s="6">
        <v>21.78</v>
      </c>
      <c r="N13" s="6">
        <v>2</v>
      </c>
      <c r="O13" s="6">
        <v>0</v>
      </c>
      <c r="P13" s="6">
        <v>0.48</v>
      </c>
      <c r="Q13" s="6">
        <v>9.32</v>
      </c>
      <c r="R13" s="6"/>
      <c r="S13" s="6"/>
      <c r="T13" s="156"/>
      <c r="U13" s="6"/>
    </row>
    <row r="14" spans="1:21" customFormat="1">
      <c r="A14" s="201" t="s">
        <v>1973</v>
      </c>
      <c r="B14" s="6">
        <v>5.74</v>
      </c>
      <c r="C14" s="6">
        <v>8.76</v>
      </c>
      <c r="D14" s="6">
        <v>9.18</v>
      </c>
      <c r="E14" s="6">
        <v>7.23</v>
      </c>
      <c r="F14" s="6">
        <v>2</v>
      </c>
      <c r="G14" s="6">
        <v>48.7</v>
      </c>
      <c r="H14" s="6">
        <v>11.94</v>
      </c>
      <c r="I14" s="6">
        <v>8.4700000000000006</v>
      </c>
      <c r="J14" s="6">
        <v>0.08</v>
      </c>
      <c r="K14" s="6">
        <v>184.09</v>
      </c>
      <c r="L14" s="6">
        <v>18.27</v>
      </c>
      <c r="M14" s="6">
        <v>27.91</v>
      </c>
      <c r="N14" s="6">
        <v>2</v>
      </c>
      <c r="O14" s="6">
        <v>0</v>
      </c>
      <c r="P14" s="6">
        <v>0.49</v>
      </c>
      <c r="Q14" s="6">
        <v>9.32</v>
      </c>
      <c r="R14" s="6"/>
      <c r="S14" s="6"/>
      <c r="T14" s="156"/>
      <c r="U14" s="6"/>
    </row>
    <row r="15" spans="1:21" customFormat="1">
      <c r="A15" s="201" t="s">
        <v>1974</v>
      </c>
      <c r="B15" s="6">
        <v>6.06</v>
      </c>
      <c r="C15" s="6">
        <v>8.8000000000000007</v>
      </c>
      <c r="D15" s="6">
        <v>9.4600000000000009</v>
      </c>
      <c r="E15" s="6">
        <v>7.33</v>
      </c>
      <c r="F15" s="6">
        <v>2</v>
      </c>
      <c r="G15" s="6">
        <v>48.6</v>
      </c>
      <c r="H15" s="6">
        <v>11.95</v>
      </c>
      <c r="I15" s="6">
        <v>8.5</v>
      </c>
      <c r="J15" s="6">
        <v>0.14000000000000001</v>
      </c>
      <c r="K15" s="6">
        <v>184.7</v>
      </c>
      <c r="L15" s="6">
        <v>18.12</v>
      </c>
      <c r="M15" s="6">
        <v>27.54</v>
      </c>
      <c r="N15" s="6">
        <v>2</v>
      </c>
      <c r="O15" s="6">
        <v>0</v>
      </c>
      <c r="P15" s="6">
        <v>0.48</v>
      </c>
      <c r="Q15" s="6">
        <v>9.32</v>
      </c>
      <c r="R15" s="6"/>
      <c r="S15" s="6"/>
      <c r="T15" s="156"/>
      <c r="U15" s="6"/>
    </row>
    <row r="16" spans="1:21" customFormat="1">
      <c r="A16" s="201" t="s">
        <v>1975</v>
      </c>
      <c r="B16" s="6">
        <v>6.45</v>
      </c>
      <c r="C16" s="6">
        <v>8.7899999999999991</v>
      </c>
      <c r="D16" s="6">
        <v>9.76</v>
      </c>
      <c r="E16" s="6">
        <v>7.18</v>
      </c>
      <c r="F16" s="6">
        <v>2</v>
      </c>
      <c r="G16" s="6">
        <v>45.66</v>
      </c>
      <c r="H16" s="6">
        <v>12.18</v>
      </c>
      <c r="I16" s="6">
        <v>8.5</v>
      </c>
      <c r="J16" s="6">
        <v>7.0000000000000007E-2</v>
      </c>
      <c r="K16" s="6">
        <v>217.14</v>
      </c>
      <c r="L16" s="6">
        <v>19.82</v>
      </c>
      <c r="M16" s="6">
        <v>31.77</v>
      </c>
      <c r="N16" s="6">
        <v>2.1</v>
      </c>
      <c r="O16" s="6">
        <v>0</v>
      </c>
      <c r="P16" s="6">
        <v>0.48</v>
      </c>
      <c r="Q16" s="6">
        <v>9.32</v>
      </c>
      <c r="R16" s="6"/>
      <c r="S16" s="6"/>
      <c r="T16" s="156"/>
      <c r="U16" s="6"/>
    </row>
    <row r="17" spans="1:21" customFormat="1">
      <c r="A17" s="201" t="s">
        <v>1976</v>
      </c>
      <c r="B17" s="6">
        <v>6.96</v>
      </c>
      <c r="C17" s="6">
        <v>8.6</v>
      </c>
      <c r="D17" s="6">
        <v>10.07</v>
      </c>
      <c r="E17" s="6">
        <v>5.23</v>
      </c>
      <c r="F17" s="6">
        <v>2</v>
      </c>
      <c r="G17" s="6">
        <v>45.66</v>
      </c>
      <c r="H17" s="6">
        <v>12.18</v>
      </c>
      <c r="I17" s="6">
        <v>8.61</v>
      </c>
      <c r="J17" s="6">
        <v>0.11</v>
      </c>
      <c r="K17" s="6">
        <v>118.94</v>
      </c>
      <c r="L17" s="6">
        <v>13.06</v>
      </c>
      <c r="M17" s="6">
        <v>14.78</v>
      </c>
      <c r="N17" s="6">
        <v>1.9</v>
      </c>
      <c r="O17" s="6">
        <v>0</v>
      </c>
      <c r="P17" s="6">
        <v>0.44</v>
      </c>
      <c r="Q17" s="6">
        <v>9.32</v>
      </c>
      <c r="R17" s="6"/>
      <c r="S17" s="6"/>
      <c r="T17" s="156"/>
      <c r="U17" s="6"/>
    </row>
    <row r="18" spans="1:21" customFormat="1">
      <c r="A18" s="201" t="s">
        <v>1977</v>
      </c>
      <c r="B18" s="6">
        <v>7.34</v>
      </c>
      <c r="C18" s="6">
        <v>8.5500000000000007</v>
      </c>
      <c r="D18" s="6">
        <v>10.35</v>
      </c>
      <c r="E18" s="6">
        <v>6.21</v>
      </c>
      <c r="F18" s="6">
        <v>2</v>
      </c>
      <c r="G18" s="6">
        <v>45.66</v>
      </c>
      <c r="H18" s="6">
        <v>12.18</v>
      </c>
      <c r="I18" s="6">
        <v>8.64</v>
      </c>
      <c r="J18" s="6">
        <v>0.09</v>
      </c>
      <c r="K18" s="6">
        <v>116.44</v>
      </c>
      <c r="L18" s="6">
        <v>12.63</v>
      </c>
      <c r="M18" s="6">
        <v>13.68</v>
      </c>
      <c r="N18" s="6">
        <v>2</v>
      </c>
      <c r="O18" s="6">
        <v>0</v>
      </c>
      <c r="P18" s="6">
        <v>0.44</v>
      </c>
      <c r="Q18" s="6">
        <v>9.33</v>
      </c>
      <c r="R18" s="6"/>
      <c r="S18" s="6"/>
      <c r="T18" s="156"/>
      <c r="U18" s="6"/>
    </row>
    <row r="19" spans="1:21" customFormat="1">
      <c r="A19" s="201" t="s">
        <v>1978</v>
      </c>
      <c r="B19" s="6">
        <v>7.58</v>
      </c>
      <c r="C19" s="6">
        <v>8.59</v>
      </c>
      <c r="D19" s="6">
        <v>10.56</v>
      </c>
      <c r="E19" s="6">
        <v>6.1</v>
      </c>
      <c r="F19" s="6">
        <v>2</v>
      </c>
      <c r="G19" s="6">
        <v>45.64</v>
      </c>
      <c r="H19" s="6">
        <v>12.14</v>
      </c>
      <c r="I19" s="6">
        <v>8.68</v>
      </c>
      <c r="J19" s="6">
        <v>0.05</v>
      </c>
      <c r="K19" s="6">
        <v>171.67</v>
      </c>
      <c r="L19" s="6">
        <v>17.899999999999999</v>
      </c>
      <c r="M19" s="6">
        <v>26.87</v>
      </c>
      <c r="N19" s="6">
        <v>2.1</v>
      </c>
      <c r="O19" s="6">
        <v>0</v>
      </c>
      <c r="P19" s="6">
        <v>0.43</v>
      </c>
      <c r="Q19" s="6">
        <v>9.39</v>
      </c>
      <c r="R19" s="6"/>
      <c r="S19" s="6"/>
      <c r="T19" s="156"/>
      <c r="U19" s="6"/>
    </row>
    <row r="20" spans="1:21" customFormat="1">
      <c r="A20" s="201" t="s">
        <v>1979</v>
      </c>
      <c r="B20" s="6">
        <v>7.85</v>
      </c>
      <c r="C20" s="6">
        <v>8.57</v>
      </c>
      <c r="D20" s="6">
        <v>10.77</v>
      </c>
      <c r="E20" s="6">
        <v>5.78</v>
      </c>
      <c r="F20" s="6">
        <v>2</v>
      </c>
      <c r="G20" s="6">
        <v>45.17</v>
      </c>
      <c r="H20" s="6">
        <v>10.94</v>
      </c>
      <c r="I20" s="6">
        <v>8.69</v>
      </c>
      <c r="J20" s="6">
        <v>7.0000000000000007E-2</v>
      </c>
      <c r="K20" s="6">
        <v>149.57</v>
      </c>
      <c r="L20" s="6">
        <v>15.97</v>
      </c>
      <c r="M20" s="6">
        <v>22.06</v>
      </c>
      <c r="N20" s="6">
        <v>2</v>
      </c>
      <c r="O20" s="6">
        <v>0</v>
      </c>
      <c r="P20" s="6">
        <v>0.44</v>
      </c>
      <c r="Q20" s="6">
        <v>9.32</v>
      </c>
      <c r="R20" s="6"/>
      <c r="S20" s="6"/>
      <c r="T20" s="156"/>
      <c r="U20" s="6"/>
    </row>
    <row r="21" spans="1:21" customFormat="1">
      <c r="A21" s="201" t="s">
        <v>1980</v>
      </c>
      <c r="B21" s="6">
        <v>8.07</v>
      </c>
      <c r="C21" s="6">
        <v>8.4700000000000006</v>
      </c>
      <c r="D21" s="6">
        <v>10.89</v>
      </c>
      <c r="E21" s="6">
        <v>6.01</v>
      </c>
      <c r="F21" s="6">
        <v>2</v>
      </c>
      <c r="G21" s="6">
        <v>45.17</v>
      </c>
      <c r="H21" s="6">
        <v>10.94</v>
      </c>
      <c r="I21" s="6">
        <v>8.7100000000000009</v>
      </c>
      <c r="J21" s="6">
        <v>0.09</v>
      </c>
      <c r="K21" s="6">
        <v>125.17</v>
      </c>
      <c r="L21" s="6">
        <v>11.82</v>
      </c>
      <c r="M21" s="6">
        <v>11.6</v>
      </c>
      <c r="N21" s="6">
        <v>1.9</v>
      </c>
      <c r="O21" s="6">
        <v>0</v>
      </c>
      <c r="P21" s="6">
        <v>0.43</v>
      </c>
      <c r="Q21" s="6">
        <v>9.32</v>
      </c>
      <c r="R21" s="6"/>
      <c r="S21" s="6"/>
      <c r="T21" s="156"/>
      <c r="U21" s="6"/>
    </row>
    <row r="22" spans="1:21" customFormat="1">
      <c r="A22" s="201" t="s">
        <v>1981</v>
      </c>
      <c r="B22" s="6">
        <v>8.2200000000000006</v>
      </c>
      <c r="C22" s="6">
        <v>8.4600000000000009</v>
      </c>
      <c r="D22" s="6">
        <v>11.01</v>
      </c>
      <c r="E22" s="6">
        <v>6.34</v>
      </c>
      <c r="F22" s="6">
        <v>2</v>
      </c>
      <c r="G22" s="6">
        <v>45.17</v>
      </c>
      <c r="H22" s="6">
        <v>10.94</v>
      </c>
      <c r="I22" s="6">
        <v>4.4000000000000004</v>
      </c>
      <c r="J22" s="6">
        <v>0.04</v>
      </c>
      <c r="K22" s="6">
        <v>109.88</v>
      </c>
      <c r="L22" s="6">
        <v>12.77</v>
      </c>
      <c r="M22" s="6">
        <v>14.07</v>
      </c>
      <c r="N22" s="6">
        <v>2</v>
      </c>
      <c r="O22" s="6">
        <v>0</v>
      </c>
      <c r="P22" s="6">
        <v>0.45</v>
      </c>
      <c r="Q22" s="6">
        <v>9.32</v>
      </c>
      <c r="R22" s="6"/>
      <c r="S22" s="6"/>
      <c r="T22" s="156"/>
      <c r="U22" s="6"/>
    </row>
    <row r="23" spans="1:21" customFormat="1">
      <c r="A23" s="201" t="s">
        <v>1982</v>
      </c>
      <c r="B23" s="6">
        <v>8.6199999999999992</v>
      </c>
      <c r="C23" s="6">
        <v>8.35</v>
      </c>
      <c r="D23" s="6">
        <v>11.27</v>
      </c>
      <c r="E23" s="6">
        <v>6.15</v>
      </c>
      <c r="F23" s="6">
        <v>2</v>
      </c>
      <c r="G23" s="6">
        <v>45.24</v>
      </c>
      <c r="H23" s="6">
        <v>10.95</v>
      </c>
      <c r="I23" s="6">
        <v>4.4000000000000004</v>
      </c>
      <c r="J23" s="6">
        <v>0.19</v>
      </c>
      <c r="K23" s="6">
        <v>31.64</v>
      </c>
      <c r="L23" s="6">
        <v>11.32</v>
      </c>
      <c r="M23" s="6">
        <v>10.08</v>
      </c>
      <c r="N23" s="6">
        <v>1.8</v>
      </c>
      <c r="O23" s="6">
        <v>0</v>
      </c>
      <c r="P23" s="6">
        <v>0.44</v>
      </c>
      <c r="Q23" s="6">
        <v>9.32</v>
      </c>
      <c r="R23" s="6"/>
      <c r="S23" s="6"/>
      <c r="T23" s="156"/>
      <c r="U23" s="6"/>
    </row>
    <row r="24" spans="1:21" customFormat="1">
      <c r="A24" s="201" t="s">
        <v>1983</v>
      </c>
      <c r="B24" s="6">
        <v>9.0399999999999991</v>
      </c>
      <c r="C24" s="6">
        <v>8.4700000000000006</v>
      </c>
      <c r="D24" s="6">
        <v>11.68</v>
      </c>
      <c r="E24" s="6">
        <v>6.15</v>
      </c>
      <c r="F24" s="6">
        <v>2</v>
      </c>
      <c r="G24" s="6">
        <v>47.31</v>
      </c>
      <c r="H24" s="6">
        <v>11.49</v>
      </c>
      <c r="I24" s="6">
        <v>4.4000000000000004</v>
      </c>
      <c r="J24" s="6">
        <v>0.24</v>
      </c>
      <c r="K24" s="6">
        <v>41.95</v>
      </c>
      <c r="L24" s="6">
        <v>7.32</v>
      </c>
      <c r="M24" s="6">
        <v>0.13</v>
      </c>
      <c r="N24" s="6">
        <v>2</v>
      </c>
      <c r="O24" s="6">
        <v>0</v>
      </c>
      <c r="P24" s="6">
        <v>0.44</v>
      </c>
      <c r="Q24" s="6">
        <v>9.32</v>
      </c>
      <c r="R24" s="6"/>
      <c r="S24" s="6"/>
      <c r="T24" s="156"/>
      <c r="U24" s="6"/>
    </row>
    <row r="25" spans="1:21" customFormat="1">
      <c r="A25" s="201" t="s">
        <v>1984</v>
      </c>
      <c r="B25" s="6">
        <v>9.31</v>
      </c>
      <c r="C25" s="6">
        <v>8.35</v>
      </c>
      <c r="D25" s="6">
        <v>11.83</v>
      </c>
      <c r="E25" s="6">
        <v>5.84</v>
      </c>
      <c r="F25" s="6">
        <v>2</v>
      </c>
      <c r="G25" s="6">
        <v>47.31</v>
      </c>
      <c r="H25" s="6">
        <v>11.49</v>
      </c>
      <c r="I25" s="6">
        <v>4.4000000000000004</v>
      </c>
      <c r="J25" s="6">
        <v>0.16</v>
      </c>
      <c r="K25" s="6">
        <v>359.25</v>
      </c>
      <c r="L25" s="6">
        <v>16.309999999999999</v>
      </c>
      <c r="M25" s="6">
        <v>22.51</v>
      </c>
      <c r="N25" s="6">
        <v>2.1</v>
      </c>
      <c r="O25" s="6">
        <v>0</v>
      </c>
      <c r="P25" s="6">
        <v>0.45</v>
      </c>
      <c r="Q25" s="6">
        <v>9.32</v>
      </c>
      <c r="R25" s="6"/>
      <c r="S25" s="6"/>
      <c r="T25" s="156"/>
      <c r="U25" s="6"/>
    </row>
    <row r="26" spans="1:21" customFormat="1">
      <c r="A26" s="201" t="s">
        <v>1985</v>
      </c>
      <c r="B26" s="6">
        <v>9.6</v>
      </c>
      <c r="C26" s="6">
        <v>8.35</v>
      </c>
      <c r="D26" s="6">
        <v>12.06</v>
      </c>
      <c r="E26" s="6">
        <v>5.99</v>
      </c>
      <c r="F26" s="6">
        <v>2</v>
      </c>
      <c r="G26" s="6">
        <v>47.31</v>
      </c>
      <c r="H26" s="6">
        <v>11.49</v>
      </c>
      <c r="I26" s="6">
        <v>4.4000000000000004</v>
      </c>
      <c r="J26" s="6">
        <v>0.17</v>
      </c>
      <c r="K26" s="6">
        <v>36.090000000000003</v>
      </c>
      <c r="L26" s="6">
        <v>14.33</v>
      </c>
      <c r="M26" s="6">
        <v>18.309999999999999</v>
      </c>
      <c r="N26" s="6">
        <v>2.1</v>
      </c>
      <c r="O26" s="6">
        <v>0</v>
      </c>
      <c r="P26" s="6">
        <v>0.44</v>
      </c>
      <c r="Q26" s="6">
        <v>9.32</v>
      </c>
      <c r="R26" s="6"/>
      <c r="S26" s="6"/>
      <c r="T26" s="156"/>
      <c r="U26" s="6"/>
    </row>
    <row r="27" spans="1:21" customFormat="1">
      <c r="A27" s="201" t="s">
        <v>1986</v>
      </c>
      <c r="B27" s="6">
        <v>9.7899999999999991</v>
      </c>
      <c r="C27" s="6">
        <v>8.31</v>
      </c>
      <c r="D27" s="6">
        <v>12.19</v>
      </c>
      <c r="E27" s="6">
        <v>6.22</v>
      </c>
      <c r="F27" s="6">
        <v>2</v>
      </c>
      <c r="G27" s="6">
        <v>47.39</v>
      </c>
      <c r="H27" s="6">
        <v>11.5</v>
      </c>
      <c r="I27" s="6">
        <v>4.4000000000000004</v>
      </c>
      <c r="J27" s="6">
        <v>0.21</v>
      </c>
      <c r="K27" s="6">
        <v>47.45</v>
      </c>
      <c r="L27" s="6">
        <v>8.1999999999999993</v>
      </c>
      <c r="M27" s="6">
        <v>2.4</v>
      </c>
      <c r="N27" s="6">
        <v>2</v>
      </c>
      <c r="O27" s="6">
        <v>0</v>
      </c>
      <c r="P27" s="6">
        <v>0.45</v>
      </c>
      <c r="Q27" s="6">
        <v>9.32</v>
      </c>
      <c r="R27" s="6"/>
      <c r="S27" s="6"/>
      <c r="T27" s="156"/>
      <c r="U27" s="6"/>
    </row>
    <row r="28" spans="1:21" customFormat="1">
      <c r="A28" s="201" t="s">
        <v>1987</v>
      </c>
      <c r="B28" s="6">
        <v>9.98</v>
      </c>
      <c r="C28" s="6">
        <v>8.19</v>
      </c>
      <c r="D28" s="6">
        <v>12.28</v>
      </c>
      <c r="E28" s="6">
        <v>5.97</v>
      </c>
      <c r="F28" s="6">
        <v>2</v>
      </c>
      <c r="G28" s="6">
        <v>49.71</v>
      </c>
      <c r="H28" s="6">
        <v>11.61</v>
      </c>
      <c r="I28" s="6">
        <v>4.4000000000000004</v>
      </c>
      <c r="J28" s="6">
        <v>7.0000000000000007E-2</v>
      </c>
      <c r="K28" s="6">
        <v>63.62</v>
      </c>
      <c r="L28" s="6">
        <v>13.97</v>
      </c>
      <c r="M28" s="6">
        <v>16.84</v>
      </c>
      <c r="N28" s="6">
        <v>2.1</v>
      </c>
      <c r="O28" s="6">
        <v>0</v>
      </c>
      <c r="P28" s="6">
        <v>0.44</v>
      </c>
      <c r="Q28" s="6">
        <v>9.32</v>
      </c>
      <c r="R28" s="6"/>
      <c r="S28" s="6"/>
      <c r="T28" s="156"/>
      <c r="U28" s="6"/>
    </row>
    <row r="29" spans="1:21" customFormat="1">
      <c r="A29" s="201" t="s">
        <v>1988</v>
      </c>
      <c r="B29" s="6">
        <v>10.27</v>
      </c>
      <c r="C29" s="6">
        <v>8.34</v>
      </c>
      <c r="D29" s="6">
        <v>12.6</v>
      </c>
      <c r="E29" s="6">
        <v>6.31</v>
      </c>
      <c r="F29" s="6">
        <v>2</v>
      </c>
      <c r="G29" s="6">
        <v>49.71</v>
      </c>
      <c r="H29" s="6">
        <v>11.61</v>
      </c>
      <c r="I29" s="6">
        <v>4.4000000000000004</v>
      </c>
      <c r="J29" s="6">
        <v>7.0000000000000007E-2</v>
      </c>
      <c r="K29" s="6">
        <v>104.2</v>
      </c>
      <c r="L29" s="6">
        <v>15.38</v>
      </c>
      <c r="M29" s="6">
        <v>20.49</v>
      </c>
      <c r="N29" s="6">
        <v>2.1</v>
      </c>
      <c r="O29" s="6">
        <v>0</v>
      </c>
      <c r="P29" s="6">
        <v>0.44</v>
      </c>
      <c r="Q29" s="6">
        <v>9.32</v>
      </c>
      <c r="R29" s="6"/>
      <c r="S29" s="6"/>
      <c r="T29" s="156"/>
      <c r="U29" s="6"/>
    </row>
    <row r="30" spans="1:21" customFormat="1">
      <c r="A30" s="201" t="s">
        <v>1989</v>
      </c>
      <c r="B30" s="6">
        <v>10.61</v>
      </c>
      <c r="C30" s="6">
        <v>8.31</v>
      </c>
      <c r="D30" s="6">
        <v>12.85</v>
      </c>
      <c r="E30" s="6">
        <v>6.15</v>
      </c>
      <c r="F30" s="6">
        <v>2</v>
      </c>
      <c r="G30" s="6">
        <v>49.71</v>
      </c>
      <c r="H30" s="6">
        <v>11.61</v>
      </c>
      <c r="I30" s="6">
        <v>4.4000000000000004</v>
      </c>
      <c r="J30" s="6">
        <v>0.13</v>
      </c>
      <c r="K30" s="6">
        <v>31.86</v>
      </c>
      <c r="L30" s="6">
        <v>12.52</v>
      </c>
      <c r="M30" s="6">
        <v>13.14</v>
      </c>
      <c r="N30" s="6">
        <v>2</v>
      </c>
      <c r="O30" s="6">
        <v>0</v>
      </c>
      <c r="P30" s="6">
        <v>0.45</v>
      </c>
      <c r="Q30" s="6">
        <v>9.32</v>
      </c>
      <c r="R30" s="6"/>
      <c r="S30" s="6"/>
      <c r="T30" s="156"/>
      <c r="U30" s="6"/>
    </row>
    <row r="31" spans="1:21" customFormat="1">
      <c r="A31" s="201" t="s">
        <v>1990</v>
      </c>
      <c r="B31" s="6">
        <v>11.04</v>
      </c>
      <c r="C31" s="6">
        <v>8.2899999999999991</v>
      </c>
      <c r="D31" s="6">
        <v>13.18</v>
      </c>
      <c r="E31" s="6">
        <v>6.24</v>
      </c>
      <c r="F31" s="6">
        <v>2</v>
      </c>
      <c r="G31" s="6">
        <v>49.86</v>
      </c>
      <c r="H31" s="6">
        <v>11.62</v>
      </c>
      <c r="I31" s="6">
        <v>4.4000000000000004</v>
      </c>
      <c r="J31" s="6">
        <v>0.22</v>
      </c>
      <c r="K31" s="6">
        <v>31.79</v>
      </c>
      <c r="L31" s="6">
        <v>10.93</v>
      </c>
      <c r="M31" s="6">
        <v>9.1300000000000008</v>
      </c>
      <c r="N31" s="6">
        <v>2.1</v>
      </c>
      <c r="O31" s="6">
        <v>0</v>
      </c>
      <c r="P31" s="6">
        <v>0.44</v>
      </c>
      <c r="Q31" s="6">
        <v>9.32</v>
      </c>
      <c r="R31" s="6"/>
      <c r="S31" s="6"/>
      <c r="T31" s="156"/>
      <c r="U31" s="6"/>
    </row>
    <row r="32" spans="1:21" customFormat="1">
      <c r="A32" s="201" t="s">
        <v>1991</v>
      </c>
      <c r="B32" s="6">
        <v>11.43</v>
      </c>
      <c r="C32" s="6">
        <v>8.3699999999999992</v>
      </c>
      <c r="D32" s="6">
        <v>13.54</v>
      </c>
      <c r="E32" s="6">
        <v>6.27</v>
      </c>
      <c r="F32" s="6">
        <v>2</v>
      </c>
      <c r="G32" s="6">
        <v>54.01</v>
      </c>
      <c r="H32" s="6">
        <v>11.83</v>
      </c>
      <c r="I32" s="6">
        <v>4.4000000000000004</v>
      </c>
      <c r="J32" s="6">
        <v>0.18</v>
      </c>
      <c r="K32" s="6">
        <v>38.31</v>
      </c>
      <c r="L32" s="6">
        <v>10.49</v>
      </c>
      <c r="M32" s="6">
        <v>8.0299999999999994</v>
      </c>
      <c r="N32" s="6">
        <v>2.7</v>
      </c>
      <c r="O32" s="6">
        <v>0</v>
      </c>
      <c r="P32" s="6">
        <v>0.45</v>
      </c>
      <c r="Q32" s="6">
        <v>9.32</v>
      </c>
      <c r="R32" s="6"/>
      <c r="S32" s="6"/>
      <c r="T32" s="156"/>
      <c r="U32" s="6"/>
    </row>
    <row r="33" spans="1:21" customFormat="1">
      <c r="A33" s="201" t="s">
        <v>1992</v>
      </c>
      <c r="B33" s="6">
        <v>11.88</v>
      </c>
      <c r="C33" s="6">
        <v>8.33</v>
      </c>
      <c r="D33" s="6">
        <v>13.88</v>
      </c>
      <c r="E33" s="6">
        <v>6.53</v>
      </c>
      <c r="F33" s="6">
        <v>2</v>
      </c>
      <c r="G33" s="6">
        <v>54.01</v>
      </c>
      <c r="H33" s="6">
        <v>11.83</v>
      </c>
      <c r="I33" s="6">
        <v>4.4000000000000004</v>
      </c>
      <c r="J33" s="6">
        <v>0.04</v>
      </c>
      <c r="K33" s="6">
        <v>34.42</v>
      </c>
      <c r="L33" s="6">
        <v>16.03</v>
      </c>
      <c r="M33" s="6">
        <v>21.89</v>
      </c>
      <c r="N33" s="6">
        <v>6</v>
      </c>
      <c r="O33" s="6">
        <v>0</v>
      </c>
      <c r="P33" s="6">
        <v>0.45</v>
      </c>
      <c r="Q33" s="6">
        <v>9.32</v>
      </c>
      <c r="R33" s="6"/>
      <c r="S33" s="6"/>
      <c r="T33" s="156"/>
      <c r="U33" s="6"/>
    </row>
    <row r="34" spans="1:21" customFormat="1">
      <c r="A34" s="201" t="s">
        <v>1993</v>
      </c>
      <c r="B34" s="6">
        <v>12.38</v>
      </c>
      <c r="C34" s="6">
        <v>8.44</v>
      </c>
      <c r="D34" s="6">
        <v>14.34</v>
      </c>
      <c r="E34" s="6">
        <v>6.32</v>
      </c>
      <c r="F34" s="6">
        <v>2</v>
      </c>
      <c r="G34" s="6">
        <v>54.01</v>
      </c>
      <c r="H34" s="6">
        <v>11.83</v>
      </c>
      <c r="I34" s="6">
        <v>4.4000000000000004</v>
      </c>
      <c r="J34" s="6">
        <v>0.11</v>
      </c>
      <c r="K34" s="6">
        <v>16.899999999999999</v>
      </c>
      <c r="L34" s="6">
        <v>16.36</v>
      </c>
      <c r="M34" s="6">
        <v>22.49</v>
      </c>
      <c r="N34" s="6">
        <v>12.4</v>
      </c>
      <c r="O34" s="6">
        <v>0</v>
      </c>
      <c r="P34" s="6">
        <v>0.45</v>
      </c>
      <c r="Q34" s="6">
        <v>9.32</v>
      </c>
      <c r="R34" s="6"/>
      <c r="S34" s="6"/>
      <c r="T34" s="156"/>
      <c r="U34" s="6"/>
    </row>
    <row r="35" spans="1:21" customFormat="1">
      <c r="A35" s="201" t="s">
        <v>1994</v>
      </c>
      <c r="B35" s="6">
        <v>12.71</v>
      </c>
      <c r="C35" s="6">
        <v>8.42</v>
      </c>
      <c r="D35" s="6">
        <v>14.59</v>
      </c>
      <c r="E35" s="6">
        <v>6.68</v>
      </c>
      <c r="F35" s="6">
        <v>2</v>
      </c>
      <c r="G35" s="6">
        <v>54.05</v>
      </c>
      <c r="H35" s="6">
        <v>11.86</v>
      </c>
      <c r="I35" s="6">
        <v>4.4000000000000004</v>
      </c>
      <c r="J35" s="6">
        <v>0.14000000000000001</v>
      </c>
      <c r="K35" s="6">
        <v>123.94</v>
      </c>
      <c r="L35" s="6">
        <v>11.39</v>
      </c>
      <c r="M35" s="6">
        <v>10.06</v>
      </c>
      <c r="N35" s="6">
        <v>21.5</v>
      </c>
      <c r="O35" s="6">
        <v>0</v>
      </c>
      <c r="P35" s="6">
        <v>0.46</v>
      </c>
      <c r="Q35" s="6">
        <v>9.32</v>
      </c>
      <c r="R35" s="6"/>
      <c r="S35" s="6"/>
      <c r="T35" s="156"/>
      <c r="U35" s="6"/>
    </row>
    <row r="36" spans="1:21" customFormat="1">
      <c r="A36" s="201" t="s">
        <v>1995</v>
      </c>
      <c r="B36" s="6">
        <v>12.75</v>
      </c>
      <c r="C36" s="6">
        <v>8.92</v>
      </c>
      <c r="D36" s="6">
        <v>14.88</v>
      </c>
      <c r="E36" s="6">
        <v>6.66</v>
      </c>
      <c r="F36" s="6">
        <v>2</v>
      </c>
      <c r="G36" s="6">
        <v>55.27</v>
      </c>
      <c r="H36" s="6">
        <v>12.72</v>
      </c>
      <c r="I36" s="6">
        <v>4.4000000000000004</v>
      </c>
      <c r="J36" s="6">
        <v>0.15</v>
      </c>
      <c r="K36" s="6">
        <v>55.01</v>
      </c>
      <c r="L36" s="6">
        <v>8.9700000000000006</v>
      </c>
      <c r="M36" s="6">
        <v>3.61</v>
      </c>
      <c r="N36" s="6">
        <v>32.9</v>
      </c>
      <c r="O36" s="6">
        <v>0</v>
      </c>
      <c r="P36" s="6">
        <v>0.48</v>
      </c>
      <c r="Q36" s="6">
        <v>9.32</v>
      </c>
      <c r="R36" s="6"/>
      <c r="S36" s="6"/>
      <c r="T36" s="156"/>
      <c r="U36" s="6"/>
    </row>
    <row r="37" spans="1:21" customFormat="1">
      <c r="A37" s="201" t="s">
        <v>1996</v>
      </c>
      <c r="B37" s="6">
        <v>12.87</v>
      </c>
      <c r="C37" s="6">
        <v>9.07</v>
      </c>
      <c r="D37" s="6">
        <v>15.06</v>
      </c>
      <c r="E37" s="6">
        <v>6.65</v>
      </c>
      <c r="F37" s="6">
        <v>2</v>
      </c>
      <c r="G37" s="6">
        <v>55.27</v>
      </c>
      <c r="H37" s="6">
        <v>12.72</v>
      </c>
      <c r="I37" s="6">
        <v>4.4000000000000004</v>
      </c>
      <c r="J37" s="6">
        <v>0.3</v>
      </c>
      <c r="K37" s="6">
        <v>36.29</v>
      </c>
      <c r="L37" s="6">
        <v>7.2</v>
      </c>
      <c r="M37" s="6">
        <v>-1.25</v>
      </c>
      <c r="N37" s="6">
        <v>46.3</v>
      </c>
      <c r="O37" s="6">
        <v>0</v>
      </c>
      <c r="P37" s="6">
        <v>0.5</v>
      </c>
      <c r="Q37" s="6">
        <v>9.32</v>
      </c>
      <c r="R37" s="6"/>
      <c r="S37" s="6"/>
      <c r="T37" s="156"/>
      <c r="U37" s="6"/>
    </row>
    <row r="38" spans="1:21" customFormat="1">
      <c r="A38" s="201" t="s">
        <v>1997</v>
      </c>
      <c r="B38" s="6">
        <v>12.67</v>
      </c>
      <c r="C38" s="6">
        <v>9.18</v>
      </c>
      <c r="D38" s="6">
        <v>14.95</v>
      </c>
      <c r="E38" s="6">
        <v>6.61</v>
      </c>
      <c r="F38" s="6">
        <v>2</v>
      </c>
      <c r="G38" s="6">
        <v>55.27</v>
      </c>
      <c r="H38" s="6">
        <v>12.72</v>
      </c>
      <c r="I38" s="6">
        <v>4.4000000000000004</v>
      </c>
      <c r="J38" s="6">
        <v>0.36</v>
      </c>
      <c r="K38" s="6">
        <v>38.32</v>
      </c>
      <c r="L38" s="6">
        <v>7.88</v>
      </c>
      <c r="M38" s="6">
        <v>0.17</v>
      </c>
      <c r="N38" s="6">
        <v>60.9</v>
      </c>
      <c r="O38" s="6">
        <v>0</v>
      </c>
      <c r="P38" s="6">
        <v>0.5</v>
      </c>
      <c r="Q38" s="6">
        <v>9.32</v>
      </c>
      <c r="R38" s="6"/>
      <c r="S38" s="6"/>
      <c r="T38" s="156"/>
      <c r="U38" s="6"/>
    </row>
    <row r="39" spans="1:21" customFormat="1">
      <c r="A39" s="201" t="s">
        <v>1998</v>
      </c>
      <c r="B39" s="6">
        <v>12.45</v>
      </c>
      <c r="C39" s="6">
        <v>9.42</v>
      </c>
      <c r="D39" s="6">
        <v>14.91</v>
      </c>
      <c r="E39" s="6">
        <v>6.37</v>
      </c>
      <c r="F39" s="6">
        <v>2</v>
      </c>
      <c r="G39" s="6">
        <v>55.3</v>
      </c>
      <c r="H39" s="6">
        <v>12.7</v>
      </c>
      <c r="I39" s="6">
        <v>4.4000000000000004</v>
      </c>
      <c r="J39" s="6">
        <v>0.28999999999999998</v>
      </c>
      <c r="K39" s="6">
        <v>28.95</v>
      </c>
      <c r="L39" s="6">
        <v>11</v>
      </c>
      <c r="M39" s="6">
        <v>7.04</v>
      </c>
      <c r="N39" s="6">
        <v>98.7</v>
      </c>
      <c r="O39" s="6">
        <v>0</v>
      </c>
      <c r="P39" s="6">
        <v>0.5</v>
      </c>
      <c r="Q39" s="6">
        <v>9.32</v>
      </c>
      <c r="R39" s="6"/>
      <c r="S39" s="6"/>
      <c r="T39" s="156"/>
      <c r="U39" s="6"/>
    </row>
    <row r="40" spans="1:21" customFormat="1">
      <c r="A40" s="201" t="s">
        <v>1999</v>
      </c>
      <c r="B40" s="6">
        <v>12.25</v>
      </c>
      <c r="C40" s="6">
        <v>9.6199999999999992</v>
      </c>
      <c r="D40" s="6">
        <v>14.85</v>
      </c>
      <c r="E40" s="6">
        <v>6.45</v>
      </c>
      <c r="F40" s="6">
        <v>2</v>
      </c>
      <c r="G40" s="6">
        <v>56.1</v>
      </c>
      <c r="H40" s="6">
        <v>11.86</v>
      </c>
      <c r="I40" s="6">
        <v>4.4000000000000004</v>
      </c>
      <c r="J40" s="6">
        <v>0.3</v>
      </c>
      <c r="K40" s="6">
        <v>41.25</v>
      </c>
      <c r="L40" s="6">
        <v>9.6300000000000008</v>
      </c>
      <c r="M40" s="6">
        <v>1.92</v>
      </c>
      <c r="N40" s="6">
        <v>173.2</v>
      </c>
      <c r="O40" s="6">
        <v>0</v>
      </c>
      <c r="P40" s="6">
        <v>0.5</v>
      </c>
      <c r="Q40" s="6">
        <v>9.32</v>
      </c>
      <c r="R40" s="6"/>
      <c r="S40" s="6"/>
      <c r="T40" s="156"/>
      <c r="U40" s="6"/>
    </row>
    <row r="41" spans="1:21" customFormat="1">
      <c r="A41" s="201" t="s">
        <v>2000</v>
      </c>
      <c r="B41" s="6">
        <v>11.92</v>
      </c>
      <c r="C41" s="6">
        <v>9.77</v>
      </c>
      <c r="D41" s="6">
        <v>14.67</v>
      </c>
      <c r="E41" s="6">
        <v>6.82</v>
      </c>
      <c r="F41" s="6">
        <v>2</v>
      </c>
      <c r="G41" s="6">
        <v>56.1</v>
      </c>
      <c r="H41" s="6">
        <v>11.86</v>
      </c>
      <c r="I41" s="6">
        <v>4.4000000000000004</v>
      </c>
      <c r="J41" s="6">
        <v>0.41</v>
      </c>
      <c r="K41" s="6">
        <v>37.9</v>
      </c>
      <c r="L41" s="6">
        <v>8.93</v>
      </c>
      <c r="M41" s="6">
        <v>-1.41</v>
      </c>
      <c r="N41" s="6">
        <v>239.6</v>
      </c>
      <c r="O41" s="6">
        <v>0</v>
      </c>
      <c r="P41" s="6">
        <v>0.51</v>
      </c>
      <c r="Q41" s="6">
        <v>9.32</v>
      </c>
      <c r="R41" s="6"/>
      <c r="S41" s="6"/>
      <c r="T41" s="156"/>
      <c r="U41" s="6"/>
    </row>
    <row r="42" spans="1:21" customFormat="1">
      <c r="A42" s="201" t="s">
        <v>2001</v>
      </c>
      <c r="B42" s="6">
        <v>11.43</v>
      </c>
      <c r="C42" s="6">
        <v>9.85</v>
      </c>
      <c r="D42" s="6">
        <v>14.31</v>
      </c>
      <c r="E42" s="6">
        <v>6.72</v>
      </c>
      <c r="F42" s="6">
        <v>2</v>
      </c>
      <c r="G42" s="6">
        <v>56.1</v>
      </c>
      <c r="H42" s="6">
        <v>11.86</v>
      </c>
      <c r="I42" s="6">
        <v>4.4000000000000004</v>
      </c>
      <c r="J42" s="6">
        <v>0.49</v>
      </c>
      <c r="K42" s="6">
        <v>32.94</v>
      </c>
      <c r="L42" s="6">
        <v>10.43</v>
      </c>
      <c r="M42" s="6">
        <v>1.3</v>
      </c>
      <c r="N42" s="6">
        <v>283.3</v>
      </c>
      <c r="O42" s="6">
        <v>0</v>
      </c>
      <c r="P42" s="6">
        <v>0.51</v>
      </c>
      <c r="Q42" s="6">
        <v>9.32</v>
      </c>
      <c r="R42" s="6"/>
      <c r="S42" s="6"/>
      <c r="T42" s="156"/>
      <c r="U42" s="6"/>
    </row>
    <row r="43" spans="1:21" customFormat="1">
      <c r="A43" s="201" t="s">
        <v>2002</v>
      </c>
      <c r="B43" s="6">
        <v>10.88</v>
      </c>
      <c r="C43" s="6">
        <v>10.01</v>
      </c>
      <c r="D43" s="6">
        <v>13.96</v>
      </c>
      <c r="E43" s="6">
        <v>6.43</v>
      </c>
      <c r="F43" s="6">
        <v>2</v>
      </c>
      <c r="G43" s="6">
        <v>56.03</v>
      </c>
      <c r="H43" s="6">
        <v>11.85</v>
      </c>
      <c r="I43" s="6">
        <v>4.4000000000000004</v>
      </c>
      <c r="J43" s="6">
        <v>0.48</v>
      </c>
      <c r="K43" s="6">
        <v>45.56</v>
      </c>
      <c r="L43" s="6">
        <v>10.93</v>
      </c>
      <c r="M43" s="6">
        <v>1.65</v>
      </c>
      <c r="N43" s="6">
        <v>323.89999999999998</v>
      </c>
      <c r="O43" s="6">
        <v>0</v>
      </c>
      <c r="P43" s="6">
        <v>0.5</v>
      </c>
      <c r="Q43" s="6">
        <v>9.32</v>
      </c>
      <c r="R43" s="6"/>
      <c r="S43" s="6"/>
      <c r="T43" s="156"/>
      <c r="U43" s="6"/>
    </row>
    <row r="44" spans="1:21" customFormat="1">
      <c r="A44" s="201" t="s">
        <v>2003</v>
      </c>
      <c r="B44" s="6">
        <v>10.27</v>
      </c>
      <c r="C44" s="6">
        <v>10.11</v>
      </c>
      <c r="D44" s="6">
        <v>13.51</v>
      </c>
      <c r="E44" s="6">
        <v>6.7</v>
      </c>
      <c r="F44" s="6">
        <v>2</v>
      </c>
      <c r="G44" s="6">
        <v>53.95</v>
      </c>
      <c r="H44" s="6">
        <v>11.54</v>
      </c>
      <c r="I44" s="6">
        <v>4.4000000000000004</v>
      </c>
      <c r="J44" s="6">
        <v>0.53</v>
      </c>
      <c r="K44" s="6">
        <v>31.34</v>
      </c>
      <c r="L44" s="6">
        <v>11.74</v>
      </c>
      <c r="M44" s="6">
        <v>4.72</v>
      </c>
      <c r="N44" s="6">
        <v>277.2</v>
      </c>
      <c r="O44" s="6">
        <v>0</v>
      </c>
      <c r="P44" s="6">
        <v>0.49</v>
      </c>
      <c r="Q44" s="6">
        <v>9.32</v>
      </c>
      <c r="R44" s="6"/>
      <c r="S44" s="6"/>
      <c r="T44" s="156"/>
      <c r="U44" s="6"/>
    </row>
    <row r="45" spans="1:21" customFormat="1">
      <c r="A45" s="201" t="s">
        <v>2004</v>
      </c>
      <c r="B45" s="6">
        <v>9.6999999999999993</v>
      </c>
      <c r="C45" s="6">
        <v>10.14</v>
      </c>
      <c r="D45" s="6">
        <v>13.08</v>
      </c>
      <c r="E45" s="6">
        <v>6.54</v>
      </c>
      <c r="F45" s="6">
        <v>2</v>
      </c>
      <c r="G45" s="6">
        <v>53.95</v>
      </c>
      <c r="H45" s="6">
        <v>11.54</v>
      </c>
      <c r="I45" s="6">
        <v>4.4000000000000004</v>
      </c>
      <c r="J45" s="6">
        <v>0.53</v>
      </c>
      <c r="K45" s="6">
        <v>42.02</v>
      </c>
      <c r="L45" s="6">
        <v>14.97</v>
      </c>
      <c r="M45" s="6">
        <v>10.050000000000001</v>
      </c>
      <c r="N45" s="6">
        <v>399</v>
      </c>
      <c r="O45" s="6">
        <v>0</v>
      </c>
      <c r="P45" s="6">
        <v>0.5</v>
      </c>
      <c r="Q45" s="6">
        <v>9.32</v>
      </c>
      <c r="R45" s="6"/>
      <c r="S45" s="6"/>
      <c r="T45" s="156"/>
      <c r="U45" s="6"/>
    </row>
    <row r="46" spans="1:21" customFormat="1">
      <c r="A46" s="201" t="s">
        <v>2005</v>
      </c>
      <c r="B46" s="6">
        <v>9.11</v>
      </c>
      <c r="C46" s="6">
        <v>10.210000000000001</v>
      </c>
      <c r="D46" s="6">
        <v>12.64</v>
      </c>
      <c r="E46" s="6">
        <v>6.63</v>
      </c>
      <c r="F46" s="6">
        <v>2</v>
      </c>
      <c r="G46" s="6">
        <v>53.95</v>
      </c>
      <c r="H46" s="6">
        <v>11.54</v>
      </c>
      <c r="I46" s="6">
        <v>4.4000000000000004</v>
      </c>
      <c r="J46" s="6">
        <v>0.37</v>
      </c>
      <c r="K46" s="6">
        <v>56.95</v>
      </c>
      <c r="L46" s="6">
        <v>13.53</v>
      </c>
      <c r="M46" s="6">
        <v>5.52</v>
      </c>
      <c r="N46" s="6">
        <v>438.2</v>
      </c>
      <c r="O46" s="6">
        <v>0</v>
      </c>
      <c r="P46" s="6">
        <v>0.49</v>
      </c>
      <c r="Q46" s="6">
        <v>9.32</v>
      </c>
      <c r="R46" s="6"/>
      <c r="S46" s="6"/>
      <c r="T46" s="156"/>
      <c r="U46" s="6"/>
    </row>
    <row r="47" spans="1:21" customFormat="1">
      <c r="A47" s="201" t="s">
        <v>2006</v>
      </c>
      <c r="B47" s="6">
        <v>8.66</v>
      </c>
      <c r="C47" s="6">
        <v>10.49</v>
      </c>
      <c r="D47" s="6">
        <v>12.42</v>
      </c>
      <c r="E47" s="6">
        <v>6.95</v>
      </c>
      <c r="F47" s="6">
        <v>2</v>
      </c>
      <c r="G47" s="6">
        <v>53.88</v>
      </c>
      <c r="H47" s="6">
        <v>11.5</v>
      </c>
      <c r="I47" s="6">
        <v>4.4000000000000004</v>
      </c>
      <c r="J47" s="6">
        <v>0.46</v>
      </c>
      <c r="K47" s="6">
        <v>43.35</v>
      </c>
      <c r="L47" s="6">
        <v>12</v>
      </c>
      <c r="M47" s="6">
        <v>0.86</v>
      </c>
      <c r="N47" s="6">
        <v>471.3</v>
      </c>
      <c r="O47" s="6">
        <v>0</v>
      </c>
      <c r="P47" s="6">
        <v>0.48</v>
      </c>
      <c r="Q47" s="6">
        <v>9.32</v>
      </c>
      <c r="R47" s="6"/>
      <c r="S47" s="6"/>
      <c r="T47" s="156"/>
      <c r="U47" s="6"/>
    </row>
    <row r="48" spans="1:21" customFormat="1">
      <c r="A48" s="201" t="s">
        <v>2007</v>
      </c>
      <c r="B48" s="6">
        <v>8.2899999999999991</v>
      </c>
      <c r="C48" s="6">
        <v>10.69</v>
      </c>
      <c r="D48" s="6">
        <v>12.23</v>
      </c>
      <c r="E48" s="6">
        <v>6.86</v>
      </c>
      <c r="F48" s="6">
        <v>2</v>
      </c>
      <c r="G48" s="6">
        <v>51.66</v>
      </c>
      <c r="H48" s="6">
        <v>10.050000000000001</v>
      </c>
      <c r="I48" s="6">
        <v>4.4000000000000004</v>
      </c>
      <c r="J48" s="6">
        <v>0.39</v>
      </c>
      <c r="K48" s="6">
        <v>29.44</v>
      </c>
      <c r="L48" s="6">
        <v>14.05</v>
      </c>
      <c r="M48" s="6">
        <v>7.25</v>
      </c>
      <c r="N48" s="6">
        <v>414.1</v>
      </c>
      <c r="O48" s="6">
        <v>0</v>
      </c>
      <c r="P48" s="6">
        <v>0.49</v>
      </c>
      <c r="Q48" s="6">
        <v>9.32</v>
      </c>
      <c r="R48" s="6"/>
      <c r="S48" s="6"/>
      <c r="T48" s="156"/>
      <c r="U48" s="6"/>
    </row>
    <row r="49" spans="1:21" customFormat="1">
      <c r="A49" s="201" t="s">
        <v>2008</v>
      </c>
      <c r="B49" s="6">
        <v>7.87</v>
      </c>
      <c r="C49" s="6">
        <v>10.64</v>
      </c>
      <c r="D49" s="6">
        <v>11.87</v>
      </c>
      <c r="E49" s="6">
        <v>5.39</v>
      </c>
      <c r="F49" s="6">
        <v>2</v>
      </c>
      <c r="G49" s="6">
        <v>51.66</v>
      </c>
      <c r="H49" s="6">
        <v>10.050000000000001</v>
      </c>
      <c r="I49" s="6">
        <v>4.4000000000000004</v>
      </c>
      <c r="J49" s="6">
        <v>0.53</v>
      </c>
      <c r="K49" s="6">
        <v>33.369999999999997</v>
      </c>
      <c r="L49" s="6">
        <v>16.39</v>
      </c>
      <c r="M49" s="6">
        <v>10.85</v>
      </c>
      <c r="N49" s="6">
        <v>514.70000000000005</v>
      </c>
      <c r="O49" s="6">
        <v>0</v>
      </c>
      <c r="P49" s="6">
        <v>0.48</v>
      </c>
      <c r="Q49" s="6">
        <v>9.32</v>
      </c>
      <c r="R49" s="6"/>
      <c r="S49" s="6"/>
      <c r="T49" s="156"/>
      <c r="U49" s="6"/>
    </row>
    <row r="50" spans="1:21" customFormat="1">
      <c r="A50" s="201" t="s">
        <v>2009</v>
      </c>
      <c r="B50" s="6">
        <v>7.3</v>
      </c>
      <c r="C50" s="6">
        <v>10.69</v>
      </c>
      <c r="D50" s="6">
        <v>11.44</v>
      </c>
      <c r="E50" s="6">
        <v>6.63</v>
      </c>
      <c r="F50" s="6">
        <v>2</v>
      </c>
      <c r="G50" s="6">
        <v>51.66</v>
      </c>
      <c r="H50" s="6">
        <v>10.050000000000001</v>
      </c>
      <c r="I50" s="6">
        <v>4.4000000000000004</v>
      </c>
      <c r="J50" s="6">
        <v>0.33</v>
      </c>
      <c r="K50" s="6">
        <v>38.32</v>
      </c>
      <c r="L50" s="6">
        <v>17.010000000000002</v>
      </c>
      <c r="M50" s="6">
        <v>11.3</v>
      </c>
      <c r="N50" s="6">
        <v>565.1</v>
      </c>
      <c r="O50" s="6">
        <v>0</v>
      </c>
      <c r="P50" s="6">
        <v>0.47</v>
      </c>
      <c r="Q50" s="6">
        <v>9.32</v>
      </c>
      <c r="R50" s="6"/>
      <c r="S50" s="6"/>
      <c r="T50" s="156"/>
      <c r="U50" s="6"/>
    </row>
    <row r="51" spans="1:21" customFormat="1">
      <c r="A51" s="201" t="s">
        <v>2010</v>
      </c>
      <c r="B51" s="6">
        <v>6.73</v>
      </c>
      <c r="C51" s="6">
        <v>10.92</v>
      </c>
      <c r="D51" s="6">
        <v>11.1</v>
      </c>
      <c r="E51" s="6">
        <v>6.48</v>
      </c>
      <c r="F51" s="6">
        <v>2</v>
      </c>
      <c r="G51" s="6">
        <v>51.64</v>
      </c>
      <c r="H51" s="6">
        <v>10.050000000000001</v>
      </c>
      <c r="I51" s="6">
        <v>4.4000000000000004</v>
      </c>
      <c r="J51" s="6">
        <v>0.19</v>
      </c>
      <c r="K51" s="6">
        <v>41.27</v>
      </c>
      <c r="L51" s="6">
        <v>18.88</v>
      </c>
      <c r="M51" s="6">
        <v>15.64</v>
      </c>
      <c r="N51" s="6">
        <v>583.5</v>
      </c>
      <c r="O51" s="6">
        <v>0</v>
      </c>
      <c r="P51" s="6">
        <v>0.46</v>
      </c>
      <c r="Q51" s="6">
        <v>9.32</v>
      </c>
      <c r="R51" s="6"/>
      <c r="S51" s="6"/>
      <c r="T51" s="156"/>
      <c r="U51" s="6"/>
    </row>
    <row r="52" spans="1:21" customFormat="1">
      <c r="A52" s="201" t="s">
        <v>2011</v>
      </c>
      <c r="B52" s="6">
        <v>6.08</v>
      </c>
      <c r="C52" s="6">
        <v>10.83</v>
      </c>
      <c r="D52" s="6">
        <v>10.54</v>
      </c>
      <c r="E52" s="6">
        <v>6.35</v>
      </c>
      <c r="F52" s="6">
        <v>2</v>
      </c>
      <c r="G52" s="6">
        <v>51.24</v>
      </c>
      <c r="H52" s="6">
        <v>10.220000000000001</v>
      </c>
      <c r="I52" s="6">
        <v>4.4000000000000004</v>
      </c>
      <c r="J52" s="6">
        <v>0.34</v>
      </c>
      <c r="K52" s="6">
        <v>95.6</v>
      </c>
      <c r="L52" s="6">
        <v>15.95</v>
      </c>
      <c r="M52" s="6">
        <v>9.08</v>
      </c>
      <c r="N52" s="6">
        <v>550.1</v>
      </c>
      <c r="O52" s="6">
        <v>0</v>
      </c>
      <c r="P52" s="6">
        <v>0.46</v>
      </c>
      <c r="Q52" s="6">
        <v>9.32</v>
      </c>
      <c r="R52" s="6"/>
      <c r="S52" s="6"/>
      <c r="T52" s="156"/>
      <c r="U52" s="6"/>
    </row>
    <row r="53" spans="1:21" customFormat="1">
      <c r="A53" s="201" t="s">
        <v>2012</v>
      </c>
      <c r="B53" s="6">
        <v>5.33</v>
      </c>
      <c r="C53" s="6">
        <v>10.77</v>
      </c>
      <c r="D53" s="6">
        <v>9.9</v>
      </c>
      <c r="E53" s="6">
        <v>6.27</v>
      </c>
      <c r="F53" s="6">
        <v>2</v>
      </c>
      <c r="G53" s="6">
        <v>51.24</v>
      </c>
      <c r="H53" s="6">
        <v>10.220000000000001</v>
      </c>
      <c r="I53" s="6">
        <v>4.4000000000000004</v>
      </c>
      <c r="J53" s="6">
        <v>0.53</v>
      </c>
      <c r="K53" s="6">
        <v>30.02</v>
      </c>
      <c r="L53" s="6">
        <v>17.52</v>
      </c>
      <c r="M53" s="6">
        <v>11.57</v>
      </c>
      <c r="N53" s="6">
        <v>605.9</v>
      </c>
      <c r="O53" s="6">
        <v>0</v>
      </c>
      <c r="P53" s="6">
        <v>0.45</v>
      </c>
      <c r="Q53" s="6">
        <v>9.32</v>
      </c>
      <c r="R53" s="6"/>
      <c r="S53" s="6"/>
      <c r="T53" s="156"/>
      <c r="U53" s="6"/>
    </row>
    <row r="54" spans="1:21" customFormat="1">
      <c r="A54" s="201" t="s">
        <v>2013</v>
      </c>
      <c r="B54" s="6">
        <v>4.6399999999999997</v>
      </c>
      <c r="C54" s="6">
        <v>10.77</v>
      </c>
      <c r="D54" s="6">
        <v>9.35</v>
      </c>
      <c r="E54" s="6">
        <v>6.41</v>
      </c>
      <c r="F54" s="6">
        <v>2</v>
      </c>
      <c r="G54" s="6">
        <v>51.24</v>
      </c>
      <c r="H54" s="6">
        <v>10.220000000000001</v>
      </c>
      <c r="I54" s="6">
        <v>4.4000000000000004</v>
      </c>
      <c r="J54" s="6">
        <v>0.39</v>
      </c>
      <c r="K54" s="6">
        <v>42.16</v>
      </c>
      <c r="L54" s="6">
        <v>16.64</v>
      </c>
      <c r="M54" s="6">
        <v>8.73</v>
      </c>
      <c r="N54" s="6">
        <v>633.6</v>
      </c>
      <c r="O54" s="6">
        <v>0</v>
      </c>
      <c r="P54" s="6">
        <v>0.44</v>
      </c>
      <c r="Q54" s="6">
        <v>9.32</v>
      </c>
      <c r="R54" s="6"/>
      <c r="S54" s="6"/>
      <c r="T54" s="156"/>
      <c r="U54" s="6"/>
    </row>
    <row r="55" spans="1:21" customFormat="1">
      <c r="A55" s="201" t="s">
        <v>2014</v>
      </c>
      <c r="B55" s="6">
        <v>4.05</v>
      </c>
      <c r="C55" s="6">
        <v>10.67</v>
      </c>
      <c r="D55" s="6">
        <v>8.82</v>
      </c>
      <c r="E55" s="6">
        <v>6.45</v>
      </c>
      <c r="F55" s="6">
        <v>2.19</v>
      </c>
      <c r="G55" s="6">
        <v>51.14</v>
      </c>
      <c r="H55" s="6">
        <v>10.199999999999999</v>
      </c>
      <c r="I55" s="6">
        <v>4.4000000000000004</v>
      </c>
      <c r="J55" s="6">
        <v>0.35</v>
      </c>
      <c r="K55" s="6">
        <v>75.02</v>
      </c>
      <c r="L55" s="6">
        <v>16.920000000000002</v>
      </c>
      <c r="M55" s="6">
        <v>9.83</v>
      </c>
      <c r="N55" s="6">
        <v>620.6</v>
      </c>
      <c r="O55" s="6">
        <v>0</v>
      </c>
      <c r="P55" s="6">
        <v>0.43</v>
      </c>
      <c r="Q55" s="6">
        <v>9.32</v>
      </c>
      <c r="R55" s="6"/>
      <c r="S55" s="6"/>
      <c r="T55" s="156"/>
      <c r="U55" s="6"/>
    </row>
    <row r="56" spans="1:21" customFormat="1">
      <c r="A56" s="201" t="s">
        <v>2015</v>
      </c>
      <c r="B56" s="6">
        <v>3.67</v>
      </c>
      <c r="C56" s="6">
        <v>10.36</v>
      </c>
      <c r="D56" s="6">
        <v>8.35</v>
      </c>
      <c r="E56" s="6">
        <v>6.96</v>
      </c>
      <c r="F56" s="6">
        <v>2</v>
      </c>
      <c r="G56" s="6">
        <v>48.03</v>
      </c>
      <c r="H56" s="6">
        <v>9.6199999999999992</v>
      </c>
      <c r="I56" s="6">
        <v>4.4000000000000004</v>
      </c>
      <c r="J56" s="6">
        <v>0.45</v>
      </c>
      <c r="K56" s="6">
        <v>42.39</v>
      </c>
      <c r="L56" s="6">
        <v>14.33</v>
      </c>
      <c r="M56" s="6">
        <v>3.37</v>
      </c>
      <c r="N56" s="6">
        <v>615.9</v>
      </c>
      <c r="O56" s="6">
        <v>0</v>
      </c>
      <c r="P56" s="6">
        <v>0.42</v>
      </c>
      <c r="Q56" s="6">
        <v>9.32</v>
      </c>
      <c r="R56" s="6"/>
      <c r="S56" s="6"/>
      <c r="T56" s="156"/>
      <c r="U56" s="6"/>
    </row>
    <row r="57" spans="1:21" customFormat="1">
      <c r="A57" s="201" t="s">
        <v>2016</v>
      </c>
      <c r="B57" s="6">
        <v>3.38</v>
      </c>
      <c r="C57" s="6">
        <v>9.9600000000000009</v>
      </c>
      <c r="D57" s="6">
        <v>7.91</v>
      </c>
      <c r="E57" s="6">
        <v>7.26</v>
      </c>
      <c r="F57" s="6">
        <v>3.2</v>
      </c>
      <c r="G57" s="6">
        <v>48.03</v>
      </c>
      <c r="H57" s="6">
        <v>9.6199999999999992</v>
      </c>
      <c r="I57" s="6">
        <v>4.4000000000000004</v>
      </c>
      <c r="J57" s="6">
        <v>0.18</v>
      </c>
      <c r="K57" s="6">
        <v>356.03</v>
      </c>
      <c r="L57" s="6">
        <v>21.91</v>
      </c>
      <c r="M57" s="6">
        <v>22.38</v>
      </c>
      <c r="N57" s="6">
        <v>617.6</v>
      </c>
      <c r="O57" s="6">
        <v>0</v>
      </c>
      <c r="P57" s="6">
        <v>0.41</v>
      </c>
      <c r="Q57" s="6">
        <v>9.32</v>
      </c>
      <c r="R57" s="6"/>
      <c r="S57" s="6"/>
      <c r="T57" s="156"/>
      <c r="U57" s="6"/>
    </row>
    <row r="58" spans="1:21" customFormat="1">
      <c r="A58" s="201" t="s">
        <v>2017</v>
      </c>
      <c r="B58" s="6">
        <v>3.14</v>
      </c>
      <c r="C58" s="6">
        <v>9.7200000000000006</v>
      </c>
      <c r="D58" s="6">
        <v>7.59</v>
      </c>
      <c r="E58" s="6">
        <v>7.64</v>
      </c>
      <c r="F58" s="6">
        <v>2</v>
      </c>
      <c r="G58" s="6">
        <v>48.03</v>
      </c>
      <c r="H58" s="6">
        <v>9.6199999999999992</v>
      </c>
      <c r="I58" s="6">
        <v>4.4000000000000004</v>
      </c>
      <c r="J58" s="6">
        <v>0.41</v>
      </c>
      <c r="K58" s="6">
        <v>357.66</v>
      </c>
      <c r="L58" s="6">
        <v>22.02</v>
      </c>
      <c r="M58" s="6">
        <v>23.04</v>
      </c>
      <c r="N58" s="6">
        <v>596.1</v>
      </c>
      <c r="O58" s="6">
        <v>0</v>
      </c>
      <c r="P58" s="6">
        <v>0.4</v>
      </c>
      <c r="Q58" s="6">
        <v>9.32</v>
      </c>
      <c r="R58" s="6"/>
      <c r="S58" s="6"/>
      <c r="T58" s="156"/>
      <c r="U58" s="6"/>
    </row>
    <row r="59" spans="1:21" customFormat="1">
      <c r="A59" s="201" t="s">
        <v>2018</v>
      </c>
      <c r="B59" s="6">
        <v>2.99</v>
      </c>
      <c r="C59" s="6">
        <v>9.82</v>
      </c>
      <c r="D59" s="6">
        <v>7.53</v>
      </c>
      <c r="E59" s="6">
        <v>8.02</v>
      </c>
      <c r="F59" s="6">
        <v>5.85</v>
      </c>
      <c r="G59" s="6">
        <v>47.95</v>
      </c>
      <c r="H59" s="6">
        <v>9.6199999999999992</v>
      </c>
      <c r="I59" s="6">
        <v>4.4000000000000004</v>
      </c>
      <c r="J59" s="6">
        <v>0.48</v>
      </c>
      <c r="K59" s="6">
        <v>42.7</v>
      </c>
      <c r="L59" s="6">
        <v>15.5</v>
      </c>
      <c r="M59" s="6">
        <v>7.93</v>
      </c>
      <c r="N59" s="6">
        <v>578.6</v>
      </c>
      <c r="O59" s="6">
        <v>0</v>
      </c>
      <c r="P59" s="6">
        <v>0.39</v>
      </c>
      <c r="Q59" s="6">
        <v>9.32</v>
      </c>
      <c r="R59" s="6"/>
      <c r="S59" s="6"/>
      <c r="T59" s="156"/>
      <c r="U59" s="6"/>
    </row>
    <row r="60" spans="1:21" customFormat="1">
      <c r="A60" s="201" t="s">
        <v>2019</v>
      </c>
      <c r="B60" s="6">
        <v>2.8</v>
      </c>
      <c r="C60" s="6">
        <v>9.5500000000000007</v>
      </c>
      <c r="D60" s="6">
        <v>7.23</v>
      </c>
      <c r="E60" s="6">
        <v>9.07</v>
      </c>
      <c r="F60" s="6">
        <v>5.74</v>
      </c>
      <c r="G60" s="6">
        <v>45.77</v>
      </c>
      <c r="H60" s="6">
        <v>9.6199999999999992</v>
      </c>
      <c r="I60" s="6">
        <v>4.4000000000000004</v>
      </c>
      <c r="J60" s="6">
        <v>0.16</v>
      </c>
      <c r="K60" s="6">
        <v>37.75</v>
      </c>
      <c r="L60" s="6">
        <v>21.75</v>
      </c>
      <c r="M60" s="6">
        <v>22.84</v>
      </c>
      <c r="N60" s="6">
        <v>577.29999999999995</v>
      </c>
      <c r="O60" s="6">
        <v>0</v>
      </c>
      <c r="P60" s="6">
        <v>0.37</v>
      </c>
      <c r="Q60" s="6">
        <v>9.32</v>
      </c>
      <c r="R60" s="6"/>
      <c r="S60" s="6"/>
      <c r="T60" s="156"/>
      <c r="U60" s="6"/>
    </row>
    <row r="61" spans="1:21" customFormat="1">
      <c r="A61" s="201" t="s">
        <v>2020</v>
      </c>
      <c r="B61" s="6">
        <v>2.75</v>
      </c>
      <c r="C61" s="6">
        <v>9.56</v>
      </c>
      <c r="D61" s="6">
        <v>7.2</v>
      </c>
      <c r="E61" s="6">
        <v>8.73</v>
      </c>
      <c r="F61" s="6">
        <v>5.82</v>
      </c>
      <c r="G61" s="6">
        <v>45.77</v>
      </c>
      <c r="H61" s="6">
        <v>9.6199999999999992</v>
      </c>
      <c r="I61" s="6">
        <v>4.4000000000000004</v>
      </c>
      <c r="J61" s="6">
        <v>0.47</v>
      </c>
      <c r="K61" s="6">
        <v>19.96</v>
      </c>
      <c r="L61" s="6">
        <v>18.63</v>
      </c>
      <c r="M61" s="6">
        <v>17.71</v>
      </c>
      <c r="N61" s="6">
        <v>423.7</v>
      </c>
      <c r="O61" s="6">
        <v>0</v>
      </c>
      <c r="P61" s="6">
        <v>0.37</v>
      </c>
      <c r="Q61" s="6">
        <v>9.32</v>
      </c>
      <c r="R61" s="6"/>
      <c r="S61" s="6"/>
      <c r="T61" s="156"/>
      <c r="U61" s="6"/>
    </row>
    <row r="62" spans="1:21" customFormat="1">
      <c r="A62" s="201" t="s">
        <v>2021</v>
      </c>
      <c r="B62" s="6">
        <v>2.7</v>
      </c>
      <c r="C62" s="6">
        <v>9.42</v>
      </c>
      <c r="D62" s="6">
        <v>7.09</v>
      </c>
      <c r="E62" s="6">
        <v>9.0299999999999994</v>
      </c>
      <c r="F62" s="6">
        <v>3.64</v>
      </c>
      <c r="G62" s="6">
        <v>45.77</v>
      </c>
      <c r="H62" s="6">
        <v>9.6199999999999992</v>
      </c>
      <c r="I62" s="6">
        <v>4.4000000000000004</v>
      </c>
      <c r="J62" s="6">
        <v>0.27</v>
      </c>
      <c r="K62" s="6">
        <v>21.83</v>
      </c>
      <c r="L62" s="6">
        <v>15.66</v>
      </c>
      <c r="M62" s="6">
        <v>16.45</v>
      </c>
      <c r="N62" s="6">
        <v>194.7</v>
      </c>
      <c r="O62" s="6">
        <v>0</v>
      </c>
      <c r="P62" s="6">
        <v>0.36</v>
      </c>
      <c r="Q62" s="6">
        <v>9.33</v>
      </c>
      <c r="R62" s="6"/>
      <c r="S62" s="6"/>
      <c r="T62" s="156"/>
      <c r="U62" s="6"/>
    </row>
    <row r="63" spans="1:21" customFormat="1">
      <c r="A63" s="201" t="s">
        <v>2022</v>
      </c>
      <c r="B63" s="6">
        <v>2.59</v>
      </c>
      <c r="C63" s="6">
        <v>8.94</v>
      </c>
      <c r="D63" s="6">
        <v>6.74</v>
      </c>
      <c r="E63" s="6">
        <v>8.01</v>
      </c>
      <c r="F63" s="6">
        <v>5.76</v>
      </c>
      <c r="G63" s="6">
        <v>45.68</v>
      </c>
      <c r="H63" s="6">
        <v>9.6199999999999992</v>
      </c>
      <c r="I63" s="6">
        <v>4.4000000000000004</v>
      </c>
      <c r="J63" s="6">
        <v>0.25</v>
      </c>
      <c r="K63" s="6">
        <v>69.599999999999994</v>
      </c>
      <c r="L63" s="6">
        <v>14.48</v>
      </c>
      <c r="M63" s="6">
        <v>11.57</v>
      </c>
      <c r="N63" s="6">
        <v>284.2</v>
      </c>
      <c r="O63" s="6">
        <v>0</v>
      </c>
      <c r="P63" s="6">
        <v>0.38</v>
      </c>
      <c r="Q63" s="6">
        <v>9.32</v>
      </c>
      <c r="R63" s="6"/>
      <c r="S63" s="6"/>
      <c r="T63" s="156"/>
      <c r="U63" s="6"/>
    </row>
    <row r="64" spans="1:21" customFormat="1">
      <c r="A64" s="201" t="s">
        <v>2023</v>
      </c>
      <c r="B64" s="6">
        <v>2.68</v>
      </c>
      <c r="C64" s="6">
        <v>9.65</v>
      </c>
      <c r="D64" s="6">
        <v>7.19</v>
      </c>
      <c r="E64" s="6">
        <v>8.86</v>
      </c>
      <c r="F64" s="6">
        <v>9.68</v>
      </c>
      <c r="G64" s="6">
        <v>42.94</v>
      </c>
      <c r="H64" s="6">
        <v>9.52</v>
      </c>
      <c r="I64" s="6">
        <v>4.4000000000000004</v>
      </c>
      <c r="J64" s="6">
        <v>0.55000000000000004</v>
      </c>
      <c r="K64" s="6">
        <v>31.24</v>
      </c>
      <c r="L64" s="6">
        <v>16.45</v>
      </c>
      <c r="M64" s="6">
        <v>13.73</v>
      </c>
      <c r="N64" s="6">
        <v>396.6</v>
      </c>
      <c r="O64" s="6">
        <v>0</v>
      </c>
      <c r="P64" s="6">
        <v>0.37</v>
      </c>
      <c r="Q64" s="6">
        <v>12.84</v>
      </c>
      <c r="R64" s="6"/>
      <c r="S64" s="6"/>
      <c r="T64" s="156"/>
      <c r="U64" s="6"/>
    </row>
    <row r="65" spans="1:21" customFormat="1">
      <c r="A65" s="201" t="s">
        <v>2024</v>
      </c>
      <c r="B65" s="6">
        <v>2.56</v>
      </c>
      <c r="C65" s="6">
        <v>9.48</v>
      </c>
      <c r="D65" s="6">
        <v>7.01</v>
      </c>
      <c r="E65" s="6">
        <v>10.18</v>
      </c>
      <c r="F65" s="6">
        <v>18.170000000000002</v>
      </c>
      <c r="G65" s="6">
        <v>42.94</v>
      </c>
      <c r="H65" s="6">
        <v>9.52</v>
      </c>
      <c r="I65" s="6">
        <v>4.4000000000000004</v>
      </c>
      <c r="J65" s="6">
        <v>0.45</v>
      </c>
      <c r="K65" s="6">
        <v>10.27</v>
      </c>
      <c r="L65" s="6">
        <v>16.93</v>
      </c>
      <c r="M65" s="6">
        <v>14.17</v>
      </c>
      <c r="N65" s="6">
        <v>429.2</v>
      </c>
      <c r="O65" s="6">
        <v>0</v>
      </c>
      <c r="P65" s="6">
        <v>0.34</v>
      </c>
      <c r="Q65" s="6">
        <v>9.7799999999999994</v>
      </c>
      <c r="R65" s="6"/>
      <c r="S65" s="6"/>
      <c r="T65" s="156"/>
      <c r="U65" s="6"/>
    </row>
    <row r="66" spans="1:21" customFormat="1">
      <c r="A66" s="201" t="s">
        <v>2025</v>
      </c>
      <c r="B66" s="6">
        <v>2.48</v>
      </c>
      <c r="C66" s="6">
        <v>9.66</v>
      </c>
      <c r="D66" s="6">
        <v>7.04</v>
      </c>
      <c r="E66" s="6">
        <v>10.57</v>
      </c>
      <c r="F66" s="6">
        <v>19.190000000000001</v>
      </c>
      <c r="G66" s="6">
        <v>42.94</v>
      </c>
      <c r="H66" s="6">
        <v>9.52</v>
      </c>
      <c r="I66" s="6">
        <v>4.4000000000000004</v>
      </c>
      <c r="J66" s="6">
        <v>0.42</v>
      </c>
      <c r="K66" s="6">
        <v>343.88</v>
      </c>
      <c r="L66" s="6">
        <v>21.52</v>
      </c>
      <c r="M66" s="6">
        <v>29.62</v>
      </c>
      <c r="N66" s="6">
        <v>259.2</v>
      </c>
      <c r="O66" s="6">
        <v>0</v>
      </c>
      <c r="P66" s="6">
        <v>0.35</v>
      </c>
      <c r="Q66" s="6">
        <v>9.57</v>
      </c>
      <c r="R66" s="6"/>
      <c r="S66" s="6"/>
      <c r="T66" s="156"/>
      <c r="U66" s="6"/>
    </row>
    <row r="67" spans="1:21" customFormat="1">
      <c r="A67" s="201" t="s">
        <v>2026</v>
      </c>
      <c r="B67" s="6">
        <v>2.5</v>
      </c>
      <c r="C67" s="6">
        <v>9.26</v>
      </c>
      <c r="D67" s="6">
        <v>6.85</v>
      </c>
      <c r="E67" s="6">
        <v>9.31</v>
      </c>
      <c r="F67" s="6">
        <v>11.93</v>
      </c>
      <c r="G67" s="6">
        <v>42.94</v>
      </c>
      <c r="H67" s="6">
        <v>9.51</v>
      </c>
      <c r="I67" s="6">
        <v>4.4000000000000004</v>
      </c>
      <c r="J67" s="6">
        <v>0.36</v>
      </c>
      <c r="K67" s="6">
        <v>41.35</v>
      </c>
      <c r="L67" s="6">
        <v>10.92</v>
      </c>
      <c r="M67" s="6">
        <v>7.31</v>
      </c>
      <c r="N67" s="6">
        <v>79.400000000000006</v>
      </c>
      <c r="O67" s="6">
        <v>0</v>
      </c>
      <c r="P67" s="6">
        <v>0.37</v>
      </c>
      <c r="Q67" s="6">
        <v>9.32</v>
      </c>
      <c r="R67" s="6"/>
      <c r="S67" s="6"/>
      <c r="T67" s="156"/>
      <c r="U67" s="6"/>
    </row>
    <row r="68" spans="1:21" customFormat="1">
      <c r="A68" s="201" t="s">
        <v>2027</v>
      </c>
      <c r="B68" s="6">
        <v>2.4500000000000002</v>
      </c>
      <c r="C68" s="6">
        <v>8.99</v>
      </c>
      <c r="D68" s="6">
        <v>6.66</v>
      </c>
      <c r="E68" s="6">
        <v>9.75</v>
      </c>
      <c r="F68" s="6">
        <v>14.6</v>
      </c>
      <c r="G68" s="6">
        <v>42.85</v>
      </c>
      <c r="H68" s="6">
        <v>9.2799999999999994</v>
      </c>
      <c r="I68" s="6">
        <v>4.4000000000000004</v>
      </c>
      <c r="J68" s="6">
        <v>0.3</v>
      </c>
      <c r="K68" s="6">
        <v>81.45</v>
      </c>
      <c r="L68" s="6">
        <v>11.08</v>
      </c>
      <c r="M68" s="6">
        <v>8.15</v>
      </c>
      <c r="N68" s="6">
        <v>66.400000000000006</v>
      </c>
      <c r="O68" s="6">
        <v>0</v>
      </c>
      <c r="P68" s="6">
        <v>0.35</v>
      </c>
      <c r="Q68" s="6">
        <v>10.79</v>
      </c>
      <c r="R68" s="6"/>
      <c r="S68" s="6"/>
      <c r="T68" s="156"/>
      <c r="U68" s="6"/>
    </row>
    <row r="69" spans="1:21" customFormat="1">
      <c r="A69" s="201" t="s">
        <v>2028</v>
      </c>
      <c r="B69" s="6">
        <v>2.39</v>
      </c>
      <c r="C69" s="6">
        <v>8.59</v>
      </c>
      <c r="D69" s="6">
        <v>6.41</v>
      </c>
      <c r="E69" s="6">
        <v>9.2899999999999991</v>
      </c>
      <c r="F69" s="6">
        <v>11.86</v>
      </c>
      <c r="G69" s="6">
        <v>42.85</v>
      </c>
      <c r="H69" s="6">
        <v>9.2799999999999994</v>
      </c>
      <c r="I69" s="6">
        <v>4.4000000000000004</v>
      </c>
      <c r="J69" s="6">
        <v>0.26</v>
      </c>
      <c r="K69" s="6">
        <v>65.010000000000005</v>
      </c>
      <c r="L69" s="6">
        <v>12.84</v>
      </c>
      <c r="M69" s="6">
        <v>12.73</v>
      </c>
      <c r="N69" s="6">
        <v>57.3</v>
      </c>
      <c r="O69" s="6">
        <v>0</v>
      </c>
      <c r="P69" s="6">
        <v>0.35</v>
      </c>
      <c r="Q69" s="6">
        <v>11.67</v>
      </c>
      <c r="R69" s="6"/>
      <c r="S69" s="6"/>
      <c r="T69" s="156"/>
      <c r="U69" s="6"/>
    </row>
    <row r="70" spans="1:21" customFormat="1">
      <c r="A70" s="201" t="s">
        <v>2029</v>
      </c>
      <c r="B70" s="6">
        <v>2.38</v>
      </c>
      <c r="C70" s="6">
        <v>8.5399999999999991</v>
      </c>
      <c r="D70" s="6">
        <v>6.37</v>
      </c>
      <c r="E70" s="6">
        <v>8.36</v>
      </c>
      <c r="F70" s="6">
        <v>8.57</v>
      </c>
      <c r="G70" s="6">
        <v>42.85</v>
      </c>
      <c r="H70" s="6">
        <v>9.2799999999999994</v>
      </c>
      <c r="I70" s="6">
        <v>4.4000000000000004</v>
      </c>
      <c r="J70" s="6">
        <v>0.49</v>
      </c>
      <c r="K70" s="6">
        <v>40.43</v>
      </c>
      <c r="L70" s="6">
        <v>10.6</v>
      </c>
      <c r="M70" s="6">
        <v>7.12</v>
      </c>
      <c r="N70" s="6">
        <v>52.1</v>
      </c>
      <c r="O70" s="6">
        <v>0</v>
      </c>
      <c r="P70" s="6">
        <v>0.36</v>
      </c>
      <c r="Q70" s="6">
        <v>9.3800000000000008</v>
      </c>
      <c r="R70" s="6"/>
      <c r="S70" s="6"/>
      <c r="T70" s="156"/>
      <c r="U70" s="6"/>
    </row>
    <row r="71" spans="1:21" customFormat="1">
      <c r="A71" s="201" t="s">
        <v>2030</v>
      </c>
      <c r="B71" s="6">
        <v>2.5099999999999998</v>
      </c>
      <c r="C71" s="6">
        <v>9.8699999999999992</v>
      </c>
      <c r="D71" s="6">
        <v>7.17</v>
      </c>
      <c r="E71" s="6">
        <v>6.04</v>
      </c>
      <c r="F71" s="6">
        <v>22.4</v>
      </c>
      <c r="G71" s="6">
        <v>42.74</v>
      </c>
      <c r="H71" s="6">
        <v>9.2799999999999994</v>
      </c>
      <c r="I71" s="6">
        <v>4.4000000000000004</v>
      </c>
      <c r="J71" s="6">
        <v>0.26</v>
      </c>
      <c r="K71" s="6">
        <v>51.78</v>
      </c>
      <c r="L71" s="6">
        <v>10.57</v>
      </c>
      <c r="M71" s="6">
        <v>7.31</v>
      </c>
      <c r="N71" s="6">
        <v>45.2</v>
      </c>
      <c r="O71" s="6">
        <v>0</v>
      </c>
      <c r="P71" s="6">
        <v>0.36</v>
      </c>
      <c r="Q71" s="6">
        <v>10.75</v>
      </c>
      <c r="R71" s="6"/>
      <c r="S71" s="6"/>
      <c r="T71" s="156"/>
      <c r="U71" s="6"/>
    </row>
    <row r="72" spans="1:21" customFormat="1">
      <c r="A72" s="201" t="s">
        <v>2031</v>
      </c>
      <c r="B72" s="6">
        <v>2.4500000000000002</v>
      </c>
      <c r="C72" s="6">
        <v>9.34</v>
      </c>
      <c r="D72" s="6">
        <v>6.84</v>
      </c>
      <c r="E72" s="6">
        <v>8.34</v>
      </c>
      <c r="F72" s="6">
        <v>8.02</v>
      </c>
      <c r="G72" s="6">
        <v>39.64</v>
      </c>
      <c r="H72" s="6">
        <v>9.31</v>
      </c>
      <c r="I72" s="6">
        <v>4.4000000000000004</v>
      </c>
      <c r="J72" s="6">
        <v>0.31</v>
      </c>
      <c r="K72" s="6">
        <v>51.17</v>
      </c>
      <c r="L72" s="6">
        <v>11.5</v>
      </c>
      <c r="M72" s="6">
        <v>9.76</v>
      </c>
      <c r="N72" s="6">
        <v>38.299999999999997</v>
      </c>
      <c r="O72" s="6">
        <v>0</v>
      </c>
      <c r="P72" s="6">
        <v>0.35</v>
      </c>
      <c r="Q72" s="6">
        <v>9.58</v>
      </c>
      <c r="R72" s="6"/>
      <c r="S72" s="6"/>
      <c r="T72" s="156"/>
      <c r="U72" s="6"/>
    </row>
    <row r="73" spans="1:21" customFormat="1">
      <c r="A73" s="201" t="s">
        <v>2032</v>
      </c>
      <c r="B73" s="6">
        <v>2.4900000000000002</v>
      </c>
      <c r="C73" s="6">
        <v>9.39</v>
      </c>
      <c r="D73" s="6">
        <v>6.9</v>
      </c>
      <c r="E73" s="6">
        <v>9.11</v>
      </c>
      <c r="F73" s="6">
        <v>16.260000000000002</v>
      </c>
      <c r="G73" s="6">
        <v>39.64</v>
      </c>
      <c r="H73" s="6">
        <v>9.31</v>
      </c>
      <c r="I73" s="6">
        <v>4.4000000000000004</v>
      </c>
      <c r="J73" s="6">
        <v>0.39</v>
      </c>
      <c r="K73" s="6">
        <v>41.73</v>
      </c>
      <c r="L73" s="6">
        <v>9.73</v>
      </c>
      <c r="M73" s="6">
        <v>5.47</v>
      </c>
      <c r="N73" s="6">
        <v>32.1</v>
      </c>
      <c r="O73" s="6">
        <v>0</v>
      </c>
      <c r="P73" s="6">
        <v>0.36</v>
      </c>
      <c r="Q73" s="6">
        <v>9.4700000000000006</v>
      </c>
      <c r="R73" s="6"/>
      <c r="S73" s="6"/>
      <c r="T73" s="156"/>
      <c r="U73" s="6"/>
    </row>
    <row r="74" spans="1:21" customFormat="1">
      <c r="A74" s="201" t="s">
        <v>2033</v>
      </c>
      <c r="B74" s="6">
        <v>2.39</v>
      </c>
      <c r="C74" s="6">
        <v>8.9600000000000009</v>
      </c>
      <c r="D74" s="6">
        <v>6.59</v>
      </c>
      <c r="E74" s="6">
        <v>9.0399999999999991</v>
      </c>
      <c r="F74" s="6">
        <v>6.91</v>
      </c>
      <c r="G74" s="6">
        <v>39.64</v>
      </c>
      <c r="H74" s="6">
        <v>9.31</v>
      </c>
      <c r="I74" s="6">
        <v>4.4000000000000004</v>
      </c>
      <c r="J74" s="6">
        <v>0.23</v>
      </c>
      <c r="K74" s="6">
        <v>93.5</v>
      </c>
      <c r="L74" s="6">
        <v>11.54</v>
      </c>
      <c r="M74" s="6">
        <v>10.32</v>
      </c>
      <c r="N74" s="6">
        <v>26.6</v>
      </c>
      <c r="O74" s="6">
        <v>0</v>
      </c>
      <c r="P74" s="6">
        <v>0.36</v>
      </c>
      <c r="Q74" s="6">
        <v>9.2899999999999991</v>
      </c>
      <c r="R74" s="6"/>
      <c r="S74" s="6"/>
      <c r="T74" s="156"/>
      <c r="U74" s="6"/>
    </row>
    <row r="75" spans="1:21" customFormat="1">
      <c r="A75" s="201" t="s">
        <v>2034</v>
      </c>
      <c r="B75" s="6">
        <v>2.33</v>
      </c>
      <c r="C75" s="6">
        <v>8.4600000000000009</v>
      </c>
      <c r="D75" s="6">
        <v>6.29</v>
      </c>
      <c r="E75" s="6">
        <v>7.65</v>
      </c>
      <c r="F75" s="6">
        <v>3.93</v>
      </c>
      <c r="G75" s="6">
        <v>39.65</v>
      </c>
      <c r="H75" s="6">
        <v>9.34</v>
      </c>
      <c r="I75" s="6">
        <v>4.4000000000000004</v>
      </c>
      <c r="J75" s="6">
        <v>0.26</v>
      </c>
      <c r="K75" s="6">
        <v>142.96</v>
      </c>
      <c r="L75" s="6">
        <v>13.82</v>
      </c>
      <c r="M75" s="6">
        <v>16.3</v>
      </c>
      <c r="N75" s="6">
        <v>21.3</v>
      </c>
      <c r="O75" s="6">
        <v>0</v>
      </c>
      <c r="P75" s="6">
        <v>0.37</v>
      </c>
      <c r="Q75" s="6">
        <v>9.32</v>
      </c>
      <c r="R75" s="6"/>
      <c r="S75" s="6"/>
      <c r="T75" s="156"/>
      <c r="U75" s="6"/>
    </row>
    <row r="76" spans="1:21" customFormat="1">
      <c r="A76" s="201" t="s">
        <v>2035</v>
      </c>
      <c r="B76" s="6">
        <v>2.31</v>
      </c>
      <c r="C76" s="6">
        <v>8.2100000000000009</v>
      </c>
      <c r="D76" s="6">
        <v>6.15</v>
      </c>
      <c r="E76" s="6">
        <v>7.5</v>
      </c>
      <c r="F76" s="6">
        <v>2.5499999999999998</v>
      </c>
      <c r="G76" s="6">
        <v>39.770000000000003</v>
      </c>
      <c r="H76" s="6">
        <v>10.26</v>
      </c>
      <c r="I76" s="6">
        <v>4.4000000000000004</v>
      </c>
      <c r="J76" s="6">
        <v>0.31</v>
      </c>
      <c r="K76" s="6">
        <v>138.6</v>
      </c>
      <c r="L76" s="6">
        <v>13.29</v>
      </c>
      <c r="M76" s="6">
        <v>15.06</v>
      </c>
      <c r="N76" s="6">
        <v>15.2</v>
      </c>
      <c r="O76" s="6">
        <v>0</v>
      </c>
      <c r="P76" s="6">
        <v>0.37</v>
      </c>
      <c r="Q76" s="6">
        <v>9.32</v>
      </c>
      <c r="R76" s="6"/>
      <c r="S76" s="6"/>
      <c r="T76" s="156"/>
      <c r="U76" s="6"/>
    </row>
    <row r="77" spans="1:21" customFormat="1">
      <c r="A77" s="201" t="s">
        <v>2036</v>
      </c>
      <c r="B77" s="6">
        <v>2.3199999999999998</v>
      </c>
      <c r="C77" s="6">
        <v>8.1300000000000008</v>
      </c>
      <c r="D77" s="6">
        <v>6.1</v>
      </c>
      <c r="E77" s="6">
        <v>7.25</v>
      </c>
      <c r="F77" s="6">
        <v>2.02</v>
      </c>
      <c r="G77" s="6">
        <v>39.770000000000003</v>
      </c>
      <c r="H77" s="6">
        <v>10.26</v>
      </c>
      <c r="I77" s="6">
        <v>4.4000000000000004</v>
      </c>
      <c r="J77" s="6">
        <v>0.23</v>
      </c>
      <c r="K77" s="6">
        <v>138.96</v>
      </c>
      <c r="L77" s="6">
        <v>13.66</v>
      </c>
      <c r="M77" s="6">
        <v>16.14</v>
      </c>
      <c r="N77" s="6">
        <v>10</v>
      </c>
      <c r="O77" s="6">
        <v>0</v>
      </c>
      <c r="P77" s="6">
        <v>0.37</v>
      </c>
      <c r="Q77" s="6">
        <v>9.32</v>
      </c>
      <c r="R77" s="6"/>
      <c r="S77" s="6"/>
      <c r="T77" s="156"/>
      <c r="U77" s="6"/>
    </row>
    <row r="78" spans="1:21" customFormat="1">
      <c r="A78" s="201" t="s">
        <v>2037</v>
      </c>
      <c r="B78" s="6">
        <v>2.35</v>
      </c>
      <c r="C78" s="6">
        <v>8</v>
      </c>
      <c r="D78" s="6">
        <v>6.06</v>
      </c>
      <c r="E78" s="6">
        <v>6.95</v>
      </c>
      <c r="F78" s="6">
        <v>2</v>
      </c>
      <c r="G78" s="6">
        <v>39.770000000000003</v>
      </c>
      <c r="H78" s="6">
        <v>10.26</v>
      </c>
      <c r="I78" s="6">
        <v>4.4000000000000004</v>
      </c>
      <c r="J78" s="6">
        <v>0.22</v>
      </c>
      <c r="K78" s="6">
        <v>153.44999999999999</v>
      </c>
      <c r="L78" s="6">
        <v>15.22</v>
      </c>
      <c r="M78" s="6">
        <v>20.22</v>
      </c>
      <c r="N78" s="6">
        <v>5.9</v>
      </c>
      <c r="O78" s="6">
        <v>0</v>
      </c>
      <c r="P78" s="6">
        <v>0.37</v>
      </c>
      <c r="Q78" s="6">
        <v>9.32</v>
      </c>
      <c r="R78" s="6"/>
      <c r="S78" s="6"/>
      <c r="T78" s="156"/>
      <c r="U78" s="6"/>
    </row>
    <row r="79" spans="1:21" customFormat="1">
      <c r="A79" s="201" t="s">
        <v>2038</v>
      </c>
      <c r="B79" s="6">
        <v>2.37</v>
      </c>
      <c r="C79" s="6">
        <v>7.95</v>
      </c>
      <c r="D79" s="6">
        <v>6.05</v>
      </c>
      <c r="E79" s="6">
        <v>6.66</v>
      </c>
      <c r="F79" s="6">
        <v>2</v>
      </c>
      <c r="G79" s="6">
        <v>39.79</v>
      </c>
      <c r="H79" s="6">
        <v>10.28</v>
      </c>
      <c r="I79" s="6">
        <v>4.4000000000000004</v>
      </c>
      <c r="J79" s="6">
        <v>0.25</v>
      </c>
      <c r="K79" s="6">
        <v>153.99</v>
      </c>
      <c r="L79" s="6">
        <v>15.12</v>
      </c>
      <c r="M79" s="6">
        <v>20.03</v>
      </c>
      <c r="N79" s="6">
        <v>3.6</v>
      </c>
      <c r="O79" s="6">
        <v>0</v>
      </c>
      <c r="P79" s="6">
        <v>0.37</v>
      </c>
      <c r="Q79" s="6">
        <v>9.32</v>
      </c>
      <c r="R79" s="6"/>
      <c r="S79" s="6"/>
      <c r="T79" s="156"/>
      <c r="U79" s="6"/>
    </row>
    <row r="80" spans="1:21" customFormat="1">
      <c r="A80" s="201" t="s">
        <v>2039</v>
      </c>
      <c r="B80" s="6">
        <v>2.4</v>
      </c>
      <c r="C80" s="6">
        <v>7.93</v>
      </c>
      <c r="D80" s="6">
        <v>6.07</v>
      </c>
      <c r="E80" s="6">
        <v>6.93</v>
      </c>
      <c r="F80" s="6">
        <v>2</v>
      </c>
      <c r="G80" s="6">
        <v>40.24</v>
      </c>
      <c r="H80" s="6">
        <v>10.73</v>
      </c>
      <c r="I80" s="6">
        <v>4.4000000000000004</v>
      </c>
      <c r="J80" s="6">
        <v>0.24</v>
      </c>
      <c r="K80" s="6">
        <v>147.77000000000001</v>
      </c>
      <c r="L80" s="6">
        <v>14.47</v>
      </c>
      <c r="M80" s="6">
        <v>18.399999999999999</v>
      </c>
      <c r="N80" s="6">
        <v>2.6</v>
      </c>
      <c r="O80" s="6">
        <v>0</v>
      </c>
      <c r="P80" s="6">
        <v>0.37</v>
      </c>
      <c r="Q80" s="6">
        <v>17.05</v>
      </c>
      <c r="R80" s="6"/>
      <c r="S80" s="6"/>
      <c r="T80" s="156"/>
      <c r="U80" s="6"/>
    </row>
    <row r="81" spans="1:21" customFormat="1">
      <c r="A81" s="201" t="s">
        <v>2040</v>
      </c>
      <c r="B81" s="6">
        <v>2.4500000000000002</v>
      </c>
      <c r="C81" s="6">
        <v>8.17</v>
      </c>
      <c r="D81" s="6">
        <v>6.23</v>
      </c>
      <c r="E81" s="6">
        <v>4.2</v>
      </c>
      <c r="F81" s="6">
        <v>2</v>
      </c>
      <c r="G81" s="6">
        <v>40.24</v>
      </c>
      <c r="H81" s="6">
        <v>10.73</v>
      </c>
      <c r="I81" s="6">
        <v>4.4000000000000004</v>
      </c>
      <c r="J81" s="6">
        <v>0.1</v>
      </c>
      <c r="K81" s="6">
        <v>89.4</v>
      </c>
      <c r="L81" s="6">
        <v>12.03</v>
      </c>
      <c r="M81" s="6">
        <v>12.16</v>
      </c>
      <c r="N81" s="6">
        <v>2.1</v>
      </c>
      <c r="O81" s="6">
        <v>0</v>
      </c>
      <c r="P81" s="6">
        <v>0.37</v>
      </c>
      <c r="Q81" s="6">
        <v>10.25</v>
      </c>
      <c r="R81" s="6"/>
      <c r="S81" s="6"/>
      <c r="T81" s="156"/>
      <c r="U81" s="6"/>
    </row>
    <row r="82" spans="1:21" customFormat="1">
      <c r="A82" s="201" t="s">
        <v>2041</v>
      </c>
      <c r="B82" s="6">
        <v>2.57</v>
      </c>
      <c r="C82" s="6">
        <v>8.56</v>
      </c>
      <c r="D82" s="6">
        <v>6.54</v>
      </c>
      <c r="E82" s="6">
        <v>4.99</v>
      </c>
      <c r="F82" s="6">
        <v>2</v>
      </c>
      <c r="G82" s="6">
        <v>40.24</v>
      </c>
      <c r="H82" s="6">
        <v>10.73</v>
      </c>
      <c r="I82" s="6">
        <v>4.4000000000000004</v>
      </c>
      <c r="J82" s="6">
        <v>0.24</v>
      </c>
      <c r="K82" s="6">
        <v>45.93</v>
      </c>
      <c r="L82" s="6">
        <v>7.67</v>
      </c>
      <c r="M82" s="6">
        <v>1.08</v>
      </c>
      <c r="N82" s="6">
        <v>2.1</v>
      </c>
      <c r="O82" s="6">
        <v>0</v>
      </c>
      <c r="P82" s="6">
        <v>0.4</v>
      </c>
      <c r="Q82" s="6">
        <v>12.67</v>
      </c>
      <c r="R82" s="6"/>
      <c r="S82" s="6"/>
      <c r="T82" s="156"/>
      <c r="U82" s="6"/>
    </row>
    <row r="83" spans="1:21" customFormat="1">
      <c r="A83" s="201" t="s">
        <v>2042</v>
      </c>
      <c r="B83" s="6">
        <v>2.78</v>
      </c>
      <c r="C83" s="6">
        <v>8.73</v>
      </c>
      <c r="D83" s="6">
        <v>6.79</v>
      </c>
      <c r="E83" s="6">
        <v>5.14</v>
      </c>
      <c r="F83" s="6">
        <v>2</v>
      </c>
      <c r="G83" s="6">
        <v>40.47</v>
      </c>
      <c r="H83" s="6">
        <v>10.75</v>
      </c>
      <c r="I83" s="6">
        <v>4.4000000000000004</v>
      </c>
      <c r="J83" s="6">
        <v>0.25</v>
      </c>
      <c r="K83" s="6">
        <v>41.13</v>
      </c>
      <c r="L83" s="6">
        <v>9.1300000000000008</v>
      </c>
      <c r="M83" s="6">
        <v>4.7</v>
      </c>
      <c r="N83" s="6">
        <v>2.1</v>
      </c>
      <c r="O83" s="6">
        <v>0</v>
      </c>
      <c r="P83" s="6">
        <v>0.41</v>
      </c>
      <c r="Q83" s="6">
        <v>10.56</v>
      </c>
      <c r="R83" s="6"/>
      <c r="S83" s="6"/>
      <c r="T83" s="156"/>
      <c r="U83" s="6"/>
    </row>
    <row r="84" spans="1:21" customFormat="1">
      <c r="A84" s="201" t="s">
        <v>2043</v>
      </c>
      <c r="B84" s="6">
        <v>2.94</v>
      </c>
      <c r="C84" s="6">
        <v>9.23</v>
      </c>
      <c r="D84" s="6">
        <v>7.18</v>
      </c>
      <c r="E84" s="6">
        <v>5.55</v>
      </c>
      <c r="F84" s="6">
        <v>2</v>
      </c>
      <c r="G84" s="6">
        <v>47.03</v>
      </c>
      <c r="H84" s="6">
        <v>11.43</v>
      </c>
      <c r="I84" s="6">
        <v>4.4000000000000004</v>
      </c>
      <c r="J84" s="6">
        <v>0.27</v>
      </c>
      <c r="K84" s="6">
        <v>44.17</v>
      </c>
      <c r="L84" s="6">
        <v>7.38</v>
      </c>
      <c r="M84" s="6">
        <v>0.34</v>
      </c>
      <c r="N84" s="6">
        <v>2.2000000000000002</v>
      </c>
      <c r="O84" s="6">
        <v>0</v>
      </c>
      <c r="P84" s="6">
        <v>0.42</v>
      </c>
      <c r="Q84" s="6">
        <v>18.25</v>
      </c>
      <c r="R84" s="6"/>
      <c r="S84" s="6"/>
      <c r="T84" s="156"/>
      <c r="U84" s="6"/>
    </row>
    <row r="85" spans="1:21" customFormat="1">
      <c r="A85" s="201" t="s">
        <v>2044</v>
      </c>
      <c r="B85" s="6">
        <v>3.04</v>
      </c>
      <c r="C85" s="6">
        <v>9.24</v>
      </c>
      <c r="D85" s="6">
        <v>7.27</v>
      </c>
      <c r="E85" s="6">
        <v>5.56</v>
      </c>
      <c r="F85" s="6">
        <v>2</v>
      </c>
      <c r="G85" s="6">
        <v>47.03</v>
      </c>
      <c r="H85" s="6">
        <v>11.43</v>
      </c>
      <c r="I85" s="6">
        <v>4.4000000000000004</v>
      </c>
      <c r="J85" s="6">
        <v>0.11</v>
      </c>
      <c r="K85" s="6">
        <v>97.69</v>
      </c>
      <c r="L85" s="6">
        <v>11.24</v>
      </c>
      <c r="M85" s="6">
        <v>10.18</v>
      </c>
      <c r="N85" s="6">
        <v>2.5</v>
      </c>
      <c r="O85" s="6">
        <v>0</v>
      </c>
      <c r="P85" s="6">
        <v>0.42</v>
      </c>
      <c r="Q85" s="6">
        <v>11.55</v>
      </c>
      <c r="R85" s="6"/>
      <c r="S85" s="6"/>
      <c r="T85" s="156"/>
      <c r="U85" s="6"/>
    </row>
    <row r="86" spans="1:21" customFormat="1">
      <c r="A86" s="201" t="s">
        <v>2045</v>
      </c>
      <c r="B86" s="6">
        <v>3.12</v>
      </c>
      <c r="C86" s="6">
        <v>9.24</v>
      </c>
      <c r="D86" s="6">
        <v>7.33</v>
      </c>
      <c r="E86" s="6">
        <v>5.4</v>
      </c>
      <c r="F86" s="6">
        <v>2</v>
      </c>
      <c r="G86" s="6">
        <v>47.03</v>
      </c>
      <c r="H86" s="6">
        <v>11.43</v>
      </c>
      <c r="I86" s="6">
        <v>4.4000000000000004</v>
      </c>
      <c r="J86" s="6">
        <v>0.16</v>
      </c>
      <c r="K86" s="6">
        <v>64.8</v>
      </c>
      <c r="L86" s="6">
        <v>8.3699999999999992</v>
      </c>
      <c r="M86" s="6">
        <v>2.89</v>
      </c>
      <c r="N86" s="6">
        <v>2.2000000000000002</v>
      </c>
      <c r="O86" s="6">
        <v>0</v>
      </c>
      <c r="P86" s="6">
        <v>0.43</v>
      </c>
      <c r="Q86" s="6">
        <v>15.9</v>
      </c>
      <c r="R86" s="6"/>
      <c r="S86" s="6"/>
      <c r="T86" s="156"/>
      <c r="U86" s="6"/>
    </row>
    <row r="87" spans="1:21" customFormat="1">
      <c r="A87" s="201" t="s">
        <v>2046</v>
      </c>
      <c r="B87" s="6">
        <v>3.23</v>
      </c>
      <c r="C87" s="6">
        <v>9.23</v>
      </c>
      <c r="D87" s="6">
        <v>7.41</v>
      </c>
      <c r="E87" s="6">
        <v>5.52</v>
      </c>
      <c r="F87" s="6">
        <v>2</v>
      </c>
      <c r="G87" s="6">
        <v>47.29</v>
      </c>
      <c r="H87" s="6">
        <v>11.45</v>
      </c>
      <c r="I87" s="6">
        <v>4.4000000000000004</v>
      </c>
      <c r="J87" s="6">
        <v>0.12</v>
      </c>
      <c r="K87" s="6">
        <v>54.97</v>
      </c>
      <c r="L87" s="6">
        <v>8.76</v>
      </c>
      <c r="M87" s="6">
        <v>3.83</v>
      </c>
      <c r="N87" s="6">
        <v>2.2999999999999998</v>
      </c>
      <c r="O87" s="6">
        <v>0</v>
      </c>
      <c r="P87" s="6">
        <v>0.44</v>
      </c>
      <c r="Q87" s="6">
        <v>12.89</v>
      </c>
      <c r="R87" s="6"/>
      <c r="S87" s="6"/>
      <c r="T87" s="156"/>
      <c r="U87" s="6"/>
    </row>
    <row r="88" spans="1:21" customFormat="1">
      <c r="A88" s="201" t="s">
        <v>2047</v>
      </c>
      <c r="B88" s="6">
        <v>3.3</v>
      </c>
      <c r="C88" s="6">
        <v>9.16</v>
      </c>
      <c r="D88" s="6">
        <v>7.43</v>
      </c>
      <c r="E88" s="6">
        <v>5.47</v>
      </c>
      <c r="F88" s="6">
        <v>2</v>
      </c>
      <c r="G88" s="6">
        <v>54.8</v>
      </c>
      <c r="H88" s="6">
        <v>12.26</v>
      </c>
      <c r="I88" s="6">
        <v>4.4000000000000004</v>
      </c>
      <c r="J88" s="6">
        <v>0.11</v>
      </c>
      <c r="K88" s="6">
        <v>87.4</v>
      </c>
      <c r="L88" s="6">
        <v>9.67</v>
      </c>
      <c r="M88" s="6">
        <v>6.2</v>
      </c>
      <c r="N88" s="6">
        <v>2.2999999999999998</v>
      </c>
      <c r="O88" s="6">
        <v>0</v>
      </c>
      <c r="P88" s="6">
        <v>0.44</v>
      </c>
      <c r="Q88" s="6">
        <v>13.09</v>
      </c>
      <c r="R88" s="6"/>
      <c r="S88" s="6"/>
      <c r="T88" s="156"/>
      <c r="U88" s="6"/>
    </row>
    <row r="89" spans="1:21" customFormat="1">
      <c r="A89" s="201" t="s">
        <v>2048</v>
      </c>
      <c r="B89" s="6">
        <v>3.35</v>
      </c>
      <c r="C89" s="6">
        <v>9.06</v>
      </c>
      <c r="D89" s="6">
        <v>7.42</v>
      </c>
      <c r="E89" s="6">
        <v>5.63</v>
      </c>
      <c r="F89" s="6">
        <v>2</v>
      </c>
      <c r="G89" s="6">
        <v>54.8</v>
      </c>
      <c r="H89" s="6">
        <v>12.26</v>
      </c>
      <c r="I89" s="6">
        <v>4.4000000000000004</v>
      </c>
      <c r="J89" s="6">
        <v>0.14000000000000001</v>
      </c>
      <c r="K89" s="6">
        <v>139.87</v>
      </c>
      <c r="L89" s="6">
        <v>13.97</v>
      </c>
      <c r="M89" s="6">
        <v>17.100000000000001</v>
      </c>
      <c r="N89" s="6">
        <v>2.5</v>
      </c>
      <c r="O89" s="6">
        <v>0</v>
      </c>
      <c r="P89" s="6">
        <v>0.44</v>
      </c>
      <c r="Q89" s="6">
        <v>15.99</v>
      </c>
      <c r="R89" s="6"/>
      <c r="S89" s="6"/>
      <c r="T89" s="156"/>
      <c r="U89" s="6"/>
    </row>
    <row r="90" spans="1:21" customFormat="1">
      <c r="A90" s="201" t="s">
        <v>2049</v>
      </c>
      <c r="B90" s="6">
        <v>3.4</v>
      </c>
      <c r="C90" s="6">
        <v>9.08</v>
      </c>
      <c r="D90" s="6">
        <v>7.47</v>
      </c>
      <c r="E90" s="6">
        <v>5.48</v>
      </c>
      <c r="F90" s="6">
        <v>2</v>
      </c>
      <c r="G90" s="6">
        <v>54.8</v>
      </c>
      <c r="H90" s="6">
        <v>12.26</v>
      </c>
      <c r="I90" s="6">
        <v>4.4000000000000004</v>
      </c>
      <c r="J90" s="6">
        <v>0.28000000000000003</v>
      </c>
      <c r="K90" s="6">
        <v>37.5</v>
      </c>
      <c r="L90" s="6">
        <v>6.5</v>
      </c>
      <c r="M90" s="6">
        <v>-1.95</v>
      </c>
      <c r="N90" s="6">
        <v>1.9</v>
      </c>
      <c r="O90" s="6">
        <v>0</v>
      </c>
      <c r="P90" s="6">
        <v>0.45</v>
      </c>
      <c r="Q90" s="6">
        <v>9.32</v>
      </c>
      <c r="R90" s="6"/>
      <c r="S90" s="6"/>
      <c r="T90" s="156"/>
      <c r="U90" s="6"/>
    </row>
    <row r="91" spans="1:21" customFormat="1">
      <c r="A91" s="201" t="s">
        <v>2050</v>
      </c>
      <c r="B91" s="6">
        <v>3.48</v>
      </c>
      <c r="C91" s="6">
        <v>9.43</v>
      </c>
      <c r="D91" s="6">
        <v>7.72</v>
      </c>
      <c r="E91" s="6">
        <v>5.45</v>
      </c>
      <c r="F91" s="6">
        <v>2</v>
      </c>
      <c r="G91" s="6">
        <v>54.9</v>
      </c>
      <c r="H91" s="6">
        <v>12.27</v>
      </c>
      <c r="I91" s="6">
        <v>4.4000000000000004</v>
      </c>
      <c r="J91" s="6">
        <v>0.24</v>
      </c>
      <c r="K91" s="6">
        <v>48.57</v>
      </c>
      <c r="L91" s="6">
        <v>7.51</v>
      </c>
      <c r="M91" s="6">
        <v>0.62</v>
      </c>
      <c r="N91" s="6">
        <v>2.1</v>
      </c>
      <c r="O91" s="6">
        <v>0</v>
      </c>
      <c r="P91" s="6">
        <v>0.46</v>
      </c>
      <c r="Q91" s="6">
        <v>9.32</v>
      </c>
      <c r="R91" s="6"/>
      <c r="S91" s="6"/>
      <c r="T91" s="156"/>
      <c r="U91" s="6"/>
    </row>
    <row r="92" spans="1:21" customFormat="1">
      <c r="A92" s="201" t="s">
        <v>2051</v>
      </c>
      <c r="B92" s="6">
        <v>3.56</v>
      </c>
      <c r="C92" s="6">
        <v>9.59</v>
      </c>
      <c r="D92" s="6">
        <v>7.87</v>
      </c>
      <c r="E92" s="6">
        <v>5.45</v>
      </c>
      <c r="F92" s="6">
        <v>2</v>
      </c>
      <c r="G92" s="6">
        <v>57.78</v>
      </c>
      <c r="H92" s="6">
        <v>12.69</v>
      </c>
      <c r="I92" s="6">
        <v>4.4000000000000004</v>
      </c>
      <c r="J92" s="6">
        <v>0.24</v>
      </c>
      <c r="K92" s="6">
        <v>42.79</v>
      </c>
      <c r="L92" s="6">
        <v>7.08</v>
      </c>
      <c r="M92" s="6">
        <v>-0.49</v>
      </c>
      <c r="N92" s="6">
        <v>2.2999999999999998</v>
      </c>
      <c r="O92" s="6">
        <v>0</v>
      </c>
      <c r="P92" s="6">
        <v>0.47</v>
      </c>
      <c r="Q92" s="6">
        <v>9.32</v>
      </c>
      <c r="R92" s="6"/>
      <c r="S92" s="6"/>
      <c r="T92" s="156"/>
      <c r="U92" s="6"/>
    </row>
    <row r="93" spans="1:21" customFormat="1">
      <c r="A93" s="201" t="s">
        <v>2052</v>
      </c>
      <c r="B93" s="6">
        <v>3.63</v>
      </c>
      <c r="C93" s="6">
        <v>9.36</v>
      </c>
      <c r="D93" s="6">
        <v>7.8</v>
      </c>
      <c r="E93" s="6">
        <v>5.38</v>
      </c>
      <c r="F93" s="6">
        <v>2</v>
      </c>
      <c r="G93" s="6">
        <v>57.78</v>
      </c>
      <c r="H93" s="6">
        <v>12.69</v>
      </c>
      <c r="I93" s="6">
        <v>4.4000000000000004</v>
      </c>
      <c r="J93" s="6">
        <v>0.21</v>
      </c>
      <c r="K93" s="6">
        <v>56.59</v>
      </c>
      <c r="L93" s="6">
        <v>8.1300000000000008</v>
      </c>
      <c r="M93" s="6">
        <v>2.2799999999999998</v>
      </c>
      <c r="N93" s="6">
        <v>2.4</v>
      </c>
      <c r="O93" s="6">
        <v>0</v>
      </c>
      <c r="P93" s="6">
        <v>0.47</v>
      </c>
      <c r="Q93" s="6">
        <v>9.32</v>
      </c>
      <c r="R93" s="6"/>
      <c r="S93" s="6"/>
      <c r="T93" s="156"/>
      <c r="U93" s="6"/>
    </row>
    <row r="94" spans="1:21" customFormat="1">
      <c r="A94" s="201" t="s">
        <v>2053</v>
      </c>
      <c r="B94" s="6">
        <v>3.71</v>
      </c>
      <c r="C94" s="6">
        <v>9.3000000000000007</v>
      </c>
      <c r="D94" s="6">
        <v>7.84</v>
      </c>
      <c r="E94" s="6">
        <v>5.48</v>
      </c>
      <c r="F94" s="6">
        <v>2</v>
      </c>
      <c r="G94" s="6">
        <v>57.78</v>
      </c>
      <c r="H94" s="6">
        <v>12.69</v>
      </c>
      <c r="I94" s="6">
        <v>4.4000000000000004</v>
      </c>
      <c r="J94" s="6">
        <v>0.15</v>
      </c>
      <c r="K94" s="6">
        <v>52.92</v>
      </c>
      <c r="L94" s="6">
        <v>8.92</v>
      </c>
      <c r="M94" s="6">
        <v>4.24</v>
      </c>
      <c r="N94" s="6">
        <v>2.2000000000000002</v>
      </c>
      <c r="O94" s="6">
        <v>0</v>
      </c>
      <c r="P94" s="6">
        <v>0.47</v>
      </c>
      <c r="Q94" s="6">
        <v>9.32</v>
      </c>
      <c r="R94" s="6"/>
      <c r="S94" s="6"/>
      <c r="T94" s="156"/>
      <c r="U94" s="6"/>
    </row>
    <row r="95" spans="1:21" customFormat="1">
      <c r="A95" s="201" t="s">
        <v>2054</v>
      </c>
      <c r="B95" s="6">
        <v>3.81</v>
      </c>
      <c r="C95" s="6">
        <v>9.26</v>
      </c>
      <c r="D95" s="6">
        <v>7.89</v>
      </c>
      <c r="E95" s="6">
        <v>5.81</v>
      </c>
      <c r="F95" s="6">
        <v>2</v>
      </c>
      <c r="G95" s="6">
        <v>58.26</v>
      </c>
      <c r="H95" s="6">
        <v>13.36</v>
      </c>
      <c r="I95" s="6">
        <v>4.4000000000000004</v>
      </c>
      <c r="J95" s="6">
        <v>0.1</v>
      </c>
      <c r="K95" s="6">
        <v>95.6</v>
      </c>
      <c r="L95" s="6">
        <v>10.199999999999999</v>
      </c>
      <c r="M95" s="6">
        <v>7.57</v>
      </c>
      <c r="N95" s="6">
        <v>2.4</v>
      </c>
      <c r="O95" s="6">
        <v>0</v>
      </c>
      <c r="P95" s="6">
        <v>0.46</v>
      </c>
      <c r="Q95" s="6">
        <v>9.32</v>
      </c>
      <c r="R95" s="6"/>
      <c r="S95" s="6"/>
      <c r="T95" s="156"/>
      <c r="U95" s="6"/>
    </row>
    <row r="96" spans="1:21" customFormat="1">
      <c r="A96" s="201" t="s">
        <v>2055</v>
      </c>
      <c r="B96" s="6">
        <v>4.07</v>
      </c>
      <c r="C96" s="6">
        <v>9.61</v>
      </c>
      <c r="D96" s="6">
        <v>8.2799999999999994</v>
      </c>
      <c r="E96" s="6">
        <v>5.71</v>
      </c>
      <c r="F96" s="6">
        <v>2</v>
      </c>
      <c r="G96" s="6">
        <v>72.23</v>
      </c>
      <c r="H96" s="6">
        <v>34.68</v>
      </c>
      <c r="I96" s="6">
        <v>4.4000000000000004</v>
      </c>
      <c r="J96" s="6">
        <v>0.28999999999999998</v>
      </c>
      <c r="K96" s="6">
        <v>40.15</v>
      </c>
      <c r="L96" s="6">
        <v>6.8</v>
      </c>
      <c r="M96" s="6">
        <v>-1.21</v>
      </c>
      <c r="N96" s="6">
        <v>2.1</v>
      </c>
      <c r="O96" s="6">
        <v>0</v>
      </c>
      <c r="P96" s="6">
        <v>0.45</v>
      </c>
      <c r="Q96" s="6">
        <v>9.32</v>
      </c>
      <c r="R96" s="6"/>
      <c r="S96" s="6"/>
      <c r="T96" s="156"/>
      <c r="U96" s="6"/>
    </row>
    <row r="97" spans="1:28" customFormat="1">
      <c r="A97" s="201" t="s">
        <v>2056</v>
      </c>
      <c r="B97" s="6">
        <v>4.3099999999999996</v>
      </c>
      <c r="C97" s="6">
        <v>9.0500000000000007</v>
      </c>
      <c r="D97" s="6">
        <v>8.18</v>
      </c>
      <c r="E97" s="6">
        <v>5.34</v>
      </c>
      <c r="F97" s="6">
        <v>2</v>
      </c>
      <c r="G97" s="6">
        <v>72.23</v>
      </c>
      <c r="H97" s="6">
        <v>34.68</v>
      </c>
      <c r="I97" s="6">
        <v>4.4000000000000004</v>
      </c>
      <c r="J97" s="6">
        <v>0.22</v>
      </c>
      <c r="K97" s="6">
        <v>46.87</v>
      </c>
      <c r="L97" s="6">
        <v>7.07</v>
      </c>
      <c r="M97" s="6">
        <v>-0.49</v>
      </c>
      <c r="N97" s="6">
        <v>2.1</v>
      </c>
      <c r="O97" s="6">
        <v>0</v>
      </c>
      <c r="P97" s="6">
        <v>0.45</v>
      </c>
      <c r="Q97" s="6">
        <v>9.32</v>
      </c>
      <c r="R97" s="6"/>
      <c r="S97" s="6"/>
      <c r="T97" s="156"/>
      <c r="U97" s="6"/>
    </row>
    <row r="98" spans="1:28" customFormat="1">
      <c r="A98" s="201" t="s">
        <v>2057</v>
      </c>
      <c r="B98" s="6">
        <v>4.41</v>
      </c>
      <c r="C98" s="6">
        <v>9.09</v>
      </c>
      <c r="D98" s="6">
        <v>8.2899999999999991</v>
      </c>
      <c r="E98" s="6">
        <v>5.34</v>
      </c>
      <c r="F98" s="6">
        <v>2</v>
      </c>
      <c r="G98" s="6">
        <v>72.23</v>
      </c>
      <c r="H98" s="6">
        <v>34.68</v>
      </c>
      <c r="I98" s="6">
        <v>4.4000000000000004</v>
      </c>
      <c r="J98" s="6">
        <v>0.16</v>
      </c>
      <c r="K98" s="6">
        <v>44.47</v>
      </c>
      <c r="L98" s="6">
        <v>10.59</v>
      </c>
      <c r="M98" s="6">
        <v>8.31</v>
      </c>
      <c r="N98" s="6">
        <v>2.2999999999999998</v>
      </c>
      <c r="O98" s="6">
        <v>0</v>
      </c>
      <c r="P98" s="6">
        <v>0.45</v>
      </c>
      <c r="Q98" s="6">
        <v>9.32</v>
      </c>
      <c r="R98" s="6"/>
      <c r="S98" s="6"/>
      <c r="T98" s="156"/>
      <c r="U98" s="6"/>
    </row>
    <row r="99" spans="1:28" customFormat="1">
      <c r="A99" s="201" t="s">
        <v>2058</v>
      </c>
      <c r="B99" s="6">
        <v>4.58</v>
      </c>
      <c r="C99" s="6">
        <v>8.66</v>
      </c>
      <c r="D99" s="6">
        <v>8.1999999999999993</v>
      </c>
      <c r="E99" s="6">
        <v>5.37</v>
      </c>
      <c r="F99" s="6">
        <v>2</v>
      </c>
      <c r="G99" s="6">
        <v>72.37</v>
      </c>
      <c r="H99" s="6">
        <v>34.76</v>
      </c>
      <c r="I99" s="6">
        <v>4.4000000000000004</v>
      </c>
      <c r="J99" s="6">
        <v>0.09</v>
      </c>
      <c r="K99" s="6">
        <v>136.86000000000001</v>
      </c>
      <c r="L99" s="6">
        <v>14.28</v>
      </c>
      <c r="M99" s="6">
        <v>17.64</v>
      </c>
      <c r="N99" s="6">
        <v>2.5</v>
      </c>
      <c r="O99" s="6">
        <v>0</v>
      </c>
      <c r="P99" s="6">
        <v>0.46</v>
      </c>
      <c r="Q99" s="6">
        <v>9.32</v>
      </c>
      <c r="R99" s="6"/>
      <c r="S99" s="6"/>
      <c r="T99" s="156"/>
      <c r="U99" s="6"/>
    </row>
    <row r="100" spans="1:28" customFormat="1">
      <c r="A100" s="201" t="s">
        <v>2059</v>
      </c>
      <c r="B100" s="6">
        <v>4.7</v>
      </c>
      <c r="C100" s="6">
        <v>8.6</v>
      </c>
      <c r="D100" s="6">
        <v>8.26</v>
      </c>
      <c r="E100" s="6">
        <v>5.3</v>
      </c>
      <c r="F100" s="6">
        <v>2</v>
      </c>
      <c r="G100" s="6">
        <v>76.2</v>
      </c>
      <c r="H100" s="6">
        <v>37.1</v>
      </c>
      <c r="I100" s="6">
        <v>4.4000000000000004</v>
      </c>
      <c r="J100" s="6">
        <v>0.09</v>
      </c>
      <c r="K100" s="6">
        <v>142.57</v>
      </c>
      <c r="L100" s="6">
        <v>14.44</v>
      </c>
      <c r="M100" s="6">
        <v>18.260000000000002</v>
      </c>
      <c r="N100" s="6">
        <v>2.2999999999999998</v>
      </c>
      <c r="O100" s="6">
        <v>0</v>
      </c>
      <c r="P100" s="6">
        <v>0.47</v>
      </c>
      <c r="Q100" s="6">
        <v>9.32</v>
      </c>
      <c r="R100" s="6"/>
      <c r="S100" s="6"/>
      <c r="T100" s="156"/>
      <c r="U100" s="6"/>
      <c r="AB100" s="161"/>
    </row>
    <row r="101" spans="1:28" customFormat="1">
      <c r="A101" s="201" t="s">
        <v>2060</v>
      </c>
      <c r="B101" s="6">
        <v>4.93</v>
      </c>
      <c r="C101" s="6">
        <v>8.48</v>
      </c>
      <c r="D101" s="6">
        <v>8.3800000000000008</v>
      </c>
      <c r="E101" s="6">
        <v>5.54</v>
      </c>
      <c r="F101" s="6">
        <v>2</v>
      </c>
      <c r="G101" s="6">
        <v>76.2</v>
      </c>
      <c r="H101" s="6">
        <v>37.1</v>
      </c>
      <c r="I101" s="6">
        <v>4.4000000000000004</v>
      </c>
      <c r="J101" s="6">
        <v>0.15</v>
      </c>
      <c r="K101" s="6">
        <v>53.7</v>
      </c>
      <c r="L101" s="6">
        <v>9.9</v>
      </c>
      <c r="M101" s="6">
        <v>6.71</v>
      </c>
      <c r="N101" s="6">
        <v>2.1</v>
      </c>
      <c r="O101" s="6">
        <v>0</v>
      </c>
      <c r="P101" s="6">
        <v>0.46</v>
      </c>
      <c r="Q101" s="6">
        <v>9.32</v>
      </c>
      <c r="R101" s="6"/>
      <c r="S101" s="6"/>
      <c r="T101" s="156"/>
      <c r="U101" s="6"/>
    </row>
    <row r="102" spans="1:28" customFormat="1">
      <c r="A102" s="201" t="s">
        <v>2061</v>
      </c>
      <c r="B102" s="6">
        <v>5.08</v>
      </c>
      <c r="C102" s="6">
        <v>8.26</v>
      </c>
      <c r="D102" s="6">
        <v>8.39</v>
      </c>
      <c r="E102" s="6">
        <v>5.33</v>
      </c>
      <c r="F102" s="6">
        <v>2</v>
      </c>
      <c r="G102" s="6">
        <v>76.2</v>
      </c>
      <c r="H102" s="6">
        <v>37.1</v>
      </c>
      <c r="I102" s="6">
        <v>4.4000000000000004</v>
      </c>
      <c r="J102" s="6">
        <v>0.09</v>
      </c>
      <c r="K102" s="6">
        <v>42.11</v>
      </c>
      <c r="L102" s="6">
        <v>13.77</v>
      </c>
      <c r="M102" s="6">
        <v>16.350000000000001</v>
      </c>
      <c r="N102" s="6">
        <v>2.2000000000000002</v>
      </c>
      <c r="O102" s="6">
        <v>0</v>
      </c>
      <c r="P102" s="6">
        <v>0.47</v>
      </c>
      <c r="Q102" s="6">
        <v>9.32</v>
      </c>
      <c r="R102" s="6"/>
      <c r="S102" s="6"/>
      <c r="T102" s="156"/>
      <c r="U102" s="6"/>
    </row>
    <row r="103" spans="1:28" customFormat="1">
      <c r="A103" s="201" t="s">
        <v>2062</v>
      </c>
      <c r="B103" s="6">
        <v>5.34</v>
      </c>
      <c r="C103" s="6">
        <v>8.26</v>
      </c>
      <c r="D103" s="6">
        <v>8.6</v>
      </c>
      <c r="E103" s="6">
        <v>4.97</v>
      </c>
      <c r="F103" s="6">
        <v>2</v>
      </c>
      <c r="G103" s="6">
        <v>76.260000000000005</v>
      </c>
      <c r="H103" s="6">
        <v>37.11</v>
      </c>
      <c r="I103" s="6">
        <v>4.4000000000000004</v>
      </c>
      <c r="J103" s="6">
        <v>0.15</v>
      </c>
      <c r="K103" s="6">
        <v>350.62</v>
      </c>
      <c r="L103" s="6">
        <v>17</v>
      </c>
      <c r="M103" s="6">
        <v>24.36</v>
      </c>
      <c r="N103" s="6">
        <v>2.1</v>
      </c>
      <c r="O103" s="6">
        <v>0</v>
      </c>
      <c r="P103" s="6">
        <v>0.47</v>
      </c>
      <c r="Q103" s="6">
        <v>9.32</v>
      </c>
      <c r="R103" s="6"/>
      <c r="S103" s="6"/>
      <c r="T103" s="156"/>
      <c r="U103" s="6"/>
    </row>
    <row r="104" spans="1:28" customFormat="1">
      <c r="A104" s="201" t="s">
        <v>2063</v>
      </c>
      <c r="B104" s="6">
        <v>5.56</v>
      </c>
      <c r="C104" s="6">
        <v>8.18</v>
      </c>
      <c r="D104" s="6">
        <v>8.74</v>
      </c>
      <c r="E104" s="6">
        <v>4.96</v>
      </c>
      <c r="F104" s="6">
        <v>2</v>
      </c>
      <c r="G104" s="6">
        <v>78.150000000000006</v>
      </c>
      <c r="H104" s="6">
        <v>37.49</v>
      </c>
      <c r="I104" s="6">
        <v>4.4000000000000004</v>
      </c>
      <c r="J104" s="6">
        <v>0.12</v>
      </c>
      <c r="K104" s="6">
        <v>26.11</v>
      </c>
      <c r="L104" s="6">
        <v>9.5</v>
      </c>
      <c r="M104" s="6">
        <v>5.57</v>
      </c>
      <c r="N104" s="6">
        <v>2.1</v>
      </c>
      <c r="O104" s="6">
        <v>0</v>
      </c>
      <c r="P104" s="6">
        <v>0.49</v>
      </c>
      <c r="Q104" s="6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2.31</v>
      </c>
      <c r="C106" s="158">
        <f>MIN(C9:C104)</f>
        <v>7.93</v>
      </c>
      <c r="D106" s="158">
        <f t="shared" ref="D106:Q106" si="0">MIN(D9:D104)</f>
        <v>6.05</v>
      </c>
      <c r="E106" s="158">
        <f t="shared" si="0"/>
        <v>4.2</v>
      </c>
      <c r="F106" s="158">
        <f t="shared" si="0"/>
        <v>2</v>
      </c>
      <c r="G106" s="158">
        <f t="shared" si="0"/>
        <v>39.64</v>
      </c>
      <c r="H106" s="158">
        <f t="shared" si="0"/>
        <v>9.2799999999999994</v>
      </c>
      <c r="I106" s="158">
        <f t="shared" si="0"/>
        <v>4.4000000000000004</v>
      </c>
      <c r="J106" s="158">
        <f t="shared" si="0"/>
        <v>0.04</v>
      </c>
      <c r="K106" s="158">
        <f t="shared" si="0"/>
        <v>10.27</v>
      </c>
      <c r="L106" s="158">
        <f t="shared" si="0"/>
        <v>6.5</v>
      </c>
      <c r="M106" s="158">
        <f t="shared" si="0"/>
        <v>-1.95</v>
      </c>
      <c r="N106" s="158">
        <f t="shared" si="0"/>
        <v>1.8</v>
      </c>
      <c r="O106" s="158">
        <f t="shared" si="0"/>
        <v>0</v>
      </c>
      <c r="P106" s="158">
        <f t="shared" si="0"/>
        <v>0.34</v>
      </c>
      <c r="Q106" s="158">
        <f t="shared" si="0"/>
        <v>9.2899999999999991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12.87</v>
      </c>
      <c r="C107" s="157">
        <f t="shared" ref="C107:Q107" si="1">MAX(C9:C104)</f>
        <v>10.92</v>
      </c>
      <c r="D107" s="157">
        <f t="shared" si="1"/>
        <v>15.06</v>
      </c>
      <c r="E107" s="157">
        <f t="shared" si="1"/>
        <v>10.57</v>
      </c>
      <c r="F107" s="157">
        <f t="shared" si="1"/>
        <v>22.4</v>
      </c>
      <c r="G107" s="157">
        <f t="shared" si="1"/>
        <v>78.150000000000006</v>
      </c>
      <c r="H107" s="157">
        <f t="shared" si="1"/>
        <v>37.49</v>
      </c>
      <c r="I107" s="157">
        <f t="shared" si="1"/>
        <v>8.7100000000000009</v>
      </c>
      <c r="J107" s="157">
        <f t="shared" si="1"/>
        <v>0.55000000000000004</v>
      </c>
      <c r="K107" s="157">
        <f t="shared" si="1"/>
        <v>359.25</v>
      </c>
      <c r="L107" s="157">
        <f t="shared" si="1"/>
        <v>22.02</v>
      </c>
      <c r="M107" s="157">
        <f t="shared" si="1"/>
        <v>31.77</v>
      </c>
      <c r="N107" s="157">
        <f t="shared" si="1"/>
        <v>633.6</v>
      </c>
      <c r="O107" s="157">
        <f t="shared" si="1"/>
        <v>0</v>
      </c>
      <c r="P107" s="157">
        <f t="shared" si="1"/>
        <v>0.51</v>
      </c>
      <c r="Q107" s="157">
        <f t="shared" si="1"/>
        <v>18.25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5.9271874999999996</v>
      </c>
      <c r="C108" s="158">
        <f t="shared" ref="C108:Q108" si="2">AVERAGE(C9:C104)</f>
        <v>9.1253124999999979</v>
      </c>
      <c r="D108" s="158">
        <f t="shared" si="2"/>
        <v>9.5204166666666641</v>
      </c>
      <c r="E108" s="158">
        <f t="shared" si="2"/>
        <v>6.6464583333333342</v>
      </c>
      <c r="F108" s="158">
        <f t="shared" si="2"/>
        <v>3.5238541666666667</v>
      </c>
      <c r="G108" s="158">
        <f t="shared" si="2"/>
        <v>50.998437499999966</v>
      </c>
      <c r="H108" s="158">
        <f t="shared" si="2"/>
        <v>13.379479166666664</v>
      </c>
      <c r="I108" s="158">
        <f t="shared" si="2"/>
        <v>4.9567708333333238</v>
      </c>
      <c r="J108" s="158">
        <f t="shared" si="2"/>
        <v>0.24312499999999992</v>
      </c>
      <c r="K108" s="158">
        <f t="shared" si="2"/>
        <v>90.251250000000027</v>
      </c>
      <c r="L108" s="158">
        <f t="shared" si="2"/>
        <v>13.172604166666668</v>
      </c>
      <c r="M108" s="158">
        <f t="shared" si="2"/>
        <v>11.799791666666664</v>
      </c>
      <c r="N108" s="158">
        <f t="shared" si="2"/>
        <v>134.41562500000006</v>
      </c>
      <c r="O108" s="158">
        <f t="shared" si="2"/>
        <v>0</v>
      </c>
      <c r="P108" s="158">
        <f t="shared" si="2"/>
        <v>0.43666666666666676</v>
      </c>
      <c r="Q108" s="158">
        <f t="shared" si="2"/>
        <v>9.89302083333334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3.403216962050684</v>
      </c>
      <c r="C109" s="158">
        <f t="shared" ref="C109:Q109" si="3">STDEV(C9:C104)</f>
        <v>0.7712914025396489</v>
      </c>
      <c r="D109" s="158">
        <f t="shared" si="3"/>
        <v>2.7499392975756574</v>
      </c>
      <c r="E109" s="158">
        <f t="shared" si="3"/>
        <v>1.2622010676147029</v>
      </c>
      <c r="F109" s="158">
        <f t="shared" si="3"/>
        <v>4.021471155210862</v>
      </c>
      <c r="G109" s="158">
        <f t="shared" si="3"/>
        <v>9.2518099882787546</v>
      </c>
      <c r="H109" s="158">
        <f t="shared" si="3"/>
        <v>7.4256402693698904</v>
      </c>
      <c r="I109" s="158">
        <f t="shared" si="3"/>
        <v>1.4150741061433036</v>
      </c>
      <c r="J109" s="158">
        <f t="shared" si="3"/>
        <v>0.13796500319016838</v>
      </c>
      <c r="K109" s="158">
        <f t="shared" si="3"/>
        <v>80.02936783653729</v>
      </c>
      <c r="L109" s="158">
        <f t="shared" si="3"/>
        <v>3.8652906869080659</v>
      </c>
      <c r="M109" s="158">
        <f t="shared" si="3"/>
        <v>8.5814121006015647</v>
      </c>
      <c r="N109" s="158">
        <f t="shared" si="3"/>
        <v>212.0621931257183</v>
      </c>
      <c r="O109" s="158">
        <f t="shared" si="3"/>
        <v>0</v>
      </c>
      <c r="P109" s="158">
        <f t="shared" si="3"/>
        <v>4.7454502679529553E-2</v>
      </c>
      <c r="Q109" s="158">
        <f t="shared" si="3"/>
        <v>1.6664157058862734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11" sqref="I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2064</v>
      </c>
      <c r="B9" s="6">
        <v>5.64</v>
      </c>
      <c r="C9" s="6">
        <v>8.43</v>
      </c>
      <c r="D9" s="6">
        <v>8.92</v>
      </c>
      <c r="E9" s="6">
        <v>5.12</v>
      </c>
      <c r="F9" s="6">
        <v>2</v>
      </c>
      <c r="G9" s="6">
        <v>78.150000000000006</v>
      </c>
      <c r="H9" s="6">
        <v>37.49</v>
      </c>
      <c r="I9" s="147" t="s">
        <v>14</v>
      </c>
      <c r="J9" s="6">
        <v>0.18</v>
      </c>
      <c r="K9" s="6">
        <v>42.21</v>
      </c>
      <c r="L9" s="6">
        <v>9.4600000000000009</v>
      </c>
      <c r="M9" s="6">
        <v>5.5</v>
      </c>
      <c r="N9" s="6">
        <v>2.1</v>
      </c>
      <c r="O9" s="6">
        <v>0</v>
      </c>
      <c r="P9" s="6">
        <v>0.47</v>
      </c>
      <c r="Q9" s="6">
        <v>9.32</v>
      </c>
      <c r="R9" s="6"/>
      <c r="S9" s="6"/>
      <c r="T9" s="156"/>
      <c r="U9" s="6"/>
    </row>
    <row r="10" spans="1:21" customFormat="1">
      <c r="A10" s="201" t="s">
        <v>2065</v>
      </c>
      <c r="B10" s="6">
        <v>5.57</v>
      </c>
      <c r="C10" s="6">
        <v>8.16</v>
      </c>
      <c r="D10" s="6">
        <v>8.73</v>
      </c>
      <c r="E10" s="6">
        <v>4.9800000000000004</v>
      </c>
      <c r="F10" s="6">
        <v>2</v>
      </c>
      <c r="G10" s="6">
        <v>78.150000000000006</v>
      </c>
      <c r="H10" s="6">
        <v>37.49</v>
      </c>
      <c r="I10" s="147" t="s">
        <v>14</v>
      </c>
      <c r="J10" s="6">
        <v>0.25</v>
      </c>
      <c r="K10" s="6">
        <v>43.48</v>
      </c>
      <c r="L10" s="6">
        <v>7.69</v>
      </c>
      <c r="M10" s="6">
        <v>1.03</v>
      </c>
      <c r="N10" s="6">
        <v>2.1</v>
      </c>
      <c r="O10" s="6">
        <v>0</v>
      </c>
      <c r="P10" s="6">
        <v>0.48</v>
      </c>
      <c r="Q10" s="6">
        <v>9.32</v>
      </c>
      <c r="R10" s="6"/>
      <c r="S10" s="6"/>
      <c r="T10" s="156"/>
      <c r="U10" s="6"/>
    </row>
    <row r="11" spans="1:21" customFormat="1">
      <c r="A11" s="201" t="s">
        <v>2066</v>
      </c>
      <c r="B11" s="6">
        <v>5.6</v>
      </c>
      <c r="C11" s="6">
        <v>8.16</v>
      </c>
      <c r="D11" s="6">
        <v>8.76</v>
      </c>
      <c r="E11" s="6">
        <v>4.96</v>
      </c>
      <c r="F11" s="6">
        <v>2</v>
      </c>
      <c r="G11" s="6">
        <v>78.08</v>
      </c>
      <c r="H11" s="6">
        <v>37.47</v>
      </c>
      <c r="I11" s="147" t="s">
        <v>14</v>
      </c>
      <c r="J11" s="6">
        <v>0.35</v>
      </c>
      <c r="K11" s="6">
        <v>45.32</v>
      </c>
      <c r="L11" s="6">
        <v>6.75</v>
      </c>
      <c r="M11" s="6">
        <v>-1.24</v>
      </c>
      <c r="N11" s="6">
        <v>2.1</v>
      </c>
      <c r="O11" s="6">
        <v>0</v>
      </c>
      <c r="P11" s="6">
        <v>0.47</v>
      </c>
      <c r="Q11" s="6">
        <v>9.32</v>
      </c>
      <c r="R11" s="6"/>
      <c r="S11" s="6"/>
      <c r="T11" s="156"/>
      <c r="U11" s="6"/>
    </row>
    <row r="12" spans="1:21" customFormat="1">
      <c r="A12" s="201" t="s">
        <v>2067</v>
      </c>
      <c r="B12" s="6">
        <v>5.59</v>
      </c>
      <c r="C12" s="6">
        <v>8.26</v>
      </c>
      <c r="D12" s="6">
        <v>8.7899999999999991</v>
      </c>
      <c r="E12" s="6">
        <v>5.36</v>
      </c>
      <c r="F12" s="6">
        <v>2</v>
      </c>
      <c r="G12" s="6">
        <v>76.180000000000007</v>
      </c>
      <c r="H12" s="6">
        <v>37.08</v>
      </c>
      <c r="I12" s="147" t="s">
        <v>14</v>
      </c>
      <c r="J12" s="6">
        <v>0.3</v>
      </c>
      <c r="K12" s="6">
        <v>43.7</v>
      </c>
      <c r="L12" s="6">
        <v>7.07</v>
      </c>
      <c r="M12" s="6">
        <v>-0.47</v>
      </c>
      <c r="N12" s="6">
        <v>2.2000000000000002</v>
      </c>
      <c r="O12" s="6">
        <v>0</v>
      </c>
      <c r="P12" s="6">
        <v>0.47</v>
      </c>
      <c r="Q12" s="6">
        <v>9.32</v>
      </c>
      <c r="R12" s="6"/>
      <c r="S12" s="6"/>
      <c r="T12" s="156"/>
      <c r="U12" s="6"/>
    </row>
    <row r="13" spans="1:21" customFormat="1">
      <c r="A13" s="201" t="s">
        <v>2068</v>
      </c>
      <c r="B13" s="6">
        <v>5.66</v>
      </c>
      <c r="C13" s="6">
        <v>7.96</v>
      </c>
      <c r="D13" s="6">
        <v>8.6999999999999993</v>
      </c>
      <c r="E13" s="6">
        <v>5.51</v>
      </c>
      <c r="F13" s="6">
        <v>2</v>
      </c>
      <c r="G13" s="6">
        <v>76.180000000000007</v>
      </c>
      <c r="H13" s="6">
        <v>37.08</v>
      </c>
      <c r="I13" s="147" t="s">
        <v>14</v>
      </c>
      <c r="J13" s="6">
        <v>0.2</v>
      </c>
      <c r="K13" s="6">
        <v>51.6</v>
      </c>
      <c r="L13" s="6">
        <v>7.35</v>
      </c>
      <c r="M13" s="6">
        <v>0.24</v>
      </c>
      <c r="N13" s="6">
        <v>2.2999999999999998</v>
      </c>
      <c r="O13" s="6">
        <v>0</v>
      </c>
      <c r="P13" s="6">
        <v>0.47</v>
      </c>
      <c r="Q13" s="6">
        <v>9.32</v>
      </c>
      <c r="R13" s="6"/>
      <c r="S13" s="6"/>
      <c r="T13" s="156"/>
      <c r="U13" s="6"/>
    </row>
    <row r="14" spans="1:21" customFormat="1">
      <c r="A14" s="201" t="s">
        <v>2069</v>
      </c>
      <c r="B14" s="6">
        <v>5.72</v>
      </c>
      <c r="C14" s="6">
        <v>7.83</v>
      </c>
      <c r="D14" s="6">
        <v>8.68</v>
      </c>
      <c r="E14" s="6">
        <v>5.31</v>
      </c>
      <c r="F14" s="6">
        <v>2</v>
      </c>
      <c r="G14" s="6">
        <v>76.180000000000007</v>
      </c>
      <c r="H14" s="6">
        <v>37.08</v>
      </c>
      <c r="I14" s="147" t="s">
        <v>14</v>
      </c>
      <c r="J14" s="6">
        <v>0.1</v>
      </c>
      <c r="K14" s="6">
        <v>145.04</v>
      </c>
      <c r="L14" s="6">
        <v>15.71</v>
      </c>
      <c r="M14" s="6">
        <v>21.49</v>
      </c>
      <c r="N14" s="6">
        <v>2.4</v>
      </c>
      <c r="O14" s="6">
        <v>0</v>
      </c>
      <c r="P14" s="6">
        <v>0.46</v>
      </c>
      <c r="Q14" s="6">
        <v>9.32</v>
      </c>
      <c r="R14" s="6"/>
      <c r="S14" s="6"/>
      <c r="T14" s="156"/>
      <c r="U14" s="6"/>
    </row>
    <row r="15" spans="1:21" customFormat="1">
      <c r="A15" s="201" t="s">
        <v>2070</v>
      </c>
      <c r="B15" s="6">
        <v>5.69</v>
      </c>
      <c r="C15" s="6">
        <v>7.88</v>
      </c>
      <c r="D15" s="6">
        <v>8.68</v>
      </c>
      <c r="E15" s="6">
        <v>4.8099999999999996</v>
      </c>
      <c r="F15" s="6">
        <v>2</v>
      </c>
      <c r="G15" s="6">
        <v>76.260000000000005</v>
      </c>
      <c r="H15" s="6">
        <v>37.18</v>
      </c>
      <c r="I15" s="147" t="s">
        <v>14</v>
      </c>
      <c r="J15" s="6">
        <v>0.14000000000000001</v>
      </c>
      <c r="K15" s="6">
        <v>140.53</v>
      </c>
      <c r="L15" s="6">
        <v>13.7</v>
      </c>
      <c r="M15" s="6">
        <v>16.399999999999999</v>
      </c>
      <c r="N15" s="6">
        <v>2.2999999999999998</v>
      </c>
      <c r="O15" s="6">
        <v>0</v>
      </c>
      <c r="P15" s="6">
        <v>0.48</v>
      </c>
      <c r="Q15" s="6">
        <v>9.35</v>
      </c>
      <c r="R15" s="6"/>
      <c r="S15" s="6"/>
      <c r="T15" s="156"/>
      <c r="U15" s="6"/>
    </row>
    <row r="16" spans="1:21" customFormat="1">
      <c r="A16" s="201" t="s">
        <v>2071</v>
      </c>
      <c r="B16" s="6">
        <v>5.86</v>
      </c>
      <c r="C16" s="6">
        <v>8</v>
      </c>
      <c r="D16" s="6">
        <v>8.8800000000000008</v>
      </c>
      <c r="E16" s="6">
        <v>5.21</v>
      </c>
      <c r="F16" s="6">
        <v>2</v>
      </c>
      <c r="G16" s="6">
        <v>78.64</v>
      </c>
      <c r="H16" s="6">
        <v>40.479999999999997</v>
      </c>
      <c r="I16" s="147" t="s">
        <v>14</v>
      </c>
      <c r="J16" s="6">
        <v>0.11</v>
      </c>
      <c r="K16" s="6">
        <v>114.83</v>
      </c>
      <c r="L16" s="6">
        <v>12.07</v>
      </c>
      <c r="M16" s="6">
        <v>12.23</v>
      </c>
      <c r="N16" s="6">
        <v>2.2000000000000002</v>
      </c>
      <c r="O16" s="6">
        <v>0</v>
      </c>
      <c r="P16" s="6">
        <v>0.47</v>
      </c>
      <c r="Q16" s="6">
        <v>9.4</v>
      </c>
      <c r="R16" s="6"/>
      <c r="S16" s="6"/>
      <c r="T16" s="156"/>
      <c r="U16" s="6"/>
    </row>
    <row r="17" spans="1:21" customFormat="1">
      <c r="A17" s="201" t="s">
        <v>2072</v>
      </c>
      <c r="B17" s="6">
        <v>5.95</v>
      </c>
      <c r="C17" s="6">
        <v>7.84</v>
      </c>
      <c r="D17" s="6">
        <v>8.8699999999999992</v>
      </c>
      <c r="E17" s="6">
        <v>4.67</v>
      </c>
      <c r="F17" s="6">
        <v>2</v>
      </c>
      <c r="G17" s="6">
        <v>78.64</v>
      </c>
      <c r="H17" s="6">
        <v>40.479999999999997</v>
      </c>
      <c r="I17" s="147" t="s">
        <v>14</v>
      </c>
      <c r="J17" s="6">
        <v>0.05</v>
      </c>
      <c r="K17" s="6">
        <v>82.75</v>
      </c>
      <c r="L17" s="6">
        <v>10.220000000000001</v>
      </c>
      <c r="M17" s="6">
        <v>7.6</v>
      </c>
      <c r="N17" s="6">
        <v>2.1</v>
      </c>
      <c r="O17" s="6">
        <v>0</v>
      </c>
      <c r="P17" s="6">
        <v>0.49</v>
      </c>
      <c r="Q17" s="6">
        <v>9.32</v>
      </c>
      <c r="R17" s="6"/>
      <c r="S17" s="6"/>
      <c r="T17" s="156"/>
      <c r="U17" s="6"/>
    </row>
    <row r="18" spans="1:21" customFormat="1">
      <c r="A18" s="201" t="s">
        <v>2073</v>
      </c>
      <c r="B18" s="6">
        <v>5.93</v>
      </c>
      <c r="C18" s="6">
        <v>7.82</v>
      </c>
      <c r="D18" s="6">
        <v>8.84</v>
      </c>
      <c r="E18" s="6">
        <v>5.93</v>
      </c>
      <c r="F18" s="6">
        <v>2</v>
      </c>
      <c r="G18" s="6">
        <v>78.64</v>
      </c>
      <c r="H18" s="6">
        <v>40.479999999999997</v>
      </c>
      <c r="I18" s="147" t="s">
        <v>14</v>
      </c>
      <c r="J18" s="6">
        <v>0.01</v>
      </c>
      <c r="K18" s="6">
        <v>358.79</v>
      </c>
      <c r="L18" s="6">
        <v>20.399999999999999</v>
      </c>
      <c r="M18" s="6">
        <v>33.020000000000003</v>
      </c>
      <c r="N18" s="6">
        <v>2.1</v>
      </c>
      <c r="O18" s="6">
        <v>0</v>
      </c>
      <c r="P18" s="6">
        <v>0.48</v>
      </c>
      <c r="Q18" s="6">
        <v>9.32</v>
      </c>
      <c r="R18" s="6"/>
      <c r="S18" s="6"/>
      <c r="T18" s="156"/>
      <c r="U18" s="6"/>
    </row>
    <row r="19" spans="1:21" customFormat="1">
      <c r="A19" s="201" t="s">
        <v>2074</v>
      </c>
      <c r="B19" s="6">
        <v>5.72</v>
      </c>
      <c r="C19" s="6">
        <v>8</v>
      </c>
      <c r="D19" s="6">
        <v>8.76</v>
      </c>
      <c r="E19" s="6">
        <v>5.78</v>
      </c>
      <c r="F19" s="6">
        <v>2</v>
      </c>
      <c r="G19" s="6">
        <v>78.52</v>
      </c>
      <c r="H19" s="6">
        <v>40.43</v>
      </c>
      <c r="I19" s="147" t="s">
        <v>14</v>
      </c>
      <c r="J19" s="6">
        <v>0.12</v>
      </c>
      <c r="K19" s="6">
        <v>118.24</v>
      </c>
      <c r="L19" s="6">
        <v>12.62</v>
      </c>
      <c r="M19" s="6">
        <v>13.69</v>
      </c>
      <c r="N19" s="6">
        <v>2.1</v>
      </c>
      <c r="O19" s="6">
        <v>0</v>
      </c>
      <c r="P19" s="6">
        <v>0.49</v>
      </c>
      <c r="Q19" s="6">
        <v>9.32</v>
      </c>
      <c r="R19" s="6"/>
      <c r="S19" s="6"/>
      <c r="T19" s="156"/>
      <c r="U19" s="6"/>
    </row>
    <row r="20" spans="1:21" customFormat="1">
      <c r="A20" s="201" t="s">
        <v>2075</v>
      </c>
      <c r="B20" s="6">
        <v>5.54</v>
      </c>
      <c r="C20" s="6">
        <v>8.1</v>
      </c>
      <c r="D20" s="6">
        <v>8.67</v>
      </c>
      <c r="E20" s="6">
        <v>5.82</v>
      </c>
      <c r="F20" s="6">
        <v>2</v>
      </c>
      <c r="G20" s="6">
        <v>75.319999999999993</v>
      </c>
      <c r="H20" s="6">
        <v>38.9</v>
      </c>
      <c r="I20" s="147" t="s">
        <v>14</v>
      </c>
      <c r="J20" s="6">
        <v>0.12</v>
      </c>
      <c r="K20" s="6">
        <v>139.06</v>
      </c>
      <c r="L20" s="6">
        <v>13.87</v>
      </c>
      <c r="M20" s="6">
        <v>16.88</v>
      </c>
      <c r="N20" s="6">
        <v>2.2000000000000002</v>
      </c>
      <c r="O20" s="6">
        <v>0</v>
      </c>
      <c r="P20" s="6">
        <v>0.48</v>
      </c>
      <c r="Q20" s="6">
        <v>10.99</v>
      </c>
      <c r="R20" s="6"/>
      <c r="S20" s="6"/>
      <c r="T20" s="156"/>
      <c r="U20" s="6"/>
    </row>
    <row r="21" spans="1:21" customFormat="1">
      <c r="A21" s="201" t="s">
        <v>2076</v>
      </c>
      <c r="B21" s="6">
        <v>5.37</v>
      </c>
      <c r="C21" s="6">
        <v>8.08</v>
      </c>
      <c r="D21" s="6">
        <v>8.5299999999999994</v>
      </c>
      <c r="E21" s="6">
        <v>6.01</v>
      </c>
      <c r="F21" s="6">
        <v>2</v>
      </c>
      <c r="G21" s="6">
        <v>75.319999999999993</v>
      </c>
      <c r="H21" s="6">
        <v>38.9</v>
      </c>
      <c r="I21" s="147" t="s">
        <v>14</v>
      </c>
      <c r="J21" s="6">
        <v>0.12</v>
      </c>
      <c r="K21" s="6">
        <v>169.7</v>
      </c>
      <c r="L21" s="6">
        <v>18.78</v>
      </c>
      <c r="M21" s="6">
        <v>29.18</v>
      </c>
      <c r="N21" s="6">
        <v>2.2999999999999998</v>
      </c>
      <c r="O21" s="6">
        <v>0</v>
      </c>
      <c r="P21" s="6">
        <v>0.48</v>
      </c>
      <c r="Q21" s="6">
        <v>14.84</v>
      </c>
      <c r="R21" s="6"/>
      <c r="S21" s="6"/>
      <c r="T21" s="156"/>
      <c r="U21" s="6"/>
    </row>
    <row r="22" spans="1:21" customFormat="1">
      <c r="A22" s="201" t="s">
        <v>2077</v>
      </c>
      <c r="B22" s="6">
        <v>5.08</v>
      </c>
      <c r="C22" s="6">
        <v>8.1</v>
      </c>
      <c r="D22" s="6">
        <v>8.3000000000000007</v>
      </c>
      <c r="E22" s="6">
        <v>6.02</v>
      </c>
      <c r="F22" s="6">
        <v>2</v>
      </c>
      <c r="G22" s="6">
        <v>75.319999999999993</v>
      </c>
      <c r="H22" s="6">
        <v>38.9</v>
      </c>
      <c r="I22" s="147" t="s">
        <v>14</v>
      </c>
      <c r="J22" s="6">
        <v>0.11</v>
      </c>
      <c r="K22" s="6">
        <v>148.02000000000001</v>
      </c>
      <c r="L22" s="6">
        <v>14.86</v>
      </c>
      <c r="M22" s="6">
        <v>19.37</v>
      </c>
      <c r="N22" s="6">
        <v>2.2999999999999998</v>
      </c>
      <c r="O22" s="6">
        <v>0</v>
      </c>
      <c r="P22" s="6">
        <v>0.48</v>
      </c>
      <c r="Q22" s="6">
        <v>19.18</v>
      </c>
      <c r="R22" s="6"/>
      <c r="S22" s="6"/>
      <c r="T22" s="156"/>
      <c r="U22" s="6"/>
    </row>
    <row r="23" spans="1:21" customFormat="1">
      <c r="A23" s="201" t="s">
        <v>2078</v>
      </c>
      <c r="B23" s="6">
        <v>4.84</v>
      </c>
      <c r="C23" s="6">
        <v>8.1300000000000008</v>
      </c>
      <c r="D23" s="6">
        <v>8.1300000000000008</v>
      </c>
      <c r="E23" s="6">
        <v>5.79</v>
      </c>
      <c r="F23" s="6">
        <v>2</v>
      </c>
      <c r="G23" s="6">
        <v>75.260000000000005</v>
      </c>
      <c r="H23" s="6">
        <v>38.81</v>
      </c>
      <c r="I23" s="147" t="s">
        <v>14</v>
      </c>
      <c r="J23" s="6">
        <v>0.13</v>
      </c>
      <c r="K23" s="6">
        <v>78.400000000000006</v>
      </c>
      <c r="L23" s="6">
        <v>10.1</v>
      </c>
      <c r="M23" s="6">
        <v>7.31</v>
      </c>
      <c r="N23" s="6">
        <v>2.1</v>
      </c>
      <c r="O23" s="6">
        <v>0</v>
      </c>
      <c r="P23" s="6">
        <v>0.46</v>
      </c>
      <c r="Q23" s="6">
        <v>21.84</v>
      </c>
      <c r="R23" s="6"/>
      <c r="S23" s="6"/>
      <c r="T23" s="156"/>
      <c r="U23" s="6"/>
    </row>
    <row r="24" spans="1:21" customFormat="1">
      <c r="A24" s="201" t="s">
        <v>2079</v>
      </c>
      <c r="B24" s="6">
        <v>4.66</v>
      </c>
      <c r="C24" s="6">
        <v>8.24</v>
      </c>
      <c r="D24" s="6">
        <v>8.0399999999999991</v>
      </c>
      <c r="E24" s="6">
        <v>5.86</v>
      </c>
      <c r="F24" s="6">
        <v>2</v>
      </c>
      <c r="G24" s="6">
        <v>73.510000000000005</v>
      </c>
      <c r="H24" s="6">
        <v>35.86</v>
      </c>
      <c r="I24" s="147" t="s">
        <v>14</v>
      </c>
      <c r="J24" s="6">
        <v>0.14000000000000001</v>
      </c>
      <c r="K24" s="6">
        <v>70.92</v>
      </c>
      <c r="L24" s="6">
        <v>9.89</v>
      </c>
      <c r="M24" s="6">
        <v>6.78</v>
      </c>
      <c r="N24" s="6">
        <v>2.2999999999999998</v>
      </c>
      <c r="O24" s="6">
        <v>0</v>
      </c>
      <c r="P24" s="6">
        <v>0.46</v>
      </c>
      <c r="Q24" s="6">
        <v>15.59</v>
      </c>
      <c r="R24" s="6"/>
      <c r="S24" s="6"/>
      <c r="T24" s="156"/>
      <c r="U24" s="6"/>
    </row>
    <row r="25" spans="1:21" customFormat="1">
      <c r="A25" s="201" t="s">
        <v>2080</v>
      </c>
      <c r="B25" s="6">
        <v>4.5599999999999996</v>
      </c>
      <c r="C25" s="6">
        <v>8.27</v>
      </c>
      <c r="D25" s="6">
        <v>7.97</v>
      </c>
      <c r="E25" s="6">
        <v>6.02</v>
      </c>
      <c r="F25" s="6">
        <v>2</v>
      </c>
      <c r="G25" s="6">
        <v>73.510000000000005</v>
      </c>
      <c r="H25" s="6">
        <v>35.86</v>
      </c>
      <c r="I25" s="147" t="s">
        <v>14</v>
      </c>
      <c r="J25" s="6">
        <v>0.08</v>
      </c>
      <c r="K25" s="6">
        <v>119.5</v>
      </c>
      <c r="L25" s="6">
        <v>12.52</v>
      </c>
      <c r="M25" s="6">
        <v>13.43</v>
      </c>
      <c r="N25" s="6">
        <v>2.2999999999999998</v>
      </c>
      <c r="O25" s="6">
        <v>0</v>
      </c>
      <c r="P25" s="6">
        <v>0.47</v>
      </c>
      <c r="Q25" s="6">
        <v>17.62</v>
      </c>
      <c r="R25" s="6"/>
      <c r="S25" s="6"/>
      <c r="T25" s="156"/>
      <c r="U25" s="6"/>
    </row>
    <row r="26" spans="1:21" customFormat="1">
      <c r="A26" s="201" t="s">
        <v>2081</v>
      </c>
      <c r="B26" s="6">
        <v>4.47</v>
      </c>
      <c r="C26" s="6">
        <v>8.25</v>
      </c>
      <c r="D26" s="6">
        <v>7.9</v>
      </c>
      <c r="E26" s="6">
        <v>5.79</v>
      </c>
      <c r="F26" s="6">
        <v>2</v>
      </c>
      <c r="G26" s="6">
        <v>73.510000000000005</v>
      </c>
      <c r="H26" s="6">
        <v>35.86</v>
      </c>
      <c r="I26" s="147" t="s">
        <v>14</v>
      </c>
      <c r="J26" s="6">
        <v>0.13</v>
      </c>
      <c r="K26" s="6">
        <v>335.78</v>
      </c>
      <c r="L26" s="6">
        <v>22.5</v>
      </c>
      <c r="M26" s="6">
        <v>38.24</v>
      </c>
      <c r="N26" s="6">
        <v>2.4</v>
      </c>
      <c r="O26" s="6">
        <v>0</v>
      </c>
      <c r="P26" s="6">
        <v>0.46</v>
      </c>
      <c r="Q26" s="6">
        <v>12.6</v>
      </c>
      <c r="R26" s="6"/>
      <c r="S26" s="6"/>
      <c r="T26" s="156"/>
      <c r="U26" s="6"/>
    </row>
    <row r="27" spans="1:21" customFormat="1">
      <c r="A27" s="201" t="s">
        <v>2082</v>
      </c>
      <c r="B27" s="6">
        <v>4.51</v>
      </c>
      <c r="C27" s="6">
        <v>8.31</v>
      </c>
      <c r="D27" s="6">
        <v>7.96</v>
      </c>
      <c r="E27" s="6">
        <v>5.72</v>
      </c>
      <c r="F27" s="6">
        <v>2</v>
      </c>
      <c r="G27" s="6">
        <v>73.38</v>
      </c>
      <c r="H27" s="6">
        <v>35.82</v>
      </c>
      <c r="I27" s="147" t="s">
        <v>14</v>
      </c>
      <c r="J27" s="6">
        <v>0.18</v>
      </c>
      <c r="K27" s="6">
        <v>24.78</v>
      </c>
      <c r="L27" s="6">
        <v>6.46</v>
      </c>
      <c r="M27" s="6">
        <v>-2.0699999999999998</v>
      </c>
      <c r="N27" s="6">
        <v>2.4</v>
      </c>
      <c r="O27" s="6">
        <v>0</v>
      </c>
      <c r="P27" s="6">
        <v>0.46</v>
      </c>
      <c r="Q27" s="6">
        <v>10.64</v>
      </c>
      <c r="R27" s="6"/>
      <c r="S27" s="6"/>
      <c r="T27" s="156"/>
      <c r="U27" s="6"/>
    </row>
    <row r="28" spans="1:21" customFormat="1">
      <c r="A28" s="201" t="s">
        <v>2083</v>
      </c>
      <c r="B28" s="6">
        <v>4.6399999999999997</v>
      </c>
      <c r="C28" s="6">
        <v>8.34</v>
      </c>
      <c r="D28" s="6">
        <v>8.08</v>
      </c>
      <c r="E28" s="6">
        <v>5.94</v>
      </c>
      <c r="F28" s="6">
        <v>2</v>
      </c>
      <c r="G28" s="6">
        <v>69.55</v>
      </c>
      <c r="H28" s="6">
        <v>34.46</v>
      </c>
      <c r="I28" s="147" t="s">
        <v>14</v>
      </c>
      <c r="J28" s="6">
        <v>0.09</v>
      </c>
      <c r="K28" s="6">
        <v>61.06</v>
      </c>
      <c r="L28" s="6">
        <v>16.579999999999998</v>
      </c>
      <c r="M28" s="6">
        <v>23.35</v>
      </c>
      <c r="N28" s="6">
        <v>2.2000000000000002</v>
      </c>
      <c r="O28" s="6">
        <v>0</v>
      </c>
      <c r="P28" s="6">
        <v>0.46</v>
      </c>
      <c r="Q28" s="6">
        <v>10.55</v>
      </c>
      <c r="R28" s="6"/>
      <c r="S28" s="6"/>
      <c r="T28" s="156"/>
      <c r="U28" s="6"/>
    </row>
    <row r="29" spans="1:21" customFormat="1">
      <c r="A29" s="201" t="s">
        <v>2084</v>
      </c>
      <c r="B29" s="6">
        <v>4.68</v>
      </c>
      <c r="C29" s="6">
        <v>8.2899999999999991</v>
      </c>
      <c r="D29" s="6">
        <v>8.08</v>
      </c>
      <c r="E29" s="6">
        <v>5.88</v>
      </c>
      <c r="F29" s="6">
        <v>2</v>
      </c>
      <c r="G29" s="6">
        <v>69.55</v>
      </c>
      <c r="H29" s="6">
        <v>34.46</v>
      </c>
      <c r="I29" s="147" t="s">
        <v>14</v>
      </c>
      <c r="J29" s="6">
        <v>0.09</v>
      </c>
      <c r="K29" s="6">
        <v>55.59</v>
      </c>
      <c r="L29" s="6">
        <v>9.84</v>
      </c>
      <c r="M29" s="6">
        <v>6.57</v>
      </c>
      <c r="N29" s="6">
        <v>2.2999999999999998</v>
      </c>
      <c r="O29" s="6">
        <v>0</v>
      </c>
      <c r="P29" s="6">
        <v>0.45</v>
      </c>
      <c r="Q29" s="6">
        <v>11.08</v>
      </c>
      <c r="R29" s="6"/>
      <c r="S29" s="6"/>
      <c r="T29" s="156"/>
      <c r="U29" s="6"/>
    </row>
    <row r="30" spans="1:21" customFormat="1">
      <c r="A30" s="201" t="s">
        <v>2085</v>
      </c>
      <c r="B30" s="6">
        <v>4.6399999999999997</v>
      </c>
      <c r="C30" s="6">
        <v>8.34</v>
      </c>
      <c r="D30" s="6">
        <v>8.08</v>
      </c>
      <c r="E30" s="6">
        <v>5.72</v>
      </c>
      <c r="F30" s="6">
        <v>2</v>
      </c>
      <c r="G30" s="6">
        <v>69.55</v>
      </c>
      <c r="H30" s="6">
        <v>34.46</v>
      </c>
      <c r="I30" s="147" t="s">
        <v>14</v>
      </c>
      <c r="J30" s="6">
        <v>0.04</v>
      </c>
      <c r="K30" s="6">
        <v>17.98</v>
      </c>
      <c r="L30" s="6">
        <v>12.94</v>
      </c>
      <c r="M30" s="6">
        <v>14.28</v>
      </c>
      <c r="N30" s="6">
        <v>2.4</v>
      </c>
      <c r="O30" s="6">
        <v>0</v>
      </c>
      <c r="P30" s="6">
        <v>0.45</v>
      </c>
      <c r="Q30" s="6">
        <v>17.47</v>
      </c>
      <c r="R30" s="6"/>
      <c r="S30" s="6"/>
      <c r="T30" s="156"/>
      <c r="U30" s="6"/>
    </row>
    <row r="31" spans="1:21" customFormat="1">
      <c r="A31" s="201" t="s">
        <v>2086</v>
      </c>
      <c r="B31" s="6">
        <v>4.67</v>
      </c>
      <c r="C31" s="6">
        <v>8.3800000000000008</v>
      </c>
      <c r="D31" s="6">
        <v>8.1199999999999992</v>
      </c>
      <c r="E31" s="6">
        <v>5.98</v>
      </c>
      <c r="F31" s="6">
        <v>2</v>
      </c>
      <c r="G31" s="6">
        <v>69.53</v>
      </c>
      <c r="H31" s="6">
        <v>34.43</v>
      </c>
      <c r="I31" s="147" t="s">
        <v>14</v>
      </c>
      <c r="J31" s="6">
        <v>0.1</v>
      </c>
      <c r="K31" s="6">
        <v>36.299999999999997</v>
      </c>
      <c r="L31" s="6">
        <v>11.97</v>
      </c>
      <c r="M31" s="6">
        <v>11.88</v>
      </c>
      <c r="N31" s="6">
        <v>2.4</v>
      </c>
      <c r="O31" s="6">
        <v>0</v>
      </c>
      <c r="P31" s="6">
        <v>0.45</v>
      </c>
      <c r="Q31" s="6">
        <v>18.28</v>
      </c>
      <c r="R31" s="6"/>
      <c r="S31" s="6"/>
      <c r="T31" s="156"/>
      <c r="U31" s="6"/>
    </row>
    <row r="32" spans="1:21" customFormat="1">
      <c r="A32" s="201" t="s">
        <v>2087</v>
      </c>
      <c r="B32" s="6">
        <v>4.78</v>
      </c>
      <c r="C32" s="6">
        <v>8.34</v>
      </c>
      <c r="D32" s="6">
        <v>8.19</v>
      </c>
      <c r="E32" s="6">
        <v>6.18</v>
      </c>
      <c r="F32" s="6">
        <v>2</v>
      </c>
      <c r="G32" s="6">
        <v>68.61</v>
      </c>
      <c r="H32" s="6">
        <v>33.520000000000003</v>
      </c>
      <c r="I32" s="147" t="s">
        <v>14</v>
      </c>
      <c r="J32" s="6">
        <v>0.15</v>
      </c>
      <c r="K32" s="6">
        <v>8.26</v>
      </c>
      <c r="L32" s="6">
        <v>12.87</v>
      </c>
      <c r="M32" s="6">
        <v>13.94</v>
      </c>
      <c r="N32" s="6">
        <v>2.6</v>
      </c>
      <c r="O32" s="6">
        <v>0</v>
      </c>
      <c r="P32" s="6">
        <v>0.45</v>
      </c>
      <c r="Q32" s="6">
        <v>24.35</v>
      </c>
      <c r="R32" s="6"/>
      <c r="S32" s="6"/>
      <c r="T32" s="156"/>
      <c r="U32" s="6"/>
    </row>
    <row r="33" spans="1:21" customFormat="1">
      <c r="A33" s="201" t="s">
        <v>2088</v>
      </c>
      <c r="B33" s="6">
        <v>5.0199999999999996</v>
      </c>
      <c r="C33" s="6">
        <v>8.36</v>
      </c>
      <c r="D33" s="6">
        <v>8.39</v>
      </c>
      <c r="E33" s="6">
        <v>6.06</v>
      </c>
      <c r="F33" s="6">
        <v>2</v>
      </c>
      <c r="G33" s="6">
        <v>68.61</v>
      </c>
      <c r="H33" s="6">
        <v>33.520000000000003</v>
      </c>
      <c r="I33" s="147" t="s">
        <v>14</v>
      </c>
      <c r="J33" s="6">
        <v>0.25</v>
      </c>
      <c r="K33" s="6">
        <v>22.94</v>
      </c>
      <c r="L33" s="6">
        <v>7.1</v>
      </c>
      <c r="M33" s="6">
        <v>-0.52</v>
      </c>
      <c r="N33" s="6">
        <v>3.6</v>
      </c>
      <c r="O33" s="6">
        <v>0</v>
      </c>
      <c r="P33" s="6">
        <v>0.46</v>
      </c>
      <c r="Q33" s="6">
        <v>11.36</v>
      </c>
      <c r="R33" s="6"/>
      <c r="S33" s="6"/>
      <c r="T33" s="156"/>
      <c r="U33" s="6"/>
    </row>
    <row r="34" spans="1:21" customFormat="1">
      <c r="A34" s="201" t="s">
        <v>2089</v>
      </c>
      <c r="B34" s="6">
        <v>5.29</v>
      </c>
      <c r="C34" s="6">
        <v>8.34</v>
      </c>
      <c r="D34" s="6">
        <v>8.6</v>
      </c>
      <c r="E34" s="6">
        <v>5.84</v>
      </c>
      <c r="F34" s="6">
        <v>2</v>
      </c>
      <c r="G34" s="6">
        <v>68.61</v>
      </c>
      <c r="H34" s="6">
        <v>33.520000000000003</v>
      </c>
      <c r="I34" s="6">
        <v>1.42</v>
      </c>
      <c r="J34" s="6">
        <v>0.28999999999999998</v>
      </c>
      <c r="K34" s="6">
        <v>40.65</v>
      </c>
      <c r="L34" s="6">
        <v>8.5500000000000007</v>
      </c>
      <c r="M34" s="6">
        <v>3.14</v>
      </c>
      <c r="N34" s="6">
        <v>6.8</v>
      </c>
      <c r="O34" s="6">
        <v>0</v>
      </c>
      <c r="P34" s="6">
        <v>0.46</v>
      </c>
      <c r="Q34" s="6">
        <v>9.32</v>
      </c>
      <c r="R34" s="6"/>
      <c r="S34" s="6"/>
      <c r="T34" s="156"/>
      <c r="U34" s="6"/>
    </row>
    <row r="35" spans="1:21" customFormat="1">
      <c r="A35" s="201" t="s">
        <v>2090</v>
      </c>
      <c r="B35" s="6">
        <v>5.59</v>
      </c>
      <c r="C35" s="6">
        <v>8.35</v>
      </c>
      <c r="D35" s="6">
        <v>8.84</v>
      </c>
      <c r="E35" s="6">
        <v>6.24</v>
      </c>
      <c r="F35" s="6">
        <v>2</v>
      </c>
      <c r="G35" s="6">
        <v>68.5</v>
      </c>
      <c r="H35" s="6">
        <v>33.53</v>
      </c>
      <c r="I35" s="6">
        <v>7.97</v>
      </c>
      <c r="J35" s="6">
        <v>0.4</v>
      </c>
      <c r="K35" s="6">
        <v>37.15</v>
      </c>
      <c r="L35" s="6">
        <v>9.31</v>
      </c>
      <c r="M35" s="6">
        <v>4.91</v>
      </c>
      <c r="N35" s="6">
        <v>12.4</v>
      </c>
      <c r="O35" s="6">
        <v>0</v>
      </c>
      <c r="P35" s="6">
        <v>0.47</v>
      </c>
      <c r="Q35" s="6">
        <v>29.22</v>
      </c>
      <c r="R35" s="6"/>
      <c r="S35" s="6"/>
      <c r="T35" s="156"/>
      <c r="U35" s="6"/>
    </row>
    <row r="36" spans="1:21" customFormat="1">
      <c r="A36" s="201" t="s">
        <v>2091</v>
      </c>
      <c r="B36" s="6">
        <v>5.72</v>
      </c>
      <c r="C36" s="6">
        <v>8.31</v>
      </c>
      <c r="D36" s="6">
        <v>8.93</v>
      </c>
      <c r="E36" s="6">
        <v>6.12</v>
      </c>
      <c r="F36" s="6">
        <v>2</v>
      </c>
      <c r="G36" s="6">
        <v>65.48</v>
      </c>
      <c r="H36" s="6">
        <v>33.79</v>
      </c>
      <c r="I36" s="6">
        <v>7.71</v>
      </c>
      <c r="J36" s="6">
        <v>0.33</v>
      </c>
      <c r="K36" s="6">
        <v>42.79</v>
      </c>
      <c r="L36" s="6">
        <v>6.63</v>
      </c>
      <c r="M36" s="6">
        <v>-1.86</v>
      </c>
      <c r="N36" s="6">
        <v>15.9</v>
      </c>
      <c r="O36" s="6">
        <v>0</v>
      </c>
      <c r="P36" s="6">
        <v>0.47</v>
      </c>
      <c r="Q36" s="6">
        <v>35.950000000000003</v>
      </c>
      <c r="R36" s="6"/>
      <c r="S36" s="6"/>
      <c r="T36" s="156"/>
      <c r="U36" s="6"/>
    </row>
    <row r="37" spans="1:21" customFormat="1">
      <c r="A37" s="201" t="s">
        <v>2092</v>
      </c>
      <c r="B37" s="6">
        <v>5.74</v>
      </c>
      <c r="C37" s="6">
        <v>8.31</v>
      </c>
      <c r="D37" s="6">
        <v>8.9499999999999993</v>
      </c>
      <c r="E37" s="6">
        <v>6.16</v>
      </c>
      <c r="F37" s="6">
        <v>2</v>
      </c>
      <c r="G37" s="6">
        <v>65.48</v>
      </c>
      <c r="H37" s="6">
        <v>33.79</v>
      </c>
      <c r="I37" s="6">
        <v>7.69</v>
      </c>
      <c r="J37" s="6">
        <v>0.42</v>
      </c>
      <c r="K37" s="6">
        <v>38.85</v>
      </c>
      <c r="L37" s="6">
        <v>7.54</v>
      </c>
      <c r="M37" s="6">
        <v>0.2</v>
      </c>
      <c r="N37" s="6">
        <v>22.7</v>
      </c>
      <c r="O37" s="6">
        <v>0</v>
      </c>
      <c r="P37" s="6">
        <v>0.48</v>
      </c>
      <c r="Q37" s="6">
        <v>32.630000000000003</v>
      </c>
      <c r="R37" s="6"/>
      <c r="S37" s="6"/>
      <c r="T37" s="156"/>
      <c r="U37" s="6"/>
    </row>
    <row r="38" spans="1:21" customFormat="1">
      <c r="A38" s="201" t="s">
        <v>2093</v>
      </c>
      <c r="B38" s="6">
        <v>5.78</v>
      </c>
      <c r="C38" s="6">
        <v>8.31</v>
      </c>
      <c r="D38" s="6">
        <v>8.98</v>
      </c>
      <c r="E38" s="6">
        <v>6.63</v>
      </c>
      <c r="F38" s="6">
        <v>2</v>
      </c>
      <c r="G38" s="6">
        <v>65.48</v>
      </c>
      <c r="H38" s="6">
        <v>33.79</v>
      </c>
      <c r="I38" s="6">
        <v>7.89</v>
      </c>
      <c r="J38" s="6">
        <v>0.53</v>
      </c>
      <c r="K38" s="6">
        <v>36.35</v>
      </c>
      <c r="L38" s="6">
        <v>6.13</v>
      </c>
      <c r="M38" s="6">
        <v>-3.5</v>
      </c>
      <c r="N38" s="6">
        <v>30.4</v>
      </c>
      <c r="O38" s="6">
        <v>0</v>
      </c>
      <c r="P38" s="6">
        <v>0.48</v>
      </c>
      <c r="Q38" s="6">
        <v>45.05</v>
      </c>
      <c r="R38" s="6"/>
      <c r="S38" s="6"/>
      <c r="T38" s="156"/>
      <c r="U38" s="6"/>
    </row>
    <row r="39" spans="1:21" customFormat="1">
      <c r="A39" s="201" t="s">
        <v>2094</v>
      </c>
      <c r="B39" s="6">
        <v>5.95</v>
      </c>
      <c r="C39" s="6">
        <v>8.08</v>
      </c>
      <c r="D39" s="6">
        <v>9</v>
      </c>
      <c r="E39" s="6">
        <v>5.99</v>
      </c>
      <c r="F39" s="6">
        <v>2</v>
      </c>
      <c r="G39" s="6">
        <v>65.53</v>
      </c>
      <c r="H39" s="6">
        <v>33.840000000000003</v>
      </c>
      <c r="I39" s="6">
        <v>8.02</v>
      </c>
      <c r="J39" s="6">
        <v>0.43</v>
      </c>
      <c r="K39" s="6">
        <v>41.36</v>
      </c>
      <c r="L39" s="6">
        <v>7.9</v>
      </c>
      <c r="M39" s="6">
        <v>0.73</v>
      </c>
      <c r="N39" s="6">
        <v>37.799999999999997</v>
      </c>
      <c r="O39" s="6">
        <v>0</v>
      </c>
      <c r="P39" s="6">
        <v>0.45</v>
      </c>
      <c r="Q39" s="6">
        <v>20.53</v>
      </c>
      <c r="R39" s="6"/>
      <c r="S39" s="6"/>
      <c r="T39" s="156"/>
      <c r="U39" s="6"/>
    </row>
    <row r="40" spans="1:21" customFormat="1">
      <c r="A40" s="201" t="s">
        <v>2095</v>
      </c>
      <c r="B40" s="6">
        <v>6.13</v>
      </c>
      <c r="C40" s="6">
        <v>8.0299999999999994</v>
      </c>
      <c r="D40" s="6">
        <v>9.11</v>
      </c>
      <c r="E40" s="6">
        <v>6.19</v>
      </c>
      <c r="F40" s="6">
        <v>2</v>
      </c>
      <c r="G40" s="6">
        <v>67.180000000000007</v>
      </c>
      <c r="H40" s="6">
        <v>35.630000000000003</v>
      </c>
      <c r="I40" s="6">
        <v>7.99</v>
      </c>
      <c r="J40" s="6">
        <v>0.43</v>
      </c>
      <c r="K40" s="6">
        <v>37.229999999999997</v>
      </c>
      <c r="L40" s="6">
        <v>7.02</v>
      </c>
      <c r="M40" s="6">
        <v>-1.65</v>
      </c>
      <c r="N40" s="6">
        <v>45.7</v>
      </c>
      <c r="O40" s="6">
        <v>0</v>
      </c>
      <c r="P40" s="6">
        <v>0.45</v>
      </c>
      <c r="Q40" s="6">
        <v>17.37</v>
      </c>
      <c r="R40" s="6"/>
      <c r="S40" s="6"/>
      <c r="T40" s="156"/>
      <c r="U40" s="6"/>
    </row>
    <row r="41" spans="1:21" customFormat="1">
      <c r="A41" s="201" t="s">
        <v>2096</v>
      </c>
      <c r="B41" s="6">
        <v>6.28</v>
      </c>
      <c r="C41" s="6">
        <v>7.94</v>
      </c>
      <c r="D41" s="6">
        <v>9.18</v>
      </c>
      <c r="E41" s="6">
        <v>5.94</v>
      </c>
      <c r="F41" s="6">
        <v>2</v>
      </c>
      <c r="G41" s="6">
        <v>67.180000000000007</v>
      </c>
      <c r="H41" s="6">
        <v>35.630000000000003</v>
      </c>
      <c r="I41" s="6">
        <v>8.0299999999999994</v>
      </c>
      <c r="J41" s="6">
        <v>0.53</v>
      </c>
      <c r="K41" s="6">
        <v>40</v>
      </c>
      <c r="L41" s="6">
        <v>7.11</v>
      </c>
      <c r="M41" s="6">
        <v>-1.66</v>
      </c>
      <c r="N41" s="6">
        <v>54.6</v>
      </c>
      <c r="O41" s="6">
        <v>0</v>
      </c>
      <c r="P41" s="6">
        <v>0.44</v>
      </c>
      <c r="Q41" s="6">
        <v>9.73</v>
      </c>
      <c r="R41" s="6"/>
      <c r="S41" s="6"/>
      <c r="T41" s="156"/>
      <c r="U41" s="6"/>
    </row>
    <row r="42" spans="1:21" customFormat="1">
      <c r="A42" s="201" t="s">
        <v>2097</v>
      </c>
      <c r="B42" s="6">
        <v>6.38</v>
      </c>
      <c r="C42" s="6">
        <v>7.98</v>
      </c>
      <c r="D42" s="6">
        <v>9.2799999999999994</v>
      </c>
      <c r="E42" s="6">
        <v>5.77</v>
      </c>
      <c r="F42" s="6">
        <v>2</v>
      </c>
      <c r="G42" s="6">
        <v>67.180000000000007</v>
      </c>
      <c r="H42" s="6">
        <v>35.630000000000003</v>
      </c>
      <c r="I42" s="6">
        <v>8.11</v>
      </c>
      <c r="J42" s="6">
        <v>0.56000000000000005</v>
      </c>
      <c r="K42" s="6">
        <v>35.26</v>
      </c>
      <c r="L42" s="6">
        <v>8.35</v>
      </c>
      <c r="M42" s="6">
        <v>0.93</v>
      </c>
      <c r="N42" s="6">
        <v>78.3</v>
      </c>
      <c r="O42" s="6">
        <v>0</v>
      </c>
      <c r="P42" s="6">
        <v>0.46</v>
      </c>
      <c r="Q42" s="6">
        <v>11.36</v>
      </c>
      <c r="R42" s="6"/>
      <c r="S42" s="6"/>
      <c r="T42" s="156"/>
      <c r="U42" s="6"/>
    </row>
    <row r="43" spans="1:21" customFormat="1">
      <c r="A43" s="201" t="s">
        <v>2098</v>
      </c>
      <c r="B43" s="6">
        <v>6.41</v>
      </c>
      <c r="C43" s="6">
        <v>7.84</v>
      </c>
      <c r="D43" s="6">
        <v>9.24</v>
      </c>
      <c r="E43" s="6">
        <v>5.89</v>
      </c>
      <c r="F43" s="6">
        <v>2</v>
      </c>
      <c r="G43" s="6">
        <v>67.209999999999994</v>
      </c>
      <c r="H43" s="6">
        <v>35.6</v>
      </c>
      <c r="I43" s="6">
        <v>8.15</v>
      </c>
      <c r="J43" s="6">
        <v>0.32</v>
      </c>
      <c r="K43" s="6">
        <v>48.84</v>
      </c>
      <c r="L43" s="6">
        <v>10.39</v>
      </c>
      <c r="M43" s="6">
        <v>5.2</v>
      </c>
      <c r="N43" s="6">
        <v>113.7</v>
      </c>
      <c r="O43" s="6">
        <v>0</v>
      </c>
      <c r="P43" s="6">
        <v>0.45</v>
      </c>
      <c r="Q43" s="6">
        <v>13.37</v>
      </c>
      <c r="R43" s="6"/>
      <c r="S43" s="6"/>
      <c r="T43" s="156"/>
      <c r="U43" s="6"/>
    </row>
    <row r="44" spans="1:21" customFormat="1">
      <c r="A44" s="201" t="s">
        <v>2099</v>
      </c>
      <c r="B44" s="6">
        <v>6.39</v>
      </c>
      <c r="C44" s="6">
        <v>7.81</v>
      </c>
      <c r="D44" s="6">
        <v>9.1999999999999993</v>
      </c>
      <c r="E44" s="6">
        <v>5.46</v>
      </c>
      <c r="F44" s="6">
        <v>2</v>
      </c>
      <c r="G44" s="6">
        <v>67.86</v>
      </c>
      <c r="H44" s="6">
        <v>34.58</v>
      </c>
      <c r="I44" s="6">
        <v>8.23</v>
      </c>
      <c r="J44" s="6">
        <v>0.46</v>
      </c>
      <c r="K44" s="6">
        <v>54.51</v>
      </c>
      <c r="L44" s="6">
        <v>10.1</v>
      </c>
      <c r="M44" s="6">
        <v>3.27</v>
      </c>
      <c r="N44" s="6">
        <v>168.9</v>
      </c>
      <c r="O44" s="6">
        <v>0</v>
      </c>
      <c r="P44" s="6">
        <v>0.47</v>
      </c>
      <c r="Q44" s="6">
        <v>12.08</v>
      </c>
      <c r="R44" s="6"/>
      <c r="S44" s="6"/>
      <c r="T44" s="156"/>
      <c r="U44" s="6"/>
    </row>
    <row r="45" spans="1:21" customFormat="1">
      <c r="A45" s="201" t="s">
        <v>2100</v>
      </c>
      <c r="B45" s="6">
        <v>6.21</v>
      </c>
      <c r="C45" s="6">
        <v>7.59</v>
      </c>
      <c r="D45" s="6">
        <v>8.9499999999999993</v>
      </c>
      <c r="E45" s="6">
        <v>5.96</v>
      </c>
      <c r="F45" s="6">
        <v>2</v>
      </c>
      <c r="G45" s="6">
        <v>67.86</v>
      </c>
      <c r="H45" s="6">
        <v>34.58</v>
      </c>
      <c r="I45" s="6">
        <v>8.26</v>
      </c>
      <c r="J45" s="6">
        <v>0.51</v>
      </c>
      <c r="K45" s="6">
        <v>49.88</v>
      </c>
      <c r="L45" s="6">
        <v>10.31</v>
      </c>
      <c r="M45" s="6">
        <v>3.38</v>
      </c>
      <c r="N45" s="6">
        <v>187.4</v>
      </c>
      <c r="O45" s="6">
        <v>0</v>
      </c>
      <c r="P45" s="6">
        <v>0.45</v>
      </c>
      <c r="Q45" s="6">
        <v>11</v>
      </c>
      <c r="R45" s="6"/>
      <c r="S45" s="6"/>
      <c r="T45" s="156"/>
      <c r="U45" s="6"/>
    </row>
    <row r="46" spans="1:21" customFormat="1">
      <c r="A46" s="201" t="s">
        <v>2101</v>
      </c>
      <c r="B46" s="6">
        <v>6.03</v>
      </c>
      <c r="C46" s="6">
        <v>7.56</v>
      </c>
      <c r="D46" s="6">
        <v>8.7799999999999994</v>
      </c>
      <c r="E46" s="6">
        <v>5.45</v>
      </c>
      <c r="F46" s="6">
        <v>2</v>
      </c>
      <c r="G46" s="6">
        <v>67.86</v>
      </c>
      <c r="H46" s="6">
        <v>34.58</v>
      </c>
      <c r="I46" s="6">
        <v>8.2100000000000009</v>
      </c>
      <c r="J46" s="6">
        <v>0.37</v>
      </c>
      <c r="K46" s="6">
        <v>55.06</v>
      </c>
      <c r="L46" s="6">
        <v>11.7</v>
      </c>
      <c r="M46" s="6">
        <v>7.8</v>
      </c>
      <c r="N46" s="6">
        <v>145.80000000000001</v>
      </c>
      <c r="O46" s="6">
        <v>0</v>
      </c>
      <c r="P46" s="6">
        <v>0.44</v>
      </c>
      <c r="Q46" s="6">
        <v>9.81</v>
      </c>
      <c r="R46" s="6"/>
      <c r="S46" s="6"/>
      <c r="T46" s="156"/>
      <c r="U46" s="6"/>
    </row>
    <row r="47" spans="1:21" customFormat="1">
      <c r="A47" s="201" t="s">
        <v>2102</v>
      </c>
      <c r="B47" s="6">
        <v>5.79</v>
      </c>
      <c r="C47" s="6">
        <v>7.75</v>
      </c>
      <c r="D47" s="6">
        <v>8.69</v>
      </c>
      <c r="E47" s="6">
        <v>5.42</v>
      </c>
      <c r="F47" s="6">
        <v>2</v>
      </c>
      <c r="G47" s="6">
        <v>67.489999999999995</v>
      </c>
      <c r="H47" s="6">
        <v>34.49</v>
      </c>
      <c r="I47" s="6">
        <v>8.1199999999999992</v>
      </c>
      <c r="J47" s="6">
        <v>0.39</v>
      </c>
      <c r="K47" s="6">
        <v>49.33</v>
      </c>
      <c r="L47" s="6">
        <v>10.59</v>
      </c>
      <c r="M47" s="6">
        <v>2.44</v>
      </c>
      <c r="N47" s="6">
        <v>257</v>
      </c>
      <c r="O47" s="6">
        <v>0</v>
      </c>
      <c r="P47" s="6">
        <v>0.44</v>
      </c>
      <c r="Q47" s="6">
        <v>10.36</v>
      </c>
      <c r="R47" s="6"/>
      <c r="S47" s="6"/>
      <c r="T47" s="156"/>
      <c r="U47" s="6"/>
    </row>
    <row r="48" spans="1:21" customFormat="1">
      <c r="A48" s="201" t="s">
        <v>2103</v>
      </c>
      <c r="B48" s="6">
        <v>5.45</v>
      </c>
      <c r="C48" s="6">
        <v>7.58</v>
      </c>
      <c r="D48" s="6">
        <v>8.33</v>
      </c>
      <c r="E48" s="6">
        <v>5.29</v>
      </c>
      <c r="F48" s="6">
        <v>2</v>
      </c>
      <c r="G48" s="6">
        <v>56.69</v>
      </c>
      <c r="H48" s="6">
        <v>31.44</v>
      </c>
      <c r="I48" s="6">
        <v>8.1</v>
      </c>
      <c r="J48" s="6">
        <v>0.48</v>
      </c>
      <c r="K48" s="6">
        <v>51.95</v>
      </c>
      <c r="L48" s="6">
        <v>12.41</v>
      </c>
      <c r="M48" s="6">
        <v>4.3</v>
      </c>
      <c r="N48" s="6">
        <v>369</v>
      </c>
      <c r="O48" s="6">
        <v>0</v>
      </c>
      <c r="P48" s="6">
        <v>0.42</v>
      </c>
      <c r="Q48" s="6">
        <v>9.77</v>
      </c>
      <c r="R48" s="6"/>
      <c r="S48" s="6"/>
      <c r="T48" s="156"/>
      <c r="U48" s="6"/>
    </row>
    <row r="49" spans="1:21" customFormat="1">
      <c r="A49" s="201" t="s">
        <v>2104</v>
      </c>
      <c r="B49" s="6">
        <v>5.34</v>
      </c>
      <c r="C49" s="6">
        <v>7.69</v>
      </c>
      <c r="D49" s="6">
        <v>8.3000000000000007</v>
      </c>
      <c r="E49" s="6">
        <v>5.37</v>
      </c>
      <c r="F49" s="6">
        <v>2</v>
      </c>
      <c r="G49" s="6">
        <v>56.69</v>
      </c>
      <c r="H49" s="6">
        <v>31.44</v>
      </c>
      <c r="I49" s="6">
        <v>7.92</v>
      </c>
      <c r="J49" s="6">
        <v>0.38</v>
      </c>
      <c r="K49" s="6">
        <v>65.75</v>
      </c>
      <c r="L49" s="6">
        <v>14.59</v>
      </c>
      <c r="M49" s="6">
        <v>9.27</v>
      </c>
      <c r="N49" s="6">
        <v>392.2</v>
      </c>
      <c r="O49" s="6">
        <v>0</v>
      </c>
      <c r="P49" s="6">
        <v>0.44</v>
      </c>
      <c r="Q49" s="6">
        <v>9.61</v>
      </c>
      <c r="R49" s="6"/>
      <c r="S49" s="6"/>
      <c r="T49" s="156"/>
      <c r="U49" s="6"/>
    </row>
    <row r="50" spans="1:21" customFormat="1">
      <c r="A50" s="201" t="s">
        <v>2105</v>
      </c>
      <c r="B50" s="6">
        <v>5.0999999999999996</v>
      </c>
      <c r="C50" s="6">
        <v>7.57</v>
      </c>
      <c r="D50" s="6">
        <v>8.0500000000000007</v>
      </c>
      <c r="E50" s="6">
        <v>6.9</v>
      </c>
      <c r="F50" s="6">
        <v>2</v>
      </c>
      <c r="G50" s="6">
        <v>56.69</v>
      </c>
      <c r="H50" s="6">
        <v>31.44</v>
      </c>
      <c r="I50" s="6">
        <v>7.92</v>
      </c>
      <c r="J50" s="6">
        <v>0.35</v>
      </c>
      <c r="K50" s="6">
        <v>78.099999999999994</v>
      </c>
      <c r="L50" s="6">
        <v>13.33</v>
      </c>
      <c r="M50" s="6">
        <v>5.27</v>
      </c>
      <c r="N50" s="6">
        <v>430.1</v>
      </c>
      <c r="O50" s="6">
        <v>0</v>
      </c>
      <c r="P50" s="6">
        <v>0.42</v>
      </c>
      <c r="Q50" s="6">
        <v>9.5</v>
      </c>
      <c r="R50" s="6"/>
      <c r="S50" s="6"/>
      <c r="T50" s="156"/>
      <c r="U50" s="6"/>
    </row>
    <row r="51" spans="1:21" customFormat="1">
      <c r="A51" s="201" t="s">
        <v>2106</v>
      </c>
      <c r="B51" s="6">
        <v>4.82</v>
      </c>
      <c r="C51" s="6">
        <v>7.51</v>
      </c>
      <c r="D51" s="6">
        <v>7.79</v>
      </c>
      <c r="E51" s="6">
        <v>5.62</v>
      </c>
      <c r="F51" s="6">
        <v>2</v>
      </c>
      <c r="G51" s="6">
        <v>56.23</v>
      </c>
      <c r="H51" s="6">
        <v>31.28</v>
      </c>
      <c r="I51" s="6">
        <v>7.91</v>
      </c>
      <c r="J51" s="6">
        <v>0.37</v>
      </c>
      <c r="K51" s="6">
        <v>76.58</v>
      </c>
      <c r="L51" s="6">
        <v>14.03</v>
      </c>
      <c r="M51" s="6">
        <v>9.69</v>
      </c>
      <c r="N51" s="6">
        <v>317</v>
      </c>
      <c r="O51" s="6">
        <v>0</v>
      </c>
      <c r="P51" s="6">
        <v>0.41</v>
      </c>
      <c r="Q51" s="6">
        <v>9.32</v>
      </c>
      <c r="R51" s="6"/>
      <c r="S51" s="6"/>
      <c r="T51" s="156"/>
      <c r="U51" s="6"/>
    </row>
    <row r="52" spans="1:21" customFormat="1">
      <c r="A52" s="201" t="s">
        <v>2107</v>
      </c>
      <c r="B52" s="6">
        <v>4.76</v>
      </c>
      <c r="C52" s="6">
        <v>7.41</v>
      </c>
      <c r="D52" s="6">
        <v>7.69</v>
      </c>
      <c r="E52" s="6">
        <v>6.42</v>
      </c>
      <c r="F52" s="6">
        <v>2</v>
      </c>
      <c r="G52" s="6">
        <v>42.93</v>
      </c>
      <c r="H52" s="6">
        <v>25.94</v>
      </c>
      <c r="I52" s="6">
        <v>7.83</v>
      </c>
      <c r="J52" s="6">
        <v>0.4</v>
      </c>
      <c r="K52" s="6">
        <v>73.02</v>
      </c>
      <c r="L52" s="6">
        <v>13.82</v>
      </c>
      <c r="M52" s="6">
        <v>7.49</v>
      </c>
      <c r="N52" s="6">
        <v>389.5</v>
      </c>
      <c r="O52" s="6">
        <v>0</v>
      </c>
      <c r="P52" s="6">
        <v>0.41</v>
      </c>
      <c r="Q52" s="6">
        <v>9.32</v>
      </c>
      <c r="R52" s="6"/>
      <c r="S52" s="6"/>
      <c r="T52" s="156"/>
      <c r="U52" s="6"/>
    </row>
    <row r="53" spans="1:21" customFormat="1">
      <c r="A53" s="201" t="s">
        <v>2108</v>
      </c>
      <c r="B53" s="6">
        <v>4.63</v>
      </c>
      <c r="C53" s="6">
        <v>7.26</v>
      </c>
      <c r="D53" s="6">
        <v>7.51</v>
      </c>
      <c r="E53" s="6">
        <v>7.08</v>
      </c>
      <c r="F53" s="6">
        <v>2</v>
      </c>
      <c r="G53" s="6">
        <v>42.93</v>
      </c>
      <c r="H53" s="6">
        <v>25.94</v>
      </c>
      <c r="I53" s="6">
        <v>7.71</v>
      </c>
      <c r="J53" s="6">
        <v>0.22</v>
      </c>
      <c r="K53" s="6">
        <v>96.72</v>
      </c>
      <c r="L53" s="6">
        <v>19.03</v>
      </c>
      <c r="M53" s="6">
        <v>17</v>
      </c>
      <c r="N53" s="6">
        <v>545.79999999999995</v>
      </c>
      <c r="O53" s="6">
        <v>0</v>
      </c>
      <c r="P53" s="6">
        <v>0.4</v>
      </c>
      <c r="Q53" s="6">
        <v>9.32</v>
      </c>
      <c r="R53" s="6"/>
      <c r="S53" s="6"/>
      <c r="T53" s="156"/>
      <c r="U53" s="6"/>
    </row>
    <row r="54" spans="1:21" customFormat="1">
      <c r="A54" s="201" t="s">
        <v>2109</v>
      </c>
      <c r="B54" s="6">
        <v>4.45</v>
      </c>
      <c r="C54" s="6">
        <v>7.17</v>
      </c>
      <c r="D54" s="6">
        <v>7.32</v>
      </c>
      <c r="E54" s="6">
        <v>6.58</v>
      </c>
      <c r="F54" s="6">
        <v>2</v>
      </c>
      <c r="G54" s="6">
        <v>42.93</v>
      </c>
      <c r="H54" s="6">
        <v>25.94</v>
      </c>
      <c r="I54" s="6">
        <v>7.52</v>
      </c>
      <c r="J54" s="6">
        <v>0.23</v>
      </c>
      <c r="K54" s="6">
        <v>118.54</v>
      </c>
      <c r="L54" s="6">
        <v>18.670000000000002</v>
      </c>
      <c r="M54" s="6">
        <v>15.66</v>
      </c>
      <c r="N54" s="6">
        <v>561.4</v>
      </c>
      <c r="O54" s="6">
        <v>0</v>
      </c>
      <c r="P54" s="6">
        <v>0.38</v>
      </c>
      <c r="Q54" s="6">
        <v>9.39</v>
      </c>
      <c r="R54" s="6"/>
      <c r="S54" s="6"/>
      <c r="T54" s="156"/>
      <c r="U54" s="6"/>
    </row>
    <row r="55" spans="1:21" customFormat="1">
      <c r="A55" s="201" t="s">
        <v>2110</v>
      </c>
      <c r="B55" s="6">
        <v>4.26</v>
      </c>
      <c r="C55" s="6">
        <v>6.98</v>
      </c>
      <c r="D55" s="6">
        <v>7.06</v>
      </c>
      <c r="E55" s="6">
        <v>6.39</v>
      </c>
      <c r="F55" s="6">
        <v>2</v>
      </c>
      <c r="G55" s="6">
        <v>42.7</v>
      </c>
      <c r="H55" s="6">
        <v>25.77</v>
      </c>
      <c r="I55" s="6">
        <v>7.41</v>
      </c>
      <c r="J55" s="6">
        <v>0.25</v>
      </c>
      <c r="K55" s="6">
        <v>126.5</v>
      </c>
      <c r="L55" s="6">
        <v>17.03</v>
      </c>
      <c r="M55" s="6">
        <v>15.56</v>
      </c>
      <c r="N55" s="6">
        <v>392.4</v>
      </c>
      <c r="O55" s="6">
        <v>0</v>
      </c>
      <c r="P55" s="6">
        <v>0.36</v>
      </c>
      <c r="Q55" s="6">
        <v>9.32</v>
      </c>
      <c r="R55" s="6"/>
      <c r="S55" s="6"/>
      <c r="T55" s="156"/>
      <c r="U55" s="6"/>
    </row>
    <row r="56" spans="1:21" customFormat="1">
      <c r="A56" s="201" t="s">
        <v>2111</v>
      </c>
      <c r="B56" s="6">
        <v>4.0599999999999996</v>
      </c>
      <c r="C56" s="6">
        <v>7.16</v>
      </c>
      <c r="D56" s="6">
        <v>6.99</v>
      </c>
      <c r="E56" s="6">
        <v>6.26</v>
      </c>
      <c r="F56" s="6">
        <v>2.0099999999999998</v>
      </c>
      <c r="G56" s="6">
        <v>35.86</v>
      </c>
      <c r="H56" s="6">
        <v>20.149999999999999</v>
      </c>
      <c r="I56" s="6">
        <v>7.32</v>
      </c>
      <c r="J56" s="6">
        <v>0.51</v>
      </c>
      <c r="K56" s="6">
        <v>71.16</v>
      </c>
      <c r="L56" s="6">
        <v>13.01</v>
      </c>
      <c r="M56" s="6">
        <v>6.42</v>
      </c>
      <c r="N56" s="6">
        <v>344.6</v>
      </c>
      <c r="O56" s="6">
        <v>0</v>
      </c>
      <c r="P56" s="6">
        <v>0.37</v>
      </c>
      <c r="Q56" s="6">
        <v>9.32</v>
      </c>
      <c r="R56" s="6"/>
      <c r="S56" s="6"/>
      <c r="T56" s="156"/>
      <c r="U56" s="6"/>
    </row>
    <row r="57" spans="1:21" customFormat="1">
      <c r="A57" s="201" t="s">
        <v>2112</v>
      </c>
      <c r="B57" s="6">
        <v>3.96</v>
      </c>
      <c r="C57" s="6">
        <v>7.39</v>
      </c>
      <c r="D57" s="6">
        <v>7.03</v>
      </c>
      <c r="E57" s="6">
        <v>6.29</v>
      </c>
      <c r="F57" s="6">
        <v>2</v>
      </c>
      <c r="G57" s="6">
        <v>35.86</v>
      </c>
      <c r="H57" s="6">
        <v>20.149999999999999</v>
      </c>
      <c r="I57" s="6">
        <v>7.17</v>
      </c>
      <c r="J57" s="6">
        <v>0.36</v>
      </c>
      <c r="K57" s="6">
        <v>84.11</v>
      </c>
      <c r="L57" s="6">
        <v>14.84</v>
      </c>
      <c r="M57" s="6">
        <v>12.22</v>
      </c>
      <c r="N57" s="6">
        <v>332</v>
      </c>
      <c r="O57" s="6">
        <v>0</v>
      </c>
      <c r="P57" s="6">
        <v>0.39</v>
      </c>
      <c r="Q57" s="6">
        <v>10.050000000000001</v>
      </c>
      <c r="R57" s="6"/>
      <c r="S57" s="6"/>
      <c r="T57" s="156"/>
      <c r="U57" s="6"/>
    </row>
    <row r="58" spans="1:21" customFormat="1">
      <c r="A58" s="201" t="s">
        <v>2113</v>
      </c>
      <c r="B58" s="6">
        <v>3.7</v>
      </c>
      <c r="C58" s="6">
        <v>7.34</v>
      </c>
      <c r="D58" s="6">
        <v>6.8</v>
      </c>
      <c r="E58" s="6">
        <v>6.29</v>
      </c>
      <c r="F58" s="6">
        <v>2</v>
      </c>
      <c r="G58" s="6">
        <v>35.86</v>
      </c>
      <c r="H58" s="6">
        <v>20.149999999999999</v>
      </c>
      <c r="I58" s="6">
        <v>7.22</v>
      </c>
      <c r="J58" s="6">
        <v>0.3</v>
      </c>
      <c r="K58" s="6">
        <v>81.239999999999995</v>
      </c>
      <c r="L58" s="6">
        <v>16.260000000000002</v>
      </c>
      <c r="M58" s="6">
        <v>11.13</v>
      </c>
      <c r="N58" s="6">
        <v>496.7</v>
      </c>
      <c r="O58" s="6">
        <v>0</v>
      </c>
      <c r="P58" s="6">
        <v>0.38</v>
      </c>
      <c r="Q58" s="6">
        <v>12.66</v>
      </c>
      <c r="R58" s="6"/>
      <c r="S58" s="6"/>
      <c r="T58" s="156"/>
      <c r="U58" s="6"/>
    </row>
    <row r="59" spans="1:21" customFormat="1">
      <c r="A59" s="201" t="s">
        <v>2114</v>
      </c>
      <c r="B59" s="6">
        <v>3.54</v>
      </c>
      <c r="C59" s="6">
        <v>7.57</v>
      </c>
      <c r="D59" s="6">
        <v>6.79</v>
      </c>
      <c r="E59" s="6">
        <v>6.16</v>
      </c>
      <c r="F59" s="6">
        <v>2</v>
      </c>
      <c r="G59" s="6">
        <v>35.57</v>
      </c>
      <c r="H59" s="6">
        <v>20.010000000000002</v>
      </c>
      <c r="I59" s="6">
        <v>7.06</v>
      </c>
      <c r="J59" s="6">
        <v>0.56000000000000005</v>
      </c>
      <c r="K59" s="6">
        <v>56.39</v>
      </c>
      <c r="L59" s="6">
        <v>13.93</v>
      </c>
      <c r="M59" s="6">
        <v>5.9</v>
      </c>
      <c r="N59" s="6">
        <v>466</v>
      </c>
      <c r="O59" s="6">
        <v>0</v>
      </c>
      <c r="P59" s="6">
        <v>0.38</v>
      </c>
      <c r="Q59" s="6">
        <v>9.32</v>
      </c>
      <c r="R59" s="6"/>
      <c r="S59" s="6"/>
      <c r="T59" s="156"/>
      <c r="U59" s="6"/>
    </row>
    <row r="60" spans="1:21" customFormat="1">
      <c r="A60" s="201" t="s">
        <v>2115</v>
      </c>
      <c r="B60" s="6">
        <v>3.36</v>
      </c>
      <c r="C60" s="6">
        <v>7.5</v>
      </c>
      <c r="D60" s="6">
        <v>6.61</v>
      </c>
      <c r="E60" s="6">
        <v>6.18</v>
      </c>
      <c r="F60" s="6">
        <v>2</v>
      </c>
      <c r="G60" s="6">
        <v>27.03</v>
      </c>
      <c r="H60" s="6">
        <v>15.62</v>
      </c>
      <c r="I60" s="6">
        <v>6.88</v>
      </c>
      <c r="J60" s="6">
        <v>0.26</v>
      </c>
      <c r="K60" s="6">
        <v>114.05</v>
      </c>
      <c r="L60" s="6">
        <v>19.57</v>
      </c>
      <c r="M60" s="6">
        <v>17.010000000000002</v>
      </c>
      <c r="N60" s="6">
        <v>596.20000000000005</v>
      </c>
      <c r="O60" s="6">
        <v>0</v>
      </c>
      <c r="P60" s="6">
        <v>0.36</v>
      </c>
      <c r="Q60" s="6">
        <v>9.32</v>
      </c>
      <c r="R60" s="6"/>
      <c r="S60" s="6"/>
      <c r="T60" s="156"/>
      <c r="U60" s="6"/>
    </row>
    <row r="61" spans="1:21" customFormat="1">
      <c r="A61" s="201" t="s">
        <v>2116</v>
      </c>
      <c r="B61" s="6">
        <v>3.06</v>
      </c>
      <c r="C61" s="6">
        <v>7.17</v>
      </c>
      <c r="D61" s="6">
        <v>6.2</v>
      </c>
      <c r="E61" s="6">
        <v>6.33</v>
      </c>
      <c r="F61" s="6">
        <v>2</v>
      </c>
      <c r="G61" s="6">
        <v>27.03</v>
      </c>
      <c r="H61" s="6">
        <v>15.62</v>
      </c>
      <c r="I61" s="6">
        <v>6.71</v>
      </c>
      <c r="J61" s="6">
        <v>0.33</v>
      </c>
      <c r="K61" s="6">
        <v>120.36</v>
      </c>
      <c r="L61" s="6">
        <v>18.84</v>
      </c>
      <c r="M61" s="6">
        <v>18.079999999999998</v>
      </c>
      <c r="N61" s="6">
        <v>476.7</v>
      </c>
      <c r="O61" s="6">
        <v>0</v>
      </c>
      <c r="P61" s="6">
        <v>0.35</v>
      </c>
      <c r="Q61" s="6">
        <v>9.32</v>
      </c>
      <c r="R61" s="6"/>
      <c r="S61" s="6"/>
      <c r="T61" s="156"/>
      <c r="U61" s="6"/>
    </row>
    <row r="62" spans="1:21" customFormat="1">
      <c r="A62" s="201" t="s">
        <v>2117</v>
      </c>
      <c r="B62" s="6">
        <v>2.91</v>
      </c>
      <c r="C62" s="6">
        <v>7.2</v>
      </c>
      <c r="D62" s="6">
        <v>6.1</v>
      </c>
      <c r="E62" s="6">
        <v>6.3</v>
      </c>
      <c r="F62" s="6">
        <v>2</v>
      </c>
      <c r="G62" s="6">
        <v>27.03</v>
      </c>
      <c r="H62" s="6">
        <v>15.62</v>
      </c>
      <c r="I62" s="6">
        <v>6.52</v>
      </c>
      <c r="J62" s="6">
        <v>0.49</v>
      </c>
      <c r="K62" s="6">
        <v>68.23</v>
      </c>
      <c r="L62" s="6">
        <v>12.1</v>
      </c>
      <c r="M62" s="6">
        <v>7.37</v>
      </c>
      <c r="N62" s="6">
        <v>209.3</v>
      </c>
      <c r="O62" s="6">
        <v>0</v>
      </c>
      <c r="P62" s="6">
        <v>0.35</v>
      </c>
      <c r="Q62" s="6">
        <v>9.43</v>
      </c>
      <c r="R62" s="6"/>
      <c r="S62" s="6"/>
      <c r="T62" s="156"/>
      <c r="U62" s="6"/>
    </row>
    <row r="63" spans="1:21" customFormat="1">
      <c r="A63" s="201" t="s">
        <v>2118</v>
      </c>
      <c r="B63" s="6">
        <v>2.81</v>
      </c>
      <c r="C63" s="6">
        <v>7.16</v>
      </c>
      <c r="D63" s="6">
        <v>5.99</v>
      </c>
      <c r="E63" s="6">
        <v>6.57</v>
      </c>
      <c r="F63" s="6">
        <v>2</v>
      </c>
      <c r="G63" s="6">
        <v>26.9</v>
      </c>
      <c r="H63" s="6">
        <v>15.55</v>
      </c>
      <c r="I63" s="6">
        <v>6.51</v>
      </c>
      <c r="J63" s="6">
        <v>0.45</v>
      </c>
      <c r="K63" s="6">
        <v>73.510000000000005</v>
      </c>
      <c r="L63" s="6">
        <v>13.64</v>
      </c>
      <c r="M63" s="6">
        <v>8.9</v>
      </c>
      <c r="N63" s="6">
        <v>310.5</v>
      </c>
      <c r="O63" s="6">
        <v>0</v>
      </c>
      <c r="P63" s="6">
        <v>0.35</v>
      </c>
      <c r="Q63" s="6">
        <v>9.68</v>
      </c>
      <c r="R63" s="6"/>
      <c r="S63" s="6"/>
      <c r="T63" s="156"/>
      <c r="U63" s="6"/>
    </row>
    <row r="64" spans="1:21" customFormat="1">
      <c r="A64" s="201" t="s">
        <v>2119</v>
      </c>
      <c r="B64" s="6">
        <v>2.7</v>
      </c>
      <c r="C64" s="6">
        <v>6.98</v>
      </c>
      <c r="D64" s="6">
        <v>5.81</v>
      </c>
      <c r="E64" s="6">
        <v>6.2</v>
      </c>
      <c r="F64" s="6">
        <v>2</v>
      </c>
      <c r="G64" s="6">
        <v>23.05</v>
      </c>
      <c r="H64" s="6">
        <v>13.36</v>
      </c>
      <c r="I64" s="6">
        <v>6.33</v>
      </c>
      <c r="J64" s="6">
        <v>0.34</v>
      </c>
      <c r="K64" s="6">
        <v>123.28</v>
      </c>
      <c r="L64" s="6">
        <v>18.43</v>
      </c>
      <c r="M64" s="6">
        <v>16.75</v>
      </c>
      <c r="N64" s="6">
        <v>489.7</v>
      </c>
      <c r="O64" s="6">
        <v>0</v>
      </c>
      <c r="P64" s="6">
        <v>0.33</v>
      </c>
      <c r="Q64" s="6">
        <v>9.9700000000000006</v>
      </c>
      <c r="R64" s="6"/>
      <c r="S64" s="6"/>
      <c r="T64" s="156"/>
      <c r="U64" s="6"/>
    </row>
    <row r="65" spans="1:21" customFormat="1">
      <c r="A65" s="201" t="s">
        <v>2120</v>
      </c>
      <c r="B65" s="6">
        <v>2.65</v>
      </c>
      <c r="C65" s="6">
        <v>6.9</v>
      </c>
      <c r="D65" s="6">
        <v>5.73</v>
      </c>
      <c r="E65" s="6">
        <v>6.19</v>
      </c>
      <c r="F65" s="6">
        <v>2</v>
      </c>
      <c r="G65" s="6">
        <v>23.05</v>
      </c>
      <c r="H65" s="6">
        <v>13.36</v>
      </c>
      <c r="I65" s="6">
        <v>6.22</v>
      </c>
      <c r="J65" s="6">
        <v>0.24</v>
      </c>
      <c r="K65" s="6">
        <v>110.53</v>
      </c>
      <c r="L65" s="6">
        <v>17.91</v>
      </c>
      <c r="M65" s="6">
        <v>15.31</v>
      </c>
      <c r="N65" s="6">
        <v>498.3</v>
      </c>
      <c r="O65" s="6">
        <v>0</v>
      </c>
      <c r="P65" s="6">
        <v>0.31</v>
      </c>
      <c r="Q65" s="6">
        <v>10.17</v>
      </c>
      <c r="R65" s="6"/>
      <c r="S65" s="6"/>
      <c r="T65" s="156"/>
      <c r="U65" s="6"/>
    </row>
    <row r="66" spans="1:21" customFormat="1">
      <c r="A66" s="201" t="s">
        <v>2121</v>
      </c>
      <c r="B66" s="6">
        <v>2.5499999999999998</v>
      </c>
      <c r="C66" s="6">
        <v>6.76</v>
      </c>
      <c r="D66" s="6">
        <v>5.58</v>
      </c>
      <c r="E66" s="6">
        <v>6.23</v>
      </c>
      <c r="F66" s="6">
        <v>2</v>
      </c>
      <c r="G66" s="6">
        <v>23.05</v>
      </c>
      <c r="H66" s="6">
        <v>13.36</v>
      </c>
      <c r="I66" s="6">
        <v>6.15</v>
      </c>
      <c r="J66" s="6">
        <v>0.44</v>
      </c>
      <c r="K66" s="6">
        <v>64.819999999999993</v>
      </c>
      <c r="L66" s="6">
        <v>10.97</v>
      </c>
      <c r="M66" s="6">
        <v>6.79</v>
      </c>
      <c r="N66" s="6">
        <v>113.7</v>
      </c>
      <c r="O66" s="6">
        <v>0</v>
      </c>
      <c r="P66" s="6">
        <v>0.32</v>
      </c>
      <c r="Q66" s="6">
        <v>10.35</v>
      </c>
      <c r="R66" s="6"/>
      <c r="S66" s="6"/>
      <c r="T66" s="156"/>
      <c r="U66" s="6"/>
    </row>
    <row r="67" spans="1:21" customFormat="1">
      <c r="A67" s="201" t="s">
        <v>2122</v>
      </c>
      <c r="B67" s="6">
        <v>2.52</v>
      </c>
      <c r="C67" s="6">
        <v>6.77</v>
      </c>
      <c r="D67" s="6">
        <v>5.55</v>
      </c>
      <c r="E67" s="6">
        <v>6.14</v>
      </c>
      <c r="F67" s="6">
        <v>2</v>
      </c>
      <c r="G67" s="6">
        <v>23</v>
      </c>
      <c r="H67" s="6">
        <v>13.27</v>
      </c>
      <c r="I67" s="6">
        <v>5.9</v>
      </c>
      <c r="J67" s="6">
        <v>0.48</v>
      </c>
      <c r="K67" s="6">
        <v>55.78</v>
      </c>
      <c r="L67" s="6">
        <v>9.85</v>
      </c>
      <c r="M67" s="6">
        <v>5.2</v>
      </c>
      <c r="N67" s="6">
        <v>61.8</v>
      </c>
      <c r="O67" s="6">
        <v>0</v>
      </c>
      <c r="P67" s="6">
        <v>0.3</v>
      </c>
      <c r="Q67" s="6">
        <v>10.79</v>
      </c>
      <c r="R67" s="6"/>
      <c r="S67" s="6"/>
      <c r="T67" s="156"/>
      <c r="U67" s="6"/>
    </row>
    <row r="68" spans="1:21" customFormat="1">
      <c r="A68" s="201" t="s">
        <v>2123</v>
      </c>
      <c r="B68" s="6">
        <v>2.54</v>
      </c>
      <c r="C68" s="6">
        <v>6.81</v>
      </c>
      <c r="D68" s="6">
        <v>5.6</v>
      </c>
      <c r="E68" s="6">
        <v>6.32</v>
      </c>
      <c r="F68" s="6">
        <v>2</v>
      </c>
      <c r="G68" s="6">
        <v>21.4</v>
      </c>
      <c r="H68" s="6">
        <v>10.130000000000001</v>
      </c>
      <c r="I68" s="6">
        <v>5.83</v>
      </c>
      <c r="J68" s="6">
        <v>0.45</v>
      </c>
      <c r="K68" s="6">
        <v>60.07</v>
      </c>
      <c r="L68" s="6">
        <v>10.18</v>
      </c>
      <c r="M68" s="6">
        <v>6</v>
      </c>
      <c r="N68" s="6">
        <v>59.5</v>
      </c>
      <c r="O68" s="6">
        <v>0</v>
      </c>
      <c r="P68" s="6">
        <v>0.31</v>
      </c>
      <c r="Q68" s="6">
        <v>10.62</v>
      </c>
      <c r="R68" s="6"/>
      <c r="S68" s="6"/>
      <c r="T68" s="156"/>
      <c r="U68" s="6"/>
    </row>
    <row r="69" spans="1:21" customFormat="1">
      <c r="A69" s="201" t="s">
        <v>2124</v>
      </c>
      <c r="B69" s="6">
        <v>2.5499999999999998</v>
      </c>
      <c r="C69" s="6">
        <v>6.67</v>
      </c>
      <c r="D69" s="6">
        <v>5.53</v>
      </c>
      <c r="E69" s="6">
        <v>6.3</v>
      </c>
      <c r="F69" s="6">
        <v>2</v>
      </c>
      <c r="G69" s="6">
        <v>21.4</v>
      </c>
      <c r="H69" s="6">
        <v>10.130000000000001</v>
      </c>
      <c r="I69" s="6">
        <v>5.77</v>
      </c>
      <c r="J69" s="6">
        <v>0.49</v>
      </c>
      <c r="K69" s="6">
        <v>54.7</v>
      </c>
      <c r="L69" s="6">
        <v>9.9600000000000009</v>
      </c>
      <c r="M69" s="6">
        <v>5.82</v>
      </c>
      <c r="N69" s="6">
        <v>52.3</v>
      </c>
      <c r="O69" s="6">
        <v>0</v>
      </c>
      <c r="P69" s="6">
        <v>0.3</v>
      </c>
      <c r="Q69" s="6">
        <v>12.75</v>
      </c>
      <c r="R69" s="6"/>
      <c r="S69" s="6"/>
      <c r="T69" s="156"/>
      <c r="U69" s="6"/>
    </row>
    <row r="70" spans="1:21" customFormat="1">
      <c r="A70" s="201" t="s">
        <v>2125</v>
      </c>
      <c r="B70" s="6">
        <v>2.56</v>
      </c>
      <c r="C70" s="6">
        <v>6.79</v>
      </c>
      <c r="D70" s="6">
        <v>5.6</v>
      </c>
      <c r="E70" s="6">
        <v>6.45</v>
      </c>
      <c r="F70" s="6">
        <v>2</v>
      </c>
      <c r="G70" s="6">
        <v>21.4</v>
      </c>
      <c r="H70" s="6">
        <v>10.130000000000001</v>
      </c>
      <c r="I70" s="6">
        <v>5.65</v>
      </c>
      <c r="J70" s="6">
        <v>0.34</v>
      </c>
      <c r="K70" s="6">
        <v>70.63</v>
      </c>
      <c r="L70" s="6">
        <v>11</v>
      </c>
      <c r="M70" s="6">
        <v>8.07</v>
      </c>
      <c r="N70" s="6">
        <v>54.5</v>
      </c>
      <c r="O70" s="6">
        <v>0</v>
      </c>
      <c r="P70" s="6">
        <v>0.3</v>
      </c>
      <c r="Q70" s="6">
        <v>10.99</v>
      </c>
      <c r="R70" s="6"/>
      <c r="S70" s="6"/>
      <c r="T70" s="156"/>
      <c r="U70" s="6"/>
    </row>
    <row r="71" spans="1:21" customFormat="1">
      <c r="A71" s="201" t="s">
        <v>2126</v>
      </c>
      <c r="B71" s="6">
        <v>2.54</v>
      </c>
      <c r="C71" s="6">
        <v>6.83</v>
      </c>
      <c r="D71" s="6">
        <v>5.6</v>
      </c>
      <c r="E71" s="6">
        <v>6.42</v>
      </c>
      <c r="F71" s="6">
        <v>2.0299999999999998</v>
      </c>
      <c r="G71" s="6">
        <v>21.36</v>
      </c>
      <c r="H71" s="6">
        <v>10.130000000000001</v>
      </c>
      <c r="I71" s="6">
        <v>5.6</v>
      </c>
      <c r="J71" s="6">
        <v>0.31</v>
      </c>
      <c r="K71" s="6">
        <v>107.03</v>
      </c>
      <c r="L71" s="6">
        <v>12.28</v>
      </c>
      <c r="M71" s="6">
        <v>12.05</v>
      </c>
      <c r="N71" s="6">
        <v>34.700000000000003</v>
      </c>
      <c r="O71" s="6">
        <v>0</v>
      </c>
      <c r="P71" s="6">
        <v>0.31</v>
      </c>
      <c r="Q71" s="6">
        <v>11.17</v>
      </c>
      <c r="R71" s="6"/>
      <c r="S71" s="6"/>
      <c r="T71" s="156"/>
      <c r="U71" s="6"/>
    </row>
    <row r="72" spans="1:21" customFormat="1">
      <c r="A72" s="201" t="s">
        <v>2127</v>
      </c>
      <c r="B72" s="6">
        <v>2.5</v>
      </c>
      <c r="C72" s="6">
        <v>6.63</v>
      </c>
      <c r="D72" s="6">
        <v>5.47</v>
      </c>
      <c r="E72" s="6">
        <v>6.55</v>
      </c>
      <c r="F72" s="6">
        <v>2</v>
      </c>
      <c r="G72" s="6">
        <v>20.239999999999998</v>
      </c>
      <c r="H72" s="6">
        <v>10.19</v>
      </c>
      <c r="I72" s="6">
        <v>5.55</v>
      </c>
      <c r="J72" s="6">
        <v>0.28999999999999998</v>
      </c>
      <c r="K72" s="6">
        <v>125.15</v>
      </c>
      <c r="L72" s="6">
        <v>13.7</v>
      </c>
      <c r="M72" s="6">
        <v>15.82</v>
      </c>
      <c r="N72" s="6">
        <v>31</v>
      </c>
      <c r="O72" s="6">
        <v>0</v>
      </c>
      <c r="P72" s="6">
        <v>0.3</v>
      </c>
      <c r="Q72" s="6">
        <v>13.98</v>
      </c>
      <c r="R72" s="6"/>
      <c r="S72" s="6"/>
      <c r="T72" s="156"/>
      <c r="U72" s="6"/>
    </row>
    <row r="73" spans="1:21" customFormat="1">
      <c r="A73" s="201" t="s">
        <v>2128</v>
      </c>
      <c r="B73" s="6">
        <v>2.44</v>
      </c>
      <c r="C73" s="6">
        <v>6.66</v>
      </c>
      <c r="D73" s="6">
        <v>5.44</v>
      </c>
      <c r="E73" s="6">
        <v>6.69</v>
      </c>
      <c r="F73" s="6">
        <v>2</v>
      </c>
      <c r="G73" s="6">
        <v>20.239999999999998</v>
      </c>
      <c r="H73" s="6">
        <v>10.19</v>
      </c>
      <c r="I73" s="6">
        <v>5.46</v>
      </c>
      <c r="J73" s="6">
        <v>0.25</v>
      </c>
      <c r="K73" s="6">
        <v>136.07</v>
      </c>
      <c r="L73" s="6">
        <v>14.38</v>
      </c>
      <c r="M73" s="6">
        <v>17.649999999999999</v>
      </c>
      <c r="N73" s="6">
        <v>22.7</v>
      </c>
      <c r="O73" s="6">
        <v>0</v>
      </c>
      <c r="P73" s="6">
        <v>0.28999999999999998</v>
      </c>
      <c r="Q73" s="6">
        <v>11.68</v>
      </c>
      <c r="R73" s="6"/>
      <c r="S73" s="6"/>
      <c r="T73" s="156"/>
      <c r="U73" s="6"/>
    </row>
    <row r="74" spans="1:21" customFormat="1">
      <c r="A74" s="201" t="s">
        <v>2129</v>
      </c>
      <c r="B74" s="6">
        <v>2.36</v>
      </c>
      <c r="C74" s="6">
        <v>6.54</v>
      </c>
      <c r="D74" s="6">
        <v>5.31</v>
      </c>
      <c r="E74" s="6">
        <v>6.7</v>
      </c>
      <c r="F74" s="6">
        <v>2</v>
      </c>
      <c r="G74" s="6">
        <v>20.239999999999998</v>
      </c>
      <c r="H74" s="6">
        <v>10.19</v>
      </c>
      <c r="I74" s="6">
        <v>5.49</v>
      </c>
      <c r="J74" s="6">
        <v>0.31</v>
      </c>
      <c r="K74" s="6">
        <v>132.84</v>
      </c>
      <c r="L74" s="6">
        <v>13.42</v>
      </c>
      <c r="M74" s="6">
        <v>15.25</v>
      </c>
      <c r="N74" s="6">
        <v>21.5</v>
      </c>
      <c r="O74" s="6">
        <v>0</v>
      </c>
      <c r="P74" s="6">
        <v>0.28999999999999998</v>
      </c>
      <c r="Q74" s="6">
        <v>10.86</v>
      </c>
      <c r="R74" s="6"/>
      <c r="S74" s="6"/>
      <c r="T74" s="156"/>
      <c r="U74" s="6"/>
    </row>
    <row r="75" spans="1:21" customFormat="1">
      <c r="A75" s="201" t="s">
        <v>2130</v>
      </c>
      <c r="B75" s="6">
        <v>2.3199999999999998</v>
      </c>
      <c r="C75" s="6">
        <v>6.5</v>
      </c>
      <c r="D75" s="6">
        <v>5.26</v>
      </c>
      <c r="E75" s="6">
        <v>6.63</v>
      </c>
      <c r="F75" s="6">
        <v>2</v>
      </c>
      <c r="G75" s="6">
        <v>20.12</v>
      </c>
      <c r="H75" s="6">
        <v>10.199999999999999</v>
      </c>
      <c r="I75" s="6">
        <v>5.49</v>
      </c>
      <c r="J75" s="6">
        <v>0.24</v>
      </c>
      <c r="K75" s="6">
        <v>137.65</v>
      </c>
      <c r="L75" s="6">
        <v>14</v>
      </c>
      <c r="M75" s="6">
        <v>16.79</v>
      </c>
      <c r="N75" s="6">
        <v>17.3</v>
      </c>
      <c r="O75" s="6">
        <v>0</v>
      </c>
      <c r="P75" s="6">
        <v>0.28999999999999998</v>
      </c>
      <c r="Q75" s="6">
        <v>11.31</v>
      </c>
      <c r="R75" s="6"/>
      <c r="S75" s="6"/>
      <c r="T75" s="156"/>
      <c r="U75" s="6"/>
    </row>
    <row r="76" spans="1:21" customFormat="1">
      <c r="A76" s="201" t="s">
        <v>2131</v>
      </c>
      <c r="B76" s="6">
        <v>2.36</v>
      </c>
      <c r="C76" s="6">
        <v>6.44</v>
      </c>
      <c r="D76" s="6">
        <v>5.26</v>
      </c>
      <c r="E76" s="6">
        <v>6.74</v>
      </c>
      <c r="F76" s="6">
        <v>2</v>
      </c>
      <c r="G76" s="6">
        <v>16.87</v>
      </c>
      <c r="H76" s="6">
        <v>10.45</v>
      </c>
      <c r="I76" s="6">
        <v>5.49</v>
      </c>
      <c r="J76" s="6">
        <v>0.28000000000000003</v>
      </c>
      <c r="K76" s="6">
        <v>72.650000000000006</v>
      </c>
      <c r="L76" s="6">
        <v>11.24</v>
      </c>
      <c r="M76" s="6">
        <v>9.9</v>
      </c>
      <c r="N76" s="6">
        <v>13.2</v>
      </c>
      <c r="O76" s="6">
        <v>0</v>
      </c>
      <c r="P76" s="6">
        <v>0.28999999999999998</v>
      </c>
      <c r="Q76" s="6">
        <v>12.46</v>
      </c>
      <c r="R76" s="6"/>
      <c r="S76" s="6"/>
      <c r="T76" s="156"/>
      <c r="U76" s="6"/>
    </row>
    <row r="77" spans="1:21" customFormat="1">
      <c r="A77" s="201" t="s">
        <v>2132</v>
      </c>
      <c r="B77" s="6">
        <v>2.34</v>
      </c>
      <c r="C77" s="6">
        <v>6.65</v>
      </c>
      <c r="D77" s="6">
        <v>5.35</v>
      </c>
      <c r="E77" s="6">
        <v>7.15</v>
      </c>
      <c r="F77" s="6">
        <v>3.02</v>
      </c>
      <c r="G77" s="6">
        <v>16.87</v>
      </c>
      <c r="H77" s="6">
        <v>10.45</v>
      </c>
      <c r="I77" s="6">
        <v>5.49</v>
      </c>
      <c r="J77" s="6">
        <v>0.33</v>
      </c>
      <c r="K77" s="6">
        <v>68.989999999999995</v>
      </c>
      <c r="L77" s="6">
        <v>10.1</v>
      </c>
      <c r="M77" s="6">
        <v>7.11</v>
      </c>
      <c r="N77" s="6">
        <v>9.8000000000000007</v>
      </c>
      <c r="O77" s="6">
        <v>0</v>
      </c>
      <c r="P77" s="6">
        <v>0.28000000000000003</v>
      </c>
      <c r="Q77" s="6">
        <v>12.33</v>
      </c>
      <c r="R77" s="6"/>
      <c r="S77" s="6"/>
      <c r="T77" s="156"/>
      <c r="U77" s="6"/>
    </row>
    <row r="78" spans="1:21" customFormat="1">
      <c r="A78" s="201" t="s">
        <v>2133</v>
      </c>
      <c r="B78" s="6">
        <v>2.38</v>
      </c>
      <c r="C78" s="6">
        <v>6.93</v>
      </c>
      <c r="D78" s="6">
        <v>5.53</v>
      </c>
      <c r="E78" s="6">
        <v>7.29</v>
      </c>
      <c r="F78" s="6">
        <v>3.05</v>
      </c>
      <c r="G78" s="6">
        <v>16.87</v>
      </c>
      <c r="H78" s="6">
        <v>10.45</v>
      </c>
      <c r="I78" s="6">
        <v>5.49</v>
      </c>
      <c r="J78" s="6">
        <v>0.4</v>
      </c>
      <c r="K78" s="6">
        <v>48.99</v>
      </c>
      <c r="L78" s="6">
        <v>7.94</v>
      </c>
      <c r="M78" s="6">
        <v>1.66</v>
      </c>
      <c r="N78" s="6">
        <v>5.2</v>
      </c>
      <c r="O78" s="6">
        <v>0</v>
      </c>
      <c r="P78" s="6">
        <v>0.28000000000000003</v>
      </c>
      <c r="Q78" s="6">
        <v>11.11</v>
      </c>
      <c r="R78" s="6"/>
      <c r="S78" s="6"/>
      <c r="T78" s="156"/>
      <c r="U78" s="6"/>
    </row>
    <row r="79" spans="1:21" customFormat="1">
      <c r="A79" s="201" t="s">
        <v>2134</v>
      </c>
      <c r="B79" s="6">
        <v>2.4</v>
      </c>
      <c r="C79" s="6">
        <v>6.98</v>
      </c>
      <c r="D79" s="6">
        <v>5.58</v>
      </c>
      <c r="E79" s="6">
        <v>7.33</v>
      </c>
      <c r="F79" s="6">
        <v>3.74</v>
      </c>
      <c r="G79" s="6">
        <v>16.88</v>
      </c>
      <c r="H79" s="6">
        <v>10.47</v>
      </c>
      <c r="I79" s="6">
        <v>5.49</v>
      </c>
      <c r="J79" s="6">
        <v>0.33</v>
      </c>
      <c r="K79" s="6">
        <v>65.48</v>
      </c>
      <c r="L79" s="6">
        <v>8.3800000000000008</v>
      </c>
      <c r="M79" s="6">
        <v>2.84</v>
      </c>
      <c r="N79" s="6">
        <v>3.2</v>
      </c>
      <c r="O79" s="6">
        <v>0</v>
      </c>
      <c r="P79" s="6">
        <v>0.26</v>
      </c>
      <c r="Q79" s="6">
        <v>10.91</v>
      </c>
      <c r="R79" s="6"/>
      <c r="S79" s="6"/>
      <c r="T79" s="156"/>
      <c r="U79" s="6"/>
    </row>
    <row r="80" spans="1:21" customFormat="1">
      <c r="A80" s="201" t="s">
        <v>2135</v>
      </c>
      <c r="B80" s="6">
        <v>2.5499999999999998</v>
      </c>
      <c r="C80" s="6">
        <v>7.24</v>
      </c>
      <c r="D80" s="6">
        <v>5.82</v>
      </c>
      <c r="E80" s="6">
        <v>7.23</v>
      </c>
      <c r="F80" s="6">
        <v>2.2200000000000002</v>
      </c>
      <c r="G80" s="6">
        <v>17.059999999999999</v>
      </c>
      <c r="H80" s="6">
        <v>11.3</v>
      </c>
      <c r="I80" s="6">
        <v>5.49</v>
      </c>
      <c r="J80" s="6">
        <v>0.52</v>
      </c>
      <c r="K80" s="6">
        <v>41.07</v>
      </c>
      <c r="L80" s="6">
        <v>7.12</v>
      </c>
      <c r="M80" s="6">
        <v>-0.35</v>
      </c>
      <c r="N80" s="6">
        <v>2.7</v>
      </c>
      <c r="O80" s="6">
        <v>0</v>
      </c>
      <c r="P80" s="6">
        <v>0.28000000000000003</v>
      </c>
      <c r="Q80" s="6">
        <v>11.55</v>
      </c>
      <c r="R80" s="6"/>
      <c r="S80" s="6"/>
      <c r="T80" s="156"/>
      <c r="U80" s="6"/>
    </row>
    <row r="81" spans="1:21" customFormat="1">
      <c r="A81" s="201" t="s">
        <v>2136</v>
      </c>
      <c r="B81" s="6">
        <v>2.73</v>
      </c>
      <c r="C81" s="6">
        <v>7.54</v>
      </c>
      <c r="D81" s="6">
        <v>6.13</v>
      </c>
      <c r="E81" s="6">
        <v>5.89</v>
      </c>
      <c r="F81" s="6">
        <v>3.09</v>
      </c>
      <c r="G81" s="6">
        <v>17.059999999999999</v>
      </c>
      <c r="H81" s="6">
        <v>11.3</v>
      </c>
      <c r="I81" s="6">
        <v>5.49</v>
      </c>
      <c r="J81" s="6">
        <v>0.37</v>
      </c>
      <c r="K81" s="6">
        <v>49.14</v>
      </c>
      <c r="L81" s="6">
        <v>8.01</v>
      </c>
      <c r="M81" s="6">
        <v>1.92</v>
      </c>
      <c r="N81" s="6">
        <v>2.5</v>
      </c>
      <c r="O81" s="6">
        <v>0</v>
      </c>
      <c r="P81" s="6">
        <v>0.27</v>
      </c>
      <c r="Q81" s="6">
        <v>10.56</v>
      </c>
      <c r="R81" s="6"/>
      <c r="S81" s="6"/>
      <c r="T81" s="156"/>
      <c r="U81" s="6"/>
    </row>
    <row r="82" spans="1:21" customFormat="1">
      <c r="A82" s="201" t="s">
        <v>2137</v>
      </c>
      <c r="B82" s="6">
        <v>2.74</v>
      </c>
      <c r="C82" s="6">
        <v>7.28</v>
      </c>
      <c r="D82" s="6">
        <v>6</v>
      </c>
      <c r="E82" s="6">
        <v>6.7</v>
      </c>
      <c r="F82" s="6">
        <v>2.41</v>
      </c>
      <c r="G82" s="6">
        <v>17.059999999999999</v>
      </c>
      <c r="H82" s="6">
        <v>11.3</v>
      </c>
      <c r="I82" s="6">
        <v>5.49</v>
      </c>
      <c r="J82" s="6">
        <v>0.18</v>
      </c>
      <c r="K82" s="6">
        <v>86.33</v>
      </c>
      <c r="L82" s="6">
        <v>11.06</v>
      </c>
      <c r="M82" s="6">
        <v>9.7100000000000009</v>
      </c>
      <c r="N82" s="6">
        <v>2.4</v>
      </c>
      <c r="O82" s="6">
        <v>0</v>
      </c>
      <c r="P82" s="6">
        <v>0.28000000000000003</v>
      </c>
      <c r="Q82" s="6">
        <v>10.220000000000001</v>
      </c>
      <c r="R82" s="6"/>
      <c r="S82" s="6"/>
      <c r="T82" s="156"/>
      <c r="U82" s="6"/>
    </row>
    <row r="83" spans="1:21" customFormat="1">
      <c r="A83" s="201" t="s">
        <v>2138</v>
      </c>
      <c r="B83" s="6">
        <v>2.77</v>
      </c>
      <c r="C83" s="6">
        <v>7.23</v>
      </c>
      <c r="D83" s="6">
        <v>6</v>
      </c>
      <c r="E83" s="6">
        <v>7.03</v>
      </c>
      <c r="F83" s="6">
        <v>2.56</v>
      </c>
      <c r="G83" s="6">
        <v>17.13</v>
      </c>
      <c r="H83" s="6">
        <v>11.37</v>
      </c>
      <c r="I83" s="6">
        <v>5.49</v>
      </c>
      <c r="J83" s="6">
        <v>0.17</v>
      </c>
      <c r="K83" s="6">
        <v>92.97</v>
      </c>
      <c r="L83" s="6">
        <v>11.36</v>
      </c>
      <c r="M83" s="6">
        <v>10.45</v>
      </c>
      <c r="N83" s="6">
        <v>2.4</v>
      </c>
      <c r="O83" s="6">
        <v>0</v>
      </c>
      <c r="P83" s="6">
        <v>0.28999999999999998</v>
      </c>
      <c r="Q83" s="6">
        <v>10.11</v>
      </c>
      <c r="R83" s="6"/>
      <c r="S83" s="6"/>
      <c r="T83" s="156"/>
      <c r="U83" s="6"/>
    </row>
    <row r="84" spans="1:21" customFormat="1">
      <c r="A84" s="201" t="s">
        <v>2139</v>
      </c>
      <c r="B84" s="6">
        <v>2.87</v>
      </c>
      <c r="C84" s="6">
        <v>7.32</v>
      </c>
      <c r="D84" s="6">
        <v>6.13</v>
      </c>
      <c r="E84" s="6">
        <v>7.15</v>
      </c>
      <c r="F84" s="6">
        <v>2.5</v>
      </c>
      <c r="G84" s="6">
        <v>19.38</v>
      </c>
      <c r="H84" s="6">
        <v>13.42</v>
      </c>
      <c r="I84" s="6">
        <v>5.49</v>
      </c>
      <c r="J84" s="6">
        <v>0.28000000000000003</v>
      </c>
      <c r="K84" s="6">
        <v>50.77</v>
      </c>
      <c r="L84" s="6">
        <v>8.6</v>
      </c>
      <c r="M84" s="6">
        <v>3.44</v>
      </c>
      <c r="N84" s="6">
        <v>2.4</v>
      </c>
      <c r="O84" s="6">
        <v>0</v>
      </c>
      <c r="P84" s="6">
        <v>0.3</v>
      </c>
      <c r="Q84" s="6">
        <v>9.58</v>
      </c>
      <c r="R84" s="6"/>
      <c r="S84" s="6"/>
      <c r="T84" s="156"/>
      <c r="U84" s="6"/>
    </row>
    <row r="85" spans="1:21" customFormat="1">
      <c r="A85" s="201" t="s">
        <v>2140</v>
      </c>
      <c r="B85" s="6">
        <v>2.95</v>
      </c>
      <c r="C85" s="6">
        <v>7.71</v>
      </c>
      <c r="D85" s="6">
        <v>6.39</v>
      </c>
      <c r="E85" s="6">
        <v>8.06</v>
      </c>
      <c r="F85" s="6">
        <v>2.0699999999999998</v>
      </c>
      <c r="G85" s="6">
        <v>19.38</v>
      </c>
      <c r="H85" s="6">
        <v>13.42</v>
      </c>
      <c r="I85" s="6">
        <v>5.49</v>
      </c>
      <c r="J85" s="6">
        <v>0.21</v>
      </c>
      <c r="K85" s="6">
        <v>78.36</v>
      </c>
      <c r="L85" s="6">
        <v>10.26</v>
      </c>
      <c r="M85" s="6">
        <v>7.59</v>
      </c>
      <c r="N85" s="6">
        <v>2.4</v>
      </c>
      <c r="O85" s="6">
        <v>0</v>
      </c>
      <c r="P85" s="6">
        <v>0.28999999999999998</v>
      </c>
      <c r="Q85" s="6">
        <v>9.4600000000000009</v>
      </c>
      <c r="R85" s="6"/>
      <c r="S85" s="6"/>
      <c r="T85" s="156"/>
      <c r="U85" s="6"/>
    </row>
    <row r="86" spans="1:21" customFormat="1">
      <c r="A86" s="201" t="s">
        <v>2141</v>
      </c>
      <c r="B86" s="6">
        <v>3.03</v>
      </c>
      <c r="C86" s="6">
        <v>7.3</v>
      </c>
      <c r="D86" s="6">
        <v>6.24</v>
      </c>
      <c r="E86" s="6">
        <v>8.17</v>
      </c>
      <c r="F86" s="6">
        <v>2.13</v>
      </c>
      <c r="G86" s="6">
        <v>19.38</v>
      </c>
      <c r="H86" s="6">
        <v>13.42</v>
      </c>
      <c r="I86" s="6">
        <v>5.49</v>
      </c>
      <c r="J86" s="6">
        <v>0.16</v>
      </c>
      <c r="K86" s="6">
        <v>136.58000000000001</v>
      </c>
      <c r="L86" s="6">
        <v>13.48</v>
      </c>
      <c r="M86" s="6">
        <v>15.87</v>
      </c>
      <c r="N86" s="6">
        <v>2.4</v>
      </c>
      <c r="O86" s="6">
        <v>0</v>
      </c>
      <c r="P86" s="6">
        <v>0.28999999999999998</v>
      </c>
      <c r="Q86" s="6">
        <v>11.94</v>
      </c>
      <c r="R86" s="6"/>
      <c r="S86" s="6"/>
      <c r="T86" s="156"/>
      <c r="U86" s="6"/>
    </row>
    <row r="87" spans="1:21" customFormat="1">
      <c r="A87" s="201" t="s">
        <v>2142</v>
      </c>
      <c r="B87" s="6">
        <v>2.94</v>
      </c>
      <c r="C87" s="6">
        <v>7.44</v>
      </c>
      <c r="D87" s="6">
        <v>6.25</v>
      </c>
      <c r="E87" s="6">
        <v>8.3699999999999992</v>
      </c>
      <c r="F87" s="6">
        <v>2</v>
      </c>
      <c r="G87" s="6">
        <v>19.48</v>
      </c>
      <c r="H87" s="6">
        <v>13.43</v>
      </c>
      <c r="I87" s="6">
        <v>5.49</v>
      </c>
      <c r="J87" s="6">
        <v>0.12</v>
      </c>
      <c r="K87" s="6">
        <v>105.84</v>
      </c>
      <c r="L87" s="6">
        <v>13.64</v>
      </c>
      <c r="M87" s="6">
        <v>16.22</v>
      </c>
      <c r="N87" s="6">
        <v>2.2000000000000002</v>
      </c>
      <c r="O87" s="6">
        <v>0</v>
      </c>
      <c r="P87" s="6">
        <v>0.28999999999999998</v>
      </c>
      <c r="Q87" s="6">
        <v>11.93</v>
      </c>
      <c r="R87" s="6"/>
      <c r="S87" s="6"/>
      <c r="T87" s="156"/>
      <c r="U87" s="6"/>
    </row>
    <row r="88" spans="1:21" customFormat="1">
      <c r="A88" s="201" t="s">
        <v>2143</v>
      </c>
      <c r="B88" s="6">
        <v>3.1</v>
      </c>
      <c r="C88" s="6">
        <v>7.12</v>
      </c>
      <c r="D88" s="6">
        <v>6.21</v>
      </c>
      <c r="E88" s="6">
        <v>7.56</v>
      </c>
      <c r="F88" s="6">
        <v>2.37</v>
      </c>
      <c r="G88" s="6">
        <v>22.18</v>
      </c>
      <c r="H88" s="6">
        <v>13.85</v>
      </c>
      <c r="I88" s="6">
        <v>5.49</v>
      </c>
      <c r="J88" s="6">
        <v>0.18</v>
      </c>
      <c r="K88" s="6">
        <v>95.55</v>
      </c>
      <c r="L88" s="6">
        <v>11.76</v>
      </c>
      <c r="M88" s="6">
        <v>11.53</v>
      </c>
      <c r="N88" s="6">
        <v>2.2999999999999998</v>
      </c>
      <c r="O88" s="6">
        <v>0</v>
      </c>
      <c r="P88" s="6">
        <v>0.31</v>
      </c>
      <c r="Q88" s="6">
        <v>9.5</v>
      </c>
      <c r="R88" s="6"/>
      <c r="S88" s="6"/>
      <c r="T88" s="156"/>
      <c r="U88" s="6"/>
    </row>
    <row r="89" spans="1:21" customFormat="1">
      <c r="A89" s="201" t="s">
        <v>2144</v>
      </c>
      <c r="B89" s="6">
        <v>3.03</v>
      </c>
      <c r="C89" s="6">
        <v>6.92</v>
      </c>
      <c r="D89" s="6">
        <v>6.05</v>
      </c>
      <c r="E89" s="6">
        <v>8.36</v>
      </c>
      <c r="F89" s="6">
        <v>2.41</v>
      </c>
      <c r="G89" s="6">
        <v>22.18</v>
      </c>
      <c r="H89" s="6">
        <v>13.85</v>
      </c>
      <c r="I89" s="6">
        <v>5.49</v>
      </c>
      <c r="J89" s="6">
        <v>0.19</v>
      </c>
      <c r="K89" s="6">
        <v>136.62</v>
      </c>
      <c r="L89" s="6">
        <v>12.67</v>
      </c>
      <c r="M89" s="6">
        <v>13.81</v>
      </c>
      <c r="N89" s="6">
        <v>2.2999999999999998</v>
      </c>
      <c r="O89" s="6">
        <v>0</v>
      </c>
      <c r="P89" s="6">
        <v>0.3</v>
      </c>
      <c r="Q89" s="6">
        <v>10.17</v>
      </c>
      <c r="R89" s="6"/>
      <c r="S89" s="6"/>
      <c r="T89" s="156"/>
      <c r="U89" s="6"/>
    </row>
    <row r="90" spans="1:21" customFormat="1">
      <c r="A90" s="201" t="s">
        <v>2145</v>
      </c>
      <c r="B90" s="6">
        <v>3.19</v>
      </c>
      <c r="C90" s="6">
        <v>6.65</v>
      </c>
      <c r="D90" s="6">
        <v>6.04</v>
      </c>
      <c r="E90" s="6">
        <v>7.89</v>
      </c>
      <c r="F90" s="6">
        <v>2</v>
      </c>
      <c r="G90" s="6">
        <v>22.18</v>
      </c>
      <c r="H90" s="6">
        <v>13.85</v>
      </c>
      <c r="I90" s="6">
        <v>5.49</v>
      </c>
      <c r="J90" s="6">
        <v>0.19</v>
      </c>
      <c r="K90" s="6">
        <v>127.95</v>
      </c>
      <c r="L90" s="6">
        <v>13.01</v>
      </c>
      <c r="M90" s="6">
        <v>14.66</v>
      </c>
      <c r="N90" s="6">
        <v>2.4</v>
      </c>
      <c r="O90" s="6">
        <v>0</v>
      </c>
      <c r="P90" s="6">
        <v>0.3</v>
      </c>
      <c r="Q90" s="6">
        <v>9.68</v>
      </c>
      <c r="R90" s="6"/>
      <c r="S90" s="6"/>
      <c r="T90" s="156"/>
      <c r="U90" s="6"/>
    </row>
    <row r="91" spans="1:21" customFormat="1">
      <c r="A91" s="201" t="s">
        <v>2146</v>
      </c>
      <c r="B91" s="6">
        <v>3.09</v>
      </c>
      <c r="C91" s="6">
        <v>6.54</v>
      </c>
      <c r="D91" s="6">
        <v>5.89</v>
      </c>
      <c r="E91" s="6">
        <v>7.91</v>
      </c>
      <c r="F91" s="6">
        <v>2.4300000000000002</v>
      </c>
      <c r="G91" s="6">
        <v>22.3</v>
      </c>
      <c r="H91" s="6">
        <v>13.91</v>
      </c>
      <c r="I91" s="6">
        <v>5.49</v>
      </c>
      <c r="J91" s="6">
        <v>0.23</v>
      </c>
      <c r="K91" s="6">
        <v>134.19999999999999</v>
      </c>
      <c r="L91" s="6">
        <v>13.74</v>
      </c>
      <c r="M91" s="6">
        <v>16.489999999999998</v>
      </c>
      <c r="N91" s="6">
        <v>2.2999999999999998</v>
      </c>
      <c r="O91" s="6">
        <v>0</v>
      </c>
      <c r="P91" s="6">
        <v>0.28999999999999998</v>
      </c>
      <c r="Q91" s="6">
        <v>9.27</v>
      </c>
      <c r="R91" s="6"/>
      <c r="S91" s="6"/>
      <c r="T91" s="156"/>
      <c r="U91" s="6"/>
    </row>
    <row r="92" spans="1:21" customFormat="1">
      <c r="A92" s="201" t="s">
        <v>2147</v>
      </c>
      <c r="B92" s="6">
        <v>3.16</v>
      </c>
      <c r="C92" s="6">
        <v>6.56</v>
      </c>
      <c r="D92" s="6">
        <v>5.96</v>
      </c>
      <c r="E92" s="6">
        <v>7.99</v>
      </c>
      <c r="F92" s="6">
        <v>2.57</v>
      </c>
      <c r="G92" s="6">
        <v>25.7</v>
      </c>
      <c r="H92" s="6">
        <v>15.9</v>
      </c>
      <c r="I92" s="6">
        <v>5.49</v>
      </c>
      <c r="J92" s="6">
        <v>0.2</v>
      </c>
      <c r="K92" s="6">
        <v>137.44999999999999</v>
      </c>
      <c r="L92" s="6">
        <v>14.96</v>
      </c>
      <c r="M92" s="6">
        <v>19.420000000000002</v>
      </c>
      <c r="N92" s="6">
        <v>2.4</v>
      </c>
      <c r="O92" s="6">
        <v>0</v>
      </c>
      <c r="P92" s="6">
        <v>0.3</v>
      </c>
      <c r="Q92" s="6">
        <v>9.67</v>
      </c>
      <c r="R92" s="6"/>
      <c r="S92" s="6"/>
      <c r="T92" s="156"/>
      <c r="U92" s="6"/>
    </row>
    <row r="93" spans="1:21" customFormat="1">
      <c r="A93" s="201" t="s">
        <v>2148</v>
      </c>
      <c r="B93" s="6">
        <v>3.07</v>
      </c>
      <c r="C93" s="6">
        <v>6.34</v>
      </c>
      <c r="D93" s="6">
        <v>5.78</v>
      </c>
      <c r="E93" s="6">
        <v>7.86</v>
      </c>
      <c r="F93" s="6">
        <v>2.2400000000000002</v>
      </c>
      <c r="G93" s="6">
        <v>25.7</v>
      </c>
      <c r="H93" s="6">
        <v>15.9</v>
      </c>
      <c r="I93" s="6">
        <v>5.49</v>
      </c>
      <c r="J93" s="6">
        <v>0.27</v>
      </c>
      <c r="K93" s="6">
        <v>137.19999999999999</v>
      </c>
      <c r="L93" s="6">
        <v>14.53</v>
      </c>
      <c r="M93" s="6">
        <v>18.41</v>
      </c>
      <c r="N93" s="6">
        <v>2.6</v>
      </c>
      <c r="O93" s="6">
        <v>0</v>
      </c>
      <c r="P93" s="6">
        <v>0.28999999999999998</v>
      </c>
      <c r="Q93" s="6">
        <v>10.27</v>
      </c>
      <c r="R93" s="6"/>
      <c r="S93" s="6"/>
      <c r="T93" s="156"/>
      <c r="U93" s="6"/>
    </row>
    <row r="94" spans="1:21" customFormat="1">
      <c r="A94" s="201" t="s">
        <v>2149</v>
      </c>
      <c r="B94" s="6">
        <v>3.17</v>
      </c>
      <c r="C94" s="6">
        <v>6.32</v>
      </c>
      <c r="D94" s="6">
        <v>5.85</v>
      </c>
      <c r="E94" s="6">
        <v>7.58</v>
      </c>
      <c r="F94" s="6">
        <v>2</v>
      </c>
      <c r="G94" s="6">
        <v>25.7</v>
      </c>
      <c r="H94" s="6">
        <v>15.9</v>
      </c>
      <c r="I94" s="6">
        <v>5.49</v>
      </c>
      <c r="J94" s="6">
        <v>0.25</v>
      </c>
      <c r="K94" s="6">
        <v>127.99</v>
      </c>
      <c r="L94" s="6">
        <v>13.09</v>
      </c>
      <c r="M94" s="6">
        <v>14.77</v>
      </c>
      <c r="N94" s="6">
        <v>2.7</v>
      </c>
      <c r="O94" s="6">
        <v>0</v>
      </c>
      <c r="P94" s="6">
        <v>0.3</v>
      </c>
      <c r="Q94" s="6">
        <v>9.57</v>
      </c>
      <c r="R94" s="6"/>
      <c r="S94" s="6"/>
      <c r="T94" s="156"/>
      <c r="U94" s="6"/>
    </row>
    <row r="95" spans="1:21" customFormat="1">
      <c r="A95" s="201" t="s">
        <v>2150</v>
      </c>
      <c r="B95" s="6">
        <v>3.11</v>
      </c>
      <c r="C95" s="6">
        <v>6.11</v>
      </c>
      <c r="D95" s="6">
        <v>5.69</v>
      </c>
      <c r="E95" s="6">
        <v>7.46</v>
      </c>
      <c r="F95" s="6">
        <v>2</v>
      </c>
      <c r="G95" s="6">
        <v>25.78</v>
      </c>
      <c r="H95" s="6">
        <v>15.93</v>
      </c>
      <c r="I95" s="6">
        <v>5.49</v>
      </c>
      <c r="J95" s="6">
        <v>0.34</v>
      </c>
      <c r="K95" s="6">
        <v>123.23</v>
      </c>
      <c r="L95" s="6">
        <v>12.27</v>
      </c>
      <c r="M95" s="6">
        <v>12.77</v>
      </c>
      <c r="N95" s="6">
        <v>2.6</v>
      </c>
      <c r="O95" s="6">
        <v>0</v>
      </c>
      <c r="P95" s="6">
        <v>0.28000000000000003</v>
      </c>
      <c r="Q95" s="6">
        <v>9.4600000000000009</v>
      </c>
      <c r="R95" s="6"/>
      <c r="S95" s="6"/>
      <c r="T95" s="156"/>
      <c r="U95" s="6"/>
    </row>
    <row r="96" spans="1:21" customFormat="1">
      <c r="A96" s="201" t="s">
        <v>2151</v>
      </c>
      <c r="B96" s="6">
        <v>3.27</v>
      </c>
      <c r="C96" s="6">
        <v>6.25</v>
      </c>
      <c r="D96" s="6">
        <v>5.88</v>
      </c>
      <c r="E96" s="6">
        <v>7.45</v>
      </c>
      <c r="F96" s="6">
        <v>2</v>
      </c>
      <c r="G96" s="6">
        <v>28.13</v>
      </c>
      <c r="H96" s="6">
        <v>16.61</v>
      </c>
      <c r="I96" s="6">
        <v>5.49</v>
      </c>
      <c r="J96" s="6">
        <v>0.19</v>
      </c>
      <c r="K96" s="6">
        <v>89.51</v>
      </c>
      <c r="L96" s="6">
        <v>12.49</v>
      </c>
      <c r="M96" s="6">
        <v>13.29</v>
      </c>
      <c r="N96" s="6">
        <v>2.5</v>
      </c>
      <c r="O96" s="6">
        <v>0</v>
      </c>
      <c r="P96" s="6">
        <v>0.31</v>
      </c>
      <c r="Q96" s="6">
        <v>9.91</v>
      </c>
      <c r="R96" s="6"/>
      <c r="S96" s="6"/>
      <c r="T96" s="156"/>
      <c r="U96" s="6"/>
    </row>
    <row r="97" spans="1:28" customFormat="1">
      <c r="A97" s="201" t="s">
        <v>2152</v>
      </c>
      <c r="B97" s="6">
        <v>3.28</v>
      </c>
      <c r="C97" s="6">
        <v>6.37</v>
      </c>
      <c r="D97" s="6">
        <v>5.96</v>
      </c>
      <c r="E97" s="6">
        <v>7.6</v>
      </c>
      <c r="F97" s="6">
        <v>2</v>
      </c>
      <c r="G97" s="6">
        <v>28.13</v>
      </c>
      <c r="H97" s="6">
        <v>16.61</v>
      </c>
      <c r="I97" s="6">
        <v>5.49</v>
      </c>
      <c r="J97" s="6">
        <v>0.17</v>
      </c>
      <c r="K97" s="6">
        <v>104.55</v>
      </c>
      <c r="L97" s="6">
        <v>13.14</v>
      </c>
      <c r="M97" s="6">
        <v>14.97</v>
      </c>
      <c r="N97" s="6">
        <v>2.4</v>
      </c>
      <c r="O97" s="6">
        <v>0</v>
      </c>
      <c r="P97" s="6">
        <v>0.3</v>
      </c>
      <c r="Q97" s="6">
        <v>9.85</v>
      </c>
      <c r="R97" s="6"/>
      <c r="S97" s="6"/>
      <c r="T97" s="156"/>
      <c r="U97" s="6"/>
    </row>
    <row r="98" spans="1:28" customFormat="1">
      <c r="A98" s="201" t="s">
        <v>2153</v>
      </c>
      <c r="B98" s="6">
        <v>3.19</v>
      </c>
      <c r="C98" s="6">
        <v>6.27</v>
      </c>
      <c r="D98" s="6">
        <v>5.83</v>
      </c>
      <c r="E98" s="6">
        <v>7.71</v>
      </c>
      <c r="F98" s="6">
        <v>2</v>
      </c>
      <c r="G98" s="6">
        <v>28.13</v>
      </c>
      <c r="H98" s="6">
        <v>16.61</v>
      </c>
      <c r="I98" s="6">
        <v>6.25</v>
      </c>
      <c r="J98" s="6">
        <v>0.2</v>
      </c>
      <c r="K98" s="6">
        <v>127.71</v>
      </c>
      <c r="L98" s="6">
        <v>13.23</v>
      </c>
      <c r="M98" s="6">
        <v>15.21</v>
      </c>
      <c r="N98" s="6">
        <v>2.2999999999999998</v>
      </c>
      <c r="O98" s="6">
        <v>0</v>
      </c>
      <c r="P98" s="6">
        <v>0.31</v>
      </c>
      <c r="Q98" s="6">
        <v>10.35</v>
      </c>
      <c r="R98" s="6"/>
      <c r="S98" s="6"/>
      <c r="T98" s="156"/>
      <c r="U98" s="6"/>
    </row>
    <row r="99" spans="1:28" customFormat="1">
      <c r="A99" s="201" t="s">
        <v>2154</v>
      </c>
      <c r="B99" s="6">
        <v>3.16</v>
      </c>
      <c r="C99" s="6">
        <v>6.18</v>
      </c>
      <c r="D99" s="6">
        <v>5.76</v>
      </c>
      <c r="E99" s="6">
        <v>7.43</v>
      </c>
      <c r="F99" s="6">
        <v>2</v>
      </c>
      <c r="G99" s="6">
        <v>28.09</v>
      </c>
      <c r="H99" s="6">
        <v>16.649999999999999</v>
      </c>
      <c r="I99" s="6">
        <v>6.25</v>
      </c>
      <c r="J99" s="6">
        <v>0.22</v>
      </c>
      <c r="K99" s="6">
        <v>124.07</v>
      </c>
      <c r="L99" s="6">
        <v>11.6</v>
      </c>
      <c r="M99" s="6">
        <v>11.09</v>
      </c>
      <c r="N99" s="6">
        <v>2.2999999999999998</v>
      </c>
      <c r="O99" s="6">
        <v>0</v>
      </c>
      <c r="P99" s="6">
        <v>0.31</v>
      </c>
      <c r="Q99" s="6">
        <v>9.6300000000000008</v>
      </c>
      <c r="R99" s="6"/>
      <c r="S99" s="6"/>
      <c r="T99" s="156"/>
      <c r="U99" s="6"/>
    </row>
    <row r="100" spans="1:28" customFormat="1">
      <c r="A100" s="201" t="s">
        <v>2155</v>
      </c>
      <c r="B100" s="6">
        <v>3.14</v>
      </c>
      <c r="C100" s="6">
        <v>6.06</v>
      </c>
      <c r="D100" s="6">
        <v>5.69</v>
      </c>
      <c r="E100" s="6">
        <v>7.28</v>
      </c>
      <c r="F100" s="6">
        <v>2</v>
      </c>
      <c r="G100" s="6">
        <v>26.95</v>
      </c>
      <c r="H100" s="6">
        <v>17.86</v>
      </c>
      <c r="I100" s="6">
        <v>6.25</v>
      </c>
      <c r="J100" s="6">
        <v>0.06</v>
      </c>
      <c r="K100" s="6">
        <v>155.82</v>
      </c>
      <c r="L100" s="6">
        <v>18</v>
      </c>
      <c r="M100" s="6">
        <v>27.13</v>
      </c>
      <c r="N100" s="6">
        <v>2.2999999999999998</v>
      </c>
      <c r="O100" s="6">
        <v>0</v>
      </c>
      <c r="P100" s="6">
        <v>0.3</v>
      </c>
      <c r="Q100" s="6">
        <v>9.32</v>
      </c>
      <c r="R100" s="6"/>
      <c r="S100" s="6"/>
      <c r="T100" s="156"/>
      <c r="U100" s="6"/>
      <c r="AB100" s="161"/>
    </row>
    <row r="101" spans="1:28" customFormat="1">
      <c r="A101" s="201" t="s">
        <v>2156</v>
      </c>
      <c r="B101" s="6">
        <v>3.13</v>
      </c>
      <c r="C101" s="6">
        <v>5.94</v>
      </c>
      <c r="D101" s="6">
        <v>5.62</v>
      </c>
      <c r="E101" s="6">
        <v>7.19</v>
      </c>
      <c r="F101" s="6">
        <v>2</v>
      </c>
      <c r="G101" s="6">
        <v>26.95</v>
      </c>
      <c r="H101" s="6">
        <v>17.86</v>
      </c>
      <c r="I101" s="6">
        <v>6.25</v>
      </c>
      <c r="J101" s="6">
        <v>0.17</v>
      </c>
      <c r="K101" s="6">
        <v>124.24</v>
      </c>
      <c r="L101" s="6">
        <v>12.99</v>
      </c>
      <c r="M101" s="6">
        <v>14.66</v>
      </c>
      <c r="N101" s="6">
        <v>2.2999999999999998</v>
      </c>
      <c r="O101" s="6">
        <v>0</v>
      </c>
      <c r="P101" s="6">
        <v>0.28999999999999998</v>
      </c>
      <c r="Q101" s="6">
        <v>9.32</v>
      </c>
      <c r="R101" s="6"/>
      <c r="S101" s="6"/>
      <c r="T101" s="156"/>
      <c r="U101" s="6"/>
    </row>
    <row r="102" spans="1:28" customFormat="1">
      <c r="A102" s="201" t="s">
        <v>2157</v>
      </c>
      <c r="B102" s="6">
        <v>3.13</v>
      </c>
      <c r="C102" s="6">
        <v>5.95</v>
      </c>
      <c r="D102" s="6">
        <v>5.62</v>
      </c>
      <c r="E102" s="6">
        <v>7.21</v>
      </c>
      <c r="F102" s="6">
        <v>2</v>
      </c>
      <c r="G102" s="6">
        <v>26.95</v>
      </c>
      <c r="H102" s="6">
        <v>17.86</v>
      </c>
      <c r="I102" s="6">
        <v>6.25</v>
      </c>
      <c r="J102" s="6">
        <v>0.21</v>
      </c>
      <c r="K102" s="6">
        <v>129</v>
      </c>
      <c r="L102" s="6">
        <v>13.22</v>
      </c>
      <c r="M102" s="6">
        <v>15.23</v>
      </c>
      <c r="N102" s="6">
        <v>2.2000000000000002</v>
      </c>
      <c r="O102" s="6">
        <v>0</v>
      </c>
      <c r="P102" s="6">
        <v>0.28000000000000003</v>
      </c>
      <c r="Q102" s="6">
        <v>9.34</v>
      </c>
      <c r="R102" s="6"/>
      <c r="S102" s="6"/>
      <c r="T102" s="156"/>
      <c r="U102" s="6"/>
    </row>
    <row r="103" spans="1:28" customFormat="1">
      <c r="A103" s="201" t="s">
        <v>2158</v>
      </c>
      <c r="B103" s="6">
        <v>3.13</v>
      </c>
      <c r="C103" s="6">
        <v>5.98</v>
      </c>
      <c r="D103" s="6">
        <v>5.64</v>
      </c>
      <c r="E103" s="6">
        <v>7.45</v>
      </c>
      <c r="F103" s="6">
        <v>2</v>
      </c>
      <c r="G103" s="6">
        <v>26.68</v>
      </c>
      <c r="H103" s="6">
        <v>17.77</v>
      </c>
      <c r="I103" s="6">
        <v>6.25</v>
      </c>
      <c r="J103" s="6">
        <v>0.18</v>
      </c>
      <c r="K103" s="6">
        <v>86.31</v>
      </c>
      <c r="L103" s="6">
        <v>10.92</v>
      </c>
      <c r="M103" s="6">
        <v>9.3800000000000008</v>
      </c>
      <c r="N103" s="6">
        <v>2.2999999999999998</v>
      </c>
      <c r="O103" s="6">
        <v>0</v>
      </c>
      <c r="P103" s="6">
        <v>0.28000000000000003</v>
      </c>
      <c r="Q103" s="6">
        <v>9.32</v>
      </c>
      <c r="R103" s="6"/>
      <c r="S103" s="6"/>
      <c r="T103" s="156"/>
      <c r="U103" s="6"/>
    </row>
    <row r="104" spans="1:28" customFormat="1">
      <c r="A104" s="201" t="s">
        <v>2159</v>
      </c>
      <c r="B104" s="6">
        <v>3.18</v>
      </c>
      <c r="C104" s="6">
        <v>5.96</v>
      </c>
      <c r="D104" s="6">
        <v>5.67</v>
      </c>
      <c r="E104" s="6">
        <v>7.27</v>
      </c>
      <c r="F104" s="6">
        <v>2</v>
      </c>
      <c r="G104" s="6">
        <v>18.920000000000002</v>
      </c>
      <c r="H104" s="6">
        <v>14.97</v>
      </c>
      <c r="I104" s="6">
        <v>6.25</v>
      </c>
      <c r="J104" s="6">
        <v>0.12</v>
      </c>
      <c r="K104" s="6">
        <v>91.43</v>
      </c>
      <c r="L104" s="6">
        <v>11.87</v>
      </c>
      <c r="M104" s="6">
        <v>11.79</v>
      </c>
      <c r="N104" s="6">
        <v>2.2000000000000002</v>
      </c>
      <c r="O104" s="6">
        <v>0</v>
      </c>
      <c r="P104" s="6">
        <v>0.27</v>
      </c>
      <c r="Q104" s="6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2.3199999999999998</v>
      </c>
      <c r="C106" s="158">
        <f>MIN(C9:C104)</f>
        <v>5.94</v>
      </c>
      <c r="D106" s="158">
        <f t="shared" ref="D106:Q106" si="0">MIN(D9:D104)</f>
        <v>5.26</v>
      </c>
      <c r="E106" s="158">
        <f t="shared" si="0"/>
        <v>4.67</v>
      </c>
      <c r="F106" s="158">
        <f t="shared" si="0"/>
        <v>2</v>
      </c>
      <c r="G106" s="158">
        <f t="shared" si="0"/>
        <v>16.87</v>
      </c>
      <c r="H106" s="158">
        <f t="shared" si="0"/>
        <v>10.130000000000001</v>
      </c>
      <c r="I106" s="158">
        <f t="shared" si="0"/>
        <v>1.42</v>
      </c>
      <c r="J106" s="158">
        <f t="shared" si="0"/>
        <v>0.01</v>
      </c>
      <c r="K106" s="158">
        <f t="shared" si="0"/>
        <v>8.26</v>
      </c>
      <c r="L106" s="158">
        <f t="shared" si="0"/>
        <v>6.13</v>
      </c>
      <c r="M106" s="158">
        <f t="shared" si="0"/>
        <v>-3.5</v>
      </c>
      <c r="N106" s="158">
        <f t="shared" si="0"/>
        <v>2.1</v>
      </c>
      <c r="O106" s="158">
        <f t="shared" si="0"/>
        <v>0</v>
      </c>
      <c r="P106" s="158">
        <f t="shared" si="0"/>
        <v>0.26</v>
      </c>
      <c r="Q106" s="158">
        <f t="shared" si="0"/>
        <v>9.27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6.41</v>
      </c>
      <c r="C107" s="157">
        <f t="shared" ref="C107:Q107" si="1">MAX(C9:C104)</f>
        <v>8.43</v>
      </c>
      <c r="D107" s="157">
        <f t="shared" si="1"/>
        <v>9.2799999999999994</v>
      </c>
      <c r="E107" s="157">
        <f t="shared" si="1"/>
        <v>8.3699999999999992</v>
      </c>
      <c r="F107" s="157">
        <f t="shared" si="1"/>
        <v>3.74</v>
      </c>
      <c r="G107" s="157">
        <f t="shared" si="1"/>
        <v>78.64</v>
      </c>
      <c r="H107" s="157">
        <f t="shared" si="1"/>
        <v>40.479999999999997</v>
      </c>
      <c r="I107" s="157">
        <f t="shared" si="1"/>
        <v>8.26</v>
      </c>
      <c r="J107" s="157">
        <f t="shared" si="1"/>
        <v>0.56000000000000005</v>
      </c>
      <c r="K107" s="157">
        <f t="shared" si="1"/>
        <v>358.79</v>
      </c>
      <c r="L107" s="157">
        <f t="shared" si="1"/>
        <v>22.5</v>
      </c>
      <c r="M107" s="157">
        <f t="shared" si="1"/>
        <v>38.24</v>
      </c>
      <c r="N107" s="157">
        <f t="shared" si="1"/>
        <v>596.20000000000005</v>
      </c>
      <c r="O107" s="157">
        <f t="shared" si="1"/>
        <v>0</v>
      </c>
      <c r="P107" s="157">
        <f t="shared" si="1"/>
        <v>0.49</v>
      </c>
      <c r="Q107" s="157">
        <f t="shared" si="1"/>
        <v>45.05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4.1261458333333323</v>
      </c>
      <c r="C108" s="158">
        <f t="shared" ref="C108:Q108" si="2">AVERAGE(C9:C104)</f>
        <v>7.3765625000000012</v>
      </c>
      <c r="D108" s="158">
        <f t="shared" si="2"/>
        <v>7.1629166666666686</v>
      </c>
      <c r="E108" s="158">
        <f t="shared" si="2"/>
        <v>6.4234375000000021</v>
      </c>
      <c r="F108" s="158">
        <f t="shared" si="2"/>
        <v>2.0921875000000005</v>
      </c>
      <c r="G108" s="158">
        <f t="shared" si="2"/>
        <v>45.360416666666659</v>
      </c>
      <c r="H108" s="158">
        <f t="shared" si="2"/>
        <v>24.258854166666676</v>
      </c>
      <c r="I108" s="158">
        <f t="shared" si="2"/>
        <v>6.4433802816901453</v>
      </c>
      <c r="J108" s="158">
        <f t="shared" si="2"/>
        <v>0.27447916666666666</v>
      </c>
      <c r="K108" s="158">
        <f t="shared" si="2"/>
        <v>89.237499999999955</v>
      </c>
      <c r="L108" s="158">
        <f t="shared" si="2"/>
        <v>12.195937499999999</v>
      </c>
      <c r="M108" s="158">
        <f t="shared" si="2"/>
        <v>10.262291666666666</v>
      </c>
      <c r="N108" s="158">
        <f t="shared" si="2"/>
        <v>98.049999999999955</v>
      </c>
      <c r="O108" s="158">
        <f t="shared" si="2"/>
        <v>0</v>
      </c>
      <c r="P108" s="158">
        <f t="shared" si="2"/>
        <v>0.3786458333333334</v>
      </c>
      <c r="Q108" s="158">
        <f t="shared" si="2"/>
        <v>12.210416666666667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1.3384196256399772</v>
      </c>
      <c r="C109" s="158">
        <f t="shared" ref="C109:Q109" si="3">STDEV(C9:C104)</f>
        <v>0.73355633820163357</v>
      </c>
      <c r="D109" s="158">
        <f t="shared" si="3"/>
        <v>1.3860902352844366</v>
      </c>
      <c r="E109" s="158">
        <f t="shared" si="3"/>
        <v>0.85149012186375805</v>
      </c>
      <c r="F109" s="158">
        <f t="shared" si="3"/>
        <v>0.27564356513439303</v>
      </c>
      <c r="G109" s="158">
        <f t="shared" si="3"/>
        <v>23.703163276201039</v>
      </c>
      <c r="H109" s="158">
        <f t="shared" si="3"/>
        <v>10.973517583114822</v>
      </c>
      <c r="I109" s="158">
        <f t="shared" si="3"/>
        <v>1.2083624617779936</v>
      </c>
      <c r="J109" s="158">
        <f t="shared" si="3"/>
        <v>0.13734221409286307</v>
      </c>
      <c r="K109" s="158">
        <f t="shared" si="3"/>
        <v>53.873113770863739</v>
      </c>
      <c r="L109" s="158">
        <f t="shared" si="3"/>
        <v>3.5129107972928741</v>
      </c>
      <c r="M109" s="158">
        <f t="shared" si="3"/>
        <v>7.8292273570750179</v>
      </c>
      <c r="N109" s="158">
        <f t="shared" si="3"/>
        <v>168.07185055019897</v>
      </c>
      <c r="O109" s="158">
        <f t="shared" si="3"/>
        <v>0</v>
      </c>
      <c r="P109" s="158">
        <f t="shared" si="3"/>
        <v>7.9850120016606879E-2</v>
      </c>
      <c r="Q109" s="158">
        <f t="shared" si="3"/>
        <v>5.8537849054520574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>COUNT(I9:I104)+25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55" activePane="bottomRight" state="frozen"/>
      <selection pane="topRight"/>
      <selection pane="bottomLeft"/>
      <selection pane="bottomRight" activeCell="I111" sqref="I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2160</v>
      </c>
      <c r="B9" s="100">
        <v>3.06</v>
      </c>
      <c r="C9" s="100">
        <v>5.55</v>
      </c>
      <c r="D9" s="100">
        <v>5.35</v>
      </c>
      <c r="E9" s="100">
        <v>7.37</v>
      </c>
      <c r="F9" s="100">
        <v>2</v>
      </c>
      <c r="G9" s="100">
        <v>18.920000000000002</v>
      </c>
      <c r="H9" s="100">
        <v>14.97</v>
      </c>
      <c r="I9" s="151" t="s">
        <v>8</v>
      </c>
      <c r="J9" s="100">
        <v>0.13</v>
      </c>
      <c r="K9" s="100">
        <v>132.6</v>
      </c>
      <c r="L9" s="100">
        <v>13.44</v>
      </c>
      <c r="M9" s="100">
        <v>15.83</v>
      </c>
      <c r="N9" s="100">
        <v>2.1</v>
      </c>
      <c r="O9" s="100">
        <v>0</v>
      </c>
      <c r="P9" s="100">
        <v>0.26</v>
      </c>
      <c r="Q9" s="100">
        <v>9.32</v>
      </c>
      <c r="R9" s="6"/>
      <c r="S9" s="6"/>
      <c r="T9" s="156"/>
      <c r="U9" s="6"/>
    </row>
    <row r="10" spans="1:21" customFormat="1">
      <c r="A10" s="201" t="s">
        <v>2161</v>
      </c>
      <c r="B10" s="100">
        <v>3.07</v>
      </c>
      <c r="C10" s="100">
        <v>5.78</v>
      </c>
      <c r="D10" s="100">
        <v>5.49</v>
      </c>
      <c r="E10" s="100">
        <v>7.42</v>
      </c>
      <c r="F10" s="100">
        <v>2</v>
      </c>
      <c r="G10" s="100">
        <v>18.920000000000002</v>
      </c>
      <c r="H10" s="100">
        <v>14.97</v>
      </c>
      <c r="I10" s="151" t="s">
        <v>8</v>
      </c>
      <c r="J10" s="100">
        <v>0.16</v>
      </c>
      <c r="K10" s="100">
        <v>89.41</v>
      </c>
      <c r="L10" s="100">
        <v>11.01</v>
      </c>
      <c r="M10" s="100">
        <v>9.65</v>
      </c>
      <c r="N10" s="100">
        <v>2.1</v>
      </c>
      <c r="O10" s="100">
        <v>0</v>
      </c>
      <c r="P10" s="100">
        <v>0.25</v>
      </c>
      <c r="Q10" s="100">
        <v>9.32</v>
      </c>
      <c r="R10" s="6"/>
      <c r="S10" s="6"/>
      <c r="T10" s="156"/>
      <c r="U10" s="6"/>
    </row>
    <row r="11" spans="1:21" customFormat="1">
      <c r="A11" s="201" t="s">
        <v>2162</v>
      </c>
      <c r="B11" s="100">
        <v>3.12</v>
      </c>
      <c r="C11" s="100">
        <v>5.83</v>
      </c>
      <c r="D11" s="100">
        <v>5.55</v>
      </c>
      <c r="E11" s="100">
        <v>7.39</v>
      </c>
      <c r="F11" s="100">
        <v>2</v>
      </c>
      <c r="G11" s="100">
        <v>18.78</v>
      </c>
      <c r="H11" s="100">
        <v>14.89</v>
      </c>
      <c r="I11" s="151" t="s">
        <v>8</v>
      </c>
      <c r="J11" s="100">
        <v>0.25</v>
      </c>
      <c r="K11" s="100">
        <v>143.30000000000001</v>
      </c>
      <c r="L11" s="100">
        <v>13.6</v>
      </c>
      <c r="M11" s="100">
        <v>16.2</v>
      </c>
      <c r="N11" s="100">
        <v>1.7</v>
      </c>
      <c r="O11" s="100">
        <v>0</v>
      </c>
      <c r="P11" s="100">
        <v>0.24</v>
      </c>
      <c r="Q11" s="100">
        <v>9.32</v>
      </c>
      <c r="R11" s="6"/>
      <c r="S11" s="6"/>
      <c r="T11" s="156"/>
      <c r="U11" s="6"/>
    </row>
    <row r="12" spans="1:21" customFormat="1">
      <c r="A12" s="201" t="s">
        <v>2163</v>
      </c>
      <c r="B12" s="100">
        <v>3.16</v>
      </c>
      <c r="C12" s="100">
        <v>5.83</v>
      </c>
      <c r="D12" s="100">
        <v>5.58</v>
      </c>
      <c r="E12" s="100">
        <v>7.28</v>
      </c>
      <c r="F12" s="100">
        <v>2</v>
      </c>
      <c r="G12" s="100">
        <v>14.65</v>
      </c>
      <c r="H12" s="100">
        <v>12.48</v>
      </c>
      <c r="I12" s="151" t="s">
        <v>8</v>
      </c>
      <c r="J12" s="100">
        <v>0.12</v>
      </c>
      <c r="K12" s="100">
        <v>165.44</v>
      </c>
      <c r="L12" s="100">
        <v>16.87</v>
      </c>
      <c r="M12" s="100">
        <v>24.35</v>
      </c>
      <c r="N12" s="100">
        <v>2.2000000000000002</v>
      </c>
      <c r="O12" s="100">
        <v>0</v>
      </c>
      <c r="P12" s="100">
        <v>0.25</v>
      </c>
      <c r="Q12" s="100">
        <v>9.33</v>
      </c>
      <c r="R12" s="6"/>
      <c r="S12" s="6"/>
      <c r="T12" s="156"/>
      <c r="U12" s="6"/>
    </row>
    <row r="13" spans="1:21" customFormat="1">
      <c r="A13" s="201" t="s">
        <v>2164</v>
      </c>
      <c r="B13" s="100">
        <v>3.2</v>
      </c>
      <c r="C13" s="100">
        <v>5.82</v>
      </c>
      <c r="D13" s="100">
        <v>5.61</v>
      </c>
      <c r="E13" s="100">
        <v>7.9</v>
      </c>
      <c r="F13" s="100">
        <v>2</v>
      </c>
      <c r="G13" s="100">
        <v>14.65</v>
      </c>
      <c r="H13" s="100">
        <v>12.48</v>
      </c>
      <c r="I13" s="151" t="s">
        <v>8</v>
      </c>
      <c r="J13" s="100">
        <v>0.13</v>
      </c>
      <c r="K13" s="100">
        <v>133.63</v>
      </c>
      <c r="L13" s="100">
        <v>12.92</v>
      </c>
      <c r="M13" s="100">
        <v>14.51</v>
      </c>
      <c r="N13" s="100">
        <v>2.2000000000000002</v>
      </c>
      <c r="O13" s="100">
        <v>0</v>
      </c>
      <c r="P13" s="100">
        <v>0.23</v>
      </c>
      <c r="Q13" s="100">
        <v>9.8800000000000008</v>
      </c>
      <c r="R13" s="6"/>
      <c r="S13" s="6"/>
      <c r="T13" s="156"/>
      <c r="U13" s="6"/>
    </row>
    <row r="14" spans="1:21" customFormat="1">
      <c r="A14" s="201" t="s">
        <v>2165</v>
      </c>
      <c r="B14" s="100">
        <v>3.21</v>
      </c>
      <c r="C14" s="100">
        <v>5.86</v>
      </c>
      <c r="D14" s="100">
        <v>5.63</v>
      </c>
      <c r="E14" s="100">
        <v>7.55</v>
      </c>
      <c r="F14" s="100">
        <v>2</v>
      </c>
      <c r="G14" s="100">
        <v>14.65</v>
      </c>
      <c r="H14" s="100">
        <v>12.48</v>
      </c>
      <c r="I14" s="151" t="s">
        <v>8</v>
      </c>
      <c r="J14" s="100">
        <v>0.1</v>
      </c>
      <c r="K14" s="100">
        <v>131.85</v>
      </c>
      <c r="L14" s="100">
        <v>13.56</v>
      </c>
      <c r="M14" s="100">
        <v>16.11</v>
      </c>
      <c r="N14" s="100">
        <v>2.1</v>
      </c>
      <c r="O14" s="100">
        <v>0</v>
      </c>
      <c r="P14" s="100">
        <v>0.23</v>
      </c>
      <c r="Q14" s="100">
        <v>9.57</v>
      </c>
      <c r="R14" s="6"/>
      <c r="S14" s="6"/>
      <c r="T14" s="156"/>
      <c r="U14" s="6"/>
    </row>
    <row r="15" spans="1:21" customFormat="1">
      <c r="A15" s="201" t="s">
        <v>2166</v>
      </c>
      <c r="B15" s="100">
        <v>3.24</v>
      </c>
      <c r="C15" s="100">
        <v>5.81</v>
      </c>
      <c r="D15" s="100">
        <v>5.64</v>
      </c>
      <c r="E15" s="100">
        <v>7.58</v>
      </c>
      <c r="F15" s="100">
        <v>2</v>
      </c>
      <c r="G15" s="100">
        <v>14.59</v>
      </c>
      <c r="H15" s="100">
        <v>12.38</v>
      </c>
      <c r="I15" s="151" t="s">
        <v>8</v>
      </c>
      <c r="J15" s="100">
        <v>0.12</v>
      </c>
      <c r="K15" s="100">
        <v>130.46</v>
      </c>
      <c r="L15" s="100">
        <v>13.46</v>
      </c>
      <c r="M15" s="100">
        <v>15.86</v>
      </c>
      <c r="N15" s="100">
        <v>2.1</v>
      </c>
      <c r="O15" s="100">
        <v>0</v>
      </c>
      <c r="P15" s="100">
        <v>0.22</v>
      </c>
      <c r="Q15" s="100">
        <v>10</v>
      </c>
      <c r="R15" s="6"/>
      <c r="S15" s="6"/>
      <c r="T15" s="156"/>
      <c r="U15" s="6"/>
    </row>
    <row r="16" spans="1:21" customFormat="1">
      <c r="A16" s="201" t="s">
        <v>2167</v>
      </c>
      <c r="B16" s="100">
        <v>3.3</v>
      </c>
      <c r="C16" s="100">
        <v>5.89</v>
      </c>
      <c r="D16" s="100">
        <v>5.72</v>
      </c>
      <c r="E16" s="100">
        <v>7.41</v>
      </c>
      <c r="F16" s="100">
        <v>2</v>
      </c>
      <c r="G16" s="100">
        <v>12.87</v>
      </c>
      <c r="H16" s="100">
        <v>9.1300000000000008</v>
      </c>
      <c r="I16" s="151" t="s">
        <v>8</v>
      </c>
      <c r="J16" s="100">
        <v>0.15</v>
      </c>
      <c r="K16" s="100">
        <v>116.44</v>
      </c>
      <c r="L16" s="100">
        <v>12.06</v>
      </c>
      <c r="M16" s="100">
        <v>12.32</v>
      </c>
      <c r="N16" s="100">
        <v>2</v>
      </c>
      <c r="O16" s="100">
        <v>0</v>
      </c>
      <c r="P16" s="100">
        <v>0.23</v>
      </c>
      <c r="Q16" s="100">
        <v>9.7100000000000009</v>
      </c>
      <c r="R16" s="6"/>
      <c r="S16" s="6"/>
      <c r="T16" s="156"/>
      <c r="U16" s="6"/>
    </row>
    <row r="17" spans="1:21" customFormat="1">
      <c r="A17" s="201" t="s">
        <v>2168</v>
      </c>
      <c r="B17" s="100">
        <v>3.38</v>
      </c>
      <c r="C17" s="100">
        <v>5.95</v>
      </c>
      <c r="D17" s="100">
        <v>5.82</v>
      </c>
      <c r="E17" s="100">
        <v>5.6</v>
      </c>
      <c r="F17" s="100">
        <v>2</v>
      </c>
      <c r="G17" s="100">
        <v>12.87</v>
      </c>
      <c r="H17" s="100">
        <v>9.1300000000000008</v>
      </c>
      <c r="I17" s="151" t="s">
        <v>8</v>
      </c>
      <c r="J17" s="100">
        <v>0.17</v>
      </c>
      <c r="K17" s="100">
        <v>139.46</v>
      </c>
      <c r="L17" s="100">
        <v>13.86</v>
      </c>
      <c r="M17" s="100">
        <v>16.93</v>
      </c>
      <c r="N17" s="100">
        <v>2.1</v>
      </c>
      <c r="O17" s="100">
        <v>0</v>
      </c>
      <c r="P17" s="100">
        <v>0.22</v>
      </c>
      <c r="Q17" s="100">
        <v>9.76</v>
      </c>
      <c r="R17" s="6"/>
      <c r="S17" s="6"/>
      <c r="T17" s="156"/>
      <c r="U17" s="6"/>
    </row>
    <row r="18" spans="1:21" customFormat="1">
      <c r="A18" s="201" t="s">
        <v>2169</v>
      </c>
      <c r="B18" s="100">
        <v>3.49</v>
      </c>
      <c r="C18" s="100">
        <v>5.98</v>
      </c>
      <c r="D18" s="100">
        <v>5.92</v>
      </c>
      <c r="E18" s="100">
        <v>6.83</v>
      </c>
      <c r="F18" s="100">
        <v>2</v>
      </c>
      <c r="G18" s="100">
        <v>12.87</v>
      </c>
      <c r="H18" s="100">
        <v>9.1300000000000008</v>
      </c>
      <c r="I18" s="151" t="s">
        <v>8</v>
      </c>
      <c r="J18" s="100">
        <v>0.13</v>
      </c>
      <c r="K18" s="100">
        <v>149.07</v>
      </c>
      <c r="L18" s="100">
        <v>14.24</v>
      </c>
      <c r="M18" s="100">
        <v>17.8</v>
      </c>
      <c r="N18" s="100">
        <v>2.1</v>
      </c>
      <c r="O18" s="100">
        <v>0</v>
      </c>
      <c r="P18" s="100">
        <v>0.21</v>
      </c>
      <c r="Q18" s="100">
        <v>9.94</v>
      </c>
      <c r="R18" s="6"/>
      <c r="S18" s="6"/>
      <c r="T18" s="156"/>
      <c r="U18" s="6"/>
    </row>
    <row r="19" spans="1:21" customFormat="1">
      <c r="A19" s="201" t="s">
        <v>2170</v>
      </c>
      <c r="B19" s="100">
        <v>3.57</v>
      </c>
      <c r="C19" s="100">
        <v>5.96</v>
      </c>
      <c r="D19" s="100">
        <v>5.97</v>
      </c>
      <c r="E19" s="100">
        <v>6.89</v>
      </c>
      <c r="F19" s="100">
        <v>2</v>
      </c>
      <c r="G19" s="100">
        <v>12.81</v>
      </c>
      <c r="H19" s="100">
        <v>9.09</v>
      </c>
      <c r="I19" s="151" t="s">
        <v>8</v>
      </c>
      <c r="J19" s="100">
        <v>0.17</v>
      </c>
      <c r="K19" s="100">
        <v>159.1</v>
      </c>
      <c r="L19" s="100">
        <v>15.37</v>
      </c>
      <c r="M19" s="100">
        <v>20.69</v>
      </c>
      <c r="N19" s="100">
        <v>2.1</v>
      </c>
      <c r="O19" s="100">
        <v>0</v>
      </c>
      <c r="P19" s="100">
        <v>0.21</v>
      </c>
      <c r="Q19" s="100">
        <v>10.07</v>
      </c>
      <c r="R19" s="6"/>
      <c r="S19" s="6"/>
      <c r="T19" s="156"/>
      <c r="U19" s="6"/>
    </row>
    <row r="20" spans="1:21" customFormat="1">
      <c r="A20" s="201" t="s">
        <v>2171</v>
      </c>
      <c r="B20" s="100">
        <v>3.64</v>
      </c>
      <c r="C20" s="100">
        <v>5.95</v>
      </c>
      <c r="D20" s="100">
        <v>6.03</v>
      </c>
      <c r="E20" s="100">
        <v>7.18</v>
      </c>
      <c r="F20" s="100">
        <v>2</v>
      </c>
      <c r="G20" s="100">
        <v>11.04</v>
      </c>
      <c r="H20" s="100">
        <v>7.74</v>
      </c>
      <c r="I20" s="151" t="s">
        <v>8</v>
      </c>
      <c r="J20" s="100">
        <v>0.13</v>
      </c>
      <c r="K20" s="100">
        <v>137.06</v>
      </c>
      <c r="L20" s="100">
        <v>13.91</v>
      </c>
      <c r="M20" s="100">
        <v>16.97</v>
      </c>
      <c r="N20" s="100">
        <v>2.1</v>
      </c>
      <c r="O20" s="100">
        <v>0</v>
      </c>
      <c r="P20" s="100">
        <v>0.21</v>
      </c>
      <c r="Q20" s="100">
        <v>9.75</v>
      </c>
      <c r="R20" s="6"/>
      <c r="S20" s="6"/>
      <c r="T20" s="156"/>
      <c r="U20" s="6"/>
    </row>
    <row r="21" spans="1:21" customFormat="1">
      <c r="A21" s="201" t="s">
        <v>2172</v>
      </c>
      <c r="B21" s="100">
        <v>3.81</v>
      </c>
      <c r="C21" s="100">
        <v>5.73</v>
      </c>
      <c r="D21" s="100">
        <v>6.05</v>
      </c>
      <c r="E21" s="100">
        <v>6.99</v>
      </c>
      <c r="F21" s="100">
        <v>2</v>
      </c>
      <c r="G21" s="100">
        <v>11.04</v>
      </c>
      <c r="H21" s="100">
        <v>7.74</v>
      </c>
      <c r="I21" s="151" t="s">
        <v>8</v>
      </c>
      <c r="J21" s="100">
        <v>0.1</v>
      </c>
      <c r="K21" s="100">
        <v>127.98</v>
      </c>
      <c r="L21" s="100">
        <v>13.24</v>
      </c>
      <c r="M21" s="100">
        <v>15.24</v>
      </c>
      <c r="N21" s="100">
        <v>2.1</v>
      </c>
      <c r="O21" s="100">
        <v>0</v>
      </c>
      <c r="P21" s="100">
        <v>0.18</v>
      </c>
      <c r="Q21" s="100">
        <v>10.18</v>
      </c>
      <c r="R21" s="6"/>
      <c r="S21" s="6"/>
      <c r="T21" s="156"/>
      <c r="U21" s="6"/>
    </row>
    <row r="22" spans="1:21" customFormat="1">
      <c r="A22" s="201" t="s">
        <v>2173</v>
      </c>
      <c r="B22" s="100">
        <v>4.01</v>
      </c>
      <c r="C22" s="100">
        <v>5.66</v>
      </c>
      <c r="D22" s="100">
        <v>6.17</v>
      </c>
      <c r="E22" s="100">
        <v>6.43</v>
      </c>
      <c r="F22" s="100">
        <v>2</v>
      </c>
      <c r="G22" s="100">
        <v>11.04</v>
      </c>
      <c r="H22" s="100">
        <v>7.74</v>
      </c>
      <c r="I22" s="151" t="s">
        <v>8</v>
      </c>
      <c r="J22" s="100">
        <v>0.26</v>
      </c>
      <c r="K22" s="100">
        <v>51.63</v>
      </c>
      <c r="L22" s="100">
        <v>8</v>
      </c>
      <c r="M22" s="100">
        <v>1.9</v>
      </c>
      <c r="N22" s="100">
        <v>2.1</v>
      </c>
      <c r="O22" s="100">
        <v>0</v>
      </c>
      <c r="P22" s="100">
        <v>0.17</v>
      </c>
      <c r="Q22" s="100">
        <v>10.39</v>
      </c>
      <c r="R22" s="6"/>
      <c r="S22" s="6"/>
      <c r="T22" s="156"/>
      <c r="U22" s="6"/>
    </row>
    <row r="23" spans="1:21" customFormat="1">
      <c r="A23" s="201" t="s">
        <v>2174</v>
      </c>
      <c r="B23" s="100">
        <v>4.38</v>
      </c>
      <c r="C23" s="100">
        <v>5.84</v>
      </c>
      <c r="D23" s="100">
        <v>6.56</v>
      </c>
      <c r="E23" s="100">
        <v>6.55</v>
      </c>
      <c r="F23" s="100">
        <v>2</v>
      </c>
      <c r="G23" s="100">
        <v>11.08</v>
      </c>
      <c r="H23" s="100">
        <v>7.72</v>
      </c>
      <c r="I23" s="151" t="s">
        <v>8</v>
      </c>
      <c r="J23" s="100">
        <v>0.22</v>
      </c>
      <c r="K23" s="100">
        <v>51.72</v>
      </c>
      <c r="L23" s="100">
        <v>8.69</v>
      </c>
      <c r="M23" s="100">
        <v>3.71</v>
      </c>
      <c r="N23" s="100">
        <v>2.1</v>
      </c>
      <c r="O23" s="100">
        <v>0</v>
      </c>
      <c r="P23" s="100">
        <v>0.19</v>
      </c>
      <c r="Q23" s="100">
        <v>10.59</v>
      </c>
      <c r="R23" s="6"/>
      <c r="S23" s="6"/>
      <c r="T23" s="156"/>
      <c r="U23" s="6"/>
    </row>
    <row r="24" spans="1:21" customFormat="1">
      <c r="A24" s="201" t="s">
        <v>2175</v>
      </c>
      <c r="B24" s="100">
        <v>4.6399999999999997</v>
      </c>
      <c r="C24" s="100">
        <v>5.88</v>
      </c>
      <c r="D24" s="100">
        <v>6.79</v>
      </c>
      <c r="E24" s="100">
        <v>6.79</v>
      </c>
      <c r="F24" s="100">
        <v>2</v>
      </c>
      <c r="G24" s="100">
        <v>12.3</v>
      </c>
      <c r="H24" s="100">
        <v>7.28</v>
      </c>
      <c r="I24" s="151" t="s">
        <v>8</v>
      </c>
      <c r="J24" s="100">
        <v>0.12</v>
      </c>
      <c r="K24" s="100">
        <v>100.67</v>
      </c>
      <c r="L24" s="100">
        <v>11.42</v>
      </c>
      <c r="M24" s="100">
        <v>10.58</v>
      </c>
      <c r="N24" s="100">
        <v>2.1</v>
      </c>
      <c r="O24" s="100">
        <v>0</v>
      </c>
      <c r="P24" s="100">
        <v>0.17</v>
      </c>
      <c r="Q24" s="100">
        <v>10.59</v>
      </c>
      <c r="R24" s="6"/>
      <c r="S24" s="6"/>
      <c r="T24" s="156"/>
      <c r="U24" s="6"/>
    </row>
    <row r="25" spans="1:21" customFormat="1">
      <c r="A25" s="201" t="s">
        <v>2176</v>
      </c>
      <c r="B25" s="100">
        <v>4.97</v>
      </c>
      <c r="C25" s="100">
        <v>6.03</v>
      </c>
      <c r="D25" s="100">
        <v>7.14</v>
      </c>
      <c r="E25" s="100">
        <v>6.68</v>
      </c>
      <c r="F25" s="100">
        <v>2</v>
      </c>
      <c r="G25" s="100">
        <v>12.3</v>
      </c>
      <c r="H25" s="100">
        <v>7.28</v>
      </c>
      <c r="I25" s="151" t="s">
        <v>8</v>
      </c>
      <c r="J25" s="100">
        <v>0.14000000000000001</v>
      </c>
      <c r="K25" s="100">
        <v>69.260000000000005</v>
      </c>
      <c r="L25" s="100">
        <v>10.92</v>
      </c>
      <c r="M25" s="100">
        <v>9.33</v>
      </c>
      <c r="N25" s="100">
        <v>2.1</v>
      </c>
      <c r="O25" s="100">
        <v>0</v>
      </c>
      <c r="P25" s="100">
        <v>0.19</v>
      </c>
      <c r="Q25" s="100">
        <v>10.76</v>
      </c>
      <c r="R25" s="6"/>
      <c r="S25" s="6"/>
      <c r="T25" s="156"/>
      <c r="U25" s="6"/>
    </row>
    <row r="26" spans="1:21" customFormat="1">
      <c r="A26" s="201" t="s">
        <v>2177</v>
      </c>
      <c r="B26" s="100">
        <v>5.25</v>
      </c>
      <c r="C26" s="100">
        <v>6.02</v>
      </c>
      <c r="D26" s="100">
        <v>7.35</v>
      </c>
      <c r="E26" s="100">
        <v>6.7</v>
      </c>
      <c r="F26" s="100">
        <v>2</v>
      </c>
      <c r="G26" s="100">
        <v>12.3</v>
      </c>
      <c r="H26" s="100">
        <v>7.28</v>
      </c>
      <c r="I26" s="151" t="s">
        <v>8</v>
      </c>
      <c r="J26" s="100">
        <v>0.23</v>
      </c>
      <c r="K26" s="100">
        <v>42.82</v>
      </c>
      <c r="L26" s="100">
        <v>9.25</v>
      </c>
      <c r="M26" s="100">
        <v>5.01</v>
      </c>
      <c r="N26" s="100">
        <v>2.1</v>
      </c>
      <c r="O26" s="100">
        <v>0</v>
      </c>
      <c r="P26" s="100">
        <v>0.19</v>
      </c>
      <c r="Q26" s="100">
        <v>10.48</v>
      </c>
      <c r="R26" s="6"/>
      <c r="S26" s="6"/>
      <c r="T26" s="156"/>
      <c r="U26" s="6"/>
    </row>
    <row r="27" spans="1:21" customFormat="1">
      <c r="A27" s="201" t="s">
        <v>2178</v>
      </c>
      <c r="B27" s="100">
        <v>5.49</v>
      </c>
      <c r="C27" s="100">
        <v>5.91</v>
      </c>
      <c r="D27" s="100">
        <v>7.49</v>
      </c>
      <c r="E27" s="100">
        <v>6.51</v>
      </c>
      <c r="F27" s="100">
        <v>2</v>
      </c>
      <c r="G27" s="100">
        <v>12.32</v>
      </c>
      <c r="H27" s="100">
        <v>7.31</v>
      </c>
      <c r="I27" s="151" t="s">
        <v>8</v>
      </c>
      <c r="J27" s="100">
        <v>0.1</v>
      </c>
      <c r="K27" s="100">
        <v>48.68</v>
      </c>
      <c r="L27" s="100">
        <v>13.79</v>
      </c>
      <c r="M27" s="100">
        <v>16.420000000000002</v>
      </c>
      <c r="N27" s="100">
        <v>2.1</v>
      </c>
      <c r="O27" s="100">
        <v>0</v>
      </c>
      <c r="P27" s="100">
        <v>0.18</v>
      </c>
      <c r="Q27" s="100">
        <v>9.7100000000000009</v>
      </c>
      <c r="R27" s="6"/>
      <c r="S27" s="6"/>
      <c r="T27" s="156"/>
      <c r="U27" s="6"/>
    </row>
    <row r="28" spans="1:21" customFormat="1">
      <c r="A28" s="201" t="s">
        <v>2179</v>
      </c>
      <c r="B28" s="100">
        <v>5.82</v>
      </c>
      <c r="C28" s="100">
        <v>6.06</v>
      </c>
      <c r="D28" s="100">
        <v>7.83</v>
      </c>
      <c r="E28" s="100">
        <v>6.4</v>
      </c>
      <c r="F28" s="100">
        <v>2</v>
      </c>
      <c r="G28" s="100">
        <v>12.84</v>
      </c>
      <c r="H28" s="100">
        <v>8.41</v>
      </c>
      <c r="I28" s="151" t="s">
        <v>8</v>
      </c>
      <c r="J28" s="100">
        <v>0.22</v>
      </c>
      <c r="K28" s="100">
        <v>51.75</v>
      </c>
      <c r="L28" s="100">
        <v>10.24</v>
      </c>
      <c r="M28" s="100">
        <v>7.53</v>
      </c>
      <c r="N28" s="100">
        <v>2.1</v>
      </c>
      <c r="O28" s="100">
        <v>0</v>
      </c>
      <c r="P28" s="100">
        <v>0.19</v>
      </c>
      <c r="Q28" s="100">
        <v>9.4600000000000009</v>
      </c>
      <c r="R28" s="6"/>
      <c r="S28" s="6"/>
      <c r="T28" s="156"/>
      <c r="U28" s="6"/>
    </row>
    <row r="29" spans="1:21" customFormat="1">
      <c r="A29" s="201" t="s">
        <v>2180</v>
      </c>
      <c r="B29" s="100">
        <v>6.14</v>
      </c>
      <c r="C29" s="100">
        <v>5.99</v>
      </c>
      <c r="D29" s="100">
        <v>8.06</v>
      </c>
      <c r="E29" s="100">
        <v>6.27</v>
      </c>
      <c r="F29" s="100">
        <v>2</v>
      </c>
      <c r="G29" s="100">
        <v>12.84</v>
      </c>
      <c r="H29" s="100">
        <v>8.41</v>
      </c>
      <c r="I29" s="151" t="s">
        <v>8</v>
      </c>
      <c r="J29" s="100">
        <v>0.33</v>
      </c>
      <c r="K29" s="100">
        <v>51.95</v>
      </c>
      <c r="L29" s="100">
        <v>7.85</v>
      </c>
      <c r="M29" s="100">
        <v>1.52</v>
      </c>
      <c r="N29" s="100">
        <v>2.1</v>
      </c>
      <c r="O29" s="100">
        <v>0</v>
      </c>
      <c r="P29" s="100">
        <v>0.19</v>
      </c>
      <c r="Q29" s="100">
        <v>9.32</v>
      </c>
      <c r="R29" s="6"/>
      <c r="S29" s="6"/>
      <c r="T29" s="156"/>
      <c r="U29" s="6"/>
    </row>
    <row r="30" spans="1:21" customFormat="1">
      <c r="A30" s="201" t="s">
        <v>2181</v>
      </c>
      <c r="B30" s="100">
        <v>6.42</v>
      </c>
      <c r="C30" s="100">
        <v>6.01</v>
      </c>
      <c r="D30" s="100">
        <v>8.2899999999999991</v>
      </c>
      <c r="E30" s="100">
        <v>6</v>
      </c>
      <c r="F30" s="100">
        <v>2</v>
      </c>
      <c r="G30" s="100">
        <v>12.84</v>
      </c>
      <c r="H30" s="100">
        <v>8.41</v>
      </c>
      <c r="I30" s="151" t="s">
        <v>8</v>
      </c>
      <c r="J30" s="100">
        <v>0.42</v>
      </c>
      <c r="K30" s="100">
        <v>41.53</v>
      </c>
      <c r="L30" s="100">
        <v>6.32</v>
      </c>
      <c r="M30" s="100">
        <v>-2.33</v>
      </c>
      <c r="N30" s="100">
        <v>2.1</v>
      </c>
      <c r="O30" s="100">
        <v>0</v>
      </c>
      <c r="P30" s="100">
        <v>0.18</v>
      </c>
      <c r="Q30" s="100">
        <v>9.35</v>
      </c>
      <c r="R30" s="6"/>
      <c r="S30" s="6"/>
      <c r="T30" s="156"/>
      <c r="U30" s="6"/>
    </row>
    <row r="31" spans="1:21" customFormat="1">
      <c r="A31" s="201" t="s">
        <v>2182</v>
      </c>
      <c r="B31" s="100">
        <v>6.72</v>
      </c>
      <c r="C31" s="100">
        <v>6.05</v>
      </c>
      <c r="D31" s="100">
        <v>8.5399999999999991</v>
      </c>
      <c r="E31" s="100">
        <v>4.96</v>
      </c>
      <c r="F31" s="100">
        <v>2</v>
      </c>
      <c r="G31" s="100">
        <v>12.94</v>
      </c>
      <c r="H31" s="100">
        <v>8.36</v>
      </c>
      <c r="I31" s="151" t="s">
        <v>8</v>
      </c>
      <c r="J31" s="100">
        <v>0.34</v>
      </c>
      <c r="K31" s="100">
        <v>40.72</v>
      </c>
      <c r="L31" s="100">
        <v>6.59</v>
      </c>
      <c r="M31" s="100">
        <v>-1.65</v>
      </c>
      <c r="N31" s="100">
        <v>2.1</v>
      </c>
      <c r="O31" s="100">
        <v>0</v>
      </c>
      <c r="P31" s="100">
        <v>0.19</v>
      </c>
      <c r="Q31" s="100">
        <v>9.41</v>
      </c>
      <c r="R31" s="6"/>
      <c r="S31" s="6"/>
      <c r="T31" s="156"/>
      <c r="U31" s="6"/>
    </row>
    <row r="32" spans="1:21" customFormat="1">
      <c r="A32" s="201" t="s">
        <v>2183</v>
      </c>
      <c r="B32" s="100">
        <v>7.05</v>
      </c>
      <c r="C32" s="100">
        <v>6.06</v>
      </c>
      <c r="D32" s="100">
        <v>8.82</v>
      </c>
      <c r="E32" s="100">
        <v>6.01</v>
      </c>
      <c r="F32" s="100">
        <v>2</v>
      </c>
      <c r="G32" s="100">
        <v>15.59</v>
      </c>
      <c r="H32" s="100">
        <v>6.71</v>
      </c>
      <c r="I32" s="151" t="s">
        <v>8</v>
      </c>
      <c r="J32" s="100">
        <v>0.39</v>
      </c>
      <c r="K32" s="100">
        <v>37.82</v>
      </c>
      <c r="L32" s="100">
        <v>8.07</v>
      </c>
      <c r="M32" s="100">
        <v>1.96</v>
      </c>
      <c r="N32" s="100">
        <v>2.8</v>
      </c>
      <c r="O32" s="100">
        <v>0</v>
      </c>
      <c r="P32" s="100">
        <v>0.18</v>
      </c>
      <c r="Q32" s="100">
        <v>11.69</v>
      </c>
      <c r="R32" s="6"/>
      <c r="S32" s="6"/>
      <c r="T32" s="156"/>
      <c r="U32" s="6"/>
    </row>
    <row r="33" spans="1:21" customFormat="1">
      <c r="A33" s="201" t="s">
        <v>2184</v>
      </c>
      <c r="B33" s="100">
        <v>7.32</v>
      </c>
      <c r="C33" s="100">
        <v>6.26</v>
      </c>
      <c r="D33" s="100">
        <v>9.14</v>
      </c>
      <c r="E33" s="100">
        <v>6.29</v>
      </c>
      <c r="F33" s="100">
        <v>2</v>
      </c>
      <c r="G33" s="100">
        <v>15.59</v>
      </c>
      <c r="H33" s="100">
        <v>6.71</v>
      </c>
      <c r="I33" s="151" t="s">
        <v>8</v>
      </c>
      <c r="J33" s="100">
        <v>0.46</v>
      </c>
      <c r="K33" s="100">
        <v>37.799999999999997</v>
      </c>
      <c r="L33" s="100">
        <v>6.62</v>
      </c>
      <c r="M33" s="100">
        <v>-1.69</v>
      </c>
      <c r="N33" s="100">
        <v>5.6</v>
      </c>
      <c r="O33" s="100">
        <v>0</v>
      </c>
      <c r="P33" s="100">
        <v>0.18</v>
      </c>
      <c r="Q33" s="100">
        <v>9.66</v>
      </c>
      <c r="R33" s="6"/>
      <c r="S33" s="6"/>
      <c r="T33" s="156"/>
      <c r="U33" s="6"/>
    </row>
    <row r="34" spans="1:21" customFormat="1">
      <c r="A34" s="201" t="s">
        <v>2185</v>
      </c>
      <c r="B34" s="100">
        <v>7.62</v>
      </c>
      <c r="C34" s="100">
        <v>6.22</v>
      </c>
      <c r="D34" s="100">
        <v>9.36</v>
      </c>
      <c r="E34" s="100">
        <v>6.1</v>
      </c>
      <c r="F34" s="100">
        <v>2</v>
      </c>
      <c r="G34" s="100">
        <v>15.59</v>
      </c>
      <c r="H34" s="100">
        <v>6.71</v>
      </c>
      <c r="I34" s="151" t="s">
        <v>8</v>
      </c>
      <c r="J34" s="100">
        <v>0.39</v>
      </c>
      <c r="K34" s="100">
        <v>48.1</v>
      </c>
      <c r="L34" s="100">
        <v>7.29</v>
      </c>
      <c r="M34" s="100">
        <v>-0.12</v>
      </c>
      <c r="N34" s="100">
        <v>12.4</v>
      </c>
      <c r="O34" s="100">
        <v>0</v>
      </c>
      <c r="P34" s="100">
        <v>0.18</v>
      </c>
      <c r="Q34" s="100">
        <v>9.82</v>
      </c>
      <c r="R34" s="6"/>
      <c r="S34" s="6"/>
      <c r="T34" s="156"/>
      <c r="U34" s="6"/>
    </row>
    <row r="35" spans="1:21" customFormat="1">
      <c r="A35" s="201" t="s">
        <v>2186</v>
      </c>
      <c r="B35" s="100">
        <v>7.94</v>
      </c>
      <c r="C35" s="100">
        <v>6.32</v>
      </c>
      <c r="D35" s="100">
        <v>9.67</v>
      </c>
      <c r="E35" s="100">
        <v>6.51</v>
      </c>
      <c r="F35" s="100">
        <v>2</v>
      </c>
      <c r="G35" s="100">
        <v>15.59</v>
      </c>
      <c r="H35" s="100">
        <v>6.69</v>
      </c>
      <c r="I35" s="151" t="s">
        <v>8</v>
      </c>
      <c r="J35" s="100">
        <v>0.41</v>
      </c>
      <c r="K35" s="100">
        <v>46.27</v>
      </c>
      <c r="L35" s="100">
        <v>7.73</v>
      </c>
      <c r="M35" s="100">
        <v>0.78</v>
      </c>
      <c r="N35" s="100">
        <v>21.4</v>
      </c>
      <c r="O35" s="100">
        <v>0</v>
      </c>
      <c r="P35" s="100">
        <v>0.19</v>
      </c>
      <c r="Q35" s="100">
        <v>9.61</v>
      </c>
      <c r="R35" s="6"/>
      <c r="S35" s="6"/>
      <c r="T35" s="156"/>
      <c r="U35" s="6"/>
    </row>
    <row r="36" spans="1:21" customFormat="1">
      <c r="A36" s="201" t="s">
        <v>2187</v>
      </c>
      <c r="B36" s="100">
        <v>8.2100000000000009</v>
      </c>
      <c r="C36" s="100">
        <v>6.5</v>
      </c>
      <c r="D36" s="100">
        <v>9.98</v>
      </c>
      <c r="E36" s="100">
        <v>6.64</v>
      </c>
      <c r="F36" s="100">
        <v>2</v>
      </c>
      <c r="G36" s="100">
        <v>15.53</v>
      </c>
      <c r="H36" s="100">
        <v>6.01</v>
      </c>
      <c r="I36" s="151" t="s">
        <v>8</v>
      </c>
      <c r="J36" s="100">
        <v>0.28000000000000003</v>
      </c>
      <c r="K36" s="100">
        <v>47.52</v>
      </c>
      <c r="L36" s="100">
        <v>8.4</v>
      </c>
      <c r="M36" s="100">
        <v>2.21</v>
      </c>
      <c r="N36" s="100">
        <v>32.799999999999997</v>
      </c>
      <c r="O36" s="100">
        <v>0</v>
      </c>
      <c r="P36" s="100">
        <v>0.19</v>
      </c>
      <c r="Q36" s="100">
        <v>9.59</v>
      </c>
      <c r="R36" s="6"/>
      <c r="S36" s="6"/>
      <c r="T36" s="156"/>
      <c r="U36" s="6"/>
    </row>
    <row r="37" spans="1:21" customFormat="1">
      <c r="A37" s="201" t="s">
        <v>2188</v>
      </c>
      <c r="B37" s="100">
        <v>8.33</v>
      </c>
      <c r="C37" s="100">
        <v>6.38</v>
      </c>
      <c r="D37" s="100">
        <v>10.01</v>
      </c>
      <c r="E37" s="100">
        <v>6.84</v>
      </c>
      <c r="F37" s="100">
        <v>2</v>
      </c>
      <c r="G37" s="100">
        <v>15.53</v>
      </c>
      <c r="H37" s="100">
        <v>6.01</v>
      </c>
      <c r="I37" s="151" t="s">
        <v>8</v>
      </c>
      <c r="J37" s="100">
        <v>0.33</v>
      </c>
      <c r="K37" s="100">
        <v>89.16</v>
      </c>
      <c r="L37" s="100">
        <v>10.77</v>
      </c>
      <c r="M37" s="100">
        <v>8.01</v>
      </c>
      <c r="N37" s="100">
        <v>43.7</v>
      </c>
      <c r="O37" s="100">
        <v>0</v>
      </c>
      <c r="P37" s="100">
        <v>0.18</v>
      </c>
      <c r="Q37" s="100">
        <v>9.32</v>
      </c>
      <c r="R37" s="6"/>
      <c r="S37" s="6"/>
      <c r="T37" s="156"/>
      <c r="U37" s="6"/>
    </row>
    <row r="38" spans="1:21" customFormat="1">
      <c r="A38" s="201" t="s">
        <v>2189</v>
      </c>
      <c r="B38" s="100">
        <v>8.33</v>
      </c>
      <c r="C38" s="100">
        <v>6.54</v>
      </c>
      <c r="D38" s="100">
        <v>10.1</v>
      </c>
      <c r="E38" s="100">
        <v>6.39</v>
      </c>
      <c r="F38" s="100">
        <v>2</v>
      </c>
      <c r="G38" s="100">
        <v>15.53</v>
      </c>
      <c r="H38" s="100">
        <v>6.01</v>
      </c>
      <c r="I38" s="151" t="s">
        <v>8</v>
      </c>
      <c r="J38" s="100">
        <v>0.44</v>
      </c>
      <c r="K38" s="100">
        <v>52.14</v>
      </c>
      <c r="L38" s="100">
        <v>9.31</v>
      </c>
      <c r="M38" s="100">
        <v>3.97</v>
      </c>
      <c r="N38" s="100">
        <v>56.1</v>
      </c>
      <c r="O38" s="100">
        <v>0</v>
      </c>
      <c r="P38" s="100">
        <v>0.19</v>
      </c>
      <c r="Q38" s="100">
        <v>9.39</v>
      </c>
      <c r="R38" s="6"/>
      <c r="S38" s="6"/>
      <c r="T38" s="156"/>
      <c r="U38" s="6"/>
    </row>
    <row r="39" spans="1:21" customFormat="1">
      <c r="A39" s="201" t="s">
        <v>2190</v>
      </c>
      <c r="B39" s="100">
        <v>8.2899999999999991</v>
      </c>
      <c r="C39" s="100">
        <v>6.37</v>
      </c>
      <c r="D39" s="100">
        <v>9.98</v>
      </c>
      <c r="E39" s="100">
        <v>6.32</v>
      </c>
      <c r="F39" s="100">
        <v>2</v>
      </c>
      <c r="G39" s="100">
        <v>15.49</v>
      </c>
      <c r="H39" s="100">
        <v>6.1</v>
      </c>
      <c r="I39" s="151" t="s">
        <v>8</v>
      </c>
      <c r="J39" s="100">
        <v>0.34</v>
      </c>
      <c r="K39" s="100">
        <v>61.84</v>
      </c>
      <c r="L39" s="100">
        <v>10.17</v>
      </c>
      <c r="M39" s="100">
        <v>5.13</v>
      </c>
      <c r="N39" s="100">
        <v>101.6</v>
      </c>
      <c r="O39" s="100">
        <v>0</v>
      </c>
      <c r="P39" s="100">
        <v>0.19</v>
      </c>
      <c r="Q39" s="100">
        <v>9.34</v>
      </c>
      <c r="R39" s="6"/>
      <c r="S39" s="6"/>
      <c r="T39" s="156"/>
      <c r="U39" s="6"/>
    </row>
    <row r="40" spans="1:21" customFormat="1">
      <c r="A40" s="201" t="s">
        <v>2191</v>
      </c>
      <c r="B40" s="100">
        <v>8.1300000000000008</v>
      </c>
      <c r="C40" s="100">
        <v>6.6</v>
      </c>
      <c r="D40" s="100">
        <v>9.9600000000000009</v>
      </c>
      <c r="E40" s="100">
        <v>6.07</v>
      </c>
      <c r="F40" s="100">
        <v>2</v>
      </c>
      <c r="G40" s="100">
        <v>14.38</v>
      </c>
      <c r="H40" s="100">
        <v>8.74</v>
      </c>
      <c r="I40" s="151" t="s">
        <v>8</v>
      </c>
      <c r="J40" s="100">
        <v>0.43</v>
      </c>
      <c r="K40" s="100">
        <v>48.72</v>
      </c>
      <c r="L40" s="100">
        <v>10.09</v>
      </c>
      <c r="M40" s="100">
        <v>2.59</v>
      </c>
      <c r="N40" s="100">
        <v>196.8</v>
      </c>
      <c r="O40" s="100">
        <v>0</v>
      </c>
      <c r="P40" s="100">
        <v>0.2</v>
      </c>
      <c r="Q40" s="100">
        <v>9.36</v>
      </c>
      <c r="R40" s="6"/>
      <c r="S40" s="6"/>
      <c r="T40" s="156"/>
      <c r="U40" s="6"/>
    </row>
    <row r="41" spans="1:21" customFormat="1">
      <c r="A41" s="201" t="s">
        <v>2192</v>
      </c>
      <c r="B41" s="100">
        <v>7.86</v>
      </c>
      <c r="C41" s="100">
        <v>6.83</v>
      </c>
      <c r="D41" s="100">
        <v>9.8699999999999992</v>
      </c>
      <c r="E41" s="100">
        <v>6.17</v>
      </c>
      <c r="F41" s="100">
        <v>2</v>
      </c>
      <c r="G41" s="100">
        <v>14.38</v>
      </c>
      <c r="H41" s="100">
        <v>8.74</v>
      </c>
      <c r="I41" s="151" t="s">
        <v>8</v>
      </c>
      <c r="J41" s="100">
        <v>0.55000000000000004</v>
      </c>
      <c r="K41" s="100">
        <v>48.11</v>
      </c>
      <c r="L41" s="100">
        <v>10.74</v>
      </c>
      <c r="M41" s="100">
        <v>2.81</v>
      </c>
      <c r="N41" s="100">
        <v>254.8</v>
      </c>
      <c r="O41" s="100">
        <v>0</v>
      </c>
      <c r="P41" s="100">
        <v>0.21</v>
      </c>
      <c r="Q41" s="100">
        <v>9.32</v>
      </c>
      <c r="R41" s="6"/>
      <c r="S41" s="6"/>
      <c r="T41" s="156"/>
      <c r="U41" s="6"/>
    </row>
    <row r="42" spans="1:21" customFormat="1">
      <c r="A42" s="201" t="s">
        <v>2193</v>
      </c>
      <c r="B42" s="100">
        <v>7.49</v>
      </c>
      <c r="C42" s="100">
        <v>7.03</v>
      </c>
      <c r="D42" s="100">
        <v>9.68</v>
      </c>
      <c r="E42" s="100">
        <v>6</v>
      </c>
      <c r="F42" s="100">
        <v>2</v>
      </c>
      <c r="G42" s="100">
        <v>14.38</v>
      </c>
      <c r="H42" s="100">
        <v>8.74</v>
      </c>
      <c r="I42" s="151" t="s">
        <v>8</v>
      </c>
      <c r="J42" s="100">
        <v>0.6</v>
      </c>
      <c r="K42" s="100">
        <v>40.78</v>
      </c>
      <c r="L42" s="100">
        <v>10.73</v>
      </c>
      <c r="M42" s="100">
        <v>2.15</v>
      </c>
      <c r="N42" s="100">
        <v>283.10000000000002</v>
      </c>
      <c r="O42" s="100">
        <v>0</v>
      </c>
      <c r="P42" s="100">
        <v>0.21</v>
      </c>
      <c r="Q42" s="100">
        <v>9.26</v>
      </c>
      <c r="R42" s="6"/>
      <c r="S42" s="6"/>
      <c r="T42" s="156"/>
      <c r="U42" s="6"/>
    </row>
    <row r="43" spans="1:21" customFormat="1">
      <c r="A43" s="201" t="s">
        <v>2194</v>
      </c>
      <c r="B43" s="100">
        <v>7.22</v>
      </c>
      <c r="C43" s="100">
        <v>7.03</v>
      </c>
      <c r="D43" s="100">
        <v>9.4700000000000006</v>
      </c>
      <c r="E43" s="100">
        <v>6.07</v>
      </c>
      <c r="F43" s="100">
        <v>2</v>
      </c>
      <c r="G43" s="100">
        <v>14.43</v>
      </c>
      <c r="H43" s="100">
        <v>8.7100000000000009</v>
      </c>
      <c r="I43" s="151" t="s">
        <v>8</v>
      </c>
      <c r="J43" s="100">
        <v>0.3</v>
      </c>
      <c r="K43" s="100">
        <v>66.790000000000006</v>
      </c>
      <c r="L43" s="100">
        <v>13.45</v>
      </c>
      <c r="M43" s="100">
        <v>8.5</v>
      </c>
      <c r="N43" s="100">
        <v>308.10000000000002</v>
      </c>
      <c r="O43" s="100">
        <v>0</v>
      </c>
      <c r="P43" s="100">
        <v>0.21</v>
      </c>
      <c r="Q43" s="100">
        <v>9.26</v>
      </c>
      <c r="R43" s="6"/>
      <c r="S43" s="6"/>
      <c r="T43" s="156"/>
      <c r="U43" s="6"/>
    </row>
    <row r="44" spans="1:21" customFormat="1">
      <c r="A44" s="201" t="s">
        <v>2195</v>
      </c>
      <c r="B44" s="100">
        <v>7.11</v>
      </c>
      <c r="C44" s="100">
        <v>7.16</v>
      </c>
      <c r="D44" s="100">
        <v>9.44</v>
      </c>
      <c r="E44" s="100">
        <v>6.09</v>
      </c>
      <c r="F44" s="100">
        <v>2</v>
      </c>
      <c r="G44" s="100">
        <v>15.73</v>
      </c>
      <c r="H44" s="100">
        <v>7.62</v>
      </c>
      <c r="I44" s="151" t="s">
        <v>8</v>
      </c>
      <c r="J44" s="100">
        <v>0.39</v>
      </c>
      <c r="K44" s="100">
        <v>71.55</v>
      </c>
      <c r="L44" s="100">
        <v>13.39</v>
      </c>
      <c r="M44" s="100">
        <v>9.26</v>
      </c>
      <c r="N44" s="100">
        <v>268.3</v>
      </c>
      <c r="O44" s="100">
        <v>0</v>
      </c>
      <c r="P44" s="100">
        <v>0.22</v>
      </c>
      <c r="Q44" s="100">
        <v>9.4700000000000006</v>
      </c>
      <c r="R44" s="6"/>
      <c r="S44" s="6"/>
      <c r="T44" s="156"/>
      <c r="U44" s="6"/>
    </row>
    <row r="45" spans="1:21" customFormat="1">
      <c r="A45" s="201" t="s">
        <v>2196</v>
      </c>
      <c r="B45" s="100">
        <v>7</v>
      </c>
      <c r="C45" s="100">
        <v>7.29</v>
      </c>
      <c r="D45" s="100">
        <v>9.42</v>
      </c>
      <c r="E45" s="100">
        <v>6.47</v>
      </c>
      <c r="F45" s="100">
        <v>2</v>
      </c>
      <c r="G45" s="100">
        <v>15.73</v>
      </c>
      <c r="H45" s="100">
        <v>7.62</v>
      </c>
      <c r="I45" s="151" t="s">
        <v>8</v>
      </c>
      <c r="J45" s="100">
        <v>0.32</v>
      </c>
      <c r="K45" s="100">
        <v>113.07</v>
      </c>
      <c r="L45" s="100">
        <v>15.15</v>
      </c>
      <c r="M45" s="100">
        <v>11.71</v>
      </c>
      <c r="N45" s="100">
        <v>355</v>
      </c>
      <c r="O45" s="100">
        <v>0</v>
      </c>
      <c r="P45" s="100">
        <v>0.23</v>
      </c>
      <c r="Q45" s="100">
        <v>9.58</v>
      </c>
      <c r="R45" s="6"/>
      <c r="S45" s="6"/>
      <c r="T45" s="156"/>
      <c r="U45" s="6"/>
    </row>
    <row r="46" spans="1:21" customFormat="1">
      <c r="A46" s="201" t="s">
        <v>2197</v>
      </c>
      <c r="B46" s="100">
        <v>6.85</v>
      </c>
      <c r="C46" s="100">
        <v>7.33</v>
      </c>
      <c r="D46" s="100">
        <v>9.32</v>
      </c>
      <c r="E46" s="100">
        <v>6.17</v>
      </c>
      <c r="F46" s="100">
        <v>2</v>
      </c>
      <c r="G46" s="100">
        <v>15.73</v>
      </c>
      <c r="H46" s="100">
        <v>7.62</v>
      </c>
      <c r="I46" s="151" t="s">
        <v>8</v>
      </c>
      <c r="J46" s="100">
        <v>0.38</v>
      </c>
      <c r="K46" s="100">
        <v>120</v>
      </c>
      <c r="L46" s="100">
        <v>15.74</v>
      </c>
      <c r="M46" s="100">
        <v>11.84</v>
      </c>
      <c r="N46" s="100">
        <v>417.8</v>
      </c>
      <c r="O46" s="100">
        <v>0</v>
      </c>
      <c r="P46" s="100">
        <v>0.23</v>
      </c>
      <c r="Q46" s="100">
        <v>9.4600000000000009</v>
      </c>
      <c r="R46" s="6"/>
      <c r="S46" s="6"/>
      <c r="T46" s="156"/>
      <c r="U46" s="6"/>
    </row>
    <row r="47" spans="1:21" customFormat="1">
      <c r="A47" s="201" t="s">
        <v>2198</v>
      </c>
      <c r="B47" s="100">
        <v>6.53</v>
      </c>
      <c r="C47" s="100">
        <v>7.38</v>
      </c>
      <c r="D47" s="100">
        <v>9.09</v>
      </c>
      <c r="E47" s="100">
        <v>6.24</v>
      </c>
      <c r="F47" s="100">
        <v>2</v>
      </c>
      <c r="G47" s="100">
        <v>15.69</v>
      </c>
      <c r="H47" s="100">
        <v>7.61</v>
      </c>
      <c r="I47" s="151" t="s">
        <v>8</v>
      </c>
      <c r="J47" s="100">
        <v>0.27</v>
      </c>
      <c r="K47" s="100">
        <v>102.28</v>
      </c>
      <c r="L47" s="100">
        <v>17.87</v>
      </c>
      <c r="M47" s="100">
        <v>15.99</v>
      </c>
      <c r="N47" s="100">
        <v>466</v>
      </c>
      <c r="O47" s="100">
        <v>0</v>
      </c>
      <c r="P47" s="100">
        <v>0.23</v>
      </c>
      <c r="Q47" s="100">
        <v>9.39</v>
      </c>
      <c r="R47" s="6"/>
      <c r="S47" s="6"/>
      <c r="T47" s="156"/>
      <c r="U47" s="6"/>
    </row>
    <row r="48" spans="1:21" customFormat="1">
      <c r="A48" s="201" t="s">
        <v>2199</v>
      </c>
      <c r="B48" s="100">
        <v>6.26</v>
      </c>
      <c r="C48" s="100">
        <v>7.38</v>
      </c>
      <c r="D48" s="100">
        <v>8.8699999999999992</v>
      </c>
      <c r="E48" s="100">
        <v>6.32</v>
      </c>
      <c r="F48" s="100">
        <v>2</v>
      </c>
      <c r="G48" s="100">
        <v>14.54</v>
      </c>
      <c r="H48" s="100">
        <v>7.02</v>
      </c>
      <c r="I48" s="151" t="s">
        <v>8</v>
      </c>
      <c r="J48" s="100">
        <v>0.3</v>
      </c>
      <c r="K48" s="100">
        <v>81.400000000000006</v>
      </c>
      <c r="L48" s="100">
        <v>15.78</v>
      </c>
      <c r="M48" s="100">
        <v>11.88</v>
      </c>
      <c r="N48" s="100">
        <v>412.7</v>
      </c>
      <c r="O48" s="100">
        <v>0</v>
      </c>
      <c r="P48" s="100">
        <v>0.23</v>
      </c>
      <c r="Q48" s="100">
        <v>9.32</v>
      </c>
      <c r="R48" s="6"/>
      <c r="S48" s="6"/>
      <c r="T48" s="156"/>
      <c r="U48" s="6"/>
    </row>
    <row r="49" spans="1:21" customFormat="1">
      <c r="A49" s="201" t="s">
        <v>2200</v>
      </c>
      <c r="B49" s="100">
        <v>6</v>
      </c>
      <c r="C49" s="100">
        <v>7.4</v>
      </c>
      <c r="D49" s="100">
        <v>8.68</v>
      </c>
      <c r="E49" s="100">
        <v>5.33</v>
      </c>
      <c r="F49" s="100">
        <v>2</v>
      </c>
      <c r="G49" s="100">
        <v>14.54</v>
      </c>
      <c r="H49" s="100">
        <v>7.02</v>
      </c>
      <c r="I49" s="151" t="s">
        <v>8</v>
      </c>
      <c r="J49" s="100">
        <v>0.31</v>
      </c>
      <c r="K49" s="100">
        <v>71.12</v>
      </c>
      <c r="L49" s="100">
        <v>16.16</v>
      </c>
      <c r="M49" s="100">
        <v>13.25</v>
      </c>
      <c r="N49" s="100">
        <v>395.1</v>
      </c>
      <c r="O49" s="100">
        <v>0</v>
      </c>
      <c r="P49" s="100">
        <v>0.22</v>
      </c>
      <c r="Q49" s="100">
        <v>9.32</v>
      </c>
      <c r="R49" s="6"/>
      <c r="S49" s="6"/>
      <c r="T49" s="156"/>
      <c r="U49" s="6"/>
    </row>
    <row r="50" spans="1:21" customFormat="1">
      <c r="A50" s="201" t="s">
        <v>2201</v>
      </c>
      <c r="B50" s="100">
        <v>5.68</v>
      </c>
      <c r="C50" s="100">
        <v>7.48</v>
      </c>
      <c r="D50" s="100">
        <v>8.4600000000000009</v>
      </c>
      <c r="E50" s="100">
        <v>6.42</v>
      </c>
      <c r="F50" s="100">
        <v>2</v>
      </c>
      <c r="G50" s="100">
        <v>14.54</v>
      </c>
      <c r="H50" s="100">
        <v>7.02</v>
      </c>
      <c r="I50" s="151" t="s">
        <v>8</v>
      </c>
      <c r="J50" s="100">
        <v>0.4</v>
      </c>
      <c r="K50" s="100">
        <v>71.72</v>
      </c>
      <c r="L50" s="100">
        <v>13.13</v>
      </c>
      <c r="M50" s="100">
        <v>8.65</v>
      </c>
      <c r="N50" s="100">
        <v>270.2</v>
      </c>
      <c r="O50" s="100">
        <v>0</v>
      </c>
      <c r="P50" s="100">
        <v>0.24</v>
      </c>
      <c r="Q50" s="100">
        <v>9.32</v>
      </c>
      <c r="R50" s="6"/>
      <c r="S50" s="6"/>
      <c r="T50" s="156"/>
      <c r="U50" s="6"/>
    </row>
    <row r="51" spans="1:21" customFormat="1">
      <c r="A51" s="201" t="s">
        <v>2202</v>
      </c>
      <c r="B51" s="100">
        <v>5.36</v>
      </c>
      <c r="C51" s="100">
        <v>7.37</v>
      </c>
      <c r="D51" s="100">
        <v>8.15</v>
      </c>
      <c r="E51" s="100">
        <v>6.42</v>
      </c>
      <c r="F51" s="100">
        <v>2</v>
      </c>
      <c r="G51" s="100">
        <v>14.61</v>
      </c>
      <c r="H51" s="100">
        <v>7.03</v>
      </c>
      <c r="I51" s="151" t="s">
        <v>8</v>
      </c>
      <c r="J51" s="100">
        <v>0.4</v>
      </c>
      <c r="K51" s="100">
        <v>117.45</v>
      </c>
      <c r="L51" s="100">
        <v>14.42</v>
      </c>
      <c r="M51" s="100">
        <v>12.56</v>
      </c>
      <c r="N51" s="100">
        <v>242</v>
      </c>
      <c r="O51" s="100">
        <v>0</v>
      </c>
      <c r="P51" s="100">
        <v>0.23</v>
      </c>
      <c r="Q51" s="100">
        <v>9.32</v>
      </c>
      <c r="R51" s="6"/>
      <c r="S51" s="6"/>
      <c r="T51" s="156"/>
      <c r="U51" s="6"/>
    </row>
    <row r="52" spans="1:21" customFormat="1">
      <c r="A52" s="201" t="s">
        <v>2203</v>
      </c>
      <c r="B52" s="100">
        <v>5.0199999999999996</v>
      </c>
      <c r="C52" s="100">
        <v>7.33</v>
      </c>
      <c r="D52" s="100">
        <v>7.85</v>
      </c>
      <c r="E52" s="100">
        <v>6.67</v>
      </c>
      <c r="F52" s="100">
        <v>2</v>
      </c>
      <c r="G52" s="100">
        <v>16.68</v>
      </c>
      <c r="H52" s="100">
        <v>7.47</v>
      </c>
      <c r="I52" s="151" t="s">
        <v>8</v>
      </c>
      <c r="J52" s="100">
        <v>0.5</v>
      </c>
      <c r="K52" s="100">
        <v>71.25</v>
      </c>
      <c r="L52" s="100">
        <v>12.34</v>
      </c>
      <c r="M52" s="100">
        <v>7.89</v>
      </c>
      <c r="N52" s="100">
        <v>213.1</v>
      </c>
      <c r="O52" s="100">
        <v>0</v>
      </c>
      <c r="P52" s="100">
        <v>0.24</v>
      </c>
      <c r="Q52" s="100">
        <v>9.32</v>
      </c>
      <c r="R52" s="6"/>
      <c r="S52" s="6"/>
      <c r="T52" s="156"/>
      <c r="U52" s="6"/>
    </row>
    <row r="53" spans="1:21" customFormat="1">
      <c r="A53" s="201" t="s">
        <v>2204</v>
      </c>
      <c r="B53" s="100">
        <v>4.74</v>
      </c>
      <c r="C53" s="100">
        <v>7.28</v>
      </c>
      <c r="D53" s="100">
        <v>7.6</v>
      </c>
      <c r="E53" s="100">
        <v>6.6</v>
      </c>
      <c r="F53" s="100">
        <v>2</v>
      </c>
      <c r="G53" s="100">
        <v>16.68</v>
      </c>
      <c r="H53" s="100">
        <v>7.47</v>
      </c>
      <c r="I53" s="151" t="s">
        <v>8</v>
      </c>
      <c r="J53" s="100">
        <v>0.44</v>
      </c>
      <c r="K53" s="100">
        <v>101.05</v>
      </c>
      <c r="L53" s="100">
        <v>13.55</v>
      </c>
      <c r="M53" s="100">
        <v>9.76</v>
      </c>
      <c r="N53" s="100">
        <v>264.3</v>
      </c>
      <c r="O53" s="100">
        <v>0</v>
      </c>
      <c r="P53" s="100">
        <v>0.23</v>
      </c>
      <c r="Q53" s="100">
        <v>9.35</v>
      </c>
      <c r="R53" s="6"/>
      <c r="S53" s="6"/>
      <c r="T53" s="156"/>
      <c r="U53" s="6"/>
    </row>
    <row r="54" spans="1:21" customFormat="1">
      <c r="A54" s="201" t="s">
        <v>2205</v>
      </c>
      <c r="B54" s="100">
        <v>4.41</v>
      </c>
      <c r="C54" s="100">
        <v>7.32</v>
      </c>
      <c r="D54" s="100">
        <v>7.36</v>
      </c>
      <c r="E54" s="100">
        <v>6.46</v>
      </c>
      <c r="F54" s="100">
        <v>2</v>
      </c>
      <c r="G54" s="100">
        <v>16.68</v>
      </c>
      <c r="H54" s="100">
        <v>7.47</v>
      </c>
      <c r="I54" s="151" t="s">
        <v>8</v>
      </c>
      <c r="J54" s="100">
        <v>0.28000000000000003</v>
      </c>
      <c r="K54" s="100">
        <v>119.05</v>
      </c>
      <c r="L54" s="100">
        <v>15.85</v>
      </c>
      <c r="M54" s="100">
        <v>15.56</v>
      </c>
      <c r="N54" s="100">
        <v>269.2</v>
      </c>
      <c r="O54" s="100">
        <v>0</v>
      </c>
      <c r="P54" s="100">
        <v>0.24</v>
      </c>
      <c r="Q54" s="100">
        <v>9.41</v>
      </c>
      <c r="R54" s="6"/>
      <c r="S54" s="6"/>
      <c r="T54" s="156"/>
      <c r="U54" s="6"/>
    </row>
    <row r="55" spans="1:21" customFormat="1">
      <c r="A55" s="201" t="s">
        <v>2206</v>
      </c>
      <c r="B55" s="100">
        <v>4.08</v>
      </c>
      <c r="C55" s="100">
        <v>7.19</v>
      </c>
      <c r="D55" s="100">
        <v>7.03</v>
      </c>
      <c r="E55" s="100">
        <v>6.34</v>
      </c>
      <c r="F55" s="100">
        <v>2</v>
      </c>
      <c r="G55" s="100">
        <v>16.78</v>
      </c>
      <c r="H55" s="100">
        <v>7.48</v>
      </c>
      <c r="I55" s="151" t="s">
        <v>8</v>
      </c>
      <c r="J55" s="100">
        <v>0.4</v>
      </c>
      <c r="K55" s="100">
        <v>134.76</v>
      </c>
      <c r="L55" s="100">
        <v>15.46</v>
      </c>
      <c r="M55" s="100">
        <v>16.59</v>
      </c>
      <c r="N55" s="100">
        <v>183.1</v>
      </c>
      <c r="O55" s="100">
        <v>0</v>
      </c>
      <c r="P55" s="100">
        <v>0.24</v>
      </c>
      <c r="Q55" s="100">
        <v>9.48</v>
      </c>
      <c r="R55" s="6"/>
      <c r="S55" s="6"/>
      <c r="T55" s="156"/>
      <c r="U55" s="6"/>
    </row>
    <row r="56" spans="1:21" customFormat="1">
      <c r="A56" s="201" t="s">
        <v>2207</v>
      </c>
      <c r="B56" s="100">
        <v>3.73</v>
      </c>
      <c r="C56" s="100">
        <v>7.14</v>
      </c>
      <c r="D56" s="100">
        <v>6.72</v>
      </c>
      <c r="E56" s="100">
        <v>6.49</v>
      </c>
      <c r="F56" s="100">
        <v>2</v>
      </c>
      <c r="G56" s="100">
        <v>19.52</v>
      </c>
      <c r="H56" s="100">
        <v>7.83</v>
      </c>
      <c r="I56" s="151" t="s">
        <v>8</v>
      </c>
      <c r="J56" s="100">
        <v>0.28999999999999998</v>
      </c>
      <c r="K56" s="100">
        <v>99.06</v>
      </c>
      <c r="L56" s="100">
        <v>14.64</v>
      </c>
      <c r="M56" s="100">
        <v>12.18</v>
      </c>
      <c r="N56" s="100">
        <v>281.8</v>
      </c>
      <c r="O56" s="100">
        <v>0</v>
      </c>
      <c r="P56" s="100">
        <v>0.24</v>
      </c>
      <c r="Q56" s="100">
        <v>9.4600000000000009</v>
      </c>
      <c r="R56" s="6"/>
      <c r="S56" s="6"/>
      <c r="T56" s="156"/>
      <c r="U56" s="6"/>
    </row>
    <row r="57" spans="1:21" customFormat="1">
      <c r="A57" s="201" t="s">
        <v>2208</v>
      </c>
      <c r="B57" s="100">
        <v>3.42</v>
      </c>
      <c r="C57" s="100">
        <v>7.08</v>
      </c>
      <c r="D57" s="100">
        <v>6.44</v>
      </c>
      <c r="E57" s="100">
        <v>6.46</v>
      </c>
      <c r="F57" s="100">
        <v>2</v>
      </c>
      <c r="G57" s="100">
        <v>19.52</v>
      </c>
      <c r="H57" s="100">
        <v>7.83</v>
      </c>
      <c r="I57" s="151" t="s">
        <v>8</v>
      </c>
      <c r="J57" s="100">
        <v>0.38</v>
      </c>
      <c r="K57" s="100">
        <v>140.85</v>
      </c>
      <c r="L57" s="100">
        <v>15.82</v>
      </c>
      <c r="M57" s="100">
        <v>16.97</v>
      </c>
      <c r="N57" s="100">
        <v>206.6</v>
      </c>
      <c r="O57" s="100">
        <v>0</v>
      </c>
      <c r="P57" s="100">
        <v>0.25</v>
      </c>
      <c r="Q57" s="100">
        <v>9.3699999999999992</v>
      </c>
      <c r="R57" s="6"/>
      <c r="S57" s="6"/>
      <c r="T57" s="156"/>
      <c r="U57" s="6"/>
    </row>
    <row r="58" spans="1:21" customFormat="1">
      <c r="A58" s="201" t="s">
        <v>2209</v>
      </c>
      <c r="B58" s="100">
        <v>3.13</v>
      </c>
      <c r="C58" s="100">
        <v>6.99</v>
      </c>
      <c r="D58" s="100">
        <v>6.16</v>
      </c>
      <c r="E58" s="100">
        <v>6.4</v>
      </c>
      <c r="F58" s="100">
        <v>2</v>
      </c>
      <c r="G58" s="100">
        <v>19.52</v>
      </c>
      <c r="H58" s="100">
        <v>7.83</v>
      </c>
      <c r="I58" s="151" t="s">
        <v>8</v>
      </c>
      <c r="J58" s="100">
        <v>0.31</v>
      </c>
      <c r="K58" s="100">
        <v>83.09</v>
      </c>
      <c r="L58" s="100">
        <v>13.62</v>
      </c>
      <c r="M58" s="100">
        <v>12.33</v>
      </c>
      <c r="N58" s="100">
        <v>167.6</v>
      </c>
      <c r="O58" s="100">
        <v>0</v>
      </c>
      <c r="P58" s="100">
        <v>0.26</v>
      </c>
      <c r="Q58" s="100">
        <v>9.32</v>
      </c>
      <c r="R58" s="6"/>
      <c r="S58" s="6"/>
      <c r="T58" s="156"/>
      <c r="U58" s="6"/>
    </row>
    <row r="59" spans="1:21" customFormat="1">
      <c r="A59" s="201" t="s">
        <v>2210</v>
      </c>
      <c r="B59" s="100">
        <v>2.88</v>
      </c>
      <c r="C59" s="100">
        <v>6.9</v>
      </c>
      <c r="D59" s="100">
        <v>5.91</v>
      </c>
      <c r="E59" s="100">
        <v>6.13</v>
      </c>
      <c r="F59" s="100">
        <v>2</v>
      </c>
      <c r="G59" s="100">
        <v>19.57</v>
      </c>
      <c r="H59" s="100">
        <v>7.91</v>
      </c>
      <c r="I59" s="151" t="s">
        <v>8</v>
      </c>
      <c r="J59" s="100">
        <v>0.28999999999999998</v>
      </c>
      <c r="K59" s="100">
        <v>93.57</v>
      </c>
      <c r="L59" s="100">
        <v>13.33</v>
      </c>
      <c r="M59" s="100">
        <v>10.74</v>
      </c>
      <c r="N59" s="100">
        <v>202.5</v>
      </c>
      <c r="O59" s="100">
        <v>0</v>
      </c>
      <c r="P59" s="100">
        <v>0.25</v>
      </c>
      <c r="Q59" s="100">
        <v>9.32</v>
      </c>
      <c r="R59" s="6"/>
      <c r="S59" s="6"/>
      <c r="T59" s="156"/>
      <c r="U59" s="6"/>
    </row>
    <row r="60" spans="1:21" customFormat="1">
      <c r="A60" s="201" t="s">
        <v>2211</v>
      </c>
      <c r="B60" s="100">
        <v>2.8</v>
      </c>
      <c r="C60" s="100">
        <v>6.82</v>
      </c>
      <c r="D60" s="100">
        <v>5.81</v>
      </c>
      <c r="E60" s="100">
        <v>6.58</v>
      </c>
      <c r="F60" s="100">
        <v>2</v>
      </c>
      <c r="G60" s="100">
        <v>21.16</v>
      </c>
      <c r="H60" s="100">
        <v>10.4</v>
      </c>
      <c r="I60" s="151" t="s">
        <v>8</v>
      </c>
      <c r="J60" s="100">
        <v>0.36</v>
      </c>
      <c r="K60" s="100">
        <v>117.89</v>
      </c>
      <c r="L60" s="100">
        <v>14.55</v>
      </c>
      <c r="M60" s="100">
        <v>14.36</v>
      </c>
      <c r="N60" s="100">
        <v>177.1</v>
      </c>
      <c r="O60" s="100">
        <v>0</v>
      </c>
      <c r="P60" s="100">
        <v>0.25</v>
      </c>
      <c r="Q60" s="100">
        <v>9.32</v>
      </c>
      <c r="R60" s="6"/>
      <c r="S60" s="6"/>
      <c r="T60" s="156"/>
      <c r="U60" s="6"/>
    </row>
    <row r="61" spans="1:21" customFormat="1">
      <c r="A61" s="201" t="s">
        <v>2212</v>
      </c>
      <c r="B61" s="100">
        <v>2.76</v>
      </c>
      <c r="C61" s="100">
        <v>6.63</v>
      </c>
      <c r="D61" s="100">
        <v>5.68</v>
      </c>
      <c r="E61" s="100">
        <v>7.31</v>
      </c>
      <c r="F61" s="100">
        <v>2</v>
      </c>
      <c r="G61" s="100">
        <v>21.16</v>
      </c>
      <c r="H61" s="100">
        <v>10.4</v>
      </c>
      <c r="I61" s="151" t="s">
        <v>8</v>
      </c>
      <c r="J61" s="100">
        <v>0.28999999999999998</v>
      </c>
      <c r="K61" s="100">
        <v>110.23</v>
      </c>
      <c r="L61" s="100">
        <v>15.38</v>
      </c>
      <c r="M61" s="100">
        <v>15.46</v>
      </c>
      <c r="N61" s="100">
        <v>217.2</v>
      </c>
      <c r="O61" s="100">
        <v>0</v>
      </c>
      <c r="P61" s="100">
        <v>0.24</v>
      </c>
      <c r="Q61" s="100">
        <v>9.32</v>
      </c>
      <c r="R61" s="6"/>
      <c r="S61" s="6"/>
      <c r="T61" s="156"/>
      <c r="U61" s="6"/>
    </row>
    <row r="62" spans="1:21" customFormat="1">
      <c r="A62" s="201" t="s">
        <v>2213</v>
      </c>
      <c r="B62" s="100">
        <v>2.71</v>
      </c>
      <c r="C62" s="100">
        <v>6.57</v>
      </c>
      <c r="D62" s="100">
        <v>5.61</v>
      </c>
      <c r="E62" s="100">
        <v>7.78</v>
      </c>
      <c r="F62" s="100">
        <v>2</v>
      </c>
      <c r="G62" s="100">
        <v>21.16</v>
      </c>
      <c r="H62" s="100">
        <v>10.4</v>
      </c>
      <c r="I62" s="151" t="s">
        <v>8</v>
      </c>
      <c r="J62" s="100">
        <v>0.25</v>
      </c>
      <c r="K62" s="100">
        <v>77.63</v>
      </c>
      <c r="L62" s="100">
        <v>13.83</v>
      </c>
      <c r="M62" s="100">
        <v>11.6</v>
      </c>
      <c r="N62" s="100">
        <v>212.6</v>
      </c>
      <c r="O62" s="100">
        <v>0</v>
      </c>
      <c r="P62" s="100">
        <v>0.23</v>
      </c>
      <c r="Q62" s="100">
        <v>9.32</v>
      </c>
      <c r="R62" s="6"/>
      <c r="S62" s="6"/>
      <c r="T62" s="156"/>
      <c r="U62" s="6"/>
    </row>
    <row r="63" spans="1:21" customFormat="1">
      <c r="A63" s="201" t="s">
        <v>2214</v>
      </c>
      <c r="B63" s="100">
        <v>2.65</v>
      </c>
      <c r="C63" s="100">
        <v>6.66</v>
      </c>
      <c r="D63" s="100">
        <v>5.61</v>
      </c>
      <c r="E63" s="100">
        <v>7.14</v>
      </c>
      <c r="F63" s="100">
        <v>3.38</v>
      </c>
      <c r="G63" s="100">
        <v>21.05</v>
      </c>
      <c r="H63" s="100">
        <v>10.53</v>
      </c>
      <c r="I63" s="151" t="s">
        <v>8</v>
      </c>
      <c r="J63" s="100">
        <v>0.3</v>
      </c>
      <c r="K63" s="100">
        <v>55.98</v>
      </c>
      <c r="L63" s="100">
        <v>11.8</v>
      </c>
      <c r="M63" s="100">
        <v>6.64</v>
      </c>
      <c r="N63" s="100">
        <v>200.9</v>
      </c>
      <c r="O63" s="100">
        <v>0</v>
      </c>
      <c r="P63" s="100">
        <v>0.23</v>
      </c>
      <c r="Q63" s="100">
        <v>9.32</v>
      </c>
      <c r="R63" s="6"/>
      <c r="S63" s="6"/>
      <c r="T63" s="156"/>
      <c r="U63" s="6"/>
    </row>
    <row r="64" spans="1:21" customFormat="1">
      <c r="A64" s="201" t="s">
        <v>2215</v>
      </c>
      <c r="B64" s="100">
        <v>2.59</v>
      </c>
      <c r="C64" s="100">
        <v>6.58</v>
      </c>
      <c r="D64" s="100">
        <v>5.52</v>
      </c>
      <c r="E64" s="100">
        <v>7.66</v>
      </c>
      <c r="F64" s="100">
        <v>2.2599999999999998</v>
      </c>
      <c r="G64" s="100">
        <v>18.04</v>
      </c>
      <c r="H64" s="100">
        <v>14.48</v>
      </c>
      <c r="I64" s="151" t="s">
        <v>8</v>
      </c>
      <c r="J64" s="100">
        <v>0.36</v>
      </c>
      <c r="K64" s="100">
        <v>120.62</v>
      </c>
      <c r="L64" s="100">
        <v>14.88</v>
      </c>
      <c r="M64" s="100">
        <v>14.49</v>
      </c>
      <c r="N64" s="100">
        <v>206.2</v>
      </c>
      <c r="O64" s="100">
        <v>0</v>
      </c>
      <c r="P64" s="100">
        <v>0.21</v>
      </c>
      <c r="Q64" s="100">
        <v>9.32</v>
      </c>
      <c r="R64" s="6"/>
      <c r="S64" s="6"/>
      <c r="T64" s="156"/>
      <c r="U64" s="6"/>
    </row>
    <row r="65" spans="1:21" customFormat="1">
      <c r="A65" s="201" t="s">
        <v>2216</v>
      </c>
      <c r="B65" s="100">
        <v>2.68</v>
      </c>
      <c r="C65" s="100">
        <v>6.74</v>
      </c>
      <c r="D65" s="100">
        <v>5.67</v>
      </c>
      <c r="E65" s="100">
        <v>7.01</v>
      </c>
      <c r="F65" s="100">
        <v>2.88</v>
      </c>
      <c r="G65" s="100">
        <v>18.04</v>
      </c>
      <c r="H65" s="100">
        <v>14.48</v>
      </c>
      <c r="I65" s="151" t="s">
        <v>8</v>
      </c>
      <c r="J65" s="100">
        <v>0.56999999999999995</v>
      </c>
      <c r="K65" s="100">
        <v>44.24</v>
      </c>
      <c r="L65" s="100">
        <v>10.73</v>
      </c>
      <c r="M65" s="100">
        <v>0.54</v>
      </c>
      <c r="N65" s="100">
        <v>347.4</v>
      </c>
      <c r="O65" s="100">
        <v>0</v>
      </c>
      <c r="P65" s="100">
        <v>0.22</v>
      </c>
      <c r="Q65" s="100">
        <v>9.32</v>
      </c>
      <c r="R65" s="6"/>
      <c r="S65" s="6"/>
      <c r="T65" s="156"/>
      <c r="U65" s="6"/>
    </row>
    <row r="66" spans="1:21" customFormat="1">
      <c r="A66" s="201" t="s">
        <v>2217</v>
      </c>
      <c r="B66" s="100">
        <v>2.67</v>
      </c>
      <c r="C66" s="100">
        <v>6.76</v>
      </c>
      <c r="D66" s="100">
        <v>5.68</v>
      </c>
      <c r="E66" s="100">
        <v>6.51</v>
      </c>
      <c r="F66" s="100">
        <v>2.86</v>
      </c>
      <c r="G66" s="100">
        <v>18.04</v>
      </c>
      <c r="H66" s="100">
        <v>14.48</v>
      </c>
      <c r="I66" s="151" t="s">
        <v>8</v>
      </c>
      <c r="J66" s="100">
        <v>0.33</v>
      </c>
      <c r="K66" s="100">
        <v>93.89</v>
      </c>
      <c r="L66" s="100">
        <v>13.58</v>
      </c>
      <c r="M66" s="100">
        <v>10.43</v>
      </c>
      <c r="N66" s="100">
        <v>239.7</v>
      </c>
      <c r="O66" s="100">
        <v>0</v>
      </c>
      <c r="P66" s="100">
        <v>0.23</v>
      </c>
      <c r="Q66" s="100">
        <v>9.32</v>
      </c>
      <c r="R66" s="6"/>
      <c r="S66" s="6"/>
      <c r="T66" s="156"/>
      <c r="U66" s="6"/>
    </row>
    <row r="67" spans="1:21" customFormat="1">
      <c r="A67" s="201" t="s">
        <v>2218</v>
      </c>
      <c r="B67" s="100">
        <v>2.63</v>
      </c>
      <c r="C67" s="100">
        <v>6.67</v>
      </c>
      <c r="D67" s="100">
        <v>5.6</v>
      </c>
      <c r="E67" s="100">
        <v>6.55</v>
      </c>
      <c r="F67" s="100">
        <v>5.09</v>
      </c>
      <c r="G67" s="100">
        <v>18.149999999999999</v>
      </c>
      <c r="H67" s="100">
        <v>14.42</v>
      </c>
      <c r="I67" s="151" t="s">
        <v>8</v>
      </c>
      <c r="J67" s="100">
        <v>0.56000000000000005</v>
      </c>
      <c r="K67" s="100">
        <v>47.62</v>
      </c>
      <c r="L67" s="100">
        <v>10.64</v>
      </c>
      <c r="M67" s="100">
        <v>5.64</v>
      </c>
      <c r="N67" s="100">
        <v>125</v>
      </c>
      <c r="O67" s="100">
        <v>0</v>
      </c>
      <c r="P67" s="100">
        <v>0.25</v>
      </c>
      <c r="Q67" s="100">
        <v>9.32</v>
      </c>
      <c r="R67" s="6"/>
      <c r="S67" s="6"/>
      <c r="T67" s="156"/>
      <c r="U67" s="6"/>
    </row>
    <row r="68" spans="1:21" customFormat="1">
      <c r="A68" s="201" t="s">
        <v>2219</v>
      </c>
      <c r="B68" s="100">
        <v>2.5</v>
      </c>
      <c r="C68" s="100">
        <v>6.7</v>
      </c>
      <c r="D68" s="100">
        <v>5.5</v>
      </c>
      <c r="E68" s="100">
        <v>6.72</v>
      </c>
      <c r="F68" s="100">
        <v>5.94</v>
      </c>
      <c r="G68" s="100">
        <v>21.21</v>
      </c>
      <c r="H68" s="100">
        <v>12.47</v>
      </c>
      <c r="I68" s="151" t="s">
        <v>8</v>
      </c>
      <c r="J68" s="100">
        <v>0.41</v>
      </c>
      <c r="K68" s="100">
        <v>57.05</v>
      </c>
      <c r="L68" s="100">
        <v>9.8699999999999992</v>
      </c>
      <c r="M68" s="100">
        <v>4.42</v>
      </c>
      <c r="N68" s="100">
        <v>92.5</v>
      </c>
      <c r="O68" s="100">
        <v>0</v>
      </c>
      <c r="P68" s="100">
        <v>0.24</v>
      </c>
      <c r="Q68" s="100">
        <v>9.32</v>
      </c>
      <c r="R68" s="6"/>
      <c r="S68" s="6"/>
      <c r="T68" s="156"/>
      <c r="U68" s="6"/>
    </row>
    <row r="69" spans="1:21" customFormat="1">
      <c r="A69" s="201" t="s">
        <v>2220</v>
      </c>
      <c r="B69" s="100">
        <v>2.4500000000000002</v>
      </c>
      <c r="C69" s="100">
        <v>6.64</v>
      </c>
      <c r="D69" s="100">
        <v>5.44</v>
      </c>
      <c r="E69" s="100">
        <v>6.59</v>
      </c>
      <c r="F69" s="100">
        <v>2.75</v>
      </c>
      <c r="G69" s="100">
        <v>21.21</v>
      </c>
      <c r="H69" s="100">
        <v>12.47</v>
      </c>
      <c r="I69" s="151" t="s">
        <v>8</v>
      </c>
      <c r="J69" s="100">
        <v>0.33</v>
      </c>
      <c r="K69" s="100">
        <v>53.9</v>
      </c>
      <c r="L69" s="100">
        <v>11.45</v>
      </c>
      <c r="M69" s="100">
        <v>8.66</v>
      </c>
      <c r="N69" s="100">
        <v>79.400000000000006</v>
      </c>
      <c r="O69" s="100">
        <v>0</v>
      </c>
      <c r="P69" s="100">
        <v>0.25</v>
      </c>
      <c r="Q69" s="100">
        <v>9.32</v>
      </c>
      <c r="R69" s="6"/>
      <c r="S69" s="6"/>
      <c r="T69" s="156"/>
      <c r="U69" s="6"/>
    </row>
    <row r="70" spans="1:21" customFormat="1">
      <c r="A70" s="201" t="s">
        <v>2221</v>
      </c>
      <c r="B70" s="100">
        <v>2.4500000000000002</v>
      </c>
      <c r="C70" s="100">
        <v>6.57</v>
      </c>
      <c r="D70" s="100">
        <v>5.4</v>
      </c>
      <c r="E70" s="100">
        <v>6.81</v>
      </c>
      <c r="F70" s="100">
        <v>3.17</v>
      </c>
      <c r="G70" s="100">
        <v>21.21</v>
      </c>
      <c r="H70" s="100">
        <v>12.47</v>
      </c>
      <c r="I70" s="151" t="s">
        <v>8</v>
      </c>
      <c r="J70" s="100">
        <v>0.4</v>
      </c>
      <c r="K70" s="100">
        <v>80.459999999999994</v>
      </c>
      <c r="L70" s="100">
        <v>11.4</v>
      </c>
      <c r="M70" s="100">
        <v>8.93</v>
      </c>
      <c r="N70" s="100">
        <v>70.5</v>
      </c>
      <c r="O70" s="100">
        <v>0</v>
      </c>
      <c r="P70" s="100">
        <v>0.26</v>
      </c>
      <c r="Q70" s="100">
        <v>9.32</v>
      </c>
      <c r="R70" s="6"/>
      <c r="S70" s="6"/>
      <c r="T70" s="156"/>
      <c r="U70" s="6"/>
    </row>
    <row r="71" spans="1:21" customFormat="1">
      <c r="A71" s="201" t="s">
        <v>2222</v>
      </c>
      <c r="B71" s="100">
        <v>2.37</v>
      </c>
      <c r="C71" s="100">
        <v>6.35</v>
      </c>
      <c r="D71" s="100">
        <v>5.22</v>
      </c>
      <c r="E71" s="100">
        <v>6.85</v>
      </c>
      <c r="F71" s="100">
        <v>7.36</v>
      </c>
      <c r="G71" s="100">
        <v>21.27</v>
      </c>
      <c r="H71" s="100">
        <v>12.51</v>
      </c>
      <c r="I71" s="151" t="s">
        <v>8</v>
      </c>
      <c r="J71" s="100">
        <v>0.36</v>
      </c>
      <c r="K71" s="100">
        <v>80.44</v>
      </c>
      <c r="L71" s="100">
        <v>10.43</v>
      </c>
      <c r="M71" s="100">
        <v>7</v>
      </c>
      <c r="N71" s="100">
        <v>49.7</v>
      </c>
      <c r="O71" s="100">
        <v>0</v>
      </c>
      <c r="P71" s="100">
        <v>0.25</v>
      </c>
      <c r="Q71" s="100">
        <v>9.32</v>
      </c>
      <c r="R71" s="6"/>
      <c r="S71" s="6"/>
      <c r="T71" s="156"/>
      <c r="U71" s="6"/>
    </row>
    <row r="72" spans="1:21" customFormat="1">
      <c r="A72" s="201" t="s">
        <v>2223</v>
      </c>
      <c r="B72" s="100">
        <v>2.4</v>
      </c>
      <c r="C72" s="100">
        <v>6.43</v>
      </c>
      <c r="D72" s="100">
        <v>5.29</v>
      </c>
      <c r="E72" s="100">
        <v>6.87</v>
      </c>
      <c r="F72" s="100">
        <v>2.67</v>
      </c>
      <c r="G72" s="100">
        <v>23.16</v>
      </c>
      <c r="H72" s="100">
        <v>13.78</v>
      </c>
      <c r="I72" s="151" t="s">
        <v>8</v>
      </c>
      <c r="J72" s="100">
        <v>0.35</v>
      </c>
      <c r="K72" s="100">
        <v>51.3</v>
      </c>
      <c r="L72" s="100">
        <v>10.69</v>
      </c>
      <c r="M72" s="100">
        <v>7.72</v>
      </c>
      <c r="N72" s="100">
        <v>41.4</v>
      </c>
      <c r="O72" s="100">
        <v>0</v>
      </c>
      <c r="P72" s="100">
        <v>0.26</v>
      </c>
      <c r="Q72" s="100">
        <v>9.32</v>
      </c>
      <c r="R72" s="6"/>
      <c r="S72" s="6"/>
      <c r="T72" s="156"/>
      <c r="U72" s="6"/>
    </row>
    <row r="73" spans="1:21" customFormat="1">
      <c r="A73" s="201" t="s">
        <v>2224</v>
      </c>
      <c r="B73" s="100">
        <v>2.3199999999999998</v>
      </c>
      <c r="C73" s="100">
        <v>6.56</v>
      </c>
      <c r="D73" s="100">
        <v>5.29</v>
      </c>
      <c r="E73" s="100">
        <v>7.13</v>
      </c>
      <c r="F73" s="100">
        <v>6.4</v>
      </c>
      <c r="G73" s="100">
        <v>23.16</v>
      </c>
      <c r="H73" s="100">
        <v>13.78</v>
      </c>
      <c r="I73" s="151" t="s">
        <v>8</v>
      </c>
      <c r="J73" s="100">
        <v>0.56999999999999995</v>
      </c>
      <c r="K73" s="100">
        <v>46.45</v>
      </c>
      <c r="L73" s="100">
        <v>9.2899999999999991</v>
      </c>
      <c r="M73" s="100">
        <v>4.4400000000000004</v>
      </c>
      <c r="N73" s="100">
        <v>33.5</v>
      </c>
      <c r="O73" s="100">
        <v>0</v>
      </c>
      <c r="P73" s="100">
        <v>0.27</v>
      </c>
      <c r="Q73" s="100">
        <v>9.32</v>
      </c>
      <c r="R73" s="6"/>
      <c r="S73" s="6"/>
      <c r="T73" s="156"/>
      <c r="U73" s="6"/>
    </row>
    <row r="74" spans="1:21" customFormat="1">
      <c r="A74" s="201" t="s">
        <v>2225</v>
      </c>
      <c r="B74" s="100">
        <v>2.1800000000000002</v>
      </c>
      <c r="C74" s="100">
        <v>6.6</v>
      </c>
      <c r="D74" s="100">
        <v>5.2</v>
      </c>
      <c r="E74" s="100">
        <v>7.22</v>
      </c>
      <c r="F74" s="100">
        <v>7.73</v>
      </c>
      <c r="G74" s="100">
        <v>23.16</v>
      </c>
      <c r="H74" s="100">
        <v>13.78</v>
      </c>
      <c r="I74" s="151" t="s">
        <v>8</v>
      </c>
      <c r="J74" s="100">
        <v>0.57999999999999996</v>
      </c>
      <c r="K74" s="100">
        <v>33.340000000000003</v>
      </c>
      <c r="L74" s="100">
        <v>8.33</v>
      </c>
      <c r="M74" s="100">
        <v>2.09</v>
      </c>
      <c r="N74" s="100">
        <v>26.7</v>
      </c>
      <c r="O74" s="100">
        <v>0</v>
      </c>
      <c r="P74" s="100">
        <v>0.26</v>
      </c>
      <c r="Q74" s="100">
        <v>9.32</v>
      </c>
      <c r="R74" s="6"/>
      <c r="S74" s="6"/>
      <c r="T74" s="156"/>
      <c r="U74" s="6"/>
    </row>
    <row r="75" spans="1:21" customFormat="1">
      <c r="A75" s="201" t="s">
        <v>2226</v>
      </c>
      <c r="B75" s="100">
        <v>2.29</v>
      </c>
      <c r="C75" s="100">
        <v>6.8</v>
      </c>
      <c r="D75" s="100">
        <v>5.39</v>
      </c>
      <c r="E75" s="100">
        <v>6.95</v>
      </c>
      <c r="F75" s="100">
        <v>5.18</v>
      </c>
      <c r="G75" s="100">
        <v>23.2</v>
      </c>
      <c r="H75" s="100">
        <v>13.81</v>
      </c>
      <c r="I75" s="151" t="s">
        <v>8</v>
      </c>
      <c r="J75" s="100">
        <v>0.61</v>
      </c>
      <c r="K75" s="100">
        <v>44.07</v>
      </c>
      <c r="L75" s="100">
        <v>7.24</v>
      </c>
      <c r="M75" s="100">
        <v>-0.51</v>
      </c>
      <c r="N75" s="100">
        <v>23</v>
      </c>
      <c r="O75" s="100">
        <v>0</v>
      </c>
      <c r="P75" s="100">
        <v>0.28000000000000003</v>
      </c>
      <c r="Q75" s="100">
        <v>9.32</v>
      </c>
      <c r="R75" s="6"/>
      <c r="S75" s="6"/>
      <c r="T75" s="156"/>
      <c r="U75" s="6"/>
    </row>
    <row r="76" spans="1:21" customFormat="1">
      <c r="A76" s="201" t="s">
        <v>2227</v>
      </c>
      <c r="B76" s="100">
        <v>2.39</v>
      </c>
      <c r="C76" s="100">
        <v>7.4</v>
      </c>
      <c r="D76" s="100">
        <v>5.78</v>
      </c>
      <c r="E76" s="100">
        <v>7.72</v>
      </c>
      <c r="F76" s="100">
        <v>6.78</v>
      </c>
      <c r="G76" s="100">
        <v>24.25</v>
      </c>
      <c r="H76" s="100">
        <v>14.82</v>
      </c>
      <c r="I76" s="151" t="s">
        <v>8</v>
      </c>
      <c r="J76" s="100">
        <v>0.59</v>
      </c>
      <c r="K76" s="100">
        <v>40.99</v>
      </c>
      <c r="L76" s="100">
        <v>6.95</v>
      </c>
      <c r="M76" s="100">
        <v>-1.1000000000000001</v>
      </c>
      <c r="N76" s="100">
        <v>15.4</v>
      </c>
      <c r="O76" s="100">
        <v>0</v>
      </c>
      <c r="P76" s="100">
        <v>0.3</v>
      </c>
      <c r="Q76" s="100">
        <v>9.32</v>
      </c>
      <c r="R76" s="6"/>
      <c r="S76" s="6"/>
      <c r="T76" s="156"/>
      <c r="U76" s="6"/>
    </row>
    <row r="77" spans="1:21" customFormat="1">
      <c r="A77" s="201" t="s">
        <v>2228</v>
      </c>
      <c r="B77" s="100">
        <v>2.38</v>
      </c>
      <c r="C77" s="100">
        <v>6.97</v>
      </c>
      <c r="D77" s="100">
        <v>5.55</v>
      </c>
      <c r="E77" s="100">
        <v>7.36</v>
      </c>
      <c r="F77" s="100">
        <v>3.76</v>
      </c>
      <c r="G77" s="100">
        <v>24.25</v>
      </c>
      <c r="H77" s="100">
        <v>14.82</v>
      </c>
      <c r="I77" s="151" t="s">
        <v>8</v>
      </c>
      <c r="J77" s="100">
        <v>0.53</v>
      </c>
      <c r="K77" s="100">
        <v>41.94</v>
      </c>
      <c r="L77" s="100">
        <v>7.96</v>
      </c>
      <c r="M77" s="100">
        <v>1.54</v>
      </c>
      <c r="N77" s="100">
        <v>9.5</v>
      </c>
      <c r="O77" s="100">
        <v>0</v>
      </c>
      <c r="P77" s="100">
        <v>0.3</v>
      </c>
      <c r="Q77" s="100">
        <v>9.32</v>
      </c>
      <c r="R77" s="6"/>
      <c r="S77" s="6"/>
      <c r="T77" s="156"/>
      <c r="U77" s="6"/>
    </row>
    <row r="78" spans="1:21" customFormat="1">
      <c r="A78" s="201" t="s">
        <v>2229</v>
      </c>
      <c r="B78" s="100">
        <v>2.4</v>
      </c>
      <c r="C78" s="100">
        <v>7.41</v>
      </c>
      <c r="D78" s="100">
        <v>5.79</v>
      </c>
      <c r="E78" s="100">
        <v>8.0500000000000007</v>
      </c>
      <c r="F78" s="100">
        <v>4.22</v>
      </c>
      <c r="G78" s="100">
        <v>24.25</v>
      </c>
      <c r="H78" s="100">
        <v>14.82</v>
      </c>
      <c r="I78" s="151" t="s">
        <v>8</v>
      </c>
      <c r="J78" s="100">
        <v>0.48</v>
      </c>
      <c r="K78" s="100">
        <v>48.21</v>
      </c>
      <c r="L78" s="100">
        <v>8.39</v>
      </c>
      <c r="M78" s="100">
        <v>2.76</v>
      </c>
      <c r="N78" s="100">
        <v>5.9</v>
      </c>
      <c r="O78" s="100">
        <v>0</v>
      </c>
      <c r="P78" s="100">
        <v>0.31</v>
      </c>
      <c r="Q78" s="100">
        <v>9.32</v>
      </c>
      <c r="R78" s="6"/>
      <c r="S78" s="6"/>
      <c r="T78" s="156"/>
      <c r="U78" s="6"/>
    </row>
    <row r="79" spans="1:21" customFormat="1">
      <c r="A79" s="201" t="s">
        <v>2230</v>
      </c>
      <c r="B79" s="100">
        <v>2.3199999999999998</v>
      </c>
      <c r="C79" s="100">
        <v>7.18</v>
      </c>
      <c r="D79" s="100">
        <v>5.61</v>
      </c>
      <c r="E79" s="100">
        <v>7.98</v>
      </c>
      <c r="F79" s="100">
        <v>2.3199999999999998</v>
      </c>
      <c r="G79" s="100">
        <v>24.44</v>
      </c>
      <c r="H79" s="100">
        <v>14.86</v>
      </c>
      <c r="I79" s="151" t="s">
        <v>8</v>
      </c>
      <c r="J79" s="100">
        <v>0.31</v>
      </c>
      <c r="K79" s="100">
        <v>62.7</v>
      </c>
      <c r="L79" s="100">
        <v>9.15</v>
      </c>
      <c r="M79" s="100">
        <v>4.87</v>
      </c>
      <c r="N79" s="100">
        <v>3</v>
      </c>
      <c r="O79" s="100">
        <v>0</v>
      </c>
      <c r="P79" s="100">
        <v>0.32</v>
      </c>
      <c r="Q79" s="100">
        <v>9.32</v>
      </c>
      <c r="R79" s="6"/>
      <c r="S79" s="6"/>
      <c r="T79" s="156"/>
      <c r="U79" s="6"/>
    </row>
    <row r="80" spans="1:21" customFormat="1">
      <c r="A80" s="201" t="s">
        <v>2231</v>
      </c>
      <c r="B80" s="100">
        <v>2.2000000000000002</v>
      </c>
      <c r="C80" s="100">
        <v>7.2</v>
      </c>
      <c r="D80" s="100">
        <v>5.53</v>
      </c>
      <c r="E80" s="100">
        <v>7.26</v>
      </c>
      <c r="F80" s="100">
        <v>2</v>
      </c>
      <c r="G80" s="100">
        <v>29.96</v>
      </c>
      <c r="H80" s="100">
        <v>16.149999999999999</v>
      </c>
      <c r="I80" s="151" t="s">
        <v>8</v>
      </c>
      <c r="J80" s="100">
        <v>0.64</v>
      </c>
      <c r="K80" s="100">
        <v>148.19999999999999</v>
      </c>
      <c r="L80" s="100">
        <v>14.09</v>
      </c>
      <c r="M80" s="100">
        <v>17.45</v>
      </c>
      <c r="N80" s="100">
        <v>3.8</v>
      </c>
      <c r="O80" s="100">
        <v>0</v>
      </c>
      <c r="P80" s="100">
        <v>0.33</v>
      </c>
      <c r="Q80" s="100">
        <v>9.32</v>
      </c>
      <c r="R80" s="6"/>
      <c r="S80" s="6"/>
      <c r="T80" s="156"/>
      <c r="U80" s="6"/>
    </row>
    <row r="81" spans="1:21" customFormat="1">
      <c r="A81" s="201" t="s">
        <v>2232</v>
      </c>
      <c r="B81" s="100">
        <v>2.13</v>
      </c>
      <c r="C81" s="100">
        <v>6.9</v>
      </c>
      <c r="D81" s="100">
        <v>5.32</v>
      </c>
      <c r="E81" s="100">
        <v>6.06</v>
      </c>
      <c r="F81" s="100">
        <v>2</v>
      </c>
      <c r="G81" s="100">
        <v>29.96</v>
      </c>
      <c r="H81" s="100">
        <v>16.149999999999999</v>
      </c>
      <c r="I81" s="151" t="s">
        <v>8</v>
      </c>
      <c r="J81" s="100">
        <v>0.11</v>
      </c>
      <c r="K81" s="100">
        <v>227.39</v>
      </c>
      <c r="L81" s="100">
        <v>21.11</v>
      </c>
      <c r="M81" s="100">
        <v>34.93</v>
      </c>
      <c r="N81" s="100">
        <v>3.4</v>
      </c>
      <c r="O81" s="100">
        <v>0</v>
      </c>
      <c r="P81" s="100">
        <v>0.32</v>
      </c>
      <c r="Q81" s="100">
        <v>9.32</v>
      </c>
      <c r="R81" s="6"/>
      <c r="S81" s="6"/>
      <c r="T81" s="156"/>
      <c r="U81" s="6"/>
    </row>
    <row r="82" spans="1:21" customFormat="1">
      <c r="A82" s="201" t="s">
        <v>2233</v>
      </c>
      <c r="B82" s="100">
        <v>2.09</v>
      </c>
      <c r="C82" s="100">
        <v>6.65</v>
      </c>
      <c r="D82" s="100">
        <v>5.15</v>
      </c>
      <c r="E82" s="100">
        <v>6.87</v>
      </c>
      <c r="F82" s="100">
        <v>2</v>
      </c>
      <c r="G82" s="100">
        <v>29.96</v>
      </c>
      <c r="H82" s="100">
        <v>16.149999999999999</v>
      </c>
      <c r="I82" s="151" t="s">
        <v>8</v>
      </c>
      <c r="J82" s="100">
        <v>0.22</v>
      </c>
      <c r="K82" s="100">
        <v>184.18</v>
      </c>
      <c r="L82" s="100">
        <v>18.760000000000002</v>
      </c>
      <c r="M82" s="100">
        <v>29</v>
      </c>
      <c r="N82" s="100">
        <v>2.7</v>
      </c>
      <c r="O82" s="100">
        <v>0</v>
      </c>
      <c r="P82" s="100">
        <v>0.32</v>
      </c>
      <c r="Q82" s="100">
        <v>9.32</v>
      </c>
      <c r="R82" s="6"/>
      <c r="S82" s="6"/>
      <c r="T82" s="156"/>
      <c r="U82" s="6"/>
    </row>
    <row r="83" spans="1:21" customFormat="1">
      <c r="A83" s="201" t="s">
        <v>2234</v>
      </c>
      <c r="B83" s="100">
        <v>2.0699999999999998</v>
      </c>
      <c r="C83" s="100">
        <v>6.51</v>
      </c>
      <c r="D83" s="100">
        <v>5.0599999999999996</v>
      </c>
      <c r="E83" s="100">
        <v>6.7</v>
      </c>
      <c r="F83" s="100">
        <v>2</v>
      </c>
      <c r="G83" s="100">
        <v>29.85</v>
      </c>
      <c r="H83" s="100">
        <v>16.11</v>
      </c>
      <c r="I83" s="151" t="s">
        <v>8</v>
      </c>
      <c r="J83" s="100">
        <v>0.1</v>
      </c>
      <c r="K83" s="100">
        <v>184.17</v>
      </c>
      <c r="L83" s="100">
        <v>18.18</v>
      </c>
      <c r="M83" s="100">
        <v>27.66</v>
      </c>
      <c r="N83" s="100">
        <v>2.4</v>
      </c>
      <c r="O83" s="100">
        <v>0</v>
      </c>
      <c r="P83" s="100">
        <v>0.31</v>
      </c>
      <c r="Q83" s="100">
        <v>9.32</v>
      </c>
      <c r="R83" s="6"/>
      <c r="S83" s="6"/>
      <c r="T83" s="156"/>
      <c r="U83" s="6"/>
    </row>
    <row r="84" spans="1:21" customFormat="1">
      <c r="A84" s="201" t="s">
        <v>2235</v>
      </c>
      <c r="B84" s="100">
        <v>2.09</v>
      </c>
      <c r="C84" s="100">
        <v>6.36</v>
      </c>
      <c r="D84" s="100">
        <v>5</v>
      </c>
      <c r="E84" s="100">
        <v>6.54</v>
      </c>
      <c r="F84" s="100">
        <v>2</v>
      </c>
      <c r="G84" s="100">
        <v>26.46</v>
      </c>
      <c r="H84" s="100">
        <v>15</v>
      </c>
      <c r="I84" s="151" t="s">
        <v>8</v>
      </c>
      <c r="J84" s="100">
        <v>0.1</v>
      </c>
      <c r="K84" s="100">
        <v>119.65</v>
      </c>
      <c r="L84" s="100">
        <v>13.76</v>
      </c>
      <c r="M84" s="100">
        <v>16.63</v>
      </c>
      <c r="N84" s="100">
        <v>2.1</v>
      </c>
      <c r="O84" s="100">
        <v>0</v>
      </c>
      <c r="P84" s="100">
        <v>0.3</v>
      </c>
      <c r="Q84" s="100">
        <v>9.32</v>
      </c>
      <c r="R84" s="6"/>
      <c r="S84" s="6"/>
      <c r="T84" s="156"/>
      <c r="U84" s="6"/>
    </row>
    <row r="85" spans="1:21" customFormat="1">
      <c r="A85" s="201" t="s">
        <v>2236</v>
      </c>
      <c r="B85" s="100">
        <v>2.11</v>
      </c>
      <c r="C85" s="100">
        <v>6.39</v>
      </c>
      <c r="D85" s="100">
        <v>5.03</v>
      </c>
      <c r="E85" s="100">
        <v>6.9</v>
      </c>
      <c r="F85" s="100">
        <v>2</v>
      </c>
      <c r="G85" s="100">
        <v>26.46</v>
      </c>
      <c r="H85" s="100">
        <v>15</v>
      </c>
      <c r="I85" s="151" t="s">
        <v>8</v>
      </c>
      <c r="J85" s="100">
        <v>0.13</v>
      </c>
      <c r="K85" s="100">
        <v>346.41</v>
      </c>
      <c r="L85" s="100">
        <v>19.13</v>
      </c>
      <c r="M85" s="100">
        <v>29.75</v>
      </c>
      <c r="N85" s="100">
        <v>2.1</v>
      </c>
      <c r="O85" s="100">
        <v>0</v>
      </c>
      <c r="P85" s="100">
        <v>0.31</v>
      </c>
      <c r="Q85" s="100">
        <v>9.32</v>
      </c>
      <c r="R85" s="6"/>
      <c r="S85" s="6"/>
      <c r="T85" s="156"/>
      <c r="U85" s="6"/>
    </row>
    <row r="86" spans="1:21" customFormat="1">
      <c r="A86" s="201" t="s">
        <v>2237</v>
      </c>
      <c r="B86" s="100">
        <v>2.2999999999999998</v>
      </c>
      <c r="C86" s="100">
        <v>6.73</v>
      </c>
      <c r="D86" s="100">
        <v>5.36</v>
      </c>
      <c r="E86" s="100">
        <v>7.17</v>
      </c>
      <c r="F86" s="100">
        <v>2</v>
      </c>
      <c r="G86" s="100">
        <v>26.46</v>
      </c>
      <c r="H86" s="100">
        <v>15</v>
      </c>
      <c r="I86" s="151" t="s">
        <v>8</v>
      </c>
      <c r="J86" s="100">
        <v>0.26</v>
      </c>
      <c r="K86" s="100">
        <v>44.68</v>
      </c>
      <c r="L86" s="100">
        <v>6.75</v>
      </c>
      <c r="M86" s="100">
        <v>-1.22</v>
      </c>
      <c r="N86" s="100">
        <v>2.1</v>
      </c>
      <c r="O86" s="100">
        <v>0</v>
      </c>
      <c r="P86" s="100">
        <v>0.33</v>
      </c>
      <c r="Q86" s="100">
        <v>9.32</v>
      </c>
      <c r="R86" s="6"/>
      <c r="S86" s="6"/>
      <c r="T86" s="156"/>
      <c r="U86" s="6"/>
    </row>
    <row r="87" spans="1:21" customFormat="1">
      <c r="A87" s="201" t="s">
        <v>2238</v>
      </c>
      <c r="B87" s="100">
        <v>2.54</v>
      </c>
      <c r="C87" s="100">
        <v>7.09</v>
      </c>
      <c r="D87" s="100">
        <v>5.74</v>
      </c>
      <c r="E87" s="100">
        <v>7.03</v>
      </c>
      <c r="F87" s="100">
        <v>2</v>
      </c>
      <c r="G87" s="100">
        <v>26.8</v>
      </c>
      <c r="H87" s="100">
        <v>15.26</v>
      </c>
      <c r="I87" s="151" t="s">
        <v>8</v>
      </c>
      <c r="J87" s="100">
        <v>0.28000000000000003</v>
      </c>
      <c r="K87" s="100">
        <v>59.97</v>
      </c>
      <c r="L87" s="100">
        <v>8.1999999999999993</v>
      </c>
      <c r="M87" s="100">
        <v>2.46</v>
      </c>
      <c r="N87" s="100">
        <v>2.2000000000000002</v>
      </c>
      <c r="O87" s="100">
        <v>0</v>
      </c>
      <c r="P87" s="100">
        <v>0.33</v>
      </c>
      <c r="Q87" s="100">
        <v>9.32</v>
      </c>
      <c r="R87" s="6"/>
      <c r="S87" s="6"/>
      <c r="T87" s="156"/>
      <c r="U87" s="6"/>
    </row>
    <row r="88" spans="1:21" customFormat="1">
      <c r="A88" s="201" t="s">
        <v>2239</v>
      </c>
      <c r="B88" s="100">
        <v>2.7</v>
      </c>
      <c r="C88" s="100">
        <v>7.42</v>
      </c>
      <c r="D88" s="100">
        <v>6.04</v>
      </c>
      <c r="E88" s="100">
        <v>7.08</v>
      </c>
      <c r="F88" s="100">
        <v>2</v>
      </c>
      <c r="G88" s="100">
        <v>36.61</v>
      </c>
      <c r="H88" s="100">
        <v>23.38</v>
      </c>
      <c r="I88" s="151" t="s">
        <v>8</v>
      </c>
      <c r="J88" s="100">
        <v>0.14000000000000001</v>
      </c>
      <c r="K88" s="100">
        <v>104.56</v>
      </c>
      <c r="L88" s="100">
        <v>10.66</v>
      </c>
      <c r="M88" s="100">
        <v>8.76</v>
      </c>
      <c r="N88" s="100">
        <v>2.1</v>
      </c>
      <c r="O88" s="100">
        <v>0</v>
      </c>
      <c r="P88" s="100">
        <v>0.33</v>
      </c>
      <c r="Q88" s="100">
        <v>9.32</v>
      </c>
      <c r="R88" s="6"/>
      <c r="S88" s="6"/>
      <c r="T88" s="156"/>
      <c r="U88" s="6"/>
    </row>
    <row r="89" spans="1:21" customFormat="1">
      <c r="A89" s="201" t="s">
        <v>2240</v>
      </c>
      <c r="B89" s="100">
        <v>2.8</v>
      </c>
      <c r="C89" s="100">
        <v>7.31</v>
      </c>
      <c r="D89" s="100">
        <v>6.06</v>
      </c>
      <c r="E89" s="100">
        <v>7.17</v>
      </c>
      <c r="F89" s="100">
        <v>2</v>
      </c>
      <c r="G89" s="100">
        <v>36.61</v>
      </c>
      <c r="H89" s="100">
        <v>23.38</v>
      </c>
      <c r="I89" s="151" t="s">
        <v>8</v>
      </c>
      <c r="J89" s="100">
        <v>0.17</v>
      </c>
      <c r="K89" s="100">
        <v>174.03</v>
      </c>
      <c r="L89" s="100">
        <v>16.59</v>
      </c>
      <c r="M89" s="100">
        <v>23.78</v>
      </c>
      <c r="N89" s="100">
        <v>2.2999999999999998</v>
      </c>
      <c r="O89" s="100">
        <v>0</v>
      </c>
      <c r="P89" s="100">
        <v>0.34</v>
      </c>
      <c r="Q89" s="100">
        <v>9.32</v>
      </c>
      <c r="R89" s="6"/>
      <c r="S89" s="6"/>
      <c r="T89" s="156"/>
      <c r="U89" s="6"/>
    </row>
    <row r="90" spans="1:21" customFormat="1">
      <c r="A90" s="201" t="s">
        <v>2241</v>
      </c>
      <c r="B90" s="100">
        <v>2.85</v>
      </c>
      <c r="C90" s="100">
        <v>7.23</v>
      </c>
      <c r="D90" s="100">
        <v>6.06</v>
      </c>
      <c r="E90" s="100">
        <v>7.28</v>
      </c>
      <c r="F90" s="100">
        <v>2</v>
      </c>
      <c r="G90" s="100">
        <v>36.61</v>
      </c>
      <c r="H90" s="100">
        <v>23.38</v>
      </c>
      <c r="I90" s="151" t="s">
        <v>8</v>
      </c>
      <c r="J90" s="100">
        <v>0.2</v>
      </c>
      <c r="K90" s="100">
        <v>169.14</v>
      </c>
      <c r="L90" s="100">
        <v>16.48</v>
      </c>
      <c r="M90" s="100">
        <v>23.48</v>
      </c>
      <c r="N90" s="100">
        <v>2.2999999999999998</v>
      </c>
      <c r="O90" s="100">
        <v>0</v>
      </c>
      <c r="P90" s="100">
        <v>0.34</v>
      </c>
      <c r="Q90" s="100">
        <v>9.32</v>
      </c>
      <c r="R90" s="6"/>
      <c r="S90" s="6"/>
      <c r="T90" s="156"/>
      <c r="U90" s="6"/>
    </row>
    <row r="91" spans="1:21" customFormat="1">
      <c r="A91" s="201" t="s">
        <v>2242</v>
      </c>
      <c r="B91" s="100">
        <v>2.81</v>
      </c>
      <c r="C91" s="100">
        <v>7.24</v>
      </c>
      <c r="D91" s="100">
        <v>6.04</v>
      </c>
      <c r="E91" s="100">
        <v>6.92</v>
      </c>
      <c r="F91" s="100">
        <v>2</v>
      </c>
      <c r="G91" s="100">
        <v>36.979999999999997</v>
      </c>
      <c r="H91" s="100">
        <v>23.61</v>
      </c>
      <c r="I91" s="151" t="s">
        <v>8</v>
      </c>
      <c r="J91" s="100">
        <v>0.15</v>
      </c>
      <c r="K91" s="100">
        <v>114.94</v>
      </c>
      <c r="L91" s="100">
        <v>11.79</v>
      </c>
      <c r="M91" s="100">
        <v>11.66</v>
      </c>
      <c r="N91" s="100">
        <v>2.1</v>
      </c>
      <c r="O91" s="100">
        <v>0</v>
      </c>
      <c r="P91" s="100">
        <v>0.35</v>
      </c>
      <c r="Q91" s="100">
        <v>9.32</v>
      </c>
      <c r="R91" s="6"/>
      <c r="S91" s="6"/>
      <c r="T91" s="156"/>
      <c r="U91" s="6"/>
    </row>
    <row r="92" spans="1:21" customFormat="1">
      <c r="A92" s="201" t="s">
        <v>2243</v>
      </c>
      <c r="B92" s="100">
        <v>2.81</v>
      </c>
      <c r="C92" s="100">
        <v>7.35</v>
      </c>
      <c r="D92" s="100">
        <v>6.1</v>
      </c>
      <c r="E92" s="100">
        <v>7.57</v>
      </c>
      <c r="F92" s="100">
        <v>2</v>
      </c>
      <c r="G92" s="100">
        <v>47.89</v>
      </c>
      <c r="H92" s="100">
        <v>30.77</v>
      </c>
      <c r="I92" s="151" t="s">
        <v>8</v>
      </c>
      <c r="J92" s="100">
        <v>0.16</v>
      </c>
      <c r="K92" s="100">
        <v>89.26</v>
      </c>
      <c r="L92" s="100">
        <v>10.68</v>
      </c>
      <c r="M92" s="100">
        <v>8.7899999999999991</v>
      </c>
      <c r="N92" s="100">
        <v>2.1</v>
      </c>
      <c r="O92" s="100">
        <v>0</v>
      </c>
      <c r="P92" s="100">
        <v>0.35</v>
      </c>
      <c r="Q92" s="100">
        <v>9.32</v>
      </c>
      <c r="R92" s="6"/>
      <c r="S92" s="6"/>
      <c r="T92" s="156"/>
      <c r="U92" s="6"/>
    </row>
    <row r="93" spans="1:21" customFormat="1">
      <c r="A93" s="201" t="s">
        <v>2244</v>
      </c>
      <c r="B93" s="100">
        <v>2.83</v>
      </c>
      <c r="C93" s="100">
        <v>7.18</v>
      </c>
      <c r="D93" s="100">
        <v>6.02</v>
      </c>
      <c r="E93" s="100">
        <v>7.28</v>
      </c>
      <c r="F93" s="100">
        <v>2</v>
      </c>
      <c r="G93" s="100">
        <v>47.89</v>
      </c>
      <c r="H93" s="100">
        <v>30.77</v>
      </c>
      <c r="I93" s="151" t="s">
        <v>8</v>
      </c>
      <c r="J93" s="100">
        <v>0.32</v>
      </c>
      <c r="K93" s="100">
        <v>57.04</v>
      </c>
      <c r="L93" s="100">
        <v>8.3000000000000007</v>
      </c>
      <c r="M93" s="100">
        <v>2.78</v>
      </c>
      <c r="N93" s="100">
        <v>2.1</v>
      </c>
      <c r="O93" s="100">
        <v>0</v>
      </c>
      <c r="P93" s="100">
        <v>0.36</v>
      </c>
      <c r="Q93" s="100">
        <v>9.32</v>
      </c>
      <c r="R93" s="6"/>
      <c r="S93" s="6"/>
      <c r="T93" s="156"/>
      <c r="U93" s="6"/>
    </row>
    <row r="94" spans="1:21" customFormat="1">
      <c r="A94" s="201" t="s">
        <v>2245</v>
      </c>
      <c r="B94" s="100">
        <v>2.83</v>
      </c>
      <c r="C94" s="100">
        <v>7.42</v>
      </c>
      <c r="D94" s="100">
        <v>6.15</v>
      </c>
      <c r="E94" s="100">
        <v>7.3</v>
      </c>
      <c r="F94" s="100">
        <v>2</v>
      </c>
      <c r="G94" s="100">
        <v>47.89</v>
      </c>
      <c r="H94" s="100">
        <v>30.77</v>
      </c>
      <c r="I94" s="151" t="s">
        <v>8</v>
      </c>
      <c r="J94" s="100">
        <v>0.35</v>
      </c>
      <c r="K94" s="100">
        <v>48.03</v>
      </c>
      <c r="L94" s="100">
        <v>8.09</v>
      </c>
      <c r="M94" s="100">
        <v>2.14</v>
      </c>
      <c r="N94" s="100">
        <v>2.2999999999999998</v>
      </c>
      <c r="O94" s="100">
        <v>0</v>
      </c>
      <c r="P94" s="100">
        <v>0.37</v>
      </c>
      <c r="Q94" s="100">
        <v>9.32</v>
      </c>
      <c r="R94" s="6"/>
      <c r="S94" s="6"/>
      <c r="T94" s="156"/>
      <c r="U94" s="6"/>
    </row>
    <row r="95" spans="1:21" customFormat="1">
      <c r="A95" s="201" t="s">
        <v>2246</v>
      </c>
      <c r="B95" s="100">
        <v>2.8</v>
      </c>
      <c r="C95" s="100">
        <v>7.59</v>
      </c>
      <c r="D95" s="100">
        <v>6.21</v>
      </c>
      <c r="E95" s="100">
        <v>7.41</v>
      </c>
      <c r="F95" s="100">
        <v>2</v>
      </c>
      <c r="G95" s="100">
        <v>47.89</v>
      </c>
      <c r="H95" s="100">
        <v>30.74</v>
      </c>
      <c r="I95" s="151" t="s">
        <v>8</v>
      </c>
      <c r="J95" s="100">
        <v>0.36</v>
      </c>
      <c r="K95" s="100">
        <v>50.9</v>
      </c>
      <c r="L95" s="100">
        <v>8.0399999999999991</v>
      </c>
      <c r="M95" s="100">
        <v>2.08</v>
      </c>
      <c r="N95" s="100">
        <v>2.4</v>
      </c>
      <c r="O95" s="100">
        <v>0</v>
      </c>
      <c r="P95" s="100">
        <v>0.37</v>
      </c>
      <c r="Q95" s="100">
        <v>9.32</v>
      </c>
      <c r="R95" s="6"/>
      <c r="S95" s="6"/>
      <c r="T95" s="156"/>
      <c r="U95" s="6"/>
    </row>
    <row r="96" spans="1:21" customFormat="1">
      <c r="A96" s="201" t="s">
        <v>2247</v>
      </c>
      <c r="B96" s="100">
        <v>2.8</v>
      </c>
      <c r="C96" s="100">
        <v>7.69</v>
      </c>
      <c r="D96" s="100">
        <v>6.26</v>
      </c>
      <c r="E96" s="100">
        <v>7.34</v>
      </c>
      <c r="F96" s="100">
        <v>2</v>
      </c>
      <c r="G96" s="100">
        <v>47.85</v>
      </c>
      <c r="H96" s="100">
        <v>29.73</v>
      </c>
      <c r="I96" s="151" t="s">
        <v>8</v>
      </c>
      <c r="J96" s="100">
        <v>0.38</v>
      </c>
      <c r="K96" s="100">
        <v>51.15</v>
      </c>
      <c r="L96" s="100">
        <v>7.45</v>
      </c>
      <c r="M96" s="100">
        <v>0.56000000000000005</v>
      </c>
      <c r="N96" s="100">
        <v>2.4</v>
      </c>
      <c r="O96" s="100">
        <v>0</v>
      </c>
      <c r="P96" s="100">
        <v>0.39</v>
      </c>
      <c r="Q96" s="100">
        <v>9.34</v>
      </c>
      <c r="R96" s="6"/>
      <c r="S96" s="6"/>
      <c r="T96" s="156"/>
      <c r="U96" s="6"/>
    </row>
    <row r="97" spans="1:28" customFormat="1">
      <c r="A97" s="201" t="s">
        <v>2248</v>
      </c>
      <c r="B97" s="100">
        <v>2.78</v>
      </c>
      <c r="C97" s="100">
        <v>7.5</v>
      </c>
      <c r="D97" s="100">
        <v>6.14</v>
      </c>
      <c r="E97" s="100">
        <v>7.67</v>
      </c>
      <c r="F97" s="100">
        <v>2</v>
      </c>
      <c r="G97" s="100">
        <v>47.85</v>
      </c>
      <c r="H97" s="100">
        <v>29.73</v>
      </c>
      <c r="I97" s="151" t="s">
        <v>8</v>
      </c>
      <c r="J97" s="100">
        <v>0.43</v>
      </c>
      <c r="K97" s="100">
        <v>45.18</v>
      </c>
      <c r="L97" s="100">
        <v>7.06</v>
      </c>
      <c r="M97" s="100">
        <v>-0.44</v>
      </c>
      <c r="N97" s="100">
        <v>2.4</v>
      </c>
      <c r="O97" s="100">
        <v>0</v>
      </c>
      <c r="P97" s="100">
        <v>0.39</v>
      </c>
      <c r="Q97" s="100">
        <v>9.32</v>
      </c>
      <c r="R97" s="6"/>
      <c r="S97" s="6"/>
      <c r="T97" s="156"/>
      <c r="U97" s="6"/>
    </row>
    <row r="98" spans="1:28" customFormat="1">
      <c r="A98" s="201" t="s">
        <v>2249</v>
      </c>
      <c r="B98" s="100">
        <v>2.76</v>
      </c>
      <c r="C98" s="100">
        <v>7.62</v>
      </c>
      <c r="D98" s="100">
        <v>6.19</v>
      </c>
      <c r="E98" s="100">
        <v>7.75</v>
      </c>
      <c r="F98" s="100">
        <v>2</v>
      </c>
      <c r="G98" s="100">
        <v>47.85</v>
      </c>
      <c r="H98" s="100">
        <v>29.73</v>
      </c>
      <c r="I98" s="151" t="s">
        <v>8</v>
      </c>
      <c r="J98" s="100">
        <v>0.36</v>
      </c>
      <c r="K98" s="100">
        <v>48.98</v>
      </c>
      <c r="L98" s="100">
        <v>8.43</v>
      </c>
      <c r="M98" s="100">
        <v>3.04</v>
      </c>
      <c r="N98" s="100">
        <v>2.2999999999999998</v>
      </c>
      <c r="O98" s="100">
        <v>0</v>
      </c>
      <c r="P98" s="100">
        <v>0.39</v>
      </c>
      <c r="Q98" s="100">
        <v>9.32</v>
      </c>
      <c r="R98" s="6"/>
      <c r="S98" s="6"/>
      <c r="T98" s="156"/>
      <c r="U98" s="6"/>
    </row>
    <row r="99" spans="1:28" customFormat="1">
      <c r="A99" s="201" t="s">
        <v>2250</v>
      </c>
      <c r="B99" s="100">
        <v>2.76</v>
      </c>
      <c r="C99" s="100">
        <v>8.1</v>
      </c>
      <c r="D99" s="100">
        <v>6.45</v>
      </c>
      <c r="E99" s="100">
        <v>7.76</v>
      </c>
      <c r="F99" s="100">
        <v>2.3199999999999998</v>
      </c>
      <c r="G99" s="100">
        <v>47.9</v>
      </c>
      <c r="H99" s="100">
        <v>29.71</v>
      </c>
      <c r="I99" s="151" t="s">
        <v>8</v>
      </c>
      <c r="J99" s="100">
        <v>0.3</v>
      </c>
      <c r="K99" s="100">
        <v>50.9</v>
      </c>
      <c r="L99" s="100">
        <v>8.27</v>
      </c>
      <c r="M99" s="100">
        <v>2.66</v>
      </c>
      <c r="N99" s="100">
        <v>2.4</v>
      </c>
      <c r="O99" s="100">
        <v>0</v>
      </c>
      <c r="P99" s="100">
        <v>0.39</v>
      </c>
      <c r="Q99" s="100">
        <v>9.32</v>
      </c>
      <c r="R99" s="6"/>
      <c r="S99" s="6"/>
      <c r="T99" s="156"/>
      <c r="U99" s="6"/>
    </row>
    <row r="100" spans="1:28" customFormat="1">
      <c r="A100" s="201" t="s">
        <v>2251</v>
      </c>
      <c r="B100" s="100">
        <v>2.81</v>
      </c>
      <c r="C100" s="100">
        <v>8.32</v>
      </c>
      <c r="D100" s="100">
        <v>6.6</v>
      </c>
      <c r="E100" s="100">
        <v>8.2899999999999991</v>
      </c>
      <c r="F100" s="100">
        <v>2.04</v>
      </c>
      <c r="G100" s="100">
        <v>49.35</v>
      </c>
      <c r="H100" s="100">
        <v>29.06</v>
      </c>
      <c r="I100" s="151" t="s">
        <v>8</v>
      </c>
      <c r="J100" s="100">
        <v>0.28999999999999998</v>
      </c>
      <c r="K100" s="100">
        <v>57.6</v>
      </c>
      <c r="L100" s="100">
        <v>8.76</v>
      </c>
      <c r="M100" s="100">
        <v>3.89</v>
      </c>
      <c r="N100" s="100">
        <v>2.4</v>
      </c>
      <c r="O100" s="100">
        <v>0</v>
      </c>
      <c r="P100" s="100">
        <v>0.38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2252</v>
      </c>
      <c r="B101" s="100">
        <v>3.14</v>
      </c>
      <c r="C101" s="100">
        <v>7.79</v>
      </c>
      <c r="D101" s="100">
        <v>6.59</v>
      </c>
      <c r="E101" s="100">
        <v>8.1</v>
      </c>
      <c r="F101" s="100">
        <v>2</v>
      </c>
      <c r="G101" s="100">
        <v>49.35</v>
      </c>
      <c r="H101" s="100">
        <v>29.06</v>
      </c>
      <c r="I101" s="151" t="s">
        <v>8</v>
      </c>
      <c r="J101" s="100">
        <v>0.28999999999999998</v>
      </c>
      <c r="K101" s="100">
        <v>55.21</v>
      </c>
      <c r="L101" s="100">
        <v>9.3699999999999992</v>
      </c>
      <c r="M101" s="100">
        <v>5.37</v>
      </c>
      <c r="N101" s="100">
        <v>2.4</v>
      </c>
      <c r="O101" s="100">
        <v>0</v>
      </c>
      <c r="P101" s="100">
        <v>0.37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2253</v>
      </c>
      <c r="B102" s="100">
        <v>3.02</v>
      </c>
      <c r="C102" s="100">
        <v>7.3</v>
      </c>
      <c r="D102" s="100">
        <v>6.23</v>
      </c>
      <c r="E102" s="100">
        <v>7.61</v>
      </c>
      <c r="F102" s="100">
        <v>2</v>
      </c>
      <c r="G102" s="100">
        <v>49.35</v>
      </c>
      <c r="H102" s="100">
        <v>29.06</v>
      </c>
      <c r="I102" s="151" t="s">
        <v>8</v>
      </c>
      <c r="J102" s="100">
        <v>0.15</v>
      </c>
      <c r="K102" s="100">
        <v>144.08000000000001</v>
      </c>
      <c r="L102" s="100">
        <v>15.32</v>
      </c>
      <c r="M102" s="100">
        <v>20.51</v>
      </c>
      <c r="N102" s="100">
        <v>2.2999999999999998</v>
      </c>
      <c r="O102" s="100">
        <v>0</v>
      </c>
      <c r="P102" s="100">
        <v>0.38</v>
      </c>
      <c r="Q102" s="100">
        <v>9.33</v>
      </c>
      <c r="R102" s="6"/>
      <c r="S102" s="6"/>
      <c r="T102" s="156"/>
      <c r="U102" s="6"/>
    </row>
    <row r="103" spans="1:28" customFormat="1">
      <c r="A103" s="201" t="s">
        <v>2254</v>
      </c>
      <c r="B103" s="100">
        <v>2.9</v>
      </c>
      <c r="C103" s="100">
        <v>7.05</v>
      </c>
      <c r="D103" s="100">
        <v>6.01</v>
      </c>
      <c r="E103" s="100">
        <v>7.81</v>
      </c>
      <c r="F103" s="100">
        <v>2</v>
      </c>
      <c r="G103" s="100">
        <v>49.29</v>
      </c>
      <c r="H103" s="100">
        <v>29.08</v>
      </c>
      <c r="I103" s="151" t="s">
        <v>8</v>
      </c>
      <c r="J103" s="100">
        <v>0.1</v>
      </c>
      <c r="K103" s="100">
        <v>139.78</v>
      </c>
      <c r="L103" s="100">
        <v>13.9</v>
      </c>
      <c r="M103" s="100">
        <v>16.96</v>
      </c>
      <c r="N103" s="100">
        <v>2.4</v>
      </c>
      <c r="O103" s="100">
        <v>0</v>
      </c>
      <c r="P103" s="100">
        <v>0.37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2255</v>
      </c>
      <c r="B104" s="100">
        <v>3.08</v>
      </c>
      <c r="C104" s="100">
        <v>6.9</v>
      </c>
      <c r="D104" s="100">
        <v>6.07</v>
      </c>
      <c r="E104" s="100">
        <v>7.54</v>
      </c>
      <c r="F104" s="100">
        <v>2</v>
      </c>
      <c r="G104" s="100">
        <v>47.36</v>
      </c>
      <c r="H104" s="100">
        <v>29.74</v>
      </c>
      <c r="I104" s="151" t="s">
        <v>8</v>
      </c>
      <c r="J104" s="100">
        <v>0.09</v>
      </c>
      <c r="K104" s="100">
        <v>156.13</v>
      </c>
      <c r="L104" s="100">
        <v>14.99</v>
      </c>
      <c r="M104" s="100">
        <v>19.71</v>
      </c>
      <c r="N104" s="100">
        <v>2.4</v>
      </c>
      <c r="O104" s="100">
        <v>0</v>
      </c>
      <c r="P104" s="100">
        <v>0.4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2.0699999999999998</v>
      </c>
      <c r="C106" s="158">
        <f>MIN(C9:C104)</f>
        <v>5.55</v>
      </c>
      <c r="D106" s="158">
        <f t="shared" ref="D106:Q106" si="0">MIN(D9:D104)</f>
        <v>5</v>
      </c>
      <c r="E106" s="158">
        <f t="shared" si="0"/>
        <v>4.96</v>
      </c>
      <c r="F106" s="158">
        <f t="shared" si="0"/>
        <v>2</v>
      </c>
      <c r="G106" s="158">
        <f t="shared" si="0"/>
        <v>11.04</v>
      </c>
      <c r="H106" s="158">
        <f t="shared" si="0"/>
        <v>6.01</v>
      </c>
      <c r="I106" s="158">
        <f t="shared" si="0"/>
        <v>0</v>
      </c>
      <c r="J106" s="158">
        <f t="shared" si="0"/>
        <v>0.09</v>
      </c>
      <c r="K106" s="158">
        <f t="shared" si="0"/>
        <v>33.340000000000003</v>
      </c>
      <c r="L106" s="158">
        <f t="shared" si="0"/>
        <v>6.32</v>
      </c>
      <c r="M106" s="158">
        <f t="shared" si="0"/>
        <v>-2.33</v>
      </c>
      <c r="N106" s="158">
        <f t="shared" si="0"/>
        <v>1.7</v>
      </c>
      <c r="O106" s="158">
        <f t="shared" si="0"/>
        <v>0</v>
      </c>
      <c r="P106" s="158">
        <f t="shared" si="0"/>
        <v>0.17</v>
      </c>
      <c r="Q106" s="158">
        <f t="shared" si="0"/>
        <v>9.26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8.33</v>
      </c>
      <c r="C107" s="157">
        <f t="shared" ref="C107:Q107" si="1">MAX(C9:C104)</f>
        <v>8.32</v>
      </c>
      <c r="D107" s="157">
        <f t="shared" si="1"/>
        <v>10.1</v>
      </c>
      <c r="E107" s="157">
        <f t="shared" si="1"/>
        <v>8.2899999999999991</v>
      </c>
      <c r="F107" s="157">
        <f t="shared" si="1"/>
        <v>7.73</v>
      </c>
      <c r="G107" s="157">
        <f t="shared" si="1"/>
        <v>49.35</v>
      </c>
      <c r="H107" s="157">
        <f t="shared" si="1"/>
        <v>30.77</v>
      </c>
      <c r="I107" s="157">
        <f t="shared" si="1"/>
        <v>0</v>
      </c>
      <c r="J107" s="157">
        <f t="shared" si="1"/>
        <v>0.64</v>
      </c>
      <c r="K107" s="157">
        <f t="shared" si="1"/>
        <v>346.41</v>
      </c>
      <c r="L107" s="157">
        <f t="shared" si="1"/>
        <v>21.11</v>
      </c>
      <c r="M107" s="157">
        <f t="shared" si="1"/>
        <v>34.93</v>
      </c>
      <c r="N107" s="157">
        <f t="shared" si="1"/>
        <v>466</v>
      </c>
      <c r="O107" s="157">
        <f t="shared" si="1"/>
        <v>0</v>
      </c>
      <c r="P107" s="157">
        <f t="shared" si="1"/>
        <v>0.4</v>
      </c>
      <c r="Q107" s="157">
        <f t="shared" si="1"/>
        <v>11.69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4.0523958333333319</v>
      </c>
      <c r="C108" s="158">
        <f t="shared" ref="C108:Q108" si="2">AVERAGE(C9:C104)</f>
        <v>6.7232291666666653</v>
      </c>
      <c r="D108" s="158">
        <f t="shared" si="2"/>
        <v>6.7621875000000005</v>
      </c>
      <c r="E108" s="158">
        <f t="shared" si="2"/>
        <v>6.8572916666666623</v>
      </c>
      <c r="F108" s="158">
        <f t="shared" si="2"/>
        <v>2.4282291666666662</v>
      </c>
      <c r="G108" s="158">
        <f t="shared" si="2"/>
        <v>22.828437499999996</v>
      </c>
      <c r="H108" s="158">
        <f t="shared" si="2"/>
        <v>13.552499999999997</v>
      </c>
      <c r="I108" s="158" t="e">
        <f t="shared" si="2"/>
        <v>#DIV/0!</v>
      </c>
      <c r="J108" s="158">
        <f t="shared" si="2"/>
        <v>0.30666666666666664</v>
      </c>
      <c r="K108" s="158">
        <f t="shared" si="2"/>
        <v>90.659999999999968</v>
      </c>
      <c r="L108" s="158">
        <f t="shared" si="2"/>
        <v>11.884687499999998</v>
      </c>
      <c r="M108" s="158">
        <f t="shared" si="2"/>
        <v>9.794895833333328</v>
      </c>
      <c r="N108" s="158">
        <f t="shared" si="2"/>
        <v>85.614583333333272</v>
      </c>
      <c r="O108" s="158">
        <f t="shared" si="2"/>
        <v>0</v>
      </c>
      <c r="P108" s="158">
        <f t="shared" si="2"/>
        <v>0.25885416666666672</v>
      </c>
      <c r="Q108" s="158">
        <f t="shared" si="2"/>
        <v>9.4944791666666877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1.9350472562115733</v>
      </c>
      <c r="C109" s="158">
        <f t="shared" ref="C109:Q109" si="3">STDEV(C9:C104)</f>
        <v>0.622160065360856</v>
      </c>
      <c r="D109" s="158">
        <f t="shared" si="3"/>
        <v>1.5409349199857765</v>
      </c>
      <c r="E109" s="158">
        <f t="shared" si="3"/>
        <v>0.63306851573430445</v>
      </c>
      <c r="F109" s="158">
        <f t="shared" si="3"/>
        <v>1.1940607361716018</v>
      </c>
      <c r="G109" s="158">
        <f t="shared" si="3"/>
        <v>11.727459573974699</v>
      </c>
      <c r="H109" s="158">
        <f t="shared" si="3"/>
        <v>7.6226993423037461</v>
      </c>
      <c r="I109" s="158" t="e">
        <f t="shared" si="3"/>
        <v>#DIV/0!</v>
      </c>
      <c r="J109" s="158">
        <f t="shared" si="3"/>
        <v>0.14246452313076841</v>
      </c>
      <c r="K109" s="158">
        <f t="shared" si="3"/>
        <v>51.045682368061847</v>
      </c>
      <c r="L109" s="158">
        <f t="shared" si="3"/>
        <v>3.361377522487496</v>
      </c>
      <c r="M109" s="158">
        <f t="shared" si="3"/>
        <v>7.9116175729501821</v>
      </c>
      <c r="N109" s="158">
        <f t="shared" si="3"/>
        <v>124.80383426900642</v>
      </c>
      <c r="O109" s="158">
        <f t="shared" si="3"/>
        <v>0</v>
      </c>
      <c r="P109" s="158">
        <f t="shared" si="3"/>
        <v>6.4918893392433868E-2</v>
      </c>
      <c r="Q109" s="158">
        <f t="shared" si="3"/>
        <v>0.38972559791046135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>COUNT(I9:I104)+96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K114" sqref="K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2256</v>
      </c>
      <c r="B9" s="100">
        <v>3.28</v>
      </c>
      <c r="C9" s="100">
        <v>6.87</v>
      </c>
      <c r="D9" s="100">
        <v>6.22</v>
      </c>
      <c r="E9" s="100">
        <v>7.77</v>
      </c>
      <c r="F9" s="100">
        <v>2</v>
      </c>
      <c r="G9" s="100">
        <v>47.36</v>
      </c>
      <c r="H9" s="100">
        <v>29.74</v>
      </c>
      <c r="I9" s="151" t="s">
        <v>8</v>
      </c>
      <c r="J9" s="100">
        <v>0.13</v>
      </c>
      <c r="K9" s="100">
        <v>138.04</v>
      </c>
      <c r="L9" s="100">
        <v>14.14</v>
      </c>
      <c r="M9" s="100">
        <v>17.559999999999999</v>
      </c>
      <c r="N9" s="100">
        <v>2.2000000000000002</v>
      </c>
      <c r="O9" s="100">
        <v>0</v>
      </c>
      <c r="P9" s="100">
        <v>0.38</v>
      </c>
      <c r="Q9" s="100">
        <v>9.32</v>
      </c>
      <c r="R9" s="6"/>
      <c r="S9" s="6"/>
      <c r="T9" s="156"/>
      <c r="U9" s="6"/>
    </row>
    <row r="10" spans="1:21" customFormat="1">
      <c r="A10" s="201" t="s">
        <v>2257</v>
      </c>
      <c r="B10" s="100">
        <v>3.47</v>
      </c>
      <c r="C10" s="100">
        <v>6.62</v>
      </c>
      <c r="D10" s="100">
        <v>6.24</v>
      </c>
      <c r="E10" s="100">
        <v>7.55</v>
      </c>
      <c r="F10" s="100">
        <v>2</v>
      </c>
      <c r="G10" s="100">
        <v>47.36</v>
      </c>
      <c r="H10" s="100">
        <v>29.74</v>
      </c>
      <c r="I10" s="151" t="s">
        <v>8</v>
      </c>
      <c r="J10" s="100">
        <v>0.12</v>
      </c>
      <c r="K10" s="100">
        <v>147.77000000000001</v>
      </c>
      <c r="L10" s="100">
        <v>14.08</v>
      </c>
      <c r="M10" s="100">
        <v>17.48</v>
      </c>
      <c r="N10" s="100">
        <v>2.2000000000000002</v>
      </c>
      <c r="O10" s="100">
        <v>0</v>
      </c>
      <c r="P10" s="100">
        <v>0.39</v>
      </c>
      <c r="Q10" s="100">
        <v>9.32</v>
      </c>
      <c r="R10" s="6"/>
      <c r="S10" s="6"/>
      <c r="T10" s="156"/>
      <c r="U10" s="6"/>
    </row>
    <row r="11" spans="1:21" customFormat="1">
      <c r="A11" s="201" t="s">
        <v>2258</v>
      </c>
      <c r="B11" s="100">
        <v>3.38</v>
      </c>
      <c r="C11" s="100">
        <v>6.6</v>
      </c>
      <c r="D11" s="100">
        <v>6.15</v>
      </c>
      <c r="E11" s="100">
        <v>6.52</v>
      </c>
      <c r="F11" s="100">
        <v>2</v>
      </c>
      <c r="G11" s="100">
        <v>48.12</v>
      </c>
      <c r="H11" s="100">
        <v>30.12</v>
      </c>
      <c r="I11" s="151" t="s">
        <v>8</v>
      </c>
      <c r="J11" s="100">
        <v>0.1</v>
      </c>
      <c r="K11" s="100">
        <v>119.32</v>
      </c>
      <c r="L11" s="100">
        <v>11.96</v>
      </c>
      <c r="M11" s="100">
        <v>12.04</v>
      </c>
      <c r="N11" s="100">
        <v>2.2000000000000002</v>
      </c>
      <c r="O11" s="100">
        <v>0</v>
      </c>
      <c r="P11" s="100">
        <v>0.38</v>
      </c>
      <c r="Q11" s="100">
        <v>9.32</v>
      </c>
      <c r="R11" s="6"/>
      <c r="S11" s="6"/>
      <c r="T11" s="156"/>
      <c r="U11" s="6"/>
    </row>
    <row r="12" spans="1:21" customFormat="1">
      <c r="A12" s="201" t="s">
        <v>2259</v>
      </c>
      <c r="B12" s="100">
        <v>3.55</v>
      </c>
      <c r="C12" s="100">
        <v>6.83</v>
      </c>
      <c r="D12" s="100">
        <v>6.42</v>
      </c>
      <c r="E12" s="100">
        <v>7.19</v>
      </c>
      <c r="F12" s="100">
        <v>2</v>
      </c>
      <c r="G12" s="100">
        <v>70.06</v>
      </c>
      <c r="H12" s="100">
        <v>42.21</v>
      </c>
      <c r="I12" s="151" t="s">
        <v>8</v>
      </c>
      <c r="J12" s="100">
        <v>0.3</v>
      </c>
      <c r="K12" s="100">
        <v>49.83</v>
      </c>
      <c r="L12" s="100">
        <v>7.27</v>
      </c>
      <c r="M12" s="100">
        <v>0.1</v>
      </c>
      <c r="N12" s="100">
        <v>2.1</v>
      </c>
      <c r="O12" s="100">
        <v>0</v>
      </c>
      <c r="P12" s="100">
        <v>0.4</v>
      </c>
      <c r="Q12" s="100">
        <v>9.32</v>
      </c>
      <c r="R12" s="6"/>
      <c r="S12" s="6"/>
      <c r="T12" s="156"/>
      <c r="U12" s="6"/>
    </row>
    <row r="13" spans="1:21" customFormat="1">
      <c r="A13" s="201" t="s">
        <v>2260</v>
      </c>
      <c r="B13" s="100">
        <v>3.6</v>
      </c>
      <c r="C13" s="100">
        <v>7.08</v>
      </c>
      <c r="D13" s="100">
        <v>6.59</v>
      </c>
      <c r="E13" s="100">
        <v>7.73</v>
      </c>
      <c r="F13" s="100">
        <v>2</v>
      </c>
      <c r="G13" s="100">
        <v>70.06</v>
      </c>
      <c r="H13" s="100">
        <v>42.21</v>
      </c>
      <c r="I13" s="151" t="s">
        <v>8</v>
      </c>
      <c r="J13" s="100">
        <v>0.28999999999999998</v>
      </c>
      <c r="K13" s="100">
        <v>55.34</v>
      </c>
      <c r="L13" s="100">
        <v>7.63</v>
      </c>
      <c r="M13" s="100">
        <v>1.02</v>
      </c>
      <c r="N13" s="100">
        <v>2.2999999999999998</v>
      </c>
      <c r="O13" s="100">
        <v>0</v>
      </c>
      <c r="P13" s="100">
        <v>0.38</v>
      </c>
      <c r="Q13" s="100">
        <v>9.32</v>
      </c>
      <c r="R13" s="6"/>
      <c r="S13" s="6"/>
      <c r="T13" s="156"/>
      <c r="U13" s="6"/>
    </row>
    <row r="14" spans="1:21" customFormat="1">
      <c r="A14" s="201" t="s">
        <v>2261</v>
      </c>
      <c r="B14" s="100">
        <v>3.74</v>
      </c>
      <c r="C14" s="100">
        <v>7.04</v>
      </c>
      <c r="D14" s="100">
        <v>6.67</v>
      </c>
      <c r="E14" s="100">
        <v>7.65</v>
      </c>
      <c r="F14" s="100">
        <v>2</v>
      </c>
      <c r="G14" s="100">
        <v>70.06</v>
      </c>
      <c r="H14" s="100">
        <v>42.21</v>
      </c>
      <c r="I14" s="151" t="s">
        <v>8</v>
      </c>
      <c r="J14" s="100">
        <v>0.18</v>
      </c>
      <c r="K14" s="100">
        <v>51.93</v>
      </c>
      <c r="L14" s="100">
        <v>10.130000000000001</v>
      </c>
      <c r="M14" s="100">
        <v>7.31</v>
      </c>
      <c r="N14" s="100">
        <v>2.2999999999999998</v>
      </c>
      <c r="O14" s="100">
        <v>0</v>
      </c>
      <c r="P14" s="100">
        <v>0.4</v>
      </c>
      <c r="Q14" s="100">
        <v>9.32</v>
      </c>
      <c r="R14" s="6"/>
      <c r="S14" s="6"/>
      <c r="T14" s="156"/>
      <c r="U14" s="6"/>
    </row>
    <row r="15" spans="1:21" customFormat="1">
      <c r="A15" s="201" t="s">
        <v>2262</v>
      </c>
      <c r="B15" s="100">
        <v>3.8</v>
      </c>
      <c r="C15" s="100">
        <v>7.38</v>
      </c>
      <c r="D15" s="100">
        <v>6.9</v>
      </c>
      <c r="E15" s="100">
        <v>7.5</v>
      </c>
      <c r="F15" s="100">
        <v>2</v>
      </c>
      <c r="G15" s="100">
        <v>70.14</v>
      </c>
      <c r="H15" s="100">
        <v>42.26</v>
      </c>
      <c r="I15" s="151" t="s">
        <v>8</v>
      </c>
      <c r="J15" s="100">
        <v>0.16</v>
      </c>
      <c r="K15" s="100">
        <v>24.81</v>
      </c>
      <c r="L15" s="100">
        <v>10.95</v>
      </c>
      <c r="M15" s="100">
        <v>9.19</v>
      </c>
      <c r="N15" s="100">
        <v>2.4</v>
      </c>
      <c r="O15" s="100">
        <v>0</v>
      </c>
      <c r="P15" s="100">
        <v>0.39</v>
      </c>
      <c r="Q15" s="100">
        <v>9.32</v>
      </c>
      <c r="R15" s="6"/>
      <c r="S15" s="6"/>
      <c r="T15" s="156"/>
      <c r="U15" s="6"/>
    </row>
    <row r="16" spans="1:21" customFormat="1">
      <c r="A16" s="201" t="s">
        <v>2263</v>
      </c>
      <c r="B16" s="100">
        <v>4.09</v>
      </c>
      <c r="C16" s="100">
        <v>7.12</v>
      </c>
      <c r="D16" s="100">
        <v>6.99</v>
      </c>
      <c r="E16" s="100">
        <v>7.78</v>
      </c>
      <c r="F16" s="100">
        <v>2</v>
      </c>
      <c r="G16" s="100">
        <v>72.41</v>
      </c>
      <c r="H16" s="100">
        <v>44.07</v>
      </c>
      <c r="I16" s="151" t="s">
        <v>8</v>
      </c>
      <c r="J16" s="100">
        <v>0.14000000000000001</v>
      </c>
      <c r="K16" s="100">
        <v>31.67</v>
      </c>
      <c r="L16" s="100">
        <v>10.41</v>
      </c>
      <c r="M16" s="100">
        <v>7.9</v>
      </c>
      <c r="N16" s="100">
        <v>2.2999999999999998</v>
      </c>
      <c r="O16" s="100">
        <v>0</v>
      </c>
      <c r="P16" s="100">
        <v>0.4</v>
      </c>
      <c r="Q16" s="100">
        <v>9.32</v>
      </c>
      <c r="R16" s="6"/>
      <c r="S16" s="6"/>
      <c r="T16" s="156"/>
      <c r="U16" s="6"/>
    </row>
    <row r="17" spans="1:21" customFormat="1">
      <c r="A17" s="201" t="s">
        <v>2264</v>
      </c>
      <c r="B17" s="100">
        <v>4.1900000000000004</v>
      </c>
      <c r="C17" s="100">
        <v>7.02</v>
      </c>
      <c r="D17" s="100">
        <v>7.03</v>
      </c>
      <c r="E17" s="100">
        <v>6</v>
      </c>
      <c r="F17" s="100">
        <v>2</v>
      </c>
      <c r="G17" s="100">
        <v>72.41</v>
      </c>
      <c r="H17" s="100">
        <v>44.07</v>
      </c>
      <c r="I17" s="151" t="s">
        <v>8</v>
      </c>
      <c r="J17" s="100">
        <v>0.17</v>
      </c>
      <c r="K17" s="100">
        <v>53.65</v>
      </c>
      <c r="L17" s="100">
        <v>7.53</v>
      </c>
      <c r="M17" s="100">
        <v>0.78</v>
      </c>
      <c r="N17" s="100">
        <v>2.2999999999999998</v>
      </c>
      <c r="O17" s="100">
        <v>0</v>
      </c>
      <c r="P17" s="100">
        <v>0.4</v>
      </c>
      <c r="Q17" s="100">
        <v>9.32</v>
      </c>
      <c r="R17" s="6"/>
      <c r="S17" s="6"/>
      <c r="T17" s="156"/>
      <c r="U17" s="6"/>
    </row>
    <row r="18" spans="1:21" customFormat="1">
      <c r="A18" s="201" t="s">
        <v>2265</v>
      </c>
      <c r="B18" s="100">
        <v>4.33</v>
      </c>
      <c r="C18" s="100">
        <v>6.98</v>
      </c>
      <c r="D18" s="100">
        <v>7.12</v>
      </c>
      <c r="E18" s="100">
        <v>7.28</v>
      </c>
      <c r="F18" s="100">
        <v>2</v>
      </c>
      <c r="G18" s="100">
        <v>72.41</v>
      </c>
      <c r="H18" s="100">
        <v>44.07</v>
      </c>
      <c r="I18" s="151" t="s">
        <v>8</v>
      </c>
      <c r="J18" s="100">
        <v>0.08</v>
      </c>
      <c r="K18" s="100">
        <v>33.6</v>
      </c>
      <c r="L18" s="100">
        <v>13.26</v>
      </c>
      <c r="M18" s="100">
        <v>15.08</v>
      </c>
      <c r="N18" s="100">
        <v>2.2000000000000002</v>
      </c>
      <c r="O18" s="100">
        <v>0</v>
      </c>
      <c r="P18" s="100">
        <v>0.4</v>
      </c>
      <c r="Q18" s="100">
        <v>9.32</v>
      </c>
      <c r="R18" s="6"/>
      <c r="S18" s="6"/>
      <c r="T18" s="156"/>
      <c r="U18" s="6"/>
    </row>
    <row r="19" spans="1:21" customFormat="1">
      <c r="A19" s="201" t="s">
        <v>2266</v>
      </c>
      <c r="B19" s="100">
        <v>4.37</v>
      </c>
      <c r="C19" s="100">
        <v>6.86</v>
      </c>
      <c r="D19" s="100">
        <v>7.09</v>
      </c>
      <c r="E19" s="100">
        <v>6.93</v>
      </c>
      <c r="F19" s="100">
        <v>2</v>
      </c>
      <c r="G19" s="100">
        <v>72.42</v>
      </c>
      <c r="H19" s="100">
        <v>44.04</v>
      </c>
      <c r="I19" s="151" t="s">
        <v>8</v>
      </c>
      <c r="J19" s="100">
        <v>0.19</v>
      </c>
      <c r="K19" s="100">
        <v>48.69</v>
      </c>
      <c r="L19" s="100">
        <v>9.0399999999999991</v>
      </c>
      <c r="M19" s="100">
        <v>4.5599999999999996</v>
      </c>
      <c r="N19" s="100">
        <v>2.1</v>
      </c>
      <c r="O19" s="100">
        <v>0</v>
      </c>
      <c r="P19" s="100">
        <v>0.39</v>
      </c>
      <c r="Q19" s="100">
        <v>9.32</v>
      </c>
      <c r="R19" s="6"/>
      <c r="S19" s="6"/>
      <c r="T19" s="156"/>
      <c r="U19" s="6"/>
    </row>
    <row r="20" spans="1:21" customFormat="1">
      <c r="A20" s="201" t="s">
        <v>2267</v>
      </c>
      <c r="B20" s="100">
        <v>4.49</v>
      </c>
      <c r="C20" s="100">
        <v>6.8</v>
      </c>
      <c r="D20" s="100">
        <v>7.16</v>
      </c>
      <c r="E20" s="100">
        <v>7.26</v>
      </c>
      <c r="F20" s="100">
        <v>2</v>
      </c>
      <c r="G20" s="100">
        <v>72.47</v>
      </c>
      <c r="H20" s="100">
        <v>43</v>
      </c>
      <c r="I20" s="151" t="s">
        <v>8</v>
      </c>
      <c r="J20" s="100">
        <v>0.15</v>
      </c>
      <c r="K20" s="100">
        <v>69.02</v>
      </c>
      <c r="L20" s="100">
        <v>9.3000000000000007</v>
      </c>
      <c r="M20" s="100">
        <v>5.32</v>
      </c>
      <c r="N20" s="100">
        <v>2.2000000000000002</v>
      </c>
      <c r="O20" s="100">
        <v>0</v>
      </c>
      <c r="P20" s="100">
        <v>0.4</v>
      </c>
      <c r="Q20" s="100">
        <v>9.32</v>
      </c>
      <c r="R20" s="6"/>
      <c r="S20" s="6"/>
      <c r="T20" s="156"/>
      <c r="U20" s="6"/>
    </row>
    <row r="21" spans="1:21" customFormat="1">
      <c r="A21" s="201" t="s">
        <v>2268</v>
      </c>
      <c r="B21" s="100">
        <v>4.51</v>
      </c>
      <c r="C21" s="100">
        <v>6.56</v>
      </c>
      <c r="D21" s="100">
        <v>7.04</v>
      </c>
      <c r="E21" s="100">
        <v>7.6</v>
      </c>
      <c r="F21" s="100">
        <v>2</v>
      </c>
      <c r="G21" s="100">
        <v>72.47</v>
      </c>
      <c r="H21" s="100">
        <v>43</v>
      </c>
      <c r="I21" s="151" t="s">
        <v>8</v>
      </c>
      <c r="J21" s="100">
        <v>0.16</v>
      </c>
      <c r="K21" s="100">
        <v>64.88</v>
      </c>
      <c r="L21" s="100">
        <v>8.52</v>
      </c>
      <c r="M21" s="100">
        <v>3.32</v>
      </c>
      <c r="N21" s="100">
        <v>2.1</v>
      </c>
      <c r="O21" s="100">
        <v>0</v>
      </c>
      <c r="P21" s="100">
        <v>0.4</v>
      </c>
      <c r="Q21" s="100">
        <v>9.32</v>
      </c>
      <c r="R21" s="6"/>
      <c r="S21" s="6"/>
      <c r="T21" s="156"/>
      <c r="U21" s="6"/>
    </row>
    <row r="22" spans="1:21" customFormat="1">
      <c r="A22" s="201" t="s">
        <v>2269</v>
      </c>
      <c r="B22" s="100">
        <v>4.5599999999999996</v>
      </c>
      <c r="C22" s="100">
        <v>6.7</v>
      </c>
      <c r="D22" s="100">
        <v>7.16</v>
      </c>
      <c r="E22" s="100">
        <v>7.39</v>
      </c>
      <c r="F22" s="100">
        <v>2</v>
      </c>
      <c r="G22" s="100">
        <v>72.47</v>
      </c>
      <c r="H22" s="100">
        <v>43</v>
      </c>
      <c r="I22" s="151" t="s">
        <v>8</v>
      </c>
      <c r="J22" s="100">
        <v>0.16</v>
      </c>
      <c r="K22" s="100">
        <v>59.01</v>
      </c>
      <c r="L22" s="100">
        <v>9.77</v>
      </c>
      <c r="M22" s="100">
        <v>6.42</v>
      </c>
      <c r="N22" s="100">
        <v>2.1</v>
      </c>
      <c r="O22" s="100">
        <v>0</v>
      </c>
      <c r="P22" s="100">
        <v>0.42</v>
      </c>
      <c r="Q22" s="100">
        <v>9.32</v>
      </c>
      <c r="R22" s="6"/>
      <c r="S22" s="6"/>
      <c r="T22" s="156"/>
      <c r="U22" s="6"/>
    </row>
    <row r="23" spans="1:21" customFormat="1">
      <c r="A23" s="201" t="s">
        <v>2270</v>
      </c>
      <c r="B23" s="100">
        <v>4.41</v>
      </c>
      <c r="C23" s="100">
        <v>6.84</v>
      </c>
      <c r="D23" s="100">
        <v>7.11</v>
      </c>
      <c r="E23" s="100">
        <v>7.33</v>
      </c>
      <c r="F23" s="100">
        <v>2</v>
      </c>
      <c r="G23" s="100">
        <v>72.37</v>
      </c>
      <c r="H23" s="100">
        <v>42.91</v>
      </c>
      <c r="I23" s="151" t="s">
        <v>8</v>
      </c>
      <c r="J23" s="100">
        <v>0.25</v>
      </c>
      <c r="K23" s="100">
        <v>43.24</v>
      </c>
      <c r="L23" s="100">
        <v>7.72</v>
      </c>
      <c r="M23" s="100">
        <v>1.17</v>
      </c>
      <c r="N23" s="100">
        <v>2.1</v>
      </c>
      <c r="O23" s="100">
        <v>0</v>
      </c>
      <c r="P23" s="100">
        <v>0.42</v>
      </c>
      <c r="Q23" s="100">
        <v>9.32</v>
      </c>
      <c r="R23" s="6"/>
      <c r="S23" s="6"/>
      <c r="T23" s="156"/>
      <c r="U23" s="6"/>
    </row>
    <row r="24" spans="1:21" customFormat="1">
      <c r="A24" s="201" t="s">
        <v>2271</v>
      </c>
      <c r="B24" s="100">
        <v>4.29</v>
      </c>
      <c r="C24" s="100">
        <v>6.9</v>
      </c>
      <c r="D24" s="100">
        <v>7.05</v>
      </c>
      <c r="E24" s="100">
        <v>7.27</v>
      </c>
      <c r="F24" s="100">
        <v>2</v>
      </c>
      <c r="G24" s="100">
        <v>69.540000000000006</v>
      </c>
      <c r="H24" s="100">
        <v>40.01</v>
      </c>
      <c r="I24" s="151" t="s">
        <v>8</v>
      </c>
      <c r="J24" s="100">
        <v>0.49</v>
      </c>
      <c r="K24" s="100">
        <v>40.950000000000003</v>
      </c>
      <c r="L24" s="100">
        <v>6.51</v>
      </c>
      <c r="M24" s="100">
        <v>-1.85</v>
      </c>
      <c r="N24" s="100">
        <v>2.1</v>
      </c>
      <c r="O24" s="100">
        <v>0</v>
      </c>
      <c r="P24" s="100">
        <v>0.43</v>
      </c>
      <c r="Q24" s="100">
        <v>9.32</v>
      </c>
      <c r="R24" s="6"/>
      <c r="S24" s="6"/>
      <c r="T24" s="156"/>
      <c r="U24" s="6"/>
    </row>
    <row r="25" spans="1:21" customFormat="1">
      <c r="A25" s="201" t="s">
        <v>2272</v>
      </c>
      <c r="B25" s="100">
        <v>4.17</v>
      </c>
      <c r="C25" s="100">
        <v>6.97</v>
      </c>
      <c r="D25" s="100">
        <v>6.99</v>
      </c>
      <c r="E25" s="100">
        <v>7.51</v>
      </c>
      <c r="F25" s="100">
        <v>2</v>
      </c>
      <c r="G25" s="100">
        <v>69.540000000000006</v>
      </c>
      <c r="H25" s="100">
        <v>40.01</v>
      </c>
      <c r="I25" s="151" t="s">
        <v>8</v>
      </c>
      <c r="J25" s="100">
        <v>0.31</v>
      </c>
      <c r="K25" s="100">
        <v>46.82</v>
      </c>
      <c r="L25" s="100">
        <v>6.96</v>
      </c>
      <c r="M25" s="100">
        <v>-0.69</v>
      </c>
      <c r="N25" s="100">
        <v>2.2000000000000002</v>
      </c>
      <c r="O25" s="100">
        <v>0</v>
      </c>
      <c r="P25" s="100">
        <v>0.43</v>
      </c>
      <c r="Q25" s="100">
        <v>9.32</v>
      </c>
      <c r="R25" s="6"/>
      <c r="S25" s="6"/>
      <c r="T25" s="156"/>
      <c r="U25" s="6"/>
    </row>
    <row r="26" spans="1:21" customFormat="1">
      <c r="A26" s="201" t="s">
        <v>2273</v>
      </c>
      <c r="B26" s="100">
        <v>4.1100000000000003</v>
      </c>
      <c r="C26" s="100">
        <v>7.04</v>
      </c>
      <c r="D26" s="100">
        <v>6.98</v>
      </c>
      <c r="E26" s="100">
        <v>7.46</v>
      </c>
      <c r="F26" s="100">
        <v>2</v>
      </c>
      <c r="G26" s="100">
        <v>69.540000000000006</v>
      </c>
      <c r="H26" s="100">
        <v>40.01</v>
      </c>
      <c r="I26" s="151" t="s">
        <v>8</v>
      </c>
      <c r="J26" s="100">
        <v>0.28000000000000003</v>
      </c>
      <c r="K26" s="100">
        <v>46.59</v>
      </c>
      <c r="L26" s="100">
        <v>8.34</v>
      </c>
      <c r="M26" s="100">
        <v>2.77</v>
      </c>
      <c r="N26" s="100">
        <v>2.1</v>
      </c>
      <c r="O26" s="100">
        <v>0</v>
      </c>
      <c r="P26" s="100">
        <v>0.44</v>
      </c>
      <c r="Q26" s="100">
        <v>9.32</v>
      </c>
      <c r="R26" s="6"/>
      <c r="S26" s="6"/>
      <c r="T26" s="156"/>
      <c r="U26" s="6"/>
    </row>
    <row r="27" spans="1:21" customFormat="1">
      <c r="A27" s="201" t="s">
        <v>2274</v>
      </c>
      <c r="B27" s="100">
        <v>4.03</v>
      </c>
      <c r="C27" s="100">
        <v>7.08</v>
      </c>
      <c r="D27" s="100">
        <v>6.93</v>
      </c>
      <c r="E27" s="100">
        <v>7.2</v>
      </c>
      <c r="F27" s="100">
        <v>2</v>
      </c>
      <c r="G27" s="100">
        <v>69.540000000000006</v>
      </c>
      <c r="H27" s="100">
        <v>40.020000000000003</v>
      </c>
      <c r="I27" s="151" t="s">
        <v>8</v>
      </c>
      <c r="J27" s="100">
        <v>0.3</v>
      </c>
      <c r="K27" s="100">
        <v>55.22</v>
      </c>
      <c r="L27" s="100">
        <v>8.07</v>
      </c>
      <c r="M27" s="100">
        <v>2.2000000000000002</v>
      </c>
      <c r="N27" s="100">
        <v>2.1</v>
      </c>
      <c r="O27" s="100">
        <v>0</v>
      </c>
      <c r="P27" s="100">
        <v>0.43</v>
      </c>
      <c r="Q27" s="100">
        <v>9.32</v>
      </c>
      <c r="R27" s="6"/>
      <c r="S27" s="6"/>
      <c r="T27" s="156"/>
      <c r="U27" s="6"/>
    </row>
    <row r="28" spans="1:21" customFormat="1">
      <c r="A28" s="201" t="s">
        <v>2275</v>
      </c>
      <c r="B28" s="100">
        <v>3.96</v>
      </c>
      <c r="C28" s="100">
        <v>7.21</v>
      </c>
      <c r="D28" s="100">
        <v>6.94</v>
      </c>
      <c r="E28" s="100">
        <v>7.55</v>
      </c>
      <c r="F28" s="100">
        <v>2</v>
      </c>
      <c r="G28" s="100">
        <v>69.53</v>
      </c>
      <c r="H28" s="100">
        <v>40.200000000000003</v>
      </c>
      <c r="I28" s="151" t="s">
        <v>8</v>
      </c>
      <c r="J28" s="100">
        <v>0.25</v>
      </c>
      <c r="K28" s="100">
        <v>31.77</v>
      </c>
      <c r="L28" s="100">
        <v>6.84</v>
      </c>
      <c r="M28" s="100">
        <v>-1.08</v>
      </c>
      <c r="N28" s="100">
        <v>2.1</v>
      </c>
      <c r="O28" s="100">
        <v>0</v>
      </c>
      <c r="P28" s="100">
        <v>0.43</v>
      </c>
      <c r="Q28" s="100">
        <v>9.32</v>
      </c>
      <c r="R28" s="6"/>
      <c r="S28" s="6"/>
      <c r="T28" s="156"/>
      <c r="U28" s="6"/>
    </row>
    <row r="29" spans="1:21" customFormat="1">
      <c r="A29" s="201" t="s">
        <v>2276</v>
      </c>
      <c r="B29" s="100">
        <v>3.96</v>
      </c>
      <c r="C29" s="100">
        <v>7.07</v>
      </c>
      <c r="D29" s="100">
        <v>6.87</v>
      </c>
      <c r="E29" s="100">
        <v>7.38</v>
      </c>
      <c r="F29" s="100">
        <v>2</v>
      </c>
      <c r="G29" s="100">
        <v>69.53</v>
      </c>
      <c r="H29" s="100">
        <v>40.200000000000003</v>
      </c>
      <c r="I29" s="151" t="s">
        <v>8</v>
      </c>
      <c r="J29" s="100">
        <v>0.3</v>
      </c>
      <c r="K29" s="100">
        <v>45.09</v>
      </c>
      <c r="L29" s="100">
        <v>6.4</v>
      </c>
      <c r="M29" s="100">
        <v>-2.09</v>
      </c>
      <c r="N29" s="100">
        <v>2.1</v>
      </c>
      <c r="O29" s="100">
        <v>0</v>
      </c>
      <c r="P29" s="100">
        <v>0.43</v>
      </c>
      <c r="Q29" s="100">
        <v>9.32</v>
      </c>
      <c r="R29" s="6"/>
      <c r="S29" s="6"/>
      <c r="T29" s="156"/>
      <c r="U29" s="6"/>
    </row>
    <row r="30" spans="1:21" customFormat="1">
      <c r="A30" s="201" t="s">
        <v>2277</v>
      </c>
      <c r="B30" s="100">
        <v>3.95</v>
      </c>
      <c r="C30" s="100">
        <v>7.09</v>
      </c>
      <c r="D30" s="100">
        <v>6.87</v>
      </c>
      <c r="E30" s="100">
        <v>7.38</v>
      </c>
      <c r="F30" s="100">
        <v>2</v>
      </c>
      <c r="G30" s="100">
        <v>69.53</v>
      </c>
      <c r="H30" s="100">
        <v>40.200000000000003</v>
      </c>
      <c r="I30" s="151" t="s">
        <v>8</v>
      </c>
      <c r="J30" s="100">
        <v>0.26</v>
      </c>
      <c r="K30" s="100">
        <v>34.590000000000003</v>
      </c>
      <c r="L30" s="100">
        <v>8.81</v>
      </c>
      <c r="M30" s="100">
        <v>3.87</v>
      </c>
      <c r="N30" s="100">
        <v>2.1</v>
      </c>
      <c r="O30" s="100">
        <v>0</v>
      </c>
      <c r="P30" s="100">
        <v>0.43</v>
      </c>
      <c r="Q30" s="100">
        <v>9.32</v>
      </c>
      <c r="R30" s="6"/>
      <c r="S30" s="6"/>
      <c r="T30" s="156"/>
      <c r="U30" s="6"/>
    </row>
    <row r="31" spans="1:21" customFormat="1">
      <c r="A31" s="201" t="s">
        <v>2278</v>
      </c>
      <c r="B31" s="100">
        <v>3.95</v>
      </c>
      <c r="C31" s="100">
        <v>7.09</v>
      </c>
      <c r="D31" s="100">
        <v>6.87</v>
      </c>
      <c r="E31" s="100">
        <v>7.2</v>
      </c>
      <c r="F31" s="100">
        <v>2</v>
      </c>
      <c r="G31" s="100">
        <v>69.430000000000007</v>
      </c>
      <c r="H31" s="100">
        <v>40.159999999999997</v>
      </c>
      <c r="I31" s="151" t="s">
        <v>8</v>
      </c>
      <c r="J31" s="100">
        <v>0.28999999999999998</v>
      </c>
      <c r="K31" s="100">
        <v>52.42</v>
      </c>
      <c r="L31" s="100">
        <v>8.08</v>
      </c>
      <c r="M31" s="100">
        <v>2.19</v>
      </c>
      <c r="N31" s="100">
        <v>2.1</v>
      </c>
      <c r="O31" s="100">
        <v>0</v>
      </c>
      <c r="P31" s="100">
        <v>0.43</v>
      </c>
      <c r="Q31" s="100">
        <v>9.32</v>
      </c>
      <c r="R31" s="6"/>
      <c r="S31" s="6"/>
      <c r="T31" s="156"/>
      <c r="U31" s="6"/>
    </row>
    <row r="32" spans="1:21" customFormat="1">
      <c r="A32" s="201" t="s">
        <v>2279</v>
      </c>
      <c r="B32" s="100">
        <v>3.99</v>
      </c>
      <c r="C32" s="100">
        <v>7.13</v>
      </c>
      <c r="D32" s="100">
        <v>6.92</v>
      </c>
      <c r="E32" s="100">
        <v>7.16</v>
      </c>
      <c r="F32" s="100">
        <v>2</v>
      </c>
      <c r="G32" s="100">
        <v>66.62</v>
      </c>
      <c r="H32" s="100">
        <v>38.880000000000003</v>
      </c>
      <c r="I32" s="151" t="s">
        <v>8</v>
      </c>
      <c r="J32" s="100">
        <v>0.33</v>
      </c>
      <c r="K32" s="100">
        <v>38.92</v>
      </c>
      <c r="L32" s="100">
        <v>7.26</v>
      </c>
      <c r="M32" s="100">
        <v>0</v>
      </c>
      <c r="N32" s="100">
        <v>2.8</v>
      </c>
      <c r="O32" s="100">
        <v>0</v>
      </c>
      <c r="P32" s="100">
        <v>0.43</v>
      </c>
      <c r="Q32" s="100">
        <v>9.32</v>
      </c>
      <c r="R32" s="6"/>
      <c r="S32" s="6"/>
      <c r="T32" s="156"/>
      <c r="U32" s="6"/>
    </row>
    <row r="33" spans="1:21" customFormat="1">
      <c r="A33" s="201" t="s">
        <v>2280</v>
      </c>
      <c r="B33" s="100">
        <v>4.12</v>
      </c>
      <c r="C33" s="100">
        <v>7.07</v>
      </c>
      <c r="D33" s="100">
        <v>6.99</v>
      </c>
      <c r="E33" s="100">
        <v>7.24</v>
      </c>
      <c r="F33" s="100">
        <v>2</v>
      </c>
      <c r="G33" s="100">
        <v>66.62</v>
      </c>
      <c r="H33" s="100">
        <v>38.880000000000003</v>
      </c>
      <c r="I33" s="151" t="s">
        <v>8</v>
      </c>
      <c r="J33" s="100">
        <v>0.38</v>
      </c>
      <c r="K33" s="100">
        <v>43</v>
      </c>
      <c r="L33" s="100">
        <v>6.39</v>
      </c>
      <c r="M33" s="100">
        <v>-2.17</v>
      </c>
      <c r="N33" s="100">
        <v>5.4</v>
      </c>
      <c r="O33" s="100">
        <v>0</v>
      </c>
      <c r="P33" s="100">
        <v>0.44</v>
      </c>
      <c r="Q33" s="100">
        <v>9.32</v>
      </c>
      <c r="R33" s="6"/>
      <c r="S33" s="6"/>
      <c r="T33" s="156"/>
      <c r="U33" s="6"/>
    </row>
    <row r="34" spans="1:21" customFormat="1">
      <c r="A34" s="201" t="s">
        <v>2281</v>
      </c>
      <c r="B34" s="100">
        <v>4.25</v>
      </c>
      <c r="C34" s="100">
        <v>7.09</v>
      </c>
      <c r="D34" s="100">
        <v>7.11</v>
      </c>
      <c r="E34" s="100">
        <v>7.25</v>
      </c>
      <c r="F34" s="100">
        <v>2</v>
      </c>
      <c r="G34" s="100">
        <v>66.62</v>
      </c>
      <c r="H34" s="100">
        <v>38.880000000000003</v>
      </c>
      <c r="I34" s="151" t="s">
        <v>8</v>
      </c>
      <c r="J34" s="100">
        <v>0.35</v>
      </c>
      <c r="K34" s="100">
        <v>40.85</v>
      </c>
      <c r="L34" s="100">
        <v>6.74</v>
      </c>
      <c r="M34" s="100">
        <v>-1.46</v>
      </c>
      <c r="N34" s="100">
        <v>10.8</v>
      </c>
      <c r="O34" s="100">
        <v>0</v>
      </c>
      <c r="P34" s="100">
        <v>0.44</v>
      </c>
      <c r="Q34" s="100">
        <v>9.32</v>
      </c>
      <c r="R34" s="6"/>
      <c r="S34" s="6"/>
      <c r="T34" s="156"/>
      <c r="U34" s="6"/>
    </row>
    <row r="35" spans="1:21" customFormat="1">
      <c r="A35" s="201" t="s">
        <v>2282</v>
      </c>
      <c r="B35" s="100">
        <v>4.32</v>
      </c>
      <c r="C35" s="100">
        <v>7.03</v>
      </c>
      <c r="D35" s="100">
        <v>7.13</v>
      </c>
      <c r="E35" s="100">
        <v>7.39</v>
      </c>
      <c r="F35" s="100">
        <v>2</v>
      </c>
      <c r="G35" s="100">
        <v>66.73</v>
      </c>
      <c r="H35" s="100">
        <v>38.94</v>
      </c>
      <c r="I35" s="151" t="s">
        <v>8</v>
      </c>
      <c r="J35" s="100">
        <v>0.3</v>
      </c>
      <c r="K35" s="100">
        <v>37.53</v>
      </c>
      <c r="L35" s="100">
        <v>8.94</v>
      </c>
      <c r="M35" s="100">
        <v>3.82</v>
      </c>
      <c r="N35" s="100">
        <v>19.5</v>
      </c>
      <c r="O35" s="100">
        <v>0</v>
      </c>
      <c r="P35" s="100">
        <v>0.45</v>
      </c>
      <c r="Q35" s="100">
        <v>9.32</v>
      </c>
      <c r="R35" s="6"/>
      <c r="S35" s="6"/>
      <c r="T35" s="156"/>
      <c r="U35" s="6"/>
    </row>
    <row r="36" spans="1:21" customFormat="1">
      <c r="A36" s="201" t="s">
        <v>2283</v>
      </c>
      <c r="B36" s="100">
        <v>4.42</v>
      </c>
      <c r="C36" s="100">
        <v>7.02</v>
      </c>
      <c r="D36" s="100">
        <v>7.21</v>
      </c>
      <c r="E36" s="100">
        <v>7.55</v>
      </c>
      <c r="F36" s="100">
        <v>2</v>
      </c>
      <c r="G36" s="100">
        <v>69.81</v>
      </c>
      <c r="H36" s="100">
        <v>40.99</v>
      </c>
      <c r="I36" s="151" t="s">
        <v>8</v>
      </c>
      <c r="J36" s="100">
        <v>0.38</v>
      </c>
      <c r="K36" s="100">
        <v>38.33</v>
      </c>
      <c r="L36" s="100">
        <v>6.83</v>
      </c>
      <c r="M36" s="100">
        <v>-1.74</v>
      </c>
      <c r="N36" s="100">
        <v>31.5</v>
      </c>
      <c r="O36" s="100">
        <v>0</v>
      </c>
      <c r="P36" s="100">
        <v>0.45</v>
      </c>
      <c r="Q36" s="100">
        <v>9.32</v>
      </c>
      <c r="R36" s="6"/>
      <c r="S36" s="6"/>
      <c r="T36" s="156"/>
      <c r="U36" s="6"/>
    </row>
    <row r="37" spans="1:21" customFormat="1">
      <c r="A37" s="201" t="s">
        <v>2284</v>
      </c>
      <c r="B37" s="100">
        <v>4.59</v>
      </c>
      <c r="C37" s="100">
        <v>7.02</v>
      </c>
      <c r="D37" s="100">
        <v>7.35</v>
      </c>
      <c r="E37" s="100">
        <v>7.56</v>
      </c>
      <c r="F37" s="100">
        <v>2</v>
      </c>
      <c r="G37" s="100">
        <v>69.81</v>
      </c>
      <c r="H37" s="100">
        <v>40.99</v>
      </c>
      <c r="I37" s="151" t="s">
        <v>8</v>
      </c>
      <c r="J37" s="100">
        <v>0.44</v>
      </c>
      <c r="K37" s="100">
        <v>36.39</v>
      </c>
      <c r="L37" s="100">
        <v>7.13</v>
      </c>
      <c r="M37" s="100">
        <v>-1.25</v>
      </c>
      <c r="N37" s="100">
        <v>44.3</v>
      </c>
      <c r="O37" s="100">
        <v>0</v>
      </c>
      <c r="P37" s="100">
        <v>0.45</v>
      </c>
      <c r="Q37" s="100">
        <v>9.32</v>
      </c>
      <c r="R37" s="6"/>
      <c r="S37" s="6"/>
      <c r="T37" s="156"/>
      <c r="U37" s="6"/>
    </row>
    <row r="38" spans="1:21" customFormat="1">
      <c r="A38" s="201" t="s">
        <v>2285</v>
      </c>
      <c r="B38" s="100">
        <v>4.6500000000000004</v>
      </c>
      <c r="C38" s="100">
        <v>7.05</v>
      </c>
      <c r="D38" s="100">
        <v>7.41</v>
      </c>
      <c r="E38" s="100">
        <v>7.52</v>
      </c>
      <c r="F38" s="100">
        <v>2</v>
      </c>
      <c r="G38" s="100">
        <v>69.81</v>
      </c>
      <c r="H38" s="100">
        <v>40.99</v>
      </c>
      <c r="I38" s="151" t="s">
        <v>8</v>
      </c>
      <c r="J38" s="100">
        <v>0.27</v>
      </c>
      <c r="K38" s="100">
        <v>72.02</v>
      </c>
      <c r="L38" s="100">
        <v>10.19</v>
      </c>
      <c r="M38" s="100">
        <v>6.22</v>
      </c>
      <c r="N38" s="100">
        <v>58.3</v>
      </c>
      <c r="O38" s="100">
        <v>0</v>
      </c>
      <c r="P38" s="100">
        <v>0.46</v>
      </c>
      <c r="Q38" s="100">
        <v>9.32</v>
      </c>
      <c r="R38" s="6"/>
      <c r="S38" s="6"/>
      <c r="T38" s="156"/>
      <c r="U38" s="6"/>
    </row>
    <row r="39" spans="1:21" customFormat="1">
      <c r="A39" s="201" t="s">
        <v>2286</v>
      </c>
      <c r="B39" s="100">
        <v>4.62</v>
      </c>
      <c r="C39" s="100">
        <v>7.02</v>
      </c>
      <c r="D39" s="100">
        <v>7.37</v>
      </c>
      <c r="E39" s="100">
        <v>7.61</v>
      </c>
      <c r="F39" s="100">
        <v>2</v>
      </c>
      <c r="G39" s="100">
        <v>69.89</v>
      </c>
      <c r="H39" s="100">
        <v>41.01</v>
      </c>
      <c r="I39" s="151" t="s">
        <v>8</v>
      </c>
      <c r="J39" s="100">
        <v>0.33</v>
      </c>
      <c r="K39" s="100">
        <v>58.92</v>
      </c>
      <c r="L39" s="100">
        <v>10.029999999999999</v>
      </c>
      <c r="M39" s="100">
        <v>4.87</v>
      </c>
      <c r="N39" s="100">
        <v>96.9</v>
      </c>
      <c r="O39" s="100">
        <v>0</v>
      </c>
      <c r="P39" s="100">
        <v>0.46</v>
      </c>
      <c r="Q39" s="100">
        <v>9.32</v>
      </c>
      <c r="R39" s="6"/>
      <c r="S39" s="6"/>
      <c r="T39" s="156"/>
      <c r="U39" s="6"/>
    </row>
    <row r="40" spans="1:21" customFormat="1">
      <c r="A40" s="201" t="s">
        <v>2287</v>
      </c>
      <c r="B40" s="100">
        <v>4.46</v>
      </c>
      <c r="C40" s="100">
        <v>7.05</v>
      </c>
      <c r="D40" s="100">
        <v>7.26</v>
      </c>
      <c r="E40" s="100">
        <v>7.52</v>
      </c>
      <c r="F40" s="100">
        <v>2</v>
      </c>
      <c r="G40" s="100">
        <v>72.05</v>
      </c>
      <c r="H40" s="100">
        <v>41.74</v>
      </c>
      <c r="I40" s="151" t="s">
        <v>8</v>
      </c>
      <c r="J40" s="100">
        <v>0.31</v>
      </c>
      <c r="K40" s="100">
        <v>71.09</v>
      </c>
      <c r="L40" s="100">
        <v>10.84</v>
      </c>
      <c r="M40" s="100">
        <v>5.0999999999999996</v>
      </c>
      <c r="N40" s="100">
        <v>175.5</v>
      </c>
      <c r="O40" s="100">
        <v>0</v>
      </c>
      <c r="P40" s="100">
        <v>0.46</v>
      </c>
      <c r="Q40" s="100">
        <v>9.32</v>
      </c>
      <c r="R40" s="6"/>
      <c r="S40" s="6"/>
      <c r="T40" s="156"/>
      <c r="U40" s="6"/>
    </row>
    <row r="41" spans="1:21" customFormat="1">
      <c r="A41" s="201" t="s">
        <v>2288</v>
      </c>
      <c r="B41" s="100">
        <v>4.3099999999999996</v>
      </c>
      <c r="C41" s="100">
        <v>6.97</v>
      </c>
      <c r="D41" s="100">
        <v>7.1</v>
      </c>
      <c r="E41" s="100">
        <v>7.36</v>
      </c>
      <c r="F41" s="100">
        <v>2</v>
      </c>
      <c r="G41" s="100">
        <v>72.05</v>
      </c>
      <c r="H41" s="100">
        <v>41.74</v>
      </c>
      <c r="I41" s="151" t="s">
        <v>8</v>
      </c>
      <c r="J41" s="100">
        <v>0.25</v>
      </c>
      <c r="K41" s="100">
        <v>80.39</v>
      </c>
      <c r="L41" s="100">
        <v>12.76</v>
      </c>
      <c r="M41" s="100">
        <v>8.83</v>
      </c>
      <c r="N41" s="100">
        <v>221.4</v>
      </c>
      <c r="O41" s="100">
        <v>0</v>
      </c>
      <c r="P41" s="100">
        <v>0.46</v>
      </c>
      <c r="Q41" s="100">
        <v>9.32</v>
      </c>
      <c r="R41" s="6"/>
      <c r="S41" s="6"/>
      <c r="T41" s="156"/>
      <c r="U41" s="6"/>
    </row>
    <row r="42" spans="1:21" customFormat="1">
      <c r="A42" s="201" t="s">
        <v>2289</v>
      </c>
      <c r="B42" s="100">
        <v>4.12</v>
      </c>
      <c r="C42" s="100">
        <v>6.99</v>
      </c>
      <c r="D42" s="100">
        <v>6.96</v>
      </c>
      <c r="E42" s="100">
        <v>7.56</v>
      </c>
      <c r="F42" s="100">
        <v>2</v>
      </c>
      <c r="G42" s="100">
        <v>72.05</v>
      </c>
      <c r="H42" s="100">
        <v>41.74</v>
      </c>
      <c r="I42" s="151" t="s">
        <v>8</v>
      </c>
      <c r="J42" s="100">
        <v>0.4</v>
      </c>
      <c r="K42" s="100">
        <v>71.2</v>
      </c>
      <c r="L42" s="100">
        <v>12.48</v>
      </c>
      <c r="M42" s="100">
        <v>7.25</v>
      </c>
      <c r="N42" s="100">
        <v>258.39999999999998</v>
      </c>
      <c r="O42" s="100">
        <v>0</v>
      </c>
      <c r="P42" s="100">
        <v>0.45</v>
      </c>
      <c r="Q42" s="100">
        <v>9.32</v>
      </c>
      <c r="R42" s="6"/>
      <c r="S42" s="6"/>
      <c r="T42" s="156"/>
      <c r="U42" s="6"/>
    </row>
    <row r="43" spans="1:21" customFormat="1">
      <c r="A43" s="201" t="s">
        <v>2290</v>
      </c>
      <c r="B43" s="100">
        <v>3.97</v>
      </c>
      <c r="C43" s="100">
        <v>6.69</v>
      </c>
      <c r="D43" s="100">
        <v>6.68</v>
      </c>
      <c r="E43" s="100">
        <v>7.13</v>
      </c>
      <c r="F43" s="100">
        <v>2</v>
      </c>
      <c r="G43" s="100">
        <v>71.930000000000007</v>
      </c>
      <c r="H43" s="100">
        <v>41.71</v>
      </c>
      <c r="I43" s="151" t="s">
        <v>8</v>
      </c>
      <c r="J43" s="100">
        <v>0.37</v>
      </c>
      <c r="K43" s="100">
        <v>60.71</v>
      </c>
      <c r="L43" s="100">
        <v>11.67</v>
      </c>
      <c r="M43" s="100">
        <v>4.16</v>
      </c>
      <c r="N43" s="100">
        <v>300.60000000000002</v>
      </c>
      <c r="O43" s="100">
        <v>0</v>
      </c>
      <c r="P43" s="100">
        <v>0.43</v>
      </c>
      <c r="Q43" s="100">
        <v>9.32</v>
      </c>
      <c r="R43" s="6"/>
      <c r="S43" s="6"/>
      <c r="T43" s="156"/>
      <c r="U43" s="6"/>
    </row>
    <row r="44" spans="1:21" customFormat="1">
      <c r="A44" s="201" t="s">
        <v>2291</v>
      </c>
      <c r="B44" s="100">
        <v>3.89</v>
      </c>
      <c r="C44" s="100">
        <v>6.64</v>
      </c>
      <c r="D44" s="100">
        <v>6.59</v>
      </c>
      <c r="E44" s="100">
        <v>6.62</v>
      </c>
      <c r="F44" s="100">
        <v>2</v>
      </c>
      <c r="G44" s="100">
        <v>68.260000000000005</v>
      </c>
      <c r="H44" s="100">
        <v>40.659999999999997</v>
      </c>
      <c r="I44" s="151" t="s">
        <v>8</v>
      </c>
      <c r="J44" s="100">
        <v>0.46</v>
      </c>
      <c r="K44" s="100">
        <v>55.29</v>
      </c>
      <c r="L44" s="100">
        <v>11.52</v>
      </c>
      <c r="M44" s="100">
        <v>4.54</v>
      </c>
      <c r="N44" s="100">
        <v>264</v>
      </c>
      <c r="O44" s="100">
        <v>0</v>
      </c>
      <c r="P44" s="100">
        <v>0.42</v>
      </c>
      <c r="Q44" s="100">
        <v>9.32</v>
      </c>
      <c r="R44" s="6"/>
      <c r="S44" s="6"/>
      <c r="T44" s="156"/>
      <c r="U44" s="6"/>
    </row>
    <row r="45" spans="1:21" customFormat="1">
      <c r="A45" s="201" t="s">
        <v>2292</v>
      </c>
      <c r="B45" s="100">
        <v>3.88</v>
      </c>
      <c r="C45" s="100">
        <v>6.7</v>
      </c>
      <c r="D45" s="100">
        <v>6.61</v>
      </c>
      <c r="E45" s="100">
        <v>6.58</v>
      </c>
      <c r="F45" s="100">
        <v>2</v>
      </c>
      <c r="G45" s="100">
        <v>68.260000000000005</v>
      </c>
      <c r="H45" s="100">
        <v>40.659999999999997</v>
      </c>
      <c r="I45" s="151" t="s">
        <v>8</v>
      </c>
      <c r="J45" s="100">
        <v>0.3</v>
      </c>
      <c r="K45" s="100">
        <v>70.849999999999994</v>
      </c>
      <c r="L45" s="100">
        <v>13.94</v>
      </c>
      <c r="M45" s="100">
        <v>8.0299999999999994</v>
      </c>
      <c r="N45" s="100">
        <v>382</v>
      </c>
      <c r="O45" s="100">
        <v>0</v>
      </c>
      <c r="P45" s="100">
        <v>0.42</v>
      </c>
      <c r="Q45" s="100">
        <v>9.32</v>
      </c>
      <c r="R45" s="6"/>
      <c r="S45" s="6"/>
      <c r="T45" s="156"/>
      <c r="U45" s="6"/>
    </row>
    <row r="46" spans="1:21" customFormat="1">
      <c r="A46" s="201" t="s">
        <v>2293</v>
      </c>
      <c r="B46" s="100">
        <v>3.77</v>
      </c>
      <c r="C46" s="100">
        <v>6.69</v>
      </c>
      <c r="D46" s="100">
        <v>6.52</v>
      </c>
      <c r="E46" s="100">
        <v>6.77</v>
      </c>
      <c r="F46" s="100">
        <v>2.2200000000000002</v>
      </c>
      <c r="G46" s="100">
        <v>68.260000000000005</v>
      </c>
      <c r="H46" s="100">
        <v>40.659999999999997</v>
      </c>
      <c r="I46" s="151" t="s">
        <v>8</v>
      </c>
      <c r="J46" s="100">
        <v>0.53</v>
      </c>
      <c r="K46" s="100">
        <v>46.42</v>
      </c>
      <c r="L46" s="100">
        <v>13.67</v>
      </c>
      <c r="M46" s="100">
        <v>6.37</v>
      </c>
      <c r="N46" s="100">
        <v>417.7</v>
      </c>
      <c r="O46" s="100">
        <v>0</v>
      </c>
      <c r="P46" s="100">
        <v>0.41</v>
      </c>
      <c r="Q46" s="100">
        <v>9.32</v>
      </c>
      <c r="R46" s="6"/>
      <c r="S46" s="6"/>
      <c r="T46" s="156"/>
      <c r="U46" s="6"/>
    </row>
    <row r="47" spans="1:21" customFormat="1">
      <c r="A47" s="201" t="s">
        <v>2294</v>
      </c>
      <c r="B47" s="100">
        <v>3.69</v>
      </c>
      <c r="C47" s="100">
        <v>6.85</v>
      </c>
      <c r="D47" s="100">
        <v>6.54</v>
      </c>
      <c r="E47" s="100">
        <v>6.71</v>
      </c>
      <c r="F47" s="100">
        <v>2</v>
      </c>
      <c r="G47" s="100">
        <v>68.040000000000006</v>
      </c>
      <c r="H47" s="100">
        <v>40.479999999999997</v>
      </c>
      <c r="I47" s="151" t="s">
        <v>8</v>
      </c>
      <c r="J47" s="100">
        <v>0.4</v>
      </c>
      <c r="K47" s="100">
        <v>52.73</v>
      </c>
      <c r="L47" s="100">
        <v>15.03</v>
      </c>
      <c r="M47" s="100">
        <v>8.86</v>
      </c>
      <c r="N47" s="100">
        <v>454.5</v>
      </c>
      <c r="O47" s="100">
        <v>0</v>
      </c>
      <c r="P47" s="100">
        <v>0.41</v>
      </c>
      <c r="Q47" s="100">
        <v>9.32</v>
      </c>
      <c r="R47" s="6"/>
      <c r="S47" s="6"/>
      <c r="T47" s="156"/>
      <c r="U47" s="6"/>
    </row>
    <row r="48" spans="1:21" customFormat="1">
      <c r="A48" s="201" t="s">
        <v>2295</v>
      </c>
      <c r="B48" s="100">
        <v>3.68</v>
      </c>
      <c r="C48" s="100">
        <v>6.86</v>
      </c>
      <c r="D48" s="100">
        <v>6.54</v>
      </c>
      <c r="E48" s="100">
        <v>7.11</v>
      </c>
      <c r="F48" s="100">
        <v>2</v>
      </c>
      <c r="G48" s="100">
        <v>61.59</v>
      </c>
      <c r="H48" s="100">
        <v>34.61</v>
      </c>
      <c r="I48" s="151" t="s">
        <v>8</v>
      </c>
      <c r="J48" s="100">
        <v>0.45</v>
      </c>
      <c r="K48" s="100">
        <v>128.21</v>
      </c>
      <c r="L48" s="100">
        <v>16.91</v>
      </c>
      <c r="M48" s="100">
        <v>15.06</v>
      </c>
      <c r="N48" s="100">
        <v>402.5</v>
      </c>
      <c r="O48" s="100">
        <v>0</v>
      </c>
      <c r="P48" s="100">
        <v>0.4</v>
      </c>
      <c r="Q48" s="100">
        <v>9.32</v>
      </c>
      <c r="R48" s="6"/>
      <c r="S48" s="6"/>
      <c r="T48" s="156"/>
      <c r="U48" s="6"/>
    </row>
    <row r="49" spans="1:21" customFormat="1">
      <c r="A49" s="201" t="s">
        <v>2296</v>
      </c>
      <c r="B49" s="100">
        <v>3.57</v>
      </c>
      <c r="C49" s="100">
        <v>6.79</v>
      </c>
      <c r="D49" s="100">
        <v>6.41</v>
      </c>
      <c r="E49" s="100">
        <v>5.85</v>
      </c>
      <c r="F49" s="100">
        <v>2.0099999999999998</v>
      </c>
      <c r="G49" s="100">
        <v>61.59</v>
      </c>
      <c r="H49" s="100">
        <v>34.61</v>
      </c>
      <c r="I49" s="151" t="s">
        <v>8</v>
      </c>
      <c r="J49" s="100">
        <v>0.37</v>
      </c>
      <c r="K49" s="100">
        <v>56.25</v>
      </c>
      <c r="L49" s="100">
        <v>16.100000000000001</v>
      </c>
      <c r="M49" s="100">
        <v>9.3800000000000008</v>
      </c>
      <c r="N49" s="100">
        <v>527.70000000000005</v>
      </c>
      <c r="O49" s="100">
        <v>0</v>
      </c>
      <c r="P49" s="100">
        <v>0.4</v>
      </c>
      <c r="Q49" s="100">
        <v>9.32</v>
      </c>
      <c r="R49" s="6"/>
      <c r="S49" s="6"/>
      <c r="T49" s="156"/>
      <c r="U49" s="6"/>
    </row>
    <row r="50" spans="1:21" customFormat="1">
      <c r="A50" s="201" t="s">
        <v>2297</v>
      </c>
      <c r="B50" s="100">
        <v>3.43</v>
      </c>
      <c r="C50" s="100">
        <v>6.81</v>
      </c>
      <c r="D50" s="100">
        <v>6.31</v>
      </c>
      <c r="E50" s="100">
        <v>6.91</v>
      </c>
      <c r="F50" s="100">
        <v>2</v>
      </c>
      <c r="G50" s="100">
        <v>61.59</v>
      </c>
      <c r="H50" s="100">
        <v>34.61</v>
      </c>
      <c r="I50" s="151" t="s">
        <v>8</v>
      </c>
      <c r="J50" s="100">
        <v>0.38</v>
      </c>
      <c r="K50" s="100">
        <v>73.040000000000006</v>
      </c>
      <c r="L50" s="100">
        <v>15.68</v>
      </c>
      <c r="M50" s="100">
        <v>8.35</v>
      </c>
      <c r="N50" s="100">
        <v>547.70000000000005</v>
      </c>
      <c r="O50" s="100">
        <v>0</v>
      </c>
      <c r="P50" s="100">
        <v>0.39</v>
      </c>
      <c r="Q50" s="100">
        <v>9.32</v>
      </c>
      <c r="R50" s="6"/>
      <c r="S50" s="6"/>
      <c r="T50" s="156"/>
      <c r="U50" s="6"/>
    </row>
    <row r="51" spans="1:21" customFormat="1">
      <c r="A51" s="201" t="s">
        <v>2298</v>
      </c>
      <c r="B51" s="100">
        <v>3.34</v>
      </c>
      <c r="C51" s="100">
        <v>6.85</v>
      </c>
      <c r="D51" s="100">
        <v>6.26</v>
      </c>
      <c r="E51" s="100">
        <v>6.67</v>
      </c>
      <c r="F51" s="100">
        <v>2</v>
      </c>
      <c r="G51" s="100">
        <v>61.51</v>
      </c>
      <c r="H51" s="100">
        <v>34.479999999999997</v>
      </c>
      <c r="I51" s="151" t="s">
        <v>8</v>
      </c>
      <c r="J51" s="100">
        <v>0.31</v>
      </c>
      <c r="K51" s="100">
        <v>113.86</v>
      </c>
      <c r="L51" s="100">
        <v>18.850000000000001</v>
      </c>
      <c r="M51" s="100">
        <v>14.94</v>
      </c>
      <c r="N51" s="100">
        <v>584.70000000000005</v>
      </c>
      <c r="O51" s="100">
        <v>0</v>
      </c>
      <c r="P51" s="100">
        <v>0.38</v>
      </c>
      <c r="Q51" s="100">
        <v>9.32</v>
      </c>
      <c r="R51" s="6"/>
      <c r="S51" s="6"/>
      <c r="T51" s="156"/>
      <c r="U51" s="6"/>
    </row>
    <row r="52" spans="1:21" customFormat="1">
      <c r="A52" s="201" t="s">
        <v>2299</v>
      </c>
      <c r="B52" s="100">
        <v>3.29</v>
      </c>
      <c r="C52" s="100">
        <v>6.86</v>
      </c>
      <c r="D52" s="100">
        <v>6.22</v>
      </c>
      <c r="E52" s="100">
        <v>6.48</v>
      </c>
      <c r="F52" s="100">
        <v>2</v>
      </c>
      <c r="G52" s="100">
        <v>59.24</v>
      </c>
      <c r="H52" s="100">
        <v>30.54</v>
      </c>
      <c r="I52" s="151" t="s">
        <v>8</v>
      </c>
      <c r="J52" s="100">
        <v>0.31</v>
      </c>
      <c r="K52" s="100">
        <v>55.86</v>
      </c>
      <c r="L52" s="100">
        <v>15.09</v>
      </c>
      <c r="M52" s="100">
        <v>7.1</v>
      </c>
      <c r="N52" s="100">
        <v>539.29999999999995</v>
      </c>
      <c r="O52" s="100">
        <v>0</v>
      </c>
      <c r="P52" s="100">
        <v>0.38</v>
      </c>
      <c r="Q52" s="100">
        <v>9.32</v>
      </c>
      <c r="R52" s="6"/>
      <c r="S52" s="6"/>
      <c r="T52" s="156"/>
      <c r="U52" s="6"/>
    </row>
    <row r="53" spans="1:21" customFormat="1">
      <c r="A53" s="201" t="s">
        <v>2300</v>
      </c>
      <c r="B53" s="100">
        <v>3.22</v>
      </c>
      <c r="C53" s="100">
        <v>6.74</v>
      </c>
      <c r="D53" s="100">
        <v>6.1</v>
      </c>
      <c r="E53" s="100">
        <v>6.7</v>
      </c>
      <c r="F53" s="100">
        <v>2</v>
      </c>
      <c r="G53" s="100">
        <v>59.24</v>
      </c>
      <c r="H53" s="100">
        <v>30.54</v>
      </c>
      <c r="I53" s="151" t="s">
        <v>8</v>
      </c>
      <c r="J53" s="100">
        <v>0.39</v>
      </c>
      <c r="K53" s="100">
        <v>77.8</v>
      </c>
      <c r="L53" s="100">
        <v>14.79</v>
      </c>
      <c r="M53" s="100">
        <v>8.1</v>
      </c>
      <c r="N53" s="100">
        <v>468.1</v>
      </c>
      <c r="O53" s="100">
        <v>0</v>
      </c>
      <c r="P53" s="100">
        <v>0.38</v>
      </c>
      <c r="Q53" s="100">
        <v>9.32</v>
      </c>
      <c r="R53" s="6"/>
      <c r="S53" s="6"/>
      <c r="T53" s="156"/>
      <c r="U53" s="6"/>
    </row>
    <row r="54" spans="1:21" customFormat="1">
      <c r="A54" s="201" t="s">
        <v>2301</v>
      </c>
      <c r="B54" s="100">
        <v>3.1</v>
      </c>
      <c r="C54" s="100">
        <v>6.54</v>
      </c>
      <c r="D54" s="100">
        <v>5.9</v>
      </c>
      <c r="E54" s="100">
        <v>6.28</v>
      </c>
      <c r="F54" s="100">
        <v>2.08</v>
      </c>
      <c r="G54" s="100">
        <v>59.24</v>
      </c>
      <c r="H54" s="100">
        <v>30.54</v>
      </c>
      <c r="I54" s="151" t="s">
        <v>8</v>
      </c>
      <c r="J54" s="100">
        <v>0.35</v>
      </c>
      <c r="K54" s="100">
        <v>70.040000000000006</v>
      </c>
      <c r="L54" s="100">
        <v>13.8</v>
      </c>
      <c r="M54" s="100">
        <v>6.3</v>
      </c>
      <c r="N54" s="100">
        <v>436.8</v>
      </c>
      <c r="O54" s="100">
        <v>0</v>
      </c>
      <c r="P54" s="100">
        <v>0.37</v>
      </c>
      <c r="Q54" s="100">
        <v>9.32</v>
      </c>
      <c r="R54" s="6"/>
      <c r="S54" s="6"/>
      <c r="T54" s="156"/>
      <c r="U54" s="6"/>
    </row>
    <row r="55" spans="1:21" customFormat="1">
      <c r="A55" s="201" t="s">
        <v>2302</v>
      </c>
      <c r="B55" s="100">
        <v>2.99</v>
      </c>
      <c r="C55" s="100">
        <v>6.61</v>
      </c>
      <c r="D55" s="100">
        <v>5.85</v>
      </c>
      <c r="E55" s="100">
        <v>6.18</v>
      </c>
      <c r="F55" s="100">
        <v>3.01</v>
      </c>
      <c r="G55" s="100">
        <v>59.03</v>
      </c>
      <c r="H55" s="100">
        <v>30.48</v>
      </c>
      <c r="I55" s="151" t="s">
        <v>8</v>
      </c>
      <c r="J55" s="100">
        <v>0.35</v>
      </c>
      <c r="K55" s="100">
        <v>71.319999999999993</v>
      </c>
      <c r="L55" s="100">
        <v>16.77</v>
      </c>
      <c r="M55" s="100">
        <v>10.24</v>
      </c>
      <c r="N55" s="100">
        <v>585.5</v>
      </c>
      <c r="O55" s="100">
        <v>0</v>
      </c>
      <c r="P55" s="100">
        <v>0.36</v>
      </c>
      <c r="Q55" s="100">
        <v>9.32</v>
      </c>
      <c r="R55" s="6"/>
      <c r="S55" s="6"/>
      <c r="T55" s="156"/>
      <c r="U55" s="6"/>
    </row>
    <row r="56" spans="1:21" customFormat="1">
      <c r="A56" s="201" t="s">
        <v>2303</v>
      </c>
      <c r="B56" s="100">
        <v>3.03</v>
      </c>
      <c r="C56" s="100">
        <v>6.71</v>
      </c>
      <c r="D56" s="100">
        <v>5.94</v>
      </c>
      <c r="E56" s="100">
        <v>6.53</v>
      </c>
      <c r="F56" s="100">
        <v>2.02</v>
      </c>
      <c r="G56" s="100">
        <v>52.79</v>
      </c>
      <c r="H56" s="100">
        <v>28.5</v>
      </c>
      <c r="I56" s="151" t="s">
        <v>8</v>
      </c>
      <c r="J56" s="100">
        <v>0.54</v>
      </c>
      <c r="K56" s="100">
        <v>45.04</v>
      </c>
      <c r="L56" s="100">
        <v>15.14</v>
      </c>
      <c r="M56" s="100">
        <v>5.58</v>
      </c>
      <c r="N56" s="100">
        <v>605.79999999999995</v>
      </c>
      <c r="O56" s="100">
        <v>0</v>
      </c>
      <c r="P56" s="100">
        <v>0.35</v>
      </c>
      <c r="Q56" s="100">
        <v>9.32</v>
      </c>
      <c r="R56" s="6"/>
      <c r="S56" s="6"/>
      <c r="T56" s="156"/>
      <c r="U56" s="6"/>
    </row>
    <row r="57" spans="1:21" customFormat="1">
      <c r="A57" s="201" t="s">
        <v>2304</v>
      </c>
      <c r="B57" s="100">
        <v>3</v>
      </c>
      <c r="C57" s="100">
        <v>6.76</v>
      </c>
      <c r="D57" s="100">
        <v>5.93</v>
      </c>
      <c r="E57" s="100">
        <v>6.4</v>
      </c>
      <c r="F57" s="100">
        <v>2.0099999999999998</v>
      </c>
      <c r="G57" s="100">
        <v>52.79</v>
      </c>
      <c r="H57" s="100">
        <v>28.5</v>
      </c>
      <c r="I57" s="151" t="s">
        <v>8</v>
      </c>
      <c r="J57" s="100">
        <v>0.47</v>
      </c>
      <c r="K57" s="100">
        <v>57.19</v>
      </c>
      <c r="L57" s="100">
        <v>14.07</v>
      </c>
      <c r="M57" s="100">
        <v>5.75</v>
      </c>
      <c r="N57" s="100">
        <v>489</v>
      </c>
      <c r="O57" s="100">
        <v>0</v>
      </c>
      <c r="P57" s="100">
        <v>0.37</v>
      </c>
      <c r="Q57" s="100">
        <v>9.32</v>
      </c>
      <c r="R57" s="6"/>
      <c r="S57" s="6"/>
      <c r="T57" s="156"/>
      <c r="U57" s="6"/>
    </row>
    <row r="58" spans="1:21" customFormat="1">
      <c r="A58" s="201" t="s">
        <v>2305</v>
      </c>
      <c r="B58" s="100">
        <v>2.85</v>
      </c>
      <c r="C58" s="100">
        <v>6.59</v>
      </c>
      <c r="D58" s="100">
        <v>5.73</v>
      </c>
      <c r="E58" s="100">
        <v>6.69</v>
      </c>
      <c r="F58" s="100">
        <v>2</v>
      </c>
      <c r="G58" s="100">
        <v>52.79</v>
      </c>
      <c r="H58" s="100">
        <v>28.5</v>
      </c>
      <c r="I58" s="151" t="s">
        <v>8</v>
      </c>
      <c r="J58" s="100">
        <v>0.26</v>
      </c>
      <c r="K58" s="100">
        <v>119.25</v>
      </c>
      <c r="L58" s="100">
        <v>20.059999999999999</v>
      </c>
      <c r="M58" s="100">
        <v>18.2</v>
      </c>
      <c r="N58" s="100">
        <v>610.20000000000005</v>
      </c>
      <c r="O58" s="100">
        <v>0</v>
      </c>
      <c r="P58" s="100">
        <v>0.35</v>
      </c>
      <c r="Q58" s="100">
        <v>9.32</v>
      </c>
      <c r="R58" s="6"/>
      <c r="S58" s="6"/>
      <c r="T58" s="156"/>
      <c r="U58" s="6"/>
    </row>
    <row r="59" spans="1:21" customFormat="1">
      <c r="A59" s="201" t="s">
        <v>2306</v>
      </c>
      <c r="B59" s="100">
        <v>2.75</v>
      </c>
      <c r="C59" s="100">
        <v>6.4</v>
      </c>
      <c r="D59" s="100">
        <v>5.55</v>
      </c>
      <c r="E59" s="100">
        <v>6.71</v>
      </c>
      <c r="F59" s="100">
        <v>2.56</v>
      </c>
      <c r="G59" s="100">
        <v>52.49</v>
      </c>
      <c r="H59" s="100">
        <v>28.42</v>
      </c>
      <c r="I59" s="151" t="s">
        <v>8</v>
      </c>
      <c r="J59" s="100">
        <v>0.36</v>
      </c>
      <c r="K59" s="100">
        <v>68.930000000000007</v>
      </c>
      <c r="L59" s="100">
        <v>16</v>
      </c>
      <c r="M59" s="100">
        <v>11.02</v>
      </c>
      <c r="N59" s="100">
        <v>474</v>
      </c>
      <c r="O59" s="100">
        <v>0</v>
      </c>
      <c r="P59" s="100">
        <v>0.34</v>
      </c>
      <c r="Q59" s="100">
        <v>9.32</v>
      </c>
      <c r="R59" s="6"/>
      <c r="S59" s="6"/>
      <c r="T59" s="156"/>
      <c r="U59" s="6"/>
    </row>
    <row r="60" spans="1:21" customFormat="1">
      <c r="A60" s="201" t="s">
        <v>2307</v>
      </c>
      <c r="B60" s="100">
        <v>2.7</v>
      </c>
      <c r="C60" s="100">
        <v>6.57</v>
      </c>
      <c r="D60" s="100">
        <v>5.6</v>
      </c>
      <c r="E60" s="100">
        <v>6.47</v>
      </c>
      <c r="F60" s="100">
        <v>3.02</v>
      </c>
      <c r="G60" s="100">
        <v>43.64</v>
      </c>
      <c r="H60" s="100">
        <v>25.71</v>
      </c>
      <c r="I60" s="151" t="s">
        <v>8</v>
      </c>
      <c r="J60" s="100">
        <v>0.43</v>
      </c>
      <c r="K60" s="100">
        <v>61.89</v>
      </c>
      <c r="L60" s="100">
        <v>15.23</v>
      </c>
      <c r="M60" s="100">
        <v>8.06</v>
      </c>
      <c r="N60" s="100">
        <v>514.70000000000005</v>
      </c>
      <c r="O60" s="100">
        <v>0</v>
      </c>
      <c r="P60" s="100">
        <v>0.32</v>
      </c>
      <c r="Q60" s="100">
        <v>9.32</v>
      </c>
      <c r="R60" s="6"/>
      <c r="S60" s="6"/>
      <c r="T60" s="156"/>
      <c r="U60" s="6"/>
    </row>
    <row r="61" spans="1:21" customFormat="1">
      <c r="A61" s="201" t="s">
        <v>2308</v>
      </c>
      <c r="B61" s="100">
        <v>2.66</v>
      </c>
      <c r="C61" s="100">
        <v>6.51</v>
      </c>
      <c r="D61" s="100">
        <v>5.54</v>
      </c>
      <c r="E61" s="100">
        <v>6.26</v>
      </c>
      <c r="F61" s="100">
        <v>2.11</v>
      </c>
      <c r="G61" s="100">
        <v>43.64</v>
      </c>
      <c r="H61" s="100">
        <v>25.71</v>
      </c>
      <c r="I61" s="151" t="s">
        <v>8</v>
      </c>
      <c r="J61" s="100">
        <v>0.28000000000000003</v>
      </c>
      <c r="K61" s="100">
        <v>137</v>
      </c>
      <c r="L61" s="100">
        <v>19.78</v>
      </c>
      <c r="M61" s="100">
        <v>18.93</v>
      </c>
      <c r="N61" s="100">
        <v>544.6</v>
      </c>
      <c r="O61" s="100">
        <v>0</v>
      </c>
      <c r="P61" s="100">
        <v>0.34</v>
      </c>
      <c r="Q61" s="100">
        <v>9.32</v>
      </c>
      <c r="R61" s="6"/>
      <c r="S61" s="6"/>
      <c r="T61" s="156"/>
      <c r="U61" s="6"/>
    </row>
    <row r="62" spans="1:21" customFormat="1">
      <c r="A62" s="201" t="s">
        <v>2309</v>
      </c>
      <c r="B62" s="100">
        <v>2.5499999999999998</v>
      </c>
      <c r="C62" s="100">
        <v>6.57</v>
      </c>
      <c r="D62" s="100">
        <v>5.48</v>
      </c>
      <c r="E62" s="100">
        <v>6.02</v>
      </c>
      <c r="F62" s="100">
        <v>2</v>
      </c>
      <c r="G62" s="100">
        <v>43.64</v>
      </c>
      <c r="H62" s="100">
        <v>25.71</v>
      </c>
      <c r="I62" s="151" t="s">
        <v>8</v>
      </c>
      <c r="J62" s="100">
        <v>0.33</v>
      </c>
      <c r="K62" s="100">
        <v>147.08000000000001</v>
      </c>
      <c r="L62" s="100">
        <v>19.13</v>
      </c>
      <c r="M62" s="100">
        <v>20.11</v>
      </c>
      <c r="N62" s="100">
        <v>428.3</v>
      </c>
      <c r="O62" s="100">
        <v>0</v>
      </c>
      <c r="P62" s="100">
        <v>0.34</v>
      </c>
      <c r="Q62" s="100">
        <v>9.32</v>
      </c>
      <c r="R62" s="6"/>
      <c r="S62" s="6"/>
      <c r="T62" s="156"/>
      <c r="U62" s="6"/>
    </row>
    <row r="63" spans="1:21" customFormat="1">
      <c r="A63" s="201" t="s">
        <v>2310</v>
      </c>
      <c r="B63" s="100">
        <v>2.4700000000000002</v>
      </c>
      <c r="C63" s="100">
        <v>6.56</v>
      </c>
      <c r="D63" s="100">
        <v>5.41</v>
      </c>
      <c r="E63" s="100">
        <v>5.91</v>
      </c>
      <c r="F63" s="100">
        <v>2</v>
      </c>
      <c r="G63" s="100">
        <v>43.5</v>
      </c>
      <c r="H63" s="100">
        <v>25.62</v>
      </c>
      <c r="I63" s="151" t="s">
        <v>8</v>
      </c>
      <c r="J63" s="100">
        <v>0.31</v>
      </c>
      <c r="K63" s="100">
        <v>116.94</v>
      </c>
      <c r="L63" s="100">
        <v>14.67</v>
      </c>
      <c r="M63" s="100">
        <v>14.34</v>
      </c>
      <c r="N63" s="100">
        <v>193.7</v>
      </c>
      <c r="O63" s="100">
        <v>0</v>
      </c>
      <c r="P63" s="100">
        <v>0.35</v>
      </c>
      <c r="Q63" s="100">
        <v>9.32</v>
      </c>
      <c r="R63" s="6"/>
      <c r="S63" s="6"/>
      <c r="T63" s="156"/>
      <c r="U63" s="6"/>
    </row>
    <row r="64" spans="1:21" customFormat="1">
      <c r="A64" s="201" t="s">
        <v>2311</v>
      </c>
      <c r="B64" s="100">
        <v>2.36</v>
      </c>
      <c r="C64" s="100">
        <v>6.83</v>
      </c>
      <c r="D64" s="100">
        <v>5.46</v>
      </c>
      <c r="E64" s="100">
        <v>6.33</v>
      </c>
      <c r="F64" s="100">
        <v>12.93</v>
      </c>
      <c r="G64" s="100">
        <v>39.44</v>
      </c>
      <c r="H64" s="100">
        <v>22.56</v>
      </c>
      <c r="I64" s="151" t="s">
        <v>8</v>
      </c>
      <c r="J64" s="100">
        <v>0.3</v>
      </c>
      <c r="K64" s="100">
        <v>73.349999999999994</v>
      </c>
      <c r="L64" s="100">
        <v>13.15</v>
      </c>
      <c r="M64" s="100">
        <v>10.91</v>
      </c>
      <c r="N64" s="100">
        <v>198.6</v>
      </c>
      <c r="O64" s="100">
        <v>0</v>
      </c>
      <c r="P64" s="100">
        <v>0.32</v>
      </c>
      <c r="Q64" s="100">
        <v>9.32</v>
      </c>
      <c r="R64" s="6"/>
      <c r="S64" s="6"/>
      <c r="T64" s="156"/>
      <c r="U64" s="6"/>
    </row>
    <row r="65" spans="1:21" customFormat="1">
      <c r="A65" s="201" t="s">
        <v>2312</v>
      </c>
      <c r="B65" s="100">
        <v>1.93</v>
      </c>
      <c r="C65" s="100">
        <v>7.61</v>
      </c>
      <c r="D65" s="100">
        <v>5.52</v>
      </c>
      <c r="E65" s="100">
        <v>5.93</v>
      </c>
      <c r="F65" s="100">
        <v>27.04</v>
      </c>
      <c r="G65" s="100">
        <v>39.44</v>
      </c>
      <c r="H65" s="100">
        <v>22.56</v>
      </c>
      <c r="I65" s="151" t="s">
        <v>8</v>
      </c>
      <c r="J65" s="100">
        <v>0.26</v>
      </c>
      <c r="K65" s="100">
        <v>114.51</v>
      </c>
      <c r="L65" s="100">
        <v>16</v>
      </c>
      <c r="M65" s="100">
        <v>13.97</v>
      </c>
      <c r="N65" s="100">
        <v>352.6</v>
      </c>
      <c r="O65" s="100">
        <v>0</v>
      </c>
      <c r="P65" s="100">
        <v>0.25</v>
      </c>
      <c r="Q65" s="100">
        <v>9.32</v>
      </c>
      <c r="R65" s="6"/>
      <c r="S65" s="6"/>
      <c r="T65" s="156"/>
      <c r="U65" s="6"/>
    </row>
    <row r="66" spans="1:21" customFormat="1">
      <c r="A66" s="201" t="s">
        <v>2313</v>
      </c>
      <c r="B66" s="100">
        <v>1.59</v>
      </c>
      <c r="C66" s="100">
        <v>6.8</v>
      </c>
      <c r="D66" s="100">
        <v>4.83</v>
      </c>
      <c r="E66" s="100">
        <v>5.47</v>
      </c>
      <c r="F66" s="100">
        <v>28.07</v>
      </c>
      <c r="G66" s="100">
        <v>39.44</v>
      </c>
      <c r="H66" s="100">
        <v>22.56</v>
      </c>
      <c r="I66" s="151" t="s">
        <v>8</v>
      </c>
      <c r="J66" s="100">
        <v>0.34</v>
      </c>
      <c r="K66" s="100">
        <v>130.22</v>
      </c>
      <c r="L66" s="100">
        <v>16.920000000000002</v>
      </c>
      <c r="M66" s="100">
        <v>15.72</v>
      </c>
      <c r="N66" s="100">
        <v>379</v>
      </c>
      <c r="O66" s="100">
        <v>0</v>
      </c>
      <c r="P66" s="100">
        <v>0.24</v>
      </c>
      <c r="Q66" s="100">
        <v>9.32</v>
      </c>
      <c r="R66" s="6"/>
      <c r="S66" s="6"/>
      <c r="T66" s="156"/>
      <c r="U66" s="6"/>
    </row>
    <row r="67" spans="1:21" customFormat="1">
      <c r="A67" s="201" t="s">
        <v>2314</v>
      </c>
      <c r="B67" s="100">
        <v>1.59</v>
      </c>
      <c r="C67" s="100">
        <v>6.37</v>
      </c>
      <c r="D67" s="100">
        <v>4.5999999999999996</v>
      </c>
      <c r="E67" s="100">
        <v>5.01</v>
      </c>
      <c r="F67" s="100">
        <v>25.32</v>
      </c>
      <c r="G67" s="100">
        <v>39.19</v>
      </c>
      <c r="H67" s="100">
        <v>22.42</v>
      </c>
      <c r="I67" s="151" t="s">
        <v>8</v>
      </c>
      <c r="J67" s="100">
        <v>0.32</v>
      </c>
      <c r="K67" s="100">
        <v>110.36</v>
      </c>
      <c r="L67" s="100">
        <v>12.76</v>
      </c>
      <c r="M67" s="100">
        <v>12.44</v>
      </c>
      <c r="N67" s="100">
        <v>73.900000000000006</v>
      </c>
      <c r="O67" s="100">
        <v>0</v>
      </c>
      <c r="P67" s="100">
        <v>0.23</v>
      </c>
      <c r="Q67" s="100">
        <v>9.32</v>
      </c>
      <c r="R67" s="6"/>
      <c r="S67" s="6"/>
      <c r="T67" s="156"/>
      <c r="U67" s="6"/>
    </row>
    <row r="68" spans="1:21" customFormat="1">
      <c r="A68" s="201" t="s">
        <v>2315</v>
      </c>
      <c r="B68" s="100">
        <v>1.55</v>
      </c>
      <c r="C68" s="100">
        <v>6.1</v>
      </c>
      <c r="D68" s="100">
        <v>4.43</v>
      </c>
      <c r="E68" s="100">
        <v>5.33</v>
      </c>
      <c r="F68" s="100">
        <v>21.72</v>
      </c>
      <c r="G68" s="100">
        <v>31.93</v>
      </c>
      <c r="H68" s="100">
        <v>17.82</v>
      </c>
      <c r="I68" s="151" t="s">
        <v>8</v>
      </c>
      <c r="J68" s="100">
        <v>0.33</v>
      </c>
      <c r="K68" s="100">
        <v>103.96</v>
      </c>
      <c r="L68" s="100">
        <v>12.61</v>
      </c>
      <c r="M68" s="100">
        <v>12.25</v>
      </c>
      <c r="N68" s="100">
        <v>53.6</v>
      </c>
      <c r="O68" s="100">
        <v>0</v>
      </c>
      <c r="P68" s="100">
        <v>0.22</v>
      </c>
      <c r="Q68" s="100">
        <v>9.32</v>
      </c>
      <c r="R68" s="6"/>
      <c r="S68" s="6"/>
      <c r="T68" s="156"/>
      <c r="U68" s="6"/>
    </row>
    <row r="69" spans="1:21" customFormat="1">
      <c r="A69" s="201" t="s">
        <v>2316</v>
      </c>
      <c r="B69" s="100">
        <v>1.58</v>
      </c>
      <c r="C69" s="100">
        <v>6.9</v>
      </c>
      <c r="D69" s="100">
        <v>4.88</v>
      </c>
      <c r="E69" s="100">
        <v>6.73</v>
      </c>
      <c r="F69" s="100">
        <v>23.8</v>
      </c>
      <c r="G69" s="100">
        <v>31.93</v>
      </c>
      <c r="H69" s="100">
        <v>17.82</v>
      </c>
      <c r="I69" s="151" t="s">
        <v>8</v>
      </c>
      <c r="J69" s="100">
        <v>0.24</v>
      </c>
      <c r="K69" s="100">
        <v>97.8</v>
      </c>
      <c r="L69" s="100">
        <v>13.77</v>
      </c>
      <c r="M69" s="100">
        <v>15.7</v>
      </c>
      <c r="N69" s="100">
        <v>43.4</v>
      </c>
      <c r="O69" s="100">
        <v>0</v>
      </c>
      <c r="P69" s="100">
        <v>0.23</v>
      </c>
      <c r="Q69" s="100">
        <v>9.32</v>
      </c>
      <c r="R69" s="6"/>
      <c r="S69" s="6"/>
      <c r="T69" s="156"/>
      <c r="U69" s="6"/>
    </row>
    <row r="70" spans="1:21" customFormat="1">
      <c r="A70" s="201" t="s">
        <v>2317</v>
      </c>
      <c r="B70" s="100">
        <v>1.53</v>
      </c>
      <c r="C70" s="100">
        <v>6.84</v>
      </c>
      <c r="D70" s="100">
        <v>4.8</v>
      </c>
      <c r="E70" s="100">
        <v>6.78</v>
      </c>
      <c r="F70" s="100">
        <v>24.32</v>
      </c>
      <c r="G70" s="100">
        <v>31.93</v>
      </c>
      <c r="H70" s="100">
        <v>17.82</v>
      </c>
      <c r="I70" s="151" t="s">
        <v>8</v>
      </c>
      <c r="J70" s="100">
        <v>0.21</v>
      </c>
      <c r="K70" s="100">
        <v>151.27000000000001</v>
      </c>
      <c r="L70" s="100">
        <v>16.25</v>
      </c>
      <c r="M70" s="100">
        <v>22.08</v>
      </c>
      <c r="N70" s="100">
        <v>36.700000000000003</v>
      </c>
      <c r="O70" s="100">
        <v>0</v>
      </c>
      <c r="P70" s="100">
        <v>0.23</v>
      </c>
      <c r="Q70" s="100">
        <v>9.32</v>
      </c>
      <c r="R70" s="6"/>
      <c r="S70" s="6"/>
      <c r="T70" s="156"/>
      <c r="U70" s="6"/>
    </row>
    <row r="71" spans="1:21" customFormat="1">
      <c r="A71" s="201" t="s">
        <v>2318</v>
      </c>
      <c r="B71" s="100">
        <v>1.5</v>
      </c>
      <c r="C71" s="100">
        <v>6.36</v>
      </c>
      <c r="D71" s="100">
        <v>4.53</v>
      </c>
      <c r="E71" s="100">
        <v>6.55</v>
      </c>
      <c r="F71" s="100">
        <v>40.869999999999997</v>
      </c>
      <c r="G71" s="100">
        <v>31.96</v>
      </c>
      <c r="H71" s="100">
        <v>17.79</v>
      </c>
      <c r="I71" s="151" t="s">
        <v>8</v>
      </c>
      <c r="J71" s="100">
        <v>0.3</v>
      </c>
      <c r="K71" s="100">
        <v>143.97</v>
      </c>
      <c r="L71" s="100">
        <v>15.27</v>
      </c>
      <c r="M71" s="100">
        <v>19.510000000000002</v>
      </c>
      <c r="N71" s="100">
        <v>37.5</v>
      </c>
      <c r="O71" s="100">
        <v>0</v>
      </c>
      <c r="P71" s="100">
        <v>0.21</v>
      </c>
      <c r="Q71" s="100">
        <v>9.32</v>
      </c>
      <c r="R71" s="6"/>
      <c r="S71" s="6"/>
      <c r="T71" s="156"/>
      <c r="U71" s="6"/>
    </row>
    <row r="72" spans="1:21" customFormat="1">
      <c r="A72" s="201" t="s">
        <v>2319</v>
      </c>
      <c r="B72" s="100">
        <v>1.43</v>
      </c>
      <c r="C72" s="100">
        <v>5.73</v>
      </c>
      <c r="D72" s="100">
        <v>4.1399999999999997</v>
      </c>
      <c r="E72" s="100">
        <v>6.47</v>
      </c>
      <c r="F72" s="100">
        <v>28.12</v>
      </c>
      <c r="G72" s="100">
        <v>33.07</v>
      </c>
      <c r="H72" s="100">
        <v>15.9</v>
      </c>
      <c r="I72" s="151" t="s">
        <v>8</v>
      </c>
      <c r="J72" s="100">
        <v>0.24</v>
      </c>
      <c r="K72" s="100">
        <v>128.5</v>
      </c>
      <c r="L72" s="100">
        <v>13.91</v>
      </c>
      <c r="M72" s="100">
        <v>16.11</v>
      </c>
      <c r="N72" s="100">
        <v>34.4</v>
      </c>
      <c r="O72" s="100">
        <v>0</v>
      </c>
      <c r="P72" s="100">
        <v>0.2</v>
      </c>
      <c r="Q72" s="100">
        <v>9.32</v>
      </c>
      <c r="R72" s="6"/>
      <c r="S72" s="6"/>
      <c r="T72" s="156"/>
      <c r="U72" s="6"/>
    </row>
    <row r="73" spans="1:21" customFormat="1">
      <c r="A73" s="201" t="s">
        <v>2320</v>
      </c>
      <c r="B73" s="100">
        <v>1.47</v>
      </c>
      <c r="C73" s="100">
        <v>5.42</v>
      </c>
      <c r="D73" s="100">
        <v>4.01</v>
      </c>
      <c r="E73" s="100">
        <v>6.41</v>
      </c>
      <c r="F73" s="100">
        <v>46.37</v>
      </c>
      <c r="G73" s="100">
        <v>33.07</v>
      </c>
      <c r="H73" s="100">
        <v>15.9</v>
      </c>
      <c r="I73" s="151" t="s">
        <v>8</v>
      </c>
      <c r="J73" s="100">
        <v>0.27</v>
      </c>
      <c r="K73" s="100">
        <v>131.16999999999999</v>
      </c>
      <c r="L73" s="100">
        <v>13.38</v>
      </c>
      <c r="M73" s="100">
        <v>15.05</v>
      </c>
      <c r="N73" s="100">
        <v>27.2</v>
      </c>
      <c r="O73" s="100">
        <v>0</v>
      </c>
      <c r="P73" s="100">
        <v>0.2</v>
      </c>
      <c r="Q73" s="100">
        <v>9.32</v>
      </c>
      <c r="R73" s="6"/>
      <c r="S73" s="6"/>
      <c r="T73" s="156"/>
      <c r="U73" s="6"/>
    </row>
    <row r="74" spans="1:21" customFormat="1">
      <c r="A74" s="201" t="s">
        <v>2321</v>
      </c>
      <c r="B74" s="100">
        <v>1.43</v>
      </c>
      <c r="C74" s="100">
        <v>5.77</v>
      </c>
      <c r="D74" s="100">
        <v>4.16</v>
      </c>
      <c r="E74" s="100">
        <v>6.92</v>
      </c>
      <c r="F74" s="100">
        <v>50.67</v>
      </c>
      <c r="G74" s="100">
        <v>33.07</v>
      </c>
      <c r="H74" s="100">
        <v>15.9</v>
      </c>
      <c r="I74" s="151" t="s">
        <v>8</v>
      </c>
      <c r="J74" s="100">
        <v>0.24</v>
      </c>
      <c r="K74" s="100">
        <v>129.65</v>
      </c>
      <c r="L74" s="100">
        <v>14.2</v>
      </c>
      <c r="M74" s="100">
        <v>17.25</v>
      </c>
      <c r="N74" s="100">
        <v>21.8</v>
      </c>
      <c r="O74" s="100">
        <v>0</v>
      </c>
      <c r="P74" s="100">
        <v>0.21</v>
      </c>
      <c r="Q74" s="100">
        <v>9.32</v>
      </c>
      <c r="R74" s="6"/>
      <c r="S74" s="6"/>
      <c r="T74" s="156"/>
      <c r="U74" s="6"/>
    </row>
    <row r="75" spans="1:21" customFormat="1">
      <c r="A75" s="201" t="s">
        <v>2322</v>
      </c>
      <c r="B75" s="100">
        <v>1.39</v>
      </c>
      <c r="C75" s="100">
        <v>5.93</v>
      </c>
      <c r="D75" s="100">
        <v>4.21</v>
      </c>
      <c r="E75" s="100">
        <v>7.18</v>
      </c>
      <c r="F75" s="100">
        <v>52.07</v>
      </c>
      <c r="G75" s="100">
        <v>33.1</v>
      </c>
      <c r="H75" s="100">
        <v>16.010000000000002</v>
      </c>
      <c r="I75" s="151" t="s">
        <v>8</v>
      </c>
      <c r="J75" s="100">
        <v>0.23</v>
      </c>
      <c r="K75" s="100">
        <v>129.83000000000001</v>
      </c>
      <c r="L75" s="100">
        <v>13.51</v>
      </c>
      <c r="M75" s="100">
        <v>15.61</v>
      </c>
      <c r="N75" s="100">
        <v>18.399999999999999</v>
      </c>
      <c r="O75" s="100">
        <v>0</v>
      </c>
      <c r="P75" s="100">
        <v>0.21</v>
      </c>
      <c r="Q75" s="100">
        <v>9.32</v>
      </c>
      <c r="R75" s="6"/>
      <c r="S75" s="6"/>
      <c r="T75" s="156"/>
      <c r="U75" s="6"/>
    </row>
    <row r="76" spans="1:21" customFormat="1">
      <c r="A76" s="201" t="s">
        <v>2323</v>
      </c>
      <c r="B76" s="100">
        <v>1.4</v>
      </c>
      <c r="C76" s="100">
        <v>6.02</v>
      </c>
      <c r="D76" s="100">
        <v>4.2699999999999996</v>
      </c>
      <c r="E76" s="100">
        <v>7.71</v>
      </c>
      <c r="F76" s="100">
        <v>55.01</v>
      </c>
      <c r="G76" s="100">
        <v>33.82</v>
      </c>
      <c r="H76" s="100">
        <v>19.75</v>
      </c>
      <c r="I76" s="151" t="s">
        <v>8</v>
      </c>
      <c r="J76" s="100">
        <v>0.28000000000000003</v>
      </c>
      <c r="K76" s="100">
        <v>147.09</v>
      </c>
      <c r="L76" s="100">
        <v>15.1</v>
      </c>
      <c r="M76" s="100">
        <v>19.54</v>
      </c>
      <c r="N76" s="100">
        <v>13.9</v>
      </c>
      <c r="O76" s="100">
        <v>0</v>
      </c>
      <c r="P76" s="100">
        <v>0.21</v>
      </c>
      <c r="Q76" s="100">
        <v>9.32</v>
      </c>
      <c r="R76" s="6"/>
      <c r="S76" s="6"/>
      <c r="T76" s="156"/>
      <c r="U76" s="6"/>
    </row>
    <row r="77" spans="1:21" customFormat="1">
      <c r="A77" s="201" t="s">
        <v>2324</v>
      </c>
      <c r="B77" s="100">
        <v>1.4</v>
      </c>
      <c r="C77" s="100">
        <v>6.09</v>
      </c>
      <c r="D77" s="100">
        <v>4.3</v>
      </c>
      <c r="E77" s="100">
        <v>7.39</v>
      </c>
      <c r="F77" s="100">
        <v>37.619999999999997</v>
      </c>
      <c r="G77" s="100">
        <v>33.82</v>
      </c>
      <c r="H77" s="100">
        <v>19.75</v>
      </c>
      <c r="I77" s="151" t="s">
        <v>8</v>
      </c>
      <c r="J77" s="100">
        <v>0.35</v>
      </c>
      <c r="K77" s="100">
        <v>145.05000000000001</v>
      </c>
      <c r="L77" s="100">
        <v>14.67</v>
      </c>
      <c r="M77" s="100">
        <v>18.64</v>
      </c>
      <c r="N77" s="100">
        <v>9.1</v>
      </c>
      <c r="O77" s="100">
        <v>0</v>
      </c>
      <c r="P77" s="100">
        <v>0.22</v>
      </c>
      <c r="Q77" s="100">
        <v>9.32</v>
      </c>
      <c r="R77" s="6"/>
      <c r="S77" s="6"/>
      <c r="T77" s="156"/>
      <c r="U77" s="6"/>
    </row>
    <row r="78" spans="1:21" customFormat="1">
      <c r="A78" s="201" t="s">
        <v>2325</v>
      </c>
      <c r="B78" s="100">
        <v>1.42</v>
      </c>
      <c r="C78" s="100">
        <v>6.12</v>
      </c>
      <c r="D78" s="100">
        <v>4.34</v>
      </c>
      <c r="E78" s="100">
        <v>6.99</v>
      </c>
      <c r="F78" s="100">
        <v>23.32</v>
      </c>
      <c r="G78" s="100">
        <v>33.82</v>
      </c>
      <c r="H78" s="100">
        <v>19.75</v>
      </c>
      <c r="I78" s="151" t="s">
        <v>8</v>
      </c>
      <c r="J78" s="100">
        <v>0.25</v>
      </c>
      <c r="K78" s="100">
        <v>153.36000000000001</v>
      </c>
      <c r="L78" s="100">
        <v>15.37</v>
      </c>
      <c r="M78" s="100">
        <v>20.62</v>
      </c>
      <c r="N78" s="100">
        <v>4.8</v>
      </c>
      <c r="O78" s="100">
        <v>0</v>
      </c>
      <c r="P78" s="100">
        <v>0.24</v>
      </c>
      <c r="Q78" s="100">
        <v>9.32</v>
      </c>
      <c r="R78" s="6"/>
      <c r="S78" s="6"/>
      <c r="T78" s="156"/>
      <c r="U78" s="6"/>
    </row>
    <row r="79" spans="1:21" customFormat="1">
      <c r="A79" s="201" t="s">
        <v>2326</v>
      </c>
      <c r="B79" s="100">
        <v>1.43</v>
      </c>
      <c r="C79" s="100">
        <v>6.72</v>
      </c>
      <c r="D79" s="100">
        <v>4.66</v>
      </c>
      <c r="E79" s="100">
        <v>6.72</v>
      </c>
      <c r="F79" s="100">
        <v>24.07</v>
      </c>
      <c r="G79" s="100">
        <v>33.82</v>
      </c>
      <c r="H79" s="100">
        <v>19.62</v>
      </c>
      <c r="I79" s="151" t="s">
        <v>8</v>
      </c>
      <c r="J79" s="100">
        <v>0.27</v>
      </c>
      <c r="K79" s="100">
        <v>148.77000000000001</v>
      </c>
      <c r="L79" s="100">
        <v>14.66</v>
      </c>
      <c r="M79" s="100">
        <v>18.920000000000002</v>
      </c>
      <c r="N79" s="100">
        <v>3</v>
      </c>
      <c r="O79" s="100">
        <v>0</v>
      </c>
      <c r="P79" s="100">
        <v>0.26</v>
      </c>
      <c r="Q79" s="100">
        <v>9.32</v>
      </c>
      <c r="R79" s="6"/>
      <c r="S79" s="6"/>
      <c r="T79" s="156"/>
      <c r="U79" s="6"/>
    </row>
    <row r="80" spans="1:21" customFormat="1">
      <c r="A80" s="201" t="s">
        <v>2327</v>
      </c>
      <c r="B80" s="100">
        <v>1.5</v>
      </c>
      <c r="C80" s="100">
        <v>7.16</v>
      </c>
      <c r="D80" s="100">
        <v>4.9400000000000004</v>
      </c>
      <c r="E80" s="100">
        <v>7</v>
      </c>
      <c r="F80" s="100">
        <v>12.62</v>
      </c>
      <c r="G80" s="100">
        <v>33.799999999999997</v>
      </c>
      <c r="H80" s="100">
        <v>15.53</v>
      </c>
      <c r="I80" s="100">
        <v>1.84</v>
      </c>
      <c r="J80" s="100">
        <v>0.15</v>
      </c>
      <c r="K80" s="100">
        <v>127.17</v>
      </c>
      <c r="L80" s="100">
        <v>12.37</v>
      </c>
      <c r="M80" s="100">
        <v>13.07</v>
      </c>
      <c r="N80" s="100">
        <v>2.5</v>
      </c>
      <c r="O80" s="100">
        <v>0</v>
      </c>
      <c r="P80" s="100">
        <v>0.26</v>
      </c>
      <c r="Q80" s="100">
        <v>9.32</v>
      </c>
      <c r="R80" s="6"/>
      <c r="S80" s="6"/>
      <c r="T80" s="156"/>
      <c r="U80" s="6"/>
    </row>
    <row r="81" spans="1:21" customFormat="1">
      <c r="A81" s="201" t="s">
        <v>2328</v>
      </c>
      <c r="B81" s="100">
        <v>1.63</v>
      </c>
      <c r="C81" s="100">
        <v>7.94</v>
      </c>
      <c r="D81" s="100">
        <v>5.46</v>
      </c>
      <c r="E81" s="100">
        <v>4.4000000000000004</v>
      </c>
      <c r="F81" s="100">
        <v>2.25</v>
      </c>
      <c r="G81" s="100">
        <v>33.799999999999997</v>
      </c>
      <c r="H81" s="100">
        <v>15.53</v>
      </c>
      <c r="I81" s="100">
        <v>4.2699999999999996</v>
      </c>
      <c r="J81" s="100">
        <v>0.14000000000000001</v>
      </c>
      <c r="K81" s="100">
        <v>110.93</v>
      </c>
      <c r="L81" s="100">
        <v>13.1</v>
      </c>
      <c r="M81" s="100">
        <v>14.96</v>
      </c>
      <c r="N81" s="100">
        <v>2.4</v>
      </c>
      <c r="O81" s="100">
        <v>0</v>
      </c>
      <c r="P81" s="100">
        <v>0.28000000000000003</v>
      </c>
      <c r="Q81" s="100">
        <v>9.32</v>
      </c>
      <c r="R81" s="6"/>
      <c r="S81" s="6"/>
      <c r="T81" s="156"/>
      <c r="U81" s="6"/>
    </row>
    <row r="82" spans="1:21" customFormat="1">
      <c r="A82" s="201" t="s">
        <v>2329</v>
      </c>
      <c r="B82" s="100">
        <v>1.82</v>
      </c>
      <c r="C82" s="100">
        <v>9.15</v>
      </c>
      <c r="D82" s="100">
        <v>6.24</v>
      </c>
      <c r="E82" s="100">
        <v>5.41</v>
      </c>
      <c r="F82" s="100">
        <v>2</v>
      </c>
      <c r="G82" s="100">
        <v>33.799999999999997</v>
      </c>
      <c r="H82" s="100">
        <v>15.53</v>
      </c>
      <c r="I82" s="100">
        <v>4.67</v>
      </c>
      <c r="J82" s="100">
        <v>0.22</v>
      </c>
      <c r="K82" s="100">
        <v>61</v>
      </c>
      <c r="L82" s="100">
        <v>9.84</v>
      </c>
      <c r="M82" s="100">
        <v>6.66</v>
      </c>
      <c r="N82" s="100">
        <v>2.2999999999999998</v>
      </c>
      <c r="O82" s="100">
        <v>0</v>
      </c>
      <c r="P82" s="100">
        <v>0.31</v>
      </c>
      <c r="Q82" s="100">
        <v>9.32</v>
      </c>
      <c r="R82" s="6"/>
      <c r="S82" s="6"/>
      <c r="T82" s="156"/>
      <c r="U82" s="6"/>
    </row>
    <row r="83" spans="1:21" customFormat="1">
      <c r="A83" s="201" t="s">
        <v>2330</v>
      </c>
      <c r="B83" s="100">
        <v>2.2799999999999998</v>
      </c>
      <c r="C83" s="100">
        <v>10.4</v>
      </c>
      <c r="D83" s="100">
        <v>7.26</v>
      </c>
      <c r="E83" s="100">
        <v>5.53</v>
      </c>
      <c r="F83" s="100">
        <v>3.92</v>
      </c>
      <c r="G83" s="100">
        <v>34.229999999999997</v>
      </c>
      <c r="H83" s="100">
        <v>15.68</v>
      </c>
      <c r="I83" s="100">
        <v>4.87</v>
      </c>
      <c r="J83" s="100">
        <v>0.37</v>
      </c>
      <c r="K83" s="100">
        <v>52.84</v>
      </c>
      <c r="L83" s="100">
        <v>8.27</v>
      </c>
      <c r="M83" s="100">
        <v>2.5299999999999998</v>
      </c>
      <c r="N83" s="100">
        <v>2.2999999999999998</v>
      </c>
      <c r="O83" s="100">
        <v>0</v>
      </c>
      <c r="P83" s="100">
        <v>0.32</v>
      </c>
      <c r="Q83" s="100">
        <v>9.32</v>
      </c>
      <c r="R83" s="6"/>
      <c r="S83" s="6"/>
      <c r="T83" s="156"/>
      <c r="U83" s="6"/>
    </row>
    <row r="84" spans="1:21" customFormat="1">
      <c r="A84" s="201" t="s">
        <v>2331</v>
      </c>
      <c r="B84" s="100">
        <v>2.35</v>
      </c>
      <c r="C84" s="100">
        <v>9.93</v>
      </c>
      <c r="D84" s="100">
        <v>7.07</v>
      </c>
      <c r="E84" s="100">
        <v>4.91</v>
      </c>
      <c r="F84" s="100">
        <v>2.54</v>
      </c>
      <c r="G84" s="100">
        <v>46.74</v>
      </c>
      <c r="H84" s="100">
        <v>20.43</v>
      </c>
      <c r="I84" s="100">
        <v>5.32</v>
      </c>
      <c r="J84" s="100">
        <v>0.22</v>
      </c>
      <c r="K84" s="100">
        <v>60.64</v>
      </c>
      <c r="L84" s="100">
        <v>8.18</v>
      </c>
      <c r="M84" s="100">
        <v>2.31</v>
      </c>
      <c r="N84" s="100">
        <v>2.2000000000000002</v>
      </c>
      <c r="O84" s="100">
        <v>0</v>
      </c>
      <c r="P84" s="100">
        <v>0.28000000000000003</v>
      </c>
      <c r="Q84" s="100">
        <v>9.32</v>
      </c>
      <c r="R84" s="6"/>
      <c r="S84" s="6"/>
      <c r="T84" s="156"/>
      <c r="U84" s="6"/>
    </row>
    <row r="85" spans="1:21" customFormat="1">
      <c r="A85" s="201" t="s">
        <v>2332</v>
      </c>
      <c r="B85" s="100">
        <v>2.5299999999999998</v>
      </c>
      <c r="C85" s="100">
        <v>9.83</v>
      </c>
      <c r="D85" s="100">
        <v>7.16</v>
      </c>
      <c r="E85" s="100">
        <v>5.25</v>
      </c>
      <c r="F85" s="100">
        <v>2</v>
      </c>
      <c r="G85" s="100">
        <v>46.74</v>
      </c>
      <c r="H85" s="100">
        <v>20.43</v>
      </c>
      <c r="I85" s="100">
        <v>5.49</v>
      </c>
      <c r="J85" s="100">
        <v>0.26</v>
      </c>
      <c r="K85" s="100">
        <v>58.57</v>
      </c>
      <c r="L85" s="100">
        <v>8.32</v>
      </c>
      <c r="M85" s="100">
        <v>2.8</v>
      </c>
      <c r="N85" s="100">
        <v>2.2999999999999998</v>
      </c>
      <c r="O85" s="100">
        <v>0</v>
      </c>
      <c r="P85" s="100">
        <v>0.36</v>
      </c>
      <c r="Q85" s="100">
        <v>9.32</v>
      </c>
      <c r="R85" s="6"/>
      <c r="S85" s="6"/>
      <c r="T85" s="156"/>
      <c r="U85" s="6"/>
    </row>
    <row r="86" spans="1:21" customFormat="1">
      <c r="A86" s="201" t="s">
        <v>2333</v>
      </c>
      <c r="B86" s="100">
        <v>2.78</v>
      </c>
      <c r="C86" s="100">
        <v>9.9499999999999993</v>
      </c>
      <c r="D86" s="100">
        <v>7.43</v>
      </c>
      <c r="E86" s="100">
        <v>6.58</v>
      </c>
      <c r="F86" s="100">
        <v>2</v>
      </c>
      <c r="G86" s="100">
        <v>46.74</v>
      </c>
      <c r="H86" s="100">
        <v>20.43</v>
      </c>
      <c r="I86" s="100">
        <v>3.91</v>
      </c>
      <c r="J86" s="100">
        <v>0.19</v>
      </c>
      <c r="K86" s="100">
        <v>64.87</v>
      </c>
      <c r="L86" s="100">
        <v>9.44</v>
      </c>
      <c r="M86" s="100">
        <v>5.46</v>
      </c>
      <c r="N86" s="100">
        <v>2.2000000000000002</v>
      </c>
      <c r="O86" s="100">
        <v>0</v>
      </c>
      <c r="P86" s="100">
        <v>0.33</v>
      </c>
      <c r="Q86" s="100">
        <v>9.32</v>
      </c>
      <c r="R86" s="6"/>
      <c r="S86" s="6"/>
      <c r="T86" s="156"/>
      <c r="U86" s="6"/>
    </row>
    <row r="87" spans="1:21" customFormat="1">
      <c r="A87" s="201" t="s">
        <v>2334</v>
      </c>
      <c r="B87" s="100">
        <v>3.01</v>
      </c>
      <c r="C87" s="100">
        <v>9.8800000000000008</v>
      </c>
      <c r="D87" s="100">
        <v>7.57</v>
      </c>
      <c r="E87" s="100">
        <v>3.79</v>
      </c>
      <c r="F87" s="100">
        <v>2</v>
      </c>
      <c r="G87" s="100">
        <v>47.61</v>
      </c>
      <c r="H87" s="100">
        <v>20.92</v>
      </c>
      <c r="I87" s="100">
        <v>4.8</v>
      </c>
      <c r="J87" s="100">
        <v>0.3</v>
      </c>
      <c r="K87" s="100">
        <v>57.32</v>
      </c>
      <c r="L87" s="100">
        <v>7.93</v>
      </c>
      <c r="M87" s="100">
        <v>1.84</v>
      </c>
      <c r="N87" s="100">
        <v>2.1</v>
      </c>
      <c r="O87" s="100">
        <v>0</v>
      </c>
      <c r="P87" s="100">
        <v>0.37</v>
      </c>
      <c r="Q87" s="100">
        <v>9.32</v>
      </c>
      <c r="R87" s="6"/>
      <c r="S87" s="6"/>
      <c r="T87" s="156"/>
      <c r="U87" s="6"/>
    </row>
    <row r="88" spans="1:21" customFormat="1">
      <c r="A88" s="201" t="s">
        <v>2335</v>
      </c>
      <c r="B88" s="100">
        <v>3.19</v>
      </c>
      <c r="C88" s="100">
        <v>9.86</v>
      </c>
      <c r="D88" s="100">
        <v>7.71</v>
      </c>
      <c r="E88" s="100">
        <v>5.57</v>
      </c>
      <c r="F88" s="100">
        <v>2</v>
      </c>
      <c r="G88" s="100">
        <v>72.64</v>
      </c>
      <c r="H88" s="100">
        <v>36.71</v>
      </c>
      <c r="I88" s="100">
        <v>5.67</v>
      </c>
      <c r="J88" s="100">
        <v>0.32</v>
      </c>
      <c r="K88" s="100">
        <v>55.19</v>
      </c>
      <c r="L88" s="100">
        <v>7.39</v>
      </c>
      <c r="M88" s="100">
        <v>0.43</v>
      </c>
      <c r="N88" s="100">
        <v>2.1</v>
      </c>
      <c r="O88" s="100">
        <v>0</v>
      </c>
      <c r="P88" s="100">
        <v>0.33</v>
      </c>
      <c r="Q88" s="100">
        <v>9.32</v>
      </c>
      <c r="R88" s="6"/>
      <c r="S88" s="6"/>
      <c r="T88" s="156"/>
      <c r="U88" s="6"/>
    </row>
    <row r="89" spans="1:21" customFormat="1">
      <c r="A89" s="201" t="s">
        <v>2336</v>
      </c>
      <c r="B89" s="100">
        <v>3.68</v>
      </c>
      <c r="C89" s="100">
        <v>9.83</v>
      </c>
      <c r="D89" s="100">
        <v>8.08</v>
      </c>
      <c r="E89" s="100">
        <v>5.48</v>
      </c>
      <c r="F89" s="100">
        <v>2</v>
      </c>
      <c r="G89" s="100">
        <v>72.64</v>
      </c>
      <c r="H89" s="100">
        <v>36.71</v>
      </c>
      <c r="I89" s="100">
        <v>5.2</v>
      </c>
      <c r="J89" s="100">
        <v>0.19</v>
      </c>
      <c r="K89" s="100">
        <v>74.099999999999994</v>
      </c>
      <c r="L89" s="100">
        <v>9.64</v>
      </c>
      <c r="M89" s="100">
        <v>6.22</v>
      </c>
      <c r="N89" s="100">
        <v>2.2999999999999998</v>
      </c>
      <c r="O89" s="100">
        <v>0</v>
      </c>
      <c r="P89" s="100">
        <v>0.37</v>
      </c>
      <c r="Q89" s="100">
        <v>9.32</v>
      </c>
      <c r="R89" s="6"/>
      <c r="S89" s="6"/>
      <c r="T89" s="156"/>
      <c r="U89" s="6"/>
    </row>
    <row r="90" spans="1:21" customFormat="1">
      <c r="A90" s="201" t="s">
        <v>2337</v>
      </c>
      <c r="B90" s="100">
        <v>3.58</v>
      </c>
      <c r="C90" s="100">
        <v>9.08</v>
      </c>
      <c r="D90" s="100">
        <v>7.62</v>
      </c>
      <c r="E90" s="100">
        <v>4.8099999999999996</v>
      </c>
      <c r="F90" s="100">
        <v>2</v>
      </c>
      <c r="G90" s="100">
        <v>72.64</v>
      </c>
      <c r="H90" s="100">
        <v>36.71</v>
      </c>
      <c r="I90" s="100">
        <v>5.85</v>
      </c>
      <c r="J90" s="100">
        <v>0.2</v>
      </c>
      <c r="K90" s="100">
        <v>79.459999999999994</v>
      </c>
      <c r="L90" s="100">
        <v>9.73</v>
      </c>
      <c r="M90" s="100">
        <v>6.35</v>
      </c>
      <c r="N90" s="100">
        <v>2.2000000000000002</v>
      </c>
      <c r="O90" s="100">
        <v>0</v>
      </c>
      <c r="P90" s="100">
        <v>0.34</v>
      </c>
      <c r="Q90" s="100">
        <v>9.32</v>
      </c>
      <c r="R90" s="6"/>
      <c r="S90" s="6"/>
      <c r="T90" s="156"/>
      <c r="U90" s="6"/>
    </row>
    <row r="91" spans="1:21" customFormat="1">
      <c r="A91" s="201" t="s">
        <v>2338</v>
      </c>
      <c r="B91" s="100">
        <v>3.46</v>
      </c>
      <c r="C91" s="100">
        <v>8.77</v>
      </c>
      <c r="D91" s="100">
        <v>7.36</v>
      </c>
      <c r="E91" s="100">
        <v>4.92</v>
      </c>
      <c r="F91" s="100">
        <v>2</v>
      </c>
      <c r="G91" s="100">
        <v>72.930000000000007</v>
      </c>
      <c r="H91" s="100">
        <v>36.93</v>
      </c>
      <c r="I91" s="100">
        <v>6.17</v>
      </c>
      <c r="J91" s="100">
        <v>0.28000000000000003</v>
      </c>
      <c r="K91" s="100">
        <v>61.83</v>
      </c>
      <c r="L91" s="100">
        <v>8.57</v>
      </c>
      <c r="M91" s="100">
        <v>3.46</v>
      </c>
      <c r="N91" s="100">
        <v>2.2000000000000002</v>
      </c>
      <c r="O91" s="100">
        <v>0</v>
      </c>
      <c r="P91" s="100">
        <v>0.35</v>
      </c>
      <c r="Q91" s="100">
        <v>9.32</v>
      </c>
      <c r="R91" s="6"/>
      <c r="S91" s="6"/>
      <c r="T91" s="156"/>
      <c r="U91" s="6"/>
    </row>
    <row r="92" spans="1:21" customFormat="1">
      <c r="A92" s="201" t="s">
        <v>2339</v>
      </c>
      <c r="B92" s="100">
        <v>3.59</v>
      </c>
      <c r="C92" s="100">
        <v>8.5399999999999991</v>
      </c>
      <c r="D92" s="100">
        <v>7.34</v>
      </c>
      <c r="E92" s="100">
        <v>4.58</v>
      </c>
      <c r="F92" s="100">
        <v>2</v>
      </c>
      <c r="G92" s="100">
        <v>81.27</v>
      </c>
      <c r="H92" s="100">
        <v>41.59</v>
      </c>
      <c r="I92" s="100">
        <v>5.85</v>
      </c>
      <c r="J92" s="100">
        <v>0.36</v>
      </c>
      <c r="K92" s="100">
        <v>50.31</v>
      </c>
      <c r="L92" s="100">
        <v>7.31</v>
      </c>
      <c r="M92" s="100">
        <v>0.17</v>
      </c>
      <c r="N92" s="100">
        <v>2.1</v>
      </c>
      <c r="O92" s="100">
        <v>0</v>
      </c>
      <c r="P92" s="100">
        <v>0.35</v>
      </c>
      <c r="Q92" s="100">
        <v>9.32</v>
      </c>
      <c r="R92" s="6"/>
      <c r="S92" s="6"/>
      <c r="T92" s="156"/>
      <c r="U92" s="6"/>
    </row>
    <row r="93" spans="1:21" customFormat="1">
      <c r="A93" s="201" t="s">
        <v>2340</v>
      </c>
      <c r="B93" s="100">
        <v>3.6</v>
      </c>
      <c r="C93" s="100">
        <v>8.1199999999999992</v>
      </c>
      <c r="D93" s="100">
        <v>7.13</v>
      </c>
      <c r="E93" s="100">
        <v>4.8099999999999996</v>
      </c>
      <c r="F93" s="100">
        <v>2</v>
      </c>
      <c r="G93" s="100">
        <v>81.27</v>
      </c>
      <c r="H93" s="100">
        <v>41.59</v>
      </c>
      <c r="I93" s="100">
        <v>6.31</v>
      </c>
      <c r="J93" s="100">
        <v>0.18</v>
      </c>
      <c r="K93" s="100">
        <v>90.86</v>
      </c>
      <c r="L93" s="100">
        <v>11.78</v>
      </c>
      <c r="M93" s="100">
        <v>11.54</v>
      </c>
      <c r="N93" s="100">
        <v>2.1</v>
      </c>
      <c r="O93" s="100">
        <v>0</v>
      </c>
      <c r="P93" s="100">
        <v>0.35</v>
      </c>
      <c r="Q93" s="100">
        <v>9.32</v>
      </c>
      <c r="R93" s="6"/>
      <c r="S93" s="6"/>
      <c r="T93" s="156"/>
      <c r="U93" s="6"/>
    </row>
    <row r="94" spans="1:21" customFormat="1">
      <c r="A94" s="201" t="s">
        <v>2341</v>
      </c>
      <c r="B94" s="100">
        <v>3.69</v>
      </c>
      <c r="C94" s="100">
        <v>7.51</v>
      </c>
      <c r="D94" s="100">
        <v>6.88</v>
      </c>
      <c r="E94" s="100">
        <v>4.34</v>
      </c>
      <c r="F94" s="100">
        <v>2</v>
      </c>
      <c r="G94" s="100">
        <v>81.27</v>
      </c>
      <c r="H94" s="100">
        <v>41.59</v>
      </c>
      <c r="I94" s="100">
        <v>6.03</v>
      </c>
      <c r="J94" s="100">
        <v>0.19</v>
      </c>
      <c r="K94" s="100">
        <v>154.09</v>
      </c>
      <c r="L94" s="100">
        <v>15.09</v>
      </c>
      <c r="M94" s="100">
        <v>20.05</v>
      </c>
      <c r="N94" s="100">
        <v>2.2999999999999998</v>
      </c>
      <c r="O94" s="100">
        <v>0</v>
      </c>
      <c r="P94" s="100">
        <v>0.35</v>
      </c>
      <c r="Q94" s="100">
        <v>9.32</v>
      </c>
      <c r="R94" s="6"/>
      <c r="S94" s="6"/>
      <c r="T94" s="156"/>
      <c r="U94" s="6"/>
    </row>
    <row r="95" spans="1:21" customFormat="1">
      <c r="A95" s="201" t="s">
        <v>2342</v>
      </c>
      <c r="B95" s="100">
        <v>3.58</v>
      </c>
      <c r="C95" s="100">
        <v>7.3</v>
      </c>
      <c r="D95" s="100">
        <v>6.69</v>
      </c>
      <c r="E95" s="100">
        <v>4.74</v>
      </c>
      <c r="F95" s="100">
        <v>2.76</v>
      </c>
      <c r="G95" s="100">
        <v>81.28</v>
      </c>
      <c r="H95" s="100">
        <v>41.6</v>
      </c>
      <c r="I95" s="100">
        <v>6.33</v>
      </c>
      <c r="J95" s="100">
        <v>0.15</v>
      </c>
      <c r="K95" s="100">
        <v>196.56</v>
      </c>
      <c r="L95" s="100">
        <v>18.45</v>
      </c>
      <c r="M95" s="100">
        <v>28.4</v>
      </c>
      <c r="N95" s="100">
        <v>2.5</v>
      </c>
      <c r="O95" s="100">
        <v>0</v>
      </c>
      <c r="P95" s="100">
        <v>0.34</v>
      </c>
      <c r="Q95" s="100">
        <v>9.32</v>
      </c>
      <c r="R95" s="6"/>
      <c r="S95" s="6"/>
      <c r="T95" s="156"/>
      <c r="U95" s="6"/>
    </row>
    <row r="96" spans="1:21" customFormat="1">
      <c r="A96" s="201" t="s">
        <v>2343</v>
      </c>
      <c r="B96" s="100">
        <v>3.58</v>
      </c>
      <c r="C96" s="100">
        <v>7.17</v>
      </c>
      <c r="D96" s="100">
        <v>6.62</v>
      </c>
      <c r="E96" s="100">
        <v>4.43</v>
      </c>
      <c r="F96" s="100">
        <v>2</v>
      </c>
      <c r="G96" s="100">
        <v>81.47</v>
      </c>
      <c r="H96" s="100">
        <v>41.88</v>
      </c>
      <c r="I96" s="100">
        <v>6.11</v>
      </c>
      <c r="J96" s="100">
        <v>0.14000000000000001</v>
      </c>
      <c r="K96" s="100">
        <v>160.25</v>
      </c>
      <c r="L96" s="100">
        <v>15.58</v>
      </c>
      <c r="M96" s="100">
        <v>21.02</v>
      </c>
      <c r="N96" s="100">
        <v>2.2999999999999998</v>
      </c>
      <c r="O96" s="100">
        <v>0</v>
      </c>
      <c r="P96" s="100">
        <v>0.34</v>
      </c>
      <c r="Q96" s="100">
        <v>9.32</v>
      </c>
      <c r="R96" s="6"/>
      <c r="S96" s="6"/>
      <c r="T96" s="156"/>
      <c r="U96" s="6"/>
    </row>
    <row r="97" spans="1:28" customFormat="1">
      <c r="A97" s="201" t="s">
        <v>2344</v>
      </c>
      <c r="B97" s="100">
        <v>3.64</v>
      </c>
      <c r="C97" s="100">
        <v>7.04</v>
      </c>
      <c r="D97" s="100">
        <v>6.6</v>
      </c>
      <c r="E97" s="100">
        <v>4.38</v>
      </c>
      <c r="F97" s="100">
        <v>2</v>
      </c>
      <c r="G97" s="100">
        <v>81.47</v>
      </c>
      <c r="H97" s="100">
        <v>41.88</v>
      </c>
      <c r="I97" s="100">
        <v>6.06</v>
      </c>
      <c r="J97" s="100">
        <v>0.1</v>
      </c>
      <c r="K97" s="100">
        <v>160.54</v>
      </c>
      <c r="L97" s="100">
        <v>15.53</v>
      </c>
      <c r="M97" s="100">
        <v>21.11</v>
      </c>
      <c r="N97" s="100">
        <v>2.1</v>
      </c>
      <c r="O97" s="100">
        <v>0</v>
      </c>
      <c r="P97" s="100">
        <v>0.35</v>
      </c>
      <c r="Q97" s="100">
        <v>9.32</v>
      </c>
      <c r="R97" s="6"/>
      <c r="S97" s="6"/>
      <c r="T97" s="156"/>
      <c r="U97" s="6"/>
    </row>
    <row r="98" spans="1:28" customFormat="1">
      <c r="A98" s="201" t="s">
        <v>2345</v>
      </c>
      <c r="B98" s="100">
        <v>3.68</v>
      </c>
      <c r="C98" s="100">
        <v>6.86</v>
      </c>
      <c r="D98" s="100">
        <v>6.53</v>
      </c>
      <c r="E98" s="100">
        <v>4.1500000000000004</v>
      </c>
      <c r="F98" s="100">
        <v>2</v>
      </c>
      <c r="G98" s="100">
        <v>81.47</v>
      </c>
      <c r="H98" s="100">
        <v>41.88</v>
      </c>
      <c r="I98" s="100">
        <v>6.11</v>
      </c>
      <c r="J98" s="100">
        <v>0.11</v>
      </c>
      <c r="K98" s="100">
        <v>148.93</v>
      </c>
      <c r="L98" s="100">
        <v>14.01</v>
      </c>
      <c r="M98" s="100">
        <v>17.309999999999999</v>
      </c>
      <c r="N98" s="100">
        <v>2.1</v>
      </c>
      <c r="O98" s="100">
        <v>0</v>
      </c>
      <c r="P98" s="100">
        <v>0.35</v>
      </c>
      <c r="Q98" s="100">
        <v>9.32</v>
      </c>
      <c r="R98" s="6"/>
      <c r="S98" s="6"/>
      <c r="T98" s="156"/>
      <c r="U98" s="6"/>
    </row>
    <row r="99" spans="1:28" customFormat="1">
      <c r="A99" s="201" t="s">
        <v>2346</v>
      </c>
      <c r="B99" s="100">
        <v>3.56</v>
      </c>
      <c r="C99" s="100">
        <v>7.17</v>
      </c>
      <c r="D99" s="100">
        <v>6.61</v>
      </c>
      <c r="E99" s="100">
        <v>4.34</v>
      </c>
      <c r="F99" s="100">
        <v>2</v>
      </c>
      <c r="G99" s="100">
        <v>81.3</v>
      </c>
      <c r="H99" s="100">
        <v>41.8</v>
      </c>
      <c r="I99" s="100">
        <v>6.1</v>
      </c>
      <c r="J99" s="100">
        <v>0.14000000000000001</v>
      </c>
      <c r="K99" s="100">
        <v>129.69999999999999</v>
      </c>
      <c r="L99" s="100">
        <v>13.06</v>
      </c>
      <c r="M99" s="100">
        <v>14.93</v>
      </c>
      <c r="N99" s="100">
        <v>2</v>
      </c>
      <c r="O99" s="100">
        <v>0</v>
      </c>
      <c r="P99" s="100">
        <v>0.35</v>
      </c>
      <c r="Q99" s="100">
        <v>9.32</v>
      </c>
      <c r="R99" s="6"/>
      <c r="S99" s="6"/>
      <c r="T99" s="156"/>
      <c r="U99" s="6"/>
    </row>
    <row r="100" spans="1:28" customFormat="1">
      <c r="A100" s="201" t="s">
        <v>2347</v>
      </c>
      <c r="B100" s="100">
        <v>3.68</v>
      </c>
      <c r="C100" s="100">
        <v>7.11</v>
      </c>
      <c r="D100" s="100">
        <v>6.67</v>
      </c>
      <c r="E100" s="100">
        <v>4.07</v>
      </c>
      <c r="F100" s="100">
        <v>2</v>
      </c>
      <c r="G100" s="100">
        <v>76.37</v>
      </c>
      <c r="H100" s="100">
        <v>39.18</v>
      </c>
      <c r="I100" s="100">
        <v>6.14</v>
      </c>
      <c r="J100" s="100">
        <v>0.14000000000000001</v>
      </c>
      <c r="K100" s="100">
        <v>104.65</v>
      </c>
      <c r="L100" s="100">
        <v>11.5</v>
      </c>
      <c r="M100" s="100">
        <v>10.93</v>
      </c>
      <c r="N100" s="100">
        <v>1.9</v>
      </c>
      <c r="O100" s="100">
        <v>0</v>
      </c>
      <c r="P100" s="100">
        <v>0.36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2348</v>
      </c>
      <c r="B101" s="100">
        <v>3.73</v>
      </c>
      <c r="C101" s="100">
        <v>7.1</v>
      </c>
      <c r="D101" s="100">
        <v>6.7</v>
      </c>
      <c r="E101" s="100">
        <v>4.5599999999999996</v>
      </c>
      <c r="F101" s="100">
        <v>2</v>
      </c>
      <c r="G101" s="100">
        <v>76.37</v>
      </c>
      <c r="H101" s="100">
        <v>39.18</v>
      </c>
      <c r="I101" s="100">
        <v>6.11</v>
      </c>
      <c r="J101" s="100">
        <v>0.18</v>
      </c>
      <c r="K101" s="100">
        <v>163.47999999999999</v>
      </c>
      <c r="L101" s="100">
        <v>16.38</v>
      </c>
      <c r="M101" s="100">
        <v>23.27</v>
      </c>
      <c r="N101" s="100">
        <v>2.2000000000000002</v>
      </c>
      <c r="O101" s="100">
        <v>0</v>
      </c>
      <c r="P101" s="100">
        <v>0.38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2349</v>
      </c>
      <c r="B102" s="100">
        <v>3.6</v>
      </c>
      <c r="C102" s="100">
        <v>6.97</v>
      </c>
      <c r="D102" s="100">
        <v>6.53</v>
      </c>
      <c r="E102" s="100">
        <v>4.68</v>
      </c>
      <c r="F102" s="100">
        <v>2</v>
      </c>
      <c r="G102" s="100">
        <v>76.37</v>
      </c>
      <c r="H102" s="100">
        <v>39.18</v>
      </c>
      <c r="I102" s="100">
        <v>6.17</v>
      </c>
      <c r="J102" s="100">
        <v>0.12</v>
      </c>
      <c r="K102" s="100">
        <v>214.41</v>
      </c>
      <c r="L102" s="100">
        <v>19.739999999999998</v>
      </c>
      <c r="M102" s="100">
        <v>31.61</v>
      </c>
      <c r="N102" s="100">
        <v>2.5</v>
      </c>
      <c r="O102" s="100">
        <v>0</v>
      </c>
      <c r="P102" s="100">
        <v>0.39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2350</v>
      </c>
      <c r="B103" s="100">
        <v>3.42</v>
      </c>
      <c r="C103" s="100">
        <v>6.74</v>
      </c>
      <c r="D103" s="100">
        <v>6.26</v>
      </c>
      <c r="E103" s="100">
        <v>4.63</v>
      </c>
      <c r="F103" s="100">
        <v>2</v>
      </c>
      <c r="G103" s="100">
        <v>76.27</v>
      </c>
      <c r="H103" s="100">
        <v>39.299999999999997</v>
      </c>
      <c r="I103" s="100">
        <v>6.12</v>
      </c>
      <c r="J103" s="100">
        <v>0.13</v>
      </c>
      <c r="K103" s="100">
        <v>203.36</v>
      </c>
      <c r="L103" s="100">
        <v>18.850000000000001</v>
      </c>
      <c r="M103" s="100">
        <v>29.4</v>
      </c>
      <c r="N103" s="100">
        <v>2.4</v>
      </c>
      <c r="O103" s="100">
        <v>0</v>
      </c>
      <c r="P103" s="100">
        <v>0.38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2351</v>
      </c>
      <c r="B104" s="100">
        <v>3.33</v>
      </c>
      <c r="C104" s="100">
        <v>6.63</v>
      </c>
      <c r="D104" s="100">
        <v>6.13</v>
      </c>
      <c r="E104" s="100">
        <v>4.62</v>
      </c>
      <c r="F104" s="100">
        <v>2</v>
      </c>
      <c r="G104" s="100">
        <v>73.459999999999994</v>
      </c>
      <c r="H104" s="100">
        <v>41.7</v>
      </c>
      <c r="I104" s="100">
        <v>6.05</v>
      </c>
      <c r="J104" s="100">
        <v>0.08</v>
      </c>
      <c r="K104" s="100">
        <v>210.87</v>
      </c>
      <c r="L104" s="100">
        <v>19.14</v>
      </c>
      <c r="M104" s="100">
        <v>30.15</v>
      </c>
      <c r="N104" s="100">
        <v>2.1</v>
      </c>
      <c r="O104" s="100">
        <v>0</v>
      </c>
      <c r="P104" s="100">
        <v>0.38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1.39</v>
      </c>
      <c r="C106" s="158">
        <f>MIN(C9:C104)</f>
        <v>5.42</v>
      </c>
      <c r="D106" s="158">
        <f t="shared" ref="D106:Q106" si="0">MIN(D9:D104)</f>
        <v>4.01</v>
      </c>
      <c r="E106" s="158">
        <f t="shared" si="0"/>
        <v>3.79</v>
      </c>
      <c r="F106" s="158">
        <f t="shared" si="0"/>
        <v>2</v>
      </c>
      <c r="G106" s="158">
        <f t="shared" si="0"/>
        <v>31.93</v>
      </c>
      <c r="H106" s="158">
        <f t="shared" si="0"/>
        <v>15.53</v>
      </c>
      <c r="I106" s="158">
        <f t="shared" si="0"/>
        <v>1.84</v>
      </c>
      <c r="J106" s="158">
        <f t="shared" si="0"/>
        <v>0.08</v>
      </c>
      <c r="K106" s="158">
        <f t="shared" si="0"/>
        <v>24.81</v>
      </c>
      <c r="L106" s="158">
        <f t="shared" si="0"/>
        <v>6.39</v>
      </c>
      <c r="M106" s="158">
        <f t="shared" si="0"/>
        <v>-2.17</v>
      </c>
      <c r="N106" s="158">
        <f t="shared" si="0"/>
        <v>1.9</v>
      </c>
      <c r="O106" s="158">
        <f t="shared" si="0"/>
        <v>0</v>
      </c>
      <c r="P106" s="158">
        <f t="shared" si="0"/>
        <v>0.2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4.6500000000000004</v>
      </c>
      <c r="C107" s="157">
        <f t="shared" ref="C107:Q107" si="1">MAX(C9:C104)</f>
        <v>10.4</v>
      </c>
      <c r="D107" s="157">
        <f t="shared" si="1"/>
        <v>8.08</v>
      </c>
      <c r="E107" s="157">
        <f t="shared" si="1"/>
        <v>7.78</v>
      </c>
      <c r="F107" s="157">
        <f t="shared" si="1"/>
        <v>55.01</v>
      </c>
      <c r="G107" s="157">
        <f t="shared" si="1"/>
        <v>81.47</v>
      </c>
      <c r="H107" s="157">
        <f t="shared" si="1"/>
        <v>44.07</v>
      </c>
      <c r="I107" s="157">
        <f t="shared" si="1"/>
        <v>6.33</v>
      </c>
      <c r="J107" s="157">
        <f t="shared" si="1"/>
        <v>0.54</v>
      </c>
      <c r="K107" s="157">
        <f t="shared" si="1"/>
        <v>214.41</v>
      </c>
      <c r="L107" s="157">
        <f t="shared" si="1"/>
        <v>20.059999999999999</v>
      </c>
      <c r="M107" s="157">
        <f t="shared" si="1"/>
        <v>31.61</v>
      </c>
      <c r="N107" s="157">
        <f t="shared" si="1"/>
        <v>610.20000000000005</v>
      </c>
      <c r="O107" s="157">
        <f t="shared" si="1"/>
        <v>0</v>
      </c>
      <c r="P107" s="157">
        <f t="shared" si="1"/>
        <v>0.46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3.2433333333333336</v>
      </c>
      <c r="C108" s="158">
        <f t="shared" ref="C108:Q108" si="2">AVERAGE(C9:C104)</f>
        <v>7.1368750000000007</v>
      </c>
      <c r="D108" s="158">
        <f t="shared" si="2"/>
        <v>6.3295833333333356</v>
      </c>
      <c r="E108" s="158">
        <f t="shared" si="2"/>
        <v>6.3857291666666667</v>
      </c>
      <c r="F108" s="158">
        <f t="shared" si="2"/>
        <v>7.2755208333333341</v>
      </c>
      <c r="G108" s="158">
        <f t="shared" si="2"/>
        <v>59.694687500000036</v>
      </c>
      <c r="H108" s="158">
        <f t="shared" si="2"/>
        <v>33.138645833333349</v>
      </c>
      <c r="I108" s="158">
        <f t="shared" si="2"/>
        <v>5.5020000000000007</v>
      </c>
      <c r="J108" s="158">
        <f t="shared" si="2"/>
        <v>0.27125000000000005</v>
      </c>
      <c r="K108" s="158">
        <f t="shared" si="2"/>
        <v>88.639375000000015</v>
      </c>
      <c r="L108" s="158">
        <f t="shared" si="2"/>
        <v>12.291041666666665</v>
      </c>
      <c r="M108" s="158">
        <f t="shared" si="2"/>
        <v>9.8724999999999969</v>
      </c>
      <c r="N108" s="158">
        <f t="shared" si="2"/>
        <v>126.14375000000003</v>
      </c>
      <c r="O108" s="158">
        <f t="shared" si="2"/>
        <v>0</v>
      </c>
      <c r="P108" s="158">
        <f t="shared" si="2"/>
        <v>0.35947916666666679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0.99119350351155544</v>
      </c>
      <c r="C109" s="158">
        <f t="shared" ref="C109:Q109" si="3">STDEV(C9:C104)</f>
        <v>0.98304180186324053</v>
      </c>
      <c r="D109" s="158">
        <f t="shared" si="3"/>
        <v>0.98085989843140275</v>
      </c>
      <c r="E109" s="158">
        <f t="shared" si="3"/>
        <v>1.1106126756663992</v>
      </c>
      <c r="F109" s="158">
        <f t="shared" si="3"/>
        <v>12.497732414936353</v>
      </c>
      <c r="G109" s="158">
        <f t="shared" si="3"/>
        <v>16.212229364092472</v>
      </c>
      <c r="H109" s="158">
        <f t="shared" si="3"/>
        <v>9.6712431704884345</v>
      </c>
      <c r="I109" s="158">
        <f>STDEV(I9:I104)</f>
        <v>1.016915270151185</v>
      </c>
      <c r="J109" s="158">
        <f t="shared" si="3"/>
        <v>0.10423909762504756</v>
      </c>
      <c r="K109" s="158">
        <f t="shared" si="3"/>
        <v>46.634214225688041</v>
      </c>
      <c r="L109" s="158">
        <f t="shared" si="3"/>
        <v>3.7610999172741195</v>
      </c>
      <c r="M109" s="158">
        <f t="shared" si="3"/>
        <v>8.0456267297013166</v>
      </c>
      <c r="N109" s="158">
        <f t="shared" si="3"/>
        <v>198.87746706928544</v>
      </c>
      <c r="O109" s="158">
        <f t="shared" si="3"/>
        <v>0</v>
      </c>
      <c r="P109" s="158">
        <f t="shared" si="3"/>
        <v>7.2203947867961235E-2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>COUNT(I9:I104)+71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I47" sqref="I47:I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2352</v>
      </c>
      <c r="B9" s="100">
        <v>3.39</v>
      </c>
      <c r="C9" s="100">
        <v>6.42</v>
      </c>
      <c r="D9" s="100">
        <v>6.07</v>
      </c>
      <c r="E9" s="100">
        <v>4.72</v>
      </c>
      <c r="F9" s="100">
        <v>2</v>
      </c>
      <c r="G9" s="100">
        <v>73.459999999999994</v>
      </c>
      <c r="H9" s="100">
        <v>41.7</v>
      </c>
      <c r="I9" s="100">
        <v>5.95</v>
      </c>
      <c r="J9" s="100">
        <v>0.13</v>
      </c>
      <c r="K9" s="100">
        <v>159.56</v>
      </c>
      <c r="L9" s="100">
        <v>15.69</v>
      </c>
      <c r="M9" s="100">
        <v>21.49</v>
      </c>
      <c r="N9" s="100">
        <v>2.1</v>
      </c>
      <c r="O9" s="100">
        <v>0</v>
      </c>
      <c r="P9" s="100">
        <v>0.38</v>
      </c>
      <c r="Q9" s="100">
        <v>9.32</v>
      </c>
      <c r="R9" s="6"/>
      <c r="S9" s="6"/>
      <c r="T9" s="156"/>
      <c r="U9" s="6"/>
    </row>
    <row r="10" spans="1:21" customFormat="1">
      <c r="A10" s="201" t="s">
        <v>2353</v>
      </c>
      <c r="B10" s="100">
        <v>3.33</v>
      </c>
      <c r="C10" s="100">
        <v>6.41</v>
      </c>
      <c r="D10" s="100">
        <v>6.02</v>
      </c>
      <c r="E10" s="100">
        <v>4.84</v>
      </c>
      <c r="F10" s="100">
        <v>2</v>
      </c>
      <c r="G10" s="100">
        <v>73.459999999999994</v>
      </c>
      <c r="H10" s="100">
        <v>41.7</v>
      </c>
      <c r="I10" s="100">
        <v>5.92</v>
      </c>
      <c r="J10" s="100">
        <v>0.06</v>
      </c>
      <c r="K10" s="100">
        <v>171.51</v>
      </c>
      <c r="L10" s="100">
        <v>16.829999999999998</v>
      </c>
      <c r="M10" s="100">
        <v>24.34</v>
      </c>
      <c r="N10" s="100">
        <v>2.1</v>
      </c>
      <c r="O10" s="100">
        <v>0</v>
      </c>
      <c r="P10" s="100">
        <v>0.38</v>
      </c>
      <c r="Q10" s="100">
        <v>9.32</v>
      </c>
      <c r="R10" s="6"/>
      <c r="S10" s="6"/>
      <c r="T10" s="156"/>
      <c r="U10" s="6"/>
    </row>
    <row r="11" spans="1:21" customFormat="1">
      <c r="A11" s="201" t="s">
        <v>2354</v>
      </c>
      <c r="B11" s="100">
        <v>3.26</v>
      </c>
      <c r="C11" s="100">
        <v>6.34</v>
      </c>
      <c r="D11" s="100">
        <v>5.92</v>
      </c>
      <c r="E11" s="100">
        <v>4.9000000000000004</v>
      </c>
      <c r="F11" s="100">
        <v>2</v>
      </c>
      <c r="G11" s="100">
        <v>73.44</v>
      </c>
      <c r="H11" s="100">
        <v>41.51</v>
      </c>
      <c r="I11" s="100">
        <v>5.9</v>
      </c>
      <c r="J11" s="100">
        <v>0.08</v>
      </c>
      <c r="K11" s="100">
        <v>164.87</v>
      </c>
      <c r="L11" s="100">
        <v>15.48</v>
      </c>
      <c r="M11" s="100">
        <v>20.96</v>
      </c>
      <c r="N11" s="100">
        <v>2.1</v>
      </c>
      <c r="O11" s="100">
        <v>0</v>
      </c>
      <c r="P11" s="100">
        <v>0.37</v>
      </c>
      <c r="Q11" s="100">
        <v>9.32</v>
      </c>
      <c r="R11" s="6"/>
      <c r="S11" s="6"/>
      <c r="T11" s="156"/>
      <c r="U11" s="6"/>
    </row>
    <row r="12" spans="1:21" customFormat="1">
      <c r="A12" s="201" t="s">
        <v>2355</v>
      </c>
      <c r="B12" s="100">
        <v>3.26</v>
      </c>
      <c r="C12" s="100">
        <v>6.34</v>
      </c>
      <c r="D12" s="100">
        <v>5.93</v>
      </c>
      <c r="E12" s="100">
        <v>4.8600000000000003</v>
      </c>
      <c r="F12" s="100">
        <v>2</v>
      </c>
      <c r="G12" s="100">
        <v>72.92</v>
      </c>
      <c r="H12" s="100">
        <v>37.54</v>
      </c>
      <c r="I12" s="100">
        <v>5.93</v>
      </c>
      <c r="J12" s="100">
        <v>0.12</v>
      </c>
      <c r="K12" s="100">
        <v>159.05000000000001</v>
      </c>
      <c r="L12" s="100">
        <v>15.7</v>
      </c>
      <c r="M12" s="100">
        <v>21.51</v>
      </c>
      <c r="N12" s="100">
        <v>2.1</v>
      </c>
      <c r="O12" s="100">
        <v>0</v>
      </c>
      <c r="P12" s="100">
        <v>0.37</v>
      </c>
      <c r="Q12" s="100">
        <v>9.32</v>
      </c>
      <c r="R12" s="6"/>
      <c r="S12" s="6"/>
      <c r="T12" s="156"/>
      <c r="U12" s="6"/>
    </row>
    <row r="13" spans="1:21" customFormat="1">
      <c r="A13" s="201" t="s">
        <v>2356</v>
      </c>
      <c r="B13" s="100">
        <v>3.27</v>
      </c>
      <c r="C13" s="100">
        <v>6.28</v>
      </c>
      <c r="D13" s="100">
        <v>5.9</v>
      </c>
      <c r="E13" s="100">
        <v>5.0999999999999996</v>
      </c>
      <c r="F13" s="100">
        <v>2</v>
      </c>
      <c r="G13" s="100">
        <v>72.92</v>
      </c>
      <c r="H13" s="100">
        <v>37.54</v>
      </c>
      <c r="I13" s="100">
        <v>5.86</v>
      </c>
      <c r="J13" s="100">
        <v>0.09</v>
      </c>
      <c r="K13" s="100">
        <v>118.98</v>
      </c>
      <c r="L13" s="100">
        <v>11.71</v>
      </c>
      <c r="M13" s="100">
        <v>11.45</v>
      </c>
      <c r="N13" s="100">
        <v>2</v>
      </c>
      <c r="O13" s="100">
        <v>0</v>
      </c>
      <c r="P13" s="100">
        <v>0.37</v>
      </c>
      <c r="Q13" s="100">
        <v>9.32</v>
      </c>
      <c r="R13" s="6"/>
      <c r="S13" s="6"/>
      <c r="T13" s="156"/>
      <c r="U13" s="6"/>
    </row>
    <row r="14" spans="1:21" customFormat="1">
      <c r="A14" s="201" t="s">
        <v>2357</v>
      </c>
      <c r="B14" s="100">
        <v>3.42</v>
      </c>
      <c r="C14" s="100">
        <v>6.53</v>
      </c>
      <c r="D14" s="100">
        <v>6.16</v>
      </c>
      <c r="E14" s="100">
        <v>4.84</v>
      </c>
      <c r="F14" s="100">
        <v>2</v>
      </c>
      <c r="G14" s="100">
        <v>72.92</v>
      </c>
      <c r="H14" s="100">
        <v>37.54</v>
      </c>
      <c r="I14" s="100">
        <v>5.85</v>
      </c>
      <c r="J14" s="100">
        <v>0.16</v>
      </c>
      <c r="K14" s="100">
        <v>184.35</v>
      </c>
      <c r="L14" s="100">
        <v>17.47</v>
      </c>
      <c r="M14" s="100">
        <v>25.97</v>
      </c>
      <c r="N14" s="100">
        <v>2</v>
      </c>
      <c r="O14" s="100">
        <v>0</v>
      </c>
      <c r="P14" s="100">
        <v>0.37</v>
      </c>
      <c r="Q14" s="100">
        <v>9.32</v>
      </c>
      <c r="R14" s="6"/>
      <c r="S14" s="6"/>
      <c r="T14" s="156"/>
      <c r="U14" s="6"/>
    </row>
    <row r="15" spans="1:21" customFormat="1">
      <c r="A15" s="201" t="s">
        <v>2358</v>
      </c>
      <c r="B15" s="100">
        <v>3.53</v>
      </c>
      <c r="C15" s="100">
        <v>6.79</v>
      </c>
      <c r="D15" s="100">
        <v>6.38</v>
      </c>
      <c r="E15" s="100">
        <v>4.68</v>
      </c>
      <c r="F15" s="100">
        <v>2</v>
      </c>
      <c r="G15" s="100">
        <v>72.790000000000006</v>
      </c>
      <c r="H15" s="100">
        <v>37.31</v>
      </c>
      <c r="I15" s="100">
        <v>5.88</v>
      </c>
      <c r="J15" s="100">
        <v>0.1</v>
      </c>
      <c r="K15" s="100">
        <v>142.74</v>
      </c>
      <c r="L15" s="100">
        <v>14.55</v>
      </c>
      <c r="M15" s="100">
        <v>18.63</v>
      </c>
      <c r="N15" s="100">
        <v>2.1</v>
      </c>
      <c r="O15" s="100">
        <v>0</v>
      </c>
      <c r="P15" s="100">
        <v>0.38</v>
      </c>
      <c r="Q15" s="100">
        <v>9.32</v>
      </c>
      <c r="R15" s="6"/>
      <c r="S15" s="6"/>
      <c r="T15" s="156"/>
      <c r="U15" s="6"/>
    </row>
    <row r="16" spans="1:21" customFormat="1">
      <c r="A16" s="201" t="s">
        <v>2359</v>
      </c>
      <c r="B16" s="100">
        <v>3.7</v>
      </c>
      <c r="C16" s="100">
        <v>6.96</v>
      </c>
      <c r="D16" s="100">
        <v>6.6</v>
      </c>
      <c r="E16" s="100">
        <v>4.5599999999999996</v>
      </c>
      <c r="F16" s="100">
        <v>2</v>
      </c>
      <c r="G16" s="100">
        <v>69.13</v>
      </c>
      <c r="H16" s="100">
        <v>30.21</v>
      </c>
      <c r="I16" s="100">
        <v>5.88</v>
      </c>
      <c r="J16" s="100">
        <v>0.05</v>
      </c>
      <c r="K16" s="100">
        <v>126.45</v>
      </c>
      <c r="L16" s="100">
        <v>12.76</v>
      </c>
      <c r="M16" s="100">
        <v>14.07</v>
      </c>
      <c r="N16" s="100">
        <v>2.1</v>
      </c>
      <c r="O16" s="100">
        <v>0</v>
      </c>
      <c r="P16" s="100">
        <v>0.38</v>
      </c>
      <c r="Q16" s="100">
        <v>9.32</v>
      </c>
      <c r="R16" s="6"/>
      <c r="S16" s="6"/>
      <c r="T16" s="156"/>
      <c r="U16" s="6"/>
    </row>
    <row r="17" spans="1:21" customFormat="1">
      <c r="A17" s="201" t="s">
        <v>2360</v>
      </c>
      <c r="B17" s="100">
        <v>3.88</v>
      </c>
      <c r="C17" s="100">
        <v>7.13</v>
      </c>
      <c r="D17" s="100">
        <v>6.84</v>
      </c>
      <c r="E17" s="100">
        <v>4.03</v>
      </c>
      <c r="F17" s="100">
        <v>2</v>
      </c>
      <c r="G17" s="100">
        <v>69.13</v>
      </c>
      <c r="H17" s="100">
        <v>30.21</v>
      </c>
      <c r="I17" s="100">
        <v>5.89</v>
      </c>
      <c r="J17" s="100">
        <v>7.0000000000000007E-2</v>
      </c>
      <c r="K17" s="100">
        <v>146.02000000000001</v>
      </c>
      <c r="L17" s="100">
        <v>13.58</v>
      </c>
      <c r="M17" s="100">
        <v>16.170000000000002</v>
      </c>
      <c r="N17" s="100">
        <v>2</v>
      </c>
      <c r="O17" s="100">
        <v>0</v>
      </c>
      <c r="P17" s="100">
        <v>0.37</v>
      </c>
      <c r="Q17" s="100">
        <v>9.32</v>
      </c>
      <c r="R17" s="6"/>
      <c r="S17" s="6"/>
      <c r="T17" s="156"/>
      <c r="U17" s="6"/>
    </row>
    <row r="18" spans="1:21" customFormat="1">
      <c r="A18" s="201" t="s">
        <v>2361</v>
      </c>
      <c r="B18" s="100">
        <v>3.98</v>
      </c>
      <c r="C18" s="100">
        <v>7.23</v>
      </c>
      <c r="D18" s="100">
        <v>6.97</v>
      </c>
      <c r="E18" s="100">
        <v>5.36</v>
      </c>
      <c r="F18" s="100">
        <v>2</v>
      </c>
      <c r="G18" s="100">
        <v>69.13</v>
      </c>
      <c r="H18" s="100">
        <v>30.21</v>
      </c>
      <c r="I18" s="100">
        <v>5.88</v>
      </c>
      <c r="J18" s="100">
        <v>0.03</v>
      </c>
      <c r="K18" s="100">
        <v>176.04</v>
      </c>
      <c r="L18" s="100">
        <v>17.13</v>
      </c>
      <c r="M18" s="100">
        <v>24.99</v>
      </c>
      <c r="N18" s="100">
        <v>2.1</v>
      </c>
      <c r="O18" s="100">
        <v>0</v>
      </c>
      <c r="P18" s="100">
        <v>0.37</v>
      </c>
      <c r="Q18" s="100">
        <v>9.32</v>
      </c>
      <c r="R18" s="6"/>
      <c r="S18" s="6"/>
      <c r="T18" s="156"/>
      <c r="U18" s="6"/>
    </row>
    <row r="19" spans="1:21" customFormat="1">
      <c r="A19" s="201" t="s">
        <v>2362</v>
      </c>
      <c r="B19" s="100">
        <v>4.12</v>
      </c>
      <c r="C19" s="100">
        <v>7.33</v>
      </c>
      <c r="D19" s="100">
        <v>7.13</v>
      </c>
      <c r="E19" s="100">
        <v>5.25</v>
      </c>
      <c r="F19" s="100">
        <v>2</v>
      </c>
      <c r="G19" s="100">
        <v>68.91</v>
      </c>
      <c r="H19" s="100">
        <v>30.21</v>
      </c>
      <c r="I19" s="100">
        <v>5.87</v>
      </c>
      <c r="J19" s="100">
        <v>0.15</v>
      </c>
      <c r="K19" s="100">
        <v>81.61</v>
      </c>
      <c r="L19" s="100">
        <v>9.58</v>
      </c>
      <c r="M19" s="100">
        <v>6</v>
      </c>
      <c r="N19" s="100">
        <v>2.1</v>
      </c>
      <c r="O19" s="100">
        <v>0</v>
      </c>
      <c r="P19" s="100">
        <v>0.38</v>
      </c>
      <c r="Q19" s="100">
        <v>9.32</v>
      </c>
      <c r="R19" s="6"/>
      <c r="S19" s="6"/>
      <c r="T19" s="156"/>
      <c r="U19" s="6"/>
    </row>
    <row r="20" spans="1:21" customFormat="1">
      <c r="A20" s="201" t="s">
        <v>2363</v>
      </c>
      <c r="B20" s="100">
        <v>4.21</v>
      </c>
      <c r="C20" s="100">
        <v>7.3</v>
      </c>
      <c r="D20" s="100">
        <v>7.19</v>
      </c>
      <c r="E20" s="100">
        <v>5.54</v>
      </c>
      <c r="F20" s="100">
        <v>2</v>
      </c>
      <c r="G20" s="100">
        <v>62.58</v>
      </c>
      <c r="H20" s="100">
        <v>30.35</v>
      </c>
      <c r="I20" s="100">
        <v>5.89</v>
      </c>
      <c r="J20" s="100">
        <v>0.1</v>
      </c>
      <c r="K20" s="100">
        <v>47.09</v>
      </c>
      <c r="L20" s="100">
        <v>9.9</v>
      </c>
      <c r="M20" s="100">
        <v>6.81</v>
      </c>
      <c r="N20" s="100">
        <v>2.1</v>
      </c>
      <c r="O20" s="100">
        <v>0</v>
      </c>
      <c r="P20" s="100">
        <v>0.38</v>
      </c>
      <c r="Q20" s="100">
        <v>9.32</v>
      </c>
      <c r="R20" s="6"/>
      <c r="S20" s="6"/>
      <c r="T20" s="156"/>
      <c r="U20" s="6"/>
    </row>
    <row r="21" spans="1:21" customFormat="1">
      <c r="A21" s="201" t="s">
        <v>2364</v>
      </c>
      <c r="B21" s="100">
        <v>4.24</v>
      </c>
      <c r="C21" s="100">
        <v>7.22</v>
      </c>
      <c r="D21" s="100">
        <v>7.17</v>
      </c>
      <c r="E21" s="100">
        <v>5.05</v>
      </c>
      <c r="F21" s="100">
        <v>2</v>
      </c>
      <c r="G21" s="100">
        <v>62.58</v>
      </c>
      <c r="H21" s="100">
        <v>30.35</v>
      </c>
      <c r="I21" s="100">
        <v>5.88</v>
      </c>
      <c r="J21" s="100">
        <v>0.18</v>
      </c>
      <c r="K21" s="100">
        <v>26.15</v>
      </c>
      <c r="L21" s="100">
        <v>10.7</v>
      </c>
      <c r="M21" s="100">
        <v>8.6</v>
      </c>
      <c r="N21" s="100">
        <v>2.1</v>
      </c>
      <c r="O21" s="100">
        <v>0</v>
      </c>
      <c r="P21" s="100">
        <v>0.38</v>
      </c>
      <c r="Q21" s="100">
        <v>9.32</v>
      </c>
      <c r="R21" s="6"/>
      <c r="S21" s="6"/>
      <c r="T21" s="156"/>
      <c r="U21" s="6"/>
    </row>
    <row r="22" spans="1:21" customFormat="1">
      <c r="A22" s="201" t="s">
        <v>2365</v>
      </c>
      <c r="B22" s="100">
        <v>4.22</v>
      </c>
      <c r="C22" s="100">
        <v>7.09</v>
      </c>
      <c r="D22" s="100">
        <v>7.09</v>
      </c>
      <c r="E22" s="100">
        <v>5.38</v>
      </c>
      <c r="F22" s="100">
        <v>2</v>
      </c>
      <c r="G22" s="100">
        <v>62.58</v>
      </c>
      <c r="H22" s="100">
        <v>30.35</v>
      </c>
      <c r="I22" s="100">
        <v>5.92</v>
      </c>
      <c r="J22" s="100">
        <v>0.28000000000000003</v>
      </c>
      <c r="K22" s="100">
        <v>19.53</v>
      </c>
      <c r="L22" s="100">
        <v>9.4</v>
      </c>
      <c r="M22" s="100">
        <v>5.32</v>
      </c>
      <c r="N22" s="100">
        <v>2.2000000000000002</v>
      </c>
      <c r="O22" s="100">
        <v>0</v>
      </c>
      <c r="P22" s="100">
        <v>0.37</v>
      </c>
      <c r="Q22" s="100">
        <v>9.32</v>
      </c>
      <c r="R22" s="6"/>
      <c r="S22" s="6"/>
      <c r="T22" s="156"/>
      <c r="U22" s="6"/>
    </row>
    <row r="23" spans="1:21" customFormat="1">
      <c r="A23" s="201" t="s">
        <v>2366</v>
      </c>
      <c r="B23" s="100">
        <v>4.17</v>
      </c>
      <c r="C23" s="100">
        <v>7.03</v>
      </c>
      <c r="D23" s="100">
        <v>7.01</v>
      </c>
      <c r="E23" s="100">
        <v>5.41</v>
      </c>
      <c r="F23" s="100">
        <v>2</v>
      </c>
      <c r="G23" s="100">
        <v>62.66</v>
      </c>
      <c r="H23" s="100">
        <v>30.39</v>
      </c>
      <c r="I23" s="100">
        <v>5.89</v>
      </c>
      <c r="J23" s="100">
        <v>0.26</v>
      </c>
      <c r="K23" s="100">
        <v>33.65</v>
      </c>
      <c r="L23" s="100">
        <v>8</v>
      </c>
      <c r="M23" s="100">
        <v>1.85</v>
      </c>
      <c r="N23" s="100">
        <v>2.2999999999999998</v>
      </c>
      <c r="O23" s="100">
        <v>0</v>
      </c>
      <c r="P23" s="100">
        <v>0.37</v>
      </c>
      <c r="Q23" s="100">
        <v>9.32</v>
      </c>
      <c r="R23" s="6"/>
      <c r="S23" s="6"/>
      <c r="T23" s="156"/>
      <c r="U23" s="6"/>
    </row>
    <row r="24" spans="1:21" customFormat="1">
      <c r="A24" s="201" t="s">
        <v>2367</v>
      </c>
      <c r="B24" s="100">
        <v>4.1100000000000003</v>
      </c>
      <c r="C24" s="100">
        <v>6.9</v>
      </c>
      <c r="D24" s="100">
        <v>6.9</v>
      </c>
      <c r="E24" s="100">
        <v>5.52</v>
      </c>
      <c r="F24" s="100">
        <v>2</v>
      </c>
      <c r="G24" s="100">
        <v>66.17</v>
      </c>
      <c r="H24" s="100">
        <v>31.7</v>
      </c>
      <c r="I24" s="100">
        <v>5.87</v>
      </c>
      <c r="J24" s="100">
        <v>0.28000000000000003</v>
      </c>
      <c r="K24" s="100">
        <v>34.270000000000003</v>
      </c>
      <c r="L24" s="100">
        <v>6.95</v>
      </c>
      <c r="M24" s="100">
        <v>-0.8</v>
      </c>
      <c r="N24" s="100">
        <v>2.1</v>
      </c>
      <c r="O24" s="100">
        <v>0</v>
      </c>
      <c r="P24" s="100">
        <v>0.37</v>
      </c>
      <c r="Q24" s="100">
        <v>9.32</v>
      </c>
      <c r="R24" s="6"/>
      <c r="S24" s="6"/>
      <c r="T24" s="156"/>
      <c r="U24" s="6"/>
    </row>
    <row r="25" spans="1:21" customFormat="1">
      <c r="A25" s="201" t="s">
        <v>2368</v>
      </c>
      <c r="B25" s="100">
        <v>4.0999999999999996</v>
      </c>
      <c r="C25" s="100">
        <v>6.67</v>
      </c>
      <c r="D25" s="100">
        <v>6.77</v>
      </c>
      <c r="E25" s="100">
        <v>5.64</v>
      </c>
      <c r="F25" s="100">
        <v>2</v>
      </c>
      <c r="G25" s="100">
        <v>66.17</v>
      </c>
      <c r="H25" s="100">
        <v>31.7</v>
      </c>
      <c r="I25" s="100">
        <v>5.86</v>
      </c>
      <c r="J25" s="100">
        <v>0.27</v>
      </c>
      <c r="K25" s="100">
        <v>27.83</v>
      </c>
      <c r="L25" s="100">
        <v>7.76</v>
      </c>
      <c r="M25" s="100">
        <v>1.89</v>
      </c>
      <c r="N25" s="100">
        <v>2.1</v>
      </c>
      <c r="O25" s="100">
        <v>0</v>
      </c>
      <c r="P25" s="100">
        <v>0.35</v>
      </c>
      <c r="Q25" s="100">
        <v>9.32</v>
      </c>
      <c r="R25" s="6"/>
      <c r="S25" s="6"/>
      <c r="T25" s="156"/>
      <c r="U25" s="6"/>
    </row>
    <row r="26" spans="1:21" customFormat="1">
      <c r="A26" s="201" t="s">
        <v>2369</v>
      </c>
      <c r="B26" s="100">
        <v>4.1900000000000004</v>
      </c>
      <c r="C26" s="100">
        <v>6.48</v>
      </c>
      <c r="D26" s="100">
        <v>6.74</v>
      </c>
      <c r="E26" s="100">
        <v>5.56</v>
      </c>
      <c r="F26" s="100">
        <v>2</v>
      </c>
      <c r="G26" s="100">
        <v>66.17</v>
      </c>
      <c r="H26" s="100">
        <v>31.7</v>
      </c>
      <c r="I26" s="100">
        <v>5.76</v>
      </c>
      <c r="J26" s="100">
        <v>0.27</v>
      </c>
      <c r="K26" s="100">
        <v>40.57</v>
      </c>
      <c r="L26" s="100">
        <v>9.36</v>
      </c>
      <c r="M26" s="100">
        <v>5.23</v>
      </c>
      <c r="N26" s="100">
        <v>2.1</v>
      </c>
      <c r="O26" s="100">
        <v>0</v>
      </c>
      <c r="P26" s="100">
        <v>0.34</v>
      </c>
      <c r="Q26" s="100">
        <v>9.32</v>
      </c>
      <c r="R26" s="6"/>
      <c r="S26" s="6"/>
      <c r="T26" s="156"/>
      <c r="U26" s="6"/>
    </row>
    <row r="27" spans="1:21" customFormat="1">
      <c r="A27" s="201" t="s">
        <v>2370</v>
      </c>
      <c r="B27" s="100">
        <v>4.33</v>
      </c>
      <c r="C27" s="100">
        <v>6.58</v>
      </c>
      <c r="D27" s="100">
        <v>6.91</v>
      </c>
      <c r="E27" s="100">
        <v>5.22</v>
      </c>
      <c r="F27" s="100">
        <v>2</v>
      </c>
      <c r="G27" s="100">
        <v>66.16</v>
      </c>
      <c r="H27" s="100">
        <v>31.76</v>
      </c>
      <c r="I27" s="100">
        <v>5.94</v>
      </c>
      <c r="J27" s="100">
        <v>0.36</v>
      </c>
      <c r="K27" s="100">
        <v>45.91</v>
      </c>
      <c r="L27" s="100">
        <v>6.51</v>
      </c>
      <c r="M27" s="100">
        <v>-1.84</v>
      </c>
      <c r="N27" s="100">
        <v>2.1</v>
      </c>
      <c r="O27" s="100">
        <v>0</v>
      </c>
      <c r="P27" s="100">
        <v>0.34</v>
      </c>
      <c r="Q27" s="100">
        <v>9.32</v>
      </c>
      <c r="R27" s="6"/>
      <c r="S27" s="6"/>
      <c r="T27" s="156"/>
      <c r="U27" s="6"/>
    </row>
    <row r="28" spans="1:21" customFormat="1">
      <c r="A28" s="201" t="s">
        <v>2371</v>
      </c>
      <c r="B28" s="100">
        <v>4.47</v>
      </c>
      <c r="C28" s="100">
        <v>6.64</v>
      </c>
      <c r="D28" s="100">
        <v>7.06</v>
      </c>
      <c r="E28" s="100">
        <v>4.97</v>
      </c>
      <c r="F28" s="100">
        <v>2</v>
      </c>
      <c r="G28" s="100">
        <v>65.98</v>
      </c>
      <c r="H28" s="100">
        <v>33.75</v>
      </c>
      <c r="I28" s="100">
        <v>5.99</v>
      </c>
      <c r="J28" s="100">
        <v>0.22</v>
      </c>
      <c r="K28" s="100">
        <v>47.33</v>
      </c>
      <c r="L28" s="100">
        <v>7.3</v>
      </c>
      <c r="M28" s="100">
        <v>0.1</v>
      </c>
      <c r="N28" s="100">
        <v>2.1</v>
      </c>
      <c r="O28" s="100">
        <v>0</v>
      </c>
      <c r="P28" s="100">
        <v>0.34</v>
      </c>
      <c r="Q28" s="100">
        <v>9.32</v>
      </c>
      <c r="R28" s="6"/>
      <c r="S28" s="6"/>
      <c r="T28" s="156"/>
      <c r="U28" s="6"/>
    </row>
    <row r="29" spans="1:21" customFormat="1">
      <c r="A29" s="201" t="s">
        <v>2372</v>
      </c>
      <c r="B29" s="100">
        <v>4.68</v>
      </c>
      <c r="C29" s="100">
        <v>6.63</v>
      </c>
      <c r="D29" s="100">
        <v>7.21</v>
      </c>
      <c r="E29" s="100">
        <v>5.27</v>
      </c>
      <c r="F29" s="100">
        <v>2</v>
      </c>
      <c r="G29" s="100">
        <v>65.98</v>
      </c>
      <c r="H29" s="100">
        <v>33.75</v>
      </c>
      <c r="I29" s="100">
        <v>5.9</v>
      </c>
      <c r="J29" s="100">
        <v>0.41</v>
      </c>
      <c r="K29" s="100">
        <v>35.4</v>
      </c>
      <c r="L29" s="100">
        <v>7.22</v>
      </c>
      <c r="M29" s="100">
        <v>-0.16</v>
      </c>
      <c r="N29" s="100">
        <v>2.1</v>
      </c>
      <c r="O29" s="100">
        <v>0</v>
      </c>
      <c r="P29" s="100">
        <v>0.34</v>
      </c>
      <c r="Q29" s="100">
        <v>9.32</v>
      </c>
      <c r="R29" s="6"/>
      <c r="S29" s="6"/>
      <c r="T29" s="156"/>
      <c r="U29" s="6"/>
    </row>
    <row r="30" spans="1:21" customFormat="1">
      <c r="A30" s="201" t="s">
        <v>2373</v>
      </c>
      <c r="B30" s="100">
        <v>4.8899999999999997</v>
      </c>
      <c r="C30" s="100">
        <v>6.58</v>
      </c>
      <c r="D30" s="100">
        <v>7.36</v>
      </c>
      <c r="E30" s="100">
        <v>5.24</v>
      </c>
      <c r="F30" s="100">
        <v>2</v>
      </c>
      <c r="G30" s="100">
        <v>65.98</v>
      </c>
      <c r="H30" s="100">
        <v>33.75</v>
      </c>
      <c r="I30" s="100">
        <v>6.11</v>
      </c>
      <c r="J30" s="100">
        <v>0.43</v>
      </c>
      <c r="K30" s="100">
        <v>45.6</v>
      </c>
      <c r="L30" s="100">
        <v>7.66</v>
      </c>
      <c r="M30" s="100">
        <v>1.01</v>
      </c>
      <c r="N30" s="100">
        <v>2.1</v>
      </c>
      <c r="O30" s="100">
        <v>0</v>
      </c>
      <c r="P30" s="100">
        <v>0.35</v>
      </c>
      <c r="Q30" s="100">
        <v>9.32</v>
      </c>
      <c r="R30" s="6"/>
      <c r="S30" s="6"/>
      <c r="T30" s="156"/>
      <c r="U30" s="6"/>
    </row>
    <row r="31" spans="1:21" customFormat="1">
      <c r="A31" s="201" t="s">
        <v>2374</v>
      </c>
      <c r="B31" s="100">
        <v>4.96</v>
      </c>
      <c r="C31" s="100">
        <v>6.61</v>
      </c>
      <c r="D31" s="100">
        <v>7.44</v>
      </c>
      <c r="E31" s="100">
        <v>5.05</v>
      </c>
      <c r="F31" s="100">
        <v>2</v>
      </c>
      <c r="G31" s="100">
        <v>66.239999999999995</v>
      </c>
      <c r="H31" s="100">
        <v>33.89</v>
      </c>
      <c r="I31" s="100">
        <v>6.1</v>
      </c>
      <c r="J31" s="100">
        <v>0.2</v>
      </c>
      <c r="K31" s="100">
        <v>48.28</v>
      </c>
      <c r="L31" s="100">
        <v>7.1</v>
      </c>
      <c r="M31" s="100">
        <v>-0.31</v>
      </c>
      <c r="N31" s="100">
        <v>2.1</v>
      </c>
      <c r="O31" s="100">
        <v>0</v>
      </c>
      <c r="P31" s="100">
        <v>0.35</v>
      </c>
      <c r="Q31" s="100">
        <v>9.32</v>
      </c>
      <c r="R31" s="6"/>
      <c r="S31" s="6"/>
      <c r="T31" s="156"/>
      <c r="U31" s="6"/>
    </row>
    <row r="32" spans="1:21" customFormat="1">
      <c r="A32" s="201" t="s">
        <v>2375</v>
      </c>
      <c r="B32" s="100">
        <v>5.14</v>
      </c>
      <c r="C32" s="100">
        <v>6.6</v>
      </c>
      <c r="D32" s="100">
        <v>7.57</v>
      </c>
      <c r="E32" s="100">
        <v>5.14</v>
      </c>
      <c r="F32" s="100">
        <v>2</v>
      </c>
      <c r="G32" s="100">
        <v>73.760000000000005</v>
      </c>
      <c r="H32" s="100">
        <v>38.229999999999997</v>
      </c>
      <c r="I32" s="100">
        <v>6.19</v>
      </c>
      <c r="J32" s="100">
        <v>0.22</v>
      </c>
      <c r="K32" s="100">
        <v>63.04</v>
      </c>
      <c r="L32" s="100">
        <v>8.81</v>
      </c>
      <c r="M32" s="100">
        <v>4.04</v>
      </c>
      <c r="N32" s="100">
        <v>2.9</v>
      </c>
      <c r="O32" s="100">
        <v>0</v>
      </c>
      <c r="P32" s="100">
        <v>0.35</v>
      </c>
      <c r="Q32" s="100">
        <v>9.32</v>
      </c>
      <c r="R32" s="6"/>
      <c r="S32" s="6"/>
      <c r="T32" s="156"/>
      <c r="U32" s="6"/>
    </row>
    <row r="33" spans="1:21" customFormat="1">
      <c r="A33" s="201" t="s">
        <v>2376</v>
      </c>
      <c r="B33" s="100">
        <v>5.28</v>
      </c>
      <c r="C33" s="100">
        <v>6.6</v>
      </c>
      <c r="D33" s="100">
        <v>7.68</v>
      </c>
      <c r="E33" s="100">
        <v>4.9000000000000004</v>
      </c>
      <c r="F33" s="100">
        <v>2</v>
      </c>
      <c r="G33" s="100">
        <v>73.760000000000005</v>
      </c>
      <c r="H33" s="100">
        <v>38.229999999999997</v>
      </c>
      <c r="I33" s="100">
        <v>6.2</v>
      </c>
      <c r="J33" s="100">
        <v>0.16</v>
      </c>
      <c r="K33" s="100">
        <v>68.989999999999995</v>
      </c>
      <c r="L33" s="100">
        <v>10.16</v>
      </c>
      <c r="M33" s="100">
        <v>7.37</v>
      </c>
      <c r="N33" s="100">
        <v>5.7</v>
      </c>
      <c r="O33" s="100">
        <v>0</v>
      </c>
      <c r="P33" s="100">
        <v>0.36</v>
      </c>
      <c r="Q33" s="100">
        <v>9.32</v>
      </c>
      <c r="R33" s="6"/>
      <c r="S33" s="6"/>
      <c r="T33" s="156"/>
      <c r="U33" s="6"/>
    </row>
    <row r="34" spans="1:21" customFormat="1">
      <c r="A34" s="201" t="s">
        <v>2377</v>
      </c>
      <c r="B34" s="100">
        <v>5.32</v>
      </c>
      <c r="C34" s="100">
        <v>6.54</v>
      </c>
      <c r="D34" s="100">
        <v>7.68</v>
      </c>
      <c r="E34" s="100">
        <v>4.99</v>
      </c>
      <c r="F34" s="100">
        <v>2</v>
      </c>
      <c r="G34" s="100">
        <v>73.760000000000005</v>
      </c>
      <c r="H34" s="100">
        <v>38.229999999999997</v>
      </c>
      <c r="I34" s="100">
        <v>6.21</v>
      </c>
      <c r="J34" s="100">
        <v>0.3</v>
      </c>
      <c r="K34" s="100">
        <v>58.2</v>
      </c>
      <c r="L34" s="100">
        <v>9.09</v>
      </c>
      <c r="M34" s="100">
        <v>4.51</v>
      </c>
      <c r="N34" s="100">
        <v>10.5</v>
      </c>
      <c r="O34" s="100">
        <v>0</v>
      </c>
      <c r="P34" s="100">
        <v>0.36</v>
      </c>
      <c r="Q34" s="100">
        <v>9.32</v>
      </c>
      <c r="R34" s="6"/>
      <c r="S34" s="6"/>
      <c r="T34" s="156"/>
      <c r="U34" s="6"/>
    </row>
    <row r="35" spans="1:21" customFormat="1">
      <c r="A35" s="201" t="s">
        <v>2378</v>
      </c>
      <c r="B35" s="100">
        <v>5.39</v>
      </c>
      <c r="C35" s="100">
        <v>6.73</v>
      </c>
      <c r="D35" s="100">
        <v>7.84</v>
      </c>
      <c r="E35" s="100">
        <v>5.1100000000000003</v>
      </c>
      <c r="F35" s="100">
        <v>2</v>
      </c>
      <c r="G35" s="100">
        <v>73.86</v>
      </c>
      <c r="H35" s="100">
        <v>38.270000000000003</v>
      </c>
      <c r="I35" s="100">
        <v>6.3</v>
      </c>
      <c r="J35" s="100">
        <v>0.4</v>
      </c>
      <c r="K35" s="100">
        <v>37.03</v>
      </c>
      <c r="L35" s="100">
        <v>6.75</v>
      </c>
      <c r="M35" s="100">
        <v>-1.72</v>
      </c>
      <c r="N35" s="100">
        <v>21.6</v>
      </c>
      <c r="O35" s="100">
        <v>0</v>
      </c>
      <c r="P35" s="100">
        <v>0.36</v>
      </c>
      <c r="Q35" s="100">
        <v>9.32</v>
      </c>
      <c r="R35" s="6"/>
      <c r="S35" s="6"/>
      <c r="T35" s="156"/>
      <c r="U35" s="6"/>
    </row>
    <row r="36" spans="1:21" customFormat="1">
      <c r="A36" s="201" t="s">
        <v>2379</v>
      </c>
      <c r="B36" s="100">
        <v>5.5</v>
      </c>
      <c r="C36" s="100">
        <v>6.8</v>
      </c>
      <c r="D36" s="100">
        <v>7.97</v>
      </c>
      <c r="E36" s="100">
        <v>5.26</v>
      </c>
      <c r="F36" s="100">
        <v>2</v>
      </c>
      <c r="G36" s="100">
        <v>76.72</v>
      </c>
      <c r="H36" s="100">
        <v>39.549999999999997</v>
      </c>
      <c r="I36" s="100">
        <v>6.31</v>
      </c>
      <c r="J36" s="100">
        <v>0.27</v>
      </c>
      <c r="K36" s="100">
        <v>57.73</v>
      </c>
      <c r="L36" s="100">
        <v>9.02</v>
      </c>
      <c r="M36" s="100">
        <v>3.83</v>
      </c>
      <c r="N36" s="100">
        <v>34.200000000000003</v>
      </c>
      <c r="O36" s="100">
        <v>0</v>
      </c>
      <c r="P36" s="100">
        <v>0.37</v>
      </c>
      <c r="Q36" s="100">
        <v>9.32</v>
      </c>
      <c r="R36" s="6"/>
      <c r="S36" s="6"/>
      <c r="T36" s="156"/>
      <c r="U36" s="6"/>
    </row>
    <row r="37" spans="1:21" customFormat="1">
      <c r="A37" s="201" t="s">
        <v>2380</v>
      </c>
      <c r="B37" s="100">
        <v>5.59</v>
      </c>
      <c r="C37" s="100">
        <v>6.77</v>
      </c>
      <c r="D37" s="100">
        <v>8.02</v>
      </c>
      <c r="E37" s="100">
        <v>5.4</v>
      </c>
      <c r="F37" s="100">
        <v>2</v>
      </c>
      <c r="G37" s="100">
        <v>76.72</v>
      </c>
      <c r="H37" s="100">
        <v>39.549999999999997</v>
      </c>
      <c r="I37" s="100">
        <v>6.4</v>
      </c>
      <c r="J37" s="100">
        <v>0.46</v>
      </c>
      <c r="K37" s="100">
        <v>44.89</v>
      </c>
      <c r="L37" s="100">
        <v>7.62</v>
      </c>
      <c r="M37" s="100">
        <v>-0.04</v>
      </c>
      <c r="N37" s="100">
        <v>44.4</v>
      </c>
      <c r="O37" s="100">
        <v>0</v>
      </c>
      <c r="P37" s="100">
        <v>0.36</v>
      </c>
      <c r="Q37" s="100">
        <v>9.32</v>
      </c>
      <c r="R37" s="6"/>
      <c r="S37" s="6"/>
      <c r="T37" s="156"/>
      <c r="U37" s="6"/>
    </row>
    <row r="38" spans="1:21" customFormat="1">
      <c r="A38" s="201" t="s">
        <v>2381</v>
      </c>
      <c r="B38" s="100">
        <v>5.58</v>
      </c>
      <c r="C38" s="100">
        <v>6.86</v>
      </c>
      <c r="D38" s="100">
        <v>8.06</v>
      </c>
      <c r="E38" s="100">
        <v>5.0199999999999996</v>
      </c>
      <c r="F38" s="100">
        <v>2</v>
      </c>
      <c r="G38" s="100">
        <v>76.72</v>
      </c>
      <c r="H38" s="100">
        <v>39.549999999999997</v>
      </c>
      <c r="I38" s="100">
        <v>6.49</v>
      </c>
      <c r="J38" s="100">
        <v>0.55000000000000004</v>
      </c>
      <c r="K38" s="100">
        <v>32.31</v>
      </c>
      <c r="L38" s="100">
        <v>7.34</v>
      </c>
      <c r="M38" s="100">
        <v>-1.07</v>
      </c>
      <c r="N38" s="100">
        <v>57.3</v>
      </c>
      <c r="O38" s="100">
        <v>0</v>
      </c>
      <c r="P38" s="100">
        <v>0.38</v>
      </c>
      <c r="Q38" s="100">
        <v>9.32</v>
      </c>
      <c r="R38" s="6"/>
      <c r="S38" s="6"/>
      <c r="T38" s="156"/>
      <c r="U38" s="6"/>
    </row>
    <row r="39" spans="1:21" customFormat="1">
      <c r="A39" s="201" t="s">
        <v>2382</v>
      </c>
      <c r="B39" s="100">
        <v>5.44</v>
      </c>
      <c r="C39" s="100">
        <v>6.92</v>
      </c>
      <c r="D39" s="100">
        <v>7.98</v>
      </c>
      <c r="E39" s="100">
        <v>5.21</v>
      </c>
      <c r="F39" s="100">
        <v>2</v>
      </c>
      <c r="G39" s="100">
        <v>76.84</v>
      </c>
      <c r="H39" s="100">
        <v>39.56</v>
      </c>
      <c r="I39" s="100">
        <v>6.54</v>
      </c>
      <c r="J39" s="100">
        <v>0.46</v>
      </c>
      <c r="K39" s="100">
        <v>54.3</v>
      </c>
      <c r="L39" s="100">
        <v>9.57</v>
      </c>
      <c r="M39" s="100">
        <v>3.57</v>
      </c>
      <c r="N39" s="100">
        <v>99.7</v>
      </c>
      <c r="O39" s="100">
        <v>0</v>
      </c>
      <c r="P39" s="100">
        <v>0.37</v>
      </c>
      <c r="Q39" s="100">
        <v>9.32</v>
      </c>
      <c r="R39" s="6"/>
      <c r="S39" s="6"/>
      <c r="T39" s="156"/>
      <c r="U39" s="6"/>
    </row>
    <row r="40" spans="1:21" customFormat="1">
      <c r="A40" s="201" t="s">
        <v>2383</v>
      </c>
      <c r="B40" s="100">
        <v>5.39</v>
      </c>
      <c r="C40" s="100">
        <v>6.95</v>
      </c>
      <c r="D40" s="100">
        <v>7.95</v>
      </c>
      <c r="E40" s="100">
        <v>5.17</v>
      </c>
      <c r="F40" s="100">
        <v>2</v>
      </c>
      <c r="G40" s="100">
        <v>80.48</v>
      </c>
      <c r="H40" s="100">
        <v>39.71</v>
      </c>
      <c r="I40" s="100">
        <v>6.69</v>
      </c>
      <c r="J40" s="100">
        <v>0.39</v>
      </c>
      <c r="K40" s="100">
        <v>68.12</v>
      </c>
      <c r="L40" s="100">
        <v>11.39</v>
      </c>
      <c r="M40" s="100">
        <v>6.02</v>
      </c>
      <c r="N40" s="100">
        <v>196.8</v>
      </c>
      <c r="O40" s="100">
        <v>0</v>
      </c>
      <c r="P40" s="100">
        <v>0.39</v>
      </c>
      <c r="Q40" s="100">
        <v>9.32</v>
      </c>
      <c r="R40" s="6"/>
      <c r="S40" s="6"/>
      <c r="T40" s="156"/>
      <c r="U40" s="6"/>
    </row>
    <row r="41" spans="1:21" customFormat="1">
      <c r="A41" s="201" t="s">
        <v>2384</v>
      </c>
      <c r="B41" s="100">
        <v>5.22</v>
      </c>
      <c r="C41" s="100">
        <v>6.89</v>
      </c>
      <c r="D41" s="100">
        <v>7.79</v>
      </c>
      <c r="E41" s="100">
        <v>5.25</v>
      </c>
      <c r="F41" s="100">
        <v>2</v>
      </c>
      <c r="G41" s="100">
        <v>80.48</v>
      </c>
      <c r="H41" s="100">
        <v>39.71</v>
      </c>
      <c r="I41" s="100">
        <v>6.67</v>
      </c>
      <c r="J41" s="100">
        <v>0.52</v>
      </c>
      <c r="K41" s="100">
        <v>51.96</v>
      </c>
      <c r="L41" s="100">
        <v>10.81</v>
      </c>
      <c r="M41" s="100">
        <v>3.21</v>
      </c>
      <c r="N41" s="100">
        <v>251.7</v>
      </c>
      <c r="O41" s="100">
        <v>0</v>
      </c>
      <c r="P41" s="100">
        <v>0.38</v>
      </c>
      <c r="Q41" s="100">
        <v>9.32</v>
      </c>
      <c r="R41" s="6"/>
      <c r="S41" s="6"/>
      <c r="T41" s="156"/>
      <c r="U41" s="6"/>
    </row>
    <row r="42" spans="1:21" customFormat="1">
      <c r="A42" s="201" t="s">
        <v>2385</v>
      </c>
      <c r="B42" s="100">
        <v>5</v>
      </c>
      <c r="C42" s="100">
        <v>6.98</v>
      </c>
      <c r="D42" s="100">
        <v>7.66</v>
      </c>
      <c r="E42" s="100">
        <v>5.49</v>
      </c>
      <c r="F42" s="100">
        <v>2</v>
      </c>
      <c r="G42" s="100">
        <v>80.48</v>
      </c>
      <c r="H42" s="100">
        <v>39.71</v>
      </c>
      <c r="I42" s="100">
        <v>6.73</v>
      </c>
      <c r="J42" s="100">
        <v>0.39</v>
      </c>
      <c r="K42" s="100">
        <v>73.63</v>
      </c>
      <c r="L42" s="100">
        <v>12.3</v>
      </c>
      <c r="M42" s="100">
        <v>6</v>
      </c>
      <c r="N42" s="100">
        <v>293.10000000000002</v>
      </c>
      <c r="O42" s="100">
        <v>0</v>
      </c>
      <c r="P42" s="100">
        <v>0.38</v>
      </c>
      <c r="Q42" s="100">
        <v>9.32</v>
      </c>
      <c r="R42" s="6"/>
      <c r="S42" s="6"/>
      <c r="T42" s="156"/>
      <c r="U42" s="6"/>
    </row>
    <row r="43" spans="1:21" customFormat="1">
      <c r="A43" s="201" t="s">
        <v>2386</v>
      </c>
      <c r="B43" s="100">
        <v>4.75</v>
      </c>
      <c r="C43" s="100">
        <v>6.89</v>
      </c>
      <c r="D43" s="100">
        <v>7.41</v>
      </c>
      <c r="E43" s="100">
        <v>5.42</v>
      </c>
      <c r="F43" s="100">
        <v>2</v>
      </c>
      <c r="G43" s="100">
        <v>80.33</v>
      </c>
      <c r="H43" s="100">
        <v>39.75</v>
      </c>
      <c r="I43" s="100">
        <v>6.79</v>
      </c>
      <c r="J43" s="100">
        <v>0.35</v>
      </c>
      <c r="K43" s="100">
        <v>72.41</v>
      </c>
      <c r="L43" s="100">
        <v>12.46</v>
      </c>
      <c r="M43" s="100">
        <v>5.42</v>
      </c>
      <c r="N43" s="100">
        <v>334.8</v>
      </c>
      <c r="O43" s="100">
        <v>0</v>
      </c>
      <c r="P43" s="100">
        <v>0.38</v>
      </c>
      <c r="Q43" s="100">
        <v>9.32</v>
      </c>
      <c r="R43" s="6"/>
      <c r="S43" s="6"/>
      <c r="T43" s="156"/>
      <c r="U43" s="6"/>
    </row>
    <row r="44" spans="1:21" customFormat="1">
      <c r="A44" s="201" t="s">
        <v>2387</v>
      </c>
      <c r="B44" s="100">
        <v>4.55</v>
      </c>
      <c r="C44" s="100">
        <v>7.12</v>
      </c>
      <c r="D44" s="100">
        <v>7.37</v>
      </c>
      <c r="E44" s="100">
        <v>5.23</v>
      </c>
      <c r="F44" s="100">
        <v>2</v>
      </c>
      <c r="G44" s="100">
        <v>75.989999999999995</v>
      </c>
      <c r="H44" s="100">
        <v>40.85</v>
      </c>
      <c r="I44" s="100">
        <v>6.74</v>
      </c>
      <c r="J44" s="100">
        <v>0.47</v>
      </c>
      <c r="K44" s="100">
        <v>63.1</v>
      </c>
      <c r="L44" s="100">
        <v>12.92</v>
      </c>
      <c r="M44" s="100">
        <v>7.83</v>
      </c>
      <c r="N44" s="100">
        <v>282.2</v>
      </c>
      <c r="O44" s="100">
        <v>0</v>
      </c>
      <c r="P44" s="100">
        <v>0.4</v>
      </c>
      <c r="Q44" s="100">
        <v>9.32</v>
      </c>
      <c r="R44" s="6"/>
      <c r="S44" s="6"/>
      <c r="T44" s="156"/>
      <c r="U44" s="6"/>
    </row>
    <row r="45" spans="1:21" customFormat="1">
      <c r="A45" s="201" t="s">
        <v>2388</v>
      </c>
      <c r="B45" s="100">
        <v>4.1500000000000004</v>
      </c>
      <c r="C45" s="100">
        <v>7.15</v>
      </c>
      <c r="D45" s="100">
        <v>7.07</v>
      </c>
      <c r="E45" s="100">
        <v>5.13</v>
      </c>
      <c r="F45" s="100">
        <v>2</v>
      </c>
      <c r="G45" s="100">
        <v>75.989999999999995</v>
      </c>
      <c r="H45" s="100">
        <v>40.85</v>
      </c>
      <c r="I45" s="100">
        <v>6.72</v>
      </c>
      <c r="J45" s="100">
        <v>0.35</v>
      </c>
      <c r="K45" s="100">
        <v>60.33</v>
      </c>
      <c r="L45" s="100">
        <v>13.62</v>
      </c>
      <c r="M45" s="100">
        <v>6.23</v>
      </c>
      <c r="N45" s="100">
        <v>423.3</v>
      </c>
      <c r="O45" s="100">
        <v>0</v>
      </c>
      <c r="P45" s="100">
        <v>0.41</v>
      </c>
      <c r="Q45" s="100">
        <v>9.32</v>
      </c>
      <c r="R45" s="6"/>
      <c r="S45" s="6"/>
      <c r="T45" s="156"/>
      <c r="U45" s="6"/>
    </row>
    <row r="46" spans="1:21" customFormat="1">
      <c r="A46" s="201" t="s">
        <v>2389</v>
      </c>
      <c r="B46" s="100">
        <v>3.8</v>
      </c>
      <c r="C46" s="100">
        <v>7.19</v>
      </c>
      <c r="D46" s="100">
        <v>6.8</v>
      </c>
      <c r="E46" s="100">
        <v>5.45</v>
      </c>
      <c r="F46" s="100">
        <v>2</v>
      </c>
      <c r="G46" s="100">
        <v>75.989999999999995</v>
      </c>
      <c r="H46" s="100">
        <v>40.85</v>
      </c>
      <c r="I46" s="100">
        <v>6.69</v>
      </c>
      <c r="J46" s="100">
        <v>0.31</v>
      </c>
      <c r="K46" s="100">
        <v>100.1</v>
      </c>
      <c r="L46" s="100">
        <v>16.04</v>
      </c>
      <c r="M46" s="100">
        <v>11.29</v>
      </c>
      <c r="N46" s="100">
        <v>467</v>
      </c>
      <c r="O46" s="100">
        <v>0</v>
      </c>
      <c r="P46" s="100">
        <v>0.4</v>
      </c>
      <c r="Q46" s="100">
        <v>9.32</v>
      </c>
      <c r="R46" s="6"/>
      <c r="S46" s="6"/>
      <c r="T46" s="156"/>
      <c r="U46" s="6"/>
    </row>
    <row r="47" spans="1:21" customFormat="1">
      <c r="A47" s="201" t="s">
        <v>2390</v>
      </c>
      <c r="B47" s="100">
        <v>3.57</v>
      </c>
      <c r="C47" s="100">
        <v>7.32</v>
      </c>
      <c r="D47" s="100">
        <v>6.69</v>
      </c>
      <c r="E47" s="100">
        <v>5.42</v>
      </c>
      <c r="F47" s="100">
        <v>2</v>
      </c>
      <c r="G47" s="100">
        <v>75.77</v>
      </c>
      <c r="H47" s="100">
        <v>40.79</v>
      </c>
      <c r="I47" s="100">
        <v>5.97</v>
      </c>
      <c r="J47" s="100">
        <v>0.32</v>
      </c>
      <c r="K47" s="100">
        <v>60.78</v>
      </c>
      <c r="L47" s="100">
        <v>15.06</v>
      </c>
      <c r="M47" s="100">
        <v>7.75</v>
      </c>
      <c r="N47" s="100">
        <v>506.7</v>
      </c>
      <c r="O47" s="100">
        <v>0</v>
      </c>
      <c r="P47" s="100">
        <v>0.4</v>
      </c>
      <c r="Q47" s="100">
        <v>9.32</v>
      </c>
      <c r="R47" s="6"/>
      <c r="S47" s="6"/>
      <c r="T47" s="156"/>
      <c r="U47" s="6"/>
    </row>
    <row r="48" spans="1:21" customFormat="1">
      <c r="A48" s="201" t="s">
        <v>2391</v>
      </c>
      <c r="B48" s="100">
        <v>3.44</v>
      </c>
      <c r="C48" s="100">
        <v>7.36</v>
      </c>
      <c r="D48" s="100">
        <v>6.61</v>
      </c>
      <c r="E48" s="100">
        <v>5.63</v>
      </c>
      <c r="F48" s="100">
        <v>2</v>
      </c>
      <c r="G48" s="100">
        <v>69.64</v>
      </c>
      <c r="H48" s="100">
        <v>38.67</v>
      </c>
      <c r="I48" s="100">
        <v>5.97</v>
      </c>
      <c r="J48" s="100">
        <v>0.38</v>
      </c>
      <c r="K48" s="100">
        <v>46.09</v>
      </c>
      <c r="L48" s="100">
        <v>13.43</v>
      </c>
      <c r="M48" s="100">
        <v>5.51</v>
      </c>
      <c r="N48" s="100">
        <v>426.4</v>
      </c>
      <c r="O48" s="100">
        <v>0</v>
      </c>
      <c r="P48" s="100">
        <v>0.41</v>
      </c>
      <c r="Q48" s="100">
        <v>9.32</v>
      </c>
      <c r="R48" s="6"/>
      <c r="S48" s="6"/>
      <c r="T48" s="156"/>
      <c r="U48" s="6"/>
    </row>
    <row r="49" spans="1:21" customFormat="1">
      <c r="A49" s="201" t="s">
        <v>2392</v>
      </c>
      <c r="B49" s="100">
        <v>3.28</v>
      </c>
      <c r="C49" s="100">
        <v>7.37</v>
      </c>
      <c r="D49" s="100">
        <v>6.48</v>
      </c>
      <c r="E49" s="100">
        <v>5.45</v>
      </c>
      <c r="F49" s="100">
        <v>2</v>
      </c>
      <c r="G49" s="100">
        <v>69.64</v>
      </c>
      <c r="H49" s="100">
        <v>38.67</v>
      </c>
      <c r="I49" s="100">
        <v>5.97</v>
      </c>
      <c r="J49" s="100">
        <v>0.36</v>
      </c>
      <c r="K49" s="100">
        <v>93.17</v>
      </c>
      <c r="L49" s="100">
        <v>16.22</v>
      </c>
      <c r="M49" s="100">
        <v>9.24</v>
      </c>
      <c r="N49" s="100">
        <v>571.1</v>
      </c>
      <c r="O49" s="100">
        <v>0</v>
      </c>
      <c r="P49" s="100">
        <v>0.4</v>
      </c>
      <c r="Q49" s="100">
        <v>9.32</v>
      </c>
      <c r="R49" s="6"/>
      <c r="S49" s="6"/>
      <c r="T49" s="156"/>
      <c r="U49" s="6"/>
    </row>
    <row r="50" spans="1:21" customFormat="1">
      <c r="A50" s="201" t="s">
        <v>2393</v>
      </c>
      <c r="B50" s="100">
        <v>3.06</v>
      </c>
      <c r="C50" s="100">
        <v>7.22</v>
      </c>
      <c r="D50" s="100">
        <v>6.22</v>
      </c>
      <c r="E50" s="100">
        <v>6.62</v>
      </c>
      <c r="F50" s="100">
        <v>2</v>
      </c>
      <c r="G50" s="100">
        <v>69.64</v>
      </c>
      <c r="H50" s="100">
        <v>38.67</v>
      </c>
      <c r="I50" s="100">
        <v>5.97</v>
      </c>
      <c r="J50" s="100">
        <v>0.67</v>
      </c>
      <c r="K50" s="100">
        <v>37.03</v>
      </c>
      <c r="L50" s="100">
        <v>12.64</v>
      </c>
      <c r="M50" s="100">
        <v>-0.48</v>
      </c>
      <c r="N50" s="100">
        <v>595.20000000000005</v>
      </c>
      <c r="O50" s="100">
        <v>0</v>
      </c>
      <c r="P50" s="100">
        <v>0.39</v>
      </c>
      <c r="Q50" s="100">
        <v>9.32</v>
      </c>
      <c r="R50" s="6"/>
      <c r="S50" s="6"/>
      <c r="T50" s="156"/>
      <c r="U50" s="6"/>
    </row>
    <row r="51" spans="1:21" customFormat="1">
      <c r="A51" s="201" t="s">
        <v>2394</v>
      </c>
      <c r="B51" s="100">
        <v>2.9</v>
      </c>
      <c r="C51" s="100">
        <v>7.26</v>
      </c>
      <c r="D51" s="100">
        <v>6.12</v>
      </c>
      <c r="E51" s="100">
        <v>6.44</v>
      </c>
      <c r="F51" s="100">
        <v>2</v>
      </c>
      <c r="G51" s="100">
        <v>69.239999999999995</v>
      </c>
      <c r="H51" s="100">
        <v>38.54</v>
      </c>
      <c r="I51" s="100">
        <v>5.97</v>
      </c>
      <c r="J51" s="100">
        <v>0.56999999999999995</v>
      </c>
      <c r="K51" s="100">
        <v>52.52</v>
      </c>
      <c r="L51" s="100">
        <v>14.84</v>
      </c>
      <c r="M51" s="100">
        <v>5.14</v>
      </c>
      <c r="N51" s="100">
        <v>596</v>
      </c>
      <c r="O51" s="100">
        <v>0</v>
      </c>
      <c r="P51" s="100">
        <v>0.39</v>
      </c>
      <c r="Q51" s="100">
        <v>9.32</v>
      </c>
      <c r="R51" s="6"/>
      <c r="S51" s="6"/>
      <c r="T51" s="156"/>
      <c r="U51" s="6"/>
    </row>
    <row r="52" spans="1:21" customFormat="1">
      <c r="A52" s="201" t="s">
        <v>2395</v>
      </c>
      <c r="B52" s="100">
        <v>2.78</v>
      </c>
      <c r="C52" s="100">
        <v>7.4</v>
      </c>
      <c r="D52" s="100">
        <v>6.09</v>
      </c>
      <c r="E52" s="100">
        <v>6.69</v>
      </c>
      <c r="F52" s="100">
        <v>2</v>
      </c>
      <c r="G52" s="100">
        <v>57.39</v>
      </c>
      <c r="H52" s="100">
        <v>34.17</v>
      </c>
      <c r="I52" s="100">
        <v>5.97</v>
      </c>
      <c r="J52" s="100">
        <v>0.35</v>
      </c>
      <c r="K52" s="100">
        <v>75.55</v>
      </c>
      <c r="L52" s="100">
        <v>16.170000000000002</v>
      </c>
      <c r="M52" s="100">
        <v>9.4</v>
      </c>
      <c r="N52" s="100">
        <v>561.1</v>
      </c>
      <c r="O52" s="100">
        <v>0</v>
      </c>
      <c r="P52" s="100">
        <v>0.4</v>
      </c>
      <c r="Q52" s="100">
        <v>9.32</v>
      </c>
      <c r="R52" s="6"/>
      <c r="S52" s="6"/>
      <c r="T52" s="156"/>
      <c r="U52" s="6"/>
    </row>
    <row r="53" spans="1:21" customFormat="1">
      <c r="A53" s="201" t="s">
        <v>2396</v>
      </c>
      <c r="B53" s="100">
        <v>2.67</v>
      </c>
      <c r="C53" s="100">
        <v>7.28</v>
      </c>
      <c r="D53" s="100">
        <v>5.94</v>
      </c>
      <c r="E53" s="100">
        <v>6.5</v>
      </c>
      <c r="F53" s="100">
        <v>2</v>
      </c>
      <c r="G53" s="100">
        <v>57.39</v>
      </c>
      <c r="H53" s="100">
        <v>34.17</v>
      </c>
      <c r="I53" s="100">
        <v>5.97</v>
      </c>
      <c r="J53" s="100">
        <v>0.52</v>
      </c>
      <c r="K53" s="100">
        <v>53.59</v>
      </c>
      <c r="L53" s="100">
        <v>14.13</v>
      </c>
      <c r="M53" s="100">
        <v>2.64</v>
      </c>
      <c r="N53" s="100">
        <v>626</v>
      </c>
      <c r="O53" s="100">
        <v>0</v>
      </c>
      <c r="P53" s="100">
        <v>0.4</v>
      </c>
      <c r="Q53" s="100">
        <v>9.32</v>
      </c>
      <c r="R53" s="6"/>
      <c r="S53" s="6"/>
      <c r="T53" s="156"/>
      <c r="U53" s="6"/>
    </row>
    <row r="54" spans="1:21" customFormat="1">
      <c r="A54" s="201" t="s">
        <v>2397</v>
      </c>
      <c r="B54" s="100">
        <v>2.5499999999999998</v>
      </c>
      <c r="C54" s="100">
        <v>7.21</v>
      </c>
      <c r="D54" s="100">
        <v>5.81</v>
      </c>
      <c r="E54" s="100">
        <v>6.93</v>
      </c>
      <c r="F54" s="100">
        <v>2</v>
      </c>
      <c r="G54" s="100">
        <v>57.39</v>
      </c>
      <c r="H54" s="100">
        <v>34.17</v>
      </c>
      <c r="I54" s="100">
        <v>5.97</v>
      </c>
      <c r="J54" s="100">
        <v>0.41</v>
      </c>
      <c r="K54" s="100">
        <v>72.25</v>
      </c>
      <c r="L54" s="100">
        <v>16.190000000000001</v>
      </c>
      <c r="M54" s="100">
        <v>8.32</v>
      </c>
      <c r="N54" s="100">
        <v>610.4</v>
      </c>
      <c r="O54" s="100">
        <v>0</v>
      </c>
      <c r="P54" s="100">
        <v>0.39</v>
      </c>
      <c r="Q54" s="100">
        <v>9.32</v>
      </c>
      <c r="R54" s="6"/>
      <c r="S54" s="6"/>
      <c r="T54" s="156"/>
      <c r="U54" s="6"/>
    </row>
    <row r="55" spans="1:21" customFormat="1">
      <c r="A55" s="201" t="s">
        <v>2398</v>
      </c>
      <c r="B55" s="100">
        <v>2.42</v>
      </c>
      <c r="C55" s="100">
        <v>7.06</v>
      </c>
      <c r="D55" s="100">
        <v>5.63</v>
      </c>
      <c r="E55" s="100">
        <v>6.65</v>
      </c>
      <c r="F55" s="100">
        <v>2</v>
      </c>
      <c r="G55" s="100">
        <v>57.39</v>
      </c>
      <c r="H55" s="100">
        <v>34.049999999999997</v>
      </c>
      <c r="I55" s="100">
        <v>5.97</v>
      </c>
      <c r="J55" s="100">
        <v>0.42</v>
      </c>
      <c r="K55" s="100">
        <v>63.41</v>
      </c>
      <c r="L55" s="100">
        <v>16.34</v>
      </c>
      <c r="M55" s="100">
        <v>7.59</v>
      </c>
      <c r="N55" s="100">
        <v>654.29999999999995</v>
      </c>
      <c r="O55" s="100">
        <v>0</v>
      </c>
      <c r="P55" s="100">
        <v>0.38</v>
      </c>
      <c r="Q55" s="100">
        <v>9.32</v>
      </c>
      <c r="R55" s="6"/>
      <c r="S55" s="6"/>
      <c r="T55" s="156"/>
      <c r="U55" s="6"/>
    </row>
    <row r="56" spans="1:21" customFormat="1">
      <c r="A56" s="201" t="s">
        <v>2399</v>
      </c>
      <c r="B56" s="100">
        <v>2.3199999999999998</v>
      </c>
      <c r="C56" s="100">
        <v>6.98</v>
      </c>
      <c r="D56" s="100">
        <v>5.51</v>
      </c>
      <c r="E56" s="100">
        <v>6.54</v>
      </c>
      <c r="F56" s="100">
        <v>2</v>
      </c>
      <c r="G56" s="100">
        <v>57.45</v>
      </c>
      <c r="H56" s="100">
        <v>30.22</v>
      </c>
      <c r="I56" s="100">
        <v>5.97</v>
      </c>
      <c r="J56" s="100">
        <v>0.32</v>
      </c>
      <c r="K56" s="100">
        <v>121.06</v>
      </c>
      <c r="L56" s="100">
        <v>19.43</v>
      </c>
      <c r="M56" s="100">
        <v>15.14</v>
      </c>
      <c r="N56" s="100">
        <v>670.5</v>
      </c>
      <c r="O56" s="100">
        <v>0</v>
      </c>
      <c r="P56" s="100">
        <v>0.38</v>
      </c>
      <c r="Q56" s="100">
        <v>9.32</v>
      </c>
      <c r="R56" s="6"/>
      <c r="S56" s="6"/>
      <c r="T56" s="156"/>
      <c r="U56" s="6"/>
    </row>
    <row r="57" spans="1:21" customFormat="1">
      <c r="A57" s="201" t="s">
        <v>2400</v>
      </c>
      <c r="B57" s="100">
        <v>2.23</v>
      </c>
      <c r="C57" s="100">
        <v>6.84</v>
      </c>
      <c r="D57" s="100">
        <v>5.36</v>
      </c>
      <c r="E57" s="100">
        <v>6.58</v>
      </c>
      <c r="F57" s="100">
        <v>2</v>
      </c>
      <c r="G57" s="100">
        <v>57.45</v>
      </c>
      <c r="H57" s="100">
        <v>30.22</v>
      </c>
      <c r="I57" s="100">
        <v>5.97</v>
      </c>
      <c r="J57" s="100">
        <v>0.33</v>
      </c>
      <c r="K57" s="100">
        <v>79.900000000000006</v>
      </c>
      <c r="L57" s="100">
        <v>17.82</v>
      </c>
      <c r="M57" s="100">
        <v>11.22</v>
      </c>
      <c r="N57" s="100">
        <v>659.9</v>
      </c>
      <c r="O57" s="100">
        <v>0</v>
      </c>
      <c r="P57" s="100">
        <v>0.37</v>
      </c>
      <c r="Q57" s="100">
        <v>9.32</v>
      </c>
      <c r="R57" s="6"/>
      <c r="S57" s="6"/>
      <c r="T57" s="156"/>
      <c r="U57" s="6"/>
    </row>
    <row r="58" spans="1:21" customFormat="1">
      <c r="A58" s="201" t="s">
        <v>2401</v>
      </c>
      <c r="B58" s="100">
        <v>2.1800000000000002</v>
      </c>
      <c r="C58" s="100">
        <v>6.77</v>
      </c>
      <c r="D58" s="100">
        <v>5.28</v>
      </c>
      <c r="E58" s="100">
        <v>6.58</v>
      </c>
      <c r="F58" s="100">
        <v>2</v>
      </c>
      <c r="G58" s="100">
        <v>57.45</v>
      </c>
      <c r="H58" s="100">
        <v>30.22</v>
      </c>
      <c r="I58" s="100">
        <v>5.97</v>
      </c>
      <c r="J58" s="100">
        <v>0.31</v>
      </c>
      <c r="K58" s="100">
        <v>122.13</v>
      </c>
      <c r="L58" s="100">
        <v>17.84</v>
      </c>
      <c r="M58" s="100">
        <v>13.25</v>
      </c>
      <c r="N58" s="100">
        <v>577.9</v>
      </c>
      <c r="O58" s="100">
        <v>0</v>
      </c>
      <c r="P58" s="100">
        <v>0.36</v>
      </c>
      <c r="Q58" s="100">
        <v>9.32</v>
      </c>
      <c r="R58" s="6"/>
      <c r="S58" s="6"/>
      <c r="T58" s="156"/>
      <c r="U58" s="6"/>
    </row>
    <row r="59" spans="1:21" customFormat="1">
      <c r="A59" s="201" t="s">
        <v>2402</v>
      </c>
      <c r="B59" s="100">
        <v>2.17</v>
      </c>
      <c r="C59" s="100">
        <v>6.71</v>
      </c>
      <c r="D59" s="100">
        <v>5.24</v>
      </c>
      <c r="E59" s="100">
        <v>6.39</v>
      </c>
      <c r="F59" s="100">
        <v>2.2000000000000002</v>
      </c>
      <c r="G59" s="100">
        <v>57.07</v>
      </c>
      <c r="H59" s="100">
        <v>30.16</v>
      </c>
      <c r="I59" s="100">
        <v>5.97</v>
      </c>
      <c r="J59" s="100">
        <v>0.28999999999999998</v>
      </c>
      <c r="K59" s="100">
        <v>70.66</v>
      </c>
      <c r="L59" s="100">
        <v>18.75</v>
      </c>
      <c r="M59" s="100">
        <v>13.54</v>
      </c>
      <c r="N59" s="100">
        <v>659</v>
      </c>
      <c r="O59" s="100">
        <v>0</v>
      </c>
      <c r="P59" s="100">
        <v>0.36</v>
      </c>
      <c r="Q59" s="100">
        <v>9.32</v>
      </c>
      <c r="R59" s="6"/>
      <c r="S59" s="6"/>
      <c r="T59" s="156"/>
      <c r="U59" s="6"/>
    </row>
    <row r="60" spans="1:21" customFormat="1">
      <c r="A60" s="201" t="s">
        <v>2403</v>
      </c>
      <c r="B60" s="100">
        <v>2.16</v>
      </c>
      <c r="C60" s="100">
        <v>6.54</v>
      </c>
      <c r="D60" s="100">
        <v>5.15</v>
      </c>
      <c r="E60" s="100">
        <v>6.74</v>
      </c>
      <c r="F60" s="100">
        <v>2</v>
      </c>
      <c r="G60" s="100">
        <v>46.05</v>
      </c>
      <c r="H60" s="100">
        <v>28.29</v>
      </c>
      <c r="I60" s="100">
        <v>5.97</v>
      </c>
      <c r="J60" s="100">
        <v>0.23</v>
      </c>
      <c r="K60" s="100">
        <v>85.66</v>
      </c>
      <c r="L60" s="100">
        <v>17.75</v>
      </c>
      <c r="M60" s="100">
        <v>12.46</v>
      </c>
      <c r="N60" s="100">
        <v>601.5</v>
      </c>
      <c r="O60" s="100">
        <v>0</v>
      </c>
      <c r="P60" s="100">
        <v>0.36</v>
      </c>
      <c r="Q60" s="100">
        <v>9.32</v>
      </c>
      <c r="R60" s="6"/>
      <c r="S60" s="6"/>
      <c r="T60" s="156"/>
      <c r="U60" s="6"/>
    </row>
    <row r="61" spans="1:21" customFormat="1">
      <c r="A61" s="201" t="s">
        <v>2404</v>
      </c>
      <c r="B61" s="100">
        <v>2.15</v>
      </c>
      <c r="C61" s="100">
        <v>6.47</v>
      </c>
      <c r="D61" s="100">
        <v>5.0999999999999996</v>
      </c>
      <c r="E61" s="100">
        <v>6.41</v>
      </c>
      <c r="F61" s="100">
        <v>2</v>
      </c>
      <c r="G61" s="100">
        <v>46.05</v>
      </c>
      <c r="H61" s="100">
        <v>28.29</v>
      </c>
      <c r="I61" s="100">
        <v>5.97</v>
      </c>
      <c r="J61" s="100">
        <v>0.22</v>
      </c>
      <c r="K61" s="100">
        <v>75.150000000000006</v>
      </c>
      <c r="L61" s="100">
        <v>17.399999999999999</v>
      </c>
      <c r="M61" s="100">
        <v>14.15</v>
      </c>
      <c r="N61" s="100">
        <v>491.9</v>
      </c>
      <c r="O61" s="100">
        <v>0</v>
      </c>
      <c r="P61" s="100">
        <v>0.34</v>
      </c>
      <c r="Q61" s="100">
        <v>9.32</v>
      </c>
      <c r="R61" s="6"/>
      <c r="S61" s="6"/>
      <c r="T61" s="156"/>
      <c r="U61" s="6"/>
    </row>
    <row r="62" spans="1:21" customFormat="1">
      <c r="A62" s="201" t="s">
        <v>2405</v>
      </c>
      <c r="B62" s="100">
        <v>2.13</v>
      </c>
      <c r="C62" s="100">
        <v>6.38</v>
      </c>
      <c r="D62" s="100">
        <v>5.04</v>
      </c>
      <c r="E62" s="100">
        <v>6.31</v>
      </c>
      <c r="F62" s="100">
        <v>2</v>
      </c>
      <c r="G62" s="100">
        <v>46.05</v>
      </c>
      <c r="H62" s="100">
        <v>28.29</v>
      </c>
      <c r="I62" s="100">
        <v>5.97</v>
      </c>
      <c r="J62" s="100">
        <v>0.21</v>
      </c>
      <c r="K62" s="100">
        <v>142.9</v>
      </c>
      <c r="L62" s="100">
        <v>18.88</v>
      </c>
      <c r="M62" s="100">
        <v>16.579999999999998</v>
      </c>
      <c r="N62" s="100">
        <v>549.29999999999995</v>
      </c>
      <c r="O62" s="100">
        <v>0</v>
      </c>
      <c r="P62" s="100">
        <v>0.34</v>
      </c>
      <c r="Q62" s="100">
        <v>9.32</v>
      </c>
      <c r="R62" s="6"/>
      <c r="S62" s="6"/>
      <c r="T62" s="156"/>
      <c r="U62" s="6"/>
    </row>
    <row r="63" spans="1:21" customFormat="1">
      <c r="A63" s="201" t="s">
        <v>2406</v>
      </c>
      <c r="B63" s="100">
        <v>2.09</v>
      </c>
      <c r="C63" s="100">
        <v>6.33</v>
      </c>
      <c r="D63" s="100">
        <v>4.9800000000000004</v>
      </c>
      <c r="E63" s="100">
        <v>6.38</v>
      </c>
      <c r="F63" s="100">
        <v>2.09</v>
      </c>
      <c r="G63" s="100">
        <v>45.99</v>
      </c>
      <c r="H63" s="100">
        <v>28.06</v>
      </c>
      <c r="I63" s="100">
        <v>5.97</v>
      </c>
      <c r="J63" s="100">
        <v>0.35</v>
      </c>
      <c r="K63" s="100">
        <v>105.84</v>
      </c>
      <c r="L63" s="100">
        <v>15.17</v>
      </c>
      <c r="M63" s="100">
        <v>14.47</v>
      </c>
      <c r="N63" s="100">
        <v>239.4</v>
      </c>
      <c r="O63" s="100">
        <v>0</v>
      </c>
      <c r="P63" s="100">
        <v>0.33</v>
      </c>
      <c r="Q63" s="100">
        <v>9.32</v>
      </c>
      <c r="R63" s="6"/>
      <c r="S63" s="6"/>
      <c r="T63" s="156"/>
      <c r="U63" s="6"/>
    </row>
    <row r="64" spans="1:21" customFormat="1">
      <c r="A64" s="201" t="s">
        <v>2407</v>
      </c>
      <c r="B64" s="100">
        <v>2.15</v>
      </c>
      <c r="C64" s="100">
        <v>6.46</v>
      </c>
      <c r="D64" s="100">
        <v>5.09</v>
      </c>
      <c r="E64" s="100">
        <v>6.87</v>
      </c>
      <c r="F64" s="100">
        <v>2.4300000000000002</v>
      </c>
      <c r="G64" s="100">
        <v>44.15</v>
      </c>
      <c r="H64" s="100">
        <v>20.83</v>
      </c>
      <c r="I64" s="100">
        <v>5.97</v>
      </c>
      <c r="J64" s="100">
        <v>0.28000000000000003</v>
      </c>
      <c r="K64" s="100">
        <v>115.1</v>
      </c>
      <c r="L64" s="100">
        <v>16.260000000000002</v>
      </c>
      <c r="M64" s="100">
        <v>13.65</v>
      </c>
      <c r="N64" s="100">
        <v>392.5</v>
      </c>
      <c r="O64" s="100">
        <v>0</v>
      </c>
      <c r="P64" s="100">
        <v>0.33</v>
      </c>
      <c r="Q64" s="100">
        <v>9.32</v>
      </c>
      <c r="R64" s="6"/>
      <c r="S64" s="6"/>
      <c r="T64" s="156"/>
      <c r="U64" s="6"/>
    </row>
    <row r="65" spans="1:21" customFormat="1">
      <c r="A65" s="201" t="s">
        <v>2408</v>
      </c>
      <c r="B65" s="100">
        <v>2.21</v>
      </c>
      <c r="C65" s="100">
        <v>6.26</v>
      </c>
      <c r="D65" s="100">
        <v>5.04</v>
      </c>
      <c r="E65" s="100">
        <v>7.31</v>
      </c>
      <c r="F65" s="100">
        <v>2.3199999999999998</v>
      </c>
      <c r="G65" s="100">
        <v>44.15</v>
      </c>
      <c r="H65" s="100">
        <v>20.83</v>
      </c>
      <c r="I65" s="100">
        <v>5.97</v>
      </c>
      <c r="J65" s="100">
        <v>0.24</v>
      </c>
      <c r="K65" s="100">
        <v>102.92</v>
      </c>
      <c r="L65" s="100">
        <v>18.21</v>
      </c>
      <c r="M65" s="100">
        <v>17.63</v>
      </c>
      <c r="N65" s="100">
        <v>435</v>
      </c>
      <c r="O65" s="100">
        <v>0</v>
      </c>
      <c r="P65" s="100">
        <v>0.31</v>
      </c>
      <c r="Q65" s="100">
        <v>9.32</v>
      </c>
      <c r="R65" s="6"/>
      <c r="S65" s="6"/>
      <c r="T65" s="156"/>
      <c r="U65" s="6"/>
    </row>
    <row r="66" spans="1:21" customFormat="1">
      <c r="A66" s="201" t="s">
        <v>2409</v>
      </c>
      <c r="B66" s="100">
        <v>2.2599999999999998</v>
      </c>
      <c r="C66" s="100">
        <v>6.24</v>
      </c>
      <c r="D66" s="100">
        <v>5.07</v>
      </c>
      <c r="E66" s="100">
        <v>7.1</v>
      </c>
      <c r="F66" s="100">
        <v>3.77</v>
      </c>
      <c r="G66" s="100">
        <v>44.15</v>
      </c>
      <c r="H66" s="100">
        <v>20.83</v>
      </c>
      <c r="I66" s="100">
        <v>5.97</v>
      </c>
      <c r="J66" s="100">
        <v>0.22</v>
      </c>
      <c r="K66" s="100">
        <v>102.24</v>
      </c>
      <c r="L66" s="100">
        <v>16.05</v>
      </c>
      <c r="M66" s="100">
        <v>12.86</v>
      </c>
      <c r="N66" s="100">
        <v>404.4</v>
      </c>
      <c r="O66" s="100">
        <v>0</v>
      </c>
      <c r="P66" s="100">
        <v>0.3</v>
      </c>
      <c r="Q66" s="100">
        <v>9.32</v>
      </c>
      <c r="R66" s="6"/>
      <c r="S66" s="6"/>
      <c r="T66" s="156"/>
      <c r="U66" s="6"/>
    </row>
    <row r="67" spans="1:21" customFormat="1">
      <c r="A67" s="201" t="s">
        <v>2410</v>
      </c>
      <c r="B67" s="100">
        <v>2.2400000000000002</v>
      </c>
      <c r="C67" s="100">
        <v>6.12</v>
      </c>
      <c r="D67" s="100">
        <v>5</v>
      </c>
      <c r="E67" s="100">
        <v>5.44</v>
      </c>
      <c r="F67" s="100">
        <v>5.52</v>
      </c>
      <c r="G67" s="100">
        <v>43.88</v>
      </c>
      <c r="H67" s="100">
        <v>20.83</v>
      </c>
      <c r="I67" s="100">
        <v>5.97</v>
      </c>
      <c r="J67" s="100">
        <v>0.22</v>
      </c>
      <c r="K67" s="100">
        <v>112.1</v>
      </c>
      <c r="L67" s="100">
        <v>14.24</v>
      </c>
      <c r="M67" s="100">
        <v>16.05</v>
      </c>
      <c r="N67" s="100">
        <v>74.5</v>
      </c>
      <c r="O67" s="100">
        <v>0</v>
      </c>
      <c r="P67" s="100">
        <v>0.28999999999999998</v>
      </c>
      <c r="Q67" s="100">
        <v>9.32</v>
      </c>
      <c r="R67" s="6"/>
      <c r="S67" s="6"/>
      <c r="T67" s="156"/>
      <c r="U67" s="6"/>
    </row>
    <row r="68" spans="1:21" customFormat="1">
      <c r="A68" s="201" t="s">
        <v>2411</v>
      </c>
      <c r="B68" s="100">
        <v>2.2599999999999998</v>
      </c>
      <c r="C68" s="100">
        <v>6.23</v>
      </c>
      <c r="D68" s="100">
        <v>5.0599999999999996</v>
      </c>
      <c r="E68" s="100">
        <v>6.91</v>
      </c>
      <c r="F68" s="100">
        <v>9.84</v>
      </c>
      <c r="G68" s="100">
        <v>36.049999999999997</v>
      </c>
      <c r="H68" s="100">
        <v>20.86</v>
      </c>
      <c r="I68" s="100">
        <v>5.97</v>
      </c>
      <c r="J68" s="100">
        <v>0.24</v>
      </c>
      <c r="K68" s="100">
        <v>114.07</v>
      </c>
      <c r="L68" s="100">
        <v>13.96</v>
      </c>
      <c r="M68" s="100">
        <v>15.77</v>
      </c>
      <c r="N68" s="100">
        <v>52.3</v>
      </c>
      <c r="O68" s="100">
        <v>0</v>
      </c>
      <c r="P68" s="100">
        <v>0.27</v>
      </c>
      <c r="Q68" s="100">
        <v>9.32</v>
      </c>
      <c r="R68" s="6"/>
      <c r="S68" s="6"/>
      <c r="T68" s="156"/>
      <c r="U68" s="6"/>
    </row>
    <row r="69" spans="1:21" customFormat="1">
      <c r="A69" s="201" t="s">
        <v>2412</v>
      </c>
      <c r="B69" s="100">
        <v>2.38</v>
      </c>
      <c r="C69" s="100">
        <v>6.46</v>
      </c>
      <c r="D69" s="100">
        <v>5.28</v>
      </c>
      <c r="E69" s="100">
        <v>7.66</v>
      </c>
      <c r="F69" s="100">
        <v>9.84</v>
      </c>
      <c r="G69" s="100">
        <v>36.049999999999997</v>
      </c>
      <c r="H69" s="100">
        <v>20.86</v>
      </c>
      <c r="I69" s="100">
        <v>5.97</v>
      </c>
      <c r="J69" s="100">
        <v>0.51</v>
      </c>
      <c r="K69" s="100">
        <v>48.79</v>
      </c>
      <c r="L69" s="100">
        <v>9.0299999999999994</v>
      </c>
      <c r="M69" s="100">
        <v>3.44</v>
      </c>
      <c r="N69" s="100">
        <v>44.5</v>
      </c>
      <c r="O69" s="100">
        <v>0</v>
      </c>
      <c r="P69" s="100">
        <v>0.28000000000000003</v>
      </c>
      <c r="Q69" s="100">
        <v>9.32</v>
      </c>
      <c r="R69" s="6"/>
      <c r="S69" s="6"/>
      <c r="T69" s="156"/>
      <c r="U69" s="6"/>
    </row>
    <row r="70" spans="1:21" customFormat="1">
      <c r="A70" s="201" t="s">
        <v>2413</v>
      </c>
      <c r="B70" s="100">
        <v>2.38</v>
      </c>
      <c r="C70" s="100">
        <v>6.61</v>
      </c>
      <c r="D70" s="100">
        <v>5.36</v>
      </c>
      <c r="E70" s="100">
        <v>7.27</v>
      </c>
      <c r="F70" s="100">
        <v>7.28</v>
      </c>
      <c r="G70" s="100">
        <v>36.049999999999997</v>
      </c>
      <c r="H70" s="100">
        <v>20.86</v>
      </c>
      <c r="I70" s="100">
        <v>5.97</v>
      </c>
      <c r="J70" s="100">
        <v>0.27</v>
      </c>
      <c r="K70" s="100">
        <v>143.41</v>
      </c>
      <c r="L70" s="100">
        <v>14.69</v>
      </c>
      <c r="M70" s="100">
        <v>17.54</v>
      </c>
      <c r="N70" s="100">
        <v>39.299999999999997</v>
      </c>
      <c r="O70" s="100">
        <v>0</v>
      </c>
      <c r="P70" s="100">
        <v>0.28000000000000003</v>
      </c>
      <c r="Q70" s="100">
        <v>9.32</v>
      </c>
      <c r="R70" s="6"/>
      <c r="S70" s="6"/>
      <c r="T70" s="156"/>
      <c r="U70" s="6"/>
    </row>
    <row r="71" spans="1:21" customFormat="1">
      <c r="A71" s="201" t="s">
        <v>2414</v>
      </c>
      <c r="B71" s="100">
        <v>2.27</v>
      </c>
      <c r="C71" s="100">
        <v>6.25</v>
      </c>
      <c r="D71" s="100">
        <v>5.08</v>
      </c>
      <c r="E71" s="100">
        <v>7.57</v>
      </c>
      <c r="F71" s="100">
        <v>11.2</v>
      </c>
      <c r="G71" s="100">
        <v>36.11</v>
      </c>
      <c r="H71" s="100">
        <v>20.79</v>
      </c>
      <c r="I71" s="100">
        <v>5.97</v>
      </c>
      <c r="J71" s="100">
        <v>0.37</v>
      </c>
      <c r="K71" s="100">
        <v>140.41</v>
      </c>
      <c r="L71" s="100">
        <v>14.12</v>
      </c>
      <c r="M71" s="100">
        <v>16.690000000000001</v>
      </c>
      <c r="N71" s="100">
        <v>36.799999999999997</v>
      </c>
      <c r="O71" s="100">
        <v>0</v>
      </c>
      <c r="P71" s="100">
        <v>0.28000000000000003</v>
      </c>
      <c r="Q71" s="100">
        <v>9.32</v>
      </c>
      <c r="R71" s="6"/>
      <c r="S71" s="6"/>
      <c r="T71" s="156"/>
      <c r="U71" s="6"/>
    </row>
    <row r="72" spans="1:21" customFormat="1">
      <c r="A72" s="201" t="s">
        <v>2415</v>
      </c>
      <c r="B72" s="100">
        <v>2.21</v>
      </c>
      <c r="C72" s="100">
        <v>6.12</v>
      </c>
      <c r="D72" s="100">
        <v>4.96</v>
      </c>
      <c r="E72" s="100">
        <v>8.18</v>
      </c>
      <c r="F72" s="100">
        <v>8.4600000000000009</v>
      </c>
      <c r="G72" s="100">
        <v>37.86</v>
      </c>
      <c r="H72" s="100">
        <v>18.38</v>
      </c>
      <c r="I72" s="100">
        <v>5.97</v>
      </c>
      <c r="J72" s="100">
        <v>0.25</v>
      </c>
      <c r="K72" s="100">
        <v>131.54</v>
      </c>
      <c r="L72" s="100">
        <v>13.78</v>
      </c>
      <c r="M72" s="100">
        <v>15.89</v>
      </c>
      <c r="N72" s="100">
        <v>32.299999999999997</v>
      </c>
      <c r="O72" s="100">
        <v>0</v>
      </c>
      <c r="P72" s="100">
        <v>0.27</v>
      </c>
      <c r="Q72" s="100">
        <v>9.32</v>
      </c>
      <c r="R72" s="6"/>
      <c r="S72" s="6"/>
      <c r="T72" s="156"/>
      <c r="U72" s="6"/>
    </row>
    <row r="73" spans="1:21" customFormat="1">
      <c r="A73" s="201" t="s">
        <v>2416</v>
      </c>
      <c r="B73" s="100">
        <v>2.2400000000000002</v>
      </c>
      <c r="C73" s="100">
        <v>6.06</v>
      </c>
      <c r="D73" s="100">
        <v>4.96</v>
      </c>
      <c r="E73" s="100">
        <v>7.63</v>
      </c>
      <c r="F73" s="100">
        <v>5.27</v>
      </c>
      <c r="G73" s="100">
        <v>37.86</v>
      </c>
      <c r="H73" s="100">
        <v>18.38</v>
      </c>
      <c r="I73" s="100">
        <v>5.97</v>
      </c>
      <c r="J73" s="100">
        <v>0.28000000000000003</v>
      </c>
      <c r="K73" s="100">
        <v>122.94</v>
      </c>
      <c r="L73" s="100">
        <v>13.1</v>
      </c>
      <c r="M73" s="100">
        <v>14.26</v>
      </c>
      <c r="N73" s="100">
        <v>26.4</v>
      </c>
      <c r="O73" s="100">
        <v>0</v>
      </c>
      <c r="P73" s="100">
        <v>0.28000000000000003</v>
      </c>
      <c r="Q73" s="100">
        <v>9.32</v>
      </c>
      <c r="R73" s="6"/>
      <c r="S73" s="6"/>
      <c r="T73" s="156"/>
      <c r="U73" s="6"/>
    </row>
    <row r="74" spans="1:21" customFormat="1">
      <c r="A74" s="201" t="s">
        <v>2417</v>
      </c>
      <c r="B74" s="100">
        <v>2.29</v>
      </c>
      <c r="C74" s="100">
        <v>6.2</v>
      </c>
      <c r="D74" s="100">
        <v>5.08</v>
      </c>
      <c r="E74" s="100">
        <v>7.55</v>
      </c>
      <c r="F74" s="100">
        <v>9.35</v>
      </c>
      <c r="G74" s="100">
        <v>37.86</v>
      </c>
      <c r="H74" s="100">
        <v>18.38</v>
      </c>
      <c r="I74" s="100">
        <v>5.97</v>
      </c>
      <c r="J74" s="100">
        <v>0.24</v>
      </c>
      <c r="K74" s="100">
        <v>126.77</v>
      </c>
      <c r="L74" s="100">
        <v>13.4</v>
      </c>
      <c r="M74" s="100">
        <v>15.17</v>
      </c>
      <c r="N74" s="100">
        <v>22.8</v>
      </c>
      <c r="O74" s="100">
        <v>0</v>
      </c>
      <c r="P74" s="100">
        <v>0.28000000000000003</v>
      </c>
      <c r="Q74" s="100">
        <v>9.32</v>
      </c>
      <c r="R74" s="6"/>
      <c r="S74" s="6"/>
      <c r="T74" s="156"/>
      <c r="U74" s="6"/>
    </row>
    <row r="75" spans="1:21" customFormat="1">
      <c r="A75" s="201" t="s">
        <v>2418</v>
      </c>
      <c r="B75" s="100">
        <v>2.2999999999999998</v>
      </c>
      <c r="C75" s="100">
        <v>6.92</v>
      </c>
      <c r="D75" s="100">
        <v>5.46</v>
      </c>
      <c r="E75" s="100">
        <v>10.29</v>
      </c>
      <c r="F75" s="100">
        <v>10.6</v>
      </c>
      <c r="G75" s="100">
        <v>37.74</v>
      </c>
      <c r="H75" s="100">
        <v>18.43</v>
      </c>
      <c r="I75" s="100">
        <v>5.97</v>
      </c>
      <c r="J75" s="100">
        <v>0.27</v>
      </c>
      <c r="K75" s="100">
        <v>124.57</v>
      </c>
      <c r="L75" s="100">
        <v>12.63</v>
      </c>
      <c r="M75" s="100">
        <v>13.33</v>
      </c>
      <c r="N75" s="100">
        <v>18.100000000000001</v>
      </c>
      <c r="O75" s="100">
        <v>0</v>
      </c>
      <c r="P75" s="100">
        <v>0.28000000000000003</v>
      </c>
      <c r="Q75" s="100">
        <v>9.32</v>
      </c>
      <c r="R75" s="6"/>
      <c r="S75" s="6"/>
      <c r="T75" s="156"/>
      <c r="U75" s="6"/>
    </row>
    <row r="76" spans="1:21" customFormat="1">
      <c r="A76" s="201" t="s">
        <v>2419</v>
      </c>
      <c r="B76" s="100">
        <v>2.41</v>
      </c>
      <c r="C76" s="100">
        <v>7.32</v>
      </c>
      <c r="D76" s="100">
        <v>5.76</v>
      </c>
      <c r="E76" s="100">
        <v>9.5399999999999991</v>
      </c>
      <c r="F76" s="100">
        <v>4.46</v>
      </c>
      <c r="G76" s="100">
        <v>34.31</v>
      </c>
      <c r="H76" s="100">
        <v>20.11</v>
      </c>
      <c r="I76" s="100">
        <v>5.97</v>
      </c>
      <c r="J76" s="100">
        <v>0.24</v>
      </c>
      <c r="K76" s="100">
        <v>95.35</v>
      </c>
      <c r="L76" s="100">
        <v>11.4</v>
      </c>
      <c r="M76" s="100">
        <v>9.6199999999999992</v>
      </c>
      <c r="N76" s="100">
        <v>13.2</v>
      </c>
      <c r="O76" s="100">
        <v>0</v>
      </c>
      <c r="P76" s="100">
        <v>0.28999999999999998</v>
      </c>
      <c r="Q76" s="100">
        <v>9.32</v>
      </c>
      <c r="R76" s="6"/>
      <c r="S76" s="6"/>
      <c r="T76" s="156"/>
      <c r="U76" s="6"/>
    </row>
    <row r="77" spans="1:21" customFormat="1">
      <c r="A77" s="201" t="s">
        <v>2420</v>
      </c>
      <c r="B77" s="100">
        <v>2.34</v>
      </c>
      <c r="C77" s="100">
        <v>7.01</v>
      </c>
      <c r="D77" s="100">
        <v>5.54</v>
      </c>
      <c r="E77" s="100">
        <v>8.02</v>
      </c>
      <c r="F77" s="100">
        <v>10.01</v>
      </c>
      <c r="G77" s="100">
        <v>34.31</v>
      </c>
      <c r="H77" s="100">
        <v>20.11</v>
      </c>
      <c r="I77" s="100">
        <v>5.97</v>
      </c>
      <c r="J77" s="100">
        <v>0.28000000000000003</v>
      </c>
      <c r="K77" s="100">
        <v>143.77000000000001</v>
      </c>
      <c r="L77" s="100">
        <v>14.3</v>
      </c>
      <c r="M77" s="100">
        <v>17.84</v>
      </c>
      <c r="N77" s="100">
        <v>8.8000000000000007</v>
      </c>
      <c r="O77" s="100">
        <v>0</v>
      </c>
      <c r="P77" s="100">
        <v>0.28999999999999998</v>
      </c>
      <c r="Q77" s="100">
        <v>9.32</v>
      </c>
      <c r="R77" s="6"/>
      <c r="S77" s="6"/>
      <c r="T77" s="156"/>
      <c r="U77" s="6"/>
    </row>
    <row r="78" spans="1:21" customFormat="1">
      <c r="A78" s="201" t="s">
        <v>2421</v>
      </c>
      <c r="B78" s="100">
        <v>2.29</v>
      </c>
      <c r="C78" s="100">
        <v>6.43</v>
      </c>
      <c r="D78" s="100">
        <v>5.2</v>
      </c>
      <c r="E78" s="100">
        <v>7.45</v>
      </c>
      <c r="F78" s="100">
        <v>6.32</v>
      </c>
      <c r="G78" s="100">
        <v>34.31</v>
      </c>
      <c r="H78" s="100">
        <v>20.11</v>
      </c>
      <c r="I78" s="100">
        <v>5.97</v>
      </c>
      <c r="J78" s="100">
        <v>0.17</v>
      </c>
      <c r="K78" s="100">
        <v>144.65</v>
      </c>
      <c r="L78" s="100">
        <v>14.06</v>
      </c>
      <c r="M78" s="100">
        <v>17.260000000000002</v>
      </c>
      <c r="N78" s="100">
        <v>4.8</v>
      </c>
      <c r="O78" s="100">
        <v>0</v>
      </c>
      <c r="P78" s="100">
        <v>0.27</v>
      </c>
      <c r="Q78" s="100">
        <v>9.32</v>
      </c>
      <c r="R78" s="6"/>
      <c r="S78" s="6"/>
      <c r="T78" s="156"/>
      <c r="U78" s="6"/>
    </row>
    <row r="79" spans="1:21" customFormat="1">
      <c r="A79" s="201" t="s">
        <v>2422</v>
      </c>
      <c r="B79" s="100">
        <v>2.39</v>
      </c>
      <c r="C79" s="100">
        <v>7.23</v>
      </c>
      <c r="D79" s="100">
        <v>5.69</v>
      </c>
      <c r="E79" s="100">
        <v>7.19</v>
      </c>
      <c r="F79" s="100">
        <v>7.22</v>
      </c>
      <c r="G79" s="100">
        <v>34.57</v>
      </c>
      <c r="H79" s="100">
        <v>20.100000000000001</v>
      </c>
      <c r="I79" s="100">
        <v>5.97</v>
      </c>
      <c r="J79" s="100">
        <v>0.17</v>
      </c>
      <c r="K79" s="100">
        <v>135.59</v>
      </c>
      <c r="L79" s="100">
        <v>13.43</v>
      </c>
      <c r="M79" s="100">
        <v>15.79</v>
      </c>
      <c r="N79" s="100">
        <v>3.1</v>
      </c>
      <c r="O79" s="100">
        <v>0</v>
      </c>
      <c r="P79" s="100">
        <v>0.3</v>
      </c>
      <c r="Q79" s="100">
        <v>9.32</v>
      </c>
      <c r="R79" s="6"/>
      <c r="S79" s="6"/>
      <c r="T79" s="156"/>
      <c r="U79" s="6"/>
    </row>
    <row r="80" spans="1:21" customFormat="1">
      <c r="A80" s="201" t="s">
        <v>2423</v>
      </c>
      <c r="B80" s="100">
        <v>2.59</v>
      </c>
      <c r="C80" s="100">
        <v>8.4499999999999993</v>
      </c>
      <c r="D80" s="100">
        <v>6.49</v>
      </c>
      <c r="E80" s="100">
        <v>7.5</v>
      </c>
      <c r="F80" s="100">
        <v>3.55</v>
      </c>
      <c r="G80" s="100">
        <v>42.07</v>
      </c>
      <c r="H80" s="100">
        <v>19.77</v>
      </c>
      <c r="I80" s="100">
        <v>5.97</v>
      </c>
      <c r="J80" s="100">
        <v>0.15</v>
      </c>
      <c r="K80" s="100">
        <v>117.24</v>
      </c>
      <c r="L80" s="100">
        <v>12.32</v>
      </c>
      <c r="M80" s="100">
        <v>12.9</v>
      </c>
      <c r="N80" s="100">
        <v>2.4</v>
      </c>
      <c r="O80" s="100">
        <v>0</v>
      </c>
      <c r="P80" s="100">
        <v>0.31</v>
      </c>
      <c r="Q80" s="100">
        <v>9.32</v>
      </c>
      <c r="R80" s="6"/>
      <c r="S80" s="6"/>
      <c r="T80" s="156"/>
      <c r="U80" s="6"/>
    </row>
    <row r="81" spans="1:21" customFormat="1">
      <c r="A81" s="201" t="s">
        <v>2424</v>
      </c>
      <c r="B81" s="100">
        <v>2.68</v>
      </c>
      <c r="C81" s="100">
        <v>8.31</v>
      </c>
      <c r="D81" s="100">
        <v>6.49</v>
      </c>
      <c r="E81" s="100">
        <v>6.45</v>
      </c>
      <c r="F81" s="100">
        <v>2.0099999999999998</v>
      </c>
      <c r="G81" s="100">
        <v>42.07</v>
      </c>
      <c r="H81" s="100">
        <v>19.77</v>
      </c>
      <c r="I81" s="100">
        <v>5.97</v>
      </c>
      <c r="J81" s="100">
        <v>0.15</v>
      </c>
      <c r="K81" s="100">
        <v>130.16999999999999</v>
      </c>
      <c r="L81" s="100">
        <v>13.25</v>
      </c>
      <c r="M81" s="100">
        <v>15.32</v>
      </c>
      <c r="N81" s="100">
        <v>2.4</v>
      </c>
      <c r="O81" s="100">
        <v>0</v>
      </c>
      <c r="P81" s="100">
        <v>0.31</v>
      </c>
      <c r="Q81" s="100">
        <v>9.32</v>
      </c>
      <c r="R81" s="6"/>
      <c r="S81" s="6"/>
      <c r="T81" s="156"/>
      <c r="U81" s="6"/>
    </row>
    <row r="82" spans="1:21" customFormat="1">
      <c r="A82" s="201" t="s">
        <v>2425</v>
      </c>
      <c r="B82" s="100">
        <v>2.74</v>
      </c>
      <c r="C82" s="100">
        <v>9.09</v>
      </c>
      <c r="D82" s="100">
        <v>6.94</v>
      </c>
      <c r="E82" s="100">
        <v>7.28</v>
      </c>
      <c r="F82" s="100">
        <v>2</v>
      </c>
      <c r="G82" s="100">
        <v>42.07</v>
      </c>
      <c r="H82" s="100">
        <v>19.77</v>
      </c>
      <c r="I82" s="100">
        <v>5.97</v>
      </c>
      <c r="J82" s="100">
        <v>0.18</v>
      </c>
      <c r="K82" s="100">
        <v>142.35</v>
      </c>
      <c r="L82" s="100">
        <v>13.77</v>
      </c>
      <c r="M82" s="100">
        <v>16.649999999999999</v>
      </c>
      <c r="N82" s="100">
        <v>2.2999999999999998</v>
      </c>
      <c r="O82" s="100">
        <v>0</v>
      </c>
      <c r="P82" s="100">
        <v>0.32</v>
      </c>
      <c r="Q82" s="100">
        <v>9.32</v>
      </c>
      <c r="R82" s="6"/>
      <c r="S82" s="6"/>
      <c r="T82" s="156"/>
      <c r="U82" s="6"/>
    </row>
    <row r="83" spans="1:21" customFormat="1">
      <c r="A83" s="201" t="s">
        <v>2426</v>
      </c>
      <c r="B83" s="100">
        <v>2.95</v>
      </c>
      <c r="C83" s="100">
        <v>7.45</v>
      </c>
      <c r="D83" s="100">
        <v>6.26</v>
      </c>
      <c r="E83" s="100">
        <v>7.07</v>
      </c>
      <c r="F83" s="100">
        <v>2</v>
      </c>
      <c r="G83" s="100">
        <v>42.11</v>
      </c>
      <c r="H83" s="100">
        <v>19.84</v>
      </c>
      <c r="I83" s="100">
        <v>5.97</v>
      </c>
      <c r="J83" s="100">
        <v>0.15</v>
      </c>
      <c r="K83" s="100">
        <v>132.53</v>
      </c>
      <c r="L83" s="100">
        <v>13.64</v>
      </c>
      <c r="M83" s="100">
        <v>16.37</v>
      </c>
      <c r="N83" s="100">
        <v>2.2999999999999998</v>
      </c>
      <c r="O83" s="100">
        <v>0</v>
      </c>
      <c r="P83" s="100">
        <v>0.32</v>
      </c>
      <c r="Q83" s="100">
        <v>9.32</v>
      </c>
      <c r="R83" s="6"/>
      <c r="S83" s="6"/>
      <c r="T83" s="156"/>
      <c r="U83" s="6"/>
    </row>
    <row r="84" spans="1:21" customFormat="1">
      <c r="A84" s="201" t="s">
        <v>2427</v>
      </c>
      <c r="B84" s="100">
        <v>3.02</v>
      </c>
      <c r="C84" s="100">
        <v>7.49</v>
      </c>
      <c r="D84" s="100">
        <v>6.34</v>
      </c>
      <c r="E84" s="100">
        <v>7.15</v>
      </c>
      <c r="F84" s="100">
        <v>2</v>
      </c>
      <c r="G84" s="100">
        <v>43.23</v>
      </c>
      <c r="H84" s="100">
        <v>22.08</v>
      </c>
      <c r="I84" s="100">
        <v>5.97</v>
      </c>
      <c r="J84" s="100">
        <v>0.16</v>
      </c>
      <c r="K84" s="100">
        <v>136.25</v>
      </c>
      <c r="L84" s="100">
        <v>13.87</v>
      </c>
      <c r="M84" s="100">
        <v>16.93</v>
      </c>
      <c r="N84" s="100">
        <v>2.2000000000000002</v>
      </c>
      <c r="O84" s="100">
        <v>0</v>
      </c>
      <c r="P84" s="100">
        <v>0.34</v>
      </c>
      <c r="Q84" s="100">
        <v>9.32</v>
      </c>
      <c r="R84" s="6"/>
      <c r="S84" s="6"/>
      <c r="T84" s="156"/>
      <c r="U84" s="6"/>
    </row>
    <row r="85" spans="1:21" customFormat="1">
      <c r="A85" s="201" t="s">
        <v>2428</v>
      </c>
      <c r="B85" s="100">
        <v>3.03</v>
      </c>
      <c r="C85" s="100">
        <v>7.22</v>
      </c>
      <c r="D85" s="100">
        <v>6.2</v>
      </c>
      <c r="E85" s="100">
        <v>7.17</v>
      </c>
      <c r="F85" s="100">
        <v>2</v>
      </c>
      <c r="G85" s="100">
        <v>43.23</v>
      </c>
      <c r="H85" s="100">
        <v>22.08</v>
      </c>
      <c r="I85" s="100">
        <v>5.97</v>
      </c>
      <c r="J85" s="100">
        <v>0.18</v>
      </c>
      <c r="K85" s="100">
        <v>138.06</v>
      </c>
      <c r="L85" s="100">
        <v>13.43</v>
      </c>
      <c r="M85" s="100">
        <v>15.76</v>
      </c>
      <c r="N85" s="100">
        <v>2.2000000000000002</v>
      </c>
      <c r="O85" s="100">
        <v>0</v>
      </c>
      <c r="P85" s="100">
        <v>0.34</v>
      </c>
      <c r="Q85" s="100">
        <v>9.32</v>
      </c>
      <c r="R85" s="6"/>
      <c r="S85" s="6"/>
      <c r="T85" s="156"/>
      <c r="U85" s="6"/>
    </row>
    <row r="86" spans="1:21" customFormat="1">
      <c r="A86" s="201" t="s">
        <v>2429</v>
      </c>
      <c r="B86" s="100">
        <v>3.06</v>
      </c>
      <c r="C86" s="100">
        <v>7.22</v>
      </c>
      <c r="D86" s="100">
        <v>6.22</v>
      </c>
      <c r="E86" s="100">
        <v>7.18</v>
      </c>
      <c r="F86" s="100">
        <v>2</v>
      </c>
      <c r="G86" s="100">
        <v>43.23</v>
      </c>
      <c r="H86" s="100">
        <v>22.08</v>
      </c>
      <c r="I86" s="100">
        <v>5.97</v>
      </c>
      <c r="J86" s="100">
        <v>0.2</v>
      </c>
      <c r="K86" s="100">
        <v>136.62</v>
      </c>
      <c r="L86" s="100">
        <v>13.5</v>
      </c>
      <c r="M86" s="100">
        <v>15.97</v>
      </c>
      <c r="N86" s="100">
        <v>2.2000000000000002</v>
      </c>
      <c r="O86" s="100">
        <v>0</v>
      </c>
      <c r="P86" s="100">
        <v>0.35</v>
      </c>
      <c r="Q86" s="100">
        <v>9.32</v>
      </c>
      <c r="R86" s="6"/>
      <c r="S86" s="6"/>
      <c r="T86" s="156"/>
      <c r="U86" s="6"/>
    </row>
    <row r="87" spans="1:21" customFormat="1">
      <c r="A87" s="201" t="s">
        <v>2430</v>
      </c>
      <c r="B87" s="100">
        <v>3.09</v>
      </c>
      <c r="C87" s="100">
        <v>7.06</v>
      </c>
      <c r="D87" s="100">
        <v>6.16</v>
      </c>
      <c r="E87" s="100">
        <v>7.33</v>
      </c>
      <c r="F87" s="100">
        <v>2</v>
      </c>
      <c r="G87" s="100">
        <v>43.72</v>
      </c>
      <c r="H87" s="100">
        <v>22.36</v>
      </c>
      <c r="I87" s="100">
        <v>5.97</v>
      </c>
      <c r="J87" s="100">
        <v>0.17</v>
      </c>
      <c r="K87" s="100">
        <v>154.06</v>
      </c>
      <c r="L87" s="100">
        <v>15.09</v>
      </c>
      <c r="M87" s="100">
        <v>20.02</v>
      </c>
      <c r="N87" s="100">
        <v>2.5</v>
      </c>
      <c r="O87" s="100">
        <v>0</v>
      </c>
      <c r="P87" s="100">
        <v>0.36</v>
      </c>
      <c r="Q87" s="100">
        <v>9.32</v>
      </c>
      <c r="R87" s="6"/>
      <c r="S87" s="6"/>
      <c r="T87" s="156"/>
      <c r="U87" s="6"/>
    </row>
    <row r="88" spans="1:21" customFormat="1">
      <c r="A88" s="201" t="s">
        <v>2431</v>
      </c>
      <c r="B88" s="100">
        <v>3.11</v>
      </c>
      <c r="C88" s="100">
        <v>6.98</v>
      </c>
      <c r="D88" s="100">
        <v>6.14</v>
      </c>
      <c r="E88" s="100">
        <v>7.15</v>
      </c>
      <c r="F88" s="100">
        <v>2</v>
      </c>
      <c r="G88" s="100">
        <v>57.85</v>
      </c>
      <c r="H88" s="100">
        <v>31.35</v>
      </c>
      <c r="I88" s="100">
        <v>5.97</v>
      </c>
      <c r="J88" s="100">
        <v>0.15</v>
      </c>
      <c r="K88" s="100">
        <v>78.040000000000006</v>
      </c>
      <c r="L88" s="100">
        <v>11.94</v>
      </c>
      <c r="M88" s="100">
        <v>11.98</v>
      </c>
      <c r="N88" s="100">
        <v>2.2000000000000002</v>
      </c>
      <c r="O88" s="100">
        <v>0</v>
      </c>
      <c r="P88" s="100">
        <v>0.37</v>
      </c>
      <c r="Q88" s="100">
        <v>9.32</v>
      </c>
      <c r="R88" s="6"/>
      <c r="S88" s="6"/>
      <c r="T88" s="156"/>
      <c r="U88" s="6"/>
    </row>
    <row r="89" spans="1:21" customFormat="1">
      <c r="A89" s="201" t="s">
        <v>2432</v>
      </c>
      <c r="B89" s="100">
        <v>3.23</v>
      </c>
      <c r="C89" s="100">
        <v>7.2</v>
      </c>
      <c r="D89" s="100">
        <v>6.35</v>
      </c>
      <c r="E89" s="100">
        <v>7.02</v>
      </c>
      <c r="F89" s="100">
        <v>2</v>
      </c>
      <c r="G89" s="100">
        <v>57.85</v>
      </c>
      <c r="H89" s="100">
        <v>31.35</v>
      </c>
      <c r="I89" s="100">
        <v>5.97</v>
      </c>
      <c r="J89" s="100">
        <v>0.22</v>
      </c>
      <c r="K89" s="100">
        <v>55.04</v>
      </c>
      <c r="L89" s="100">
        <v>7.35</v>
      </c>
      <c r="M89" s="100">
        <v>0.34</v>
      </c>
      <c r="N89" s="100">
        <v>2</v>
      </c>
      <c r="O89" s="100">
        <v>0</v>
      </c>
      <c r="P89" s="100">
        <v>0.37</v>
      </c>
      <c r="Q89" s="100">
        <v>9.35</v>
      </c>
      <c r="R89" s="6"/>
      <c r="S89" s="6"/>
      <c r="T89" s="156"/>
      <c r="U89" s="6"/>
    </row>
    <row r="90" spans="1:21" customFormat="1">
      <c r="A90" s="201" t="s">
        <v>2433</v>
      </c>
      <c r="B90" s="100">
        <v>3.4</v>
      </c>
      <c r="C90" s="100">
        <v>7.49</v>
      </c>
      <c r="D90" s="100">
        <v>6.64</v>
      </c>
      <c r="E90" s="100">
        <v>7.44</v>
      </c>
      <c r="F90" s="100">
        <v>2</v>
      </c>
      <c r="G90" s="100">
        <v>57.85</v>
      </c>
      <c r="H90" s="100">
        <v>31.35</v>
      </c>
      <c r="I90" s="100">
        <v>5.97</v>
      </c>
      <c r="J90" s="100">
        <v>0.18</v>
      </c>
      <c r="K90" s="100">
        <v>80.13</v>
      </c>
      <c r="L90" s="100">
        <v>11.4</v>
      </c>
      <c r="M90" s="100">
        <v>10.56</v>
      </c>
      <c r="N90" s="100">
        <v>2.2000000000000002</v>
      </c>
      <c r="O90" s="100">
        <v>0</v>
      </c>
      <c r="P90" s="100">
        <v>0.37</v>
      </c>
      <c r="Q90" s="100">
        <v>9.32</v>
      </c>
      <c r="R90" s="6"/>
      <c r="S90" s="6"/>
      <c r="T90" s="156"/>
      <c r="U90" s="6"/>
    </row>
    <row r="91" spans="1:21" customFormat="1">
      <c r="A91" s="201" t="s">
        <v>2434</v>
      </c>
      <c r="B91" s="100">
        <v>3.48</v>
      </c>
      <c r="C91" s="100">
        <v>7.36</v>
      </c>
      <c r="D91" s="100">
        <v>6.63</v>
      </c>
      <c r="E91" s="100">
        <v>7.18</v>
      </c>
      <c r="F91" s="100">
        <v>2</v>
      </c>
      <c r="G91" s="100">
        <v>58.33</v>
      </c>
      <c r="H91" s="100">
        <v>31.65</v>
      </c>
      <c r="I91" s="100">
        <v>5.97</v>
      </c>
      <c r="J91" s="100">
        <v>0.18</v>
      </c>
      <c r="K91" s="100">
        <v>129.44999999999999</v>
      </c>
      <c r="L91" s="100">
        <v>13.11</v>
      </c>
      <c r="M91" s="100">
        <v>15.04</v>
      </c>
      <c r="N91" s="100">
        <v>2.2000000000000002</v>
      </c>
      <c r="O91" s="100">
        <v>0</v>
      </c>
      <c r="P91" s="100">
        <v>0.37</v>
      </c>
      <c r="Q91" s="100">
        <v>9.32</v>
      </c>
      <c r="R91" s="6"/>
      <c r="S91" s="6"/>
      <c r="T91" s="156"/>
      <c r="U91" s="6"/>
    </row>
    <row r="92" spans="1:21" customFormat="1">
      <c r="A92" s="201" t="s">
        <v>2435</v>
      </c>
      <c r="B92" s="100">
        <v>3.55</v>
      </c>
      <c r="C92" s="100">
        <v>7.14</v>
      </c>
      <c r="D92" s="100">
        <v>6.58</v>
      </c>
      <c r="E92" s="100">
        <v>7.2</v>
      </c>
      <c r="F92" s="100">
        <v>2</v>
      </c>
      <c r="G92" s="100">
        <v>72.400000000000006</v>
      </c>
      <c r="H92" s="100">
        <v>41.18</v>
      </c>
      <c r="I92" s="100">
        <v>5.97</v>
      </c>
      <c r="J92" s="100">
        <v>0.19</v>
      </c>
      <c r="K92" s="100">
        <v>149.36000000000001</v>
      </c>
      <c r="L92" s="100">
        <v>15.17</v>
      </c>
      <c r="M92" s="100">
        <v>20.27</v>
      </c>
      <c r="N92" s="100">
        <v>2.6</v>
      </c>
      <c r="O92" s="100">
        <v>0</v>
      </c>
      <c r="P92" s="100">
        <v>0.38</v>
      </c>
      <c r="Q92" s="100">
        <v>9.32</v>
      </c>
      <c r="R92" s="6"/>
      <c r="S92" s="6"/>
      <c r="T92" s="156"/>
      <c r="U92" s="6"/>
    </row>
    <row r="93" spans="1:21" customFormat="1">
      <c r="A93" s="201" t="s">
        <v>2436</v>
      </c>
      <c r="B93" s="100">
        <v>3.56</v>
      </c>
      <c r="C93" s="100">
        <v>6.95</v>
      </c>
      <c r="D93" s="100">
        <v>6.49</v>
      </c>
      <c r="E93" s="100">
        <v>7.41</v>
      </c>
      <c r="F93" s="100">
        <v>2</v>
      </c>
      <c r="G93" s="100">
        <v>72.400000000000006</v>
      </c>
      <c r="H93" s="100">
        <v>41.18</v>
      </c>
      <c r="I93" s="100">
        <v>5.97</v>
      </c>
      <c r="J93" s="100">
        <v>0.2</v>
      </c>
      <c r="K93" s="100">
        <v>174.59</v>
      </c>
      <c r="L93" s="100">
        <v>16.829999999999998</v>
      </c>
      <c r="M93" s="100">
        <v>24.4</v>
      </c>
      <c r="N93" s="100">
        <v>2.5</v>
      </c>
      <c r="O93" s="100">
        <v>0</v>
      </c>
      <c r="P93" s="100">
        <v>0.38</v>
      </c>
      <c r="Q93" s="100">
        <v>9.32</v>
      </c>
      <c r="R93" s="6"/>
      <c r="S93" s="6"/>
      <c r="T93" s="156"/>
      <c r="U93" s="6"/>
    </row>
    <row r="94" spans="1:21" customFormat="1">
      <c r="A94" s="201" t="s">
        <v>2437</v>
      </c>
      <c r="B94" s="100">
        <v>3.55</v>
      </c>
      <c r="C94" s="100">
        <v>6.87</v>
      </c>
      <c r="D94" s="100">
        <v>6.43</v>
      </c>
      <c r="E94" s="100">
        <v>7.01</v>
      </c>
      <c r="F94" s="100">
        <v>2</v>
      </c>
      <c r="G94" s="100">
        <v>72.400000000000006</v>
      </c>
      <c r="H94" s="100">
        <v>41.18</v>
      </c>
      <c r="I94" s="100">
        <v>5.97</v>
      </c>
      <c r="J94" s="100">
        <v>0.15</v>
      </c>
      <c r="K94" s="100">
        <v>186.08</v>
      </c>
      <c r="L94" s="100">
        <v>17.48</v>
      </c>
      <c r="M94" s="100">
        <v>26.06</v>
      </c>
      <c r="N94" s="100">
        <v>2.2999999999999998</v>
      </c>
      <c r="O94" s="100">
        <v>0</v>
      </c>
      <c r="P94" s="100">
        <v>0.39</v>
      </c>
      <c r="Q94" s="100">
        <v>9.32</v>
      </c>
      <c r="R94" s="6"/>
      <c r="S94" s="6"/>
      <c r="T94" s="156"/>
      <c r="U94" s="6"/>
    </row>
    <row r="95" spans="1:21" customFormat="1">
      <c r="A95" s="201" t="s">
        <v>2438</v>
      </c>
      <c r="B95" s="100">
        <v>3.54</v>
      </c>
      <c r="C95" s="100">
        <v>6.72</v>
      </c>
      <c r="D95" s="100">
        <v>6.35</v>
      </c>
      <c r="E95" s="100">
        <v>6.94</v>
      </c>
      <c r="F95" s="100">
        <v>2</v>
      </c>
      <c r="G95" s="100">
        <v>72.42</v>
      </c>
      <c r="H95" s="100">
        <v>41.14</v>
      </c>
      <c r="I95" s="100">
        <v>5.97</v>
      </c>
      <c r="J95" s="100">
        <v>0.17</v>
      </c>
      <c r="K95" s="100">
        <v>177.78</v>
      </c>
      <c r="L95" s="100">
        <v>17.350000000000001</v>
      </c>
      <c r="M95" s="100">
        <v>25.7</v>
      </c>
      <c r="N95" s="100">
        <v>2.1</v>
      </c>
      <c r="O95" s="100">
        <v>0</v>
      </c>
      <c r="P95" s="100">
        <v>0.38</v>
      </c>
      <c r="Q95" s="100">
        <v>9.32</v>
      </c>
      <c r="R95" s="6"/>
      <c r="S95" s="6"/>
      <c r="T95" s="156"/>
      <c r="U95" s="6"/>
    </row>
    <row r="96" spans="1:21" customFormat="1">
      <c r="A96" s="201" t="s">
        <v>2439</v>
      </c>
      <c r="B96" s="100">
        <v>3.54</v>
      </c>
      <c r="C96" s="100">
        <v>6.58</v>
      </c>
      <c r="D96" s="100">
        <v>6.28</v>
      </c>
      <c r="E96" s="100">
        <v>7.3</v>
      </c>
      <c r="F96" s="100">
        <v>2</v>
      </c>
      <c r="G96" s="100">
        <v>73.08</v>
      </c>
      <c r="H96" s="100">
        <v>39.92</v>
      </c>
      <c r="I96" s="100">
        <v>5.97</v>
      </c>
      <c r="J96" s="100">
        <v>0.1</v>
      </c>
      <c r="K96" s="100">
        <v>196.22</v>
      </c>
      <c r="L96" s="100">
        <v>18.16</v>
      </c>
      <c r="M96" s="100">
        <v>27.73</v>
      </c>
      <c r="N96" s="100">
        <v>2.1</v>
      </c>
      <c r="O96" s="100">
        <v>0</v>
      </c>
      <c r="P96" s="100">
        <v>0.38</v>
      </c>
      <c r="Q96" s="100">
        <v>9.32</v>
      </c>
      <c r="R96" s="6"/>
      <c r="S96" s="6"/>
      <c r="T96" s="156"/>
      <c r="U96" s="6"/>
    </row>
    <row r="97" spans="1:28" customFormat="1">
      <c r="A97" s="201" t="s">
        <v>2440</v>
      </c>
      <c r="B97" s="100">
        <v>3.54</v>
      </c>
      <c r="C97" s="100">
        <v>6.52</v>
      </c>
      <c r="D97" s="100">
        <v>6.25</v>
      </c>
      <c r="E97" s="100">
        <v>7.26</v>
      </c>
      <c r="F97" s="100">
        <v>2</v>
      </c>
      <c r="G97" s="100">
        <v>73.08</v>
      </c>
      <c r="H97" s="100">
        <v>39.92</v>
      </c>
      <c r="I97" s="100">
        <v>5.97</v>
      </c>
      <c r="J97" s="100">
        <v>0.15</v>
      </c>
      <c r="K97" s="100">
        <v>176.38</v>
      </c>
      <c r="L97" s="100">
        <v>16.84</v>
      </c>
      <c r="M97" s="100">
        <v>24.41</v>
      </c>
      <c r="N97" s="100">
        <v>2.1</v>
      </c>
      <c r="O97" s="100">
        <v>0</v>
      </c>
      <c r="P97" s="100">
        <v>0.38</v>
      </c>
      <c r="Q97" s="100">
        <v>9.32</v>
      </c>
      <c r="R97" s="6"/>
      <c r="S97" s="6"/>
      <c r="T97" s="156"/>
      <c r="U97" s="6"/>
    </row>
    <row r="98" spans="1:28" customFormat="1">
      <c r="A98" s="201" t="s">
        <v>2441</v>
      </c>
      <c r="B98" s="100">
        <v>3.57</v>
      </c>
      <c r="C98" s="100">
        <v>6.41</v>
      </c>
      <c r="D98" s="100">
        <v>6.22</v>
      </c>
      <c r="E98" s="100">
        <v>7.43</v>
      </c>
      <c r="F98" s="100">
        <v>2</v>
      </c>
      <c r="G98" s="100">
        <v>73.08</v>
      </c>
      <c r="H98" s="100">
        <v>39.92</v>
      </c>
      <c r="I98" s="100">
        <v>5.97</v>
      </c>
      <c r="J98" s="100">
        <v>0.13</v>
      </c>
      <c r="K98" s="100">
        <v>144.47999999999999</v>
      </c>
      <c r="L98" s="100">
        <v>14.24</v>
      </c>
      <c r="M98" s="100">
        <v>17.89</v>
      </c>
      <c r="N98" s="100">
        <v>2.1</v>
      </c>
      <c r="O98" s="100">
        <v>0</v>
      </c>
      <c r="P98" s="100">
        <v>0.38</v>
      </c>
      <c r="Q98" s="100">
        <v>9.32</v>
      </c>
      <c r="R98" s="6"/>
      <c r="S98" s="6"/>
      <c r="T98" s="156"/>
      <c r="U98" s="6"/>
    </row>
    <row r="99" spans="1:28" customFormat="1">
      <c r="A99" s="201" t="s">
        <v>2442</v>
      </c>
      <c r="B99" s="100">
        <v>3.54</v>
      </c>
      <c r="C99" s="100">
        <v>6.35</v>
      </c>
      <c r="D99" s="100">
        <v>6.16</v>
      </c>
      <c r="E99" s="100">
        <v>7.28</v>
      </c>
      <c r="F99" s="100">
        <v>2</v>
      </c>
      <c r="G99" s="100">
        <v>73.06</v>
      </c>
      <c r="H99" s="100">
        <v>39.840000000000003</v>
      </c>
      <c r="I99" s="100">
        <v>5.97</v>
      </c>
      <c r="J99" s="100">
        <v>0.14000000000000001</v>
      </c>
      <c r="K99" s="100">
        <v>142.37</v>
      </c>
      <c r="L99" s="100">
        <v>13.86</v>
      </c>
      <c r="M99" s="100">
        <v>16.91</v>
      </c>
      <c r="N99" s="100">
        <v>2.1</v>
      </c>
      <c r="O99" s="100">
        <v>0</v>
      </c>
      <c r="P99" s="100">
        <v>0.38</v>
      </c>
      <c r="Q99" s="100">
        <v>9.32</v>
      </c>
      <c r="R99" s="6"/>
      <c r="S99" s="6"/>
      <c r="T99" s="156"/>
      <c r="U99" s="6"/>
    </row>
    <row r="100" spans="1:28" customFormat="1">
      <c r="A100" s="201" t="s">
        <v>2443</v>
      </c>
      <c r="B100" s="100">
        <v>3.56</v>
      </c>
      <c r="C100" s="100">
        <v>6.44</v>
      </c>
      <c r="D100" s="100">
        <v>6.22</v>
      </c>
      <c r="E100" s="100">
        <v>7.37</v>
      </c>
      <c r="F100" s="100">
        <v>2</v>
      </c>
      <c r="G100" s="100">
        <v>72.59</v>
      </c>
      <c r="H100" s="100">
        <v>37.1</v>
      </c>
      <c r="I100" s="100">
        <v>5.97</v>
      </c>
      <c r="J100" s="100">
        <v>0.13</v>
      </c>
      <c r="K100" s="100">
        <v>178.46</v>
      </c>
      <c r="L100" s="100">
        <v>17.16</v>
      </c>
      <c r="M100" s="100">
        <v>25.22</v>
      </c>
      <c r="N100" s="100">
        <v>2.1</v>
      </c>
      <c r="O100" s="100">
        <v>0</v>
      </c>
      <c r="P100" s="100">
        <v>0.39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2444</v>
      </c>
      <c r="B101" s="100">
        <v>3.59</v>
      </c>
      <c r="C101" s="100">
        <v>6.53</v>
      </c>
      <c r="D101" s="100">
        <v>6.29</v>
      </c>
      <c r="E101" s="100">
        <v>7.32</v>
      </c>
      <c r="F101" s="100">
        <v>2</v>
      </c>
      <c r="G101" s="100">
        <v>72.59</v>
      </c>
      <c r="H101" s="100">
        <v>37.1</v>
      </c>
      <c r="I101" s="100">
        <v>5.97</v>
      </c>
      <c r="J101" s="100">
        <v>0.09</v>
      </c>
      <c r="K101" s="100">
        <v>181.91</v>
      </c>
      <c r="L101" s="100">
        <v>17.43</v>
      </c>
      <c r="M101" s="100">
        <v>25.91</v>
      </c>
      <c r="N101" s="100">
        <v>2.1</v>
      </c>
      <c r="O101" s="100">
        <v>0</v>
      </c>
      <c r="P101" s="100">
        <v>0.38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2445</v>
      </c>
      <c r="B102" s="100">
        <v>3.58</v>
      </c>
      <c r="C102" s="100">
        <v>6.64</v>
      </c>
      <c r="D102" s="100">
        <v>6.34</v>
      </c>
      <c r="E102" s="100">
        <v>7.36</v>
      </c>
      <c r="F102" s="100">
        <v>2</v>
      </c>
      <c r="G102" s="100">
        <v>72.59</v>
      </c>
      <c r="H102" s="100">
        <v>37.1</v>
      </c>
      <c r="I102" s="100">
        <v>5.97</v>
      </c>
      <c r="J102" s="100">
        <v>0.14000000000000001</v>
      </c>
      <c r="K102" s="100">
        <v>188.94</v>
      </c>
      <c r="L102" s="100">
        <v>17.37</v>
      </c>
      <c r="M102" s="100">
        <v>25.75</v>
      </c>
      <c r="N102" s="100">
        <v>2.1</v>
      </c>
      <c r="O102" s="100">
        <v>0</v>
      </c>
      <c r="P102" s="100">
        <v>0.39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2446</v>
      </c>
      <c r="B103" s="100">
        <v>3.6</v>
      </c>
      <c r="C103" s="100">
        <v>6.6</v>
      </c>
      <c r="D103" s="100">
        <v>6.34</v>
      </c>
      <c r="E103" s="100">
        <v>7.21</v>
      </c>
      <c r="F103" s="100">
        <v>2</v>
      </c>
      <c r="G103" s="100">
        <v>72.540000000000006</v>
      </c>
      <c r="H103" s="100">
        <v>37.08</v>
      </c>
      <c r="I103" s="100">
        <v>5.97</v>
      </c>
      <c r="J103" s="100">
        <v>0.11</v>
      </c>
      <c r="K103" s="100">
        <v>197.98</v>
      </c>
      <c r="L103" s="100">
        <v>18.579999999999998</v>
      </c>
      <c r="M103" s="100">
        <v>28.79</v>
      </c>
      <c r="N103" s="100">
        <v>2.1</v>
      </c>
      <c r="O103" s="100">
        <v>0</v>
      </c>
      <c r="P103" s="100">
        <v>0.38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2447</v>
      </c>
      <c r="B104" s="100">
        <v>3.73</v>
      </c>
      <c r="C104" s="100">
        <v>6.32</v>
      </c>
      <c r="D104" s="100">
        <v>6.3</v>
      </c>
      <c r="E104" s="100">
        <v>6.99</v>
      </c>
      <c r="F104" s="100">
        <v>2</v>
      </c>
      <c r="G104" s="100">
        <v>71.2</v>
      </c>
      <c r="H104" s="100">
        <v>36.619999999999997</v>
      </c>
      <c r="I104" s="100">
        <v>5.97</v>
      </c>
      <c r="J104" s="100">
        <v>0.13</v>
      </c>
      <c r="K104" s="100">
        <v>162.16999999999999</v>
      </c>
      <c r="L104" s="100">
        <v>15.73</v>
      </c>
      <c r="M104" s="100">
        <v>21.55</v>
      </c>
      <c r="N104" s="100">
        <v>2.1</v>
      </c>
      <c r="O104" s="100">
        <v>0</v>
      </c>
      <c r="P104" s="100">
        <v>0.36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2.09</v>
      </c>
      <c r="C106" s="158">
        <f>MIN(C9:C104)</f>
        <v>6.06</v>
      </c>
      <c r="D106" s="158">
        <f t="shared" ref="D106:Q106" si="0">MIN(D9:D104)</f>
        <v>4.96</v>
      </c>
      <c r="E106" s="158">
        <f t="shared" si="0"/>
        <v>4.03</v>
      </c>
      <c r="F106" s="158">
        <f t="shared" si="0"/>
        <v>2</v>
      </c>
      <c r="G106" s="158">
        <f t="shared" si="0"/>
        <v>34.31</v>
      </c>
      <c r="H106" s="158">
        <f t="shared" si="0"/>
        <v>18.38</v>
      </c>
      <c r="I106" s="158">
        <f t="shared" si="0"/>
        <v>5.76</v>
      </c>
      <c r="J106" s="158">
        <f t="shared" si="0"/>
        <v>0.03</v>
      </c>
      <c r="K106" s="158">
        <f t="shared" si="0"/>
        <v>19.53</v>
      </c>
      <c r="L106" s="158">
        <f t="shared" si="0"/>
        <v>6.51</v>
      </c>
      <c r="M106" s="158">
        <f t="shared" si="0"/>
        <v>-1.84</v>
      </c>
      <c r="N106" s="158">
        <f t="shared" si="0"/>
        <v>2</v>
      </c>
      <c r="O106" s="158">
        <f t="shared" si="0"/>
        <v>0</v>
      </c>
      <c r="P106" s="158">
        <f t="shared" si="0"/>
        <v>0.27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5.59</v>
      </c>
      <c r="C107" s="157">
        <f t="shared" ref="C107:Q107" si="1">MAX(C9:C104)</f>
        <v>9.09</v>
      </c>
      <c r="D107" s="157">
        <f t="shared" si="1"/>
        <v>8.06</v>
      </c>
      <c r="E107" s="157">
        <f t="shared" si="1"/>
        <v>10.29</v>
      </c>
      <c r="F107" s="157">
        <f t="shared" si="1"/>
        <v>11.2</v>
      </c>
      <c r="G107" s="157">
        <f t="shared" si="1"/>
        <v>80.48</v>
      </c>
      <c r="H107" s="157">
        <f t="shared" si="1"/>
        <v>41.7</v>
      </c>
      <c r="I107" s="157">
        <f t="shared" si="1"/>
        <v>6.79</v>
      </c>
      <c r="J107" s="157">
        <f t="shared" si="1"/>
        <v>0.67</v>
      </c>
      <c r="K107" s="157">
        <f t="shared" si="1"/>
        <v>197.98</v>
      </c>
      <c r="L107" s="157">
        <f t="shared" si="1"/>
        <v>19.43</v>
      </c>
      <c r="M107" s="157">
        <f t="shared" si="1"/>
        <v>28.79</v>
      </c>
      <c r="N107" s="157">
        <f t="shared" si="1"/>
        <v>670.5</v>
      </c>
      <c r="O107" s="157">
        <f t="shared" si="1"/>
        <v>0</v>
      </c>
      <c r="P107" s="157">
        <f t="shared" si="1"/>
        <v>0.41</v>
      </c>
      <c r="Q107" s="157">
        <f t="shared" si="1"/>
        <v>9.35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3.4516666666666667</v>
      </c>
      <c r="C108" s="158">
        <f t="shared" ref="C108:Q108" si="2">AVERAGE(C9:C104)</f>
        <v>6.857187500000002</v>
      </c>
      <c r="D108" s="158">
        <f t="shared" si="2"/>
        <v>6.3501041666666653</v>
      </c>
      <c r="E108" s="158">
        <f t="shared" si="2"/>
        <v>6.3062499999999995</v>
      </c>
      <c r="F108" s="158">
        <f t="shared" si="2"/>
        <v>2.8722916666666669</v>
      </c>
      <c r="G108" s="158">
        <f t="shared" si="2"/>
        <v>60.862916666666649</v>
      </c>
      <c r="H108" s="158">
        <f t="shared" si="2"/>
        <v>31.883229166666663</v>
      </c>
      <c r="I108" s="158">
        <f t="shared" si="2"/>
        <v>6.0401041666666826</v>
      </c>
      <c r="J108" s="158">
        <f t="shared" si="2"/>
        <v>0.25322916666666662</v>
      </c>
      <c r="K108" s="158">
        <f t="shared" si="2"/>
        <v>103.51562499999999</v>
      </c>
      <c r="L108" s="158">
        <f t="shared" si="2"/>
        <v>13.394062499999997</v>
      </c>
      <c r="M108" s="158">
        <f t="shared" si="2"/>
        <v>12.259479166666665</v>
      </c>
      <c r="N108" s="158">
        <f t="shared" si="2"/>
        <v>144.10833333333332</v>
      </c>
      <c r="O108" s="158">
        <f t="shared" si="2"/>
        <v>0</v>
      </c>
      <c r="P108" s="158">
        <f t="shared" si="2"/>
        <v>0.35552083333333329</v>
      </c>
      <c r="Q108" s="158">
        <f t="shared" si="2"/>
        <v>9.3203125000000178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1.0117006699681643</v>
      </c>
      <c r="C109" s="158">
        <f t="shared" ref="C109:Q109" si="3">STDEV(C9:C104)</f>
        <v>0.49469757507943551</v>
      </c>
      <c r="D109" s="158">
        <f t="shared" si="3"/>
        <v>0.86045213915241647</v>
      </c>
      <c r="E109" s="158">
        <f t="shared" si="3"/>
        <v>1.1503722509646543</v>
      </c>
      <c r="F109" s="158">
        <f t="shared" si="3"/>
        <v>2.2412278022109904</v>
      </c>
      <c r="G109" s="158">
        <f t="shared" si="3"/>
        <v>14.482377161419821</v>
      </c>
      <c r="H109" s="158">
        <f t="shared" si="3"/>
        <v>7.7008454074235075</v>
      </c>
      <c r="I109" s="158">
        <f t="shared" si="3"/>
        <v>0.22554959679422015</v>
      </c>
      <c r="J109" s="158">
        <f t="shared" si="3"/>
        <v>0.13008899619039485</v>
      </c>
      <c r="K109" s="158">
        <f t="shared" si="3"/>
        <v>49.524906457309626</v>
      </c>
      <c r="L109" s="158">
        <f t="shared" si="3"/>
        <v>3.4488245375474751</v>
      </c>
      <c r="M109" s="158">
        <f t="shared" si="3"/>
        <v>8.0892744284335425</v>
      </c>
      <c r="N109" s="158">
        <f t="shared" si="3"/>
        <v>227.59851709195334</v>
      </c>
      <c r="O109" s="158">
        <f t="shared" si="3"/>
        <v>0</v>
      </c>
      <c r="P109" s="158">
        <f t="shared" si="3"/>
        <v>3.7016917659125771E-2</v>
      </c>
      <c r="Q109" s="158">
        <f t="shared" si="3"/>
        <v>3.0618621784789077E-3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1" activePane="bottomRight" state="frozen"/>
      <selection pane="topRight"/>
      <selection pane="bottomLeft"/>
      <selection pane="bottomRight" activeCell="K112" sqref="K1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2448</v>
      </c>
      <c r="B9" s="100">
        <v>3.89</v>
      </c>
      <c r="C9" s="100">
        <v>6.11</v>
      </c>
      <c r="D9" s="100">
        <v>6.31</v>
      </c>
      <c r="E9" s="100">
        <v>7.29</v>
      </c>
      <c r="F9" s="100">
        <v>2</v>
      </c>
      <c r="G9" s="100">
        <v>71.2</v>
      </c>
      <c r="H9" s="100">
        <v>36.619999999999997</v>
      </c>
      <c r="I9" s="100">
        <v>2.36</v>
      </c>
      <c r="J9" s="100">
        <v>0.09</v>
      </c>
      <c r="K9" s="100">
        <v>199.34</v>
      </c>
      <c r="L9" s="100">
        <v>19.04</v>
      </c>
      <c r="M9" s="100">
        <v>29.85</v>
      </c>
      <c r="N9" s="100">
        <v>2.1</v>
      </c>
      <c r="O9" s="100">
        <v>0</v>
      </c>
      <c r="P9" s="100">
        <v>0.37</v>
      </c>
      <c r="Q9" s="100">
        <v>9.32</v>
      </c>
      <c r="R9" s="6"/>
      <c r="S9" s="6"/>
      <c r="T9" s="156"/>
      <c r="U9" s="6"/>
    </row>
    <row r="10" spans="1:21" customFormat="1">
      <c r="A10" s="201" t="s">
        <v>2449</v>
      </c>
      <c r="B10" s="100">
        <v>3.99</v>
      </c>
      <c r="C10" s="100">
        <v>6.06</v>
      </c>
      <c r="D10" s="100">
        <v>6.37</v>
      </c>
      <c r="E10" s="100">
        <v>7.08</v>
      </c>
      <c r="F10" s="100">
        <v>2</v>
      </c>
      <c r="G10" s="100">
        <v>71.2</v>
      </c>
      <c r="H10" s="100">
        <v>36.619999999999997</v>
      </c>
      <c r="I10" s="100">
        <v>2.35</v>
      </c>
      <c r="J10" s="100">
        <v>0.14000000000000001</v>
      </c>
      <c r="K10" s="100">
        <v>207.58</v>
      </c>
      <c r="L10" s="100">
        <v>19.09</v>
      </c>
      <c r="M10" s="100">
        <v>29.97</v>
      </c>
      <c r="N10" s="100">
        <v>2.1</v>
      </c>
      <c r="O10" s="100">
        <v>0</v>
      </c>
      <c r="P10" s="100">
        <v>0.36</v>
      </c>
      <c r="Q10" s="100">
        <v>9.32</v>
      </c>
      <c r="R10" s="6"/>
      <c r="S10" s="6"/>
      <c r="T10" s="156"/>
      <c r="U10" s="6"/>
    </row>
    <row r="11" spans="1:21" customFormat="1">
      <c r="A11" s="201" t="s">
        <v>2450</v>
      </c>
      <c r="B11" s="100">
        <v>4.13</v>
      </c>
      <c r="C11" s="100">
        <v>6.05</v>
      </c>
      <c r="D11" s="100">
        <v>6.47</v>
      </c>
      <c r="E11" s="100">
        <v>6.85</v>
      </c>
      <c r="F11" s="100">
        <v>2</v>
      </c>
      <c r="G11" s="100">
        <v>70.760000000000005</v>
      </c>
      <c r="H11" s="100">
        <v>36.5</v>
      </c>
      <c r="I11" s="100">
        <v>2.36</v>
      </c>
      <c r="J11" s="100">
        <v>0.12</v>
      </c>
      <c r="K11" s="100">
        <v>148.12</v>
      </c>
      <c r="L11" s="100">
        <v>15.06</v>
      </c>
      <c r="M11" s="100">
        <v>19.89</v>
      </c>
      <c r="N11" s="100">
        <v>2</v>
      </c>
      <c r="O11" s="100">
        <v>0</v>
      </c>
      <c r="P11" s="100">
        <v>0.36</v>
      </c>
      <c r="Q11" s="100">
        <v>9.32</v>
      </c>
      <c r="R11" s="6"/>
      <c r="S11" s="6"/>
      <c r="T11" s="156"/>
      <c r="U11" s="6"/>
    </row>
    <row r="12" spans="1:21" customFormat="1">
      <c r="A12" s="201" t="s">
        <v>2451</v>
      </c>
      <c r="B12" s="100">
        <v>4.25</v>
      </c>
      <c r="C12" s="100">
        <v>6</v>
      </c>
      <c r="D12" s="100">
        <v>6.55</v>
      </c>
      <c r="E12" s="100">
        <v>6.6</v>
      </c>
      <c r="F12" s="100">
        <v>2</v>
      </c>
      <c r="G12" s="100">
        <v>58.01</v>
      </c>
      <c r="H12" s="100">
        <v>32.729999999999997</v>
      </c>
      <c r="I12" s="100">
        <v>2.35</v>
      </c>
      <c r="J12" s="100">
        <v>0.09</v>
      </c>
      <c r="K12" s="100">
        <v>187.52</v>
      </c>
      <c r="L12" s="100">
        <v>16.84</v>
      </c>
      <c r="M12" s="100">
        <v>24.26</v>
      </c>
      <c r="N12" s="100">
        <v>2.1</v>
      </c>
      <c r="O12" s="100">
        <v>0</v>
      </c>
      <c r="P12" s="100">
        <v>0.35</v>
      </c>
      <c r="Q12" s="100">
        <v>9.32</v>
      </c>
      <c r="R12" s="6"/>
      <c r="S12" s="6"/>
      <c r="T12" s="156"/>
      <c r="U12" s="6"/>
    </row>
    <row r="13" spans="1:21" customFormat="1">
      <c r="A13" s="201" t="s">
        <v>2452</v>
      </c>
      <c r="B13" s="100">
        <v>4.76</v>
      </c>
      <c r="C13" s="100">
        <v>6.28</v>
      </c>
      <c r="D13" s="100">
        <v>7.1</v>
      </c>
      <c r="E13" s="100">
        <v>7.07</v>
      </c>
      <c r="F13" s="100">
        <v>2</v>
      </c>
      <c r="G13" s="100">
        <v>58.01</v>
      </c>
      <c r="H13" s="100">
        <v>32.729999999999997</v>
      </c>
      <c r="I13" s="100">
        <v>2.36</v>
      </c>
      <c r="J13" s="100">
        <v>0.01</v>
      </c>
      <c r="K13" s="100">
        <v>267</v>
      </c>
      <c r="L13" s="100">
        <v>23.43</v>
      </c>
      <c r="M13" s="100">
        <v>40.64</v>
      </c>
      <c r="N13" s="100">
        <v>2</v>
      </c>
      <c r="O13" s="100">
        <v>0</v>
      </c>
      <c r="P13" s="100">
        <v>0.36</v>
      </c>
      <c r="Q13" s="100">
        <v>9.32</v>
      </c>
      <c r="R13" s="6"/>
      <c r="S13" s="6"/>
      <c r="T13" s="156"/>
      <c r="U13" s="6"/>
    </row>
    <row r="14" spans="1:21" customFormat="1">
      <c r="A14" s="201" t="s">
        <v>2453</v>
      </c>
      <c r="B14" s="100">
        <v>5.16</v>
      </c>
      <c r="C14" s="100">
        <v>6.34</v>
      </c>
      <c r="D14" s="100">
        <v>7.45</v>
      </c>
      <c r="E14" s="100">
        <v>6.77</v>
      </c>
      <c r="F14" s="100">
        <v>2</v>
      </c>
      <c r="G14" s="100">
        <v>58.01</v>
      </c>
      <c r="H14" s="100">
        <v>32.729999999999997</v>
      </c>
      <c r="I14" s="100">
        <v>3.25</v>
      </c>
      <c r="J14" s="100">
        <v>0.12</v>
      </c>
      <c r="K14" s="100">
        <v>145.88999999999999</v>
      </c>
      <c r="L14" s="100">
        <v>14</v>
      </c>
      <c r="M14" s="100">
        <v>17.190000000000001</v>
      </c>
      <c r="N14" s="100">
        <v>2</v>
      </c>
      <c r="O14" s="100">
        <v>0</v>
      </c>
      <c r="P14" s="100">
        <v>0.37</v>
      </c>
      <c r="Q14" s="100">
        <v>9.32</v>
      </c>
      <c r="R14" s="6"/>
      <c r="S14" s="6"/>
      <c r="T14" s="156"/>
      <c r="U14" s="6"/>
    </row>
    <row r="15" spans="1:21" customFormat="1">
      <c r="A15" s="201" t="s">
        <v>2454</v>
      </c>
      <c r="B15" s="100">
        <v>5.43</v>
      </c>
      <c r="C15" s="100">
        <v>6.35</v>
      </c>
      <c r="D15" s="100">
        <v>7.67</v>
      </c>
      <c r="E15" s="100">
        <v>6.66</v>
      </c>
      <c r="F15" s="100">
        <v>2</v>
      </c>
      <c r="G15" s="100">
        <v>57.84</v>
      </c>
      <c r="H15" s="100">
        <v>32.65</v>
      </c>
      <c r="I15" s="100">
        <v>3.25</v>
      </c>
      <c r="J15" s="100">
        <v>0.08</v>
      </c>
      <c r="K15" s="100">
        <v>167.76</v>
      </c>
      <c r="L15" s="100">
        <v>16.09</v>
      </c>
      <c r="M15" s="100">
        <v>22.52</v>
      </c>
      <c r="N15" s="100">
        <v>2.1</v>
      </c>
      <c r="O15" s="100">
        <v>0</v>
      </c>
      <c r="P15" s="100">
        <v>0.37</v>
      </c>
      <c r="Q15" s="100">
        <v>9.32</v>
      </c>
      <c r="R15" s="6"/>
      <c r="S15" s="6"/>
      <c r="T15" s="156"/>
      <c r="U15" s="6"/>
    </row>
    <row r="16" spans="1:21" customFormat="1">
      <c r="A16" s="201" t="s">
        <v>2455</v>
      </c>
      <c r="B16" s="100">
        <v>5.72</v>
      </c>
      <c r="C16" s="100">
        <v>6.4</v>
      </c>
      <c r="D16" s="100">
        <v>7.93</v>
      </c>
      <c r="E16" s="100">
        <v>6.8</v>
      </c>
      <c r="F16" s="100">
        <v>2</v>
      </c>
      <c r="G16" s="100">
        <v>52.92</v>
      </c>
      <c r="H16" s="100">
        <v>30.03</v>
      </c>
      <c r="I16" s="100">
        <v>3.25</v>
      </c>
      <c r="J16" s="100">
        <v>0.06</v>
      </c>
      <c r="K16" s="100">
        <v>86.66</v>
      </c>
      <c r="L16" s="100">
        <v>9.92</v>
      </c>
      <c r="M16" s="100">
        <v>6.89</v>
      </c>
      <c r="N16" s="100">
        <v>2</v>
      </c>
      <c r="O16" s="100">
        <v>0</v>
      </c>
      <c r="P16" s="100">
        <v>0.37</v>
      </c>
      <c r="Q16" s="100">
        <v>9.32</v>
      </c>
      <c r="R16" s="6"/>
      <c r="S16" s="6"/>
      <c r="T16" s="156"/>
      <c r="U16" s="6"/>
    </row>
    <row r="17" spans="1:21" customFormat="1">
      <c r="A17" s="201" t="s">
        <v>2456</v>
      </c>
      <c r="B17" s="100">
        <v>6.08</v>
      </c>
      <c r="C17" s="100">
        <v>6.47</v>
      </c>
      <c r="D17" s="100">
        <v>8.26</v>
      </c>
      <c r="E17" s="100">
        <v>5.42</v>
      </c>
      <c r="F17" s="100">
        <v>2</v>
      </c>
      <c r="G17" s="100">
        <v>52.92</v>
      </c>
      <c r="H17" s="100">
        <v>30.03</v>
      </c>
      <c r="I17" s="100">
        <v>3.25</v>
      </c>
      <c r="J17" s="100">
        <v>0.15</v>
      </c>
      <c r="K17" s="100">
        <v>60.13</v>
      </c>
      <c r="L17" s="100">
        <v>8.1999999999999993</v>
      </c>
      <c r="M17" s="100">
        <v>2.5099999999999998</v>
      </c>
      <c r="N17" s="100">
        <v>2.1</v>
      </c>
      <c r="O17" s="100">
        <v>0</v>
      </c>
      <c r="P17" s="100">
        <v>0.36</v>
      </c>
      <c r="Q17" s="100">
        <v>9.32</v>
      </c>
      <c r="R17" s="6"/>
      <c r="S17" s="6"/>
      <c r="T17" s="156"/>
      <c r="U17" s="6"/>
    </row>
    <row r="18" spans="1:21" customFormat="1">
      <c r="A18" s="201" t="s">
        <v>2457</v>
      </c>
      <c r="B18" s="100">
        <v>6.36</v>
      </c>
      <c r="C18" s="100">
        <v>6.59</v>
      </c>
      <c r="D18" s="100">
        <v>8.5399999999999991</v>
      </c>
      <c r="E18" s="100">
        <v>6.61</v>
      </c>
      <c r="F18" s="100">
        <v>2</v>
      </c>
      <c r="G18" s="100">
        <v>52.92</v>
      </c>
      <c r="H18" s="100">
        <v>30.03</v>
      </c>
      <c r="I18" s="100">
        <v>3.25</v>
      </c>
      <c r="J18" s="100">
        <v>0.12</v>
      </c>
      <c r="K18" s="100">
        <v>130.56</v>
      </c>
      <c r="L18" s="100">
        <v>12.5</v>
      </c>
      <c r="M18" s="100">
        <v>13.43</v>
      </c>
      <c r="N18" s="100">
        <v>2.1</v>
      </c>
      <c r="O18" s="100">
        <v>0</v>
      </c>
      <c r="P18" s="100">
        <v>0.38</v>
      </c>
      <c r="Q18" s="100">
        <v>9.32</v>
      </c>
      <c r="R18" s="6"/>
      <c r="S18" s="6"/>
      <c r="T18" s="156"/>
      <c r="U18" s="6"/>
    </row>
    <row r="19" spans="1:21" customFormat="1">
      <c r="A19" s="201" t="s">
        <v>2458</v>
      </c>
      <c r="B19" s="100">
        <v>6.51</v>
      </c>
      <c r="C19" s="100">
        <v>6.54</v>
      </c>
      <c r="D19" s="100">
        <v>8.64</v>
      </c>
      <c r="E19" s="100">
        <v>6.9</v>
      </c>
      <c r="F19" s="100">
        <v>2</v>
      </c>
      <c r="G19" s="100">
        <v>52.89</v>
      </c>
      <c r="H19" s="100">
        <v>29.99</v>
      </c>
      <c r="I19" s="100">
        <v>3.25</v>
      </c>
      <c r="J19" s="100">
        <v>7.0000000000000007E-2</v>
      </c>
      <c r="K19" s="100">
        <v>150.36000000000001</v>
      </c>
      <c r="L19" s="100">
        <v>14.56</v>
      </c>
      <c r="M19" s="100">
        <v>18.71</v>
      </c>
      <c r="N19" s="100">
        <v>2.1</v>
      </c>
      <c r="O19" s="100">
        <v>0</v>
      </c>
      <c r="P19" s="100">
        <v>0.37</v>
      </c>
      <c r="Q19" s="100">
        <v>9.32</v>
      </c>
      <c r="R19" s="6"/>
      <c r="S19" s="6"/>
      <c r="T19" s="156"/>
      <c r="U19" s="6"/>
    </row>
    <row r="20" spans="1:21" customFormat="1">
      <c r="A20" s="201" t="s">
        <v>2459</v>
      </c>
      <c r="B20" s="100">
        <v>6.71</v>
      </c>
      <c r="C20" s="100">
        <v>6.56</v>
      </c>
      <c r="D20" s="100">
        <v>8.81</v>
      </c>
      <c r="E20" s="100">
        <v>6.79</v>
      </c>
      <c r="F20" s="100">
        <v>2</v>
      </c>
      <c r="G20" s="100">
        <v>52.14</v>
      </c>
      <c r="H20" s="100">
        <v>28.89</v>
      </c>
      <c r="I20" s="100">
        <v>3.25</v>
      </c>
      <c r="J20" s="100">
        <v>0.11</v>
      </c>
      <c r="K20" s="100">
        <v>160.52000000000001</v>
      </c>
      <c r="L20" s="100">
        <v>15.83</v>
      </c>
      <c r="M20" s="100">
        <v>21.86</v>
      </c>
      <c r="N20" s="100">
        <v>2.1</v>
      </c>
      <c r="O20" s="100">
        <v>0</v>
      </c>
      <c r="P20" s="100">
        <v>0.37</v>
      </c>
      <c r="Q20" s="100">
        <v>9.32</v>
      </c>
      <c r="R20" s="6"/>
      <c r="S20" s="6"/>
      <c r="T20" s="156"/>
      <c r="U20" s="6"/>
    </row>
    <row r="21" spans="1:21" customFormat="1">
      <c r="A21" s="201" t="s">
        <v>2460</v>
      </c>
      <c r="B21" s="100">
        <v>6.91</v>
      </c>
      <c r="C21" s="100">
        <v>6.58</v>
      </c>
      <c r="D21" s="100">
        <v>8.98</v>
      </c>
      <c r="E21" s="100">
        <v>6.95</v>
      </c>
      <c r="F21" s="100">
        <v>2</v>
      </c>
      <c r="G21" s="100">
        <v>52.14</v>
      </c>
      <c r="H21" s="100">
        <v>28.89</v>
      </c>
      <c r="I21" s="100">
        <v>3.25</v>
      </c>
      <c r="J21" s="100">
        <v>0.12</v>
      </c>
      <c r="K21" s="100">
        <v>119.47</v>
      </c>
      <c r="L21" s="100">
        <v>12.08</v>
      </c>
      <c r="M21" s="100">
        <v>12.41</v>
      </c>
      <c r="N21" s="100">
        <v>2.1</v>
      </c>
      <c r="O21" s="100">
        <v>0</v>
      </c>
      <c r="P21" s="100">
        <v>0.37</v>
      </c>
      <c r="Q21" s="100">
        <v>9.32</v>
      </c>
      <c r="R21" s="6"/>
      <c r="S21" s="6"/>
      <c r="T21" s="156"/>
      <c r="U21" s="6"/>
    </row>
    <row r="22" spans="1:21" customFormat="1">
      <c r="A22" s="201" t="s">
        <v>2461</v>
      </c>
      <c r="B22" s="100">
        <v>7.09</v>
      </c>
      <c r="C22" s="100">
        <v>6.53</v>
      </c>
      <c r="D22" s="100">
        <v>9.1</v>
      </c>
      <c r="E22" s="100">
        <v>6.92</v>
      </c>
      <c r="F22" s="100">
        <v>2</v>
      </c>
      <c r="G22" s="100">
        <v>52.14</v>
      </c>
      <c r="H22" s="100">
        <v>28.89</v>
      </c>
      <c r="I22" s="100">
        <v>3.25</v>
      </c>
      <c r="J22" s="100">
        <v>0.13</v>
      </c>
      <c r="K22" s="100">
        <v>170.86</v>
      </c>
      <c r="L22" s="100">
        <v>16.21</v>
      </c>
      <c r="M22" s="100">
        <v>22.85</v>
      </c>
      <c r="N22" s="100">
        <v>2.1</v>
      </c>
      <c r="O22" s="100">
        <v>0</v>
      </c>
      <c r="P22" s="100">
        <v>0.37</v>
      </c>
      <c r="Q22" s="100">
        <v>9.32</v>
      </c>
      <c r="R22" s="6"/>
      <c r="S22" s="6"/>
      <c r="T22" s="156"/>
      <c r="U22" s="6"/>
    </row>
    <row r="23" spans="1:21" customFormat="1">
      <c r="A23" s="201" t="s">
        <v>2462</v>
      </c>
      <c r="B23" s="100">
        <v>7.3</v>
      </c>
      <c r="C23" s="100">
        <v>6.66</v>
      </c>
      <c r="D23" s="100">
        <v>9.34</v>
      </c>
      <c r="E23" s="100">
        <v>6.93</v>
      </c>
      <c r="F23" s="100">
        <v>2</v>
      </c>
      <c r="G23" s="100">
        <v>52.38</v>
      </c>
      <c r="H23" s="100">
        <v>29.01</v>
      </c>
      <c r="I23" s="100">
        <v>3.25</v>
      </c>
      <c r="J23" s="100">
        <v>0.06</v>
      </c>
      <c r="K23" s="100">
        <v>179.53</v>
      </c>
      <c r="L23" s="100">
        <v>18.63</v>
      </c>
      <c r="M23" s="100">
        <v>28.89</v>
      </c>
      <c r="N23" s="100">
        <v>2.1</v>
      </c>
      <c r="O23" s="100">
        <v>0</v>
      </c>
      <c r="P23" s="100">
        <v>0.37</v>
      </c>
      <c r="Q23" s="100">
        <v>9.32</v>
      </c>
      <c r="R23" s="6"/>
      <c r="S23" s="6"/>
      <c r="T23" s="156"/>
      <c r="U23" s="6"/>
    </row>
    <row r="24" spans="1:21" customFormat="1">
      <c r="A24" s="201" t="s">
        <v>2463</v>
      </c>
      <c r="B24" s="100">
        <v>7.62</v>
      </c>
      <c r="C24" s="100">
        <v>6.76</v>
      </c>
      <c r="D24" s="100">
        <v>9.64</v>
      </c>
      <c r="E24" s="100">
        <v>7.1</v>
      </c>
      <c r="F24" s="100">
        <v>2</v>
      </c>
      <c r="G24" s="100">
        <v>59.47</v>
      </c>
      <c r="H24" s="100">
        <v>32.92</v>
      </c>
      <c r="I24" s="100">
        <v>3.25</v>
      </c>
      <c r="J24" s="100">
        <v>0.12</v>
      </c>
      <c r="K24" s="100">
        <v>112.05</v>
      </c>
      <c r="L24" s="100">
        <v>11.89</v>
      </c>
      <c r="M24" s="100">
        <v>11.89</v>
      </c>
      <c r="N24" s="100">
        <v>2.1</v>
      </c>
      <c r="O24" s="100">
        <v>0</v>
      </c>
      <c r="P24" s="100">
        <v>0.37</v>
      </c>
      <c r="Q24" s="100">
        <v>9.32</v>
      </c>
      <c r="R24" s="6"/>
      <c r="S24" s="6"/>
      <c r="T24" s="156"/>
      <c r="U24" s="6"/>
    </row>
    <row r="25" spans="1:21" customFormat="1">
      <c r="A25" s="201" t="s">
        <v>2464</v>
      </c>
      <c r="B25" s="100">
        <v>7.93</v>
      </c>
      <c r="C25" s="100">
        <v>6.68</v>
      </c>
      <c r="D25" s="100">
        <v>9.85</v>
      </c>
      <c r="E25" s="100">
        <v>7.34</v>
      </c>
      <c r="F25" s="100">
        <v>2</v>
      </c>
      <c r="G25" s="100">
        <v>59.47</v>
      </c>
      <c r="H25" s="100">
        <v>32.92</v>
      </c>
      <c r="I25" s="100">
        <v>3.25</v>
      </c>
      <c r="J25" s="100">
        <v>0.11</v>
      </c>
      <c r="K25" s="100">
        <v>150.30000000000001</v>
      </c>
      <c r="L25" s="100">
        <v>14.53</v>
      </c>
      <c r="M25" s="100">
        <v>18.61</v>
      </c>
      <c r="N25" s="100">
        <v>2</v>
      </c>
      <c r="O25" s="100">
        <v>0</v>
      </c>
      <c r="P25" s="100">
        <v>0.36</v>
      </c>
      <c r="Q25" s="100">
        <v>9.32</v>
      </c>
      <c r="R25" s="6"/>
      <c r="S25" s="6"/>
      <c r="T25" s="156"/>
      <c r="U25" s="6"/>
    </row>
    <row r="26" spans="1:21" customFormat="1">
      <c r="A26" s="201" t="s">
        <v>2465</v>
      </c>
      <c r="B26" s="100">
        <v>8.0299999999999994</v>
      </c>
      <c r="C26" s="100">
        <v>6.74</v>
      </c>
      <c r="D26" s="100">
        <v>9.9600000000000009</v>
      </c>
      <c r="E26" s="100">
        <v>7.1</v>
      </c>
      <c r="F26" s="100">
        <v>2</v>
      </c>
      <c r="G26" s="100">
        <v>59.47</v>
      </c>
      <c r="H26" s="100">
        <v>32.92</v>
      </c>
      <c r="I26" s="100">
        <v>3.25</v>
      </c>
      <c r="J26" s="100">
        <v>0.11</v>
      </c>
      <c r="K26" s="100">
        <v>198.09</v>
      </c>
      <c r="L26" s="100">
        <v>18.68</v>
      </c>
      <c r="M26" s="100">
        <v>29.03</v>
      </c>
      <c r="N26" s="100">
        <v>2.1</v>
      </c>
      <c r="O26" s="100">
        <v>0</v>
      </c>
      <c r="P26" s="100">
        <v>0.38</v>
      </c>
      <c r="Q26" s="100">
        <v>9.32</v>
      </c>
      <c r="R26" s="6"/>
      <c r="S26" s="6"/>
      <c r="T26" s="156"/>
      <c r="U26" s="6"/>
    </row>
    <row r="27" spans="1:21" customFormat="1">
      <c r="A27" s="201" t="s">
        <v>2466</v>
      </c>
      <c r="B27" s="100">
        <v>7.91</v>
      </c>
      <c r="C27" s="100">
        <v>6.95</v>
      </c>
      <c r="D27" s="100">
        <v>9.9700000000000006</v>
      </c>
      <c r="E27" s="100">
        <v>7.53</v>
      </c>
      <c r="F27" s="100">
        <v>2</v>
      </c>
      <c r="G27" s="100">
        <v>59.36</v>
      </c>
      <c r="H27" s="100">
        <v>32.880000000000003</v>
      </c>
      <c r="I27" s="100">
        <v>3.25</v>
      </c>
      <c r="J27" s="100">
        <v>0.13</v>
      </c>
      <c r="K27" s="100">
        <v>36.33</v>
      </c>
      <c r="L27" s="100">
        <v>13.6</v>
      </c>
      <c r="M27" s="100">
        <v>16</v>
      </c>
      <c r="N27" s="100">
        <v>2.1</v>
      </c>
      <c r="O27" s="100">
        <v>0</v>
      </c>
      <c r="P27" s="100">
        <v>0.38</v>
      </c>
      <c r="Q27" s="100">
        <v>9.32</v>
      </c>
      <c r="R27" s="6"/>
      <c r="S27" s="6"/>
      <c r="T27" s="156"/>
      <c r="U27" s="6"/>
    </row>
    <row r="28" spans="1:21" customFormat="1">
      <c r="A28" s="201" t="s">
        <v>2467</v>
      </c>
      <c r="B28" s="100">
        <v>7.96</v>
      </c>
      <c r="C28" s="100">
        <v>7.12</v>
      </c>
      <c r="D28" s="100">
        <v>10.1</v>
      </c>
      <c r="E28" s="100">
        <v>7.43</v>
      </c>
      <c r="F28" s="100">
        <v>2</v>
      </c>
      <c r="G28" s="100">
        <v>56.18</v>
      </c>
      <c r="H28" s="100">
        <v>31.69</v>
      </c>
      <c r="I28" s="100">
        <v>3.25</v>
      </c>
      <c r="J28" s="100">
        <v>0.18</v>
      </c>
      <c r="K28" s="100">
        <v>72.069999999999993</v>
      </c>
      <c r="L28" s="100">
        <v>9.07</v>
      </c>
      <c r="M28" s="100">
        <v>4.75</v>
      </c>
      <c r="N28" s="100">
        <v>2</v>
      </c>
      <c r="O28" s="100">
        <v>0</v>
      </c>
      <c r="P28" s="100">
        <v>0.38</v>
      </c>
      <c r="Q28" s="100">
        <v>9.32</v>
      </c>
      <c r="R28" s="6"/>
      <c r="S28" s="6"/>
      <c r="T28" s="156"/>
      <c r="U28" s="6"/>
    </row>
    <row r="29" spans="1:21" customFormat="1">
      <c r="A29" s="201" t="s">
        <v>2468</v>
      </c>
      <c r="B29" s="100">
        <v>8.06</v>
      </c>
      <c r="C29" s="100">
        <v>7.14</v>
      </c>
      <c r="D29" s="100">
        <v>10.19</v>
      </c>
      <c r="E29" s="100">
        <v>7.26</v>
      </c>
      <c r="F29" s="100">
        <v>2</v>
      </c>
      <c r="G29" s="100">
        <v>56.18</v>
      </c>
      <c r="H29" s="100">
        <v>31.69</v>
      </c>
      <c r="I29" s="100">
        <v>3.25</v>
      </c>
      <c r="J29" s="100">
        <v>0.16</v>
      </c>
      <c r="K29" s="100">
        <v>32.08</v>
      </c>
      <c r="L29" s="100">
        <v>10.17</v>
      </c>
      <c r="M29" s="100">
        <v>7.34</v>
      </c>
      <c r="N29" s="100">
        <v>2.1</v>
      </c>
      <c r="O29" s="100">
        <v>0</v>
      </c>
      <c r="P29" s="100">
        <v>0.38</v>
      </c>
      <c r="Q29" s="100">
        <v>9.32</v>
      </c>
      <c r="R29" s="6"/>
      <c r="S29" s="6"/>
      <c r="T29" s="156"/>
      <c r="U29" s="6"/>
    </row>
    <row r="30" spans="1:21" customFormat="1">
      <c r="A30" s="201" t="s">
        <v>2469</v>
      </c>
      <c r="B30" s="100">
        <v>8.08</v>
      </c>
      <c r="C30" s="100">
        <v>7.2</v>
      </c>
      <c r="D30" s="100">
        <v>10.24</v>
      </c>
      <c r="E30" s="100">
        <v>7.48</v>
      </c>
      <c r="F30" s="100">
        <v>2</v>
      </c>
      <c r="G30" s="100">
        <v>56.18</v>
      </c>
      <c r="H30" s="100">
        <v>31.69</v>
      </c>
      <c r="I30" s="100">
        <v>3.25</v>
      </c>
      <c r="J30" s="100">
        <v>0.27</v>
      </c>
      <c r="K30" s="100">
        <v>38.590000000000003</v>
      </c>
      <c r="L30" s="100">
        <v>8.82</v>
      </c>
      <c r="M30" s="100">
        <v>3.89</v>
      </c>
      <c r="N30" s="100">
        <v>2.1</v>
      </c>
      <c r="O30" s="100">
        <v>0</v>
      </c>
      <c r="P30" s="100">
        <v>0.38</v>
      </c>
      <c r="Q30" s="100">
        <v>9.32</v>
      </c>
      <c r="R30" s="6"/>
      <c r="S30" s="6"/>
      <c r="T30" s="156"/>
      <c r="U30" s="6"/>
    </row>
    <row r="31" spans="1:21" customFormat="1">
      <c r="A31" s="201" t="s">
        <v>2470</v>
      </c>
      <c r="B31" s="100">
        <v>8.07</v>
      </c>
      <c r="C31" s="100">
        <v>7.21</v>
      </c>
      <c r="D31" s="100">
        <v>10.24</v>
      </c>
      <c r="E31" s="100">
        <v>7.44</v>
      </c>
      <c r="F31" s="100">
        <v>2</v>
      </c>
      <c r="G31" s="100">
        <v>56.13</v>
      </c>
      <c r="H31" s="100">
        <v>31.63</v>
      </c>
      <c r="I31" s="100">
        <v>3.25</v>
      </c>
      <c r="J31" s="100">
        <v>0.11</v>
      </c>
      <c r="K31" s="100">
        <v>64.09</v>
      </c>
      <c r="L31" s="100">
        <v>9.7100000000000009</v>
      </c>
      <c r="M31" s="100">
        <v>6.27</v>
      </c>
      <c r="N31" s="100">
        <v>2.1</v>
      </c>
      <c r="O31" s="100">
        <v>0</v>
      </c>
      <c r="P31" s="100">
        <v>0.37</v>
      </c>
      <c r="Q31" s="100">
        <v>9.32</v>
      </c>
      <c r="R31" s="6"/>
      <c r="S31" s="6"/>
      <c r="T31" s="156"/>
      <c r="U31" s="6"/>
    </row>
    <row r="32" spans="1:21" customFormat="1">
      <c r="A32" s="201" t="s">
        <v>2471</v>
      </c>
      <c r="B32" s="100">
        <v>8.1</v>
      </c>
      <c r="C32" s="100">
        <v>7.21</v>
      </c>
      <c r="D32" s="100">
        <v>10.27</v>
      </c>
      <c r="E32" s="100">
        <v>7.31</v>
      </c>
      <c r="F32" s="100">
        <v>2</v>
      </c>
      <c r="G32" s="100">
        <v>54.65</v>
      </c>
      <c r="H32" s="100">
        <v>29.72</v>
      </c>
      <c r="I32" s="100">
        <v>3.25</v>
      </c>
      <c r="J32" s="100">
        <v>0.09</v>
      </c>
      <c r="K32" s="100">
        <v>4.4000000000000004</v>
      </c>
      <c r="L32" s="100">
        <v>16.559999999999999</v>
      </c>
      <c r="M32" s="100">
        <v>23.44</v>
      </c>
      <c r="N32" s="100">
        <v>2.7</v>
      </c>
      <c r="O32" s="100">
        <v>0</v>
      </c>
      <c r="P32" s="100">
        <v>0.37</v>
      </c>
      <c r="Q32" s="100">
        <v>9.32</v>
      </c>
      <c r="R32" s="6"/>
      <c r="S32" s="6"/>
      <c r="T32" s="156"/>
      <c r="U32" s="6"/>
    </row>
    <row r="33" spans="1:21" customFormat="1">
      <c r="A33" s="201" t="s">
        <v>2472</v>
      </c>
      <c r="B33" s="100">
        <v>8.18</v>
      </c>
      <c r="C33" s="100">
        <v>7.3</v>
      </c>
      <c r="D33" s="100">
        <v>10.37</v>
      </c>
      <c r="E33" s="100">
        <v>7.53</v>
      </c>
      <c r="F33" s="100">
        <v>2</v>
      </c>
      <c r="G33" s="100">
        <v>54.65</v>
      </c>
      <c r="H33" s="100">
        <v>29.72</v>
      </c>
      <c r="I33" s="100">
        <v>3.25</v>
      </c>
      <c r="J33" s="100">
        <v>0.28000000000000003</v>
      </c>
      <c r="K33" s="100">
        <v>47.77</v>
      </c>
      <c r="L33" s="100">
        <v>10.02</v>
      </c>
      <c r="M33" s="100">
        <v>6.9</v>
      </c>
      <c r="N33" s="100">
        <v>5.2</v>
      </c>
      <c r="O33" s="100">
        <v>0</v>
      </c>
      <c r="P33" s="100">
        <v>0.38</v>
      </c>
      <c r="Q33" s="100">
        <v>9.32</v>
      </c>
      <c r="R33" s="6"/>
      <c r="S33" s="6"/>
      <c r="T33" s="156"/>
      <c r="U33" s="6"/>
    </row>
    <row r="34" spans="1:21" customFormat="1">
      <c r="A34" s="201" t="s">
        <v>2473</v>
      </c>
      <c r="B34" s="100">
        <v>8.1999999999999993</v>
      </c>
      <c r="C34" s="100">
        <v>7.42</v>
      </c>
      <c r="D34" s="100">
        <v>10.45</v>
      </c>
      <c r="E34" s="100">
        <v>7.44</v>
      </c>
      <c r="F34" s="100">
        <v>2</v>
      </c>
      <c r="G34" s="100">
        <v>54.65</v>
      </c>
      <c r="H34" s="100">
        <v>29.72</v>
      </c>
      <c r="I34" s="100">
        <v>3.25</v>
      </c>
      <c r="J34" s="100">
        <v>0.26</v>
      </c>
      <c r="K34" s="100">
        <v>29.18</v>
      </c>
      <c r="L34" s="100">
        <v>7.25</v>
      </c>
      <c r="M34" s="100">
        <v>-0.3</v>
      </c>
      <c r="N34" s="100">
        <v>10.9</v>
      </c>
      <c r="O34" s="100">
        <v>0</v>
      </c>
      <c r="P34" s="100">
        <v>0.39</v>
      </c>
      <c r="Q34" s="100">
        <v>9.32</v>
      </c>
      <c r="R34" s="6"/>
      <c r="S34" s="6"/>
      <c r="T34" s="156"/>
      <c r="U34" s="6"/>
    </row>
    <row r="35" spans="1:21" customFormat="1">
      <c r="A35" s="201" t="s">
        <v>2474</v>
      </c>
      <c r="B35" s="100">
        <v>8.24</v>
      </c>
      <c r="C35" s="100">
        <v>7.46</v>
      </c>
      <c r="D35" s="100">
        <v>10.5</v>
      </c>
      <c r="E35" s="100">
        <v>7.09</v>
      </c>
      <c r="F35" s="100">
        <v>2</v>
      </c>
      <c r="G35" s="100">
        <v>54.69</v>
      </c>
      <c r="H35" s="100">
        <v>29.64</v>
      </c>
      <c r="I35" s="100">
        <v>3.25</v>
      </c>
      <c r="J35" s="100">
        <v>0.25</v>
      </c>
      <c r="K35" s="100">
        <v>49.39</v>
      </c>
      <c r="L35" s="100">
        <v>7.53</v>
      </c>
      <c r="M35" s="100">
        <v>0.36</v>
      </c>
      <c r="N35" s="100">
        <v>19.600000000000001</v>
      </c>
      <c r="O35" s="100">
        <v>0</v>
      </c>
      <c r="P35" s="100">
        <v>0.38</v>
      </c>
      <c r="Q35" s="100">
        <v>9.32</v>
      </c>
      <c r="R35" s="6"/>
      <c r="S35" s="6"/>
      <c r="T35" s="156"/>
      <c r="U35" s="6"/>
    </row>
    <row r="36" spans="1:21" customFormat="1">
      <c r="A36" s="201" t="s">
        <v>2475</v>
      </c>
      <c r="B36" s="100">
        <v>8.2899999999999991</v>
      </c>
      <c r="C36" s="100">
        <v>7.52</v>
      </c>
      <c r="D36" s="100">
        <v>10.57</v>
      </c>
      <c r="E36" s="100">
        <v>7.29</v>
      </c>
      <c r="F36" s="100">
        <v>2</v>
      </c>
      <c r="G36" s="100">
        <v>55.74</v>
      </c>
      <c r="H36" s="100">
        <v>27.08</v>
      </c>
      <c r="I36" s="100">
        <v>3.25</v>
      </c>
      <c r="J36" s="100">
        <v>0.3</v>
      </c>
      <c r="K36" s="100">
        <v>35.75</v>
      </c>
      <c r="L36" s="100">
        <v>7.92</v>
      </c>
      <c r="M36" s="100">
        <v>0.98</v>
      </c>
      <c r="N36" s="100">
        <v>33</v>
      </c>
      <c r="O36" s="100">
        <v>0</v>
      </c>
      <c r="P36" s="100">
        <v>0.39</v>
      </c>
      <c r="Q36" s="100">
        <v>9.32</v>
      </c>
      <c r="R36" s="6"/>
      <c r="S36" s="6"/>
      <c r="T36" s="156"/>
      <c r="U36" s="6"/>
    </row>
    <row r="37" spans="1:21" customFormat="1">
      <c r="A37" s="201" t="s">
        <v>2476</v>
      </c>
      <c r="B37" s="100">
        <v>8.31</v>
      </c>
      <c r="C37" s="100">
        <v>7.61</v>
      </c>
      <c r="D37" s="100">
        <v>10.64</v>
      </c>
      <c r="E37" s="100">
        <v>7.43</v>
      </c>
      <c r="F37" s="100">
        <v>2</v>
      </c>
      <c r="G37" s="100">
        <v>55.74</v>
      </c>
      <c r="H37" s="100">
        <v>27.08</v>
      </c>
      <c r="I37" s="100">
        <v>3.25</v>
      </c>
      <c r="J37" s="100">
        <v>0.61</v>
      </c>
      <c r="K37" s="100">
        <v>34.35</v>
      </c>
      <c r="L37" s="100">
        <v>6.16</v>
      </c>
      <c r="M37" s="100">
        <v>-3.79</v>
      </c>
      <c r="N37" s="100">
        <v>45.8</v>
      </c>
      <c r="O37" s="100">
        <v>0</v>
      </c>
      <c r="P37" s="100">
        <v>0.38</v>
      </c>
      <c r="Q37" s="100">
        <v>9.32</v>
      </c>
      <c r="R37" s="6"/>
      <c r="S37" s="6"/>
      <c r="T37" s="156"/>
      <c r="U37" s="6"/>
    </row>
    <row r="38" spans="1:21" customFormat="1">
      <c r="A38" s="201" t="s">
        <v>2477</v>
      </c>
      <c r="B38" s="100">
        <v>8.1999999999999993</v>
      </c>
      <c r="C38" s="100">
        <v>7.7</v>
      </c>
      <c r="D38" s="100">
        <v>10.6</v>
      </c>
      <c r="E38" s="100">
        <v>7.34</v>
      </c>
      <c r="F38" s="100">
        <v>2</v>
      </c>
      <c r="G38" s="100">
        <v>55.74</v>
      </c>
      <c r="H38" s="100">
        <v>27.08</v>
      </c>
      <c r="I38" s="100">
        <v>3.25</v>
      </c>
      <c r="J38" s="100">
        <v>0.49</v>
      </c>
      <c r="K38" s="100">
        <v>46.33</v>
      </c>
      <c r="L38" s="100">
        <v>7.55</v>
      </c>
      <c r="M38" s="100">
        <v>-0.51</v>
      </c>
      <c r="N38" s="100">
        <v>57.9</v>
      </c>
      <c r="O38" s="100">
        <v>0</v>
      </c>
      <c r="P38" s="100">
        <v>0.39</v>
      </c>
      <c r="Q38" s="100">
        <v>9.42</v>
      </c>
      <c r="R38" s="6"/>
      <c r="S38" s="6"/>
      <c r="T38" s="156"/>
      <c r="U38" s="6"/>
    </row>
    <row r="39" spans="1:21" customFormat="1">
      <c r="A39" s="201" t="s">
        <v>2478</v>
      </c>
      <c r="B39" s="100">
        <v>7.93</v>
      </c>
      <c r="C39" s="100">
        <v>7.74</v>
      </c>
      <c r="D39" s="100">
        <v>10.4</v>
      </c>
      <c r="E39" s="100">
        <v>7.68</v>
      </c>
      <c r="F39" s="100">
        <v>2</v>
      </c>
      <c r="G39" s="100">
        <v>55.93</v>
      </c>
      <c r="H39" s="100">
        <v>27.21</v>
      </c>
      <c r="I39" s="100">
        <v>3.25</v>
      </c>
      <c r="J39" s="100">
        <v>0.41</v>
      </c>
      <c r="K39" s="100">
        <v>44.93</v>
      </c>
      <c r="L39" s="100">
        <v>8.74</v>
      </c>
      <c r="M39" s="100">
        <v>1.31</v>
      </c>
      <c r="N39" s="100">
        <v>106.7</v>
      </c>
      <c r="O39" s="100">
        <v>0</v>
      </c>
      <c r="P39" s="100">
        <v>0.39</v>
      </c>
      <c r="Q39" s="100">
        <v>9.32</v>
      </c>
      <c r="R39" s="6"/>
      <c r="S39" s="6"/>
      <c r="T39" s="156"/>
      <c r="U39" s="6"/>
    </row>
    <row r="40" spans="1:21" customFormat="1">
      <c r="A40" s="201" t="s">
        <v>2479</v>
      </c>
      <c r="B40" s="100">
        <v>7.55</v>
      </c>
      <c r="C40" s="100">
        <v>7.82</v>
      </c>
      <c r="D40" s="100">
        <v>10.14</v>
      </c>
      <c r="E40" s="100">
        <v>7.92</v>
      </c>
      <c r="F40" s="100">
        <v>2</v>
      </c>
      <c r="G40" s="100">
        <v>61.42</v>
      </c>
      <c r="H40" s="100">
        <v>31.56</v>
      </c>
      <c r="I40" s="100">
        <v>3.25</v>
      </c>
      <c r="J40" s="100">
        <v>0.45</v>
      </c>
      <c r="K40" s="100">
        <v>49.97</v>
      </c>
      <c r="L40" s="100">
        <v>10.23</v>
      </c>
      <c r="M40" s="100">
        <v>2.88</v>
      </c>
      <c r="N40" s="100">
        <v>201.5</v>
      </c>
      <c r="O40" s="100">
        <v>0</v>
      </c>
      <c r="P40" s="100">
        <v>0.39</v>
      </c>
      <c r="Q40" s="100">
        <v>9.32</v>
      </c>
      <c r="R40" s="6"/>
      <c r="S40" s="6"/>
      <c r="T40" s="156"/>
      <c r="U40" s="6"/>
    </row>
    <row r="41" spans="1:21" customFormat="1">
      <c r="A41" s="201" t="s">
        <v>2480</v>
      </c>
      <c r="B41" s="100">
        <v>7</v>
      </c>
      <c r="C41" s="100">
        <v>7.95</v>
      </c>
      <c r="D41" s="100">
        <v>9.77</v>
      </c>
      <c r="E41" s="100">
        <v>7.66</v>
      </c>
      <c r="F41" s="100">
        <v>2</v>
      </c>
      <c r="G41" s="100">
        <v>61.42</v>
      </c>
      <c r="H41" s="100">
        <v>31.56</v>
      </c>
      <c r="I41" s="100">
        <v>3.25</v>
      </c>
      <c r="J41" s="100">
        <v>0.4</v>
      </c>
      <c r="K41" s="100">
        <v>65.349999999999994</v>
      </c>
      <c r="L41" s="100">
        <v>12.1</v>
      </c>
      <c r="M41" s="100">
        <v>6.07</v>
      </c>
      <c r="N41" s="100">
        <v>247.5</v>
      </c>
      <c r="O41" s="100">
        <v>0</v>
      </c>
      <c r="P41" s="100">
        <v>0.4</v>
      </c>
      <c r="Q41" s="100">
        <v>9.32</v>
      </c>
      <c r="R41" s="6"/>
      <c r="S41" s="6"/>
      <c r="T41" s="156"/>
      <c r="U41" s="6"/>
    </row>
    <row r="42" spans="1:21" customFormat="1">
      <c r="A42" s="201" t="s">
        <v>2481</v>
      </c>
      <c r="B42" s="100">
        <v>6.36</v>
      </c>
      <c r="C42" s="100">
        <v>7.97</v>
      </c>
      <c r="D42" s="100">
        <v>9.27</v>
      </c>
      <c r="E42" s="100">
        <v>7.52</v>
      </c>
      <c r="F42" s="100">
        <v>2</v>
      </c>
      <c r="G42" s="100">
        <v>61.42</v>
      </c>
      <c r="H42" s="100">
        <v>31.56</v>
      </c>
      <c r="I42" s="100">
        <v>3.25</v>
      </c>
      <c r="J42" s="100">
        <v>0.33</v>
      </c>
      <c r="K42" s="100">
        <v>77.33</v>
      </c>
      <c r="L42" s="100">
        <v>12.89</v>
      </c>
      <c r="M42" s="100">
        <v>7.29</v>
      </c>
      <c r="N42" s="100">
        <v>298.7</v>
      </c>
      <c r="O42" s="100">
        <v>0</v>
      </c>
      <c r="P42" s="100">
        <v>0.39</v>
      </c>
      <c r="Q42" s="100">
        <v>9.32</v>
      </c>
      <c r="R42" s="6"/>
      <c r="S42" s="6"/>
      <c r="T42" s="156"/>
      <c r="U42" s="6"/>
    </row>
    <row r="43" spans="1:21" customFormat="1">
      <c r="A43" s="201" t="s">
        <v>2482</v>
      </c>
      <c r="B43" s="100">
        <v>5.66</v>
      </c>
      <c r="C43" s="100">
        <v>8.06</v>
      </c>
      <c r="D43" s="100">
        <v>8.75</v>
      </c>
      <c r="E43" s="100">
        <v>7.48</v>
      </c>
      <c r="F43" s="100">
        <v>2</v>
      </c>
      <c r="G43" s="100">
        <v>61.36</v>
      </c>
      <c r="H43" s="100">
        <v>31.67</v>
      </c>
      <c r="I43" s="100">
        <v>3.25</v>
      </c>
      <c r="J43" s="100">
        <v>0.3</v>
      </c>
      <c r="K43" s="100">
        <v>65.44</v>
      </c>
      <c r="L43" s="100">
        <v>13.02</v>
      </c>
      <c r="M43" s="100">
        <v>6.74</v>
      </c>
      <c r="N43" s="100">
        <v>336.9</v>
      </c>
      <c r="O43" s="100">
        <v>0</v>
      </c>
      <c r="P43" s="100">
        <v>0.39</v>
      </c>
      <c r="Q43" s="100">
        <v>9.32</v>
      </c>
      <c r="R43" s="6"/>
      <c r="S43" s="6"/>
      <c r="T43" s="156"/>
      <c r="U43" s="6"/>
    </row>
    <row r="44" spans="1:21" customFormat="1">
      <c r="A44" s="201" t="s">
        <v>2483</v>
      </c>
      <c r="B44" s="100">
        <v>5.0999999999999996</v>
      </c>
      <c r="C44" s="100">
        <v>8.16</v>
      </c>
      <c r="D44" s="100">
        <v>8.35</v>
      </c>
      <c r="E44" s="100">
        <v>7.55</v>
      </c>
      <c r="F44" s="100">
        <v>2</v>
      </c>
      <c r="G44" s="100">
        <v>59.53</v>
      </c>
      <c r="H44" s="100">
        <v>35.22</v>
      </c>
      <c r="I44" s="100">
        <v>3.25</v>
      </c>
      <c r="J44" s="100">
        <v>0.32</v>
      </c>
      <c r="K44" s="100">
        <v>64.31</v>
      </c>
      <c r="L44" s="100">
        <v>13.07</v>
      </c>
      <c r="M44" s="100">
        <v>8.14</v>
      </c>
      <c r="N44" s="100">
        <v>279.10000000000002</v>
      </c>
      <c r="O44" s="100">
        <v>0</v>
      </c>
      <c r="P44" s="100">
        <v>0.39</v>
      </c>
      <c r="Q44" s="100">
        <v>9.32</v>
      </c>
      <c r="R44" s="6"/>
      <c r="S44" s="6"/>
      <c r="T44" s="156"/>
      <c r="U44" s="6"/>
    </row>
    <row r="45" spans="1:21" customFormat="1">
      <c r="A45" s="201" t="s">
        <v>2484</v>
      </c>
      <c r="B45" s="100">
        <v>4.71</v>
      </c>
      <c r="C45" s="100">
        <v>8.2200000000000006</v>
      </c>
      <c r="D45" s="100">
        <v>8.07</v>
      </c>
      <c r="E45" s="100">
        <v>7.93</v>
      </c>
      <c r="F45" s="100">
        <v>2</v>
      </c>
      <c r="G45" s="100">
        <v>59.53</v>
      </c>
      <c r="H45" s="100">
        <v>35.22</v>
      </c>
      <c r="I45" s="100">
        <v>3.25</v>
      </c>
      <c r="J45" s="100">
        <v>0.38</v>
      </c>
      <c r="K45" s="100">
        <v>63.58</v>
      </c>
      <c r="L45" s="100">
        <v>13.34</v>
      </c>
      <c r="M45" s="100">
        <v>5.35</v>
      </c>
      <c r="N45" s="100">
        <v>429.9</v>
      </c>
      <c r="O45" s="100">
        <v>0</v>
      </c>
      <c r="P45" s="100">
        <v>0.39</v>
      </c>
      <c r="Q45" s="100">
        <v>9.32</v>
      </c>
      <c r="R45" s="6"/>
      <c r="S45" s="6"/>
      <c r="T45" s="156"/>
      <c r="U45" s="6"/>
    </row>
    <row r="46" spans="1:21" customFormat="1">
      <c r="A46" s="201" t="s">
        <v>2485</v>
      </c>
      <c r="B46" s="100">
        <v>4.38</v>
      </c>
      <c r="C46" s="100">
        <v>8.25</v>
      </c>
      <c r="D46" s="100">
        <v>7.82</v>
      </c>
      <c r="E46" s="100">
        <v>7.88</v>
      </c>
      <c r="F46" s="100">
        <v>2</v>
      </c>
      <c r="G46" s="100">
        <v>59.53</v>
      </c>
      <c r="H46" s="100">
        <v>35.22</v>
      </c>
      <c r="I46" s="100">
        <v>3.25</v>
      </c>
      <c r="J46" s="100">
        <v>0.23</v>
      </c>
      <c r="K46" s="100">
        <v>91.22</v>
      </c>
      <c r="L46" s="100">
        <v>16.02</v>
      </c>
      <c r="M46" s="100">
        <v>11.37</v>
      </c>
      <c r="N46" s="100">
        <v>464.9</v>
      </c>
      <c r="O46" s="100">
        <v>0</v>
      </c>
      <c r="P46" s="100">
        <v>0.4</v>
      </c>
      <c r="Q46" s="100">
        <v>9.32</v>
      </c>
      <c r="R46" s="6"/>
      <c r="S46" s="6"/>
      <c r="T46" s="156"/>
      <c r="U46" s="6"/>
    </row>
    <row r="47" spans="1:21" customFormat="1">
      <c r="A47" s="201" t="s">
        <v>2486</v>
      </c>
      <c r="B47" s="100">
        <v>4.08</v>
      </c>
      <c r="C47" s="100">
        <v>7.87</v>
      </c>
      <c r="D47" s="100">
        <v>7.39</v>
      </c>
      <c r="E47" s="100">
        <v>6.29</v>
      </c>
      <c r="F47" s="100">
        <v>2</v>
      </c>
      <c r="G47" s="100">
        <v>59.62</v>
      </c>
      <c r="H47" s="100">
        <v>35.17</v>
      </c>
      <c r="I47" s="100">
        <v>3.25</v>
      </c>
      <c r="J47" s="100">
        <v>0.33</v>
      </c>
      <c r="K47" s="100">
        <v>135.13</v>
      </c>
      <c r="L47" s="100">
        <v>17.02</v>
      </c>
      <c r="M47" s="100">
        <v>12.88</v>
      </c>
      <c r="N47" s="100">
        <v>508.2</v>
      </c>
      <c r="O47" s="100">
        <v>0</v>
      </c>
      <c r="P47" s="100">
        <v>0.38</v>
      </c>
      <c r="Q47" s="100">
        <v>9.32</v>
      </c>
      <c r="R47" s="6"/>
      <c r="S47" s="6"/>
      <c r="T47" s="156"/>
      <c r="U47" s="6"/>
    </row>
    <row r="48" spans="1:21" customFormat="1">
      <c r="A48" s="201" t="s">
        <v>2487</v>
      </c>
      <c r="B48" s="100">
        <v>3.91</v>
      </c>
      <c r="C48" s="100">
        <v>7.5</v>
      </c>
      <c r="D48" s="100">
        <v>7.06</v>
      </c>
      <c r="E48" s="100">
        <v>7.54</v>
      </c>
      <c r="F48" s="100">
        <v>2</v>
      </c>
      <c r="G48" s="100">
        <v>62.22</v>
      </c>
      <c r="H48" s="100">
        <v>33.450000000000003</v>
      </c>
      <c r="I48" s="100">
        <v>3.25</v>
      </c>
      <c r="J48" s="100">
        <v>0.24</v>
      </c>
      <c r="K48" s="100">
        <v>81.25</v>
      </c>
      <c r="L48" s="100">
        <v>16.149999999999999</v>
      </c>
      <c r="M48" s="100">
        <v>12.51</v>
      </c>
      <c r="N48" s="100">
        <v>429.4</v>
      </c>
      <c r="O48" s="100">
        <v>0</v>
      </c>
      <c r="P48" s="100">
        <v>0.37</v>
      </c>
      <c r="Q48" s="100">
        <v>9.32</v>
      </c>
      <c r="R48" s="6"/>
      <c r="S48" s="6"/>
      <c r="T48" s="156"/>
      <c r="U48" s="6"/>
    </row>
    <row r="49" spans="1:21" customFormat="1">
      <c r="A49" s="201" t="s">
        <v>2488</v>
      </c>
      <c r="B49" s="100">
        <v>3.47</v>
      </c>
      <c r="C49" s="100">
        <v>7.08</v>
      </c>
      <c r="D49" s="100">
        <v>6.49</v>
      </c>
      <c r="E49" s="100">
        <v>5.56</v>
      </c>
      <c r="F49" s="100">
        <v>6.88</v>
      </c>
      <c r="G49" s="100">
        <v>62.22</v>
      </c>
      <c r="H49" s="100">
        <v>33.450000000000003</v>
      </c>
      <c r="I49" s="100">
        <v>3.25</v>
      </c>
      <c r="J49" s="100">
        <v>0.32</v>
      </c>
      <c r="K49" s="100">
        <v>152.04</v>
      </c>
      <c r="L49" s="100">
        <v>21.28</v>
      </c>
      <c r="M49" s="100">
        <v>21.9</v>
      </c>
      <c r="N49" s="100">
        <v>579</v>
      </c>
      <c r="O49" s="100">
        <v>0</v>
      </c>
      <c r="P49" s="100">
        <v>0.33</v>
      </c>
      <c r="Q49" s="100">
        <v>9.32</v>
      </c>
      <c r="R49" s="6"/>
      <c r="S49" s="6"/>
      <c r="T49" s="156"/>
      <c r="U49" s="6"/>
    </row>
    <row r="50" spans="1:21" customFormat="1">
      <c r="A50" s="201" t="s">
        <v>2489</v>
      </c>
      <c r="B50" s="100">
        <v>2.25</v>
      </c>
      <c r="C50" s="100">
        <v>6.82</v>
      </c>
      <c r="D50" s="100">
        <v>5.36</v>
      </c>
      <c r="E50" s="100">
        <v>6.25</v>
      </c>
      <c r="F50" s="100">
        <v>7.74</v>
      </c>
      <c r="G50" s="100">
        <v>62.22</v>
      </c>
      <c r="H50" s="100">
        <v>33.450000000000003</v>
      </c>
      <c r="I50" s="100">
        <v>3.25</v>
      </c>
      <c r="J50" s="100">
        <v>0.4</v>
      </c>
      <c r="K50" s="100">
        <v>156.87</v>
      </c>
      <c r="L50" s="100">
        <v>20.77</v>
      </c>
      <c r="M50" s="100">
        <v>20.45</v>
      </c>
      <c r="N50" s="100">
        <v>587.4</v>
      </c>
      <c r="O50" s="100">
        <v>0</v>
      </c>
      <c r="P50" s="100">
        <v>0.28000000000000003</v>
      </c>
      <c r="Q50" s="100">
        <v>9.32</v>
      </c>
      <c r="R50" s="6"/>
      <c r="S50" s="6"/>
      <c r="T50" s="156"/>
      <c r="U50" s="6"/>
    </row>
    <row r="51" spans="1:21" customFormat="1">
      <c r="A51" s="201" t="s">
        <v>2490</v>
      </c>
      <c r="B51" s="100">
        <v>1.93</v>
      </c>
      <c r="C51" s="100">
        <v>6.59</v>
      </c>
      <c r="D51" s="100">
        <v>4.99</v>
      </c>
      <c r="E51" s="100">
        <v>5.64</v>
      </c>
      <c r="F51" s="100">
        <v>4.78</v>
      </c>
      <c r="G51" s="100">
        <v>62.22</v>
      </c>
      <c r="H51" s="100">
        <v>33.450000000000003</v>
      </c>
      <c r="I51" s="100">
        <v>4.29</v>
      </c>
      <c r="J51" s="100">
        <v>0.27</v>
      </c>
      <c r="K51" s="100">
        <v>78.849999999999994</v>
      </c>
      <c r="L51" s="100">
        <v>16.600000000000001</v>
      </c>
      <c r="M51" s="100">
        <v>10.199999999999999</v>
      </c>
      <c r="N51" s="100">
        <v>570.6</v>
      </c>
      <c r="O51" s="100">
        <v>0</v>
      </c>
      <c r="P51" s="100">
        <v>0.27</v>
      </c>
      <c r="Q51" s="100">
        <v>9.32</v>
      </c>
      <c r="R51" s="6"/>
      <c r="S51" s="6"/>
      <c r="T51" s="156"/>
      <c r="U51" s="6"/>
    </row>
    <row r="52" spans="1:21" customFormat="1">
      <c r="A52" s="201" t="s">
        <v>2491</v>
      </c>
      <c r="B52" s="100">
        <v>1.98</v>
      </c>
      <c r="C52" s="100">
        <v>6.83</v>
      </c>
      <c r="D52" s="100">
        <v>5.16</v>
      </c>
      <c r="E52" s="100">
        <v>5.43</v>
      </c>
      <c r="F52" s="100">
        <v>2.78</v>
      </c>
      <c r="G52" s="100">
        <v>62.22</v>
      </c>
      <c r="H52" s="100">
        <v>33.450000000000003</v>
      </c>
      <c r="I52" s="100">
        <v>4.9400000000000004</v>
      </c>
      <c r="J52" s="100">
        <v>0.28999999999999998</v>
      </c>
      <c r="K52" s="100">
        <v>119</v>
      </c>
      <c r="L52" s="100">
        <v>18.420000000000002</v>
      </c>
      <c r="M52" s="100">
        <v>15.36</v>
      </c>
      <c r="N52" s="100">
        <v>543.6</v>
      </c>
      <c r="O52" s="100">
        <v>0</v>
      </c>
      <c r="P52" s="100">
        <v>0.26</v>
      </c>
      <c r="Q52" s="100">
        <v>9.32</v>
      </c>
      <c r="R52" s="6"/>
      <c r="S52" s="6"/>
      <c r="T52" s="156"/>
      <c r="U52" s="6"/>
    </row>
    <row r="53" spans="1:21" customFormat="1">
      <c r="A53" s="201" t="s">
        <v>2492</v>
      </c>
      <c r="B53" s="100">
        <v>1.95</v>
      </c>
      <c r="C53" s="100">
        <v>6.72</v>
      </c>
      <c r="D53" s="100">
        <v>5.08</v>
      </c>
      <c r="E53" s="100">
        <v>5.2</v>
      </c>
      <c r="F53" s="100">
        <v>8.7200000000000006</v>
      </c>
      <c r="G53" s="100">
        <v>62.22</v>
      </c>
      <c r="H53" s="100">
        <v>33.450000000000003</v>
      </c>
      <c r="I53" s="100">
        <v>4.57</v>
      </c>
      <c r="J53" s="100">
        <v>0.26</v>
      </c>
      <c r="K53" s="100">
        <v>152.91999999999999</v>
      </c>
      <c r="L53" s="100">
        <v>19.43</v>
      </c>
      <c r="M53" s="100">
        <v>19.420000000000002</v>
      </c>
      <c r="N53" s="100">
        <v>476.7</v>
      </c>
      <c r="O53" s="100">
        <v>0</v>
      </c>
      <c r="P53" s="100">
        <v>0.23</v>
      </c>
      <c r="Q53" s="100">
        <v>9.32</v>
      </c>
      <c r="R53" s="6"/>
      <c r="S53" s="6"/>
      <c r="T53" s="156"/>
      <c r="U53" s="6"/>
    </row>
    <row r="54" spans="1:21" customFormat="1">
      <c r="A54" s="201" t="s">
        <v>2493</v>
      </c>
      <c r="B54" s="100">
        <v>1.87</v>
      </c>
      <c r="C54" s="100">
        <v>6.42</v>
      </c>
      <c r="D54" s="100">
        <v>4.8499999999999996</v>
      </c>
      <c r="E54" s="100">
        <v>5.23</v>
      </c>
      <c r="F54" s="100">
        <v>9.65</v>
      </c>
      <c r="G54" s="100">
        <v>62.22</v>
      </c>
      <c r="H54" s="100">
        <v>33.450000000000003</v>
      </c>
      <c r="I54" s="100">
        <v>4.4400000000000004</v>
      </c>
      <c r="J54" s="100">
        <v>0.25</v>
      </c>
      <c r="K54" s="100">
        <v>117.15</v>
      </c>
      <c r="L54" s="100">
        <v>20.28</v>
      </c>
      <c r="M54" s="100">
        <v>16.09</v>
      </c>
      <c r="N54" s="100">
        <v>710.5</v>
      </c>
      <c r="O54" s="100">
        <v>0</v>
      </c>
      <c r="P54" s="100">
        <v>0.23</v>
      </c>
      <c r="Q54" s="100">
        <v>9.32</v>
      </c>
      <c r="R54" s="6"/>
      <c r="S54" s="6"/>
      <c r="T54" s="156"/>
      <c r="U54" s="6"/>
    </row>
    <row r="55" spans="1:21" customFormat="1">
      <c r="A55" s="201" t="s">
        <v>2494</v>
      </c>
      <c r="B55" s="100">
        <v>1.79</v>
      </c>
      <c r="C55" s="100">
        <v>7.08</v>
      </c>
      <c r="D55" s="100">
        <v>5.14</v>
      </c>
      <c r="E55" s="100">
        <v>6</v>
      </c>
      <c r="F55" s="100">
        <v>13.74</v>
      </c>
      <c r="G55" s="135" t="s">
        <v>12</v>
      </c>
      <c r="H55" s="135" t="s">
        <v>12</v>
      </c>
      <c r="I55" s="100">
        <v>4.04</v>
      </c>
      <c r="J55" s="100">
        <v>0.25</v>
      </c>
      <c r="K55" s="100">
        <v>76.05</v>
      </c>
      <c r="L55" s="100">
        <v>16.7</v>
      </c>
      <c r="M55" s="100">
        <v>8.42</v>
      </c>
      <c r="N55" s="100">
        <v>655.20000000000005</v>
      </c>
      <c r="O55" s="100">
        <v>0</v>
      </c>
      <c r="P55" s="100">
        <v>0.24</v>
      </c>
      <c r="Q55" s="100">
        <v>9.33</v>
      </c>
      <c r="R55" s="6"/>
      <c r="S55" s="6"/>
      <c r="T55" s="156"/>
      <c r="U55" s="6"/>
    </row>
    <row r="56" spans="1:21" customFormat="1">
      <c r="A56" s="201" t="s">
        <v>2495</v>
      </c>
      <c r="B56" s="100">
        <v>1.67</v>
      </c>
      <c r="C56" s="100">
        <v>7.18</v>
      </c>
      <c r="D56" s="100">
        <v>5.09</v>
      </c>
      <c r="E56" s="100">
        <v>5.04</v>
      </c>
      <c r="F56" s="100">
        <v>2.82</v>
      </c>
      <c r="G56" s="135" t="s">
        <v>12</v>
      </c>
      <c r="H56" s="135" t="s">
        <v>12</v>
      </c>
      <c r="I56" s="100">
        <v>4.05</v>
      </c>
      <c r="J56" s="100">
        <v>0.26</v>
      </c>
      <c r="K56" s="100">
        <v>94.33</v>
      </c>
      <c r="L56" s="100">
        <v>18.47</v>
      </c>
      <c r="M56" s="100">
        <v>14.9</v>
      </c>
      <c r="N56" s="100">
        <v>573.20000000000005</v>
      </c>
      <c r="O56" s="100">
        <v>0</v>
      </c>
      <c r="P56" s="100">
        <v>0.24</v>
      </c>
      <c r="Q56" s="100">
        <v>9.59</v>
      </c>
      <c r="R56" s="6"/>
      <c r="S56" s="6"/>
      <c r="T56" s="156"/>
      <c r="U56" s="6"/>
    </row>
    <row r="57" spans="1:21" customFormat="1">
      <c r="A57" s="201" t="s">
        <v>2496</v>
      </c>
      <c r="B57" s="100">
        <v>1.81</v>
      </c>
      <c r="C57" s="100">
        <v>7.56</v>
      </c>
      <c r="D57" s="100">
        <v>5.4</v>
      </c>
      <c r="E57" s="100">
        <v>4.6399999999999997</v>
      </c>
      <c r="F57" s="100">
        <v>2</v>
      </c>
      <c r="G57" s="135" t="s">
        <v>12</v>
      </c>
      <c r="H57" s="135" t="s">
        <v>12</v>
      </c>
      <c r="I57" s="100">
        <v>4.2699999999999996</v>
      </c>
      <c r="J57" s="100">
        <v>0.37</v>
      </c>
      <c r="K57" s="100">
        <v>57.73</v>
      </c>
      <c r="L57" s="100">
        <v>12.23</v>
      </c>
      <c r="M57" s="100">
        <v>3.34</v>
      </c>
      <c r="N57" s="100">
        <v>395.8</v>
      </c>
      <c r="O57" s="100">
        <v>0</v>
      </c>
      <c r="P57" s="100">
        <v>0.25</v>
      </c>
      <c r="Q57" s="100">
        <v>9.36</v>
      </c>
      <c r="R57" s="6"/>
      <c r="S57" s="6"/>
      <c r="T57" s="156"/>
      <c r="U57" s="6"/>
    </row>
    <row r="58" spans="1:21" customFormat="1">
      <c r="A58" s="201" t="s">
        <v>2497</v>
      </c>
      <c r="B58" s="100">
        <v>2.04</v>
      </c>
      <c r="C58" s="100">
        <v>7.21</v>
      </c>
      <c r="D58" s="100">
        <v>5.4</v>
      </c>
      <c r="E58" s="100">
        <v>4.09</v>
      </c>
      <c r="F58" s="100">
        <v>2.14</v>
      </c>
      <c r="G58" s="135" t="s">
        <v>12</v>
      </c>
      <c r="H58" s="135" t="s">
        <v>12</v>
      </c>
      <c r="I58" s="100">
        <v>4.33</v>
      </c>
      <c r="J58" s="100">
        <v>0.37</v>
      </c>
      <c r="K58" s="100">
        <v>37.22</v>
      </c>
      <c r="L58" s="100">
        <v>9.64</v>
      </c>
      <c r="M58" s="100">
        <v>1.72</v>
      </c>
      <c r="N58" s="100">
        <v>179.3</v>
      </c>
      <c r="O58" s="100">
        <v>0</v>
      </c>
      <c r="P58" s="100">
        <v>0.25</v>
      </c>
      <c r="Q58" s="100">
        <v>9.33</v>
      </c>
      <c r="R58" s="6"/>
      <c r="S58" s="6"/>
      <c r="T58" s="156"/>
      <c r="U58" s="6"/>
    </row>
    <row r="59" spans="1:21" customFormat="1">
      <c r="A59" s="201" t="s">
        <v>2498</v>
      </c>
      <c r="B59" s="100">
        <v>2.25</v>
      </c>
      <c r="C59" s="100">
        <v>7.29</v>
      </c>
      <c r="D59" s="100">
        <v>5.62</v>
      </c>
      <c r="E59" s="100">
        <v>5.14</v>
      </c>
      <c r="F59" s="100">
        <v>5.89</v>
      </c>
      <c r="G59" s="100">
        <v>21.38</v>
      </c>
      <c r="H59" s="100">
        <v>25.56</v>
      </c>
      <c r="I59" s="100">
        <v>4.4800000000000004</v>
      </c>
      <c r="J59" s="100">
        <v>0.32</v>
      </c>
      <c r="K59" s="100">
        <v>72.37</v>
      </c>
      <c r="L59" s="100">
        <v>15.68</v>
      </c>
      <c r="M59" s="100">
        <v>8.7100000000000009</v>
      </c>
      <c r="N59" s="100">
        <v>542.29999999999995</v>
      </c>
      <c r="O59" s="100">
        <v>0</v>
      </c>
      <c r="P59" s="100">
        <v>0.25</v>
      </c>
      <c r="Q59" s="100">
        <v>9.3699999999999992</v>
      </c>
      <c r="R59" s="6"/>
      <c r="S59" s="6"/>
      <c r="T59" s="156"/>
      <c r="U59" s="6"/>
    </row>
    <row r="60" spans="1:21" customFormat="1">
      <c r="A60" s="201" t="s">
        <v>2499</v>
      </c>
      <c r="B60" s="100">
        <v>2.08</v>
      </c>
      <c r="C60" s="100">
        <v>7.2</v>
      </c>
      <c r="D60" s="100">
        <v>5.43</v>
      </c>
      <c r="E60" s="100">
        <v>5.14</v>
      </c>
      <c r="F60" s="100">
        <v>7.49</v>
      </c>
      <c r="G60" s="100">
        <v>28.19</v>
      </c>
      <c r="H60" s="100">
        <v>25.95</v>
      </c>
      <c r="I60" s="100">
        <v>4.59</v>
      </c>
      <c r="J60" s="100">
        <v>0.32</v>
      </c>
      <c r="K60" s="100">
        <v>77.739999999999995</v>
      </c>
      <c r="L60" s="100">
        <v>15.75</v>
      </c>
      <c r="M60" s="100">
        <v>8.9600000000000009</v>
      </c>
      <c r="N60" s="100">
        <v>536.1</v>
      </c>
      <c r="O60" s="100">
        <v>0</v>
      </c>
      <c r="P60" s="100">
        <v>0.23</v>
      </c>
      <c r="Q60" s="100">
        <v>9.44</v>
      </c>
      <c r="R60" s="6"/>
      <c r="S60" s="6"/>
      <c r="T60" s="156"/>
      <c r="U60" s="6"/>
    </row>
    <row r="61" spans="1:21" customFormat="1">
      <c r="A61" s="201" t="s">
        <v>2500</v>
      </c>
      <c r="B61" s="100">
        <v>2.0499999999999998</v>
      </c>
      <c r="C61" s="100">
        <v>7.96</v>
      </c>
      <c r="D61" s="100">
        <v>5.8</v>
      </c>
      <c r="E61" s="100">
        <v>4.2</v>
      </c>
      <c r="F61" s="100">
        <v>2.91</v>
      </c>
      <c r="G61" s="100">
        <v>28.19</v>
      </c>
      <c r="H61" s="100">
        <v>25.95</v>
      </c>
      <c r="I61" s="100">
        <v>4.49</v>
      </c>
      <c r="J61" s="100">
        <v>0.38</v>
      </c>
      <c r="K61" s="100">
        <v>60.51</v>
      </c>
      <c r="L61" s="100">
        <v>13.48</v>
      </c>
      <c r="M61" s="100">
        <v>7.64</v>
      </c>
      <c r="N61" s="100">
        <v>347.6</v>
      </c>
      <c r="O61" s="100">
        <v>0</v>
      </c>
      <c r="P61" s="100">
        <v>0.24</v>
      </c>
      <c r="Q61" s="100">
        <v>9.3699999999999992</v>
      </c>
      <c r="R61" s="6"/>
      <c r="S61" s="6"/>
      <c r="T61" s="156"/>
      <c r="U61" s="6"/>
    </row>
    <row r="62" spans="1:21" customFormat="1">
      <c r="A62" s="201" t="s">
        <v>2501</v>
      </c>
      <c r="B62" s="100">
        <v>2.16</v>
      </c>
      <c r="C62" s="100">
        <v>7.88</v>
      </c>
      <c r="D62" s="100">
        <v>5.85</v>
      </c>
      <c r="E62" s="100">
        <v>4.13</v>
      </c>
      <c r="F62" s="100">
        <v>2.13</v>
      </c>
      <c r="G62" s="100">
        <v>28.19</v>
      </c>
      <c r="H62" s="100">
        <v>25.95</v>
      </c>
      <c r="I62" s="100">
        <v>4.24</v>
      </c>
      <c r="J62" s="100">
        <v>0.42</v>
      </c>
      <c r="K62" s="100">
        <v>50.95</v>
      </c>
      <c r="L62" s="100">
        <v>10.86</v>
      </c>
      <c r="M62" s="100">
        <v>3.68</v>
      </c>
      <c r="N62" s="100">
        <v>233.6</v>
      </c>
      <c r="O62" s="100">
        <v>0</v>
      </c>
      <c r="P62" s="100">
        <v>0.23</v>
      </c>
      <c r="Q62" s="100">
        <v>9.32</v>
      </c>
      <c r="R62" s="6"/>
      <c r="S62" s="6"/>
      <c r="T62" s="156"/>
      <c r="U62" s="6"/>
    </row>
    <row r="63" spans="1:21" customFormat="1">
      <c r="A63" s="201" t="s">
        <v>2502</v>
      </c>
      <c r="B63" s="100">
        <v>2.33</v>
      </c>
      <c r="C63" s="100">
        <v>7.68</v>
      </c>
      <c r="D63" s="100">
        <v>5.88</v>
      </c>
      <c r="E63" s="100">
        <v>5.1100000000000003</v>
      </c>
      <c r="F63" s="100">
        <v>5.54</v>
      </c>
      <c r="G63" s="100">
        <v>25.22</v>
      </c>
      <c r="H63" s="100">
        <v>20.61</v>
      </c>
      <c r="I63" s="100">
        <v>4.2</v>
      </c>
      <c r="J63" s="100">
        <v>0.28000000000000003</v>
      </c>
      <c r="K63" s="100">
        <v>76.38</v>
      </c>
      <c r="L63" s="100">
        <v>12.25</v>
      </c>
      <c r="M63" s="100">
        <v>10.62</v>
      </c>
      <c r="N63" s="100">
        <v>90.1</v>
      </c>
      <c r="O63" s="100">
        <v>0</v>
      </c>
      <c r="P63" s="100">
        <v>0.23</v>
      </c>
      <c r="Q63" s="100">
        <v>9.32</v>
      </c>
      <c r="R63" s="6"/>
      <c r="S63" s="6"/>
      <c r="T63" s="156"/>
      <c r="U63" s="6"/>
    </row>
    <row r="64" spans="1:21" customFormat="1">
      <c r="A64" s="201" t="s">
        <v>2503</v>
      </c>
      <c r="B64" s="100">
        <v>2.19</v>
      </c>
      <c r="C64" s="100">
        <v>7.8</v>
      </c>
      <c r="D64" s="100">
        <v>5.84</v>
      </c>
      <c r="E64" s="100">
        <v>6.9</v>
      </c>
      <c r="F64" s="100">
        <v>22.45</v>
      </c>
      <c r="G64" s="100">
        <v>24.15</v>
      </c>
      <c r="H64" s="100">
        <v>20.52</v>
      </c>
      <c r="I64" s="100">
        <v>4.3</v>
      </c>
      <c r="J64" s="100">
        <v>0.22</v>
      </c>
      <c r="K64" s="100">
        <v>131.28</v>
      </c>
      <c r="L64" s="100">
        <v>16.63</v>
      </c>
      <c r="M64" s="100">
        <v>16.18</v>
      </c>
      <c r="N64" s="100">
        <v>327.5</v>
      </c>
      <c r="O64" s="100">
        <v>0</v>
      </c>
      <c r="P64" s="100">
        <v>0.21</v>
      </c>
      <c r="Q64" s="100">
        <v>9.32</v>
      </c>
      <c r="R64" s="6"/>
      <c r="S64" s="6"/>
      <c r="T64" s="156"/>
      <c r="U64" s="6"/>
    </row>
    <row r="65" spans="1:21" customFormat="1">
      <c r="A65" s="201" t="s">
        <v>2504</v>
      </c>
      <c r="B65" s="100">
        <v>2.0499999999999998</v>
      </c>
      <c r="C65" s="100">
        <v>7.9</v>
      </c>
      <c r="D65" s="100">
        <v>5.77</v>
      </c>
      <c r="E65" s="100">
        <v>7.58</v>
      </c>
      <c r="F65" s="100">
        <v>11.66</v>
      </c>
      <c r="G65" s="100">
        <v>24.15</v>
      </c>
      <c r="H65" s="100">
        <v>20.52</v>
      </c>
      <c r="I65" s="100">
        <v>4.1500000000000004</v>
      </c>
      <c r="J65" s="100">
        <v>0.46</v>
      </c>
      <c r="K65" s="100">
        <v>59.91</v>
      </c>
      <c r="L65" s="100">
        <v>14.19</v>
      </c>
      <c r="M65" s="100">
        <v>7.12</v>
      </c>
      <c r="N65" s="100">
        <v>444.1</v>
      </c>
      <c r="O65" s="100">
        <v>0</v>
      </c>
      <c r="P65" s="100">
        <v>0.19</v>
      </c>
      <c r="Q65" s="100">
        <v>9.34</v>
      </c>
      <c r="R65" s="6"/>
      <c r="S65" s="6"/>
      <c r="T65" s="156"/>
      <c r="U65" s="6"/>
    </row>
    <row r="66" spans="1:21" customFormat="1">
      <c r="A66" s="201" t="s">
        <v>2505</v>
      </c>
      <c r="B66" s="100">
        <v>2.13</v>
      </c>
      <c r="C66" s="100">
        <v>8.25</v>
      </c>
      <c r="D66" s="100">
        <v>6.02</v>
      </c>
      <c r="E66" s="100">
        <v>6.89</v>
      </c>
      <c r="F66" s="100">
        <v>17.98</v>
      </c>
      <c r="G66" s="100">
        <v>24.15</v>
      </c>
      <c r="H66" s="100">
        <v>20.52</v>
      </c>
      <c r="I66" s="100">
        <v>3.87</v>
      </c>
      <c r="J66" s="100">
        <v>0.44</v>
      </c>
      <c r="K66" s="100">
        <v>61.49</v>
      </c>
      <c r="L66" s="100">
        <v>12.19</v>
      </c>
      <c r="M66" s="100">
        <v>4.95</v>
      </c>
      <c r="N66" s="100">
        <v>321.39999999999998</v>
      </c>
      <c r="O66" s="100">
        <v>0</v>
      </c>
      <c r="P66" s="100">
        <v>0.21</v>
      </c>
      <c r="Q66" s="100">
        <v>9.44</v>
      </c>
      <c r="R66" s="6"/>
      <c r="S66" s="6"/>
      <c r="T66" s="156"/>
      <c r="U66" s="6"/>
    </row>
    <row r="67" spans="1:21" customFormat="1">
      <c r="A67" s="201" t="s">
        <v>2506</v>
      </c>
      <c r="B67" s="100">
        <v>2.15</v>
      </c>
      <c r="C67" s="100">
        <v>8.44</v>
      </c>
      <c r="D67" s="100">
        <v>6.13</v>
      </c>
      <c r="E67" s="100">
        <v>5.72</v>
      </c>
      <c r="F67" s="100">
        <v>8.5</v>
      </c>
      <c r="G67" s="100">
        <v>22.59</v>
      </c>
      <c r="H67" s="100">
        <v>18.27</v>
      </c>
      <c r="I67" s="100">
        <v>3.78</v>
      </c>
      <c r="J67" s="100">
        <v>0.46</v>
      </c>
      <c r="K67" s="100">
        <v>63.07</v>
      </c>
      <c r="L67" s="100">
        <v>9.89</v>
      </c>
      <c r="M67" s="100">
        <v>5.38</v>
      </c>
      <c r="N67" s="100">
        <v>60.4</v>
      </c>
      <c r="O67" s="100">
        <v>0</v>
      </c>
      <c r="P67" s="100">
        <v>0.2</v>
      </c>
      <c r="Q67" s="100">
        <v>9.32</v>
      </c>
      <c r="R67" s="6"/>
      <c r="S67" s="6"/>
      <c r="T67" s="156"/>
      <c r="U67" s="6"/>
    </row>
    <row r="68" spans="1:21" customFormat="1">
      <c r="A68" s="201" t="s">
        <v>2507</v>
      </c>
      <c r="B68" s="100">
        <v>2.69</v>
      </c>
      <c r="C68" s="100">
        <v>8.65</v>
      </c>
      <c r="D68" s="100">
        <v>6.67</v>
      </c>
      <c r="E68" s="100">
        <v>5.76</v>
      </c>
      <c r="F68" s="100">
        <v>13.13</v>
      </c>
      <c r="G68" s="100">
        <v>22.03</v>
      </c>
      <c r="H68" s="100">
        <v>18.2</v>
      </c>
      <c r="I68" s="100">
        <v>3.72</v>
      </c>
      <c r="J68" s="100">
        <v>0.43</v>
      </c>
      <c r="K68" s="100">
        <v>48.69</v>
      </c>
      <c r="L68" s="100">
        <v>9.43</v>
      </c>
      <c r="M68" s="100">
        <v>4.41</v>
      </c>
      <c r="N68" s="100">
        <v>44.6</v>
      </c>
      <c r="O68" s="100">
        <v>0</v>
      </c>
      <c r="P68" s="100">
        <v>0.19</v>
      </c>
      <c r="Q68" s="100">
        <v>9.32</v>
      </c>
      <c r="R68" s="6"/>
      <c r="S68" s="6"/>
      <c r="T68" s="156"/>
      <c r="U68" s="6"/>
    </row>
    <row r="69" spans="1:21" customFormat="1">
      <c r="A69" s="201" t="s">
        <v>2508</v>
      </c>
      <c r="B69" s="100">
        <v>2.39</v>
      </c>
      <c r="C69" s="100">
        <v>8.9600000000000009</v>
      </c>
      <c r="D69" s="100">
        <v>6.59</v>
      </c>
      <c r="E69" s="100">
        <v>5.73</v>
      </c>
      <c r="F69" s="100">
        <v>15.55</v>
      </c>
      <c r="G69" s="100">
        <v>22.03</v>
      </c>
      <c r="H69" s="100">
        <v>18.2</v>
      </c>
      <c r="I69" s="100">
        <v>3.58</v>
      </c>
      <c r="J69" s="100">
        <v>0.43</v>
      </c>
      <c r="K69" s="100">
        <v>51.28</v>
      </c>
      <c r="L69" s="100">
        <v>9.08</v>
      </c>
      <c r="M69" s="100">
        <v>3.73</v>
      </c>
      <c r="N69" s="100">
        <v>39.299999999999997</v>
      </c>
      <c r="O69" s="100">
        <v>0</v>
      </c>
      <c r="P69" s="100">
        <v>0.21</v>
      </c>
      <c r="Q69" s="100">
        <v>9.32</v>
      </c>
      <c r="R69" s="6"/>
      <c r="S69" s="6"/>
      <c r="T69" s="156"/>
      <c r="U69" s="6"/>
    </row>
    <row r="70" spans="1:21" customFormat="1">
      <c r="A70" s="201" t="s">
        <v>2509</v>
      </c>
      <c r="B70" s="100">
        <v>2.2400000000000002</v>
      </c>
      <c r="C70" s="100">
        <v>9.15</v>
      </c>
      <c r="D70" s="100">
        <v>6.58</v>
      </c>
      <c r="E70" s="100">
        <v>5.95</v>
      </c>
      <c r="F70" s="100">
        <v>10.210000000000001</v>
      </c>
      <c r="G70" s="100">
        <v>22.03</v>
      </c>
      <c r="H70" s="100">
        <v>18.2</v>
      </c>
      <c r="I70" s="100">
        <v>3.56</v>
      </c>
      <c r="J70" s="100">
        <v>0.37</v>
      </c>
      <c r="K70" s="100">
        <v>72.52</v>
      </c>
      <c r="L70" s="100">
        <v>9.9600000000000009</v>
      </c>
      <c r="M70" s="100">
        <v>6.27</v>
      </c>
      <c r="N70" s="100">
        <v>41.6</v>
      </c>
      <c r="O70" s="100">
        <v>0</v>
      </c>
      <c r="P70" s="100">
        <v>0.21</v>
      </c>
      <c r="Q70" s="100">
        <v>9.32</v>
      </c>
      <c r="R70" s="6"/>
      <c r="S70" s="6"/>
      <c r="T70" s="156"/>
      <c r="U70" s="6"/>
    </row>
    <row r="71" spans="1:21" customFormat="1">
      <c r="A71" s="201" t="s">
        <v>2510</v>
      </c>
      <c r="B71" s="100">
        <v>2.11</v>
      </c>
      <c r="C71" s="100">
        <v>9.1</v>
      </c>
      <c r="D71" s="100">
        <v>6.45</v>
      </c>
      <c r="E71" s="100">
        <v>6.05</v>
      </c>
      <c r="F71" s="100">
        <v>13.86</v>
      </c>
      <c r="G71" s="100">
        <v>25.58</v>
      </c>
      <c r="H71" s="100">
        <v>17.75</v>
      </c>
      <c r="I71" s="100">
        <v>3.66</v>
      </c>
      <c r="J71" s="100">
        <v>0.47</v>
      </c>
      <c r="K71" s="100">
        <v>49.01</v>
      </c>
      <c r="L71" s="100">
        <v>9.2899999999999991</v>
      </c>
      <c r="M71" s="100">
        <v>4.16</v>
      </c>
      <c r="N71" s="100">
        <v>39</v>
      </c>
      <c r="O71" s="100">
        <v>0</v>
      </c>
      <c r="P71" s="100">
        <v>0.22</v>
      </c>
      <c r="Q71" s="100">
        <v>9.32</v>
      </c>
      <c r="R71" s="6"/>
      <c r="S71" s="6"/>
      <c r="T71" s="156"/>
      <c r="U71" s="6"/>
    </row>
    <row r="72" spans="1:21" customFormat="1">
      <c r="A72" s="201" t="s">
        <v>2511</v>
      </c>
      <c r="B72" s="100">
        <v>1.99</v>
      </c>
      <c r="C72" s="100">
        <v>8.89</v>
      </c>
      <c r="D72" s="100">
        <v>6.24</v>
      </c>
      <c r="E72" s="100">
        <v>5.86</v>
      </c>
      <c r="F72" s="100">
        <v>11.2</v>
      </c>
      <c r="G72" s="100">
        <v>26.88</v>
      </c>
      <c r="H72" s="100">
        <v>17.739999999999998</v>
      </c>
      <c r="I72" s="100">
        <v>3.76</v>
      </c>
      <c r="J72" s="100">
        <v>0.37</v>
      </c>
      <c r="K72" s="100">
        <v>66.2</v>
      </c>
      <c r="L72" s="100">
        <v>9.5299999999999994</v>
      </c>
      <c r="M72" s="100">
        <v>4.95</v>
      </c>
      <c r="N72" s="100">
        <v>33.299999999999997</v>
      </c>
      <c r="O72" s="100">
        <v>0</v>
      </c>
      <c r="P72" s="100">
        <v>0.24</v>
      </c>
      <c r="Q72" s="100">
        <v>9.32</v>
      </c>
      <c r="R72" s="6"/>
      <c r="S72" s="6"/>
      <c r="T72" s="156"/>
      <c r="U72" s="6"/>
    </row>
    <row r="73" spans="1:21" customFormat="1">
      <c r="A73" s="201" t="s">
        <v>2512</v>
      </c>
      <c r="B73" s="100">
        <v>1.88</v>
      </c>
      <c r="C73" s="100">
        <v>9.09</v>
      </c>
      <c r="D73" s="100">
        <v>6.26</v>
      </c>
      <c r="E73" s="100">
        <v>6.66</v>
      </c>
      <c r="F73" s="100">
        <v>18.760000000000002</v>
      </c>
      <c r="G73" s="100">
        <v>26.88</v>
      </c>
      <c r="H73" s="100">
        <v>17.739999999999998</v>
      </c>
      <c r="I73" s="100">
        <v>3.87</v>
      </c>
      <c r="J73" s="100">
        <v>0.25</v>
      </c>
      <c r="K73" s="100">
        <v>95.37</v>
      </c>
      <c r="L73" s="100">
        <v>10.92</v>
      </c>
      <c r="M73" s="100">
        <v>8.66</v>
      </c>
      <c r="N73" s="100">
        <v>30.7</v>
      </c>
      <c r="O73" s="100">
        <v>0</v>
      </c>
      <c r="P73" s="100">
        <v>0.24</v>
      </c>
      <c r="Q73" s="100">
        <v>9.41</v>
      </c>
      <c r="R73" s="6"/>
      <c r="S73" s="6"/>
      <c r="T73" s="156"/>
      <c r="U73" s="6"/>
    </row>
    <row r="74" spans="1:21" customFormat="1">
      <c r="A74" s="201" t="s">
        <v>2513</v>
      </c>
      <c r="B74" s="100">
        <v>1.87</v>
      </c>
      <c r="C74" s="100">
        <v>9.33</v>
      </c>
      <c r="D74" s="100">
        <v>6.38</v>
      </c>
      <c r="E74" s="100">
        <v>7.38</v>
      </c>
      <c r="F74" s="100">
        <v>23.54</v>
      </c>
      <c r="G74" s="100">
        <v>26.88</v>
      </c>
      <c r="H74" s="100">
        <v>17.739999999999998</v>
      </c>
      <c r="I74" s="100">
        <v>4.05</v>
      </c>
      <c r="J74" s="100">
        <v>0.32</v>
      </c>
      <c r="K74" s="100">
        <v>81.5</v>
      </c>
      <c r="L74" s="100">
        <v>10.79</v>
      </c>
      <c r="M74" s="100">
        <v>8.58</v>
      </c>
      <c r="N74" s="100">
        <v>21.7</v>
      </c>
      <c r="O74" s="100">
        <v>0</v>
      </c>
      <c r="P74" s="100">
        <v>0.24</v>
      </c>
      <c r="Q74" s="100">
        <v>9.33</v>
      </c>
      <c r="R74" s="6"/>
      <c r="S74" s="6"/>
      <c r="T74" s="156"/>
      <c r="U74" s="6"/>
    </row>
    <row r="75" spans="1:21" customFormat="1">
      <c r="A75" s="201" t="s">
        <v>2514</v>
      </c>
      <c r="B75" s="100">
        <v>1.77</v>
      </c>
      <c r="C75" s="100">
        <v>9.48</v>
      </c>
      <c r="D75" s="100">
        <v>6.37</v>
      </c>
      <c r="E75" s="100">
        <v>7.19</v>
      </c>
      <c r="F75" s="100">
        <v>15.42</v>
      </c>
      <c r="G75" s="100">
        <v>29.46</v>
      </c>
      <c r="H75" s="100">
        <v>15.85</v>
      </c>
      <c r="I75" s="100">
        <v>4.18</v>
      </c>
      <c r="J75" s="100">
        <v>0.28000000000000003</v>
      </c>
      <c r="K75" s="100">
        <v>133.08000000000001</v>
      </c>
      <c r="L75" s="100">
        <v>13.18</v>
      </c>
      <c r="M75" s="100">
        <v>14.88</v>
      </c>
      <c r="N75" s="100">
        <v>13.8</v>
      </c>
      <c r="O75" s="100">
        <v>0</v>
      </c>
      <c r="P75" s="100">
        <v>0.26</v>
      </c>
      <c r="Q75" s="100">
        <v>9.32</v>
      </c>
      <c r="R75" s="6"/>
      <c r="S75" s="6"/>
      <c r="T75" s="156"/>
      <c r="U75" s="6"/>
    </row>
    <row r="76" spans="1:21" customFormat="1">
      <c r="A76" s="201" t="s">
        <v>2515</v>
      </c>
      <c r="B76" s="100">
        <v>1.77</v>
      </c>
      <c r="C76" s="100">
        <v>9.89</v>
      </c>
      <c r="D76" s="100">
        <v>6.58</v>
      </c>
      <c r="E76" s="100">
        <v>7</v>
      </c>
      <c r="F76" s="100">
        <v>14.37</v>
      </c>
      <c r="G76" s="100">
        <v>30.41</v>
      </c>
      <c r="H76" s="100">
        <v>15.82</v>
      </c>
      <c r="I76" s="100">
        <v>4.24</v>
      </c>
      <c r="J76" s="100">
        <v>0.19</v>
      </c>
      <c r="K76" s="100">
        <v>85.94</v>
      </c>
      <c r="L76" s="100">
        <v>11.53</v>
      </c>
      <c r="M76" s="100">
        <v>10.67</v>
      </c>
      <c r="N76" s="100">
        <v>13.7</v>
      </c>
      <c r="O76" s="100">
        <v>0</v>
      </c>
      <c r="P76" s="100">
        <v>0.26</v>
      </c>
      <c r="Q76" s="100">
        <v>9.32</v>
      </c>
      <c r="R76" s="6"/>
      <c r="S76" s="6"/>
      <c r="T76" s="156"/>
      <c r="U76" s="6"/>
    </row>
    <row r="77" spans="1:21" customFormat="1">
      <c r="A77" s="201" t="s">
        <v>2516</v>
      </c>
      <c r="B77" s="100">
        <v>2.09</v>
      </c>
      <c r="C77" s="100">
        <v>11.22</v>
      </c>
      <c r="D77" s="100">
        <v>7.54</v>
      </c>
      <c r="E77" s="100">
        <v>7.98</v>
      </c>
      <c r="F77" s="100">
        <v>17.02</v>
      </c>
      <c r="G77" s="100">
        <v>30.41</v>
      </c>
      <c r="H77" s="100">
        <v>15.82</v>
      </c>
      <c r="I77" s="100">
        <v>4.29</v>
      </c>
      <c r="J77" s="100">
        <v>0.27</v>
      </c>
      <c r="K77" s="100">
        <v>70.2</v>
      </c>
      <c r="L77" s="100">
        <v>9.43</v>
      </c>
      <c r="M77" s="100">
        <v>5.45</v>
      </c>
      <c r="N77" s="100">
        <v>8.3000000000000007</v>
      </c>
      <c r="O77" s="100">
        <v>0</v>
      </c>
      <c r="P77" s="100">
        <v>0.31</v>
      </c>
      <c r="Q77" s="100">
        <v>9.32</v>
      </c>
      <c r="R77" s="6"/>
      <c r="S77" s="6"/>
      <c r="T77" s="156"/>
      <c r="U77" s="6"/>
    </row>
    <row r="78" spans="1:21" customFormat="1">
      <c r="A78" s="201" t="s">
        <v>2517</v>
      </c>
      <c r="B78" s="100">
        <v>2.12</v>
      </c>
      <c r="C78" s="100">
        <v>11.89</v>
      </c>
      <c r="D78" s="100">
        <v>7.92</v>
      </c>
      <c r="E78" s="100">
        <v>7.39</v>
      </c>
      <c r="F78" s="100">
        <v>12.43</v>
      </c>
      <c r="G78" s="100">
        <v>30.41</v>
      </c>
      <c r="H78" s="100">
        <v>15.82</v>
      </c>
      <c r="I78" s="100">
        <v>4.41</v>
      </c>
      <c r="J78" s="100">
        <v>0.19</v>
      </c>
      <c r="K78" s="100">
        <v>89.44</v>
      </c>
      <c r="L78" s="100">
        <v>10.84</v>
      </c>
      <c r="M78" s="100">
        <v>9.16</v>
      </c>
      <c r="N78" s="100">
        <v>3.9</v>
      </c>
      <c r="O78" s="100">
        <v>0</v>
      </c>
      <c r="P78" s="100">
        <v>0.34</v>
      </c>
      <c r="Q78" s="100">
        <v>9.32</v>
      </c>
      <c r="R78" s="6"/>
      <c r="S78" s="6"/>
      <c r="T78" s="156"/>
      <c r="U78" s="6"/>
    </row>
    <row r="79" spans="1:21" customFormat="1">
      <c r="A79" s="201" t="s">
        <v>2518</v>
      </c>
      <c r="B79" s="100">
        <v>1.81</v>
      </c>
      <c r="C79" s="100">
        <v>10.91</v>
      </c>
      <c r="D79" s="100">
        <v>7.15</v>
      </c>
      <c r="E79" s="100">
        <v>6.97</v>
      </c>
      <c r="F79" s="100">
        <v>13.62</v>
      </c>
      <c r="G79" s="100">
        <v>32.51</v>
      </c>
      <c r="H79" s="100">
        <v>19.77</v>
      </c>
      <c r="I79" s="100">
        <v>4.71</v>
      </c>
      <c r="J79" s="100">
        <v>0.25</v>
      </c>
      <c r="K79" s="100">
        <v>139.07</v>
      </c>
      <c r="L79" s="100">
        <v>13.81</v>
      </c>
      <c r="M79" s="100">
        <v>16.79</v>
      </c>
      <c r="N79" s="100">
        <v>2.8</v>
      </c>
      <c r="O79" s="100">
        <v>0</v>
      </c>
      <c r="P79" s="100">
        <v>0.32</v>
      </c>
      <c r="Q79" s="100">
        <v>9.32</v>
      </c>
      <c r="R79" s="6"/>
      <c r="S79" s="6"/>
      <c r="T79" s="156"/>
      <c r="U79" s="6"/>
    </row>
    <row r="80" spans="1:21" customFormat="1">
      <c r="A80" s="201" t="s">
        <v>2519</v>
      </c>
      <c r="B80" s="100">
        <v>1.66</v>
      </c>
      <c r="C80" s="100">
        <v>11.13</v>
      </c>
      <c r="D80" s="100">
        <v>7.15</v>
      </c>
      <c r="E80" s="100">
        <v>7.18</v>
      </c>
      <c r="F80" s="100">
        <v>16.71</v>
      </c>
      <c r="G80" s="100">
        <v>33.270000000000003</v>
      </c>
      <c r="H80" s="100">
        <v>19.829999999999998</v>
      </c>
      <c r="I80" s="100">
        <v>4.8899999999999997</v>
      </c>
      <c r="J80" s="100">
        <v>0.26</v>
      </c>
      <c r="K80" s="100">
        <v>147.63999999999999</v>
      </c>
      <c r="L80" s="100">
        <v>14.49</v>
      </c>
      <c r="M80" s="100">
        <v>18.57</v>
      </c>
      <c r="N80" s="100">
        <v>2.5</v>
      </c>
      <c r="O80" s="100">
        <v>0</v>
      </c>
      <c r="P80" s="100">
        <v>0.28999999999999998</v>
      </c>
      <c r="Q80" s="100">
        <v>9.32</v>
      </c>
      <c r="R80" s="6"/>
      <c r="S80" s="6"/>
      <c r="T80" s="156"/>
      <c r="U80" s="6"/>
    </row>
    <row r="81" spans="1:21" customFormat="1">
      <c r="A81" s="201" t="s">
        <v>2520</v>
      </c>
      <c r="B81" s="100">
        <v>1.56</v>
      </c>
      <c r="C81" s="100">
        <v>10.96</v>
      </c>
      <c r="D81" s="100">
        <v>6.98</v>
      </c>
      <c r="E81" s="100">
        <v>4.68</v>
      </c>
      <c r="F81" s="100">
        <v>5.87</v>
      </c>
      <c r="G81" s="100">
        <v>33.270000000000003</v>
      </c>
      <c r="H81" s="100">
        <v>19.829999999999998</v>
      </c>
      <c r="I81" s="100">
        <v>4.96</v>
      </c>
      <c r="J81" s="100">
        <v>0.23</v>
      </c>
      <c r="K81" s="100">
        <v>167.16</v>
      </c>
      <c r="L81" s="100">
        <v>16.170000000000002</v>
      </c>
      <c r="M81" s="100">
        <v>22.74</v>
      </c>
      <c r="N81" s="100">
        <v>2.9</v>
      </c>
      <c r="O81" s="100">
        <v>0</v>
      </c>
      <c r="P81" s="100">
        <v>0.28999999999999998</v>
      </c>
      <c r="Q81" s="100">
        <v>9.32</v>
      </c>
      <c r="R81" s="6"/>
      <c r="S81" s="6"/>
      <c r="T81" s="156"/>
      <c r="U81" s="6"/>
    </row>
    <row r="82" spans="1:21" customFormat="1">
      <c r="A82" s="201" t="s">
        <v>2521</v>
      </c>
      <c r="B82" s="100">
        <v>1.62</v>
      </c>
      <c r="C82" s="100">
        <v>9.92</v>
      </c>
      <c r="D82" s="100">
        <v>6.48</v>
      </c>
      <c r="E82" s="100">
        <v>4.22</v>
      </c>
      <c r="F82" s="100">
        <v>2</v>
      </c>
      <c r="G82" s="100">
        <v>33.270000000000003</v>
      </c>
      <c r="H82" s="100">
        <v>19.829999999999998</v>
      </c>
      <c r="I82" s="100">
        <v>5.14</v>
      </c>
      <c r="J82" s="100">
        <v>0.19</v>
      </c>
      <c r="K82" s="100">
        <v>178.67</v>
      </c>
      <c r="L82" s="100">
        <v>17.2</v>
      </c>
      <c r="M82" s="100">
        <v>25.31</v>
      </c>
      <c r="N82" s="100">
        <v>2.7</v>
      </c>
      <c r="O82" s="100">
        <v>0</v>
      </c>
      <c r="P82" s="100">
        <v>0.28000000000000003</v>
      </c>
      <c r="Q82" s="100">
        <v>9.32</v>
      </c>
      <c r="R82" s="6"/>
      <c r="S82" s="6"/>
      <c r="T82" s="156"/>
      <c r="U82" s="6"/>
    </row>
    <row r="83" spans="1:21" customFormat="1">
      <c r="A83" s="201" t="s">
        <v>2522</v>
      </c>
      <c r="B83" s="100">
        <v>1.82</v>
      </c>
      <c r="C83" s="100">
        <v>8.76</v>
      </c>
      <c r="D83" s="100">
        <v>6.04</v>
      </c>
      <c r="E83" s="100">
        <v>3.92</v>
      </c>
      <c r="F83" s="100">
        <v>2</v>
      </c>
      <c r="G83" s="100">
        <v>39.19</v>
      </c>
      <c r="H83" s="100">
        <v>22.71</v>
      </c>
      <c r="I83" s="100">
        <v>5.41</v>
      </c>
      <c r="J83" s="100">
        <v>0.21</v>
      </c>
      <c r="K83" s="100">
        <v>166.83</v>
      </c>
      <c r="L83" s="100">
        <v>16.48</v>
      </c>
      <c r="M83" s="100">
        <v>23.51</v>
      </c>
      <c r="N83" s="100">
        <v>2.4</v>
      </c>
      <c r="O83" s="100">
        <v>0</v>
      </c>
      <c r="P83" s="100">
        <v>0.28999999999999998</v>
      </c>
      <c r="Q83" s="100">
        <v>9.31</v>
      </c>
      <c r="R83" s="6"/>
      <c r="S83" s="6"/>
      <c r="T83" s="156"/>
      <c r="U83" s="6"/>
    </row>
    <row r="84" spans="1:21" customFormat="1">
      <c r="A84" s="201" t="s">
        <v>2523</v>
      </c>
      <c r="B84" s="100">
        <v>1.94</v>
      </c>
      <c r="C84" s="100">
        <v>7.88</v>
      </c>
      <c r="D84" s="100">
        <v>5.68</v>
      </c>
      <c r="E84" s="100">
        <v>4.07</v>
      </c>
      <c r="F84" s="100">
        <v>2</v>
      </c>
      <c r="G84" s="100">
        <v>41.34</v>
      </c>
      <c r="H84" s="100">
        <v>22.76</v>
      </c>
      <c r="I84" s="100">
        <v>4.87</v>
      </c>
      <c r="J84" s="100">
        <v>0.2</v>
      </c>
      <c r="K84" s="100">
        <v>177.75</v>
      </c>
      <c r="L84" s="100">
        <v>16.98</v>
      </c>
      <c r="M84" s="100">
        <v>24.78</v>
      </c>
      <c r="N84" s="100">
        <v>2.2999999999999998</v>
      </c>
      <c r="O84" s="100">
        <v>0</v>
      </c>
      <c r="P84" s="100">
        <v>0.27</v>
      </c>
      <c r="Q84" s="100">
        <v>9.33</v>
      </c>
      <c r="R84" s="6"/>
      <c r="S84" s="6"/>
      <c r="T84" s="156"/>
      <c r="U84" s="6"/>
    </row>
    <row r="85" spans="1:21" customFormat="1">
      <c r="A85" s="201" t="s">
        <v>2524</v>
      </c>
      <c r="B85" s="100">
        <v>2.11</v>
      </c>
      <c r="C85" s="100">
        <v>7.26</v>
      </c>
      <c r="D85" s="100">
        <v>5.49</v>
      </c>
      <c r="E85" s="100">
        <v>3.84</v>
      </c>
      <c r="F85" s="100">
        <v>2</v>
      </c>
      <c r="G85" s="100">
        <v>41.34</v>
      </c>
      <c r="H85" s="100">
        <v>22.76</v>
      </c>
      <c r="I85" s="100">
        <v>4.6500000000000004</v>
      </c>
      <c r="J85" s="100">
        <v>0.16</v>
      </c>
      <c r="K85" s="100">
        <v>148.31</v>
      </c>
      <c r="L85" s="100">
        <v>14.65</v>
      </c>
      <c r="M85" s="100">
        <v>18.93</v>
      </c>
      <c r="N85" s="100">
        <v>2.1</v>
      </c>
      <c r="O85" s="100">
        <v>0</v>
      </c>
      <c r="P85" s="100">
        <v>0.26</v>
      </c>
      <c r="Q85" s="100">
        <v>9.32</v>
      </c>
      <c r="R85" s="6"/>
      <c r="S85" s="6"/>
      <c r="T85" s="156"/>
      <c r="U85" s="6"/>
    </row>
    <row r="86" spans="1:21" customFormat="1">
      <c r="A86" s="201" t="s">
        <v>2525</v>
      </c>
      <c r="B86" s="100">
        <v>2.21</v>
      </c>
      <c r="C86" s="100">
        <v>7.34</v>
      </c>
      <c r="D86" s="100">
        <v>5.61</v>
      </c>
      <c r="E86" s="100">
        <v>3.71</v>
      </c>
      <c r="F86" s="100">
        <v>2</v>
      </c>
      <c r="G86" s="100">
        <v>41.34</v>
      </c>
      <c r="H86" s="100">
        <v>22.76</v>
      </c>
      <c r="I86" s="100">
        <v>5.24</v>
      </c>
      <c r="J86" s="100">
        <v>0.2</v>
      </c>
      <c r="K86" s="100">
        <v>164.46</v>
      </c>
      <c r="L86" s="100">
        <v>16.170000000000002</v>
      </c>
      <c r="M86" s="100">
        <v>22.76</v>
      </c>
      <c r="N86" s="100">
        <v>2.2999999999999998</v>
      </c>
      <c r="O86" s="100">
        <v>0</v>
      </c>
      <c r="P86" s="100">
        <v>0.31</v>
      </c>
      <c r="Q86" s="100">
        <v>9.32</v>
      </c>
      <c r="R86" s="6"/>
      <c r="S86" s="6"/>
      <c r="T86" s="156"/>
      <c r="U86" s="6"/>
    </row>
    <row r="87" spans="1:21" customFormat="1">
      <c r="A87" s="201" t="s">
        <v>2526</v>
      </c>
      <c r="B87" s="100">
        <v>2.2799999999999998</v>
      </c>
      <c r="C87" s="100">
        <v>7.77</v>
      </c>
      <c r="D87" s="100">
        <v>5.89</v>
      </c>
      <c r="E87" s="100">
        <v>4.1100000000000003</v>
      </c>
      <c r="F87" s="100">
        <v>2</v>
      </c>
      <c r="G87" s="100">
        <v>42.91</v>
      </c>
      <c r="H87" s="100">
        <v>20.67</v>
      </c>
      <c r="I87" s="100">
        <v>5.31</v>
      </c>
      <c r="J87" s="100">
        <v>0.17</v>
      </c>
      <c r="K87" s="100">
        <v>160.68</v>
      </c>
      <c r="L87" s="100">
        <v>15.64</v>
      </c>
      <c r="M87" s="100">
        <v>21.36</v>
      </c>
      <c r="N87" s="100">
        <v>2.2999999999999998</v>
      </c>
      <c r="O87" s="100">
        <v>0</v>
      </c>
      <c r="P87" s="100">
        <v>0.32</v>
      </c>
      <c r="Q87" s="100">
        <v>9.32</v>
      </c>
      <c r="R87" s="6"/>
      <c r="S87" s="6"/>
      <c r="T87" s="156"/>
      <c r="U87" s="6"/>
    </row>
    <row r="88" spans="1:21" customFormat="1">
      <c r="A88" s="201" t="s">
        <v>2527</v>
      </c>
      <c r="B88" s="100">
        <v>2.63</v>
      </c>
      <c r="C88" s="100">
        <v>7.16</v>
      </c>
      <c r="D88" s="100">
        <v>5.85</v>
      </c>
      <c r="E88" s="100">
        <v>3.36</v>
      </c>
      <c r="F88" s="100">
        <v>2</v>
      </c>
      <c r="G88" s="100">
        <v>43.49</v>
      </c>
      <c r="H88" s="100">
        <v>20.61</v>
      </c>
      <c r="I88" s="100">
        <v>5.46</v>
      </c>
      <c r="J88" s="100">
        <v>0.15</v>
      </c>
      <c r="K88" s="100">
        <v>125.55</v>
      </c>
      <c r="L88" s="100">
        <v>12.32</v>
      </c>
      <c r="M88" s="100">
        <v>12.99</v>
      </c>
      <c r="N88" s="100">
        <v>2.1</v>
      </c>
      <c r="O88" s="100">
        <v>0</v>
      </c>
      <c r="P88" s="100">
        <v>0.32</v>
      </c>
      <c r="Q88" s="100">
        <v>9.33</v>
      </c>
      <c r="R88" s="6"/>
      <c r="S88" s="6"/>
      <c r="T88" s="156"/>
      <c r="U88" s="6"/>
    </row>
    <row r="89" spans="1:21" customFormat="1">
      <c r="A89" s="201" t="s">
        <v>2528</v>
      </c>
      <c r="B89" s="100">
        <v>3.01</v>
      </c>
      <c r="C89" s="100">
        <v>8.49</v>
      </c>
      <c r="D89" s="100">
        <v>6.85</v>
      </c>
      <c r="E89" s="100">
        <v>4.5</v>
      </c>
      <c r="F89" s="100">
        <v>2</v>
      </c>
      <c r="G89" s="100">
        <v>43.49</v>
      </c>
      <c r="H89" s="100">
        <v>20.61</v>
      </c>
      <c r="I89" s="100">
        <v>5.6</v>
      </c>
      <c r="J89" s="100">
        <v>0.11</v>
      </c>
      <c r="K89" s="100">
        <v>124.99</v>
      </c>
      <c r="L89" s="100">
        <v>13.36</v>
      </c>
      <c r="M89" s="100">
        <v>15.62</v>
      </c>
      <c r="N89" s="100">
        <v>2.1</v>
      </c>
      <c r="O89" s="100">
        <v>0</v>
      </c>
      <c r="P89" s="100">
        <v>0.36</v>
      </c>
      <c r="Q89" s="100">
        <v>9.36</v>
      </c>
      <c r="R89" s="6"/>
      <c r="S89" s="6"/>
      <c r="T89" s="156"/>
      <c r="U89" s="6"/>
    </row>
    <row r="90" spans="1:21" customFormat="1">
      <c r="A90" s="201" t="s">
        <v>2529</v>
      </c>
      <c r="B90" s="100">
        <v>3.07</v>
      </c>
      <c r="C90" s="100">
        <v>8.1999999999999993</v>
      </c>
      <c r="D90" s="100">
        <v>6.74</v>
      </c>
      <c r="E90" s="100">
        <v>4.0199999999999996</v>
      </c>
      <c r="F90" s="100">
        <v>2</v>
      </c>
      <c r="G90" s="100">
        <v>43.49</v>
      </c>
      <c r="H90" s="100">
        <v>20.61</v>
      </c>
      <c r="I90" s="100">
        <v>5.88</v>
      </c>
      <c r="J90" s="100">
        <v>0.16</v>
      </c>
      <c r="K90" s="100">
        <v>142.65</v>
      </c>
      <c r="L90" s="100">
        <v>14.03</v>
      </c>
      <c r="M90" s="100">
        <v>17.260000000000002</v>
      </c>
      <c r="N90" s="100">
        <v>2.4</v>
      </c>
      <c r="O90" s="100">
        <v>0</v>
      </c>
      <c r="P90" s="100">
        <v>0.34</v>
      </c>
      <c r="Q90" s="100">
        <v>9.33</v>
      </c>
      <c r="R90" s="6"/>
      <c r="S90" s="6"/>
      <c r="T90" s="156"/>
      <c r="U90" s="6"/>
    </row>
    <row r="91" spans="1:21" customFormat="1">
      <c r="A91" s="201" t="s">
        <v>2530</v>
      </c>
      <c r="B91" s="100">
        <v>3.26</v>
      </c>
      <c r="C91" s="100">
        <v>7.23</v>
      </c>
      <c r="D91" s="100">
        <v>6.39</v>
      </c>
      <c r="E91" s="100">
        <v>3.75</v>
      </c>
      <c r="F91" s="100">
        <v>2</v>
      </c>
      <c r="G91" s="100">
        <v>51.46</v>
      </c>
      <c r="H91" s="100">
        <v>27.85</v>
      </c>
      <c r="I91" s="100">
        <v>6.17</v>
      </c>
      <c r="J91" s="100">
        <v>0.17</v>
      </c>
      <c r="K91" s="100">
        <v>125.85</v>
      </c>
      <c r="L91" s="100">
        <v>12.52</v>
      </c>
      <c r="M91" s="100">
        <v>13.5</v>
      </c>
      <c r="N91" s="100">
        <v>2.2999999999999998</v>
      </c>
      <c r="O91" s="100">
        <v>0</v>
      </c>
      <c r="P91" s="100">
        <v>0.35</v>
      </c>
      <c r="Q91" s="100">
        <v>9.32</v>
      </c>
      <c r="R91" s="6"/>
      <c r="S91" s="6"/>
      <c r="T91" s="156"/>
      <c r="U91" s="6"/>
    </row>
    <row r="92" spans="1:21" customFormat="1">
      <c r="A92" s="201" t="s">
        <v>2531</v>
      </c>
      <c r="B92" s="100">
        <v>3.31</v>
      </c>
      <c r="C92" s="100">
        <v>8</v>
      </c>
      <c r="D92" s="100">
        <v>6.84</v>
      </c>
      <c r="E92" s="100">
        <v>4.1900000000000004</v>
      </c>
      <c r="F92" s="100">
        <v>2</v>
      </c>
      <c r="G92" s="100">
        <v>54.36</v>
      </c>
      <c r="H92" s="100">
        <v>27.96</v>
      </c>
      <c r="I92" s="100">
        <v>6.05</v>
      </c>
      <c r="J92" s="100">
        <v>0.17</v>
      </c>
      <c r="K92" s="100">
        <v>98.97</v>
      </c>
      <c r="L92" s="100">
        <v>11.24</v>
      </c>
      <c r="M92" s="100">
        <v>10.23</v>
      </c>
      <c r="N92" s="100">
        <v>2.1</v>
      </c>
      <c r="O92" s="100">
        <v>0</v>
      </c>
      <c r="P92" s="100">
        <v>0.35</v>
      </c>
      <c r="Q92" s="100">
        <v>9.32</v>
      </c>
      <c r="R92" s="6"/>
      <c r="S92" s="6"/>
      <c r="T92" s="156"/>
      <c r="U92" s="6"/>
    </row>
    <row r="93" spans="1:21" customFormat="1">
      <c r="A93" s="201" t="s">
        <v>2532</v>
      </c>
      <c r="B93" s="100">
        <v>3.52</v>
      </c>
      <c r="C93" s="100">
        <v>7.24</v>
      </c>
      <c r="D93" s="100">
        <v>6.61</v>
      </c>
      <c r="E93" s="100">
        <v>3.49</v>
      </c>
      <c r="F93" s="100">
        <v>2</v>
      </c>
      <c r="G93" s="100">
        <v>54.36</v>
      </c>
      <c r="H93" s="100">
        <v>27.96</v>
      </c>
      <c r="I93" s="100">
        <v>6</v>
      </c>
      <c r="J93" s="100">
        <v>0.2</v>
      </c>
      <c r="K93" s="100">
        <v>63.8</v>
      </c>
      <c r="L93" s="100">
        <v>8.2799999999999994</v>
      </c>
      <c r="M93" s="100">
        <v>2.64</v>
      </c>
      <c r="N93" s="100">
        <v>2.1</v>
      </c>
      <c r="O93" s="100">
        <v>0</v>
      </c>
      <c r="P93" s="100">
        <v>0.35</v>
      </c>
      <c r="Q93" s="100">
        <v>9.32</v>
      </c>
      <c r="R93" s="6"/>
      <c r="S93" s="6"/>
      <c r="T93" s="156"/>
      <c r="U93" s="6"/>
    </row>
    <row r="94" spans="1:21" customFormat="1">
      <c r="A94" s="201" t="s">
        <v>2533</v>
      </c>
      <c r="B94" s="100">
        <v>4.33</v>
      </c>
      <c r="C94" s="100">
        <v>8.09</v>
      </c>
      <c r="D94" s="100">
        <v>7.7</v>
      </c>
      <c r="E94" s="100">
        <v>3.9</v>
      </c>
      <c r="F94" s="100">
        <v>2</v>
      </c>
      <c r="G94" s="100">
        <v>54.36</v>
      </c>
      <c r="H94" s="100">
        <v>27.96</v>
      </c>
      <c r="I94" s="100">
        <v>6.04</v>
      </c>
      <c r="J94" s="100">
        <v>0.25</v>
      </c>
      <c r="K94" s="100">
        <v>53</v>
      </c>
      <c r="L94" s="100">
        <v>8.1</v>
      </c>
      <c r="M94" s="100">
        <v>2.2400000000000002</v>
      </c>
      <c r="N94" s="100">
        <v>2.2000000000000002</v>
      </c>
      <c r="O94" s="100">
        <v>0</v>
      </c>
      <c r="P94" s="100">
        <v>0.37</v>
      </c>
      <c r="Q94" s="100">
        <v>9.32</v>
      </c>
      <c r="R94" s="6"/>
      <c r="S94" s="6"/>
      <c r="T94" s="156"/>
      <c r="U94" s="6"/>
    </row>
    <row r="95" spans="1:21" customFormat="1">
      <c r="A95" s="201" t="s">
        <v>2534</v>
      </c>
      <c r="B95" s="100">
        <v>4.47</v>
      </c>
      <c r="C95" s="100">
        <v>7.94</v>
      </c>
      <c r="D95" s="100">
        <v>7.73</v>
      </c>
      <c r="E95" s="100">
        <v>3.73</v>
      </c>
      <c r="F95" s="100">
        <v>2</v>
      </c>
      <c r="G95" s="100">
        <v>60.27</v>
      </c>
      <c r="H95" s="100">
        <v>29.51</v>
      </c>
      <c r="I95" s="100">
        <v>6.08</v>
      </c>
      <c r="J95" s="100">
        <v>0.13</v>
      </c>
      <c r="K95" s="100">
        <v>59.96</v>
      </c>
      <c r="L95" s="100">
        <v>13.18</v>
      </c>
      <c r="M95" s="100">
        <v>14.94</v>
      </c>
      <c r="N95" s="100">
        <v>2.2999999999999998</v>
      </c>
      <c r="O95" s="100">
        <v>0</v>
      </c>
      <c r="P95" s="100">
        <v>0.36</v>
      </c>
      <c r="Q95" s="100">
        <v>9.35</v>
      </c>
      <c r="R95" s="6"/>
      <c r="S95" s="6"/>
      <c r="T95" s="156"/>
      <c r="U95" s="6"/>
    </row>
    <row r="96" spans="1:21" customFormat="1">
      <c r="A96" s="201" t="s">
        <v>2535</v>
      </c>
      <c r="B96" s="100">
        <v>4.5599999999999996</v>
      </c>
      <c r="C96" s="100">
        <v>7.28</v>
      </c>
      <c r="D96" s="100">
        <v>7.46</v>
      </c>
      <c r="E96" s="100">
        <v>3.55</v>
      </c>
      <c r="F96" s="100">
        <v>2</v>
      </c>
      <c r="G96" s="100">
        <v>62.42</v>
      </c>
      <c r="H96" s="100">
        <v>29.53</v>
      </c>
      <c r="I96" s="100">
        <v>6.19</v>
      </c>
      <c r="J96" s="100">
        <v>0.18</v>
      </c>
      <c r="K96" s="100">
        <v>157.24</v>
      </c>
      <c r="L96" s="100">
        <v>15.13</v>
      </c>
      <c r="M96" s="100">
        <v>20.170000000000002</v>
      </c>
      <c r="N96" s="100">
        <v>2.5</v>
      </c>
      <c r="O96" s="100">
        <v>0</v>
      </c>
      <c r="P96" s="100">
        <v>0.36</v>
      </c>
      <c r="Q96" s="100">
        <v>9.5399999999999991</v>
      </c>
      <c r="R96" s="6"/>
      <c r="S96" s="6"/>
      <c r="T96" s="156"/>
      <c r="U96" s="6"/>
    </row>
    <row r="97" spans="1:28" customFormat="1">
      <c r="A97" s="201" t="s">
        <v>2536</v>
      </c>
      <c r="B97" s="100">
        <v>4.54</v>
      </c>
      <c r="C97" s="100">
        <v>7.04</v>
      </c>
      <c r="D97" s="100">
        <v>7.32</v>
      </c>
      <c r="E97" s="100">
        <v>3.73</v>
      </c>
      <c r="F97" s="100">
        <v>2</v>
      </c>
      <c r="G97" s="100">
        <v>62.42</v>
      </c>
      <c r="H97" s="100">
        <v>29.53</v>
      </c>
      <c r="I97" s="100">
        <v>6.16</v>
      </c>
      <c r="J97" s="100">
        <v>0.13</v>
      </c>
      <c r="K97" s="100">
        <v>137.69999999999999</v>
      </c>
      <c r="L97" s="100">
        <v>13.31</v>
      </c>
      <c r="M97" s="100">
        <v>15.53</v>
      </c>
      <c r="N97" s="100">
        <v>2.2999999999999998</v>
      </c>
      <c r="O97" s="100">
        <v>0</v>
      </c>
      <c r="P97" s="100">
        <v>0.36</v>
      </c>
      <c r="Q97" s="100">
        <v>9.48</v>
      </c>
      <c r="R97" s="6"/>
      <c r="S97" s="6"/>
      <c r="T97" s="156"/>
      <c r="U97" s="6"/>
    </row>
    <row r="98" spans="1:28" customFormat="1">
      <c r="A98" s="201" t="s">
        <v>2537</v>
      </c>
      <c r="B98" s="100">
        <v>4.82</v>
      </c>
      <c r="C98" s="100">
        <v>7.3</v>
      </c>
      <c r="D98" s="100">
        <v>7.68</v>
      </c>
      <c r="E98" s="100">
        <v>3.58</v>
      </c>
      <c r="F98" s="100">
        <v>2</v>
      </c>
      <c r="G98" s="100">
        <v>62.42</v>
      </c>
      <c r="H98" s="100">
        <v>29.53</v>
      </c>
      <c r="I98" s="100">
        <v>6.11</v>
      </c>
      <c r="J98" s="100">
        <v>0.22</v>
      </c>
      <c r="K98" s="100">
        <v>66.41</v>
      </c>
      <c r="L98" s="100">
        <v>8.92</v>
      </c>
      <c r="M98" s="100">
        <v>4.38</v>
      </c>
      <c r="N98" s="100">
        <v>2.1</v>
      </c>
      <c r="O98" s="100">
        <v>0</v>
      </c>
      <c r="P98" s="100">
        <v>0.37</v>
      </c>
      <c r="Q98" s="100">
        <v>9.49</v>
      </c>
      <c r="R98" s="6"/>
      <c r="S98" s="6"/>
      <c r="T98" s="156"/>
      <c r="U98" s="6"/>
    </row>
    <row r="99" spans="1:28" customFormat="1">
      <c r="A99" s="201" t="s">
        <v>2538</v>
      </c>
      <c r="B99" s="100">
        <v>4.82</v>
      </c>
      <c r="C99" s="100">
        <v>7.22</v>
      </c>
      <c r="D99" s="100">
        <v>7.64</v>
      </c>
      <c r="E99" s="100">
        <v>3.62</v>
      </c>
      <c r="F99" s="100">
        <v>2</v>
      </c>
      <c r="G99" s="100">
        <v>63.8</v>
      </c>
      <c r="H99" s="100">
        <v>29.31</v>
      </c>
      <c r="I99" s="100">
        <v>6.15</v>
      </c>
      <c r="J99" s="100">
        <v>0.19</v>
      </c>
      <c r="K99" s="100">
        <v>139.35</v>
      </c>
      <c r="L99" s="100">
        <v>13.91</v>
      </c>
      <c r="M99" s="100">
        <v>17.04</v>
      </c>
      <c r="N99" s="100">
        <v>2.2999999999999998</v>
      </c>
      <c r="O99" s="100">
        <v>0</v>
      </c>
      <c r="P99" s="100">
        <v>0.37</v>
      </c>
      <c r="Q99" s="100">
        <v>9.3699999999999992</v>
      </c>
      <c r="R99" s="6"/>
      <c r="S99" s="6"/>
      <c r="T99" s="156"/>
      <c r="U99" s="6"/>
    </row>
    <row r="100" spans="1:28" customFormat="1">
      <c r="A100" s="201" t="s">
        <v>2539</v>
      </c>
      <c r="B100" s="100">
        <v>5</v>
      </c>
      <c r="C100" s="100">
        <v>7.14</v>
      </c>
      <c r="D100" s="100">
        <v>7.74</v>
      </c>
      <c r="E100" s="100">
        <v>3.62</v>
      </c>
      <c r="F100" s="100">
        <v>2</v>
      </c>
      <c r="G100" s="100">
        <v>64.31</v>
      </c>
      <c r="H100" s="100">
        <v>29.31</v>
      </c>
      <c r="I100" s="100">
        <v>6.2</v>
      </c>
      <c r="J100" s="100">
        <v>0.12</v>
      </c>
      <c r="K100" s="100">
        <v>99.77</v>
      </c>
      <c r="L100" s="100">
        <v>11.58</v>
      </c>
      <c r="M100" s="100">
        <v>11.11</v>
      </c>
      <c r="N100" s="100">
        <v>2.4</v>
      </c>
      <c r="O100" s="100">
        <v>0</v>
      </c>
      <c r="P100" s="100">
        <v>0.37</v>
      </c>
      <c r="Q100" s="100">
        <v>9.35</v>
      </c>
      <c r="R100" s="6"/>
      <c r="S100" s="6"/>
      <c r="T100" s="156"/>
      <c r="U100" s="6"/>
      <c r="AB100" s="161"/>
    </row>
    <row r="101" spans="1:28" customFormat="1">
      <c r="A101" s="201" t="s">
        <v>2540</v>
      </c>
      <c r="B101" s="100">
        <v>5.0199999999999996</v>
      </c>
      <c r="C101" s="100">
        <v>7.52</v>
      </c>
      <c r="D101" s="100">
        <v>7.96</v>
      </c>
      <c r="E101" s="100">
        <v>4.05</v>
      </c>
      <c r="F101" s="100">
        <v>2</v>
      </c>
      <c r="G101" s="100">
        <v>64.31</v>
      </c>
      <c r="H101" s="100">
        <v>29.31</v>
      </c>
      <c r="I101" s="100">
        <v>6.23</v>
      </c>
      <c r="J101" s="100">
        <v>0.12</v>
      </c>
      <c r="K101" s="100">
        <v>168.54</v>
      </c>
      <c r="L101" s="100">
        <v>15.28</v>
      </c>
      <c r="M101" s="100">
        <v>20.440000000000001</v>
      </c>
      <c r="N101" s="100">
        <v>2.4</v>
      </c>
      <c r="O101" s="100">
        <v>0</v>
      </c>
      <c r="P101" s="100">
        <v>0.36</v>
      </c>
      <c r="Q101" s="100">
        <v>9.33</v>
      </c>
      <c r="R101" s="6"/>
      <c r="S101" s="6"/>
      <c r="T101" s="156"/>
      <c r="U101" s="6"/>
    </row>
    <row r="102" spans="1:28" customFormat="1">
      <c r="A102" s="201" t="s">
        <v>2541</v>
      </c>
      <c r="B102" s="100">
        <v>5.16</v>
      </c>
      <c r="C102" s="100">
        <v>6.79</v>
      </c>
      <c r="D102" s="100">
        <v>7.69</v>
      </c>
      <c r="E102" s="100">
        <v>3.88</v>
      </c>
      <c r="F102" s="100">
        <v>2</v>
      </c>
      <c r="G102" s="100">
        <v>64.31</v>
      </c>
      <c r="H102" s="100">
        <v>29.31</v>
      </c>
      <c r="I102" s="100">
        <v>6.31</v>
      </c>
      <c r="J102" s="100">
        <v>0.11</v>
      </c>
      <c r="K102" s="100">
        <v>179.82</v>
      </c>
      <c r="L102" s="100">
        <v>16.690000000000001</v>
      </c>
      <c r="M102" s="100">
        <v>24.06</v>
      </c>
      <c r="N102" s="100">
        <v>2.4</v>
      </c>
      <c r="O102" s="100">
        <v>0</v>
      </c>
      <c r="P102" s="100">
        <v>0.37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2542</v>
      </c>
      <c r="B103" s="100">
        <v>4.9800000000000004</v>
      </c>
      <c r="C103" s="100">
        <v>6.68</v>
      </c>
      <c r="D103" s="100">
        <v>7.49</v>
      </c>
      <c r="E103" s="100">
        <v>3.86</v>
      </c>
      <c r="F103" s="100">
        <v>2</v>
      </c>
      <c r="G103" s="100">
        <v>66.25</v>
      </c>
      <c r="H103" s="100">
        <v>31.71</v>
      </c>
      <c r="I103" s="100">
        <v>6.35</v>
      </c>
      <c r="J103" s="100">
        <v>0.13</v>
      </c>
      <c r="K103" s="100">
        <v>152.4</v>
      </c>
      <c r="L103" s="100">
        <v>14.92</v>
      </c>
      <c r="M103" s="100">
        <v>19.59</v>
      </c>
      <c r="N103" s="100">
        <v>2.4</v>
      </c>
      <c r="O103" s="100">
        <v>0</v>
      </c>
      <c r="P103" s="100">
        <v>0.36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2543</v>
      </c>
      <c r="B104" s="100">
        <v>5.25</v>
      </c>
      <c r="C104" s="100">
        <v>6.43</v>
      </c>
      <c r="D104" s="100">
        <v>7.57</v>
      </c>
      <c r="E104" s="100">
        <v>4.3899999999999997</v>
      </c>
      <c r="F104" s="100">
        <v>2</v>
      </c>
      <c r="G104" s="100">
        <v>66.959999999999994</v>
      </c>
      <c r="H104" s="100">
        <v>31.76</v>
      </c>
      <c r="I104" s="100">
        <v>6.31</v>
      </c>
      <c r="J104" s="100">
        <v>0.2</v>
      </c>
      <c r="K104" s="100">
        <v>146.33000000000001</v>
      </c>
      <c r="L104" s="100">
        <v>14.6</v>
      </c>
      <c r="M104" s="100">
        <v>18.850000000000001</v>
      </c>
      <c r="N104" s="100">
        <v>2.1</v>
      </c>
      <c r="O104" s="100">
        <v>0</v>
      </c>
      <c r="P104" s="100">
        <v>0.37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1.56</v>
      </c>
      <c r="C106" s="158">
        <f>MIN(C9:C104)</f>
        <v>6</v>
      </c>
      <c r="D106" s="158">
        <f t="shared" ref="D106:Q106" si="0">MIN(D9:D104)</f>
        <v>4.8499999999999996</v>
      </c>
      <c r="E106" s="158">
        <f t="shared" si="0"/>
        <v>3.36</v>
      </c>
      <c r="F106" s="158">
        <f t="shared" si="0"/>
        <v>2</v>
      </c>
      <c r="G106" s="158">
        <f t="shared" si="0"/>
        <v>21.38</v>
      </c>
      <c r="H106" s="158">
        <f t="shared" si="0"/>
        <v>15.82</v>
      </c>
      <c r="I106" s="158">
        <f t="shared" si="0"/>
        <v>2.35</v>
      </c>
      <c r="J106" s="158">
        <f t="shared" si="0"/>
        <v>0.01</v>
      </c>
      <c r="K106" s="158">
        <f t="shared" si="0"/>
        <v>4.4000000000000004</v>
      </c>
      <c r="L106" s="158">
        <f t="shared" si="0"/>
        <v>6.16</v>
      </c>
      <c r="M106" s="158">
        <f t="shared" si="0"/>
        <v>-3.79</v>
      </c>
      <c r="N106" s="158">
        <f t="shared" si="0"/>
        <v>2</v>
      </c>
      <c r="O106" s="158">
        <f t="shared" si="0"/>
        <v>0</v>
      </c>
      <c r="P106" s="158">
        <f t="shared" si="0"/>
        <v>0.19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8.31</v>
      </c>
      <c r="C107" s="157">
        <f t="shared" ref="C107:Q107" si="1">MAX(C9:C104)</f>
        <v>11.89</v>
      </c>
      <c r="D107" s="157">
        <f t="shared" si="1"/>
        <v>10.64</v>
      </c>
      <c r="E107" s="157">
        <f t="shared" si="1"/>
        <v>7.98</v>
      </c>
      <c r="F107" s="157">
        <f t="shared" si="1"/>
        <v>23.54</v>
      </c>
      <c r="G107" s="157">
        <f t="shared" si="1"/>
        <v>71.2</v>
      </c>
      <c r="H107" s="157">
        <f t="shared" si="1"/>
        <v>36.619999999999997</v>
      </c>
      <c r="I107" s="157">
        <f t="shared" si="1"/>
        <v>6.35</v>
      </c>
      <c r="J107" s="157">
        <f t="shared" si="1"/>
        <v>0.61</v>
      </c>
      <c r="K107" s="157">
        <f t="shared" si="1"/>
        <v>267</v>
      </c>
      <c r="L107" s="157">
        <f t="shared" si="1"/>
        <v>23.43</v>
      </c>
      <c r="M107" s="157">
        <f t="shared" si="1"/>
        <v>40.64</v>
      </c>
      <c r="N107" s="157">
        <f t="shared" si="1"/>
        <v>710.5</v>
      </c>
      <c r="O107" s="157">
        <f t="shared" si="1"/>
        <v>0</v>
      </c>
      <c r="P107" s="157">
        <f t="shared" si="1"/>
        <v>0.4</v>
      </c>
      <c r="Q107" s="157">
        <f t="shared" si="1"/>
        <v>9.59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4.3122916666666677</v>
      </c>
      <c r="C108" s="158">
        <f t="shared" ref="C108:Q108" si="2">AVERAGE(C9:C104)</f>
        <v>7.6697916666666641</v>
      </c>
      <c r="D108" s="158">
        <f t="shared" si="2"/>
        <v>7.4660416666666682</v>
      </c>
      <c r="E108" s="158">
        <f t="shared" si="2"/>
        <v>5.9579166666666685</v>
      </c>
      <c r="F108" s="158">
        <f t="shared" si="2"/>
        <v>4.9321874999999995</v>
      </c>
      <c r="G108" s="158">
        <f t="shared" si="2"/>
        <v>49.230543478260891</v>
      </c>
      <c r="H108" s="158">
        <f t="shared" si="2"/>
        <v>27.383478260869584</v>
      </c>
      <c r="I108" s="158">
        <f t="shared" si="2"/>
        <v>4.1338541666666684</v>
      </c>
      <c r="J108" s="158">
        <f t="shared" si="2"/>
        <v>0.23802083333333343</v>
      </c>
      <c r="K108" s="158">
        <f t="shared" si="2"/>
        <v>105.23510416666664</v>
      </c>
      <c r="L108" s="158">
        <f t="shared" si="2"/>
        <v>13.449999999999998</v>
      </c>
      <c r="M108" s="158">
        <f t="shared" si="2"/>
        <v>12.839270833333336</v>
      </c>
      <c r="N108" s="158">
        <f t="shared" si="2"/>
        <v>125.52812499999995</v>
      </c>
      <c r="O108" s="158">
        <f t="shared" si="2"/>
        <v>0</v>
      </c>
      <c r="P108" s="158">
        <f t="shared" si="2"/>
        <v>0.32375000000000015</v>
      </c>
      <c r="Q108" s="158">
        <f t="shared" si="2"/>
        <v>9.3368750000000134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2.3224485623069024</v>
      </c>
      <c r="C109" s="158">
        <f t="shared" ref="C109:Q109" si="3">STDEV(C9:C104)</f>
        <v>1.2046427547894436</v>
      </c>
      <c r="D109" s="158">
        <f t="shared" si="3"/>
        <v>1.6809630567759588</v>
      </c>
      <c r="E109" s="158">
        <f t="shared" si="3"/>
        <v>1.4750963691385013</v>
      </c>
      <c r="F109" s="158">
        <f t="shared" si="3"/>
        <v>5.3593316950068752</v>
      </c>
      <c r="G109" s="158">
        <f t="shared" si="3"/>
        <v>14.686433327299302</v>
      </c>
      <c r="H109" s="158">
        <f t="shared" si="3"/>
        <v>5.9337908189485127</v>
      </c>
      <c r="I109" s="158">
        <f t="shared" si="3"/>
        <v>1.1260712979125447</v>
      </c>
      <c r="J109" s="158">
        <f t="shared" si="3"/>
        <v>0.12052184594867918</v>
      </c>
      <c r="K109" s="158">
        <f t="shared" si="3"/>
        <v>52.438201502636872</v>
      </c>
      <c r="L109" s="158">
        <f t="shared" si="3"/>
        <v>3.6304577063911307</v>
      </c>
      <c r="M109" s="158">
        <f t="shared" si="3"/>
        <v>8.5410477903742059</v>
      </c>
      <c r="N109" s="158">
        <f t="shared" si="3"/>
        <v>202.57161837009389</v>
      </c>
      <c r="O109" s="158">
        <f t="shared" si="3"/>
        <v>0</v>
      </c>
      <c r="P109" s="158">
        <f t="shared" si="3"/>
        <v>6.3813049317187981E-2</v>
      </c>
      <c r="Q109" s="158">
        <f t="shared" si="3"/>
        <v>4.691117025546078E-2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J15" sqref="J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2544</v>
      </c>
      <c r="B9" s="100">
        <v>5.27</v>
      </c>
      <c r="C9" s="100">
        <v>6.63</v>
      </c>
      <c r="D9" s="100">
        <v>7.69</v>
      </c>
      <c r="E9" s="100">
        <v>3.92</v>
      </c>
      <c r="F9" s="100">
        <v>2</v>
      </c>
      <c r="G9" s="100">
        <v>66.959999999999994</v>
      </c>
      <c r="H9" s="100">
        <v>31.76</v>
      </c>
      <c r="I9" s="100">
        <v>6.33</v>
      </c>
      <c r="J9" s="100">
        <v>0.14000000000000001</v>
      </c>
      <c r="K9" s="100">
        <v>160.03</v>
      </c>
      <c r="L9" s="100">
        <v>15.18</v>
      </c>
      <c r="M9" s="100">
        <v>20.28</v>
      </c>
      <c r="N9" s="100">
        <v>2.1</v>
      </c>
      <c r="O9" s="100">
        <v>0</v>
      </c>
      <c r="P9" s="100">
        <v>0.35</v>
      </c>
      <c r="Q9" s="100">
        <v>9.32</v>
      </c>
      <c r="R9" s="6"/>
      <c r="S9" s="6"/>
      <c r="T9" s="156"/>
      <c r="U9" s="6"/>
    </row>
    <row r="10" spans="1:21" customFormat="1">
      <c r="A10" s="201" t="s">
        <v>2545</v>
      </c>
      <c r="B10" s="100">
        <v>5.14</v>
      </c>
      <c r="C10" s="100">
        <v>6.52</v>
      </c>
      <c r="D10" s="100">
        <v>7.53</v>
      </c>
      <c r="E10" s="100">
        <v>3.98</v>
      </c>
      <c r="F10" s="100">
        <v>2</v>
      </c>
      <c r="G10" s="100">
        <v>66.959999999999994</v>
      </c>
      <c r="H10" s="100">
        <v>31.76</v>
      </c>
      <c r="I10" s="100">
        <v>6.34</v>
      </c>
      <c r="J10" s="100">
        <v>0.15</v>
      </c>
      <c r="K10" s="100">
        <v>159.01</v>
      </c>
      <c r="L10" s="100">
        <v>15.69</v>
      </c>
      <c r="M10" s="100">
        <v>21.58</v>
      </c>
      <c r="N10" s="100">
        <v>2.2999999999999998</v>
      </c>
      <c r="O10" s="100">
        <v>0</v>
      </c>
      <c r="P10" s="100">
        <v>0.33</v>
      </c>
      <c r="Q10" s="100">
        <v>9.32</v>
      </c>
      <c r="R10" s="6"/>
      <c r="S10" s="6"/>
      <c r="T10" s="156"/>
      <c r="U10" s="6"/>
    </row>
    <row r="11" spans="1:21" customFormat="1">
      <c r="A11" s="201" t="s">
        <v>2546</v>
      </c>
      <c r="B11" s="100">
        <v>5.05</v>
      </c>
      <c r="C11" s="100">
        <v>6.46</v>
      </c>
      <c r="D11" s="100">
        <v>7.42</v>
      </c>
      <c r="E11" s="100">
        <v>4.26</v>
      </c>
      <c r="F11" s="100">
        <v>2</v>
      </c>
      <c r="G11" s="100">
        <v>62.18</v>
      </c>
      <c r="H11" s="100">
        <v>32.44</v>
      </c>
      <c r="I11" s="100">
        <v>6.25</v>
      </c>
      <c r="J11" s="100">
        <v>0.12</v>
      </c>
      <c r="K11" s="100">
        <v>120.96</v>
      </c>
      <c r="L11" s="100">
        <v>12.55</v>
      </c>
      <c r="M11" s="100">
        <v>13.58</v>
      </c>
      <c r="N11" s="100">
        <v>2.2000000000000002</v>
      </c>
      <c r="O11" s="100">
        <v>0</v>
      </c>
      <c r="P11" s="100">
        <v>0.33</v>
      </c>
      <c r="Q11" s="100">
        <v>9.32</v>
      </c>
      <c r="R11" s="6"/>
      <c r="S11" s="6"/>
      <c r="T11" s="156"/>
      <c r="U11" s="6"/>
    </row>
    <row r="12" spans="1:21" customFormat="1">
      <c r="A12" s="201" t="s">
        <v>2547</v>
      </c>
      <c r="B12" s="100">
        <v>5.03</v>
      </c>
      <c r="C12" s="100">
        <v>6.5</v>
      </c>
      <c r="D12" s="100">
        <v>7.43</v>
      </c>
      <c r="E12" s="100">
        <v>4.3499999999999996</v>
      </c>
      <c r="F12" s="100">
        <v>2</v>
      </c>
      <c r="G12" s="100">
        <v>60.45</v>
      </c>
      <c r="H12" s="100">
        <v>32.450000000000003</v>
      </c>
      <c r="I12" s="100">
        <v>6.15</v>
      </c>
      <c r="J12" s="100">
        <v>0.15</v>
      </c>
      <c r="K12" s="100">
        <v>151.36000000000001</v>
      </c>
      <c r="L12" s="100">
        <v>15.29</v>
      </c>
      <c r="M12" s="100">
        <v>20.54</v>
      </c>
      <c r="N12" s="100">
        <v>2.2000000000000002</v>
      </c>
      <c r="O12" s="100">
        <v>0</v>
      </c>
      <c r="P12" s="100">
        <v>0.33</v>
      </c>
      <c r="Q12" s="100">
        <v>9.32</v>
      </c>
      <c r="R12" s="6"/>
      <c r="S12" s="6"/>
      <c r="T12" s="156"/>
      <c r="U12" s="6"/>
    </row>
    <row r="13" spans="1:21" customFormat="1">
      <c r="A13" s="201" t="s">
        <v>2548</v>
      </c>
      <c r="B13" s="100">
        <v>5.0199999999999996</v>
      </c>
      <c r="C13" s="100">
        <v>6.63</v>
      </c>
      <c r="D13" s="100">
        <v>7.49</v>
      </c>
      <c r="E13" s="100">
        <v>4.37</v>
      </c>
      <c r="F13" s="100">
        <v>2</v>
      </c>
      <c r="G13" s="100">
        <v>60.45</v>
      </c>
      <c r="H13" s="100">
        <v>32.450000000000003</v>
      </c>
      <c r="I13" s="100">
        <v>6.11</v>
      </c>
      <c r="J13" s="100">
        <v>0.12</v>
      </c>
      <c r="K13" s="100">
        <v>149.21</v>
      </c>
      <c r="L13" s="100">
        <v>15.12</v>
      </c>
      <c r="M13" s="100">
        <v>20.100000000000001</v>
      </c>
      <c r="N13" s="100">
        <v>2.2999999999999998</v>
      </c>
      <c r="O13" s="100">
        <v>0</v>
      </c>
      <c r="P13" s="100">
        <v>0.32</v>
      </c>
      <c r="Q13" s="100">
        <v>9.5500000000000007</v>
      </c>
      <c r="R13" s="6"/>
      <c r="S13" s="6"/>
      <c r="T13" s="156"/>
      <c r="U13" s="6"/>
    </row>
    <row r="14" spans="1:21" customFormat="1">
      <c r="A14" s="201" t="s">
        <v>2549</v>
      </c>
      <c r="B14" s="100">
        <v>5.0199999999999996</v>
      </c>
      <c r="C14" s="100">
        <v>6.59</v>
      </c>
      <c r="D14" s="100">
        <v>7.47</v>
      </c>
      <c r="E14" s="100">
        <v>4.38</v>
      </c>
      <c r="F14" s="100">
        <v>2</v>
      </c>
      <c r="G14" s="100">
        <v>60.45</v>
      </c>
      <c r="H14" s="100">
        <v>32.450000000000003</v>
      </c>
      <c r="I14" s="100">
        <v>6.09</v>
      </c>
      <c r="J14" s="100">
        <v>0.11</v>
      </c>
      <c r="K14" s="100">
        <v>92.42</v>
      </c>
      <c r="L14" s="100">
        <v>10.86</v>
      </c>
      <c r="M14" s="100">
        <v>9.27</v>
      </c>
      <c r="N14" s="100">
        <v>2.2000000000000002</v>
      </c>
      <c r="O14" s="100">
        <v>0</v>
      </c>
      <c r="P14" s="100">
        <v>0.31</v>
      </c>
      <c r="Q14" s="100">
        <v>9.49</v>
      </c>
      <c r="R14" s="6"/>
      <c r="S14" s="6"/>
      <c r="T14" s="156"/>
      <c r="U14" s="6"/>
    </row>
    <row r="15" spans="1:21" customFormat="1">
      <c r="A15" s="201" t="s">
        <v>2550</v>
      </c>
      <c r="B15" s="100">
        <v>5.05</v>
      </c>
      <c r="C15" s="100">
        <v>6.7</v>
      </c>
      <c r="D15" s="100">
        <v>7.55</v>
      </c>
      <c r="E15" s="100">
        <v>4.37</v>
      </c>
      <c r="F15" s="100">
        <v>2</v>
      </c>
      <c r="G15" s="100">
        <v>58.71</v>
      </c>
      <c r="H15" s="100">
        <v>28.01</v>
      </c>
      <c r="I15" s="100">
        <v>6.04</v>
      </c>
      <c r="J15" s="100">
        <v>0.11</v>
      </c>
      <c r="K15" s="100">
        <v>123.89</v>
      </c>
      <c r="L15" s="100">
        <v>12.23</v>
      </c>
      <c r="M15" s="100">
        <v>12.8</v>
      </c>
      <c r="N15" s="100">
        <v>2.2999999999999998</v>
      </c>
      <c r="O15" s="100">
        <v>0</v>
      </c>
      <c r="P15" s="100">
        <v>0.31</v>
      </c>
      <c r="Q15" s="100">
        <v>9.32</v>
      </c>
      <c r="R15" s="6"/>
      <c r="S15" s="6"/>
      <c r="T15" s="156"/>
      <c r="U15" s="6"/>
    </row>
    <row r="16" spans="1:21" customFormat="1">
      <c r="A16" s="201" t="s">
        <v>2551</v>
      </c>
      <c r="B16" s="100">
        <v>5.18</v>
      </c>
      <c r="C16" s="100">
        <v>6.62</v>
      </c>
      <c r="D16" s="100">
        <v>7.61</v>
      </c>
      <c r="E16" s="100">
        <v>4.59</v>
      </c>
      <c r="F16" s="100">
        <v>2</v>
      </c>
      <c r="G16" s="100">
        <v>58.08</v>
      </c>
      <c r="H16" s="100">
        <v>27.87</v>
      </c>
      <c r="I16" s="100">
        <v>6.01</v>
      </c>
      <c r="J16" s="100">
        <v>0.12</v>
      </c>
      <c r="K16" s="100">
        <v>75.14</v>
      </c>
      <c r="L16" s="100">
        <v>9.5399999999999991</v>
      </c>
      <c r="M16" s="100">
        <v>5.92</v>
      </c>
      <c r="N16" s="100">
        <v>2.1</v>
      </c>
      <c r="O16" s="100">
        <v>0</v>
      </c>
      <c r="P16" s="100">
        <v>0.31</v>
      </c>
      <c r="Q16" s="100">
        <v>9.32</v>
      </c>
      <c r="R16" s="6"/>
      <c r="S16" s="6"/>
      <c r="T16" s="156"/>
      <c r="U16" s="6"/>
    </row>
    <row r="17" spans="1:21" customFormat="1">
      <c r="A17" s="201" t="s">
        <v>2552</v>
      </c>
      <c r="B17" s="100">
        <v>5.28</v>
      </c>
      <c r="C17" s="100">
        <v>6.56</v>
      </c>
      <c r="D17" s="100">
        <v>7.66</v>
      </c>
      <c r="E17" s="100">
        <v>4.29</v>
      </c>
      <c r="F17" s="100">
        <v>2</v>
      </c>
      <c r="G17" s="100">
        <v>58.08</v>
      </c>
      <c r="H17" s="100">
        <v>27.87</v>
      </c>
      <c r="I17" s="100">
        <v>6</v>
      </c>
      <c r="J17" s="100">
        <v>0.19</v>
      </c>
      <c r="K17" s="100">
        <v>136</v>
      </c>
      <c r="L17" s="100">
        <v>12.94</v>
      </c>
      <c r="M17" s="100">
        <v>14.6</v>
      </c>
      <c r="N17" s="100">
        <v>2.1</v>
      </c>
      <c r="O17" s="100">
        <v>0</v>
      </c>
      <c r="P17" s="100">
        <v>0.31</v>
      </c>
      <c r="Q17" s="100">
        <v>9.32</v>
      </c>
      <c r="R17" s="6"/>
      <c r="S17" s="6"/>
      <c r="T17" s="156"/>
      <c r="U17" s="6"/>
    </row>
    <row r="18" spans="1:21" customFormat="1">
      <c r="A18" s="201" t="s">
        <v>2553</v>
      </c>
      <c r="B18" s="100">
        <v>5.25</v>
      </c>
      <c r="C18" s="100">
        <v>6.4</v>
      </c>
      <c r="D18" s="100">
        <v>7.55</v>
      </c>
      <c r="E18" s="100">
        <v>5.05</v>
      </c>
      <c r="F18" s="100">
        <v>2</v>
      </c>
      <c r="G18" s="100">
        <v>58.08</v>
      </c>
      <c r="H18" s="100">
        <v>27.87</v>
      </c>
      <c r="I18" s="100">
        <v>5.94</v>
      </c>
      <c r="J18" s="100">
        <v>0.19</v>
      </c>
      <c r="K18" s="100">
        <v>145.51</v>
      </c>
      <c r="L18" s="100">
        <v>14.29</v>
      </c>
      <c r="M18" s="100">
        <v>18.010000000000002</v>
      </c>
      <c r="N18" s="100">
        <v>2.2999999999999998</v>
      </c>
      <c r="O18" s="100">
        <v>0</v>
      </c>
      <c r="P18" s="100">
        <v>0.28999999999999998</v>
      </c>
      <c r="Q18" s="100">
        <v>9.32</v>
      </c>
      <c r="R18" s="6"/>
      <c r="S18" s="6"/>
      <c r="T18" s="156"/>
      <c r="U18" s="6"/>
    </row>
    <row r="19" spans="1:21" customFormat="1">
      <c r="A19" s="201" t="s">
        <v>2554</v>
      </c>
      <c r="B19" s="100">
        <v>5.15</v>
      </c>
      <c r="C19" s="100">
        <v>6.4</v>
      </c>
      <c r="D19" s="100">
        <v>7.47</v>
      </c>
      <c r="E19" s="100">
        <v>5.47</v>
      </c>
      <c r="F19" s="100">
        <v>2</v>
      </c>
      <c r="G19" s="100">
        <v>59.46</v>
      </c>
      <c r="H19" s="100">
        <v>29.4</v>
      </c>
      <c r="I19" s="100">
        <v>5.89</v>
      </c>
      <c r="J19" s="100">
        <v>0.14000000000000001</v>
      </c>
      <c r="K19" s="100">
        <v>126.3</v>
      </c>
      <c r="L19" s="100">
        <v>12.72</v>
      </c>
      <c r="M19" s="100">
        <v>14.05</v>
      </c>
      <c r="N19" s="100">
        <v>2.2999999999999998</v>
      </c>
      <c r="O19" s="100">
        <v>0</v>
      </c>
      <c r="P19" s="100">
        <v>0.3</v>
      </c>
      <c r="Q19" s="100">
        <v>9.32</v>
      </c>
      <c r="R19" s="6"/>
      <c r="S19" s="6"/>
      <c r="T19" s="156"/>
      <c r="U19" s="6"/>
    </row>
    <row r="20" spans="1:21" customFormat="1">
      <c r="A20" s="201" t="s">
        <v>2555</v>
      </c>
      <c r="B20" s="100">
        <v>5.07</v>
      </c>
      <c r="C20" s="100">
        <v>6.31</v>
      </c>
      <c r="D20" s="100">
        <v>7.36</v>
      </c>
      <c r="E20" s="100">
        <v>5.23</v>
      </c>
      <c r="F20" s="100">
        <v>2</v>
      </c>
      <c r="G20" s="100">
        <v>59.96</v>
      </c>
      <c r="H20" s="100">
        <v>29.44</v>
      </c>
      <c r="I20" s="100">
        <v>5.87</v>
      </c>
      <c r="J20" s="100">
        <v>0.11</v>
      </c>
      <c r="K20" s="100">
        <v>142.02000000000001</v>
      </c>
      <c r="L20" s="100">
        <v>14.65</v>
      </c>
      <c r="M20" s="100">
        <v>18.95</v>
      </c>
      <c r="N20" s="100">
        <v>2.2000000000000002</v>
      </c>
      <c r="O20" s="100">
        <v>0</v>
      </c>
      <c r="P20" s="100">
        <v>0.3</v>
      </c>
      <c r="Q20" s="100">
        <v>9.32</v>
      </c>
      <c r="R20" s="6"/>
      <c r="S20" s="6"/>
      <c r="T20" s="156"/>
      <c r="U20" s="6"/>
    </row>
    <row r="21" spans="1:21" customFormat="1">
      <c r="A21" s="201" t="s">
        <v>2556</v>
      </c>
      <c r="B21" s="100">
        <v>4.97</v>
      </c>
      <c r="C21" s="100">
        <v>6.2</v>
      </c>
      <c r="D21" s="100">
        <v>7.22</v>
      </c>
      <c r="E21" s="100">
        <v>5.13</v>
      </c>
      <c r="F21" s="100">
        <v>2</v>
      </c>
      <c r="G21" s="100">
        <v>59.96</v>
      </c>
      <c r="H21" s="100">
        <v>29.44</v>
      </c>
      <c r="I21" s="100">
        <v>5.84</v>
      </c>
      <c r="J21" s="100">
        <v>0.12</v>
      </c>
      <c r="K21" s="100">
        <v>204.21</v>
      </c>
      <c r="L21" s="100">
        <v>19.07</v>
      </c>
      <c r="M21" s="100">
        <v>30.07</v>
      </c>
      <c r="N21" s="100">
        <v>2.4</v>
      </c>
      <c r="O21" s="100">
        <v>0</v>
      </c>
      <c r="P21" s="100">
        <v>0.28999999999999998</v>
      </c>
      <c r="Q21" s="100">
        <v>9.32</v>
      </c>
      <c r="R21" s="6"/>
      <c r="S21" s="6"/>
      <c r="T21" s="156"/>
      <c r="U21" s="6"/>
    </row>
    <row r="22" spans="1:21" customFormat="1">
      <c r="A22" s="201" t="s">
        <v>2557</v>
      </c>
      <c r="B22" s="100">
        <v>4.93</v>
      </c>
      <c r="C22" s="100">
        <v>6.12</v>
      </c>
      <c r="D22" s="100">
        <v>7.16</v>
      </c>
      <c r="E22" s="100">
        <v>5.12</v>
      </c>
      <c r="F22" s="100">
        <v>2</v>
      </c>
      <c r="G22" s="100">
        <v>59.96</v>
      </c>
      <c r="H22" s="100">
        <v>29.44</v>
      </c>
      <c r="I22" s="100">
        <v>5.78</v>
      </c>
      <c r="J22" s="100">
        <v>0.12</v>
      </c>
      <c r="K22" s="100">
        <v>201.19</v>
      </c>
      <c r="L22" s="100">
        <v>18.670000000000002</v>
      </c>
      <c r="M22" s="100">
        <v>29.01</v>
      </c>
      <c r="N22" s="100">
        <v>2.4</v>
      </c>
      <c r="O22" s="100">
        <v>0</v>
      </c>
      <c r="P22" s="100">
        <v>0.28999999999999998</v>
      </c>
      <c r="Q22" s="100">
        <v>9.32</v>
      </c>
      <c r="R22" s="6"/>
      <c r="S22" s="6"/>
      <c r="T22" s="156"/>
      <c r="U22" s="6"/>
    </row>
    <row r="23" spans="1:21" customFormat="1">
      <c r="A23" s="201" t="s">
        <v>2558</v>
      </c>
      <c r="B23" s="100">
        <v>4.96</v>
      </c>
      <c r="C23" s="100">
        <v>6.1</v>
      </c>
      <c r="D23" s="100">
        <v>7.17</v>
      </c>
      <c r="E23" s="100">
        <v>5.17</v>
      </c>
      <c r="F23" s="100">
        <v>2</v>
      </c>
      <c r="G23" s="100">
        <v>56.82</v>
      </c>
      <c r="H23" s="100">
        <v>27.83</v>
      </c>
      <c r="I23" s="100">
        <v>5.75</v>
      </c>
      <c r="J23" s="100">
        <v>0.14000000000000001</v>
      </c>
      <c r="K23" s="100">
        <v>164.21</v>
      </c>
      <c r="L23" s="100">
        <v>16.28</v>
      </c>
      <c r="M23" s="100">
        <v>22.92</v>
      </c>
      <c r="N23" s="100">
        <v>2.1</v>
      </c>
      <c r="O23" s="100">
        <v>0</v>
      </c>
      <c r="P23" s="100">
        <v>0.28000000000000003</v>
      </c>
      <c r="Q23" s="100">
        <v>9.32</v>
      </c>
      <c r="R23" s="6"/>
      <c r="S23" s="6"/>
      <c r="T23" s="156"/>
      <c r="U23" s="6"/>
    </row>
    <row r="24" spans="1:21" customFormat="1">
      <c r="A24" s="201" t="s">
        <v>2559</v>
      </c>
      <c r="B24" s="100">
        <v>5.1100000000000003</v>
      </c>
      <c r="C24" s="100">
        <v>6.21</v>
      </c>
      <c r="D24" s="100">
        <v>7.34</v>
      </c>
      <c r="E24" s="100">
        <v>5.51</v>
      </c>
      <c r="F24" s="100">
        <v>2</v>
      </c>
      <c r="G24" s="100">
        <v>55.62</v>
      </c>
      <c r="H24" s="100">
        <v>27.75</v>
      </c>
      <c r="I24" s="100">
        <v>5.77</v>
      </c>
      <c r="J24" s="100">
        <v>0.13</v>
      </c>
      <c r="K24" s="100">
        <v>188.07</v>
      </c>
      <c r="L24" s="100">
        <v>17.21</v>
      </c>
      <c r="M24" s="100">
        <v>25.34</v>
      </c>
      <c r="N24" s="100">
        <v>2.2000000000000002</v>
      </c>
      <c r="O24" s="100">
        <v>0</v>
      </c>
      <c r="P24" s="100">
        <v>0.28999999999999998</v>
      </c>
      <c r="Q24" s="100">
        <v>9.32</v>
      </c>
      <c r="R24" s="6"/>
      <c r="S24" s="6"/>
      <c r="T24" s="156"/>
      <c r="U24" s="6"/>
    </row>
    <row r="25" spans="1:21" customFormat="1">
      <c r="A25" s="201" t="s">
        <v>2560</v>
      </c>
      <c r="B25" s="100">
        <v>5.25</v>
      </c>
      <c r="C25" s="100">
        <v>6.17</v>
      </c>
      <c r="D25" s="100">
        <v>7.43</v>
      </c>
      <c r="E25" s="100">
        <v>5.42</v>
      </c>
      <c r="F25" s="100">
        <v>2</v>
      </c>
      <c r="G25" s="100">
        <v>55.62</v>
      </c>
      <c r="H25" s="100">
        <v>27.75</v>
      </c>
      <c r="I25" s="100">
        <v>5.77</v>
      </c>
      <c r="J25" s="100">
        <v>0.12</v>
      </c>
      <c r="K25" s="100">
        <v>184.03</v>
      </c>
      <c r="L25" s="100">
        <v>17.850000000000001</v>
      </c>
      <c r="M25" s="100">
        <v>26.96</v>
      </c>
      <c r="N25" s="100">
        <v>2.2999999999999998</v>
      </c>
      <c r="O25" s="100">
        <v>0</v>
      </c>
      <c r="P25" s="100">
        <v>0.28999999999999998</v>
      </c>
      <c r="Q25" s="100">
        <v>9.32</v>
      </c>
      <c r="R25" s="6"/>
      <c r="S25" s="6"/>
      <c r="T25" s="156"/>
      <c r="U25" s="6"/>
    </row>
    <row r="26" spans="1:21" customFormat="1">
      <c r="A26" s="201" t="s">
        <v>2561</v>
      </c>
      <c r="B26" s="100">
        <v>5.3</v>
      </c>
      <c r="C26" s="100">
        <v>6.16</v>
      </c>
      <c r="D26" s="100">
        <v>7.47</v>
      </c>
      <c r="E26" s="100">
        <v>5.33</v>
      </c>
      <c r="F26" s="100">
        <v>2</v>
      </c>
      <c r="G26" s="100">
        <v>55.62</v>
      </c>
      <c r="H26" s="100">
        <v>27.75</v>
      </c>
      <c r="I26" s="100">
        <v>5.74</v>
      </c>
      <c r="J26" s="100">
        <v>0.11</v>
      </c>
      <c r="K26" s="100">
        <v>162.53</v>
      </c>
      <c r="L26" s="100">
        <v>16.100000000000001</v>
      </c>
      <c r="M26" s="100">
        <v>22.59</v>
      </c>
      <c r="N26" s="100">
        <v>2.1</v>
      </c>
      <c r="O26" s="100">
        <v>0</v>
      </c>
      <c r="P26" s="100">
        <v>0.28999999999999998</v>
      </c>
      <c r="Q26" s="100">
        <v>9.32</v>
      </c>
      <c r="R26" s="6"/>
      <c r="S26" s="6"/>
      <c r="T26" s="156"/>
      <c r="U26" s="6"/>
    </row>
    <row r="27" spans="1:21" customFormat="1">
      <c r="A27" s="201" t="s">
        <v>2562</v>
      </c>
      <c r="B27" s="100">
        <v>5.49</v>
      </c>
      <c r="C27" s="100">
        <v>6.35</v>
      </c>
      <c r="D27" s="100">
        <v>7.72</v>
      </c>
      <c r="E27" s="100">
        <v>4.29</v>
      </c>
      <c r="F27" s="100">
        <v>2</v>
      </c>
      <c r="G27" s="100">
        <v>54.29</v>
      </c>
      <c r="H27" s="100">
        <v>24.19</v>
      </c>
      <c r="I27" s="100">
        <v>5.7</v>
      </c>
      <c r="J27" s="100">
        <v>0.11</v>
      </c>
      <c r="K27" s="100">
        <v>147.12</v>
      </c>
      <c r="L27" s="100">
        <v>14.61</v>
      </c>
      <c r="M27" s="100">
        <v>18.77</v>
      </c>
      <c r="N27" s="100">
        <v>2.1</v>
      </c>
      <c r="O27" s="100">
        <v>0</v>
      </c>
      <c r="P27" s="100">
        <v>0.28999999999999998</v>
      </c>
      <c r="Q27" s="100">
        <v>9.32</v>
      </c>
      <c r="R27" s="6"/>
      <c r="S27" s="6"/>
      <c r="T27" s="156"/>
      <c r="U27" s="6"/>
    </row>
    <row r="28" spans="1:21" customFormat="1">
      <c r="A28" s="201" t="s">
        <v>2563</v>
      </c>
      <c r="B28" s="100">
        <v>5.89</v>
      </c>
      <c r="C28" s="100">
        <v>6.34</v>
      </c>
      <c r="D28" s="100">
        <v>8.0299999999999994</v>
      </c>
      <c r="E28" s="100">
        <v>5.31</v>
      </c>
      <c r="F28" s="100">
        <v>2</v>
      </c>
      <c r="G28" s="100">
        <v>53.78</v>
      </c>
      <c r="H28" s="100">
        <v>24.08</v>
      </c>
      <c r="I28" s="100">
        <v>5.7</v>
      </c>
      <c r="J28" s="100">
        <v>0.11</v>
      </c>
      <c r="K28" s="100">
        <v>169.04</v>
      </c>
      <c r="L28" s="100">
        <v>15.83</v>
      </c>
      <c r="M28" s="100">
        <v>21.94</v>
      </c>
      <c r="N28" s="100">
        <v>2.2000000000000002</v>
      </c>
      <c r="O28" s="100">
        <v>0</v>
      </c>
      <c r="P28" s="100">
        <v>0.28999999999999998</v>
      </c>
      <c r="Q28" s="100">
        <v>9.32</v>
      </c>
      <c r="R28" s="6"/>
      <c r="S28" s="6"/>
      <c r="T28" s="156"/>
      <c r="U28" s="6"/>
    </row>
    <row r="29" spans="1:21" customFormat="1">
      <c r="A29" s="201" t="s">
        <v>2564</v>
      </c>
      <c r="B29" s="100">
        <v>6.24</v>
      </c>
      <c r="C29" s="100">
        <v>6.25</v>
      </c>
      <c r="D29" s="100">
        <v>8.27</v>
      </c>
      <c r="E29" s="100">
        <v>5.47</v>
      </c>
      <c r="F29" s="100">
        <v>2</v>
      </c>
      <c r="G29" s="100">
        <v>53.78</v>
      </c>
      <c r="H29" s="100">
        <v>24.08</v>
      </c>
      <c r="I29" s="100">
        <v>5.7</v>
      </c>
      <c r="J29" s="100">
        <v>0.14000000000000001</v>
      </c>
      <c r="K29" s="100">
        <v>226.99</v>
      </c>
      <c r="L29" s="100">
        <v>19.670000000000002</v>
      </c>
      <c r="M29" s="100">
        <v>31.52</v>
      </c>
      <c r="N29" s="100">
        <v>2.2000000000000002</v>
      </c>
      <c r="O29" s="100">
        <v>0</v>
      </c>
      <c r="P29" s="100">
        <v>0.31</v>
      </c>
      <c r="Q29" s="100">
        <v>9.32</v>
      </c>
      <c r="R29" s="6"/>
      <c r="S29" s="6"/>
      <c r="T29" s="156"/>
      <c r="U29" s="6"/>
    </row>
    <row r="30" spans="1:21" customFormat="1">
      <c r="A30" s="201" t="s">
        <v>2565</v>
      </c>
      <c r="B30" s="100">
        <v>6.54</v>
      </c>
      <c r="C30" s="100">
        <v>6.14</v>
      </c>
      <c r="D30" s="100">
        <v>8.4499999999999993</v>
      </c>
      <c r="E30" s="100">
        <v>5.4</v>
      </c>
      <c r="F30" s="100">
        <v>2</v>
      </c>
      <c r="G30" s="100">
        <v>53.78</v>
      </c>
      <c r="H30" s="100">
        <v>24.08</v>
      </c>
      <c r="I30" s="100">
        <v>5.69</v>
      </c>
      <c r="J30" s="100">
        <v>0.12</v>
      </c>
      <c r="K30" s="100">
        <v>162.97999999999999</v>
      </c>
      <c r="L30" s="100">
        <v>16.41</v>
      </c>
      <c r="M30" s="100">
        <v>23.35</v>
      </c>
      <c r="N30" s="100">
        <v>2.2999999999999998</v>
      </c>
      <c r="O30" s="100">
        <v>0</v>
      </c>
      <c r="P30" s="100">
        <v>0.31</v>
      </c>
      <c r="Q30" s="100">
        <v>9.32</v>
      </c>
      <c r="R30" s="6"/>
      <c r="S30" s="6"/>
      <c r="T30" s="156"/>
      <c r="U30" s="6"/>
    </row>
    <row r="31" spans="1:21" customFormat="1">
      <c r="A31" s="201" t="s">
        <v>2566</v>
      </c>
      <c r="B31" s="100">
        <v>6.75</v>
      </c>
      <c r="C31" s="100">
        <v>6.19</v>
      </c>
      <c r="D31" s="100">
        <v>8.65</v>
      </c>
      <c r="E31" s="100">
        <v>5.0199999999999996</v>
      </c>
      <c r="F31" s="100">
        <v>2</v>
      </c>
      <c r="G31" s="100">
        <v>51.5</v>
      </c>
      <c r="H31" s="100">
        <v>24.65</v>
      </c>
      <c r="I31" s="100">
        <v>5.71</v>
      </c>
      <c r="J31" s="100">
        <v>0.17</v>
      </c>
      <c r="K31" s="100">
        <v>158.62</v>
      </c>
      <c r="L31" s="100">
        <v>14.93</v>
      </c>
      <c r="M31" s="100">
        <v>19.670000000000002</v>
      </c>
      <c r="N31" s="100">
        <v>2.2000000000000002</v>
      </c>
      <c r="O31" s="100">
        <v>0</v>
      </c>
      <c r="P31" s="100">
        <v>0.32</v>
      </c>
      <c r="Q31" s="100">
        <v>9.32</v>
      </c>
      <c r="R31" s="6"/>
      <c r="S31" s="6"/>
      <c r="T31" s="156"/>
      <c r="U31" s="6"/>
    </row>
    <row r="32" spans="1:21" customFormat="1">
      <c r="A32" s="201" t="s">
        <v>2567</v>
      </c>
      <c r="B32" s="100">
        <v>6.86</v>
      </c>
      <c r="C32" s="100">
        <v>6.09</v>
      </c>
      <c r="D32" s="100">
        <v>8.68</v>
      </c>
      <c r="E32" s="100">
        <v>5.0999999999999996</v>
      </c>
      <c r="F32" s="100">
        <v>2</v>
      </c>
      <c r="G32" s="100">
        <v>50.66</v>
      </c>
      <c r="H32" s="100">
        <v>24.67</v>
      </c>
      <c r="I32" s="100">
        <v>5.73</v>
      </c>
      <c r="J32" s="100">
        <v>0.1</v>
      </c>
      <c r="K32" s="100">
        <v>86.35</v>
      </c>
      <c r="L32" s="100">
        <v>11.26</v>
      </c>
      <c r="M32" s="100">
        <v>10.26</v>
      </c>
      <c r="N32" s="100">
        <v>2.8</v>
      </c>
      <c r="O32" s="100">
        <v>0</v>
      </c>
      <c r="P32" s="100">
        <v>0.31</v>
      </c>
      <c r="Q32" s="100">
        <v>9.32</v>
      </c>
      <c r="R32" s="6"/>
      <c r="S32" s="6"/>
      <c r="T32" s="156"/>
      <c r="U32" s="6"/>
    </row>
    <row r="33" spans="1:21" customFormat="1">
      <c r="A33" s="201" t="s">
        <v>2568</v>
      </c>
      <c r="B33" s="100">
        <v>7.05</v>
      </c>
      <c r="C33" s="100">
        <v>6.1</v>
      </c>
      <c r="D33" s="100">
        <v>8.84</v>
      </c>
      <c r="E33" s="100">
        <v>4.92</v>
      </c>
      <c r="F33" s="100">
        <v>2</v>
      </c>
      <c r="G33" s="100">
        <v>50.66</v>
      </c>
      <c r="H33" s="100">
        <v>24.67</v>
      </c>
      <c r="I33" s="100">
        <v>5.72</v>
      </c>
      <c r="J33" s="100">
        <v>0.09</v>
      </c>
      <c r="K33" s="100">
        <v>114.56</v>
      </c>
      <c r="L33" s="100">
        <v>11.63</v>
      </c>
      <c r="M33" s="100">
        <v>11.22</v>
      </c>
      <c r="N33" s="100">
        <v>3.9</v>
      </c>
      <c r="O33" s="100">
        <v>0</v>
      </c>
      <c r="P33" s="100">
        <v>0.32</v>
      </c>
      <c r="Q33" s="100">
        <v>9.32</v>
      </c>
      <c r="R33" s="6"/>
      <c r="S33" s="6"/>
      <c r="T33" s="156"/>
      <c r="U33" s="6"/>
    </row>
    <row r="34" spans="1:21" customFormat="1">
      <c r="A34" s="201" t="s">
        <v>2569</v>
      </c>
      <c r="B34" s="100">
        <v>7.2</v>
      </c>
      <c r="C34" s="100">
        <v>6.16</v>
      </c>
      <c r="D34" s="100">
        <v>8.99</v>
      </c>
      <c r="E34" s="100">
        <v>5.08</v>
      </c>
      <c r="F34" s="100">
        <v>2</v>
      </c>
      <c r="G34" s="100">
        <v>50.66</v>
      </c>
      <c r="H34" s="100">
        <v>24.67</v>
      </c>
      <c r="I34" s="100">
        <v>5.75</v>
      </c>
      <c r="J34" s="100">
        <v>0.11</v>
      </c>
      <c r="K34" s="100">
        <v>179.14</v>
      </c>
      <c r="L34" s="100">
        <v>16.96</v>
      </c>
      <c r="M34" s="100">
        <v>24.64</v>
      </c>
      <c r="N34" s="100">
        <v>6.1</v>
      </c>
      <c r="O34" s="100">
        <v>0</v>
      </c>
      <c r="P34" s="100">
        <v>0.31</v>
      </c>
      <c r="Q34" s="100">
        <v>9.32</v>
      </c>
      <c r="R34" s="6"/>
      <c r="S34" s="6"/>
      <c r="T34" s="156"/>
      <c r="U34" s="6"/>
    </row>
    <row r="35" spans="1:21" customFormat="1">
      <c r="A35" s="201" t="s">
        <v>2570</v>
      </c>
      <c r="B35" s="100">
        <v>7.36</v>
      </c>
      <c r="C35" s="100">
        <v>6.28</v>
      </c>
      <c r="D35" s="100">
        <v>9.18</v>
      </c>
      <c r="E35" s="100">
        <v>5.0599999999999996</v>
      </c>
      <c r="F35" s="100">
        <v>2</v>
      </c>
      <c r="G35" s="100">
        <v>48</v>
      </c>
      <c r="H35" s="100">
        <v>24.29</v>
      </c>
      <c r="I35" s="100">
        <v>5.79</v>
      </c>
      <c r="J35" s="100">
        <v>0.04</v>
      </c>
      <c r="K35" s="100">
        <v>86.27</v>
      </c>
      <c r="L35" s="100">
        <v>15.7</v>
      </c>
      <c r="M35" s="100">
        <v>21.33</v>
      </c>
      <c r="N35" s="100">
        <v>7.3</v>
      </c>
      <c r="O35" s="100">
        <v>0</v>
      </c>
      <c r="P35" s="100">
        <v>0.33</v>
      </c>
      <c r="Q35" s="100">
        <v>9.32</v>
      </c>
      <c r="R35" s="6"/>
      <c r="S35" s="6"/>
      <c r="T35" s="156"/>
      <c r="U35" s="6"/>
    </row>
    <row r="36" spans="1:21" customFormat="1">
      <c r="A36" s="201" t="s">
        <v>2571</v>
      </c>
      <c r="B36" s="100">
        <v>7.71</v>
      </c>
      <c r="C36" s="100">
        <v>6.52</v>
      </c>
      <c r="D36" s="100">
        <v>9.59</v>
      </c>
      <c r="E36" s="100">
        <v>4.7300000000000004</v>
      </c>
      <c r="F36" s="100">
        <v>2</v>
      </c>
      <c r="G36" s="100">
        <v>46.98</v>
      </c>
      <c r="H36" s="100">
        <v>24.28</v>
      </c>
      <c r="I36" s="100">
        <v>5.85</v>
      </c>
      <c r="J36" s="100">
        <v>0.23</v>
      </c>
      <c r="K36" s="100">
        <v>46.73</v>
      </c>
      <c r="L36" s="100">
        <v>7.62</v>
      </c>
      <c r="M36" s="100">
        <v>0.78</v>
      </c>
      <c r="N36" s="100">
        <v>10.9</v>
      </c>
      <c r="O36" s="100">
        <v>0</v>
      </c>
      <c r="P36" s="100">
        <v>0.32</v>
      </c>
      <c r="Q36" s="100">
        <v>9.32</v>
      </c>
      <c r="R36" s="6"/>
      <c r="S36" s="6"/>
      <c r="T36" s="156"/>
      <c r="U36" s="6"/>
    </row>
    <row r="37" spans="1:21" customFormat="1">
      <c r="A37" s="201" t="s">
        <v>2572</v>
      </c>
      <c r="B37" s="100">
        <v>7.99</v>
      </c>
      <c r="C37" s="100">
        <v>6.59</v>
      </c>
      <c r="D37" s="100">
        <v>9.85</v>
      </c>
      <c r="E37" s="100">
        <v>4.76</v>
      </c>
      <c r="F37" s="100">
        <v>2</v>
      </c>
      <c r="G37" s="100">
        <v>46.98</v>
      </c>
      <c r="H37" s="100">
        <v>24.28</v>
      </c>
      <c r="I37" s="100">
        <v>5.93</v>
      </c>
      <c r="J37" s="100">
        <v>0.3</v>
      </c>
      <c r="K37" s="100">
        <v>41.95</v>
      </c>
      <c r="L37" s="100">
        <v>8.84</v>
      </c>
      <c r="M37" s="100">
        <v>3.66</v>
      </c>
      <c r="N37" s="100">
        <v>16.600000000000001</v>
      </c>
      <c r="O37" s="100">
        <v>0</v>
      </c>
      <c r="P37" s="100">
        <v>0.33</v>
      </c>
      <c r="Q37" s="100">
        <v>9.32</v>
      </c>
      <c r="R37" s="6"/>
      <c r="S37" s="6"/>
      <c r="T37" s="156"/>
      <c r="U37" s="6"/>
    </row>
    <row r="38" spans="1:21" customFormat="1">
      <c r="A38" s="201" t="s">
        <v>2573</v>
      </c>
      <c r="B38" s="100">
        <v>8.2100000000000009</v>
      </c>
      <c r="C38" s="100">
        <v>6.74</v>
      </c>
      <c r="D38" s="100">
        <v>10.1</v>
      </c>
      <c r="E38" s="100">
        <v>4.93</v>
      </c>
      <c r="F38" s="100">
        <v>2</v>
      </c>
      <c r="G38" s="100">
        <v>46.98</v>
      </c>
      <c r="H38" s="100">
        <v>24.28</v>
      </c>
      <c r="I38" s="100">
        <v>6.06</v>
      </c>
      <c r="J38" s="100">
        <v>0.55000000000000004</v>
      </c>
      <c r="K38" s="100">
        <v>42.9</v>
      </c>
      <c r="L38" s="100">
        <v>7.42</v>
      </c>
      <c r="M38" s="100">
        <v>0</v>
      </c>
      <c r="N38" s="100">
        <v>22.6</v>
      </c>
      <c r="O38" s="100">
        <v>0</v>
      </c>
      <c r="P38" s="100">
        <v>0.33</v>
      </c>
      <c r="Q38" s="100">
        <v>9.32</v>
      </c>
      <c r="R38" s="6"/>
      <c r="S38" s="6"/>
      <c r="T38" s="156"/>
      <c r="U38" s="6"/>
    </row>
    <row r="39" spans="1:21" customFormat="1">
      <c r="A39" s="201" t="s">
        <v>2574</v>
      </c>
      <c r="B39" s="100">
        <v>8.27</v>
      </c>
      <c r="C39" s="100">
        <v>6.57</v>
      </c>
      <c r="D39" s="100">
        <v>10.06</v>
      </c>
      <c r="E39" s="100">
        <v>5.0199999999999996</v>
      </c>
      <c r="F39" s="100">
        <v>2</v>
      </c>
      <c r="G39" s="100">
        <v>46.63</v>
      </c>
      <c r="H39" s="100">
        <v>23.92</v>
      </c>
      <c r="I39" s="100">
        <v>6.14</v>
      </c>
      <c r="J39" s="100">
        <v>0.25</v>
      </c>
      <c r="K39" s="100">
        <v>43.62</v>
      </c>
      <c r="L39" s="100">
        <v>9.2100000000000009</v>
      </c>
      <c r="M39" s="100">
        <v>4.2300000000000004</v>
      </c>
      <c r="N39" s="100">
        <v>34.1</v>
      </c>
      <c r="O39" s="100">
        <v>0</v>
      </c>
      <c r="P39" s="100">
        <v>0.34</v>
      </c>
      <c r="Q39" s="100">
        <v>9.32</v>
      </c>
      <c r="R39" s="6"/>
      <c r="S39" s="6"/>
      <c r="T39" s="156"/>
      <c r="U39" s="6"/>
    </row>
    <row r="40" spans="1:21" customFormat="1">
      <c r="A40" s="201" t="s">
        <v>2575</v>
      </c>
      <c r="B40" s="100">
        <v>8.1999999999999993</v>
      </c>
      <c r="C40" s="100">
        <v>6.56</v>
      </c>
      <c r="D40" s="100">
        <v>10</v>
      </c>
      <c r="E40" s="100">
        <v>5.24</v>
      </c>
      <c r="F40" s="100">
        <v>2</v>
      </c>
      <c r="G40" s="100">
        <v>46.5</v>
      </c>
      <c r="H40" s="100">
        <v>23.9</v>
      </c>
      <c r="I40" s="100">
        <v>6.13</v>
      </c>
      <c r="J40" s="100">
        <v>0.31</v>
      </c>
      <c r="K40" s="100">
        <v>52.33</v>
      </c>
      <c r="L40" s="100">
        <v>8.82</v>
      </c>
      <c r="M40" s="100">
        <v>3.19</v>
      </c>
      <c r="N40" s="100">
        <v>38.299999999999997</v>
      </c>
      <c r="O40" s="100">
        <v>0</v>
      </c>
      <c r="P40" s="100">
        <v>0.33</v>
      </c>
      <c r="Q40" s="100">
        <v>9.32</v>
      </c>
      <c r="R40" s="6"/>
      <c r="S40" s="6"/>
      <c r="T40" s="156"/>
      <c r="U40" s="6"/>
    </row>
    <row r="41" spans="1:21" customFormat="1">
      <c r="A41" s="201" t="s">
        <v>2576</v>
      </c>
      <c r="B41" s="100">
        <v>8.25</v>
      </c>
      <c r="C41" s="100">
        <v>6.58</v>
      </c>
      <c r="D41" s="100">
        <v>10.050000000000001</v>
      </c>
      <c r="E41" s="100">
        <v>5.0199999999999996</v>
      </c>
      <c r="F41" s="100">
        <v>2</v>
      </c>
      <c r="G41" s="100">
        <v>46.5</v>
      </c>
      <c r="H41" s="100">
        <v>23.9</v>
      </c>
      <c r="I41" s="100">
        <v>6.15</v>
      </c>
      <c r="J41" s="100">
        <v>0.39</v>
      </c>
      <c r="K41" s="100">
        <v>42.24</v>
      </c>
      <c r="L41" s="100">
        <v>7.09</v>
      </c>
      <c r="M41" s="100">
        <v>-1.3</v>
      </c>
      <c r="N41" s="100">
        <v>41.6</v>
      </c>
      <c r="O41" s="100">
        <v>0</v>
      </c>
      <c r="P41" s="100">
        <v>0.34</v>
      </c>
      <c r="Q41" s="100">
        <v>9.32</v>
      </c>
      <c r="R41" s="6"/>
      <c r="S41" s="6"/>
      <c r="T41" s="156"/>
      <c r="U41" s="6"/>
    </row>
    <row r="42" spans="1:21" customFormat="1">
      <c r="A42" s="201" t="s">
        <v>2577</v>
      </c>
      <c r="B42" s="100">
        <v>8.16</v>
      </c>
      <c r="C42" s="100">
        <v>6.55</v>
      </c>
      <c r="D42" s="100">
        <v>9.9700000000000006</v>
      </c>
      <c r="E42" s="100">
        <v>5.35</v>
      </c>
      <c r="F42" s="100">
        <v>2</v>
      </c>
      <c r="G42" s="100">
        <v>46.5</v>
      </c>
      <c r="H42" s="100">
        <v>23.9</v>
      </c>
      <c r="I42" s="100">
        <v>6.18</v>
      </c>
      <c r="J42" s="100">
        <v>0.42</v>
      </c>
      <c r="K42" s="100">
        <v>50.43</v>
      </c>
      <c r="L42" s="100">
        <v>8.3699999999999992</v>
      </c>
      <c r="M42" s="100">
        <v>1.71</v>
      </c>
      <c r="N42" s="100">
        <v>53</v>
      </c>
      <c r="O42" s="100">
        <v>0</v>
      </c>
      <c r="P42" s="100">
        <v>0.34</v>
      </c>
      <c r="Q42" s="100">
        <v>9.32</v>
      </c>
      <c r="R42" s="6"/>
      <c r="S42" s="6"/>
      <c r="T42" s="156"/>
      <c r="U42" s="6"/>
    </row>
    <row r="43" spans="1:21" customFormat="1">
      <c r="A43" s="201" t="s">
        <v>2578</v>
      </c>
      <c r="B43" s="100">
        <v>8.08</v>
      </c>
      <c r="C43" s="100">
        <v>6.52</v>
      </c>
      <c r="D43" s="100">
        <v>9.89</v>
      </c>
      <c r="E43" s="100">
        <v>4.9400000000000004</v>
      </c>
      <c r="F43" s="100">
        <v>2</v>
      </c>
      <c r="G43" s="100">
        <v>49.9</v>
      </c>
      <c r="H43" s="100">
        <v>25.02</v>
      </c>
      <c r="I43" s="100">
        <v>6.21</v>
      </c>
      <c r="J43" s="100">
        <v>0.28999999999999998</v>
      </c>
      <c r="K43" s="100">
        <v>63.35</v>
      </c>
      <c r="L43" s="100">
        <v>10.74</v>
      </c>
      <c r="M43" s="100">
        <v>7.11</v>
      </c>
      <c r="N43" s="100">
        <v>78.8</v>
      </c>
      <c r="O43" s="100">
        <v>0</v>
      </c>
      <c r="P43" s="100">
        <v>0.34</v>
      </c>
      <c r="Q43" s="100">
        <v>9.32</v>
      </c>
      <c r="R43" s="6"/>
      <c r="S43" s="6"/>
      <c r="T43" s="156"/>
      <c r="U43" s="6"/>
    </row>
    <row r="44" spans="1:21" customFormat="1">
      <c r="A44" s="201" t="s">
        <v>2579</v>
      </c>
      <c r="B44" s="100">
        <v>7.99</v>
      </c>
      <c r="C44" s="100">
        <v>6.64</v>
      </c>
      <c r="D44" s="100">
        <v>9.8699999999999992</v>
      </c>
      <c r="E44" s="100">
        <v>5.35</v>
      </c>
      <c r="F44" s="100">
        <v>2</v>
      </c>
      <c r="G44" s="100">
        <v>51.13</v>
      </c>
      <c r="H44" s="100">
        <v>25.03</v>
      </c>
      <c r="I44" s="100">
        <v>6.2</v>
      </c>
      <c r="J44" s="100">
        <v>0.42</v>
      </c>
      <c r="K44" s="100">
        <v>46.3</v>
      </c>
      <c r="L44" s="100">
        <v>9.15</v>
      </c>
      <c r="M44" s="100">
        <v>2.0299999999999998</v>
      </c>
      <c r="N44" s="100">
        <v>120</v>
      </c>
      <c r="O44" s="100">
        <v>0</v>
      </c>
      <c r="P44" s="100">
        <v>0.34</v>
      </c>
      <c r="Q44" s="100">
        <v>9.32</v>
      </c>
      <c r="R44" s="6"/>
      <c r="S44" s="6"/>
      <c r="T44" s="156"/>
      <c r="U44" s="6"/>
    </row>
    <row r="45" spans="1:21" customFormat="1">
      <c r="A45" s="201" t="s">
        <v>2580</v>
      </c>
      <c r="B45" s="100">
        <v>7.92</v>
      </c>
      <c r="C45" s="100">
        <v>6.74</v>
      </c>
      <c r="D45" s="100">
        <v>9.8699999999999992</v>
      </c>
      <c r="E45" s="100">
        <v>5.54</v>
      </c>
      <c r="F45" s="100">
        <v>2</v>
      </c>
      <c r="G45" s="100">
        <v>51.13</v>
      </c>
      <c r="H45" s="100">
        <v>25.03</v>
      </c>
      <c r="I45" s="100">
        <v>6.22</v>
      </c>
      <c r="J45" s="100">
        <v>0.45</v>
      </c>
      <c r="K45" s="100">
        <v>38.4</v>
      </c>
      <c r="L45" s="100">
        <v>8.36</v>
      </c>
      <c r="M45" s="100">
        <v>0.4</v>
      </c>
      <c r="N45" s="100">
        <v>102.9</v>
      </c>
      <c r="O45" s="100">
        <v>0</v>
      </c>
      <c r="P45" s="100">
        <v>0.35</v>
      </c>
      <c r="Q45" s="100">
        <v>9.32</v>
      </c>
      <c r="R45" s="6"/>
      <c r="S45" s="6"/>
      <c r="T45" s="156"/>
      <c r="U45" s="6"/>
    </row>
    <row r="46" spans="1:21" customFormat="1">
      <c r="A46" s="201" t="s">
        <v>2581</v>
      </c>
      <c r="B46" s="100">
        <v>7.8</v>
      </c>
      <c r="C46" s="100">
        <v>7.08</v>
      </c>
      <c r="D46" s="100">
        <v>9.9499999999999993</v>
      </c>
      <c r="E46" s="100">
        <v>5.93</v>
      </c>
      <c r="F46" s="100">
        <v>2</v>
      </c>
      <c r="G46" s="100">
        <v>51.13</v>
      </c>
      <c r="H46" s="100">
        <v>25.03</v>
      </c>
      <c r="I46" s="100">
        <v>6.26</v>
      </c>
      <c r="J46" s="100">
        <v>0.41</v>
      </c>
      <c r="K46" s="100">
        <v>38.51</v>
      </c>
      <c r="L46" s="100">
        <v>10.26</v>
      </c>
      <c r="M46" s="100">
        <v>4.55</v>
      </c>
      <c r="N46" s="100">
        <v>131.1</v>
      </c>
      <c r="O46" s="100">
        <v>0</v>
      </c>
      <c r="P46" s="100">
        <v>0.36</v>
      </c>
      <c r="Q46" s="100">
        <v>9.32</v>
      </c>
      <c r="R46" s="6"/>
      <c r="S46" s="6"/>
      <c r="T46" s="156"/>
      <c r="U46" s="6"/>
    </row>
    <row r="47" spans="1:21" customFormat="1">
      <c r="A47" s="201" t="s">
        <v>2582</v>
      </c>
      <c r="B47" s="100">
        <v>7.66</v>
      </c>
      <c r="C47" s="100">
        <v>7.12</v>
      </c>
      <c r="D47" s="100">
        <v>9.86</v>
      </c>
      <c r="E47" s="100">
        <v>5.93</v>
      </c>
      <c r="F47" s="100">
        <v>2</v>
      </c>
      <c r="G47" s="100">
        <v>53.92</v>
      </c>
      <c r="H47" s="100">
        <v>25.94</v>
      </c>
      <c r="I47" s="100">
        <v>6.36</v>
      </c>
      <c r="J47" s="100">
        <v>0.18</v>
      </c>
      <c r="K47" s="100">
        <v>74.959999999999994</v>
      </c>
      <c r="L47" s="100">
        <v>13.62</v>
      </c>
      <c r="M47" s="100">
        <v>13.06</v>
      </c>
      <c r="N47" s="100">
        <v>138.80000000000001</v>
      </c>
      <c r="O47" s="100">
        <v>0</v>
      </c>
      <c r="P47" s="100">
        <v>0.36</v>
      </c>
      <c r="Q47" s="100">
        <v>9.32</v>
      </c>
      <c r="R47" s="6"/>
      <c r="S47" s="6"/>
      <c r="T47" s="156"/>
      <c r="U47" s="6"/>
    </row>
    <row r="48" spans="1:21" customFormat="1">
      <c r="A48" s="201" t="s">
        <v>2583</v>
      </c>
      <c r="B48" s="100">
        <v>7.43</v>
      </c>
      <c r="C48" s="100">
        <v>7.1</v>
      </c>
      <c r="D48" s="100">
        <v>9.67</v>
      </c>
      <c r="E48" s="100">
        <v>5.38</v>
      </c>
      <c r="F48" s="100">
        <v>2</v>
      </c>
      <c r="G48" s="100">
        <v>54.99</v>
      </c>
      <c r="H48" s="100">
        <v>25.95</v>
      </c>
      <c r="I48" s="100">
        <v>6.5</v>
      </c>
      <c r="J48" s="100">
        <v>0.34</v>
      </c>
      <c r="K48" s="100">
        <v>47.8</v>
      </c>
      <c r="L48" s="100">
        <v>11.92</v>
      </c>
      <c r="M48" s="100">
        <v>6.2</v>
      </c>
      <c r="N48" s="100">
        <v>239.5</v>
      </c>
      <c r="O48" s="100">
        <v>0</v>
      </c>
      <c r="P48" s="100">
        <v>0.35</v>
      </c>
      <c r="Q48" s="100">
        <v>9.32</v>
      </c>
      <c r="R48" s="6"/>
      <c r="S48" s="6"/>
      <c r="T48" s="156"/>
      <c r="U48" s="6"/>
    </row>
    <row r="49" spans="1:21" customFormat="1">
      <c r="A49" s="201" t="s">
        <v>2584</v>
      </c>
      <c r="B49" s="100">
        <v>7.02</v>
      </c>
      <c r="C49" s="100">
        <v>7.08</v>
      </c>
      <c r="D49" s="100">
        <v>9.33</v>
      </c>
      <c r="E49" s="100">
        <v>4.84</v>
      </c>
      <c r="F49" s="100">
        <v>2</v>
      </c>
      <c r="G49" s="100">
        <v>54.99</v>
      </c>
      <c r="H49" s="100">
        <v>25.95</v>
      </c>
      <c r="I49" s="100">
        <v>6.53</v>
      </c>
      <c r="J49" s="100">
        <v>0.26</v>
      </c>
      <c r="K49" s="100">
        <v>84.64</v>
      </c>
      <c r="L49" s="100">
        <v>13.85</v>
      </c>
      <c r="M49" s="100">
        <v>12.32</v>
      </c>
      <c r="N49" s="100">
        <v>191.9</v>
      </c>
      <c r="O49" s="100">
        <v>0</v>
      </c>
      <c r="P49" s="100">
        <v>0.34</v>
      </c>
      <c r="Q49" s="100">
        <v>9.32</v>
      </c>
      <c r="R49" s="6"/>
      <c r="S49" s="6"/>
      <c r="T49" s="156"/>
      <c r="U49" s="6"/>
    </row>
    <row r="50" spans="1:21" customFormat="1">
      <c r="A50" s="201" t="s">
        <v>2585</v>
      </c>
      <c r="B50" s="100">
        <v>6.48</v>
      </c>
      <c r="C50" s="100">
        <v>7.24</v>
      </c>
      <c r="D50" s="100">
        <v>8.98</v>
      </c>
      <c r="E50" s="100">
        <v>6.07</v>
      </c>
      <c r="F50" s="100">
        <v>2</v>
      </c>
      <c r="G50" s="100">
        <v>54.99</v>
      </c>
      <c r="H50" s="100">
        <v>25.95</v>
      </c>
      <c r="I50" s="100">
        <v>6.48</v>
      </c>
      <c r="J50" s="100">
        <v>0.21</v>
      </c>
      <c r="K50" s="100">
        <v>79.05</v>
      </c>
      <c r="L50" s="100">
        <v>13.16</v>
      </c>
      <c r="M50" s="100">
        <v>11.68</v>
      </c>
      <c r="N50" s="100">
        <v>146.4</v>
      </c>
      <c r="O50" s="100">
        <v>0</v>
      </c>
      <c r="P50" s="100">
        <v>0.32</v>
      </c>
      <c r="Q50" s="100">
        <v>9.32</v>
      </c>
      <c r="R50" s="6"/>
      <c r="S50" s="6"/>
      <c r="T50" s="156"/>
      <c r="U50" s="6"/>
    </row>
    <row r="51" spans="1:21" customFormat="1">
      <c r="A51" s="201" t="s">
        <v>2586</v>
      </c>
      <c r="B51" s="100">
        <v>4.95</v>
      </c>
      <c r="C51" s="100">
        <v>7.99</v>
      </c>
      <c r="D51" s="100">
        <v>8.14</v>
      </c>
      <c r="E51" s="100">
        <v>6.37</v>
      </c>
      <c r="F51" s="100">
        <v>2</v>
      </c>
      <c r="G51" s="100">
        <v>54.29</v>
      </c>
      <c r="H51" s="100">
        <v>24.88</v>
      </c>
      <c r="I51" s="100">
        <v>6.47</v>
      </c>
      <c r="J51" s="100">
        <v>0.18</v>
      </c>
      <c r="K51" s="100">
        <v>99.28</v>
      </c>
      <c r="L51" s="100">
        <v>13.31</v>
      </c>
      <c r="M51" s="100">
        <v>12.59</v>
      </c>
      <c r="N51" s="100">
        <v>122.4</v>
      </c>
      <c r="O51" s="100">
        <v>0</v>
      </c>
      <c r="P51" s="100">
        <v>0.32</v>
      </c>
      <c r="Q51" s="100">
        <v>9.32</v>
      </c>
      <c r="R51" s="6"/>
      <c r="S51" s="6"/>
      <c r="T51" s="156"/>
      <c r="U51" s="6"/>
    </row>
    <row r="52" spans="1:21" customFormat="1">
      <c r="A52" s="201" t="s">
        <v>2587</v>
      </c>
      <c r="B52" s="100">
        <v>3.04</v>
      </c>
      <c r="C52" s="100">
        <v>8.7200000000000006</v>
      </c>
      <c r="D52" s="100">
        <v>6.99</v>
      </c>
      <c r="E52" s="100">
        <v>5.97</v>
      </c>
      <c r="F52" s="100">
        <v>2</v>
      </c>
      <c r="G52" s="100">
        <v>54.02</v>
      </c>
      <c r="H52" s="100">
        <v>24.86</v>
      </c>
      <c r="I52" s="100">
        <v>6.5</v>
      </c>
      <c r="J52" s="100">
        <v>0.19</v>
      </c>
      <c r="K52" s="100">
        <v>93.84</v>
      </c>
      <c r="L52" s="100">
        <v>12.67</v>
      </c>
      <c r="M52" s="100">
        <v>11.05</v>
      </c>
      <c r="N52" s="100">
        <v>118.7</v>
      </c>
      <c r="O52" s="100">
        <v>0</v>
      </c>
      <c r="P52" s="100">
        <v>0.32</v>
      </c>
      <c r="Q52" s="100">
        <v>9.32</v>
      </c>
      <c r="R52" s="6"/>
      <c r="S52" s="6"/>
      <c r="T52" s="156"/>
      <c r="U52" s="6"/>
    </row>
    <row r="53" spans="1:21" customFormat="1">
      <c r="A53" s="201" t="s">
        <v>2588</v>
      </c>
      <c r="B53" s="100">
        <v>2.7</v>
      </c>
      <c r="C53" s="100">
        <v>8.39</v>
      </c>
      <c r="D53" s="100">
        <v>6.55</v>
      </c>
      <c r="E53" s="100">
        <v>6.23</v>
      </c>
      <c r="F53" s="100">
        <v>2</v>
      </c>
      <c r="G53" s="100">
        <v>54.02</v>
      </c>
      <c r="H53" s="100">
        <v>24.86</v>
      </c>
      <c r="I53" s="100">
        <v>6.53</v>
      </c>
      <c r="J53" s="100">
        <v>0.22</v>
      </c>
      <c r="K53" s="100">
        <v>135.54</v>
      </c>
      <c r="L53" s="100">
        <v>14.88</v>
      </c>
      <c r="M53" s="100">
        <v>16.12</v>
      </c>
      <c r="N53" s="100">
        <v>146.19999999999999</v>
      </c>
      <c r="O53" s="100">
        <v>0</v>
      </c>
      <c r="P53" s="100">
        <v>0.31</v>
      </c>
      <c r="Q53" s="100">
        <v>9.32</v>
      </c>
      <c r="R53" s="6"/>
      <c r="S53" s="6"/>
      <c r="T53" s="156"/>
      <c r="U53" s="6"/>
    </row>
    <row r="54" spans="1:21" customFormat="1">
      <c r="A54" s="201" t="s">
        <v>2589</v>
      </c>
      <c r="B54" s="100">
        <v>2.85</v>
      </c>
      <c r="C54" s="100">
        <v>7.83</v>
      </c>
      <c r="D54" s="100">
        <v>6.38</v>
      </c>
      <c r="E54" s="100">
        <v>5.86</v>
      </c>
      <c r="F54" s="100">
        <v>2</v>
      </c>
      <c r="G54" s="100">
        <v>54.02</v>
      </c>
      <c r="H54" s="100">
        <v>24.86</v>
      </c>
      <c r="I54" s="100">
        <v>6.63</v>
      </c>
      <c r="J54" s="100">
        <v>0.12</v>
      </c>
      <c r="K54" s="100">
        <v>92.85</v>
      </c>
      <c r="L54" s="100">
        <v>15.12</v>
      </c>
      <c r="M54" s="100">
        <v>16.829999999999998</v>
      </c>
      <c r="N54" s="100">
        <v>132.80000000000001</v>
      </c>
      <c r="O54" s="100">
        <v>0</v>
      </c>
      <c r="P54" s="100">
        <v>0.32</v>
      </c>
      <c r="Q54" s="100">
        <v>9.32</v>
      </c>
      <c r="R54" s="6"/>
      <c r="S54" s="6"/>
      <c r="T54" s="156"/>
      <c r="U54" s="6"/>
    </row>
    <row r="55" spans="1:21" customFormat="1">
      <c r="A55" s="201" t="s">
        <v>2590</v>
      </c>
      <c r="B55" s="100">
        <v>3.08</v>
      </c>
      <c r="C55" s="100">
        <v>7.49</v>
      </c>
      <c r="D55" s="100">
        <v>6.39</v>
      </c>
      <c r="E55" s="100">
        <v>6.65</v>
      </c>
      <c r="F55" s="100">
        <v>2</v>
      </c>
      <c r="G55" s="100">
        <v>59.78</v>
      </c>
      <c r="H55" s="100">
        <v>29.38</v>
      </c>
      <c r="I55" s="100">
        <v>6.75</v>
      </c>
      <c r="J55" s="100">
        <v>0.13</v>
      </c>
      <c r="K55" s="100">
        <v>103.47</v>
      </c>
      <c r="L55" s="100">
        <v>15.13</v>
      </c>
      <c r="M55" s="100">
        <v>16.47</v>
      </c>
      <c r="N55" s="100">
        <v>151.30000000000001</v>
      </c>
      <c r="O55" s="100">
        <v>0</v>
      </c>
      <c r="P55" s="100">
        <v>0.31</v>
      </c>
      <c r="Q55" s="100">
        <v>9.32</v>
      </c>
      <c r="R55" s="6"/>
      <c r="S55" s="6"/>
      <c r="T55" s="156"/>
      <c r="U55" s="6"/>
    </row>
    <row r="56" spans="1:21" customFormat="1">
      <c r="A56" s="201" t="s">
        <v>2591</v>
      </c>
      <c r="B56" s="100">
        <v>3.36</v>
      </c>
      <c r="C56" s="100">
        <v>7.26</v>
      </c>
      <c r="D56" s="100">
        <v>6.48</v>
      </c>
      <c r="E56" s="100">
        <v>6.53</v>
      </c>
      <c r="F56" s="100">
        <v>2</v>
      </c>
      <c r="G56" s="100">
        <v>61.88</v>
      </c>
      <c r="H56" s="100">
        <v>29.6</v>
      </c>
      <c r="I56" s="100">
        <v>6.78</v>
      </c>
      <c r="J56" s="100">
        <v>0.31</v>
      </c>
      <c r="K56" s="100">
        <v>45.57</v>
      </c>
      <c r="L56" s="100">
        <v>13.22</v>
      </c>
      <c r="M56" s="100">
        <v>7.01</v>
      </c>
      <c r="N56" s="100">
        <v>344.4</v>
      </c>
      <c r="O56" s="100">
        <v>0</v>
      </c>
      <c r="P56" s="100">
        <v>0.3</v>
      </c>
      <c r="Q56" s="100">
        <v>9.32</v>
      </c>
      <c r="R56" s="6"/>
      <c r="S56" s="6"/>
      <c r="T56" s="156"/>
      <c r="U56" s="6"/>
    </row>
    <row r="57" spans="1:21" customFormat="1">
      <c r="A57" s="201" t="s">
        <v>2592</v>
      </c>
      <c r="B57" s="100">
        <v>3.52</v>
      </c>
      <c r="C57" s="100">
        <v>7.05</v>
      </c>
      <c r="D57" s="100">
        <v>6.51</v>
      </c>
      <c r="E57" s="100">
        <v>5.91</v>
      </c>
      <c r="F57" s="100">
        <v>2</v>
      </c>
      <c r="G57" s="100">
        <v>61.88</v>
      </c>
      <c r="H57" s="100">
        <v>29.6</v>
      </c>
      <c r="I57" s="100">
        <v>6.79</v>
      </c>
      <c r="J57" s="100">
        <v>0.25</v>
      </c>
      <c r="K57" s="100">
        <v>101.3</v>
      </c>
      <c r="L57" s="100">
        <v>18.18</v>
      </c>
      <c r="M57" s="100">
        <v>14.44</v>
      </c>
      <c r="N57" s="100">
        <v>565.9</v>
      </c>
      <c r="O57" s="100">
        <v>0</v>
      </c>
      <c r="P57" s="100">
        <v>0.3</v>
      </c>
      <c r="Q57" s="100">
        <v>9.32</v>
      </c>
      <c r="R57" s="6"/>
      <c r="S57" s="6"/>
      <c r="T57" s="156"/>
      <c r="U57" s="6"/>
    </row>
    <row r="58" spans="1:21" customFormat="1">
      <c r="A58" s="201" t="s">
        <v>2593</v>
      </c>
      <c r="B58" s="100">
        <v>3.64</v>
      </c>
      <c r="C58" s="100">
        <v>6.88</v>
      </c>
      <c r="D58" s="100">
        <v>6.51</v>
      </c>
      <c r="E58" s="100">
        <v>5.75</v>
      </c>
      <c r="F58" s="100">
        <v>2</v>
      </c>
      <c r="G58" s="100">
        <v>61.88</v>
      </c>
      <c r="H58" s="100">
        <v>29.6</v>
      </c>
      <c r="I58" s="100">
        <v>6.77</v>
      </c>
      <c r="J58" s="100">
        <v>0.21</v>
      </c>
      <c r="K58" s="100">
        <v>60.37</v>
      </c>
      <c r="L58" s="100">
        <v>15.75</v>
      </c>
      <c r="M58" s="100">
        <v>14.51</v>
      </c>
      <c r="N58" s="100">
        <v>299.10000000000002</v>
      </c>
      <c r="O58" s="100">
        <v>0</v>
      </c>
      <c r="P58" s="100">
        <v>0.3</v>
      </c>
      <c r="Q58" s="100">
        <v>9.32</v>
      </c>
      <c r="R58" s="6"/>
      <c r="S58" s="6"/>
      <c r="T58" s="156"/>
      <c r="U58" s="6"/>
    </row>
    <row r="59" spans="1:21" customFormat="1">
      <c r="A59" s="201" t="s">
        <v>2594</v>
      </c>
      <c r="B59" s="100">
        <v>3.65</v>
      </c>
      <c r="C59" s="100">
        <v>6.81</v>
      </c>
      <c r="D59" s="100">
        <v>6.48</v>
      </c>
      <c r="E59" s="100">
        <v>5.48</v>
      </c>
      <c r="F59" s="100">
        <v>2</v>
      </c>
      <c r="G59" s="100">
        <v>56.62</v>
      </c>
      <c r="H59" s="100">
        <v>22.03</v>
      </c>
      <c r="I59" s="100">
        <v>6.67</v>
      </c>
      <c r="J59" s="100">
        <v>0.28999999999999998</v>
      </c>
      <c r="K59" s="100">
        <v>143.72</v>
      </c>
      <c r="L59" s="100">
        <v>18.13</v>
      </c>
      <c r="M59" s="100">
        <v>20.88</v>
      </c>
      <c r="N59" s="100">
        <v>288.8</v>
      </c>
      <c r="O59" s="100">
        <v>0</v>
      </c>
      <c r="P59" s="100">
        <v>0.28999999999999998</v>
      </c>
      <c r="Q59" s="100">
        <v>9.32</v>
      </c>
      <c r="R59" s="6"/>
      <c r="S59" s="6"/>
      <c r="T59" s="156"/>
      <c r="U59" s="6"/>
    </row>
    <row r="60" spans="1:21" customFormat="1">
      <c r="A60" s="201" t="s">
        <v>2595</v>
      </c>
      <c r="B60" s="100">
        <v>3.65</v>
      </c>
      <c r="C60" s="100">
        <v>6.84</v>
      </c>
      <c r="D60" s="100">
        <v>6.5</v>
      </c>
      <c r="E60" s="100">
        <v>5.93</v>
      </c>
      <c r="F60" s="100">
        <v>2</v>
      </c>
      <c r="G60" s="100">
        <v>54.71</v>
      </c>
      <c r="H60" s="100">
        <v>21.92</v>
      </c>
      <c r="I60" s="100">
        <v>6.53</v>
      </c>
      <c r="J60" s="100">
        <v>0.16</v>
      </c>
      <c r="K60" s="100">
        <v>111.71</v>
      </c>
      <c r="L60" s="100">
        <v>16.920000000000002</v>
      </c>
      <c r="M60" s="100">
        <v>15.3</v>
      </c>
      <c r="N60" s="100">
        <v>391.8</v>
      </c>
      <c r="O60" s="100">
        <v>0</v>
      </c>
      <c r="P60" s="100">
        <v>0.28000000000000003</v>
      </c>
      <c r="Q60" s="100">
        <v>9.32</v>
      </c>
      <c r="R60" s="6"/>
      <c r="S60" s="6"/>
      <c r="T60" s="156"/>
      <c r="U60" s="6"/>
    </row>
    <row r="61" spans="1:21" customFormat="1">
      <c r="A61" s="201" t="s">
        <v>2596</v>
      </c>
      <c r="B61" s="100">
        <v>3.62</v>
      </c>
      <c r="C61" s="100">
        <v>6.92</v>
      </c>
      <c r="D61" s="100">
        <v>6.52</v>
      </c>
      <c r="E61" s="100">
        <v>5.74</v>
      </c>
      <c r="F61" s="100">
        <v>2</v>
      </c>
      <c r="G61" s="100">
        <v>54.71</v>
      </c>
      <c r="H61" s="100">
        <v>21.92</v>
      </c>
      <c r="I61" s="100">
        <v>6.47</v>
      </c>
      <c r="J61" s="100">
        <v>0.39</v>
      </c>
      <c r="K61" s="100">
        <v>58.12</v>
      </c>
      <c r="L61" s="100">
        <v>12.53</v>
      </c>
      <c r="M61" s="100">
        <v>6.05</v>
      </c>
      <c r="N61" s="100">
        <v>312.7</v>
      </c>
      <c r="O61" s="100">
        <v>0</v>
      </c>
      <c r="P61" s="100">
        <v>0.27</v>
      </c>
      <c r="Q61" s="100">
        <v>9.32</v>
      </c>
      <c r="R61" s="6"/>
      <c r="S61" s="6"/>
      <c r="T61" s="156"/>
      <c r="U61" s="6"/>
    </row>
    <row r="62" spans="1:21" customFormat="1">
      <c r="A62" s="201" t="s">
        <v>2597</v>
      </c>
      <c r="B62" s="100">
        <v>3.72</v>
      </c>
      <c r="C62" s="100">
        <v>7.28</v>
      </c>
      <c r="D62" s="100">
        <v>6.79</v>
      </c>
      <c r="E62" s="100">
        <v>5.58</v>
      </c>
      <c r="F62" s="100">
        <v>2</v>
      </c>
      <c r="G62" s="100">
        <v>54.71</v>
      </c>
      <c r="H62" s="100">
        <v>21.92</v>
      </c>
      <c r="I62" s="100">
        <v>6.42</v>
      </c>
      <c r="J62" s="100">
        <v>0.46</v>
      </c>
      <c r="K62" s="100">
        <v>51.44</v>
      </c>
      <c r="L62" s="100">
        <v>13.26</v>
      </c>
      <c r="M62" s="100">
        <v>4.5</v>
      </c>
      <c r="N62" s="100">
        <v>456</v>
      </c>
      <c r="O62" s="100">
        <v>0</v>
      </c>
      <c r="P62" s="100">
        <v>0.28000000000000003</v>
      </c>
      <c r="Q62" s="100">
        <v>9.32</v>
      </c>
      <c r="R62" s="6"/>
      <c r="S62" s="6"/>
      <c r="T62" s="156"/>
      <c r="U62" s="6"/>
    </row>
    <row r="63" spans="1:21" customFormat="1">
      <c r="A63" s="201" t="s">
        <v>2598</v>
      </c>
      <c r="B63" s="100">
        <v>3.67</v>
      </c>
      <c r="C63" s="100">
        <v>7.29</v>
      </c>
      <c r="D63" s="100">
        <v>6.75</v>
      </c>
      <c r="E63" s="100">
        <v>5.9</v>
      </c>
      <c r="F63" s="100">
        <v>2</v>
      </c>
      <c r="G63" s="100">
        <v>44.41</v>
      </c>
      <c r="H63" s="100">
        <v>23.43</v>
      </c>
      <c r="I63" s="100">
        <v>6.3</v>
      </c>
      <c r="J63" s="100">
        <v>0.3</v>
      </c>
      <c r="K63" s="100">
        <v>99.6</v>
      </c>
      <c r="L63" s="100">
        <v>14.26</v>
      </c>
      <c r="M63" s="100">
        <v>11.01</v>
      </c>
      <c r="N63" s="100">
        <v>287</v>
      </c>
      <c r="O63" s="100">
        <v>0</v>
      </c>
      <c r="P63" s="100">
        <v>0.28000000000000003</v>
      </c>
      <c r="Q63" s="100">
        <v>9.32</v>
      </c>
      <c r="R63" s="6"/>
      <c r="S63" s="6"/>
      <c r="T63" s="156"/>
      <c r="U63" s="6"/>
    </row>
    <row r="64" spans="1:21" customFormat="1">
      <c r="A64" s="201" t="s">
        <v>2599</v>
      </c>
      <c r="B64" s="100">
        <v>3.65</v>
      </c>
      <c r="C64" s="100">
        <v>7.29</v>
      </c>
      <c r="D64" s="100">
        <v>6.73</v>
      </c>
      <c r="E64" s="100">
        <v>5.55</v>
      </c>
      <c r="F64" s="100">
        <v>2</v>
      </c>
      <c r="G64" s="100">
        <v>40.659999999999997</v>
      </c>
      <c r="H64" s="100">
        <v>23.45</v>
      </c>
      <c r="I64" s="100">
        <v>6.18</v>
      </c>
      <c r="J64" s="100">
        <v>0.41</v>
      </c>
      <c r="K64" s="100">
        <v>60.14</v>
      </c>
      <c r="L64" s="100">
        <v>12.29</v>
      </c>
      <c r="M64" s="100">
        <v>7.28</v>
      </c>
      <c r="N64" s="100">
        <v>266.5</v>
      </c>
      <c r="O64" s="100">
        <v>0</v>
      </c>
      <c r="P64" s="100">
        <v>0.28000000000000003</v>
      </c>
      <c r="Q64" s="100">
        <v>9.32</v>
      </c>
      <c r="R64" s="6"/>
      <c r="S64" s="6"/>
      <c r="T64" s="156"/>
      <c r="U64" s="6"/>
    </row>
    <row r="65" spans="1:21" customFormat="1">
      <c r="A65" s="201" t="s">
        <v>2600</v>
      </c>
      <c r="B65" s="100">
        <v>3.54</v>
      </c>
      <c r="C65" s="100">
        <v>7.39</v>
      </c>
      <c r="D65" s="100">
        <v>6.7</v>
      </c>
      <c r="E65" s="100">
        <v>5.21</v>
      </c>
      <c r="F65" s="100">
        <v>2</v>
      </c>
      <c r="G65" s="100">
        <v>40.659999999999997</v>
      </c>
      <c r="H65" s="100">
        <v>23.45</v>
      </c>
      <c r="I65" s="100">
        <v>6.07</v>
      </c>
      <c r="J65" s="100">
        <v>0.41</v>
      </c>
      <c r="K65" s="100">
        <v>61.3</v>
      </c>
      <c r="L65" s="100">
        <v>10.39</v>
      </c>
      <c r="M65" s="100">
        <v>5.51</v>
      </c>
      <c r="N65" s="100">
        <v>107.3</v>
      </c>
      <c r="O65" s="100">
        <v>0</v>
      </c>
      <c r="P65" s="100">
        <v>0.24</v>
      </c>
      <c r="Q65" s="100">
        <v>9.32</v>
      </c>
      <c r="R65" s="6"/>
      <c r="S65" s="6"/>
      <c r="T65" s="156"/>
      <c r="U65" s="6"/>
    </row>
    <row r="66" spans="1:21" customFormat="1">
      <c r="A66" s="201" t="s">
        <v>2601</v>
      </c>
      <c r="B66" s="100">
        <v>3.02</v>
      </c>
      <c r="C66" s="100">
        <v>8.84</v>
      </c>
      <c r="D66" s="100">
        <v>7.04</v>
      </c>
      <c r="E66" s="100">
        <v>6.43</v>
      </c>
      <c r="F66" s="100">
        <v>28.14</v>
      </c>
      <c r="G66" s="100">
        <v>40.659999999999997</v>
      </c>
      <c r="H66" s="100">
        <v>23.45</v>
      </c>
      <c r="I66" s="100">
        <v>5.93</v>
      </c>
      <c r="J66" s="100">
        <v>0.5</v>
      </c>
      <c r="K66" s="100">
        <v>44.51</v>
      </c>
      <c r="L66" s="100">
        <v>8.99</v>
      </c>
      <c r="M66" s="100">
        <v>2.67</v>
      </c>
      <c r="N66" s="100">
        <v>77.099999999999994</v>
      </c>
      <c r="O66" s="100">
        <v>0</v>
      </c>
      <c r="P66" s="100">
        <v>0.27</v>
      </c>
      <c r="Q66" s="100">
        <v>9.32</v>
      </c>
      <c r="R66" s="6"/>
      <c r="S66" s="6"/>
      <c r="T66" s="156"/>
      <c r="U66" s="6"/>
    </row>
    <row r="67" spans="1:21" customFormat="1">
      <c r="A67" s="201" t="s">
        <v>2602</v>
      </c>
      <c r="B67" s="100">
        <v>2.08</v>
      </c>
      <c r="C67" s="100">
        <v>9.6999999999999993</v>
      </c>
      <c r="D67" s="100">
        <v>6.73</v>
      </c>
      <c r="E67" s="100">
        <v>7.53</v>
      </c>
      <c r="F67" s="100">
        <v>42.78</v>
      </c>
      <c r="G67" s="100">
        <v>42.1</v>
      </c>
      <c r="H67" s="100">
        <v>21.06</v>
      </c>
      <c r="I67" s="100">
        <v>5.68</v>
      </c>
      <c r="J67" s="100">
        <v>0.47</v>
      </c>
      <c r="K67" s="100">
        <v>56.01</v>
      </c>
      <c r="L67" s="100">
        <v>8.9600000000000009</v>
      </c>
      <c r="M67" s="100">
        <v>2.74</v>
      </c>
      <c r="N67" s="100">
        <v>75.5</v>
      </c>
      <c r="O67" s="100">
        <v>0</v>
      </c>
      <c r="P67" s="100">
        <v>0.25</v>
      </c>
      <c r="Q67" s="100">
        <v>9.32</v>
      </c>
      <c r="R67" s="6"/>
      <c r="S67" s="6"/>
      <c r="T67" s="156"/>
      <c r="U67" s="6"/>
    </row>
    <row r="68" spans="1:21" customFormat="1">
      <c r="A68" s="201" t="s">
        <v>2603</v>
      </c>
      <c r="B68" s="100">
        <v>1.74</v>
      </c>
      <c r="C68" s="100">
        <v>8.94</v>
      </c>
      <c r="D68" s="100">
        <v>6.07</v>
      </c>
      <c r="E68" s="100">
        <v>7.15</v>
      </c>
      <c r="F68" s="100">
        <v>29.99</v>
      </c>
      <c r="G68" s="100">
        <v>42.62</v>
      </c>
      <c r="H68" s="100">
        <v>21.03</v>
      </c>
      <c r="I68" s="100">
        <v>4.91</v>
      </c>
      <c r="J68" s="100">
        <v>0.28999999999999998</v>
      </c>
      <c r="K68" s="100">
        <v>82.22</v>
      </c>
      <c r="L68" s="100">
        <v>11.66</v>
      </c>
      <c r="M68" s="100">
        <v>9.7200000000000006</v>
      </c>
      <c r="N68" s="100">
        <v>70.099999999999994</v>
      </c>
      <c r="O68" s="100">
        <v>0</v>
      </c>
      <c r="P68" s="100">
        <v>0.26</v>
      </c>
      <c r="Q68" s="100">
        <v>9.32</v>
      </c>
      <c r="R68" s="6"/>
      <c r="S68" s="6"/>
      <c r="T68" s="156"/>
      <c r="U68" s="6"/>
    </row>
    <row r="69" spans="1:21" customFormat="1">
      <c r="A69" s="201" t="s">
        <v>2604</v>
      </c>
      <c r="B69" s="100">
        <v>1.61</v>
      </c>
      <c r="C69" s="100">
        <v>7.73</v>
      </c>
      <c r="D69" s="100">
        <v>5.33</v>
      </c>
      <c r="E69" s="100">
        <v>6.09</v>
      </c>
      <c r="F69" s="100">
        <v>12.16</v>
      </c>
      <c r="G69" s="100">
        <v>42.62</v>
      </c>
      <c r="H69" s="100">
        <v>21.03</v>
      </c>
      <c r="I69" s="100">
        <v>4.1500000000000004</v>
      </c>
      <c r="J69" s="100">
        <v>0.4</v>
      </c>
      <c r="K69" s="100">
        <v>55.49</v>
      </c>
      <c r="L69" s="100">
        <v>10.210000000000001</v>
      </c>
      <c r="M69" s="100">
        <v>6.1</v>
      </c>
      <c r="N69" s="100">
        <v>65.2</v>
      </c>
      <c r="O69" s="100">
        <v>0</v>
      </c>
      <c r="P69" s="100">
        <v>0.3</v>
      </c>
      <c r="Q69" s="100">
        <v>9.32</v>
      </c>
      <c r="R69" s="6"/>
      <c r="S69" s="6"/>
      <c r="T69" s="156"/>
      <c r="U69" s="6"/>
    </row>
    <row r="70" spans="1:21" customFormat="1">
      <c r="A70" s="201" t="s">
        <v>2605</v>
      </c>
      <c r="B70" s="100">
        <v>1.7</v>
      </c>
      <c r="C70" s="100">
        <v>7.21</v>
      </c>
      <c r="D70" s="100">
        <v>5.13</v>
      </c>
      <c r="E70" s="100">
        <v>5.0599999999999996</v>
      </c>
      <c r="F70" s="100">
        <v>5.46</v>
      </c>
      <c r="G70" s="100">
        <v>42.62</v>
      </c>
      <c r="H70" s="100">
        <v>21.03</v>
      </c>
      <c r="I70" s="100">
        <v>4.1399999999999997</v>
      </c>
      <c r="J70" s="100">
        <v>0.38</v>
      </c>
      <c r="K70" s="100">
        <v>63.94</v>
      </c>
      <c r="L70" s="100">
        <v>10.199999999999999</v>
      </c>
      <c r="M70" s="100">
        <v>6.76</v>
      </c>
      <c r="N70" s="100">
        <v>38.200000000000003</v>
      </c>
      <c r="O70" s="100">
        <v>0</v>
      </c>
      <c r="P70" s="100">
        <v>0.31</v>
      </c>
      <c r="Q70" s="100">
        <v>9.32</v>
      </c>
      <c r="R70" s="6"/>
      <c r="S70" s="6"/>
      <c r="T70" s="156"/>
      <c r="U70" s="6"/>
    </row>
    <row r="71" spans="1:21" customFormat="1">
      <c r="A71" s="201" t="s">
        <v>2606</v>
      </c>
      <c r="B71" s="100">
        <v>1.96</v>
      </c>
      <c r="C71" s="100">
        <v>7.23</v>
      </c>
      <c r="D71" s="100">
        <v>5.35</v>
      </c>
      <c r="E71" s="100">
        <v>5.64</v>
      </c>
      <c r="F71" s="100">
        <v>7.79</v>
      </c>
      <c r="G71" s="100">
        <v>46.16</v>
      </c>
      <c r="H71" s="100">
        <v>25.44</v>
      </c>
      <c r="I71" s="100">
        <v>4.3499999999999996</v>
      </c>
      <c r="J71" s="100">
        <v>0.34</v>
      </c>
      <c r="K71" s="100">
        <v>67.5</v>
      </c>
      <c r="L71" s="100">
        <v>10</v>
      </c>
      <c r="M71" s="100">
        <v>6.57</v>
      </c>
      <c r="N71" s="100">
        <v>23.5</v>
      </c>
      <c r="O71" s="100">
        <v>0</v>
      </c>
      <c r="P71" s="100">
        <v>0.3</v>
      </c>
      <c r="Q71" s="100">
        <v>9.32</v>
      </c>
      <c r="R71" s="6"/>
      <c r="S71" s="6"/>
      <c r="T71" s="156"/>
      <c r="U71" s="6"/>
    </row>
    <row r="72" spans="1:21" customFormat="1">
      <c r="A72" s="201" t="s">
        <v>2607</v>
      </c>
      <c r="B72" s="100">
        <v>2.2799999999999998</v>
      </c>
      <c r="C72" s="100">
        <v>7.73</v>
      </c>
      <c r="D72" s="100">
        <v>5.87</v>
      </c>
      <c r="E72" s="100">
        <v>6.07</v>
      </c>
      <c r="F72" s="100">
        <v>7.24</v>
      </c>
      <c r="G72" s="100">
        <v>47.45</v>
      </c>
      <c r="H72" s="100">
        <v>25.55</v>
      </c>
      <c r="I72" s="100">
        <v>4.55</v>
      </c>
      <c r="J72" s="100">
        <v>0.32</v>
      </c>
      <c r="K72" s="100">
        <v>54.91</v>
      </c>
      <c r="L72" s="100">
        <v>10.01</v>
      </c>
      <c r="M72" s="100">
        <v>6.42</v>
      </c>
      <c r="N72" s="100">
        <v>27.3</v>
      </c>
      <c r="O72" s="100">
        <v>0</v>
      </c>
      <c r="P72" s="100">
        <v>0.32</v>
      </c>
      <c r="Q72" s="100">
        <v>9.32</v>
      </c>
      <c r="R72" s="6"/>
      <c r="S72" s="6"/>
      <c r="T72" s="156"/>
      <c r="U72" s="6"/>
    </row>
    <row r="73" spans="1:21" customFormat="1">
      <c r="A73" s="201" t="s">
        <v>2608</v>
      </c>
      <c r="B73" s="100">
        <v>2.5</v>
      </c>
      <c r="C73" s="100">
        <v>8.23</v>
      </c>
      <c r="D73" s="100">
        <v>6.3</v>
      </c>
      <c r="E73" s="100">
        <v>6.26</v>
      </c>
      <c r="F73" s="100">
        <v>5.01</v>
      </c>
      <c r="G73" s="100">
        <v>47.45</v>
      </c>
      <c r="H73" s="100">
        <v>25.55</v>
      </c>
      <c r="I73" s="100">
        <v>4.75</v>
      </c>
      <c r="J73" s="100">
        <v>0.3</v>
      </c>
      <c r="K73" s="100">
        <v>79.58</v>
      </c>
      <c r="L73" s="100">
        <v>10.61</v>
      </c>
      <c r="M73" s="100">
        <v>8.07</v>
      </c>
      <c r="N73" s="100">
        <v>28.2</v>
      </c>
      <c r="O73" s="100">
        <v>0</v>
      </c>
      <c r="P73" s="100">
        <v>0.32</v>
      </c>
      <c r="Q73" s="100">
        <v>9.32</v>
      </c>
      <c r="R73" s="6"/>
      <c r="S73" s="6"/>
      <c r="T73" s="156"/>
      <c r="U73" s="6"/>
    </row>
    <row r="74" spans="1:21" customFormat="1">
      <c r="A74" s="201" t="s">
        <v>2609</v>
      </c>
      <c r="B74" s="100">
        <v>2.38</v>
      </c>
      <c r="C74" s="100">
        <v>7.79</v>
      </c>
      <c r="D74" s="100">
        <v>5.98</v>
      </c>
      <c r="E74" s="100">
        <v>5.87</v>
      </c>
      <c r="F74" s="100">
        <v>6.27</v>
      </c>
      <c r="G74" s="100">
        <v>47.45</v>
      </c>
      <c r="H74" s="100">
        <v>25.55</v>
      </c>
      <c r="I74" s="100">
        <v>4.96</v>
      </c>
      <c r="J74" s="100">
        <v>0.28000000000000003</v>
      </c>
      <c r="K74" s="100">
        <v>131.9</v>
      </c>
      <c r="L74" s="100">
        <v>12.97</v>
      </c>
      <c r="M74" s="100">
        <v>14.15</v>
      </c>
      <c r="N74" s="100">
        <v>23</v>
      </c>
      <c r="O74" s="100">
        <v>0</v>
      </c>
      <c r="P74" s="100">
        <v>0.31</v>
      </c>
      <c r="Q74" s="100">
        <v>9.32</v>
      </c>
      <c r="R74" s="6"/>
      <c r="S74" s="6"/>
      <c r="T74" s="156"/>
      <c r="U74" s="6"/>
    </row>
    <row r="75" spans="1:21" customFormat="1">
      <c r="A75" s="201" t="s">
        <v>2610</v>
      </c>
      <c r="B75" s="100">
        <v>2.2799999999999998</v>
      </c>
      <c r="C75" s="100">
        <v>7.57</v>
      </c>
      <c r="D75" s="100">
        <v>5.79</v>
      </c>
      <c r="E75" s="100">
        <v>5.62</v>
      </c>
      <c r="F75" s="100">
        <v>6.89</v>
      </c>
      <c r="G75" s="100">
        <v>51.58</v>
      </c>
      <c r="H75" s="100">
        <v>26.49</v>
      </c>
      <c r="I75" s="100">
        <v>5.1100000000000003</v>
      </c>
      <c r="J75" s="100">
        <v>0.19</v>
      </c>
      <c r="K75" s="100">
        <v>137.66999999999999</v>
      </c>
      <c r="L75" s="100">
        <v>13.22</v>
      </c>
      <c r="M75" s="100">
        <v>14.86</v>
      </c>
      <c r="N75" s="100">
        <v>19.8</v>
      </c>
      <c r="O75" s="100">
        <v>0</v>
      </c>
      <c r="P75" s="100">
        <v>0.31</v>
      </c>
      <c r="Q75" s="100">
        <v>9.32</v>
      </c>
      <c r="R75" s="6"/>
      <c r="S75" s="6"/>
      <c r="T75" s="156"/>
      <c r="U75" s="6"/>
    </row>
    <row r="76" spans="1:21" customFormat="1">
      <c r="A76" s="201" t="s">
        <v>2611</v>
      </c>
      <c r="B76" s="100">
        <v>2.23</v>
      </c>
      <c r="C76" s="100">
        <v>8.76</v>
      </c>
      <c r="D76" s="100">
        <v>6.36</v>
      </c>
      <c r="E76" s="100">
        <v>7.12</v>
      </c>
      <c r="F76" s="100">
        <v>24.14</v>
      </c>
      <c r="G76" s="100">
        <v>53.08</v>
      </c>
      <c r="H76" s="100">
        <v>26.51</v>
      </c>
      <c r="I76" s="100">
        <v>5.27</v>
      </c>
      <c r="J76" s="100">
        <v>0.17</v>
      </c>
      <c r="K76" s="100">
        <v>88.17</v>
      </c>
      <c r="L76" s="100">
        <v>10.83</v>
      </c>
      <c r="M76" s="100">
        <v>8.9499999999999993</v>
      </c>
      <c r="N76" s="100">
        <v>12.8</v>
      </c>
      <c r="O76" s="100">
        <v>0</v>
      </c>
      <c r="P76" s="100">
        <v>0.36</v>
      </c>
      <c r="Q76" s="100">
        <v>9.32</v>
      </c>
      <c r="R76" s="6"/>
      <c r="S76" s="6"/>
      <c r="T76" s="156"/>
      <c r="U76" s="6"/>
    </row>
    <row r="77" spans="1:21" customFormat="1">
      <c r="A77" s="201" t="s">
        <v>2612</v>
      </c>
      <c r="B77" s="100">
        <v>2.11</v>
      </c>
      <c r="C77" s="100">
        <v>10.17</v>
      </c>
      <c r="D77" s="100">
        <v>7.01</v>
      </c>
      <c r="E77" s="100">
        <v>8.51</v>
      </c>
      <c r="F77" s="100">
        <v>24.5</v>
      </c>
      <c r="G77" s="100">
        <v>53.08</v>
      </c>
      <c r="H77" s="100">
        <v>26.51</v>
      </c>
      <c r="I77" s="100">
        <v>5.42</v>
      </c>
      <c r="J77" s="100">
        <v>0.31</v>
      </c>
      <c r="K77" s="100">
        <v>63.3</v>
      </c>
      <c r="L77" s="100">
        <v>8.59</v>
      </c>
      <c r="M77" s="100">
        <v>3.43</v>
      </c>
      <c r="N77" s="100">
        <v>6.6</v>
      </c>
      <c r="O77" s="100">
        <v>0</v>
      </c>
      <c r="P77" s="100">
        <v>0.41</v>
      </c>
      <c r="Q77" s="100">
        <v>9.32</v>
      </c>
      <c r="R77" s="6"/>
      <c r="S77" s="6"/>
      <c r="T77" s="156"/>
      <c r="U77" s="6"/>
    </row>
    <row r="78" spans="1:21" customFormat="1">
      <c r="A78" s="201" t="s">
        <v>2613</v>
      </c>
      <c r="B78" s="100">
        <v>2.13</v>
      </c>
      <c r="C78" s="100">
        <v>11.78</v>
      </c>
      <c r="D78" s="100">
        <v>7.86</v>
      </c>
      <c r="E78" s="100">
        <v>8.6300000000000008</v>
      </c>
      <c r="F78" s="100">
        <v>21.99</v>
      </c>
      <c r="G78" s="100">
        <v>53.08</v>
      </c>
      <c r="H78" s="100">
        <v>26.51</v>
      </c>
      <c r="I78" s="100">
        <v>5.56</v>
      </c>
      <c r="J78" s="100">
        <v>0.16</v>
      </c>
      <c r="K78" s="100">
        <v>69.209999999999994</v>
      </c>
      <c r="L78" s="100">
        <v>9.02</v>
      </c>
      <c r="M78" s="100">
        <v>4.6100000000000003</v>
      </c>
      <c r="N78" s="100">
        <v>3.5</v>
      </c>
      <c r="O78" s="100">
        <v>0</v>
      </c>
      <c r="P78" s="100">
        <v>0.45</v>
      </c>
      <c r="Q78" s="100">
        <v>9.32</v>
      </c>
      <c r="R78" s="6"/>
      <c r="S78" s="6"/>
      <c r="T78" s="156"/>
      <c r="U78" s="6"/>
    </row>
    <row r="79" spans="1:21" customFormat="1">
      <c r="A79" s="201" t="s">
        <v>2614</v>
      </c>
      <c r="B79" s="100">
        <v>3.29</v>
      </c>
      <c r="C79" s="100">
        <v>15.08</v>
      </c>
      <c r="D79" s="100">
        <v>10.51</v>
      </c>
      <c r="E79" s="100">
        <v>9.16</v>
      </c>
      <c r="F79" s="100">
        <v>14.89</v>
      </c>
      <c r="G79" s="100">
        <v>52.51</v>
      </c>
      <c r="H79" s="100">
        <v>25.95</v>
      </c>
      <c r="I79" s="100">
        <v>6.08</v>
      </c>
      <c r="J79" s="100">
        <v>0.34</v>
      </c>
      <c r="K79" s="100">
        <v>45.47</v>
      </c>
      <c r="L79" s="100">
        <v>7.78</v>
      </c>
      <c r="M79" s="100">
        <v>1.35</v>
      </c>
      <c r="N79" s="100">
        <v>2.6</v>
      </c>
      <c r="O79" s="100">
        <v>0</v>
      </c>
      <c r="P79" s="100">
        <v>0.53</v>
      </c>
      <c r="Q79" s="100">
        <v>9.32</v>
      </c>
      <c r="R79" s="6"/>
      <c r="S79" s="6"/>
      <c r="T79" s="156"/>
      <c r="U79" s="6"/>
    </row>
    <row r="80" spans="1:21" customFormat="1">
      <c r="A80" s="201" t="s">
        <v>2615</v>
      </c>
      <c r="B80" s="100">
        <v>3.29</v>
      </c>
      <c r="C80" s="100">
        <v>18.760000000000002</v>
      </c>
      <c r="D80" s="100">
        <v>12.44</v>
      </c>
      <c r="E80" s="100">
        <v>9.68</v>
      </c>
      <c r="F80" s="100">
        <v>8.2899999999999991</v>
      </c>
      <c r="G80" s="100">
        <v>52.3</v>
      </c>
      <c r="H80" s="100">
        <v>25.94</v>
      </c>
      <c r="I80" s="100">
        <v>6.95</v>
      </c>
      <c r="J80" s="100">
        <v>0.18</v>
      </c>
      <c r="K80" s="100">
        <v>71.61</v>
      </c>
      <c r="L80" s="100">
        <v>8.7200000000000006</v>
      </c>
      <c r="M80" s="100">
        <v>3.85</v>
      </c>
      <c r="N80" s="100">
        <v>2.4</v>
      </c>
      <c r="O80" s="100">
        <v>0</v>
      </c>
      <c r="P80" s="100">
        <v>0.56999999999999995</v>
      </c>
      <c r="Q80" s="100">
        <v>9.34</v>
      </c>
      <c r="R80" s="6"/>
      <c r="S80" s="6"/>
      <c r="T80" s="156"/>
      <c r="U80" s="6"/>
    </row>
    <row r="81" spans="1:21" customFormat="1">
      <c r="A81" s="201" t="s">
        <v>2616</v>
      </c>
      <c r="B81" s="100">
        <v>2.4300000000000002</v>
      </c>
      <c r="C81" s="100">
        <v>17.190000000000001</v>
      </c>
      <c r="D81" s="100">
        <v>10.93</v>
      </c>
      <c r="E81" s="100">
        <v>6.44</v>
      </c>
      <c r="F81" s="100">
        <v>2.78</v>
      </c>
      <c r="G81" s="100">
        <v>52.3</v>
      </c>
      <c r="H81" s="100">
        <v>25.94</v>
      </c>
      <c r="I81" s="100">
        <v>10.66</v>
      </c>
      <c r="J81" s="100">
        <v>0.18</v>
      </c>
      <c r="K81" s="100">
        <v>62.56</v>
      </c>
      <c r="L81" s="100">
        <v>8.86</v>
      </c>
      <c r="M81" s="100">
        <v>4.16</v>
      </c>
      <c r="N81" s="100">
        <v>2.4</v>
      </c>
      <c r="O81" s="100">
        <v>0</v>
      </c>
      <c r="P81" s="100">
        <v>0.57999999999999996</v>
      </c>
      <c r="Q81" s="100">
        <v>9.32</v>
      </c>
      <c r="R81" s="6"/>
      <c r="S81" s="6"/>
      <c r="T81" s="156"/>
      <c r="U81" s="6"/>
    </row>
    <row r="82" spans="1:21" customFormat="1">
      <c r="A82" s="201" t="s">
        <v>2617</v>
      </c>
      <c r="B82" s="100">
        <v>2.64</v>
      </c>
      <c r="C82" s="100">
        <v>15.13</v>
      </c>
      <c r="D82" s="100">
        <v>10.02</v>
      </c>
      <c r="E82" s="100">
        <v>6.8</v>
      </c>
      <c r="F82" s="100">
        <v>2</v>
      </c>
      <c r="G82" s="100">
        <v>52.3</v>
      </c>
      <c r="H82" s="100">
        <v>25.94</v>
      </c>
      <c r="I82" s="100">
        <v>13.51</v>
      </c>
      <c r="J82" s="100">
        <v>0.25</v>
      </c>
      <c r="K82" s="100">
        <v>57.79</v>
      </c>
      <c r="L82" s="100">
        <v>7.77</v>
      </c>
      <c r="M82" s="100">
        <v>1.39</v>
      </c>
      <c r="N82" s="100">
        <v>2.4</v>
      </c>
      <c r="O82" s="100">
        <v>0</v>
      </c>
      <c r="P82" s="100">
        <v>0.6</v>
      </c>
      <c r="Q82" s="100">
        <v>9.32</v>
      </c>
      <c r="R82" s="6"/>
      <c r="S82" s="6"/>
      <c r="T82" s="156"/>
      <c r="U82" s="6"/>
    </row>
    <row r="83" spans="1:21" customFormat="1">
      <c r="A83" s="201" t="s">
        <v>2618</v>
      </c>
      <c r="B83" s="100">
        <v>3.39</v>
      </c>
      <c r="C83" s="100">
        <v>14.5</v>
      </c>
      <c r="D83" s="100">
        <v>10.29</v>
      </c>
      <c r="E83" s="100">
        <v>6.9</v>
      </c>
      <c r="F83" s="100">
        <v>2</v>
      </c>
      <c r="G83" s="100">
        <v>66.06</v>
      </c>
      <c r="H83" s="100">
        <v>31.96</v>
      </c>
      <c r="I83" s="100">
        <v>13.09</v>
      </c>
      <c r="J83" s="100">
        <v>0.34</v>
      </c>
      <c r="K83" s="100">
        <v>42.31</v>
      </c>
      <c r="L83" s="100">
        <v>6.67</v>
      </c>
      <c r="M83" s="100">
        <v>-1.4</v>
      </c>
      <c r="N83" s="100">
        <v>2.4</v>
      </c>
      <c r="O83" s="100">
        <v>0</v>
      </c>
      <c r="P83" s="100">
        <v>0.6</v>
      </c>
      <c r="Q83" s="100">
        <v>9.32</v>
      </c>
      <c r="R83" s="6"/>
      <c r="S83" s="6"/>
      <c r="T83" s="156"/>
      <c r="U83" s="6"/>
    </row>
    <row r="84" spans="1:21" customFormat="1">
      <c r="A84" s="201" t="s">
        <v>2619</v>
      </c>
      <c r="B84" s="100">
        <v>3.32</v>
      </c>
      <c r="C84" s="100">
        <v>12.28</v>
      </c>
      <c r="D84" s="100">
        <v>9.08</v>
      </c>
      <c r="E84" s="100">
        <v>6.35</v>
      </c>
      <c r="F84" s="100">
        <v>2</v>
      </c>
      <c r="G84" s="100">
        <v>71.06</v>
      </c>
      <c r="H84" s="100">
        <v>32.049999999999997</v>
      </c>
      <c r="I84" s="100">
        <v>13.15</v>
      </c>
      <c r="J84" s="100">
        <v>0.4</v>
      </c>
      <c r="K84" s="100">
        <v>48.57</v>
      </c>
      <c r="L84" s="100">
        <v>7.15</v>
      </c>
      <c r="M84" s="100">
        <v>-0.18</v>
      </c>
      <c r="N84" s="100">
        <v>2.4</v>
      </c>
      <c r="O84" s="100">
        <v>0</v>
      </c>
      <c r="P84" s="100">
        <v>0.59</v>
      </c>
      <c r="Q84" s="100">
        <v>9.32</v>
      </c>
      <c r="R84" s="6"/>
      <c r="S84" s="6"/>
      <c r="T84" s="156"/>
      <c r="U84" s="6"/>
    </row>
    <row r="85" spans="1:21" customFormat="1">
      <c r="A85" s="201" t="s">
        <v>2620</v>
      </c>
      <c r="B85" s="100">
        <v>3.56</v>
      </c>
      <c r="C85" s="100">
        <v>11.88</v>
      </c>
      <c r="D85" s="100">
        <v>9.07</v>
      </c>
      <c r="E85" s="100">
        <v>8.42</v>
      </c>
      <c r="F85" s="100">
        <v>2</v>
      </c>
      <c r="G85" s="100">
        <v>71.06</v>
      </c>
      <c r="H85" s="100">
        <v>32.049999999999997</v>
      </c>
      <c r="I85" s="100">
        <v>13.1</v>
      </c>
      <c r="J85" s="100">
        <v>0.36</v>
      </c>
      <c r="K85" s="100">
        <v>43.4</v>
      </c>
      <c r="L85" s="100">
        <v>6.64</v>
      </c>
      <c r="M85" s="100">
        <v>-1.5</v>
      </c>
      <c r="N85" s="100">
        <v>2.6</v>
      </c>
      <c r="O85" s="100">
        <v>0</v>
      </c>
      <c r="P85" s="100">
        <v>0.6</v>
      </c>
      <c r="Q85" s="100">
        <v>9.32</v>
      </c>
      <c r="R85" s="6"/>
      <c r="S85" s="6"/>
      <c r="T85" s="156"/>
      <c r="U85" s="6"/>
    </row>
    <row r="86" spans="1:21" customFormat="1">
      <c r="A86" s="201" t="s">
        <v>2621</v>
      </c>
      <c r="B86" s="100">
        <v>3.93</v>
      </c>
      <c r="C86" s="100">
        <v>11.3</v>
      </c>
      <c r="D86" s="100">
        <v>9.06</v>
      </c>
      <c r="E86" s="100">
        <v>7.17</v>
      </c>
      <c r="F86" s="100">
        <v>2.0099999999999998</v>
      </c>
      <c r="G86" s="100">
        <v>71.06</v>
      </c>
      <c r="H86" s="100">
        <v>32.049999999999997</v>
      </c>
      <c r="I86" s="100">
        <v>13.2</v>
      </c>
      <c r="J86" s="100">
        <v>0.28999999999999998</v>
      </c>
      <c r="K86" s="100">
        <v>43.04</v>
      </c>
      <c r="L86" s="100">
        <v>6.74</v>
      </c>
      <c r="M86" s="100">
        <v>-1.26</v>
      </c>
      <c r="N86" s="100">
        <v>2.7</v>
      </c>
      <c r="O86" s="100">
        <v>0</v>
      </c>
      <c r="P86" s="100">
        <v>0.59</v>
      </c>
      <c r="Q86" s="100">
        <v>9.32</v>
      </c>
      <c r="R86" s="6"/>
      <c r="S86" s="6"/>
      <c r="T86" s="156"/>
      <c r="U86" s="6"/>
    </row>
    <row r="87" spans="1:21" customFormat="1">
      <c r="A87" s="201" t="s">
        <v>2622</v>
      </c>
      <c r="B87" s="100">
        <v>3.8</v>
      </c>
      <c r="C87" s="100">
        <v>9.34</v>
      </c>
      <c r="D87" s="100">
        <v>7.93</v>
      </c>
      <c r="E87" s="100">
        <v>5.9</v>
      </c>
      <c r="F87" s="100">
        <v>2</v>
      </c>
      <c r="G87" s="100">
        <v>84.28</v>
      </c>
      <c r="H87" s="100">
        <v>36.03</v>
      </c>
      <c r="I87" s="100">
        <v>12.94</v>
      </c>
      <c r="J87" s="100">
        <v>0.38</v>
      </c>
      <c r="K87" s="100">
        <v>43.83</v>
      </c>
      <c r="L87" s="100">
        <v>7.08</v>
      </c>
      <c r="M87" s="100">
        <v>-0.39</v>
      </c>
      <c r="N87" s="100">
        <v>2.4</v>
      </c>
      <c r="O87" s="100">
        <v>0</v>
      </c>
      <c r="P87" s="100">
        <v>0.59</v>
      </c>
      <c r="Q87" s="100">
        <v>9.32</v>
      </c>
      <c r="R87" s="6"/>
      <c r="S87" s="6"/>
      <c r="T87" s="156"/>
      <c r="U87" s="6"/>
    </row>
    <row r="88" spans="1:21" customFormat="1">
      <c r="A88" s="201" t="s">
        <v>2623</v>
      </c>
      <c r="B88" s="100">
        <v>3.97</v>
      </c>
      <c r="C88" s="100">
        <v>8.43</v>
      </c>
      <c r="D88" s="100">
        <v>7.59</v>
      </c>
      <c r="E88" s="100">
        <v>4.82</v>
      </c>
      <c r="F88" s="100">
        <v>2</v>
      </c>
      <c r="G88" s="100">
        <v>89.09</v>
      </c>
      <c r="H88" s="100">
        <v>36.130000000000003</v>
      </c>
      <c r="I88" s="100">
        <v>12.88</v>
      </c>
      <c r="J88" s="100">
        <v>0.2</v>
      </c>
      <c r="K88" s="100">
        <v>21.13</v>
      </c>
      <c r="L88" s="100">
        <v>10.99</v>
      </c>
      <c r="M88" s="100">
        <v>9.3000000000000007</v>
      </c>
      <c r="N88" s="100">
        <v>2.4</v>
      </c>
      <c r="O88" s="100">
        <v>0</v>
      </c>
      <c r="P88" s="100">
        <v>0.56999999999999995</v>
      </c>
      <c r="Q88" s="100">
        <v>9.32</v>
      </c>
      <c r="R88" s="6"/>
      <c r="S88" s="6"/>
      <c r="T88" s="156"/>
      <c r="U88" s="6"/>
    </row>
    <row r="89" spans="1:21" customFormat="1">
      <c r="A89" s="201" t="s">
        <v>2624</v>
      </c>
      <c r="B89" s="100">
        <v>4.16</v>
      </c>
      <c r="C89" s="100">
        <v>8.0399999999999991</v>
      </c>
      <c r="D89" s="100">
        <v>7.53</v>
      </c>
      <c r="E89" s="100">
        <v>4.82</v>
      </c>
      <c r="F89" s="100">
        <v>2</v>
      </c>
      <c r="G89" s="100">
        <v>89.09</v>
      </c>
      <c r="H89" s="100">
        <v>36.130000000000003</v>
      </c>
      <c r="I89" s="100">
        <v>13.06</v>
      </c>
      <c r="J89" s="100">
        <v>0.33</v>
      </c>
      <c r="K89" s="100">
        <v>36.75</v>
      </c>
      <c r="L89" s="100">
        <v>8.85</v>
      </c>
      <c r="M89" s="100">
        <v>4.08</v>
      </c>
      <c r="N89" s="100">
        <v>2.5</v>
      </c>
      <c r="O89" s="100">
        <v>0</v>
      </c>
      <c r="P89" s="100">
        <v>0.57999999999999996</v>
      </c>
      <c r="Q89" s="100">
        <v>9.32</v>
      </c>
      <c r="R89" s="6"/>
      <c r="S89" s="6"/>
      <c r="T89" s="156"/>
      <c r="U89" s="6"/>
    </row>
    <row r="90" spans="1:21" customFormat="1">
      <c r="A90" s="201" t="s">
        <v>2625</v>
      </c>
      <c r="B90" s="100">
        <v>4.4400000000000004</v>
      </c>
      <c r="C90" s="100">
        <v>8.06</v>
      </c>
      <c r="D90" s="100">
        <v>7.77</v>
      </c>
      <c r="E90" s="100">
        <v>4.8099999999999996</v>
      </c>
      <c r="F90" s="100">
        <v>2</v>
      </c>
      <c r="G90" s="100">
        <v>89.09</v>
      </c>
      <c r="H90" s="100">
        <v>36.130000000000003</v>
      </c>
      <c r="I90" s="100">
        <v>13.12</v>
      </c>
      <c r="J90" s="100">
        <v>0.2</v>
      </c>
      <c r="K90" s="100">
        <v>17.190000000000001</v>
      </c>
      <c r="L90" s="100">
        <v>11.14</v>
      </c>
      <c r="M90" s="100">
        <v>9.66</v>
      </c>
      <c r="N90" s="100">
        <v>2.4</v>
      </c>
      <c r="O90" s="100">
        <v>0</v>
      </c>
      <c r="P90" s="100">
        <v>0.56000000000000005</v>
      </c>
      <c r="Q90" s="100">
        <v>9.32</v>
      </c>
      <c r="R90" s="6"/>
      <c r="S90" s="6"/>
      <c r="T90" s="156"/>
      <c r="U90" s="6"/>
    </row>
    <row r="91" spans="1:21" customFormat="1">
      <c r="A91" s="201" t="s">
        <v>2626</v>
      </c>
      <c r="B91" s="100">
        <v>4.59</v>
      </c>
      <c r="C91" s="100">
        <v>8.1999999999999993</v>
      </c>
      <c r="D91" s="100">
        <v>7.96</v>
      </c>
      <c r="E91" s="100">
        <v>5.44</v>
      </c>
      <c r="F91" s="100">
        <v>2</v>
      </c>
      <c r="G91" s="100">
        <v>90.7</v>
      </c>
      <c r="H91" s="100">
        <v>35.53</v>
      </c>
      <c r="I91" s="100">
        <v>11.58</v>
      </c>
      <c r="J91" s="100">
        <v>0.27</v>
      </c>
      <c r="K91" s="100">
        <v>41.96</v>
      </c>
      <c r="L91" s="100">
        <v>11.24</v>
      </c>
      <c r="M91" s="100">
        <v>10.050000000000001</v>
      </c>
      <c r="N91" s="100">
        <v>2.4</v>
      </c>
      <c r="O91" s="100">
        <v>0</v>
      </c>
      <c r="P91" s="100">
        <v>0.56000000000000005</v>
      </c>
      <c r="Q91" s="100">
        <v>9.32</v>
      </c>
      <c r="R91" s="6"/>
      <c r="S91" s="6"/>
      <c r="T91" s="156"/>
      <c r="U91" s="6"/>
    </row>
    <row r="92" spans="1:21" customFormat="1">
      <c r="A92" s="201" t="s">
        <v>2627</v>
      </c>
      <c r="B92" s="100">
        <v>4.66</v>
      </c>
      <c r="C92" s="100">
        <v>7.78</v>
      </c>
      <c r="D92" s="100">
        <v>7.8</v>
      </c>
      <c r="E92" s="100">
        <v>5.39</v>
      </c>
      <c r="F92" s="100">
        <v>2</v>
      </c>
      <c r="G92" s="100">
        <v>91.29</v>
      </c>
      <c r="H92" s="100">
        <v>35.520000000000003</v>
      </c>
      <c r="I92" s="100">
        <v>9.83</v>
      </c>
      <c r="J92" s="100">
        <v>0.24</v>
      </c>
      <c r="K92" s="100">
        <v>45.61</v>
      </c>
      <c r="L92" s="100">
        <v>7.74</v>
      </c>
      <c r="M92" s="100">
        <v>1.32</v>
      </c>
      <c r="N92" s="100">
        <v>2.4</v>
      </c>
      <c r="O92" s="100">
        <v>0</v>
      </c>
      <c r="P92" s="100">
        <v>0.56000000000000005</v>
      </c>
      <c r="Q92" s="100">
        <v>9.32</v>
      </c>
      <c r="R92" s="6"/>
      <c r="S92" s="6"/>
      <c r="T92" s="156"/>
      <c r="U92" s="6"/>
    </row>
    <row r="93" spans="1:21" customFormat="1">
      <c r="A93" s="201" t="s">
        <v>2628</v>
      </c>
      <c r="B93" s="100">
        <v>4.72</v>
      </c>
      <c r="C93" s="100">
        <v>7.66</v>
      </c>
      <c r="D93" s="100">
        <v>7.79</v>
      </c>
      <c r="E93" s="100">
        <v>5.45</v>
      </c>
      <c r="F93" s="100">
        <v>2</v>
      </c>
      <c r="G93" s="100">
        <v>91.29</v>
      </c>
      <c r="H93" s="100">
        <v>35.520000000000003</v>
      </c>
      <c r="I93" s="100">
        <v>9.6300000000000008</v>
      </c>
      <c r="J93" s="100">
        <v>0.28999999999999998</v>
      </c>
      <c r="K93" s="100">
        <v>42.22</v>
      </c>
      <c r="L93" s="100">
        <v>9.64</v>
      </c>
      <c r="M93" s="100">
        <v>6.03</v>
      </c>
      <c r="N93" s="100">
        <v>2.4</v>
      </c>
      <c r="O93" s="100">
        <v>0</v>
      </c>
      <c r="P93" s="100">
        <v>0.56000000000000005</v>
      </c>
      <c r="Q93" s="100">
        <v>9.34</v>
      </c>
      <c r="R93" s="6"/>
      <c r="S93" s="6"/>
      <c r="T93" s="156"/>
      <c r="U93" s="6"/>
    </row>
    <row r="94" spans="1:21" customFormat="1">
      <c r="A94" s="201" t="s">
        <v>2629</v>
      </c>
      <c r="B94" s="100">
        <v>4.95</v>
      </c>
      <c r="C94" s="100">
        <v>7.85</v>
      </c>
      <c r="D94" s="100">
        <v>8.07</v>
      </c>
      <c r="E94" s="100">
        <v>5.1100000000000003</v>
      </c>
      <c r="F94" s="100">
        <v>2</v>
      </c>
      <c r="G94" s="100">
        <v>91.29</v>
      </c>
      <c r="H94" s="100">
        <v>35.520000000000003</v>
      </c>
      <c r="I94" s="100">
        <v>10.43</v>
      </c>
      <c r="J94" s="100">
        <v>0.3</v>
      </c>
      <c r="K94" s="100">
        <v>48.31</v>
      </c>
      <c r="L94" s="100">
        <v>7.72</v>
      </c>
      <c r="M94" s="100">
        <v>1.23</v>
      </c>
      <c r="N94" s="100">
        <v>2.4</v>
      </c>
      <c r="O94" s="100">
        <v>0</v>
      </c>
      <c r="P94" s="100">
        <v>0.55000000000000004</v>
      </c>
      <c r="Q94" s="100">
        <v>9.32</v>
      </c>
      <c r="R94" s="6"/>
      <c r="S94" s="6"/>
      <c r="T94" s="156"/>
      <c r="U94" s="6"/>
    </row>
    <row r="95" spans="1:21" customFormat="1">
      <c r="A95" s="201" t="s">
        <v>2630</v>
      </c>
      <c r="B95" s="100">
        <v>4.99</v>
      </c>
      <c r="C95" s="100">
        <v>7.8</v>
      </c>
      <c r="D95" s="100">
        <v>8.07</v>
      </c>
      <c r="E95" s="100">
        <v>5.27</v>
      </c>
      <c r="F95" s="100">
        <v>2</v>
      </c>
      <c r="G95" s="100">
        <v>89.61</v>
      </c>
      <c r="H95" s="100">
        <v>36.99</v>
      </c>
      <c r="I95" s="100">
        <v>11.27</v>
      </c>
      <c r="J95" s="100">
        <v>0.35</v>
      </c>
      <c r="K95" s="100">
        <v>39.299999999999997</v>
      </c>
      <c r="L95" s="100">
        <v>6.81</v>
      </c>
      <c r="M95" s="100">
        <v>-1.05</v>
      </c>
      <c r="N95" s="100">
        <v>2.4</v>
      </c>
      <c r="O95" s="100">
        <v>0</v>
      </c>
      <c r="P95" s="100">
        <v>0.56000000000000005</v>
      </c>
      <c r="Q95" s="100">
        <v>9.32</v>
      </c>
      <c r="R95" s="6"/>
      <c r="S95" s="6"/>
      <c r="T95" s="156"/>
      <c r="U95" s="6"/>
    </row>
    <row r="96" spans="1:21" customFormat="1">
      <c r="A96" s="201" t="s">
        <v>2631</v>
      </c>
      <c r="B96" s="100">
        <v>4.92</v>
      </c>
      <c r="C96" s="100">
        <v>7.71</v>
      </c>
      <c r="D96" s="100">
        <v>7.98</v>
      </c>
      <c r="E96" s="100">
        <v>5.37</v>
      </c>
      <c r="F96" s="100">
        <v>2</v>
      </c>
      <c r="G96" s="100">
        <v>88.99</v>
      </c>
      <c r="H96" s="100">
        <v>37.020000000000003</v>
      </c>
      <c r="I96" s="100">
        <v>11.1</v>
      </c>
      <c r="J96" s="100">
        <v>0.28000000000000003</v>
      </c>
      <c r="K96" s="100">
        <v>45.41</v>
      </c>
      <c r="L96" s="100">
        <v>6.63</v>
      </c>
      <c r="M96" s="100">
        <v>-1.51</v>
      </c>
      <c r="N96" s="100">
        <v>2.4</v>
      </c>
      <c r="O96" s="100">
        <v>0</v>
      </c>
      <c r="P96" s="100">
        <v>0.54</v>
      </c>
      <c r="Q96" s="100">
        <v>9.32</v>
      </c>
      <c r="R96" s="6"/>
      <c r="S96" s="6"/>
      <c r="T96" s="156"/>
      <c r="U96" s="6"/>
    </row>
    <row r="97" spans="1:28" customFormat="1">
      <c r="A97" s="201" t="s">
        <v>2632</v>
      </c>
      <c r="B97" s="100">
        <v>4.9400000000000004</v>
      </c>
      <c r="C97" s="100">
        <v>7.78</v>
      </c>
      <c r="D97" s="100">
        <v>8.0299999999999994</v>
      </c>
      <c r="E97" s="100">
        <v>5.6</v>
      </c>
      <c r="F97" s="100">
        <v>2</v>
      </c>
      <c r="G97" s="100">
        <v>88.99</v>
      </c>
      <c r="H97" s="100">
        <v>37.020000000000003</v>
      </c>
      <c r="I97" s="100">
        <v>10.87</v>
      </c>
      <c r="J97" s="100">
        <v>0.28999999999999998</v>
      </c>
      <c r="K97" s="100">
        <v>44.31</v>
      </c>
      <c r="L97" s="100">
        <v>6.68</v>
      </c>
      <c r="M97" s="100">
        <v>-1.35</v>
      </c>
      <c r="N97" s="100">
        <v>2.4</v>
      </c>
      <c r="O97" s="100">
        <v>0</v>
      </c>
      <c r="P97" s="100">
        <v>0.53</v>
      </c>
      <c r="Q97" s="100">
        <v>9.32</v>
      </c>
      <c r="R97" s="6"/>
      <c r="S97" s="6"/>
      <c r="T97" s="156"/>
      <c r="U97" s="6"/>
    </row>
    <row r="98" spans="1:28" customFormat="1">
      <c r="A98" s="201" t="s">
        <v>2633</v>
      </c>
      <c r="B98" s="100">
        <v>5.01</v>
      </c>
      <c r="C98" s="100">
        <v>7.58</v>
      </c>
      <c r="D98" s="100">
        <v>7.98</v>
      </c>
      <c r="E98" s="100">
        <v>5.38</v>
      </c>
      <c r="F98" s="100">
        <v>2</v>
      </c>
      <c r="G98" s="100">
        <v>88.99</v>
      </c>
      <c r="H98" s="100">
        <v>37.020000000000003</v>
      </c>
      <c r="I98" s="100">
        <v>10.66</v>
      </c>
      <c r="J98" s="100">
        <v>0.28000000000000003</v>
      </c>
      <c r="K98" s="100">
        <v>60.42</v>
      </c>
      <c r="L98" s="100">
        <v>8.24</v>
      </c>
      <c r="M98" s="100">
        <v>2.67</v>
      </c>
      <c r="N98" s="100">
        <v>2.4</v>
      </c>
      <c r="O98" s="100">
        <v>0</v>
      </c>
      <c r="P98" s="100">
        <v>0.54</v>
      </c>
      <c r="Q98" s="100">
        <v>9.32</v>
      </c>
      <c r="R98" s="6"/>
      <c r="S98" s="6"/>
      <c r="T98" s="156"/>
      <c r="U98" s="6"/>
    </row>
    <row r="99" spans="1:28" customFormat="1">
      <c r="A99" s="201" t="s">
        <v>2634</v>
      </c>
      <c r="B99" s="100">
        <v>4.91</v>
      </c>
      <c r="C99" s="100">
        <v>7.55</v>
      </c>
      <c r="D99" s="100">
        <v>7.89</v>
      </c>
      <c r="E99" s="100">
        <v>5.36</v>
      </c>
      <c r="F99" s="100">
        <v>2</v>
      </c>
      <c r="G99" s="100">
        <v>85.38</v>
      </c>
      <c r="H99" s="100">
        <v>39.29</v>
      </c>
      <c r="I99" s="100">
        <v>10.51</v>
      </c>
      <c r="J99" s="100">
        <v>0.37</v>
      </c>
      <c r="K99" s="100">
        <v>54.46</v>
      </c>
      <c r="L99" s="100">
        <v>8.1300000000000008</v>
      </c>
      <c r="M99" s="100">
        <v>2.37</v>
      </c>
      <c r="N99" s="100">
        <v>2.4</v>
      </c>
      <c r="O99" s="100">
        <v>0</v>
      </c>
      <c r="P99" s="100">
        <v>0.52</v>
      </c>
      <c r="Q99" s="100">
        <v>9.32</v>
      </c>
      <c r="R99" s="6"/>
      <c r="S99" s="6"/>
      <c r="T99" s="156"/>
      <c r="U99" s="6"/>
    </row>
    <row r="100" spans="1:28" customFormat="1">
      <c r="A100" s="201" t="s">
        <v>2635</v>
      </c>
      <c r="B100" s="100">
        <v>4.99</v>
      </c>
      <c r="C100" s="100">
        <v>7.61</v>
      </c>
      <c r="D100" s="100">
        <v>7.98</v>
      </c>
      <c r="E100" s="100">
        <v>5.61</v>
      </c>
      <c r="F100" s="100">
        <v>2</v>
      </c>
      <c r="G100" s="100">
        <v>84.06</v>
      </c>
      <c r="H100" s="100">
        <v>39.33</v>
      </c>
      <c r="I100" s="100">
        <v>10.3</v>
      </c>
      <c r="J100" s="100">
        <v>0.25</v>
      </c>
      <c r="K100" s="100">
        <v>66.540000000000006</v>
      </c>
      <c r="L100" s="100">
        <v>10.46</v>
      </c>
      <c r="M100" s="100">
        <v>8.2799999999999994</v>
      </c>
      <c r="N100" s="100">
        <v>2.4</v>
      </c>
      <c r="O100" s="100">
        <v>0</v>
      </c>
      <c r="P100" s="100">
        <v>0.52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2636</v>
      </c>
      <c r="B101" s="100">
        <v>4.8899999999999997</v>
      </c>
      <c r="C101" s="100">
        <v>7.36</v>
      </c>
      <c r="D101" s="100">
        <v>7.77</v>
      </c>
      <c r="E101" s="100">
        <v>5.81</v>
      </c>
      <c r="F101" s="100">
        <v>2</v>
      </c>
      <c r="G101" s="100">
        <v>84.06</v>
      </c>
      <c r="H101" s="100">
        <v>39.33</v>
      </c>
      <c r="I101" s="100">
        <v>10.19</v>
      </c>
      <c r="J101" s="100">
        <v>0.13</v>
      </c>
      <c r="K101" s="100">
        <v>170.93</v>
      </c>
      <c r="L101" s="100">
        <v>16.52</v>
      </c>
      <c r="M101" s="100">
        <v>23.7</v>
      </c>
      <c r="N101" s="100">
        <v>2.4</v>
      </c>
      <c r="O101" s="100">
        <v>0</v>
      </c>
      <c r="P101" s="100">
        <v>0.52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2637</v>
      </c>
      <c r="B102" s="100">
        <v>4.59</v>
      </c>
      <c r="C102" s="100">
        <v>7.14</v>
      </c>
      <c r="D102" s="100">
        <v>7.41</v>
      </c>
      <c r="E102" s="100">
        <v>5.8</v>
      </c>
      <c r="F102" s="100">
        <v>2</v>
      </c>
      <c r="G102" s="100">
        <v>84.06</v>
      </c>
      <c r="H102" s="100">
        <v>39.33</v>
      </c>
      <c r="I102" s="100">
        <v>10.19</v>
      </c>
      <c r="J102" s="100">
        <v>0.16</v>
      </c>
      <c r="K102" s="100">
        <v>179.67</v>
      </c>
      <c r="L102" s="100">
        <v>17.059999999999999</v>
      </c>
      <c r="M102" s="100">
        <v>25.01</v>
      </c>
      <c r="N102" s="100">
        <v>2.5</v>
      </c>
      <c r="O102" s="100">
        <v>0</v>
      </c>
      <c r="P102" s="100">
        <v>0.51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2638</v>
      </c>
      <c r="B103" s="100">
        <v>4.3099999999999996</v>
      </c>
      <c r="C103" s="100">
        <v>6.99</v>
      </c>
      <c r="D103" s="100">
        <v>7.1</v>
      </c>
      <c r="E103" s="100">
        <v>4.08</v>
      </c>
      <c r="F103" s="100">
        <v>2</v>
      </c>
      <c r="G103" s="100">
        <v>81.59</v>
      </c>
      <c r="H103" s="100">
        <v>39.51</v>
      </c>
      <c r="I103" s="100">
        <v>10.18</v>
      </c>
      <c r="J103" s="100">
        <v>0.17</v>
      </c>
      <c r="K103" s="100">
        <v>161.13999999999999</v>
      </c>
      <c r="L103" s="100">
        <v>15.83</v>
      </c>
      <c r="M103" s="100">
        <v>21.88</v>
      </c>
      <c r="N103" s="100">
        <v>2.4</v>
      </c>
      <c r="O103" s="100">
        <v>0</v>
      </c>
      <c r="P103" s="100">
        <v>0.5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2639</v>
      </c>
      <c r="B104" s="100">
        <v>4.2</v>
      </c>
      <c r="C104" s="100">
        <v>6.67</v>
      </c>
      <c r="D104" s="100">
        <v>6.86</v>
      </c>
      <c r="E104" s="100">
        <v>5.7</v>
      </c>
      <c r="F104" s="100">
        <v>2</v>
      </c>
      <c r="G104" s="100">
        <v>80.7</v>
      </c>
      <c r="H104" s="100">
        <v>39.51</v>
      </c>
      <c r="I104" s="100">
        <v>10.17</v>
      </c>
      <c r="J104" s="100">
        <v>0.14000000000000001</v>
      </c>
      <c r="K104" s="100">
        <v>169.88</v>
      </c>
      <c r="L104" s="100">
        <v>16.32</v>
      </c>
      <c r="M104" s="100">
        <v>23.1</v>
      </c>
      <c r="N104" s="100">
        <v>2.4</v>
      </c>
      <c r="O104" s="100">
        <v>0</v>
      </c>
      <c r="P104" s="100">
        <v>0.5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1.61</v>
      </c>
      <c r="C106" s="158">
        <f>MIN(C9:C104)</f>
        <v>6.09</v>
      </c>
      <c r="D106" s="158">
        <f t="shared" ref="D106:Q106" si="0">MIN(D9:D104)</f>
        <v>5.13</v>
      </c>
      <c r="E106" s="158">
        <f t="shared" si="0"/>
        <v>3.92</v>
      </c>
      <c r="F106" s="158">
        <f t="shared" si="0"/>
        <v>2</v>
      </c>
      <c r="G106" s="158">
        <f t="shared" si="0"/>
        <v>40.659999999999997</v>
      </c>
      <c r="H106" s="158">
        <f t="shared" si="0"/>
        <v>21.03</v>
      </c>
      <c r="I106" s="158">
        <f t="shared" si="0"/>
        <v>4.1399999999999997</v>
      </c>
      <c r="J106" s="158">
        <f t="shared" si="0"/>
        <v>0.04</v>
      </c>
      <c r="K106" s="158">
        <f t="shared" si="0"/>
        <v>17.190000000000001</v>
      </c>
      <c r="L106" s="158">
        <f t="shared" si="0"/>
        <v>6.63</v>
      </c>
      <c r="M106" s="158">
        <f t="shared" si="0"/>
        <v>-1.51</v>
      </c>
      <c r="N106" s="158">
        <f t="shared" si="0"/>
        <v>2.1</v>
      </c>
      <c r="O106" s="158">
        <f t="shared" si="0"/>
        <v>0</v>
      </c>
      <c r="P106" s="158">
        <f t="shared" si="0"/>
        <v>0.24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8.27</v>
      </c>
      <c r="C107" s="157">
        <f t="shared" ref="C107:Q107" si="1">MAX(C9:C104)</f>
        <v>18.760000000000002</v>
      </c>
      <c r="D107" s="157">
        <f t="shared" si="1"/>
        <v>12.44</v>
      </c>
      <c r="E107" s="157">
        <f t="shared" si="1"/>
        <v>9.68</v>
      </c>
      <c r="F107" s="157">
        <f t="shared" si="1"/>
        <v>42.78</v>
      </c>
      <c r="G107" s="157">
        <f t="shared" si="1"/>
        <v>91.29</v>
      </c>
      <c r="H107" s="157">
        <f t="shared" si="1"/>
        <v>39.51</v>
      </c>
      <c r="I107" s="157">
        <f t="shared" si="1"/>
        <v>13.51</v>
      </c>
      <c r="J107" s="157">
        <f t="shared" si="1"/>
        <v>0.55000000000000004</v>
      </c>
      <c r="K107" s="157">
        <f t="shared" si="1"/>
        <v>226.99</v>
      </c>
      <c r="L107" s="157">
        <f t="shared" si="1"/>
        <v>19.670000000000002</v>
      </c>
      <c r="M107" s="157">
        <f t="shared" si="1"/>
        <v>31.52</v>
      </c>
      <c r="N107" s="157">
        <f t="shared" si="1"/>
        <v>565.9</v>
      </c>
      <c r="O107" s="157">
        <f t="shared" si="1"/>
        <v>0</v>
      </c>
      <c r="P107" s="157">
        <f t="shared" si="1"/>
        <v>0.6</v>
      </c>
      <c r="Q107" s="157">
        <f t="shared" si="1"/>
        <v>9.5500000000000007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4.7721875000000002</v>
      </c>
      <c r="C108" s="158">
        <f t="shared" ref="C108:Q108" si="2">AVERAGE(C9:C104)</f>
        <v>7.8290624999999991</v>
      </c>
      <c r="D108" s="158">
        <f t="shared" si="2"/>
        <v>7.916875000000001</v>
      </c>
      <c r="E108" s="158">
        <f t="shared" si="2"/>
        <v>5.6447916666666655</v>
      </c>
      <c r="F108" s="158">
        <f t="shared" si="2"/>
        <v>4.2534374999999995</v>
      </c>
      <c r="G108" s="158">
        <f t="shared" si="2"/>
        <v>60.095625000000005</v>
      </c>
      <c r="H108" s="158">
        <f t="shared" si="2"/>
        <v>28.330000000000002</v>
      </c>
      <c r="I108" s="158">
        <f t="shared" si="2"/>
        <v>7.3296874999999986</v>
      </c>
      <c r="J108" s="158">
        <f t="shared" si="2"/>
        <v>0.24479166666666666</v>
      </c>
      <c r="K108" s="158">
        <f t="shared" si="2"/>
        <v>91.946250000000006</v>
      </c>
      <c r="L108" s="158">
        <f t="shared" si="2"/>
        <v>11.983229166666666</v>
      </c>
      <c r="M108" s="158">
        <f t="shared" si="2"/>
        <v>10.669583333333334</v>
      </c>
      <c r="N108" s="158">
        <f t="shared" si="2"/>
        <v>62.111458333333282</v>
      </c>
      <c r="O108" s="158">
        <f t="shared" si="2"/>
        <v>0</v>
      </c>
      <c r="P108" s="158">
        <f t="shared" si="2"/>
        <v>0.37916666666666671</v>
      </c>
      <c r="Q108" s="158">
        <f t="shared" si="2"/>
        <v>9.3245833333333525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1.833858287083618</v>
      </c>
      <c r="C109" s="158">
        <f t="shared" ref="C109:Q109" si="3">STDEV(C9:C104)</f>
        <v>2.3526773452365881</v>
      </c>
      <c r="D109" s="158">
        <f t="shared" si="3"/>
        <v>1.4028469643062058</v>
      </c>
      <c r="E109" s="158">
        <f t="shared" si="3"/>
        <v>1.0545999283007443</v>
      </c>
      <c r="F109" s="158">
        <f t="shared" si="3"/>
        <v>6.8610267496352568</v>
      </c>
      <c r="G109" s="158">
        <f t="shared" si="3"/>
        <v>14.699913269525746</v>
      </c>
      <c r="H109" s="158">
        <f t="shared" si="3"/>
        <v>5.1954034340082966</v>
      </c>
      <c r="I109" s="158">
        <f t="shared" si="3"/>
        <v>2.5556556283641756</v>
      </c>
      <c r="J109" s="158">
        <f t="shared" si="3"/>
        <v>0.11351771636984484</v>
      </c>
      <c r="K109" s="158">
        <f t="shared" si="3"/>
        <v>51.288938240028635</v>
      </c>
      <c r="L109" s="158">
        <f t="shared" si="3"/>
        <v>3.5465973299225939</v>
      </c>
      <c r="M109" s="158">
        <f t="shared" si="3"/>
        <v>8.7028190129365477</v>
      </c>
      <c r="N109" s="158">
        <f t="shared" si="3"/>
        <v>111.15179745668034</v>
      </c>
      <c r="O109" s="158">
        <f t="shared" si="3"/>
        <v>0</v>
      </c>
      <c r="P109" s="158">
        <f t="shared" si="3"/>
        <v>0.11241527023699269</v>
      </c>
      <c r="Q109" s="158">
        <f t="shared" si="3"/>
        <v>2.9124656462095732E-2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12" sqref="I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2640</v>
      </c>
      <c r="B9" s="100">
        <v>3.79</v>
      </c>
      <c r="C9" s="100">
        <v>6.12</v>
      </c>
      <c r="D9" s="100">
        <v>6.24</v>
      </c>
      <c r="E9" s="100">
        <v>5.75</v>
      </c>
      <c r="F9" s="100">
        <v>2</v>
      </c>
      <c r="G9" s="100">
        <v>80.7</v>
      </c>
      <c r="H9" s="100">
        <v>39.51</v>
      </c>
      <c r="I9" s="100">
        <v>10.119999999999999</v>
      </c>
      <c r="J9" s="100">
        <v>0.09</v>
      </c>
      <c r="K9" s="100">
        <v>189.12</v>
      </c>
      <c r="L9" s="100">
        <v>17.75</v>
      </c>
      <c r="M9" s="100">
        <v>26.77</v>
      </c>
      <c r="N9" s="100">
        <v>2.4</v>
      </c>
      <c r="O9" s="100">
        <v>0</v>
      </c>
      <c r="P9" s="100">
        <v>0.49</v>
      </c>
      <c r="Q9" s="100">
        <v>9.32</v>
      </c>
      <c r="R9" s="6"/>
      <c r="S9" s="6"/>
      <c r="T9" s="156"/>
      <c r="U9" s="6"/>
    </row>
    <row r="10" spans="1:21" customFormat="1">
      <c r="A10" s="201" t="s">
        <v>2641</v>
      </c>
      <c r="B10" s="100">
        <v>3.68</v>
      </c>
      <c r="C10" s="100">
        <v>6.15</v>
      </c>
      <c r="D10" s="100">
        <v>6.17</v>
      </c>
      <c r="E10" s="100">
        <v>5.54</v>
      </c>
      <c r="F10" s="100">
        <v>2</v>
      </c>
      <c r="G10" s="100">
        <v>80.7</v>
      </c>
      <c r="H10" s="100">
        <v>39.51</v>
      </c>
      <c r="I10" s="100">
        <v>10.039999999999999</v>
      </c>
      <c r="J10" s="100">
        <v>0.1</v>
      </c>
      <c r="K10" s="100">
        <v>182.1</v>
      </c>
      <c r="L10" s="100">
        <v>17.489999999999998</v>
      </c>
      <c r="M10" s="100">
        <v>26.06</v>
      </c>
      <c r="N10" s="100">
        <v>2.4</v>
      </c>
      <c r="O10" s="100">
        <v>0</v>
      </c>
      <c r="P10" s="100">
        <v>0.48</v>
      </c>
      <c r="Q10" s="100">
        <v>9.32</v>
      </c>
      <c r="R10" s="6"/>
      <c r="S10" s="6"/>
      <c r="T10" s="156"/>
      <c r="U10" s="6"/>
    </row>
    <row r="11" spans="1:21" customFormat="1">
      <c r="A11" s="201" t="s">
        <v>2642</v>
      </c>
      <c r="B11" s="100">
        <v>3.63</v>
      </c>
      <c r="C11" s="100">
        <v>6.12</v>
      </c>
      <c r="D11" s="100">
        <v>6.11</v>
      </c>
      <c r="E11" s="100">
        <v>5.92</v>
      </c>
      <c r="F11" s="100">
        <v>2</v>
      </c>
      <c r="G11" s="100">
        <v>74.95</v>
      </c>
      <c r="H11" s="100">
        <v>37.729999999999997</v>
      </c>
      <c r="I11" s="100">
        <v>9.93</v>
      </c>
      <c r="J11" s="100">
        <v>0.06</v>
      </c>
      <c r="K11" s="100">
        <v>168.55</v>
      </c>
      <c r="L11" s="100">
        <v>16.57</v>
      </c>
      <c r="M11" s="100">
        <v>23.72</v>
      </c>
      <c r="N11" s="100">
        <v>2.4</v>
      </c>
      <c r="O11" s="100">
        <v>0</v>
      </c>
      <c r="P11" s="100">
        <v>0.5</v>
      </c>
      <c r="Q11" s="100">
        <v>9.32</v>
      </c>
      <c r="R11" s="6"/>
      <c r="S11" s="6"/>
      <c r="T11" s="156"/>
      <c r="U11" s="6"/>
    </row>
    <row r="12" spans="1:21" customFormat="1">
      <c r="A12" s="201" t="s">
        <v>2643</v>
      </c>
      <c r="B12" s="100">
        <v>3.57</v>
      </c>
      <c r="C12" s="100">
        <v>5.86</v>
      </c>
      <c r="D12" s="100">
        <v>5.92</v>
      </c>
      <c r="E12" s="100">
        <v>6.16</v>
      </c>
      <c r="F12" s="100">
        <v>2</v>
      </c>
      <c r="G12" s="100">
        <v>72.849999999999994</v>
      </c>
      <c r="H12" s="100">
        <v>37.700000000000003</v>
      </c>
      <c r="I12" s="100">
        <v>9.86</v>
      </c>
      <c r="J12" s="100">
        <v>0.17</v>
      </c>
      <c r="K12" s="100">
        <v>228.53</v>
      </c>
      <c r="L12" s="100">
        <v>19.38</v>
      </c>
      <c r="M12" s="100">
        <v>30.8</v>
      </c>
      <c r="N12" s="100">
        <v>2.2999999999999998</v>
      </c>
      <c r="O12" s="100">
        <v>0</v>
      </c>
      <c r="P12" s="100">
        <v>0.5</v>
      </c>
      <c r="Q12" s="100">
        <v>9.32</v>
      </c>
      <c r="R12" s="6"/>
      <c r="S12" s="6"/>
      <c r="T12" s="156"/>
      <c r="U12" s="6"/>
    </row>
    <row r="13" spans="1:21" customFormat="1">
      <c r="A13" s="201" t="s">
        <v>2644</v>
      </c>
      <c r="B13" s="100">
        <v>3.51</v>
      </c>
      <c r="C13" s="100">
        <v>5.53</v>
      </c>
      <c r="D13" s="100">
        <v>5.71</v>
      </c>
      <c r="E13" s="100">
        <v>5.85</v>
      </c>
      <c r="F13" s="100">
        <v>2</v>
      </c>
      <c r="G13" s="100">
        <v>72.849999999999994</v>
      </c>
      <c r="H13" s="100">
        <v>37.700000000000003</v>
      </c>
      <c r="I13" s="100">
        <v>9.7200000000000006</v>
      </c>
      <c r="J13" s="100">
        <v>0.13</v>
      </c>
      <c r="K13" s="100">
        <v>225.84</v>
      </c>
      <c r="L13" s="100">
        <v>19.670000000000002</v>
      </c>
      <c r="M13" s="100">
        <v>31.5</v>
      </c>
      <c r="N13" s="100">
        <v>2.4</v>
      </c>
      <c r="O13" s="100">
        <v>0</v>
      </c>
      <c r="P13" s="100">
        <v>0.48</v>
      </c>
      <c r="Q13" s="100">
        <v>9.32</v>
      </c>
      <c r="R13" s="6"/>
      <c r="S13" s="6"/>
      <c r="T13" s="156"/>
      <c r="U13" s="6"/>
    </row>
    <row r="14" spans="1:21" customFormat="1">
      <c r="A14" s="201" t="s">
        <v>2645</v>
      </c>
      <c r="B14" s="100">
        <v>3.64</v>
      </c>
      <c r="C14" s="100">
        <v>5.46</v>
      </c>
      <c r="D14" s="100">
        <v>5.77</v>
      </c>
      <c r="E14" s="100">
        <v>5.34</v>
      </c>
      <c r="F14" s="100">
        <v>2</v>
      </c>
      <c r="G14" s="100">
        <v>72.849999999999994</v>
      </c>
      <c r="H14" s="100">
        <v>37.700000000000003</v>
      </c>
      <c r="I14" s="100">
        <v>9.5399999999999991</v>
      </c>
      <c r="J14" s="100">
        <v>0.13</v>
      </c>
      <c r="K14" s="100">
        <v>157.28</v>
      </c>
      <c r="L14" s="100">
        <v>16.39</v>
      </c>
      <c r="M14" s="100">
        <v>23.3</v>
      </c>
      <c r="N14" s="100">
        <v>2.2999999999999998</v>
      </c>
      <c r="O14" s="100">
        <v>0</v>
      </c>
      <c r="P14" s="100">
        <v>0.49</v>
      </c>
      <c r="Q14" s="100">
        <v>9.32</v>
      </c>
      <c r="R14" s="6"/>
      <c r="S14" s="6"/>
      <c r="T14" s="156"/>
      <c r="U14" s="6"/>
    </row>
    <row r="15" spans="1:21" customFormat="1">
      <c r="A15" s="201" t="s">
        <v>2646</v>
      </c>
      <c r="B15" s="100">
        <v>3.57</v>
      </c>
      <c r="C15" s="100">
        <v>5.42</v>
      </c>
      <c r="D15" s="100">
        <v>5.7</v>
      </c>
      <c r="E15" s="100">
        <v>5.51</v>
      </c>
      <c r="F15" s="100">
        <v>2</v>
      </c>
      <c r="G15" s="100">
        <v>71.58</v>
      </c>
      <c r="H15" s="100">
        <v>36.49</v>
      </c>
      <c r="I15" s="100">
        <v>9.42</v>
      </c>
      <c r="J15" s="100">
        <v>0.13</v>
      </c>
      <c r="K15" s="100">
        <v>164.39</v>
      </c>
      <c r="L15" s="100">
        <v>16.13</v>
      </c>
      <c r="M15" s="100">
        <v>22.66</v>
      </c>
      <c r="N15" s="100">
        <v>2.2999999999999998</v>
      </c>
      <c r="O15" s="100">
        <v>0</v>
      </c>
      <c r="P15" s="100">
        <v>0.46</v>
      </c>
      <c r="Q15" s="100">
        <v>9.32</v>
      </c>
      <c r="R15" s="6"/>
      <c r="S15" s="6"/>
      <c r="T15" s="156"/>
      <c r="U15" s="6"/>
    </row>
    <row r="16" spans="1:21" customFormat="1">
      <c r="A16" s="201" t="s">
        <v>2647</v>
      </c>
      <c r="B16" s="100">
        <v>3.77</v>
      </c>
      <c r="C16" s="100">
        <v>5.41</v>
      </c>
      <c r="D16" s="100">
        <v>5.85</v>
      </c>
      <c r="E16" s="100">
        <v>5.28</v>
      </c>
      <c r="F16" s="100">
        <v>2</v>
      </c>
      <c r="G16" s="100">
        <v>71.11</v>
      </c>
      <c r="H16" s="100">
        <v>36.450000000000003</v>
      </c>
      <c r="I16" s="100">
        <v>9.1999999999999993</v>
      </c>
      <c r="J16" s="100">
        <v>7.0000000000000007E-2</v>
      </c>
      <c r="K16" s="100">
        <v>139.88999999999999</v>
      </c>
      <c r="L16" s="100">
        <v>15.55</v>
      </c>
      <c r="M16" s="100">
        <v>21.17</v>
      </c>
      <c r="N16" s="100">
        <v>2.4</v>
      </c>
      <c r="O16" s="100">
        <v>0</v>
      </c>
      <c r="P16" s="100">
        <v>0.47</v>
      </c>
      <c r="Q16" s="100">
        <v>9.32</v>
      </c>
      <c r="R16" s="6"/>
      <c r="S16" s="6"/>
      <c r="T16" s="156"/>
      <c r="U16" s="6"/>
    </row>
    <row r="17" spans="1:21" customFormat="1">
      <c r="A17" s="201" t="s">
        <v>2648</v>
      </c>
      <c r="B17" s="100">
        <v>3.83</v>
      </c>
      <c r="C17" s="100">
        <v>5.38</v>
      </c>
      <c r="D17" s="100">
        <v>5.88</v>
      </c>
      <c r="E17" s="100">
        <v>4.0199999999999996</v>
      </c>
      <c r="F17" s="100">
        <v>2</v>
      </c>
      <c r="G17" s="100">
        <v>71.11</v>
      </c>
      <c r="H17" s="100">
        <v>36.450000000000003</v>
      </c>
      <c r="I17" s="100">
        <v>9.09</v>
      </c>
      <c r="J17" s="100">
        <v>0.09</v>
      </c>
      <c r="K17" s="100">
        <v>185.3</v>
      </c>
      <c r="L17" s="100">
        <v>17.57</v>
      </c>
      <c r="M17" s="100">
        <v>26.3</v>
      </c>
      <c r="N17" s="100">
        <v>2.2999999999999998</v>
      </c>
      <c r="O17" s="100">
        <v>0</v>
      </c>
      <c r="P17" s="100">
        <v>0.45</v>
      </c>
      <c r="Q17" s="100">
        <v>9.32</v>
      </c>
      <c r="R17" s="6"/>
      <c r="S17" s="6"/>
      <c r="T17" s="156"/>
      <c r="U17" s="6"/>
    </row>
    <row r="18" spans="1:21" customFormat="1">
      <c r="A18" s="201" t="s">
        <v>2649</v>
      </c>
      <c r="B18" s="100">
        <v>3.95</v>
      </c>
      <c r="C18" s="100">
        <v>5.34</v>
      </c>
      <c r="D18" s="100">
        <v>5.96</v>
      </c>
      <c r="E18" s="100">
        <v>4.8</v>
      </c>
      <c r="F18" s="100">
        <v>2</v>
      </c>
      <c r="G18" s="100">
        <v>71.11</v>
      </c>
      <c r="H18" s="100">
        <v>36.450000000000003</v>
      </c>
      <c r="I18" s="100">
        <v>9.11</v>
      </c>
      <c r="J18" s="100">
        <v>0.08</v>
      </c>
      <c r="K18" s="100">
        <v>181.97</v>
      </c>
      <c r="L18" s="100">
        <v>17.28</v>
      </c>
      <c r="M18" s="100">
        <v>25.57</v>
      </c>
      <c r="N18" s="100">
        <v>2.1</v>
      </c>
      <c r="O18" s="100">
        <v>0</v>
      </c>
      <c r="P18" s="100">
        <v>0.46</v>
      </c>
      <c r="Q18" s="100">
        <v>9.32</v>
      </c>
      <c r="R18" s="6"/>
      <c r="S18" s="6"/>
      <c r="T18" s="156"/>
      <c r="U18" s="6"/>
    </row>
    <row r="19" spans="1:21" customFormat="1">
      <c r="A19" s="201" t="s">
        <v>2650</v>
      </c>
      <c r="B19" s="100">
        <v>3.96</v>
      </c>
      <c r="C19" s="100">
        <v>5.3</v>
      </c>
      <c r="D19" s="100">
        <v>5.95</v>
      </c>
      <c r="E19" s="100">
        <v>4.7699999999999996</v>
      </c>
      <c r="F19" s="100">
        <v>2</v>
      </c>
      <c r="G19" s="100">
        <v>64.900000000000006</v>
      </c>
      <c r="H19" s="100">
        <v>34.76</v>
      </c>
      <c r="I19" s="100">
        <v>9.0299999999999994</v>
      </c>
      <c r="J19" s="100">
        <v>0.08</v>
      </c>
      <c r="K19" s="100">
        <v>152.63999999999999</v>
      </c>
      <c r="L19" s="100">
        <v>15.22</v>
      </c>
      <c r="M19" s="100">
        <v>20.39</v>
      </c>
      <c r="N19" s="100">
        <v>2.2000000000000002</v>
      </c>
      <c r="O19" s="100">
        <v>0</v>
      </c>
      <c r="P19" s="100">
        <v>0.45</v>
      </c>
      <c r="Q19" s="100">
        <v>9.32</v>
      </c>
      <c r="R19" s="6"/>
      <c r="S19" s="6"/>
      <c r="T19" s="156"/>
      <c r="U19" s="6"/>
    </row>
    <row r="20" spans="1:21" customFormat="1">
      <c r="A20" s="201" t="s">
        <v>2651</v>
      </c>
      <c r="B20" s="100">
        <v>4.12</v>
      </c>
      <c r="C20" s="100">
        <v>5.28</v>
      </c>
      <c r="D20" s="100">
        <v>6.06</v>
      </c>
      <c r="E20" s="100">
        <v>4.55</v>
      </c>
      <c r="F20" s="100">
        <v>2</v>
      </c>
      <c r="G20" s="100">
        <v>62.51</v>
      </c>
      <c r="H20" s="100">
        <v>34.700000000000003</v>
      </c>
      <c r="I20" s="100">
        <v>8.86</v>
      </c>
      <c r="J20" s="100">
        <v>0.1</v>
      </c>
      <c r="K20" s="100">
        <v>156.02000000000001</v>
      </c>
      <c r="L20" s="100">
        <v>15.74</v>
      </c>
      <c r="M20" s="100">
        <v>21.7</v>
      </c>
      <c r="N20" s="100">
        <v>2.2000000000000002</v>
      </c>
      <c r="O20" s="100">
        <v>0</v>
      </c>
      <c r="P20" s="100">
        <v>0.45</v>
      </c>
      <c r="Q20" s="100">
        <v>9.32</v>
      </c>
      <c r="R20" s="6"/>
      <c r="S20" s="6"/>
      <c r="T20" s="156"/>
      <c r="U20" s="6"/>
    </row>
    <row r="21" spans="1:21" customFormat="1">
      <c r="A21" s="201" t="s">
        <v>2652</v>
      </c>
      <c r="B21" s="100">
        <v>4.22</v>
      </c>
      <c r="C21" s="100">
        <v>5.24</v>
      </c>
      <c r="D21" s="100">
        <v>6.12</v>
      </c>
      <c r="E21" s="100">
        <v>4.62</v>
      </c>
      <c r="F21" s="100">
        <v>2</v>
      </c>
      <c r="G21" s="100">
        <v>62.51</v>
      </c>
      <c r="H21" s="100">
        <v>34.700000000000003</v>
      </c>
      <c r="I21" s="100">
        <v>8.76</v>
      </c>
      <c r="J21" s="100">
        <v>0.12</v>
      </c>
      <c r="K21" s="100">
        <v>143.25</v>
      </c>
      <c r="L21" s="100">
        <v>14.12</v>
      </c>
      <c r="M21" s="100">
        <v>17.63</v>
      </c>
      <c r="N21" s="100">
        <v>2.1</v>
      </c>
      <c r="O21" s="100">
        <v>0</v>
      </c>
      <c r="P21" s="100">
        <v>0.45</v>
      </c>
      <c r="Q21" s="100">
        <v>9.32</v>
      </c>
      <c r="R21" s="6"/>
      <c r="S21" s="6"/>
      <c r="T21" s="156"/>
      <c r="U21" s="6"/>
    </row>
    <row r="22" spans="1:21" customFormat="1">
      <c r="A22" s="201" t="s">
        <v>2653</v>
      </c>
      <c r="B22" s="100">
        <v>4.3099999999999996</v>
      </c>
      <c r="C22" s="100">
        <v>5.35</v>
      </c>
      <c r="D22" s="100">
        <v>6.25</v>
      </c>
      <c r="E22" s="100">
        <v>4.45</v>
      </c>
      <c r="F22" s="100">
        <v>2</v>
      </c>
      <c r="G22" s="100">
        <v>62.51</v>
      </c>
      <c r="H22" s="100">
        <v>34.700000000000003</v>
      </c>
      <c r="I22" s="100">
        <v>8.76</v>
      </c>
      <c r="J22" s="100">
        <v>0.09</v>
      </c>
      <c r="K22" s="100">
        <v>146.80000000000001</v>
      </c>
      <c r="L22" s="100">
        <v>14.07</v>
      </c>
      <c r="M22" s="100">
        <v>17.55</v>
      </c>
      <c r="N22" s="100">
        <v>2.1</v>
      </c>
      <c r="O22" s="100">
        <v>0</v>
      </c>
      <c r="P22" s="100">
        <v>0.45</v>
      </c>
      <c r="Q22" s="100">
        <v>9.32</v>
      </c>
      <c r="R22" s="6"/>
      <c r="S22" s="6"/>
      <c r="T22" s="156"/>
      <c r="U22" s="6"/>
    </row>
    <row r="23" spans="1:21" customFormat="1">
      <c r="A23" s="201" t="s">
        <v>2654</v>
      </c>
      <c r="B23" s="100">
        <v>4.4800000000000004</v>
      </c>
      <c r="C23" s="100">
        <v>5.33</v>
      </c>
      <c r="D23" s="100">
        <v>6.38</v>
      </c>
      <c r="E23" s="100">
        <v>4.63</v>
      </c>
      <c r="F23" s="100">
        <v>2</v>
      </c>
      <c r="G23" s="100">
        <v>58.7</v>
      </c>
      <c r="H23" s="100">
        <v>32.18</v>
      </c>
      <c r="I23" s="100">
        <v>8.65</v>
      </c>
      <c r="J23" s="100">
        <v>0.08</v>
      </c>
      <c r="K23" s="100">
        <v>193.58</v>
      </c>
      <c r="L23" s="100">
        <v>18.649999999999999</v>
      </c>
      <c r="M23" s="100">
        <v>29.13</v>
      </c>
      <c r="N23" s="100">
        <v>2.1</v>
      </c>
      <c r="O23" s="100">
        <v>0</v>
      </c>
      <c r="P23" s="100">
        <v>0.43</v>
      </c>
      <c r="Q23" s="100">
        <v>9.32</v>
      </c>
      <c r="R23" s="6"/>
      <c r="S23" s="6"/>
      <c r="T23" s="156"/>
      <c r="U23" s="6"/>
    </row>
    <row r="24" spans="1:21" customFormat="1">
      <c r="A24" s="201" t="s">
        <v>2655</v>
      </c>
      <c r="B24" s="100">
        <v>4.6100000000000003</v>
      </c>
      <c r="C24" s="100">
        <v>5.5</v>
      </c>
      <c r="D24" s="100">
        <v>6.57</v>
      </c>
      <c r="E24" s="100">
        <v>4.8499999999999996</v>
      </c>
      <c r="F24" s="100">
        <v>2</v>
      </c>
      <c r="G24" s="100">
        <v>57.31</v>
      </c>
      <c r="H24" s="100">
        <v>32.06</v>
      </c>
      <c r="I24" s="100">
        <v>8.6199999999999992</v>
      </c>
      <c r="J24" s="100">
        <v>0.09</v>
      </c>
      <c r="K24" s="100">
        <v>75.7</v>
      </c>
      <c r="L24" s="100">
        <v>14.99</v>
      </c>
      <c r="M24" s="100">
        <v>19.670000000000002</v>
      </c>
      <c r="N24" s="100">
        <v>2.1</v>
      </c>
      <c r="O24" s="100">
        <v>0</v>
      </c>
      <c r="P24" s="100">
        <v>0.44</v>
      </c>
      <c r="Q24" s="100">
        <v>9.49</v>
      </c>
      <c r="R24" s="6"/>
      <c r="S24" s="6"/>
      <c r="T24" s="156"/>
      <c r="U24" s="6"/>
    </row>
    <row r="25" spans="1:21" customFormat="1">
      <c r="A25" s="201" t="s">
        <v>2656</v>
      </c>
      <c r="B25" s="100">
        <v>4.88</v>
      </c>
      <c r="C25" s="100">
        <v>5.64</v>
      </c>
      <c r="D25" s="100">
        <v>6.87</v>
      </c>
      <c r="E25" s="100">
        <v>4.76</v>
      </c>
      <c r="F25" s="100">
        <v>2</v>
      </c>
      <c r="G25" s="100">
        <v>57.31</v>
      </c>
      <c r="H25" s="100">
        <v>32.06</v>
      </c>
      <c r="I25" s="100">
        <v>8.59</v>
      </c>
      <c r="J25" s="100">
        <v>7.0000000000000007E-2</v>
      </c>
      <c r="K25" s="100">
        <v>152.07</v>
      </c>
      <c r="L25" s="100">
        <v>16.28</v>
      </c>
      <c r="M25" s="100">
        <v>22.98</v>
      </c>
      <c r="N25" s="100">
        <v>2.1</v>
      </c>
      <c r="O25" s="100">
        <v>0</v>
      </c>
      <c r="P25" s="100">
        <v>0.44</v>
      </c>
      <c r="Q25" s="100">
        <v>9.6300000000000008</v>
      </c>
      <c r="R25" s="6"/>
      <c r="S25" s="6"/>
      <c r="T25" s="156"/>
      <c r="U25" s="6"/>
    </row>
    <row r="26" spans="1:21" customFormat="1">
      <c r="A26" s="201" t="s">
        <v>2657</v>
      </c>
      <c r="B26" s="100">
        <v>5.21</v>
      </c>
      <c r="C26" s="100">
        <v>5.96</v>
      </c>
      <c r="D26" s="100">
        <v>7.29</v>
      </c>
      <c r="E26" s="100">
        <v>5.08</v>
      </c>
      <c r="F26" s="100">
        <v>2</v>
      </c>
      <c r="G26" s="100">
        <v>57.31</v>
      </c>
      <c r="H26" s="100">
        <v>32.06</v>
      </c>
      <c r="I26" s="100">
        <v>8.5399999999999991</v>
      </c>
      <c r="J26" s="100">
        <v>0.13</v>
      </c>
      <c r="K26" s="100">
        <v>58.04</v>
      </c>
      <c r="L26" s="100">
        <v>8.51</v>
      </c>
      <c r="M26" s="100">
        <v>3.35</v>
      </c>
      <c r="N26" s="100">
        <v>2.1</v>
      </c>
      <c r="O26" s="100">
        <v>0</v>
      </c>
      <c r="P26" s="100">
        <v>0.44</v>
      </c>
      <c r="Q26" s="100">
        <v>9.4</v>
      </c>
      <c r="R26" s="6"/>
      <c r="S26" s="6"/>
      <c r="T26" s="156"/>
      <c r="U26" s="6"/>
    </row>
    <row r="27" spans="1:21" customFormat="1">
      <c r="A27" s="201" t="s">
        <v>2658</v>
      </c>
      <c r="B27" s="100">
        <v>5.42</v>
      </c>
      <c r="C27" s="100">
        <v>5.96</v>
      </c>
      <c r="D27" s="100">
        <v>7.46</v>
      </c>
      <c r="E27" s="100">
        <v>4.88</v>
      </c>
      <c r="F27" s="100">
        <v>2</v>
      </c>
      <c r="G27" s="100">
        <v>59.38</v>
      </c>
      <c r="H27" s="100">
        <v>32.56</v>
      </c>
      <c r="I27" s="100">
        <v>8.49</v>
      </c>
      <c r="J27" s="100">
        <v>0.12</v>
      </c>
      <c r="K27" s="100">
        <v>77.55</v>
      </c>
      <c r="L27" s="100">
        <v>9.07</v>
      </c>
      <c r="M27" s="100">
        <v>4.7699999999999996</v>
      </c>
      <c r="N27" s="100">
        <v>2.1</v>
      </c>
      <c r="O27" s="100">
        <v>0</v>
      </c>
      <c r="P27" s="100">
        <v>0.44</v>
      </c>
      <c r="Q27" s="100">
        <v>9.4499999999999993</v>
      </c>
      <c r="R27" s="6"/>
      <c r="S27" s="6"/>
      <c r="T27" s="156"/>
      <c r="U27" s="6"/>
    </row>
    <row r="28" spans="1:21" customFormat="1">
      <c r="A28" s="201" t="s">
        <v>2659</v>
      </c>
      <c r="B28" s="100">
        <v>5.56</v>
      </c>
      <c r="C28" s="100">
        <v>5.98</v>
      </c>
      <c r="D28" s="100">
        <v>7.58</v>
      </c>
      <c r="E28" s="100">
        <v>4.95</v>
      </c>
      <c r="F28" s="100">
        <v>2</v>
      </c>
      <c r="G28" s="100">
        <v>60.14</v>
      </c>
      <c r="H28" s="100">
        <v>32.58</v>
      </c>
      <c r="I28" s="100">
        <v>8.49</v>
      </c>
      <c r="J28" s="100">
        <v>0.23</v>
      </c>
      <c r="K28" s="100">
        <v>20.91</v>
      </c>
      <c r="L28" s="100">
        <v>12.86</v>
      </c>
      <c r="M28" s="100">
        <v>14.12</v>
      </c>
      <c r="N28" s="100">
        <v>2.2000000000000002</v>
      </c>
      <c r="O28" s="100">
        <v>0</v>
      </c>
      <c r="P28" s="100">
        <v>0.44</v>
      </c>
      <c r="Q28" s="100">
        <v>9.35</v>
      </c>
      <c r="R28" s="6"/>
      <c r="S28" s="6"/>
      <c r="T28" s="156"/>
      <c r="U28" s="6"/>
    </row>
    <row r="29" spans="1:21" customFormat="1">
      <c r="A29" s="201" t="s">
        <v>2660</v>
      </c>
      <c r="B29" s="100">
        <v>5.81</v>
      </c>
      <c r="C29" s="100">
        <v>5.89</v>
      </c>
      <c r="D29" s="100">
        <v>7.74</v>
      </c>
      <c r="E29" s="100">
        <v>5.17</v>
      </c>
      <c r="F29" s="100">
        <v>2</v>
      </c>
      <c r="G29" s="100">
        <v>60.14</v>
      </c>
      <c r="H29" s="100">
        <v>32.58</v>
      </c>
      <c r="I29" s="100">
        <v>8.48</v>
      </c>
      <c r="J29" s="100">
        <v>0.36</v>
      </c>
      <c r="K29" s="100">
        <v>39</v>
      </c>
      <c r="L29" s="100">
        <v>8.2200000000000006</v>
      </c>
      <c r="M29" s="100">
        <v>2.41</v>
      </c>
      <c r="N29" s="100">
        <v>2.4</v>
      </c>
      <c r="O29" s="100">
        <v>0</v>
      </c>
      <c r="P29" s="100">
        <v>0.44</v>
      </c>
      <c r="Q29" s="100">
        <v>9.32</v>
      </c>
      <c r="R29" s="6"/>
      <c r="S29" s="6"/>
      <c r="T29" s="156"/>
      <c r="U29" s="6"/>
    </row>
    <row r="30" spans="1:21" customFormat="1">
      <c r="A30" s="201" t="s">
        <v>2661</v>
      </c>
      <c r="B30" s="100">
        <v>5.9</v>
      </c>
      <c r="C30" s="100">
        <v>5.95</v>
      </c>
      <c r="D30" s="100">
        <v>7.84</v>
      </c>
      <c r="E30" s="100">
        <v>5.24</v>
      </c>
      <c r="F30" s="100">
        <v>2</v>
      </c>
      <c r="G30" s="100">
        <v>60.14</v>
      </c>
      <c r="H30" s="100">
        <v>32.58</v>
      </c>
      <c r="I30" s="100">
        <v>8.5</v>
      </c>
      <c r="J30" s="100">
        <v>0.34</v>
      </c>
      <c r="K30" s="100">
        <v>40.51</v>
      </c>
      <c r="L30" s="100">
        <v>6.71</v>
      </c>
      <c r="M30" s="100">
        <v>-1.31</v>
      </c>
      <c r="N30" s="100">
        <v>2.4</v>
      </c>
      <c r="O30" s="100">
        <v>0</v>
      </c>
      <c r="P30" s="100">
        <v>0.43</v>
      </c>
      <c r="Q30" s="100">
        <v>9.32</v>
      </c>
      <c r="R30" s="6"/>
      <c r="S30" s="6"/>
      <c r="T30" s="156"/>
      <c r="U30" s="6"/>
    </row>
    <row r="31" spans="1:21" customFormat="1">
      <c r="A31" s="201" t="s">
        <v>2662</v>
      </c>
      <c r="B31" s="100">
        <v>5.97</v>
      </c>
      <c r="C31" s="100">
        <v>6.15</v>
      </c>
      <c r="D31" s="100">
        <v>7.99</v>
      </c>
      <c r="E31" s="100">
        <v>5.21</v>
      </c>
      <c r="F31" s="100">
        <v>2</v>
      </c>
      <c r="G31" s="100">
        <v>59.54</v>
      </c>
      <c r="H31" s="100">
        <v>31.29</v>
      </c>
      <c r="I31" s="100">
        <v>8.44</v>
      </c>
      <c r="J31" s="100">
        <v>0.41</v>
      </c>
      <c r="K31" s="100">
        <v>43.29</v>
      </c>
      <c r="L31" s="100">
        <v>7.12</v>
      </c>
      <c r="M31" s="100">
        <v>-0.24</v>
      </c>
      <c r="N31" s="100">
        <v>2.4</v>
      </c>
      <c r="O31" s="100">
        <v>0</v>
      </c>
      <c r="P31" s="100">
        <v>0.43</v>
      </c>
      <c r="Q31" s="100">
        <v>9.32</v>
      </c>
      <c r="R31" s="6"/>
      <c r="S31" s="6"/>
      <c r="T31" s="156"/>
      <c r="U31" s="6"/>
    </row>
    <row r="32" spans="1:21" customFormat="1">
      <c r="A32" s="201" t="s">
        <v>2663</v>
      </c>
      <c r="B32" s="100">
        <v>5.95</v>
      </c>
      <c r="C32" s="100">
        <v>6.32</v>
      </c>
      <c r="D32" s="100">
        <v>8.07</v>
      </c>
      <c r="E32" s="100">
        <v>4.9400000000000004</v>
      </c>
      <c r="F32" s="100">
        <v>2</v>
      </c>
      <c r="G32" s="100">
        <v>59.32</v>
      </c>
      <c r="H32" s="100">
        <v>31.25</v>
      </c>
      <c r="I32" s="100">
        <v>8.3699999999999992</v>
      </c>
      <c r="J32" s="100">
        <v>0.38</v>
      </c>
      <c r="K32" s="100">
        <v>43.12</v>
      </c>
      <c r="L32" s="100">
        <v>6.41</v>
      </c>
      <c r="M32" s="100">
        <v>-2.0499999999999998</v>
      </c>
      <c r="N32" s="100">
        <v>2.9</v>
      </c>
      <c r="O32" s="100">
        <v>0</v>
      </c>
      <c r="P32" s="100">
        <v>0.42</v>
      </c>
      <c r="Q32" s="100">
        <v>9.32</v>
      </c>
      <c r="R32" s="6"/>
      <c r="S32" s="6"/>
      <c r="T32" s="156"/>
      <c r="U32" s="6"/>
    </row>
    <row r="33" spans="1:21" customFormat="1">
      <c r="A33" s="201" t="s">
        <v>2664</v>
      </c>
      <c r="B33" s="100">
        <v>5.89</v>
      </c>
      <c r="C33" s="100">
        <v>6.47</v>
      </c>
      <c r="D33" s="100">
        <v>8.1</v>
      </c>
      <c r="E33" s="100">
        <v>5.2</v>
      </c>
      <c r="F33" s="100">
        <v>2</v>
      </c>
      <c r="G33" s="100">
        <v>59.32</v>
      </c>
      <c r="H33" s="100">
        <v>31.25</v>
      </c>
      <c r="I33" s="100">
        <v>8.36</v>
      </c>
      <c r="J33" s="100">
        <v>0.26</v>
      </c>
      <c r="K33" s="100">
        <v>20.48</v>
      </c>
      <c r="L33" s="100">
        <v>10.68</v>
      </c>
      <c r="M33" s="100">
        <v>8.5</v>
      </c>
      <c r="N33" s="100">
        <v>4.4000000000000004</v>
      </c>
      <c r="O33" s="100">
        <v>0</v>
      </c>
      <c r="P33" s="100">
        <v>0.42</v>
      </c>
      <c r="Q33" s="100">
        <v>9.32</v>
      </c>
      <c r="R33" s="6"/>
      <c r="S33" s="6"/>
      <c r="T33" s="156"/>
      <c r="U33" s="6"/>
    </row>
    <row r="34" spans="1:21" customFormat="1">
      <c r="A34" s="201" t="s">
        <v>2665</v>
      </c>
      <c r="B34" s="100">
        <v>5.87</v>
      </c>
      <c r="C34" s="100">
        <v>6.62</v>
      </c>
      <c r="D34" s="100">
        <v>8.16</v>
      </c>
      <c r="E34" s="100">
        <v>5.42</v>
      </c>
      <c r="F34" s="100">
        <v>2</v>
      </c>
      <c r="G34" s="100">
        <v>59.32</v>
      </c>
      <c r="H34" s="100">
        <v>31.25</v>
      </c>
      <c r="I34" s="100">
        <v>8.3000000000000007</v>
      </c>
      <c r="J34" s="100">
        <v>0.35</v>
      </c>
      <c r="K34" s="100">
        <v>22.56</v>
      </c>
      <c r="L34" s="100">
        <v>10</v>
      </c>
      <c r="M34" s="100">
        <v>6.76</v>
      </c>
      <c r="N34" s="100">
        <v>7.2</v>
      </c>
      <c r="O34" s="100">
        <v>0</v>
      </c>
      <c r="P34" s="100">
        <v>0.43</v>
      </c>
      <c r="Q34" s="100">
        <v>9.32</v>
      </c>
      <c r="R34" s="6"/>
      <c r="S34" s="6"/>
      <c r="T34" s="156"/>
      <c r="U34" s="6"/>
    </row>
    <row r="35" spans="1:21" customFormat="1">
      <c r="A35" s="201" t="s">
        <v>2666</v>
      </c>
      <c r="B35" s="100">
        <v>5.82</v>
      </c>
      <c r="C35" s="100">
        <v>6.94</v>
      </c>
      <c r="D35" s="100">
        <v>8.2899999999999991</v>
      </c>
      <c r="E35" s="100">
        <v>5.94</v>
      </c>
      <c r="F35" s="100">
        <v>2</v>
      </c>
      <c r="G35" s="100">
        <v>63.69</v>
      </c>
      <c r="H35" s="100">
        <v>41.08</v>
      </c>
      <c r="I35" s="100">
        <v>8.2799999999999994</v>
      </c>
      <c r="J35" s="100">
        <v>0.47</v>
      </c>
      <c r="K35" s="100">
        <v>35.159999999999997</v>
      </c>
      <c r="L35" s="100">
        <v>7.87</v>
      </c>
      <c r="M35" s="100">
        <v>1.4</v>
      </c>
      <c r="N35" s="100">
        <v>12.1</v>
      </c>
      <c r="O35" s="100">
        <v>0</v>
      </c>
      <c r="P35" s="100">
        <v>0.44</v>
      </c>
      <c r="Q35" s="100">
        <v>9.32</v>
      </c>
      <c r="R35" s="6"/>
      <c r="S35" s="6"/>
      <c r="T35" s="156"/>
      <c r="U35" s="6"/>
    </row>
    <row r="36" spans="1:21" customFormat="1">
      <c r="A36" s="201" t="s">
        <v>2667</v>
      </c>
      <c r="B36" s="100">
        <v>5.73</v>
      </c>
      <c r="C36" s="100">
        <v>7.03</v>
      </c>
      <c r="D36" s="100">
        <v>8.27</v>
      </c>
      <c r="E36" s="100">
        <v>6.01</v>
      </c>
      <c r="F36" s="100">
        <v>2</v>
      </c>
      <c r="G36" s="100">
        <v>65.28</v>
      </c>
      <c r="H36" s="100">
        <v>41.38</v>
      </c>
      <c r="I36" s="100">
        <v>8.51</v>
      </c>
      <c r="J36" s="100">
        <v>0.43</v>
      </c>
      <c r="K36" s="100">
        <v>31.25</v>
      </c>
      <c r="L36" s="100">
        <v>7.21</v>
      </c>
      <c r="M36" s="100">
        <v>-0.59</v>
      </c>
      <c r="N36" s="100">
        <v>23.4</v>
      </c>
      <c r="O36" s="100">
        <v>0</v>
      </c>
      <c r="P36" s="100">
        <v>0.44</v>
      </c>
      <c r="Q36" s="100">
        <v>9.32</v>
      </c>
      <c r="R36" s="6"/>
      <c r="S36" s="6"/>
      <c r="T36" s="156"/>
      <c r="U36" s="6"/>
    </row>
    <row r="37" spans="1:21" customFormat="1">
      <c r="A37" s="201" t="s">
        <v>2668</v>
      </c>
      <c r="B37" s="100">
        <v>5.66</v>
      </c>
      <c r="C37" s="100">
        <v>6.91</v>
      </c>
      <c r="D37" s="100">
        <v>8.15</v>
      </c>
      <c r="E37" s="100">
        <v>6.34</v>
      </c>
      <c r="F37" s="100">
        <v>2</v>
      </c>
      <c r="G37" s="100">
        <v>65.28</v>
      </c>
      <c r="H37" s="100">
        <v>41.38</v>
      </c>
      <c r="I37" s="100">
        <v>8.81</v>
      </c>
      <c r="J37" s="100">
        <v>0.49</v>
      </c>
      <c r="K37" s="100">
        <v>37.17</v>
      </c>
      <c r="L37" s="100">
        <v>8.16</v>
      </c>
      <c r="M37" s="100">
        <v>1.74</v>
      </c>
      <c r="N37" s="100">
        <v>27.7</v>
      </c>
      <c r="O37" s="100">
        <v>0</v>
      </c>
      <c r="P37" s="100">
        <v>0.45</v>
      </c>
      <c r="Q37" s="100">
        <v>9.4600000000000009</v>
      </c>
      <c r="R37" s="6"/>
      <c r="S37" s="6"/>
      <c r="T37" s="156"/>
      <c r="U37" s="6"/>
    </row>
    <row r="38" spans="1:21" customFormat="1">
      <c r="A38" s="201" t="s">
        <v>2669</v>
      </c>
      <c r="B38" s="100">
        <v>5.63</v>
      </c>
      <c r="C38" s="100">
        <v>6.9</v>
      </c>
      <c r="D38" s="100">
        <v>8.1199999999999992</v>
      </c>
      <c r="E38" s="100">
        <v>6.05</v>
      </c>
      <c r="F38" s="100">
        <v>2</v>
      </c>
      <c r="G38" s="100">
        <v>65.28</v>
      </c>
      <c r="H38" s="100">
        <v>41.38</v>
      </c>
      <c r="I38" s="100">
        <v>8.86</v>
      </c>
      <c r="J38" s="100">
        <v>0.49</v>
      </c>
      <c r="K38" s="100">
        <v>30.61</v>
      </c>
      <c r="L38" s="100">
        <v>10.66</v>
      </c>
      <c r="M38" s="100">
        <v>7.88</v>
      </c>
      <c r="N38" s="100">
        <v>31.3</v>
      </c>
      <c r="O38" s="100">
        <v>0</v>
      </c>
      <c r="P38" s="100">
        <v>0.45</v>
      </c>
      <c r="Q38" s="100">
        <v>9.32</v>
      </c>
      <c r="R38" s="6"/>
      <c r="S38" s="6"/>
      <c r="T38" s="156"/>
      <c r="U38" s="6"/>
    </row>
    <row r="39" spans="1:21" customFormat="1">
      <c r="A39" s="201" t="s">
        <v>2670</v>
      </c>
      <c r="B39" s="100">
        <v>5.63</v>
      </c>
      <c r="C39" s="100">
        <v>6.95</v>
      </c>
      <c r="D39" s="100">
        <v>8.15</v>
      </c>
      <c r="E39" s="100">
        <v>6.46</v>
      </c>
      <c r="F39" s="100">
        <v>2</v>
      </c>
      <c r="G39" s="100">
        <v>74.47</v>
      </c>
      <c r="H39" s="100">
        <v>46.54</v>
      </c>
      <c r="I39" s="100">
        <v>8.86</v>
      </c>
      <c r="J39" s="100">
        <v>0.36</v>
      </c>
      <c r="K39" s="100">
        <v>22.68</v>
      </c>
      <c r="L39" s="100">
        <v>11.77</v>
      </c>
      <c r="M39" s="100">
        <v>10.56</v>
      </c>
      <c r="N39" s="100">
        <v>33.200000000000003</v>
      </c>
      <c r="O39" s="100">
        <v>0</v>
      </c>
      <c r="P39" s="100">
        <v>0.45</v>
      </c>
      <c r="Q39" s="100">
        <v>9.4600000000000009</v>
      </c>
      <c r="R39" s="6"/>
      <c r="S39" s="6"/>
      <c r="T39" s="156"/>
      <c r="U39" s="6"/>
    </row>
    <row r="40" spans="1:21" customFormat="1">
      <c r="A40" s="201" t="s">
        <v>2671</v>
      </c>
      <c r="B40" s="100">
        <v>5.81</v>
      </c>
      <c r="C40" s="100">
        <v>6.95</v>
      </c>
      <c r="D40" s="100">
        <v>8.2899999999999991</v>
      </c>
      <c r="E40" s="100">
        <v>6.34</v>
      </c>
      <c r="F40" s="100">
        <v>2</v>
      </c>
      <c r="G40" s="100">
        <v>77.81</v>
      </c>
      <c r="H40" s="100">
        <v>46.79</v>
      </c>
      <c r="I40" s="100">
        <v>8.98</v>
      </c>
      <c r="J40" s="100">
        <v>0.41</v>
      </c>
      <c r="K40" s="100">
        <v>38.270000000000003</v>
      </c>
      <c r="L40" s="100">
        <v>9.64</v>
      </c>
      <c r="M40" s="100">
        <v>4.8600000000000003</v>
      </c>
      <c r="N40" s="100">
        <v>50.7</v>
      </c>
      <c r="O40" s="100">
        <v>0</v>
      </c>
      <c r="P40" s="100">
        <v>0.45</v>
      </c>
      <c r="Q40" s="100">
        <v>9.6199999999999992</v>
      </c>
      <c r="R40" s="6"/>
      <c r="S40" s="6"/>
      <c r="T40" s="156"/>
      <c r="U40" s="6"/>
    </row>
    <row r="41" spans="1:21" customFormat="1">
      <c r="A41" s="201" t="s">
        <v>2672</v>
      </c>
      <c r="B41" s="100">
        <v>5.95</v>
      </c>
      <c r="C41" s="100">
        <v>6.96</v>
      </c>
      <c r="D41" s="100">
        <v>8.41</v>
      </c>
      <c r="E41" s="100">
        <v>6.27</v>
      </c>
      <c r="F41" s="100">
        <v>2</v>
      </c>
      <c r="G41" s="100">
        <v>77.81</v>
      </c>
      <c r="H41" s="100">
        <v>46.79</v>
      </c>
      <c r="I41" s="100">
        <v>9.15</v>
      </c>
      <c r="J41" s="100">
        <v>0.57999999999999996</v>
      </c>
      <c r="K41" s="100">
        <v>35.86</v>
      </c>
      <c r="L41" s="100">
        <v>8.81</v>
      </c>
      <c r="M41" s="100">
        <v>2.75</v>
      </c>
      <c r="N41" s="100">
        <v>51.6</v>
      </c>
      <c r="O41" s="100">
        <v>0</v>
      </c>
      <c r="P41" s="100">
        <v>0.47</v>
      </c>
      <c r="Q41" s="100">
        <v>9.36</v>
      </c>
      <c r="R41" s="6"/>
      <c r="S41" s="6"/>
      <c r="T41" s="156"/>
      <c r="U41" s="6"/>
    </row>
    <row r="42" spans="1:21" customFormat="1">
      <c r="A42" s="201" t="s">
        <v>2673</v>
      </c>
      <c r="B42" s="100">
        <v>5.88</v>
      </c>
      <c r="C42" s="100">
        <v>6.88</v>
      </c>
      <c r="D42" s="100">
        <v>8.31</v>
      </c>
      <c r="E42" s="100">
        <v>6.26</v>
      </c>
      <c r="F42" s="100">
        <v>2</v>
      </c>
      <c r="G42" s="100">
        <v>77.81</v>
      </c>
      <c r="H42" s="100">
        <v>46.79</v>
      </c>
      <c r="I42" s="100">
        <v>9.14</v>
      </c>
      <c r="J42" s="100">
        <v>0.54</v>
      </c>
      <c r="K42" s="100">
        <v>45.1</v>
      </c>
      <c r="L42" s="100">
        <v>8.85</v>
      </c>
      <c r="M42" s="100">
        <v>2.27</v>
      </c>
      <c r="N42" s="100">
        <v>81.2</v>
      </c>
      <c r="O42" s="100">
        <v>0</v>
      </c>
      <c r="P42" s="100">
        <v>0.47</v>
      </c>
      <c r="Q42" s="100">
        <v>9.32</v>
      </c>
      <c r="R42" s="6"/>
      <c r="S42" s="6"/>
      <c r="T42" s="156"/>
      <c r="U42" s="6"/>
    </row>
    <row r="43" spans="1:21" customFormat="1">
      <c r="A43" s="201" t="s">
        <v>2674</v>
      </c>
      <c r="B43" s="100">
        <v>5.79</v>
      </c>
      <c r="C43" s="100">
        <v>6.79</v>
      </c>
      <c r="D43" s="100">
        <v>8.19</v>
      </c>
      <c r="E43" s="100">
        <v>6.15</v>
      </c>
      <c r="F43" s="100">
        <v>2</v>
      </c>
      <c r="G43" s="100">
        <v>88.93</v>
      </c>
      <c r="H43" s="100">
        <v>46.91</v>
      </c>
      <c r="I43" s="100">
        <v>9.1</v>
      </c>
      <c r="J43" s="100">
        <v>0.41</v>
      </c>
      <c r="K43" s="100">
        <v>44.61</v>
      </c>
      <c r="L43" s="100">
        <v>10.43</v>
      </c>
      <c r="M43" s="100">
        <v>5.14</v>
      </c>
      <c r="N43" s="100">
        <v>126</v>
      </c>
      <c r="O43" s="100">
        <v>0</v>
      </c>
      <c r="P43" s="100">
        <v>0.47</v>
      </c>
      <c r="Q43" s="100">
        <v>9.32</v>
      </c>
      <c r="R43" s="6"/>
      <c r="S43" s="6"/>
      <c r="T43" s="156"/>
      <c r="U43" s="6"/>
    </row>
    <row r="44" spans="1:21" customFormat="1">
      <c r="A44" s="201" t="s">
        <v>2675</v>
      </c>
      <c r="B44" s="100">
        <v>5.8</v>
      </c>
      <c r="C44" s="100">
        <v>6.8</v>
      </c>
      <c r="D44" s="100">
        <v>8.2100000000000009</v>
      </c>
      <c r="E44" s="100">
        <v>6.09</v>
      </c>
      <c r="F44" s="100">
        <v>2</v>
      </c>
      <c r="G44" s="100">
        <v>92.97</v>
      </c>
      <c r="H44" s="100">
        <v>46.92</v>
      </c>
      <c r="I44" s="100">
        <v>9.07</v>
      </c>
      <c r="J44" s="100">
        <v>0.49</v>
      </c>
      <c r="K44" s="100">
        <v>32.130000000000003</v>
      </c>
      <c r="L44" s="100">
        <v>8.93</v>
      </c>
      <c r="M44" s="100">
        <v>1.93</v>
      </c>
      <c r="N44" s="100">
        <v>99.4</v>
      </c>
      <c r="O44" s="100">
        <v>0</v>
      </c>
      <c r="P44" s="100">
        <v>0.47</v>
      </c>
      <c r="Q44" s="100">
        <v>9.32</v>
      </c>
      <c r="R44" s="6"/>
      <c r="S44" s="6"/>
      <c r="T44" s="156"/>
      <c r="U44" s="6"/>
    </row>
    <row r="45" spans="1:21" customFormat="1">
      <c r="A45" s="201" t="s">
        <v>2676</v>
      </c>
      <c r="B45" s="100">
        <v>5.71</v>
      </c>
      <c r="C45" s="100">
        <v>6.82</v>
      </c>
      <c r="D45" s="100">
        <v>8.15</v>
      </c>
      <c r="E45" s="100">
        <v>6.46</v>
      </c>
      <c r="F45" s="100">
        <v>2</v>
      </c>
      <c r="G45" s="100">
        <v>92.97</v>
      </c>
      <c r="H45" s="100">
        <v>46.92</v>
      </c>
      <c r="I45" s="100">
        <v>9.06</v>
      </c>
      <c r="J45" s="100">
        <v>0.4</v>
      </c>
      <c r="K45" s="100">
        <v>48.61</v>
      </c>
      <c r="L45" s="100">
        <v>8.3000000000000007</v>
      </c>
      <c r="M45" s="100">
        <v>0.93</v>
      </c>
      <c r="N45" s="100">
        <v>81</v>
      </c>
      <c r="O45" s="100">
        <v>0</v>
      </c>
      <c r="P45" s="100">
        <v>0.48</v>
      </c>
      <c r="Q45" s="100">
        <v>9.32</v>
      </c>
      <c r="R45" s="6"/>
      <c r="S45" s="6"/>
      <c r="T45" s="156"/>
      <c r="U45" s="6"/>
    </row>
    <row r="46" spans="1:21" customFormat="1">
      <c r="A46" s="201" t="s">
        <v>2677</v>
      </c>
      <c r="B46" s="100">
        <v>5.53</v>
      </c>
      <c r="C46" s="100">
        <v>6.7</v>
      </c>
      <c r="D46" s="100">
        <v>7.94</v>
      </c>
      <c r="E46" s="100">
        <v>6.09</v>
      </c>
      <c r="F46" s="100">
        <v>2</v>
      </c>
      <c r="G46" s="100">
        <v>92.97</v>
      </c>
      <c r="H46" s="100">
        <v>46.92</v>
      </c>
      <c r="I46" s="100">
        <v>9.02</v>
      </c>
      <c r="J46" s="100">
        <v>0.33</v>
      </c>
      <c r="K46" s="100">
        <v>40.92</v>
      </c>
      <c r="L46" s="100">
        <v>12.59</v>
      </c>
      <c r="M46" s="100">
        <v>11.39</v>
      </c>
      <c r="N46" s="100">
        <v>91.1</v>
      </c>
      <c r="O46" s="100">
        <v>0</v>
      </c>
      <c r="P46" s="100">
        <v>0.48</v>
      </c>
      <c r="Q46" s="100">
        <v>9.32</v>
      </c>
      <c r="R46" s="6"/>
      <c r="S46" s="6"/>
      <c r="T46" s="156"/>
      <c r="U46" s="6"/>
    </row>
    <row r="47" spans="1:21" customFormat="1">
      <c r="A47" s="201" t="s">
        <v>2678</v>
      </c>
      <c r="B47" s="100">
        <v>5.4</v>
      </c>
      <c r="C47" s="100">
        <v>6.7</v>
      </c>
      <c r="D47" s="100">
        <v>7.83</v>
      </c>
      <c r="E47" s="100">
        <v>6</v>
      </c>
      <c r="F47" s="100">
        <v>2</v>
      </c>
      <c r="G47" s="100">
        <v>91.97</v>
      </c>
      <c r="H47" s="100">
        <v>46.42</v>
      </c>
      <c r="I47" s="100">
        <v>8.9600000000000009</v>
      </c>
      <c r="J47" s="100">
        <v>0.37</v>
      </c>
      <c r="K47" s="100">
        <v>55.32</v>
      </c>
      <c r="L47" s="100">
        <v>10.59</v>
      </c>
      <c r="M47" s="100">
        <v>5.19</v>
      </c>
      <c r="N47" s="100">
        <v>143.6</v>
      </c>
      <c r="O47" s="100">
        <v>0</v>
      </c>
      <c r="P47" s="100">
        <v>0.48</v>
      </c>
      <c r="Q47" s="100">
        <v>9.32</v>
      </c>
      <c r="R47" s="6"/>
      <c r="S47" s="6"/>
      <c r="T47" s="156"/>
      <c r="U47" s="6"/>
    </row>
    <row r="48" spans="1:21" customFormat="1">
      <c r="A48" s="201" t="s">
        <v>2679</v>
      </c>
      <c r="B48" s="100">
        <v>5.22</v>
      </c>
      <c r="C48" s="100">
        <v>6.66</v>
      </c>
      <c r="D48" s="100">
        <v>7.67</v>
      </c>
      <c r="E48" s="100">
        <v>6.24</v>
      </c>
      <c r="F48" s="100">
        <v>2</v>
      </c>
      <c r="G48" s="100">
        <v>91.6</v>
      </c>
      <c r="H48" s="100">
        <v>46.41</v>
      </c>
      <c r="I48" s="100">
        <v>8.9499999999999993</v>
      </c>
      <c r="J48" s="100">
        <v>0.25</v>
      </c>
      <c r="K48" s="100">
        <v>69.95</v>
      </c>
      <c r="L48" s="100">
        <v>13.15</v>
      </c>
      <c r="M48" s="100">
        <v>8.85</v>
      </c>
      <c r="N48" s="100">
        <v>231.3</v>
      </c>
      <c r="O48" s="100">
        <v>0</v>
      </c>
      <c r="P48" s="100">
        <v>0.48</v>
      </c>
      <c r="Q48" s="100">
        <v>9.32</v>
      </c>
      <c r="R48" s="6"/>
      <c r="S48" s="6"/>
      <c r="T48" s="156"/>
      <c r="U48" s="6"/>
    </row>
    <row r="49" spans="1:21" customFormat="1">
      <c r="A49" s="201" t="s">
        <v>2680</v>
      </c>
      <c r="B49" s="100">
        <v>4.87</v>
      </c>
      <c r="C49" s="100">
        <v>6.64</v>
      </c>
      <c r="D49" s="100">
        <v>7.37</v>
      </c>
      <c r="E49" s="100">
        <v>5.23</v>
      </c>
      <c r="F49" s="100">
        <v>2</v>
      </c>
      <c r="G49" s="100">
        <v>91.6</v>
      </c>
      <c r="H49" s="100">
        <v>46.41</v>
      </c>
      <c r="I49" s="100">
        <v>8.9</v>
      </c>
      <c r="J49" s="100">
        <v>0.43</v>
      </c>
      <c r="K49" s="100">
        <v>46.38</v>
      </c>
      <c r="L49" s="100">
        <v>13.06</v>
      </c>
      <c r="M49" s="100">
        <v>4.93</v>
      </c>
      <c r="N49" s="100">
        <v>416.5</v>
      </c>
      <c r="O49" s="100">
        <v>0</v>
      </c>
      <c r="P49" s="100">
        <v>0.47</v>
      </c>
      <c r="Q49" s="100">
        <v>9.32</v>
      </c>
      <c r="R49" s="6"/>
      <c r="S49" s="6"/>
      <c r="T49" s="156"/>
      <c r="U49" s="6"/>
    </row>
    <row r="50" spans="1:21" customFormat="1">
      <c r="A50" s="201" t="s">
        <v>2681</v>
      </c>
      <c r="B50" s="100">
        <v>4.5199999999999996</v>
      </c>
      <c r="C50" s="100">
        <v>6.66</v>
      </c>
      <c r="D50" s="100">
        <v>7.1</v>
      </c>
      <c r="E50" s="100">
        <v>6.42</v>
      </c>
      <c r="F50" s="100">
        <v>2</v>
      </c>
      <c r="G50" s="100">
        <v>91.6</v>
      </c>
      <c r="H50" s="100">
        <v>46.41</v>
      </c>
      <c r="I50" s="100">
        <v>8.84</v>
      </c>
      <c r="J50" s="100">
        <v>0.15</v>
      </c>
      <c r="K50" s="100">
        <v>104.08</v>
      </c>
      <c r="L50" s="100">
        <v>13.97</v>
      </c>
      <c r="M50" s="100">
        <v>13.19</v>
      </c>
      <c r="N50" s="100">
        <v>165.9</v>
      </c>
      <c r="O50" s="100">
        <v>0</v>
      </c>
      <c r="P50" s="100">
        <v>0.45</v>
      </c>
      <c r="Q50" s="100">
        <v>9.32</v>
      </c>
      <c r="R50" s="6"/>
      <c r="S50" s="6"/>
      <c r="T50" s="156"/>
      <c r="U50" s="6"/>
    </row>
    <row r="51" spans="1:21" customFormat="1">
      <c r="A51" s="201" t="s">
        <v>2682</v>
      </c>
      <c r="B51" s="100">
        <v>4.03</v>
      </c>
      <c r="C51" s="100">
        <v>6.58</v>
      </c>
      <c r="D51" s="100">
        <v>6.67</v>
      </c>
      <c r="E51" s="100">
        <v>6.45</v>
      </c>
      <c r="F51" s="100">
        <v>2.0499999999999998</v>
      </c>
      <c r="G51" s="100">
        <v>86</v>
      </c>
      <c r="H51" s="100">
        <v>46.16</v>
      </c>
      <c r="I51" s="100">
        <v>8.75</v>
      </c>
      <c r="J51" s="100">
        <v>0.23</v>
      </c>
      <c r="K51" s="100">
        <v>55.25</v>
      </c>
      <c r="L51" s="100">
        <v>14.28</v>
      </c>
      <c r="M51" s="100">
        <v>13.49</v>
      </c>
      <c r="N51" s="100">
        <v>192.4</v>
      </c>
      <c r="O51" s="100">
        <v>0</v>
      </c>
      <c r="P51" s="100">
        <v>0.46</v>
      </c>
      <c r="Q51" s="100">
        <v>9.31</v>
      </c>
      <c r="R51" s="6"/>
      <c r="S51" s="6"/>
      <c r="T51" s="156"/>
      <c r="U51" s="6"/>
    </row>
    <row r="52" spans="1:21" customFormat="1">
      <c r="A52" s="201" t="s">
        <v>2683</v>
      </c>
      <c r="B52" s="100">
        <v>3.89</v>
      </c>
      <c r="C52" s="100">
        <v>6.54</v>
      </c>
      <c r="D52" s="100">
        <v>6.54</v>
      </c>
      <c r="E52" s="100">
        <v>6.53</v>
      </c>
      <c r="F52" s="100">
        <v>2.19</v>
      </c>
      <c r="G52" s="100">
        <v>83.97</v>
      </c>
      <c r="H52" s="100">
        <v>46.16</v>
      </c>
      <c r="I52" s="100">
        <v>8.5299999999999994</v>
      </c>
      <c r="J52" s="100">
        <v>0.13</v>
      </c>
      <c r="K52" s="100">
        <v>77.87</v>
      </c>
      <c r="L52" s="100">
        <v>13.64</v>
      </c>
      <c r="M52" s="100">
        <v>12.38</v>
      </c>
      <c r="N52" s="100">
        <v>164.2</v>
      </c>
      <c r="O52" s="100">
        <v>0</v>
      </c>
      <c r="P52" s="100">
        <v>0.47</v>
      </c>
      <c r="Q52" s="100">
        <v>9.32</v>
      </c>
      <c r="R52" s="6"/>
      <c r="S52" s="6"/>
      <c r="T52" s="156"/>
      <c r="U52" s="6"/>
    </row>
    <row r="53" spans="1:21" customFormat="1">
      <c r="A53" s="201" t="s">
        <v>2684</v>
      </c>
      <c r="B53" s="100">
        <v>3.81</v>
      </c>
      <c r="C53" s="100">
        <v>6.76</v>
      </c>
      <c r="D53" s="100">
        <v>6.59</v>
      </c>
      <c r="E53" s="100">
        <v>6.36</v>
      </c>
      <c r="F53" s="100">
        <v>2</v>
      </c>
      <c r="G53" s="100">
        <v>83.97</v>
      </c>
      <c r="H53" s="100">
        <v>46.16</v>
      </c>
      <c r="I53" s="100">
        <v>8.35</v>
      </c>
      <c r="J53" s="100">
        <v>0.2</v>
      </c>
      <c r="K53" s="100">
        <v>57.34</v>
      </c>
      <c r="L53" s="100">
        <v>15.53</v>
      </c>
      <c r="M53" s="100">
        <v>15.01</v>
      </c>
      <c r="N53" s="100">
        <v>253.8</v>
      </c>
      <c r="O53" s="100">
        <v>0</v>
      </c>
      <c r="P53" s="100">
        <v>0.45</v>
      </c>
      <c r="Q53" s="100">
        <v>9.33</v>
      </c>
      <c r="R53" s="6"/>
      <c r="S53" s="6"/>
      <c r="T53" s="156"/>
      <c r="U53" s="6"/>
    </row>
    <row r="54" spans="1:21" customFormat="1">
      <c r="A54" s="201" t="s">
        <v>2685</v>
      </c>
      <c r="B54" s="100">
        <v>3.63</v>
      </c>
      <c r="C54" s="100">
        <v>6.26</v>
      </c>
      <c r="D54" s="100">
        <v>6.19</v>
      </c>
      <c r="E54" s="100">
        <v>5.71</v>
      </c>
      <c r="F54" s="100">
        <v>2.02</v>
      </c>
      <c r="G54" s="100">
        <v>83.97</v>
      </c>
      <c r="H54" s="100">
        <v>46.16</v>
      </c>
      <c r="I54" s="100">
        <v>8.2200000000000006</v>
      </c>
      <c r="J54" s="100">
        <v>0.09</v>
      </c>
      <c r="K54" s="100">
        <v>145.4</v>
      </c>
      <c r="L54" s="100">
        <v>17.91</v>
      </c>
      <c r="M54" s="100">
        <v>20.77</v>
      </c>
      <c r="N54" s="100">
        <v>267.7</v>
      </c>
      <c r="O54" s="100">
        <v>0</v>
      </c>
      <c r="P54" s="100">
        <v>0.44</v>
      </c>
      <c r="Q54" s="100">
        <v>9.33</v>
      </c>
      <c r="R54" s="6"/>
      <c r="S54" s="6"/>
      <c r="T54" s="156"/>
      <c r="U54" s="6"/>
    </row>
    <row r="55" spans="1:21" customFormat="1">
      <c r="A55" s="201" t="s">
        <v>2686</v>
      </c>
      <c r="B55" s="100">
        <v>3.5</v>
      </c>
      <c r="C55" s="100">
        <v>6.03</v>
      </c>
      <c r="D55" s="100">
        <v>5.96</v>
      </c>
      <c r="E55" s="100">
        <v>5.6</v>
      </c>
      <c r="F55" s="100">
        <v>2.69</v>
      </c>
      <c r="G55" s="100">
        <v>69.66</v>
      </c>
      <c r="H55" s="100">
        <v>37.03</v>
      </c>
      <c r="I55" s="100">
        <v>8.06</v>
      </c>
      <c r="J55" s="100">
        <v>0.1</v>
      </c>
      <c r="K55" s="100">
        <v>144.5</v>
      </c>
      <c r="L55" s="100">
        <v>18.53</v>
      </c>
      <c r="M55" s="100">
        <v>25.03</v>
      </c>
      <c r="N55" s="100">
        <v>150.30000000000001</v>
      </c>
      <c r="O55" s="100">
        <v>0</v>
      </c>
      <c r="P55" s="100">
        <v>0.44</v>
      </c>
      <c r="Q55" s="100">
        <v>9.32</v>
      </c>
      <c r="R55" s="6"/>
      <c r="S55" s="6"/>
      <c r="T55" s="156"/>
      <c r="U55" s="6"/>
    </row>
    <row r="56" spans="1:21" customFormat="1">
      <c r="A56" s="201" t="s">
        <v>2687</v>
      </c>
      <c r="B56" s="100">
        <v>3.47</v>
      </c>
      <c r="C56" s="100">
        <v>6.08</v>
      </c>
      <c r="D56" s="100">
        <v>5.96</v>
      </c>
      <c r="E56" s="100">
        <v>5.6</v>
      </c>
      <c r="F56" s="100">
        <v>2</v>
      </c>
      <c r="G56" s="100">
        <v>64.459999999999994</v>
      </c>
      <c r="H56" s="100">
        <v>36.81</v>
      </c>
      <c r="I56" s="100">
        <v>7.95</v>
      </c>
      <c r="J56" s="100">
        <v>0.24</v>
      </c>
      <c r="K56" s="100">
        <v>118.69</v>
      </c>
      <c r="L56" s="100">
        <v>16.079999999999998</v>
      </c>
      <c r="M56" s="100">
        <v>15.17</v>
      </c>
      <c r="N56" s="100">
        <v>310.89999999999998</v>
      </c>
      <c r="O56" s="100">
        <v>0</v>
      </c>
      <c r="P56" s="100">
        <v>0.44</v>
      </c>
      <c r="Q56" s="100">
        <v>9.32</v>
      </c>
      <c r="R56" s="6"/>
      <c r="S56" s="6"/>
      <c r="T56" s="156"/>
      <c r="U56" s="6"/>
    </row>
    <row r="57" spans="1:21" customFormat="1">
      <c r="A57" s="201" t="s">
        <v>2688</v>
      </c>
      <c r="B57" s="100">
        <v>3.3</v>
      </c>
      <c r="C57" s="100">
        <v>5.94</v>
      </c>
      <c r="D57" s="100">
        <v>5.75</v>
      </c>
      <c r="E57" s="100">
        <v>5.38</v>
      </c>
      <c r="F57" s="100">
        <v>2.0099999999999998</v>
      </c>
      <c r="G57" s="100">
        <v>64.459999999999994</v>
      </c>
      <c r="H57" s="100">
        <v>36.81</v>
      </c>
      <c r="I57" s="100">
        <v>7.83</v>
      </c>
      <c r="J57" s="100">
        <v>0.2</v>
      </c>
      <c r="K57" s="100">
        <v>105.22</v>
      </c>
      <c r="L57" s="100">
        <v>15.91</v>
      </c>
      <c r="M57" s="100">
        <v>12.81</v>
      </c>
      <c r="N57" s="100">
        <v>391.2</v>
      </c>
      <c r="O57" s="100">
        <v>0</v>
      </c>
      <c r="P57" s="100">
        <v>0.42</v>
      </c>
      <c r="Q57" s="100">
        <v>9.32</v>
      </c>
      <c r="R57" s="6"/>
      <c r="S57" s="6"/>
      <c r="T57" s="156"/>
      <c r="U57" s="6"/>
    </row>
    <row r="58" spans="1:21" customFormat="1">
      <c r="A58" s="201" t="s">
        <v>2689</v>
      </c>
      <c r="B58" s="100">
        <v>3.12</v>
      </c>
      <c r="C58" s="100">
        <v>5.81</v>
      </c>
      <c r="D58" s="100">
        <v>5.53</v>
      </c>
      <c r="E58" s="100">
        <v>4.8499999999999996</v>
      </c>
      <c r="F58" s="100">
        <v>2</v>
      </c>
      <c r="G58" s="100">
        <v>64.459999999999994</v>
      </c>
      <c r="H58" s="100">
        <v>36.81</v>
      </c>
      <c r="I58" s="100">
        <v>7.73</v>
      </c>
      <c r="J58" s="100">
        <v>0.15</v>
      </c>
      <c r="K58" s="100">
        <v>139.56</v>
      </c>
      <c r="L58" s="100">
        <v>17.47</v>
      </c>
      <c r="M58" s="100">
        <v>19.329999999999998</v>
      </c>
      <c r="N58" s="100">
        <v>281.8</v>
      </c>
      <c r="O58" s="100">
        <v>0</v>
      </c>
      <c r="P58" s="100">
        <v>0.39</v>
      </c>
      <c r="Q58" s="100">
        <v>9.32</v>
      </c>
      <c r="R58" s="6"/>
      <c r="S58" s="6"/>
      <c r="T58" s="156"/>
      <c r="U58" s="6"/>
    </row>
    <row r="59" spans="1:21" customFormat="1">
      <c r="A59" s="201" t="s">
        <v>2690</v>
      </c>
      <c r="B59" s="100">
        <v>3.02</v>
      </c>
      <c r="C59" s="100">
        <v>5.7</v>
      </c>
      <c r="D59" s="100">
        <v>5.4</v>
      </c>
      <c r="E59" s="100">
        <v>4.92</v>
      </c>
      <c r="F59" s="100">
        <v>2.2200000000000002</v>
      </c>
      <c r="G59" s="100">
        <v>49.69</v>
      </c>
      <c r="H59" s="100">
        <v>26.65</v>
      </c>
      <c r="I59" s="100">
        <v>7.49</v>
      </c>
      <c r="J59" s="100">
        <v>0.19</v>
      </c>
      <c r="K59" s="100">
        <v>135.5</v>
      </c>
      <c r="L59" s="100">
        <v>19.82</v>
      </c>
      <c r="M59" s="100">
        <v>19.670000000000002</v>
      </c>
      <c r="N59" s="100">
        <v>521.29999999999995</v>
      </c>
      <c r="O59" s="100">
        <v>0</v>
      </c>
      <c r="P59" s="100">
        <v>0.38</v>
      </c>
      <c r="Q59" s="100">
        <v>9.32</v>
      </c>
      <c r="R59" s="6"/>
      <c r="S59" s="6"/>
      <c r="T59" s="156"/>
      <c r="U59" s="6"/>
    </row>
    <row r="60" spans="1:21" customFormat="1">
      <c r="A60" s="201" t="s">
        <v>2691</v>
      </c>
      <c r="B60" s="100">
        <v>3</v>
      </c>
      <c r="C60" s="100">
        <v>5.69</v>
      </c>
      <c r="D60" s="100">
        <v>5.37</v>
      </c>
      <c r="E60" s="100">
        <v>5.03</v>
      </c>
      <c r="F60" s="100">
        <v>2</v>
      </c>
      <c r="G60" s="100">
        <v>44.32</v>
      </c>
      <c r="H60" s="100">
        <v>26.5</v>
      </c>
      <c r="I60" s="100">
        <v>7.2</v>
      </c>
      <c r="J60" s="100">
        <v>0.31</v>
      </c>
      <c r="K60" s="100">
        <v>181.74</v>
      </c>
      <c r="L60" s="100">
        <v>19.61</v>
      </c>
      <c r="M60" s="100">
        <v>25.64</v>
      </c>
      <c r="N60" s="100">
        <v>245.2</v>
      </c>
      <c r="O60" s="100">
        <v>0</v>
      </c>
      <c r="P60" s="100">
        <v>0.4</v>
      </c>
      <c r="Q60" s="100">
        <v>9.32</v>
      </c>
      <c r="R60" s="6"/>
      <c r="S60" s="6"/>
      <c r="T60" s="156"/>
      <c r="U60" s="6"/>
    </row>
    <row r="61" spans="1:21" customFormat="1">
      <c r="A61" s="201" t="s">
        <v>2692</v>
      </c>
      <c r="B61" s="100">
        <v>2.97</v>
      </c>
      <c r="C61" s="100">
        <v>5.58</v>
      </c>
      <c r="D61" s="100">
        <v>5.29</v>
      </c>
      <c r="E61" s="100">
        <v>5.05</v>
      </c>
      <c r="F61" s="100">
        <v>2.27</v>
      </c>
      <c r="G61" s="100">
        <v>44.32</v>
      </c>
      <c r="H61" s="100">
        <v>26.5</v>
      </c>
      <c r="I61" s="100">
        <v>7.1</v>
      </c>
      <c r="J61" s="100">
        <v>0.19</v>
      </c>
      <c r="K61" s="100">
        <v>180.21</v>
      </c>
      <c r="L61" s="100">
        <v>20.67</v>
      </c>
      <c r="M61" s="100">
        <v>25.64</v>
      </c>
      <c r="N61" s="100">
        <v>357.9</v>
      </c>
      <c r="O61" s="100">
        <v>0</v>
      </c>
      <c r="P61" s="100">
        <v>0.38</v>
      </c>
      <c r="Q61" s="100">
        <v>9.32</v>
      </c>
      <c r="R61" s="6"/>
      <c r="S61" s="6"/>
      <c r="T61" s="156"/>
      <c r="U61" s="6"/>
    </row>
    <row r="62" spans="1:21" customFormat="1">
      <c r="A62" s="201" t="s">
        <v>2693</v>
      </c>
      <c r="B62" s="100">
        <v>2.88</v>
      </c>
      <c r="C62" s="100">
        <v>5.53</v>
      </c>
      <c r="D62" s="100">
        <v>5.19</v>
      </c>
      <c r="E62" s="100">
        <v>4.8099999999999996</v>
      </c>
      <c r="F62" s="100">
        <v>2</v>
      </c>
      <c r="G62" s="100">
        <v>44.32</v>
      </c>
      <c r="H62" s="100">
        <v>26.5</v>
      </c>
      <c r="I62" s="100">
        <v>7.05</v>
      </c>
      <c r="J62" s="100">
        <v>0.28999999999999998</v>
      </c>
      <c r="K62" s="100">
        <v>145.9</v>
      </c>
      <c r="L62" s="100">
        <v>17.239999999999998</v>
      </c>
      <c r="M62" s="100">
        <v>17.760000000000002</v>
      </c>
      <c r="N62" s="100">
        <v>326.89999999999998</v>
      </c>
      <c r="O62" s="100">
        <v>0</v>
      </c>
      <c r="P62" s="100">
        <v>0.35</v>
      </c>
      <c r="Q62" s="100">
        <v>9.32</v>
      </c>
      <c r="R62" s="6"/>
      <c r="S62" s="6"/>
      <c r="T62" s="156"/>
      <c r="U62" s="6"/>
    </row>
    <row r="63" spans="1:21" customFormat="1">
      <c r="A63" s="201" t="s">
        <v>2694</v>
      </c>
      <c r="B63" s="100">
        <v>2.73</v>
      </c>
      <c r="C63" s="100">
        <v>5.36</v>
      </c>
      <c r="D63" s="100">
        <v>4.99</v>
      </c>
      <c r="E63" s="100">
        <v>4.18</v>
      </c>
      <c r="F63" s="100">
        <v>2.5</v>
      </c>
      <c r="G63" s="100">
        <v>30.06</v>
      </c>
      <c r="H63" s="100">
        <v>15.97</v>
      </c>
      <c r="I63" s="100">
        <v>6.8</v>
      </c>
      <c r="J63" s="100">
        <v>0.18</v>
      </c>
      <c r="K63" s="100">
        <v>165.48</v>
      </c>
      <c r="L63" s="100">
        <v>17.14</v>
      </c>
      <c r="M63" s="100">
        <v>20.6</v>
      </c>
      <c r="N63" s="100">
        <v>194.3</v>
      </c>
      <c r="O63" s="100">
        <v>0</v>
      </c>
      <c r="P63" s="100">
        <v>0.32</v>
      </c>
      <c r="Q63" s="100">
        <v>9.32</v>
      </c>
      <c r="R63" s="6"/>
      <c r="S63" s="6"/>
      <c r="T63" s="156"/>
      <c r="U63" s="6"/>
    </row>
    <row r="64" spans="1:21" customFormat="1">
      <c r="A64" s="201" t="s">
        <v>2695</v>
      </c>
      <c r="B64" s="100">
        <v>2.74</v>
      </c>
      <c r="C64" s="100">
        <v>5.41</v>
      </c>
      <c r="D64" s="100">
        <v>5.0199999999999996</v>
      </c>
      <c r="E64" s="100">
        <v>4.32</v>
      </c>
      <c r="F64" s="100">
        <v>2.09</v>
      </c>
      <c r="G64" s="100">
        <v>24.88</v>
      </c>
      <c r="H64" s="100">
        <v>15.81</v>
      </c>
      <c r="I64" s="100">
        <v>6.51</v>
      </c>
      <c r="J64" s="100">
        <v>0.22</v>
      </c>
      <c r="K64" s="100">
        <v>131.84</v>
      </c>
      <c r="L64" s="100">
        <v>15.2</v>
      </c>
      <c r="M64" s="100">
        <v>16.57</v>
      </c>
      <c r="N64" s="100">
        <v>155.19999999999999</v>
      </c>
      <c r="O64" s="100">
        <v>0</v>
      </c>
      <c r="P64" s="100">
        <v>0.33</v>
      </c>
      <c r="Q64" s="100">
        <v>9.32</v>
      </c>
      <c r="R64" s="6"/>
      <c r="S64" s="6"/>
      <c r="T64" s="156"/>
      <c r="U64" s="6"/>
    </row>
    <row r="65" spans="1:21" customFormat="1">
      <c r="A65" s="201" t="s">
        <v>2696</v>
      </c>
      <c r="B65" s="100">
        <v>2.69</v>
      </c>
      <c r="C65" s="100">
        <v>5.32</v>
      </c>
      <c r="D65" s="100">
        <v>4.9400000000000004</v>
      </c>
      <c r="E65" s="100">
        <v>4.38</v>
      </c>
      <c r="F65" s="100">
        <v>2.29</v>
      </c>
      <c r="G65" s="100">
        <v>24.88</v>
      </c>
      <c r="H65" s="100">
        <v>15.81</v>
      </c>
      <c r="I65" s="100">
        <v>6.25</v>
      </c>
      <c r="J65" s="100">
        <v>0.32</v>
      </c>
      <c r="K65" s="100">
        <v>168.82</v>
      </c>
      <c r="L65" s="100">
        <v>19.28</v>
      </c>
      <c r="M65" s="100">
        <v>22.26</v>
      </c>
      <c r="N65" s="100">
        <v>354.2</v>
      </c>
      <c r="O65" s="100">
        <v>0</v>
      </c>
      <c r="P65" s="100">
        <v>0.31</v>
      </c>
      <c r="Q65" s="100">
        <v>9.32</v>
      </c>
      <c r="R65" s="6"/>
      <c r="S65" s="6"/>
      <c r="T65" s="156"/>
      <c r="U65" s="6"/>
    </row>
    <row r="66" spans="1:21" customFormat="1">
      <c r="A66" s="201" t="s">
        <v>2697</v>
      </c>
      <c r="B66" s="100">
        <v>2.61</v>
      </c>
      <c r="C66" s="100">
        <v>5.13</v>
      </c>
      <c r="D66" s="100">
        <v>4.7699999999999996</v>
      </c>
      <c r="E66" s="100">
        <v>4.2699999999999996</v>
      </c>
      <c r="F66" s="100">
        <v>2.5099999999999998</v>
      </c>
      <c r="G66" s="100">
        <v>24.88</v>
      </c>
      <c r="H66" s="100">
        <v>15.81</v>
      </c>
      <c r="I66" s="100">
        <v>6.05</v>
      </c>
      <c r="J66" s="100">
        <v>0.14000000000000001</v>
      </c>
      <c r="K66" s="100">
        <v>144.13</v>
      </c>
      <c r="L66" s="100">
        <v>17.27</v>
      </c>
      <c r="M66" s="100">
        <v>20.02</v>
      </c>
      <c r="N66" s="100">
        <v>233.3</v>
      </c>
      <c r="O66" s="100">
        <v>0</v>
      </c>
      <c r="P66" s="100">
        <v>0.3</v>
      </c>
      <c r="Q66" s="100">
        <v>9.32</v>
      </c>
      <c r="R66" s="6"/>
      <c r="S66" s="6"/>
      <c r="T66" s="156"/>
      <c r="U66" s="6"/>
    </row>
    <row r="67" spans="1:21" customFormat="1">
      <c r="A67" s="201" t="s">
        <v>2698</v>
      </c>
      <c r="B67" s="100">
        <v>2.64</v>
      </c>
      <c r="C67" s="100">
        <v>5.35</v>
      </c>
      <c r="D67" s="100">
        <v>4.91</v>
      </c>
      <c r="E67" s="100">
        <v>4.38</v>
      </c>
      <c r="F67" s="100">
        <v>2.6</v>
      </c>
      <c r="G67" s="100">
        <v>23.7</v>
      </c>
      <c r="H67" s="100">
        <v>13.92</v>
      </c>
      <c r="I67" s="100">
        <v>5.79</v>
      </c>
      <c r="J67" s="100">
        <v>0.06</v>
      </c>
      <c r="K67" s="100">
        <v>294.64999999999998</v>
      </c>
      <c r="L67" s="100">
        <v>19.41</v>
      </c>
      <c r="M67" s="100">
        <v>29.56</v>
      </c>
      <c r="N67" s="100">
        <v>43.5</v>
      </c>
      <c r="O67" s="100">
        <v>0</v>
      </c>
      <c r="P67" s="100">
        <v>0.32</v>
      </c>
      <c r="Q67" s="100">
        <v>9.32</v>
      </c>
      <c r="R67" s="6"/>
      <c r="S67" s="6"/>
      <c r="T67" s="156"/>
      <c r="U67" s="6"/>
    </row>
    <row r="68" spans="1:21" customFormat="1">
      <c r="A68" s="201" t="s">
        <v>2699</v>
      </c>
      <c r="B68" s="100">
        <v>2.82</v>
      </c>
      <c r="C68" s="100">
        <v>6.48</v>
      </c>
      <c r="D68" s="100">
        <v>5.65</v>
      </c>
      <c r="E68" s="100">
        <v>7.74</v>
      </c>
      <c r="F68" s="100">
        <v>2</v>
      </c>
      <c r="G68" s="100">
        <v>23.28</v>
      </c>
      <c r="H68" s="100">
        <v>13.89</v>
      </c>
      <c r="I68" s="100">
        <v>5.68</v>
      </c>
      <c r="J68" s="100">
        <v>0.09</v>
      </c>
      <c r="K68" s="100">
        <v>309.43</v>
      </c>
      <c r="L68" s="100">
        <v>18.59</v>
      </c>
      <c r="M68" s="100">
        <v>27.82</v>
      </c>
      <c r="N68" s="100">
        <v>34.1</v>
      </c>
      <c r="O68" s="100">
        <v>0</v>
      </c>
      <c r="P68" s="100">
        <v>0.35</v>
      </c>
      <c r="Q68" s="100">
        <v>9.32</v>
      </c>
      <c r="R68" s="6"/>
      <c r="S68" s="6"/>
      <c r="T68" s="156"/>
      <c r="U68" s="6"/>
    </row>
    <row r="69" spans="1:21" customFormat="1">
      <c r="A69" s="201" t="s">
        <v>2700</v>
      </c>
      <c r="B69" s="100">
        <v>2.91</v>
      </c>
      <c r="C69" s="100">
        <v>7.29</v>
      </c>
      <c r="D69" s="100">
        <v>6.15</v>
      </c>
      <c r="E69" s="100">
        <v>9.6199999999999992</v>
      </c>
      <c r="F69" s="100">
        <v>2.06</v>
      </c>
      <c r="G69" s="100">
        <v>23.28</v>
      </c>
      <c r="H69" s="100">
        <v>13.89</v>
      </c>
      <c r="I69" s="100">
        <v>5.84</v>
      </c>
      <c r="J69" s="100">
        <v>7.0000000000000007E-2</v>
      </c>
      <c r="K69" s="100">
        <v>5.73</v>
      </c>
      <c r="L69" s="100">
        <v>18.57</v>
      </c>
      <c r="M69" s="100">
        <v>27.86</v>
      </c>
      <c r="N69" s="100">
        <v>29.8</v>
      </c>
      <c r="O69" s="100">
        <v>0</v>
      </c>
      <c r="P69" s="100">
        <v>0.35</v>
      </c>
      <c r="Q69" s="100">
        <v>9.32</v>
      </c>
      <c r="R69" s="6"/>
      <c r="S69" s="6"/>
      <c r="T69" s="156"/>
      <c r="U69" s="6"/>
    </row>
    <row r="70" spans="1:21" customFormat="1">
      <c r="A70" s="201" t="s">
        <v>2701</v>
      </c>
      <c r="B70" s="100">
        <v>3.16</v>
      </c>
      <c r="C70" s="100">
        <v>7.01</v>
      </c>
      <c r="D70" s="100">
        <v>6.19</v>
      </c>
      <c r="E70" s="100">
        <v>7.52</v>
      </c>
      <c r="F70" s="100">
        <v>2</v>
      </c>
      <c r="G70" s="100">
        <v>23.28</v>
      </c>
      <c r="H70" s="100">
        <v>13.89</v>
      </c>
      <c r="I70" s="100">
        <v>6.18</v>
      </c>
      <c r="J70" s="100">
        <v>0.19</v>
      </c>
      <c r="K70" s="100">
        <v>317.31</v>
      </c>
      <c r="L70" s="100">
        <v>22.61</v>
      </c>
      <c r="M70" s="100">
        <v>38.01</v>
      </c>
      <c r="N70" s="100">
        <v>28.1</v>
      </c>
      <c r="O70" s="100">
        <v>0</v>
      </c>
      <c r="P70" s="100">
        <v>0.34</v>
      </c>
      <c r="Q70" s="100">
        <v>9.32</v>
      </c>
      <c r="R70" s="6"/>
      <c r="S70" s="6"/>
      <c r="T70" s="156"/>
      <c r="U70" s="6"/>
    </row>
    <row r="71" spans="1:21" customFormat="1">
      <c r="A71" s="201" t="s">
        <v>2702</v>
      </c>
      <c r="B71" s="100">
        <v>3.48</v>
      </c>
      <c r="C71" s="100">
        <v>7.26</v>
      </c>
      <c r="D71" s="100">
        <v>6.59</v>
      </c>
      <c r="E71" s="100">
        <v>7</v>
      </c>
      <c r="F71" s="100">
        <v>2</v>
      </c>
      <c r="G71" s="100">
        <v>42.94</v>
      </c>
      <c r="H71" s="100">
        <v>18.48</v>
      </c>
      <c r="I71" s="100">
        <v>6.36</v>
      </c>
      <c r="J71" s="100">
        <v>0.35</v>
      </c>
      <c r="K71" s="100">
        <v>13.48</v>
      </c>
      <c r="L71" s="100">
        <v>11.18</v>
      </c>
      <c r="M71" s="100">
        <v>9.19</v>
      </c>
      <c r="N71" s="100">
        <v>31</v>
      </c>
      <c r="O71" s="100">
        <v>0</v>
      </c>
      <c r="P71" s="100">
        <v>0.36</v>
      </c>
      <c r="Q71" s="100">
        <v>9.32</v>
      </c>
      <c r="R71" s="6"/>
      <c r="S71" s="6"/>
      <c r="T71" s="156"/>
      <c r="U71" s="6"/>
    </row>
    <row r="72" spans="1:21" customFormat="1">
      <c r="A72" s="201" t="s">
        <v>2703</v>
      </c>
      <c r="B72" s="100">
        <v>4.05</v>
      </c>
      <c r="C72" s="100">
        <v>7.55</v>
      </c>
      <c r="D72" s="100">
        <v>7.2</v>
      </c>
      <c r="E72" s="100">
        <v>7.7</v>
      </c>
      <c r="F72" s="100">
        <v>2</v>
      </c>
      <c r="G72" s="100">
        <v>50.09</v>
      </c>
      <c r="H72" s="100">
        <v>18.59</v>
      </c>
      <c r="I72" s="100">
        <v>6.37</v>
      </c>
      <c r="J72" s="100">
        <v>0.38</v>
      </c>
      <c r="K72" s="100">
        <v>21.9</v>
      </c>
      <c r="L72" s="100">
        <v>12.36</v>
      </c>
      <c r="M72" s="100">
        <v>11.74</v>
      </c>
      <c r="N72" s="100">
        <v>39.799999999999997</v>
      </c>
      <c r="O72" s="100">
        <v>0</v>
      </c>
      <c r="P72" s="100">
        <v>0.36</v>
      </c>
      <c r="Q72" s="100">
        <v>9.32</v>
      </c>
      <c r="R72" s="6"/>
      <c r="S72" s="6"/>
      <c r="T72" s="156"/>
      <c r="U72" s="6"/>
    </row>
    <row r="73" spans="1:21" customFormat="1">
      <c r="A73" s="201" t="s">
        <v>2704</v>
      </c>
      <c r="B73" s="100">
        <v>4.8</v>
      </c>
      <c r="C73" s="100">
        <v>9.07</v>
      </c>
      <c r="D73" s="100">
        <v>8.59</v>
      </c>
      <c r="E73" s="100">
        <v>8.4600000000000009</v>
      </c>
      <c r="F73" s="100">
        <v>2</v>
      </c>
      <c r="G73" s="100">
        <v>50.09</v>
      </c>
      <c r="H73" s="100">
        <v>18.59</v>
      </c>
      <c r="I73" s="100">
        <v>6.52</v>
      </c>
      <c r="J73" s="100">
        <v>0.48</v>
      </c>
      <c r="K73" s="100">
        <v>22.05</v>
      </c>
      <c r="L73" s="100">
        <v>11.95</v>
      </c>
      <c r="M73" s="100">
        <v>10.84</v>
      </c>
      <c r="N73" s="100">
        <v>38.1</v>
      </c>
      <c r="O73" s="100">
        <v>0</v>
      </c>
      <c r="P73" s="100">
        <v>0.36</v>
      </c>
      <c r="Q73" s="100">
        <v>9.32</v>
      </c>
      <c r="R73" s="6"/>
      <c r="S73" s="6"/>
      <c r="T73" s="156"/>
      <c r="U73" s="6"/>
    </row>
    <row r="74" spans="1:21" customFormat="1">
      <c r="A74" s="201" t="s">
        <v>2705</v>
      </c>
      <c r="B74" s="100">
        <v>4.46</v>
      </c>
      <c r="C74" s="100">
        <v>7.94</v>
      </c>
      <c r="D74" s="100">
        <v>7.73</v>
      </c>
      <c r="E74" s="100">
        <v>6.82</v>
      </c>
      <c r="F74" s="100">
        <v>2</v>
      </c>
      <c r="G74" s="100">
        <v>50.09</v>
      </c>
      <c r="H74" s="100">
        <v>18.59</v>
      </c>
      <c r="I74" s="100">
        <v>6.71</v>
      </c>
      <c r="J74" s="100">
        <v>0.89</v>
      </c>
      <c r="K74" s="100">
        <v>30.96</v>
      </c>
      <c r="L74" s="100">
        <v>10.47</v>
      </c>
      <c r="M74" s="100">
        <v>7.29</v>
      </c>
      <c r="N74" s="100">
        <v>35.299999999999997</v>
      </c>
      <c r="O74" s="100">
        <v>0</v>
      </c>
      <c r="P74" s="100">
        <v>0.36</v>
      </c>
      <c r="Q74" s="100">
        <v>9.32</v>
      </c>
      <c r="R74" s="6"/>
      <c r="S74" s="6"/>
      <c r="T74" s="156"/>
      <c r="U74" s="6"/>
    </row>
    <row r="75" spans="1:21" customFormat="1">
      <c r="A75" s="201" t="s">
        <v>2706</v>
      </c>
      <c r="B75" s="100">
        <v>4.4000000000000004</v>
      </c>
      <c r="C75" s="100">
        <v>7.33</v>
      </c>
      <c r="D75" s="100">
        <v>7.36</v>
      </c>
      <c r="E75" s="100">
        <v>6.22</v>
      </c>
      <c r="F75" s="100">
        <v>2</v>
      </c>
      <c r="G75" s="100">
        <v>53.34</v>
      </c>
      <c r="H75" s="100">
        <v>18.54</v>
      </c>
      <c r="I75" s="100">
        <v>6.67</v>
      </c>
      <c r="J75" s="100">
        <v>0.79</v>
      </c>
      <c r="K75" s="100">
        <v>41.98</v>
      </c>
      <c r="L75" s="100">
        <v>7.41</v>
      </c>
      <c r="M75" s="100">
        <v>-0.13</v>
      </c>
      <c r="N75" s="100">
        <v>24.6</v>
      </c>
      <c r="O75" s="100">
        <v>0</v>
      </c>
      <c r="P75" s="100">
        <v>0.36</v>
      </c>
      <c r="Q75" s="100">
        <v>9.32</v>
      </c>
      <c r="R75" s="6"/>
      <c r="S75" s="6"/>
      <c r="T75" s="156"/>
      <c r="U75" s="6"/>
    </row>
    <row r="76" spans="1:21" customFormat="1">
      <c r="A76" s="201" t="s">
        <v>2707</v>
      </c>
      <c r="B76" s="100">
        <v>4.42</v>
      </c>
      <c r="C76" s="100">
        <v>7.4</v>
      </c>
      <c r="D76" s="100">
        <v>7.41</v>
      </c>
      <c r="E76" s="100">
        <v>6.13</v>
      </c>
      <c r="F76" s="100">
        <v>2</v>
      </c>
      <c r="G76" s="100">
        <v>54.59</v>
      </c>
      <c r="H76" s="100">
        <v>18.54</v>
      </c>
      <c r="I76" s="100">
        <v>6.46</v>
      </c>
      <c r="J76" s="100">
        <v>0.56000000000000005</v>
      </c>
      <c r="K76" s="100">
        <v>39.51</v>
      </c>
      <c r="L76" s="100">
        <v>8.08</v>
      </c>
      <c r="M76" s="100">
        <v>1.9</v>
      </c>
      <c r="N76" s="100">
        <v>13.3</v>
      </c>
      <c r="O76" s="100">
        <v>0</v>
      </c>
      <c r="P76" s="100">
        <v>0.34</v>
      </c>
      <c r="Q76" s="100">
        <v>9.32</v>
      </c>
      <c r="R76" s="6"/>
      <c r="S76" s="6"/>
      <c r="T76" s="156"/>
      <c r="U76" s="6"/>
    </row>
    <row r="77" spans="1:21" customFormat="1">
      <c r="A77" s="201" t="s">
        <v>2708</v>
      </c>
      <c r="B77" s="100">
        <v>4.4800000000000004</v>
      </c>
      <c r="C77" s="100">
        <v>7.2</v>
      </c>
      <c r="D77" s="100">
        <v>7.35</v>
      </c>
      <c r="E77" s="100">
        <v>5.97</v>
      </c>
      <c r="F77" s="100">
        <v>2</v>
      </c>
      <c r="G77" s="100">
        <v>54.59</v>
      </c>
      <c r="H77" s="100">
        <v>18.54</v>
      </c>
      <c r="I77" s="100">
        <v>6.29</v>
      </c>
      <c r="J77" s="100">
        <v>0.52</v>
      </c>
      <c r="K77" s="100">
        <v>39.090000000000003</v>
      </c>
      <c r="L77" s="100">
        <v>6.75</v>
      </c>
      <c r="M77" s="100">
        <v>-0.88</v>
      </c>
      <c r="N77" s="100">
        <v>8.1999999999999993</v>
      </c>
      <c r="O77" s="100">
        <v>0</v>
      </c>
      <c r="P77" s="100">
        <v>0.35</v>
      </c>
      <c r="Q77" s="100">
        <v>9.32</v>
      </c>
      <c r="R77" s="6"/>
      <c r="S77" s="6"/>
      <c r="T77" s="156"/>
      <c r="U77" s="6"/>
    </row>
    <row r="78" spans="1:21" customFormat="1">
      <c r="A78" s="201" t="s">
        <v>2709</v>
      </c>
      <c r="B78" s="100">
        <v>4.62</v>
      </c>
      <c r="C78" s="100">
        <v>7.07</v>
      </c>
      <c r="D78" s="100">
        <v>7.4</v>
      </c>
      <c r="E78" s="100">
        <v>5.46</v>
      </c>
      <c r="F78" s="100">
        <v>2</v>
      </c>
      <c r="G78" s="100">
        <v>54.59</v>
      </c>
      <c r="H78" s="100">
        <v>18.54</v>
      </c>
      <c r="I78" s="100">
        <v>6.28</v>
      </c>
      <c r="J78" s="100">
        <v>0.46</v>
      </c>
      <c r="K78" s="100">
        <v>36.74</v>
      </c>
      <c r="L78" s="100">
        <v>6.57</v>
      </c>
      <c r="M78" s="100">
        <v>-1.78</v>
      </c>
      <c r="N78" s="100">
        <v>4</v>
      </c>
      <c r="O78" s="100">
        <v>0</v>
      </c>
      <c r="P78" s="100">
        <v>0.35</v>
      </c>
      <c r="Q78" s="100">
        <v>9.32</v>
      </c>
      <c r="R78" s="6"/>
      <c r="S78" s="6"/>
      <c r="T78" s="156"/>
      <c r="U78" s="6"/>
    </row>
    <row r="79" spans="1:21" customFormat="1">
      <c r="A79" s="201" t="s">
        <v>2710</v>
      </c>
      <c r="B79" s="100">
        <v>5.5</v>
      </c>
      <c r="C79" s="100">
        <v>7.97</v>
      </c>
      <c r="D79" s="100">
        <v>8.58</v>
      </c>
      <c r="E79" s="100">
        <v>5.86</v>
      </c>
      <c r="F79" s="100">
        <v>2</v>
      </c>
      <c r="G79" s="100">
        <v>51.58</v>
      </c>
      <c r="H79" s="100">
        <v>15.65</v>
      </c>
      <c r="I79" s="100">
        <v>6.22</v>
      </c>
      <c r="J79" s="100">
        <v>0.4</v>
      </c>
      <c r="K79" s="100">
        <v>45.73</v>
      </c>
      <c r="L79" s="100">
        <v>7.31</v>
      </c>
      <c r="M79" s="100">
        <v>0.22</v>
      </c>
      <c r="N79" s="100">
        <v>2.6</v>
      </c>
      <c r="O79" s="100">
        <v>0</v>
      </c>
      <c r="P79" s="100">
        <v>0.35</v>
      </c>
      <c r="Q79" s="100">
        <v>9.32</v>
      </c>
      <c r="R79" s="6"/>
      <c r="S79" s="6"/>
      <c r="T79" s="156"/>
      <c r="U79" s="6"/>
    </row>
    <row r="80" spans="1:21" customFormat="1">
      <c r="A80" s="201" t="s">
        <v>2711</v>
      </c>
      <c r="B80" s="100">
        <v>5.89</v>
      </c>
      <c r="C80" s="100">
        <v>7.49</v>
      </c>
      <c r="D80" s="100">
        <v>8.64</v>
      </c>
      <c r="E80" s="100">
        <v>5.78</v>
      </c>
      <c r="F80" s="100">
        <v>2</v>
      </c>
      <c r="G80" s="100">
        <v>50.49</v>
      </c>
      <c r="H80" s="100">
        <v>15.61</v>
      </c>
      <c r="I80" s="100">
        <v>6.1</v>
      </c>
      <c r="J80" s="100">
        <v>0.32</v>
      </c>
      <c r="K80" s="100">
        <v>40.19</v>
      </c>
      <c r="L80" s="100">
        <v>6.72</v>
      </c>
      <c r="M80" s="100">
        <v>-1.3</v>
      </c>
      <c r="N80" s="100">
        <v>2.4</v>
      </c>
      <c r="O80" s="100">
        <v>0</v>
      </c>
      <c r="P80" s="100">
        <v>0.36</v>
      </c>
      <c r="Q80" s="100">
        <v>9.32</v>
      </c>
      <c r="R80" s="6"/>
      <c r="S80" s="6"/>
      <c r="T80" s="156"/>
      <c r="U80" s="6"/>
    </row>
    <row r="81" spans="1:21" customFormat="1">
      <c r="A81" s="201" t="s">
        <v>2712</v>
      </c>
      <c r="B81" s="100">
        <v>6.36</v>
      </c>
      <c r="C81" s="100">
        <v>7.41</v>
      </c>
      <c r="D81" s="100">
        <v>8.9700000000000006</v>
      </c>
      <c r="E81" s="100">
        <v>4.54</v>
      </c>
      <c r="F81" s="100">
        <v>2</v>
      </c>
      <c r="G81" s="100">
        <v>50.49</v>
      </c>
      <c r="H81" s="100">
        <v>15.61</v>
      </c>
      <c r="I81" s="100">
        <v>6.12</v>
      </c>
      <c r="J81" s="100">
        <v>0.34</v>
      </c>
      <c r="K81" s="100">
        <v>44.91</v>
      </c>
      <c r="L81" s="100">
        <v>7.49</v>
      </c>
      <c r="M81" s="100">
        <v>0.66</v>
      </c>
      <c r="N81" s="100">
        <v>2.4</v>
      </c>
      <c r="O81" s="100">
        <v>0</v>
      </c>
      <c r="P81" s="100">
        <v>0.37</v>
      </c>
      <c r="Q81" s="100">
        <v>9.32</v>
      </c>
      <c r="R81" s="6"/>
      <c r="S81" s="6"/>
      <c r="T81" s="156"/>
      <c r="U81" s="6"/>
    </row>
    <row r="82" spans="1:21" customFormat="1">
      <c r="A82" s="201" t="s">
        <v>2713</v>
      </c>
      <c r="B82" s="100">
        <v>6.76</v>
      </c>
      <c r="C82" s="100">
        <v>7.61</v>
      </c>
      <c r="D82" s="100">
        <v>9.4</v>
      </c>
      <c r="E82" s="100">
        <v>6.11</v>
      </c>
      <c r="F82" s="100">
        <v>2</v>
      </c>
      <c r="G82" s="100">
        <v>50.49</v>
      </c>
      <c r="H82" s="100">
        <v>15.61</v>
      </c>
      <c r="I82" s="100">
        <v>6.16</v>
      </c>
      <c r="J82" s="100">
        <v>0.2</v>
      </c>
      <c r="K82" s="100">
        <v>40.92</v>
      </c>
      <c r="L82" s="100">
        <v>9.59</v>
      </c>
      <c r="M82" s="100">
        <v>5.91</v>
      </c>
      <c r="N82" s="100">
        <v>2.2999999999999998</v>
      </c>
      <c r="O82" s="100">
        <v>0</v>
      </c>
      <c r="P82" s="100">
        <v>0.37</v>
      </c>
      <c r="Q82" s="100">
        <v>9.32</v>
      </c>
      <c r="R82" s="6"/>
      <c r="S82" s="6"/>
      <c r="T82" s="156"/>
      <c r="U82" s="6"/>
    </row>
    <row r="83" spans="1:21" customFormat="1">
      <c r="A83" s="201" t="s">
        <v>2714</v>
      </c>
      <c r="B83" s="100">
        <v>7.38</v>
      </c>
      <c r="C83" s="100">
        <v>7.9</v>
      </c>
      <c r="D83" s="100">
        <v>10.050000000000001</v>
      </c>
      <c r="E83" s="100">
        <v>4.1100000000000003</v>
      </c>
      <c r="F83" s="100">
        <v>2</v>
      </c>
      <c r="G83" s="100">
        <v>57.22</v>
      </c>
      <c r="H83" s="100">
        <v>17.329999999999998</v>
      </c>
      <c r="I83" s="100">
        <v>6.19</v>
      </c>
      <c r="J83" s="100">
        <v>0.31</v>
      </c>
      <c r="K83" s="100">
        <v>45.03</v>
      </c>
      <c r="L83" s="100">
        <v>8.9</v>
      </c>
      <c r="M83" s="100">
        <v>4.2</v>
      </c>
      <c r="N83" s="100">
        <v>2.4</v>
      </c>
      <c r="O83" s="100">
        <v>0</v>
      </c>
      <c r="P83" s="100">
        <v>0.39</v>
      </c>
      <c r="Q83" s="100">
        <v>9.32</v>
      </c>
      <c r="R83" s="6"/>
      <c r="S83" s="6"/>
      <c r="T83" s="156"/>
      <c r="U83" s="6"/>
    </row>
    <row r="84" spans="1:21" customFormat="1">
      <c r="A84" s="201" t="s">
        <v>2715</v>
      </c>
      <c r="B84" s="100">
        <v>7.69</v>
      </c>
      <c r="C84" s="100">
        <v>7.65</v>
      </c>
      <c r="D84" s="100">
        <v>10.16</v>
      </c>
      <c r="E84" s="100">
        <v>5.13</v>
      </c>
      <c r="F84" s="100">
        <v>2</v>
      </c>
      <c r="G84" s="100">
        <v>59.67</v>
      </c>
      <c r="H84" s="100">
        <v>17.36</v>
      </c>
      <c r="I84" s="100">
        <v>6.27</v>
      </c>
      <c r="J84" s="100">
        <v>0.35</v>
      </c>
      <c r="K84" s="100">
        <v>47.5</v>
      </c>
      <c r="L84" s="100">
        <v>6.61</v>
      </c>
      <c r="M84" s="100">
        <v>-1.55</v>
      </c>
      <c r="N84" s="100">
        <v>2.4</v>
      </c>
      <c r="O84" s="100">
        <v>0</v>
      </c>
      <c r="P84" s="100">
        <v>0.39</v>
      </c>
      <c r="Q84" s="100">
        <v>9.32</v>
      </c>
      <c r="R84" s="6"/>
      <c r="S84" s="6"/>
      <c r="T84" s="156"/>
      <c r="U84" s="6"/>
    </row>
    <row r="85" spans="1:21" customFormat="1">
      <c r="A85" s="201" t="s">
        <v>2716</v>
      </c>
      <c r="B85" s="100">
        <v>7.98</v>
      </c>
      <c r="C85" s="100">
        <v>7.52</v>
      </c>
      <c r="D85" s="100">
        <v>10.32</v>
      </c>
      <c r="E85" s="100">
        <v>5.62</v>
      </c>
      <c r="F85" s="100">
        <v>2</v>
      </c>
      <c r="G85" s="100">
        <v>59.67</v>
      </c>
      <c r="H85" s="100">
        <v>17.36</v>
      </c>
      <c r="I85" s="100">
        <v>6.33</v>
      </c>
      <c r="J85" s="100">
        <v>0.34</v>
      </c>
      <c r="K85" s="100">
        <v>44.11</v>
      </c>
      <c r="L85" s="100">
        <v>6.71</v>
      </c>
      <c r="M85" s="100">
        <v>-1.29</v>
      </c>
      <c r="N85" s="100">
        <v>2.2999999999999998</v>
      </c>
      <c r="O85" s="100">
        <v>0</v>
      </c>
      <c r="P85" s="100">
        <v>0.38</v>
      </c>
      <c r="Q85" s="100">
        <v>9.32</v>
      </c>
      <c r="R85" s="6"/>
      <c r="S85" s="6"/>
      <c r="T85" s="156"/>
      <c r="U85" s="6"/>
    </row>
    <row r="86" spans="1:21" customFormat="1">
      <c r="A86" s="201" t="s">
        <v>2717</v>
      </c>
      <c r="B86" s="100">
        <v>8.4499999999999993</v>
      </c>
      <c r="C86" s="100">
        <v>7.63</v>
      </c>
      <c r="D86" s="100">
        <v>10.76</v>
      </c>
      <c r="E86" s="100">
        <v>5.64</v>
      </c>
      <c r="F86" s="100">
        <v>2</v>
      </c>
      <c r="G86" s="100">
        <v>59.67</v>
      </c>
      <c r="H86" s="100">
        <v>17.36</v>
      </c>
      <c r="I86" s="100">
        <v>6.37</v>
      </c>
      <c r="J86" s="100">
        <v>0.21</v>
      </c>
      <c r="K86" s="100">
        <v>42.69</v>
      </c>
      <c r="L86" s="100">
        <v>7.58</v>
      </c>
      <c r="M86" s="100">
        <v>1.42</v>
      </c>
      <c r="N86" s="100">
        <v>2.1</v>
      </c>
      <c r="O86" s="100">
        <v>0</v>
      </c>
      <c r="P86" s="100">
        <v>0.39</v>
      </c>
      <c r="Q86" s="100">
        <v>9.32</v>
      </c>
      <c r="R86" s="6"/>
      <c r="S86" s="6"/>
      <c r="T86" s="156"/>
      <c r="U86" s="6"/>
    </row>
    <row r="87" spans="1:21" customFormat="1">
      <c r="A87" s="201" t="s">
        <v>2718</v>
      </c>
      <c r="B87" s="100">
        <v>8.9499999999999993</v>
      </c>
      <c r="C87" s="100">
        <v>7.63</v>
      </c>
      <c r="D87" s="100">
        <v>11.16</v>
      </c>
      <c r="E87" s="100">
        <v>5.72</v>
      </c>
      <c r="F87" s="100">
        <v>2</v>
      </c>
      <c r="G87" s="100">
        <v>61.83</v>
      </c>
      <c r="H87" s="100">
        <v>18.309999999999999</v>
      </c>
      <c r="I87" s="100">
        <v>6.42</v>
      </c>
      <c r="J87" s="100">
        <v>0.21</v>
      </c>
      <c r="K87" s="100">
        <v>33.590000000000003</v>
      </c>
      <c r="L87" s="100">
        <v>7.82</v>
      </c>
      <c r="M87" s="100">
        <v>1.39</v>
      </c>
      <c r="N87" s="100">
        <v>2.1</v>
      </c>
      <c r="O87" s="100">
        <v>0</v>
      </c>
      <c r="P87" s="100">
        <v>0.4</v>
      </c>
      <c r="Q87" s="100">
        <v>9.32</v>
      </c>
      <c r="R87" s="6"/>
      <c r="S87" s="6"/>
      <c r="T87" s="156"/>
      <c r="U87" s="6"/>
    </row>
    <row r="88" spans="1:21" customFormat="1">
      <c r="A88" s="201" t="s">
        <v>2719</v>
      </c>
      <c r="B88" s="100">
        <v>9.44</v>
      </c>
      <c r="C88" s="100">
        <v>7.62</v>
      </c>
      <c r="D88" s="100">
        <v>11.55</v>
      </c>
      <c r="E88" s="100">
        <v>5.3</v>
      </c>
      <c r="F88" s="100">
        <v>2</v>
      </c>
      <c r="G88" s="100">
        <v>62.61</v>
      </c>
      <c r="H88" s="100">
        <v>18.329999999999998</v>
      </c>
      <c r="I88" s="100">
        <v>6.51</v>
      </c>
      <c r="J88" s="100">
        <v>0.28999999999999998</v>
      </c>
      <c r="K88" s="100">
        <v>40.85</v>
      </c>
      <c r="L88" s="100">
        <v>6.85</v>
      </c>
      <c r="M88" s="100">
        <v>-1.01</v>
      </c>
      <c r="N88" s="100">
        <v>2.2999999999999998</v>
      </c>
      <c r="O88" s="100">
        <v>0</v>
      </c>
      <c r="P88" s="100">
        <v>0.4</v>
      </c>
      <c r="Q88" s="100">
        <v>9.32</v>
      </c>
      <c r="R88" s="6"/>
      <c r="S88" s="6"/>
      <c r="T88" s="156"/>
      <c r="U88" s="6"/>
    </row>
    <row r="89" spans="1:21" customFormat="1">
      <c r="A89" s="201" t="s">
        <v>2720</v>
      </c>
      <c r="B89" s="100">
        <v>10.1</v>
      </c>
      <c r="C89" s="100">
        <v>7.67</v>
      </c>
      <c r="D89" s="100">
        <v>12.11</v>
      </c>
      <c r="E89" s="100">
        <v>5.97</v>
      </c>
      <c r="F89" s="100">
        <v>2</v>
      </c>
      <c r="G89" s="100">
        <v>62.61</v>
      </c>
      <c r="H89" s="100">
        <v>18.329999999999998</v>
      </c>
      <c r="I89" s="100">
        <v>6.55</v>
      </c>
      <c r="J89" s="100">
        <v>0.33</v>
      </c>
      <c r="K89" s="100">
        <v>42.65</v>
      </c>
      <c r="L89" s="100">
        <v>6.79</v>
      </c>
      <c r="M89" s="100">
        <v>-1.05</v>
      </c>
      <c r="N89" s="100">
        <v>2.1</v>
      </c>
      <c r="O89" s="100">
        <v>0</v>
      </c>
      <c r="P89" s="100">
        <v>0.41</v>
      </c>
      <c r="Q89" s="100">
        <v>9.32</v>
      </c>
      <c r="R89" s="6"/>
      <c r="S89" s="6"/>
      <c r="T89" s="156"/>
      <c r="U89" s="6"/>
    </row>
    <row r="90" spans="1:21" customFormat="1">
      <c r="A90" s="201" t="s">
        <v>2721</v>
      </c>
      <c r="B90" s="100">
        <v>10.57</v>
      </c>
      <c r="C90" s="100">
        <v>8.06</v>
      </c>
      <c r="D90" s="100">
        <v>12.69</v>
      </c>
      <c r="E90" s="100">
        <v>5.87</v>
      </c>
      <c r="F90" s="100">
        <v>2</v>
      </c>
      <c r="G90" s="100">
        <v>62.61</v>
      </c>
      <c r="H90" s="100">
        <v>18.329999999999998</v>
      </c>
      <c r="I90" s="100">
        <v>6.58</v>
      </c>
      <c r="J90" s="100">
        <v>0.28999999999999998</v>
      </c>
      <c r="K90" s="100">
        <v>51.29</v>
      </c>
      <c r="L90" s="100">
        <v>7.41</v>
      </c>
      <c r="M90" s="100">
        <v>0.5</v>
      </c>
      <c r="N90" s="100">
        <v>2.2000000000000002</v>
      </c>
      <c r="O90" s="100">
        <v>0</v>
      </c>
      <c r="P90" s="100">
        <v>0.45</v>
      </c>
      <c r="Q90" s="100">
        <v>9.32</v>
      </c>
      <c r="R90" s="6"/>
      <c r="S90" s="6"/>
      <c r="T90" s="156"/>
      <c r="U90" s="6"/>
    </row>
    <row r="91" spans="1:21" customFormat="1">
      <c r="A91" s="201" t="s">
        <v>2722</v>
      </c>
      <c r="B91" s="100">
        <v>10.84</v>
      </c>
      <c r="C91" s="100">
        <v>8.59</v>
      </c>
      <c r="D91" s="100">
        <v>13.18</v>
      </c>
      <c r="E91" s="100">
        <v>5.35</v>
      </c>
      <c r="F91" s="100">
        <v>2</v>
      </c>
      <c r="G91" s="100">
        <v>67.09</v>
      </c>
      <c r="H91" s="100">
        <v>19.079999999999998</v>
      </c>
      <c r="I91" s="100">
        <v>6.61</v>
      </c>
      <c r="J91" s="100">
        <v>0.33</v>
      </c>
      <c r="K91" s="100">
        <v>47.24</v>
      </c>
      <c r="L91" s="100">
        <v>7.14</v>
      </c>
      <c r="M91" s="100">
        <v>-0.18</v>
      </c>
      <c r="N91" s="100">
        <v>2.2000000000000002</v>
      </c>
      <c r="O91" s="100">
        <v>0</v>
      </c>
      <c r="P91" s="100">
        <v>0.44</v>
      </c>
      <c r="Q91" s="100">
        <v>9.32</v>
      </c>
      <c r="R91" s="6"/>
      <c r="S91" s="6"/>
      <c r="T91" s="156"/>
      <c r="U91" s="6"/>
    </row>
    <row r="92" spans="1:21" customFormat="1">
      <c r="A92" s="201" t="s">
        <v>2723</v>
      </c>
      <c r="B92" s="100">
        <v>11.09</v>
      </c>
      <c r="C92" s="100">
        <v>8.1</v>
      </c>
      <c r="D92" s="100">
        <v>13.13</v>
      </c>
      <c r="E92" s="100">
        <v>5.22</v>
      </c>
      <c r="F92" s="100">
        <v>2</v>
      </c>
      <c r="G92" s="100">
        <v>68.709999999999994</v>
      </c>
      <c r="H92" s="100">
        <v>19.09</v>
      </c>
      <c r="I92" s="100">
        <v>6.64</v>
      </c>
      <c r="J92" s="100">
        <v>0.28000000000000003</v>
      </c>
      <c r="K92" s="100">
        <v>58.93</v>
      </c>
      <c r="L92" s="100">
        <v>8.15</v>
      </c>
      <c r="M92" s="100">
        <v>2.41</v>
      </c>
      <c r="N92" s="100">
        <v>2.2000000000000002</v>
      </c>
      <c r="O92" s="100">
        <v>0</v>
      </c>
      <c r="P92" s="100">
        <v>0.44</v>
      </c>
      <c r="Q92" s="100">
        <v>9.32</v>
      </c>
      <c r="R92" s="6"/>
      <c r="S92" s="6"/>
      <c r="T92" s="156"/>
      <c r="U92" s="6"/>
    </row>
    <row r="93" spans="1:21" customFormat="1">
      <c r="A93" s="201" t="s">
        <v>2724</v>
      </c>
      <c r="B93" s="100">
        <v>11.17</v>
      </c>
      <c r="C93" s="100">
        <v>8.24</v>
      </c>
      <c r="D93" s="100">
        <v>13.27</v>
      </c>
      <c r="E93" s="100">
        <v>4.92</v>
      </c>
      <c r="F93" s="100">
        <v>2</v>
      </c>
      <c r="G93" s="100">
        <v>68.709999999999994</v>
      </c>
      <c r="H93" s="100">
        <v>19.09</v>
      </c>
      <c r="I93" s="100">
        <v>6.66</v>
      </c>
      <c r="J93" s="100">
        <v>0.4</v>
      </c>
      <c r="K93" s="100">
        <v>49.02</v>
      </c>
      <c r="L93" s="100">
        <v>7.28</v>
      </c>
      <c r="M93" s="100">
        <v>0.25</v>
      </c>
      <c r="N93" s="100">
        <v>2.2000000000000002</v>
      </c>
      <c r="O93" s="100">
        <v>0</v>
      </c>
      <c r="P93" s="100">
        <v>0.44</v>
      </c>
      <c r="Q93" s="100">
        <v>9.32</v>
      </c>
      <c r="R93" s="6"/>
      <c r="S93" s="6"/>
      <c r="T93" s="156"/>
      <c r="U93" s="6"/>
    </row>
    <row r="94" spans="1:21" customFormat="1">
      <c r="A94" s="201" t="s">
        <v>2725</v>
      </c>
      <c r="B94" s="100">
        <v>11.34</v>
      </c>
      <c r="C94" s="100">
        <v>7.94</v>
      </c>
      <c r="D94" s="100">
        <v>13.24</v>
      </c>
      <c r="E94" s="100">
        <v>5.39</v>
      </c>
      <c r="F94" s="100">
        <v>2</v>
      </c>
      <c r="G94" s="100">
        <v>68.709999999999994</v>
      </c>
      <c r="H94" s="100">
        <v>19.09</v>
      </c>
      <c r="I94" s="100">
        <v>6.72</v>
      </c>
      <c r="J94" s="100">
        <v>0.38</v>
      </c>
      <c r="K94" s="100">
        <v>49.41</v>
      </c>
      <c r="L94" s="100">
        <v>7.28</v>
      </c>
      <c r="M94" s="100">
        <v>0.18</v>
      </c>
      <c r="N94" s="100">
        <v>2.1</v>
      </c>
      <c r="O94" s="100">
        <v>0</v>
      </c>
      <c r="P94" s="100">
        <v>0.44</v>
      </c>
      <c r="Q94" s="100">
        <v>9.32</v>
      </c>
      <c r="R94" s="6"/>
      <c r="S94" s="6"/>
      <c r="T94" s="156"/>
      <c r="U94" s="6"/>
    </row>
    <row r="95" spans="1:21" customFormat="1">
      <c r="A95" s="201" t="s">
        <v>2726</v>
      </c>
      <c r="B95" s="100">
        <v>11.83</v>
      </c>
      <c r="C95" s="100">
        <v>8.3000000000000007</v>
      </c>
      <c r="D95" s="100">
        <v>13.83</v>
      </c>
      <c r="E95" s="100">
        <v>5.7</v>
      </c>
      <c r="F95" s="100">
        <v>2</v>
      </c>
      <c r="G95" s="100">
        <v>67.7</v>
      </c>
      <c r="H95" s="100">
        <v>17.79</v>
      </c>
      <c r="I95" s="100">
        <v>6.8</v>
      </c>
      <c r="J95" s="100">
        <v>0.31</v>
      </c>
      <c r="K95" s="100">
        <v>43.82</v>
      </c>
      <c r="L95" s="100">
        <v>6.84</v>
      </c>
      <c r="M95" s="100">
        <v>-0.93</v>
      </c>
      <c r="N95" s="100">
        <v>2.1</v>
      </c>
      <c r="O95" s="100">
        <v>0</v>
      </c>
      <c r="P95" s="100">
        <v>0.44</v>
      </c>
      <c r="Q95" s="100">
        <v>9.32</v>
      </c>
      <c r="R95" s="6"/>
      <c r="S95" s="6"/>
      <c r="T95" s="156"/>
      <c r="U95" s="6"/>
    </row>
    <row r="96" spans="1:21" customFormat="1">
      <c r="A96" s="201" t="s">
        <v>2727</v>
      </c>
      <c r="B96" s="100">
        <v>12</v>
      </c>
      <c r="C96" s="100">
        <v>8.0299999999999994</v>
      </c>
      <c r="D96" s="100">
        <v>13.81</v>
      </c>
      <c r="E96" s="100">
        <v>5.94</v>
      </c>
      <c r="F96" s="100">
        <v>2</v>
      </c>
      <c r="G96" s="100">
        <v>67.33</v>
      </c>
      <c r="H96" s="100">
        <v>17.77</v>
      </c>
      <c r="I96" s="100">
        <v>6.84</v>
      </c>
      <c r="J96" s="100">
        <v>0.3</v>
      </c>
      <c r="K96" s="100">
        <v>36.340000000000003</v>
      </c>
      <c r="L96" s="100">
        <v>6.06</v>
      </c>
      <c r="M96" s="100">
        <v>-2.95</v>
      </c>
      <c r="N96" s="100">
        <v>2.1</v>
      </c>
      <c r="O96" s="100">
        <v>0</v>
      </c>
      <c r="P96" s="100">
        <v>0.44</v>
      </c>
      <c r="Q96" s="100">
        <v>9.32</v>
      </c>
      <c r="R96" s="6"/>
      <c r="S96" s="6"/>
      <c r="T96" s="156"/>
      <c r="U96" s="6"/>
    </row>
    <row r="97" spans="1:28" customFormat="1">
      <c r="A97" s="201" t="s">
        <v>2728</v>
      </c>
      <c r="B97" s="100">
        <v>12.43</v>
      </c>
      <c r="C97" s="100">
        <v>8.0399999999999991</v>
      </c>
      <c r="D97" s="100">
        <v>14.17</v>
      </c>
      <c r="E97" s="100">
        <v>5.54</v>
      </c>
      <c r="F97" s="100">
        <v>2</v>
      </c>
      <c r="G97" s="100">
        <v>67.33</v>
      </c>
      <c r="H97" s="100">
        <v>17.77</v>
      </c>
      <c r="I97" s="100">
        <v>6.86</v>
      </c>
      <c r="J97" s="100">
        <v>0.31</v>
      </c>
      <c r="K97" s="100">
        <v>45.44</v>
      </c>
      <c r="L97" s="100">
        <v>7.4</v>
      </c>
      <c r="M97" s="100">
        <v>0.49</v>
      </c>
      <c r="N97" s="100">
        <v>2.1</v>
      </c>
      <c r="O97" s="100">
        <v>0</v>
      </c>
      <c r="P97" s="100">
        <v>0.43</v>
      </c>
      <c r="Q97" s="100">
        <v>9.32</v>
      </c>
      <c r="R97" s="6"/>
      <c r="S97" s="6"/>
      <c r="T97" s="156"/>
      <c r="U97" s="6"/>
    </row>
    <row r="98" spans="1:28" customFormat="1">
      <c r="A98" s="201" t="s">
        <v>2729</v>
      </c>
      <c r="B98" s="100">
        <v>13.06</v>
      </c>
      <c r="C98" s="100">
        <v>8.25</v>
      </c>
      <c r="D98" s="100">
        <v>14.79</v>
      </c>
      <c r="E98" s="100">
        <v>5.32</v>
      </c>
      <c r="F98" s="100">
        <v>2</v>
      </c>
      <c r="G98" s="100">
        <v>67.33</v>
      </c>
      <c r="H98" s="100">
        <v>17.77</v>
      </c>
      <c r="I98" s="100">
        <v>6.85</v>
      </c>
      <c r="J98" s="100">
        <v>0.34</v>
      </c>
      <c r="K98" s="100">
        <v>43.25</v>
      </c>
      <c r="L98" s="100">
        <v>6.51</v>
      </c>
      <c r="M98" s="100">
        <v>-1.77</v>
      </c>
      <c r="N98" s="100">
        <v>2.1</v>
      </c>
      <c r="O98" s="100">
        <v>0</v>
      </c>
      <c r="P98" s="100">
        <v>0.43</v>
      </c>
      <c r="Q98" s="100">
        <v>9.32</v>
      </c>
      <c r="R98" s="6"/>
      <c r="S98" s="6"/>
      <c r="T98" s="156"/>
      <c r="U98" s="6"/>
    </row>
    <row r="99" spans="1:28" customFormat="1">
      <c r="A99" s="201" t="s">
        <v>2730</v>
      </c>
      <c r="B99" s="100">
        <v>13.71</v>
      </c>
      <c r="C99" s="100">
        <v>8.7200000000000006</v>
      </c>
      <c r="D99" s="100">
        <v>15.54</v>
      </c>
      <c r="E99" s="100">
        <v>5.66</v>
      </c>
      <c r="F99" s="100">
        <v>2</v>
      </c>
      <c r="G99" s="100">
        <v>67.88</v>
      </c>
      <c r="H99" s="100">
        <v>19.239999999999998</v>
      </c>
      <c r="I99" s="100">
        <v>6.86</v>
      </c>
      <c r="J99" s="100">
        <v>0.24</v>
      </c>
      <c r="K99" s="100">
        <v>26.74</v>
      </c>
      <c r="L99" s="100">
        <v>9.34</v>
      </c>
      <c r="M99" s="100">
        <v>5.21</v>
      </c>
      <c r="N99" s="100">
        <v>2.1</v>
      </c>
      <c r="O99" s="100">
        <v>0</v>
      </c>
      <c r="P99" s="100">
        <v>0.43</v>
      </c>
      <c r="Q99" s="100">
        <v>9.32</v>
      </c>
      <c r="R99" s="6"/>
      <c r="S99" s="6"/>
      <c r="T99" s="156"/>
      <c r="U99" s="6"/>
    </row>
    <row r="100" spans="1:28" customFormat="1">
      <c r="A100" s="201" t="s">
        <v>2731</v>
      </c>
      <c r="B100" s="100">
        <v>14.18</v>
      </c>
      <c r="C100" s="100">
        <v>9.33</v>
      </c>
      <c r="D100" s="100">
        <v>16.239999999999998</v>
      </c>
      <c r="E100" s="100">
        <v>5.46</v>
      </c>
      <c r="F100" s="100">
        <v>2</v>
      </c>
      <c r="G100" s="100">
        <v>68.09</v>
      </c>
      <c r="H100" s="100">
        <v>19.27</v>
      </c>
      <c r="I100" s="100">
        <v>6.89</v>
      </c>
      <c r="J100" s="100">
        <v>0.34</v>
      </c>
      <c r="K100" s="100">
        <v>33.31</v>
      </c>
      <c r="L100" s="100">
        <v>8.09</v>
      </c>
      <c r="M100" s="100">
        <v>2.13</v>
      </c>
      <c r="N100" s="100">
        <v>2.4</v>
      </c>
      <c r="O100" s="100">
        <v>0</v>
      </c>
      <c r="P100" s="100">
        <v>0.43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2732</v>
      </c>
      <c r="B101" s="100">
        <v>13.64</v>
      </c>
      <c r="C101" s="100">
        <v>7.99</v>
      </c>
      <c r="D101" s="100">
        <v>15.12</v>
      </c>
      <c r="E101" s="100">
        <v>5.43</v>
      </c>
      <c r="F101" s="100">
        <v>2</v>
      </c>
      <c r="G101" s="100">
        <v>68.09</v>
      </c>
      <c r="H101" s="100">
        <v>19.27</v>
      </c>
      <c r="I101" s="100">
        <v>6.87</v>
      </c>
      <c r="J101" s="100">
        <v>0.26</v>
      </c>
      <c r="K101" s="100">
        <v>40.950000000000003</v>
      </c>
      <c r="L101" s="100">
        <v>7.74</v>
      </c>
      <c r="M101" s="100">
        <v>1.28</v>
      </c>
      <c r="N101" s="100">
        <v>2.1</v>
      </c>
      <c r="O101" s="100">
        <v>0</v>
      </c>
      <c r="P101" s="100">
        <v>0.44</v>
      </c>
      <c r="Q101" s="100">
        <v>9.34</v>
      </c>
      <c r="R101" s="6"/>
      <c r="S101" s="6"/>
      <c r="T101" s="156"/>
      <c r="U101" s="6"/>
    </row>
    <row r="102" spans="1:28" customFormat="1">
      <c r="A102" s="201" t="s">
        <v>2733</v>
      </c>
      <c r="B102" s="100">
        <v>13.91</v>
      </c>
      <c r="C102" s="100">
        <v>8.06</v>
      </c>
      <c r="D102" s="100">
        <v>15.36</v>
      </c>
      <c r="E102" s="100">
        <v>5.19</v>
      </c>
      <c r="F102" s="100">
        <v>2</v>
      </c>
      <c r="G102" s="100">
        <v>68.09</v>
      </c>
      <c r="H102" s="100">
        <v>19.27</v>
      </c>
      <c r="I102" s="100">
        <v>6.87</v>
      </c>
      <c r="J102" s="100">
        <v>0.33</v>
      </c>
      <c r="K102" s="100">
        <v>38.57</v>
      </c>
      <c r="L102" s="100">
        <v>7.75</v>
      </c>
      <c r="M102" s="100">
        <v>1.29</v>
      </c>
      <c r="N102" s="100">
        <v>2.1</v>
      </c>
      <c r="O102" s="100">
        <v>0</v>
      </c>
      <c r="P102" s="100">
        <v>0.43</v>
      </c>
      <c r="Q102" s="100">
        <v>9.33</v>
      </c>
      <c r="R102" s="6"/>
      <c r="S102" s="6"/>
      <c r="T102" s="156"/>
      <c r="U102" s="6"/>
    </row>
    <row r="103" spans="1:28" customFormat="1">
      <c r="A103" s="201" t="s">
        <v>2734</v>
      </c>
      <c r="B103" s="100">
        <v>13.99</v>
      </c>
      <c r="C103" s="100">
        <v>7.77</v>
      </c>
      <c r="D103" s="100">
        <v>15.28</v>
      </c>
      <c r="E103" s="100">
        <v>5.07</v>
      </c>
      <c r="F103" s="100">
        <v>2</v>
      </c>
      <c r="G103" s="100">
        <v>65.52</v>
      </c>
      <c r="H103" s="100">
        <v>18.97</v>
      </c>
      <c r="I103" s="100">
        <v>6.85</v>
      </c>
      <c r="J103" s="100">
        <v>0.4</v>
      </c>
      <c r="K103" s="100">
        <v>34.03</v>
      </c>
      <c r="L103" s="100">
        <v>7.77</v>
      </c>
      <c r="M103" s="100">
        <v>1.34</v>
      </c>
      <c r="N103" s="100">
        <v>2.1</v>
      </c>
      <c r="O103" s="100">
        <v>0</v>
      </c>
      <c r="P103" s="100">
        <v>0.43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2735</v>
      </c>
      <c r="B104" s="100">
        <v>14.14</v>
      </c>
      <c r="C104" s="100">
        <v>7.86</v>
      </c>
      <c r="D104" s="100">
        <v>15.45</v>
      </c>
      <c r="E104" s="100">
        <v>4.75</v>
      </c>
      <c r="F104" s="100">
        <v>2</v>
      </c>
      <c r="G104" s="100">
        <v>64.59</v>
      </c>
      <c r="H104" s="100">
        <v>18.96</v>
      </c>
      <c r="I104" s="100">
        <v>6.87</v>
      </c>
      <c r="J104" s="100">
        <v>0.38</v>
      </c>
      <c r="K104" s="100">
        <v>38.75</v>
      </c>
      <c r="L104" s="100">
        <v>9.2899999999999991</v>
      </c>
      <c r="M104" s="100">
        <v>5.15</v>
      </c>
      <c r="N104" s="100">
        <v>2.1</v>
      </c>
      <c r="O104" s="100">
        <v>0</v>
      </c>
      <c r="P104" s="100">
        <v>0.43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2.61</v>
      </c>
      <c r="C106" s="158">
        <f>MIN(C9:C104)</f>
        <v>5.13</v>
      </c>
      <c r="D106" s="158">
        <f t="shared" ref="D106:Q106" si="0">MIN(D9:D104)</f>
        <v>4.7699999999999996</v>
      </c>
      <c r="E106" s="158">
        <f t="shared" si="0"/>
        <v>4.0199999999999996</v>
      </c>
      <c r="F106" s="158">
        <f t="shared" si="0"/>
        <v>2</v>
      </c>
      <c r="G106" s="158">
        <f t="shared" si="0"/>
        <v>23.28</v>
      </c>
      <c r="H106" s="158">
        <f t="shared" si="0"/>
        <v>13.89</v>
      </c>
      <c r="I106" s="158">
        <f t="shared" si="0"/>
        <v>5.68</v>
      </c>
      <c r="J106" s="158">
        <f t="shared" si="0"/>
        <v>0.06</v>
      </c>
      <c r="K106" s="158">
        <f t="shared" si="0"/>
        <v>5.73</v>
      </c>
      <c r="L106" s="158">
        <f t="shared" si="0"/>
        <v>6.06</v>
      </c>
      <c r="M106" s="158">
        <f t="shared" si="0"/>
        <v>-2.95</v>
      </c>
      <c r="N106" s="158">
        <f t="shared" si="0"/>
        <v>2.1</v>
      </c>
      <c r="O106" s="158">
        <f t="shared" si="0"/>
        <v>0</v>
      </c>
      <c r="P106" s="158">
        <f t="shared" si="0"/>
        <v>0.3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14.18</v>
      </c>
      <c r="C107" s="157">
        <f t="shared" ref="C107:Q107" si="1">MAX(C9:C104)</f>
        <v>9.33</v>
      </c>
      <c r="D107" s="157">
        <f t="shared" si="1"/>
        <v>16.239999999999998</v>
      </c>
      <c r="E107" s="157">
        <f t="shared" si="1"/>
        <v>9.6199999999999992</v>
      </c>
      <c r="F107" s="157">
        <f t="shared" si="1"/>
        <v>2.69</v>
      </c>
      <c r="G107" s="157">
        <f t="shared" si="1"/>
        <v>92.97</v>
      </c>
      <c r="H107" s="157">
        <f t="shared" si="1"/>
        <v>46.92</v>
      </c>
      <c r="I107" s="157">
        <f t="shared" si="1"/>
        <v>10.119999999999999</v>
      </c>
      <c r="J107" s="157">
        <f t="shared" si="1"/>
        <v>0.89</v>
      </c>
      <c r="K107" s="157">
        <f t="shared" si="1"/>
        <v>317.31</v>
      </c>
      <c r="L107" s="157">
        <f t="shared" si="1"/>
        <v>22.61</v>
      </c>
      <c r="M107" s="157">
        <f t="shared" si="1"/>
        <v>38.01</v>
      </c>
      <c r="N107" s="157">
        <f t="shared" si="1"/>
        <v>521.29999999999995</v>
      </c>
      <c r="O107" s="157">
        <f t="shared" si="1"/>
        <v>0</v>
      </c>
      <c r="P107" s="157">
        <f t="shared" si="1"/>
        <v>0.5</v>
      </c>
      <c r="Q107" s="157">
        <f t="shared" si="1"/>
        <v>9.6300000000000008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6.0216666666666656</v>
      </c>
      <c r="C108" s="158">
        <f t="shared" ref="C108:Q108" si="2">AVERAGE(C9:C104)</f>
        <v>6.7403124999999973</v>
      </c>
      <c r="D108" s="158">
        <f t="shared" si="2"/>
        <v>8.3508333333333304</v>
      </c>
      <c r="E108" s="158">
        <f t="shared" si="2"/>
        <v>5.6071875000000029</v>
      </c>
      <c r="F108" s="158">
        <f t="shared" si="2"/>
        <v>2.0364583333333335</v>
      </c>
      <c r="G108" s="158">
        <f t="shared" si="2"/>
        <v>62.79666666666666</v>
      </c>
      <c r="H108" s="158">
        <f t="shared" si="2"/>
        <v>29.135104166666675</v>
      </c>
      <c r="I108" s="158">
        <f t="shared" si="2"/>
        <v>7.7269791666666672</v>
      </c>
      <c r="J108" s="158">
        <f t="shared" si="2"/>
        <v>0.2819791666666665</v>
      </c>
      <c r="K108" s="158">
        <f t="shared" si="2"/>
        <v>86.480520833333301</v>
      </c>
      <c r="L108" s="158">
        <f t="shared" si="2"/>
        <v>12.003854166666668</v>
      </c>
      <c r="M108" s="158">
        <f t="shared" si="2"/>
        <v>10.533333333333335</v>
      </c>
      <c r="N108" s="158">
        <f t="shared" si="2"/>
        <v>67.919791666666711</v>
      </c>
      <c r="O108" s="158">
        <f t="shared" si="2"/>
        <v>0</v>
      </c>
      <c r="P108" s="158">
        <f t="shared" si="2"/>
        <v>0.4209374999999998</v>
      </c>
      <c r="Q108" s="158">
        <f t="shared" si="2"/>
        <v>9.3343750000000174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3.2215637480043968</v>
      </c>
      <c r="C109" s="158">
        <f t="shared" ref="C109:Q109" si="3">STDEV(C9:C104)</f>
        <v>1.0319266121652266</v>
      </c>
      <c r="D109" s="158">
        <f t="shared" si="3"/>
        <v>3.0122772175030263</v>
      </c>
      <c r="E109" s="158">
        <f t="shared" si="3"/>
        <v>0.91239500116882899</v>
      </c>
      <c r="F109" s="158">
        <f t="shared" si="3"/>
        <v>0.12459601384742069</v>
      </c>
      <c r="G109" s="158">
        <f t="shared" si="3"/>
        <v>16.552277863065918</v>
      </c>
      <c r="H109" s="158">
        <f t="shared" si="3"/>
        <v>11.454525099374138</v>
      </c>
      <c r="I109" s="158">
        <f t="shared" si="3"/>
        <v>1.2397131415152312</v>
      </c>
      <c r="J109" s="158">
        <f t="shared" si="3"/>
        <v>0.15892811875129167</v>
      </c>
      <c r="K109" s="158">
        <f t="shared" si="3"/>
        <v>70.397222050003251</v>
      </c>
      <c r="L109" s="158">
        <f t="shared" si="3"/>
        <v>4.6282267537116164</v>
      </c>
      <c r="M109" s="158">
        <f t="shared" si="3"/>
        <v>10.674546080985724</v>
      </c>
      <c r="N109" s="158">
        <f t="shared" si="3"/>
        <v>115.15315076228893</v>
      </c>
      <c r="O109" s="158">
        <f t="shared" si="3"/>
        <v>0</v>
      </c>
      <c r="P109" s="158">
        <f t="shared" si="3"/>
        <v>4.7971002754407022E-2</v>
      </c>
      <c r="Q109" s="158">
        <f t="shared" si="3"/>
        <v>5.241157967673285E-2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2736</v>
      </c>
      <c r="B9" s="100">
        <v>14.57</v>
      </c>
      <c r="C9" s="100">
        <v>7.88</v>
      </c>
      <c r="D9" s="100">
        <v>15.8</v>
      </c>
      <c r="E9" s="100">
        <v>5.21</v>
      </c>
      <c r="F9" s="100">
        <v>2</v>
      </c>
      <c r="G9" s="100">
        <v>64.59</v>
      </c>
      <c r="H9" s="100">
        <v>18.96</v>
      </c>
      <c r="I9" s="100">
        <v>6.9</v>
      </c>
      <c r="J9" s="100">
        <v>0.33</v>
      </c>
      <c r="K9" s="100">
        <v>44.26</v>
      </c>
      <c r="L9" s="100">
        <v>7.43</v>
      </c>
      <c r="M9" s="100">
        <v>0.51</v>
      </c>
      <c r="N9" s="100">
        <v>2.1</v>
      </c>
      <c r="O9" s="100">
        <v>0</v>
      </c>
      <c r="P9" s="100">
        <v>0.43</v>
      </c>
      <c r="Q9" s="100">
        <v>9.4</v>
      </c>
      <c r="R9" s="6"/>
      <c r="S9" s="6"/>
      <c r="T9" s="156"/>
      <c r="U9" s="6"/>
    </row>
    <row r="10" spans="1:21" customFormat="1">
      <c r="A10" s="201" t="s">
        <v>2737</v>
      </c>
      <c r="B10" s="100">
        <v>14.83</v>
      </c>
      <c r="C10" s="100">
        <v>7.66</v>
      </c>
      <c r="D10" s="100">
        <v>15.89</v>
      </c>
      <c r="E10" s="100">
        <v>5.28</v>
      </c>
      <c r="F10" s="100">
        <v>2</v>
      </c>
      <c r="G10" s="100">
        <v>64.59</v>
      </c>
      <c r="H10" s="100">
        <v>18.96</v>
      </c>
      <c r="I10" s="100">
        <v>6.9</v>
      </c>
      <c r="J10" s="100">
        <v>0.25</v>
      </c>
      <c r="K10" s="100">
        <v>33.840000000000003</v>
      </c>
      <c r="L10" s="100">
        <v>8.49</v>
      </c>
      <c r="M10" s="100">
        <v>3.1</v>
      </c>
      <c r="N10" s="100">
        <v>2.1</v>
      </c>
      <c r="O10" s="100">
        <v>0</v>
      </c>
      <c r="P10" s="100">
        <v>0.42</v>
      </c>
      <c r="Q10" s="100">
        <v>9.6300000000000008</v>
      </c>
      <c r="R10" s="6"/>
      <c r="S10" s="6"/>
      <c r="T10" s="156"/>
      <c r="U10" s="6"/>
    </row>
    <row r="11" spans="1:21" customFormat="1">
      <c r="A11" s="201" t="s">
        <v>2738</v>
      </c>
      <c r="B11" s="100">
        <v>14.62</v>
      </c>
      <c r="C11" s="100">
        <v>7.8</v>
      </c>
      <c r="D11" s="100">
        <v>15.8</v>
      </c>
      <c r="E11" s="100">
        <v>5.09</v>
      </c>
      <c r="F11" s="100">
        <v>2</v>
      </c>
      <c r="G11" s="100">
        <v>61.33</v>
      </c>
      <c r="H11" s="100">
        <v>17.989999999999998</v>
      </c>
      <c r="I11" s="100">
        <v>6.91</v>
      </c>
      <c r="J11" s="100">
        <v>0.33</v>
      </c>
      <c r="K11" s="100">
        <v>39.29</v>
      </c>
      <c r="L11" s="100">
        <v>7.78</v>
      </c>
      <c r="M11" s="100">
        <v>1.42</v>
      </c>
      <c r="N11" s="100">
        <v>2.1</v>
      </c>
      <c r="O11" s="100">
        <v>0</v>
      </c>
      <c r="P11" s="100">
        <v>0.42</v>
      </c>
      <c r="Q11" s="100">
        <v>9.5399999999999991</v>
      </c>
      <c r="R11" s="6"/>
      <c r="S11" s="6"/>
      <c r="T11" s="156"/>
      <c r="U11" s="6"/>
    </row>
    <row r="12" spans="1:21" customFormat="1">
      <c r="A12" s="201" t="s">
        <v>2739</v>
      </c>
      <c r="B12" s="100">
        <v>14.78</v>
      </c>
      <c r="C12" s="100">
        <v>7.65</v>
      </c>
      <c r="D12" s="100">
        <v>15.85</v>
      </c>
      <c r="E12" s="100">
        <v>5.2</v>
      </c>
      <c r="F12" s="100">
        <v>2</v>
      </c>
      <c r="G12" s="100">
        <v>60.14</v>
      </c>
      <c r="H12" s="100">
        <v>17.97</v>
      </c>
      <c r="I12" s="100">
        <v>6.91</v>
      </c>
      <c r="J12" s="100">
        <v>0.26</v>
      </c>
      <c r="K12" s="100">
        <v>29.69</v>
      </c>
      <c r="L12" s="100">
        <v>9.19</v>
      </c>
      <c r="M12" s="100">
        <v>4.91</v>
      </c>
      <c r="N12" s="100">
        <v>2.1</v>
      </c>
      <c r="O12" s="100">
        <v>0</v>
      </c>
      <c r="P12" s="100">
        <v>0.43</v>
      </c>
      <c r="Q12" s="100">
        <v>9.36</v>
      </c>
      <c r="R12" s="6"/>
      <c r="S12" s="6"/>
      <c r="T12" s="156"/>
      <c r="U12" s="6"/>
    </row>
    <row r="13" spans="1:21" customFormat="1">
      <c r="A13" s="201" t="s">
        <v>2740</v>
      </c>
      <c r="B13" s="100">
        <v>14.91</v>
      </c>
      <c r="C13" s="100">
        <v>7.58</v>
      </c>
      <c r="D13" s="100">
        <v>15.92</v>
      </c>
      <c r="E13" s="100">
        <v>5.13</v>
      </c>
      <c r="F13" s="100">
        <v>2</v>
      </c>
      <c r="G13" s="100">
        <v>60.14</v>
      </c>
      <c r="H13" s="100">
        <v>17.97</v>
      </c>
      <c r="I13" s="100">
        <v>6.93</v>
      </c>
      <c r="J13" s="100">
        <v>0.33</v>
      </c>
      <c r="K13" s="100">
        <v>37.090000000000003</v>
      </c>
      <c r="L13" s="100">
        <v>7.32</v>
      </c>
      <c r="M13" s="100">
        <v>0.21</v>
      </c>
      <c r="N13" s="100">
        <v>2.1</v>
      </c>
      <c r="O13" s="100">
        <v>0</v>
      </c>
      <c r="P13" s="100">
        <v>0.4</v>
      </c>
      <c r="Q13" s="100">
        <v>9.5</v>
      </c>
      <c r="R13" s="6"/>
      <c r="S13" s="6"/>
      <c r="T13" s="156"/>
      <c r="U13" s="6"/>
    </row>
    <row r="14" spans="1:21" customFormat="1">
      <c r="A14" s="201" t="s">
        <v>2741</v>
      </c>
      <c r="B14" s="100">
        <v>14.94</v>
      </c>
      <c r="C14" s="100">
        <v>7.62</v>
      </c>
      <c r="D14" s="100">
        <v>15.96</v>
      </c>
      <c r="E14" s="100">
        <v>5.04</v>
      </c>
      <c r="F14" s="100">
        <v>2</v>
      </c>
      <c r="G14" s="100">
        <v>60.14</v>
      </c>
      <c r="H14" s="100">
        <v>17.97</v>
      </c>
      <c r="I14" s="100">
        <v>6.95</v>
      </c>
      <c r="J14" s="100">
        <v>0.28999999999999998</v>
      </c>
      <c r="K14" s="100">
        <v>36.369999999999997</v>
      </c>
      <c r="L14" s="100">
        <v>9.31</v>
      </c>
      <c r="M14" s="100">
        <v>5.23</v>
      </c>
      <c r="N14" s="100">
        <v>2.1</v>
      </c>
      <c r="O14" s="100">
        <v>0</v>
      </c>
      <c r="P14" s="100">
        <v>0.39</v>
      </c>
      <c r="Q14" s="100">
        <v>9.74</v>
      </c>
      <c r="R14" s="6"/>
      <c r="S14" s="6"/>
      <c r="T14" s="156"/>
      <c r="U14" s="6"/>
    </row>
    <row r="15" spans="1:21" customFormat="1">
      <c r="A15" s="201" t="s">
        <v>2742</v>
      </c>
      <c r="B15" s="100">
        <v>14.74</v>
      </c>
      <c r="C15" s="100">
        <v>7.71</v>
      </c>
      <c r="D15" s="100">
        <v>15.85</v>
      </c>
      <c r="E15" s="100">
        <v>5.27</v>
      </c>
      <c r="F15" s="100">
        <v>2</v>
      </c>
      <c r="G15" s="100">
        <v>59.19</v>
      </c>
      <c r="H15" s="100">
        <v>17.2</v>
      </c>
      <c r="I15" s="100">
        <v>6.92</v>
      </c>
      <c r="J15" s="100">
        <v>0.31</v>
      </c>
      <c r="K15" s="100">
        <v>42.65</v>
      </c>
      <c r="L15" s="100">
        <v>8.7100000000000009</v>
      </c>
      <c r="M15" s="100">
        <v>3.76</v>
      </c>
      <c r="N15" s="100">
        <v>2.1</v>
      </c>
      <c r="O15" s="100">
        <v>0</v>
      </c>
      <c r="P15" s="100">
        <v>0.39</v>
      </c>
      <c r="Q15" s="100">
        <v>9.42</v>
      </c>
      <c r="R15" s="6"/>
      <c r="S15" s="6"/>
      <c r="T15" s="156"/>
      <c r="U15" s="6"/>
    </row>
    <row r="16" spans="1:21" customFormat="1">
      <c r="A16" s="201" t="s">
        <v>2743</v>
      </c>
      <c r="B16" s="100">
        <v>14.45</v>
      </c>
      <c r="C16" s="100">
        <v>7.75</v>
      </c>
      <c r="D16" s="100">
        <v>15.64</v>
      </c>
      <c r="E16" s="100">
        <v>5.15</v>
      </c>
      <c r="F16" s="100">
        <v>2</v>
      </c>
      <c r="G16" s="100">
        <v>58.83</v>
      </c>
      <c r="H16" s="100">
        <v>17.170000000000002</v>
      </c>
      <c r="I16" s="100">
        <v>6.87</v>
      </c>
      <c r="J16" s="100">
        <v>0.23</v>
      </c>
      <c r="K16" s="100">
        <v>49.1</v>
      </c>
      <c r="L16" s="100">
        <v>6.9</v>
      </c>
      <c r="M16" s="100">
        <v>-0.87</v>
      </c>
      <c r="N16" s="100">
        <v>2.1</v>
      </c>
      <c r="O16" s="100">
        <v>0</v>
      </c>
      <c r="P16" s="100">
        <v>0.38</v>
      </c>
      <c r="Q16" s="100">
        <v>9.33</v>
      </c>
      <c r="R16" s="6"/>
      <c r="S16" s="6"/>
      <c r="T16" s="156"/>
      <c r="U16" s="6"/>
    </row>
    <row r="17" spans="1:21" customFormat="1">
      <c r="A17" s="201" t="s">
        <v>2744</v>
      </c>
      <c r="B17" s="100">
        <v>14.11</v>
      </c>
      <c r="C17" s="100">
        <v>7.7</v>
      </c>
      <c r="D17" s="100">
        <v>15.34</v>
      </c>
      <c r="E17" s="100">
        <v>4.8</v>
      </c>
      <c r="F17" s="100">
        <v>2</v>
      </c>
      <c r="G17" s="100">
        <v>58.83</v>
      </c>
      <c r="H17" s="100">
        <v>17.170000000000002</v>
      </c>
      <c r="I17" s="100">
        <v>6.82</v>
      </c>
      <c r="J17" s="100">
        <v>0.34</v>
      </c>
      <c r="K17" s="100">
        <v>43.36</v>
      </c>
      <c r="L17" s="100">
        <v>8.31</v>
      </c>
      <c r="M17" s="100">
        <v>2.77</v>
      </c>
      <c r="N17" s="100">
        <v>2.1</v>
      </c>
      <c r="O17" s="100">
        <v>0</v>
      </c>
      <c r="P17" s="100">
        <v>0.38</v>
      </c>
      <c r="Q17" s="100">
        <v>9.33</v>
      </c>
      <c r="R17" s="6"/>
      <c r="S17" s="6"/>
      <c r="T17" s="156"/>
      <c r="U17" s="6"/>
    </row>
    <row r="18" spans="1:21" customFormat="1">
      <c r="A18" s="201" t="s">
        <v>2745</v>
      </c>
      <c r="B18" s="100">
        <v>13.77</v>
      </c>
      <c r="C18" s="100">
        <v>7.61</v>
      </c>
      <c r="D18" s="100">
        <v>15.02</v>
      </c>
      <c r="E18" s="100">
        <v>6.28</v>
      </c>
      <c r="F18" s="100">
        <v>2</v>
      </c>
      <c r="G18" s="100">
        <v>58.83</v>
      </c>
      <c r="H18" s="100">
        <v>17.170000000000002</v>
      </c>
      <c r="I18" s="100">
        <v>6.77</v>
      </c>
      <c r="J18" s="100">
        <v>0.28999999999999998</v>
      </c>
      <c r="K18" s="100">
        <v>62.8</v>
      </c>
      <c r="L18" s="100">
        <v>8.48</v>
      </c>
      <c r="M18" s="100">
        <v>3.33</v>
      </c>
      <c r="N18" s="100">
        <v>2.1</v>
      </c>
      <c r="O18" s="100">
        <v>0</v>
      </c>
      <c r="P18" s="100">
        <v>0.38</v>
      </c>
      <c r="Q18" s="100">
        <v>9.42</v>
      </c>
      <c r="R18" s="6"/>
      <c r="S18" s="6"/>
      <c r="T18" s="156"/>
      <c r="U18" s="6"/>
    </row>
    <row r="19" spans="1:21" customFormat="1">
      <c r="A19" s="201" t="s">
        <v>2746</v>
      </c>
      <c r="B19" s="100">
        <v>13.4</v>
      </c>
      <c r="C19" s="100">
        <v>7.52</v>
      </c>
      <c r="D19" s="100">
        <v>14.68</v>
      </c>
      <c r="E19" s="100">
        <v>6.04</v>
      </c>
      <c r="F19" s="100">
        <v>2</v>
      </c>
      <c r="G19" s="100">
        <v>56.35</v>
      </c>
      <c r="H19" s="100">
        <v>18.98</v>
      </c>
      <c r="I19" s="100">
        <v>6.73</v>
      </c>
      <c r="J19" s="100">
        <v>0.3</v>
      </c>
      <c r="K19" s="100">
        <v>55.32</v>
      </c>
      <c r="L19" s="100">
        <v>8.0299999999999994</v>
      </c>
      <c r="M19" s="100">
        <v>2.12</v>
      </c>
      <c r="N19" s="100">
        <v>2.1</v>
      </c>
      <c r="O19" s="100">
        <v>0</v>
      </c>
      <c r="P19" s="100">
        <v>0.36</v>
      </c>
      <c r="Q19" s="100">
        <v>9.32</v>
      </c>
      <c r="R19" s="6"/>
      <c r="S19" s="6"/>
      <c r="T19" s="156"/>
      <c r="U19" s="6"/>
    </row>
    <row r="20" spans="1:21" customFormat="1">
      <c r="A20" s="201" t="s">
        <v>2747</v>
      </c>
      <c r="B20" s="100">
        <v>13.05</v>
      </c>
      <c r="C20" s="100">
        <v>7.52</v>
      </c>
      <c r="D20" s="100">
        <v>14.39</v>
      </c>
      <c r="E20" s="100">
        <v>6.43</v>
      </c>
      <c r="F20" s="100">
        <v>2</v>
      </c>
      <c r="G20" s="100">
        <v>55.46</v>
      </c>
      <c r="H20" s="100">
        <v>19.03</v>
      </c>
      <c r="I20" s="100">
        <v>6.71</v>
      </c>
      <c r="J20" s="100">
        <v>0.25</v>
      </c>
      <c r="K20" s="100">
        <v>62.51</v>
      </c>
      <c r="L20" s="100">
        <v>9.86</v>
      </c>
      <c r="M20" s="100">
        <v>6.79</v>
      </c>
      <c r="N20" s="100">
        <v>2.1</v>
      </c>
      <c r="O20" s="100">
        <v>0</v>
      </c>
      <c r="P20" s="100">
        <v>0.36</v>
      </c>
      <c r="Q20" s="100">
        <v>9.32</v>
      </c>
      <c r="R20" s="6"/>
      <c r="S20" s="6"/>
      <c r="T20" s="156"/>
      <c r="U20" s="6"/>
    </row>
    <row r="21" spans="1:21" customFormat="1">
      <c r="A21" s="201" t="s">
        <v>2748</v>
      </c>
      <c r="B21" s="100">
        <v>12.6</v>
      </c>
      <c r="C21" s="100">
        <v>7.38</v>
      </c>
      <c r="D21" s="100">
        <v>13.96</v>
      </c>
      <c r="E21" s="100">
        <v>6.42</v>
      </c>
      <c r="F21" s="100">
        <v>2</v>
      </c>
      <c r="G21" s="100">
        <v>55.46</v>
      </c>
      <c r="H21" s="100">
        <v>19.03</v>
      </c>
      <c r="I21" s="100">
        <v>6.73</v>
      </c>
      <c r="J21" s="100">
        <v>0.36</v>
      </c>
      <c r="K21" s="100">
        <v>50.81</v>
      </c>
      <c r="L21" s="100">
        <v>7.73</v>
      </c>
      <c r="M21" s="100">
        <v>1.35</v>
      </c>
      <c r="N21" s="100">
        <v>2.1</v>
      </c>
      <c r="O21" s="100">
        <v>0</v>
      </c>
      <c r="P21" s="100">
        <v>0.36</v>
      </c>
      <c r="Q21" s="100">
        <v>9.32</v>
      </c>
      <c r="R21" s="6"/>
      <c r="S21" s="6"/>
      <c r="T21" s="156"/>
      <c r="U21" s="6"/>
    </row>
    <row r="22" spans="1:21" customFormat="1">
      <c r="A22" s="201" t="s">
        <v>2749</v>
      </c>
      <c r="B22" s="100">
        <v>12.18</v>
      </c>
      <c r="C22" s="100">
        <v>7.29</v>
      </c>
      <c r="D22" s="100">
        <v>13.58</v>
      </c>
      <c r="E22" s="100">
        <v>6.23</v>
      </c>
      <c r="F22" s="100">
        <v>2</v>
      </c>
      <c r="G22" s="100">
        <v>55.46</v>
      </c>
      <c r="H22" s="100">
        <v>19.03</v>
      </c>
      <c r="I22" s="100">
        <v>6.76</v>
      </c>
      <c r="J22" s="100">
        <v>0.25</v>
      </c>
      <c r="K22" s="100">
        <v>74.959999999999994</v>
      </c>
      <c r="L22" s="100">
        <v>10.050000000000001</v>
      </c>
      <c r="M22" s="100">
        <v>7.26</v>
      </c>
      <c r="N22" s="100">
        <v>2.1</v>
      </c>
      <c r="O22" s="100">
        <v>0</v>
      </c>
      <c r="P22" s="100">
        <v>0.37</v>
      </c>
      <c r="Q22" s="100">
        <v>9.4</v>
      </c>
      <c r="R22" s="6"/>
      <c r="S22" s="6"/>
      <c r="T22" s="156"/>
      <c r="U22" s="6"/>
    </row>
    <row r="23" spans="1:21" customFormat="1">
      <c r="A23" s="201" t="s">
        <v>2750</v>
      </c>
      <c r="B23" s="100">
        <v>11.74</v>
      </c>
      <c r="C23" s="100">
        <v>7.24</v>
      </c>
      <c r="D23" s="100">
        <v>13.2</v>
      </c>
      <c r="E23" s="100">
        <v>6.57</v>
      </c>
      <c r="F23" s="100">
        <v>2</v>
      </c>
      <c r="G23" s="100">
        <v>59.18</v>
      </c>
      <c r="H23" s="100">
        <v>20.82</v>
      </c>
      <c r="I23" s="100">
        <v>6.7</v>
      </c>
      <c r="J23" s="100">
        <v>0.26</v>
      </c>
      <c r="K23" s="100">
        <v>63.64</v>
      </c>
      <c r="L23" s="100">
        <v>8.51</v>
      </c>
      <c r="M23" s="100">
        <v>3.34</v>
      </c>
      <c r="N23" s="100">
        <v>2.1</v>
      </c>
      <c r="O23" s="100">
        <v>0</v>
      </c>
      <c r="P23" s="100">
        <v>0.37</v>
      </c>
      <c r="Q23" s="100">
        <v>9.42</v>
      </c>
      <c r="R23" s="6"/>
      <c r="S23" s="6"/>
      <c r="T23" s="156"/>
      <c r="U23" s="6"/>
    </row>
    <row r="24" spans="1:21" customFormat="1">
      <c r="A24" s="201" t="s">
        <v>2751</v>
      </c>
      <c r="B24" s="100">
        <v>11.37</v>
      </c>
      <c r="C24" s="100">
        <v>7.14</v>
      </c>
      <c r="D24" s="100">
        <v>12.85</v>
      </c>
      <c r="E24" s="100">
        <v>6.72</v>
      </c>
      <c r="F24" s="100">
        <v>2</v>
      </c>
      <c r="G24" s="100">
        <v>60.61</v>
      </c>
      <c r="H24" s="100">
        <v>20.9</v>
      </c>
      <c r="I24" s="100">
        <v>6.63</v>
      </c>
      <c r="J24" s="100">
        <v>0.25</v>
      </c>
      <c r="K24" s="100">
        <v>64.8</v>
      </c>
      <c r="L24" s="100">
        <v>9.4499999999999993</v>
      </c>
      <c r="M24" s="100">
        <v>5.73</v>
      </c>
      <c r="N24" s="100">
        <v>2.1</v>
      </c>
      <c r="O24" s="100">
        <v>0</v>
      </c>
      <c r="P24" s="100">
        <v>0.36</v>
      </c>
      <c r="Q24" s="100">
        <v>9.32</v>
      </c>
      <c r="R24" s="6"/>
      <c r="S24" s="6"/>
      <c r="T24" s="156"/>
      <c r="U24" s="6"/>
    </row>
    <row r="25" spans="1:21" customFormat="1">
      <c r="A25" s="201" t="s">
        <v>2752</v>
      </c>
      <c r="B25" s="100">
        <v>10.95</v>
      </c>
      <c r="C25" s="100">
        <v>7.07</v>
      </c>
      <c r="D25" s="100">
        <v>12.48</v>
      </c>
      <c r="E25" s="100">
        <v>6.6</v>
      </c>
      <c r="F25" s="100">
        <v>2</v>
      </c>
      <c r="G25" s="100">
        <v>60.61</v>
      </c>
      <c r="H25" s="100">
        <v>20.9</v>
      </c>
      <c r="I25" s="100">
        <v>6.61</v>
      </c>
      <c r="J25" s="100">
        <v>0.38</v>
      </c>
      <c r="K25" s="100">
        <v>43.22</v>
      </c>
      <c r="L25" s="100">
        <v>7.56</v>
      </c>
      <c r="M25" s="100">
        <v>0.89</v>
      </c>
      <c r="N25" s="100">
        <v>2.1</v>
      </c>
      <c r="O25" s="100">
        <v>0</v>
      </c>
      <c r="P25" s="100">
        <v>0.36</v>
      </c>
      <c r="Q25" s="100">
        <v>9.32</v>
      </c>
      <c r="R25" s="6"/>
      <c r="S25" s="6"/>
      <c r="T25" s="156"/>
      <c r="U25" s="6"/>
    </row>
    <row r="26" spans="1:21" customFormat="1">
      <c r="A26" s="201" t="s">
        <v>2753</v>
      </c>
      <c r="B26" s="100">
        <v>10.65</v>
      </c>
      <c r="C26" s="100">
        <v>7.06</v>
      </c>
      <c r="D26" s="100">
        <v>12.23</v>
      </c>
      <c r="E26" s="100">
        <v>6.44</v>
      </c>
      <c r="F26" s="100">
        <v>2</v>
      </c>
      <c r="G26" s="100">
        <v>60.61</v>
      </c>
      <c r="H26" s="100">
        <v>20.9</v>
      </c>
      <c r="I26" s="100">
        <v>6.61</v>
      </c>
      <c r="J26" s="100">
        <v>0.28000000000000003</v>
      </c>
      <c r="K26" s="100">
        <v>47.24</v>
      </c>
      <c r="L26" s="100">
        <v>6.8</v>
      </c>
      <c r="M26" s="100">
        <v>-0.99</v>
      </c>
      <c r="N26" s="100">
        <v>2.1</v>
      </c>
      <c r="O26" s="100">
        <v>0</v>
      </c>
      <c r="P26" s="100">
        <v>0.36</v>
      </c>
      <c r="Q26" s="100">
        <v>9.36</v>
      </c>
      <c r="R26" s="6"/>
      <c r="S26" s="6"/>
      <c r="T26" s="156"/>
      <c r="U26" s="6"/>
    </row>
    <row r="27" spans="1:21" customFormat="1">
      <c r="A27" s="201" t="s">
        <v>2754</v>
      </c>
      <c r="B27" s="100">
        <v>10.37</v>
      </c>
      <c r="C27" s="100">
        <v>7.01</v>
      </c>
      <c r="D27" s="100">
        <v>11.98</v>
      </c>
      <c r="E27" s="100">
        <v>6.64</v>
      </c>
      <c r="F27" s="100">
        <v>2</v>
      </c>
      <c r="G27" s="100">
        <v>55.69</v>
      </c>
      <c r="H27" s="100">
        <v>19.66</v>
      </c>
      <c r="I27" s="100">
        <v>6.57</v>
      </c>
      <c r="J27" s="100">
        <v>0.3</v>
      </c>
      <c r="K27" s="100">
        <v>50.36</v>
      </c>
      <c r="L27" s="100">
        <v>7.9</v>
      </c>
      <c r="M27" s="100">
        <v>1.76</v>
      </c>
      <c r="N27" s="100">
        <v>2.1</v>
      </c>
      <c r="O27" s="100">
        <v>0</v>
      </c>
      <c r="P27" s="100">
        <v>0.36</v>
      </c>
      <c r="Q27" s="100">
        <v>9.86</v>
      </c>
      <c r="R27" s="6"/>
      <c r="S27" s="6"/>
      <c r="T27" s="156"/>
      <c r="U27" s="6"/>
    </row>
    <row r="28" spans="1:21" customFormat="1">
      <c r="A28" s="201" t="s">
        <v>2755</v>
      </c>
      <c r="B28" s="100">
        <v>10.119999999999999</v>
      </c>
      <c r="C28" s="100">
        <v>6.95</v>
      </c>
      <c r="D28" s="100">
        <v>11.75</v>
      </c>
      <c r="E28" s="100">
        <v>6.45</v>
      </c>
      <c r="F28" s="100">
        <v>2</v>
      </c>
      <c r="G28" s="100">
        <v>53.9</v>
      </c>
      <c r="H28" s="100">
        <v>19.62</v>
      </c>
      <c r="I28" s="100">
        <v>6.51</v>
      </c>
      <c r="J28" s="100">
        <v>0.31</v>
      </c>
      <c r="K28" s="100">
        <v>47.53</v>
      </c>
      <c r="L28" s="100">
        <v>8.4600000000000009</v>
      </c>
      <c r="M28" s="100">
        <v>3.15</v>
      </c>
      <c r="N28" s="100">
        <v>2.1</v>
      </c>
      <c r="O28" s="100">
        <v>0</v>
      </c>
      <c r="P28" s="100">
        <v>0.35</v>
      </c>
      <c r="Q28" s="100">
        <v>9.66</v>
      </c>
      <c r="R28" s="6"/>
      <c r="S28" s="6"/>
      <c r="T28" s="156"/>
      <c r="U28" s="6"/>
    </row>
    <row r="29" spans="1:21" customFormat="1">
      <c r="A29" s="201" t="s">
        <v>2756</v>
      </c>
      <c r="B29" s="100">
        <v>9.86</v>
      </c>
      <c r="C29" s="100">
        <v>6.97</v>
      </c>
      <c r="D29" s="100">
        <v>11.55</v>
      </c>
      <c r="E29" s="100">
        <v>6.56</v>
      </c>
      <c r="F29" s="100">
        <v>2</v>
      </c>
      <c r="G29" s="100">
        <v>53.9</v>
      </c>
      <c r="H29" s="100">
        <v>19.62</v>
      </c>
      <c r="I29" s="100">
        <v>6.47</v>
      </c>
      <c r="J29" s="100">
        <v>0.43</v>
      </c>
      <c r="K29" s="100">
        <v>49.44</v>
      </c>
      <c r="L29" s="100">
        <v>7.71</v>
      </c>
      <c r="M29" s="100">
        <v>1.28</v>
      </c>
      <c r="N29" s="100">
        <v>2.1</v>
      </c>
      <c r="O29" s="100">
        <v>0</v>
      </c>
      <c r="P29" s="100">
        <v>0.36</v>
      </c>
      <c r="Q29" s="100">
        <v>9.33</v>
      </c>
      <c r="R29" s="6"/>
      <c r="S29" s="6"/>
      <c r="T29" s="156"/>
      <c r="U29" s="6"/>
    </row>
    <row r="30" spans="1:21" customFormat="1">
      <c r="A30" s="201" t="s">
        <v>2757</v>
      </c>
      <c r="B30" s="100">
        <v>9.65</v>
      </c>
      <c r="C30" s="100">
        <v>6.87</v>
      </c>
      <c r="D30" s="100">
        <v>11.33</v>
      </c>
      <c r="E30" s="100">
        <v>6.51</v>
      </c>
      <c r="F30" s="100">
        <v>2</v>
      </c>
      <c r="G30" s="100">
        <v>53.9</v>
      </c>
      <c r="H30" s="100">
        <v>19.62</v>
      </c>
      <c r="I30" s="100">
        <v>6.48</v>
      </c>
      <c r="J30" s="100">
        <v>0.24</v>
      </c>
      <c r="K30" s="100">
        <v>63.82</v>
      </c>
      <c r="L30" s="100">
        <v>9.98</v>
      </c>
      <c r="M30" s="100">
        <v>7.05</v>
      </c>
      <c r="N30" s="100">
        <v>2.1</v>
      </c>
      <c r="O30" s="100">
        <v>0</v>
      </c>
      <c r="P30" s="100">
        <v>0.36</v>
      </c>
      <c r="Q30" s="100">
        <v>9.32</v>
      </c>
      <c r="R30" s="6"/>
      <c r="S30" s="6"/>
      <c r="T30" s="156"/>
      <c r="U30" s="6"/>
    </row>
    <row r="31" spans="1:21" customFormat="1">
      <c r="A31" s="201" t="s">
        <v>2758</v>
      </c>
      <c r="B31" s="100">
        <v>9.42</v>
      </c>
      <c r="C31" s="100">
        <v>6.71</v>
      </c>
      <c r="D31" s="100">
        <v>11.06</v>
      </c>
      <c r="E31" s="100">
        <v>6.38</v>
      </c>
      <c r="F31" s="100">
        <v>2</v>
      </c>
      <c r="G31" s="100">
        <v>55.61</v>
      </c>
      <c r="H31" s="100">
        <v>23.33</v>
      </c>
      <c r="I31" s="100">
        <v>6.47</v>
      </c>
      <c r="J31" s="100">
        <v>0.11</v>
      </c>
      <c r="K31" s="100">
        <v>79.540000000000006</v>
      </c>
      <c r="L31" s="100">
        <v>11.64</v>
      </c>
      <c r="M31" s="100">
        <v>11.23</v>
      </c>
      <c r="N31" s="100">
        <v>2.1</v>
      </c>
      <c r="O31" s="100">
        <v>0</v>
      </c>
      <c r="P31" s="100">
        <v>0.36</v>
      </c>
      <c r="Q31" s="100">
        <v>9.3800000000000008</v>
      </c>
      <c r="R31" s="6"/>
      <c r="S31" s="6"/>
      <c r="T31" s="156"/>
      <c r="U31" s="6"/>
    </row>
    <row r="32" spans="1:21" customFormat="1">
      <c r="A32" s="201" t="s">
        <v>2759</v>
      </c>
      <c r="B32" s="100">
        <v>9.23</v>
      </c>
      <c r="C32" s="100">
        <v>6.71</v>
      </c>
      <c r="D32" s="100">
        <v>10.91</v>
      </c>
      <c r="E32" s="100">
        <v>6.86</v>
      </c>
      <c r="F32" s="100">
        <v>2</v>
      </c>
      <c r="G32" s="100">
        <v>56.27</v>
      </c>
      <c r="H32" s="100">
        <v>23.44</v>
      </c>
      <c r="I32" s="100">
        <v>6.42</v>
      </c>
      <c r="J32" s="100">
        <v>0.15</v>
      </c>
      <c r="K32" s="100">
        <v>91.64</v>
      </c>
      <c r="L32" s="100">
        <v>11.78</v>
      </c>
      <c r="M32" s="100">
        <v>11.67</v>
      </c>
      <c r="N32" s="100">
        <v>2.2999999999999998</v>
      </c>
      <c r="O32" s="100">
        <v>0</v>
      </c>
      <c r="P32" s="100">
        <v>0.35</v>
      </c>
      <c r="Q32" s="100">
        <v>9.33</v>
      </c>
      <c r="R32" s="6"/>
      <c r="S32" s="6"/>
      <c r="T32" s="156"/>
      <c r="U32" s="6"/>
    </row>
    <row r="33" spans="1:21" customFormat="1">
      <c r="A33" s="201" t="s">
        <v>2760</v>
      </c>
      <c r="B33" s="100">
        <v>9.1199999999999992</v>
      </c>
      <c r="C33" s="100">
        <v>6.83</v>
      </c>
      <c r="D33" s="100">
        <v>10.88</v>
      </c>
      <c r="E33" s="100">
        <v>6.79</v>
      </c>
      <c r="F33" s="100">
        <v>2</v>
      </c>
      <c r="G33" s="100">
        <v>56.27</v>
      </c>
      <c r="H33" s="100">
        <v>23.44</v>
      </c>
      <c r="I33" s="100">
        <v>6.42</v>
      </c>
      <c r="J33" s="100">
        <v>0.15</v>
      </c>
      <c r="K33" s="100">
        <v>146.04</v>
      </c>
      <c r="L33" s="100">
        <v>14.39</v>
      </c>
      <c r="M33" s="100">
        <v>18.54</v>
      </c>
      <c r="N33" s="100">
        <v>5.6</v>
      </c>
      <c r="O33" s="100">
        <v>0</v>
      </c>
      <c r="P33" s="100">
        <v>0.38</v>
      </c>
      <c r="Q33" s="100">
        <v>9.34</v>
      </c>
      <c r="R33" s="6"/>
      <c r="S33" s="6"/>
      <c r="T33" s="156"/>
      <c r="U33" s="6"/>
    </row>
    <row r="34" spans="1:21" customFormat="1">
      <c r="A34" s="201" t="s">
        <v>2761</v>
      </c>
      <c r="B34" s="100">
        <v>9.14</v>
      </c>
      <c r="C34" s="100">
        <v>6.55</v>
      </c>
      <c r="D34" s="100">
        <v>10.75</v>
      </c>
      <c r="E34" s="100">
        <v>6.86</v>
      </c>
      <c r="F34" s="100">
        <v>2</v>
      </c>
      <c r="G34" s="100">
        <v>56.27</v>
      </c>
      <c r="H34" s="100">
        <v>23.44</v>
      </c>
      <c r="I34" s="100">
        <v>6.43</v>
      </c>
      <c r="J34" s="100">
        <v>0.11</v>
      </c>
      <c r="K34" s="100">
        <v>117.3</v>
      </c>
      <c r="L34" s="100">
        <v>12.52</v>
      </c>
      <c r="M34" s="100">
        <v>13.33</v>
      </c>
      <c r="N34" s="100">
        <v>12.6</v>
      </c>
      <c r="O34" s="100">
        <v>0</v>
      </c>
      <c r="P34" s="100">
        <v>0.38</v>
      </c>
      <c r="Q34" s="100">
        <v>9.41</v>
      </c>
      <c r="R34" s="6"/>
      <c r="S34" s="6"/>
      <c r="T34" s="156"/>
      <c r="U34" s="6"/>
    </row>
    <row r="35" spans="1:21" customFormat="1">
      <c r="A35" s="201" t="s">
        <v>2762</v>
      </c>
      <c r="B35" s="100">
        <v>9.2100000000000009</v>
      </c>
      <c r="C35" s="100">
        <v>6.43</v>
      </c>
      <c r="D35" s="100">
        <v>10.75</v>
      </c>
      <c r="E35" s="100">
        <v>6.16</v>
      </c>
      <c r="F35" s="100">
        <v>2</v>
      </c>
      <c r="G35" s="100">
        <v>59.37</v>
      </c>
      <c r="H35" s="100">
        <v>24.49</v>
      </c>
      <c r="I35" s="100">
        <v>6.44</v>
      </c>
      <c r="J35" s="100">
        <v>0.15</v>
      </c>
      <c r="K35" s="100">
        <v>148.46</v>
      </c>
      <c r="L35" s="100">
        <v>15.17</v>
      </c>
      <c r="M35" s="100">
        <v>19.78</v>
      </c>
      <c r="N35" s="100">
        <v>22.4</v>
      </c>
      <c r="O35" s="100">
        <v>0</v>
      </c>
      <c r="P35" s="100">
        <v>0.39</v>
      </c>
      <c r="Q35" s="100">
        <v>9.32</v>
      </c>
      <c r="R35" s="6"/>
      <c r="S35" s="6"/>
      <c r="T35" s="156"/>
      <c r="U35" s="6"/>
    </row>
    <row r="36" spans="1:21" customFormat="1">
      <c r="A36" s="201" t="s">
        <v>2763</v>
      </c>
      <c r="B36" s="100">
        <v>9.3699999999999992</v>
      </c>
      <c r="C36" s="100">
        <v>6.58</v>
      </c>
      <c r="D36" s="100">
        <v>10.95</v>
      </c>
      <c r="E36" s="100">
        <v>6.21</v>
      </c>
      <c r="F36" s="100">
        <v>2</v>
      </c>
      <c r="G36" s="100">
        <v>60.5</v>
      </c>
      <c r="H36" s="100">
        <v>24.52</v>
      </c>
      <c r="I36" s="100">
        <v>6.47</v>
      </c>
      <c r="J36" s="100">
        <v>0.14000000000000001</v>
      </c>
      <c r="K36" s="100">
        <v>64.47</v>
      </c>
      <c r="L36" s="100">
        <v>13.1</v>
      </c>
      <c r="M36" s="100">
        <v>14.13</v>
      </c>
      <c r="N36" s="100">
        <v>40.700000000000003</v>
      </c>
      <c r="O36" s="100">
        <v>0</v>
      </c>
      <c r="P36" s="100">
        <v>0.39</v>
      </c>
      <c r="Q36" s="100">
        <v>9.32</v>
      </c>
      <c r="R36" s="6"/>
      <c r="S36" s="6"/>
      <c r="T36" s="156"/>
      <c r="U36" s="6"/>
    </row>
    <row r="37" spans="1:21" customFormat="1">
      <c r="A37" s="201" t="s">
        <v>2764</v>
      </c>
      <c r="B37" s="100">
        <v>9.49</v>
      </c>
      <c r="C37" s="100">
        <v>6.67</v>
      </c>
      <c r="D37" s="100">
        <v>11.09</v>
      </c>
      <c r="E37" s="100">
        <v>6</v>
      </c>
      <c r="F37" s="100">
        <v>2</v>
      </c>
      <c r="G37" s="100">
        <v>60.5</v>
      </c>
      <c r="H37" s="100">
        <v>24.52</v>
      </c>
      <c r="I37" s="100">
        <v>6.52</v>
      </c>
      <c r="J37" s="100">
        <v>0.37</v>
      </c>
      <c r="K37" s="100">
        <v>45.4</v>
      </c>
      <c r="L37" s="100">
        <v>8</v>
      </c>
      <c r="M37" s="100">
        <v>1.04</v>
      </c>
      <c r="N37" s="100">
        <v>43.3</v>
      </c>
      <c r="O37" s="100">
        <v>0</v>
      </c>
      <c r="P37" s="100">
        <v>0.41</v>
      </c>
      <c r="Q37" s="100">
        <v>9.32</v>
      </c>
      <c r="R37" s="6"/>
      <c r="S37" s="6"/>
      <c r="T37" s="156"/>
      <c r="U37" s="6"/>
    </row>
    <row r="38" spans="1:21" customFormat="1">
      <c r="A38" s="201" t="s">
        <v>2765</v>
      </c>
      <c r="B38" s="100">
        <v>9.6300000000000008</v>
      </c>
      <c r="C38" s="100">
        <v>6.67</v>
      </c>
      <c r="D38" s="100">
        <v>11.21</v>
      </c>
      <c r="E38" s="100">
        <v>6.68</v>
      </c>
      <c r="F38" s="100">
        <v>2</v>
      </c>
      <c r="G38" s="100">
        <v>60.5</v>
      </c>
      <c r="H38" s="100">
        <v>24.52</v>
      </c>
      <c r="I38" s="100">
        <v>6.57</v>
      </c>
      <c r="J38" s="100">
        <v>0.26</v>
      </c>
      <c r="K38" s="100">
        <v>58.44</v>
      </c>
      <c r="L38" s="100">
        <v>9.93</v>
      </c>
      <c r="M38" s="100">
        <v>5.81</v>
      </c>
      <c r="N38" s="100">
        <v>50.6</v>
      </c>
      <c r="O38" s="100">
        <v>0</v>
      </c>
      <c r="P38" s="100">
        <v>0.39</v>
      </c>
      <c r="Q38" s="100">
        <v>9.32</v>
      </c>
      <c r="R38" s="6"/>
      <c r="S38" s="6"/>
      <c r="T38" s="156"/>
      <c r="U38" s="6"/>
    </row>
    <row r="39" spans="1:21" customFormat="1">
      <c r="A39" s="201" t="s">
        <v>2766</v>
      </c>
      <c r="B39" s="100">
        <v>9.76</v>
      </c>
      <c r="C39" s="100">
        <v>6.84</v>
      </c>
      <c r="D39" s="100">
        <v>11.4</v>
      </c>
      <c r="E39" s="100">
        <v>6.5</v>
      </c>
      <c r="F39" s="100">
        <v>2</v>
      </c>
      <c r="G39" s="100">
        <v>69.53</v>
      </c>
      <c r="H39" s="100">
        <v>36.68</v>
      </c>
      <c r="I39" s="100">
        <v>6.62</v>
      </c>
      <c r="J39" s="100">
        <v>0.31</v>
      </c>
      <c r="K39" s="100">
        <v>40.119999999999997</v>
      </c>
      <c r="L39" s="100">
        <v>8.68</v>
      </c>
      <c r="M39" s="100">
        <v>1.57</v>
      </c>
      <c r="N39" s="100">
        <v>92.2</v>
      </c>
      <c r="O39" s="100">
        <v>0</v>
      </c>
      <c r="P39" s="100">
        <v>0.41</v>
      </c>
      <c r="Q39" s="100">
        <v>9.32</v>
      </c>
      <c r="R39" s="6"/>
      <c r="S39" s="6"/>
      <c r="T39" s="156"/>
      <c r="U39" s="6"/>
    </row>
    <row r="40" spans="1:21" customFormat="1">
      <c r="A40" s="201" t="s">
        <v>2767</v>
      </c>
      <c r="B40" s="100">
        <v>9.9499999999999993</v>
      </c>
      <c r="C40" s="100">
        <v>6.9</v>
      </c>
      <c r="D40" s="100">
        <v>11.58</v>
      </c>
      <c r="E40" s="100">
        <v>7.18</v>
      </c>
      <c r="F40" s="100">
        <v>2</v>
      </c>
      <c r="G40" s="100">
        <v>72.81</v>
      </c>
      <c r="H40" s="100">
        <v>37.270000000000003</v>
      </c>
      <c r="I40" s="100">
        <v>6.69</v>
      </c>
      <c r="J40" s="100">
        <v>0.34</v>
      </c>
      <c r="K40" s="100">
        <v>54.82</v>
      </c>
      <c r="L40" s="100">
        <v>10.14</v>
      </c>
      <c r="M40" s="100">
        <v>3.69</v>
      </c>
      <c r="N40" s="100">
        <v>155.30000000000001</v>
      </c>
      <c r="O40" s="100">
        <v>0</v>
      </c>
      <c r="P40" s="100">
        <v>0.41</v>
      </c>
      <c r="Q40" s="100">
        <v>9.32</v>
      </c>
      <c r="R40" s="6"/>
      <c r="S40" s="6"/>
      <c r="T40" s="156"/>
      <c r="U40" s="6"/>
    </row>
    <row r="41" spans="1:21" customFormat="1">
      <c r="A41" s="201" t="s">
        <v>2768</v>
      </c>
      <c r="B41" s="100">
        <v>9.9600000000000009</v>
      </c>
      <c r="C41" s="100">
        <v>6.85</v>
      </c>
      <c r="D41" s="100">
        <v>11.57</v>
      </c>
      <c r="E41" s="100">
        <v>6.77</v>
      </c>
      <c r="F41" s="100">
        <v>2</v>
      </c>
      <c r="G41" s="100">
        <v>72.81</v>
      </c>
      <c r="H41" s="100">
        <v>37.270000000000003</v>
      </c>
      <c r="I41" s="100">
        <v>6.78</v>
      </c>
      <c r="J41" s="100">
        <v>0.43</v>
      </c>
      <c r="K41" s="100">
        <v>51.25</v>
      </c>
      <c r="L41" s="100">
        <v>9.86</v>
      </c>
      <c r="M41" s="100">
        <v>1.72</v>
      </c>
      <c r="N41" s="100">
        <v>212.5</v>
      </c>
      <c r="O41" s="100">
        <v>0</v>
      </c>
      <c r="P41" s="100">
        <v>0.41</v>
      </c>
      <c r="Q41" s="100">
        <v>9.32</v>
      </c>
      <c r="R41" s="6"/>
      <c r="S41" s="6"/>
      <c r="T41" s="156"/>
      <c r="U41" s="6"/>
    </row>
    <row r="42" spans="1:21" customFormat="1">
      <c r="A42" s="201" t="s">
        <v>2769</v>
      </c>
      <c r="B42" s="100">
        <v>9.86</v>
      </c>
      <c r="C42" s="100">
        <v>6.84</v>
      </c>
      <c r="D42" s="100">
        <v>11.48</v>
      </c>
      <c r="E42" s="100">
        <v>6.51</v>
      </c>
      <c r="F42" s="100">
        <v>2</v>
      </c>
      <c r="G42" s="100">
        <v>72.81</v>
      </c>
      <c r="H42" s="100">
        <v>37.270000000000003</v>
      </c>
      <c r="I42" s="100">
        <v>6.82</v>
      </c>
      <c r="J42" s="100">
        <v>0.36</v>
      </c>
      <c r="K42" s="100">
        <v>56.56</v>
      </c>
      <c r="L42" s="100">
        <v>11.37</v>
      </c>
      <c r="M42" s="100">
        <v>5.17</v>
      </c>
      <c r="N42" s="100">
        <v>228.7</v>
      </c>
      <c r="O42" s="100">
        <v>0</v>
      </c>
      <c r="P42" s="100">
        <v>0.41</v>
      </c>
      <c r="Q42" s="100">
        <v>9.32</v>
      </c>
      <c r="R42" s="6"/>
      <c r="S42" s="6"/>
      <c r="T42" s="156"/>
      <c r="U42" s="6"/>
    </row>
    <row r="43" spans="1:21" customFormat="1">
      <c r="A43" s="201" t="s">
        <v>2770</v>
      </c>
      <c r="B43" s="100">
        <v>9.76</v>
      </c>
      <c r="C43" s="100">
        <v>7.02</v>
      </c>
      <c r="D43" s="100">
        <v>11.49</v>
      </c>
      <c r="E43" s="100">
        <v>6.88</v>
      </c>
      <c r="F43" s="100">
        <v>2</v>
      </c>
      <c r="G43" s="100">
        <v>69.27</v>
      </c>
      <c r="H43" s="100">
        <v>32.14</v>
      </c>
      <c r="I43" s="100">
        <v>6.79</v>
      </c>
      <c r="J43" s="100">
        <v>0.3</v>
      </c>
      <c r="K43" s="100">
        <v>66.349999999999994</v>
      </c>
      <c r="L43" s="100">
        <v>12.55</v>
      </c>
      <c r="M43" s="100">
        <v>6.61</v>
      </c>
      <c r="N43" s="100">
        <v>285.2</v>
      </c>
      <c r="O43" s="100">
        <v>0</v>
      </c>
      <c r="P43" s="100">
        <v>0.4</v>
      </c>
      <c r="Q43" s="100">
        <v>11.18</v>
      </c>
      <c r="R43" s="6"/>
      <c r="S43" s="6"/>
      <c r="T43" s="156"/>
      <c r="U43" s="6"/>
    </row>
    <row r="44" spans="1:21" customFormat="1">
      <c r="A44" s="201" t="s">
        <v>2771</v>
      </c>
      <c r="B44" s="100">
        <v>9.77</v>
      </c>
      <c r="C44" s="100">
        <v>7.05</v>
      </c>
      <c r="D44" s="100">
        <v>11.52</v>
      </c>
      <c r="E44" s="100">
        <v>7.3</v>
      </c>
      <c r="F44" s="100">
        <v>2</v>
      </c>
      <c r="G44" s="100">
        <v>67.98</v>
      </c>
      <c r="H44" s="100">
        <v>31.98</v>
      </c>
      <c r="I44" s="100">
        <v>6.75</v>
      </c>
      <c r="J44" s="100">
        <v>0.4</v>
      </c>
      <c r="K44" s="100">
        <v>62.79</v>
      </c>
      <c r="L44" s="100">
        <v>11.65</v>
      </c>
      <c r="M44" s="100">
        <v>4.99</v>
      </c>
      <c r="N44" s="100">
        <v>264.5</v>
      </c>
      <c r="O44" s="100">
        <v>0</v>
      </c>
      <c r="P44" s="100">
        <v>0.39</v>
      </c>
      <c r="Q44" s="100">
        <v>9.91</v>
      </c>
      <c r="R44" s="6"/>
      <c r="S44" s="6"/>
      <c r="T44" s="156"/>
      <c r="U44" s="6"/>
    </row>
    <row r="45" spans="1:21" customFormat="1">
      <c r="A45" s="201" t="s">
        <v>2772</v>
      </c>
      <c r="B45" s="100">
        <v>9.6199999999999992</v>
      </c>
      <c r="C45" s="100">
        <v>7.13</v>
      </c>
      <c r="D45" s="100">
        <v>11.44</v>
      </c>
      <c r="E45" s="100">
        <v>7</v>
      </c>
      <c r="F45" s="100">
        <v>2</v>
      </c>
      <c r="G45" s="100">
        <v>67.98</v>
      </c>
      <c r="H45" s="100">
        <v>31.98</v>
      </c>
      <c r="I45" s="100">
        <v>6.69</v>
      </c>
      <c r="J45" s="100">
        <v>0.33</v>
      </c>
      <c r="K45" s="100">
        <v>80.069999999999993</v>
      </c>
      <c r="L45" s="100">
        <v>13.58</v>
      </c>
      <c r="M45" s="100">
        <v>9.3000000000000007</v>
      </c>
      <c r="N45" s="100">
        <v>290.8</v>
      </c>
      <c r="O45" s="100">
        <v>0</v>
      </c>
      <c r="P45" s="100">
        <v>0.4</v>
      </c>
      <c r="Q45" s="100">
        <v>9.6199999999999992</v>
      </c>
      <c r="R45" s="6"/>
      <c r="S45" s="6"/>
      <c r="T45" s="156"/>
      <c r="U45" s="6"/>
    </row>
    <row r="46" spans="1:21" customFormat="1">
      <c r="A46" s="201" t="s">
        <v>2773</v>
      </c>
      <c r="B46" s="100">
        <v>9.25</v>
      </c>
      <c r="C46" s="100">
        <v>6.92</v>
      </c>
      <c r="D46" s="100">
        <v>11.03</v>
      </c>
      <c r="E46" s="100">
        <v>6.31</v>
      </c>
      <c r="F46" s="100">
        <v>2</v>
      </c>
      <c r="G46" s="100">
        <v>67.98</v>
      </c>
      <c r="H46" s="100">
        <v>31.98</v>
      </c>
      <c r="I46" s="100">
        <v>6.6</v>
      </c>
      <c r="J46" s="100">
        <v>0.24</v>
      </c>
      <c r="K46" s="100">
        <v>97.78</v>
      </c>
      <c r="L46" s="100">
        <v>16.11</v>
      </c>
      <c r="M46" s="100">
        <v>12.06</v>
      </c>
      <c r="N46" s="100">
        <v>447.9</v>
      </c>
      <c r="O46" s="100">
        <v>0</v>
      </c>
      <c r="P46" s="100">
        <v>0.38</v>
      </c>
      <c r="Q46" s="100">
        <v>9.8699999999999992</v>
      </c>
      <c r="R46" s="6"/>
      <c r="S46" s="6"/>
      <c r="T46" s="156"/>
      <c r="U46" s="6"/>
    </row>
    <row r="47" spans="1:21" customFormat="1">
      <c r="A47" s="201" t="s">
        <v>2774</v>
      </c>
      <c r="B47" s="100">
        <v>8.6999999999999993</v>
      </c>
      <c r="C47" s="100">
        <v>7.06</v>
      </c>
      <c r="D47" s="100">
        <v>10.67</v>
      </c>
      <c r="E47" s="100">
        <v>5.79</v>
      </c>
      <c r="F47" s="100">
        <v>2</v>
      </c>
      <c r="G47" s="100">
        <v>63.11</v>
      </c>
      <c r="H47" s="100">
        <v>28.67</v>
      </c>
      <c r="I47" s="100">
        <v>6.53</v>
      </c>
      <c r="J47" s="100">
        <v>0.23</v>
      </c>
      <c r="K47" s="100">
        <v>127.33</v>
      </c>
      <c r="L47" s="100">
        <v>17.53</v>
      </c>
      <c r="M47" s="100">
        <v>17.600000000000001</v>
      </c>
      <c r="N47" s="100">
        <v>359.8</v>
      </c>
      <c r="O47" s="100">
        <v>0</v>
      </c>
      <c r="P47" s="100">
        <v>0.37</v>
      </c>
      <c r="Q47" s="100">
        <v>9.5</v>
      </c>
      <c r="R47" s="6"/>
      <c r="S47" s="6"/>
      <c r="T47" s="156"/>
      <c r="U47" s="6"/>
    </row>
    <row r="48" spans="1:21" customFormat="1">
      <c r="A48" s="201" t="s">
        <v>2775</v>
      </c>
      <c r="B48" s="100">
        <v>8.39</v>
      </c>
      <c r="C48" s="100">
        <v>7.11</v>
      </c>
      <c r="D48" s="100">
        <v>10.44</v>
      </c>
      <c r="E48" s="100">
        <v>6.05</v>
      </c>
      <c r="F48" s="100">
        <v>2</v>
      </c>
      <c r="G48" s="100">
        <v>61.34</v>
      </c>
      <c r="H48" s="100">
        <v>28.57</v>
      </c>
      <c r="I48" s="100">
        <v>6.38</v>
      </c>
      <c r="J48" s="100">
        <v>0.3</v>
      </c>
      <c r="K48" s="100">
        <v>88.83</v>
      </c>
      <c r="L48" s="100">
        <v>13.9</v>
      </c>
      <c r="M48" s="100">
        <v>9.34</v>
      </c>
      <c r="N48" s="100">
        <v>326.5</v>
      </c>
      <c r="O48" s="100">
        <v>0</v>
      </c>
      <c r="P48" s="100">
        <v>0.37</v>
      </c>
      <c r="Q48" s="100">
        <v>9.34</v>
      </c>
      <c r="R48" s="6"/>
      <c r="S48" s="6"/>
      <c r="T48" s="156"/>
      <c r="U48" s="6"/>
    </row>
    <row r="49" spans="1:21" customFormat="1">
      <c r="A49" s="201" t="s">
        <v>2776</v>
      </c>
      <c r="B49" s="100">
        <v>7.96</v>
      </c>
      <c r="C49" s="100">
        <v>7.21</v>
      </c>
      <c r="D49" s="100">
        <v>10.15</v>
      </c>
      <c r="E49" s="100">
        <v>5.84</v>
      </c>
      <c r="F49" s="100">
        <v>2</v>
      </c>
      <c r="G49" s="100">
        <v>61.34</v>
      </c>
      <c r="H49" s="100">
        <v>28.57</v>
      </c>
      <c r="I49" s="100">
        <v>6.31</v>
      </c>
      <c r="J49" s="100">
        <v>0.28999999999999998</v>
      </c>
      <c r="K49" s="100">
        <v>101.8</v>
      </c>
      <c r="L49" s="100">
        <v>15.31</v>
      </c>
      <c r="M49" s="100">
        <v>11.84</v>
      </c>
      <c r="N49" s="100">
        <v>368.3</v>
      </c>
      <c r="O49" s="100">
        <v>0</v>
      </c>
      <c r="P49" s="100">
        <v>0.36</v>
      </c>
      <c r="Q49" s="100">
        <v>9.32</v>
      </c>
      <c r="R49" s="6"/>
      <c r="S49" s="6"/>
      <c r="T49" s="156"/>
      <c r="U49" s="6"/>
    </row>
    <row r="50" spans="1:21" customFormat="1">
      <c r="A50" s="201" t="s">
        <v>2777</v>
      </c>
      <c r="B50" s="100">
        <v>7.63</v>
      </c>
      <c r="C50" s="100">
        <v>7.23</v>
      </c>
      <c r="D50" s="100">
        <v>9.89</v>
      </c>
      <c r="E50" s="100">
        <v>7.04</v>
      </c>
      <c r="F50" s="100">
        <v>2</v>
      </c>
      <c r="G50" s="100">
        <v>61.34</v>
      </c>
      <c r="H50" s="100">
        <v>28.57</v>
      </c>
      <c r="I50" s="100">
        <v>6.25</v>
      </c>
      <c r="J50" s="100">
        <v>0.27</v>
      </c>
      <c r="K50" s="100">
        <v>118.16</v>
      </c>
      <c r="L50" s="100">
        <v>16.739999999999998</v>
      </c>
      <c r="M50" s="100">
        <v>13.45</v>
      </c>
      <c r="N50" s="100">
        <v>452.2</v>
      </c>
      <c r="O50" s="100">
        <v>0</v>
      </c>
      <c r="P50" s="100">
        <v>0.35</v>
      </c>
      <c r="Q50" s="100">
        <v>9.7100000000000009</v>
      </c>
      <c r="R50" s="6"/>
      <c r="S50" s="6"/>
      <c r="T50" s="156"/>
      <c r="U50" s="6"/>
    </row>
    <row r="51" spans="1:21" customFormat="1">
      <c r="A51" s="201" t="s">
        <v>2778</v>
      </c>
      <c r="B51" s="100">
        <v>7.16</v>
      </c>
      <c r="C51" s="100">
        <v>7.2</v>
      </c>
      <c r="D51" s="100">
        <v>9.5</v>
      </c>
      <c r="E51" s="100">
        <v>6.76</v>
      </c>
      <c r="F51" s="100">
        <v>2</v>
      </c>
      <c r="G51" s="100">
        <v>51.3</v>
      </c>
      <c r="H51" s="100">
        <v>25.1</v>
      </c>
      <c r="I51" s="100">
        <v>6.15</v>
      </c>
      <c r="J51" s="100">
        <v>0.41</v>
      </c>
      <c r="K51" s="100">
        <v>82.54</v>
      </c>
      <c r="L51" s="100">
        <v>15.46</v>
      </c>
      <c r="M51" s="100">
        <v>10.83</v>
      </c>
      <c r="N51" s="100">
        <v>429.5</v>
      </c>
      <c r="O51" s="100">
        <v>0</v>
      </c>
      <c r="P51" s="100">
        <v>0.35</v>
      </c>
      <c r="Q51" s="100">
        <v>9.3800000000000008</v>
      </c>
      <c r="R51" s="6"/>
      <c r="S51" s="6"/>
      <c r="T51" s="156"/>
      <c r="U51" s="6"/>
    </row>
    <row r="52" spans="1:21" customFormat="1">
      <c r="A52" s="201" t="s">
        <v>2779</v>
      </c>
      <c r="B52" s="100">
        <v>6.91</v>
      </c>
      <c r="C52" s="100">
        <v>7.18</v>
      </c>
      <c r="D52" s="100">
        <v>9.3000000000000007</v>
      </c>
      <c r="E52" s="100">
        <v>6.69</v>
      </c>
      <c r="F52" s="100">
        <v>2</v>
      </c>
      <c r="G52" s="100">
        <v>47.65</v>
      </c>
      <c r="H52" s="100">
        <v>25.05</v>
      </c>
      <c r="I52" s="100">
        <v>6.05</v>
      </c>
      <c r="J52" s="100">
        <v>0.48</v>
      </c>
      <c r="K52" s="100">
        <v>73.28</v>
      </c>
      <c r="L52" s="100">
        <v>13.61</v>
      </c>
      <c r="M52" s="100">
        <v>7.01</v>
      </c>
      <c r="N52" s="100">
        <v>393.4</v>
      </c>
      <c r="O52" s="100">
        <v>0</v>
      </c>
      <c r="P52" s="100">
        <v>0.33</v>
      </c>
      <c r="Q52" s="100">
        <v>9.4499999999999993</v>
      </c>
      <c r="R52" s="6"/>
      <c r="S52" s="6"/>
      <c r="T52" s="156"/>
      <c r="U52" s="6"/>
    </row>
    <row r="53" spans="1:21" customFormat="1">
      <c r="A53" s="201" t="s">
        <v>2780</v>
      </c>
      <c r="B53" s="100">
        <v>6.6</v>
      </c>
      <c r="C53" s="100">
        <v>7.09</v>
      </c>
      <c r="D53" s="100">
        <v>9</v>
      </c>
      <c r="E53" s="100">
        <v>6.73</v>
      </c>
      <c r="F53" s="100">
        <v>2</v>
      </c>
      <c r="G53" s="100">
        <v>47.65</v>
      </c>
      <c r="H53" s="100">
        <v>25.05</v>
      </c>
      <c r="I53" s="100">
        <v>5.98</v>
      </c>
      <c r="J53" s="100">
        <v>0.22</v>
      </c>
      <c r="K53" s="100">
        <v>130.11000000000001</v>
      </c>
      <c r="L53" s="100">
        <v>16.39</v>
      </c>
      <c r="M53" s="100">
        <v>15.99</v>
      </c>
      <c r="N53" s="100">
        <v>312.3</v>
      </c>
      <c r="O53" s="100">
        <v>0</v>
      </c>
      <c r="P53" s="100">
        <v>0.3</v>
      </c>
      <c r="Q53" s="100">
        <v>10</v>
      </c>
      <c r="R53" s="6"/>
      <c r="S53" s="6"/>
      <c r="T53" s="156"/>
      <c r="U53" s="6"/>
    </row>
    <row r="54" spans="1:21" customFormat="1">
      <c r="A54" s="201" t="s">
        <v>2781</v>
      </c>
      <c r="B54" s="100">
        <v>6.15</v>
      </c>
      <c r="C54" s="100">
        <v>7.04</v>
      </c>
      <c r="D54" s="100">
        <v>8.61</v>
      </c>
      <c r="E54" s="100">
        <v>6.68</v>
      </c>
      <c r="F54" s="100">
        <v>2</v>
      </c>
      <c r="G54" s="100">
        <v>47.65</v>
      </c>
      <c r="H54" s="100">
        <v>25.05</v>
      </c>
      <c r="I54" s="100">
        <v>5.92</v>
      </c>
      <c r="J54" s="100">
        <v>0.24</v>
      </c>
      <c r="K54" s="100">
        <v>157.46</v>
      </c>
      <c r="L54" s="100">
        <v>18.82</v>
      </c>
      <c r="M54" s="100">
        <v>20.399999999999999</v>
      </c>
      <c r="N54" s="100">
        <v>378.2</v>
      </c>
      <c r="O54" s="100">
        <v>0</v>
      </c>
      <c r="P54" s="100">
        <v>0.28000000000000003</v>
      </c>
      <c r="Q54" s="100">
        <v>9.6999999999999993</v>
      </c>
      <c r="R54" s="6"/>
      <c r="S54" s="6"/>
      <c r="T54" s="156"/>
      <c r="U54" s="6"/>
    </row>
    <row r="55" spans="1:21" customFormat="1">
      <c r="A55" s="201" t="s">
        <v>2782</v>
      </c>
      <c r="B55" s="100">
        <v>5.64</v>
      </c>
      <c r="C55" s="100">
        <v>6.94</v>
      </c>
      <c r="D55" s="100">
        <v>8.15</v>
      </c>
      <c r="E55" s="100">
        <v>6.63</v>
      </c>
      <c r="F55" s="100">
        <v>2</v>
      </c>
      <c r="G55" s="100">
        <v>44.32</v>
      </c>
      <c r="H55" s="100">
        <v>17.09</v>
      </c>
      <c r="I55" s="100">
        <v>5.76</v>
      </c>
      <c r="J55" s="100">
        <v>0.22</v>
      </c>
      <c r="K55" s="100">
        <v>95.14</v>
      </c>
      <c r="L55" s="100">
        <v>17.940000000000001</v>
      </c>
      <c r="M55" s="100">
        <v>13.64</v>
      </c>
      <c r="N55" s="100">
        <v>570.4</v>
      </c>
      <c r="O55" s="100">
        <v>0</v>
      </c>
      <c r="P55" s="100">
        <v>0.26</v>
      </c>
      <c r="Q55" s="100">
        <v>9.69</v>
      </c>
      <c r="R55" s="6"/>
      <c r="S55" s="6"/>
      <c r="T55" s="156"/>
      <c r="U55" s="6"/>
    </row>
    <row r="56" spans="1:21" customFormat="1">
      <c r="A56" s="201" t="s">
        <v>2783</v>
      </c>
      <c r="B56" s="100">
        <v>5.24</v>
      </c>
      <c r="C56" s="100">
        <v>6.81</v>
      </c>
      <c r="D56" s="100">
        <v>7.76</v>
      </c>
      <c r="E56" s="100">
        <v>6.63</v>
      </c>
      <c r="F56" s="100">
        <v>2</v>
      </c>
      <c r="G56" s="100">
        <v>43.1</v>
      </c>
      <c r="H56" s="100">
        <v>16.899999999999999</v>
      </c>
      <c r="I56" s="100">
        <v>5.55</v>
      </c>
      <c r="J56" s="100">
        <v>0.16</v>
      </c>
      <c r="K56" s="100">
        <v>118.37</v>
      </c>
      <c r="L56" s="100">
        <v>19.79</v>
      </c>
      <c r="M56" s="100">
        <v>17.829999999999998</v>
      </c>
      <c r="N56" s="100">
        <v>588</v>
      </c>
      <c r="O56" s="100">
        <v>0</v>
      </c>
      <c r="P56" s="100">
        <v>0.25</v>
      </c>
      <c r="Q56" s="100">
        <v>9.64</v>
      </c>
      <c r="R56" s="6"/>
      <c r="S56" s="6"/>
      <c r="T56" s="156"/>
      <c r="U56" s="6"/>
    </row>
    <row r="57" spans="1:21" customFormat="1">
      <c r="A57" s="201" t="s">
        <v>2784</v>
      </c>
      <c r="B57" s="100">
        <v>4.95</v>
      </c>
      <c r="C57" s="100">
        <v>6.64</v>
      </c>
      <c r="D57" s="100">
        <v>7.44</v>
      </c>
      <c r="E57" s="100">
        <v>7.1</v>
      </c>
      <c r="F57" s="100">
        <v>2</v>
      </c>
      <c r="G57" s="100">
        <v>43.1</v>
      </c>
      <c r="H57" s="100">
        <v>16.899999999999999</v>
      </c>
      <c r="I57" s="100">
        <v>5.4</v>
      </c>
      <c r="J57" s="100">
        <v>0.25</v>
      </c>
      <c r="K57" s="100">
        <v>120.16</v>
      </c>
      <c r="L57" s="100">
        <v>18.28</v>
      </c>
      <c r="M57" s="100">
        <v>16.350000000000001</v>
      </c>
      <c r="N57" s="100">
        <v>490.6</v>
      </c>
      <c r="O57" s="100">
        <v>0</v>
      </c>
      <c r="P57" s="100">
        <v>0.26</v>
      </c>
      <c r="Q57" s="100">
        <v>9.4</v>
      </c>
      <c r="R57" s="6"/>
      <c r="S57" s="6"/>
      <c r="T57" s="156"/>
      <c r="U57" s="6"/>
    </row>
    <row r="58" spans="1:21" customFormat="1">
      <c r="A58" s="201" t="s">
        <v>2785</v>
      </c>
      <c r="B58" s="100">
        <v>4.67</v>
      </c>
      <c r="C58" s="100">
        <v>6.55</v>
      </c>
      <c r="D58" s="100">
        <v>7.16</v>
      </c>
      <c r="E58" s="100">
        <v>7.27</v>
      </c>
      <c r="F58" s="100">
        <v>2</v>
      </c>
      <c r="G58" s="100">
        <v>43.1</v>
      </c>
      <c r="H58" s="100">
        <v>16.899999999999999</v>
      </c>
      <c r="I58" s="100">
        <v>5.37</v>
      </c>
      <c r="J58" s="100">
        <v>0.42</v>
      </c>
      <c r="K58" s="100">
        <v>65.81</v>
      </c>
      <c r="L58" s="100">
        <v>15.45</v>
      </c>
      <c r="M58" s="100">
        <v>10.29</v>
      </c>
      <c r="N58" s="100">
        <v>444.3</v>
      </c>
      <c r="O58" s="100">
        <v>0</v>
      </c>
      <c r="P58" s="100">
        <v>0.27</v>
      </c>
      <c r="Q58" s="100">
        <v>9.32</v>
      </c>
      <c r="R58" s="6"/>
      <c r="S58" s="6"/>
      <c r="T58" s="156"/>
      <c r="U58" s="6"/>
    </row>
    <row r="59" spans="1:21" customFormat="1">
      <c r="A59" s="201" t="s">
        <v>2786</v>
      </c>
      <c r="B59" s="100">
        <v>4.51</v>
      </c>
      <c r="C59" s="100">
        <v>6.58</v>
      </c>
      <c r="D59" s="100">
        <v>7.05</v>
      </c>
      <c r="E59" s="100">
        <v>8.2200000000000006</v>
      </c>
      <c r="F59" s="100">
        <v>2</v>
      </c>
      <c r="G59" s="100">
        <v>55.6</v>
      </c>
      <c r="H59" s="100">
        <v>29.66</v>
      </c>
      <c r="I59" s="100">
        <v>5.6</v>
      </c>
      <c r="J59" s="100">
        <v>0.41</v>
      </c>
      <c r="K59" s="100">
        <v>75.06</v>
      </c>
      <c r="L59" s="100">
        <v>14.2</v>
      </c>
      <c r="M59" s="100">
        <v>11.19</v>
      </c>
      <c r="N59" s="100">
        <v>273.39999999999998</v>
      </c>
      <c r="O59" s="100">
        <v>0</v>
      </c>
      <c r="P59" s="100">
        <v>0.27</v>
      </c>
      <c r="Q59" s="100">
        <v>9.32</v>
      </c>
      <c r="R59" s="6"/>
      <c r="S59" s="6"/>
      <c r="T59" s="156"/>
      <c r="U59" s="6"/>
    </row>
    <row r="60" spans="1:21" customFormat="1">
      <c r="A60" s="201" t="s">
        <v>2787</v>
      </c>
      <c r="B60" s="100">
        <v>4.4000000000000004</v>
      </c>
      <c r="C60" s="100">
        <v>6.63</v>
      </c>
      <c r="D60" s="100">
        <v>6.99</v>
      </c>
      <c r="E60" s="100">
        <v>8.09</v>
      </c>
      <c r="F60" s="100">
        <v>2</v>
      </c>
      <c r="G60" s="100">
        <v>60.14</v>
      </c>
      <c r="H60" s="100">
        <v>29.86</v>
      </c>
      <c r="I60" s="100">
        <v>6.13</v>
      </c>
      <c r="J60" s="100">
        <v>0.27</v>
      </c>
      <c r="K60" s="100">
        <v>115.27</v>
      </c>
      <c r="L60" s="100">
        <v>17.309999999999999</v>
      </c>
      <c r="M60" s="100">
        <v>16.28</v>
      </c>
      <c r="N60" s="100">
        <v>390.3</v>
      </c>
      <c r="O60" s="100">
        <v>0</v>
      </c>
      <c r="P60" s="100">
        <v>0.3</v>
      </c>
      <c r="Q60" s="100">
        <v>9.32</v>
      </c>
      <c r="R60" s="6"/>
      <c r="S60" s="6"/>
      <c r="T60" s="156"/>
      <c r="U60" s="6"/>
    </row>
    <row r="61" spans="1:21" customFormat="1">
      <c r="A61" s="201" t="s">
        <v>2788</v>
      </c>
      <c r="B61" s="100">
        <v>4.26</v>
      </c>
      <c r="C61" s="100">
        <v>6.43</v>
      </c>
      <c r="D61" s="100">
        <v>6.78</v>
      </c>
      <c r="E61" s="100">
        <v>8.41</v>
      </c>
      <c r="F61" s="100">
        <v>2</v>
      </c>
      <c r="G61" s="100">
        <v>60.14</v>
      </c>
      <c r="H61" s="100">
        <v>29.86</v>
      </c>
      <c r="I61" s="100">
        <v>6.44</v>
      </c>
      <c r="J61" s="100">
        <v>0.47</v>
      </c>
      <c r="K61" s="100">
        <v>52.01</v>
      </c>
      <c r="L61" s="100">
        <v>14.43</v>
      </c>
      <c r="M61" s="100">
        <v>7.64</v>
      </c>
      <c r="N61" s="100">
        <v>447</v>
      </c>
      <c r="O61" s="100">
        <v>0</v>
      </c>
      <c r="P61" s="100">
        <v>0.31</v>
      </c>
      <c r="Q61" s="100">
        <v>9.32</v>
      </c>
      <c r="R61" s="6"/>
      <c r="S61" s="6"/>
      <c r="T61" s="156"/>
      <c r="U61" s="6"/>
    </row>
    <row r="62" spans="1:21" customFormat="1">
      <c r="A62" s="201" t="s">
        <v>2789</v>
      </c>
      <c r="B62" s="100">
        <v>4.17</v>
      </c>
      <c r="C62" s="100">
        <v>6.43</v>
      </c>
      <c r="D62" s="100">
        <v>6.7</v>
      </c>
      <c r="E62" s="100">
        <v>8.5500000000000007</v>
      </c>
      <c r="F62" s="100">
        <v>2</v>
      </c>
      <c r="G62" s="100">
        <v>60.14</v>
      </c>
      <c r="H62" s="100">
        <v>29.86</v>
      </c>
      <c r="I62" s="100">
        <v>7.09</v>
      </c>
      <c r="J62" s="100">
        <v>0.3</v>
      </c>
      <c r="K62" s="100">
        <v>110.84</v>
      </c>
      <c r="L62" s="100">
        <v>18.11</v>
      </c>
      <c r="M62" s="100">
        <v>13.4</v>
      </c>
      <c r="N62" s="100">
        <v>599.5</v>
      </c>
      <c r="O62" s="100">
        <v>0</v>
      </c>
      <c r="P62" s="100">
        <v>0.34</v>
      </c>
      <c r="Q62" s="100">
        <v>9.32</v>
      </c>
      <c r="R62" s="6"/>
      <c r="S62" s="6"/>
      <c r="T62" s="156"/>
      <c r="U62" s="6"/>
    </row>
    <row r="63" spans="1:21" customFormat="1">
      <c r="A63" s="201" t="s">
        <v>2790</v>
      </c>
      <c r="B63" s="100">
        <v>3.92</v>
      </c>
      <c r="C63" s="100">
        <v>6.24</v>
      </c>
      <c r="D63" s="100">
        <v>6.41</v>
      </c>
      <c r="E63" s="100">
        <v>6.04</v>
      </c>
      <c r="F63" s="100">
        <v>2</v>
      </c>
      <c r="G63" s="100">
        <v>78.97</v>
      </c>
      <c r="H63" s="100">
        <v>42.31</v>
      </c>
      <c r="I63" s="100">
        <v>7.93</v>
      </c>
      <c r="J63" s="100">
        <v>0.27</v>
      </c>
      <c r="K63" s="100">
        <v>111.95</v>
      </c>
      <c r="L63" s="100">
        <v>16.600000000000001</v>
      </c>
      <c r="M63" s="100">
        <v>13.52</v>
      </c>
      <c r="N63" s="100">
        <v>446.8</v>
      </c>
      <c r="O63" s="100">
        <v>0</v>
      </c>
      <c r="P63" s="100">
        <v>0.32</v>
      </c>
      <c r="Q63" s="100">
        <v>9.32</v>
      </c>
      <c r="R63" s="6"/>
      <c r="S63" s="6"/>
      <c r="T63" s="156"/>
      <c r="U63" s="6"/>
    </row>
    <row r="64" spans="1:21" customFormat="1">
      <c r="A64" s="201" t="s">
        <v>2791</v>
      </c>
      <c r="B64" s="100">
        <v>3.86</v>
      </c>
      <c r="C64" s="100">
        <v>6.27</v>
      </c>
      <c r="D64" s="100">
        <v>6.37</v>
      </c>
      <c r="E64" s="100">
        <v>7.9</v>
      </c>
      <c r="F64" s="100">
        <v>2</v>
      </c>
      <c r="G64" s="100">
        <v>85.81</v>
      </c>
      <c r="H64" s="100">
        <v>42.5</v>
      </c>
      <c r="I64" s="100">
        <v>8.14</v>
      </c>
      <c r="J64" s="100">
        <v>0.51</v>
      </c>
      <c r="K64" s="100">
        <v>55.66</v>
      </c>
      <c r="L64" s="100">
        <v>11.38</v>
      </c>
      <c r="M64" s="100">
        <v>5.66</v>
      </c>
      <c r="N64" s="100">
        <v>204.8</v>
      </c>
      <c r="O64" s="100">
        <v>0</v>
      </c>
      <c r="P64" s="100">
        <v>0.32</v>
      </c>
      <c r="Q64" s="100">
        <v>9.32</v>
      </c>
      <c r="R64" s="6"/>
      <c r="S64" s="6"/>
      <c r="T64" s="156"/>
      <c r="U64" s="6"/>
    </row>
    <row r="65" spans="1:21" customFormat="1">
      <c r="A65" s="201" t="s">
        <v>2792</v>
      </c>
      <c r="B65" s="100">
        <v>3.76</v>
      </c>
      <c r="C65" s="100">
        <v>6.14</v>
      </c>
      <c r="D65" s="100">
        <v>6.22</v>
      </c>
      <c r="E65" s="100">
        <v>7.9</v>
      </c>
      <c r="F65" s="100">
        <v>2</v>
      </c>
      <c r="G65" s="100">
        <v>85.81</v>
      </c>
      <c r="H65" s="100">
        <v>42.5</v>
      </c>
      <c r="I65" s="100">
        <v>8.2200000000000006</v>
      </c>
      <c r="J65" s="100">
        <v>0.37</v>
      </c>
      <c r="K65" s="100">
        <v>141.43</v>
      </c>
      <c r="L65" s="100">
        <v>15.88</v>
      </c>
      <c r="M65" s="100">
        <v>19.010000000000002</v>
      </c>
      <c r="N65" s="100">
        <v>121.7</v>
      </c>
      <c r="O65" s="100">
        <v>0</v>
      </c>
      <c r="P65" s="100">
        <v>0.31</v>
      </c>
      <c r="Q65" s="100">
        <v>9.34</v>
      </c>
      <c r="R65" s="6"/>
      <c r="S65" s="6"/>
      <c r="T65" s="156"/>
      <c r="U65" s="6"/>
    </row>
    <row r="66" spans="1:21" customFormat="1">
      <c r="A66" s="201" t="s">
        <v>2793</v>
      </c>
      <c r="B66" s="100">
        <v>3.49</v>
      </c>
      <c r="C66" s="100">
        <v>6.04</v>
      </c>
      <c r="D66" s="100">
        <v>5.95</v>
      </c>
      <c r="E66" s="100">
        <v>7.71</v>
      </c>
      <c r="F66" s="100">
        <v>2</v>
      </c>
      <c r="G66" s="100">
        <v>85.81</v>
      </c>
      <c r="H66" s="100">
        <v>42.5</v>
      </c>
      <c r="I66" s="100">
        <v>8.25</v>
      </c>
      <c r="J66" s="100">
        <v>0.37</v>
      </c>
      <c r="K66" s="100">
        <v>73.36</v>
      </c>
      <c r="L66" s="100">
        <v>11.36</v>
      </c>
      <c r="M66" s="100">
        <v>8.09</v>
      </c>
      <c r="N66" s="100">
        <v>99.5</v>
      </c>
      <c r="O66" s="100">
        <v>0</v>
      </c>
      <c r="P66" s="100">
        <v>0.3</v>
      </c>
      <c r="Q66" s="100">
        <v>9.36</v>
      </c>
      <c r="R66" s="6"/>
      <c r="S66" s="6"/>
      <c r="T66" s="156"/>
      <c r="U66" s="6"/>
    </row>
    <row r="67" spans="1:21" customFormat="1">
      <c r="A67" s="201" t="s">
        <v>2794</v>
      </c>
      <c r="B67" s="100">
        <v>3.42</v>
      </c>
      <c r="C67" s="100">
        <v>6.01</v>
      </c>
      <c r="D67" s="100">
        <v>5.88</v>
      </c>
      <c r="E67" s="100">
        <v>7.55</v>
      </c>
      <c r="F67" s="100">
        <v>2</v>
      </c>
      <c r="G67" s="100">
        <v>58.19</v>
      </c>
      <c r="H67" s="100">
        <v>25.11</v>
      </c>
      <c r="I67" s="100">
        <v>8.23</v>
      </c>
      <c r="J67" s="100">
        <v>0.39</v>
      </c>
      <c r="K67" s="100">
        <v>81.849999999999994</v>
      </c>
      <c r="L67" s="100">
        <v>10.7</v>
      </c>
      <c r="M67" s="100">
        <v>7.05</v>
      </c>
      <c r="N67" s="100">
        <v>74.7</v>
      </c>
      <c r="O67" s="100">
        <v>0</v>
      </c>
      <c r="P67" s="100">
        <v>0.31</v>
      </c>
      <c r="Q67" s="100">
        <v>9.68</v>
      </c>
      <c r="R67" s="6"/>
      <c r="S67" s="6"/>
      <c r="T67" s="156"/>
      <c r="U67" s="6"/>
    </row>
    <row r="68" spans="1:21" customFormat="1">
      <c r="A68" s="201" t="s">
        <v>2795</v>
      </c>
      <c r="B68" s="100">
        <v>3.49</v>
      </c>
      <c r="C68" s="100">
        <v>6.1</v>
      </c>
      <c r="D68" s="100">
        <v>5.98</v>
      </c>
      <c r="E68" s="100">
        <v>7.48</v>
      </c>
      <c r="F68" s="100">
        <v>2</v>
      </c>
      <c r="G68" s="100">
        <v>48.15</v>
      </c>
      <c r="H68" s="100">
        <v>24.57</v>
      </c>
      <c r="I68" s="100">
        <v>8.32</v>
      </c>
      <c r="J68" s="100">
        <v>0.39</v>
      </c>
      <c r="K68" s="100">
        <v>65.91</v>
      </c>
      <c r="L68" s="100">
        <v>9.86</v>
      </c>
      <c r="M68" s="100">
        <v>5.14</v>
      </c>
      <c r="N68" s="100">
        <v>64.400000000000006</v>
      </c>
      <c r="O68" s="100">
        <v>0</v>
      </c>
      <c r="P68" s="100">
        <v>0.3</v>
      </c>
      <c r="Q68" s="100">
        <v>10.02</v>
      </c>
      <c r="R68" s="6"/>
      <c r="S68" s="6"/>
      <c r="T68" s="156"/>
      <c r="U68" s="6"/>
    </row>
    <row r="69" spans="1:21" customFormat="1">
      <c r="A69" s="201" t="s">
        <v>2796</v>
      </c>
      <c r="B69" s="100">
        <v>3.54</v>
      </c>
      <c r="C69" s="100">
        <v>5.96</v>
      </c>
      <c r="D69" s="100">
        <v>5.95</v>
      </c>
      <c r="E69" s="100">
        <v>7.67</v>
      </c>
      <c r="F69" s="100">
        <v>2</v>
      </c>
      <c r="G69" s="100">
        <v>48.15</v>
      </c>
      <c r="H69" s="100">
        <v>24.57</v>
      </c>
      <c r="I69" s="100">
        <v>8.4700000000000006</v>
      </c>
      <c r="J69" s="100">
        <v>0.38</v>
      </c>
      <c r="K69" s="100">
        <v>72.569999999999993</v>
      </c>
      <c r="L69" s="100">
        <v>9.9499999999999993</v>
      </c>
      <c r="M69" s="100">
        <v>5.54</v>
      </c>
      <c r="N69" s="100">
        <v>58.8</v>
      </c>
      <c r="O69" s="100">
        <v>0</v>
      </c>
      <c r="P69" s="100">
        <v>0.3</v>
      </c>
      <c r="Q69" s="100">
        <v>10.83</v>
      </c>
      <c r="R69" s="6"/>
      <c r="S69" s="6"/>
      <c r="T69" s="156"/>
      <c r="U69" s="6"/>
    </row>
    <row r="70" spans="1:21" customFormat="1">
      <c r="A70" s="201" t="s">
        <v>2797</v>
      </c>
      <c r="B70" s="100">
        <v>3.41</v>
      </c>
      <c r="C70" s="100">
        <v>5.96</v>
      </c>
      <c r="D70" s="100">
        <v>5.85</v>
      </c>
      <c r="E70" s="100">
        <v>7.36</v>
      </c>
      <c r="F70" s="100">
        <v>2</v>
      </c>
      <c r="G70" s="100">
        <v>48.15</v>
      </c>
      <c r="H70" s="100">
        <v>24.57</v>
      </c>
      <c r="I70" s="100">
        <v>8.74</v>
      </c>
      <c r="J70" s="100">
        <v>0.31</v>
      </c>
      <c r="K70" s="100">
        <v>79.8</v>
      </c>
      <c r="L70" s="100">
        <v>12.47</v>
      </c>
      <c r="M70" s="100">
        <v>12.02</v>
      </c>
      <c r="N70" s="100">
        <v>53.1</v>
      </c>
      <c r="O70" s="100">
        <v>0</v>
      </c>
      <c r="P70" s="100">
        <v>0.28000000000000003</v>
      </c>
      <c r="Q70" s="100">
        <v>10.33</v>
      </c>
      <c r="R70" s="6"/>
      <c r="S70" s="6"/>
      <c r="T70" s="156"/>
      <c r="U70" s="6"/>
    </row>
    <row r="71" spans="1:21" customFormat="1">
      <c r="A71" s="201" t="s">
        <v>2798</v>
      </c>
      <c r="B71" s="100">
        <v>3.35</v>
      </c>
      <c r="C71" s="100">
        <v>5.9</v>
      </c>
      <c r="D71" s="100">
        <v>5.77</v>
      </c>
      <c r="E71" s="100">
        <v>7.25</v>
      </c>
      <c r="F71" s="100">
        <v>2</v>
      </c>
      <c r="G71" s="100">
        <v>40.72</v>
      </c>
      <c r="H71" s="100">
        <v>17.170000000000002</v>
      </c>
      <c r="I71" s="100">
        <v>8.94</v>
      </c>
      <c r="J71" s="100">
        <v>0.33</v>
      </c>
      <c r="K71" s="100">
        <v>119.35</v>
      </c>
      <c r="L71" s="100">
        <v>12.53</v>
      </c>
      <c r="M71" s="100">
        <v>12.54</v>
      </c>
      <c r="N71" s="100">
        <v>41.9</v>
      </c>
      <c r="O71" s="100">
        <v>0</v>
      </c>
      <c r="P71" s="100">
        <v>0.28999999999999998</v>
      </c>
      <c r="Q71" s="100">
        <v>10.28</v>
      </c>
      <c r="R71" s="6"/>
      <c r="S71" s="6"/>
      <c r="T71" s="156"/>
      <c r="U71" s="6"/>
    </row>
    <row r="72" spans="1:21" customFormat="1">
      <c r="A72" s="201" t="s">
        <v>2799</v>
      </c>
      <c r="B72" s="100">
        <v>3.34</v>
      </c>
      <c r="C72" s="100">
        <v>5.8</v>
      </c>
      <c r="D72" s="100">
        <v>5.71</v>
      </c>
      <c r="E72" s="100">
        <v>7.07</v>
      </c>
      <c r="F72" s="100">
        <v>2</v>
      </c>
      <c r="G72" s="100">
        <v>38.01</v>
      </c>
      <c r="H72" s="100">
        <v>16.989999999999998</v>
      </c>
      <c r="I72" s="100">
        <v>8.89</v>
      </c>
      <c r="J72" s="100">
        <v>0.41</v>
      </c>
      <c r="K72" s="100">
        <v>78.81</v>
      </c>
      <c r="L72" s="100">
        <v>10.51</v>
      </c>
      <c r="M72" s="100">
        <v>7.58</v>
      </c>
      <c r="N72" s="100">
        <v>33.299999999999997</v>
      </c>
      <c r="O72" s="100">
        <v>0</v>
      </c>
      <c r="P72" s="100">
        <v>0.28999999999999998</v>
      </c>
      <c r="Q72" s="100">
        <v>10.24</v>
      </c>
      <c r="R72" s="6"/>
      <c r="S72" s="6"/>
      <c r="T72" s="156"/>
      <c r="U72" s="6"/>
    </row>
    <row r="73" spans="1:21" customFormat="1">
      <c r="A73" s="201" t="s">
        <v>2800</v>
      </c>
      <c r="B73" s="100">
        <v>3.34</v>
      </c>
      <c r="C73" s="100">
        <v>5.98</v>
      </c>
      <c r="D73" s="100">
        <v>5.8</v>
      </c>
      <c r="E73" s="100">
        <v>6.89</v>
      </c>
      <c r="F73" s="100">
        <v>2</v>
      </c>
      <c r="G73" s="100">
        <v>38.01</v>
      </c>
      <c r="H73" s="100">
        <v>16.989999999999998</v>
      </c>
      <c r="I73" s="100">
        <v>8.84</v>
      </c>
      <c r="J73" s="100">
        <v>0.32</v>
      </c>
      <c r="K73" s="100">
        <v>70.22</v>
      </c>
      <c r="L73" s="100">
        <v>10.77</v>
      </c>
      <c r="M73" s="100">
        <v>8.4700000000000006</v>
      </c>
      <c r="N73" s="100">
        <v>26.8</v>
      </c>
      <c r="O73" s="100">
        <v>0</v>
      </c>
      <c r="P73" s="100">
        <v>0.31</v>
      </c>
      <c r="Q73" s="100">
        <v>9.4499999999999993</v>
      </c>
      <c r="R73" s="6"/>
      <c r="S73" s="6"/>
      <c r="T73" s="156"/>
      <c r="U73" s="6"/>
    </row>
    <row r="74" spans="1:21" customFormat="1">
      <c r="A74" s="201" t="s">
        <v>2801</v>
      </c>
      <c r="B74" s="100">
        <v>3.58</v>
      </c>
      <c r="C74" s="100">
        <v>6.21</v>
      </c>
      <c r="D74" s="100">
        <v>6.12</v>
      </c>
      <c r="E74" s="100">
        <v>6.92</v>
      </c>
      <c r="F74" s="100">
        <v>2</v>
      </c>
      <c r="G74" s="100">
        <v>38.01</v>
      </c>
      <c r="H74" s="100">
        <v>16.989999999999998</v>
      </c>
      <c r="I74" s="100">
        <v>8.8800000000000008</v>
      </c>
      <c r="J74" s="100">
        <v>0.48</v>
      </c>
      <c r="K74" s="100">
        <v>56.95</v>
      </c>
      <c r="L74" s="100">
        <v>9.23</v>
      </c>
      <c r="M74" s="100">
        <v>4.58</v>
      </c>
      <c r="N74" s="100">
        <v>27</v>
      </c>
      <c r="O74" s="100">
        <v>0</v>
      </c>
      <c r="P74" s="100">
        <v>0.31</v>
      </c>
      <c r="Q74" s="100">
        <v>9.35</v>
      </c>
      <c r="R74" s="6"/>
      <c r="S74" s="6"/>
      <c r="T74" s="156"/>
      <c r="U74" s="6"/>
    </row>
    <row r="75" spans="1:21" customFormat="1">
      <c r="A75" s="201" t="s">
        <v>2802</v>
      </c>
      <c r="B75" s="100">
        <v>3.91</v>
      </c>
      <c r="C75" s="100">
        <v>7.17</v>
      </c>
      <c r="D75" s="100">
        <v>6.88</v>
      </c>
      <c r="E75" s="100">
        <v>6.45</v>
      </c>
      <c r="F75" s="100">
        <v>2</v>
      </c>
      <c r="G75" s="100">
        <v>31</v>
      </c>
      <c r="H75" s="100">
        <v>11.06</v>
      </c>
      <c r="I75" s="100">
        <v>8.83</v>
      </c>
      <c r="J75" s="100">
        <v>0.51</v>
      </c>
      <c r="K75" s="100">
        <v>51.18</v>
      </c>
      <c r="L75" s="100">
        <v>8.2100000000000009</v>
      </c>
      <c r="M75" s="100">
        <v>2.15</v>
      </c>
      <c r="N75" s="100">
        <v>17.5</v>
      </c>
      <c r="O75" s="100">
        <v>0</v>
      </c>
      <c r="P75" s="100">
        <v>0.31</v>
      </c>
      <c r="Q75" s="100">
        <v>9.3699999999999992</v>
      </c>
      <c r="R75" s="6"/>
      <c r="S75" s="6"/>
      <c r="T75" s="156"/>
      <c r="U75" s="6"/>
    </row>
    <row r="76" spans="1:21" customFormat="1">
      <c r="A76" s="201" t="s">
        <v>2803</v>
      </c>
      <c r="B76" s="100">
        <v>4.01</v>
      </c>
      <c r="C76" s="100">
        <v>6.76</v>
      </c>
      <c r="D76" s="100">
        <v>6.75</v>
      </c>
      <c r="E76" s="100">
        <v>6.58</v>
      </c>
      <c r="F76" s="100">
        <v>2</v>
      </c>
      <c r="G76" s="100">
        <v>28.45</v>
      </c>
      <c r="H76" s="100">
        <v>10.97</v>
      </c>
      <c r="I76" s="100">
        <v>8.74</v>
      </c>
      <c r="J76" s="100">
        <v>0.27</v>
      </c>
      <c r="K76" s="100">
        <v>61.65</v>
      </c>
      <c r="L76" s="100">
        <v>10.38</v>
      </c>
      <c r="M76" s="100">
        <v>7.89</v>
      </c>
      <c r="N76" s="100">
        <v>11.7</v>
      </c>
      <c r="O76" s="100">
        <v>0</v>
      </c>
      <c r="P76" s="100">
        <v>0.31</v>
      </c>
      <c r="Q76" s="100">
        <v>9.32</v>
      </c>
      <c r="R76" s="6"/>
      <c r="S76" s="6"/>
      <c r="T76" s="156"/>
      <c r="U76" s="6"/>
    </row>
    <row r="77" spans="1:21" customFormat="1">
      <c r="A77" s="201" t="s">
        <v>2804</v>
      </c>
      <c r="B77" s="100">
        <v>4</v>
      </c>
      <c r="C77" s="100">
        <v>6.88</v>
      </c>
      <c r="D77" s="100">
        <v>6.8</v>
      </c>
      <c r="E77" s="100">
        <v>6.18</v>
      </c>
      <c r="F77" s="100">
        <v>2</v>
      </c>
      <c r="G77" s="100">
        <v>28.45</v>
      </c>
      <c r="H77" s="100">
        <v>10.97</v>
      </c>
      <c r="I77" s="100">
        <v>8.81</v>
      </c>
      <c r="J77" s="100">
        <v>0.28999999999999998</v>
      </c>
      <c r="K77" s="100">
        <v>70.349999999999994</v>
      </c>
      <c r="L77" s="100">
        <v>9.81</v>
      </c>
      <c r="M77" s="100">
        <v>6.5</v>
      </c>
      <c r="N77" s="100">
        <v>7.5</v>
      </c>
      <c r="O77" s="100">
        <v>0</v>
      </c>
      <c r="P77" s="100">
        <v>0.31</v>
      </c>
      <c r="Q77" s="100">
        <v>9.36</v>
      </c>
      <c r="R77" s="6"/>
      <c r="S77" s="6"/>
      <c r="T77" s="156"/>
      <c r="U77" s="6"/>
    </row>
    <row r="78" spans="1:21" customFormat="1">
      <c r="A78" s="201" t="s">
        <v>2805</v>
      </c>
      <c r="B78" s="100">
        <v>4.32</v>
      </c>
      <c r="C78" s="100">
        <v>7.2</v>
      </c>
      <c r="D78" s="100">
        <v>7.22</v>
      </c>
      <c r="E78" s="100">
        <v>6.51</v>
      </c>
      <c r="F78" s="100">
        <v>2</v>
      </c>
      <c r="G78" s="100">
        <v>28.45</v>
      </c>
      <c r="H78" s="100">
        <v>10.97</v>
      </c>
      <c r="I78" s="100">
        <v>8.86</v>
      </c>
      <c r="J78" s="100">
        <v>0.33</v>
      </c>
      <c r="K78" s="100">
        <v>50.7</v>
      </c>
      <c r="L78" s="100">
        <v>8.9</v>
      </c>
      <c r="M78" s="100">
        <v>4.25</v>
      </c>
      <c r="N78" s="100">
        <v>3.8</v>
      </c>
      <c r="O78" s="100">
        <v>0</v>
      </c>
      <c r="P78" s="100">
        <v>0.34</v>
      </c>
      <c r="Q78" s="100">
        <v>9.32</v>
      </c>
      <c r="R78" s="6"/>
      <c r="S78" s="6"/>
      <c r="T78" s="156"/>
      <c r="U78" s="6"/>
    </row>
    <row r="79" spans="1:21" customFormat="1">
      <c r="A79" s="201" t="s">
        <v>2806</v>
      </c>
      <c r="B79" s="100">
        <v>4.41</v>
      </c>
      <c r="C79" s="100">
        <v>8.08</v>
      </c>
      <c r="D79" s="100">
        <v>7.76</v>
      </c>
      <c r="E79" s="100">
        <v>6.39</v>
      </c>
      <c r="F79" s="100">
        <v>2</v>
      </c>
      <c r="G79" s="100">
        <v>29.74</v>
      </c>
      <c r="H79" s="100">
        <v>10.86</v>
      </c>
      <c r="I79" s="100">
        <v>8.82</v>
      </c>
      <c r="J79" s="100">
        <v>0.3</v>
      </c>
      <c r="K79" s="100">
        <v>77.44</v>
      </c>
      <c r="L79" s="100">
        <v>10.27</v>
      </c>
      <c r="M79" s="100">
        <v>7.85</v>
      </c>
      <c r="N79" s="100">
        <v>2.7</v>
      </c>
      <c r="O79" s="100">
        <v>0</v>
      </c>
      <c r="P79" s="100">
        <v>0.32</v>
      </c>
      <c r="Q79" s="100">
        <v>9.32</v>
      </c>
      <c r="R79" s="6"/>
      <c r="S79" s="6"/>
      <c r="T79" s="156"/>
      <c r="U79" s="6"/>
    </row>
    <row r="80" spans="1:21" customFormat="1">
      <c r="A80" s="201" t="s">
        <v>2807</v>
      </c>
      <c r="B80" s="100">
        <v>4.57</v>
      </c>
      <c r="C80" s="100">
        <v>7.54</v>
      </c>
      <c r="D80" s="100">
        <v>7.6</v>
      </c>
      <c r="E80" s="100">
        <v>6.51</v>
      </c>
      <c r="F80" s="100">
        <v>2</v>
      </c>
      <c r="G80" s="100">
        <v>30.21</v>
      </c>
      <c r="H80" s="100">
        <v>10.86</v>
      </c>
      <c r="I80" s="100">
        <v>8.7799999999999994</v>
      </c>
      <c r="J80" s="100">
        <v>0.31</v>
      </c>
      <c r="K80" s="100">
        <v>57.06</v>
      </c>
      <c r="L80" s="100">
        <v>8.17</v>
      </c>
      <c r="M80" s="100">
        <v>2.4700000000000002</v>
      </c>
      <c r="N80" s="100">
        <v>2.4</v>
      </c>
      <c r="O80" s="100">
        <v>0</v>
      </c>
      <c r="P80" s="100">
        <v>0.33</v>
      </c>
      <c r="Q80" s="100">
        <v>9.32</v>
      </c>
      <c r="R80" s="6"/>
      <c r="S80" s="6"/>
      <c r="T80" s="156"/>
      <c r="U80" s="6"/>
    </row>
    <row r="81" spans="1:21" customFormat="1">
      <c r="A81" s="201" t="s">
        <v>2808</v>
      </c>
      <c r="B81" s="100">
        <v>4.97</v>
      </c>
      <c r="C81" s="100">
        <v>8.59</v>
      </c>
      <c r="D81" s="100">
        <v>8.4700000000000006</v>
      </c>
      <c r="E81" s="100">
        <v>5.48</v>
      </c>
      <c r="F81" s="100">
        <v>2</v>
      </c>
      <c r="G81" s="100">
        <v>30.21</v>
      </c>
      <c r="H81" s="100">
        <v>10.86</v>
      </c>
      <c r="I81" s="100">
        <v>8.73</v>
      </c>
      <c r="J81" s="100">
        <v>0.27</v>
      </c>
      <c r="K81" s="100">
        <v>55.31</v>
      </c>
      <c r="L81" s="100">
        <v>8.6999999999999993</v>
      </c>
      <c r="M81" s="100">
        <v>3.81</v>
      </c>
      <c r="N81" s="100">
        <v>2.4</v>
      </c>
      <c r="O81" s="100">
        <v>0</v>
      </c>
      <c r="P81" s="100">
        <v>0.35</v>
      </c>
      <c r="Q81" s="100">
        <v>9.3800000000000008</v>
      </c>
      <c r="R81" s="6"/>
      <c r="S81" s="6"/>
      <c r="T81" s="156"/>
      <c r="U81" s="6"/>
    </row>
    <row r="82" spans="1:21" customFormat="1">
      <c r="A82" s="201" t="s">
        <v>2809</v>
      </c>
      <c r="B82" s="100">
        <v>4.78</v>
      </c>
      <c r="C82" s="100">
        <v>7.62</v>
      </c>
      <c r="D82" s="100">
        <v>7.82</v>
      </c>
      <c r="E82" s="100">
        <v>6.48</v>
      </c>
      <c r="F82" s="100">
        <v>2</v>
      </c>
      <c r="G82" s="100">
        <v>30.21</v>
      </c>
      <c r="H82" s="100">
        <v>10.86</v>
      </c>
      <c r="I82" s="100">
        <v>8.66</v>
      </c>
      <c r="J82" s="100">
        <v>0.24</v>
      </c>
      <c r="K82" s="100">
        <v>70.27</v>
      </c>
      <c r="L82" s="100">
        <v>10.16</v>
      </c>
      <c r="M82" s="100">
        <v>7.5</v>
      </c>
      <c r="N82" s="100">
        <v>2.4</v>
      </c>
      <c r="O82" s="100">
        <v>0</v>
      </c>
      <c r="P82" s="100">
        <v>0.34</v>
      </c>
      <c r="Q82" s="100">
        <v>9.34</v>
      </c>
      <c r="R82" s="6"/>
      <c r="S82" s="6"/>
      <c r="T82" s="156"/>
      <c r="U82" s="6"/>
    </row>
    <row r="83" spans="1:21" customFormat="1">
      <c r="A83" s="201" t="s">
        <v>2810</v>
      </c>
      <c r="B83" s="100">
        <v>5.0199999999999996</v>
      </c>
      <c r="C83" s="100">
        <v>8.73</v>
      </c>
      <c r="D83" s="100">
        <v>8.59</v>
      </c>
      <c r="E83" s="100">
        <v>6.32</v>
      </c>
      <c r="F83" s="100">
        <v>2</v>
      </c>
      <c r="G83" s="100">
        <v>32.76</v>
      </c>
      <c r="H83" s="100">
        <v>14.59</v>
      </c>
      <c r="I83" s="100">
        <v>8.68</v>
      </c>
      <c r="J83" s="100">
        <v>0.28999999999999998</v>
      </c>
      <c r="K83" s="100">
        <v>54.43</v>
      </c>
      <c r="L83" s="100">
        <v>7.37</v>
      </c>
      <c r="M83" s="100">
        <v>0.42</v>
      </c>
      <c r="N83" s="100">
        <v>2.4</v>
      </c>
      <c r="O83" s="100">
        <v>0</v>
      </c>
      <c r="P83" s="100">
        <v>0.36</v>
      </c>
      <c r="Q83" s="100">
        <v>9.33</v>
      </c>
      <c r="R83" s="6"/>
      <c r="S83" s="6"/>
      <c r="T83" s="156"/>
      <c r="U83" s="6"/>
    </row>
    <row r="84" spans="1:21" customFormat="1">
      <c r="A84" s="201" t="s">
        <v>2811</v>
      </c>
      <c r="B84" s="100">
        <v>5.43</v>
      </c>
      <c r="C84" s="100">
        <v>8.52</v>
      </c>
      <c r="D84" s="100">
        <v>8.81</v>
      </c>
      <c r="E84" s="100">
        <v>6.58</v>
      </c>
      <c r="F84" s="100">
        <v>2</v>
      </c>
      <c r="G84" s="100">
        <v>33.68</v>
      </c>
      <c r="H84" s="100">
        <v>14.65</v>
      </c>
      <c r="I84" s="100">
        <v>8.58</v>
      </c>
      <c r="J84" s="100">
        <v>0.28999999999999998</v>
      </c>
      <c r="K84" s="100">
        <v>52.33</v>
      </c>
      <c r="L84" s="100">
        <v>8.02</v>
      </c>
      <c r="M84" s="100">
        <v>2.09</v>
      </c>
      <c r="N84" s="100">
        <v>2.2999999999999998</v>
      </c>
      <c r="O84" s="100">
        <v>0</v>
      </c>
      <c r="P84" s="100">
        <v>0.37</v>
      </c>
      <c r="Q84" s="100">
        <v>10.63</v>
      </c>
      <c r="R84" s="6"/>
      <c r="S84" s="6"/>
      <c r="T84" s="156"/>
      <c r="U84" s="6"/>
    </row>
    <row r="85" spans="1:21" customFormat="1">
      <c r="A85" s="201" t="s">
        <v>2812</v>
      </c>
      <c r="B85" s="100">
        <v>5.38</v>
      </c>
      <c r="C85" s="100">
        <v>8.58</v>
      </c>
      <c r="D85" s="100">
        <v>8.7899999999999991</v>
      </c>
      <c r="E85" s="100">
        <v>6.72</v>
      </c>
      <c r="F85" s="100">
        <v>2</v>
      </c>
      <c r="G85" s="100">
        <v>33.68</v>
      </c>
      <c r="H85" s="100">
        <v>14.65</v>
      </c>
      <c r="I85" s="100">
        <v>8.5299999999999994</v>
      </c>
      <c r="J85" s="100">
        <v>0.27</v>
      </c>
      <c r="K85" s="100">
        <v>69.47</v>
      </c>
      <c r="L85" s="100">
        <v>10.94</v>
      </c>
      <c r="M85" s="100">
        <v>9.34</v>
      </c>
      <c r="N85" s="100">
        <v>2.4</v>
      </c>
      <c r="O85" s="100">
        <v>0</v>
      </c>
      <c r="P85" s="100">
        <v>0.36</v>
      </c>
      <c r="Q85" s="100">
        <v>9.81</v>
      </c>
      <c r="R85" s="6"/>
      <c r="S85" s="6"/>
      <c r="T85" s="156"/>
      <c r="U85" s="6"/>
    </row>
    <row r="86" spans="1:21" customFormat="1">
      <c r="A86" s="201" t="s">
        <v>2813</v>
      </c>
      <c r="B86" s="100">
        <v>5.36</v>
      </c>
      <c r="C86" s="100">
        <v>7.74</v>
      </c>
      <c r="D86" s="100">
        <v>8.34</v>
      </c>
      <c r="E86" s="100">
        <v>6.68</v>
      </c>
      <c r="F86" s="100">
        <v>2</v>
      </c>
      <c r="G86" s="100">
        <v>33.68</v>
      </c>
      <c r="H86" s="100">
        <v>14.65</v>
      </c>
      <c r="I86" s="100">
        <v>8.64</v>
      </c>
      <c r="J86" s="100">
        <v>0.38</v>
      </c>
      <c r="K86" s="100">
        <v>50.76</v>
      </c>
      <c r="L86" s="100">
        <v>8.34</v>
      </c>
      <c r="M86" s="100">
        <v>2.94</v>
      </c>
      <c r="N86" s="100">
        <v>2.4</v>
      </c>
      <c r="O86" s="100">
        <v>0</v>
      </c>
      <c r="P86" s="100">
        <v>0.36</v>
      </c>
      <c r="Q86" s="100">
        <v>9.4</v>
      </c>
      <c r="R86" s="6"/>
      <c r="S86" s="6"/>
      <c r="T86" s="156"/>
      <c r="U86" s="6"/>
    </row>
    <row r="87" spans="1:21" customFormat="1">
      <c r="A87" s="201" t="s">
        <v>2814</v>
      </c>
      <c r="B87" s="100">
        <v>5.7</v>
      </c>
      <c r="C87" s="100">
        <v>8.59</v>
      </c>
      <c r="D87" s="100">
        <v>9.06</v>
      </c>
      <c r="E87" s="100">
        <v>6.69</v>
      </c>
      <c r="F87" s="100">
        <v>2</v>
      </c>
      <c r="G87" s="100">
        <v>41.73</v>
      </c>
      <c r="H87" s="100">
        <v>14.82</v>
      </c>
      <c r="I87" s="100">
        <v>8.6</v>
      </c>
      <c r="J87" s="100">
        <v>0.36</v>
      </c>
      <c r="K87" s="100">
        <v>50.85</v>
      </c>
      <c r="L87" s="100">
        <v>7.38</v>
      </c>
      <c r="M87" s="100">
        <v>0.47</v>
      </c>
      <c r="N87" s="100">
        <v>2.2999999999999998</v>
      </c>
      <c r="O87" s="100">
        <v>0</v>
      </c>
      <c r="P87" s="100">
        <v>0.37</v>
      </c>
      <c r="Q87" s="100">
        <v>9.32</v>
      </c>
      <c r="R87" s="6"/>
      <c r="S87" s="6"/>
      <c r="T87" s="156"/>
      <c r="U87" s="6"/>
    </row>
    <row r="88" spans="1:21" customFormat="1">
      <c r="A88" s="201" t="s">
        <v>2815</v>
      </c>
      <c r="B88" s="100">
        <v>5.61</v>
      </c>
      <c r="C88" s="100">
        <v>7.59</v>
      </c>
      <c r="D88" s="100">
        <v>8.4700000000000006</v>
      </c>
      <c r="E88" s="100">
        <v>6.9</v>
      </c>
      <c r="F88" s="100">
        <v>2</v>
      </c>
      <c r="G88" s="100">
        <v>44.66</v>
      </c>
      <c r="H88" s="100">
        <v>14.83</v>
      </c>
      <c r="I88" s="100">
        <v>8.4700000000000006</v>
      </c>
      <c r="J88" s="100">
        <v>0.27</v>
      </c>
      <c r="K88" s="100">
        <v>70.48</v>
      </c>
      <c r="L88" s="100">
        <v>9.23</v>
      </c>
      <c r="M88" s="100">
        <v>5.16</v>
      </c>
      <c r="N88" s="100">
        <v>2.2999999999999998</v>
      </c>
      <c r="O88" s="100">
        <v>0</v>
      </c>
      <c r="P88" s="100">
        <v>0.36</v>
      </c>
      <c r="Q88" s="100">
        <v>9.32</v>
      </c>
      <c r="R88" s="6"/>
      <c r="S88" s="6"/>
      <c r="T88" s="156"/>
      <c r="U88" s="6"/>
    </row>
    <row r="89" spans="1:21" customFormat="1">
      <c r="A89" s="201" t="s">
        <v>2816</v>
      </c>
      <c r="B89" s="100">
        <v>5.39</v>
      </c>
      <c r="C89" s="100">
        <v>7.21</v>
      </c>
      <c r="D89" s="100">
        <v>8.09</v>
      </c>
      <c r="E89" s="100">
        <v>6.33</v>
      </c>
      <c r="F89" s="100">
        <v>2</v>
      </c>
      <c r="G89" s="100">
        <v>44.66</v>
      </c>
      <c r="H89" s="100">
        <v>14.83</v>
      </c>
      <c r="I89" s="100">
        <v>8.42</v>
      </c>
      <c r="J89" s="100">
        <v>0.26</v>
      </c>
      <c r="K89" s="100">
        <v>80.64</v>
      </c>
      <c r="L89" s="100">
        <v>10.15</v>
      </c>
      <c r="M89" s="100">
        <v>8.2799999999999994</v>
      </c>
      <c r="N89" s="100">
        <v>2.4</v>
      </c>
      <c r="O89" s="100">
        <v>0</v>
      </c>
      <c r="P89" s="100">
        <v>0.36</v>
      </c>
      <c r="Q89" s="100">
        <v>9.33</v>
      </c>
      <c r="R89" s="6"/>
      <c r="S89" s="6"/>
      <c r="T89" s="156"/>
      <c r="U89" s="6"/>
    </row>
    <row r="90" spans="1:21" customFormat="1">
      <c r="A90" s="201" t="s">
        <v>2817</v>
      </c>
      <c r="B90" s="100">
        <v>5.34</v>
      </c>
      <c r="C90" s="100">
        <v>6.98</v>
      </c>
      <c r="D90" s="100">
        <v>7.93</v>
      </c>
      <c r="E90" s="100">
        <v>6.52</v>
      </c>
      <c r="F90" s="100">
        <v>2</v>
      </c>
      <c r="G90" s="100">
        <v>44.66</v>
      </c>
      <c r="H90" s="100">
        <v>14.83</v>
      </c>
      <c r="I90" s="100">
        <v>8.41</v>
      </c>
      <c r="J90" s="100">
        <v>0.32</v>
      </c>
      <c r="K90" s="100">
        <v>94.07</v>
      </c>
      <c r="L90" s="100">
        <v>11.07</v>
      </c>
      <c r="M90" s="100">
        <v>9.85</v>
      </c>
      <c r="N90" s="100">
        <v>2.2999999999999998</v>
      </c>
      <c r="O90" s="100">
        <v>0</v>
      </c>
      <c r="P90" s="100">
        <v>0.37</v>
      </c>
      <c r="Q90" s="100">
        <v>9.5</v>
      </c>
      <c r="R90" s="6"/>
      <c r="S90" s="6"/>
      <c r="T90" s="156"/>
      <c r="U90" s="6"/>
    </row>
    <row r="91" spans="1:21" customFormat="1">
      <c r="A91" s="201" t="s">
        <v>2818</v>
      </c>
      <c r="B91" s="100">
        <v>5.23</v>
      </c>
      <c r="C91" s="100">
        <v>6.94</v>
      </c>
      <c r="D91" s="100">
        <v>7.82</v>
      </c>
      <c r="E91" s="100">
        <v>6.7</v>
      </c>
      <c r="F91" s="100">
        <v>2</v>
      </c>
      <c r="G91" s="100">
        <v>49.65</v>
      </c>
      <c r="H91" s="100">
        <v>14.39</v>
      </c>
      <c r="I91" s="100">
        <v>8.33</v>
      </c>
      <c r="J91" s="100">
        <v>0.48</v>
      </c>
      <c r="K91" s="100">
        <v>53.7</v>
      </c>
      <c r="L91" s="100">
        <v>10.06</v>
      </c>
      <c r="M91" s="100">
        <v>7.27</v>
      </c>
      <c r="N91" s="100">
        <v>2.6</v>
      </c>
      <c r="O91" s="100">
        <v>0</v>
      </c>
      <c r="P91" s="100">
        <v>0.35</v>
      </c>
      <c r="Q91" s="100">
        <v>11.59</v>
      </c>
      <c r="R91" s="6"/>
      <c r="S91" s="6"/>
      <c r="T91" s="156"/>
      <c r="U91" s="6"/>
    </row>
    <row r="92" spans="1:21" customFormat="1">
      <c r="A92" s="201" t="s">
        <v>2819</v>
      </c>
      <c r="B92" s="100">
        <v>5.33</v>
      </c>
      <c r="C92" s="100">
        <v>7.04</v>
      </c>
      <c r="D92" s="100">
        <v>7.95</v>
      </c>
      <c r="E92" s="100">
        <v>7.03</v>
      </c>
      <c r="F92" s="100">
        <v>2</v>
      </c>
      <c r="G92" s="100">
        <v>51.47</v>
      </c>
      <c r="H92" s="100">
        <v>14.38</v>
      </c>
      <c r="I92" s="100">
        <v>8.27</v>
      </c>
      <c r="J92" s="100">
        <v>0.25</v>
      </c>
      <c r="K92" s="100">
        <v>83.85</v>
      </c>
      <c r="L92" s="100">
        <v>10.83</v>
      </c>
      <c r="M92" s="100">
        <v>9.2200000000000006</v>
      </c>
      <c r="N92" s="100">
        <v>2.2999999999999998</v>
      </c>
      <c r="O92" s="100">
        <v>0</v>
      </c>
      <c r="P92" s="100">
        <v>0.34</v>
      </c>
      <c r="Q92" s="100">
        <v>9.32</v>
      </c>
      <c r="R92" s="6"/>
      <c r="S92" s="6"/>
      <c r="T92" s="156"/>
      <c r="U92" s="6"/>
    </row>
    <row r="93" spans="1:21" customFormat="1">
      <c r="A93" s="201" t="s">
        <v>2820</v>
      </c>
      <c r="B93" s="100">
        <v>5.21</v>
      </c>
      <c r="C93" s="100">
        <v>7.03</v>
      </c>
      <c r="D93" s="100">
        <v>7.85</v>
      </c>
      <c r="E93" s="100">
        <v>7.03</v>
      </c>
      <c r="F93" s="100">
        <v>2</v>
      </c>
      <c r="G93" s="100">
        <v>51.47</v>
      </c>
      <c r="H93" s="100">
        <v>14.38</v>
      </c>
      <c r="I93" s="100">
        <v>8.2200000000000006</v>
      </c>
      <c r="J93" s="100">
        <v>0.28000000000000003</v>
      </c>
      <c r="K93" s="100">
        <v>124.9</v>
      </c>
      <c r="L93" s="100">
        <v>13.66</v>
      </c>
      <c r="M93" s="100">
        <v>16.329999999999998</v>
      </c>
      <c r="N93" s="100">
        <v>2.5</v>
      </c>
      <c r="O93" s="100">
        <v>0</v>
      </c>
      <c r="P93" s="100">
        <v>0.32</v>
      </c>
      <c r="Q93" s="100">
        <v>9.32</v>
      </c>
      <c r="R93" s="6"/>
      <c r="S93" s="6"/>
      <c r="T93" s="156"/>
      <c r="U93" s="6"/>
    </row>
    <row r="94" spans="1:21" customFormat="1">
      <c r="A94" s="201" t="s">
        <v>2821</v>
      </c>
      <c r="B94" s="100">
        <v>5.0199999999999996</v>
      </c>
      <c r="C94" s="100">
        <v>6.83</v>
      </c>
      <c r="D94" s="100">
        <v>7.59</v>
      </c>
      <c r="E94" s="100">
        <v>6.92</v>
      </c>
      <c r="F94" s="100">
        <v>2</v>
      </c>
      <c r="G94" s="100">
        <v>51.47</v>
      </c>
      <c r="H94" s="100">
        <v>14.38</v>
      </c>
      <c r="I94" s="100">
        <v>8.2200000000000006</v>
      </c>
      <c r="J94" s="100">
        <v>0.27</v>
      </c>
      <c r="K94" s="100">
        <v>93.06</v>
      </c>
      <c r="L94" s="100">
        <v>11.15</v>
      </c>
      <c r="M94" s="100">
        <v>10.029999999999999</v>
      </c>
      <c r="N94" s="100">
        <v>2.4</v>
      </c>
      <c r="O94" s="100">
        <v>0</v>
      </c>
      <c r="P94" s="100">
        <v>0.32</v>
      </c>
      <c r="Q94" s="100">
        <v>9.32</v>
      </c>
      <c r="R94" s="6"/>
      <c r="S94" s="6"/>
      <c r="T94" s="156"/>
      <c r="U94" s="6"/>
    </row>
    <row r="95" spans="1:21" customFormat="1">
      <c r="A95" s="201" t="s">
        <v>2822</v>
      </c>
      <c r="B95" s="100">
        <v>4.8499999999999996</v>
      </c>
      <c r="C95" s="100">
        <v>6.72</v>
      </c>
      <c r="D95" s="100">
        <v>7.39</v>
      </c>
      <c r="E95" s="100">
        <v>6.6</v>
      </c>
      <c r="F95" s="100">
        <v>2</v>
      </c>
      <c r="G95" s="100">
        <v>42.02</v>
      </c>
      <c r="H95" s="100">
        <v>15.7</v>
      </c>
      <c r="I95" s="100">
        <v>8.0399999999999991</v>
      </c>
      <c r="J95" s="100">
        <v>0.28999999999999998</v>
      </c>
      <c r="K95" s="100">
        <v>90.83</v>
      </c>
      <c r="L95" s="100">
        <v>11.22</v>
      </c>
      <c r="M95" s="100">
        <v>10.19</v>
      </c>
      <c r="N95" s="100">
        <v>2.6</v>
      </c>
      <c r="O95" s="100">
        <v>0</v>
      </c>
      <c r="P95" s="100">
        <v>0.31</v>
      </c>
      <c r="Q95" s="100">
        <v>9.32</v>
      </c>
      <c r="R95" s="6"/>
      <c r="S95" s="6"/>
      <c r="T95" s="156"/>
      <c r="U95" s="6"/>
    </row>
    <row r="96" spans="1:21" customFormat="1">
      <c r="A96" s="201" t="s">
        <v>2823</v>
      </c>
      <c r="B96" s="100">
        <v>4.7300000000000004</v>
      </c>
      <c r="C96" s="100">
        <v>6.59</v>
      </c>
      <c r="D96" s="100">
        <v>7.23</v>
      </c>
      <c r="E96" s="100">
        <v>6.82</v>
      </c>
      <c r="F96" s="100">
        <v>2</v>
      </c>
      <c r="G96" s="100">
        <v>38.590000000000003</v>
      </c>
      <c r="H96" s="100">
        <v>15.72</v>
      </c>
      <c r="I96" s="100">
        <v>7.81</v>
      </c>
      <c r="J96" s="100">
        <v>0.2</v>
      </c>
      <c r="K96" s="100">
        <v>97.39</v>
      </c>
      <c r="L96" s="100">
        <v>11.44</v>
      </c>
      <c r="M96" s="100">
        <v>10.67</v>
      </c>
      <c r="N96" s="100">
        <v>2.8</v>
      </c>
      <c r="O96" s="100">
        <v>0</v>
      </c>
      <c r="P96" s="100">
        <v>0.31</v>
      </c>
      <c r="Q96" s="100">
        <v>9.32</v>
      </c>
      <c r="R96" s="6"/>
      <c r="S96" s="6"/>
      <c r="T96" s="156"/>
      <c r="U96" s="6"/>
    </row>
    <row r="97" spans="1:28" customFormat="1">
      <c r="A97" s="201" t="s">
        <v>2824</v>
      </c>
      <c r="B97" s="100">
        <v>4.8</v>
      </c>
      <c r="C97" s="100">
        <v>6.64</v>
      </c>
      <c r="D97" s="100">
        <v>7.32</v>
      </c>
      <c r="E97" s="100">
        <v>6.9</v>
      </c>
      <c r="F97" s="100">
        <v>2</v>
      </c>
      <c r="G97" s="100">
        <v>38.590000000000003</v>
      </c>
      <c r="H97" s="100">
        <v>15.72</v>
      </c>
      <c r="I97" s="100">
        <v>7.56</v>
      </c>
      <c r="J97" s="100">
        <v>0.22</v>
      </c>
      <c r="K97" s="100">
        <v>65.239999999999995</v>
      </c>
      <c r="L97" s="100">
        <v>10.86</v>
      </c>
      <c r="M97" s="100">
        <v>9.23</v>
      </c>
      <c r="N97" s="100">
        <v>2.5</v>
      </c>
      <c r="O97" s="100">
        <v>0</v>
      </c>
      <c r="P97" s="100">
        <v>0.31</v>
      </c>
      <c r="Q97" s="100">
        <v>9.32</v>
      </c>
      <c r="R97" s="6"/>
      <c r="S97" s="6"/>
      <c r="T97" s="156"/>
      <c r="U97" s="6"/>
    </row>
    <row r="98" spans="1:28" customFormat="1">
      <c r="A98" s="201" t="s">
        <v>2825</v>
      </c>
      <c r="B98" s="100">
        <v>4.84</v>
      </c>
      <c r="C98" s="100">
        <v>6.56</v>
      </c>
      <c r="D98" s="100">
        <v>7.31</v>
      </c>
      <c r="E98" s="100">
        <v>6.86</v>
      </c>
      <c r="F98" s="100">
        <v>2</v>
      </c>
      <c r="G98" s="100">
        <v>38.590000000000003</v>
      </c>
      <c r="H98" s="100">
        <v>15.72</v>
      </c>
      <c r="I98" s="100">
        <v>7.39</v>
      </c>
      <c r="J98" s="100">
        <v>0.26</v>
      </c>
      <c r="K98" s="100">
        <v>52.15</v>
      </c>
      <c r="L98" s="100">
        <v>10.94</v>
      </c>
      <c r="M98" s="100">
        <v>9.43</v>
      </c>
      <c r="N98" s="100">
        <v>2.4</v>
      </c>
      <c r="O98" s="100">
        <v>0</v>
      </c>
      <c r="P98" s="100">
        <v>0.3</v>
      </c>
      <c r="Q98" s="100">
        <v>9.32</v>
      </c>
      <c r="R98" s="6"/>
      <c r="S98" s="6"/>
      <c r="T98" s="156"/>
      <c r="U98" s="6"/>
    </row>
    <row r="99" spans="1:28" customFormat="1">
      <c r="A99" s="201" t="s">
        <v>2826</v>
      </c>
      <c r="B99" s="100">
        <v>4.87</v>
      </c>
      <c r="C99" s="100">
        <v>6.63</v>
      </c>
      <c r="D99" s="100">
        <v>7.37</v>
      </c>
      <c r="E99" s="100">
        <v>6.84</v>
      </c>
      <c r="F99" s="100">
        <v>2</v>
      </c>
      <c r="G99" s="100">
        <v>34.35</v>
      </c>
      <c r="H99" s="100">
        <v>10.74</v>
      </c>
      <c r="I99" s="100">
        <v>7.29</v>
      </c>
      <c r="J99" s="100">
        <v>0.19</v>
      </c>
      <c r="K99" s="100">
        <v>99.52</v>
      </c>
      <c r="L99" s="100">
        <v>11.84</v>
      </c>
      <c r="M99" s="100">
        <v>11.81</v>
      </c>
      <c r="N99" s="100">
        <v>2.2999999999999998</v>
      </c>
      <c r="O99" s="100">
        <v>0</v>
      </c>
      <c r="P99" s="100">
        <v>0.28999999999999998</v>
      </c>
      <c r="Q99" s="100">
        <v>9.32</v>
      </c>
      <c r="R99" s="6"/>
      <c r="S99" s="6"/>
      <c r="T99" s="156"/>
      <c r="U99" s="6"/>
    </row>
    <row r="100" spans="1:28" customFormat="1">
      <c r="A100" s="201" t="s">
        <v>2827</v>
      </c>
      <c r="B100" s="100">
        <v>4.79</v>
      </c>
      <c r="C100" s="100">
        <v>6.38</v>
      </c>
      <c r="D100" s="100">
        <v>7.18</v>
      </c>
      <c r="E100" s="100">
        <v>7.18</v>
      </c>
      <c r="F100" s="100">
        <v>2</v>
      </c>
      <c r="G100" s="100">
        <v>32.81</v>
      </c>
      <c r="H100" s="100">
        <v>10.67</v>
      </c>
      <c r="I100" s="100">
        <v>7.12</v>
      </c>
      <c r="J100" s="100">
        <v>0.32</v>
      </c>
      <c r="K100" s="100">
        <v>142.4</v>
      </c>
      <c r="L100" s="100">
        <v>14.59</v>
      </c>
      <c r="M100" s="100">
        <v>18.739999999999998</v>
      </c>
      <c r="N100" s="100">
        <v>2.1</v>
      </c>
      <c r="O100" s="100">
        <v>0</v>
      </c>
      <c r="P100" s="100">
        <v>0.28000000000000003</v>
      </c>
      <c r="Q100" s="100">
        <v>11.97</v>
      </c>
      <c r="R100" s="6"/>
      <c r="S100" s="6"/>
      <c r="T100" s="156"/>
      <c r="U100" s="6"/>
      <c r="AB100" s="161"/>
    </row>
    <row r="101" spans="1:28" customFormat="1">
      <c r="A101" s="201" t="s">
        <v>2828</v>
      </c>
      <c r="B101" s="100">
        <v>4.66</v>
      </c>
      <c r="C101" s="100">
        <v>6.31</v>
      </c>
      <c r="D101" s="100">
        <v>7.04</v>
      </c>
      <c r="E101" s="100">
        <v>7.32</v>
      </c>
      <c r="F101" s="100">
        <v>2</v>
      </c>
      <c r="G101" s="100">
        <v>32.81</v>
      </c>
      <c r="H101" s="100">
        <v>10.67</v>
      </c>
      <c r="I101" s="100">
        <v>6.97</v>
      </c>
      <c r="J101" s="100">
        <v>0.22</v>
      </c>
      <c r="K101" s="100">
        <v>73.510000000000005</v>
      </c>
      <c r="L101" s="100">
        <v>11.46</v>
      </c>
      <c r="M101" s="100">
        <v>10.77</v>
      </c>
      <c r="N101" s="100">
        <v>2.2999999999999998</v>
      </c>
      <c r="O101" s="100">
        <v>0</v>
      </c>
      <c r="P101" s="100">
        <v>0.28000000000000003</v>
      </c>
      <c r="Q101" s="100">
        <v>9.9499999999999993</v>
      </c>
      <c r="R101" s="6"/>
      <c r="S101" s="6"/>
      <c r="T101" s="156"/>
      <c r="U101" s="6"/>
    </row>
    <row r="102" spans="1:28" customFormat="1">
      <c r="A102" s="201" t="s">
        <v>2829</v>
      </c>
      <c r="B102" s="100">
        <v>4.63</v>
      </c>
      <c r="C102" s="100">
        <v>6.29</v>
      </c>
      <c r="D102" s="100">
        <v>7</v>
      </c>
      <c r="E102" s="100">
        <v>7.26</v>
      </c>
      <c r="F102" s="100">
        <v>2</v>
      </c>
      <c r="G102" s="100">
        <v>32.81</v>
      </c>
      <c r="H102" s="100">
        <v>10.67</v>
      </c>
      <c r="I102" s="100">
        <v>6.85</v>
      </c>
      <c r="J102" s="100">
        <v>0.27</v>
      </c>
      <c r="K102" s="100">
        <v>76.7</v>
      </c>
      <c r="L102" s="100">
        <v>11.25</v>
      </c>
      <c r="M102" s="100">
        <v>10.26</v>
      </c>
      <c r="N102" s="100">
        <v>2.2999999999999998</v>
      </c>
      <c r="O102" s="100">
        <v>0</v>
      </c>
      <c r="P102" s="100">
        <v>0.27</v>
      </c>
      <c r="Q102" s="100">
        <v>9.34</v>
      </c>
      <c r="R102" s="6"/>
      <c r="S102" s="6"/>
      <c r="T102" s="156"/>
      <c r="U102" s="6"/>
    </row>
    <row r="103" spans="1:28" customFormat="1">
      <c r="A103" s="201" t="s">
        <v>2830</v>
      </c>
      <c r="B103" s="100">
        <v>4.7</v>
      </c>
      <c r="C103" s="100">
        <v>6.29</v>
      </c>
      <c r="D103" s="100">
        <v>7.05</v>
      </c>
      <c r="E103" s="100">
        <v>7.05</v>
      </c>
      <c r="F103" s="100">
        <v>2</v>
      </c>
      <c r="G103" s="100">
        <v>31.37</v>
      </c>
      <c r="H103" s="100">
        <v>10.41</v>
      </c>
      <c r="I103" s="100">
        <v>6.65</v>
      </c>
      <c r="J103" s="100">
        <v>0.26</v>
      </c>
      <c r="K103" s="100">
        <v>57.22</v>
      </c>
      <c r="L103" s="100">
        <v>10.65</v>
      </c>
      <c r="M103" s="100">
        <v>8.73</v>
      </c>
      <c r="N103" s="100">
        <v>2.4</v>
      </c>
      <c r="O103" s="100">
        <v>0</v>
      </c>
      <c r="P103" s="100">
        <v>0.27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2831</v>
      </c>
      <c r="B104" s="100">
        <v>4.7300000000000004</v>
      </c>
      <c r="C104" s="100">
        <v>6.26</v>
      </c>
      <c r="D104" s="100">
        <v>7.07</v>
      </c>
      <c r="E104" s="100">
        <v>7.14</v>
      </c>
      <c r="F104" s="100">
        <v>2</v>
      </c>
      <c r="G104" s="100">
        <v>30.84</v>
      </c>
      <c r="H104" s="100">
        <v>10.4</v>
      </c>
      <c r="I104" s="100">
        <v>6.52</v>
      </c>
      <c r="J104" s="100">
        <v>0.39</v>
      </c>
      <c r="K104" s="100">
        <v>51.74</v>
      </c>
      <c r="L104" s="100">
        <v>7.88</v>
      </c>
      <c r="M104" s="100">
        <v>1.7</v>
      </c>
      <c r="N104" s="100">
        <v>2.2999999999999998</v>
      </c>
      <c r="O104" s="100">
        <v>0</v>
      </c>
      <c r="P104" s="100">
        <v>0.27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3.34</v>
      </c>
      <c r="C106" s="158">
        <f>MIN(C9:C104)</f>
        <v>5.8</v>
      </c>
      <c r="D106" s="158">
        <f t="shared" ref="D106:Q106" si="0">MIN(D9:D104)</f>
        <v>5.71</v>
      </c>
      <c r="E106" s="158">
        <f t="shared" si="0"/>
        <v>4.8</v>
      </c>
      <c r="F106" s="158">
        <f t="shared" si="0"/>
        <v>2</v>
      </c>
      <c r="G106" s="158">
        <f t="shared" si="0"/>
        <v>28.45</v>
      </c>
      <c r="H106" s="158">
        <f t="shared" si="0"/>
        <v>10.4</v>
      </c>
      <c r="I106" s="158">
        <f t="shared" si="0"/>
        <v>5.37</v>
      </c>
      <c r="J106" s="158">
        <f t="shared" si="0"/>
        <v>0.11</v>
      </c>
      <c r="K106" s="158">
        <f t="shared" si="0"/>
        <v>29.69</v>
      </c>
      <c r="L106" s="158">
        <f t="shared" si="0"/>
        <v>6.8</v>
      </c>
      <c r="M106" s="158">
        <f t="shared" si="0"/>
        <v>-0.99</v>
      </c>
      <c r="N106" s="158">
        <f t="shared" si="0"/>
        <v>2.1</v>
      </c>
      <c r="O106" s="158">
        <f t="shared" si="0"/>
        <v>0</v>
      </c>
      <c r="P106" s="158">
        <f t="shared" si="0"/>
        <v>0.25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14.94</v>
      </c>
      <c r="C107" s="157">
        <f t="shared" ref="C107:Q107" si="1">MAX(C9:C104)</f>
        <v>8.73</v>
      </c>
      <c r="D107" s="157">
        <f t="shared" si="1"/>
        <v>15.96</v>
      </c>
      <c r="E107" s="157">
        <f t="shared" si="1"/>
        <v>8.5500000000000007</v>
      </c>
      <c r="F107" s="157">
        <f t="shared" si="1"/>
        <v>2</v>
      </c>
      <c r="G107" s="157">
        <f t="shared" si="1"/>
        <v>85.81</v>
      </c>
      <c r="H107" s="157">
        <f t="shared" si="1"/>
        <v>42.5</v>
      </c>
      <c r="I107" s="157">
        <f t="shared" si="1"/>
        <v>8.94</v>
      </c>
      <c r="J107" s="157">
        <f t="shared" si="1"/>
        <v>0.51</v>
      </c>
      <c r="K107" s="157">
        <f t="shared" si="1"/>
        <v>157.46</v>
      </c>
      <c r="L107" s="157">
        <f t="shared" si="1"/>
        <v>19.79</v>
      </c>
      <c r="M107" s="157">
        <f t="shared" si="1"/>
        <v>20.399999999999999</v>
      </c>
      <c r="N107" s="157">
        <f t="shared" si="1"/>
        <v>599.5</v>
      </c>
      <c r="O107" s="157">
        <f t="shared" si="1"/>
        <v>0</v>
      </c>
      <c r="P107" s="157">
        <f t="shared" si="1"/>
        <v>0.43</v>
      </c>
      <c r="Q107" s="157">
        <f t="shared" si="1"/>
        <v>11.97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7.5065625000000002</v>
      </c>
      <c r="C108" s="158">
        <f t="shared" ref="C108:Q108" si="2">AVERAGE(C9:C104)</f>
        <v>6.9865624999999989</v>
      </c>
      <c r="D108" s="158">
        <f t="shared" si="2"/>
        <v>9.6698958333333334</v>
      </c>
      <c r="E108" s="158">
        <f t="shared" si="2"/>
        <v>6.6420833333333347</v>
      </c>
      <c r="F108" s="158">
        <f t="shared" si="2"/>
        <v>2</v>
      </c>
      <c r="G108" s="158">
        <f t="shared" si="2"/>
        <v>51.688333333333368</v>
      </c>
      <c r="H108" s="158">
        <f t="shared" si="2"/>
        <v>20.964062500000001</v>
      </c>
      <c r="I108" s="158">
        <f t="shared" si="2"/>
        <v>7.2544791666666635</v>
      </c>
      <c r="J108" s="158">
        <f t="shared" si="2"/>
        <v>0.30260416666666667</v>
      </c>
      <c r="K108" s="158">
        <f t="shared" si="2"/>
        <v>74.712083333333368</v>
      </c>
      <c r="L108" s="158">
        <f t="shared" si="2"/>
        <v>11.290312500000004</v>
      </c>
      <c r="M108" s="158">
        <f t="shared" si="2"/>
        <v>7.8371874999999998</v>
      </c>
      <c r="N108" s="158">
        <f t="shared" si="2"/>
        <v>108.14999999999988</v>
      </c>
      <c r="O108" s="158">
        <f t="shared" si="2"/>
        <v>0</v>
      </c>
      <c r="P108" s="158">
        <f t="shared" si="2"/>
        <v>0.34333333333333343</v>
      </c>
      <c r="Q108" s="158">
        <f t="shared" si="2"/>
        <v>9.5509375000000105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3.5995391015268932</v>
      </c>
      <c r="C109" s="158">
        <f t="shared" ref="C109:Q109" si="3">STDEV(C9:C104)</f>
        <v>0.63672819637002998</v>
      </c>
      <c r="D109" s="158">
        <f t="shared" si="3"/>
        <v>3.0480473455335266</v>
      </c>
      <c r="E109" s="158">
        <f t="shared" si="3"/>
        <v>0.72669680446114393</v>
      </c>
      <c r="F109" s="158">
        <f t="shared" si="3"/>
        <v>0</v>
      </c>
      <c r="G109" s="158">
        <f t="shared" si="3"/>
        <v>14.013755998767026</v>
      </c>
      <c r="H109" s="158">
        <f t="shared" si="3"/>
        <v>8.2206248421912793</v>
      </c>
      <c r="I109" s="158">
        <f t="shared" si="3"/>
        <v>1.0127699066283353</v>
      </c>
      <c r="J109" s="158">
        <f t="shared" si="3"/>
        <v>8.4507798352910182E-2</v>
      </c>
      <c r="K109" s="158">
        <f t="shared" si="3"/>
        <v>29.271057842055821</v>
      </c>
      <c r="L109" s="158">
        <f t="shared" si="3"/>
        <v>3.1736721062765536</v>
      </c>
      <c r="M109" s="158">
        <f t="shared" si="3"/>
        <v>5.311513948737363</v>
      </c>
      <c r="N109" s="158">
        <f t="shared" si="3"/>
        <v>171.35148610232037</v>
      </c>
      <c r="O109" s="158">
        <f t="shared" si="3"/>
        <v>0</v>
      </c>
      <c r="P109" s="158">
        <f t="shared" si="3"/>
        <v>4.4737048503135063E-2</v>
      </c>
      <c r="Q109" s="158">
        <f t="shared" si="3"/>
        <v>0.47285043395849491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H15" sqref="H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2832</v>
      </c>
      <c r="B9" s="100">
        <v>4.6900000000000004</v>
      </c>
      <c r="C9" s="100">
        <v>5.96</v>
      </c>
      <c r="D9" s="100">
        <v>6.87</v>
      </c>
      <c r="E9" s="100">
        <v>7.18</v>
      </c>
      <c r="F9" s="100">
        <v>2</v>
      </c>
      <c r="G9" s="100">
        <v>30.84</v>
      </c>
      <c r="H9" s="100">
        <v>10.4</v>
      </c>
      <c r="I9" s="100">
        <v>6.44</v>
      </c>
      <c r="J9" s="100">
        <v>0.27</v>
      </c>
      <c r="K9" s="100">
        <v>53.91</v>
      </c>
      <c r="L9" s="100">
        <v>9.82</v>
      </c>
      <c r="M9" s="100">
        <v>6.59</v>
      </c>
      <c r="N9" s="100">
        <v>2.4</v>
      </c>
      <c r="O9" s="100">
        <v>0</v>
      </c>
      <c r="P9" s="100">
        <v>0.26</v>
      </c>
      <c r="Q9" s="100">
        <v>9.32</v>
      </c>
      <c r="R9" s="6"/>
      <c r="S9" s="6"/>
      <c r="T9" s="156"/>
      <c r="U9" s="6"/>
    </row>
    <row r="10" spans="1:21" customFormat="1">
      <c r="A10" s="201" t="s">
        <v>2833</v>
      </c>
      <c r="B10" s="100">
        <v>4.66</v>
      </c>
      <c r="C10" s="100">
        <v>6.06</v>
      </c>
      <c r="D10" s="100">
        <v>6.9</v>
      </c>
      <c r="E10" s="100">
        <v>6.97</v>
      </c>
      <c r="F10" s="100">
        <v>2</v>
      </c>
      <c r="G10" s="100">
        <v>30.84</v>
      </c>
      <c r="H10" s="100">
        <v>10.4</v>
      </c>
      <c r="I10" s="100">
        <v>6.3</v>
      </c>
      <c r="J10" s="100">
        <v>0.23</v>
      </c>
      <c r="K10" s="100">
        <v>68.75</v>
      </c>
      <c r="L10" s="100">
        <v>9.32</v>
      </c>
      <c r="M10" s="100">
        <v>5.43</v>
      </c>
      <c r="N10" s="100">
        <v>2.4</v>
      </c>
      <c r="O10" s="100">
        <v>0</v>
      </c>
      <c r="P10" s="100">
        <v>0.25</v>
      </c>
      <c r="Q10" s="100">
        <v>9.32</v>
      </c>
      <c r="R10" s="6"/>
      <c r="S10" s="6"/>
      <c r="T10" s="156"/>
      <c r="U10" s="6"/>
    </row>
    <row r="11" spans="1:21" customFormat="1">
      <c r="A11" s="201" t="s">
        <v>2834</v>
      </c>
      <c r="B11" s="100">
        <v>4.63</v>
      </c>
      <c r="C11" s="100">
        <v>6.07</v>
      </c>
      <c r="D11" s="100">
        <v>6.89</v>
      </c>
      <c r="E11" s="100">
        <v>7.19</v>
      </c>
      <c r="F11" s="100">
        <v>2</v>
      </c>
      <c r="G11" s="100">
        <v>24.53</v>
      </c>
      <c r="H11" s="100">
        <v>9.02</v>
      </c>
      <c r="I11" s="100">
        <v>6.13</v>
      </c>
      <c r="J11" s="100">
        <v>0.18</v>
      </c>
      <c r="K11" s="100">
        <v>82.14</v>
      </c>
      <c r="L11" s="100">
        <v>11.64</v>
      </c>
      <c r="M11" s="100">
        <v>11.28</v>
      </c>
      <c r="N11" s="100">
        <v>2.2999999999999998</v>
      </c>
      <c r="O11" s="100">
        <v>0</v>
      </c>
      <c r="P11" s="100">
        <v>0.25</v>
      </c>
      <c r="Q11" s="100">
        <v>9.32</v>
      </c>
      <c r="R11" s="6"/>
      <c r="S11" s="6"/>
      <c r="T11" s="156"/>
      <c r="U11" s="6"/>
    </row>
    <row r="12" spans="1:21" customFormat="1">
      <c r="A12" s="201" t="s">
        <v>2835</v>
      </c>
      <c r="B12" s="100">
        <v>4.62</v>
      </c>
      <c r="C12" s="100">
        <v>6.01</v>
      </c>
      <c r="D12" s="100">
        <v>6.85</v>
      </c>
      <c r="E12" s="100">
        <v>7.23</v>
      </c>
      <c r="F12" s="100">
        <v>2</v>
      </c>
      <c r="G12" s="100">
        <v>22.23</v>
      </c>
      <c r="H12" s="100">
        <v>9</v>
      </c>
      <c r="I12" s="100">
        <v>5.99</v>
      </c>
      <c r="J12" s="100">
        <v>0.25</v>
      </c>
      <c r="K12" s="100">
        <v>76.98</v>
      </c>
      <c r="L12" s="100">
        <v>9.49</v>
      </c>
      <c r="M12" s="100">
        <v>5.85</v>
      </c>
      <c r="N12" s="100">
        <v>2.2999999999999998</v>
      </c>
      <c r="O12" s="100">
        <v>0</v>
      </c>
      <c r="P12" s="100">
        <v>0.24</v>
      </c>
      <c r="Q12" s="100">
        <v>9.32</v>
      </c>
      <c r="R12" s="6"/>
      <c r="S12" s="6"/>
      <c r="T12" s="156"/>
      <c r="U12" s="6"/>
    </row>
    <row r="13" spans="1:21" customFormat="1">
      <c r="A13" s="201" t="s">
        <v>2836</v>
      </c>
      <c r="B13" s="100">
        <v>4.62</v>
      </c>
      <c r="C13" s="100">
        <v>5.94</v>
      </c>
      <c r="D13" s="100">
        <v>6.8</v>
      </c>
      <c r="E13" s="100">
        <v>7.47</v>
      </c>
      <c r="F13" s="100">
        <v>2</v>
      </c>
      <c r="G13" s="100">
        <v>22.23</v>
      </c>
      <c r="H13" s="100">
        <v>9</v>
      </c>
      <c r="I13" s="100">
        <v>5.92</v>
      </c>
      <c r="J13" s="100">
        <v>0.36</v>
      </c>
      <c r="K13" s="100">
        <v>61.06</v>
      </c>
      <c r="L13" s="100">
        <v>8.93</v>
      </c>
      <c r="M13" s="100">
        <v>4.43</v>
      </c>
      <c r="N13" s="100">
        <v>2.4</v>
      </c>
      <c r="O13" s="100">
        <v>0</v>
      </c>
      <c r="P13" s="100">
        <v>0.24</v>
      </c>
      <c r="Q13" s="100">
        <v>9.32</v>
      </c>
      <c r="R13" s="6"/>
      <c r="S13" s="6"/>
      <c r="T13" s="156"/>
      <c r="U13" s="6"/>
    </row>
    <row r="14" spans="1:21" customFormat="1">
      <c r="A14" s="201" t="s">
        <v>2837</v>
      </c>
      <c r="B14" s="100">
        <v>4.54</v>
      </c>
      <c r="C14" s="100">
        <v>5.92</v>
      </c>
      <c r="D14" s="100">
        <v>6.73</v>
      </c>
      <c r="E14" s="100">
        <v>7.58</v>
      </c>
      <c r="F14" s="100">
        <v>2</v>
      </c>
      <c r="G14" s="100">
        <v>22.23</v>
      </c>
      <c r="H14" s="100">
        <v>9</v>
      </c>
      <c r="I14" s="100">
        <v>5.84</v>
      </c>
      <c r="J14" s="100">
        <v>0.36</v>
      </c>
      <c r="K14" s="100">
        <v>56.92</v>
      </c>
      <c r="L14" s="100">
        <v>8.3000000000000007</v>
      </c>
      <c r="M14" s="100">
        <v>2.78</v>
      </c>
      <c r="N14" s="100">
        <v>2.4</v>
      </c>
      <c r="O14" s="100">
        <v>0</v>
      </c>
      <c r="P14" s="100">
        <v>0.23</v>
      </c>
      <c r="Q14" s="100">
        <v>9.32</v>
      </c>
      <c r="R14" s="6"/>
      <c r="S14" s="6"/>
      <c r="T14" s="156"/>
      <c r="U14" s="6"/>
    </row>
    <row r="15" spans="1:21" customFormat="1">
      <c r="A15" s="201" t="s">
        <v>2838</v>
      </c>
      <c r="B15" s="100">
        <v>4.5</v>
      </c>
      <c r="C15" s="100">
        <v>5.87</v>
      </c>
      <c r="D15" s="100">
        <v>6.67</v>
      </c>
      <c r="E15" s="100">
        <v>7.11</v>
      </c>
      <c r="F15" s="100">
        <v>2</v>
      </c>
      <c r="G15" s="100">
        <v>20.07</v>
      </c>
      <c r="H15" s="100">
        <v>7.17</v>
      </c>
      <c r="I15" s="100">
        <v>5.71</v>
      </c>
      <c r="J15" s="100">
        <v>0.24</v>
      </c>
      <c r="K15" s="100">
        <v>57.91</v>
      </c>
      <c r="L15" s="100">
        <v>9.43</v>
      </c>
      <c r="M15" s="100">
        <v>5.66</v>
      </c>
      <c r="N15" s="100">
        <v>2.2000000000000002</v>
      </c>
      <c r="O15" s="100">
        <v>0</v>
      </c>
      <c r="P15" s="100">
        <v>0.23</v>
      </c>
      <c r="Q15" s="100">
        <v>9.32</v>
      </c>
      <c r="R15" s="6"/>
      <c r="S15" s="6"/>
      <c r="T15" s="156"/>
      <c r="U15" s="6"/>
    </row>
    <row r="16" spans="1:21" customFormat="1">
      <c r="A16" s="201" t="s">
        <v>2839</v>
      </c>
      <c r="B16" s="100">
        <v>4.57</v>
      </c>
      <c r="C16" s="100">
        <v>5.8</v>
      </c>
      <c r="D16" s="100">
        <v>6.69</v>
      </c>
      <c r="E16" s="100">
        <v>7.07</v>
      </c>
      <c r="F16" s="100">
        <v>2</v>
      </c>
      <c r="G16" s="100">
        <v>19.29</v>
      </c>
      <c r="H16" s="100">
        <v>7.11</v>
      </c>
      <c r="I16" s="100">
        <v>5.58</v>
      </c>
      <c r="J16" s="100">
        <v>0.26</v>
      </c>
      <c r="K16" s="100">
        <v>54.14</v>
      </c>
      <c r="L16" s="100">
        <v>9.56</v>
      </c>
      <c r="M16" s="100">
        <v>5.95</v>
      </c>
      <c r="N16" s="100">
        <v>2.2000000000000002</v>
      </c>
      <c r="O16" s="100">
        <v>0</v>
      </c>
      <c r="P16" s="100">
        <v>0.25</v>
      </c>
      <c r="Q16" s="100">
        <v>9.32</v>
      </c>
      <c r="R16" s="6"/>
      <c r="S16" s="6"/>
      <c r="T16" s="156"/>
      <c r="U16" s="6"/>
    </row>
    <row r="17" spans="1:21" customFormat="1">
      <c r="A17" s="201" t="s">
        <v>2840</v>
      </c>
      <c r="B17" s="100">
        <v>4.67</v>
      </c>
      <c r="C17" s="100">
        <v>5.73</v>
      </c>
      <c r="D17" s="100">
        <v>6.74</v>
      </c>
      <c r="E17" s="100">
        <v>5.61</v>
      </c>
      <c r="F17" s="100">
        <v>2</v>
      </c>
      <c r="G17" s="100">
        <v>19.29</v>
      </c>
      <c r="H17" s="100">
        <v>7.11</v>
      </c>
      <c r="I17" s="100">
        <v>5.52</v>
      </c>
      <c r="J17" s="100">
        <v>0.53</v>
      </c>
      <c r="K17" s="100">
        <v>30.71</v>
      </c>
      <c r="L17" s="100">
        <v>6.3</v>
      </c>
      <c r="M17" s="100">
        <v>-2.34</v>
      </c>
      <c r="N17" s="100">
        <v>2.4</v>
      </c>
      <c r="O17" s="100">
        <v>0</v>
      </c>
      <c r="P17" s="100">
        <v>0.24</v>
      </c>
      <c r="Q17" s="100">
        <v>9.32</v>
      </c>
      <c r="R17" s="6"/>
      <c r="S17" s="6"/>
      <c r="T17" s="156"/>
      <c r="U17" s="6"/>
    </row>
    <row r="18" spans="1:21" customFormat="1">
      <c r="A18" s="201" t="s">
        <v>2841</v>
      </c>
      <c r="B18" s="100">
        <v>4.8600000000000003</v>
      </c>
      <c r="C18" s="100">
        <v>5.67</v>
      </c>
      <c r="D18" s="100">
        <v>6.86</v>
      </c>
      <c r="E18" s="100">
        <v>6.31</v>
      </c>
      <c r="F18" s="100">
        <v>2</v>
      </c>
      <c r="G18" s="100">
        <v>19.29</v>
      </c>
      <c r="H18" s="100">
        <v>7.11</v>
      </c>
      <c r="I18" s="100">
        <v>5.44</v>
      </c>
      <c r="J18" s="100">
        <v>0.56999999999999995</v>
      </c>
      <c r="K18" s="100">
        <v>36.21</v>
      </c>
      <c r="L18" s="100">
        <v>6.44</v>
      </c>
      <c r="M18" s="100">
        <v>-2.02</v>
      </c>
      <c r="N18" s="100">
        <v>2.4</v>
      </c>
      <c r="O18" s="100">
        <v>0</v>
      </c>
      <c r="P18" s="100">
        <v>0.26</v>
      </c>
      <c r="Q18" s="100">
        <v>9.32</v>
      </c>
      <c r="R18" s="6"/>
      <c r="S18" s="6"/>
      <c r="T18" s="156"/>
      <c r="U18" s="6"/>
    </row>
    <row r="19" spans="1:21" customFormat="1">
      <c r="A19" s="201" t="s">
        <v>2842</v>
      </c>
      <c r="B19" s="100">
        <v>4.88</v>
      </c>
      <c r="C19" s="100">
        <v>5.62</v>
      </c>
      <c r="D19" s="100">
        <v>6.85</v>
      </c>
      <c r="E19" s="100">
        <v>6.5</v>
      </c>
      <c r="F19" s="100">
        <v>2</v>
      </c>
      <c r="G19" s="100">
        <v>18.63</v>
      </c>
      <c r="H19" s="100">
        <v>6.01</v>
      </c>
      <c r="I19" s="100">
        <v>5.41</v>
      </c>
      <c r="J19" s="100">
        <v>0.67</v>
      </c>
      <c r="K19" s="100">
        <v>39.369999999999997</v>
      </c>
      <c r="L19" s="100">
        <v>6.89</v>
      </c>
      <c r="M19" s="100">
        <v>-0.85</v>
      </c>
      <c r="N19" s="100">
        <v>2.4</v>
      </c>
      <c r="O19" s="100">
        <v>0</v>
      </c>
      <c r="P19" s="100">
        <v>0.24</v>
      </c>
      <c r="Q19" s="100">
        <v>9.75</v>
      </c>
      <c r="R19" s="6"/>
      <c r="S19" s="6"/>
      <c r="T19" s="156"/>
      <c r="U19" s="6"/>
    </row>
    <row r="20" spans="1:21" customFormat="1">
      <c r="A20" s="201" t="s">
        <v>2843</v>
      </c>
      <c r="B20" s="100">
        <v>5</v>
      </c>
      <c r="C20" s="100">
        <v>5.69</v>
      </c>
      <c r="D20" s="100">
        <v>6.98</v>
      </c>
      <c r="E20" s="100">
        <v>6.58</v>
      </c>
      <c r="F20" s="100">
        <v>2</v>
      </c>
      <c r="G20" s="100">
        <v>18.38</v>
      </c>
      <c r="H20" s="100">
        <v>5.98</v>
      </c>
      <c r="I20" s="100">
        <v>5.35</v>
      </c>
      <c r="J20" s="100">
        <v>0.6</v>
      </c>
      <c r="K20" s="100">
        <v>37.369999999999997</v>
      </c>
      <c r="L20" s="100">
        <v>6.96</v>
      </c>
      <c r="M20" s="100">
        <v>0.09</v>
      </c>
      <c r="N20" s="100">
        <v>2.4</v>
      </c>
      <c r="O20" s="100">
        <v>0</v>
      </c>
      <c r="P20" s="100">
        <v>0.25</v>
      </c>
      <c r="Q20" s="100">
        <v>21.39</v>
      </c>
      <c r="R20" s="6"/>
      <c r="S20" s="6"/>
      <c r="T20" s="156"/>
      <c r="U20" s="6"/>
    </row>
    <row r="21" spans="1:21" customFormat="1">
      <c r="A21" s="201" t="s">
        <v>2844</v>
      </c>
      <c r="B21" s="100">
        <v>5.0999999999999996</v>
      </c>
      <c r="C21" s="100">
        <v>5.61</v>
      </c>
      <c r="D21" s="100">
        <v>7.02</v>
      </c>
      <c r="E21" s="100">
        <v>6.23</v>
      </c>
      <c r="F21" s="100">
        <v>2</v>
      </c>
      <c r="G21" s="100">
        <v>18.38</v>
      </c>
      <c r="H21" s="100">
        <v>5.98</v>
      </c>
      <c r="I21" s="100">
        <v>5.32</v>
      </c>
      <c r="J21" s="100">
        <v>0.4</v>
      </c>
      <c r="K21" s="100">
        <v>36.67</v>
      </c>
      <c r="L21" s="100">
        <v>8.1999999999999993</v>
      </c>
      <c r="M21" s="100">
        <v>2.41</v>
      </c>
      <c r="N21" s="100">
        <v>2.4</v>
      </c>
      <c r="O21" s="100">
        <v>0</v>
      </c>
      <c r="P21" s="100">
        <v>0.24</v>
      </c>
      <c r="Q21" s="100">
        <v>18.14</v>
      </c>
      <c r="R21" s="6"/>
      <c r="S21" s="6"/>
      <c r="T21" s="156"/>
      <c r="U21" s="6"/>
    </row>
    <row r="22" spans="1:21" customFormat="1">
      <c r="A22" s="201" t="s">
        <v>2845</v>
      </c>
      <c r="B22" s="100">
        <v>5.24</v>
      </c>
      <c r="C22" s="100">
        <v>5.72</v>
      </c>
      <c r="D22" s="100">
        <v>7.19</v>
      </c>
      <c r="E22" s="100">
        <v>6.07</v>
      </c>
      <c r="F22" s="100">
        <v>2</v>
      </c>
      <c r="G22" s="100">
        <v>18.38</v>
      </c>
      <c r="H22" s="100">
        <v>5.98</v>
      </c>
      <c r="I22" s="100">
        <v>5.31</v>
      </c>
      <c r="J22" s="100">
        <v>0.45</v>
      </c>
      <c r="K22" s="100">
        <v>34.96</v>
      </c>
      <c r="L22" s="100">
        <v>6.56</v>
      </c>
      <c r="M22" s="100">
        <v>-1.69</v>
      </c>
      <c r="N22" s="100">
        <v>2.2999999999999998</v>
      </c>
      <c r="O22" s="100">
        <v>0</v>
      </c>
      <c r="P22" s="100">
        <v>0.24</v>
      </c>
      <c r="Q22" s="100">
        <v>11.22</v>
      </c>
      <c r="R22" s="6"/>
      <c r="S22" s="6"/>
      <c r="T22" s="156"/>
      <c r="U22" s="6"/>
    </row>
    <row r="23" spans="1:21" customFormat="1">
      <c r="A23" s="201" t="s">
        <v>2846</v>
      </c>
      <c r="B23" s="100">
        <v>5.42</v>
      </c>
      <c r="C23" s="100">
        <v>5.67</v>
      </c>
      <c r="D23" s="100">
        <v>7.31</v>
      </c>
      <c r="E23" s="100">
        <v>6.22</v>
      </c>
      <c r="F23" s="100">
        <v>2</v>
      </c>
      <c r="G23" s="100">
        <v>16.649999999999999</v>
      </c>
      <c r="H23" s="100">
        <v>9.43</v>
      </c>
      <c r="I23" s="100">
        <v>5.26</v>
      </c>
      <c r="J23" s="100">
        <v>0.56999999999999995</v>
      </c>
      <c r="K23" s="100">
        <v>35.39</v>
      </c>
      <c r="L23" s="100">
        <v>6.86</v>
      </c>
      <c r="M23" s="100">
        <v>-0.93</v>
      </c>
      <c r="N23" s="100">
        <v>2.2999999999999998</v>
      </c>
      <c r="O23" s="100">
        <v>0</v>
      </c>
      <c r="P23" s="100">
        <v>0.24</v>
      </c>
      <c r="Q23" s="100">
        <v>9.9</v>
      </c>
      <c r="R23" s="6"/>
      <c r="S23" s="6"/>
      <c r="T23" s="156"/>
      <c r="U23" s="6"/>
    </row>
    <row r="24" spans="1:21" customFormat="1">
      <c r="A24" s="201" t="s">
        <v>2847</v>
      </c>
      <c r="B24" s="100">
        <v>5.53</v>
      </c>
      <c r="C24" s="100">
        <v>5.72</v>
      </c>
      <c r="D24" s="100">
        <v>7.43</v>
      </c>
      <c r="E24" s="100">
        <v>6.19</v>
      </c>
      <c r="F24" s="100">
        <v>2</v>
      </c>
      <c r="G24" s="100">
        <v>16.02</v>
      </c>
      <c r="H24" s="100">
        <v>9.59</v>
      </c>
      <c r="I24" s="100">
        <v>5.27</v>
      </c>
      <c r="J24" s="100">
        <v>0.67</v>
      </c>
      <c r="K24" s="100">
        <v>36.07</v>
      </c>
      <c r="L24" s="100">
        <v>7.17</v>
      </c>
      <c r="M24" s="100">
        <v>-0.17</v>
      </c>
      <c r="N24" s="100">
        <v>2.4</v>
      </c>
      <c r="O24" s="100">
        <v>0</v>
      </c>
      <c r="P24" s="100">
        <v>0.23</v>
      </c>
      <c r="Q24" s="100">
        <v>9.35</v>
      </c>
      <c r="R24" s="6"/>
      <c r="S24" s="6"/>
      <c r="T24" s="156"/>
      <c r="U24" s="6"/>
    </row>
    <row r="25" spans="1:21" customFormat="1">
      <c r="A25" s="201" t="s">
        <v>2848</v>
      </c>
      <c r="B25" s="100">
        <v>5.68</v>
      </c>
      <c r="C25" s="100">
        <v>5.78</v>
      </c>
      <c r="D25" s="100">
        <v>7.58</v>
      </c>
      <c r="E25" s="100">
        <v>6.31</v>
      </c>
      <c r="F25" s="100">
        <v>2</v>
      </c>
      <c r="G25" s="100">
        <v>16.02</v>
      </c>
      <c r="H25" s="100">
        <v>9.59</v>
      </c>
      <c r="I25" s="100">
        <v>5.24</v>
      </c>
      <c r="J25" s="100">
        <v>0.5</v>
      </c>
      <c r="K25" s="100">
        <v>38.270000000000003</v>
      </c>
      <c r="L25" s="100">
        <v>7.64</v>
      </c>
      <c r="M25" s="100">
        <v>1.07</v>
      </c>
      <c r="N25" s="100">
        <v>2.4</v>
      </c>
      <c r="O25" s="100">
        <v>0</v>
      </c>
      <c r="P25" s="100">
        <v>0.23</v>
      </c>
      <c r="Q25" s="100">
        <v>9.35</v>
      </c>
      <c r="R25" s="6"/>
      <c r="S25" s="6"/>
      <c r="T25" s="156"/>
      <c r="U25" s="6"/>
    </row>
    <row r="26" spans="1:21" customFormat="1">
      <c r="A26" s="201" t="s">
        <v>2849</v>
      </c>
      <c r="B26" s="100">
        <v>5.83</v>
      </c>
      <c r="C26" s="100">
        <v>5.74</v>
      </c>
      <c r="D26" s="100">
        <v>7.68</v>
      </c>
      <c r="E26" s="100">
        <v>6.16</v>
      </c>
      <c r="F26" s="100">
        <v>2</v>
      </c>
      <c r="G26" s="100">
        <v>16.02</v>
      </c>
      <c r="H26" s="100">
        <v>9.59</v>
      </c>
      <c r="I26" s="100">
        <v>5.26</v>
      </c>
      <c r="J26" s="100">
        <v>0.41</v>
      </c>
      <c r="K26" s="100">
        <v>46.79</v>
      </c>
      <c r="L26" s="100">
        <v>8.1999999999999993</v>
      </c>
      <c r="M26" s="100">
        <v>2.5299999999999998</v>
      </c>
      <c r="N26" s="100">
        <v>2.4</v>
      </c>
      <c r="O26" s="100">
        <v>0</v>
      </c>
      <c r="P26" s="100">
        <v>0.23</v>
      </c>
      <c r="Q26" s="100">
        <v>9.33</v>
      </c>
      <c r="R26" s="6"/>
      <c r="S26" s="6"/>
      <c r="T26" s="156"/>
      <c r="U26" s="6"/>
    </row>
    <row r="27" spans="1:21" customFormat="1">
      <c r="A27" s="201" t="s">
        <v>2850</v>
      </c>
      <c r="B27" s="100">
        <v>5.92</v>
      </c>
      <c r="C27" s="100">
        <v>5.84</v>
      </c>
      <c r="D27" s="100">
        <v>7.8</v>
      </c>
      <c r="E27" s="100">
        <v>6.31</v>
      </c>
      <c r="F27" s="100">
        <v>2</v>
      </c>
      <c r="G27" s="100">
        <v>21.68</v>
      </c>
      <c r="H27" s="100">
        <v>9.01</v>
      </c>
      <c r="I27" s="100">
        <v>5.25</v>
      </c>
      <c r="J27" s="100">
        <v>0.51</v>
      </c>
      <c r="K27" s="100">
        <v>33.07</v>
      </c>
      <c r="L27" s="100">
        <v>7.94</v>
      </c>
      <c r="M27" s="100">
        <v>1.72</v>
      </c>
      <c r="N27" s="100">
        <v>2.2000000000000002</v>
      </c>
      <c r="O27" s="100">
        <v>0</v>
      </c>
      <c r="P27" s="100">
        <v>0.23</v>
      </c>
      <c r="Q27" s="100">
        <v>9.33</v>
      </c>
      <c r="R27" s="6"/>
      <c r="S27" s="6"/>
      <c r="T27" s="156"/>
      <c r="U27" s="6"/>
    </row>
    <row r="28" spans="1:21" customFormat="1">
      <c r="A28" s="201" t="s">
        <v>2851</v>
      </c>
      <c r="B28" s="100">
        <v>6.14</v>
      </c>
      <c r="C28" s="100">
        <v>5.81</v>
      </c>
      <c r="D28" s="100">
        <v>7.96</v>
      </c>
      <c r="E28" s="100">
        <v>6.55</v>
      </c>
      <c r="F28" s="100">
        <v>2</v>
      </c>
      <c r="G28" s="100">
        <v>23.73</v>
      </c>
      <c r="H28" s="100">
        <v>8.99</v>
      </c>
      <c r="I28" s="100">
        <v>5.17</v>
      </c>
      <c r="J28" s="100">
        <v>0.41</v>
      </c>
      <c r="K28" s="100">
        <v>40.33</v>
      </c>
      <c r="L28" s="100">
        <v>8.4600000000000009</v>
      </c>
      <c r="M28" s="100">
        <v>3.11</v>
      </c>
      <c r="N28" s="100">
        <v>2.2999999999999998</v>
      </c>
      <c r="O28" s="100">
        <v>0</v>
      </c>
      <c r="P28" s="100">
        <v>0.24</v>
      </c>
      <c r="Q28" s="100">
        <v>9.35</v>
      </c>
      <c r="R28" s="6"/>
      <c r="S28" s="6"/>
      <c r="T28" s="156"/>
      <c r="U28" s="6"/>
    </row>
    <row r="29" spans="1:21" customFormat="1">
      <c r="A29" s="201" t="s">
        <v>2852</v>
      </c>
      <c r="B29" s="100">
        <v>6.33</v>
      </c>
      <c r="C29" s="100">
        <v>5.89</v>
      </c>
      <c r="D29" s="100">
        <v>8.15</v>
      </c>
      <c r="E29" s="100">
        <v>6.14</v>
      </c>
      <c r="F29" s="100">
        <v>2</v>
      </c>
      <c r="G29" s="100">
        <v>23.73</v>
      </c>
      <c r="H29" s="100">
        <v>8.99</v>
      </c>
      <c r="I29" s="100">
        <v>5.15</v>
      </c>
      <c r="J29" s="100">
        <v>0.46</v>
      </c>
      <c r="K29" s="100">
        <v>34.76</v>
      </c>
      <c r="L29" s="100">
        <v>7.89</v>
      </c>
      <c r="M29" s="100">
        <v>1.59</v>
      </c>
      <c r="N29" s="100">
        <v>2.1</v>
      </c>
      <c r="O29" s="100">
        <v>0</v>
      </c>
      <c r="P29" s="100">
        <v>0.23</v>
      </c>
      <c r="Q29" s="100">
        <v>9.34</v>
      </c>
      <c r="R29" s="6"/>
      <c r="S29" s="6"/>
      <c r="T29" s="156"/>
      <c r="U29" s="6"/>
    </row>
    <row r="30" spans="1:21" customFormat="1">
      <c r="A30" s="201" t="s">
        <v>2853</v>
      </c>
      <c r="B30" s="100">
        <v>6.47</v>
      </c>
      <c r="C30" s="100">
        <v>5.96</v>
      </c>
      <c r="D30" s="100">
        <v>8.31</v>
      </c>
      <c r="E30" s="100">
        <v>6.1</v>
      </c>
      <c r="F30" s="100">
        <v>2</v>
      </c>
      <c r="G30" s="100">
        <v>23.73</v>
      </c>
      <c r="H30" s="100">
        <v>8.99</v>
      </c>
      <c r="I30" s="100">
        <v>5.15</v>
      </c>
      <c r="J30" s="100">
        <v>0.45</v>
      </c>
      <c r="K30" s="100">
        <v>37.979999999999997</v>
      </c>
      <c r="L30" s="100">
        <v>7.62</v>
      </c>
      <c r="M30" s="100">
        <v>0.97</v>
      </c>
      <c r="N30" s="100">
        <v>2.2000000000000002</v>
      </c>
      <c r="O30" s="100">
        <v>0</v>
      </c>
      <c r="P30" s="100">
        <v>0.24</v>
      </c>
      <c r="Q30" s="100">
        <v>9.34</v>
      </c>
      <c r="R30" s="6"/>
      <c r="S30" s="6"/>
      <c r="T30" s="156"/>
      <c r="U30" s="6"/>
    </row>
    <row r="31" spans="1:21" customFormat="1">
      <c r="A31" s="201" t="s">
        <v>2854</v>
      </c>
      <c r="B31" s="100">
        <v>6.58</v>
      </c>
      <c r="C31" s="100">
        <v>6.01</v>
      </c>
      <c r="D31" s="100">
        <v>8.42</v>
      </c>
      <c r="E31" s="100">
        <v>6.09</v>
      </c>
      <c r="F31" s="100">
        <v>2</v>
      </c>
      <c r="G31" s="100">
        <v>19.66</v>
      </c>
      <c r="H31" s="100">
        <v>7.35</v>
      </c>
      <c r="I31" s="100">
        <v>5.17</v>
      </c>
      <c r="J31" s="100">
        <v>0.5</v>
      </c>
      <c r="K31" s="100">
        <v>39.5</v>
      </c>
      <c r="L31" s="100">
        <v>7.9</v>
      </c>
      <c r="M31" s="100">
        <v>1.71</v>
      </c>
      <c r="N31" s="100">
        <v>2.1</v>
      </c>
      <c r="O31" s="100">
        <v>0</v>
      </c>
      <c r="P31" s="100">
        <v>0.24</v>
      </c>
      <c r="Q31" s="100">
        <v>9.4</v>
      </c>
      <c r="R31" s="6"/>
      <c r="S31" s="6"/>
      <c r="T31" s="156"/>
      <c r="U31" s="6"/>
    </row>
    <row r="32" spans="1:21" customFormat="1">
      <c r="A32" s="201" t="s">
        <v>2855</v>
      </c>
      <c r="B32" s="100">
        <v>6.71</v>
      </c>
      <c r="C32" s="100">
        <v>6.04</v>
      </c>
      <c r="D32" s="100">
        <v>8.5399999999999991</v>
      </c>
      <c r="E32" s="100">
        <v>6.44</v>
      </c>
      <c r="F32" s="100">
        <v>2</v>
      </c>
      <c r="G32" s="100">
        <v>18.18</v>
      </c>
      <c r="H32" s="100">
        <v>7.3</v>
      </c>
      <c r="I32" s="100">
        <v>5.17</v>
      </c>
      <c r="J32" s="100">
        <v>0.6</v>
      </c>
      <c r="K32" s="100">
        <v>42.73</v>
      </c>
      <c r="L32" s="100">
        <v>7.28</v>
      </c>
      <c r="M32" s="100">
        <v>0.17</v>
      </c>
      <c r="N32" s="100">
        <v>2.5</v>
      </c>
      <c r="O32" s="100">
        <v>0</v>
      </c>
      <c r="P32" s="100">
        <v>0.23</v>
      </c>
      <c r="Q32" s="100">
        <v>9.35</v>
      </c>
      <c r="R32" s="6"/>
      <c r="S32" s="6"/>
      <c r="T32" s="156"/>
      <c r="U32" s="6"/>
    </row>
    <row r="33" spans="1:21" customFormat="1">
      <c r="A33" s="201" t="s">
        <v>2856</v>
      </c>
      <c r="B33" s="100">
        <v>6.85</v>
      </c>
      <c r="C33" s="100">
        <v>6.11</v>
      </c>
      <c r="D33" s="100">
        <v>8.69</v>
      </c>
      <c r="E33" s="100">
        <v>6.28</v>
      </c>
      <c r="F33" s="100">
        <v>2</v>
      </c>
      <c r="G33" s="100">
        <v>18.18</v>
      </c>
      <c r="H33" s="100">
        <v>7.3</v>
      </c>
      <c r="I33" s="100">
        <v>5.13</v>
      </c>
      <c r="J33" s="100">
        <v>0.67</v>
      </c>
      <c r="K33" s="100">
        <v>37.700000000000003</v>
      </c>
      <c r="L33" s="100">
        <v>6.67</v>
      </c>
      <c r="M33" s="100">
        <v>-1.46</v>
      </c>
      <c r="N33" s="100">
        <v>3.5</v>
      </c>
      <c r="O33" s="100">
        <v>0</v>
      </c>
      <c r="P33" s="100">
        <v>0.24</v>
      </c>
      <c r="Q33" s="100">
        <v>9.32</v>
      </c>
      <c r="R33" s="6"/>
      <c r="S33" s="6"/>
      <c r="T33" s="156"/>
      <c r="U33" s="6"/>
    </row>
    <row r="34" spans="1:21" customFormat="1">
      <c r="A34" s="201" t="s">
        <v>2857</v>
      </c>
      <c r="B34" s="100">
        <v>6.95</v>
      </c>
      <c r="C34" s="100">
        <v>6.27</v>
      </c>
      <c r="D34" s="100">
        <v>8.85</v>
      </c>
      <c r="E34" s="100">
        <v>6.51</v>
      </c>
      <c r="F34" s="100">
        <v>2</v>
      </c>
      <c r="G34" s="100">
        <v>18.18</v>
      </c>
      <c r="H34" s="100">
        <v>7.3</v>
      </c>
      <c r="I34" s="100">
        <v>5.15</v>
      </c>
      <c r="J34" s="100">
        <v>0.6</v>
      </c>
      <c r="K34" s="100">
        <v>35.03</v>
      </c>
      <c r="L34" s="100">
        <v>7.21</v>
      </c>
      <c r="M34" s="100">
        <v>-0.09</v>
      </c>
      <c r="N34" s="100">
        <v>5.8</v>
      </c>
      <c r="O34" s="100">
        <v>0</v>
      </c>
      <c r="P34" s="100">
        <v>0.23</v>
      </c>
      <c r="Q34" s="100">
        <v>9.32</v>
      </c>
      <c r="R34" s="6"/>
      <c r="S34" s="6"/>
      <c r="T34" s="156"/>
      <c r="U34" s="6"/>
    </row>
    <row r="35" spans="1:21" customFormat="1">
      <c r="A35" s="201" t="s">
        <v>2858</v>
      </c>
      <c r="B35" s="100">
        <v>6.97</v>
      </c>
      <c r="C35" s="100">
        <v>6.22</v>
      </c>
      <c r="D35" s="100">
        <v>8.84</v>
      </c>
      <c r="E35" s="100">
        <v>6.29</v>
      </c>
      <c r="F35" s="100">
        <v>2</v>
      </c>
      <c r="G35" s="100">
        <v>17.7</v>
      </c>
      <c r="H35" s="100">
        <v>10.09</v>
      </c>
      <c r="I35" s="100">
        <v>5.16</v>
      </c>
      <c r="J35" s="100">
        <v>0.61</v>
      </c>
      <c r="K35" s="100">
        <v>38.82</v>
      </c>
      <c r="L35" s="100">
        <v>7.97</v>
      </c>
      <c r="M35" s="100">
        <v>1.71</v>
      </c>
      <c r="N35" s="100">
        <v>9.6</v>
      </c>
      <c r="O35" s="100">
        <v>0</v>
      </c>
      <c r="P35" s="100">
        <v>0.21</v>
      </c>
      <c r="Q35" s="100">
        <v>9.33</v>
      </c>
      <c r="R35" s="6"/>
      <c r="S35" s="6"/>
      <c r="T35" s="156"/>
      <c r="U35" s="6"/>
    </row>
    <row r="36" spans="1:21" customFormat="1">
      <c r="A36" s="201" t="s">
        <v>2859</v>
      </c>
      <c r="B36" s="100">
        <v>6.93</v>
      </c>
      <c r="C36" s="100">
        <v>6.36</v>
      </c>
      <c r="D36" s="100">
        <v>8.8699999999999992</v>
      </c>
      <c r="E36" s="100">
        <v>5.9</v>
      </c>
      <c r="F36" s="100">
        <v>2</v>
      </c>
      <c r="G36" s="100">
        <v>17.53</v>
      </c>
      <c r="H36" s="100">
        <v>10.18</v>
      </c>
      <c r="I36" s="100">
        <v>5.15</v>
      </c>
      <c r="J36" s="100">
        <v>0.75</v>
      </c>
      <c r="K36" s="100">
        <v>39.15</v>
      </c>
      <c r="L36" s="100">
        <v>7.34</v>
      </c>
      <c r="M36" s="100">
        <v>0.05</v>
      </c>
      <c r="N36" s="100">
        <v>12.7</v>
      </c>
      <c r="O36" s="100">
        <v>0</v>
      </c>
      <c r="P36" s="100">
        <v>0.2</v>
      </c>
      <c r="Q36" s="100">
        <v>9.59</v>
      </c>
      <c r="R36" s="6"/>
      <c r="S36" s="6"/>
      <c r="T36" s="156"/>
      <c r="U36" s="6"/>
    </row>
    <row r="37" spans="1:21" customFormat="1">
      <c r="A37" s="201" t="s">
        <v>2860</v>
      </c>
      <c r="B37" s="100">
        <v>6.82</v>
      </c>
      <c r="C37" s="100">
        <v>6.48</v>
      </c>
      <c r="D37" s="100">
        <v>8.86</v>
      </c>
      <c r="E37" s="100">
        <v>5.93</v>
      </c>
      <c r="F37" s="100">
        <v>2</v>
      </c>
      <c r="G37" s="100">
        <v>17.53</v>
      </c>
      <c r="H37" s="100">
        <v>10.18</v>
      </c>
      <c r="I37" s="100">
        <v>5.15</v>
      </c>
      <c r="J37" s="100">
        <v>0.66</v>
      </c>
      <c r="K37" s="100">
        <v>35.49</v>
      </c>
      <c r="L37" s="100">
        <v>8.5</v>
      </c>
      <c r="M37" s="100">
        <v>2.84</v>
      </c>
      <c r="N37" s="100">
        <v>16.7</v>
      </c>
      <c r="O37" s="100">
        <v>0</v>
      </c>
      <c r="P37" s="100">
        <v>0.21</v>
      </c>
      <c r="Q37" s="100">
        <v>9.52</v>
      </c>
      <c r="R37" s="6"/>
      <c r="S37" s="6"/>
      <c r="T37" s="156"/>
      <c r="U37" s="6"/>
    </row>
    <row r="38" spans="1:21" customFormat="1">
      <c r="A38" s="201" t="s">
        <v>2861</v>
      </c>
      <c r="B38" s="100">
        <v>6.73</v>
      </c>
      <c r="C38" s="100">
        <v>6.6</v>
      </c>
      <c r="D38" s="100">
        <v>8.84</v>
      </c>
      <c r="E38" s="100">
        <v>6.16</v>
      </c>
      <c r="F38" s="100">
        <v>2</v>
      </c>
      <c r="G38" s="100">
        <v>17.53</v>
      </c>
      <c r="H38" s="100">
        <v>10.18</v>
      </c>
      <c r="I38" s="100">
        <v>5.15</v>
      </c>
      <c r="J38" s="100">
        <v>0.69</v>
      </c>
      <c r="K38" s="100">
        <v>38.46</v>
      </c>
      <c r="L38" s="100">
        <v>8.8000000000000007</v>
      </c>
      <c r="M38" s="100">
        <v>3.57</v>
      </c>
      <c r="N38" s="100">
        <v>19.600000000000001</v>
      </c>
      <c r="O38" s="100">
        <v>0</v>
      </c>
      <c r="P38" s="100">
        <v>0.22</v>
      </c>
      <c r="Q38" s="100">
        <v>9.6</v>
      </c>
      <c r="R38" s="6"/>
      <c r="S38" s="6"/>
      <c r="T38" s="156"/>
      <c r="U38" s="6"/>
    </row>
    <row r="39" spans="1:21" customFormat="1">
      <c r="A39" s="201" t="s">
        <v>2862</v>
      </c>
      <c r="B39" s="100">
        <v>6.76</v>
      </c>
      <c r="C39" s="100">
        <v>6.74</v>
      </c>
      <c r="D39" s="100">
        <v>8.94</v>
      </c>
      <c r="E39" s="100">
        <v>6.51</v>
      </c>
      <c r="F39" s="100">
        <v>2</v>
      </c>
      <c r="G39" s="100">
        <v>16.37</v>
      </c>
      <c r="H39" s="100">
        <v>10.17</v>
      </c>
      <c r="I39" s="100">
        <v>5.18</v>
      </c>
      <c r="J39" s="100">
        <v>0.81</v>
      </c>
      <c r="K39" s="100">
        <v>36.86</v>
      </c>
      <c r="L39" s="100">
        <v>7.83</v>
      </c>
      <c r="M39" s="100">
        <v>0.94</v>
      </c>
      <c r="N39" s="100">
        <v>26.1</v>
      </c>
      <c r="O39" s="100">
        <v>0</v>
      </c>
      <c r="P39" s="100">
        <v>0.23</v>
      </c>
      <c r="Q39" s="100">
        <v>9.6199999999999992</v>
      </c>
      <c r="R39" s="6"/>
      <c r="S39" s="6"/>
      <c r="T39" s="156"/>
      <c r="U39" s="6"/>
    </row>
    <row r="40" spans="1:21" customFormat="1">
      <c r="A40" s="201" t="s">
        <v>2863</v>
      </c>
      <c r="B40" s="100">
        <v>6.9</v>
      </c>
      <c r="C40" s="100">
        <v>6.7</v>
      </c>
      <c r="D40" s="100">
        <v>9.0399999999999991</v>
      </c>
      <c r="E40" s="100">
        <v>6.56</v>
      </c>
      <c r="F40" s="100">
        <v>2</v>
      </c>
      <c r="G40" s="100">
        <v>15.95</v>
      </c>
      <c r="H40" s="100">
        <v>10.17</v>
      </c>
      <c r="I40" s="100">
        <v>5.26</v>
      </c>
      <c r="J40" s="100">
        <v>0.87</v>
      </c>
      <c r="K40" s="100">
        <v>38.799999999999997</v>
      </c>
      <c r="L40" s="100">
        <v>7.62</v>
      </c>
      <c r="M40" s="100">
        <v>0.23</v>
      </c>
      <c r="N40" s="100">
        <v>33.700000000000003</v>
      </c>
      <c r="O40" s="100">
        <v>0</v>
      </c>
      <c r="P40" s="100">
        <v>0.24</v>
      </c>
      <c r="Q40" s="100">
        <v>9.58</v>
      </c>
      <c r="R40" s="6"/>
      <c r="S40" s="6"/>
      <c r="T40" s="156"/>
      <c r="U40" s="6"/>
    </row>
    <row r="41" spans="1:21" customFormat="1">
      <c r="A41" s="201" t="s">
        <v>2864</v>
      </c>
      <c r="B41" s="100">
        <v>7</v>
      </c>
      <c r="C41" s="100">
        <v>6.91</v>
      </c>
      <c r="D41" s="100">
        <v>9.2200000000000006</v>
      </c>
      <c r="E41" s="100">
        <v>6.37</v>
      </c>
      <c r="F41" s="100">
        <v>2</v>
      </c>
      <c r="G41" s="100">
        <v>15.95</v>
      </c>
      <c r="H41" s="100">
        <v>10.17</v>
      </c>
      <c r="I41" s="100">
        <v>5.33</v>
      </c>
      <c r="J41" s="100">
        <v>0.69</v>
      </c>
      <c r="K41" s="100">
        <v>39.19</v>
      </c>
      <c r="L41" s="100">
        <v>8.1300000000000008</v>
      </c>
      <c r="M41" s="100">
        <v>1.06</v>
      </c>
      <c r="N41" s="100">
        <v>54.7</v>
      </c>
      <c r="O41" s="100">
        <v>0</v>
      </c>
      <c r="P41" s="100">
        <v>0.25</v>
      </c>
      <c r="Q41" s="100">
        <v>9.49</v>
      </c>
      <c r="R41" s="6"/>
      <c r="S41" s="6"/>
      <c r="T41" s="156"/>
      <c r="U41" s="6"/>
    </row>
    <row r="42" spans="1:21" customFormat="1">
      <c r="A42" s="201" t="s">
        <v>2865</v>
      </c>
      <c r="B42" s="100">
        <v>7</v>
      </c>
      <c r="C42" s="100">
        <v>6.87</v>
      </c>
      <c r="D42" s="100">
        <v>9.1999999999999993</v>
      </c>
      <c r="E42" s="100">
        <v>6.3</v>
      </c>
      <c r="F42" s="100">
        <v>2</v>
      </c>
      <c r="G42" s="100">
        <v>15.95</v>
      </c>
      <c r="H42" s="100">
        <v>10.17</v>
      </c>
      <c r="I42" s="100">
        <v>5.41</v>
      </c>
      <c r="J42" s="100">
        <v>0.77</v>
      </c>
      <c r="K42" s="100">
        <v>37.89</v>
      </c>
      <c r="L42" s="100">
        <v>9.26</v>
      </c>
      <c r="M42" s="100">
        <v>3.69</v>
      </c>
      <c r="N42" s="100">
        <v>64.3</v>
      </c>
      <c r="O42" s="100">
        <v>0</v>
      </c>
      <c r="P42" s="100">
        <v>0.26</v>
      </c>
      <c r="Q42" s="100">
        <v>9.3800000000000008</v>
      </c>
      <c r="R42" s="6"/>
      <c r="S42" s="6"/>
      <c r="T42" s="156"/>
      <c r="U42" s="6"/>
    </row>
    <row r="43" spans="1:21" customFormat="1">
      <c r="A43" s="201" t="s">
        <v>2866</v>
      </c>
      <c r="B43" s="100">
        <v>7.1</v>
      </c>
      <c r="C43" s="100">
        <v>6.95</v>
      </c>
      <c r="D43" s="100">
        <v>9.32</v>
      </c>
      <c r="E43" s="100">
        <v>4.8</v>
      </c>
      <c r="F43" s="100">
        <v>2</v>
      </c>
      <c r="G43" s="100">
        <v>26.45</v>
      </c>
      <c r="H43" s="100">
        <v>11.12</v>
      </c>
      <c r="I43" s="100">
        <v>5.52</v>
      </c>
      <c r="J43" s="100">
        <v>0.64</v>
      </c>
      <c r="K43" s="100">
        <v>67.27</v>
      </c>
      <c r="L43" s="100">
        <v>10.029999999999999</v>
      </c>
      <c r="M43" s="100">
        <v>5.53</v>
      </c>
      <c r="N43" s="100">
        <v>71.2</v>
      </c>
      <c r="O43" s="100">
        <v>0</v>
      </c>
      <c r="P43" s="100">
        <v>0.28000000000000003</v>
      </c>
      <c r="Q43" s="100">
        <v>9.35</v>
      </c>
      <c r="R43" s="6"/>
      <c r="S43" s="6"/>
      <c r="T43" s="156"/>
      <c r="U43" s="6"/>
    </row>
    <row r="44" spans="1:21" customFormat="1">
      <c r="A44" s="201" t="s">
        <v>2867</v>
      </c>
      <c r="B44" s="100">
        <v>6.93</v>
      </c>
      <c r="C44" s="100">
        <v>6.91</v>
      </c>
      <c r="D44" s="100">
        <v>9.17</v>
      </c>
      <c r="E44" s="100">
        <v>6.4</v>
      </c>
      <c r="F44" s="100">
        <v>2</v>
      </c>
      <c r="G44" s="100">
        <v>30.27</v>
      </c>
      <c r="H44" s="100">
        <v>11.15</v>
      </c>
      <c r="I44" s="100">
        <v>5.61</v>
      </c>
      <c r="J44" s="100">
        <v>0.56000000000000005</v>
      </c>
      <c r="K44" s="100">
        <v>62.32</v>
      </c>
      <c r="L44" s="100">
        <v>10.039999999999999</v>
      </c>
      <c r="M44" s="100">
        <v>5.43</v>
      </c>
      <c r="N44" s="100">
        <v>77.3</v>
      </c>
      <c r="O44" s="100">
        <v>0</v>
      </c>
      <c r="P44" s="100">
        <v>0.28000000000000003</v>
      </c>
      <c r="Q44" s="100">
        <v>9.42</v>
      </c>
      <c r="R44" s="6"/>
      <c r="S44" s="6"/>
      <c r="T44" s="156"/>
      <c r="U44" s="6"/>
    </row>
    <row r="45" spans="1:21" customFormat="1">
      <c r="A45" s="201" t="s">
        <v>2868</v>
      </c>
      <c r="B45" s="100">
        <v>6.82</v>
      </c>
      <c r="C45" s="100">
        <v>6.89</v>
      </c>
      <c r="D45" s="100">
        <v>9.07</v>
      </c>
      <c r="E45" s="100">
        <v>6.51</v>
      </c>
      <c r="F45" s="100">
        <v>2</v>
      </c>
      <c r="G45" s="100">
        <v>30.27</v>
      </c>
      <c r="H45" s="100">
        <v>11.15</v>
      </c>
      <c r="I45" s="100">
        <v>5.71</v>
      </c>
      <c r="J45" s="100">
        <v>0.62</v>
      </c>
      <c r="K45" s="100">
        <v>49.62</v>
      </c>
      <c r="L45" s="100">
        <v>9.09</v>
      </c>
      <c r="M45" s="100">
        <v>3.33</v>
      </c>
      <c r="N45" s="100">
        <v>62.9</v>
      </c>
      <c r="O45" s="100">
        <v>0</v>
      </c>
      <c r="P45" s="100">
        <v>0.28000000000000003</v>
      </c>
      <c r="Q45" s="100">
        <v>9.39</v>
      </c>
      <c r="R45" s="6"/>
      <c r="S45" s="6"/>
      <c r="T45" s="156"/>
      <c r="U45" s="6"/>
    </row>
    <row r="46" spans="1:21" customFormat="1">
      <c r="A46" s="201" t="s">
        <v>2869</v>
      </c>
      <c r="B46" s="100">
        <v>6.71</v>
      </c>
      <c r="C46" s="100">
        <v>6.99</v>
      </c>
      <c r="D46" s="100">
        <v>9.0299999999999994</v>
      </c>
      <c r="E46" s="100">
        <v>6.77</v>
      </c>
      <c r="F46" s="100">
        <v>2</v>
      </c>
      <c r="G46" s="100">
        <v>30.27</v>
      </c>
      <c r="H46" s="100">
        <v>11.15</v>
      </c>
      <c r="I46" s="100">
        <v>5.8</v>
      </c>
      <c r="J46" s="100">
        <v>0.54</v>
      </c>
      <c r="K46" s="100">
        <v>64.31</v>
      </c>
      <c r="L46" s="100">
        <v>9.49</v>
      </c>
      <c r="M46" s="100">
        <v>4.47</v>
      </c>
      <c r="N46" s="100">
        <v>56.6</v>
      </c>
      <c r="O46" s="100">
        <v>0</v>
      </c>
      <c r="P46" s="100">
        <v>0.3</v>
      </c>
      <c r="Q46" s="100">
        <v>9.33</v>
      </c>
      <c r="R46" s="6"/>
      <c r="S46" s="6"/>
      <c r="T46" s="156"/>
      <c r="U46" s="6"/>
    </row>
    <row r="47" spans="1:21" customFormat="1">
      <c r="A47" s="201" t="s">
        <v>2870</v>
      </c>
      <c r="B47" s="100">
        <v>6.59</v>
      </c>
      <c r="C47" s="100">
        <v>6.98</v>
      </c>
      <c r="D47" s="100">
        <v>8.93</v>
      </c>
      <c r="E47" s="100">
        <v>6.71</v>
      </c>
      <c r="F47" s="100">
        <v>2</v>
      </c>
      <c r="G47" s="100">
        <v>36.72</v>
      </c>
      <c r="H47" s="100">
        <v>11.12</v>
      </c>
      <c r="I47" s="100">
        <v>5.88</v>
      </c>
      <c r="J47" s="100">
        <v>0.52</v>
      </c>
      <c r="K47" s="100">
        <v>55.47</v>
      </c>
      <c r="L47" s="100">
        <v>9.57</v>
      </c>
      <c r="M47" s="100">
        <v>4.96</v>
      </c>
      <c r="N47" s="100">
        <v>50.1</v>
      </c>
      <c r="O47" s="100">
        <v>0</v>
      </c>
      <c r="P47" s="100">
        <v>0.31</v>
      </c>
      <c r="Q47" s="100">
        <v>9.34</v>
      </c>
      <c r="R47" s="6"/>
      <c r="S47" s="6"/>
      <c r="T47" s="156"/>
      <c r="U47" s="6"/>
    </row>
    <row r="48" spans="1:21" customFormat="1">
      <c r="A48" s="201" t="s">
        <v>2871</v>
      </c>
      <c r="B48" s="100">
        <v>6.55</v>
      </c>
      <c r="C48" s="100">
        <v>7.07</v>
      </c>
      <c r="D48" s="100">
        <v>8.9499999999999993</v>
      </c>
      <c r="E48" s="100">
        <v>6.88</v>
      </c>
      <c r="F48" s="100">
        <v>2</v>
      </c>
      <c r="G48" s="100">
        <v>39.06</v>
      </c>
      <c r="H48" s="100">
        <v>11.12</v>
      </c>
      <c r="I48" s="100">
        <v>6</v>
      </c>
      <c r="J48" s="100">
        <v>0.41</v>
      </c>
      <c r="K48" s="100">
        <v>88.97</v>
      </c>
      <c r="L48" s="100">
        <v>11.36</v>
      </c>
      <c r="M48" s="100">
        <v>9.07</v>
      </c>
      <c r="N48" s="100">
        <v>66.900000000000006</v>
      </c>
      <c r="O48" s="100">
        <v>0</v>
      </c>
      <c r="P48" s="100">
        <v>0.33</v>
      </c>
      <c r="Q48" s="100">
        <v>9.35</v>
      </c>
      <c r="R48" s="6"/>
      <c r="S48" s="6"/>
      <c r="T48" s="156"/>
      <c r="U48" s="6"/>
    </row>
    <row r="49" spans="1:21" customFormat="1">
      <c r="A49" s="201" t="s">
        <v>2872</v>
      </c>
      <c r="B49" s="100">
        <v>6.5</v>
      </c>
      <c r="C49" s="100">
        <v>7.11</v>
      </c>
      <c r="D49" s="100">
        <v>8.93</v>
      </c>
      <c r="E49" s="100">
        <v>5.09</v>
      </c>
      <c r="F49" s="100">
        <v>2</v>
      </c>
      <c r="G49" s="100">
        <v>39.06</v>
      </c>
      <c r="H49" s="100">
        <v>11.12</v>
      </c>
      <c r="I49" s="100">
        <v>6.21</v>
      </c>
      <c r="J49" s="100">
        <v>0.47</v>
      </c>
      <c r="K49" s="100">
        <v>52.38</v>
      </c>
      <c r="L49" s="100">
        <v>10.41</v>
      </c>
      <c r="M49" s="100">
        <v>5.43</v>
      </c>
      <c r="N49" s="100">
        <v>111.6</v>
      </c>
      <c r="O49" s="100">
        <v>0</v>
      </c>
      <c r="P49" s="100">
        <v>0.34</v>
      </c>
      <c r="Q49" s="100">
        <v>9.52</v>
      </c>
      <c r="R49" s="6"/>
      <c r="S49" s="6"/>
      <c r="T49" s="156"/>
      <c r="U49" s="6"/>
    </row>
    <row r="50" spans="1:21" customFormat="1">
      <c r="A50" s="201" t="s">
        <v>2873</v>
      </c>
      <c r="B50" s="100">
        <v>6.35</v>
      </c>
      <c r="C50" s="100">
        <v>7.17</v>
      </c>
      <c r="D50" s="100">
        <v>8.84</v>
      </c>
      <c r="E50" s="100">
        <v>6.54</v>
      </c>
      <c r="F50" s="100">
        <v>2</v>
      </c>
      <c r="G50" s="100">
        <v>39.06</v>
      </c>
      <c r="H50" s="100">
        <v>11.12</v>
      </c>
      <c r="I50" s="100">
        <v>6.42</v>
      </c>
      <c r="J50" s="100">
        <v>0.72</v>
      </c>
      <c r="K50" s="100">
        <v>44.42</v>
      </c>
      <c r="L50" s="100">
        <v>9.32</v>
      </c>
      <c r="M50" s="100">
        <v>2.02</v>
      </c>
      <c r="N50" s="100">
        <v>139.80000000000001</v>
      </c>
      <c r="O50" s="100">
        <v>0</v>
      </c>
      <c r="P50" s="100">
        <v>0.35</v>
      </c>
      <c r="Q50" s="100">
        <v>9.3800000000000008</v>
      </c>
      <c r="R50" s="6"/>
      <c r="S50" s="6"/>
      <c r="T50" s="156"/>
      <c r="U50" s="6"/>
    </row>
    <row r="51" spans="1:21" customFormat="1">
      <c r="A51" s="201" t="s">
        <v>2874</v>
      </c>
      <c r="B51" s="100">
        <v>6.24</v>
      </c>
      <c r="C51" s="100">
        <v>7.16</v>
      </c>
      <c r="D51" s="100">
        <v>8.74</v>
      </c>
      <c r="E51" s="100">
        <v>6.47</v>
      </c>
      <c r="F51" s="100">
        <v>2</v>
      </c>
      <c r="G51" s="100">
        <v>48.44</v>
      </c>
      <c r="H51" s="100">
        <v>16.420000000000002</v>
      </c>
      <c r="I51" s="100">
        <v>6.56</v>
      </c>
      <c r="J51" s="100">
        <v>0.76</v>
      </c>
      <c r="K51" s="100">
        <v>39.630000000000003</v>
      </c>
      <c r="L51" s="100">
        <v>8.56</v>
      </c>
      <c r="M51" s="100">
        <v>0.93</v>
      </c>
      <c r="N51" s="100">
        <v>106.9</v>
      </c>
      <c r="O51" s="100">
        <v>0</v>
      </c>
      <c r="P51" s="100">
        <v>0.35</v>
      </c>
      <c r="Q51" s="100">
        <v>9.35</v>
      </c>
      <c r="R51" s="6"/>
      <c r="S51" s="6"/>
      <c r="T51" s="156"/>
      <c r="U51" s="6"/>
    </row>
    <row r="52" spans="1:21" customFormat="1">
      <c r="A52" s="201" t="s">
        <v>2875</v>
      </c>
      <c r="B52" s="100">
        <v>6.12</v>
      </c>
      <c r="C52" s="100">
        <v>7.18</v>
      </c>
      <c r="D52" s="100">
        <v>8.65</v>
      </c>
      <c r="E52" s="100">
        <v>6.58</v>
      </c>
      <c r="F52" s="100">
        <v>2</v>
      </c>
      <c r="G52" s="100">
        <v>51.84</v>
      </c>
      <c r="H52" s="100">
        <v>16.5</v>
      </c>
      <c r="I52" s="100">
        <v>6.65</v>
      </c>
      <c r="J52" s="100">
        <v>0.59</v>
      </c>
      <c r="K52" s="100">
        <v>60.93</v>
      </c>
      <c r="L52" s="100">
        <v>9.61</v>
      </c>
      <c r="M52" s="100">
        <v>3.72</v>
      </c>
      <c r="N52" s="100">
        <v>101.6</v>
      </c>
      <c r="O52" s="100">
        <v>0</v>
      </c>
      <c r="P52" s="100">
        <v>0.35</v>
      </c>
      <c r="Q52" s="100">
        <v>9.48</v>
      </c>
      <c r="R52" s="6"/>
      <c r="S52" s="6"/>
      <c r="T52" s="156"/>
      <c r="U52" s="6"/>
    </row>
    <row r="53" spans="1:21" customFormat="1">
      <c r="A53" s="201" t="s">
        <v>2876</v>
      </c>
      <c r="B53" s="100">
        <v>5.84</v>
      </c>
      <c r="C53" s="100">
        <v>7.22</v>
      </c>
      <c r="D53" s="100">
        <v>8.4600000000000009</v>
      </c>
      <c r="E53" s="100">
        <v>6.73</v>
      </c>
      <c r="F53" s="100">
        <v>2</v>
      </c>
      <c r="G53" s="100">
        <v>51.84</v>
      </c>
      <c r="H53" s="100">
        <v>16.5</v>
      </c>
      <c r="I53" s="100">
        <v>6.71</v>
      </c>
      <c r="J53" s="100">
        <v>0.44</v>
      </c>
      <c r="K53" s="100">
        <v>73.08</v>
      </c>
      <c r="L53" s="100">
        <v>11.57</v>
      </c>
      <c r="M53" s="100">
        <v>9.9499999999999993</v>
      </c>
      <c r="N53" s="100">
        <v>48.8</v>
      </c>
      <c r="O53" s="100">
        <v>0</v>
      </c>
      <c r="P53" s="100">
        <v>0.36</v>
      </c>
      <c r="Q53" s="100">
        <v>9.4700000000000006</v>
      </c>
      <c r="R53" s="6"/>
      <c r="S53" s="6"/>
      <c r="T53" s="156"/>
      <c r="U53" s="6"/>
    </row>
    <row r="54" spans="1:21" customFormat="1">
      <c r="A54" s="201" t="s">
        <v>2877</v>
      </c>
      <c r="B54" s="100">
        <v>5.58</v>
      </c>
      <c r="C54" s="100">
        <v>7.13</v>
      </c>
      <c r="D54" s="100">
        <v>8.19</v>
      </c>
      <c r="E54" s="100">
        <v>6.53</v>
      </c>
      <c r="F54" s="100">
        <v>2</v>
      </c>
      <c r="G54" s="100">
        <v>51.84</v>
      </c>
      <c r="H54" s="100">
        <v>16.5</v>
      </c>
      <c r="I54" s="100">
        <v>6.78</v>
      </c>
      <c r="J54" s="100">
        <v>0.48</v>
      </c>
      <c r="K54" s="100">
        <v>67.02</v>
      </c>
      <c r="L54" s="100">
        <v>11.31</v>
      </c>
      <c r="M54" s="100">
        <v>6.59</v>
      </c>
      <c r="N54" s="100">
        <v>161.4</v>
      </c>
      <c r="O54" s="100">
        <v>0</v>
      </c>
      <c r="P54" s="100">
        <v>0.37</v>
      </c>
      <c r="Q54" s="100">
        <v>9.4600000000000009</v>
      </c>
      <c r="R54" s="6"/>
      <c r="S54" s="6"/>
      <c r="T54" s="156"/>
      <c r="U54" s="6"/>
    </row>
    <row r="55" spans="1:21" customFormat="1">
      <c r="A55" s="201" t="s">
        <v>2878</v>
      </c>
      <c r="B55" s="100">
        <v>5.2</v>
      </c>
      <c r="C55" s="100">
        <v>7.12</v>
      </c>
      <c r="D55" s="100">
        <v>7.89</v>
      </c>
      <c r="E55" s="100">
        <v>6.91</v>
      </c>
      <c r="F55" s="100">
        <v>2</v>
      </c>
      <c r="G55" s="100">
        <v>49.18</v>
      </c>
      <c r="H55" s="100">
        <v>18.29</v>
      </c>
      <c r="I55" s="100">
        <v>6.84</v>
      </c>
      <c r="J55" s="100">
        <v>0.6</v>
      </c>
      <c r="K55" s="100">
        <v>66.150000000000006</v>
      </c>
      <c r="L55" s="100">
        <v>11.77</v>
      </c>
      <c r="M55" s="100">
        <v>6.22</v>
      </c>
      <c r="N55" s="100">
        <v>232.4</v>
      </c>
      <c r="O55" s="100">
        <v>0</v>
      </c>
      <c r="P55" s="100">
        <v>0.39</v>
      </c>
      <c r="Q55" s="100">
        <v>9.4600000000000009</v>
      </c>
      <c r="R55" s="6"/>
      <c r="S55" s="6"/>
      <c r="T55" s="156"/>
      <c r="U55" s="6"/>
    </row>
    <row r="56" spans="1:21" customFormat="1">
      <c r="A56" s="201" t="s">
        <v>2879</v>
      </c>
      <c r="B56" s="100">
        <v>4.9800000000000004</v>
      </c>
      <c r="C56" s="100">
        <v>7.05</v>
      </c>
      <c r="D56" s="100">
        <v>7.68</v>
      </c>
      <c r="E56" s="100">
        <v>7.22</v>
      </c>
      <c r="F56" s="100">
        <v>2</v>
      </c>
      <c r="G56" s="100">
        <v>48.21</v>
      </c>
      <c r="H56" s="100">
        <v>18.34</v>
      </c>
      <c r="I56" s="100">
        <v>6.85</v>
      </c>
      <c r="J56" s="100">
        <v>0.68</v>
      </c>
      <c r="K56" s="100">
        <v>44.95</v>
      </c>
      <c r="L56" s="100">
        <v>9.68</v>
      </c>
      <c r="M56" s="100">
        <v>2.85</v>
      </c>
      <c r="N56" s="100">
        <v>144.6</v>
      </c>
      <c r="O56" s="100">
        <v>0</v>
      </c>
      <c r="P56" s="100">
        <v>0.39</v>
      </c>
      <c r="Q56" s="100">
        <v>9.35</v>
      </c>
      <c r="R56" s="6"/>
      <c r="S56" s="6"/>
      <c r="T56" s="156"/>
      <c r="U56" s="6"/>
    </row>
    <row r="57" spans="1:21" customFormat="1">
      <c r="A57" s="201" t="s">
        <v>2880</v>
      </c>
      <c r="B57" s="100">
        <v>4.9000000000000004</v>
      </c>
      <c r="C57" s="100">
        <v>7.05</v>
      </c>
      <c r="D57" s="100">
        <v>7.62</v>
      </c>
      <c r="E57" s="100">
        <v>6.87</v>
      </c>
      <c r="F57" s="100">
        <v>2</v>
      </c>
      <c r="G57" s="100">
        <v>48.21</v>
      </c>
      <c r="H57" s="100">
        <v>18.34</v>
      </c>
      <c r="I57" s="100">
        <v>6.85</v>
      </c>
      <c r="J57" s="100">
        <v>0.73</v>
      </c>
      <c r="K57" s="100">
        <v>42.8</v>
      </c>
      <c r="L57" s="100">
        <v>9.27</v>
      </c>
      <c r="M57" s="100">
        <v>3.31</v>
      </c>
      <c r="N57" s="100">
        <v>81.099999999999994</v>
      </c>
      <c r="O57" s="100">
        <v>0</v>
      </c>
      <c r="P57" s="100">
        <v>0.39</v>
      </c>
      <c r="Q57" s="100">
        <v>9.39</v>
      </c>
      <c r="R57" s="6"/>
      <c r="S57" s="6"/>
      <c r="T57" s="156"/>
      <c r="U57" s="6"/>
    </row>
    <row r="58" spans="1:21" customFormat="1">
      <c r="A58" s="201" t="s">
        <v>2881</v>
      </c>
      <c r="B58" s="100">
        <v>4.84</v>
      </c>
      <c r="C58" s="100">
        <v>7.22</v>
      </c>
      <c r="D58" s="100">
        <v>7.65</v>
      </c>
      <c r="E58" s="100">
        <v>6.47</v>
      </c>
      <c r="F58" s="100">
        <v>2</v>
      </c>
      <c r="G58" s="100">
        <v>48.21</v>
      </c>
      <c r="H58" s="100">
        <v>18.34</v>
      </c>
      <c r="I58" s="100">
        <v>6.86</v>
      </c>
      <c r="J58" s="100">
        <v>0.79</v>
      </c>
      <c r="K58" s="100">
        <v>42.05</v>
      </c>
      <c r="L58" s="100">
        <v>8.6300000000000008</v>
      </c>
      <c r="M58" s="100">
        <v>1.42</v>
      </c>
      <c r="N58" s="100">
        <v>94.2</v>
      </c>
      <c r="O58" s="100">
        <v>0</v>
      </c>
      <c r="P58" s="100">
        <v>0.4</v>
      </c>
      <c r="Q58" s="100">
        <v>9.3699999999999992</v>
      </c>
      <c r="R58" s="6"/>
      <c r="S58" s="6"/>
      <c r="T58" s="156"/>
      <c r="U58" s="6"/>
    </row>
    <row r="59" spans="1:21" customFormat="1">
      <c r="A59" s="201" t="s">
        <v>2882</v>
      </c>
      <c r="B59" s="100">
        <v>4.62</v>
      </c>
      <c r="C59" s="100">
        <v>7.16</v>
      </c>
      <c r="D59" s="100">
        <v>7.45</v>
      </c>
      <c r="E59" s="100">
        <v>6.41</v>
      </c>
      <c r="F59" s="100">
        <v>2</v>
      </c>
      <c r="G59" s="100">
        <v>48.64</v>
      </c>
      <c r="H59" s="100">
        <v>17.989999999999998</v>
      </c>
      <c r="I59" s="100">
        <v>6.87</v>
      </c>
      <c r="J59" s="100">
        <v>0.67</v>
      </c>
      <c r="K59" s="100">
        <v>57.48</v>
      </c>
      <c r="L59" s="100">
        <v>9.34</v>
      </c>
      <c r="M59" s="100">
        <v>3.53</v>
      </c>
      <c r="N59" s="100">
        <v>82.4</v>
      </c>
      <c r="O59" s="100">
        <v>0</v>
      </c>
      <c r="P59" s="100">
        <v>0.4</v>
      </c>
      <c r="Q59" s="100">
        <v>9.3800000000000008</v>
      </c>
      <c r="R59" s="6"/>
      <c r="S59" s="6"/>
      <c r="T59" s="156"/>
      <c r="U59" s="6"/>
    </row>
    <row r="60" spans="1:21" customFormat="1">
      <c r="A60" s="201" t="s">
        <v>2883</v>
      </c>
      <c r="B60" s="100">
        <v>4.49</v>
      </c>
      <c r="C60" s="100">
        <v>7.11</v>
      </c>
      <c r="D60" s="100">
        <v>7.32</v>
      </c>
      <c r="E60" s="100">
        <v>6.47</v>
      </c>
      <c r="F60" s="100">
        <v>2</v>
      </c>
      <c r="G60" s="100">
        <v>48.79</v>
      </c>
      <c r="H60" s="100">
        <v>17.989999999999998</v>
      </c>
      <c r="I60" s="100">
        <v>6.84</v>
      </c>
      <c r="J60" s="100">
        <v>0.75</v>
      </c>
      <c r="K60" s="100">
        <v>44.6</v>
      </c>
      <c r="L60" s="100">
        <v>8.9499999999999993</v>
      </c>
      <c r="M60" s="100">
        <v>3.98</v>
      </c>
      <c r="N60" s="100">
        <v>24.6</v>
      </c>
      <c r="O60" s="100">
        <v>0</v>
      </c>
      <c r="P60" s="100">
        <v>0.4</v>
      </c>
      <c r="Q60" s="100">
        <v>9.32</v>
      </c>
      <c r="R60" s="6"/>
      <c r="S60" s="6"/>
      <c r="T60" s="156"/>
      <c r="U60" s="6"/>
    </row>
    <row r="61" spans="1:21" customFormat="1">
      <c r="A61" s="201" t="s">
        <v>2884</v>
      </c>
      <c r="B61" s="100">
        <v>4.3099999999999996</v>
      </c>
      <c r="C61" s="100">
        <v>7.23</v>
      </c>
      <c r="D61" s="100">
        <v>7.24</v>
      </c>
      <c r="E61" s="100">
        <v>6.51</v>
      </c>
      <c r="F61" s="100">
        <v>2</v>
      </c>
      <c r="G61" s="100">
        <v>48.79</v>
      </c>
      <c r="H61" s="100">
        <v>17.989999999999998</v>
      </c>
      <c r="I61" s="100">
        <v>6.82</v>
      </c>
      <c r="J61" s="100">
        <v>0.47</v>
      </c>
      <c r="K61" s="100">
        <v>62</v>
      </c>
      <c r="L61" s="100">
        <v>8.94</v>
      </c>
      <c r="M61" s="100">
        <v>4.1900000000000004</v>
      </c>
      <c r="N61" s="100">
        <v>14.7</v>
      </c>
      <c r="O61" s="100">
        <v>0</v>
      </c>
      <c r="P61" s="100">
        <v>0.39</v>
      </c>
      <c r="Q61" s="100">
        <v>9.42</v>
      </c>
      <c r="R61" s="6"/>
      <c r="S61" s="6"/>
      <c r="T61" s="156"/>
      <c r="U61" s="6"/>
    </row>
    <row r="62" spans="1:21" customFormat="1">
      <c r="A62" s="201" t="s">
        <v>2885</v>
      </c>
      <c r="B62" s="100">
        <v>4.24</v>
      </c>
      <c r="C62" s="100">
        <v>7.17</v>
      </c>
      <c r="D62" s="100">
        <v>7.14</v>
      </c>
      <c r="E62" s="100">
        <v>6.63</v>
      </c>
      <c r="F62" s="100">
        <v>2</v>
      </c>
      <c r="G62" s="100">
        <v>48.79</v>
      </c>
      <c r="H62" s="100">
        <v>17.989999999999998</v>
      </c>
      <c r="I62" s="100">
        <v>6.8</v>
      </c>
      <c r="J62" s="100">
        <v>0.43</v>
      </c>
      <c r="K62" s="100">
        <v>68.36</v>
      </c>
      <c r="L62" s="100">
        <v>10.16</v>
      </c>
      <c r="M62" s="100">
        <v>6.88</v>
      </c>
      <c r="N62" s="100">
        <v>27.1</v>
      </c>
      <c r="O62" s="100">
        <v>0</v>
      </c>
      <c r="P62" s="100">
        <v>0.41</v>
      </c>
      <c r="Q62" s="100">
        <v>9.33</v>
      </c>
      <c r="R62" s="6"/>
      <c r="S62" s="6"/>
      <c r="T62" s="156"/>
      <c r="U62" s="6"/>
    </row>
    <row r="63" spans="1:21" customFormat="1">
      <c r="A63" s="201" t="s">
        <v>2886</v>
      </c>
      <c r="B63" s="100">
        <v>4.25</v>
      </c>
      <c r="C63" s="100">
        <v>7.83</v>
      </c>
      <c r="D63" s="100">
        <v>7.5</v>
      </c>
      <c r="E63" s="100">
        <v>7.82</v>
      </c>
      <c r="F63" s="100">
        <v>2.21</v>
      </c>
      <c r="G63" s="100">
        <v>55.51</v>
      </c>
      <c r="H63" s="100">
        <v>21.54</v>
      </c>
      <c r="I63" s="100">
        <v>6.83</v>
      </c>
      <c r="J63" s="100">
        <v>0.71</v>
      </c>
      <c r="K63" s="100">
        <v>43.06</v>
      </c>
      <c r="L63" s="100">
        <v>9.56</v>
      </c>
      <c r="M63" s="100">
        <v>2.42</v>
      </c>
      <c r="N63" s="100">
        <v>151.19999999999999</v>
      </c>
      <c r="O63" s="100">
        <v>0</v>
      </c>
      <c r="P63" s="100">
        <v>0.41</v>
      </c>
      <c r="Q63" s="100">
        <v>9.33</v>
      </c>
      <c r="R63" s="6"/>
      <c r="S63" s="6"/>
      <c r="T63" s="156"/>
      <c r="U63" s="6"/>
    </row>
    <row r="64" spans="1:21" customFormat="1">
      <c r="A64" s="201" t="s">
        <v>2887</v>
      </c>
      <c r="B64" s="100">
        <v>4.18</v>
      </c>
      <c r="C64" s="100">
        <v>7.44</v>
      </c>
      <c r="D64" s="100">
        <v>7.24</v>
      </c>
      <c r="E64" s="100">
        <v>8.08</v>
      </c>
      <c r="F64" s="100">
        <v>2</v>
      </c>
      <c r="G64" s="100">
        <v>57.95</v>
      </c>
      <c r="H64" s="100">
        <v>21.6</v>
      </c>
      <c r="I64" s="100">
        <v>8.0500000000000007</v>
      </c>
      <c r="J64" s="100">
        <v>1.01</v>
      </c>
      <c r="K64" s="100">
        <v>38.4</v>
      </c>
      <c r="L64" s="100">
        <v>9.39</v>
      </c>
      <c r="M64" s="100">
        <v>3.07</v>
      </c>
      <c r="N64" s="100">
        <v>99.4</v>
      </c>
      <c r="O64" s="100">
        <v>0</v>
      </c>
      <c r="P64" s="100">
        <v>0.4</v>
      </c>
      <c r="Q64" s="100">
        <v>9.32</v>
      </c>
      <c r="R64" s="6"/>
      <c r="S64" s="6"/>
      <c r="T64" s="156"/>
      <c r="U64" s="6"/>
    </row>
    <row r="65" spans="1:21" customFormat="1">
      <c r="A65" s="201" t="s">
        <v>2888</v>
      </c>
      <c r="B65" s="100">
        <v>4.03</v>
      </c>
      <c r="C65" s="100">
        <v>7.23</v>
      </c>
      <c r="D65" s="100">
        <v>7</v>
      </c>
      <c r="E65" s="100">
        <v>7.76</v>
      </c>
      <c r="F65" s="100">
        <v>2.09</v>
      </c>
      <c r="G65" s="100">
        <v>57.95</v>
      </c>
      <c r="H65" s="100">
        <v>21.6</v>
      </c>
      <c r="I65" s="100">
        <v>9.0500000000000007</v>
      </c>
      <c r="J65" s="100">
        <v>0.92</v>
      </c>
      <c r="K65" s="100">
        <v>46.57</v>
      </c>
      <c r="L65" s="100">
        <v>8.7200000000000006</v>
      </c>
      <c r="M65" s="100">
        <v>1.74</v>
      </c>
      <c r="N65" s="100">
        <v>91.4</v>
      </c>
      <c r="O65" s="100">
        <v>0</v>
      </c>
      <c r="P65" s="100">
        <v>0.31</v>
      </c>
      <c r="Q65" s="100">
        <v>9.33</v>
      </c>
      <c r="R65" s="6"/>
      <c r="S65" s="6"/>
      <c r="T65" s="156"/>
      <c r="U65" s="6"/>
    </row>
    <row r="66" spans="1:21" customFormat="1">
      <c r="A66" s="201" t="s">
        <v>2889</v>
      </c>
      <c r="B66" s="100">
        <v>3.81</v>
      </c>
      <c r="C66" s="100">
        <v>7.09</v>
      </c>
      <c r="D66" s="100">
        <v>6.76</v>
      </c>
      <c r="E66" s="100">
        <v>6.68</v>
      </c>
      <c r="F66" s="100">
        <v>2</v>
      </c>
      <c r="G66" s="100">
        <v>57.95</v>
      </c>
      <c r="H66" s="100">
        <v>21.6</v>
      </c>
      <c r="I66" s="100">
        <v>8.94</v>
      </c>
      <c r="J66" s="100">
        <v>0.69</v>
      </c>
      <c r="K66" s="100">
        <v>62.88</v>
      </c>
      <c r="L66" s="100">
        <v>11.42</v>
      </c>
      <c r="M66" s="100">
        <v>8.65</v>
      </c>
      <c r="N66" s="100">
        <v>87.4</v>
      </c>
      <c r="O66" s="100">
        <v>0</v>
      </c>
      <c r="P66" s="100">
        <v>0.33</v>
      </c>
      <c r="Q66" s="100">
        <v>9.43</v>
      </c>
      <c r="R66" s="6"/>
      <c r="S66" s="6"/>
      <c r="T66" s="156"/>
      <c r="U66" s="6"/>
    </row>
    <row r="67" spans="1:21" customFormat="1">
      <c r="A67" s="201" t="s">
        <v>2890</v>
      </c>
      <c r="B67" s="100">
        <v>3.6</v>
      </c>
      <c r="C67" s="100">
        <v>6.97</v>
      </c>
      <c r="D67" s="100">
        <v>6.52</v>
      </c>
      <c r="E67" s="100">
        <v>6.34</v>
      </c>
      <c r="F67" s="100">
        <v>2</v>
      </c>
      <c r="G67" s="100">
        <v>57.2</v>
      </c>
      <c r="H67" s="100">
        <v>21.09</v>
      </c>
      <c r="I67" s="100">
        <v>8.91</v>
      </c>
      <c r="J67" s="100">
        <v>0.7</v>
      </c>
      <c r="K67" s="100">
        <v>63.35</v>
      </c>
      <c r="L67" s="100">
        <v>10.06</v>
      </c>
      <c r="M67" s="100">
        <v>5.3</v>
      </c>
      <c r="N67" s="100">
        <v>86.2</v>
      </c>
      <c r="O67" s="100">
        <v>0</v>
      </c>
      <c r="P67" s="100">
        <v>0.31</v>
      </c>
      <c r="Q67" s="100">
        <v>9.4700000000000006</v>
      </c>
      <c r="R67" s="6"/>
      <c r="S67" s="6"/>
      <c r="T67" s="156"/>
      <c r="U67" s="6"/>
    </row>
    <row r="68" spans="1:21" customFormat="1">
      <c r="A68" s="201" t="s">
        <v>2891</v>
      </c>
      <c r="B68" s="100">
        <v>3.5</v>
      </c>
      <c r="C68" s="100">
        <v>7.21</v>
      </c>
      <c r="D68" s="100">
        <v>6.57</v>
      </c>
      <c r="E68" s="100">
        <v>6.48</v>
      </c>
      <c r="F68" s="100">
        <v>2</v>
      </c>
      <c r="G68" s="100">
        <v>56.93</v>
      </c>
      <c r="H68" s="100">
        <v>21.08</v>
      </c>
      <c r="I68" s="100">
        <v>8.56</v>
      </c>
      <c r="J68" s="100">
        <v>1.08</v>
      </c>
      <c r="K68" s="100">
        <v>39.86</v>
      </c>
      <c r="L68" s="100">
        <v>7.73</v>
      </c>
      <c r="M68" s="100">
        <v>-0.23</v>
      </c>
      <c r="N68" s="100">
        <v>66.5</v>
      </c>
      <c r="O68" s="100">
        <v>0</v>
      </c>
      <c r="P68" s="100">
        <v>0.31</v>
      </c>
      <c r="Q68" s="100">
        <v>9.33</v>
      </c>
      <c r="R68" s="6"/>
      <c r="S68" s="6"/>
      <c r="T68" s="156"/>
      <c r="U68" s="6"/>
    </row>
    <row r="69" spans="1:21" customFormat="1">
      <c r="A69" s="201" t="s">
        <v>2892</v>
      </c>
      <c r="B69" s="100">
        <v>4.83</v>
      </c>
      <c r="C69" s="100">
        <v>7.05</v>
      </c>
      <c r="D69" s="100">
        <v>7.55</v>
      </c>
      <c r="E69" s="100">
        <v>6.61</v>
      </c>
      <c r="F69" s="100">
        <v>2</v>
      </c>
      <c r="G69" s="100">
        <v>56.93</v>
      </c>
      <c r="H69" s="100">
        <v>21.08</v>
      </c>
      <c r="I69" s="100">
        <v>8.36</v>
      </c>
      <c r="J69" s="100">
        <v>1.1000000000000001</v>
      </c>
      <c r="K69" s="100">
        <v>41.06</v>
      </c>
      <c r="L69" s="100">
        <v>8.9</v>
      </c>
      <c r="M69" s="100">
        <v>3.16</v>
      </c>
      <c r="N69" s="100">
        <v>45.5</v>
      </c>
      <c r="O69" s="100">
        <v>0</v>
      </c>
      <c r="P69" s="100">
        <v>0.3</v>
      </c>
      <c r="Q69" s="100">
        <v>9.34</v>
      </c>
      <c r="R69" s="6"/>
      <c r="S69" s="6"/>
      <c r="T69" s="156"/>
      <c r="U69" s="6"/>
    </row>
    <row r="70" spans="1:21" customFormat="1">
      <c r="A70" s="201" t="s">
        <v>2893</v>
      </c>
      <c r="B70" s="100">
        <v>3.68</v>
      </c>
      <c r="C70" s="100">
        <v>7.29</v>
      </c>
      <c r="D70" s="100">
        <v>6.76</v>
      </c>
      <c r="E70" s="100">
        <v>6.59</v>
      </c>
      <c r="F70" s="100">
        <v>2</v>
      </c>
      <c r="G70" s="100">
        <v>56.93</v>
      </c>
      <c r="H70" s="100">
        <v>21.08</v>
      </c>
      <c r="I70" s="100">
        <v>8.1199999999999992</v>
      </c>
      <c r="J70" s="100">
        <v>1.21</v>
      </c>
      <c r="K70" s="100">
        <v>38.99</v>
      </c>
      <c r="L70" s="100">
        <v>8.4600000000000009</v>
      </c>
      <c r="M70" s="100">
        <v>2.67</v>
      </c>
      <c r="N70" s="100">
        <v>19.600000000000001</v>
      </c>
      <c r="O70" s="100">
        <v>0</v>
      </c>
      <c r="P70" s="100">
        <v>0.28999999999999998</v>
      </c>
      <c r="Q70" s="100">
        <v>9.33</v>
      </c>
      <c r="R70" s="6"/>
      <c r="S70" s="6"/>
      <c r="T70" s="156"/>
      <c r="U70" s="6"/>
    </row>
    <row r="71" spans="1:21" customFormat="1">
      <c r="A71" s="201" t="s">
        <v>2894</v>
      </c>
      <c r="B71" s="100">
        <v>3.47</v>
      </c>
      <c r="C71" s="100">
        <v>7.51</v>
      </c>
      <c r="D71" s="100">
        <v>6.71</v>
      </c>
      <c r="E71" s="100">
        <v>6.58</v>
      </c>
      <c r="F71" s="100">
        <v>2</v>
      </c>
      <c r="G71" s="100">
        <v>56.23</v>
      </c>
      <c r="H71" s="100">
        <v>17.28</v>
      </c>
      <c r="I71" s="100">
        <v>7.88</v>
      </c>
      <c r="J71" s="100">
        <v>0.88</v>
      </c>
      <c r="K71" s="100">
        <v>38.72</v>
      </c>
      <c r="L71" s="100">
        <v>8.26</v>
      </c>
      <c r="M71" s="100">
        <v>1.84</v>
      </c>
      <c r="N71" s="100">
        <v>35.200000000000003</v>
      </c>
      <c r="O71" s="100">
        <v>0</v>
      </c>
      <c r="P71" s="100">
        <v>0.28999999999999998</v>
      </c>
      <c r="Q71" s="100">
        <v>9.32</v>
      </c>
      <c r="R71" s="6"/>
      <c r="S71" s="6"/>
      <c r="T71" s="156"/>
      <c r="U71" s="6"/>
    </row>
    <row r="72" spans="1:21" customFormat="1">
      <c r="A72" s="201" t="s">
        <v>2895</v>
      </c>
      <c r="B72" s="100">
        <v>3.45</v>
      </c>
      <c r="C72" s="100">
        <v>7.39</v>
      </c>
      <c r="D72" s="100">
        <v>6.63</v>
      </c>
      <c r="E72" s="100">
        <v>6.58</v>
      </c>
      <c r="F72" s="100">
        <v>2.04</v>
      </c>
      <c r="G72" s="100">
        <v>55.98</v>
      </c>
      <c r="H72" s="100">
        <v>17.190000000000001</v>
      </c>
      <c r="I72" s="100">
        <v>7.68</v>
      </c>
      <c r="J72" s="100">
        <v>0.82</v>
      </c>
      <c r="K72" s="100">
        <v>48.3</v>
      </c>
      <c r="L72" s="100">
        <v>8.2799999999999994</v>
      </c>
      <c r="M72" s="100">
        <v>1.65</v>
      </c>
      <c r="N72" s="100">
        <v>47.2</v>
      </c>
      <c r="O72" s="100">
        <v>0</v>
      </c>
      <c r="P72" s="100">
        <v>0.28000000000000003</v>
      </c>
      <c r="Q72" s="100">
        <v>9.33</v>
      </c>
      <c r="R72" s="6"/>
      <c r="S72" s="6"/>
      <c r="T72" s="156"/>
      <c r="U72" s="6"/>
    </row>
    <row r="73" spans="1:21" customFormat="1">
      <c r="A73" s="201" t="s">
        <v>2896</v>
      </c>
      <c r="B73" s="100">
        <v>3.28</v>
      </c>
      <c r="C73" s="100">
        <v>7.07</v>
      </c>
      <c r="D73" s="100">
        <v>6.33</v>
      </c>
      <c r="E73" s="100">
        <v>6.42</v>
      </c>
      <c r="F73" s="100">
        <v>2</v>
      </c>
      <c r="G73" s="100">
        <v>55.98</v>
      </c>
      <c r="H73" s="100">
        <v>17.190000000000001</v>
      </c>
      <c r="I73" s="100">
        <v>7.57</v>
      </c>
      <c r="J73" s="100">
        <v>0.73</v>
      </c>
      <c r="K73" s="100">
        <v>60.55</v>
      </c>
      <c r="L73" s="100">
        <v>9.48</v>
      </c>
      <c r="M73" s="100">
        <v>4.1900000000000004</v>
      </c>
      <c r="N73" s="100">
        <v>39.200000000000003</v>
      </c>
      <c r="O73" s="100">
        <v>0</v>
      </c>
      <c r="P73" s="100">
        <v>0.27</v>
      </c>
      <c r="Q73" s="100">
        <v>9.33</v>
      </c>
      <c r="R73" s="6"/>
      <c r="S73" s="6"/>
      <c r="T73" s="156"/>
      <c r="U73" s="6"/>
    </row>
    <row r="74" spans="1:21" customFormat="1">
      <c r="A74" s="201" t="s">
        <v>2897</v>
      </c>
      <c r="B74" s="100">
        <v>3.16</v>
      </c>
      <c r="C74" s="100">
        <v>7.06</v>
      </c>
      <c r="D74" s="100">
        <v>6.22</v>
      </c>
      <c r="E74" s="100">
        <v>6.37</v>
      </c>
      <c r="F74" s="100">
        <v>2</v>
      </c>
      <c r="G74" s="100">
        <v>55.98</v>
      </c>
      <c r="H74" s="100">
        <v>17.190000000000001</v>
      </c>
      <c r="I74" s="100">
        <v>7.46</v>
      </c>
      <c r="J74" s="100">
        <v>0.95</v>
      </c>
      <c r="K74" s="100">
        <v>52.46</v>
      </c>
      <c r="L74" s="100">
        <v>8.3000000000000007</v>
      </c>
      <c r="M74" s="100">
        <v>2.2200000000000002</v>
      </c>
      <c r="N74" s="100">
        <v>27.9</v>
      </c>
      <c r="O74" s="100">
        <v>0</v>
      </c>
      <c r="P74" s="100">
        <v>0.26</v>
      </c>
      <c r="Q74" s="100">
        <v>9.32</v>
      </c>
      <c r="R74" s="6"/>
      <c r="S74" s="6"/>
      <c r="T74" s="156"/>
      <c r="U74" s="6"/>
    </row>
    <row r="75" spans="1:21" customFormat="1">
      <c r="A75" s="201" t="s">
        <v>2898</v>
      </c>
      <c r="B75" s="100">
        <v>3.03</v>
      </c>
      <c r="C75" s="100">
        <v>6.95</v>
      </c>
      <c r="D75" s="100">
        <v>6.06</v>
      </c>
      <c r="E75" s="100">
        <v>6.08</v>
      </c>
      <c r="F75" s="100">
        <v>2</v>
      </c>
      <c r="G75" s="100">
        <v>50.7</v>
      </c>
      <c r="H75" s="100">
        <v>16.600000000000001</v>
      </c>
      <c r="I75" s="100">
        <v>7.3</v>
      </c>
      <c r="J75" s="100">
        <v>0.64</v>
      </c>
      <c r="K75" s="100">
        <v>59.08</v>
      </c>
      <c r="L75" s="100">
        <v>9.93</v>
      </c>
      <c r="M75" s="100">
        <v>6.54</v>
      </c>
      <c r="N75" s="100">
        <v>18.8</v>
      </c>
      <c r="O75" s="100">
        <v>0</v>
      </c>
      <c r="P75" s="100">
        <v>0.24</v>
      </c>
      <c r="Q75" s="100">
        <v>9.32</v>
      </c>
      <c r="R75" s="6"/>
      <c r="S75" s="6"/>
      <c r="T75" s="156"/>
      <c r="U75" s="6"/>
    </row>
    <row r="76" spans="1:21" customFormat="1">
      <c r="A76" s="201" t="s">
        <v>2899</v>
      </c>
      <c r="B76" s="100">
        <v>2.9</v>
      </c>
      <c r="C76" s="100">
        <v>6.89</v>
      </c>
      <c r="D76" s="100">
        <v>5.92</v>
      </c>
      <c r="E76" s="100">
        <v>5.94</v>
      </c>
      <c r="F76" s="100">
        <v>2</v>
      </c>
      <c r="G76" s="100">
        <v>48.78</v>
      </c>
      <c r="H76" s="100">
        <v>16.579999999999998</v>
      </c>
      <c r="I76" s="100">
        <v>7.19</v>
      </c>
      <c r="J76" s="100">
        <v>0.49</v>
      </c>
      <c r="K76" s="100">
        <v>72.77</v>
      </c>
      <c r="L76" s="100">
        <v>10.4</v>
      </c>
      <c r="M76" s="100">
        <v>7.87</v>
      </c>
      <c r="N76" s="100">
        <v>8.6999999999999993</v>
      </c>
      <c r="O76" s="100">
        <v>0</v>
      </c>
      <c r="P76" s="100">
        <v>0.23</v>
      </c>
      <c r="Q76" s="100">
        <v>9.32</v>
      </c>
      <c r="R76" s="6"/>
      <c r="S76" s="6"/>
      <c r="T76" s="156"/>
      <c r="U76" s="6"/>
    </row>
    <row r="77" spans="1:21" customFormat="1">
      <c r="A77" s="201" t="s">
        <v>2900</v>
      </c>
      <c r="B77" s="100">
        <v>2.83</v>
      </c>
      <c r="C77" s="100">
        <v>6.87</v>
      </c>
      <c r="D77" s="100">
        <v>5.86</v>
      </c>
      <c r="E77" s="100">
        <v>6.09</v>
      </c>
      <c r="F77" s="100">
        <v>2</v>
      </c>
      <c r="G77" s="100">
        <v>48.78</v>
      </c>
      <c r="H77" s="100">
        <v>16.579999999999998</v>
      </c>
      <c r="I77" s="100">
        <v>6.91</v>
      </c>
      <c r="J77" s="100">
        <v>0.39</v>
      </c>
      <c r="K77" s="100">
        <v>74.989999999999995</v>
      </c>
      <c r="L77" s="100">
        <v>9.74</v>
      </c>
      <c r="M77" s="100">
        <v>6.45</v>
      </c>
      <c r="N77" s="100">
        <v>4.8</v>
      </c>
      <c r="O77" s="100">
        <v>0</v>
      </c>
      <c r="P77" s="100">
        <v>0.23</v>
      </c>
      <c r="Q77" s="100">
        <v>9.32</v>
      </c>
      <c r="R77" s="6"/>
      <c r="S77" s="6"/>
      <c r="T77" s="156"/>
      <c r="U77" s="6"/>
    </row>
    <row r="78" spans="1:21" customFormat="1">
      <c r="A78" s="201" t="s">
        <v>2901</v>
      </c>
      <c r="B78" s="100">
        <v>2.81</v>
      </c>
      <c r="C78" s="100">
        <v>6.79</v>
      </c>
      <c r="D78" s="100">
        <v>5.8</v>
      </c>
      <c r="E78" s="100">
        <v>6.39</v>
      </c>
      <c r="F78" s="100">
        <v>2</v>
      </c>
      <c r="G78" s="100">
        <v>48.78</v>
      </c>
      <c r="H78" s="100">
        <v>16.579999999999998</v>
      </c>
      <c r="I78" s="100">
        <v>6.71</v>
      </c>
      <c r="J78" s="100">
        <v>0.4</v>
      </c>
      <c r="K78" s="100">
        <v>73.22</v>
      </c>
      <c r="L78" s="100">
        <v>9.7200000000000006</v>
      </c>
      <c r="M78" s="100">
        <v>6.44</v>
      </c>
      <c r="N78" s="100">
        <v>3.1</v>
      </c>
      <c r="O78" s="100">
        <v>0</v>
      </c>
      <c r="P78" s="100">
        <v>0.23</v>
      </c>
      <c r="Q78" s="100">
        <v>9.32</v>
      </c>
      <c r="R78" s="6"/>
      <c r="S78" s="6"/>
      <c r="T78" s="156"/>
      <c r="U78" s="6"/>
    </row>
    <row r="79" spans="1:21" customFormat="1">
      <c r="A79" s="201" t="s">
        <v>2902</v>
      </c>
      <c r="B79" s="100">
        <v>2.83</v>
      </c>
      <c r="C79" s="100">
        <v>6.71</v>
      </c>
      <c r="D79" s="100">
        <v>5.77</v>
      </c>
      <c r="E79" s="100">
        <v>5.91</v>
      </c>
      <c r="F79" s="100">
        <v>2</v>
      </c>
      <c r="G79" s="100">
        <v>50.55</v>
      </c>
      <c r="H79" s="100">
        <v>14.6</v>
      </c>
      <c r="I79" s="100">
        <v>6.63</v>
      </c>
      <c r="J79" s="100">
        <v>0.28000000000000003</v>
      </c>
      <c r="K79" s="100">
        <v>73.010000000000005</v>
      </c>
      <c r="L79" s="100">
        <v>10.97</v>
      </c>
      <c r="M79" s="100">
        <v>9.4700000000000006</v>
      </c>
      <c r="N79" s="100">
        <v>2.7</v>
      </c>
      <c r="O79" s="100">
        <v>0</v>
      </c>
      <c r="P79" s="100">
        <v>0.23</v>
      </c>
      <c r="Q79" s="100">
        <v>9.33</v>
      </c>
      <c r="R79" s="6"/>
      <c r="S79" s="6"/>
      <c r="T79" s="156"/>
      <c r="U79" s="6"/>
    </row>
    <row r="80" spans="1:21" customFormat="1">
      <c r="A80" s="201" t="s">
        <v>2903</v>
      </c>
      <c r="B80" s="100">
        <v>2.91</v>
      </c>
      <c r="C80" s="100">
        <v>6.72</v>
      </c>
      <c r="D80" s="100">
        <v>5.85</v>
      </c>
      <c r="E80" s="100">
        <v>6.62</v>
      </c>
      <c r="F80" s="100">
        <v>2</v>
      </c>
      <c r="G80" s="100">
        <v>51.19</v>
      </c>
      <c r="H80" s="100">
        <v>14.57</v>
      </c>
      <c r="I80" s="100">
        <v>6.51</v>
      </c>
      <c r="J80" s="100">
        <v>0.5</v>
      </c>
      <c r="K80" s="100">
        <v>36.619999999999997</v>
      </c>
      <c r="L80" s="100">
        <v>8.25</v>
      </c>
      <c r="M80" s="100">
        <v>2.54</v>
      </c>
      <c r="N80" s="100">
        <v>2.7</v>
      </c>
      <c r="O80" s="100">
        <v>0</v>
      </c>
      <c r="P80" s="100">
        <v>0.23</v>
      </c>
      <c r="Q80" s="100">
        <v>9.32</v>
      </c>
      <c r="R80" s="6"/>
      <c r="S80" s="6"/>
      <c r="T80" s="156"/>
      <c r="U80" s="6"/>
    </row>
    <row r="81" spans="1:21" customFormat="1">
      <c r="A81" s="201" t="s">
        <v>2904</v>
      </c>
      <c r="B81" s="100">
        <v>3.28</v>
      </c>
      <c r="C81" s="100">
        <v>7.01</v>
      </c>
      <c r="D81" s="100">
        <v>6.29</v>
      </c>
      <c r="E81" s="100">
        <v>5.28</v>
      </c>
      <c r="F81" s="100">
        <v>2</v>
      </c>
      <c r="G81" s="100">
        <v>51.19</v>
      </c>
      <c r="H81" s="100">
        <v>14.57</v>
      </c>
      <c r="I81" s="100">
        <v>6.48</v>
      </c>
      <c r="J81" s="100">
        <v>0.68</v>
      </c>
      <c r="K81" s="100">
        <v>43.23</v>
      </c>
      <c r="L81" s="100">
        <v>6.75</v>
      </c>
      <c r="M81" s="100">
        <v>-1.23</v>
      </c>
      <c r="N81" s="100">
        <v>2.7</v>
      </c>
      <c r="O81" s="100">
        <v>0</v>
      </c>
      <c r="P81" s="100">
        <v>0.23</v>
      </c>
      <c r="Q81" s="100">
        <v>9.34</v>
      </c>
      <c r="R81" s="6"/>
      <c r="S81" s="6"/>
      <c r="T81" s="156"/>
      <c r="U81" s="6"/>
    </row>
    <row r="82" spans="1:21" customFormat="1">
      <c r="A82" s="201" t="s">
        <v>2905</v>
      </c>
      <c r="B82" s="100">
        <v>3.49</v>
      </c>
      <c r="C82" s="100">
        <v>7.05</v>
      </c>
      <c r="D82" s="100">
        <v>6.49</v>
      </c>
      <c r="E82" s="100">
        <v>6.22</v>
      </c>
      <c r="F82" s="100">
        <v>2</v>
      </c>
      <c r="G82" s="100">
        <v>51.19</v>
      </c>
      <c r="H82" s="100">
        <v>14.57</v>
      </c>
      <c r="I82" s="100">
        <v>6.54</v>
      </c>
      <c r="J82" s="100">
        <v>0.56999999999999995</v>
      </c>
      <c r="K82" s="100">
        <v>39.51</v>
      </c>
      <c r="L82" s="100">
        <v>7.54</v>
      </c>
      <c r="M82" s="100">
        <v>0.82</v>
      </c>
      <c r="N82" s="100">
        <v>2.8</v>
      </c>
      <c r="O82" s="100">
        <v>0</v>
      </c>
      <c r="P82" s="100">
        <v>0.25</v>
      </c>
      <c r="Q82" s="100">
        <v>9.32</v>
      </c>
      <c r="R82" s="6"/>
      <c r="S82" s="6"/>
      <c r="T82" s="156"/>
      <c r="U82" s="6"/>
    </row>
    <row r="83" spans="1:21" customFormat="1">
      <c r="A83" s="201" t="s">
        <v>2906</v>
      </c>
      <c r="B83" s="100">
        <v>3.62</v>
      </c>
      <c r="C83" s="100">
        <v>7.06</v>
      </c>
      <c r="D83" s="100">
        <v>6.59</v>
      </c>
      <c r="E83" s="100">
        <v>6.42</v>
      </c>
      <c r="F83" s="100">
        <v>2</v>
      </c>
      <c r="G83" s="100">
        <v>46.72</v>
      </c>
      <c r="H83" s="100">
        <v>14.79</v>
      </c>
      <c r="I83" s="100">
        <v>6.54</v>
      </c>
      <c r="J83" s="100">
        <v>0.71</v>
      </c>
      <c r="K83" s="100">
        <v>38.71</v>
      </c>
      <c r="L83" s="100">
        <v>7.41</v>
      </c>
      <c r="M83" s="100">
        <v>0.44</v>
      </c>
      <c r="N83" s="100">
        <v>2.6</v>
      </c>
      <c r="O83" s="100">
        <v>0</v>
      </c>
      <c r="P83" s="100">
        <v>0.25</v>
      </c>
      <c r="Q83" s="100">
        <v>9.32</v>
      </c>
      <c r="R83" s="6"/>
      <c r="S83" s="6"/>
      <c r="T83" s="156"/>
      <c r="U83" s="6"/>
    </row>
    <row r="84" spans="1:21" customFormat="1">
      <c r="A84" s="201" t="s">
        <v>2907</v>
      </c>
      <c r="B84" s="100">
        <v>3.91</v>
      </c>
      <c r="C84" s="100">
        <v>7.12</v>
      </c>
      <c r="D84" s="100">
        <v>6.85</v>
      </c>
      <c r="E84" s="100">
        <v>6.52</v>
      </c>
      <c r="F84" s="100">
        <v>2</v>
      </c>
      <c r="G84" s="100">
        <v>45.1</v>
      </c>
      <c r="H84" s="100">
        <v>14.8</v>
      </c>
      <c r="I84" s="100">
        <v>6.49</v>
      </c>
      <c r="J84" s="100">
        <v>0.68</v>
      </c>
      <c r="K84" s="100">
        <v>39.32</v>
      </c>
      <c r="L84" s="100">
        <v>7.41</v>
      </c>
      <c r="M84" s="100">
        <v>0.42</v>
      </c>
      <c r="N84" s="100">
        <v>2.5</v>
      </c>
      <c r="O84" s="100">
        <v>0</v>
      </c>
      <c r="P84" s="100">
        <v>0.25</v>
      </c>
      <c r="Q84" s="100">
        <v>9.32</v>
      </c>
      <c r="R84" s="6"/>
      <c r="S84" s="6"/>
      <c r="T84" s="156"/>
      <c r="U84" s="6"/>
    </row>
    <row r="85" spans="1:21" customFormat="1">
      <c r="A85" s="201" t="s">
        <v>2908</v>
      </c>
      <c r="B85" s="100">
        <v>3.88</v>
      </c>
      <c r="C85" s="100">
        <v>6.94</v>
      </c>
      <c r="D85" s="100">
        <v>6.74</v>
      </c>
      <c r="E85" s="100">
        <v>6.62</v>
      </c>
      <c r="F85" s="100">
        <v>2</v>
      </c>
      <c r="G85" s="100">
        <v>45.1</v>
      </c>
      <c r="H85" s="100">
        <v>14.8</v>
      </c>
      <c r="I85" s="100">
        <v>6.45</v>
      </c>
      <c r="J85" s="100">
        <v>0.56999999999999995</v>
      </c>
      <c r="K85" s="100">
        <v>62.29</v>
      </c>
      <c r="L85" s="100">
        <v>10.31</v>
      </c>
      <c r="M85" s="100">
        <v>7.86</v>
      </c>
      <c r="N85" s="100">
        <v>2.6</v>
      </c>
      <c r="O85" s="100">
        <v>0</v>
      </c>
      <c r="P85" s="100">
        <v>0.25</v>
      </c>
      <c r="Q85" s="100">
        <v>9.32</v>
      </c>
      <c r="R85" s="6"/>
      <c r="S85" s="6"/>
      <c r="T85" s="156"/>
      <c r="U85" s="6"/>
    </row>
    <row r="86" spans="1:21" customFormat="1">
      <c r="A86" s="201" t="s">
        <v>2909</v>
      </c>
      <c r="B86" s="100">
        <v>3.82</v>
      </c>
      <c r="C86" s="100">
        <v>6.77</v>
      </c>
      <c r="D86" s="100">
        <v>6.6</v>
      </c>
      <c r="E86" s="100">
        <v>6.38</v>
      </c>
      <c r="F86" s="100">
        <v>2</v>
      </c>
      <c r="G86" s="100">
        <v>45.1</v>
      </c>
      <c r="H86" s="100">
        <v>14.8</v>
      </c>
      <c r="I86" s="100">
        <v>6.48</v>
      </c>
      <c r="J86" s="100">
        <v>0.55000000000000004</v>
      </c>
      <c r="K86" s="100">
        <v>61.83</v>
      </c>
      <c r="L86" s="100">
        <v>9.25</v>
      </c>
      <c r="M86" s="100">
        <v>5.21</v>
      </c>
      <c r="N86" s="100">
        <v>2.8</v>
      </c>
      <c r="O86" s="100">
        <v>0</v>
      </c>
      <c r="P86" s="100">
        <v>0.26</v>
      </c>
      <c r="Q86" s="100">
        <v>9.32</v>
      </c>
      <c r="R86" s="6"/>
      <c r="S86" s="6"/>
      <c r="T86" s="156"/>
      <c r="U86" s="6"/>
    </row>
    <row r="87" spans="1:21" customFormat="1">
      <c r="A87" s="201" t="s">
        <v>2910</v>
      </c>
      <c r="B87" s="100">
        <v>3.78</v>
      </c>
      <c r="C87" s="100">
        <v>6.54</v>
      </c>
      <c r="D87" s="100">
        <v>6.45</v>
      </c>
      <c r="E87" s="100">
        <v>6.11</v>
      </c>
      <c r="F87" s="100">
        <v>2</v>
      </c>
      <c r="G87" s="100">
        <v>44.31</v>
      </c>
      <c r="H87" s="100">
        <v>13.84</v>
      </c>
      <c r="I87" s="100">
        <v>6.45</v>
      </c>
      <c r="J87" s="100">
        <v>0.5</v>
      </c>
      <c r="K87" s="100">
        <v>55.09</v>
      </c>
      <c r="L87" s="100">
        <v>9.66</v>
      </c>
      <c r="M87" s="100">
        <v>5.99</v>
      </c>
      <c r="N87" s="100">
        <v>2.8</v>
      </c>
      <c r="O87" s="100">
        <v>0</v>
      </c>
      <c r="P87" s="100">
        <v>0.25</v>
      </c>
      <c r="Q87" s="100">
        <v>9.32</v>
      </c>
      <c r="R87" s="6"/>
      <c r="S87" s="6"/>
      <c r="T87" s="156"/>
      <c r="U87" s="6"/>
    </row>
    <row r="88" spans="1:21" customFormat="1">
      <c r="A88" s="201" t="s">
        <v>2911</v>
      </c>
      <c r="B88" s="100">
        <v>3.78</v>
      </c>
      <c r="C88" s="100">
        <v>6.4</v>
      </c>
      <c r="D88" s="100">
        <v>6.37</v>
      </c>
      <c r="E88" s="100">
        <v>6.17</v>
      </c>
      <c r="F88" s="100">
        <v>2</v>
      </c>
      <c r="G88" s="100">
        <v>44.03</v>
      </c>
      <c r="H88" s="100">
        <v>13.81</v>
      </c>
      <c r="I88" s="100">
        <v>6.34</v>
      </c>
      <c r="J88" s="100">
        <v>0.38</v>
      </c>
      <c r="K88" s="100">
        <v>78.150000000000006</v>
      </c>
      <c r="L88" s="100">
        <v>11.36</v>
      </c>
      <c r="M88" s="100">
        <v>10.61</v>
      </c>
      <c r="N88" s="100">
        <v>2.5</v>
      </c>
      <c r="O88" s="100">
        <v>0</v>
      </c>
      <c r="P88" s="100">
        <v>0.24</v>
      </c>
      <c r="Q88" s="100">
        <v>9.36</v>
      </c>
      <c r="R88" s="6"/>
      <c r="S88" s="6"/>
      <c r="T88" s="156"/>
      <c r="U88" s="6"/>
    </row>
    <row r="89" spans="1:21" customFormat="1">
      <c r="A89" s="201" t="s">
        <v>2912</v>
      </c>
      <c r="B89" s="100">
        <v>3.78</v>
      </c>
      <c r="C89" s="100">
        <v>6.22</v>
      </c>
      <c r="D89" s="100">
        <v>6.28</v>
      </c>
      <c r="E89" s="100">
        <v>6.32</v>
      </c>
      <c r="F89" s="100">
        <v>2</v>
      </c>
      <c r="G89" s="100">
        <v>44.03</v>
      </c>
      <c r="H89" s="100">
        <v>13.81</v>
      </c>
      <c r="I89" s="100">
        <v>6.27</v>
      </c>
      <c r="J89" s="100">
        <v>0.48</v>
      </c>
      <c r="K89" s="100">
        <v>57.4</v>
      </c>
      <c r="L89" s="100">
        <v>9.26</v>
      </c>
      <c r="M89" s="100">
        <v>5.27</v>
      </c>
      <c r="N89" s="100">
        <v>2.4</v>
      </c>
      <c r="O89" s="100">
        <v>0</v>
      </c>
      <c r="P89" s="100">
        <v>0.24</v>
      </c>
      <c r="Q89" s="100">
        <v>9.41</v>
      </c>
      <c r="R89" s="6"/>
      <c r="S89" s="6"/>
      <c r="T89" s="156"/>
      <c r="U89" s="6"/>
    </row>
    <row r="90" spans="1:21" customFormat="1">
      <c r="A90" s="201" t="s">
        <v>2913</v>
      </c>
      <c r="B90" s="100">
        <v>3.81</v>
      </c>
      <c r="C90" s="100">
        <v>6.16</v>
      </c>
      <c r="D90" s="100">
        <v>6.27</v>
      </c>
      <c r="E90" s="100">
        <v>5.79</v>
      </c>
      <c r="F90" s="100">
        <v>2</v>
      </c>
      <c r="G90" s="100">
        <v>44.03</v>
      </c>
      <c r="H90" s="100">
        <v>13.81</v>
      </c>
      <c r="I90" s="100">
        <v>6.21</v>
      </c>
      <c r="J90" s="100">
        <v>0.45</v>
      </c>
      <c r="K90" s="100">
        <v>67.62</v>
      </c>
      <c r="L90" s="100">
        <v>10.56</v>
      </c>
      <c r="M90" s="100">
        <v>8.6</v>
      </c>
      <c r="N90" s="100">
        <v>2.2999999999999998</v>
      </c>
      <c r="O90" s="100">
        <v>0</v>
      </c>
      <c r="P90" s="100">
        <v>0.23</v>
      </c>
      <c r="Q90" s="100">
        <v>9.32</v>
      </c>
      <c r="R90" s="6"/>
      <c r="S90" s="6"/>
      <c r="T90" s="156"/>
      <c r="U90" s="6"/>
    </row>
    <row r="91" spans="1:21" customFormat="1">
      <c r="A91" s="201" t="s">
        <v>2914</v>
      </c>
      <c r="B91" s="100">
        <v>3.87</v>
      </c>
      <c r="C91" s="100">
        <v>6.04</v>
      </c>
      <c r="D91" s="100">
        <v>6.26</v>
      </c>
      <c r="E91" s="100">
        <v>5.94</v>
      </c>
      <c r="F91" s="100">
        <v>2</v>
      </c>
      <c r="G91" s="100">
        <v>35.770000000000003</v>
      </c>
      <c r="H91" s="100">
        <v>11.36</v>
      </c>
      <c r="I91" s="100">
        <v>6.11</v>
      </c>
      <c r="J91" s="100">
        <v>0.41</v>
      </c>
      <c r="K91" s="100">
        <v>71.13</v>
      </c>
      <c r="L91" s="100">
        <v>10.56</v>
      </c>
      <c r="M91" s="100">
        <v>8.61</v>
      </c>
      <c r="N91" s="100">
        <v>2.4</v>
      </c>
      <c r="O91" s="100">
        <v>0</v>
      </c>
      <c r="P91" s="100">
        <v>0.22</v>
      </c>
      <c r="Q91" s="100">
        <v>9.32</v>
      </c>
      <c r="R91" s="6"/>
      <c r="S91" s="6"/>
      <c r="T91" s="156"/>
      <c r="U91" s="6"/>
    </row>
    <row r="92" spans="1:21" customFormat="1">
      <c r="A92" s="201" t="s">
        <v>2915</v>
      </c>
      <c r="B92" s="100">
        <v>3.93</v>
      </c>
      <c r="C92" s="100">
        <v>5.92</v>
      </c>
      <c r="D92" s="100">
        <v>6.25</v>
      </c>
      <c r="E92" s="100">
        <v>6.31</v>
      </c>
      <c r="F92" s="100">
        <v>2</v>
      </c>
      <c r="G92" s="100">
        <v>32.76</v>
      </c>
      <c r="H92" s="100">
        <v>11.32</v>
      </c>
      <c r="I92" s="100">
        <v>5.94</v>
      </c>
      <c r="J92" s="100">
        <v>0.56000000000000005</v>
      </c>
      <c r="K92" s="100">
        <v>58.57</v>
      </c>
      <c r="L92" s="100">
        <v>8.6199999999999992</v>
      </c>
      <c r="M92" s="100">
        <v>3.68</v>
      </c>
      <c r="N92" s="100">
        <v>2.2999999999999998</v>
      </c>
      <c r="O92" s="100">
        <v>0</v>
      </c>
      <c r="P92" s="100">
        <v>0.21</v>
      </c>
      <c r="Q92" s="100">
        <v>9.35</v>
      </c>
      <c r="R92" s="6"/>
      <c r="S92" s="6"/>
      <c r="T92" s="156"/>
      <c r="U92" s="6"/>
    </row>
    <row r="93" spans="1:21" customFormat="1">
      <c r="A93" s="201" t="s">
        <v>2916</v>
      </c>
      <c r="B93" s="100">
        <v>3.99</v>
      </c>
      <c r="C93" s="100">
        <v>5.86</v>
      </c>
      <c r="D93" s="100">
        <v>6.26</v>
      </c>
      <c r="E93" s="100">
        <v>6.11</v>
      </c>
      <c r="F93" s="100">
        <v>2</v>
      </c>
      <c r="G93" s="100">
        <v>32.76</v>
      </c>
      <c r="H93" s="100">
        <v>11.32</v>
      </c>
      <c r="I93" s="100">
        <v>5.83</v>
      </c>
      <c r="J93" s="100">
        <v>0.48</v>
      </c>
      <c r="K93" s="100">
        <v>59.61</v>
      </c>
      <c r="L93" s="100">
        <v>9.34</v>
      </c>
      <c r="M93" s="100">
        <v>5.46</v>
      </c>
      <c r="N93" s="100">
        <v>2.2999999999999998</v>
      </c>
      <c r="O93" s="100">
        <v>0</v>
      </c>
      <c r="P93" s="100">
        <v>0.21</v>
      </c>
      <c r="Q93" s="100">
        <v>9.32</v>
      </c>
      <c r="R93" s="6"/>
      <c r="S93" s="6"/>
      <c r="T93" s="156"/>
      <c r="U93" s="6"/>
    </row>
    <row r="94" spans="1:21" customFormat="1">
      <c r="A94" s="201" t="s">
        <v>2917</v>
      </c>
      <c r="B94" s="100">
        <v>4.08</v>
      </c>
      <c r="C94" s="100">
        <v>5.89</v>
      </c>
      <c r="D94" s="100">
        <v>6.34</v>
      </c>
      <c r="E94" s="100">
        <v>6.24</v>
      </c>
      <c r="F94" s="100">
        <v>2</v>
      </c>
      <c r="G94" s="100">
        <v>32.76</v>
      </c>
      <c r="H94" s="100">
        <v>11.32</v>
      </c>
      <c r="I94" s="100">
        <v>5.76</v>
      </c>
      <c r="J94" s="100">
        <v>0.48</v>
      </c>
      <c r="K94" s="100">
        <v>51.47</v>
      </c>
      <c r="L94" s="100">
        <v>9.7799999999999994</v>
      </c>
      <c r="M94" s="100">
        <v>6.5</v>
      </c>
      <c r="N94" s="100">
        <v>2.4</v>
      </c>
      <c r="O94" s="100">
        <v>0</v>
      </c>
      <c r="P94" s="100">
        <v>0.21</v>
      </c>
      <c r="Q94" s="100">
        <v>9.32</v>
      </c>
      <c r="R94" s="6"/>
      <c r="S94" s="6"/>
      <c r="T94" s="156"/>
      <c r="U94" s="6"/>
    </row>
    <row r="95" spans="1:21" customFormat="1">
      <c r="A95" s="201" t="s">
        <v>2918</v>
      </c>
      <c r="B95" s="100">
        <v>4.34</v>
      </c>
      <c r="C95" s="100">
        <v>6</v>
      </c>
      <c r="D95" s="100">
        <v>6.62</v>
      </c>
      <c r="E95" s="100">
        <v>6.12</v>
      </c>
      <c r="F95" s="100">
        <v>2</v>
      </c>
      <c r="G95" s="100">
        <v>29.85</v>
      </c>
      <c r="H95" s="100">
        <v>8.2100000000000009</v>
      </c>
      <c r="I95" s="100">
        <v>5.6</v>
      </c>
      <c r="J95" s="100">
        <v>0.77</v>
      </c>
      <c r="K95" s="100">
        <v>32.69</v>
      </c>
      <c r="L95" s="100">
        <v>9.36</v>
      </c>
      <c r="M95" s="100">
        <v>5.32</v>
      </c>
      <c r="N95" s="100">
        <v>2.5</v>
      </c>
      <c r="O95" s="100">
        <v>0</v>
      </c>
      <c r="P95" s="100">
        <v>0.22</v>
      </c>
      <c r="Q95" s="100">
        <v>9.32</v>
      </c>
      <c r="R95" s="6"/>
      <c r="S95" s="6"/>
      <c r="T95" s="156"/>
      <c r="U95" s="6"/>
    </row>
    <row r="96" spans="1:21" customFormat="1">
      <c r="A96" s="201" t="s">
        <v>2919</v>
      </c>
      <c r="B96" s="100">
        <v>4.5599999999999996</v>
      </c>
      <c r="C96" s="100">
        <v>6.03</v>
      </c>
      <c r="D96" s="100">
        <v>6.8</v>
      </c>
      <c r="E96" s="100">
        <v>6.08</v>
      </c>
      <c r="F96" s="100">
        <v>2</v>
      </c>
      <c r="G96" s="100">
        <v>28.8</v>
      </c>
      <c r="H96" s="100">
        <v>8.16</v>
      </c>
      <c r="I96" s="100">
        <v>5.44</v>
      </c>
      <c r="J96" s="100">
        <v>0.75</v>
      </c>
      <c r="K96" s="100">
        <v>37.979999999999997</v>
      </c>
      <c r="L96" s="100">
        <v>8.65</v>
      </c>
      <c r="M96" s="100">
        <v>3.56</v>
      </c>
      <c r="N96" s="100">
        <v>2.5</v>
      </c>
      <c r="O96" s="100">
        <v>0</v>
      </c>
      <c r="P96" s="100">
        <v>0.23</v>
      </c>
      <c r="Q96" s="100">
        <v>9.3800000000000008</v>
      </c>
      <c r="R96" s="6"/>
      <c r="S96" s="6"/>
      <c r="T96" s="156"/>
      <c r="U96" s="6"/>
    </row>
    <row r="97" spans="1:28" customFormat="1">
      <c r="A97" s="201" t="s">
        <v>2920</v>
      </c>
      <c r="B97" s="100">
        <v>4.93</v>
      </c>
      <c r="C97" s="100">
        <v>6.05</v>
      </c>
      <c r="D97" s="100">
        <v>7.11</v>
      </c>
      <c r="E97" s="100">
        <v>5.77</v>
      </c>
      <c r="F97" s="100">
        <v>2</v>
      </c>
      <c r="G97" s="100">
        <v>28.8</v>
      </c>
      <c r="H97" s="100">
        <v>8.16</v>
      </c>
      <c r="I97" s="100">
        <v>5.38</v>
      </c>
      <c r="J97" s="100">
        <v>0.56999999999999995</v>
      </c>
      <c r="K97" s="100">
        <v>38.21</v>
      </c>
      <c r="L97" s="100">
        <v>8.2899999999999991</v>
      </c>
      <c r="M97" s="100">
        <v>2.68</v>
      </c>
      <c r="N97" s="100">
        <v>2.2999999999999998</v>
      </c>
      <c r="O97" s="100">
        <v>0</v>
      </c>
      <c r="P97" s="100">
        <v>0.21</v>
      </c>
      <c r="Q97" s="100">
        <v>9.3699999999999992</v>
      </c>
      <c r="R97" s="6"/>
      <c r="S97" s="6"/>
      <c r="T97" s="156"/>
      <c r="U97" s="6"/>
    </row>
    <row r="98" spans="1:28" customFormat="1">
      <c r="A98" s="201" t="s">
        <v>2921</v>
      </c>
      <c r="B98" s="100">
        <v>5.08</v>
      </c>
      <c r="C98" s="100">
        <v>6.04</v>
      </c>
      <c r="D98" s="100">
        <v>7.23</v>
      </c>
      <c r="E98" s="100">
        <v>5.98</v>
      </c>
      <c r="F98" s="100">
        <v>2</v>
      </c>
      <c r="G98" s="100">
        <v>28.8</v>
      </c>
      <c r="H98" s="100">
        <v>8.16</v>
      </c>
      <c r="I98" s="100">
        <v>5.36</v>
      </c>
      <c r="J98" s="100">
        <v>0.71</v>
      </c>
      <c r="K98" s="100">
        <v>46.18</v>
      </c>
      <c r="L98" s="100">
        <v>8.36</v>
      </c>
      <c r="M98" s="100">
        <v>2.91</v>
      </c>
      <c r="N98" s="100">
        <v>2.4</v>
      </c>
      <c r="O98" s="100">
        <v>0</v>
      </c>
      <c r="P98" s="100">
        <v>0.22</v>
      </c>
      <c r="Q98" s="100">
        <v>9.32</v>
      </c>
      <c r="R98" s="6"/>
      <c r="S98" s="6"/>
      <c r="T98" s="156"/>
      <c r="U98" s="6"/>
    </row>
    <row r="99" spans="1:28" customFormat="1">
      <c r="A99" s="201" t="s">
        <v>2922</v>
      </c>
      <c r="B99" s="100">
        <v>5.27</v>
      </c>
      <c r="C99" s="100">
        <v>6.13</v>
      </c>
      <c r="D99" s="100">
        <v>7.43</v>
      </c>
      <c r="E99" s="100">
        <v>6.26</v>
      </c>
      <c r="F99" s="100">
        <v>2</v>
      </c>
      <c r="G99" s="100">
        <v>24.79</v>
      </c>
      <c r="H99" s="100">
        <v>7.04</v>
      </c>
      <c r="I99" s="100">
        <v>5.37</v>
      </c>
      <c r="J99" s="100">
        <v>0.62</v>
      </c>
      <c r="K99" s="100">
        <v>48.47</v>
      </c>
      <c r="L99" s="100">
        <v>8.5</v>
      </c>
      <c r="M99" s="100">
        <v>3.28</v>
      </c>
      <c r="N99" s="100">
        <v>2.4</v>
      </c>
      <c r="O99" s="100">
        <v>0</v>
      </c>
      <c r="P99" s="100">
        <v>0.22</v>
      </c>
      <c r="Q99" s="100">
        <v>9.32</v>
      </c>
      <c r="R99" s="6"/>
      <c r="S99" s="6"/>
      <c r="T99" s="156"/>
      <c r="U99" s="6"/>
    </row>
    <row r="100" spans="1:28" customFormat="1">
      <c r="A100" s="201" t="s">
        <v>2923</v>
      </c>
      <c r="B100" s="100">
        <v>5.44</v>
      </c>
      <c r="C100" s="100">
        <v>6</v>
      </c>
      <c r="D100" s="100">
        <v>7.5</v>
      </c>
      <c r="E100" s="100">
        <v>5.97</v>
      </c>
      <c r="F100" s="100">
        <v>2</v>
      </c>
      <c r="G100" s="100">
        <v>23.33</v>
      </c>
      <c r="H100" s="100">
        <v>7.02</v>
      </c>
      <c r="I100" s="100">
        <v>5.34</v>
      </c>
      <c r="J100" s="100">
        <v>0.53</v>
      </c>
      <c r="K100" s="100">
        <v>65.98</v>
      </c>
      <c r="L100" s="100">
        <v>9.18</v>
      </c>
      <c r="M100" s="100">
        <v>5.13</v>
      </c>
      <c r="N100" s="100">
        <v>2.4</v>
      </c>
      <c r="O100" s="100">
        <v>0</v>
      </c>
      <c r="P100" s="100">
        <v>0.21</v>
      </c>
      <c r="Q100" s="100">
        <v>9.34</v>
      </c>
      <c r="R100" s="6"/>
      <c r="S100" s="6"/>
      <c r="T100" s="156"/>
      <c r="U100" s="6"/>
      <c r="AB100" s="161"/>
    </row>
    <row r="101" spans="1:28" customFormat="1">
      <c r="A101" s="201" t="s">
        <v>2924</v>
      </c>
      <c r="B101" s="100">
        <v>5.59</v>
      </c>
      <c r="C101" s="100">
        <v>5.95</v>
      </c>
      <c r="D101" s="100">
        <v>7.59</v>
      </c>
      <c r="E101" s="100">
        <v>5.99</v>
      </c>
      <c r="F101" s="100">
        <v>2</v>
      </c>
      <c r="G101" s="100">
        <v>23.33</v>
      </c>
      <c r="H101" s="100">
        <v>7.02</v>
      </c>
      <c r="I101" s="100">
        <v>5.32</v>
      </c>
      <c r="J101" s="100">
        <v>0.43</v>
      </c>
      <c r="K101" s="100">
        <v>56</v>
      </c>
      <c r="L101" s="100">
        <v>9.4</v>
      </c>
      <c r="M101" s="100">
        <v>5.57</v>
      </c>
      <c r="N101" s="100">
        <v>2.4</v>
      </c>
      <c r="O101" s="100">
        <v>0</v>
      </c>
      <c r="P101" s="100">
        <v>0.22</v>
      </c>
      <c r="Q101" s="100">
        <v>9.3800000000000008</v>
      </c>
      <c r="R101" s="6"/>
      <c r="S101" s="6"/>
      <c r="T101" s="156"/>
      <c r="U101" s="6"/>
    </row>
    <row r="102" spans="1:28" customFormat="1">
      <c r="A102" s="201" t="s">
        <v>2925</v>
      </c>
      <c r="B102" s="100">
        <v>5.67</v>
      </c>
      <c r="C102" s="100">
        <v>5.93</v>
      </c>
      <c r="D102" s="100">
        <v>7.64</v>
      </c>
      <c r="E102" s="100">
        <v>5.64</v>
      </c>
      <c r="F102" s="100">
        <v>2</v>
      </c>
      <c r="G102" s="100">
        <v>23.33</v>
      </c>
      <c r="H102" s="100">
        <v>7.02</v>
      </c>
      <c r="I102" s="100">
        <v>5.33</v>
      </c>
      <c r="J102" s="100">
        <v>0.47</v>
      </c>
      <c r="K102" s="100">
        <v>60.03</v>
      </c>
      <c r="L102" s="100">
        <v>9.17</v>
      </c>
      <c r="M102" s="100">
        <v>5.1100000000000003</v>
      </c>
      <c r="N102" s="100">
        <v>2.4</v>
      </c>
      <c r="O102" s="100">
        <v>0</v>
      </c>
      <c r="P102" s="100">
        <v>0.2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2926</v>
      </c>
      <c r="B103" s="100">
        <v>5.84</v>
      </c>
      <c r="C103" s="100">
        <v>6.04</v>
      </c>
      <c r="D103" s="100">
        <v>7.84</v>
      </c>
      <c r="E103" s="100">
        <v>5.73</v>
      </c>
      <c r="F103" s="100">
        <v>2</v>
      </c>
      <c r="G103" s="100">
        <v>23.61</v>
      </c>
      <c r="H103" s="100">
        <v>7.25</v>
      </c>
      <c r="I103" s="100">
        <v>5.23</v>
      </c>
      <c r="J103" s="100">
        <v>0.47</v>
      </c>
      <c r="K103" s="100">
        <v>54.67</v>
      </c>
      <c r="L103" s="100">
        <v>9.6199999999999992</v>
      </c>
      <c r="M103" s="100">
        <v>6.14</v>
      </c>
      <c r="N103" s="100">
        <v>2.2999999999999998</v>
      </c>
      <c r="O103" s="100">
        <v>0</v>
      </c>
      <c r="P103" s="100">
        <v>0.21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2927</v>
      </c>
      <c r="B104" s="100">
        <v>6.04</v>
      </c>
      <c r="C104" s="100">
        <v>5.94</v>
      </c>
      <c r="D104" s="100">
        <v>7.95</v>
      </c>
      <c r="E104" s="100">
        <v>5.76</v>
      </c>
      <c r="F104" s="100">
        <v>2</v>
      </c>
      <c r="G104" s="100">
        <v>23.71</v>
      </c>
      <c r="H104" s="100">
        <v>7.26</v>
      </c>
      <c r="I104" s="100">
        <v>5.2</v>
      </c>
      <c r="J104" s="100">
        <v>0.66</v>
      </c>
      <c r="K104" s="100">
        <v>49.86</v>
      </c>
      <c r="L104" s="100">
        <v>8.93</v>
      </c>
      <c r="M104" s="100">
        <v>4.3499999999999996</v>
      </c>
      <c r="N104" s="100">
        <v>2.4</v>
      </c>
      <c r="O104" s="100">
        <v>0</v>
      </c>
      <c r="P104" s="100">
        <v>0.2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2.81</v>
      </c>
      <c r="C106" s="158">
        <f>MIN(C9:C104)</f>
        <v>5.61</v>
      </c>
      <c r="D106" s="158">
        <f t="shared" ref="D106:Q106" si="0">MIN(D9:D104)</f>
        <v>5.77</v>
      </c>
      <c r="E106" s="158">
        <f t="shared" si="0"/>
        <v>4.8</v>
      </c>
      <c r="F106" s="158">
        <f t="shared" si="0"/>
        <v>2</v>
      </c>
      <c r="G106" s="158">
        <f t="shared" si="0"/>
        <v>15.95</v>
      </c>
      <c r="H106" s="158">
        <f t="shared" si="0"/>
        <v>5.98</v>
      </c>
      <c r="I106" s="158">
        <f t="shared" si="0"/>
        <v>5.13</v>
      </c>
      <c r="J106" s="158">
        <f t="shared" si="0"/>
        <v>0.18</v>
      </c>
      <c r="K106" s="158">
        <f t="shared" si="0"/>
        <v>30.71</v>
      </c>
      <c r="L106" s="158">
        <f t="shared" si="0"/>
        <v>6.3</v>
      </c>
      <c r="M106" s="158">
        <f t="shared" si="0"/>
        <v>-2.34</v>
      </c>
      <c r="N106" s="158">
        <f t="shared" si="0"/>
        <v>2.1</v>
      </c>
      <c r="O106" s="158">
        <f t="shared" si="0"/>
        <v>0</v>
      </c>
      <c r="P106" s="158">
        <f t="shared" si="0"/>
        <v>0.2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7.1</v>
      </c>
      <c r="C107" s="157">
        <f t="shared" ref="C107:Q107" si="1">MAX(C9:C104)</f>
        <v>7.83</v>
      </c>
      <c r="D107" s="157">
        <f t="shared" si="1"/>
        <v>9.32</v>
      </c>
      <c r="E107" s="157">
        <f t="shared" si="1"/>
        <v>8.08</v>
      </c>
      <c r="F107" s="157">
        <f t="shared" si="1"/>
        <v>2.21</v>
      </c>
      <c r="G107" s="157">
        <f t="shared" si="1"/>
        <v>57.95</v>
      </c>
      <c r="H107" s="157">
        <f t="shared" si="1"/>
        <v>21.6</v>
      </c>
      <c r="I107" s="157">
        <f t="shared" si="1"/>
        <v>9.0500000000000007</v>
      </c>
      <c r="J107" s="157">
        <f t="shared" si="1"/>
        <v>1.21</v>
      </c>
      <c r="K107" s="157">
        <f t="shared" si="1"/>
        <v>88.97</v>
      </c>
      <c r="L107" s="157">
        <f t="shared" si="1"/>
        <v>11.77</v>
      </c>
      <c r="M107" s="157">
        <f t="shared" si="1"/>
        <v>11.28</v>
      </c>
      <c r="N107" s="157">
        <f t="shared" si="1"/>
        <v>232.4</v>
      </c>
      <c r="O107" s="157">
        <f t="shared" si="1"/>
        <v>0</v>
      </c>
      <c r="P107" s="157">
        <f t="shared" si="1"/>
        <v>0.41</v>
      </c>
      <c r="Q107" s="157">
        <f t="shared" si="1"/>
        <v>21.39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4.9931249999999974</v>
      </c>
      <c r="C108" s="158">
        <f t="shared" ref="C108:Q108" si="2">AVERAGE(C9:C104)</f>
        <v>6.5252083333333326</v>
      </c>
      <c r="D108" s="158">
        <f t="shared" si="2"/>
        <v>7.4129166666666642</v>
      </c>
      <c r="E108" s="158">
        <f t="shared" si="2"/>
        <v>6.4061458333333343</v>
      </c>
      <c r="F108" s="158">
        <f t="shared" si="2"/>
        <v>2.0035416666666666</v>
      </c>
      <c r="G108" s="158">
        <f t="shared" si="2"/>
        <v>35.08687500000002</v>
      </c>
      <c r="H108" s="158">
        <f t="shared" si="2"/>
        <v>12.43229166666667</v>
      </c>
      <c r="I108" s="158">
        <f t="shared" si="2"/>
        <v>6.1783333333333381</v>
      </c>
      <c r="J108" s="158">
        <f t="shared" si="2"/>
        <v>0.58770833333333339</v>
      </c>
      <c r="K108" s="158">
        <f t="shared" si="2"/>
        <v>50.844583333333333</v>
      </c>
      <c r="L108" s="158">
        <f t="shared" si="2"/>
        <v>8.9173958333333285</v>
      </c>
      <c r="M108" s="158">
        <f t="shared" si="2"/>
        <v>3.6455208333333329</v>
      </c>
      <c r="N108" s="158">
        <f t="shared" si="2"/>
        <v>30.787500000000012</v>
      </c>
      <c r="O108" s="158">
        <f t="shared" si="2"/>
        <v>0</v>
      </c>
      <c r="P108" s="158">
        <f t="shared" si="2"/>
        <v>0.26781250000000001</v>
      </c>
      <c r="Q108" s="158">
        <f t="shared" si="2"/>
        <v>9.6094791666666826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1.2622171908360846</v>
      </c>
      <c r="C109" s="158">
        <f t="shared" ref="C109:Q109" si="3">STDEV(C9:C104)</f>
        <v>0.58647740418027605</v>
      </c>
      <c r="D109" s="158">
        <f t="shared" si="3"/>
        <v>0.99959246081559239</v>
      </c>
      <c r="E109" s="158">
        <f t="shared" si="3"/>
        <v>0.52447140264554226</v>
      </c>
      <c r="F109" s="158">
        <f t="shared" si="3"/>
        <v>2.3529563338005103E-2</v>
      </c>
      <c r="G109" s="158">
        <f t="shared" si="3"/>
        <v>14.640441632143816</v>
      </c>
      <c r="H109" s="158">
        <f t="shared" si="3"/>
        <v>4.5808584530267513</v>
      </c>
      <c r="I109" s="158">
        <f t="shared" si="3"/>
        <v>0.97838606809662043</v>
      </c>
      <c r="J109" s="158">
        <f t="shared" si="3"/>
        <v>0.19306655065664857</v>
      </c>
      <c r="K109" s="158">
        <f t="shared" si="3"/>
        <v>13.714103375850321</v>
      </c>
      <c r="L109" s="158">
        <f t="shared" si="3"/>
        <v>1.271000637534899</v>
      </c>
      <c r="M109" s="158">
        <f t="shared" si="3"/>
        <v>2.9784743073529119</v>
      </c>
      <c r="N109" s="158">
        <f t="shared" si="3"/>
        <v>45.256409258218518</v>
      </c>
      <c r="O109" s="158">
        <f t="shared" si="3"/>
        <v>0</v>
      </c>
      <c r="P109" s="158">
        <f t="shared" si="3"/>
        <v>5.8762736581326205E-2</v>
      </c>
      <c r="Q109" s="158">
        <f t="shared" si="3"/>
        <v>1.5224090119153399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7" workbookViewId="0">
      <selection activeCell="L14" sqref="L1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>
      <c r="A9" s="201" t="s">
        <v>2928</v>
      </c>
      <c r="B9" s="100">
        <v>5.97</v>
      </c>
      <c r="C9" s="100">
        <v>6.16</v>
      </c>
      <c r="D9" s="100">
        <v>8.01</v>
      </c>
      <c r="E9" s="100">
        <v>5.68</v>
      </c>
      <c r="F9" s="100">
        <v>2</v>
      </c>
      <c r="G9" s="100">
        <v>23.71</v>
      </c>
      <c r="H9" s="100">
        <v>7.26</v>
      </c>
      <c r="I9" s="100">
        <v>5.17</v>
      </c>
      <c r="J9" s="100">
        <v>0.78</v>
      </c>
      <c r="K9" s="100">
        <v>46.43</v>
      </c>
      <c r="L9" s="100">
        <v>7.7</v>
      </c>
      <c r="M9" s="100">
        <v>1.25</v>
      </c>
      <c r="N9" s="100">
        <v>2.2999999999999998</v>
      </c>
      <c r="O9" s="100">
        <v>0</v>
      </c>
      <c r="P9" s="100">
        <v>0.2</v>
      </c>
      <c r="Q9" s="100">
        <v>9.33</v>
      </c>
      <c r="R9" s="6"/>
      <c r="S9" s="6"/>
      <c r="T9" s="156"/>
      <c r="U9" s="6"/>
    </row>
    <row r="10" spans="1:21">
      <c r="A10" s="201" t="s">
        <v>2929</v>
      </c>
      <c r="B10" s="100">
        <v>6.08</v>
      </c>
      <c r="C10" s="100">
        <v>6.12</v>
      </c>
      <c r="D10" s="100">
        <v>8.07</v>
      </c>
      <c r="E10" s="100">
        <v>5.84</v>
      </c>
      <c r="F10" s="100">
        <v>2</v>
      </c>
      <c r="G10" s="100">
        <v>23.71</v>
      </c>
      <c r="H10" s="100">
        <v>7.26</v>
      </c>
      <c r="I10" s="100">
        <v>5.13</v>
      </c>
      <c r="J10" s="100">
        <v>0.61</v>
      </c>
      <c r="K10" s="100">
        <v>49.65</v>
      </c>
      <c r="L10" s="100">
        <v>9.0399999999999991</v>
      </c>
      <c r="M10" s="100">
        <v>4.46</v>
      </c>
      <c r="N10" s="100">
        <v>2.2000000000000002</v>
      </c>
      <c r="O10" s="100">
        <v>0</v>
      </c>
      <c r="P10" s="100">
        <v>0.2</v>
      </c>
      <c r="Q10" s="100">
        <v>9.3699999999999992</v>
      </c>
      <c r="R10" s="6"/>
      <c r="S10" s="6"/>
      <c r="T10" s="156"/>
      <c r="U10" s="6"/>
    </row>
    <row r="11" spans="1:21">
      <c r="A11" s="201" t="s">
        <v>2930</v>
      </c>
      <c r="B11" s="100">
        <v>6.22</v>
      </c>
      <c r="C11" s="100">
        <v>6.04</v>
      </c>
      <c r="D11" s="100">
        <v>8.15</v>
      </c>
      <c r="E11" s="100">
        <v>6.41</v>
      </c>
      <c r="F11" s="100">
        <v>2</v>
      </c>
      <c r="G11" s="100">
        <v>22.48</v>
      </c>
      <c r="H11" s="100">
        <v>5.49</v>
      </c>
      <c r="I11" s="100">
        <v>5.13</v>
      </c>
      <c r="J11" s="100">
        <v>0.73</v>
      </c>
      <c r="K11" s="100">
        <v>42.84</v>
      </c>
      <c r="L11" s="100">
        <v>8.11</v>
      </c>
      <c r="M11" s="100">
        <v>2.25</v>
      </c>
      <c r="N11" s="100">
        <v>2.4</v>
      </c>
      <c r="O11" s="100">
        <v>0</v>
      </c>
      <c r="P11" s="100">
        <v>0.2</v>
      </c>
      <c r="Q11" s="100">
        <v>9.32</v>
      </c>
      <c r="R11" s="6"/>
      <c r="S11" s="6"/>
      <c r="T11" s="156"/>
      <c r="U11" s="6"/>
    </row>
    <row r="12" spans="1:21">
      <c r="A12" s="201" t="s">
        <v>2931</v>
      </c>
      <c r="B12" s="100">
        <v>6.28</v>
      </c>
      <c r="C12" s="100">
        <v>6.15</v>
      </c>
      <c r="D12" s="100">
        <v>8.25</v>
      </c>
      <c r="E12" s="100">
        <v>6.61</v>
      </c>
      <c r="F12" s="100">
        <v>2</v>
      </c>
      <c r="G12" s="100">
        <v>22.02</v>
      </c>
      <c r="H12" s="100">
        <v>5.47</v>
      </c>
      <c r="I12" s="100">
        <v>5.03</v>
      </c>
      <c r="J12" s="100">
        <v>0.72</v>
      </c>
      <c r="K12" s="100">
        <v>51.94</v>
      </c>
      <c r="L12" s="100">
        <v>9.0299999999999994</v>
      </c>
      <c r="M12" s="100">
        <v>4.63</v>
      </c>
      <c r="N12" s="100">
        <v>2.2000000000000002</v>
      </c>
      <c r="O12" s="100">
        <v>0</v>
      </c>
      <c r="P12" s="100">
        <v>0.19</v>
      </c>
      <c r="Q12" s="100">
        <v>9.35</v>
      </c>
      <c r="R12" s="6"/>
      <c r="S12" s="6"/>
      <c r="T12" s="156"/>
      <c r="U12" s="6"/>
    </row>
    <row r="13" spans="1:21">
      <c r="A13" s="201" t="s">
        <v>2932</v>
      </c>
      <c r="B13" s="100">
        <v>6.35</v>
      </c>
      <c r="C13" s="100">
        <v>6.21</v>
      </c>
      <c r="D13" s="100">
        <v>8.34</v>
      </c>
      <c r="E13" s="100">
        <v>6.02</v>
      </c>
      <c r="F13" s="100">
        <v>2</v>
      </c>
      <c r="G13" s="100">
        <v>22.02</v>
      </c>
      <c r="H13" s="100">
        <v>5.47</v>
      </c>
      <c r="I13" s="100">
        <v>4.9800000000000004</v>
      </c>
      <c r="J13" s="100">
        <v>0.62</v>
      </c>
      <c r="K13" s="100">
        <v>50.28</v>
      </c>
      <c r="L13" s="100">
        <v>10.33</v>
      </c>
      <c r="M13" s="100">
        <v>7.91</v>
      </c>
      <c r="N13" s="100">
        <v>2.2000000000000002</v>
      </c>
      <c r="O13" s="100">
        <v>0</v>
      </c>
      <c r="P13" s="100">
        <v>0.2</v>
      </c>
      <c r="Q13" s="100">
        <v>9.4499999999999993</v>
      </c>
      <c r="R13" s="6"/>
      <c r="S13" s="6"/>
      <c r="T13" s="156"/>
      <c r="U13" s="6"/>
    </row>
    <row r="14" spans="1:21">
      <c r="A14" s="201" t="s">
        <v>2933</v>
      </c>
      <c r="B14" s="100">
        <v>6.38</v>
      </c>
      <c r="C14" s="100">
        <v>6.17</v>
      </c>
      <c r="D14" s="100">
        <v>8.34</v>
      </c>
      <c r="E14" s="100">
        <v>5.88</v>
      </c>
      <c r="F14" s="100">
        <v>2</v>
      </c>
      <c r="G14" s="100">
        <v>22.02</v>
      </c>
      <c r="H14" s="100">
        <v>5.47</v>
      </c>
      <c r="I14" s="100">
        <v>4.97</v>
      </c>
      <c r="J14" s="100">
        <v>0.56000000000000005</v>
      </c>
      <c r="K14" s="100">
        <v>76.180000000000007</v>
      </c>
      <c r="L14" s="100">
        <v>11.4</v>
      </c>
      <c r="M14" s="100">
        <v>10.69</v>
      </c>
      <c r="N14" s="100">
        <v>2.2000000000000002</v>
      </c>
      <c r="O14" s="100">
        <v>0</v>
      </c>
      <c r="P14" s="100">
        <v>0.19</v>
      </c>
      <c r="Q14" s="100">
        <v>9.4</v>
      </c>
      <c r="R14" s="6"/>
      <c r="S14" s="6"/>
      <c r="T14" s="156"/>
      <c r="U14" s="6"/>
    </row>
    <row r="15" spans="1:21">
      <c r="A15" s="201" t="s">
        <v>2934</v>
      </c>
      <c r="B15" s="100">
        <v>6.33</v>
      </c>
      <c r="C15" s="100">
        <v>6.27</v>
      </c>
      <c r="D15" s="100">
        <v>8.35</v>
      </c>
      <c r="E15" s="100">
        <v>6.2</v>
      </c>
      <c r="F15" s="100">
        <v>2</v>
      </c>
      <c r="G15" s="100">
        <v>20.63</v>
      </c>
      <c r="H15" s="100">
        <v>5.67</v>
      </c>
      <c r="I15" s="100">
        <v>4.93</v>
      </c>
      <c r="J15" s="100">
        <v>0.56999999999999995</v>
      </c>
      <c r="K15" s="100">
        <v>61.99</v>
      </c>
      <c r="L15" s="100">
        <v>10.15</v>
      </c>
      <c r="M15" s="100">
        <v>7.44</v>
      </c>
      <c r="N15" s="100">
        <v>2.2999999999999998</v>
      </c>
      <c r="O15" s="100">
        <v>0</v>
      </c>
      <c r="P15" s="100">
        <v>0.19</v>
      </c>
      <c r="Q15" s="100">
        <v>9.35</v>
      </c>
      <c r="R15" s="6"/>
      <c r="S15" s="6"/>
      <c r="T15" s="156"/>
      <c r="U15" s="6"/>
    </row>
    <row r="16" spans="1:21">
      <c r="A16" s="201" t="s">
        <v>2935</v>
      </c>
      <c r="B16" s="100">
        <v>6.35</v>
      </c>
      <c r="C16" s="100">
        <v>6.41</v>
      </c>
      <c r="D16" s="100">
        <v>8.4499999999999993</v>
      </c>
      <c r="E16" s="100">
        <v>6.01</v>
      </c>
      <c r="F16" s="100">
        <v>2</v>
      </c>
      <c r="G16" s="100">
        <v>20.12</v>
      </c>
      <c r="H16" s="100">
        <v>5.67</v>
      </c>
      <c r="I16" s="100">
        <v>4.92</v>
      </c>
      <c r="J16" s="100">
        <v>0.59</v>
      </c>
      <c r="K16" s="100">
        <v>68.64</v>
      </c>
      <c r="L16" s="100">
        <v>9.9499999999999993</v>
      </c>
      <c r="M16" s="100">
        <v>7.03</v>
      </c>
      <c r="N16" s="100">
        <v>2.2999999999999998</v>
      </c>
      <c r="O16" s="100">
        <v>0</v>
      </c>
      <c r="P16" s="100">
        <v>0.2</v>
      </c>
      <c r="Q16" s="100">
        <v>9.35</v>
      </c>
      <c r="R16" s="6"/>
      <c r="S16" s="6"/>
      <c r="T16" s="156"/>
      <c r="U16" s="6"/>
    </row>
    <row r="17" spans="1:21">
      <c r="A17" s="201" t="s">
        <v>2936</v>
      </c>
      <c r="B17" s="100">
        <v>6.46</v>
      </c>
      <c r="C17" s="100">
        <v>6.24</v>
      </c>
      <c r="D17" s="100">
        <v>8.44</v>
      </c>
      <c r="E17" s="100">
        <v>4.9800000000000004</v>
      </c>
      <c r="F17" s="100">
        <v>2</v>
      </c>
      <c r="G17" s="100">
        <v>20.12</v>
      </c>
      <c r="H17" s="100">
        <v>5.67</v>
      </c>
      <c r="I17" s="100">
        <v>4.9400000000000004</v>
      </c>
      <c r="J17" s="100">
        <v>0.66</v>
      </c>
      <c r="K17" s="100">
        <v>53.25</v>
      </c>
      <c r="L17" s="100">
        <v>9</v>
      </c>
      <c r="M17" s="100">
        <v>4.6100000000000003</v>
      </c>
      <c r="N17" s="100">
        <v>2.4</v>
      </c>
      <c r="O17" s="100">
        <v>0</v>
      </c>
      <c r="P17" s="100">
        <v>0.19</v>
      </c>
      <c r="Q17" s="100">
        <v>9.32</v>
      </c>
      <c r="R17" s="6"/>
      <c r="S17" s="6"/>
      <c r="T17" s="156"/>
      <c r="U17" s="6"/>
    </row>
    <row r="18" spans="1:21">
      <c r="A18" s="201" t="s">
        <v>2937</v>
      </c>
      <c r="B18" s="100">
        <v>6.33</v>
      </c>
      <c r="C18" s="100">
        <v>6.43</v>
      </c>
      <c r="D18" s="100">
        <v>8.43</v>
      </c>
      <c r="E18" s="100">
        <v>5.71</v>
      </c>
      <c r="F18" s="100">
        <v>2</v>
      </c>
      <c r="G18" s="100">
        <v>20.12</v>
      </c>
      <c r="H18" s="100">
        <v>5.67</v>
      </c>
      <c r="I18" s="100">
        <v>4.9400000000000004</v>
      </c>
      <c r="J18" s="100">
        <v>0.73</v>
      </c>
      <c r="K18" s="100">
        <v>63.14</v>
      </c>
      <c r="L18" s="100">
        <v>9.5500000000000007</v>
      </c>
      <c r="M18" s="100">
        <v>6</v>
      </c>
      <c r="N18" s="100">
        <v>2.2999999999999998</v>
      </c>
      <c r="O18" s="100">
        <v>0</v>
      </c>
      <c r="P18" s="100">
        <v>0.18</v>
      </c>
      <c r="Q18" s="100">
        <v>9.39</v>
      </c>
      <c r="R18" s="6"/>
      <c r="S18" s="6"/>
      <c r="T18" s="156"/>
      <c r="U18" s="6"/>
    </row>
    <row r="19" spans="1:21">
      <c r="A19" s="201" t="s">
        <v>2938</v>
      </c>
      <c r="B19" s="100">
        <v>6.17</v>
      </c>
      <c r="C19" s="100">
        <v>6.51</v>
      </c>
      <c r="D19" s="100">
        <v>8.35</v>
      </c>
      <c r="E19" s="100">
        <v>6.16</v>
      </c>
      <c r="F19" s="100">
        <v>2</v>
      </c>
      <c r="G19" s="100">
        <v>17.239999999999998</v>
      </c>
      <c r="H19" s="100">
        <v>5.23</v>
      </c>
      <c r="I19" s="100">
        <v>4.95</v>
      </c>
      <c r="J19" s="100">
        <v>0.66</v>
      </c>
      <c r="K19" s="100">
        <v>51.24</v>
      </c>
      <c r="L19" s="100">
        <v>9.3000000000000007</v>
      </c>
      <c r="M19" s="100">
        <v>5.39</v>
      </c>
      <c r="N19" s="100">
        <v>2.4</v>
      </c>
      <c r="O19" s="100">
        <v>0</v>
      </c>
      <c r="P19" s="100">
        <v>0.18</v>
      </c>
      <c r="Q19" s="100">
        <v>9.4600000000000009</v>
      </c>
      <c r="R19" s="6"/>
      <c r="S19" s="6"/>
      <c r="T19" s="156"/>
      <c r="U19" s="6"/>
    </row>
    <row r="20" spans="1:21">
      <c r="A20" s="201" t="s">
        <v>2939</v>
      </c>
      <c r="B20" s="100">
        <v>6.16</v>
      </c>
      <c r="C20" s="100">
        <v>6.42</v>
      </c>
      <c r="D20" s="100">
        <v>8.2899999999999991</v>
      </c>
      <c r="E20" s="100">
        <v>5.92</v>
      </c>
      <c r="F20" s="100">
        <v>2</v>
      </c>
      <c r="G20" s="100">
        <v>16.13</v>
      </c>
      <c r="H20" s="100">
        <v>5.21</v>
      </c>
      <c r="I20" s="100">
        <v>5</v>
      </c>
      <c r="J20" s="100">
        <v>0.61</v>
      </c>
      <c r="K20" s="100">
        <v>57.11</v>
      </c>
      <c r="L20" s="100">
        <v>9.64</v>
      </c>
      <c r="M20" s="100">
        <v>6.17</v>
      </c>
      <c r="N20" s="100">
        <v>2.4</v>
      </c>
      <c r="O20" s="100">
        <v>0</v>
      </c>
      <c r="P20" s="100">
        <v>0.18</v>
      </c>
      <c r="Q20" s="100">
        <v>9.49</v>
      </c>
      <c r="R20" s="6"/>
      <c r="S20" s="6"/>
      <c r="T20" s="156"/>
      <c r="U20" s="6"/>
    </row>
    <row r="21" spans="1:21">
      <c r="A21" s="201" t="s">
        <v>2940</v>
      </c>
      <c r="B21" s="100">
        <v>6.05</v>
      </c>
      <c r="C21" s="100">
        <v>6.47</v>
      </c>
      <c r="D21" s="100">
        <v>8.23</v>
      </c>
      <c r="E21" s="100">
        <v>6.26</v>
      </c>
      <c r="F21" s="100">
        <v>2</v>
      </c>
      <c r="G21" s="100">
        <v>16.13</v>
      </c>
      <c r="H21" s="100">
        <v>5.21</v>
      </c>
      <c r="I21" s="100">
        <v>5.08</v>
      </c>
      <c r="J21" s="100">
        <v>0.64</v>
      </c>
      <c r="K21" s="100">
        <v>54</v>
      </c>
      <c r="L21" s="100">
        <v>8.5399999999999991</v>
      </c>
      <c r="M21" s="100">
        <v>3.45</v>
      </c>
      <c r="N21" s="100">
        <v>2.4</v>
      </c>
      <c r="O21" s="100">
        <v>0</v>
      </c>
      <c r="P21" s="100">
        <v>0.18</v>
      </c>
      <c r="Q21" s="100">
        <v>9.4</v>
      </c>
      <c r="R21" s="6"/>
      <c r="S21" s="6"/>
      <c r="T21" s="156"/>
      <c r="U21" s="6"/>
    </row>
    <row r="22" spans="1:21">
      <c r="A22" s="201" t="s">
        <v>2941</v>
      </c>
      <c r="B22" s="100">
        <v>6</v>
      </c>
      <c r="C22" s="100">
        <v>6.4</v>
      </c>
      <c r="D22" s="100">
        <v>8.15</v>
      </c>
      <c r="E22" s="100">
        <v>6.04</v>
      </c>
      <c r="F22" s="100">
        <v>2</v>
      </c>
      <c r="G22" s="100">
        <v>16.13</v>
      </c>
      <c r="H22" s="100">
        <v>5.21</v>
      </c>
      <c r="I22" s="100">
        <v>5.17</v>
      </c>
      <c r="J22" s="100">
        <v>0.65</v>
      </c>
      <c r="K22" s="100">
        <v>46.19</v>
      </c>
      <c r="L22" s="100">
        <v>9.19</v>
      </c>
      <c r="M22" s="100">
        <v>4.9800000000000004</v>
      </c>
      <c r="N22" s="100">
        <v>2.4</v>
      </c>
      <c r="O22" s="100">
        <v>0</v>
      </c>
      <c r="P22" s="100">
        <v>0.19</v>
      </c>
      <c r="Q22" s="100">
        <v>9.3699999999999992</v>
      </c>
      <c r="R22" s="6"/>
      <c r="S22" s="6"/>
      <c r="T22" s="156"/>
      <c r="U22" s="6"/>
    </row>
    <row r="23" spans="1:21">
      <c r="A23" s="201" t="s">
        <v>2942</v>
      </c>
      <c r="B23" s="100">
        <v>6.08</v>
      </c>
      <c r="C23" s="100">
        <v>6.39</v>
      </c>
      <c r="D23" s="100">
        <v>8.2100000000000009</v>
      </c>
      <c r="E23" s="100">
        <v>4.33</v>
      </c>
      <c r="F23" s="100">
        <v>2</v>
      </c>
      <c r="G23" s="100">
        <v>20.100000000000001</v>
      </c>
      <c r="H23" s="100">
        <v>3.94</v>
      </c>
      <c r="I23" s="100">
        <v>5.24</v>
      </c>
      <c r="J23" s="100">
        <v>0.94</v>
      </c>
      <c r="K23" s="100">
        <v>38.39</v>
      </c>
      <c r="L23" s="100">
        <v>8.18</v>
      </c>
      <c r="M23" s="100">
        <v>2.34</v>
      </c>
      <c r="N23" s="100">
        <v>2.4</v>
      </c>
      <c r="O23" s="100">
        <v>0</v>
      </c>
      <c r="P23" s="100">
        <v>0.19</v>
      </c>
      <c r="Q23" s="100">
        <v>9.32</v>
      </c>
      <c r="R23" s="6"/>
      <c r="S23" s="6"/>
      <c r="T23" s="156"/>
      <c r="U23" s="6"/>
    </row>
    <row r="24" spans="1:21">
      <c r="A24" s="201" t="s">
        <v>2943</v>
      </c>
      <c r="B24" s="100">
        <v>6.19</v>
      </c>
      <c r="C24" s="100">
        <v>6.27</v>
      </c>
      <c r="D24" s="100">
        <v>8.24</v>
      </c>
      <c r="E24" s="100">
        <v>6.03</v>
      </c>
      <c r="F24" s="100">
        <v>2</v>
      </c>
      <c r="G24" s="100">
        <v>21.54</v>
      </c>
      <c r="H24" s="100">
        <v>3.88</v>
      </c>
      <c r="I24" s="100">
        <v>5.27</v>
      </c>
      <c r="J24" s="100">
        <v>0.7</v>
      </c>
      <c r="K24" s="100">
        <v>35.340000000000003</v>
      </c>
      <c r="L24" s="100">
        <v>8.99</v>
      </c>
      <c r="M24" s="100">
        <v>4.4000000000000004</v>
      </c>
      <c r="N24" s="100">
        <v>2.4</v>
      </c>
      <c r="O24" s="100">
        <v>0</v>
      </c>
      <c r="P24" s="100">
        <v>0.2</v>
      </c>
      <c r="Q24" s="100">
        <v>9.3699999999999992</v>
      </c>
      <c r="R24" s="6"/>
      <c r="S24" s="6"/>
      <c r="T24" s="156"/>
      <c r="U24" s="6"/>
    </row>
    <row r="25" spans="1:21">
      <c r="A25" s="201" t="s">
        <v>2944</v>
      </c>
      <c r="B25" s="100">
        <v>6.24</v>
      </c>
      <c r="C25" s="100">
        <v>6.28</v>
      </c>
      <c r="D25" s="100">
        <v>8.2899999999999991</v>
      </c>
      <c r="E25" s="100">
        <v>6.18</v>
      </c>
      <c r="F25" s="100">
        <v>2</v>
      </c>
      <c r="G25" s="100">
        <v>21.54</v>
      </c>
      <c r="H25" s="100">
        <v>3.88</v>
      </c>
      <c r="I25" s="100">
        <v>5.31</v>
      </c>
      <c r="J25" s="100">
        <v>0.85</v>
      </c>
      <c r="K25" s="100">
        <v>37.520000000000003</v>
      </c>
      <c r="L25" s="100">
        <v>7.66</v>
      </c>
      <c r="M25" s="100">
        <v>1.03</v>
      </c>
      <c r="N25" s="100">
        <v>2.4</v>
      </c>
      <c r="O25" s="100">
        <v>0</v>
      </c>
      <c r="P25" s="100">
        <v>0.2</v>
      </c>
      <c r="Q25" s="100">
        <v>9.33</v>
      </c>
      <c r="R25" s="6"/>
      <c r="S25" s="6"/>
      <c r="T25" s="156"/>
      <c r="U25" s="6"/>
    </row>
    <row r="26" spans="1:21">
      <c r="A26" s="201" t="s">
        <v>2945</v>
      </c>
      <c r="B26" s="100">
        <v>6.31</v>
      </c>
      <c r="C26" s="100">
        <v>6.31</v>
      </c>
      <c r="D26" s="100">
        <v>8.36</v>
      </c>
      <c r="E26" s="100">
        <v>6.1</v>
      </c>
      <c r="F26" s="100">
        <v>2</v>
      </c>
      <c r="G26" s="100">
        <v>21.54</v>
      </c>
      <c r="H26" s="100">
        <v>3.88</v>
      </c>
      <c r="I26" s="100">
        <v>5.29</v>
      </c>
      <c r="J26" s="100">
        <v>0.85</v>
      </c>
      <c r="K26" s="100">
        <v>34.72</v>
      </c>
      <c r="L26" s="100">
        <v>7.61</v>
      </c>
      <c r="M26" s="100">
        <v>0.96</v>
      </c>
      <c r="N26" s="100">
        <v>2.4</v>
      </c>
      <c r="O26" s="100">
        <v>0</v>
      </c>
      <c r="P26" s="100">
        <v>0.19</v>
      </c>
      <c r="Q26" s="100">
        <v>9.43</v>
      </c>
      <c r="R26" s="6"/>
      <c r="S26" s="6"/>
      <c r="T26" s="156"/>
      <c r="U26" s="6"/>
    </row>
    <row r="27" spans="1:21">
      <c r="A27" s="201" t="s">
        <v>2946</v>
      </c>
      <c r="B27" s="100">
        <v>6.38</v>
      </c>
      <c r="C27" s="100">
        <v>6.31</v>
      </c>
      <c r="D27" s="100">
        <v>8.41</v>
      </c>
      <c r="E27" s="100">
        <v>6.03</v>
      </c>
      <c r="F27" s="100">
        <v>2</v>
      </c>
      <c r="G27" s="100">
        <v>21.08</v>
      </c>
      <c r="H27" s="100">
        <v>4.5999999999999996</v>
      </c>
      <c r="I27" s="100">
        <v>5.26</v>
      </c>
      <c r="J27" s="100">
        <v>0.75</v>
      </c>
      <c r="K27" s="100">
        <v>40.69</v>
      </c>
      <c r="L27" s="100">
        <v>8.7100000000000009</v>
      </c>
      <c r="M27" s="100">
        <v>4.53</v>
      </c>
      <c r="N27" s="100">
        <v>2.4</v>
      </c>
      <c r="O27" s="100">
        <v>0</v>
      </c>
      <c r="P27" s="100">
        <v>0.2</v>
      </c>
      <c r="Q27" s="100">
        <v>9.51</v>
      </c>
      <c r="R27" s="6"/>
      <c r="S27" s="6"/>
      <c r="T27" s="156"/>
      <c r="U27" s="6"/>
    </row>
    <row r="28" spans="1:21">
      <c r="A28" s="201" t="s">
        <v>2947</v>
      </c>
      <c r="B28" s="100">
        <v>6.46</v>
      </c>
      <c r="C28" s="100">
        <v>6.3</v>
      </c>
      <c r="D28" s="100">
        <v>8.4700000000000006</v>
      </c>
      <c r="E28" s="100">
        <v>6.24</v>
      </c>
      <c r="F28" s="100">
        <v>2</v>
      </c>
      <c r="G28" s="100">
        <v>20.95</v>
      </c>
      <c r="H28" s="100">
        <v>4.62</v>
      </c>
      <c r="I28" s="100">
        <v>5.28</v>
      </c>
      <c r="J28" s="100">
        <v>0.67</v>
      </c>
      <c r="K28" s="100">
        <v>43.77</v>
      </c>
      <c r="L28" s="100">
        <v>7.97</v>
      </c>
      <c r="M28" s="100">
        <v>1.95</v>
      </c>
      <c r="N28" s="100">
        <v>2.2999999999999998</v>
      </c>
      <c r="O28" s="100">
        <v>0</v>
      </c>
      <c r="P28" s="100">
        <v>0.2</v>
      </c>
      <c r="Q28" s="100">
        <v>9.36</v>
      </c>
      <c r="R28" s="6"/>
      <c r="S28" s="6"/>
      <c r="T28" s="156"/>
      <c r="U28" s="6"/>
    </row>
    <row r="29" spans="1:21">
      <c r="A29" s="201" t="s">
        <v>2948</v>
      </c>
      <c r="B29" s="100">
        <v>6.55</v>
      </c>
      <c r="C29" s="100">
        <v>6.29</v>
      </c>
      <c r="D29" s="100">
        <v>8.5399999999999991</v>
      </c>
      <c r="E29" s="100">
        <v>5.99</v>
      </c>
      <c r="F29" s="100">
        <v>2</v>
      </c>
      <c r="G29" s="100">
        <v>20.95</v>
      </c>
      <c r="H29" s="100">
        <v>4.62</v>
      </c>
      <c r="I29" s="100">
        <v>5.27</v>
      </c>
      <c r="J29" s="100">
        <v>0.42</v>
      </c>
      <c r="K29" s="100">
        <v>58.78</v>
      </c>
      <c r="L29" s="100">
        <v>9.76</v>
      </c>
      <c r="M29" s="100">
        <v>6.56</v>
      </c>
      <c r="N29" s="100">
        <v>2.2999999999999998</v>
      </c>
      <c r="O29" s="100">
        <v>0</v>
      </c>
      <c r="P29" s="100">
        <v>0.2</v>
      </c>
      <c r="Q29" s="100">
        <v>9.34</v>
      </c>
      <c r="R29" s="6"/>
      <c r="S29" s="6"/>
      <c r="T29" s="156"/>
      <c r="U29" s="6"/>
    </row>
    <row r="30" spans="1:21">
      <c r="A30" s="201" t="s">
        <v>2949</v>
      </c>
      <c r="B30" s="100">
        <v>6.55</v>
      </c>
      <c r="C30" s="100">
        <v>6.19</v>
      </c>
      <c r="D30" s="100">
        <v>8.49</v>
      </c>
      <c r="E30" s="100">
        <v>5.77</v>
      </c>
      <c r="F30" s="100">
        <v>2</v>
      </c>
      <c r="G30" s="100">
        <v>20.95</v>
      </c>
      <c r="H30" s="100">
        <v>4.62</v>
      </c>
      <c r="I30" s="100">
        <v>5.24</v>
      </c>
      <c r="J30" s="100">
        <v>0.62</v>
      </c>
      <c r="K30" s="100">
        <v>40.840000000000003</v>
      </c>
      <c r="L30" s="100">
        <v>9.7100000000000009</v>
      </c>
      <c r="M30" s="100">
        <v>6.23</v>
      </c>
      <c r="N30" s="100">
        <v>2.5</v>
      </c>
      <c r="O30" s="100">
        <v>0</v>
      </c>
      <c r="P30" s="100">
        <v>0.2</v>
      </c>
      <c r="Q30" s="100">
        <v>9.35</v>
      </c>
      <c r="R30" s="6"/>
      <c r="S30" s="6"/>
      <c r="T30" s="156"/>
      <c r="U30" s="6"/>
    </row>
    <row r="31" spans="1:21">
      <c r="A31" s="201" t="s">
        <v>2950</v>
      </c>
      <c r="B31" s="100">
        <v>6.5</v>
      </c>
      <c r="C31" s="100">
        <v>6.14</v>
      </c>
      <c r="D31" s="100">
        <v>8.42</v>
      </c>
      <c r="E31" s="100">
        <v>5.84</v>
      </c>
      <c r="F31" s="100">
        <v>2</v>
      </c>
      <c r="G31" s="100">
        <v>17.02</v>
      </c>
      <c r="H31" s="100">
        <v>5.21</v>
      </c>
      <c r="I31" s="100">
        <v>5.19</v>
      </c>
      <c r="J31" s="100">
        <v>0.64</v>
      </c>
      <c r="K31" s="100">
        <v>49.49</v>
      </c>
      <c r="L31" s="100">
        <v>9.16</v>
      </c>
      <c r="M31" s="100">
        <v>4.97</v>
      </c>
      <c r="N31" s="100">
        <v>2.4</v>
      </c>
      <c r="O31" s="100">
        <v>0</v>
      </c>
      <c r="P31" s="100">
        <v>0.19</v>
      </c>
      <c r="Q31" s="100">
        <v>9.32</v>
      </c>
      <c r="R31" s="6"/>
      <c r="S31" s="6"/>
      <c r="T31" s="156"/>
      <c r="U31" s="6"/>
    </row>
    <row r="32" spans="1:21">
      <c r="A32" s="201" t="s">
        <v>2951</v>
      </c>
      <c r="B32" s="100">
        <v>6.52</v>
      </c>
      <c r="C32" s="100">
        <v>6.08</v>
      </c>
      <c r="D32" s="100">
        <v>8.4</v>
      </c>
      <c r="E32" s="100">
        <v>6.03</v>
      </c>
      <c r="F32" s="100">
        <v>2</v>
      </c>
      <c r="G32" s="100">
        <v>15.5</v>
      </c>
      <c r="H32" s="100">
        <v>5.22</v>
      </c>
      <c r="I32" s="100">
        <v>5.13</v>
      </c>
      <c r="J32" s="100">
        <v>0.67</v>
      </c>
      <c r="K32" s="100">
        <v>46.81</v>
      </c>
      <c r="L32" s="100">
        <v>9.16</v>
      </c>
      <c r="M32" s="100">
        <v>4.96</v>
      </c>
      <c r="N32" s="100">
        <v>2.6</v>
      </c>
      <c r="O32" s="100">
        <v>0</v>
      </c>
      <c r="P32" s="100">
        <v>0.19</v>
      </c>
      <c r="Q32" s="100">
        <v>9.36</v>
      </c>
      <c r="R32" s="6"/>
      <c r="S32" s="6"/>
      <c r="T32" s="156"/>
      <c r="U32" s="6"/>
    </row>
    <row r="33" spans="1:21">
      <c r="A33" s="201" t="s">
        <v>2952</v>
      </c>
      <c r="B33" s="100">
        <v>6.5</v>
      </c>
      <c r="C33" s="100">
        <v>6.1</v>
      </c>
      <c r="D33" s="100">
        <v>8.4</v>
      </c>
      <c r="E33" s="100">
        <v>6.24</v>
      </c>
      <c r="F33" s="100">
        <v>2</v>
      </c>
      <c r="G33" s="100">
        <v>15.5</v>
      </c>
      <c r="H33" s="100">
        <v>5.22</v>
      </c>
      <c r="I33" s="100">
        <v>5.15</v>
      </c>
      <c r="J33" s="100">
        <v>0.66</v>
      </c>
      <c r="K33" s="100">
        <v>44.9</v>
      </c>
      <c r="L33" s="100">
        <v>9.15</v>
      </c>
      <c r="M33" s="100">
        <v>4.82</v>
      </c>
      <c r="N33" s="100">
        <v>3.5</v>
      </c>
      <c r="O33" s="100">
        <v>0</v>
      </c>
      <c r="P33" s="100">
        <v>0.19</v>
      </c>
      <c r="Q33" s="100">
        <v>9.33</v>
      </c>
      <c r="R33" s="6"/>
      <c r="S33" s="6"/>
      <c r="T33" s="156"/>
      <c r="U33" s="6"/>
    </row>
    <row r="34" spans="1:21">
      <c r="A34" s="201" t="s">
        <v>2953</v>
      </c>
      <c r="B34" s="100">
        <v>6.49</v>
      </c>
      <c r="C34" s="100">
        <v>6.11</v>
      </c>
      <c r="D34" s="100">
        <v>8.39</v>
      </c>
      <c r="E34" s="100">
        <v>5.96</v>
      </c>
      <c r="F34" s="100">
        <v>2</v>
      </c>
      <c r="G34" s="100">
        <v>15.5</v>
      </c>
      <c r="H34" s="100">
        <v>5.22</v>
      </c>
      <c r="I34" s="100">
        <v>5.18</v>
      </c>
      <c r="J34" s="100">
        <v>0.56000000000000005</v>
      </c>
      <c r="K34" s="100">
        <v>43.92</v>
      </c>
      <c r="L34" s="100">
        <v>7.9</v>
      </c>
      <c r="M34" s="100">
        <v>1.68</v>
      </c>
      <c r="N34" s="100">
        <v>4.5999999999999996</v>
      </c>
      <c r="O34" s="100">
        <v>0</v>
      </c>
      <c r="P34" s="100">
        <v>0.18</v>
      </c>
      <c r="Q34" s="100">
        <v>9.32</v>
      </c>
      <c r="R34" s="6"/>
      <c r="S34" s="6"/>
      <c r="T34" s="156"/>
      <c r="U34" s="6"/>
    </row>
    <row r="35" spans="1:21">
      <c r="A35" s="201" t="s">
        <v>2954</v>
      </c>
      <c r="B35" s="100">
        <v>6.55</v>
      </c>
      <c r="C35" s="100">
        <v>6.05</v>
      </c>
      <c r="D35" s="100">
        <v>8.41</v>
      </c>
      <c r="E35" s="100">
        <v>6.2</v>
      </c>
      <c r="F35" s="100">
        <v>2</v>
      </c>
      <c r="G35" s="100">
        <v>16.440000000000001</v>
      </c>
      <c r="H35" s="100">
        <v>4.83</v>
      </c>
      <c r="I35" s="100">
        <v>5.07</v>
      </c>
      <c r="J35" s="100">
        <v>0.56999999999999995</v>
      </c>
      <c r="K35" s="100">
        <v>40.119999999999997</v>
      </c>
      <c r="L35" s="100">
        <v>8.5399999999999991</v>
      </c>
      <c r="M35" s="100">
        <v>3.29</v>
      </c>
      <c r="N35" s="100">
        <v>5.9</v>
      </c>
      <c r="O35" s="100">
        <v>0</v>
      </c>
      <c r="P35" s="100">
        <v>0.19</v>
      </c>
      <c r="Q35" s="100">
        <v>9.32</v>
      </c>
      <c r="R35" s="6"/>
      <c r="S35" s="6"/>
      <c r="T35" s="156"/>
      <c r="U35" s="6"/>
    </row>
    <row r="36" spans="1:21">
      <c r="A36" s="201" t="s">
        <v>2955</v>
      </c>
      <c r="B36" s="100">
        <v>6.62</v>
      </c>
      <c r="C36" s="100">
        <v>6.11</v>
      </c>
      <c r="D36" s="100">
        <v>8.5</v>
      </c>
      <c r="E36" s="100">
        <v>6.15</v>
      </c>
      <c r="F36" s="100">
        <v>2</v>
      </c>
      <c r="G36" s="100">
        <v>16.8</v>
      </c>
      <c r="H36" s="100">
        <v>4.8099999999999996</v>
      </c>
      <c r="I36" s="100">
        <v>5</v>
      </c>
      <c r="J36" s="100">
        <v>0.81</v>
      </c>
      <c r="K36" s="100">
        <v>38.299999999999997</v>
      </c>
      <c r="L36" s="100">
        <v>7.88</v>
      </c>
      <c r="M36" s="100">
        <v>1.48</v>
      </c>
      <c r="N36" s="100">
        <v>8.8000000000000007</v>
      </c>
      <c r="O36" s="100">
        <v>0</v>
      </c>
      <c r="P36" s="100">
        <v>0.19</v>
      </c>
      <c r="Q36" s="100">
        <v>9.36</v>
      </c>
      <c r="R36" s="6"/>
      <c r="S36" s="6"/>
      <c r="T36" s="156"/>
      <c r="U36" s="6"/>
    </row>
    <row r="37" spans="1:21">
      <c r="A37" s="201" t="s">
        <v>2956</v>
      </c>
      <c r="B37" s="100">
        <v>6.7</v>
      </c>
      <c r="C37" s="100">
        <v>6.12</v>
      </c>
      <c r="D37" s="100">
        <v>8.57</v>
      </c>
      <c r="E37" s="100">
        <v>6.06</v>
      </c>
      <c r="F37" s="100">
        <v>2</v>
      </c>
      <c r="G37" s="100">
        <v>16.8</v>
      </c>
      <c r="H37" s="100">
        <v>4.8099999999999996</v>
      </c>
      <c r="I37" s="100">
        <v>4.99</v>
      </c>
      <c r="J37" s="100">
        <v>1.1599999999999999</v>
      </c>
      <c r="K37" s="100">
        <v>39.19</v>
      </c>
      <c r="L37" s="100">
        <v>6.92</v>
      </c>
      <c r="M37" s="100">
        <v>-0.99</v>
      </c>
      <c r="N37" s="100">
        <v>11.2</v>
      </c>
      <c r="O37" s="100">
        <v>0</v>
      </c>
      <c r="P37" s="100">
        <v>0.19</v>
      </c>
      <c r="Q37" s="100">
        <v>9.36</v>
      </c>
      <c r="R37" s="6"/>
      <c r="S37" s="6"/>
      <c r="T37" s="156"/>
      <c r="U37" s="6"/>
    </row>
    <row r="38" spans="1:21">
      <c r="A38" s="201" t="s">
        <v>2957</v>
      </c>
      <c r="B38" s="100">
        <v>6.84</v>
      </c>
      <c r="C38" s="100">
        <v>6.11</v>
      </c>
      <c r="D38" s="100">
        <v>8.68</v>
      </c>
      <c r="E38" s="100">
        <v>6.08</v>
      </c>
      <c r="F38" s="100">
        <v>2</v>
      </c>
      <c r="G38" s="100">
        <v>16.8</v>
      </c>
      <c r="H38" s="100">
        <v>4.8099999999999996</v>
      </c>
      <c r="I38" s="100">
        <v>4.99</v>
      </c>
      <c r="J38" s="100">
        <v>0.92</v>
      </c>
      <c r="K38" s="100">
        <v>40.93</v>
      </c>
      <c r="L38" s="100">
        <v>7.91</v>
      </c>
      <c r="M38" s="100">
        <v>1.43</v>
      </c>
      <c r="N38" s="100">
        <v>16</v>
      </c>
      <c r="O38" s="100">
        <v>0</v>
      </c>
      <c r="P38" s="100">
        <v>0.2</v>
      </c>
      <c r="Q38" s="100">
        <v>9.34</v>
      </c>
      <c r="R38" s="6"/>
      <c r="S38" s="6"/>
      <c r="T38" s="156"/>
      <c r="U38" s="6"/>
    </row>
    <row r="39" spans="1:21">
      <c r="A39" s="201" t="s">
        <v>2958</v>
      </c>
      <c r="B39" s="100">
        <v>7.06</v>
      </c>
      <c r="C39" s="100">
        <v>6</v>
      </c>
      <c r="D39" s="100">
        <v>8.8000000000000007</v>
      </c>
      <c r="E39" s="100">
        <v>5.63</v>
      </c>
      <c r="F39" s="100">
        <v>2</v>
      </c>
      <c r="G39" s="100">
        <v>18.27</v>
      </c>
      <c r="H39" s="100">
        <v>9.6</v>
      </c>
      <c r="I39" s="100">
        <v>4.96</v>
      </c>
      <c r="J39" s="100">
        <v>0.63</v>
      </c>
      <c r="K39" s="100">
        <v>44.01</v>
      </c>
      <c r="L39" s="100">
        <v>9.32</v>
      </c>
      <c r="M39" s="100">
        <v>4.9400000000000004</v>
      </c>
      <c r="N39" s="100">
        <v>18.2</v>
      </c>
      <c r="O39" s="100">
        <v>0</v>
      </c>
      <c r="P39" s="100">
        <v>0.21</v>
      </c>
      <c r="Q39" s="100">
        <v>9.32</v>
      </c>
      <c r="R39" s="6"/>
      <c r="S39" s="6"/>
      <c r="T39" s="156"/>
      <c r="U39" s="6"/>
    </row>
    <row r="40" spans="1:21">
      <c r="A40" s="201" t="s">
        <v>2959</v>
      </c>
      <c r="B40" s="100">
        <v>7.28</v>
      </c>
      <c r="C40" s="100">
        <v>6.09</v>
      </c>
      <c r="D40" s="100">
        <v>9.02</v>
      </c>
      <c r="E40" s="100">
        <v>5.93</v>
      </c>
      <c r="F40" s="100">
        <v>2</v>
      </c>
      <c r="G40" s="100">
        <v>18.809999999999999</v>
      </c>
      <c r="H40" s="100">
        <v>9.84</v>
      </c>
      <c r="I40" s="100">
        <v>4.95</v>
      </c>
      <c r="J40" s="100">
        <v>0.71</v>
      </c>
      <c r="K40" s="100">
        <v>44.52</v>
      </c>
      <c r="L40" s="100">
        <v>7.91</v>
      </c>
      <c r="M40" s="100">
        <v>1.44</v>
      </c>
      <c r="N40" s="100">
        <v>16.600000000000001</v>
      </c>
      <c r="O40" s="100">
        <v>0</v>
      </c>
      <c r="P40" s="100">
        <v>0.21</v>
      </c>
      <c r="Q40" s="100">
        <v>9.34</v>
      </c>
      <c r="R40" s="6"/>
      <c r="S40" s="6"/>
      <c r="T40" s="156"/>
      <c r="U40" s="6"/>
    </row>
    <row r="41" spans="1:21">
      <c r="A41" s="201" t="s">
        <v>2960</v>
      </c>
      <c r="B41" s="100">
        <v>7.4</v>
      </c>
      <c r="C41" s="100">
        <v>6.18</v>
      </c>
      <c r="D41" s="100">
        <v>9.17</v>
      </c>
      <c r="E41" s="100">
        <v>5.74</v>
      </c>
      <c r="F41" s="100">
        <v>2</v>
      </c>
      <c r="G41" s="100">
        <v>18.809999999999999</v>
      </c>
      <c r="H41" s="100">
        <v>9.84</v>
      </c>
      <c r="I41" s="100">
        <v>4.95</v>
      </c>
      <c r="J41" s="100">
        <v>1</v>
      </c>
      <c r="K41" s="100">
        <v>40.6</v>
      </c>
      <c r="L41" s="100">
        <v>7.37</v>
      </c>
      <c r="M41" s="100">
        <v>-0.12</v>
      </c>
      <c r="N41" s="100">
        <v>19.2</v>
      </c>
      <c r="O41" s="100">
        <v>0</v>
      </c>
      <c r="P41" s="100">
        <v>0.21</v>
      </c>
      <c r="Q41" s="100">
        <v>9.3800000000000008</v>
      </c>
      <c r="R41" s="6"/>
      <c r="S41" s="6"/>
      <c r="T41" s="156"/>
      <c r="U41" s="6"/>
    </row>
    <row r="42" spans="1:21">
      <c r="A42" s="201" t="s">
        <v>2961</v>
      </c>
      <c r="B42" s="100">
        <v>7.6</v>
      </c>
      <c r="C42" s="100">
        <v>6.2</v>
      </c>
      <c r="D42" s="100">
        <v>9.33</v>
      </c>
      <c r="E42" s="100">
        <v>5.54</v>
      </c>
      <c r="F42" s="100">
        <v>2</v>
      </c>
      <c r="G42" s="100">
        <v>18.809999999999999</v>
      </c>
      <c r="H42" s="100">
        <v>9.84</v>
      </c>
      <c r="I42" s="100">
        <v>4.99</v>
      </c>
      <c r="J42" s="100">
        <v>0.46</v>
      </c>
      <c r="K42" s="100">
        <v>52.65</v>
      </c>
      <c r="L42" s="100">
        <v>10.42</v>
      </c>
      <c r="M42" s="100">
        <v>7.75</v>
      </c>
      <c r="N42" s="100">
        <v>25.7</v>
      </c>
      <c r="O42" s="100">
        <v>0</v>
      </c>
      <c r="P42" s="100">
        <v>0.21</v>
      </c>
      <c r="Q42" s="100">
        <v>9.33</v>
      </c>
      <c r="R42" s="6"/>
      <c r="S42" s="6"/>
      <c r="T42" s="156"/>
      <c r="U42" s="6"/>
    </row>
    <row r="43" spans="1:21">
      <c r="A43" s="201" t="s">
        <v>2962</v>
      </c>
      <c r="B43" s="100">
        <v>7.74</v>
      </c>
      <c r="C43" s="100">
        <v>6.32</v>
      </c>
      <c r="D43" s="100">
        <v>9.51</v>
      </c>
      <c r="E43" s="100">
        <v>5.43</v>
      </c>
      <c r="F43" s="100">
        <v>2</v>
      </c>
      <c r="G43" s="100">
        <v>18.760000000000002</v>
      </c>
      <c r="H43" s="100">
        <v>7.1</v>
      </c>
      <c r="I43" s="100">
        <v>5.0599999999999996</v>
      </c>
      <c r="J43" s="100">
        <v>0.53</v>
      </c>
      <c r="K43" s="100">
        <v>65.38</v>
      </c>
      <c r="L43" s="100">
        <v>10.32</v>
      </c>
      <c r="M43" s="100">
        <v>6.88</v>
      </c>
      <c r="N43" s="100">
        <v>49.3</v>
      </c>
      <c r="O43" s="100">
        <v>0</v>
      </c>
      <c r="P43" s="100">
        <v>0.21</v>
      </c>
      <c r="Q43" s="100">
        <v>9.35</v>
      </c>
      <c r="R43" s="6"/>
      <c r="S43" s="6"/>
      <c r="T43" s="156"/>
      <c r="U43" s="6"/>
    </row>
    <row r="44" spans="1:21">
      <c r="A44" s="201" t="s">
        <v>2963</v>
      </c>
      <c r="B44" s="100">
        <v>7.83</v>
      </c>
      <c r="C44" s="100">
        <v>6.39</v>
      </c>
      <c r="D44" s="100">
        <v>9.6199999999999992</v>
      </c>
      <c r="E44" s="100">
        <v>5.65</v>
      </c>
      <c r="F44" s="100">
        <v>2</v>
      </c>
      <c r="G44" s="100">
        <v>18.75</v>
      </c>
      <c r="H44" s="100">
        <v>7.02</v>
      </c>
      <c r="I44" s="100">
        <v>5.08</v>
      </c>
      <c r="J44" s="100">
        <v>0.6</v>
      </c>
      <c r="K44" s="100">
        <v>53.7</v>
      </c>
      <c r="L44" s="100">
        <v>9.23</v>
      </c>
      <c r="M44" s="100">
        <v>4.71</v>
      </c>
      <c r="N44" s="100">
        <v>21.1</v>
      </c>
      <c r="O44" s="100">
        <v>0</v>
      </c>
      <c r="P44" s="100">
        <v>0.21</v>
      </c>
      <c r="Q44" s="100">
        <v>9.33</v>
      </c>
      <c r="R44" s="6"/>
      <c r="S44" s="6"/>
      <c r="T44" s="156"/>
      <c r="U44" s="6"/>
    </row>
    <row r="45" spans="1:21">
      <c r="A45" s="201" t="s">
        <v>2964</v>
      </c>
      <c r="B45" s="100">
        <v>7.91</v>
      </c>
      <c r="C45" s="100">
        <v>6.39</v>
      </c>
      <c r="D45" s="100">
        <v>9.68</v>
      </c>
      <c r="E45" s="100">
        <v>5.73</v>
      </c>
      <c r="F45" s="100">
        <v>2</v>
      </c>
      <c r="G45" s="100">
        <v>18.75</v>
      </c>
      <c r="H45" s="100">
        <v>7.02</v>
      </c>
      <c r="I45" s="100">
        <v>5.1100000000000003</v>
      </c>
      <c r="J45" s="100">
        <v>0.44</v>
      </c>
      <c r="K45" s="100">
        <v>64.48</v>
      </c>
      <c r="L45" s="100">
        <v>9.91</v>
      </c>
      <c r="M45" s="100">
        <v>6.34</v>
      </c>
      <c r="N45" s="100">
        <v>28</v>
      </c>
      <c r="O45" s="100">
        <v>0</v>
      </c>
      <c r="P45" s="100">
        <v>0.21</v>
      </c>
      <c r="Q45" s="100">
        <v>9.36</v>
      </c>
      <c r="R45" s="6"/>
      <c r="S45" s="6"/>
      <c r="T45" s="156"/>
      <c r="U45" s="6"/>
    </row>
    <row r="46" spans="1:21">
      <c r="A46" s="201" t="s">
        <v>2965</v>
      </c>
      <c r="B46" s="100">
        <v>8.0299999999999994</v>
      </c>
      <c r="C46" s="100">
        <v>6.61</v>
      </c>
      <c r="D46" s="100">
        <v>9.89</v>
      </c>
      <c r="E46" s="100">
        <v>5.82</v>
      </c>
      <c r="F46" s="100">
        <v>2</v>
      </c>
      <c r="G46" s="100">
        <v>18.75</v>
      </c>
      <c r="H46" s="100">
        <v>7.02</v>
      </c>
      <c r="I46" s="100">
        <v>5.12</v>
      </c>
      <c r="J46" s="100">
        <v>0.61</v>
      </c>
      <c r="K46" s="100">
        <v>48.12</v>
      </c>
      <c r="L46" s="100">
        <v>7.92</v>
      </c>
      <c r="M46" s="100">
        <v>0.93</v>
      </c>
      <c r="N46" s="100">
        <v>40.799999999999997</v>
      </c>
      <c r="O46" s="100">
        <v>0</v>
      </c>
      <c r="P46" s="100">
        <v>0.21</v>
      </c>
      <c r="Q46" s="100">
        <v>9.32</v>
      </c>
      <c r="R46" s="6"/>
      <c r="S46" s="6"/>
      <c r="T46" s="156"/>
      <c r="U46" s="6"/>
    </row>
    <row r="47" spans="1:21">
      <c r="A47" s="201" t="s">
        <v>2966</v>
      </c>
      <c r="B47" s="100">
        <v>8.23</v>
      </c>
      <c r="C47" s="100">
        <v>6.62</v>
      </c>
      <c r="D47" s="100">
        <v>10.06</v>
      </c>
      <c r="E47" s="100">
        <v>5.56</v>
      </c>
      <c r="F47" s="100">
        <v>2</v>
      </c>
      <c r="G47" s="100">
        <v>22.85</v>
      </c>
      <c r="H47" s="100">
        <v>8.32</v>
      </c>
      <c r="I47" s="100">
        <v>5.13</v>
      </c>
      <c r="J47" s="100">
        <v>0.48</v>
      </c>
      <c r="K47" s="100">
        <v>62.91</v>
      </c>
      <c r="L47" s="100">
        <v>9.6199999999999992</v>
      </c>
      <c r="M47" s="100">
        <v>5.07</v>
      </c>
      <c r="N47" s="100">
        <v>48.5</v>
      </c>
      <c r="O47" s="100">
        <v>0</v>
      </c>
      <c r="P47" s="100">
        <v>0.21</v>
      </c>
      <c r="Q47" s="100">
        <v>9.33</v>
      </c>
      <c r="R47" s="6"/>
      <c r="S47" s="6"/>
      <c r="T47" s="156"/>
      <c r="U47" s="6"/>
    </row>
    <row r="48" spans="1:21">
      <c r="A48" s="201" t="s">
        <v>2967</v>
      </c>
      <c r="B48" s="100">
        <v>8.3000000000000007</v>
      </c>
      <c r="C48" s="100">
        <v>6.55</v>
      </c>
      <c r="D48" s="100">
        <v>10.08</v>
      </c>
      <c r="E48" s="100">
        <v>5.83</v>
      </c>
      <c r="F48" s="100">
        <v>2</v>
      </c>
      <c r="G48" s="100">
        <v>24.35</v>
      </c>
      <c r="H48" s="100">
        <v>8.33</v>
      </c>
      <c r="I48" s="100">
        <v>5.21</v>
      </c>
      <c r="J48" s="100">
        <v>0.48</v>
      </c>
      <c r="K48" s="100">
        <v>69.209999999999994</v>
      </c>
      <c r="L48" s="100">
        <v>10.28</v>
      </c>
      <c r="M48" s="100">
        <v>6.45</v>
      </c>
      <c r="N48" s="100">
        <v>62.7</v>
      </c>
      <c r="O48" s="100">
        <v>0</v>
      </c>
      <c r="P48" s="100">
        <v>0.21</v>
      </c>
      <c r="Q48" s="100">
        <v>9.35</v>
      </c>
      <c r="R48" s="6"/>
      <c r="S48" s="6"/>
      <c r="T48" s="156"/>
      <c r="U48" s="6"/>
    </row>
    <row r="49" spans="1:21">
      <c r="A49" s="201" t="s">
        <v>2968</v>
      </c>
      <c r="B49" s="100">
        <v>8.26</v>
      </c>
      <c r="C49" s="100">
        <v>6.65</v>
      </c>
      <c r="D49" s="100">
        <v>10.09</v>
      </c>
      <c r="E49" s="100">
        <v>5.34</v>
      </c>
      <c r="F49" s="100">
        <v>2</v>
      </c>
      <c r="G49" s="100">
        <v>24.35</v>
      </c>
      <c r="H49" s="100">
        <v>8.33</v>
      </c>
      <c r="I49" s="100">
        <v>5.22</v>
      </c>
      <c r="J49" s="100">
        <v>0.62</v>
      </c>
      <c r="K49" s="100">
        <v>60.51</v>
      </c>
      <c r="L49" s="100">
        <v>10.85</v>
      </c>
      <c r="M49" s="100">
        <v>7.72</v>
      </c>
      <c r="N49" s="100">
        <v>66.2</v>
      </c>
      <c r="O49" s="100">
        <v>0</v>
      </c>
      <c r="P49" s="100">
        <v>0.21</v>
      </c>
      <c r="Q49" s="100">
        <v>9.34</v>
      </c>
      <c r="R49" s="6"/>
      <c r="S49" s="6"/>
      <c r="T49" s="156"/>
      <c r="U49" s="6"/>
    </row>
    <row r="50" spans="1:21">
      <c r="A50" s="201" t="s">
        <v>2969</v>
      </c>
      <c r="B50" s="100">
        <v>8.19</v>
      </c>
      <c r="C50" s="100">
        <v>6.66</v>
      </c>
      <c r="D50" s="100">
        <v>10.039999999999999</v>
      </c>
      <c r="E50" s="100">
        <v>6.51</v>
      </c>
      <c r="F50" s="100">
        <v>2</v>
      </c>
      <c r="G50" s="100">
        <v>24.35</v>
      </c>
      <c r="H50" s="100">
        <v>8.33</v>
      </c>
      <c r="I50" s="100">
        <v>5.23</v>
      </c>
      <c r="J50" s="100">
        <v>0.59</v>
      </c>
      <c r="K50" s="100">
        <v>54.27</v>
      </c>
      <c r="L50" s="100">
        <v>9.93</v>
      </c>
      <c r="M50" s="100">
        <v>5.43</v>
      </c>
      <c r="N50" s="100">
        <v>65.5</v>
      </c>
      <c r="O50" s="100">
        <v>0</v>
      </c>
      <c r="P50" s="100">
        <v>0.22</v>
      </c>
      <c r="Q50" s="100">
        <v>9.32</v>
      </c>
      <c r="R50" s="6"/>
      <c r="S50" s="6"/>
      <c r="T50" s="156"/>
      <c r="U50" s="6"/>
    </row>
    <row r="51" spans="1:21">
      <c r="A51" s="201" t="s">
        <v>2970</v>
      </c>
      <c r="B51" s="100">
        <v>8.0399999999999991</v>
      </c>
      <c r="C51" s="100">
        <v>6.62</v>
      </c>
      <c r="D51" s="100">
        <v>9.9</v>
      </c>
      <c r="E51" s="100">
        <v>6.76</v>
      </c>
      <c r="F51" s="100">
        <v>2</v>
      </c>
      <c r="G51" s="100">
        <v>24.43</v>
      </c>
      <c r="H51" s="100">
        <v>8.84</v>
      </c>
      <c r="I51" s="100">
        <v>5.25</v>
      </c>
      <c r="J51" s="100">
        <v>0.38</v>
      </c>
      <c r="K51" s="100">
        <v>106.95</v>
      </c>
      <c r="L51" s="100">
        <v>12.74</v>
      </c>
      <c r="M51" s="100">
        <v>12.95</v>
      </c>
      <c r="N51" s="100">
        <v>50</v>
      </c>
      <c r="O51" s="100">
        <v>0</v>
      </c>
      <c r="P51" s="100">
        <v>0.21</v>
      </c>
      <c r="Q51" s="100">
        <v>9.35</v>
      </c>
      <c r="R51" s="6"/>
      <c r="S51" s="6"/>
      <c r="T51" s="156"/>
      <c r="U51" s="6"/>
    </row>
    <row r="52" spans="1:21">
      <c r="A52" s="201" t="s">
        <v>2971</v>
      </c>
      <c r="B52" s="100">
        <v>7.95</v>
      </c>
      <c r="C52" s="100">
        <v>6.53</v>
      </c>
      <c r="D52" s="100">
        <v>9.7799999999999994</v>
      </c>
      <c r="E52" s="100">
        <v>6.48</v>
      </c>
      <c r="F52" s="100">
        <v>2</v>
      </c>
      <c r="G52" s="100">
        <v>24.47</v>
      </c>
      <c r="H52" s="100">
        <v>8.85</v>
      </c>
      <c r="I52" s="100">
        <v>5.2</v>
      </c>
      <c r="J52" s="100">
        <v>0.35</v>
      </c>
      <c r="K52" s="100">
        <v>113.48</v>
      </c>
      <c r="L52" s="100">
        <v>13.41</v>
      </c>
      <c r="M52" s="100">
        <v>13.22</v>
      </c>
      <c r="N52" s="100">
        <v>109.2</v>
      </c>
      <c r="O52" s="100">
        <v>0</v>
      </c>
      <c r="P52" s="100">
        <v>0.21</v>
      </c>
      <c r="Q52" s="100">
        <v>9.32</v>
      </c>
      <c r="R52" s="6"/>
      <c r="S52" s="6"/>
      <c r="T52" s="156"/>
      <c r="U52" s="6"/>
    </row>
    <row r="53" spans="1:21">
      <c r="A53" s="201" t="s">
        <v>2972</v>
      </c>
      <c r="B53" s="100">
        <v>7.79</v>
      </c>
      <c r="C53" s="100">
        <v>6.66</v>
      </c>
      <c r="D53" s="100">
        <v>9.7200000000000006</v>
      </c>
      <c r="E53" s="100">
        <v>6.66</v>
      </c>
      <c r="F53" s="100">
        <v>2</v>
      </c>
      <c r="G53" s="100">
        <v>24.47</v>
      </c>
      <c r="H53" s="100">
        <v>8.85</v>
      </c>
      <c r="I53" s="100">
        <v>5.17</v>
      </c>
      <c r="J53" s="100">
        <v>0.72</v>
      </c>
      <c r="K53" s="100">
        <v>53.41</v>
      </c>
      <c r="L53" s="100">
        <v>9.41</v>
      </c>
      <c r="M53" s="100">
        <v>2.58</v>
      </c>
      <c r="N53" s="100">
        <v>130.69999999999999</v>
      </c>
      <c r="O53" s="100">
        <v>0</v>
      </c>
      <c r="P53" s="100">
        <v>0.21</v>
      </c>
      <c r="Q53" s="100">
        <v>9.32</v>
      </c>
      <c r="R53" s="6"/>
      <c r="S53" s="6"/>
      <c r="T53" s="156"/>
      <c r="U53" s="6"/>
    </row>
    <row r="54" spans="1:21">
      <c r="A54" s="201" t="s">
        <v>2973</v>
      </c>
      <c r="B54" s="100">
        <v>7.57</v>
      </c>
      <c r="C54" s="100">
        <v>6.67</v>
      </c>
      <c r="D54" s="100">
        <v>9.56</v>
      </c>
      <c r="E54" s="100">
        <v>6.45</v>
      </c>
      <c r="F54" s="100">
        <v>2</v>
      </c>
      <c r="G54" s="100">
        <v>24.47</v>
      </c>
      <c r="H54" s="100">
        <v>8.85</v>
      </c>
      <c r="I54" s="100">
        <v>5.13</v>
      </c>
      <c r="J54" s="100">
        <v>0.86</v>
      </c>
      <c r="K54" s="100">
        <v>49.07</v>
      </c>
      <c r="L54" s="100">
        <v>11.15</v>
      </c>
      <c r="M54" s="100">
        <v>3.47</v>
      </c>
      <c r="N54" s="100">
        <v>279.10000000000002</v>
      </c>
      <c r="O54" s="100">
        <v>0</v>
      </c>
      <c r="P54" s="100">
        <v>0.21</v>
      </c>
      <c r="Q54" s="100">
        <v>9.32</v>
      </c>
      <c r="R54" s="6"/>
      <c r="S54" s="6"/>
      <c r="T54" s="156"/>
      <c r="U54" s="6"/>
    </row>
    <row r="55" spans="1:21">
      <c r="A55" s="201" t="s">
        <v>2974</v>
      </c>
      <c r="B55" s="100">
        <v>7.17</v>
      </c>
      <c r="C55" s="100">
        <v>6.81</v>
      </c>
      <c r="D55" s="100">
        <v>9.31</v>
      </c>
      <c r="E55" s="100">
        <v>6.27</v>
      </c>
      <c r="F55" s="100">
        <v>2</v>
      </c>
      <c r="G55" s="100">
        <v>24.33</v>
      </c>
      <c r="H55" s="100">
        <v>8.6999999999999993</v>
      </c>
      <c r="I55" s="100">
        <v>5.0599999999999996</v>
      </c>
      <c r="J55" s="100">
        <v>0.49</v>
      </c>
      <c r="K55" s="100">
        <v>80.760000000000005</v>
      </c>
      <c r="L55" s="100">
        <v>11.99</v>
      </c>
      <c r="M55" s="100">
        <v>7.85</v>
      </c>
      <c r="N55" s="100">
        <v>184.4</v>
      </c>
      <c r="O55" s="100">
        <v>0</v>
      </c>
      <c r="P55" s="100">
        <v>0.19</v>
      </c>
      <c r="Q55" s="100">
        <v>9.3699999999999992</v>
      </c>
      <c r="R55" s="6"/>
      <c r="S55" s="6"/>
      <c r="T55" s="156"/>
      <c r="U55" s="6"/>
    </row>
    <row r="56" spans="1:21">
      <c r="A56" s="201" t="s">
        <v>2975</v>
      </c>
      <c r="B56" s="100">
        <v>7.03</v>
      </c>
      <c r="C56" s="100">
        <v>6.81</v>
      </c>
      <c r="D56" s="100">
        <v>9.1999999999999993</v>
      </c>
      <c r="E56" s="100">
        <v>6.45</v>
      </c>
      <c r="F56" s="100">
        <v>2</v>
      </c>
      <c r="G56" s="100">
        <v>24.28</v>
      </c>
      <c r="H56" s="100">
        <v>8.69</v>
      </c>
      <c r="I56" s="100">
        <v>4.93</v>
      </c>
      <c r="J56" s="100">
        <v>0.8</v>
      </c>
      <c r="K56" s="100">
        <v>50.22</v>
      </c>
      <c r="L56" s="100">
        <v>9.81</v>
      </c>
      <c r="M56" s="100">
        <v>2.94</v>
      </c>
      <c r="N56" s="100">
        <v>157</v>
      </c>
      <c r="O56" s="100">
        <v>0</v>
      </c>
      <c r="P56" s="100">
        <v>0.19</v>
      </c>
      <c r="Q56" s="100">
        <v>9.33</v>
      </c>
      <c r="R56" s="6"/>
      <c r="S56" s="6"/>
      <c r="T56" s="156"/>
      <c r="U56" s="6"/>
    </row>
    <row r="57" spans="1:21">
      <c r="A57" s="201" t="s">
        <v>2976</v>
      </c>
      <c r="B57" s="100">
        <v>6.66</v>
      </c>
      <c r="C57" s="100">
        <v>6.76</v>
      </c>
      <c r="D57" s="100">
        <v>8.8699999999999992</v>
      </c>
      <c r="E57" s="100">
        <v>6.52</v>
      </c>
      <c r="F57" s="100">
        <v>2</v>
      </c>
      <c r="G57" s="100">
        <v>24.28</v>
      </c>
      <c r="H57" s="100">
        <v>8.69</v>
      </c>
      <c r="I57" s="100">
        <v>4.91</v>
      </c>
      <c r="J57" s="100">
        <v>0.56999999999999995</v>
      </c>
      <c r="K57" s="100">
        <v>72.34</v>
      </c>
      <c r="L57" s="100">
        <v>13.76</v>
      </c>
      <c r="M57" s="100">
        <v>7.88</v>
      </c>
      <c r="N57" s="100">
        <v>371.7</v>
      </c>
      <c r="O57" s="100">
        <v>0</v>
      </c>
      <c r="P57" s="100">
        <v>0.17</v>
      </c>
      <c r="Q57" s="100">
        <v>9.32</v>
      </c>
      <c r="R57" s="6"/>
      <c r="S57" s="6"/>
      <c r="T57" s="156"/>
      <c r="U57" s="6"/>
    </row>
    <row r="58" spans="1:21">
      <c r="A58" s="201" t="s">
        <v>2977</v>
      </c>
      <c r="B58" s="100">
        <v>6.33</v>
      </c>
      <c r="C58" s="100">
        <v>6.77</v>
      </c>
      <c r="D58" s="100">
        <v>8.61</v>
      </c>
      <c r="E58" s="100">
        <v>6.59</v>
      </c>
      <c r="F58" s="100">
        <v>2</v>
      </c>
      <c r="G58" s="100">
        <v>24.28</v>
      </c>
      <c r="H58" s="100">
        <v>8.69</v>
      </c>
      <c r="I58" s="100">
        <v>4.92</v>
      </c>
      <c r="J58" s="100">
        <v>0.66</v>
      </c>
      <c r="K58" s="100">
        <v>61.55</v>
      </c>
      <c r="L58" s="100">
        <v>14.28</v>
      </c>
      <c r="M58" s="100">
        <v>8.89</v>
      </c>
      <c r="N58" s="100">
        <v>415.4</v>
      </c>
      <c r="O58" s="100">
        <v>0</v>
      </c>
      <c r="P58" s="100">
        <v>0.16</v>
      </c>
      <c r="Q58" s="100">
        <v>9.32</v>
      </c>
      <c r="R58" s="6"/>
      <c r="S58" s="6"/>
      <c r="T58" s="156"/>
      <c r="U58" s="6"/>
    </row>
    <row r="59" spans="1:21">
      <c r="A59" s="201" t="s">
        <v>2978</v>
      </c>
      <c r="B59" s="100">
        <v>5.96</v>
      </c>
      <c r="C59" s="100">
        <v>6.71</v>
      </c>
      <c r="D59" s="100">
        <v>8.2899999999999991</v>
      </c>
      <c r="E59" s="100">
        <v>6.59</v>
      </c>
      <c r="F59" s="100">
        <v>2</v>
      </c>
      <c r="G59" s="100">
        <v>25.76</v>
      </c>
      <c r="H59" s="100">
        <v>9.4499999999999993</v>
      </c>
      <c r="I59" s="100">
        <v>4.8099999999999996</v>
      </c>
      <c r="J59" s="100">
        <v>0.7</v>
      </c>
      <c r="K59" s="100">
        <v>62.38</v>
      </c>
      <c r="L59" s="100">
        <v>10.91</v>
      </c>
      <c r="M59" s="100">
        <v>5.85</v>
      </c>
      <c r="N59" s="100">
        <v>150.9</v>
      </c>
      <c r="O59" s="100">
        <v>0</v>
      </c>
      <c r="P59" s="100">
        <v>0.15</v>
      </c>
      <c r="Q59" s="100">
        <v>9.32</v>
      </c>
      <c r="R59" s="6"/>
      <c r="S59" s="6"/>
      <c r="T59" s="156"/>
      <c r="U59" s="6"/>
    </row>
    <row r="60" spans="1:21">
      <c r="A60" s="201" t="s">
        <v>2979</v>
      </c>
      <c r="B60" s="100">
        <v>5.64</v>
      </c>
      <c r="C60" s="100">
        <v>6.71</v>
      </c>
      <c r="D60" s="100">
        <v>8.0299999999999994</v>
      </c>
      <c r="E60" s="100">
        <v>6.67</v>
      </c>
      <c r="F60" s="100">
        <v>2</v>
      </c>
      <c r="G60" s="100">
        <v>26.29</v>
      </c>
      <c r="H60" s="100">
        <v>9.4600000000000009</v>
      </c>
      <c r="I60" s="100">
        <v>4.68</v>
      </c>
      <c r="J60" s="100">
        <v>0.49</v>
      </c>
      <c r="K60" s="100">
        <v>133.19</v>
      </c>
      <c r="L60" s="100">
        <v>15.37</v>
      </c>
      <c r="M60" s="100">
        <v>18.03</v>
      </c>
      <c r="N60" s="100">
        <v>115.3</v>
      </c>
      <c r="O60" s="100">
        <v>0</v>
      </c>
      <c r="P60" s="100">
        <v>0.13</v>
      </c>
      <c r="Q60" s="100">
        <v>9.32</v>
      </c>
      <c r="R60" s="6"/>
      <c r="S60" s="6"/>
      <c r="T60" s="156"/>
      <c r="U60" s="6"/>
    </row>
    <row r="61" spans="1:21">
      <c r="A61" s="201" t="s">
        <v>2980</v>
      </c>
      <c r="B61" s="100">
        <v>5.3</v>
      </c>
      <c r="C61" s="100">
        <v>6.56</v>
      </c>
      <c r="D61" s="100">
        <v>7.67</v>
      </c>
      <c r="E61" s="100">
        <v>6.54</v>
      </c>
      <c r="F61" s="100">
        <v>2</v>
      </c>
      <c r="G61" s="100">
        <v>26.29</v>
      </c>
      <c r="H61" s="100">
        <v>9.4600000000000009</v>
      </c>
      <c r="I61" s="100">
        <v>4.58</v>
      </c>
      <c r="J61" s="100">
        <v>0.48</v>
      </c>
      <c r="K61" s="100">
        <v>67.37</v>
      </c>
      <c r="L61" s="100">
        <v>11.51</v>
      </c>
      <c r="M61" s="100">
        <v>8.1999999999999993</v>
      </c>
      <c r="N61" s="100">
        <v>115.1</v>
      </c>
      <c r="O61" s="100">
        <v>0</v>
      </c>
      <c r="P61" s="100">
        <v>0.14000000000000001</v>
      </c>
      <c r="Q61" s="100">
        <v>9.32</v>
      </c>
      <c r="R61" s="6"/>
      <c r="S61" s="6"/>
      <c r="T61" s="156"/>
      <c r="U61" s="6"/>
    </row>
    <row r="62" spans="1:21">
      <c r="A62" s="201" t="s">
        <v>2981</v>
      </c>
      <c r="B62" s="100">
        <v>5</v>
      </c>
      <c r="C62" s="100">
        <v>6.55</v>
      </c>
      <c r="D62" s="100">
        <v>7.43</v>
      </c>
      <c r="E62" s="100">
        <v>6.47</v>
      </c>
      <c r="F62" s="100">
        <v>2</v>
      </c>
      <c r="G62" s="100">
        <v>26.29</v>
      </c>
      <c r="H62" s="100">
        <v>9.4600000000000009</v>
      </c>
      <c r="I62" s="100">
        <v>4.5</v>
      </c>
      <c r="J62" s="100">
        <v>0.62</v>
      </c>
      <c r="K62" s="100">
        <v>56.13</v>
      </c>
      <c r="L62" s="100">
        <v>10.69</v>
      </c>
      <c r="M62" s="100">
        <v>7.06</v>
      </c>
      <c r="N62" s="100">
        <v>78.099999999999994</v>
      </c>
      <c r="O62" s="100">
        <v>0</v>
      </c>
      <c r="P62" s="100">
        <v>0.13</v>
      </c>
      <c r="Q62" s="100">
        <v>9.3699999999999992</v>
      </c>
      <c r="R62" s="6"/>
      <c r="S62" s="6"/>
      <c r="T62" s="156"/>
      <c r="U62" s="6"/>
    </row>
    <row r="63" spans="1:21">
      <c r="A63" s="201" t="s">
        <v>2982</v>
      </c>
      <c r="B63" s="100">
        <v>4.79</v>
      </c>
      <c r="C63" s="100">
        <v>6.46</v>
      </c>
      <c r="D63" s="100">
        <v>7.22</v>
      </c>
      <c r="E63" s="100">
        <v>6.54</v>
      </c>
      <c r="F63" s="100">
        <v>2</v>
      </c>
      <c r="G63" s="100">
        <v>23.89</v>
      </c>
      <c r="H63" s="100">
        <v>6.89</v>
      </c>
      <c r="I63" s="100">
        <v>4.3899999999999997</v>
      </c>
      <c r="J63" s="100">
        <v>0.38</v>
      </c>
      <c r="K63" s="100">
        <v>87.2</v>
      </c>
      <c r="L63" s="100">
        <v>12.85</v>
      </c>
      <c r="M63" s="100">
        <v>9</v>
      </c>
      <c r="N63" s="100">
        <v>225.5</v>
      </c>
      <c r="O63" s="100">
        <v>0</v>
      </c>
      <c r="P63" s="100">
        <v>0.13</v>
      </c>
      <c r="Q63" s="100">
        <v>9.39</v>
      </c>
      <c r="R63" s="6"/>
      <c r="S63" s="6"/>
      <c r="T63" s="156"/>
      <c r="U63" s="6"/>
    </row>
    <row r="64" spans="1:21">
      <c r="A64" s="201" t="s">
        <v>2983</v>
      </c>
      <c r="B64" s="100">
        <v>4.6399999999999997</v>
      </c>
      <c r="C64" s="100">
        <v>6.29</v>
      </c>
      <c r="D64" s="100">
        <v>7.01</v>
      </c>
      <c r="E64" s="100">
        <v>6.43</v>
      </c>
      <c r="F64" s="100">
        <v>2</v>
      </c>
      <c r="G64" s="100">
        <v>23.01</v>
      </c>
      <c r="H64" s="100">
        <v>6.85</v>
      </c>
      <c r="I64" s="100">
        <v>4.33</v>
      </c>
      <c r="J64" s="100">
        <v>0.48</v>
      </c>
      <c r="K64" s="100">
        <v>90.25</v>
      </c>
      <c r="L64" s="100">
        <v>12.99</v>
      </c>
      <c r="M64" s="100">
        <v>9.4700000000000006</v>
      </c>
      <c r="N64" s="100">
        <v>220.7</v>
      </c>
      <c r="O64" s="100">
        <v>0</v>
      </c>
      <c r="P64" s="100">
        <v>0.13</v>
      </c>
      <c r="Q64" s="100">
        <v>9.36</v>
      </c>
      <c r="R64" s="6"/>
      <c r="S64" s="6"/>
      <c r="T64" s="156"/>
      <c r="U64" s="6"/>
    </row>
    <row r="65" spans="1:21">
      <c r="A65" s="201" t="s">
        <v>2984</v>
      </c>
      <c r="B65" s="100">
        <v>4.42</v>
      </c>
      <c r="C65" s="100">
        <v>6.24</v>
      </c>
      <c r="D65" s="100">
        <v>6.8</v>
      </c>
      <c r="E65" s="100">
        <v>6.88</v>
      </c>
      <c r="F65" s="100">
        <v>2</v>
      </c>
      <c r="G65" s="100">
        <v>23.01</v>
      </c>
      <c r="H65" s="100">
        <v>6.85</v>
      </c>
      <c r="I65" s="100">
        <v>4.2699999999999996</v>
      </c>
      <c r="J65" s="100">
        <v>0.45</v>
      </c>
      <c r="K65" s="100">
        <v>80.540000000000006</v>
      </c>
      <c r="L65" s="100">
        <v>12.21</v>
      </c>
      <c r="M65" s="100">
        <v>9.11</v>
      </c>
      <c r="N65" s="100">
        <v>150.80000000000001</v>
      </c>
      <c r="O65" s="100">
        <v>0</v>
      </c>
      <c r="P65" s="100">
        <v>0.21</v>
      </c>
      <c r="Q65" s="100">
        <v>9.32</v>
      </c>
      <c r="R65" s="6"/>
      <c r="S65" s="6"/>
      <c r="T65" s="156"/>
      <c r="U65" s="6"/>
    </row>
    <row r="66" spans="1:21">
      <c r="A66" s="201" t="s">
        <v>2985</v>
      </c>
      <c r="B66" s="100">
        <v>4.3</v>
      </c>
      <c r="C66" s="100">
        <v>6.15</v>
      </c>
      <c r="D66" s="100">
        <v>6.66</v>
      </c>
      <c r="E66" s="100">
        <v>6.72</v>
      </c>
      <c r="F66" s="100">
        <v>2</v>
      </c>
      <c r="G66" s="100">
        <v>23.01</v>
      </c>
      <c r="H66" s="100">
        <v>6.85</v>
      </c>
      <c r="I66" s="100">
        <v>4.18</v>
      </c>
      <c r="J66" s="100">
        <v>0.46</v>
      </c>
      <c r="K66" s="100">
        <v>77.91</v>
      </c>
      <c r="L66" s="100">
        <v>10.9</v>
      </c>
      <c r="M66" s="100">
        <v>8.0500000000000007</v>
      </c>
      <c r="N66" s="100">
        <v>59.7</v>
      </c>
      <c r="O66" s="100">
        <v>0</v>
      </c>
      <c r="P66" s="100">
        <v>0.23</v>
      </c>
      <c r="Q66" s="100">
        <v>9.33</v>
      </c>
      <c r="R66" s="6"/>
      <c r="S66" s="6"/>
      <c r="T66" s="156"/>
      <c r="U66" s="6"/>
    </row>
    <row r="67" spans="1:21">
      <c r="A67" s="201" t="s">
        <v>2986</v>
      </c>
      <c r="B67" s="100">
        <v>4.1399999999999997</v>
      </c>
      <c r="C67" s="100">
        <v>6.1</v>
      </c>
      <c r="D67" s="100">
        <v>6.51</v>
      </c>
      <c r="E67" s="100">
        <v>6.48</v>
      </c>
      <c r="F67" s="100">
        <v>2</v>
      </c>
      <c r="G67" s="100">
        <v>20.329999999999998</v>
      </c>
      <c r="H67" s="100">
        <v>7.45</v>
      </c>
      <c r="I67" s="100">
        <v>4.1500000000000004</v>
      </c>
      <c r="J67" s="100">
        <v>0.82</v>
      </c>
      <c r="K67" s="100">
        <v>55.98</v>
      </c>
      <c r="L67" s="100">
        <v>9.59</v>
      </c>
      <c r="M67" s="100">
        <v>4.25</v>
      </c>
      <c r="N67" s="100">
        <v>75</v>
      </c>
      <c r="O67" s="100">
        <v>0</v>
      </c>
      <c r="P67" s="100">
        <v>0.22</v>
      </c>
      <c r="Q67" s="100">
        <v>9.36</v>
      </c>
      <c r="R67" s="6"/>
      <c r="S67" s="6"/>
      <c r="T67" s="156"/>
      <c r="U67" s="6"/>
    </row>
    <row r="68" spans="1:21">
      <c r="A68" s="201" t="s">
        <v>2987</v>
      </c>
      <c r="B68" s="100">
        <v>4.01</v>
      </c>
      <c r="C68" s="100">
        <v>6.08</v>
      </c>
      <c r="D68" s="100">
        <v>6.39</v>
      </c>
      <c r="E68" s="100">
        <v>6.95</v>
      </c>
      <c r="F68" s="100">
        <v>2</v>
      </c>
      <c r="G68" s="100">
        <v>19.36</v>
      </c>
      <c r="H68" s="100">
        <v>7.46</v>
      </c>
      <c r="I68" s="100">
        <v>4.0599999999999996</v>
      </c>
      <c r="J68" s="100">
        <v>0.56999999999999995</v>
      </c>
      <c r="K68" s="100">
        <v>60.75</v>
      </c>
      <c r="L68" s="100">
        <v>9.86</v>
      </c>
      <c r="M68" s="100">
        <v>5.0199999999999996</v>
      </c>
      <c r="N68" s="100">
        <v>70.400000000000006</v>
      </c>
      <c r="O68" s="100">
        <v>0</v>
      </c>
      <c r="P68" s="100">
        <v>0.21</v>
      </c>
      <c r="Q68" s="100">
        <v>9.49</v>
      </c>
      <c r="R68" s="6"/>
      <c r="S68" s="6"/>
      <c r="T68" s="156"/>
      <c r="U68" s="6"/>
    </row>
    <row r="69" spans="1:21">
      <c r="A69" s="201" t="s">
        <v>2988</v>
      </c>
      <c r="B69" s="100">
        <v>3.9</v>
      </c>
      <c r="C69" s="100">
        <v>6.13</v>
      </c>
      <c r="D69" s="100">
        <v>6.33</v>
      </c>
      <c r="E69" s="100">
        <v>6.94</v>
      </c>
      <c r="F69" s="100">
        <v>2</v>
      </c>
      <c r="G69" s="100">
        <v>19.36</v>
      </c>
      <c r="H69" s="100">
        <v>7.46</v>
      </c>
      <c r="I69" s="100">
        <v>3.98</v>
      </c>
      <c r="J69" s="100">
        <v>0.67</v>
      </c>
      <c r="K69" s="100">
        <v>51.39</v>
      </c>
      <c r="L69" s="100">
        <v>10.74</v>
      </c>
      <c r="M69" s="100">
        <v>7.88</v>
      </c>
      <c r="N69" s="100">
        <v>45</v>
      </c>
      <c r="O69" s="100">
        <v>0</v>
      </c>
      <c r="P69" s="100">
        <v>0.23</v>
      </c>
      <c r="Q69" s="100">
        <v>9.3800000000000008</v>
      </c>
      <c r="R69" s="6"/>
      <c r="S69" s="6"/>
      <c r="T69" s="156"/>
      <c r="U69" s="6"/>
    </row>
    <row r="70" spans="1:21">
      <c r="A70" s="201" t="s">
        <v>2989</v>
      </c>
      <c r="B70" s="100">
        <v>3.73</v>
      </c>
      <c r="C70" s="100">
        <v>6</v>
      </c>
      <c r="D70" s="100">
        <v>6.13</v>
      </c>
      <c r="E70" s="100">
        <v>6.68</v>
      </c>
      <c r="F70" s="100">
        <v>2</v>
      </c>
      <c r="G70" s="100">
        <v>19.36</v>
      </c>
      <c r="H70" s="100">
        <v>7.46</v>
      </c>
      <c r="I70" s="100">
        <v>3.99</v>
      </c>
      <c r="J70" s="100">
        <v>0.9</v>
      </c>
      <c r="K70" s="100">
        <v>47.81</v>
      </c>
      <c r="L70" s="100">
        <v>8.52</v>
      </c>
      <c r="M70" s="100">
        <v>2.16</v>
      </c>
      <c r="N70" s="100">
        <v>50</v>
      </c>
      <c r="O70" s="100">
        <v>0</v>
      </c>
      <c r="P70" s="100">
        <v>0.21</v>
      </c>
      <c r="Q70" s="100">
        <v>9.33</v>
      </c>
      <c r="R70" s="6"/>
      <c r="S70" s="6"/>
      <c r="T70" s="156"/>
      <c r="U70" s="6"/>
    </row>
    <row r="71" spans="1:21">
      <c r="A71" s="201" t="s">
        <v>2990</v>
      </c>
      <c r="B71" s="100">
        <v>3.68</v>
      </c>
      <c r="C71" s="100">
        <v>6.09</v>
      </c>
      <c r="D71" s="100">
        <v>6.13</v>
      </c>
      <c r="E71" s="100">
        <v>6.7</v>
      </c>
      <c r="F71" s="100">
        <v>2</v>
      </c>
      <c r="G71" s="100">
        <v>20.9</v>
      </c>
      <c r="H71" s="100">
        <v>6.41</v>
      </c>
      <c r="I71" s="100">
        <v>3.93</v>
      </c>
      <c r="J71" s="100">
        <v>0.64</v>
      </c>
      <c r="K71" s="100">
        <v>59.59</v>
      </c>
      <c r="L71" s="100">
        <v>10.14</v>
      </c>
      <c r="M71" s="100">
        <v>6.55</v>
      </c>
      <c r="N71" s="100">
        <v>40.5</v>
      </c>
      <c r="O71" s="100">
        <v>0</v>
      </c>
      <c r="P71" s="100">
        <v>0.22</v>
      </c>
      <c r="Q71" s="100">
        <v>9.33</v>
      </c>
      <c r="R71" s="6"/>
      <c r="S71" s="6"/>
      <c r="T71" s="156"/>
      <c r="U71" s="6"/>
    </row>
    <row r="72" spans="1:21">
      <c r="A72" s="201" t="s">
        <v>2991</v>
      </c>
      <c r="B72" s="100">
        <v>3.56</v>
      </c>
      <c r="C72" s="100">
        <v>6.23</v>
      </c>
      <c r="D72" s="100">
        <v>6.12</v>
      </c>
      <c r="E72" s="100">
        <v>6.35</v>
      </c>
      <c r="F72" s="100">
        <v>2</v>
      </c>
      <c r="G72" s="100">
        <v>21.46</v>
      </c>
      <c r="H72" s="100">
        <v>6.38</v>
      </c>
      <c r="I72" s="100">
        <v>3.86</v>
      </c>
      <c r="J72" s="100">
        <v>0.34</v>
      </c>
      <c r="K72" s="100">
        <v>87.25</v>
      </c>
      <c r="L72" s="100">
        <v>11.4</v>
      </c>
      <c r="M72" s="100">
        <v>9.6300000000000008</v>
      </c>
      <c r="N72" s="100">
        <v>42.2</v>
      </c>
      <c r="O72" s="100">
        <v>0</v>
      </c>
      <c r="P72" s="100">
        <v>0.22</v>
      </c>
      <c r="Q72" s="100">
        <v>9.32</v>
      </c>
      <c r="R72" s="6"/>
      <c r="S72" s="6"/>
      <c r="T72" s="156"/>
      <c r="U72" s="6"/>
    </row>
    <row r="73" spans="1:21">
      <c r="A73" s="201" t="s">
        <v>2992</v>
      </c>
      <c r="B73" s="100">
        <v>3.35</v>
      </c>
      <c r="C73" s="100">
        <v>6.21</v>
      </c>
      <c r="D73" s="100">
        <v>5.93</v>
      </c>
      <c r="E73" s="100">
        <v>6.25</v>
      </c>
      <c r="F73" s="100">
        <v>2</v>
      </c>
      <c r="G73" s="100">
        <v>21.46</v>
      </c>
      <c r="H73" s="100">
        <v>6.38</v>
      </c>
      <c r="I73" s="100">
        <v>3.82</v>
      </c>
      <c r="J73" s="100">
        <v>0.51</v>
      </c>
      <c r="K73" s="100">
        <v>66.099999999999994</v>
      </c>
      <c r="L73" s="100">
        <v>10.5</v>
      </c>
      <c r="M73" s="100">
        <v>7.82</v>
      </c>
      <c r="N73" s="100">
        <v>23.1</v>
      </c>
      <c r="O73" s="100">
        <v>0</v>
      </c>
      <c r="P73" s="100">
        <v>0.22</v>
      </c>
      <c r="Q73" s="100">
        <v>9.32</v>
      </c>
      <c r="R73" s="6"/>
      <c r="S73" s="6"/>
      <c r="T73" s="156"/>
      <c r="U73" s="6"/>
    </row>
    <row r="74" spans="1:21">
      <c r="A74" s="201" t="s">
        <v>2993</v>
      </c>
      <c r="B74" s="100">
        <v>3.45</v>
      </c>
      <c r="C74" s="100">
        <v>6.21</v>
      </c>
      <c r="D74" s="100">
        <v>6.01</v>
      </c>
      <c r="E74" s="100">
        <v>6.23</v>
      </c>
      <c r="F74" s="100">
        <v>2</v>
      </c>
      <c r="G74" s="100">
        <v>21.46</v>
      </c>
      <c r="H74" s="100">
        <v>6.38</v>
      </c>
      <c r="I74" s="100">
        <v>3.74</v>
      </c>
      <c r="J74" s="100">
        <v>0.55000000000000004</v>
      </c>
      <c r="K74" s="100">
        <v>60.95</v>
      </c>
      <c r="L74" s="100">
        <v>10.14</v>
      </c>
      <c r="M74" s="100">
        <v>7</v>
      </c>
      <c r="N74" s="100">
        <v>16</v>
      </c>
      <c r="O74" s="100">
        <v>0</v>
      </c>
      <c r="P74" s="100">
        <v>0.22</v>
      </c>
      <c r="Q74" s="100">
        <v>9.32</v>
      </c>
      <c r="R74" s="6"/>
      <c r="S74" s="6"/>
      <c r="T74" s="156"/>
      <c r="U74" s="6"/>
    </row>
    <row r="75" spans="1:21">
      <c r="A75" s="201" t="s">
        <v>2994</v>
      </c>
      <c r="B75" s="100">
        <v>3.51</v>
      </c>
      <c r="C75" s="100">
        <v>6.24</v>
      </c>
      <c r="D75" s="100">
        <v>6.08</v>
      </c>
      <c r="E75" s="100">
        <v>6.34</v>
      </c>
      <c r="F75" s="100">
        <v>2</v>
      </c>
      <c r="G75" s="100">
        <v>21.43</v>
      </c>
      <c r="H75" s="100">
        <v>4.68</v>
      </c>
      <c r="I75" s="100">
        <v>3.72</v>
      </c>
      <c r="J75" s="100">
        <v>0.53</v>
      </c>
      <c r="K75" s="100">
        <v>51.46</v>
      </c>
      <c r="L75" s="100">
        <v>9.3800000000000008</v>
      </c>
      <c r="M75" s="100">
        <v>5.75</v>
      </c>
      <c r="N75" s="100">
        <v>13.1</v>
      </c>
      <c r="O75" s="100">
        <v>0</v>
      </c>
      <c r="P75" s="100">
        <v>0.23</v>
      </c>
      <c r="Q75" s="100">
        <v>9.32</v>
      </c>
      <c r="R75" s="6"/>
      <c r="S75" s="6"/>
      <c r="T75" s="156"/>
      <c r="U75" s="6"/>
    </row>
    <row r="76" spans="1:21">
      <c r="A76" s="201" t="s">
        <v>2995</v>
      </c>
      <c r="B76" s="100">
        <v>3.59</v>
      </c>
      <c r="C76" s="100">
        <v>6.23</v>
      </c>
      <c r="D76" s="100">
        <v>6.13</v>
      </c>
      <c r="E76" s="100">
        <v>6.13</v>
      </c>
      <c r="F76" s="100">
        <v>2</v>
      </c>
      <c r="G76" s="100">
        <v>21.42</v>
      </c>
      <c r="H76" s="100">
        <v>4.66</v>
      </c>
      <c r="I76" s="100">
        <v>3.71</v>
      </c>
      <c r="J76" s="100">
        <v>0.62</v>
      </c>
      <c r="K76" s="100">
        <v>51.21</v>
      </c>
      <c r="L76" s="100">
        <v>9.0399999999999991</v>
      </c>
      <c r="M76" s="100">
        <v>4.5199999999999996</v>
      </c>
      <c r="N76" s="100">
        <v>10.4</v>
      </c>
      <c r="O76" s="100">
        <v>0</v>
      </c>
      <c r="P76" s="100">
        <v>0.21</v>
      </c>
      <c r="Q76" s="100">
        <v>9.34</v>
      </c>
      <c r="R76" s="6"/>
      <c r="S76" s="6"/>
      <c r="T76" s="156"/>
      <c r="U76" s="6"/>
    </row>
    <row r="77" spans="1:21">
      <c r="A77" s="201" t="s">
        <v>2996</v>
      </c>
      <c r="B77" s="100">
        <v>3.69</v>
      </c>
      <c r="C77" s="100">
        <v>6.33</v>
      </c>
      <c r="D77" s="100">
        <v>6.26</v>
      </c>
      <c r="E77" s="100">
        <v>6.38</v>
      </c>
      <c r="F77" s="100">
        <v>2</v>
      </c>
      <c r="G77" s="100">
        <v>21.42</v>
      </c>
      <c r="H77" s="100">
        <v>4.66</v>
      </c>
      <c r="I77" s="100">
        <v>3.66</v>
      </c>
      <c r="J77" s="100">
        <v>0.47</v>
      </c>
      <c r="K77" s="100">
        <v>51.71</v>
      </c>
      <c r="L77" s="100">
        <v>9.94</v>
      </c>
      <c r="M77" s="100">
        <v>6.83</v>
      </c>
      <c r="N77" s="100">
        <v>5.4</v>
      </c>
      <c r="O77" s="100">
        <v>0</v>
      </c>
      <c r="P77" s="100">
        <v>0.24</v>
      </c>
      <c r="Q77" s="100">
        <v>9.32</v>
      </c>
      <c r="R77" s="6"/>
      <c r="S77" s="6"/>
      <c r="T77" s="156"/>
      <c r="U77" s="6"/>
    </row>
    <row r="78" spans="1:21">
      <c r="A78" s="201" t="s">
        <v>2997</v>
      </c>
      <c r="B78" s="100">
        <v>3.77</v>
      </c>
      <c r="C78" s="100">
        <v>6.21</v>
      </c>
      <c r="D78" s="100">
        <v>6.27</v>
      </c>
      <c r="E78" s="100">
        <v>6.02</v>
      </c>
      <c r="F78" s="100">
        <v>2</v>
      </c>
      <c r="G78" s="100">
        <v>21.42</v>
      </c>
      <c r="H78" s="100">
        <v>4.66</v>
      </c>
      <c r="I78" s="100">
        <v>3.65</v>
      </c>
      <c r="J78" s="100">
        <v>0.52</v>
      </c>
      <c r="K78" s="100">
        <v>57.72</v>
      </c>
      <c r="L78" s="100">
        <v>9.3800000000000008</v>
      </c>
      <c r="M78" s="100">
        <v>5.53</v>
      </c>
      <c r="N78" s="100">
        <v>3.6</v>
      </c>
      <c r="O78" s="100">
        <v>0</v>
      </c>
      <c r="P78" s="100">
        <v>0.24</v>
      </c>
      <c r="Q78" s="100">
        <v>9.32</v>
      </c>
      <c r="R78" s="6"/>
      <c r="S78" s="6"/>
      <c r="T78" s="156"/>
      <c r="U78" s="6"/>
    </row>
    <row r="79" spans="1:21">
      <c r="A79" s="201" t="s">
        <v>2998</v>
      </c>
      <c r="B79" s="100">
        <v>3.9</v>
      </c>
      <c r="C79" s="100">
        <v>6.01</v>
      </c>
      <c r="D79" s="100">
        <v>6.27</v>
      </c>
      <c r="E79" s="100">
        <v>6.34</v>
      </c>
      <c r="F79" s="100">
        <v>2</v>
      </c>
      <c r="G79" s="100">
        <v>20.81</v>
      </c>
      <c r="H79" s="100">
        <v>4.88</v>
      </c>
      <c r="I79" s="100">
        <v>3.65</v>
      </c>
      <c r="J79" s="100">
        <v>0.57999999999999996</v>
      </c>
      <c r="K79" s="100">
        <v>62.27</v>
      </c>
      <c r="L79" s="100">
        <v>10.06</v>
      </c>
      <c r="M79" s="100">
        <v>7.14</v>
      </c>
      <c r="N79" s="100">
        <v>2.9</v>
      </c>
      <c r="O79" s="100">
        <v>0</v>
      </c>
      <c r="P79" s="100">
        <v>0.24</v>
      </c>
      <c r="Q79" s="100">
        <v>9.32</v>
      </c>
      <c r="R79" s="6"/>
      <c r="S79" s="6"/>
      <c r="T79" s="156"/>
      <c r="U79" s="6"/>
    </row>
    <row r="80" spans="1:21">
      <c r="A80" s="201" t="s">
        <v>2999</v>
      </c>
      <c r="B80" s="100">
        <v>3.95</v>
      </c>
      <c r="C80" s="100">
        <v>6.02</v>
      </c>
      <c r="D80" s="100">
        <v>6.31</v>
      </c>
      <c r="E80" s="100">
        <v>6.17</v>
      </c>
      <c r="F80" s="100">
        <v>2</v>
      </c>
      <c r="G80" s="100">
        <v>20.59</v>
      </c>
      <c r="H80" s="100">
        <v>4.88</v>
      </c>
      <c r="I80" s="100">
        <v>3.68</v>
      </c>
      <c r="J80" s="100">
        <v>0.55000000000000004</v>
      </c>
      <c r="K80" s="100">
        <v>59.42</v>
      </c>
      <c r="L80" s="100">
        <v>9.1</v>
      </c>
      <c r="M80" s="100">
        <v>4.83</v>
      </c>
      <c r="N80" s="100">
        <v>2.7</v>
      </c>
      <c r="O80" s="100">
        <v>0</v>
      </c>
      <c r="P80" s="100">
        <v>0.24</v>
      </c>
      <c r="Q80" s="100">
        <v>9.32</v>
      </c>
      <c r="R80" s="6"/>
      <c r="S80" s="6"/>
      <c r="T80" s="156"/>
      <c r="U80" s="6"/>
    </row>
    <row r="81" spans="1:21">
      <c r="A81" s="201" t="s">
        <v>3000</v>
      </c>
      <c r="B81" s="100">
        <v>4.07</v>
      </c>
      <c r="C81" s="100">
        <v>6.25</v>
      </c>
      <c r="D81" s="100">
        <v>6.53</v>
      </c>
      <c r="E81" s="100">
        <v>4.42</v>
      </c>
      <c r="F81" s="100">
        <v>2</v>
      </c>
      <c r="G81" s="100">
        <v>20.59</v>
      </c>
      <c r="H81" s="100">
        <v>4.88</v>
      </c>
      <c r="I81" s="100">
        <v>3.75</v>
      </c>
      <c r="J81" s="100">
        <v>0.42</v>
      </c>
      <c r="K81" s="100">
        <v>61.51</v>
      </c>
      <c r="L81" s="100">
        <v>9.4</v>
      </c>
      <c r="M81" s="100">
        <v>5.57</v>
      </c>
      <c r="N81" s="100">
        <v>2.7</v>
      </c>
      <c r="O81" s="100">
        <v>0</v>
      </c>
      <c r="P81" s="100">
        <v>0.25</v>
      </c>
      <c r="Q81" s="100">
        <v>9.32</v>
      </c>
      <c r="R81" s="6"/>
      <c r="S81" s="6"/>
      <c r="T81" s="156"/>
      <c r="U81" s="6"/>
    </row>
    <row r="82" spans="1:21">
      <c r="A82" s="201" t="s">
        <v>3001</v>
      </c>
      <c r="B82" s="100">
        <v>4.16</v>
      </c>
      <c r="C82" s="100">
        <v>6.17</v>
      </c>
      <c r="D82" s="100">
        <v>6.56</v>
      </c>
      <c r="E82" s="100">
        <v>5.72</v>
      </c>
      <c r="F82" s="100">
        <v>2</v>
      </c>
      <c r="G82" s="100">
        <v>20.59</v>
      </c>
      <c r="H82" s="100">
        <v>4.88</v>
      </c>
      <c r="I82" s="100">
        <v>3.79</v>
      </c>
      <c r="J82" s="100">
        <v>0.42</v>
      </c>
      <c r="K82" s="100">
        <v>69.7</v>
      </c>
      <c r="L82" s="100">
        <v>10.16</v>
      </c>
      <c r="M82" s="100">
        <v>7.5</v>
      </c>
      <c r="N82" s="100">
        <v>2.6</v>
      </c>
      <c r="O82" s="100">
        <v>0</v>
      </c>
      <c r="P82" s="100">
        <v>0.25</v>
      </c>
      <c r="Q82" s="100">
        <v>9.32</v>
      </c>
      <c r="R82" s="6"/>
      <c r="S82" s="6"/>
      <c r="T82" s="156"/>
      <c r="U82" s="6"/>
    </row>
    <row r="83" spans="1:21">
      <c r="A83" s="201" t="s">
        <v>3002</v>
      </c>
      <c r="B83" s="100">
        <v>4.18</v>
      </c>
      <c r="C83" s="100">
        <v>6.11</v>
      </c>
      <c r="D83" s="100">
        <v>6.54</v>
      </c>
      <c r="E83" s="100">
        <v>5.77</v>
      </c>
      <c r="F83" s="100">
        <v>2</v>
      </c>
      <c r="G83" s="100">
        <v>19.64</v>
      </c>
      <c r="H83" s="100">
        <v>4.8600000000000003</v>
      </c>
      <c r="I83" s="100">
        <v>3.85</v>
      </c>
      <c r="J83" s="100">
        <v>0.47</v>
      </c>
      <c r="K83" s="100">
        <v>62.32</v>
      </c>
      <c r="L83" s="100">
        <v>9.91</v>
      </c>
      <c r="M83" s="100">
        <v>6.88</v>
      </c>
      <c r="N83" s="100">
        <v>2.5</v>
      </c>
      <c r="O83" s="100">
        <v>0</v>
      </c>
      <c r="P83" s="100">
        <v>0.25</v>
      </c>
      <c r="Q83" s="100">
        <v>9.32</v>
      </c>
      <c r="R83" s="6"/>
      <c r="S83" s="6"/>
      <c r="T83" s="156"/>
      <c r="U83" s="6"/>
    </row>
    <row r="84" spans="1:21">
      <c r="A84" s="201" t="s">
        <v>3003</v>
      </c>
      <c r="B84" s="100">
        <v>4.1900000000000004</v>
      </c>
      <c r="C84" s="100">
        <v>6.15</v>
      </c>
      <c r="D84" s="100">
        <v>6.58</v>
      </c>
      <c r="E84" s="100">
        <v>5.74</v>
      </c>
      <c r="F84" s="100">
        <v>2</v>
      </c>
      <c r="G84" s="100">
        <v>19.29</v>
      </c>
      <c r="H84" s="100">
        <v>4.8600000000000003</v>
      </c>
      <c r="I84" s="100">
        <v>3.89</v>
      </c>
      <c r="J84" s="100">
        <v>0.53</v>
      </c>
      <c r="K84" s="100">
        <v>59.68</v>
      </c>
      <c r="L84" s="100">
        <v>9.14</v>
      </c>
      <c r="M84" s="100">
        <v>4.93</v>
      </c>
      <c r="N84" s="100">
        <v>2.4</v>
      </c>
      <c r="O84" s="100">
        <v>0</v>
      </c>
      <c r="P84" s="100">
        <v>0.25</v>
      </c>
      <c r="Q84" s="100">
        <v>9.32</v>
      </c>
      <c r="R84" s="6"/>
      <c r="S84" s="6"/>
      <c r="T84" s="156"/>
      <c r="U84" s="6"/>
    </row>
    <row r="85" spans="1:21">
      <c r="A85" s="201" t="s">
        <v>3004</v>
      </c>
      <c r="B85" s="100">
        <v>4.3</v>
      </c>
      <c r="C85" s="100">
        <v>6.17</v>
      </c>
      <c r="D85" s="100">
        <v>6.67</v>
      </c>
      <c r="E85" s="100">
        <v>5.84</v>
      </c>
      <c r="F85" s="100">
        <v>2</v>
      </c>
      <c r="G85" s="100">
        <v>19.29</v>
      </c>
      <c r="H85" s="100">
        <v>4.8600000000000003</v>
      </c>
      <c r="I85" s="100">
        <v>3.9</v>
      </c>
      <c r="J85" s="100">
        <v>0.49</v>
      </c>
      <c r="K85" s="100">
        <v>47.85</v>
      </c>
      <c r="L85" s="100">
        <v>9.3699999999999992</v>
      </c>
      <c r="M85" s="100">
        <v>5.47</v>
      </c>
      <c r="N85" s="100">
        <v>2.4</v>
      </c>
      <c r="O85" s="100">
        <v>0</v>
      </c>
      <c r="P85" s="100">
        <v>0.25</v>
      </c>
      <c r="Q85" s="100">
        <v>9.32</v>
      </c>
      <c r="R85" s="6"/>
      <c r="S85" s="6"/>
      <c r="T85" s="156"/>
      <c r="U85" s="6"/>
    </row>
    <row r="86" spans="1:21">
      <c r="A86" s="201" t="s">
        <v>3005</v>
      </c>
      <c r="B86" s="100">
        <v>4.45</v>
      </c>
      <c r="C86" s="100">
        <v>6.29</v>
      </c>
      <c r="D86" s="100">
        <v>6.86</v>
      </c>
      <c r="E86" s="100">
        <v>6.11</v>
      </c>
      <c r="F86" s="100">
        <v>2</v>
      </c>
      <c r="G86" s="100">
        <v>19.29</v>
      </c>
      <c r="H86" s="100">
        <v>4.8600000000000003</v>
      </c>
      <c r="I86" s="100">
        <v>3.93</v>
      </c>
      <c r="J86" s="100">
        <v>0.57999999999999996</v>
      </c>
      <c r="K86" s="100">
        <v>45.93</v>
      </c>
      <c r="L86" s="100">
        <v>8.02</v>
      </c>
      <c r="M86" s="100">
        <v>2.0099999999999998</v>
      </c>
      <c r="N86" s="100">
        <v>2.4</v>
      </c>
      <c r="O86" s="100">
        <v>0</v>
      </c>
      <c r="P86" s="100">
        <v>0.27</v>
      </c>
      <c r="Q86" s="100">
        <v>9.32</v>
      </c>
      <c r="R86" s="6"/>
      <c r="S86" s="6"/>
      <c r="T86" s="156"/>
      <c r="U86" s="6"/>
    </row>
    <row r="87" spans="1:21">
      <c r="A87" s="201" t="s">
        <v>3006</v>
      </c>
      <c r="B87" s="100">
        <v>4.57</v>
      </c>
      <c r="C87" s="100">
        <v>6.39</v>
      </c>
      <c r="D87" s="100">
        <v>7</v>
      </c>
      <c r="E87" s="100">
        <v>5.9</v>
      </c>
      <c r="F87" s="100">
        <v>2</v>
      </c>
      <c r="G87" s="100">
        <v>20.57</v>
      </c>
      <c r="H87" s="100">
        <v>5.37</v>
      </c>
      <c r="I87" s="100">
        <v>3.98</v>
      </c>
      <c r="J87" s="100">
        <v>0.44</v>
      </c>
      <c r="K87" s="100">
        <v>53.68</v>
      </c>
      <c r="L87" s="100">
        <v>8.5399999999999991</v>
      </c>
      <c r="M87" s="100">
        <v>3.4</v>
      </c>
      <c r="N87" s="100">
        <v>2.4</v>
      </c>
      <c r="O87" s="100">
        <v>0</v>
      </c>
      <c r="P87" s="100">
        <v>0.27</v>
      </c>
      <c r="Q87" s="100">
        <v>9.36</v>
      </c>
      <c r="R87" s="6"/>
      <c r="S87" s="6"/>
      <c r="T87" s="156"/>
      <c r="U87" s="6"/>
    </row>
    <row r="88" spans="1:21">
      <c r="A88" s="201" t="s">
        <v>3007</v>
      </c>
      <c r="B88" s="100">
        <v>4.7</v>
      </c>
      <c r="C88" s="100">
        <v>6.4</v>
      </c>
      <c r="D88" s="100">
        <v>7.11</v>
      </c>
      <c r="E88" s="100">
        <v>6.13</v>
      </c>
      <c r="F88" s="100">
        <v>2</v>
      </c>
      <c r="G88" s="100">
        <v>21.07</v>
      </c>
      <c r="H88" s="100">
        <v>5.38</v>
      </c>
      <c r="I88" s="100">
        <v>4.0999999999999996</v>
      </c>
      <c r="J88" s="100">
        <v>0.34</v>
      </c>
      <c r="K88" s="100">
        <v>77.75</v>
      </c>
      <c r="L88" s="100">
        <v>10.58</v>
      </c>
      <c r="M88" s="100">
        <v>8.57</v>
      </c>
      <c r="N88" s="100">
        <v>2.4</v>
      </c>
      <c r="O88" s="100">
        <v>0</v>
      </c>
      <c r="P88" s="100">
        <v>0.28000000000000003</v>
      </c>
      <c r="Q88" s="100">
        <v>9.32</v>
      </c>
      <c r="R88" s="6"/>
      <c r="S88" s="6"/>
      <c r="T88" s="156"/>
      <c r="U88" s="6"/>
    </row>
    <row r="89" spans="1:21">
      <c r="A89" s="201" t="s">
        <v>3008</v>
      </c>
      <c r="B89" s="100">
        <v>4.6900000000000004</v>
      </c>
      <c r="C89" s="100">
        <v>6.25</v>
      </c>
      <c r="D89" s="100">
        <v>7.02</v>
      </c>
      <c r="E89" s="100">
        <v>5.92</v>
      </c>
      <c r="F89" s="100">
        <v>2</v>
      </c>
      <c r="G89" s="100">
        <v>21.07</v>
      </c>
      <c r="H89" s="100">
        <v>5.38</v>
      </c>
      <c r="I89" s="100">
        <v>4.24</v>
      </c>
      <c r="J89" s="100">
        <v>0.41</v>
      </c>
      <c r="K89" s="100">
        <v>83.91</v>
      </c>
      <c r="L89" s="100">
        <v>10.73</v>
      </c>
      <c r="M89" s="100">
        <v>9.0399999999999991</v>
      </c>
      <c r="N89" s="100">
        <v>2.4</v>
      </c>
      <c r="O89" s="100">
        <v>0</v>
      </c>
      <c r="P89" s="100">
        <v>0.27</v>
      </c>
      <c r="Q89" s="100">
        <v>9.32</v>
      </c>
      <c r="R89" s="6"/>
      <c r="S89" s="6"/>
      <c r="T89" s="156"/>
      <c r="U89" s="6"/>
    </row>
    <row r="90" spans="1:21">
      <c r="A90" s="201" t="s">
        <v>3009</v>
      </c>
      <c r="B90" s="100">
        <v>4.71</v>
      </c>
      <c r="C90" s="100">
        <v>6.19</v>
      </c>
      <c r="D90" s="100">
        <v>7.01</v>
      </c>
      <c r="E90" s="100">
        <v>5.98</v>
      </c>
      <c r="F90" s="100">
        <v>2</v>
      </c>
      <c r="G90" s="100">
        <v>21.07</v>
      </c>
      <c r="H90" s="100">
        <v>5.38</v>
      </c>
      <c r="I90" s="100">
        <v>4.3600000000000003</v>
      </c>
      <c r="J90" s="100">
        <v>0.51</v>
      </c>
      <c r="K90" s="100">
        <v>56.63</v>
      </c>
      <c r="L90" s="100">
        <v>9.19</v>
      </c>
      <c r="M90" s="100">
        <v>5.0199999999999996</v>
      </c>
      <c r="N90" s="100">
        <v>2.5</v>
      </c>
      <c r="O90" s="100">
        <v>0</v>
      </c>
      <c r="P90" s="100">
        <v>0.26</v>
      </c>
      <c r="Q90" s="100">
        <v>9.32</v>
      </c>
      <c r="R90" s="6"/>
      <c r="S90" s="6"/>
      <c r="T90" s="156"/>
      <c r="U90" s="6"/>
    </row>
    <row r="91" spans="1:21">
      <c r="A91" s="201" t="s">
        <v>3010</v>
      </c>
      <c r="B91" s="100">
        <v>5.4</v>
      </c>
      <c r="C91" s="100">
        <v>6.88</v>
      </c>
      <c r="D91" s="100">
        <v>7.92</v>
      </c>
      <c r="E91" s="100">
        <v>5.97</v>
      </c>
      <c r="F91" s="100">
        <v>2</v>
      </c>
      <c r="G91" s="100">
        <v>21.75</v>
      </c>
      <c r="H91" s="100">
        <v>5.74</v>
      </c>
      <c r="I91" s="100">
        <v>4.3499999999999996</v>
      </c>
      <c r="J91" s="100">
        <v>0.49</v>
      </c>
      <c r="K91" s="100">
        <v>52.44</v>
      </c>
      <c r="L91" s="100">
        <v>9.3000000000000007</v>
      </c>
      <c r="M91" s="100">
        <v>5.3</v>
      </c>
      <c r="N91" s="100">
        <v>2.5</v>
      </c>
      <c r="O91" s="100">
        <v>0</v>
      </c>
      <c r="P91" s="100">
        <v>0.28000000000000003</v>
      </c>
      <c r="Q91" s="100">
        <v>9.32</v>
      </c>
      <c r="R91" s="6"/>
      <c r="S91" s="6"/>
      <c r="T91" s="156"/>
      <c r="U91" s="6"/>
    </row>
    <row r="92" spans="1:21">
      <c r="A92" s="201" t="s">
        <v>3011</v>
      </c>
      <c r="B92" s="100">
        <v>5.17</v>
      </c>
      <c r="C92" s="100">
        <v>6.52</v>
      </c>
      <c r="D92" s="100">
        <v>7.55</v>
      </c>
      <c r="E92" s="100">
        <v>6.08</v>
      </c>
      <c r="F92" s="100">
        <v>2</v>
      </c>
      <c r="G92" s="100">
        <v>21.99</v>
      </c>
      <c r="H92" s="100">
        <v>5.75</v>
      </c>
      <c r="I92" s="100">
        <v>4.33</v>
      </c>
      <c r="J92" s="100">
        <v>0.56999999999999995</v>
      </c>
      <c r="K92" s="100">
        <v>53.74</v>
      </c>
      <c r="L92" s="100">
        <v>8.2100000000000009</v>
      </c>
      <c r="M92" s="100">
        <v>2.59</v>
      </c>
      <c r="N92" s="100">
        <v>2.5</v>
      </c>
      <c r="O92" s="100">
        <v>0</v>
      </c>
      <c r="P92" s="100">
        <v>0.27</v>
      </c>
      <c r="Q92" s="100">
        <v>9.32</v>
      </c>
      <c r="R92" s="6"/>
      <c r="S92" s="6"/>
      <c r="T92" s="156"/>
      <c r="U92" s="6"/>
    </row>
    <row r="93" spans="1:21">
      <c r="A93" s="201" t="s">
        <v>3012</v>
      </c>
      <c r="B93" s="100">
        <v>5.14</v>
      </c>
      <c r="C93" s="100">
        <v>6.44</v>
      </c>
      <c r="D93" s="100">
        <v>7.49</v>
      </c>
      <c r="E93" s="100">
        <v>6</v>
      </c>
      <c r="F93" s="100">
        <v>2</v>
      </c>
      <c r="G93" s="100">
        <v>21.99</v>
      </c>
      <c r="H93" s="100">
        <v>5.75</v>
      </c>
      <c r="I93" s="100">
        <v>4.3499999999999996</v>
      </c>
      <c r="J93" s="100">
        <v>0.38</v>
      </c>
      <c r="K93" s="100">
        <v>63.68</v>
      </c>
      <c r="L93" s="100">
        <v>9.98</v>
      </c>
      <c r="M93" s="100">
        <v>7.06</v>
      </c>
      <c r="N93" s="100">
        <v>2.4</v>
      </c>
      <c r="O93" s="100">
        <v>0</v>
      </c>
      <c r="P93" s="100">
        <v>0.28000000000000003</v>
      </c>
      <c r="Q93" s="100">
        <v>9.32</v>
      </c>
      <c r="R93" s="6"/>
      <c r="S93" s="6"/>
      <c r="T93" s="156"/>
      <c r="U93" s="6"/>
    </row>
    <row r="94" spans="1:21">
      <c r="A94" s="201" t="s">
        <v>3013</v>
      </c>
      <c r="B94" s="100">
        <v>5.17</v>
      </c>
      <c r="C94" s="100">
        <v>6.3</v>
      </c>
      <c r="D94" s="100">
        <v>7.43</v>
      </c>
      <c r="E94" s="100">
        <v>5.7</v>
      </c>
      <c r="F94" s="100">
        <v>2</v>
      </c>
      <c r="G94" s="100">
        <v>21.99</v>
      </c>
      <c r="H94" s="100">
        <v>5.75</v>
      </c>
      <c r="I94" s="100">
        <v>4.37</v>
      </c>
      <c r="J94" s="100">
        <v>0.4</v>
      </c>
      <c r="K94" s="100">
        <v>55.11</v>
      </c>
      <c r="L94" s="100">
        <v>9.75</v>
      </c>
      <c r="M94" s="100">
        <v>6.44</v>
      </c>
      <c r="N94" s="100">
        <v>2.4</v>
      </c>
      <c r="O94" s="100">
        <v>0</v>
      </c>
      <c r="P94" s="100">
        <v>0.27</v>
      </c>
      <c r="Q94" s="100">
        <v>9.32</v>
      </c>
      <c r="R94" s="6"/>
      <c r="S94" s="6"/>
      <c r="T94" s="156"/>
      <c r="U94" s="6"/>
    </row>
    <row r="95" spans="1:21">
      <c r="A95" s="201" t="s">
        <v>3014</v>
      </c>
      <c r="B95" s="100">
        <v>5.28</v>
      </c>
      <c r="C95" s="100">
        <v>6.28</v>
      </c>
      <c r="D95" s="100">
        <v>7.51</v>
      </c>
      <c r="E95" s="100">
        <v>5.73</v>
      </c>
      <c r="F95" s="100">
        <v>2</v>
      </c>
      <c r="G95" s="100">
        <v>21.23</v>
      </c>
      <c r="H95" s="100">
        <v>4.24</v>
      </c>
      <c r="I95" s="100">
        <v>4.34</v>
      </c>
      <c r="J95" s="100">
        <v>0.3</v>
      </c>
      <c r="K95" s="100">
        <v>75.510000000000005</v>
      </c>
      <c r="L95" s="100">
        <v>10.68</v>
      </c>
      <c r="M95" s="100">
        <v>8.8000000000000007</v>
      </c>
      <c r="N95" s="100">
        <v>2.2999999999999998</v>
      </c>
      <c r="O95" s="100">
        <v>0</v>
      </c>
      <c r="P95" s="100">
        <v>0.27</v>
      </c>
      <c r="Q95" s="100">
        <v>9.32</v>
      </c>
      <c r="R95" s="6"/>
      <c r="S95" s="6"/>
      <c r="T95" s="156"/>
      <c r="U95" s="6"/>
    </row>
    <row r="96" spans="1:21">
      <c r="A96" s="201" t="s">
        <v>3015</v>
      </c>
      <c r="B96" s="100">
        <v>5.39</v>
      </c>
      <c r="C96" s="100">
        <v>6.36</v>
      </c>
      <c r="D96" s="100">
        <v>7.64</v>
      </c>
      <c r="E96" s="100">
        <v>5.41</v>
      </c>
      <c r="F96" s="100">
        <v>2</v>
      </c>
      <c r="G96" s="100">
        <v>20.95</v>
      </c>
      <c r="H96" s="100">
        <v>4.21</v>
      </c>
      <c r="I96" s="100">
        <v>4.32</v>
      </c>
      <c r="J96" s="100">
        <v>0.46</v>
      </c>
      <c r="K96" s="100">
        <v>60.45</v>
      </c>
      <c r="L96" s="100">
        <v>8.69</v>
      </c>
      <c r="M96" s="100">
        <v>3.78</v>
      </c>
      <c r="N96" s="100">
        <v>2.4</v>
      </c>
      <c r="O96" s="100">
        <v>0</v>
      </c>
      <c r="P96" s="100">
        <v>0.25</v>
      </c>
      <c r="Q96" s="100">
        <v>9.32</v>
      </c>
      <c r="R96" s="6"/>
      <c r="S96" s="6"/>
      <c r="T96" s="156"/>
      <c r="U96" s="6"/>
    </row>
    <row r="97" spans="1:21">
      <c r="A97" s="201" t="s">
        <v>3016</v>
      </c>
      <c r="B97" s="100">
        <v>5.44</v>
      </c>
      <c r="C97" s="100">
        <v>6.43</v>
      </c>
      <c r="D97" s="100">
        <v>7.72</v>
      </c>
      <c r="E97" s="100">
        <v>5.63</v>
      </c>
      <c r="F97" s="100">
        <v>2</v>
      </c>
      <c r="G97" s="100">
        <v>20.95</v>
      </c>
      <c r="H97" s="100">
        <v>4.21</v>
      </c>
      <c r="I97" s="100">
        <v>4.38</v>
      </c>
      <c r="J97" s="100">
        <v>0.49</v>
      </c>
      <c r="K97" s="100">
        <v>56.02</v>
      </c>
      <c r="L97" s="100">
        <v>9.1999999999999993</v>
      </c>
      <c r="M97" s="100">
        <v>5.09</v>
      </c>
      <c r="N97" s="100">
        <v>2.6</v>
      </c>
      <c r="O97" s="100">
        <v>0</v>
      </c>
      <c r="P97" s="100">
        <v>0.24</v>
      </c>
      <c r="Q97" s="100">
        <v>9.32</v>
      </c>
      <c r="R97" s="6"/>
      <c r="S97" s="6"/>
      <c r="T97" s="156"/>
      <c r="U97" s="6"/>
    </row>
    <row r="98" spans="1:21">
      <c r="A98" s="201" t="s">
        <v>3017</v>
      </c>
      <c r="B98" s="100">
        <v>5.48</v>
      </c>
      <c r="C98" s="100">
        <v>6.38</v>
      </c>
      <c r="D98" s="100">
        <v>7.72</v>
      </c>
      <c r="E98" s="100">
        <v>5.95</v>
      </c>
      <c r="F98" s="100">
        <v>2</v>
      </c>
      <c r="G98" s="100">
        <v>20.95</v>
      </c>
      <c r="H98" s="100">
        <v>4.21</v>
      </c>
      <c r="I98" s="100">
        <v>4.3499999999999996</v>
      </c>
      <c r="J98" s="100">
        <v>0.34</v>
      </c>
      <c r="K98" s="100">
        <v>57.13</v>
      </c>
      <c r="L98" s="100">
        <v>10.199999999999999</v>
      </c>
      <c r="M98" s="100">
        <v>7.64</v>
      </c>
      <c r="N98" s="100">
        <v>2.4</v>
      </c>
      <c r="O98" s="100">
        <v>0</v>
      </c>
      <c r="P98" s="100">
        <v>0.24</v>
      </c>
      <c r="Q98" s="100">
        <v>9.32</v>
      </c>
      <c r="R98" s="6"/>
      <c r="S98" s="6"/>
      <c r="T98" s="156"/>
      <c r="U98" s="6"/>
    </row>
    <row r="99" spans="1:21">
      <c r="A99" s="201" t="s">
        <v>3018</v>
      </c>
      <c r="B99" s="100">
        <v>5.54</v>
      </c>
      <c r="C99" s="100">
        <v>6.32</v>
      </c>
      <c r="D99" s="100">
        <v>7.75</v>
      </c>
      <c r="E99" s="100">
        <v>4.1500000000000004</v>
      </c>
      <c r="F99" s="100">
        <v>2</v>
      </c>
      <c r="G99" s="100">
        <v>20.88</v>
      </c>
      <c r="H99" s="100">
        <v>6.87</v>
      </c>
      <c r="I99" s="100">
        <v>4.29</v>
      </c>
      <c r="J99" s="100">
        <v>0.35</v>
      </c>
      <c r="K99" s="100">
        <v>57.77</v>
      </c>
      <c r="L99" s="100">
        <v>9.08</v>
      </c>
      <c r="M99" s="100">
        <v>4.78</v>
      </c>
      <c r="N99" s="100">
        <v>2.4</v>
      </c>
      <c r="O99" s="100">
        <v>0</v>
      </c>
      <c r="P99" s="100">
        <v>0.24</v>
      </c>
      <c r="Q99" s="100">
        <v>9.32</v>
      </c>
      <c r="R99" s="6"/>
      <c r="S99" s="6"/>
      <c r="T99" s="156"/>
      <c r="U99" s="6"/>
    </row>
    <row r="100" spans="1:21">
      <c r="A100" s="201" t="s">
        <v>3019</v>
      </c>
      <c r="B100" s="100">
        <v>5.58</v>
      </c>
      <c r="C100" s="100">
        <v>6.35</v>
      </c>
      <c r="D100" s="100">
        <v>7.79</v>
      </c>
      <c r="E100" s="100">
        <v>5.63</v>
      </c>
      <c r="F100" s="100">
        <v>2</v>
      </c>
      <c r="G100" s="100">
        <v>20.85</v>
      </c>
      <c r="H100" s="100">
        <v>6.91</v>
      </c>
      <c r="I100" s="100">
        <v>4.24</v>
      </c>
      <c r="J100" s="100">
        <v>0.42</v>
      </c>
      <c r="K100" s="100">
        <v>58.06</v>
      </c>
      <c r="L100" s="100">
        <v>11.16</v>
      </c>
      <c r="M100" s="100">
        <v>10.050000000000001</v>
      </c>
      <c r="N100" s="100">
        <v>2.2999999999999998</v>
      </c>
      <c r="O100" s="100">
        <v>0</v>
      </c>
      <c r="P100" s="100">
        <v>0.24</v>
      </c>
      <c r="Q100" s="100">
        <v>9.32</v>
      </c>
      <c r="R100" s="6"/>
      <c r="S100" s="6"/>
      <c r="T100" s="156"/>
      <c r="U100" s="6"/>
    </row>
    <row r="101" spans="1:21">
      <c r="A101" s="201" t="s">
        <v>3020</v>
      </c>
      <c r="B101" s="100">
        <v>5.61</v>
      </c>
      <c r="C101" s="100">
        <v>6.28</v>
      </c>
      <c r="D101" s="100">
        <v>7.78</v>
      </c>
      <c r="E101" s="100">
        <v>5.79</v>
      </c>
      <c r="F101" s="100">
        <v>2</v>
      </c>
      <c r="G101" s="100">
        <v>20.85</v>
      </c>
      <c r="H101" s="100">
        <v>6.91</v>
      </c>
      <c r="I101" s="100">
        <v>4.21</v>
      </c>
      <c r="J101" s="100">
        <v>0.26</v>
      </c>
      <c r="K101" s="100">
        <v>76.42</v>
      </c>
      <c r="L101" s="100">
        <v>11.76</v>
      </c>
      <c r="M101" s="100">
        <v>11.54</v>
      </c>
      <c r="N101" s="100">
        <v>2.4</v>
      </c>
      <c r="O101" s="100">
        <v>0</v>
      </c>
      <c r="P101" s="100">
        <v>0.24</v>
      </c>
      <c r="Q101" s="100">
        <v>9.32</v>
      </c>
      <c r="R101" s="6"/>
      <c r="S101" s="6"/>
      <c r="T101" s="156"/>
      <c r="U101" s="6"/>
    </row>
    <row r="102" spans="1:21">
      <c r="A102" s="201" t="s">
        <v>3021</v>
      </c>
      <c r="B102" s="100">
        <v>5.58</v>
      </c>
      <c r="C102" s="100">
        <v>6.25</v>
      </c>
      <c r="D102" s="100">
        <v>7.74</v>
      </c>
      <c r="E102" s="100">
        <v>6.07</v>
      </c>
      <c r="F102" s="100">
        <v>2</v>
      </c>
      <c r="G102" s="100">
        <v>20.85</v>
      </c>
      <c r="H102" s="100">
        <v>6.91</v>
      </c>
      <c r="I102" s="100">
        <v>4.2</v>
      </c>
      <c r="J102" s="100">
        <v>0.25</v>
      </c>
      <c r="K102" s="100">
        <v>94.85</v>
      </c>
      <c r="L102" s="100">
        <v>12.13</v>
      </c>
      <c r="M102" s="100">
        <v>12.54</v>
      </c>
      <c r="N102" s="100">
        <v>2.2999999999999998</v>
      </c>
      <c r="O102" s="100">
        <v>0</v>
      </c>
      <c r="P102" s="100">
        <v>0.25</v>
      </c>
      <c r="Q102" s="100">
        <v>9.32</v>
      </c>
      <c r="R102" s="6"/>
      <c r="S102" s="6"/>
      <c r="T102" s="156"/>
      <c r="U102" s="6"/>
    </row>
    <row r="103" spans="1:21">
      <c r="A103" s="201" t="s">
        <v>3022</v>
      </c>
      <c r="B103" s="100">
        <v>5.59</v>
      </c>
      <c r="C103" s="100">
        <v>6.15</v>
      </c>
      <c r="D103" s="100">
        <v>7.7</v>
      </c>
      <c r="E103" s="100">
        <v>6.42</v>
      </c>
      <c r="F103" s="100">
        <v>2</v>
      </c>
      <c r="G103" s="100">
        <v>22.22</v>
      </c>
      <c r="H103" s="100">
        <v>5.39</v>
      </c>
      <c r="I103" s="100">
        <v>4.18</v>
      </c>
      <c r="J103" s="100">
        <v>0.24</v>
      </c>
      <c r="K103" s="100">
        <v>137.33000000000001</v>
      </c>
      <c r="L103" s="100">
        <v>13.89</v>
      </c>
      <c r="M103" s="100">
        <v>16.97</v>
      </c>
      <c r="N103" s="100">
        <v>2.4</v>
      </c>
      <c r="O103" s="100">
        <v>0</v>
      </c>
      <c r="P103" s="100">
        <v>0.25</v>
      </c>
      <c r="Q103" s="100">
        <v>9.32</v>
      </c>
      <c r="R103" s="6"/>
      <c r="S103" s="6"/>
      <c r="T103" s="156"/>
      <c r="U103" s="6"/>
    </row>
    <row r="104" spans="1:21">
      <c r="A104" s="201" t="s">
        <v>3023</v>
      </c>
      <c r="B104" s="100">
        <v>5.63</v>
      </c>
      <c r="C104" s="100">
        <v>6.16</v>
      </c>
      <c r="D104" s="100">
        <v>7.73</v>
      </c>
      <c r="E104" s="100">
        <v>6.27</v>
      </c>
      <c r="F104" s="100">
        <v>2</v>
      </c>
      <c r="G104" s="100">
        <v>22.71</v>
      </c>
      <c r="H104" s="100">
        <v>5.37</v>
      </c>
      <c r="I104" s="100">
        <v>4.08</v>
      </c>
      <c r="J104" s="100">
        <v>0.4</v>
      </c>
      <c r="K104" s="100">
        <v>86.05</v>
      </c>
      <c r="L104" s="100">
        <v>11.93</v>
      </c>
      <c r="M104" s="100">
        <v>11.95</v>
      </c>
      <c r="N104" s="100">
        <v>2.4</v>
      </c>
      <c r="O104" s="100">
        <v>0</v>
      </c>
      <c r="P104" s="100">
        <v>0.24</v>
      </c>
      <c r="Q104" s="100">
        <v>9.32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3.35</v>
      </c>
      <c r="C106" s="158">
        <f>MIN(C9:C104)</f>
        <v>6</v>
      </c>
      <c r="D106" s="158">
        <f t="shared" ref="D106:Q106" si="0">MIN(D9:D104)</f>
        <v>5.93</v>
      </c>
      <c r="E106" s="158">
        <f t="shared" si="0"/>
        <v>4.1500000000000004</v>
      </c>
      <c r="F106" s="158">
        <f t="shared" si="0"/>
        <v>2</v>
      </c>
      <c r="G106" s="158">
        <f t="shared" si="0"/>
        <v>15.5</v>
      </c>
      <c r="H106" s="158">
        <f t="shared" si="0"/>
        <v>3.88</v>
      </c>
      <c r="I106" s="158">
        <f t="shared" si="0"/>
        <v>3.65</v>
      </c>
      <c r="J106" s="158">
        <f t="shared" si="0"/>
        <v>0.24</v>
      </c>
      <c r="K106" s="158">
        <f t="shared" si="0"/>
        <v>34.72</v>
      </c>
      <c r="L106" s="158">
        <f t="shared" si="0"/>
        <v>6.92</v>
      </c>
      <c r="M106" s="158">
        <f t="shared" si="0"/>
        <v>-0.99</v>
      </c>
      <c r="N106" s="158">
        <f t="shared" si="0"/>
        <v>2.2000000000000002</v>
      </c>
      <c r="O106" s="158">
        <f t="shared" si="0"/>
        <v>0</v>
      </c>
      <c r="P106" s="158">
        <f t="shared" si="0"/>
        <v>0.13</v>
      </c>
      <c r="Q106" s="158">
        <f t="shared" si="0"/>
        <v>9.32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8.3000000000000007</v>
      </c>
      <c r="C107" s="157">
        <f t="shared" ref="C107:Q107" si="1">MAX(C9:C104)</f>
        <v>6.88</v>
      </c>
      <c r="D107" s="157">
        <f t="shared" si="1"/>
        <v>10.09</v>
      </c>
      <c r="E107" s="157">
        <f t="shared" si="1"/>
        <v>6.95</v>
      </c>
      <c r="F107" s="157">
        <f t="shared" si="1"/>
        <v>2</v>
      </c>
      <c r="G107" s="157">
        <f t="shared" si="1"/>
        <v>26.29</v>
      </c>
      <c r="H107" s="157">
        <f t="shared" si="1"/>
        <v>9.84</v>
      </c>
      <c r="I107" s="157">
        <f t="shared" si="1"/>
        <v>5.31</v>
      </c>
      <c r="J107" s="157">
        <f t="shared" si="1"/>
        <v>1.1599999999999999</v>
      </c>
      <c r="K107" s="157">
        <f t="shared" si="1"/>
        <v>137.33000000000001</v>
      </c>
      <c r="L107" s="157">
        <f t="shared" si="1"/>
        <v>15.37</v>
      </c>
      <c r="M107" s="157">
        <f t="shared" si="1"/>
        <v>18.03</v>
      </c>
      <c r="N107" s="157">
        <f t="shared" si="1"/>
        <v>415.4</v>
      </c>
      <c r="O107" s="157">
        <f t="shared" si="1"/>
        <v>0</v>
      </c>
      <c r="P107" s="157">
        <f t="shared" si="1"/>
        <v>0.28000000000000003</v>
      </c>
      <c r="Q107" s="157">
        <f t="shared" si="1"/>
        <v>9.51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5.7841666666666676</v>
      </c>
      <c r="C108" s="158">
        <f t="shared" ref="C108:Q108" si="2">AVERAGE(C9:C104)</f>
        <v>6.3195833333333313</v>
      </c>
      <c r="D108" s="158">
        <f t="shared" si="2"/>
        <v>7.9395833333333306</v>
      </c>
      <c r="E108" s="158">
        <f t="shared" si="2"/>
        <v>6.0517708333333351</v>
      </c>
      <c r="F108" s="158">
        <f t="shared" si="2"/>
        <v>2</v>
      </c>
      <c r="G108" s="158">
        <f t="shared" si="2"/>
        <v>20.970520833333328</v>
      </c>
      <c r="H108" s="158">
        <f t="shared" si="2"/>
        <v>6.280000000000002</v>
      </c>
      <c r="I108" s="158">
        <f t="shared" si="2"/>
        <v>4.6239583333333334</v>
      </c>
      <c r="J108" s="158">
        <f t="shared" si="2"/>
        <v>0.57489583333333338</v>
      </c>
      <c r="K108" s="158">
        <f t="shared" si="2"/>
        <v>60.175312500000025</v>
      </c>
      <c r="L108" s="158">
        <f t="shared" si="2"/>
        <v>9.9165625000000031</v>
      </c>
      <c r="M108" s="158">
        <f t="shared" si="2"/>
        <v>5.9981249999999982</v>
      </c>
      <c r="N108" s="158">
        <f t="shared" si="2"/>
        <v>40.006250000000016</v>
      </c>
      <c r="O108" s="158">
        <f t="shared" si="2"/>
        <v>0</v>
      </c>
      <c r="P108" s="158">
        <f t="shared" si="2"/>
        <v>0.21260416666666682</v>
      </c>
      <c r="Q108" s="158">
        <f t="shared" si="2"/>
        <v>9.3440625000000175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1.3493239372809167</v>
      </c>
      <c r="C109" s="158">
        <f t="shared" ref="C109:Q109" si="3">STDEV(C9:C104)</f>
        <v>0.21128138716272074</v>
      </c>
      <c r="D109" s="158">
        <f t="shared" si="3"/>
        <v>1.1303384836938477</v>
      </c>
      <c r="E109" s="158">
        <f t="shared" si="3"/>
        <v>0.4922002048624794</v>
      </c>
      <c r="F109" s="158">
        <f t="shared" si="3"/>
        <v>0</v>
      </c>
      <c r="G109" s="158">
        <f t="shared" si="3"/>
        <v>2.5473079163333523</v>
      </c>
      <c r="H109" s="158">
        <f t="shared" si="3"/>
        <v>1.6967256392053482</v>
      </c>
      <c r="I109" s="158">
        <f t="shared" si="3"/>
        <v>0.54119648959585598</v>
      </c>
      <c r="J109" s="158">
        <f t="shared" si="3"/>
        <v>0.17005259119439958</v>
      </c>
      <c r="K109" s="158">
        <f t="shared" si="3"/>
        <v>18.726106794814228</v>
      </c>
      <c r="L109" s="158">
        <f t="shared" si="3"/>
        <v>1.614605591810333</v>
      </c>
      <c r="M109" s="158">
        <f t="shared" si="3"/>
        <v>3.3638428251973362</v>
      </c>
      <c r="N109" s="158">
        <f t="shared" si="3"/>
        <v>76.003873602807772</v>
      </c>
      <c r="O109" s="158">
        <f t="shared" si="3"/>
        <v>0</v>
      </c>
      <c r="P109" s="158">
        <f t="shared" si="3"/>
        <v>3.4281951417362462E-2</v>
      </c>
      <c r="Q109" s="158">
        <f t="shared" si="3"/>
        <v>3.9909849068012877E-2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3" t="s">
        <v>56</v>
      </c>
      <c r="C115" s="163"/>
      <c r="D115" s="16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5" activePane="bottomLeft" state="frozen"/>
      <selection pane="bottomLeft" activeCell="M15" sqref="M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3024</v>
      </c>
      <c r="B9" s="100">
        <v>5.71</v>
      </c>
      <c r="C9" s="100">
        <v>6.14</v>
      </c>
      <c r="D9" s="100">
        <v>7.79</v>
      </c>
      <c r="E9" s="100">
        <v>6.55</v>
      </c>
      <c r="F9" s="100">
        <v>2</v>
      </c>
      <c r="G9" s="100">
        <v>22.71</v>
      </c>
      <c r="H9" s="100">
        <v>5.37</v>
      </c>
      <c r="I9" s="100">
        <v>4.0599999999999996</v>
      </c>
      <c r="J9" s="100">
        <v>0.33</v>
      </c>
      <c r="K9" s="100">
        <v>107.45</v>
      </c>
      <c r="L9" s="100">
        <v>13.16</v>
      </c>
      <c r="M9" s="100">
        <v>15.81</v>
      </c>
      <c r="N9" s="100">
        <v>2.2999999999999998</v>
      </c>
      <c r="O9" s="100">
        <v>0</v>
      </c>
      <c r="P9" s="100">
        <v>0.24</v>
      </c>
      <c r="Q9" s="100">
        <v>9.32</v>
      </c>
      <c r="R9" s="6"/>
      <c r="S9" s="6"/>
      <c r="T9" s="156"/>
      <c r="U9" s="6"/>
    </row>
    <row r="10" spans="1:21" customFormat="1">
      <c r="A10" s="201" t="s">
        <v>3025</v>
      </c>
      <c r="B10" s="100">
        <v>5.8</v>
      </c>
      <c r="C10" s="100">
        <v>6.3</v>
      </c>
      <c r="D10" s="100">
        <v>7.94</v>
      </c>
      <c r="E10" s="100">
        <v>6.64</v>
      </c>
      <c r="F10" s="100">
        <v>2</v>
      </c>
      <c r="G10" s="100">
        <v>22.71</v>
      </c>
      <c r="H10" s="100">
        <v>5.37</v>
      </c>
      <c r="I10" s="100">
        <v>4.21</v>
      </c>
      <c r="J10" s="100">
        <v>0.28999999999999998</v>
      </c>
      <c r="K10" s="100">
        <v>103.92</v>
      </c>
      <c r="L10" s="100">
        <v>12.37</v>
      </c>
      <c r="M10" s="100">
        <v>13.15</v>
      </c>
      <c r="N10" s="100">
        <v>2.5</v>
      </c>
      <c r="O10" s="100">
        <v>0</v>
      </c>
      <c r="P10" s="100">
        <v>0.24</v>
      </c>
      <c r="Q10" s="100">
        <v>9.32</v>
      </c>
      <c r="R10" s="6"/>
      <c r="S10" s="6"/>
      <c r="T10" s="156"/>
      <c r="U10" s="6"/>
    </row>
    <row r="11" spans="1:21" customFormat="1">
      <c r="A11" s="201" t="s">
        <v>3026</v>
      </c>
      <c r="B11" s="100">
        <v>5.87</v>
      </c>
      <c r="C11" s="100">
        <v>6.32</v>
      </c>
      <c r="D11" s="100">
        <v>8.01</v>
      </c>
      <c r="E11" s="100">
        <v>6.73</v>
      </c>
      <c r="F11" s="100">
        <v>2</v>
      </c>
      <c r="G11" s="100">
        <v>18.05</v>
      </c>
      <c r="H11" s="100">
        <v>6.3</v>
      </c>
      <c r="I11" s="100">
        <v>4.29</v>
      </c>
      <c r="J11" s="100">
        <v>0.25</v>
      </c>
      <c r="K11" s="100">
        <v>102.41</v>
      </c>
      <c r="L11" s="100">
        <v>13.14</v>
      </c>
      <c r="M11" s="100">
        <v>15.05</v>
      </c>
      <c r="N11" s="100">
        <v>2.4</v>
      </c>
      <c r="O11" s="100">
        <v>0</v>
      </c>
      <c r="P11" s="100">
        <v>0.24</v>
      </c>
      <c r="Q11" s="100">
        <v>9.32</v>
      </c>
      <c r="R11" s="6"/>
      <c r="S11" s="6"/>
      <c r="T11" s="156"/>
      <c r="U11" s="6"/>
    </row>
    <row r="12" spans="1:21" customFormat="1">
      <c r="A12" s="201" t="s">
        <v>3027</v>
      </c>
      <c r="B12" s="100">
        <v>6.06</v>
      </c>
      <c r="C12" s="100">
        <v>6.35</v>
      </c>
      <c r="D12" s="100">
        <v>8.17</v>
      </c>
      <c r="E12" s="100">
        <v>6.59</v>
      </c>
      <c r="F12" s="100">
        <v>2</v>
      </c>
      <c r="G12" s="100">
        <v>16.36</v>
      </c>
      <c r="H12" s="100">
        <v>6.32</v>
      </c>
      <c r="I12" s="100">
        <v>4.3099999999999996</v>
      </c>
      <c r="J12" s="100">
        <v>0.23</v>
      </c>
      <c r="K12" s="100">
        <v>122.16</v>
      </c>
      <c r="L12" s="100">
        <v>13.57</v>
      </c>
      <c r="M12" s="100">
        <v>16.02</v>
      </c>
      <c r="N12" s="100">
        <v>2.2000000000000002</v>
      </c>
      <c r="O12" s="100">
        <v>0</v>
      </c>
      <c r="P12" s="100">
        <v>0.23</v>
      </c>
      <c r="Q12" s="100">
        <v>9.32</v>
      </c>
      <c r="R12" s="6"/>
      <c r="S12" s="6"/>
      <c r="T12" s="156"/>
      <c r="U12" s="6"/>
    </row>
    <row r="13" spans="1:21" customFormat="1">
      <c r="A13" s="201" t="s">
        <v>3028</v>
      </c>
      <c r="B13" s="100">
        <v>6.3</v>
      </c>
      <c r="C13" s="100">
        <v>6.47</v>
      </c>
      <c r="D13" s="100">
        <v>8.43</v>
      </c>
      <c r="E13" s="100">
        <v>6.6</v>
      </c>
      <c r="F13" s="100">
        <v>2</v>
      </c>
      <c r="G13" s="100">
        <v>16.36</v>
      </c>
      <c r="H13" s="100">
        <v>6.32</v>
      </c>
      <c r="I13" s="100">
        <v>4.4000000000000004</v>
      </c>
      <c r="J13" s="100">
        <v>0.33</v>
      </c>
      <c r="K13" s="100">
        <v>107.6</v>
      </c>
      <c r="L13" s="100">
        <v>12.47</v>
      </c>
      <c r="M13" s="100">
        <v>14.18</v>
      </c>
      <c r="N13" s="100">
        <v>2.2000000000000002</v>
      </c>
      <c r="O13" s="100">
        <v>0</v>
      </c>
      <c r="P13" s="100">
        <v>0.23</v>
      </c>
      <c r="Q13" s="100">
        <v>9.32</v>
      </c>
      <c r="R13" s="6"/>
      <c r="S13" s="6"/>
      <c r="T13" s="156"/>
      <c r="U13" s="6"/>
    </row>
    <row r="14" spans="1:21" customFormat="1">
      <c r="A14" s="201" t="s">
        <v>3029</v>
      </c>
      <c r="B14" s="100">
        <v>6.38</v>
      </c>
      <c r="C14" s="100">
        <v>6.39</v>
      </c>
      <c r="D14" s="100">
        <v>8.4600000000000009</v>
      </c>
      <c r="E14" s="100">
        <v>6.15</v>
      </c>
      <c r="F14" s="100">
        <v>2</v>
      </c>
      <c r="G14" s="100">
        <v>16.36</v>
      </c>
      <c r="H14" s="100">
        <v>6.32</v>
      </c>
      <c r="I14" s="100">
        <v>4.47</v>
      </c>
      <c r="J14" s="100">
        <v>0.26</v>
      </c>
      <c r="K14" s="100">
        <v>82.97</v>
      </c>
      <c r="L14" s="100">
        <v>12.92</v>
      </c>
      <c r="M14" s="100">
        <v>14.5</v>
      </c>
      <c r="N14" s="100">
        <v>2.2999999999999998</v>
      </c>
      <c r="O14" s="100">
        <v>0</v>
      </c>
      <c r="P14" s="100">
        <v>0.24</v>
      </c>
      <c r="Q14" s="100">
        <v>9.32</v>
      </c>
      <c r="R14" s="6"/>
      <c r="S14" s="6"/>
      <c r="T14" s="156"/>
      <c r="U14" s="6"/>
    </row>
    <row r="15" spans="1:21" customFormat="1">
      <c r="A15" s="201" t="s">
        <v>3030</v>
      </c>
      <c r="B15" s="100">
        <v>6.34</v>
      </c>
      <c r="C15" s="100">
        <v>6.1</v>
      </c>
      <c r="D15" s="100">
        <v>8.27</v>
      </c>
      <c r="E15" s="100">
        <v>6.29</v>
      </c>
      <c r="F15" s="100">
        <v>2</v>
      </c>
      <c r="G15" s="100">
        <v>17.829999999999998</v>
      </c>
      <c r="H15" s="100">
        <v>6.09</v>
      </c>
      <c r="I15" s="100">
        <v>4.53</v>
      </c>
      <c r="J15" s="100">
        <v>0.35</v>
      </c>
      <c r="K15" s="100">
        <v>112.53</v>
      </c>
      <c r="L15" s="100">
        <v>11.69</v>
      </c>
      <c r="M15" s="100">
        <v>11.4</v>
      </c>
      <c r="N15" s="100">
        <v>2.5</v>
      </c>
      <c r="O15" s="100">
        <v>0</v>
      </c>
      <c r="P15" s="100">
        <v>0.23</v>
      </c>
      <c r="Q15" s="100">
        <v>9.32</v>
      </c>
      <c r="R15" s="6"/>
      <c r="S15" s="6"/>
      <c r="T15" s="156"/>
      <c r="U15" s="6"/>
    </row>
    <row r="16" spans="1:21" customFormat="1">
      <c r="A16" s="201" t="s">
        <v>3031</v>
      </c>
      <c r="B16" s="100">
        <v>6.23</v>
      </c>
      <c r="C16" s="100">
        <v>6.02</v>
      </c>
      <c r="D16" s="100">
        <v>8.14</v>
      </c>
      <c r="E16" s="100">
        <v>6.5</v>
      </c>
      <c r="F16" s="100">
        <v>2</v>
      </c>
      <c r="G16" s="100">
        <v>18.399999999999999</v>
      </c>
      <c r="H16" s="100">
        <v>6.08</v>
      </c>
      <c r="I16" s="100">
        <v>4.47</v>
      </c>
      <c r="J16" s="100">
        <v>0.22</v>
      </c>
      <c r="K16" s="100">
        <v>108.48</v>
      </c>
      <c r="L16" s="100">
        <v>13.24</v>
      </c>
      <c r="M16" s="100">
        <v>15.25</v>
      </c>
      <c r="N16" s="100">
        <v>2.2999999999999998</v>
      </c>
      <c r="O16" s="100">
        <v>0</v>
      </c>
      <c r="P16" s="100">
        <v>0.22</v>
      </c>
      <c r="Q16" s="100">
        <v>9.32</v>
      </c>
      <c r="R16" s="6"/>
      <c r="S16" s="6"/>
      <c r="T16" s="156"/>
      <c r="U16" s="6"/>
    </row>
    <row r="17" spans="1:21" customFormat="1">
      <c r="A17" s="201" t="s">
        <v>3032</v>
      </c>
      <c r="B17" s="100">
        <v>6.18</v>
      </c>
      <c r="C17" s="100">
        <v>6.07</v>
      </c>
      <c r="D17" s="100">
        <v>8.1300000000000008</v>
      </c>
      <c r="E17" s="100">
        <v>5.33</v>
      </c>
      <c r="F17" s="100">
        <v>2</v>
      </c>
      <c r="G17" s="100">
        <v>18.399999999999999</v>
      </c>
      <c r="H17" s="100">
        <v>6.08</v>
      </c>
      <c r="I17" s="100">
        <v>4.37</v>
      </c>
      <c r="J17" s="100">
        <v>0.23</v>
      </c>
      <c r="K17" s="100">
        <v>122.85</v>
      </c>
      <c r="L17" s="100">
        <v>13.84</v>
      </c>
      <c r="M17" s="100">
        <v>16.82</v>
      </c>
      <c r="N17" s="100">
        <v>2.2000000000000002</v>
      </c>
      <c r="O17" s="100">
        <v>0</v>
      </c>
      <c r="P17" s="100">
        <v>0.23</v>
      </c>
      <c r="Q17" s="100">
        <v>9.32</v>
      </c>
      <c r="R17" s="6"/>
      <c r="S17" s="6"/>
      <c r="T17" s="156"/>
      <c r="U17" s="6"/>
    </row>
    <row r="18" spans="1:21" customFormat="1">
      <c r="A18" s="201" t="s">
        <v>3033</v>
      </c>
      <c r="B18" s="100">
        <v>6.11</v>
      </c>
      <c r="C18" s="100">
        <v>5.99</v>
      </c>
      <c r="D18" s="100">
        <v>8.02</v>
      </c>
      <c r="E18" s="100">
        <v>6.5</v>
      </c>
      <c r="F18" s="100">
        <v>2</v>
      </c>
      <c r="G18" s="100">
        <v>18.399999999999999</v>
      </c>
      <c r="H18" s="100">
        <v>6.08</v>
      </c>
      <c r="I18" s="100">
        <v>4.37</v>
      </c>
      <c r="J18" s="100">
        <v>0.27</v>
      </c>
      <c r="K18" s="100">
        <v>127.94</v>
      </c>
      <c r="L18" s="100">
        <v>13.17</v>
      </c>
      <c r="M18" s="100">
        <v>15.14</v>
      </c>
      <c r="N18" s="100">
        <v>2.2999999999999998</v>
      </c>
      <c r="O18" s="100">
        <v>0</v>
      </c>
      <c r="P18" s="100">
        <v>0.23</v>
      </c>
      <c r="Q18" s="100">
        <v>9.32</v>
      </c>
      <c r="R18" s="6"/>
      <c r="S18" s="6"/>
      <c r="T18" s="156"/>
      <c r="U18" s="6"/>
    </row>
    <row r="19" spans="1:21" customFormat="1">
      <c r="A19" s="201" t="s">
        <v>3034</v>
      </c>
      <c r="B19" s="100">
        <v>5.97</v>
      </c>
      <c r="C19" s="100">
        <v>5.91</v>
      </c>
      <c r="D19" s="100">
        <v>7.87</v>
      </c>
      <c r="E19" s="100">
        <v>6.4</v>
      </c>
      <c r="F19" s="100">
        <v>2</v>
      </c>
      <c r="G19" s="100">
        <v>16.350000000000001</v>
      </c>
      <c r="H19" s="100">
        <v>4.3099999999999996</v>
      </c>
      <c r="I19" s="100">
        <v>4.33</v>
      </c>
      <c r="J19" s="100">
        <v>0.25</v>
      </c>
      <c r="K19" s="100">
        <v>155.52000000000001</v>
      </c>
      <c r="L19" s="100">
        <v>15.37</v>
      </c>
      <c r="M19" s="100">
        <v>20.69</v>
      </c>
      <c r="N19" s="100">
        <v>2.4</v>
      </c>
      <c r="O19" s="100">
        <v>0</v>
      </c>
      <c r="P19" s="100">
        <v>0.22</v>
      </c>
      <c r="Q19" s="100">
        <v>9.32</v>
      </c>
      <c r="R19" s="6"/>
      <c r="S19" s="6"/>
      <c r="T19" s="156"/>
      <c r="U19" s="6"/>
    </row>
    <row r="20" spans="1:21" customFormat="1">
      <c r="A20" s="201" t="s">
        <v>3035</v>
      </c>
      <c r="B20" s="100">
        <v>5.93</v>
      </c>
      <c r="C20" s="100">
        <v>5.88</v>
      </c>
      <c r="D20" s="100">
        <v>7.83</v>
      </c>
      <c r="E20" s="100">
        <v>6.96</v>
      </c>
      <c r="F20" s="100">
        <v>2</v>
      </c>
      <c r="G20" s="100">
        <v>15.61</v>
      </c>
      <c r="H20" s="100">
        <v>4.25</v>
      </c>
      <c r="I20" s="100">
        <v>4.32</v>
      </c>
      <c r="J20" s="100">
        <v>0.19</v>
      </c>
      <c r="K20" s="100">
        <v>112.46</v>
      </c>
      <c r="L20" s="100">
        <v>13.15</v>
      </c>
      <c r="M20" s="100">
        <v>15.05</v>
      </c>
      <c r="N20" s="100">
        <v>2.4</v>
      </c>
      <c r="O20" s="100">
        <v>0</v>
      </c>
      <c r="P20" s="100">
        <v>0.25</v>
      </c>
      <c r="Q20" s="100">
        <v>9.32</v>
      </c>
      <c r="R20" s="6"/>
      <c r="S20" s="6"/>
      <c r="T20" s="156"/>
      <c r="U20" s="6"/>
    </row>
    <row r="21" spans="1:21" customFormat="1">
      <c r="A21" s="201" t="s">
        <v>3036</v>
      </c>
      <c r="B21" s="100">
        <v>5.97</v>
      </c>
      <c r="C21" s="100">
        <v>5.54</v>
      </c>
      <c r="D21" s="100">
        <v>7.68</v>
      </c>
      <c r="E21" s="100">
        <v>6.45</v>
      </c>
      <c r="F21" s="100">
        <v>2</v>
      </c>
      <c r="G21" s="100">
        <v>15.61</v>
      </c>
      <c r="H21" s="100">
        <v>4.25</v>
      </c>
      <c r="I21" s="100">
        <v>4.34</v>
      </c>
      <c r="J21" s="100">
        <v>0.22</v>
      </c>
      <c r="K21" s="100">
        <v>127.53</v>
      </c>
      <c r="L21" s="100">
        <v>13.88</v>
      </c>
      <c r="M21" s="100">
        <v>16.989999999999998</v>
      </c>
      <c r="N21" s="100">
        <v>2.2999999999999998</v>
      </c>
      <c r="O21" s="100">
        <v>0</v>
      </c>
      <c r="P21" s="100">
        <v>0.24</v>
      </c>
      <c r="Q21" s="100">
        <v>9.32</v>
      </c>
      <c r="R21" s="6"/>
      <c r="S21" s="6"/>
      <c r="T21" s="156"/>
      <c r="U21" s="6"/>
    </row>
    <row r="22" spans="1:21" customFormat="1">
      <c r="A22" s="201" t="s">
        <v>3037</v>
      </c>
      <c r="B22" s="100">
        <v>6.1</v>
      </c>
      <c r="C22" s="100">
        <v>5.35</v>
      </c>
      <c r="D22" s="100">
        <v>7.68</v>
      </c>
      <c r="E22" s="100">
        <v>6.09</v>
      </c>
      <c r="F22" s="100">
        <v>2</v>
      </c>
      <c r="G22" s="100">
        <v>15.61</v>
      </c>
      <c r="H22" s="100">
        <v>4.25</v>
      </c>
      <c r="I22" s="100">
        <v>4.25</v>
      </c>
      <c r="J22" s="100">
        <v>0.27</v>
      </c>
      <c r="K22" s="100">
        <v>125.32</v>
      </c>
      <c r="L22" s="100">
        <v>13.64</v>
      </c>
      <c r="M22" s="100">
        <v>16.329999999999998</v>
      </c>
      <c r="N22" s="100">
        <v>2.2999999999999998</v>
      </c>
      <c r="O22" s="100">
        <v>0</v>
      </c>
      <c r="P22" s="100">
        <v>0.24</v>
      </c>
      <c r="Q22" s="100">
        <v>9.32</v>
      </c>
      <c r="R22" s="6"/>
      <c r="S22" s="6"/>
      <c r="T22" s="156"/>
      <c r="U22" s="6"/>
    </row>
    <row r="23" spans="1:21" customFormat="1">
      <c r="A23" s="201" t="s">
        <v>3038</v>
      </c>
      <c r="B23" s="100">
        <v>6.13</v>
      </c>
      <c r="C23" s="100">
        <v>5.34</v>
      </c>
      <c r="D23" s="100">
        <v>7.71</v>
      </c>
      <c r="E23" s="100">
        <v>5.84</v>
      </c>
      <c r="F23" s="100">
        <v>2</v>
      </c>
      <c r="G23" s="100">
        <v>14.47</v>
      </c>
      <c r="H23" s="100">
        <v>3.1</v>
      </c>
      <c r="I23" s="100">
        <v>4.1900000000000004</v>
      </c>
      <c r="J23" s="100">
        <v>0.24</v>
      </c>
      <c r="K23" s="100">
        <v>125.73</v>
      </c>
      <c r="L23" s="100">
        <v>12.87</v>
      </c>
      <c r="M23" s="100">
        <v>14.45</v>
      </c>
      <c r="N23" s="100">
        <v>2.4</v>
      </c>
      <c r="O23" s="100">
        <v>0</v>
      </c>
      <c r="P23" s="100">
        <v>0.24</v>
      </c>
      <c r="Q23" s="100">
        <v>9.32</v>
      </c>
      <c r="R23" s="6"/>
      <c r="S23" s="6"/>
      <c r="T23" s="156"/>
      <c r="U23" s="6"/>
    </row>
    <row r="24" spans="1:21" customFormat="1">
      <c r="A24" s="201" t="s">
        <v>3039</v>
      </c>
      <c r="B24" s="100">
        <v>6.28</v>
      </c>
      <c r="C24" s="100">
        <v>5.38</v>
      </c>
      <c r="D24" s="100">
        <v>7.85</v>
      </c>
      <c r="E24" s="100">
        <v>6.37</v>
      </c>
      <c r="F24" s="100">
        <v>2</v>
      </c>
      <c r="G24" s="100">
        <v>14.05</v>
      </c>
      <c r="H24" s="100">
        <v>3.07</v>
      </c>
      <c r="I24" s="100">
        <v>4.21</v>
      </c>
      <c r="J24" s="100">
        <v>0.18</v>
      </c>
      <c r="K24" s="100">
        <v>102.35</v>
      </c>
      <c r="L24" s="100">
        <v>14.32</v>
      </c>
      <c r="M24" s="100">
        <v>17.989999999999998</v>
      </c>
      <c r="N24" s="100">
        <v>2.2999999999999998</v>
      </c>
      <c r="O24" s="100">
        <v>0</v>
      </c>
      <c r="P24" s="100">
        <v>0.24</v>
      </c>
      <c r="Q24" s="100">
        <v>9.32</v>
      </c>
      <c r="R24" s="6"/>
      <c r="S24" s="6"/>
      <c r="T24" s="156"/>
      <c r="U24" s="6"/>
    </row>
    <row r="25" spans="1:21" customFormat="1">
      <c r="A25" s="201" t="s">
        <v>3040</v>
      </c>
      <c r="B25" s="100">
        <v>6.35</v>
      </c>
      <c r="C25" s="100">
        <v>5.42</v>
      </c>
      <c r="D25" s="100">
        <v>7.93</v>
      </c>
      <c r="E25" s="100">
        <v>5.97</v>
      </c>
      <c r="F25" s="100">
        <v>2</v>
      </c>
      <c r="G25" s="100">
        <v>14.05</v>
      </c>
      <c r="H25" s="100">
        <v>3.07</v>
      </c>
      <c r="I25" s="100">
        <v>4.17</v>
      </c>
      <c r="J25" s="100">
        <v>0.17</v>
      </c>
      <c r="K25" s="100">
        <v>117.44</v>
      </c>
      <c r="L25" s="100">
        <v>14.23</v>
      </c>
      <c r="M25" s="100">
        <v>17.84</v>
      </c>
      <c r="N25" s="100">
        <v>2.2999999999999998</v>
      </c>
      <c r="O25" s="100">
        <v>0</v>
      </c>
      <c r="P25" s="100">
        <v>0.23</v>
      </c>
      <c r="Q25" s="100">
        <v>9.32</v>
      </c>
      <c r="R25" s="6"/>
      <c r="S25" s="6"/>
      <c r="T25" s="156"/>
      <c r="U25" s="6"/>
    </row>
    <row r="26" spans="1:21" customFormat="1">
      <c r="A26" s="201" t="s">
        <v>3041</v>
      </c>
      <c r="B26" s="100">
        <v>6.4</v>
      </c>
      <c r="C26" s="100">
        <v>5.38</v>
      </c>
      <c r="D26" s="100">
        <v>7.94</v>
      </c>
      <c r="E26" s="100">
        <v>5.63</v>
      </c>
      <c r="F26" s="100">
        <v>2</v>
      </c>
      <c r="G26" s="100">
        <v>14.05</v>
      </c>
      <c r="H26" s="100">
        <v>3.07</v>
      </c>
      <c r="I26" s="100">
        <v>4.16</v>
      </c>
      <c r="J26" s="100">
        <v>0.19</v>
      </c>
      <c r="K26" s="100">
        <v>130.75</v>
      </c>
      <c r="L26" s="100">
        <v>14.07</v>
      </c>
      <c r="M26" s="100">
        <v>17.45</v>
      </c>
      <c r="N26" s="100">
        <v>2.2999999999999998</v>
      </c>
      <c r="O26" s="100">
        <v>0</v>
      </c>
      <c r="P26" s="100">
        <v>0.22</v>
      </c>
      <c r="Q26" s="100">
        <v>9.32</v>
      </c>
      <c r="R26" s="6"/>
      <c r="S26" s="6"/>
      <c r="T26" s="156"/>
      <c r="U26" s="6"/>
    </row>
    <row r="27" spans="1:21" customFormat="1">
      <c r="A27" s="201" t="s">
        <v>3042</v>
      </c>
      <c r="B27" s="100">
        <v>6.49</v>
      </c>
      <c r="C27" s="100">
        <v>5.49</v>
      </c>
      <c r="D27" s="100">
        <v>8.07</v>
      </c>
      <c r="E27" s="100">
        <v>6.09</v>
      </c>
      <c r="F27" s="100">
        <v>2</v>
      </c>
      <c r="G27" s="100">
        <v>13.25</v>
      </c>
      <c r="H27" s="100">
        <v>2.94</v>
      </c>
      <c r="I27" s="100">
        <v>4.1100000000000003</v>
      </c>
      <c r="J27" s="100">
        <v>0.22</v>
      </c>
      <c r="K27" s="100">
        <v>122.97</v>
      </c>
      <c r="L27" s="100">
        <v>13.84</v>
      </c>
      <c r="M27" s="100">
        <v>16.850000000000001</v>
      </c>
      <c r="N27" s="100">
        <v>2.2999999999999998</v>
      </c>
      <c r="O27" s="100">
        <v>0</v>
      </c>
      <c r="P27" s="100">
        <v>0.23</v>
      </c>
      <c r="Q27" s="100">
        <v>9.32</v>
      </c>
      <c r="R27" s="6"/>
      <c r="S27" s="6"/>
      <c r="T27" s="156"/>
      <c r="U27" s="6"/>
    </row>
    <row r="28" spans="1:21" customFormat="1">
      <c r="A28" s="201" t="s">
        <v>3043</v>
      </c>
      <c r="B28" s="100">
        <v>6.58</v>
      </c>
      <c r="C28" s="100">
        <v>5.53</v>
      </c>
      <c r="D28" s="100">
        <v>8.16</v>
      </c>
      <c r="E28" s="100">
        <v>6.04</v>
      </c>
      <c r="F28" s="100">
        <v>2</v>
      </c>
      <c r="G28" s="100">
        <v>12.96</v>
      </c>
      <c r="H28" s="100">
        <v>2.94</v>
      </c>
      <c r="I28" s="100">
        <v>4.04</v>
      </c>
      <c r="J28" s="100">
        <v>0.16</v>
      </c>
      <c r="K28" s="100">
        <v>141.38999999999999</v>
      </c>
      <c r="L28" s="100">
        <v>15.37</v>
      </c>
      <c r="M28" s="100">
        <v>20.66</v>
      </c>
      <c r="N28" s="100">
        <v>2.2999999999999998</v>
      </c>
      <c r="O28" s="100">
        <v>0</v>
      </c>
      <c r="P28" s="100">
        <v>0.24</v>
      </c>
      <c r="Q28" s="100">
        <v>9.32</v>
      </c>
      <c r="R28" s="6"/>
      <c r="S28" s="6"/>
      <c r="T28" s="156"/>
      <c r="U28" s="6"/>
    </row>
    <row r="29" spans="1:21" customFormat="1">
      <c r="A29" s="201" t="s">
        <v>3044</v>
      </c>
      <c r="B29" s="100">
        <v>6.54</v>
      </c>
      <c r="C29" s="100">
        <v>5.44</v>
      </c>
      <c r="D29" s="100">
        <v>8.09</v>
      </c>
      <c r="E29" s="100">
        <v>5.91</v>
      </c>
      <c r="F29" s="100">
        <v>2</v>
      </c>
      <c r="G29" s="100">
        <v>12.96</v>
      </c>
      <c r="H29" s="100">
        <v>2.94</v>
      </c>
      <c r="I29" s="100">
        <v>4.0199999999999996</v>
      </c>
      <c r="J29" s="100">
        <v>0.36</v>
      </c>
      <c r="K29" s="100">
        <v>138.5</v>
      </c>
      <c r="L29" s="100">
        <v>12.85</v>
      </c>
      <c r="M29" s="100">
        <v>14.38</v>
      </c>
      <c r="N29" s="100">
        <v>2.2999999999999998</v>
      </c>
      <c r="O29" s="100">
        <v>0</v>
      </c>
      <c r="P29" s="100">
        <v>0.21</v>
      </c>
      <c r="Q29" s="100">
        <v>9.32</v>
      </c>
      <c r="R29" s="6"/>
      <c r="S29" s="6"/>
      <c r="T29" s="156"/>
      <c r="U29" s="6"/>
    </row>
    <row r="30" spans="1:21" customFormat="1">
      <c r="A30" s="201" t="s">
        <v>3045</v>
      </c>
      <c r="B30" s="100">
        <v>6.61</v>
      </c>
      <c r="C30" s="100">
        <v>5.6</v>
      </c>
      <c r="D30" s="100">
        <v>8.2200000000000006</v>
      </c>
      <c r="E30" s="100">
        <v>5.99</v>
      </c>
      <c r="F30" s="100">
        <v>2</v>
      </c>
      <c r="G30" s="100">
        <v>12.96</v>
      </c>
      <c r="H30" s="100">
        <v>2.94</v>
      </c>
      <c r="I30" s="100">
        <v>3.97</v>
      </c>
      <c r="J30" s="100">
        <v>0.2</v>
      </c>
      <c r="K30" s="100">
        <v>116.76</v>
      </c>
      <c r="L30" s="100">
        <v>13</v>
      </c>
      <c r="M30" s="100">
        <v>14.73</v>
      </c>
      <c r="N30" s="100">
        <v>2.2999999999999998</v>
      </c>
      <c r="O30" s="100">
        <v>0</v>
      </c>
      <c r="P30" s="100">
        <v>0.23</v>
      </c>
      <c r="Q30" s="100">
        <v>9.32</v>
      </c>
      <c r="R30" s="6"/>
      <c r="S30" s="6"/>
      <c r="T30" s="156"/>
      <c r="U30" s="6"/>
    </row>
    <row r="31" spans="1:21" customFormat="1">
      <c r="A31" s="201" t="s">
        <v>3046</v>
      </c>
      <c r="B31" s="100">
        <v>6.58</v>
      </c>
      <c r="C31" s="100">
        <v>5.6</v>
      </c>
      <c r="D31" s="100">
        <v>8.2100000000000009</v>
      </c>
      <c r="E31" s="100">
        <v>6.27</v>
      </c>
      <c r="F31" s="100">
        <v>2</v>
      </c>
      <c r="G31" s="100">
        <v>10.67</v>
      </c>
      <c r="H31" s="100">
        <v>2.29</v>
      </c>
      <c r="I31" s="100">
        <v>3.95</v>
      </c>
      <c r="J31" s="100">
        <v>0.27</v>
      </c>
      <c r="K31" s="100">
        <v>123.3</v>
      </c>
      <c r="L31" s="100">
        <v>13.46</v>
      </c>
      <c r="M31" s="100">
        <v>15.35</v>
      </c>
      <c r="N31" s="100">
        <v>2.4</v>
      </c>
      <c r="O31" s="100">
        <v>0</v>
      </c>
      <c r="P31" s="100">
        <v>0.21</v>
      </c>
      <c r="Q31" s="100">
        <v>9.32</v>
      </c>
      <c r="R31" s="6"/>
      <c r="S31" s="6"/>
      <c r="T31" s="156"/>
      <c r="U31" s="6"/>
    </row>
    <row r="32" spans="1:21" customFormat="1">
      <c r="A32" s="201" t="s">
        <v>3047</v>
      </c>
      <c r="B32" s="100">
        <v>6.68</v>
      </c>
      <c r="C32" s="100">
        <v>5.71</v>
      </c>
      <c r="D32" s="100">
        <v>8.34</v>
      </c>
      <c r="E32" s="100">
        <v>6.2</v>
      </c>
      <c r="F32" s="100">
        <v>2</v>
      </c>
      <c r="G32" s="100">
        <v>9.84</v>
      </c>
      <c r="H32" s="100">
        <v>2.27</v>
      </c>
      <c r="I32" s="100">
        <v>3.95</v>
      </c>
      <c r="J32" s="100">
        <v>0.28000000000000003</v>
      </c>
      <c r="K32" s="100">
        <v>103.93</v>
      </c>
      <c r="L32" s="100">
        <v>13.31</v>
      </c>
      <c r="M32" s="100">
        <v>15.44</v>
      </c>
      <c r="N32" s="100">
        <v>3.9</v>
      </c>
      <c r="O32" s="100">
        <v>0</v>
      </c>
      <c r="P32" s="100">
        <v>0.21</v>
      </c>
      <c r="Q32" s="100">
        <v>9.32</v>
      </c>
      <c r="R32" s="6"/>
      <c r="S32" s="6"/>
      <c r="T32" s="156"/>
      <c r="U32" s="6"/>
    </row>
    <row r="33" spans="1:21" customFormat="1">
      <c r="A33" s="201" t="s">
        <v>3048</v>
      </c>
      <c r="B33" s="100">
        <v>6.7</v>
      </c>
      <c r="C33" s="100">
        <v>5.7</v>
      </c>
      <c r="D33" s="100">
        <v>8.35</v>
      </c>
      <c r="E33" s="100">
        <v>6.26</v>
      </c>
      <c r="F33" s="100">
        <v>2</v>
      </c>
      <c r="G33" s="100">
        <v>9.84</v>
      </c>
      <c r="H33" s="100">
        <v>2.27</v>
      </c>
      <c r="I33" s="100">
        <v>3.93</v>
      </c>
      <c r="J33" s="100">
        <v>0.22</v>
      </c>
      <c r="K33" s="100">
        <v>101.2</v>
      </c>
      <c r="L33" s="100">
        <v>11.78</v>
      </c>
      <c r="M33" s="100">
        <v>11.53</v>
      </c>
      <c r="N33" s="100">
        <v>5.0999999999999996</v>
      </c>
      <c r="O33" s="100">
        <v>0</v>
      </c>
      <c r="P33" s="100">
        <v>0.23</v>
      </c>
      <c r="Q33" s="100">
        <v>9.32</v>
      </c>
      <c r="R33" s="6"/>
      <c r="S33" s="6"/>
      <c r="T33" s="156"/>
      <c r="U33" s="6"/>
    </row>
    <row r="34" spans="1:21" customFormat="1">
      <c r="A34" s="201" t="s">
        <v>3049</v>
      </c>
      <c r="B34" s="100">
        <v>6.66</v>
      </c>
      <c r="C34" s="100">
        <v>5.73</v>
      </c>
      <c r="D34" s="100">
        <v>8.34</v>
      </c>
      <c r="E34" s="100">
        <v>6.44</v>
      </c>
      <c r="F34" s="100">
        <v>2</v>
      </c>
      <c r="G34" s="100">
        <v>9.84</v>
      </c>
      <c r="H34" s="100">
        <v>2.27</v>
      </c>
      <c r="I34" s="100">
        <v>3.91</v>
      </c>
      <c r="J34" s="100">
        <v>0.21</v>
      </c>
      <c r="K34" s="100">
        <v>123.3</v>
      </c>
      <c r="L34" s="100">
        <v>13.08</v>
      </c>
      <c r="M34" s="100">
        <v>14.87</v>
      </c>
      <c r="N34" s="100">
        <v>5.4</v>
      </c>
      <c r="O34" s="100">
        <v>0</v>
      </c>
      <c r="P34" s="100">
        <v>0.21</v>
      </c>
      <c r="Q34" s="100">
        <v>9.32</v>
      </c>
      <c r="R34" s="6"/>
      <c r="S34" s="6"/>
      <c r="T34" s="156"/>
      <c r="U34" s="6"/>
    </row>
    <row r="35" spans="1:21" customFormat="1">
      <c r="A35" s="201" t="s">
        <v>3050</v>
      </c>
      <c r="B35" s="100">
        <v>6.72</v>
      </c>
      <c r="C35" s="100">
        <v>5.8</v>
      </c>
      <c r="D35" s="100">
        <v>8.42</v>
      </c>
      <c r="E35" s="100">
        <v>6.22</v>
      </c>
      <c r="F35" s="100">
        <v>2</v>
      </c>
      <c r="G35" s="100">
        <v>8.18</v>
      </c>
      <c r="H35" s="100">
        <v>2.71</v>
      </c>
      <c r="I35" s="100">
        <v>3.86</v>
      </c>
      <c r="J35" s="100">
        <v>0.26</v>
      </c>
      <c r="K35" s="100">
        <v>141.58000000000001</v>
      </c>
      <c r="L35" s="100">
        <v>13.89</v>
      </c>
      <c r="M35" s="100">
        <v>16.93</v>
      </c>
      <c r="N35" s="100">
        <v>6.7</v>
      </c>
      <c r="O35" s="100">
        <v>0</v>
      </c>
      <c r="P35" s="100">
        <v>0.21</v>
      </c>
      <c r="Q35" s="100">
        <v>9.32</v>
      </c>
      <c r="R35" s="6"/>
      <c r="S35" s="6"/>
      <c r="T35" s="156"/>
      <c r="U35" s="6"/>
    </row>
    <row r="36" spans="1:21" customFormat="1">
      <c r="A36" s="201" t="s">
        <v>3051</v>
      </c>
      <c r="B36" s="100">
        <v>6.67</v>
      </c>
      <c r="C36" s="100">
        <v>5.81</v>
      </c>
      <c r="D36" s="100">
        <v>8.3800000000000008</v>
      </c>
      <c r="E36" s="100">
        <v>6.26</v>
      </c>
      <c r="F36" s="100">
        <v>2</v>
      </c>
      <c r="G36" s="100">
        <v>7.54</v>
      </c>
      <c r="H36" s="100">
        <v>2.72</v>
      </c>
      <c r="I36" s="100">
        <v>3.86</v>
      </c>
      <c r="J36" s="100">
        <v>0.2</v>
      </c>
      <c r="K36" s="100">
        <v>112.6</v>
      </c>
      <c r="L36" s="100">
        <v>13.75</v>
      </c>
      <c r="M36" s="100">
        <v>16.399999999999999</v>
      </c>
      <c r="N36" s="100">
        <v>9.6999999999999993</v>
      </c>
      <c r="O36" s="100">
        <v>0.4</v>
      </c>
      <c r="P36" s="100">
        <v>0.21</v>
      </c>
      <c r="Q36" s="100">
        <v>9.32</v>
      </c>
      <c r="R36" s="6"/>
      <c r="S36" s="6"/>
      <c r="T36" s="156"/>
      <c r="U36" s="6"/>
    </row>
    <row r="37" spans="1:21" customFormat="1">
      <c r="A37" s="201" t="s">
        <v>3052</v>
      </c>
      <c r="B37" s="100">
        <v>6.73</v>
      </c>
      <c r="C37" s="100">
        <v>5.82</v>
      </c>
      <c r="D37" s="100">
        <v>8.44</v>
      </c>
      <c r="E37" s="100">
        <v>6.36</v>
      </c>
      <c r="F37" s="100">
        <v>2</v>
      </c>
      <c r="G37" s="100">
        <v>7.54</v>
      </c>
      <c r="H37" s="100">
        <v>2.72</v>
      </c>
      <c r="I37" s="100">
        <v>3.84</v>
      </c>
      <c r="J37" s="100">
        <v>0.31</v>
      </c>
      <c r="K37" s="100">
        <v>125.71</v>
      </c>
      <c r="L37" s="100">
        <v>13.85</v>
      </c>
      <c r="M37" s="100">
        <v>16.72</v>
      </c>
      <c r="N37" s="100">
        <v>10.6</v>
      </c>
      <c r="O37" s="100">
        <v>0.2</v>
      </c>
      <c r="P37" s="100">
        <v>0.2</v>
      </c>
      <c r="Q37" s="100">
        <v>9.32</v>
      </c>
      <c r="R37" s="6"/>
      <c r="S37" s="6"/>
      <c r="T37" s="156"/>
      <c r="U37" s="6"/>
    </row>
    <row r="38" spans="1:21" customFormat="1">
      <c r="A38" s="201" t="s">
        <v>3053</v>
      </c>
      <c r="B38" s="100">
        <v>6.72</v>
      </c>
      <c r="C38" s="100">
        <v>5.87</v>
      </c>
      <c r="D38" s="100">
        <v>8.4600000000000009</v>
      </c>
      <c r="E38" s="100">
        <v>6.41</v>
      </c>
      <c r="F38" s="100">
        <v>2</v>
      </c>
      <c r="G38" s="100">
        <v>7.54</v>
      </c>
      <c r="H38" s="100">
        <v>2.72</v>
      </c>
      <c r="I38" s="100">
        <v>3.82</v>
      </c>
      <c r="J38" s="100">
        <v>0.16</v>
      </c>
      <c r="K38" s="100">
        <v>101.37</v>
      </c>
      <c r="L38" s="100">
        <v>13.46</v>
      </c>
      <c r="M38" s="100">
        <v>15.6</v>
      </c>
      <c r="N38" s="100">
        <v>13.8</v>
      </c>
      <c r="O38" s="100">
        <v>0</v>
      </c>
      <c r="P38" s="100">
        <v>0.22</v>
      </c>
      <c r="Q38" s="100">
        <v>9.32</v>
      </c>
      <c r="R38" s="6"/>
      <c r="S38" s="6"/>
      <c r="T38" s="156"/>
      <c r="U38" s="6"/>
    </row>
    <row r="39" spans="1:21" customFormat="1">
      <c r="A39" s="201" t="s">
        <v>3054</v>
      </c>
      <c r="B39" s="100">
        <v>6.69</v>
      </c>
      <c r="C39" s="100">
        <v>5.9</v>
      </c>
      <c r="D39" s="100">
        <v>8.4499999999999993</v>
      </c>
      <c r="E39" s="100">
        <v>6.18</v>
      </c>
      <c r="F39" s="100">
        <v>2</v>
      </c>
      <c r="G39" s="100">
        <v>7.78</v>
      </c>
      <c r="H39" s="100">
        <v>2.4300000000000002</v>
      </c>
      <c r="I39" s="100">
        <v>3.83</v>
      </c>
      <c r="J39" s="100">
        <v>0.2</v>
      </c>
      <c r="K39" s="100">
        <v>131.97</v>
      </c>
      <c r="L39" s="100">
        <v>15.18</v>
      </c>
      <c r="M39" s="100">
        <v>19.7</v>
      </c>
      <c r="N39" s="100">
        <v>23.1</v>
      </c>
      <c r="O39" s="100">
        <v>0</v>
      </c>
      <c r="P39" s="100">
        <v>0.19</v>
      </c>
      <c r="Q39" s="100">
        <v>9.32</v>
      </c>
      <c r="R39" s="6"/>
      <c r="S39" s="6"/>
      <c r="T39" s="156"/>
      <c r="U39" s="6"/>
    </row>
    <row r="40" spans="1:21" customFormat="1">
      <c r="A40" s="201" t="s">
        <v>3055</v>
      </c>
      <c r="B40" s="100">
        <v>6.55</v>
      </c>
      <c r="C40" s="100">
        <v>5.93</v>
      </c>
      <c r="D40" s="100">
        <v>8.35</v>
      </c>
      <c r="E40" s="100">
        <v>5.94</v>
      </c>
      <c r="F40" s="100">
        <v>2</v>
      </c>
      <c r="G40" s="100">
        <v>7.87</v>
      </c>
      <c r="H40" s="100">
        <v>2.42</v>
      </c>
      <c r="I40" s="100">
        <v>3.78</v>
      </c>
      <c r="J40" s="100">
        <v>0.32</v>
      </c>
      <c r="K40" s="100">
        <v>143.57</v>
      </c>
      <c r="L40" s="100">
        <v>14.07</v>
      </c>
      <c r="M40" s="100">
        <v>17.329999999999998</v>
      </c>
      <c r="N40" s="100">
        <v>38.1</v>
      </c>
      <c r="O40" s="100">
        <v>0</v>
      </c>
      <c r="P40" s="100">
        <v>0.17</v>
      </c>
      <c r="Q40" s="100">
        <v>9.32</v>
      </c>
      <c r="R40" s="6"/>
      <c r="S40" s="6"/>
      <c r="T40" s="156"/>
      <c r="U40" s="6"/>
    </row>
    <row r="41" spans="1:21" customFormat="1">
      <c r="A41" s="201" t="s">
        <v>3056</v>
      </c>
      <c r="B41" s="100">
        <v>6.34</v>
      </c>
      <c r="C41" s="100">
        <v>6.08</v>
      </c>
      <c r="D41" s="100">
        <v>8.26</v>
      </c>
      <c r="E41" s="100">
        <v>6</v>
      </c>
      <c r="F41" s="100">
        <v>2</v>
      </c>
      <c r="G41" s="100">
        <v>7.87</v>
      </c>
      <c r="H41" s="100">
        <v>2.42</v>
      </c>
      <c r="I41" s="100">
        <v>3.8</v>
      </c>
      <c r="J41" s="100">
        <v>0.21</v>
      </c>
      <c r="K41" s="100">
        <v>111.29</v>
      </c>
      <c r="L41" s="100">
        <v>13.62</v>
      </c>
      <c r="M41" s="100">
        <v>15.9</v>
      </c>
      <c r="N41" s="100">
        <v>17.8</v>
      </c>
      <c r="O41" s="100">
        <v>0</v>
      </c>
      <c r="P41" s="100">
        <v>0.17</v>
      </c>
      <c r="Q41" s="100">
        <v>9.32</v>
      </c>
      <c r="R41" s="6"/>
      <c r="S41" s="6"/>
      <c r="T41" s="156"/>
      <c r="U41" s="6"/>
    </row>
    <row r="42" spans="1:21" customFormat="1">
      <c r="A42" s="201" t="s">
        <v>3057</v>
      </c>
      <c r="B42" s="100">
        <v>6.14</v>
      </c>
      <c r="C42" s="100">
        <v>6.11</v>
      </c>
      <c r="D42" s="100">
        <v>8.1199999999999992</v>
      </c>
      <c r="E42" s="100">
        <v>5.95</v>
      </c>
      <c r="F42" s="100">
        <v>2</v>
      </c>
      <c r="G42" s="100">
        <v>7.87</v>
      </c>
      <c r="H42" s="100">
        <v>2.42</v>
      </c>
      <c r="I42" s="100">
        <v>3.85</v>
      </c>
      <c r="J42" s="100">
        <v>0.23</v>
      </c>
      <c r="K42" s="100">
        <v>153.84</v>
      </c>
      <c r="L42" s="100">
        <v>15.17</v>
      </c>
      <c r="M42" s="100">
        <v>19.510000000000002</v>
      </c>
      <c r="N42" s="100">
        <v>29.9</v>
      </c>
      <c r="O42" s="100">
        <v>0</v>
      </c>
      <c r="P42" s="100">
        <v>0.17</v>
      </c>
      <c r="Q42" s="100">
        <v>9.32</v>
      </c>
      <c r="R42" s="6"/>
      <c r="S42" s="6"/>
      <c r="T42" s="156"/>
      <c r="U42" s="6"/>
    </row>
    <row r="43" spans="1:21" customFormat="1">
      <c r="A43" s="201" t="s">
        <v>3058</v>
      </c>
      <c r="B43" s="100">
        <v>5.92</v>
      </c>
      <c r="C43" s="100">
        <v>6.15</v>
      </c>
      <c r="D43" s="100">
        <v>7.96</v>
      </c>
      <c r="E43" s="100">
        <v>5.79</v>
      </c>
      <c r="F43" s="100">
        <v>2</v>
      </c>
      <c r="G43" s="100">
        <v>7.17</v>
      </c>
      <c r="H43" s="100">
        <v>3.88</v>
      </c>
      <c r="I43" s="100">
        <v>3.83</v>
      </c>
      <c r="J43" s="100">
        <v>0.27</v>
      </c>
      <c r="K43" s="100">
        <v>139.66999999999999</v>
      </c>
      <c r="L43" s="100">
        <v>14.92</v>
      </c>
      <c r="M43" s="100">
        <v>18.690000000000001</v>
      </c>
      <c r="N43" s="100">
        <v>40.4</v>
      </c>
      <c r="O43" s="100">
        <v>0.2</v>
      </c>
      <c r="P43" s="100">
        <v>0.17</v>
      </c>
      <c r="Q43" s="100">
        <v>9.32</v>
      </c>
      <c r="R43" s="6"/>
      <c r="S43" s="6"/>
      <c r="T43" s="156"/>
      <c r="U43" s="6"/>
    </row>
    <row r="44" spans="1:21" customFormat="1">
      <c r="A44" s="201" t="s">
        <v>3059</v>
      </c>
      <c r="B44" s="100">
        <v>5.77</v>
      </c>
      <c r="C44" s="100">
        <v>6.1</v>
      </c>
      <c r="D44" s="100">
        <v>7.81</v>
      </c>
      <c r="E44" s="100">
        <v>6.17</v>
      </c>
      <c r="F44" s="100">
        <v>2</v>
      </c>
      <c r="G44" s="100">
        <v>6.91</v>
      </c>
      <c r="H44" s="100">
        <v>3.92</v>
      </c>
      <c r="I44" s="100">
        <v>3.74</v>
      </c>
      <c r="J44" s="100">
        <v>0.22</v>
      </c>
      <c r="K44" s="100">
        <v>130.82</v>
      </c>
      <c r="L44" s="100">
        <v>14.76</v>
      </c>
      <c r="M44" s="100">
        <v>18.11</v>
      </c>
      <c r="N44" s="100">
        <v>44.9</v>
      </c>
      <c r="O44" s="100">
        <v>0.4</v>
      </c>
      <c r="P44" s="100">
        <v>0.17</v>
      </c>
      <c r="Q44" s="100">
        <v>9.32</v>
      </c>
      <c r="R44" s="6"/>
      <c r="S44" s="6"/>
      <c r="T44" s="156"/>
      <c r="U44" s="6"/>
    </row>
    <row r="45" spans="1:21" customFormat="1">
      <c r="A45" s="201" t="s">
        <v>3060</v>
      </c>
      <c r="B45" s="100">
        <v>5.66</v>
      </c>
      <c r="C45" s="100">
        <v>5.96</v>
      </c>
      <c r="D45" s="100">
        <v>7.65</v>
      </c>
      <c r="E45" s="100">
        <v>6.21</v>
      </c>
      <c r="F45" s="100">
        <v>2</v>
      </c>
      <c r="G45" s="100">
        <v>6.91</v>
      </c>
      <c r="H45" s="100">
        <v>3.92</v>
      </c>
      <c r="I45" s="100">
        <v>3.69</v>
      </c>
      <c r="J45" s="100">
        <v>0.23</v>
      </c>
      <c r="K45" s="100">
        <v>131.07</v>
      </c>
      <c r="L45" s="100">
        <v>14.34</v>
      </c>
      <c r="M45" s="100">
        <v>17.11</v>
      </c>
      <c r="N45" s="100">
        <v>45.4</v>
      </c>
      <c r="O45" s="100">
        <v>0</v>
      </c>
      <c r="P45" s="100">
        <v>0.18</v>
      </c>
      <c r="Q45" s="100">
        <v>9.32</v>
      </c>
      <c r="R45" s="6"/>
      <c r="S45" s="6"/>
      <c r="T45" s="156"/>
      <c r="U45" s="6"/>
    </row>
    <row r="46" spans="1:21" customFormat="1">
      <c r="A46" s="201" t="s">
        <v>3061</v>
      </c>
      <c r="B46" s="100">
        <v>5.52</v>
      </c>
      <c r="C46" s="100">
        <v>5.9</v>
      </c>
      <c r="D46" s="100">
        <v>7.51</v>
      </c>
      <c r="E46" s="100">
        <v>5.97</v>
      </c>
      <c r="F46" s="100">
        <v>2</v>
      </c>
      <c r="G46" s="100">
        <v>6.91</v>
      </c>
      <c r="H46" s="100">
        <v>3.92</v>
      </c>
      <c r="I46" s="100">
        <v>3.69</v>
      </c>
      <c r="J46" s="100">
        <v>0.33</v>
      </c>
      <c r="K46" s="100">
        <v>118.41</v>
      </c>
      <c r="L46" s="100">
        <v>13.52</v>
      </c>
      <c r="M46" s="100">
        <v>14.3</v>
      </c>
      <c r="N46" s="100">
        <v>77.8</v>
      </c>
      <c r="O46" s="100">
        <v>0</v>
      </c>
      <c r="P46" s="100">
        <v>0.17</v>
      </c>
      <c r="Q46" s="100">
        <v>9.32</v>
      </c>
      <c r="R46" s="6"/>
      <c r="S46" s="6"/>
      <c r="T46" s="156"/>
      <c r="U46" s="6"/>
    </row>
    <row r="47" spans="1:21" customFormat="1">
      <c r="A47" s="201" t="s">
        <v>3062</v>
      </c>
      <c r="B47" s="100">
        <v>5.38</v>
      </c>
      <c r="C47" s="100">
        <v>5.88</v>
      </c>
      <c r="D47" s="100">
        <v>7.39</v>
      </c>
      <c r="E47" s="100">
        <v>6.22</v>
      </c>
      <c r="F47" s="100">
        <v>2</v>
      </c>
      <c r="G47" s="100">
        <v>9.0399999999999991</v>
      </c>
      <c r="H47" s="100">
        <v>3.5</v>
      </c>
      <c r="I47" s="100">
        <v>3.58</v>
      </c>
      <c r="J47" s="100">
        <v>0.28000000000000003</v>
      </c>
      <c r="K47" s="100">
        <v>96.11</v>
      </c>
      <c r="L47" s="100">
        <v>12.85</v>
      </c>
      <c r="M47" s="100">
        <v>12.01</v>
      </c>
      <c r="N47" s="100">
        <v>99</v>
      </c>
      <c r="O47" s="100">
        <v>0</v>
      </c>
      <c r="P47" s="100">
        <v>0.18</v>
      </c>
      <c r="Q47" s="100">
        <v>9.32</v>
      </c>
      <c r="R47" s="6"/>
      <c r="S47" s="6"/>
      <c r="T47" s="156"/>
      <c r="U47" s="6"/>
    </row>
    <row r="48" spans="1:21" customFormat="1">
      <c r="A48" s="201" t="s">
        <v>3063</v>
      </c>
      <c r="B48" s="100">
        <v>5.26</v>
      </c>
      <c r="C48" s="100">
        <v>5.86</v>
      </c>
      <c r="D48" s="100">
        <v>7.28</v>
      </c>
      <c r="E48" s="100">
        <v>6.26</v>
      </c>
      <c r="F48" s="100">
        <v>2</v>
      </c>
      <c r="G48" s="100">
        <v>9.82</v>
      </c>
      <c r="H48" s="100">
        <v>3.48</v>
      </c>
      <c r="I48" s="100">
        <v>3.52</v>
      </c>
      <c r="J48" s="100">
        <v>0.26</v>
      </c>
      <c r="K48" s="100">
        <v>127.18</v>
      </c>
      <c r="L48" s="100">
        <v>13.96</v>
      </c>
      <c r="M48" s="100">
        <v>15.39</v>
      </c>
      <c r="N48" s="100">
        <v>69.5</v>
      </c>
      <c r="O48" s="100">
        <v>0</v>
      </c>
      <c r="P48" s="100">
        <v>0.18</v>
      </c>
      <c r="Q48" s="100">
        <v>9.32</v>
      </c>
      <c r="R48" s="6"/>
      <c r="S48" s="6"/>
      <c r="T48" s="156"/>
      <c r="U48" s="6"/>
    </row>
    <row r="49" spans="1:21" customFormat="1">
      <c r="A49" s="201" t="s">
        <v>3064</v>
      </c>
      <c r="B49" s="100">
        <v>5.12</v>
      </c>
      <c r="C49" s="100">
        <v>5.78</v>
      </c>
      <c r="D49" s="100">
        <v>7.13</v>
      </c>
      <c r="E49" s="100">
        <v>5.35</v>
      </c>
      <c r="F49" s="100">
        <v>2</v>
      </c>
      <c r="G49" s="100">
        <v>9.82</v>
      </c>
      <c r="H49" s="100">
        <v>3.48</v>
      </c>
      <c r="I49" s="100">
        <v>3.57</v>
      </c>
      <c r="J49" s="100">
        <v>0.24</v>
      </c>
      <c r="K49" s="100">
        <v>112.34</v>
      </c>
      <c r="L49" s="100">
        <v>12.52</v>
      </c>
      <c r="M49" s="100">
        <v>12.56</v>
      </c>
      <c r="N49" s="100">
        <v>40.200000000000003</v>
      </c>
      <c r="O49" s="100">
        <v>0</v>
      </c>
      <c r="P49" s="100">
        <v>0.18</v>
      </c>
      <c r="Q49" s="100">
        <v>9.32</v>
      </c>
      <c r="R49" s="6"/>
      <c r="S49" s="6"/>
      <c r="T49" s="156"/>
      <c r="U49" s="6"/>
    </row>
    <row r="50" spans="1:21" customFormat="1">
      <c r="A50" s="201" t="s">
        <v>3065</v>
      </c>
      <c r="B50" s="100">
        <v>4.99</v>
      </c>
      <c r="C50" s="100">
        <v>5.85</v>
      </c>
      <c r="D50" s="100">
        <v>7.05</v>
      </c>
      <c r="E50" s="100">
        <v>6.63</v>
      </c>
      <c r="F50" s="100">
        <v>2</v>
      </c>
      <c r="G50" s="100">
        <v>9.82</v>
      </c>
      <c r="H50" s="100">
        <v>3.48</v>
      </c>
      <c r="I50" s="100">
        <v>3.54</v>
      </c>
      <c r="J50" s="100">
        <v>0.27</v>
      </c>
      <c r="K50" s="100">
        <v>111.38</v>
      </c>
      <c r="L50" s="100">
        <v>13.45</v>
      </c>
      <c r="M50" s="100">
        <v>15.02</v>
      </c>
      <c r="N50" s="100">
        <v>38</v>
      </c>
      <c r="O50" s="100">
        <v>0</v>
      </c>
      <c r="P50" s="100">
        <v>0.18</v>
      </c>
      <c r="Q50" s="100">
        <v>9.32</v>
      </c>
      <c r="R50" s="6"/>
      <c r="S50" s="6"/>
      <c r="T50" s="156"/>
      <c r="U50" s="6"/>
    </row>
    <row r="51" spans="1:21" customFormat="1">
      <c r="A51" s="201" t="s">
        <v>3066</v>
      </c>
      <c r="B51" s="100">
        <v>4.97</v>
      </c>
      <c r="C51" s="100">
        <v>5.72</v>
      </c>
      <c r="D51" s="100">
        <v>6.97</v>
      </c>
      <c r="E51" s="100">
        <v>6.64</v>
      </c>
      <c r="F51" s="100">
        <v>2</v>
      </c>
      <c r="G51" s="100">
        <v>10.62</v>
      </c>
      <c r="H51" s="100">
        <v>4.99</v>
      </c>
      <c r="I51" s="100">
        <v>3.48</v>
      </c>
      <c r="J51" s="100">
        <v>0.27</v>
      </c>
      <c r="K51" s="100">
        <v>121.87</v>
      </c>
      <c r="L51" s="100">
        <v>13.85</v>
      </c>
      <c r="M51" s="100">
        <v>15.8</v>
      </c>
      <c r="N51" s="100">
        <v>44.6</v>
      </c>
      <c r="O51" s="100">
        <v>0</v>
      </c>
      <c r="P51" s="100">
        <v>0.17</v>
      </c>
      <c r="Q51" s="100">
        <v>9.32</v>
      </c>
      <c r="R51" s="6"/>
      <c r="S51" s="6"/>
      <c r="T51" s="156"/>
      <c r="U51" s="6"/>
    </row>
    <row r="52" spans="1:21" customFormat="1">
      <c r="A52" s="201" t="s">
        <v>3067</v>
      </c>
      <c r="B52" s="100">
        <v>4.93</v>
      </c>
      <c r="C52" s="100">
        <v>5.67</v>
      </c>
      <c r="D52" s="100">
        <v>6.92</v>
      </c>
      <c r="E52" s="100">
        <v>6.58</v>
      </c>
      <c r="F52" s="100">
        <v>2</v>
      </c>
      <c r="G52" s="100">
        <v>10.91</v>
      </c>
      <c r="H52" s="100">
        <v>5.0199999999999996</v>
      </c>
      <c r="I52" s="100">
        <v>3.5</v>
      </c>
      <c r="J52" s="100">
        <v>0.28999999999999998</v>
      </c>
      <c r="K52" s="100">
        <v>107.52</v>
      </c>
      <c r="L52" s="100">
        <v>13.4</v>
      </c>
      <c r="M52" s="100">
        <v>13.33</v>
      </c>
      <c r="N52" s="100">
        <v>104.6</v>
      </c>
      <c r="O52" s="100">
        <v>0</v>
      </c>
      <c r="P52" s="100">
        <v>0.18</v>
      </c>
      <c r="Q52" s="100">
        <v>9.32</v>
      </c>
      <c r="R52" s="6"/>
      <c r="S52" s="6"/>
      <c r="T52" s="156"/>
      <c r="U52" s="6"/>
    </row>
    <row r="53" spans="1:21" customFormat="1">
      <c r="A53" s="201" t="s">
        <v>3068</v>
      </c>
      <c r="B53" s="100">
        <v>4.8499999999999996</v>
      </c>
      <c r="C53" s="100">
        <v>5.6</v>
      </c>
      <c r="D53" s="100">
        <v>6.81</v>
      </c>
      <c r="E53" s="100">
        <v>6.61</v>
      </c>
      <c r="F53" s="100">
        <v>2</v>
      </c>
      <c r="G53" s="100">
        <v>10.91</v>
      </c>
      <c r="H53" s="100">
        <v>5.0199999999999996</v>
      </c>
      <c r="I53" s="100">
        <v>3.48</v>
      </c>
      <c r="J53" s="100">
        <v>0.32</v>
      </c>
      <c r="K53" s="100">
        <v>133.56</v>
      </c>
      <c r="L53" s="100">
        <v>13.55</v>
      </c>
      <c r="M53" s="100">
        <v>14.65</v>
      </c>
      <c r="N53" s="100">
        <v>63.7</v>
      </c>
      <c r="O53" s="100">
        <v>0</v>
      </c>
      <c r="P53" s="100">
        <v>0.19</v>
      </c>
      <c r="Q53" s="100">
        <v>9.32</v>
      </c>
      <c r="R53" s="6"/>
      <c r="S53" s="6"/>
      <c r="T53" s="156"/>
      <c r="U53" s="6"/>
    </row>
    <row r="54" spans="1:21" customFormat="1">
      <c r="A54" s="201" t="s">
        <v>3069</v>
      </c>
      <c r="B54" s="100">
        <v>4.7</v>
      </c>
      <c r="C54" s="100">
        <v>5.62</v>
      </c>
      <c r="D54" s="100">
        <v>6.71</v>
      </c>
      <c r="E54" s="100">
        <v>6.67</v>
      </c>
      <c r="F54" s="100">
        <v>2</v>
      </c>
      <c r="G54" s="100">
        <v>10.91</v>
      </c>
      <c r="H54" s="100">
        <v>5.0199999999999996</v>
      </c>
      <c r="I54" s="100">
        <v>3.44</v>
      </c>
      <c r="J54" s="100">
        <v>0.28999999999999998</v>
      </c>
      <c r="K54" s="100">
        <v>110.7</v>
      </c>
      <c r="L54" s="100">
        <v>14.17</v>
      </c>
      <c r="M54" s="100">
        <v>15.54</v>
      </c>
      <c r="N54" s="100">
        <v>91.2</v>
      </c>
      <c r="O54" s="100">
        <v>0</v>
      </c>
      <c r="P54" s="100">
        <v>0.18</v>
      </c>
      <c r="Q54" s="100">
        <v>9.32</v>
      </c>
      <c r="R54" s="6"/>
      <c r="S54" s="6"/>
      <c r="T54" s="156"/>
      <c r="U54" s="6"/>
    </row>
    <row r="55" spans="1:21" customFormat="1">
      <c r="A55" s="201" t="s">
        <v>3070</v>
      </c>
      <c r="B55" s="100">
        <v>4.5999999999999996</v>
      </c>
      <c r="C55" s="100">
        <v>5.62</v>
      </c>
      <c r="D55" s="100">
        <v>6.63</v>
      </c>
      <c r="E55" s="100">
        <v>6.78</v>
      </c>
      <c r="F55" s="100">
        <v>2</v>
      </c>
      <c r="G55" s="100">
        <v>11.3</v>
      </c>
      <c r="H55" s="100">
        <v>3.62</v>
      </c>
      <c r="I55" s="100">
        <v>3.4</v>
      </c>
      <c r="J55" s="100">
        <v>0.19</v>
      </c>
      <c r="K55" s="100">
        <v>149.97</v>
      </c>
      <c r="L55" s="100">
        <v>15.86</v>
      </c>
      <c r="M55" s="100">
        <v>20.97</v>
      </c>
      <c r="N55" s="100">
        <v>42.6</v>
      </c>
      <c r="O55" s="100">
        <v>0</v>
      </c>
      <c r="P55" s="100">
        <v>0.18</v>
      </c>
      <c r="Q55" s="100">
        <v>9.32</v>
      </c>
      <c r="R55" s="6"/>
      <c r="S55" s="6"/>
      <c r="T55" s="156"/>
      <c r="U55" s="6"/>
    </row>
    <row r="56" spans="1:21" customFormat="1">
      <c r="A56" s="201" t="s">
        <v>3071</v>
      </c>
      <c r="B56" s="100">
        <v>4.57</v>
      </c>
      <c r="C56" s="100">
        <v>5.55</v>
      </c>
      <c r="D56" s="100">
        <v>6.57</v>
      </c>
      <c r="E56" s="100">
        <v>7.03</v>
      </c>
      <c r="F56" s="100">
        <v>2</v>
      </c>
      <c r="G56" s="100">
        <v>11.44</v>
      </c>
      <c r="H56" s="100">
        <v>3.6</v>
      </c>
      <c r="I56" s="100">
        <v>3.4</v>
      </c>
      <c r="J56" s="100">
        <v>0.13</v>
      </c>
      <c r="K56" s="100">
        <v>140.05000000000001</v>
      </c>
      <c r="L56" s="100">
        <v>16.899999999999999</v>
      </c>
      <c r="M56" s="100">
        <v>23.59</v>
      </c>
      <c r="N56" s="100">
        <v>34.700000000000003</v>
      </c>
      <c r="O56" s="100">
        <v>0</v>
      </c>
      <c r="P56" s="100">
        <v>0.19</v>
      </c>
      <c r="Q56" s="100">
        <v>9.32</v>
      </c>
      <c r="R56" s="6"/>
      <c r="S56" s="6"/>
      <c r="T56" s="156"/>
      <c r="U56" s="6"/>
    </row>
    <row r="57" spans="1:21" customFormat="1">
      <c r="A57" s="201" t="s">
        <v>3072</v>
      </c>
      <c r="B57" s="100">
        <v>4.4800000000000004</v>
      </c>
      <c r="C57" s="100">
        <v>5.49</v>
      </c>
      <c r="D57" s="100">
        <v>6.46</v>
      </c>
      <c r="E57" s="100">
        <v>6.96</v>
      </c>
      <c r="F57" s="100">
        <v>2</v>
      </c>
      <c r="G57" s="100">
        <v>11.44</v>
      </c>
      <c r="H57" s="100">
        <v>3.6</v>
      </c>
      <c r="I57" s="100">
        <v>3.42</v>
      </c>
      <c r="J57" s="100">
        <v>0.11</v>
      </c>
      <c r="K57" s="100">
        <v>204.24</v>
      </c>
      <c r="L57" s="100">
        <v>19.52</v>
      </c>
      <c r="M57" s="100">
        <v>30.28</v>
      </c>
      <c r="N57" s="100">
        <v>31.4</v>
      </c>
      <c r="O57" s="100">
        <v>0</v>
      </c>
      <c r="P57" s="100">
        <v>0.19</v>
      </c>
      <c r="Q57" s="100">
        <v>9.32</v>
      </c>
      <c r="R57" s="6"/>
      <c r="S57" s="6"/>
      <c r="T57" s="156"/>
      <c r="U57" s="6"/>
    </row>
    <row r="58" spans="1:21" customFormat="1">
      <c r="A58" s="201" t="s">
        <v>3073</v>
      </c>
      <c r="B58" s="100">
        <v>4.3499999999999996</v>
      </c>
      <c r="C58" s="100">
        <v>5.47</v>
      </c>
      <c r="D58" s="100">
        <v>6.34</v>
      </c>
      <c r="E58" s="100">
        <v>7.05</v>
      </c>
      <c r="F58" s="100">
        <v>2</v>
      </c>
      <c r="G58" s="100">
        <v>11.44</v>
      </c>
      <c r="H58" s="100">
        <v>3.6</v>
      </c>
      <c r="I58" s="100">
        <v>3.37</v>
      </c>
      <c r="J58" s="100">
        <v>0.19</v>
      </c>
      <c r="K58" s="100">
        <v>175.61</v>
      </c>
      <c r="L58" s="100">
        <v>18.55</v>
      </c>
      <c r="M58" s="100">
        <v>27.52</v>
      </c>
      <c r="N58" s="100">
        <v>46.6</v>
      </c>
      <c r="O58" s="100">
        <v>0</v>
      </c>
      <c r="P58" s="100">
        <v>0.18</v>
      </c>
      <c r="Q58" s="100">
        <v>9.32</v>
      </c>
      <c r="R58" s="6"/>
      <c r="S58" s="6"/>
      <c r="T58" s="156"/>
      <c r="U58" s="6"/>
    </row>
    <row r="59" spans="1:21" customFormat="1">
      <c r="A59" s="201" t="s">
        <v>3074</v>
      </c>
      <c r="B59" s="100">
        <v>4.29</v>
      </c>
      <c r="C59" s="100">
        <v>5.61</v>
      </c>
      <c r="D59" s="100">
        <v>6.37</v>
      </c>
      <c r="E59" s="100">
        <v>6.73</v>
      </c>
      <c r="F59" s="100">
        <v>2</v>
      </c>
      <c r="G59" s="100">
        <v>11.99</v>
      </c>
      <c r="H59" s="100">
        <v>6.93</v>
      </c>
      <c r="I59" s="100">
        <v>3.32</v>
      </c>
      <c r="J59" s="100">
        <v>0.28000000000000003</v>
      </c>
      <c r="K59" s="100">
        <v>131.19</v>
      </c>
      <c r="L59" s="100">
        <v>15.37</v>
      </c>
      <c r="M59" s="100">
        <v>19.010000000000002</v>
      </c>
      <c r="N59" s="100">
        <v>70.599999999999994</v>
      </c>
      <c r="O59" s="100">
        <v>0</v>
      </c>
      <c r="P59" s="100">
        <v>0.22</v>
      </c>
      <c r="Q59" s="100">
        <v>9.32</v>
      </c>
      <c r="R59" s="6"/>
      <c r="S59" s="6"/>
      <c r="T59" s="156"/>
      <c r="U59" s="6"/>
    </row>
    <row r="60" spans="1:21" customFormat="1">
      <c r="A60" s="201" t="s">
        <v>3075</v>
      </c>
      <c r="B60" s="100">
        <v>4.21</v>
      </c>
      <c r="C60" s="100">
        <v>5.43</v>
      </c>
      <c r="D60" s="100">
        <v>6.21</v>
      </c>
      <c r="E60" s="100">
        <v>7.09</v>
      </c>
      <c r="F60" s="100">
        <v>2</v>
      </c>
      <c r="G60" s="100">
        <v>12.19</v>
      </c>
      <c r="H60" s="100">
        <v>7.03</v>
      </c>
      <c r="I60" s="100">
        <v>3.31</v>
      </c>
      <c r="J60" s="100">
        <v>0.3</v>
      </c>
      <c r="K60" s="100">
        <v>131.88999999999999</v>
      </c>
      <c r="L60" s="100">
        <v>15.86</v>
      </c>
      <c r="M60" s="100">
        <v>21.17</v>
      </c>
      <c r="N60" s="100">
        <v>34</v>
      </c>
      <c r="O60" s="100">
        <v>0</v>
      </c>
      <c r="P60" s="100">
        <v>0.21</v>
      </c>
      <c r="Q60" s="100">
        <v>9.32</v>
      </c>
      <c r="R60" s="6"/>
      <c r="S60" s="6"/>
      <c r="T60" s="156"/>
      <c r="U60" s="6"/>
    </row>
    <row r="61" spans="1:21" customFormat="1">
      <c r="A61" s="201" t="s">
        <v>3076</v>
      </c>
      <c r="B61" s="100">
        <v>4.2300000000000004</v>
      </c>
      <c r="C61" s="100">
        <v>5.29</v>
      </c>
      <c r="D61" s="100">
        <v>6.15</v>
      </c>
      <c r="E61" s="100">
        <v>6.65</v>
      </c>
      <c r="F61" s="100">
        <v>2</v>
      </c>
      <c r="G61" s="100">
        <v>12.19</v>
      </c>
      <c r="H61" s="100">
        <v>7.03</v>
      </c>
      <c r="I61" s="100">
        <v>3.29</v>
      </c>
      <c r="J61" s="100">
        <v>7.0000000000000007E-2</v>
      </c>
      <c r="K61" s="100">
        <v>258.70999999999998</v>
      </c>
      <c r="L61" s="100">
        <v>20.45</v>
      </c>
      <c r="M61" s="100">
        <v>32</v>
      </c>
      <c r="N61" s="100">
        <v>59.6</v>
      </c>
      <c r="O61" s="100">
        <v>0</v>
      </c>
      <c r="P61" s="100">
        <v>0.21</v>
      </c>
      <c r="Q61" s="100">
        <v>9.32</v>
      </c>
      <c r="R61" s="6"/>
      <c r="S61" s="6"/>
      <c r="T61" s="156"/>
      <c r="U61" s="6"/>
    </row>
    <row r="62" spans="1:21" customFormat="1">
      <c r="A62" s="201" t="s">
        <v>3077</v>
      </c>
      <c r="B62" s="100">
        <v>4.33</v>
      </c>
      <c r="C62" s="100">
        <v>5.32</v>
      </c>
      <c r="D62" s="100">
        <v>6.25</v>
      </c>
      <c r="E62" s="100">
        <v>6.63</v>
      </c>
      <c r="F62" s="100">
        <v>2</v>
      </c>
      <c r="G62" s="100">
        <v>12.19</v>
      </c>
      <c r="H62" s="100">
        <v>7.03</v>
      </c>
      <c r="I62" s="100">
        <v>3.28</v>
      </c>
      <c r="J62" s="100">
        <v>0.05</v>
      </c>
      <c r="K62" s="100">
        <v>194.42</v>
      </c>
      <c r="L62" s="100">
        <v>18.190000000000001</v>
      </c>
      <c r="M62" s="100">
        <v>26.18</v>
      </c>
      <c r="N62" s="100">
        <v>64.099999999999994</v>
      </c>
      <c r="O62" s="100">
        <v>0</v>
      </c>
      <c r="P62" s="100">
        <v>0.22</v>
      </c>
      <c r="Q62" s="100">
        <v>9.32</v>
      </c>
      <c r="R62" s="6"/>
      <c r="S62" s="6"/>
      <c r="T62" s="156"/>
      <c r="U62" s="6"/>
    </row>
    <row r="63" spans="1:21" customFormat="1">
      <c r="A63" s="201" t="s">
        <v>3078</v>
      </c>
      <c r="B63" s="100">
        <v>4.3499999999999996</v>
      </c>
      <c r="C63" s="100">
        <v>5.33</v>
      </c>
      <c r="D63" s="100">
        <v>6.27</v>
      </c>
      <c r="E63" s="100">
        <v>6.3</v>
      </c>
      <c r="F63" s="100">
        <v>2</v>
      </c>
      <c r="G63" s="100">
        <v>11.96</v>
      </c>
      <c r="H63" s="100">
        <v>5.18</v>
      </c>
      <c r="I63" s="100">
        <v>3.33</v>
      </c>
      <c r="J63" s="100">
        <v>7.0000000000000007E-2</v>
      </c>
      <c r="K63" s="100">
        <v>146.52000000000001</v>
      </c>
      <c r="L63" s="100">
        <v>16.940000000000001</v>
      </c>
      <c r="M63" s="100">
        <v>22.6</v>
      </c>
      <c r="N63" s="100">
        <v>84.3</v>
      </c>
      <c r="O63" s="100">
        <v>0</v>
      </c>
      <c r="P63" s="100">
        <v>0.21</v>
      </c>
      <c r="Q63" s="100">
        <v>9.32</v>
      </c>
      <c r="R63" s="6"/>
      <c r="S63" s="6"/>
      <c r="T63" s="156"/>
      <c r="U63" s="6"/>
    </row>
    <row r="64" spans="1:21" customFormat="1">
      <c r="A64" s="201" t="s">
        <v>3079</v>
      </c>
      <c r="B64" s="100">
        <v>4.37</v>
      </c>
      <c r="C64" s="100">
        <v>5.3</v>
      </c>
      <c r="D64" s="100">
        <v>6.27</v>
      </c>
      <c r="E64" s="100">
        <v>6.64</v>
      </c>
      <c r="F64" s="100">
        <v>2</v>
      </c>
      <c r="G64" s="100">
        <v>11.87</v>
      </c>
      <c r="H64" s="100">
        <v>5.13</v>
      </c>
      <c r="I64" s="100">
        <v>3.33</v>
      </c>
      <c r="J64" s="100">
        <v>0.12</v>
      </c>
      <c r="K64" s="100">
        <v>176.16</v>
      </c>
      <c r="L64" s="100">
        <v>19.21</v>
      </c>
      <c r="M64" s="100">
        <v>28.73</v>
      </c>
      <c r="N64" s="100">
        <v>66.8</v>
      </c>
      <c r="O64" s="100">
        <v>0</v>
      </c>
      <c r="P64" s="100">
        <v>0.21</v>
      </c>
      <c r="Q64" s="100">
        <v>9.32</v>
      </c>
      <c r="R64" s="6"/>
      <c r="S64" s="6"/>
      <c r="T64" s="156"/>
      <c r="U64" s="6"/>
    </row>
    <row r="65" spans="1:21" customFormat="1">
      <c r="A65" s="201" t="s">
        <v>3080</v>
      </c>
      <c r="B65" s="100">
        <v>4.2699999999999996</v>
      </c>
      <c r="C65" s="100">
        <v>5.27</v>
      </c>
      <c r="D65" s="100">
        <v>6.18</v>
      </c>
      <c r="E65" s="100">
        <v>6.25</v>
      </c>
      <c r="F65" s="100">
        <v>2</v>
      </c>
      <c r="G65" s="100">
        <v>11.87</v>
      </c>
      <c r="H65" s="100">
        <v>5.13</v>
      </c>
      <c r="I65" s="100">
        <v>3.37</v>
      </c>
      <c r="J65" s="100">
        <v>0.1</v>
      </c>
      <c r="K65" s="100">
        <v>152.66</v>
      </c>
      <c r="L65" s="100">
        <v>16.559999999999999</v>
      </c>
      <c r="M65" s="100">
        <v>22.68</v>
      </c>
      <c r="N65" s="100">
        <v>40.200000000000003</v>
      </c>
      <c r="O65" s="100">
        <v>0</v>
      </c>
      <c r="P65" s="100">
        <v>0.2</v>
      </c>
      <c r="Q65" s="100">
        <v>9.32</v>
      </c>
      <c r="R65" s="6"/>
      <c r="S65" s="6"/>
      <c r="T65" s="156"/>
      <c r="U65" s="6"/>
    </row>
    <row r="66" spans="1:21" customFormat="1">
      <c r="A66" s="201" t="s">
        <v>3081</v>
      </c>
      <c r="B66" s="100">
        <v>4.29</v>
      </c>
      <c r="C66" s="100">
        <v>5.33</v>
      </c>
      <c r="D66" s="100">
        <v>6.23</v>
      </c>
      <c r="E66" s="100">
        <v>6.06</v>
      </c>
      <c r="F66" s="100">
        <v>2</v>
      </c>
      <c r="G66" s="100">
        <v>11.87</v>
      </c>
      <c r="H66" s="100">
        <v>5.13</v>
      </c>
      <c r="I66" s="100">
        <v>3.39</v>
      </c>
      <c r="J66" s="100">
        <v>7.0000000000000007E-2</v>
      </c>
      <c r="K66" s="100">
        <v>240.16</v>
      </c>
      <c r="L66" s="100">
        <v>19.03</v>
      </c>
      <c r="M66" s="100">
        <v>29.15</v>
      </c>
      <c r="N66" s="100">
        <v>28.4</v>
      </c>
      <c r="O66" s="100">
        <v>0</v>
      </c>
      <c r="P66" s="100">
        <v>0.22</v>
      </c>
      <c r="Q66" s="100">
        <v>9.32</v>
      </c>
      <c r="R66" s="6"/>
      <c r="S66" s="6"/>
      <c r="T66" s="156"/>
      <c r="U66" s="6"/>
    </row>
    <row r="67" spans="1:21" customFormat="1">
      <c r="A67" s="201" t="s">
        <v>3082</v>
      </c>
      <c r="B67" s="100">
        <v>4.26</v>
      </c>
      <c r="C67" s="100">
        <v>5.42</v>
      </c>
      <c r="D67" s="100">
        <v>6.24</v>
      </c>
      <c r="E67" s="100">
        <v>6.06</v>
      </c>
      <c r="F67" s="100">
        <v>2</v>
      </c>
      <c r="G67" s="100">
        <v>13.76</v>
      </c>
      <c r="H67" s="100">
        <v>3.96</v>
      </c>
      <c r="I67" s="100">
        <v>3.33</v>
      </c>
      <c r="J67" s="100">
        <v>0.04</v>
      </c>
      <c r="K67" s="100">
        <v>204.55</v>
      </c>
      <c r="L67" s="100">
        <v>17.600000000000001</v>
      </c>
      <c r="M67" s="100">
        <v>25.87</v>
      </c>
      <c r="N67" s="100">
        <v>14.9</v>
      </c>
      <c r="O67" s="100">
        <v>0</v>
      </c>
      <c r="P67" s="100">
        <v>0.21</v>
      </c>
      <c r="Q67" s="100">
        <v>9.32</v>
      </c>
      <c r="R67" s="6"/>
      <c r="S67" s="6"/>
      <c r="T67" s="156"/>
      <c r="U67" s="6"/>
    </row>
    <row r="68" spans="1:21" customFormat="1">
      <c r="A68" s="201" t="s">
        <v>3083</v>
      </c>
      <c r="B68" s="100">
        <v>4.3</v>
      </c>
      <c r="C68" s="100">
        <v>5.42</v>
      </c>
      <c r="D68" s="100">
        <v>6.28</v>
      </c>
      <c r="E68" s="100">
        <v>6.37</v>
      </c>
      <c r="F68" s="100">
        <v>2</v>
      </c>
      <c r="G68" s="100">
        <v>14.45</v>
      </c>
      <c r="H68" s="100">
        <v>3.94</v>
      </c>
      <c r="I68" s="100">
        <v>3.31</v>
      </c>
      <c r="J68" s="100">
        <v>0.09</v>
      </c>
      <c r="K68" s="100">
        <v>215.09</v>
      </c>
      <c r="L68" s="100">
        <v>19.46</v>
      </c>
      <c r="M68" s="100">
        <v>30.51</v>
      </c>
      <c r="N68" s="100">
        <v>19.399999999999999</v>
      </c>
      <c r="O68" s="100">
        <v>0</v>
      </c>
      <c r="P68" s="100">
        <v>0.21</v>
      </c>
      <c r="Q68" s="100">
        <v>9.32</v>
      </c>
      <c r="R68" s="6"/>
      <c r="S68" s="6"/>
      <c r="T68" s="156"/>
      <c r="U68" s="6"/>
    </row>
    <row r="69" spans="1:21" customFormat="1">
      <c r="A69" s="201" t="s">
        <v>3084</v>
      </c>
      <c r="B69" s="100">
        <v>4.3099999999999996</v>
      </c>
      <c r="C69" s="100">
        <v>5.5</v>
      </c>
      <c r="D69" s="100">
        <v>6.33</v>
      </c>
      <c r="E69" s="100">
        <v>6.34</v>
      </c>
      <c r="F69" s="100">
        <v>2</v>
      </c>
      <c r="G69" s="100">
        <v>14.45</v>
      </c>
      <c r="H69" s="100">
        <v>3.94</v>
      </c>
      <c r="I69" s="100">
        <v>3.33</v>
      </c>
      <c r="J69" s="100">
        <v>0.1</v>
      </c>
      <c r="K69" s="100">
        <v>146.59</v>
      </c>
      <c r="L69" s="100">
        <v>14.87</v>
      </c>
      <c r="M69" s="100">
        <v>19.079999999999998</v>
      </c>
      <c r="N69" s="100">
        <v>14.2</v>
      </c>
      <c r="O69" s="100">
        <v>0</v>
      </c>
      <c r="P69" s="100">
        <v>0.21</v>
      </c>
      <c r="Q69" s="100">
        <v>9.32</v>
      </c>
      <c r="R69" s="6"/>
      <c r="S69" s="6"/>
      <c r="T69" s="156"/>
      <c r="U69" s="6"/>
    </row>
    <row r="70" spans="1:21" customFormat="1">
      <c r="A70" s="201" t="s">
        <v>3085</v>
      </c>
      <c r="B70" s="100">
        <v>4.42</v>
      </c>
      <c r="C70" s="100">
        <v>5.61</v>
      </c>
      <c r="D70" s="100">
        <v>6.48</v>
      </c>
      <c r="E70" s="100">
        <v>6.2</v>
      </c>
      <c r="F70" s="100">
        <v>2</v>
      </c>
      <c r="G70" s="100">
        <v>14.45</v>
      </c>
      <c r="H70" s="100">
        <v>3.94</v>
      </c>
      <c r="I70" s="100">
        <v>3.37</v>
      </c>
      <c r="J70" s="100">
        <v>0.02</v>
      </c>
      <c r="K70" s="100">
        <v>149.29</v>
      </c>
      <c r="L70" s="100">
        <v>17.309999999999999</v>
      </c>
      <c r="M70" s="100">
        <v>25.35</v>
      </c>
      <c r="N70" s="100">
        <v>9.9</v>
      </c>
      <c r="O70" s="100">
        <v>0</v>
      </c>
      <c r="P70" s="100">
        <v>0.22</v>
      </c>
      <c r="Q70" s="100">
        <v>9.32</v>
      </c>
      <c r="R70" s="6"/>
      <c r="S70" s="6"/>
      <c r="T70" s="156"/>
      <c r="U70" s="6"/>
    </row>
    <row r="71" spans="1:21" customFormat="1">
      <c r="A71" s="201" t="s">
        <v>3086</v>
      </c>
      <c r="B71" s="100">
        <v>4.46</v>
      </c>
      <c r="C71" s="100">
        <v>5.55</v>
      </c>
      <c r="D71" s="100">
        <v>6.48</v>
      </c>
      <c r="E71" s="100">
        <v>6.14</v>
      </c>
      <c r="F71" s="100">
        <v>2</v>
      </c>
      <c r="G71" s="100">
        <v>12.72</v>
      </c>
      <c r="H71" s="100">
        <v>3.02</v>
      </c>
      <c r="I71" s="100">
        <v>3.36</v>
      </c>
      <c r="J71" s="100">
        <v>0.12</v>
      </c>
      <c r="K71" s="100">
        <v>242.48</v>
      </c>
      <c r="L71" s="100">
        <v>19.38</v>
      </c>
      <c r="M71" s="100">
        <v>30.58</v>
      </c>
      <c r="N71" s="100">
        <v>9.1999999999999993</v>
      </c>
      <c r="O71" s="100">
        <v>0</v>
      </c>
      <c r="P71" s="100">
        <v>0.21</v>
      </c>
      <c r="Q71" s="100">
        <v>9.32</v>
      </c>
      <c r="R71" s="6"/>
      <c r="S71" s="6"/>
      <c r="T71" s="156"/>
      <c r="U71" s="6"/>
    </row>
    <row r="72" spans="1:21" customFormat="1">
      <c r="A72" s="201" t="s">
        <v>3087</v>
      </c>
      <c r="B72" s="100">
        <v>4.4400000000000004</v>
      </c>
      <c r="C72" s="100">
        <v>5.55</v>
      </c>
      <c r="D72" s="100">
        <v>6.47</v>
      </c>
      <c r="E72" s="100">
        <v>6.36</v>
      </c>
      <c r="F72" s="100">
        <v>2</v>
      </c>
      <c r="G72" s="100">
        <v>12.08</v>
      </c>
      <c r="H72" s="100">
        <v>3.01</v>
      </c>
      <c r="I72" s="100">
        <v>3.43</v>
      </c>
      <c r="J72" s="100">
        <v>0.1</v>
      </c>
      <c r="K72" s="100">
        <v>254.32</v>
      </c>
      <c r="L72" s="100">
        <v>21.81</v>
      </c>
      <c r="M72" s="100">
        <v>36.619999999999997</v>
      </c>
      <c r="N72" s="100">
        <v>10.3</v>
      </c>
      <c r="O72" s="100">
        <v>0</v>
      </c>
      <c r="P72" s="100">
        <v>0.21</v>
      </c>
      <c r="Q72" s="100">
        <v>9.32</v>
      </c>
      <c r="R72" s="6"/>
      <c r="S72" s="6"/>
      <c r="T72" s="156"/>
      <c r="U72" s="6"/>
    </row>
    <row r="73" spans="1:21" customFormat="1">
      <c r="A73" s="201" t="s">
        <v>3088</v>
      </c>
      <c r="B73" s="100">
        <v>4.5599999999999996</v>
      </c>
      <c r="C73" s="100">
        <v>5.56</v>
      </c>
      <c r="D73" s="100">
        <v>6.56</v>
      </c>
      <c r="E73" s="100">
        <v>6.27</v>
      </c>
      <c r="F73" s="100">
        <v>2</v>
      </c>
      <c r="G73" s="100">
        <v>12.08</v>
      </c>
      <c r="H73" s="100">
        <v>3.01</v>
      </c>
      <c r="I73" s="100">
        <v>3.47</v>
      </c>
      <c r="J73" s="100">
        <v>0.27</v>
      </c>
      <c r="K73" s="100">
        <v>269.98</v>
      </c>
      <c r="L73" s="100">
        <v>21.24</v>
      </c>
      <c r="M73" s="100">
        <v>35.25</v>
      </c>
      <c r="N73" s="100">
        <v>6.8</v>
      </c>
      <c r="O73" s="100">
        <v>0</v>
      </c>
      <c r="P73" s="100">
        <v>0.22</v>
      </c>
      <c r="Q73" s="100">
        <v>9.32</v>
      </c>
      <c r="R73" s="6"/>
      <c r="S73" s="6"/>
      <c r="T73" s="156"/>
      <c r="U73" s="6"/>
    </row>
    <row r="74" spans="1:21" customFormat="1">
      <c r="A74" s="201" t="s">
        <v>3089</v>
      </c>
      <c r="B74" s="100">
        <v>4.58</v>
      </c>
      <c r="C74" s="100">
        <v>5.49</v>
      </c>
      <c r="D74" s="100">
        <v>6.55</v>
      </c>
      <c r="E74" s="100">
        <v>6.49</v>
      </c>
      <c r="F74" s="100">
        <v>2</v>
      </c>
      <c r="G74" s="100">
        <v>12.08</v>
      </c>
      <c r="H74" s="100">
        <v>3.01</v>
      </c>
      <c r="I74" s="100">
        <v>3.51</v>
      </c>
      <c r="J74" s="100">
        <v>0.26</v>
      </c>
      <c r="K74" s="100">
        <v>263.17</v>
      </c>
      <c r="L74" s="100">
        <v>21.74</v>
      </c>
      <c r="M74" s="100">
        <v>36.380000000000003</v>
      </c>
      <c r="N74" s="100">
        <v>10.1</v>
      </c>
      <c r="O74" s="100">
        <v>0</v>
      </c>
      <c r="P74" s="100">
        <v>0.22</v>
      </c>
      <c r="Q74" s="100">
        <v>9.32</v>
      </c>
      <c r="R74" s="6"/>
      <c r="S74" s="6"/>
      <c r="T74" s="156"/>
      <c r="U74" s="6"/>
    </row>
    <row r="75" spans="1:21" customFormat="1">
      <c r="A75" s="201" t="s">
        <v>3090</v>
      </c>
      <c r="B75" s="100">
        <v>4.5</v>
      </c>
      <c r="C75" s="100">
        <v>5.42</v>
      </c>
      <c r="D75" s="100">
        <v>6.45</v>
      </c>
      <c r="E75" s="100">
        <v>6.21</v>
      </c>
      <c r="F75" s="100">
        <v>2</v>
      </c>
      <c r="G75" s="100">
        <v>13.16</v>
      </c>
      <c r="H75" s="100">
        <v>4.92</v>
      </c>
      <c r="I75" s="100">
        <v>3.52</v>
      </c>
      <c r="J75" s="100">
        <v>0.32</v>
      </c>
      <c r="K75" s="100">
        <v>264.95</v>
      </c>
      <c r="L75" s="100">
        <v>22.33</v>
      </c>
      <c r="M75" s="100">
        <v>37.869999999999997</v>
      </c>
      <c r="N75" s="100">
        <v>9.6</v>
      </c>
      <c r="O75" s="100">
        <v>0</v>
      </c>
      <c r="P75" s="100">
        <v>0.22</v>
      </c>
      <c r="Q75" s="100">
        <v>9.32</v>
      </c>
      <c r="R75" s="6"/>
      <c r="S75" s="6"/>
      <c r="T75" s="156"/>
      <c r="U75" s="6"/>
    </row>
    <row r="76" spans="1:21" customFormat="1">
      <c r="A76" s="201" t="s">
        <v>3091</v>
      </c>
      <c r="B76" s="100">
        <v>4.43</v>
      </c>
      <c r="C76" s="100">
        <v>5.48</v>
      </c>
      <c r="D76" s="100">
        <v>6.41</v>
      </c>
      <c r="E76" s="100">
        <v>6.54</v>
      </c>
      <c r="F76" s="100">
        <v>2</v>
      </c>
      <c r="G76" s="100">
        <v>13.55</v>
      </c>
      <c r="H76" s="100">
        <v>4.9400000000000004</v>
      </c>
      <c r="I76" s="100">
        <v>3.45</v>
      </c>
      <c r="J76" s="100">
        <v>0.28000000000000003</v>
      </c>
      <c r="K76" s="100">
        <v>271.86</v>
      </c>
      <c r="L76" s="100">
        <v>22.43</v>
      </c>
      <c r="M76" s="100">
        <v>38.090000000000003</v>
      </c>
      <c r="N76" s="100">
        <v>8.6</v>
      </c>
      <c r="O76" s="100">
        <v>0</v>
      </c>
      <c r="P76" s="100">
        <v>0.2</v>
      </c>
      <c r="Q76" s="100">
        <v>9.32</v>
      </c>
      <c r="R76" s="6"/>
      <c r="S76" s="6"/>
      <c r="T76" s="156"/>
      <c r="U76" s="6"/>
    </row>
    <row r="77" spans="1:21" customFormat="1">
      <c r="A77" s="201" t="s">
        <v>3092</v>
      </c>
      <c r="B77" s="100">
        <v>4.4400000000000004</v>
      </c>
      <c r="C77" s="100">
        <v>5.55</v>
      </c>
      <c r="D77" s="100">
        <v>6.46</v>
      </c>
      <c r="E77" s="100">
        <v>6.03</v>
      </c>
      <c r="F77" s="100">
        <v>2</v>
      </c>
      <c r="G77" s="100">
        <v>13.55</v>
      </c>
      <c r="H77" s="100">
        <v>4.9400000000000004</v>
      </c>
      <c r="I77" s="100">
        <v>3.44</v>
      </c>
      <c r="J77" s="100">
        <v>0.38</v>
      </c>
      <c r="K77" s="100">
        <v>265.77</v>
      </c>
      <c r="L77" s="100">
        <v>22.63</v>
      </c>
      <c r="M77" s="100">
        <v>38.76</v>
      </c>
      <c r="N77" s="100">
        <v>4.5</v>
      </c>
      <c r="O77" s="100">
        <v>0</v>
      </c>
      <c r="P77" s="100">
        <v>0.21</v>
      </c>
      <c r="Q77" s="100">
        <v>9.32</v>
      </c>
      <c r="R77" s="6"/>
      <c r="S77" s="6"/>
      <c r="T77" s="156"/>
      <c r="U77" s="6"/>
    </row>
    <row r="78" spans="1:21" customFormat="1">
      <c r="A78" s="201" t="s">
        <v>3093</v>
      </c>
      <c r="B78" s="100">
        <v>4.4400000000000004</v>
      </c>
      <c r="C78" s="100">
        <v>5.62</v>
      </c>
      <c r="D78" s="100">
        <v>6.5</v>
      </c>
      <c r="E78" s="100">
        <v>6.14</v>
      </c>
      <c r="F78" s="100">
        <v>2</v>
      </c>
      <c r="G78" s="100">
        <v>13.55</v>
      </c>
      <c r="H78" s="100">
        <v>4.9400000000000004</v>
      </c>
      <c r="I78" s="100">
        <v>3.48</v>
      </c>
      <c r="J78" s="100">
        <v>0.33</v>
      </c>
      <c r="K78" s="100">
        <v>264.58</v>
      </c>
      <c r="L78" s="100">
        <v>22.58</v>
      </c>
      <c r="M78" s="100">
        <v>38.69</v>
      </c>
      <c r="N78" s="100">
        <v>3.2</v>
      </c>
      <c r="O78" s="100">
        <v>0</v>
      </c>
      <c r="P78" s="100">
        <v>0.21</v>
      </c>
      <c r="Q78" s="100">
        <v>9.32</v>
      </c>
      <c r="R78" s="6"/>
      <c r="S78" s="6"/>
      <c r="T78" s="156"/>
      <c r="U78" s="6"/>
    </row>
    <row r="79" spans="1:21" customFormat="1">
      <c r="A79" s="201" t="s">
        <v>3094</v>
      </c>
      <c r="B79" s="100">
        <v>4.33</v>
      </c>
      <c r="C79" s="100">
        <v>5.67</v>
      </c>
      <c r="D79" s="100">
        <v>6.43</v>
      </c>
      <c r="E79" s="100">
        <v>4.78</v>
      </c>
      <c r="F79" s="100">
        <v>2</v>
      </c>
      <c r="G79" s="100">
        <v>13.72</v>
      </c>
      <c r="H79" s="100">
        <v>3.65</v>
      </c>
      <c r="I79" s="100">
        <v>3.43</v>
      </c>
      <c r="J79" s="100">
        <v>0.28000000000000003</v>
      </c>
      <c r="K79" s="100">
        <v>272.39</v>
      </c>
      <c r="L79" s="100">
        <v>22.74</v>
      </c>
      <c r="M79" s="100">
        <v>39.72</v>
      </c>
      <c r="N79" s="100">
        <v>2.5</v>
      </c>
      <c r="O79" s="100">
        <v>0</v>
      </c>
      <c r="P79" s="100">
        <v>0.19</v>
      </c>
      <c r="Q79" s="100">
        <v>9.32</v>
      </c>
      <c r="R79" s="6"/>
      <c r="S79" s="6"/>
      <c r="T79" s="156"/>
      <c r="U79" s="6"/>
    </row>
    <row r="80" spans="1:21" customFormat="1">
      <c r="A80" s="201" t="s">
        <v>3095</v>
      </c>
      <c r="B80" s="100">
        <v>4.16</v>
      </c>
      <c r="C80" s="100">
        <v>5.72</v>
      </c>
      <c r="D80" s="100">
        <v>6.33</v>
      </c>
      <c r="E80" s="100">
        <v>6.05</v>
      </c>
      <c r="F80" s="100">
        <v>2</v>
      </c>
      <c r="G80" s="100">
        <v>13.78</v>
      </c>
      <c r="H80" s="100">
        <v>3.63</v>
      </c>
      <c r="I80" s="100">
        <v>3.39</v>
      </c>
      <c r="J80" s="100">
        <v>0.38</v>
      </c>
      <c r="K80" s="100">
        <v>264.88</v>
      </c>
      <c r="L80" s="100">
        <v>22.64</v>
      </c>
      <c r="M80" s="100">
        <v>38.630000000000003</v>
      </c>
      <c r="N80" s="100">
        <v>2.6</v>
      </c>
      <c r="O80" s="100">
        <v>0</v>
      </c>
      <c r="P80" s="100">
        <v>0.18</v>
      </c>
      <c r="Q80" s="100">
        <v>9.32</v>
      </c>
      <c r="R80" s="6"/>
      <c r="S80" s="6"/>
      <c r="T80" s="156"/>
      <c r="U80" s="6"/>
    </row>
    <row r="81" spans="1:21" customFormat="1">
      <c r="A81" s="201" t="s">
        <v>3096</v>
      </c>
      <c r="B81" s="100">
        <v>3.99</v>
      </c>
      <c r="C81" s="100">
        <v>5.72</v>
      </c>
      <c r="D81" s="100">
        <v>6.19</v>
      </c>
      <c r="E81" s="100">
        <v>6.17</v>
      </c>
      <c r="F81" s="100">
        <v>2</v>
      </c>
      <c r="G81" s="100">
        <v>13.78</v>
      </c>
      <c r="H81" s="100">
        <v>3.63</v>
      </c>
      <c r="I81" s="100">
        <v>3.42</v>
      </c>
      <c r="J81" s="100">
        <v>0.33</v>
      </c>
      <c r="K81" s="100">
        <v>269.60000000000002</v>
      </c>
      <c r="L81" s="100">
        <v>22.03</v>
      </c>
      <c r="M81" s="100">
        <v>37.26</v>
      </c>
      <c r="N81" s="100">
        <v>2.5</v>
      </c>
      <c r="O81" s="100">
        <v>0</v>
      </c>
      <c r="P81" s="100">
        <v>0.18</v>
      </c>
      <c r="Q81" s="100">
        <v>9.32</v>
      </c>
      <c r="R81" s="6"/>
      <c r="S81" s="6"/>
      <c r="T81" s="156"/>
      <c r="U81" s="6"/>
    </row>
    <row r="82" spans="1:21" customFormat="1">
      <c r="A82" s="201" t="s">
        <v>3097</v>
      </c>
      <c r="B82" s="100">
        <v>3.8</v>
      </c>
      <c r="C82" s="100">
        <v>5.73</v>
      </c>
      <c r="D82" s="100">
        <v>6.04</v>
      </c>
      <c r="E82" s="100">
        <v>7.48</v>
      </c>
      <c r="F82" s="100">
        <v>2</v>
      </c>
      <c r="G82" s="100">
        <v>13.78</v>
      </c>
      <c r="H82" s="100">
        <v>3.63</v>
      </c>
      <c r="I82" s="100">
        <v>3.4</v>
      </c>
      <c r="J82" s="100">
        <v>0.39</v>
      </c>
      <c r="K82" s="100">
        <v>266.3</v>
      </c>
      <c r="L82" s="100">
        <v>22.72</v>
      </c>
      <c r="M82" s="100">
        <v>39.130000000000003</v>
      </c>
      <c r="N82" s="100">
        <v>2.4</v>
      </c>
      <c r="O82" s="100">
        <v>0</v>
      </c>
      <c r="P82" s="100">
        <v>0.18</v>
      </c>
      <c r="Q82" s="100">
        <v>9.32</v>
      </c>
      <c r="R82" s="6"/>
      <c r="S82" s="6"/>
      <c r="T82" s="156"/>
      <c r="U82" s="6"/>
    </row>
    <row r="83" spans="1:21" customFormat="1">
      <c r="A83" s="201" t="s">
        <v>3098</v>
      </c>
      <c r="B83" s="100">
        <v>3.66</v>
      </c>
      <c r="C83" s="100">
        <v>5.63</v>
      </c>
      <c r="D83" s="100">
        <v>5.88</v>
      </c>
      <c r="E83" s="100">
        <v>7.58</v>
      </c>
      <c r="F83" s="100">
        <v>2</v>
      </c>
      <c r="G83" s="100">
        <v>11.41</v>
      </c>
      <c r="H83" s="100">
        <v>5.62</v>
      </c>
      <c r="I83" s="100">
        <v>3.37</v>
      </c>
      <c r="J83" s="100">
        <v>0.38</v>
      </c>
      <c r="K83" s="100">
        <v>266.97000000000003</v>
      </c>
      <c r="L83" s="100">
        <v>23.09</v>
      </c>
      <c r="M83" s="100">
        <v>39.869999999999997</v>
      </c>
      <c r="N83" s="100">
        <v>2.5</v>
      </c>
      <c r="O83" s="100">
        <v>0</v>
      </c>
      <c r="P83" s="100">
        <v>0.19</v>
      </c>
      <c r="Q83" s="100">
        <v>9.32</v>
      </c>
      <c r="R83" s="6"/>
      <c r="S83" s="6"/>
      <c r="T83" s="156"/>
      <c r="U83" s="6"/>
    </row>
    <row r="84" spans="1:21" customFormat="1">
      <c r="A84" s="201" t="s">
        <v>3099</v>
      </c>
      <c r="B84" s="100">
        <v>3.5</v>
      </c>
      <c r="C84" s="100">
        <v>5.6</v>
      </c>
      <c r="D84" s="100">
        <v>5.73</v>
      </c>
      <c r="E84" s="100">
        <v>7.39</v>
      </c>
      <c r="F84" s="100">
        <v>2</v>
      </c>
      <c r="G84" s="100">
        <v>10.55</v>
      </c>
      <c r="H84" s="100">
        <v>5.65</v>
      </c>
      <c r="I84" s="100">
        <v>3.35</v>
      </c>
      <c r="J84" s="100">
        <v>0.32</v>
      </c>
      <c r="K84" s="100">
        <v>261.73</v>
      </c>
      <c r="L84" s="100">
        <v>22.76</v>
      </c>
      <c r="M84" s="100">
        <v>39.01</v>
      </c>
      <c r="N84" s="100">
        <v>2.4</v>
      </c>
      <c r="O84" s="100">
        <v>0</v>
      </c>
      <c r="P84" s="100">
        <v>0.18</v>
      </c>
      <c r="Q84" s="100">
        <v>9.32</v>
      </c>
      <c r="R84" s="6"/>
      <c r="S84" s="6"/>
      <c r="T84" s="156"/>
      <c r="U84" s="6"/>
    </row>
    <row r="85" spans="1:21" customFormat="1">
      <c r="A85" s="201" t="s">
        <v>3100</v>
      </c>
      <c r="B85" s="100">
        <v>3.38</v>
      </c>
      <c r="C85" s="100">
        <v>5.6</v>
      </c>
      <c r="D85" s="100">
        <v>5.64</v>
      </c>
      <c r="E85" s="100">
        <v>7.46</v>
      </c>
      <c r="F85" s="100">
        <v>2</v>
      </c>
      <c r="G85" s="100">
        <v>10.55</v>
      </c>
      <c r="H85" s="100">
        <v>5.65</v>
      </c>
      <c r="I85" s="100">
        <v>3.33</v>
      </c>
      <c r="J85" s="100">
        <v>0.35</v>
      </c>
      <c r="K85" s="100">
        <v>266.56</v>
      </c>
      <c r="L85" s="100">
        <v>23.35</v>
      </c>
      <c r="M85" s="100">
        <v>40.51</v>
      </c>
      <c r="N85" s="100">
        <v>2.4</v>
      </c>
      <c r="O85" s="100">
        <v>0</v>
      </c>
      <c r="P85" s="100">
        <v>0.18</v>
      </c>
      <c r="Q85" s="100">
        <v>9.32</v>
      </c>
      <c r="R85" s="6"/>
      <c r="S85" s="6"/>
      <c r="T85" s="156"/>
      <c r="U85" s="6"/>
    </row>
    <row r="86" spans="1:21" customFormat="1">
      <c r="A86" s="201" t="s">
        <v>3101</v>
      </c>
      <c r="B86" s="100">
        <v>3.29</v>
      </c>
      <c r="C86" s="100">
        <v>5.48</v>
      </c>
      <c r="D86" s="100">
        <v>5.51</v>
      </c>
      <c r="E86" s="100">
        <v>7.38</v>
      </c>
      <c r="F86" s="100">
        <v>2</v>
      </c>
      <c r="G86" s="100">
        <v>10.55</v>
      </c>
      <c r="H86" s="100">
        <v>5.65</v>
      </c>
      <c r="I86" s="100">
        <v>3.34</v>
      </c>
      <c r="J86" s="100">
        <v>0.34</v>
      </c>
      <c r="K86" s="100">
        <v>269.45999999999998</v>
      </c>
      <c r="L86" s="100">
        <v>22.77</v>
      </c>
      <c r="M86" s="100">
        <v>39.049999999999997</v>
      </c>
      <c r="N86" s="100">
        <v>2.4</v>
      </c>
      <c r="O86" s="100">
        <v>0</v>
      </c>
      <c r="P86" s="100">
        <v>0.18</v>
      </c>
      <c r="Q86" s="100">
        <v>9.32</v>
      </c>
      <c r="R86" s="6"/>
      <c r="S86" s="6"/>
      <c r="T86" s="156"/>
      <c r="U86" s="6"/>
    </row>
    <row r="87" spans="1:21" customFormat="1">
      <c r="A87" s="201" t="s">
        <v>3102</v>
      </c>
      <c r="B87" s="100">
        <v>3.21</v>
      </c>
      <c r="C87" s="100">
        <v>5.41</v>
      </c>
      <c r="D87" s="100">
        <v>5.4</v>
      </c>
      <c r="E87" s="100">
        <v>7.27</v>
      </c>
      <c r="F87" s="100">
        <v>2</v>
      </c>
      <c r="G87" s="100">
        <v>12.93</v>
      </c>
      <c r="H87" s="100">
        <v>5.19</v>
      </c>
      <c r="I87" s="100">
        <v>3.34</v>
      </c>
      <c r="J87" s="100">
        <v>0.37</v>
      </c>
      <c r="K87" s="100">
        <v>269.64999999999998</v>
      </c>
      <c r="L87" s="100">
        <v>22.71</v>
      </c>
      <c r="M87" s="100">
        <v>38.880000000000003</v>
      </c>
      <c r="N87" s="100">
        <v>2.4</v>
      </c>
      <c r="O87" s="100">
        <v>0</v>
      </c>
      <c r="P87" s="100">
        <v>0.19</v>
      </c>
      <c r="Q87" s="100">
        <v>9.32</v>
      </c>
      <c r="R87" s="6"/>
      <c r="S87" s="6"/>
      <c r="T87" s="156"/>
      <c r="U87" s="6"/>
    </row>
    <row r="88" spans="1:21" customFormat="1">
      <c r="A88" s="201" t="s">
        <v>3103</v>
      </c>
      <c r="B88" s="100">
        <v>3.19</v>
      </c>
      <c r="C88" s="100">
        <v>5.41</v>
      </c>
      <c r="D88" s="100">
        <v>5.38</v>
      </c>
      <c r="E88" s="100">
        <v>7.48</v>
      </c>
      <c r="F88" s="100">
        <v>2</v>
      </c>
      <c r="G88" s="100">
        <v>13.8</v>
      </c>
      <c r="H88" s="100">
        <v>5.18</v>
      </c>
      <c r="I88" s="100">
        <v>3.29</v>
      </c>
      <c r="J88" s="100">
        <v>0.35</v>
      </c>
      <c r="K88" s="100">
        <v>264.06</v>
      </c>
      <c r="L88" s="100">
        <v>22.85</v>
      </c>
      <c r="M88" s="100">
        <v>39.26</v>
      </c>
      <c r="N88" s="100">
        <v>2.4</v>
      </c>
      <c r="O88" s="100">
        <v>0</v>
      </c>
      <c r="P88" s="100">
        <v>0.19</v>
      </c>
      <c r="Q88" s="100">
        <v>9.32</v>
      </c>
      <c r="R88" s="6"/>
      <c r="S88" s="6"/>
      <c r="T88" s="156"/>
      <c r="U88" s="6"/>
    </row>
    <row r="89" spans="1:21" customFormat="1">
      <c r="A89" s="201" t="s">
        <v>3104</v>
      </c>
      <c r="B89" s="100">
        <v>3.13</v>
      </c>
      <c r="C89" s="100">
        <v>5.32</v>
      </c>
      <c r="D89" s="100">
        <v>5.29</v>
      </c>
      <c r="E89" s="100">
        <v>7.35</v>
      </c>
      <c r="F89" s="100">
        <v>2</v>
      </c>
      <c r="G89" s="100">
        <v>13.8</v>
      </c>
      <c r="H89" s="100">
        <v>5.18</v>
      </c>
      <c r="I89" s="100">
        <v>3.23</v>
      </c>
      <c r="J89" s="100">
        <v>0.31</v>
      </c>
      <c r="K89" s="100">
        <v>269.3</v>
      </c>
      <c r="L89" s="100">
        <v>21.9</v>
      </c>
      <c r="M89" s="100">
        <v>36.799999999999997</v>
      </c>
      <c r="N89" s="100">
        <v>2.6</v>
      </c>
      <c r="O89" s="100">
        <v>0</v>
      </c>
      <c r="P89" s="100">
        <v>0.19</v>
      </c>
      <c r="Q89" s="100">
        <v>9.32</v>
      </c>
      <c r="R89" s="6"/>
      <c r="S89" s="6"/>
      <c r="T89" s="156"/>
      <c r="U89" s="6"/>
    </row>
    <row r="90" spans="1:21" customFormat="1">
      <c r="A90" s="201" t="s">
        <v>3105</v>
      </c>
      <c r="B90" s="100">
        <v>3.05</v>
      </c>
      <c r="C90" s="100">
        <v>5.21</v>
      </c>
      <c r="D90" s="100">
        <v>5.17</v>
      </c>
      <c r="E90" s="100">
        <v>7.61</v>
      </c>
      <c r="F90" s="100">
        <v>2</v>
      </c>
      <c r="G90" s="100">
        <v>13.8</v>
      </c>
      <c r="H90" s="100">
        <v>5.18</v>
      </c>
      <c r="I90" s="100">
        <v>3.28</v>
      </c>
      <c r="J90" s="100">
        <v>0.34</v>
      </c>
      <c r="K90" s="100">
        <v>260.77</v>
      </c>
      <c r="L90" s="100">
        <v>22.07</v>
      </c>
      <c r="M90" s="100">
        <v>37.340000000000003</v>
      </c>
      <c r="N90" s="100">
        <v>2.5</v>
      </c>
      <c r="O90" s="100">
        <v>0</v>
      </c>
      <c r="P90" s="100">
        <v>0.19</v>
      </c>
      <c r="Q90" s="100">
        <v>9.32</v>
      </c>
      <c r="R90" s="6"/>
      <c r="S90" s="6"/>
      <c r="T90" s="156"/>
      <c r="U90" s="6"/>
    </row>
    <row r="91" spans="1:21" customFormat="1">
      <c r="A91" s="201" t="s">
        <v>3106</v>
      </c>
      <c r="B91" s="100">
        <v>3.01</v>
      </c>
      <c r="C91" s="100">
        <v>5.19</v>
      </c>
      <c r="D91" s="100">
        <v>5.13</v>
      </c>
      <c r="E91" s="100">
        <v>7.63</v>
      </c>
      <c r="F91" s="100">
        <v>2</v>
      </c>
      <c r="G91" s="100">
        <v>13.45</v>
      </c>
      <c r="H91" s="100">
        <v>5.37</v>
      </c>
      <c r="I91" s="100">
        <v>3.31</v>
      </c>
      <c r="J91" s="100">
        <v>0.23</v>
      </c>
      <c r="K91" s="100">
        <v>257.49</v>
      </c>
      <c r="L91" s="100">
        <v>21.71</v>
      </c>
      <c r="M91" s="100">
        <v>36.54</v>
      </c>
      <c r="N91" s="100">
        <v>2.5</v>
      </c>
      <c r="O91" s="100">
        <v>0</v>
      </c>
      <c r="P91" s="100">
        <v>0.19</v>
      </c>
      <c r="Q91" s="100">
        <v>9.32</v>
      </c>
      <c r="R91" s="6"/>
      <c r="S91" s="6"/>
      <c r="T91" s="156"/>
      <c r="U91" s="6"/>
    </row>
    <row r="92" spans="1:21" customFormat="1">
      <c r="A92" s="201" t="s">
        <v>3107</v>
      </c>
      <c r="B92" s="100">
        <v>3</v>
      </c>
      <c r="C92" s="100">
        <v>5.16</v>
      </c>
      <c r="D92" s="100">
        <v>5.0999999999999996</v>
      </c>
      <c r="E92" s="100">
        <v>7.31</v>
      </c>
      <c r="F92" s="100">
        <v>2</v>
      </c>
      <c r="G92" s="100">
        <v>13.33</v>
      </c>
      <c r="H92" s="100">
        <v>5.37</v>
      </c>
      <c r="I92" s="100">
        <v>3.32</v>
      </c>
      <c r="J92" s="100">
        <v>0.43</v>
      </c>
      <c r="K92" s="100">
        <v>265.36</v>
      </c>
      <c r="L92" s="100">
        <v>22.26</v>
      </c>
      <c r="M92" s="100">
        <v>37.79</v>
      </c>
      <c r="N92" s="100">
        <v>2.4</v>
      </c>
      <c r="O92" s="100">
        <v>0</v>
      </c>
      <c r="P92" s="100">
        <v>0.18</v>
      </c>
      <c r="Q92" s="100">
        <v>9.32</v>
      </c>
      <c r="R92" s="6"/>
      <c r="S92" s="6"/>
      <c r="T92" s="156"/>
      <c r="U92" s="6"/>
    </row>
    <row r="93" spans="1:21" customFormat="1">
      <c r="A93" s="201" t="s">
        <v>3108</v>
      </c>
      <c r="B93" s="100">
        <v>2.98</v>
      </c>
      <c r="C93" s="100">
        <v>5.0999999999999996</v>
      </c>
      <c r="D93" s="100">
        <v>5.05</v>
      </c>
      <c r="E93" s="100">
        <v>7.57</v>
      </c>
      <c r="F93" s="100">
        <v>2</v>
      </c>
      <c r="G93" s="100">
        <v>13.33</v>
      </c>
      <c r="H93" s="100">
        <v>5.37</v>
      </c>
      <c r="I93" s="100">
        <v>3.29</v>
      </c>
      <c r="J93" s="100">
        <v>0.38</v>
      </c>
      <c r="K93" s="100">
        <v>268.81</v>
      </c>
      <c r="L93" s="100">
        <v>23.37</v>
      </c>
      <c r="M93" s="100">
        <v>40.590000000000003</v>
      </c>
      <c r="N93" s="100">
        <v>2.2999999999999998</v>
      </c>
      <c r="O93" s="100">
        <v>0</v>
      </c>
      <c r="P93" s="100">
        <v>0.19</v>
      </c>
      <c r="Q93" s="100">
        <v>9.32</v>
      </c>
      <c r="R93" s="6"/>
      <c r="S93" s="6"/>
      <c r="T93" s="156"/>
      <c r="U93" s="6"/>
    </row>
    <row r="94" spans="1:21" customFormat="1">
      <c r="A94" s="201" t="s">
        <v>3109</v>
      </c>
      <c r="B94" s="100">
        <v>2.93</v>
      </c>
      <c r="C94" s="100">
        <v>5.03</v>
      </c>
      <c r="D94" s="100">
        <v>4.9800000000000004</v>
      </c>
      <c r="E94" s="100">
        <v>7.47</v>
      </c>
      <c r="F94" s="100">
        <v>2</v>
      </c>
      <c r="G94" s="100">
        <v>13.33</v>
      </c>
      <c r="H94" s="100">
        <v>5.37</v>
      </c>
      <c r="I94" s="100">
        <v>3.25</v>
      </c>
      <c r="J94" s="100">
        <v>0.38</v>
      </c>
      <c r="K94" s="100">
        <v>265.73</v>
      </c>
      <c r="L94" s="100">
        <v>22.8</v>
      </c>
      <c r="M94" s="100">
        <v>39.19</v>
      </c>
      <c r="N94" s="100">
        <v>2.4</v>
      </c>
      <c r="O94" s="100">
        <v>0</v>
      </c>
      <c r="P94" s="100">
        <v>0.18</v>
      </c>
      <c r="Q94" s="100">
        <v>9.32</v>
      </c>
      <c r="R94" s="6"/>
      <c r="S94" s="6"/>
      <c r="T94" s="156"/>
      <c r="U94" s="6"/>
    </row>
    <row r="95" spans="1:21" customFormat="1">
      <c r="A95" s="201" t="s">
        <v>3110</v>
      </c>
      <c r="B95" s="100">
        <v>2.94</v>
      </c>
      <c r="C95" s="100">
        <v>4.96</v>
      </c>
      <c r="D95" s="100">
        <v>4.95</v>
      </c>
      <c r="E95" s="100">
        <v>7.77</v>
      </c>
      <c r="F95" s="100">
        <v>2</v>
      </c>
      <c r="G95" s="100">
        <v>11.32</v>
      </c>
      <c r="H95" s="100">
        <v>6.73</v>
      </c>
      <c r="I95" s="100">
        <v>3.26</v>
      </c>
      <c r="J95" s="100">
        <v>0.39</v>
      </c>
      <c r="K95" s="100">
        <v>268.89999999999998</v>
      </c>
      <c r="L95" s="100">
        <v>22.46</v>
      </c>
      <c r="M95" s="100">
        <v>38.22</v>
      </c>
      <c r="N95" s="100">
        <v>2.5</v>
      </c>
      <c r="O95" s="100">
        <v>0</v>
      </c>
      <c r="P95" s="100">
        <v>0.19</v>
      </c>
      <c r="Q95" s="100">
        <v>9.32</v>
      </c>
      <c r="R95" s="6"/>
      <c r="S95" s="6"/>
      <c r="T95" s="156"/>
      <c r="U95" s="6"/>
    </row>
    <row r="96" spans="1:21" customFormat="1">
      <c r="A96" s="201" t="s">
        <v>3111</v>
      </c>
      <c r="B96" s="100">
        <v>2.91</v>
      </c>
      <c r="C96" s="100">
        <v>5.0199999999999996</v>
      </c>
      <c r="D96" s="100">
        <v>4.96</v>
      </c>
      <c r="E96" s="100">
        <v>7.38</v>
      </c>
      <c r="F96" s="100">
        <v>2</v>
      </c>
      <c r="G96" s="100">
        <v>10.6</v>
      </c>
      <c r="H96" s="100">
        <v>6.75</v>
      </c>
      <c r="I96" s="100">
        <v>3.23</v>
      </c>
      <c r="J96" s="100">
        <v>0.4</v>
      </c>
      <c r="K96" s="100">
        <v>261.56</v>
      </c>
      <c r="L96" s="100">
        <v>22.48</v>
      </c>
      <c r="M96" s="100">
        <v>38.299999999999997</v>
      </c>
      <c r="N96" s="100">
        <v>2.5</v>
      </c>
      <c r="O96" s="100">
        <v>0</v>
      </c>
      <c r="P96" s="100">
        <v>0.19</v>
      </c>
      <c r="Q96" s="100">
        <v>9.32</v>
      </c>
      <c r="R96" s="6"/>
      <c r="S96" s="6"/>
      <c r="T96" s="156"/>
      <c r="U96" s="6"/>
    </row>
    <row r="97" spans="1:28" customFormat="1">
      <c r="A97" s="201" t="s">
        <v>3112</v>
      </c>
      <c r="B97" s="100">
        <v>2.88</v>
      </c>
      <c r="C97" s="100">
        <v>4.99</v>
      </c>
      <c r="D97" s="100">
        <v>4.91</v>
      </c>
      <c r="E97" s="100">
        <v>7.55</v>
      </c>
      <c r="F97" s="100">
        <v>2</v>
      </c>
      <c r="G97" s="100">
        <v>10.6</v>
      </c>
      <c r="H97" s="100">
        <v>6.75</v>
      </c>
      <c r="I97" s="100">
        <v>3.21</v>
      </c>
      <c r="J97" s="100">
        <v>0.43</v>
      </c>
      <c r="K97" s="100">
        <v>262.20999999999998</v>
      </c>
      <c r="L97" s="100">
        <v>22.21</v>
      </c>
      <c r="M97" s="100">
        <v>37.69</v>
      </c>
      <c r="N97" s="100">
        <v>2.5</v>
      </c>
      <c r="O97" s="100">
        <v>0</v>
      </c>
      <c r="P97" s="100">
        <v>0.19</v>
      </c>
      <c r="Q97" s="100">
        <v>9.32</v>
      </c>
      <c r="R97" s="6"/>
      <c r="S97" s="6"/>
      <c r="T97" s="156"/>
      <c r="U97" s="6"/>
    </row>
    <row r="98" spans="1:28" customFormat="1">
      <c r="A98" s="201" t="s">
        <v>3113</v>
      </c>
      <c r="B98" s="100">
        <v>2.84</v>
      </c>
      <c r="C98" s="100">
        <v>4.92</v>
      </c>
      <c r="D98" s="100">
        <v>4.8499999999999996</v>
      </c>
      <c r="E98" s="100">
        <v>7.56</v>
      </c>
      <c r="F98" s="100">
        <v>2</v>
      </c>
      <c r="G98" s="100">
        <v>10.6</v>
      </c>
      <c r="H98" s="100">
        <v>6.75</v>
      </c>
      <c r="I98" s="100">
        <v>3.18</v>
      </c>
      <c r="J98" s="100">
        <v>0.5</v>
      </c>
      <c r="K98" s="100">
        <v>262.64999999999998</v>
      </c>
      <c r="L98" s="100">
        <v>22.91</v>
      </c>
      <c r="M98" s="100">
        <v>39.369999999999997</v>
      </c>
      <c r="N98" s="100">
        <v>2.7</v>
      </c>
      <c r="O98" s="100">
        <v>0</v>
      </c>
      <c r="P98" s="100">
        <v>0.19</v>
      </c>
      <c r="Q98" s="100">
        <v>9.32</v>
      </c>
      <c r="R98" s="6"/>
      <c r="S98" s="6"/>
      <c r="T98" s="156"/>
      <c r="U98" s="6"/>
    </row>
    <row r="99" spans="1:28" customFormat="1">
      <c r="A99" s="201" t="s">
        <v>3114</v>
      </c>
      <c r="B99" s="100">
        <v>2.83</v>
      </c>
      <c r="C99" s="100">
        <v>4.8099999999999996</v>
      </c>
      <c r="D99" s="100">
        <v>4.79</v>
      </c>
      <c r="E99" s="100">
        <v>7.62</v>
      </c>
      <c r="F99" s="100">
        <v>2</v>
      </c>
      <c r="G99" s="100">
        <v>12.68</v>
      </c>
      <c r="H99" s="100">
        <v>4.8899999999999997</v>
      </c>
      <c r="I99" s="100">
        <v>3.12</v>
      </c>
      <c r="J99" s="100">
        <v>0.48</v>
      </c>
      <c r="K99" s="100">
        <v>260.82</v>
      </c>
      <c r="L99" s="100">
        <v>22.86</v>
      </c>
      <c r="M99" s="100">
        <v>39.36</v>
      </c>
      <c r="N99" s="100">
        <v>2.6</v>
      </c>
      <c r="O99" s="100">
        <v>0</v>
      </c>
      <c r="P99" s="100">
        <v>0.21</v>
      </c>
      <c r="Q99" s="100">
        <v>9.32</v>
      </c>
      <c r="R99" s="6"/>
      <c r="S99" s="6"/>
      <c r="T99" s="156"/>
      <c r="U99" s="6"/>
    </row>
    <row r="100" spans="1:28" customFormat="1">
      <c r="A100" s="201" t="s">
        <v>3115</v>
      </c>
      <c r="B100" s="100">
        <v>2.94</v>
      </c>
      <c r="C100" s="100">
        <v>4.74</v>
      </c>
      <c r="D100" s="100">
        <v>4.83</v>
      </c>
      <c r="E100" s="100">
        <v>7.47</v>
      </c>
      <c r="F100" s="100">
        <v>2</v>
      </c>
      <c r="G100" s="100">
        <v>13.44</v>
      </c>
      <c r="H100" s="100">
        <v>4.8600000000000003</v>
      </c>
      <c r="I100" s="100">
        <v>3.03</v>
      </c>
      <c r="J100" s="100">
        <v>0.45</v>
      </c>
      <c r="K100" s="100">
        <v>259.3</v>
      </c>
      <c r="L100" s="100">
        <v>22.03</v>
      </c>
      <c r="M100" s="100">
        <v>37.25</v>
      </c>
      <c r="N100" s="100">
        <v>2.5</v>
      </c>
      <c r="O100" s="100">
        <v>0</v>
      </c>
      <c r="P100" s="100">
        <v>0.21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3116</v>
      </c>
      <c r="B101" s="100">
        <v>3.04</v>
      </c>
      <c r="C101" s="100">
        <v>4.7</v>
      </c>
      <c r="D101" s="100">
        <v>4.8899999999999997</v>
      </c>
      <c r="E101" s="100">
        <v>7.18</v>
      </c>
      <c r="F101" s="100">
        <v>2</v>
      </c>
      <c r="G101" s="100">
        <v>13.44</v>
      </c>
      <c r="H101" s="100">
        <v>4.8600000000000003</v>
      </c>
      <c r="I101" s="100">
        <v>3.08</v>
      </c>
      <c r="J101" s="100">
        <v>0.53</v>
      </c>
      <c r="K101" s="100">
        <v>258.47000000000003</v>
      </c>
      <c r="L101" s="100">
        <v>22.16</v>
      </c>
      <c r="M101" s="100">
        <v>37.65</v>
      </c>
      <c r="N101" s="100">
        <v>2.6</v>
      </c>
      <c r="O101" s="100">
        <v>0</v>
      </c>
      <c r="P101" s="100">
        <v>0.2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3117</v>
      </c>
      <c r="B102" s="100">
        <v>3.14</v>
      </c>
      <c r="C102" s="100">
        <v>4.71</v>
      </c>
      <c r="D102" s="100">
        <v>4.9800000000000004</v>
      </c>
      <c r="E102" s="100">
        <v>6.76</v>
      </c>
      <c r="F102" s="100">
        <v>2</v>
      </c>
      <c r="G102" s="100">
        <v>13.44</v>
      </c>
      <c r="H102" s="100">
        <v>4.8600000000000003</v>
      </c>
      <c r="I102" s="100">
        <v>3.13</v>
      </c>
      <c r="J102" s="100">
        <v>0.5</v>
      </c>
      <c r="K102" s="100">
        <v>263.92</v>
      </c>
      <c r="L102" s="100">
        <v>22.61</v>
      </c>
      <c r="M102" s="100">
        <v>38.700000000000003</v>
      </c>
      <c r="N102" s="100">
        <v>2.6</v>
      </c>
      <c r="O102" s="100">
        <v>0</v>
      </c>
      <c r="P102" s="100">
        <v>0.21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3118</v>
      </c>
      <c r="B103" s="100">
        <v>3.19</v>
      </c>
      <c r="C103" s="100">
        <v>4.8099999999999996</v>
      </c>
      <c r="D103" s="100">
        <v>5.07</v>
      </c>
      <c r="E103" s="100">
        <v>7.09</v>
      </c>
      <c r="F103" s="100">
        <v>2</v>
      </c>
      <c r="G103" s="100">
        <v>13.98</v>
      </c>
      <c r="H103" s="100">
        <v>4.95</v>
      </c>
      <c r="I103" s="100">
        <v>3.09</v>
      </c>
      <c r="J103" s="100">
        <v>0.47</v>
      </c>
      <c r="K103" s="100">
        <v>254.03</v>
      </c>
      <c r="L103" s="100">
        <v>21.09</v>
      </c>
      <c r="M103" s="100">
        <v>34.909999999999997</v>
      </c>
      <c r="N103" s="100">
        <v>2.5</v>
      </c>
      <c r="O103" s="100">
        <v>0</v>
      </c>
      <c r="P103" s="100">
        <v>0.2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3119</v>
      </c>
      <c r="B104" s="100">
        <v>3.34</v>
      </c>
      <c r="C104" s="100">
        <v>4.87</v>
      </c>
      <c r="D104" s="100">
        <v>5.22</v>
      </c>
      <c r="E104" s="100">
        <v>7.54</v>
      </c>
      <c r="F104" s="100">
        <v>2</v>
      </c>
      <c r="G104" s="100">
        <v>14.17</v>
      </c>
      <c r="H104" s="100">
        <v>4.95</v>
      </c>
      <c r="I104" s="100">
        <v>3.07</v>
      </c>
      <c r="J104" s="100">
        <v>0.39</v>
      </c>
      <c r="K104" s="100">
        <v>255.81</v>
      </c>
      <c r="L104" s="100">
        <v>21.43</v>
      </c>
      <c r="M104" s="100">
        <v>35.9</v>
      </c>
      <c r="N104" s="100">
        <v>2.2999999999999998</v>
      </c>
      <c r="O104" s="100">
        <v>0</v>
      </c>
      <c r="P104" s="100">
        <v>0.21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2.83</v>
      </c>
      <c r="C106" s="158">
        <f>MIN(C9:C104)</f>
        <v>4.7</v>
      </c>
      <c r="D106" s="158">
        <f t="shared" ref="D106:Q106" si="0">MIN(D9:D104)</f>
        <v>4.79</v>
      </c>
      <c r="E106" s="158">
        <f t="shared" si="0"/>
        <v>4.78</v>
      </c>
      <c r="F106" s="158">
        <f t="shared" si="0"/>
        <v>2</v>
      </c>
      <c r="G106" s="158">
        <f t="shared" si="0"/>
        <v>6.91</v>
      </c>
      <c r="H106" s="158">
        <f t="shared" si="0"/>
        <v>2.27</v>
      </c>
      <c r="I106" s="158">
        <f t="shared" si="0"/>
        <v>3.03</v>
      </c>
      <c r="J106" s="158">
        <f t="shared" si="0"/>
        <v>0.02</v>
      </c>
      <c r="K106" s="158">
        <f t="shared" si="0"/>
        <v>82.97</v>
      </c>
      <c r="L106" s="158">
        <f t="shared" si="0"/>
        <v>11.69</v>
      </c>
      <c r="M106" s="158">
        <f t="shared" si="0"/>
        <v>11.4</v>
      </c>
      <c r="N106" s="158">
        <f t="shared" si="0"/>
        <v>2.2000000000000002</v>
      </c>
      <c r="O106" s="158">
        <f t="shared" si="0"/>
        <v>0</v>
      </c>
      <c r="P106" s="158">
        <f t="shared" si="0"/>
        <v>0.17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6.73</v>
      </c>
      <c r="C107" s="157">
        <f t="shared" ref="C107:Q107" si="1">MAX(C9:C104)</f>
        <v>6.47</v>
      </c>
      <c r="D107" s="157">
        <f t="shared" si="1"/>
        <v>8.4600000000000009</v>
      </c>
      <c r="E107" s="157">
        <f t="shared" si="1"/>
        <v>7.77</v>
      </c>
      <c r="F107" s="157">
        <f t="shared" si="1"/>
        <v>2</v>
      </c>
      <c r="G107" s="157">
        <f t="shared" si="1"/>
        <v>22.71</v>
      </c>
      <c r="H107" s="157">
        <f t="shared" si="1"/>
        <v>7.03</v>
      </c>
      <c r="I107" s="157">
        <f t="shared" si="1"/>
        <v>4.53</v>
      </c>
      <c r="J107" s="157">
        <f t="shared" si="1"/>
        <v>0.53</v>
      </c>
      <c r="K107" s="157">
        <f t="shared" si="1"/>
        <v>272.39</v>
      </c>
      <c r="L107" s="157">
        <f t="shared" si="1"/>
        <v>23.37</v>
      </c>
      <c r="M107" s="157">
        <f t="shared" si="1"/>
        <v>40.590000000000003</v>
      </c>
      <c r="N107" s="157">
        <f t="shared" si="1"/>
        <v>104.6</v>
      </c>
      <c r="O107" s="157">
        <f t="shared" si="1"/>
        <v>0.4</v>
      </c>
      <c r="P107" s="157">
        <f t="shared" si="1"/>
        <v>0.25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4.8825000000000012</v>
      </c>
      <c r="C108" s="158">
        <f t="shared" ref="C108:Q108" si="2">AVERAGE(C9:C104)</f>
        <v>5.5755208333333384</v>
      </c>
      <c r="D108" s="158">
        <f t="shared" si="2"/>
        <v>6.8285416666666663</v>
      </c>
      <c r="E108" s="158">
        <f t="shared" si="2"/>
        <v>6.5669791666666626</v>
      </c>
      <c r="F108" s="158">
        <f t="shared" si="2"/>
        <v>2</v>
      </c>
      <c r="G108" s="158">
        <f t="shared" si="2"/>
        <v>12.514895833333332</v>
      </c>
      <c r="H108" s="158">
        <f t="shared" si="2"/>
        <v>4.4479166666666652</v>
      </c>
      <c r="I108" s="158">
        <f t="shared" si="2"/>
        <v>3.6352083333333329</v>
      </c>
      <c r="J108" s="158">
        <f t="shared" si="2"/>
        <v>0.26708333333333328</v>
      </c>
      <c r="K108" s="158">
        <f t="shared" si="2"/>
        <v>180.31520833333323</v>
      </c>
      <c r="L108" s="158">
        <f t="shared" si="2"/>
        <v>17.353124999999999</v>
      </c>
      <c r="M108" s="158">
        <f t="shared" si="2"/>
        <v>25.233020833333327</v>
      </c>
      <c r="N108" s="158">
        <f t="shared" si="2"/>
        <v>18.389583333333334</v>
      </c>
      <c r="O108" s="158">
        <f t="shared" si="2"/>
        <v>1.2500000000000002E-2</v>
      </c>
      <c r="P108" s="158">
        <f t="shared" si="2"/>
        <v>0.20416666666666691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1.2877176872689273</v>
      </c>
      <c r="C109" s="158">
        <f t="shared" ref="C109:Q109" si="3">STDEV(C9:C104)</f>
        <v>0.38612479518432941</v>
      </c>
      <c r="D109" s="158">
        <f t="shared" si="3"/>
        <v>1.1838927575602098</v>
      </c>
      <c r="E109" s="158">
        <f t="shared" si="3"/>
        <v>0.60435980881323659</v>
      </c>
      <c r="F109" s="158">
        <f t="shared" si="3"/>
        <v>0</v>
      </c>
      <c r="G109" s="158">
        <f t="shared" si="3"/>
        <v>3.1028336776469985</v>
      </c>
      <c r="H109" s="158">
        <f t="shared" si="3"/>
        <v>1.3528161011419046</v>
      </c>
      <c r="I109" s="158">
        <f t="shared" si="3"/>
        <v>0.40296526993271076</v>
      </c>
      <c r="J109" s="158">
        <f t="shared" si="3"/>
        <v>0.10993698354456168</v>
      </c>
      <c r="K109" s="158">
        <f t="shared" si="3"/>
        <v>67.871986547108719</v>
      </c>
      <c r="L109" s="158">
        <f t="shared" si="3"/>
        <v>4.0643638234628856</v>
      </c>
      <c r="M109" s="158">
        <f t="shared" si="3"/>
        <v>10.318284957429672</v>
      </c>
      <c r="N109" s="158">
        <f t="shared" si="3"/>
        <v>25.482635900866683</v>
      </c>
      <c r="O109" s="158">
        <f t="shared" si="3"/>
        <v>6.3660282586141329E-2</v>
      </c>
      <c r="P109" s="158">
        <f t="shared" si="3"/>
        <v>2.1651141536288509E-2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99" activePane="bottomLeft" state="frozen"/>
      <selection pane="bottomLeft" activeCell="J23" sqref="J2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31/10/2025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85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85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201" t="s">
        <v>3120</v>
      </c>
      <c r="B9" s="100">
        <v>3.56</v>
      </c>
      <c r="C9" s="100">
        <v>4.7699999999999996</v>
      </c>
      <c r="D9" s="100">
        <v>5.34</v>
      </c>
      <c r="E9" s="100">
        <v>7.08</v>
      </c>
      <c r="F9" s="100">
        <v>2</v>
      </c>
      <c r="G9" s="100">
        <v>14.17</v>
      </c>
      <c r="H9" s="100">
        <v>4.95</v>
      </c>
      <c r="I9" s="100">
        <v>3.11</v>
      </c>
      <c r="J9" s="100">
        <v>0.46</v>
      </c>
      <c r="K9" s="100">
        <v>256.56</v>
      </c>
      <c r="L9" s="100">
        <v>22.17</v>
      </c>
      <c r="M9" s="100">
        <v>37.6</v>
      </c>
      <c r="N9" s="100">
        <v>2.2000000000000002</v>
      </c>
      <c r="O9" s="100">
        <v>0</v>
      </c>
      <c r="P9" s="100">
        <v>0.2</v>
      </c>
      <c r="Q9" s="100">
        <v>9.32</v>
      </c>
      <c r="R9" s="6"/>
      <c r="S9" s="6"/>
      <c r="T9" s="156"/>
      <c r="U9" s="6"/>
    </row>
    <row r="10" spans="1:21" customFormat="1">
      <c r="A10" s="201" t="s">
        <v>3121</v>
      </c>
      <c r="B10" s="100">
        <v>3.64</v>
      </c>
      <c r="C10" s="100">
        <v>4.91</v>
      </c>
      <c r="D10" s="100">
        <v>5.49</v>
      </c>
      <c r="E10" s="100">
        <v>6.92</v>
      </c>
      <c r="F10" s="100">
        <v>2</v>
      </c>
      <c r="G10" s="100">
        <v>14.17</v>
      </c>
      <c r="H10" s="100">
        <v>4.95</v>
      </c>
      <c r="I10" s="100">
        <v>3.11</v>
      </c>
      <c r="J10" s="100">
        <v>0.52</v>
      </c>
      <c r="K10" s="100">
        <v>255.11</v>
      </c>
      <c r="L10" s="100">
        <v>22.23</v>
      </c>
      <c r="M10" s="100">
        <v>37.75</v>
      </c>
      <c r="N10" s="100">
        <v>2.2000000000000002</v>
      </c>
      <c r="O10" s="100">
        <v>0</v>
      </c>
      <c r="P10" s="100">
        <v>0.21</v>
      </c>
      <c r="Q10" s="100">
        <v>9.32</v>
      </c>
      <c r="R10" s="6"/>
      <c r="S10" s="6"/>
      <c r="T10" s="156"/>
      <c r="U10" s="6"/>
    </row>
    <row r="11" spans="1:21" customFormat="1">
      <c r="A11" s="201" t="s">
        <v>3122</v>
      </c>
      <c r="B11" s="100">
        <v>3.7</v>
      </c>
      <c r="C11" s="100">
        <v>4.97</v>
      </c>
      <c r="D11" s="100">
        <v>5.57</v>
      </c>
      <c r="E11" s="100">
        <v>7.19</v>
      </c>
      <c r="F11" s="100">
        <v>2</v>
      </c>
      <c r="G11" s="100">
        <v>11.25</v>
      </c>
      <c r="H11" s="100">
        <v>7.38</v>
      </c>
      <c r="I11" s="100">
        <v>3.08</v>
      </c>
      <c r="J11" s="100">
        <v>0.5</v>
      </c>
      <c r="K11" s="100">
        <v>259.19</v>
      </c>
      <c r="L11" s="100">
        <v>22.5</v>
      </c>
      <c r="M11" s="100">
        <v>38.450000000000003</v>
      </c>
      <c r="N11" s="100">
        <v>2.4</v>
      </c>
      <c r="O11" s="100">
        <v>0</v>
      </c>
      <c r="P11" s="100">
        <v>0.21</v>
      </c>
      <c r="Q11" s="100">
        <v>9.32</v>
      </c>
      <c r="R11" s="6"/>
      <c r="S11" s="6"/>
      <c r="T11" s="156"/>
      <c r="U11" s="6"/>
    </row>
    <row r="12" spans="1:21" customFormat="1">
      <c r="A12" s="201" t="s">
        <v>3123</v>
      </c>
      <c r="B12" s="100">
        <v>3.8</v>
      </c>
      <c r="C12" s="100">
        <v>4.96</v>
      </c>
      <c r="D12" s="100">
        <v>5.64</v>
      </c>
      <c r="E12" s="100">
        <v>6.86</v>
      </c>
      <c r="F12" s="100">
        <v>2</v>
      </c>
      <c r="G12" s="100">
        <v>10.18</v>
      </c>
      <c r="H12" s="100">
        <v>7.42</v>
      </c>
      <c r="I12" s="100">
        <v>3.1</v>
      </c>
      <c r="J12" s="100">
        <v>0.55000000000000004</v>
      </c>
      <c r="K12" s="100">
        <v>257.5</v>
      </c>
      <c r="L12" s="100">
        <v>22.56</v>
      </c>
      <c r="M12" s="100">
        <v>38.6</v>
      </c>
      <c r="N12" s="100">
        <v>2.4</v>
      </c>
      <c r="O12" s="100">
        <v>0</v>
      </c>
      <c r="P12" s="100">
        <v>0.2</v>
      </c>
      <c r="Q12" s="100">
        <v>9.32</v>
      </c>
      <c r="R12" s="6"/>
      <c r="S12" s="6"/>
      <c r="T12" s="156"/>
      <c r="U12" s="6"/>
    </row>
    <row r="13" spans="1:21" customFormat="1">
      <c r="A13" s="201" t="s">
        <v>3124</v>
      </c>
      <c r="B13" s="100">
        <v>3.91</v>
      </c>
      <c r="C13" s="100">
        <v>5.04</v>
      </c>
      <c r="D13" s="100">
        <v>5.76</v>
      </c>
      <c r="E13" s="100">
        <v>6.96</v>
      </c>
      <c r="F13" s="100">
        <v>2</v>
      </c>
      <c r="G13" s="100">
        <v>10.18</v>
      </c>
      <c r="H13" s="100">
        <v>7.42</v>
      </c>
      <c r="I13" s="100">
        <v>3.12</v>
      </c>
      <c r="J13" s="100">
        <v>0.63</v>
      </c>
      <c r="K13" s="100">
        <v>255.14</v>
      </c>
      <c r="L13" s="100">
        <v>22.43</v>
      </c>
      <c r="M13" s="100">
        <v>38.33</v>
      </c>
      <c r="N13" s="100">
        <v>2.4</v>
      </c>
      <c r="O13" s="100">
        <v>0</v>
      </c>
      <c r="P13" s="100">
        <v>0.22</v>
      </c>
      <c r="Q13" s="100">
        <v>9.32</v>
      </c>
      <c r="R13" s="6"/>
      <c r="S13" s="6"/>
      <c r="T13" s="156"/>
      <c r="U13" s="6"/>
    </row>
    <row r="14" spans="1:21" customFormat="1">
      <c r="A14" s="201" t="s">
        <v>3125</v>
      </c>
      <c r="B14" s="100">
        <v>4.0199999999999996</v>
      </c>
      <c r="C14" s="100">
        <v>5.08</v>
      </c>
      <c r="D14" s="100">
        <v>5.87</v>
      </c>
      <c r="E14" s="100">
        <v>7.05</v>
      </c>
      <c r="F14" s="100">
        <v>2</v>
      </c>
      <c r="G14" s="100">
        <v>10.18</v>
      </c>
      <c r="H14" s="100">
        <v>7.42</v>
      </c>
      <c r="I14" s="100">
        <v>3.15</v>
      </c>
      <c r="J14" s="100">
        <v>0.55000000000000004</v>
      </c>
      <c r="K14" s="100">
        <v>255.73</v>
      </c>
      <c r="L14" s="100">
        <v>22</v>
      </c>
      <c r="M14" s="100">
        <v>37.28</v>
      </c>
      <c r="N14" s="100">
        <v>2.2999999999999998</v>
      </c>
      <c r="O14" s="100">
        <v>0</v>
      </c>
      <c r="P14" s="100">
        <v>0.22</v>
      </c>
      <c r="Q14" s="100">
        <v>9.32</v>
      </c>
      <c r="R14" s="6"/>
      <c r="S14" s="6"/>
      <c r="T14" s="156"/>
      <c r="U14" s="6"/>
    </row>
    <row r="15" spans="1:21" customFormat="1">
      <c r="A15" s="201" t="s">
        <v>3126</v>
      </c>
      <c r="B15" s="100">
        <v>4.07</v>
      </c>
      <c r="C15" s="100">
        <v>5.14</v>
      </c>
      <c r="D15" s="100">
        <v>5.94</v>
      </c>
      <c r="E15" s="100">
        <v>6.91</v>
      </c>
      <c r="F15" s="100">
        <v>2</v>
      </c>
      <c r="G15" s="100">
        <v>8.99</v>
      </c>
      <c r="H15" s="100">
        <v>7.72</v>
      </c>
      <c r="I15" s="100">
        <v>3.15</v>
      </c>
      <c r="J15" s="100">
        <v>0.6</v>
      </c>
      <c r="K15" s="100">
        <v>255.7</v>
      </c>
      <c r="L15" s="100">
        <v>22.16</v>
      </c>
      <c r="M15" s="100">
        <v>37.659999999999997</v>
      </c>
      <c r="N15" s="100">
        <v>2.4</v>
      </c>
      <c r="O15" s="100">
        <v>0</v>
      </c>
      <c r="P15" s="100">
        <v>0.21</v>
      </c>
      <c r="Q15" s="100">
        <v>9.32</v>
      </c>
      <c r="R15" s="6"/>
      <c r="S15" s="6"/>
      <c r="T15" s="156"/>
      <c r="U15" s="6"/>
    </row>
    <row r="16" spans="1:21" customFormat="1">
      <c r="A16" s="201" t="s">
        <v>3127</v>
      </c>
      <c r="B16" s="100">
        <v>4.1399999999999997</v>
      </c>
      <c r="C16" s="100">
        <v>5.17</v>
      </c>
      <c r="D16" s="100">
        <v>6.02</v>
      </c>
      <c r="E16" s="100">
        <v>7.03</v>
      </c>
      <c r="F16" s="100">
        <v>2</v>
      </c>
      <c r="G16" s="100">
        <v>8.5500000000000007</v>
      </c>
      <c r="H16" s="100">
        <v>7.73</v>
      </c>
      <c r="I16" s="100">
        <v>3.16</v>
      </c>
      <c r="J16" s="100">
        <v>0.52</v>
      </c>
      <c r="K16" s="100">
        <v>255.46</v>
      </c>
      <c r="L16" s="100">
        <v>22.05</v>
      </c>
      <c r="M16" s="100">
        <v>37.31</v>
      </c>
      <c r="N16" s="100">
        <v>2.4</v>
      </c>
      <c r="O16" s="100">
        <v>0</v>
      </c>
      <c r="P16" s="100">
        <v>0.21</v>
      </c>
      <c r="Q16" s="100">
        <v>9.32</v>
      </c>
      <c r="R16" s="6"/>
      <c r="S16" s="6"/>
      <c r="T16" s="156"/>
      <c r="U16" s="6"/>
    </row>
    <row r="17" spans="1:21" customFormat="1">
      <c r="A17" s="201" t="s">
        <v>3128</v>
      </c>
      <c r="B17" s="100">
        <v>4.22</v>
      </c>
      <c r="C17" s="100">
        <v>5.2</v>
      </c>
      <c r="D17" s="100">
        <v>6.11</v>
      </c>
      <c r="E17" s="100">
        <v>5.52</v>
      </c>
      <c r="F17" s="100">
        <v>2</v>
      </c>
      <c r="G17" s="100">
        <v>8.5500000000000007</v>
      </c>
      <c r="H17" s="100">
        <v>7.73</v>
      </c>
      <c r="I17" s="100">
        <v>3.14</v>
      </c>
      <c r="J17" s="100">
        <v>0.56000000000000005</v>
      </c>
      <c r="K17" s="100">
        <v>257.02</v>
      </c>
      <c r="L17" s="100">
        <v>22.49</v>
      </c>
      <c r="M17" s="100">
        <v>38.450000000000003</v>
      </c>
      <c r="N17" s="100">
        <v>2.4</v>
      </c>
      <c r="O17" s="100">
        <v>0</v>
      </c>
      <c r="P17" s="100">
        <v>0.21</v>
      </c>
      <c r="Q17" s="100">
        <v>9.32</v>
      </c>
      <c r="R17" s="6"/>
      <c r="S17" s="6"/>
      <c r="T17" s="156"/>
      <c r="U17" s="6"/>
    </row>
    <row r="18" spans="1:21" customFormat="1">
      <c r="A18" s="201" t="s">
        <v>3129</v>
      </c>
      <c r="B18" s="100">
        <v>4.24</v>
      </c>
      <c r="C18" s="100">
        <v>5.15</v>
      </c>
      <c r="D18" s="100">
        <v>6.09</v>
      </c>
      <c r="E18" s="100">
        <v>6.98</v>
      </c>
      <c r="F18" s="100">
        <v>2</v>
      </c>
      <c r="G18" s="100">
        <v>8.5500000000000007</v>
      </c>
      <c r="H18" s="100">
        <v>7.73</v>
      </c>
      <c r="I18" s="100">
        <v>3.11</v>
      </c>
      <c r="J18" s="100">
        <v>0.57999999999999996</v>
      </c>
      <c r="K18" s="100">
        <v>253.71</v>
      </c>
      <c r="L18" s="100">
        <v>21.99</v>
      </c>
      <c r="M18" s="100">
        <v>37.21</v>
      </c>
      <c r="N18" s="100">
        <v>2.4</v>
      </c>
      <c r="O18" s="100">
        <v>0</v>
      </c>
      <c r="P18" s="100">
        <v>0.21</v>
      </c>
      <c r="Q18" s="100">
        <v>9.32</v>
      </c>
      <c r="R18" s="6"/>
      <c r="S18" s="6"/>
      <c r="T18" s="156"/>
      <c r="U18" s="6"/>
    </row>
    <row r="19" spans="1:21" customFormat="1">
      <c r="A19" s="201" t="s">
        <v>3130</v>
      </c>
      <c r="B19" s="100">
        <v>4.28</v>
      </c>
      <c r="C19" s="100">
        <v>5.2</v>
      </c>
      <c r="D19" s="100">
        <v>6.15</v>
      </c>
      <c r="E19" s="100">
        <v>6.49</v>
      </c>
      <c r="F19" s="100">
        <v>2</v>
      </c>
      <c r="G19" s="100">
        <v>10.08</v>
      </c>
      <c r="H19" s="100">
        <v>5.64</v>
      </c>
      <c r="I19" s="100">
        <v>3.1</v>
      </c>
      <c r="J19" s="100">
        <v>0.53</v>
      </c>
      <c r="K19" s="100">
        <v>251.9</v>
      </c>
      <c r="L19" s="100">
        <v>21.73</v>
      </c>
      <c r="M19" s="100">
        <v>36.520000000000003</v>
      </c>
      <c r="N19" s="100">
        <v>2.4</v>
      </c>
      <c r="O19" s="100">
        <v>0</v>
      </c>
      <c r="P19" s="100">
        <v>0.21</v>
      </c>
      <c r="Q19" s="100">
        <v>9.32</v>
      </c>
      <c r="R19" s="6"/>
      <c r="S19" s="6"/>
      <c r="T19" s="156"/>
      <c r="U19" s="6"/>
    </row>
    <row r="20" spans="1:21" customFormat="1">
      <c r="A20" s="201" t="s">
        <v>3131</v>
      </c>
      <c r="B20" s="100">
        <v>4.3099999999999996</v>
      </c>
      <c r="C20" s="100">
        <v>5.22</v>
      </c>
      <c r="D20" s="100">
        <v>6.19</v>
      </c>
      <c r="E20" s="100">
        <v>6.86</v>
      </c>
      <c r="F20" s="100">
        <v>2</v>
      </c>
      <c r="G20" s="100">
        <v>10.67</v>
      </c>
      <c r="H20" s="100">
        <v>5.57</v>
      </c>
      <c r="I20" s="100">
        <v>3.07</v>
      </c>
      <c r="J20" s="100">
        <v>0.56999999999999995</v>
      </c>
      <c r="K20" s="100">
        <v>252.37</v>
      </c>
      <c r="L20" s="100">
        <v>21.69</v>
      </c>
      <c r="M20" s="100">
        <v>36.450000000000003</v>
      </c>
      <c r="N20" s="100">
        <v>2.4</v>
      </c>
      <c r="O20" s="100">
        <v>0</v>
      </c>
      <c r="P20" s="100">
        <v>0.2</v>
      </c>
      <c r="Q20" s="100">
        <v>9.32</v>
      </c>
      <c r="R20" s="6"/>
      <c r="S20" s="6"/>
      <c r="T20" s="156"/>
      <c r="U20" s="6"/>
    </row>
    <row r="21" spans="1:21" customFormat="1">
      <c r="A21" s="201" t="s">
        <v>3132</v>
      </c>
      <c r="B21" s="100">
        <v>4.37</v>
      </c>
      <c r="C21" s="100">
        <v>5.23</v>
      </c>
      <c r="D21" s="100">
        <v>6.24</v>
      </c>
      <c r="E21" s="100">
        <v>7.1</v>
      </c>
      <c r="F21" s="100">
        <v>2</v>
      </c>
      <c r="G21" s="100">
        <v>10.67</v>
      </c>
      <c r="H21" s="100">
        <v>5.57</v>
      </c>
      <c r="I21" s="100">
        <v>3.08</v>
      </c>
      <c r="J21" s="100">
        <v>0.56000000000000005</v>
      </c>
      <c r="K21" s="100">
        <v>255.02</v>
      </c>
      <c r="L21" s="100">
        <v>22.49</v>
      </c>
      <c r="M21" s="100">
        <v>38.47</v>
      </c>
      <c r="N21" s="100">
        <v>2.4</v>
      </c>
      <c r="O21" s="100">
        <v>0</v>
      </c>
      <c r="P21" s="100">
        <v>0.2</v>
      </c>
      <c r="Q21" s="100">
        <v>9.32</v>
      </c>
      <c r="R21" s="6"/>
      <c r="S21" s="6"/>
      <c r="T21" s="156"/>
      <c r="U21" s="6"/>
    </row>
    <row r="22" spans="1:21" customFormat="1">
      <c r="A22" s="201" t="s">
        <v>3133</v>
      </c>
      <c r="B22" s="100">
        <v>4.3600000000000003</v>
      </c>
      <c r="C22" s="100">
        <v>5.32</v>
      </c>
      <c r="D22" s="100">
        <v>6.28</v>
      </c>
      <c r="E22" s="100">
        <v>6.97</v>
      </c>
      <c r="F22" s="100">
        <v>2</v>
      </c>
      <c r="G22" s="100">
        <v>10.67</v>
      </c>
      <c r="H22" s="100">
        <v>5.57</v>
      </c>
      <c r="I22" s="100">
        <v>3.09</v>
      </c>
      <c r="J22" s="100">
        <v>0.45</v>
      </c>
      <c r="K22" s="100">
        <v>253.8</v>
      </c>
      <c r="L22" s="100">
        <v>22.17</v>
      </c>
      <c r="M22" s="100">
        <v>37.64</v>
      </c>
      <c r="N22" s="100">
        <v>2.4</v>
      </c>
      <c r="O22" s="100">
        <v>0</v>
      </c>
      <c r="P22" s="100">
        <v>0.17</v>
      </c>
      <c r="Q22" s="100">
        <v>9.32</v>
      </c>
      <c r="R22" s="6"/>
      <c r="S22" s="6"/>
      <c r="T22" s="156"/>
      <c r="U22" s="6"/>
    </row>
    <row r="23" spans="1:21" customFormat="1">
      <c r="A23" s="201" t="s">
        <v>3134</v>
      </c>
      <c r="B23" s="100">
        <v>4.28</v>
      </c>
      <c r="C23" s="100">
        <v>5.32</v>
      </c>
      <c r="D23" s="100">
        <v>6.22</v>
      </c>
      <c r="E23" s="100">
        <v>7.04</v>
      </c>
      <c r="F23" s="100">
        <v>2</v>
      </c>
      <c r="G23" s="100">
        <v>9.33</v>
      </c>
      <c r="H23" s="100">
        <v>5.17</v>
      </c>
      <c r="I23" s="100">
        <v>3.11</v>
      </c>
      <c r="J23" s="100">
        <v>0.47</v>
      </c>
      <c r="K23" s="100">
        <v>251.78</v>
      </c>
      <c r="L23" s="100">
        <v>21.82</v>
      </c>
      <c r="M23" s="100">
        <v>36.74</v>
      </c>
      <c r="N23" s="100">
        <v>2.2999999999999998</v>
      </c>
      <c r="O23" s="100">
        <v>0</v>
      </c>
      <c r="P23" s="100">
        <v>0.18</v>
      </c>
      <c r="Q23" s="100">
        <v>9.32</v>
      </c>
      <c r="R23" s="6"/>
      <c r="S23" s="6"/>
      <c r="T23" s="156"/>
      <c r="U23" s="6"/>
    </row>
    <row r="24" spans="1:21" customFormat="1">
      <c r="A24" s="201" t="s">
        <v>3135</v>
      </c>
      <c r="B24" s="100">
        <v>4.21</v>
      </c>
      <c r="C24" s="100">
        <v>5.37</v>
      </c>
      <c r="D24" s="100">
        <v>6.18</v>
      </c>
      <c r="E24" s="100">
        <v>6.91</v>
      </c>
      <c r="F24" s="100">
        <v>2</v>
      </c>
      <c r="G24" s="100">
        <v>8.82</v>
      </c>
      <c r="H24" s="100">
        <v>5.16</v>
      </c>
      <c r="I24" s="100">
        <v>3.06</v>
      </c>
      <c r="J24" s="100">
        <v>0.7</v>
      </c>
      <c r="K24" s="100">
        <v>252.89</v>
      </c>
      <c r="L24" s="100">
        <v>22</v>
      </c>
      <c r="M24" s="100">
        <v>37.21</v>
      </c>
      <c r="N24" s="100">
        <v>2.4</v>
      </c>
      <c r="O24" s="100">
        <v>0</v>
      </c>
      <c r="P24" s="100">
        <v>0.17</v>
      </c>
      <c r="Q24" s="100">
        <v>9.32</v>
      </c>
      <c r="R24" s="6"/>
      <c r="S24" s="6"/>
      <c r="T24" s="156"/>
      <c r="U24" s="6"/>
    </row>
    <row r="25" spans="1:21" customFormat="1">
      <c r="A25" s="201" t="s">
        <v>3136</v>
      </c>
      <c r="B25" s="100">
        <v>4.08</v>
      </c>
      <c r="C25" s="100">
        <v>5.35</v>
      </c>
      <c r="D25" s="100">
        <v>6.07</v>
      </c>
      <c r="E25" s="100">
        <v>6.9</v>
      </c>
      <c r="F25" s="100">
        <v>2</v>
      </c>
      <c r="G25" s="100">
        <v>8.82</v>
      </c>
      <c r="H25" s="100">
        <v>5.16</v>
      </c>
      <c r="I25" s="100">
        <v>3.01</v>
      </c>
      <c r="J25" s="100">
        <v>0.54</v>
      </c>
      <c r="K25" s="100">
        <v>249.98</v>
      </c>
      <c r="L25" s="100">
        <v>21.59</v>
      </c>
      <c r="M25" s="100">
        <v>36.17</v>
      </c>
      <c r="N25" s="100">
        <v>2.4</v>
      </c>
      <c r="O25" s="100">
        <v>0</v>
      </c>
      <c r="P25" s="100">
        <v>0.17</v>
      </c>
      <c r="Q25" s="100">
        <v>9.32</v>
      </c>
      <c r="R25" s="6"/>
      <c r="S25" s="6"/>
      <c r="T25" s="156"/>
      <c r="U25" s="6"/>
    </row>
    <row r="26" spans="1:21" customFormat="1">
      <c r="A26" s="201" t="s">
        <v>3137</v>
      </c>
      <c r="B26" s="100">
        <v>3.95</v>
      </c>
      <c r="C26" s="100">
        <v>5.36</v>
      </c>
      <c r="D26" s="100">
        <v>5.97</v>
      </c>
      <c r="E26" s="100">
        <v>7.3</v>
      </c>
      <c r="F26" s="100">
        <v>2</v>
      </c>
      <c r="G26" s="100">
        <v>8.82</v>
      </c>
      <c r="H26" s="100">
        <v>5.16</v>
      </c>
      <c r="I26" s="100">
        <v>3.04</v>
      </c>
      <c r="J26" s="100">
        <v>0.51</v>
      </c>
      <c r="K26" s="100">
        <v>252.53</v>
      </c>
      <c r="L26" s="100">
        <v>21.38</v>
      </c>
      <c r="M26" s="100">
        <v>35.65</v>
      </c>
      <c r="N26" s="100">
        <v>2.4</v>
      </c>
      <c r="O26" s="100">
        <v>0</v>
      </c>
      <c r="P26" s="100">
        <v>0.18</v>
      </c>
      <c r="Q26" s="100">
        <v>9.32</v>
      </c>
      <c r="R26" s="6"/>
      <c r="S26" s="6"/>
      <c r="T26" s="156"/>
      <c r="U26" s="6"/>
    </row>
    <row r="27" spans="1:21" customFormat="1">
      <c r="A27" s="201" t="s">
        <v>3138</v>
      </c>
      <c r="B27" s="100">
        <v>3.86</v>
      </c>
      <c r="C27" s="100">
        <v>5.29</v>
      </c>
      <c r="D27" s="100">
        <v>5.86</v>
      </c>
      <c r="E27" s="100">
        <v>7.08</v>
      </c>
      <c r="F27" s="100">
        <v>2</v>
      </c>
      <c r="G27" s="100">
        <v>7.23</v>
      </c>
      <c r="H27" s="100">
        <v>4.76</v>
      </c>
      <c r="I27" s="100">
        <v>3.03</v>
      </c>
      <c r="J27" s="100">
        <v>0.64</v>
      </c>
      <c r="K27" s="100">
        <v>253.79</v>
      </c>
      <c r="L27" s="100">
        <v>22.03</v>
      </c>
      <c r="M27" s="100">
        <v>37.26</v>
      </c>
      <c r="N27" s="100">
        <v>2.5</v>
      </c>
      <c r="O27" s="100">
        <v>0</v>
      </c>
      <c r="P27" s="100">
        <v>0.18</v>
      </c>
      <c r="Q27" s="100">
        <v>9.32</v>
      </c>
      <c r="R27" s="6"/>
      <c r="S27" s="6"/>
      <c r="T27" s="156"/>
      <c r="U27" s="6"/>
    </row>
    <row r="28" spans="1:21" customFormat="1">
      <c r="A28" s="201" t="s">
        <v>3139</v>
      </c>
      <c r="B28" s="100">
        <v>3.77</v>
      </c>
      <c r="C28" s="100">
        <v>5.25</v>
      </c>
      <c r="D28" s="100">
        <v>5.77</v>
      </c>
      <c r="E28" s="100">
        <v>7.05</v>
      </c>
      <c r="F28" s="100">
        <v>2</v>
      </c>
      <c r="G28" s="100">
        <v>6.65</v>
      </c>
      <c r="H28" s="100">
        <v>4.75</v>
      </c>
      <c r="I28" s="100">
        <v>3</v>
      </c>
      <c r="J28" s="100">
        <v>0.51</v>
      </c>
      <c r="K28" s="100">
        <v>254.94</v>
      </c>
      <c r="L28" s="100">
        <v>22.07</v>
      </c>
      <c r="M28" s="100">
        <v>37.35</v>
      </c>
      <c r="N28" s="100">
        <v>2.4</v>
      </c>
      <c r="O28" s="100">
        <v>0</v>
      </c>
      <c r="P28" s="100">
        <v>0.17</v>
      </c>
      <c r="Q28" s="100">
        <v>9.32</v>
      </c>
      <c r="R28" s="6"/>
      <c r="S28" s="6"/>
      <c r="T28" s="156"/>
      <c r="U28" s="6"/>
    </row>
    <row r="29" spans="1:21" customFormat="1">
      <c r="A29" s="201" t="s">
        <v>3140</v>
      </c>
      <c r="B29" s="100">
        <v>3.7</v>
      </c>
      <c r="C29" s="100">
        <v>5.25</v>
      </c>
      <c r="D29" s="100">
        <v>5.71</v>
      </c>
      <c r="E29" s="100">
        <v>7.29</v>
      </c>
      <c r="F29" s="100">
        <v>2</v>
      </c>
      <c r="G29" s="100">
        <v>6.65</v>
      </c>
      <c r="H29" s="100">
        <v>4.75</v>
      </c>
      <c r="I29" s="100">
        <v>2.96</v>
      </c>
      <c r="J29" s="100">
        <v>0.65</v>
      </c>
      <c r="K29" s="100">
        <v>255.16</v>
      </c>
      <c r="L29" s="100">
        <v>22.11</v>
      </c>
      <c r="M29" s="100">
        <v>37.4</v>
      </c>
      <c r="N29" s="100">
        <v>2.5</v>
      </c>
      <c r="O29" s="100">
        <v>0</v>
      </c>
      <c r="P29" s="100">
        <v>0.17</v>
      </c>
      <c r="Q29" s="100">
        <v>9.32</v>
      </c>
      <c r="R29" s="6"/>
      <c r="S29" s="6"/>
      <c r="T29" s="156"/>
      <c r="U29" s="6"/>
    </row>
    <row r="30" spans="1:21" customFormat="1">
      <c r="A30" s="201" t="s">
        <v>3141</v>
      </c>
      <c r="B30" s="100">
        <v>3.66</v>
      </c>
      <c r="C30" s="100">
        <v>5.21</v>
      </c>
      <c r="D30" s="100">
        <v>5.66</v>
      </c>
      <c r="E30" s="100">
        <v>7.06</v>
      </c>
      <c r="F30" s="100">
        <v>2</v>
      </c>
      <c r="G30" s="100">
        <v>6.65</v>
      </c>
      <c r="H30" s="100">
        <v>4.75</v>
      </c>
      <c r="I30" s="100">
        <v>2.97</v>
      </c>
      <c r="J30" s="100">
        <v>0.56000000000000005</v>
      </c>
      <c r="K30" s="100">
        <v>254.59</v>
      </c>
      <c r="L30" s="100">
        <v>22.36</v>
      </c>
      <c r="M30" s="100">
        <v>38.06</v>
      </c>
      <c r="N30" s="100">
        <v>2.4</v>
      </c>
      <c r="O30" s="100">
        <v>0</v>
      </c>
      <c r="P30" s="100">
        <v>0.18</v>
      </c>
      <c r="Q30" s="100">
        <v>9.32</v>
      </c>
      <c r="R30" s="6"/>
      <c r="S30" s="6"/>
      <c r="T30" s="156"/>
      <c r="U30" s="6"/>
    </row>
    <row r="31" spans="1:21" customFormat="1">
      <c r="A31" s="201" t="s">
        <v>3142</v>
      </c>
      <c r="B31" s="100">
        <v>3.64</v>
      </c>
      <c r="C31" s="100">
        <v>5.14</v>
      </c>
      <c r="D31" s="100">
        <v>5.61</v>
      </c>
      <c r="E31" s="100">
        <v>7.2</v>
      </c>
      <c r="F31" s="100">
        <v>2</v>
      </c>
      <c r="G31" s="100">
        <v>8.69</v>
      </c>
      <c r="H31" s="100">
        <v>5.92</v>
      </c>
      <c r="I31" s="100">
        <v>3.01</v>
      </c>
      <c r="J31" s="100">
        <v>0.55000000000000004</v>
      </c>
      <c r="K31" s="100">
        <v>253.55</v>
      </c>
      <c r="L31" s="100">
        <v>21.97</v>
      </c>
      <c r="M31" s="100">
        <v>37.130000000000003</v>
      </c>
      <c r="N31" s="100">
        <v>2.4</v>
      </c>
      <c r="O31" s="100">
        <v>0</v>
      </c>
      <c r="P31" s="100">
        <v>0.18</v>
      </c>
      <c r="Q31" s="100">
        <v>9.32</v>
      </c>
      <c r="R31" s="6"/>
      <c r="S31" s="6"/>
      <c r="T31" s="156"/>
      <c r="U31" s="6"/>
    </row>
    <row r="32" spans="1:21" customFormat="1">
      <c r="A32" s="201" t="s">
        <v>3143</v>
      </c>
      <c r="B32" s="100">
        <v>3.61</v>
      </c>
      <c r="C32" s="100">
        <v>5.0999999999999996</v>
      </c>
      <c r="D32" s="100">
        <v>5.56</v>
      </c>
      <c r="E32" s="100">
        <v>7.36</v>
      </c>
      <c r="F32" s="100">
        <v>2</v>
      </c>
      <c r="G32" s="100">
        <v>9.4700000000000006</v>
      </c>
      <c r="H32" s="100">
        <v>5.96</v>
      </c>
      <c r="I32" s="100">
        <v>2.96</v>
      </c>
      <c r="J32" s="100">
        <v>0.61</v>
      </c>
      <c r="K32" s="100">
        <v>255.63</v>
      </c>
      <c r="L32" s="100">
        <v>22.29</v>
      </c>
      <c r="M32" s="100">
        <v>37.81</v>
      </c>
      <c r="N32" s="100">
        <v>3.2</v>
      </c>
      <c r="O32" s="100">
        <v>0</v>
      </c>
      <c r="P32" s="100">
        <v>0.17</v>
      </c>
      <c r="Q32" s="100">
        <v>9.32</v>
      </c>
      <c r="R32" s="6"/>
      <c r="S32" s="6"/>
      <c r="T32" s="156"/>
      <c r="U32" s="6"/>
    </row>
    <row r="33" spans="1:21" customFormat="1">
      <c r="A33" s="201" t="s">
        <v>3144</v>
      </c>
      <c r="B33" s="100">
        <v>3.56</v>
      </c>
      <c r="C33" s="100">
        <v>5.1100000000000003</v>
      </c>
      <c r="D33" s="100">
        <v>5.53</v>
      </c>
      <c r="E33" s="100">
        <v>7.18</v>
      </c>
      <c r="F33" s="100">
        <v>2</v>
      </c>
      <c r="G33" s="100">
        <v>9.4700000000000006</v>
      </c>
      <c r="H33" s="100">
        <v>5.96</v>
      </c>
      <c r="I33" s="100">
        <v>2.92</v>
      </c>
      <c r="J33" s="100">
        <v>0.73</v>
      </c>
      <c r="K33" s="100">
        <v>254.87</v>
      </c>
      <c r="L33" s="100">
        <v>22.3</v>
      </c>
      <c r="M33" s="100">
        <v>37.869999999999997</v>
      </c>
      <c r="N33" s="100">
        <v>4.2</v>
      </c>
      <c r="O33" s="100">
        <v>0</v>
      </c>
      <c r="P33" s="100">
        <v>0.17</v>
      </c>
      <c r="Q33" s="100">
        <v>9.32</v>
      </c>
      <c r="R33" s="6"/>
      <c r="S33" s="6"/>
      <c r="T33" s="156"/>
      <c r="U33" s="6"/>
    </row>
    <row r="34" spans="1:21" customFormat="1">
      <c r="A34" s="201" t="s">
        <v>3145</v>
      </c>
      <c r="B34" s="100">
        <v>3.54</v>
      </c>
      <c r="C34" s="100">
        <v>4.99</v>
      </c>
      <c r="D34" s="100">
        <v>5.45</v>
      </c>
      <c r="E34" s="100">
        <v>7.3</v>
      </c>
      <c r="F34" s="100">
        <v>2</v>
      </c>
      <c r="G34" s="100">
        <v>9.4700000000000006</v>
      </c>
      <c r="H34" s="100">
        <v>5.96</v>
      </c>
      <c r="I34" s="100">
        <v>2.95</v>
      </c>
      <c r="J34" s="100">
        <v>0.63</v>
      </c>
      <c r="K34" s="100">
        <v>254.99</v>
      </c>
      <c r="L34" s="100">
        <v>22.15</v>
      </c>
      <c r="M34" s="100">
        <v>37.49</v>
      </c>
      <c r="N34" s="100">
        <v>6</v>
      </c>
      <c r="O34" s="100">
        <v>0</v>
      </c>
      <c r="P34" s="100">
        <v>0.17</v>
      </c>
      <c r="Q34" s="100">
        <v>9.32</v>
      </c>
      <c r="R34" s="6"/>
      <c r="S34" s="6"/>
      <c r="T34" s="156"/>
      <c r="U34" s="6"/>
    </row>
    <row r="35" spans="1:21" customFormat="1">
      <c r="A35" s="201" t="s">
        <v>3146</v>
      </c>
      <c r="B35" s="100">
        <v>3.48</v>
      </c>
      <c r="C35" s="100">
        <v>4.97</v>
      </c>
      <c r="D35" s="100">
        <v>5.39</v>
      </c>
      <c r="E35" s="100">
        <v>7.1</v>
      </c>
      <c r="F35" s="100">
        <v>2</v>
      </c>
      <c r="G35" s="100">
        <v>8.27</v>
      </c>
      <c r="H35" s="100">
        <v>4.59</v>
      </c>
      <c r="I35" s="100">
        <v>2.95</v>
      </c>
      <c r="J35" s="100">
        <v>0.62</v>
      </c>
      <c r="K35" s="100">
        <v>257</v>
      </c>
      <c r="L35" s="100">
        <v>22.42</v>
      </c>
      <c r="M35" s="100">
        <v>37.950000000000003</v>
      </c>
      <c r="N35" s="100">
        <v>14.9</v>
      </c>
      <c r="O35" s="100">
        <v>0</v>
      </c>
      <c r="P35" s="100">
        <v>0.17</v>
      </c>
      <c r="Q35" s="100">
        <v>9.32</v>
      </c>
      <c r="R35" s="6"/>
      <c r="S35" s="6"/>
      <c r="T35" s="156"/>
      <c r="U35" s="6"/>
    </row>
    <row r="36" spans="1:21" customFormat="1">
      <c r="A36" s="201" t="s">
        <v>3147</v>
      </c>
      <c r="B36" s="100">
        <v>3.45</v>
      </c>
      <c r="C36" s="100">
        <v>4.97</v>
      </c>
      <c r="D36" s="100">
        <v>5.36</v>
      </c>
      <c r="E36" s="100">
        <v>7.12</v>
      </c>
      <c r="F36" s="100">
        <v>2</v>
      </c>
      <c r="G36" s="100">
        <v>7.83</v>
      </c>
      <c r="H36" s="100">
        <v>4.55</v>
      </c>
      <c r="I36" s="100">
        <v>2.88</v>
      </c>
      <c r="J36" s="100">
        <v>0.76</v>
      </c>
      <c r="K36" s="100">
        <v>255.2</v>
      </c>
      <c r="L36" s="100">
        <v>22.72</v>
      </c>
      <c r="M36" s="100">
        <v>38.65</v>
      </c>
      <c r="N36" s="100">
        <v>14.8</v>
      </c>
      <c r="O36" s="100">
        <v>0</v>
      </c>
      <c r="P36" s="100">
        <v>0.17</v>
      </c>
      <c r="Q36" s="100">
        <v>9.32</v>
      </c>
      <c r="R36" s="6"/>
      <c r="S36" s="6"/>
      <c r="T36" s="156"/>
      <c r="U36" s="6"/>
    </row>
    <row r="37" spans="1:21" customFormat="1">
      <c r="A37" s="201" t="s">
        <v>3148</v>
      </c>
      <c r="B37" s="100">
        <v>3.37</v>
      </c>
      <c r="C37" s="100">
        <v>5.01</v>
      </c>
      <c r="D37" s="100">
        <v>5.32</v>
      </c>
      <c r="E37" s="100">
        <v>7.08</v>
      </c>
      <c r="F37" s="100">
        <v>2</v>
      </c>
      <c r="G37" s="100">
        <v>7.83</v>
      </c>
      <c r="H37" s="100">
        <v>4.55</v>
      </c>
      <c r="I37" s="100">
        <v>2.85</v>
      </c>
      <c r="J37" s="100">
        <v>0.63</v>
      </c>
      <c r="K37" s="100">
        <v>253.12</v>
      </c>
      <c r="L37" s="100">
        <v>22.24</v>
      </c>
      <c r="M37" s="100">
        <v>37.659999999999997</v>
      </c>
      <c r="N37" s="100">
        <v>8.1999999999999993</v>
      </c>
      <c r="O37" s="100">
        <v>0</v>
      </c>
      <c r="P37" s="100">
        <v>0.17</v>
      </c>
      <c r="Q37" s="100">
        <v>9.32</v>
      </c>
      <c r="R37" s="6"/>
      <c r="S37" s="6"/>
      <c r="T37" s="156"/>
      <c r="U37" s="6"/>
    </row>
    <row r="38" spans="1:21" customFormat="1">
      <c r="A38" s="201" t="s">
        <v>3149</v>
      </c>
      <c r="B38" s="100">
        <v>3.38</v>
      </c>
      <c r="C38" s="100">
        <v>4.97</v>
      </c>
      <c r="D38" s="100">
        <v>5.3</v>
      </c>
      <c r="E38" s="100">
        <v>7</v>
      </c>
      <c r="F38" s="100">
        <v>2</v>
      </c>
      <c r="G38" s="100">
        <v>7.83</v>
      </c>
      <c r="H38" s="100">
        <v>4.55</v>
      </c>
      <c r="I38" s="100">
        <v>2.94</v>
      </c>
      <c r="J38" s="100">
        <v>0.5</v>
      </c>
      <c r="K38" s="100">
        <v>252.76</v>
      </c>
      <c r="L38" s="100">
        <v>22</v>
      </c>
      <c r="M38" s="100">
        <v>36.950000000000003</v>
      </c>
      <c r="N38" s="100">
        <v>14.4</v>
      </c>
      <c r="O38" s="100">
        <v>0</v>
      </c>
      <c r="P38" s="100">
        <v>0.18</v>
      </c>
      <c r="Q38" s="100">
        <v>9.32</v>
      </c>
      <c r="R38" s="6"/>
      <c r="S38" s="6"/>
      <c r="T38" s="156"/>
      <c r="U38" s="6"/>
    </row>
    <row r="39" spans="1:21" customFormat="1">
      <c r="A39" s="201" t="s">
        <v>3150</v>
      </c>
      <c r="B39" s="100">
        <v>3.35</v>
      </c>
      <c r="C39" s="100">
        <v>4.95</v>
      </c>
      <c r="D39" s="100">
        <v>5.28</v>
      </c>
      <c r="E39" s="100">
        <v>7.38</v>
      </c>
      <c r="F39" s="100">
        <v>2</v>
      </c>
      <c r="G39" s="100">
        <v>6.15</v>
      </c>
      <c r="H39" s="100">
        <v>3.48</v>
      </c>
      <c r="I39" s="100">
        <v>2.95</v>
      </c>
      <c r="J39" s="100">
        <v>0.64</v>
      </c>
      <c r="K39" s="100">
        <v>252.65</v>
      </c>
      <c r="L39" s="100">
        <v>22.32</v>
      </c>
      <c r="M39" s="100">
        <v>37.54</v>
      </c>
      <c r="N39" s="100">
        <v>19.2</v>
      </c>
      <c r="O39" s="100">
        <v>0</v>
      </c>
      <c r="P39" s="100">
        <v>0.18</v>
      </c>
      <c r="Q39" s="100">
        <v>9.32</v>
      </c>
      <c r="R39" s="6"/>
      <c r="S39" s="6"/>
      <c r="T39" s="156"/>
      <c r="U39" s="6"/>
    </row>
    <row r="40" spans="1:21" customFormat="1">
      <c r="A40" s="201" t="s">
        <v>3151</v>
      </c>
      <c r="B40" s="100">
        <v>3.34</v>
      </c>
      <c r="C40" s="100">
        <v>4.9400000000000004</v>
      </c>
      <c r="D40" s="100">
        <v>5.26</v>
      </c>
      <c r="E40" s="100">
        <v>7.12</v>
      </c>
      <c r="F40" s="100">
        <v>2</v>
      </c>
      <c r="G40" s="100">
        <v>5.54</v>
      </c>
      <c r="H40" s="100">
        <v>3.45</v>
      </c>
      <c r="I40" s="100">
        <v>2.91</v>
      </c>
      <c r="J40" s="100">
        <v>0.74</v>
      </c>
      <c r="K40" s="100">
        <v>253.05</v>
      </c>
      <c r="L40" s="100">
        <v>22.29</v>
      </c>
      <c r="M40" s="100">
        <v>37.35</v>
      </c>
      <c r="N40" s="100">
        <v>24.2</v>
      </c>
      <c r="O40" s="100">
        <v>0</v>
      </c>
      <c r="P40" s="100">
        <v>0.17</v>
      </c>
      <c r="Q40" s="100">
        <v>9.32</v>
      </c>
      <c r="R40" s="6"/>
      <c r="S40" s="6"/>
      <c r="T40" s="156"/>
      <c r="U40" s="6"/>
    </row>
    <row r="41" spans="1:21" customFormat="1">
      <c r="A41" s="201" t="s">
        <v>3152</v>
      </c>
      <c r="B41" s="100">
        <v>3.33</v>
      </c>
      <c r="C41" s="100">
        <v>4.95</v>
      </c>
      <c r="D41" s="100">
        <v>5.26</v>
      </c>
      <c r="E41" s="100">
        <v>7.19</v>
      </c>
      <c r="F41" s="100">
        <v>2</v>
      </c>
      <c r="G41" s="100">
        <v>5.54</v>
      </c>
      <c r="H41" s="100">
        <v>3.45</v>
      </c>
      <c r="I41" s="100">
        <v>2.92</v>
      </c>
      <c r="J41" s="100">
        <v>0.67</v>
      </c>
      <c r="K41" s="100">
        <v>255.72</v>
      </c>
      <c r="L41" s="100">
        <v>22.6</v>
      </c>
      <c r="M41" s="100">
        <v>38.369999999999997</v>
      </c>
      <c r="N41" s="100">
        <v>17.100000000000001</v>
      </c>
      <c r="O41" s="100">
        <v>0</v>
      </c>
      <c r="P41" s="100">
        <v>0.19</v>
      </c>
      <c r="Q41" s="100">
        <v>9.32</v>
      </c>
      <c r="R41" s="6"/>
      <c r="S41" s="6"/>
      <c r="T41" s="156"/>
      <c r="U41" s="6"/>
    </row>
    <row r="42" spans="1:21" customFormat="1">
      <c r="A42" s="201" t="s">
        <v>3153</v>
      </c>
      <c r="B42" s="100">
        <v>3.31</v>
      </c>
      <c r="C42" s="100">
        <v>4.7300000000000004</v>
      </c>
      <c r="D42" s="100">
        <v>5.12</v>
      </c>
      <c r="E42" s="100">
        <v>7.2</v>
      </c>
      <c r="F42" s="100">
        <v>2</v>
      </c>
      <c r="G42" s="100">
        <v>5.54</v>
      </c>
      <c r="H42" s="100">
        <v>3.45</v>
      </c>
      <c r="I42" s="100">
        <v>3.02</v>
      </c>
      <c r="J42" s="100">
        <v>0.57999999999999996</v>
      </c>
      <c r="K42" s="100">
        <v>253.66</v>
      </c>
      <c r="L42" s="100">
        <v>22.35</v>
      </c>
      <c r="M42" s="100">
        <v>37.54</v>
      </c>
      <c r="N42" s="100">
        <v>25.8</v>
      </c>
      <c r="O42" s="100">
        <v>0</v>
      </c>
      <c r="P42" s="100">
        <v>0.2</v>
      </c>
      <c r="Q42" s="100">
        <v>9.32</v>
      </c>
      <c r="R42" s="6"/>
      <c r="S42" s="6"/>
      <c r="T42" s="156"/>
      <c r="U42" s="6"/>
    </row>
    <row r="43" spans="1:21" customFormat="1">
      <c r="A43" s="201" t="s">
        <v>3154</v>
      </c>
      <c r="B43" s="100">
        <v>3.35</v>
      </c>
      <c r="C43" s="100">
        <v>4.75</v>
      </c>
      <c r="D43" s="100">
        <v>5.17</v>
      </c>
      <c r="E43" s="100">
        <v>7.16</v>
      </c>
      <c r="F43" s="100">
        <v>2</v>
      </c>
      <c r="G43" s="100">
        <v>8.33</v>
      </c>
      <c r="H43" s="100">
        <v>2.63</v>
      </c>
      <c r="I43" s="100">
        <v>3.07</v>
      </c>
      <c r="J43" s="100">
        <v>0.54</v>
      </c>
      <c r="K43" s="100">
        <v>253.58</v>
      </c>
      <c r="L43" s="100">
        <v>22.25</v>
      </c>
      <c r="M43" s="100">
        <v>37.229999999999997</v>
      </c>
      <c r="N43" s="100">
        <v>28.9</v>
      </c>
      <c r="O43" s="100">
        <v>0</v>
      </c>
      <c r="P43" s="100">
        <v>0.21</v>
      </c>
      <c r="Q43" s="100">
        <v>9.32</v>
      </c>
      <c r="R43" s="6"/>
      <c r="S43" s="6"/>
      <c r="T43" s="156"/>
      <c r="U43" s="6"/>
    </row>
    <row r="44" spans="1:21" customFormat="1">
      <c r="A44" s="201" t="s">
        <v>3155</v>
      </c>
      <c r="B44" s="100">
        <v>3.48</v>
      </c>
      <c r="C44" s="100">
        <v>4.82</v>
      </c>
      <c r="D44" s="100">
        <v>5.31</v>
      </c>
      <c r="E44" s="100">
        <v>6.82</v>
      </c>
      <c r="F44" s="100">
        <v>2</v>
      </c>
      <c r="G44" s="100">
        <v>9.35</v>
      </c>
      <c r="H44" s="100">
        <v>2.61</v>
      </c>
      <c r="I44" s="100">
        <v>3.1</v>
      </c>
      <c r="J44" s="100">
        <v>0.51</v>
      </c>
      <c r="K44" s="100">
        <v>256.31</v>
      </c>
      <c r="L44" s="100">
        <v>22.65</v>
      </c>
      <c r="M44" s="100">
        <v>38.1</v>
      </c>
      <c r="N44" s="100">
        <v>34.1</v>
      </c>
      <c r="O44" s="100">
        <v>0</v>
      </c>
      <c r="P44" s="100">
        <v>0.21</v>
      </c>
      <c r="Q44" s="100">
        <v>9.32</v>
      </c>
      <c r="R44" s="6"/>
      <c r="S44" s="6"/>
      <c r="T44" s="156"/>
      <c r="U44" s="6"/>
    </row>
    <row r="45" spans="1:21" customFormat="1">
      <c r="A45" s="201" t="s">
        <v>3156</v>
      </c>
      <c r="B45" s="100">
        <v>3.62</v>
      </c>
      <c r="C45" s="100">
        <v>4.8099999999999996</v>
      </c>
      <c r="D45" s="100">
        <v>5.42</v>
      </c>
      <c r="E45" s="100">
        <v>6.81</v>
      </c>
      <c r="F45" s="100">
        <v>2</v>
      </c>
      <c r="G45" s="100">
        <v>9.35</v>
      </c>
      <c r="H45" s="100">
        <v>2.61</v>
      </c>
      <c r="I45" s="100">
        <v>3.19</v>
      </c>
      <c r="J45" s="100">
        <v>0.57999999999999996</v>
      </c>
      <c r="K45" s="100">
        <v>254.06</v>
      </c>
      <c r="L45" s="100">
        <v>22.47</v>
      </c>
      <c r="M45" s="100">
        <v>37.29</v>
      </c>
      <c r="N45" s="100">
        <v>50.2</v>
      </c>
      <c r="O45" s="100">
        <v>0</v>
      </c>
      <c r="P45" s="100">
        <v>0.21</v>
      </c>
      <c r="Q45" s="100">
        <v>9.32</v>
      </c>
      <c r="R45" s="6"/>
      <c r="S45" s="6"/>
      <c r="T45" s="156"/>
      <c r="U45" s="6"/>
    </row>
    <row r="46" spans="1:21" customFormat="1">
      <c r="A46" s="201" t="s">
        <v>3157</v>
      </c>
      <c r="B46" s="100">
        <v>3.67</v>
      </c>
      <c r="C46" s="100">
        <v>4.84</v>
      </c>
      <c r="D46" s="100">
        <v>5.48</v>
      </c>
      <c r="E46" s="100">
        <v>6.86</v>
      </c>
      <c r="F46" s="100">
        <v>2</v>
      </c>
      <c r="G46" s="100">
        <v>9.35</v>
      </c>
      <c r="H46" s="100">
        <v>2.61</v>
      </c>
      <c r="I46" s="100">
        <v>3.24</v>
      </c>
      <c r="J46" s="100">
        <v>0.67</v>
      </c>
      <c r="K46" s="100">
        <v>255.39</v>
      </c>
      <c r="L46" s="100">
        <v>23.79</v>
      </c>
      <c r="M46" s="100">
        <v>37.74</v>
      </c>
      <c r="N46" s="100">
        <v>174.1</v>
      </c>
      <c r="O46" s="100">
        <v>0</v>
      </c>
      <c r="P46" s="100">
        <v>0.21</v>
      </c>
      <c r="Q46" s="100">
        <v>9.32</v>
      </c>
      <c r="R46" s="6"/>
      <c r="S46" s="6"/>
      <c r="T46" s="156"/>
      <c r="U46" s="6"/>
    </row>
    <row r="47" spans="1:21" customFormat="1">
      <c r="A47" s="201" t="s">
        <v>3158</v>
      </c>
      <c r="B47" s="100">
        <v>3.76</v>
      </c>
      <c r="C47" s="100">
        <v>4.9400000000000004</v>
      </c>
      <c r="D47" s="100">
        <v>5.6</v>
      </c>
      <c r="E47" s="100">
        <v>6.82</v>
      </c>
      <c r="F47" s="100">
        <v>2</v>
      </c>
      <c r="G47" s="100">
        <v>7.69</v>
      </c>
      <c r="H47" s="100">
        <v>2.2000000000000002</v>
      </c>
      <c r="I47" s="100">
        <v>3.27</v>
      </c>
      <c r="J47" s="100">
        <v>0.85</v>
      </c>
      <c r="K47" s="100">
        <v>252.49</v>
      </c>
      <c r="L47" s="100">
        <v>24.02</v>
      </c>
      <c r="M47" s="100">
        <v>38.44</v>
      </c>
      <c r="N47" s="100">
        <v>170.6</v>
      </c>
      <c r="O47" s="100">
        <v>0</v>
      </c>
      <c r="P47" s="100">
        <v>0.21</v>
      </c>
      <c r="Q47" s="100">
        <v>9.32</v>
      </c>
      <c r="R47" s="6"/>
      <c r="S47" s="6"/>
      <c r="T47" s="156"/>
      <c r="U47" s="6"/>
    </row>
    <row r="48" spans="1:21" customFormat="1">
      <c r="A48" s="201" t="s">
        <v>3159</v>
      </c>
      <c r="B48" s="100">
        <v>3.77</v>
      </c>
      <c r="C48" s="100">
        <v>4.93</v>
      </c>
      <c r="D48" s="100">
        <v>5.6</v>
      </c>
      <c r="E48" s="100">
        <v>6.67</v>
      </c>
      <c r="F48" s="100">
        <v>2</v>
      </c>
      <c r="G48" s="100">
        <v>7.09</v>
      </c>
      <c r="H48" s="100">
        <v>2.19</v>
      </c>
      <c r="I48" s="100">
        <v>3.32</v>
      </c>
      <c r="J48" s="100">
        <v>0.71</v>
      </c>
      <c r="K48" s="100">
        <v>261.39</v>
      </c>
      <c r="L48" s="100">
        <v>24.34</v>
      </c>
      <c r="M48" s="100">
        <v>40.75</v>
      </c>
      <c r="N48" s="100">
        <v>100</v>
      </c>
      <c r="O48" s="100">
        <v>0</v>
      </c>
      <c r="P48" s="100">
        <v>0.2</v>
      </c>
      <c r="Q48" s="100">
        <v>9.32</v>
      </c>
      <c r="R48" s="6"/>
      <c r="S48" s="6"/>
      <c r="T48" s="156"/>
      <c r="U48" s="6"/>
    </row>
    <row r="49" spans="1:21" customFormat="1">
      <c r="A49" s="201" t="s">
        <v>3160</v>
      </c>
      <c r="B49" s="100">
        <v>3.78</v>
      </c>
      <c r="C49" s="100">
        <v>5.0199999999999996</v>
      </c>
      <c r="D49" s="100">
        <v>5.65</v>
      </c>
      <c r="E49" s="100">
        <v>5.22</v>
      </c>
      <c r="F49" s="100">
        <v>2</v>
      </c>
      <c r="G49" s="100">
        <v>7.09</v>
      </c>
      <c r="H49" s="100">
        <v>2.19</v>
      </c>
      <c r="I49" s="100">
        <v>3.29</v>
      </c>
      <c r="J49" s="100">
        <v>0.89</v>
      </c>
      <c r="K49" s="100">
        <v>257.60000000000002</v>
      </c>
      <c r="L49" s="100">
        <v>24.16</v>
      </c>
      <c r="M49" s="100">
        <v>38.68</v>
      </c>
      <c r="N49" s="100">
        <v>169.9</v>
      </c>
      <c r="O49" s="100">
        <v>0</v>
      </c>
      <c r="P49" s="100">
        <v>0.2</v>
      </c>
      <c r="Q49" s="100">
        <v>9.32</v>
      </c>
      <c r="R49" s="6"/>
      <c r="S49" s="6"/>
      <c r="T49" s="156"/>
      <c r="U49" s="6"/>
    </row>
    <row r="50" spans="1:21" customFormat="1">
      <c r="A50" s="201" t="s">
        <v>3161</v>
      </c>
      <c r="B50" s="100">
        <v>3.73</v>
      </c>
      <c r="C50" s="100">
        <v>5.15</v>
      </c>
      <c r="D50" s="100">
        <v>5.68</v>
      </c>
      <c r="E50" s="100">
        <v>6.4</v>
      </c>
      <c r="F50" s="100">
        <v>2</v>
      </c>
      <c r="G50" s="100">
        <v>7.09</v>
      </c>
      <c r="H50" s="100">
        <v>2.19</v>
      </c>
      <c r="I50" s="100">
        <v>3.29</v>
      </c>
      <c r="J50" s="100">
        <v>0.9</v>
      </c>
      <c r="K50" s="100">
        <v>260.54000000000002</v>
      </c>
      <c r="L50" s="100">
        <v>25.12</v>
      </c>
      <c r="M50" s="100">
        <v>39.72</v>
      </c>
      <c r="N50" s="100">
        <v>233.5</v>
      </c>
      <c r="O50" s="100">
        <v>0</v>
      </c>
      <c r="P50" s="100">
        <v>0.21</v>
      </c>
      <c r="Q50" s="100">
        <v>9.32</v>
      </c>
      <c r="R50" s="6"/>
      <c r="S50" s="6"/>
      <c r="T50" s="156"/>
      <c r="U50" s="6"/>
    </row>
    <row r="51" spans="1:21" customFormat="1">
      <c r="A51" s="201" t="s">
        <v>3162</v>
      </c>
      <c r="B51" s="100">
        <v>3.59</v>
      </c>
      <c r="C51" s="100">
        <v>5.14</v>
      </c>
      <c r="D51" s="100">
        <v>5.56</v>
      </c>
      <c r="E51" s="100">
        <v>6.28</v>
      </c>
      <c r="F51" s="100">
        <v>2</v>
      </c>
      <c r="G51" s="100">
        <v>9.84</v>
      </c>
      <c r="H51" s="100">
        <v>2.5</v>
      </c>
      <c r="I51" s="100">
        <v>3.32</v>
      </c>
      <c r="J51" s="100">
        <v>0.96</v>
      </c>
      <c r="K51" s="100">
        <v>256.76</v>
      </c>
      <c r="L51" s="100">
        <v>25.63</v>
      </c>
      <c r="M51" s="100">
        <v>39.659999999999997</v>
      </c>
      <c r="N51" s="100">
        <v>287.39999999999998</v>
      </c>
      <c r="O51" s="100">
        <v>0</v>
      </c>
      <c r="P51" s="100">
        <v>0.21</v>
      </c>
      <c r="Q51" s="100">
        <v>9.32</v>
      </c>
      <c r="R51" s="6"/>
      <c r="S51" s="6"/>
      <c r="T51" s="156"/>
      <c r="U51" s="6"/>
    </row>
    <row r="52" spans="1:21" customFormat="1">
      <c r="A52" s="201" t="s">
        <v>3163</v>
      </c>
      <c r="B52" s="100">
        <v>3.47</v>
      </c>
      <c r="C52" s="100">
        <v>5.24</v>
      </c>
      <c r="D52" s="100">
        <v>5.52</v>
      </c>
      <c r="E52" s="100">
        <v>6.04</v>
      </c>
      <c r="F52" s="100">
        <v>2</v>
      </c>
      <c r="G52" s="100">
        <v>10.84</v>
      </c>
      <c r="H52" s="100">
        <v>2.5099999999999998</v>
      </c>
      <c r="I52" s="100">
        <v>3.34</v>
      </c>
      <c r="J52" s="100">
        <v>1.18</v>
      </c>
      <c r="K52" s="100">
        <v>253.6</v>
      </c>
      <c r="L52" s="100">
        <v>24.58</v>
      </c>
      <c r="M52" s="100">
        <v>38.25</v>
      </c>
      <c r="N52" s="100">
        <v>234.6</v>
      </c>
      <c r="O52" s="100">
        <v>0</v>
      </c>
      <c r="P52" s="100">
        <v>0.2</v>
      </c>
      <c r="Q52" s="100">
        <v>9.32</v>
      </c>
      <c r="R52" s="6"/>
      <c r="S52" s="6"/>
      <c r="T52" s="156"/>
      <c r="U52" s="6"/>
    </row>
    <row r="53" spans="1:21" customFormat="1">
      <c r="A53" s="201" t="s">
        <v>3164</v>
      </c>
      <c r="B53" s="100">
        <v>3.38</v>
      </c>
      <c r="C53" s="100">
        <v>5.22</v>
      </c>
      <c r="D53" s="100">
        <v>5.44</v>
      </c>
      <c r="E53" s="100">
        <v>5.94</v>
      </c>
      <c r="F53" s="100">
        <v>2</v>
      </c>
      <c r="G53" s="100">
        <v>10.84</v>
      </c>
      <c r="H53" s="100">
        <v>2.5099999999999998</v>
      </c>
      <c r="I53" s="100">
        <v>3.37</v>
      </c>
      <c r="J53" s="100">
        <v>1.05</v>
      </c>
      <c r="K53" s="100">
        <v>258.86</v>
      </c>
      <c r="L53" s="100">
        <v>25.14</v>
      </c>
      <c r="M53" s="100">
        <v>40.21</v>
      </c>
      <c r="N53" s="100">
        <v>210.3</v>
      </c>
      <c r="O53" s="100">
        <v>0</v>
      </c>
      <c r="P53" s="100">
        <v>0.2</v>
      </c>
      <c r="Q53" s="100">
        <v>9.32</v>
      </c>
      <c r="R53" s="6"/>
      <c r="S53" s="6"/>
      <c r="T53" s="156"/>
      <c r="U53" s="6"/>
    </row>
    <row r="54" spans="1:21" customFormat="1">
      <c r="A54" s="201" t="s">
        <v>3165</v>
      </c>
      <c r="B54" s="100">
        <v>3.16</v>
      </c>
      <c r="C54" s="100">
        <v>5.26</v>
      </c>
      <c r="D54" s="100">
        <v>5.29</v>
      </c>
      <c r="E54" s="100">
        <v>5.76</v>
      </c>
      <c r="F54" s="100">
        <v>2</v>
      </c>
      <c r="G54" s="100">
        <v>10.84</v>
      </c>
      <c r="H54" s="100">
        <v>2.5099999999999998</v>
      </c>
      <c r="I54" s="100">
        <v>3.38</v>
      </c>
      <c r="J54" s="100">
        <v>0.91</v>
      </c>
      <c r="K54" s="100">
        <v>262.05</v>
      </c>
      <c r="L54" s="100">
        <v>24.6</v>
      </c>
      <c r="M54" s="100">
        <v>40.22</v>
      </c>
      <c r="N54" s="100">
        <v>150.9</v>
      </c>
      <c r="O54" s="100">
        <v>0</v>
      </c>
      <c r="P54" s="100">
        <v>0.2</v>
      </c>
      <c r="Q54" s="100">
        <v>9.32</v>
      </c>
      <c r="R54" s="6"/>
      <c r="S54" s="6"/>
      <c r="T54" s="156"/>
      <c r="U54" s="6"/>
    </row>
    <row r="55" spans="1:21" customFormat="1">
      <c r="A55" s="201" t="s">
        <v>3166</v>
      </c>
      <c r="B55" s="100">
        <v>3.17</v>
      </c>
      <c r="C55" s="100">
        <v>5.29</v>
      </c>
      <c r="D55" s="100">
        <v>5.3</v>
      </c>
      <c r="E55" s="100">
        <v>5.88</v>
      </c>
      <c r="F55" s="100">
        <v>2</v>
      </c>
      <c r="G55" s="100">
        <v>13.82</v>
      </c>
      <c r="H55" s="100">
        <v>8.3000000000000007</v>
      </c>
      <c r="I55" s="100">
        <v>3.35</v>
      </c>
      <c r="J55" s="100">
        <v>0.8</v>
      </c>
      <c r="K55" s="100">
        <v>269.73</v>
      </c>
      <c r="L55" s="100">
        <v>24.69</v>
      </c>
      <c r="M55" s="100">
        <v>40.840000000000003</v>
      </c>
      <c r="N55" s="100">
        <v>133.1</v>
      </c>
      <c r="O55" s="100">
        <v>0</v>
      </c>
      <c r="P55" s="100">
        <v>0.21</v>
      </c>
      <c r="Q55" s="100">
        <v>9.32</v>
      </c>
      <c r="R55" s="6"/>
      <c r="S55" s="6"/>
      <c r="T55" s="156"/>
      <c r="U55" s="6"/>
    </row>
    <row r="56" spans="1:21" customFormat="1">
      <c r="A56" s="201" t="s">
        <v>3167</v>
      </c>
      <c r="B56" s="100">
        <v>3.14</v>
      </c>
      <c r="C56" s="100">
        <v>5.23</v>
      </c>
      <c r="D56" s="100">
        <v>5.25</v>
      </c>
      <c r="E56" s="100">
        <v>6.11</v>
      </c>
      <c r="F56" s="100">
        <v>2</v>
      </c>
      <c r="G56" s="100">
        <v>14.9</v>
      </c>
      <c r="H56" s="100">
        <v>8.48</v>
      </c>
      <c r="I56" s="100">
        <v>3.37</v>
      </c>
      <c r="J56" s="100">
        <v>1</v>
      </c>
      <c r="K56" s="100">
        <v>258.18</v>
      </c>
      <c r="L56" s="100">
        <v>24.16</v>
      </c>
      <c r="M56" s="100">
        <v>40.46</v>
      </c>
      <c r="N56" s="100">
        <v>92.5</v>
      </c>
      <c r="O56" s="100">
        <v>0</v>
      </c>
      <c r="P56" s="100">
        <v>0.21</v>
      </c>
      <c r="Q56" s="100">
        <v>9.32</v>
      </c>
      <c r="R56" s="6"/>
      <c r="S56" s="6"/>
      <c r="T56" s="156"/>
      <c r="U56" s="6"/>
    </row>
    <row r="57" spans="1:21" customFormat="1">
      <c r="A57" s="201" t="s">
        <v>3168</v>
      </c>
      <c r="B57" s="100">
        <v>3.07</v>
      </c>
      <c r="C57" s="100">
        <v>5.34</v>
      </c>
      <c r="D57" s="100">
        <v>5.25</v>
      </c>
      <c r="E57" s="100">
        <v>5.69</v>
      </c>
      <c r="F57" s="100">
        <v>2</v>
      </c>
      <c r="G57" s="100">
        <v>14.9</v>
      </c>
      <c r="H57" s="100">
        <v>8.48</v>
      </c>
      <c r="I57" s="100">
        <v>3.43</v>
      </c>
      <c r="J57" s="100">
        <v>0.82</v>
      </c>
      <c r="K57" s="100">
        <v>258.58</v>
      </c>
      <c r="L57" s="100">
        <v>23.46</v>
      </c>
      <c r="M57" s="100">
        <v>39.44</v>
      </c>
      <c r="N57" s="100">
        <v>62.8</v>
      </c>
      <c r="O57" s="100">
        <v>0</v>
      </c>
      <c r="P57" s="100">
        <v>0.21</v>
      </c>
      <c r="Q57" s="100">
        <v>9.32</v>
      </c>
      <c r="R57" s="6"/>
      <c r="S57" s="6"/>
      <c r="T57" s="156"/>
      <c r="U57" s="6"/>
    </row>
    <row r="58" spans="1:21" customFormat="1">
      <c r="A58" s="201" t="s">
        <v>3169</v>
      </c>
      <c r="B58" s="100">
        <v>3.05</v>
      </c>
      <c r="C58" s="100">
        <v>5.32</v>
      </c>
      <c r="D58" s="100">
        <v>5.23</v>
      </c>
      <c r="E58" s="100">
        <v>6.09</v>
      </c>
      <c r="F58" s="100">
        <v>2</v>
      </c>
      <c r="G58" s="100">
        <v>14.9</v>
      </c>
      <c r="H58" s="100">
        <v>8.48</v>
      </c>
      <c r="I58" s="100">
        <v>3.42</v>
      </c>
      <c r="J58" s="100">
        <v>0.73</v>
      </c>
      <c r="K58" s="100">
        <v>257.14999999999998</v>
      </c>
      <c r="L58" s="100">
        <v>23.2</v>
      </c>
      <c r="M58" s="100">
        <v>39.6</v>
      </c>
      <c r="N58" s="100">
        <v>29.2</v>
      </c>
      <c r="O58" s="100">
        <v>0</v>
      </c>
      <c r="P58" s="100">
        <v>0.21</v>
      </c>
      <c r="Q58" s="100">
        <v>9.32</v>
      </c>
      <c r="R58" s="6"/>
      <c r="S58" s="6"/>
      <c r="T58" s="156"/>
      <c r="U58" s="6"/>
    </row>
    <row r="59" spans="1:21" customFormat="1">
      <c r="A59" s="201" t="s">
        <v>3170</v>
      </c>
      <c r="B59" s="100">
        <v>3</v>
      </c>
      <c r="C59" s="100">
        <v>5.31</v>
      </c>
      <c r="D59" s="100">
        <v>5.18</v>
      </c>
      <c r="E59" s="100">
        <v>4.49</v>
      </c>
      <c r="F59" s="100">
        <v>2</v>
      </c>
      <c r="G59" s="100">
        <v>12.88</v>
      </c>
      <c r="H59" s="100">
        <v>6.32</v>
      </c>
      <c r="I59" s="100">
        <v>3.42</v>
      </c>
      <c r="J59" s="100">
        <v>0.51</v>
      </c>
      <c r="K59" s="100">
        <v>261.58</v>
      </c>
      <c r="L59" s="100">
        <v>23.09</v>
      </c>
      <c r="M59" s="100">
        <v>39.299999999999997</v>
      </c>
      <c r="N59" s="100">
        <v>28.8</v>
      </c>
      <c r="O59" s="100">
        <v>0.2</v>
      </c>
      <c r="P59" s="100">
        <v>0.21</v>
      </c>
      <c r="Q59" s="100">
        <v>9.32</v>
      </c>
      <c r="R59" s="6"/>
      <c r="S59" s="6"/>
      <c r="T59" s="156"/>
      <c r="U59" s="6"/>
    </row>
    <row r="60" spans="1:21" customFormat="1">
      <c r="A60" s="201" t="s">
        <v>3171</v>
      </c>
      <c r="B60" s="100">
        <v>3.05</v>
      </c>
      <c r="C60" s="100">
        <v>5.31</v>
      </c>
      <c r="D60" s="100">
        <v>5.22</v>
      </c>
      <c r="E60" s="100">
        <v>5.6</v>
      </c>
      <c r="F60" s="100">
        <v>2</v>
      </c>
      <c r="G60" s="100">
        <v>12.14</v>
      </c>
      <c r="H60" s="100">
        <v>6.28</v>
      </c>
      <c r="I60" s="100">
        <v>3.4</v>
      </c>
      <c r="J60" s="100">
        <v>0.32</v>
      </c>
      <c r="K60" s="100">
        <v>256.45999999999998</v>
      </c>
      <c r="L60" s="100">
        <v>23.04</v>
      </c>
      <c r="M60" s="100">
        <v>38.200000000000003</v>
      </c>
      <c r="N60" s="100">
        <v>73.2</v>
      </c>
      <c r="O60" s="100">
        <v>0</v>
      </c>
      <c r="P60" s="100">
        <v>0.22</v>
      </c>
      <c r="Q60" s="100">
        <v>9.32</v>
      </c>
      <c r="R60" s="6"/>
      <c r="S60" s="6"/>
      <c r="T60" s="156"/>
      <c r="U60" s="6"/>
    </row>
    <row r="61" spans="1:21" customFormat="1">
      <c r="A61" s="201" t="s">
        <v>3172</v>
      </c>
      <c r="B61" s="100">
        <v>3.08</v>
      </c>
      <c r="C61" s="100">
        <v>5.29</v>
      </c>
      <c r="D61" s="100">
        <v>5.23</v>
      </c>
      <c r="E61" s="100">
        <v>5.76</v>
      </c>
      <c r="F61" s="100">
        <v>2</v>
      </c>
      <c r="G61" s="100">
        <v>12.14</v>
      </c>
      <c r="H61" s="100">
        <v>6.28</v>
      </c>
      <c r="I61" s="100">
        <v>3.41</v>
      </c>
      <c r="J61" s="100">
        <v>0.47</v>
      </c>
      <c r="K61" s="100">
        <v>257.07</v>
      </c>
      <c r="L61" s="100">
        <v>23.18</v>
      </c>
      <c r="M61" s="100">
        <v>39.380000000000003</v>
      </c>
      <c r="N61" s="100">
        <v>37.1</v>
      </c>
      <c r="O61" s="100">
        <v>0</v>
      </c>
      <c r="P61" s="100">
        <v>0.19</v>
      </c>
      <c r="Q61" s="100">
        <v>9.32</v>
      </c>
      <c r="R61" s="6"/>
      <c r="S61" s="6"/>
      <c r="T61" s="156"/>
      <c r="U61" s="6"/>
    </row>
    <row r="62" spans="1:21" customFormat="1">
      <c r="A62" s="201" t="s">
        <v>3173</v>
      </c>
      <c r="B62" s="100">
        <v>3.02</v>
      </c>
      <c r="C62" s="100">
        <v>5.4</v>
      </c>
      <c r="D62" s="100">
        <v>5.25</v>
      </c>
      <c r="E62" s="100">
        <v>5.8</v>
      </c>
      <c r="F62" s="100">
        <v>2</v>
      </c>
      <c r="G62" s="100">
        <v>12.14</v>
      </c>
      <c r="H62" s="100">
        <v>6.28</v>
      </c>
      <c r="I62" s="100">
        <v>3.44</v>
      </c>
      <c r="J62" s="100">
        <v>0.63</v>
      </c>
      <c r="K62" s="100">
        <v>255.92</v>
      </c>
      <c r="L62" s="100">
        <v>22.82</v>
      </c>
      <c r="M62" s="100">
        <v>38.659999999999997</v>
      </c>
      <c r="N62" s="100">
        <v>26.8</v>
      </c>
      <c r="O62" s="100">
        <v>0</v>
      </c>
      <c r="P62" s="100">
        <v>0.18</v>
      </c>
      <c r="Q62" s="100">
        <v>9.32</v>
      </c>
      <c r="R62" s="6"/>
      <c r="S62" s="6"/>
      <c r="T62" s="156"/>
      <c r="U62" s="6"/>
    </row>
    <row r="63" spans="1:21" customFormat="1">
      <c r="A63" s="201" t="s">
        <v>3174</v>
      </c>
      <c r="B63" s="100">
        <v>2.93</v>
      </c>
      <c r="C63" s="100">
        <v>5.46</v>
      </c>
      <c r="D63" s="100">
        <v>5.2</v>
      </c>
      <c r="E63" s="100">
        <v>5.92</v>
      </c>
      <c r="F63" s="100">
        <v>2</v>
      </c>
      <c r="G63" s="100">
        <v>14.93</v>
      </c>
      <c r="H63" s="100">
        <v>6.1</v>
      </c>
      <c r="I63" s="100">
        <v>3.43</v>
      </c>
      <c r="J63" s="100">
        <v>0.63</v>
      </c>
      <c r="K63" s="100">
        <v>254.79</v>
      </c>
      <c r="L63" s="100">
        <v>22.62</v>
      </c>
      <c r="M63" s="100">
        <v>38.25</v>
      </c>
      <c r="N63" s="100">
        <v>22.6</v>
      </c>
      <c r="O63" s="100">
        <v>0.2</v>
      </c>
      <c r="P63" s="100">
        <v>0.18</v>
      </c>
      <c r="Q63" s="100">
        <v>9.32</v>
      </c>
      <c r="R63" s="6"/>
      <c r="S63" s="6"/>
      <c r="T63" s="156"/>
      <c r="U63" s="6"/>
    </row>
    <row r="64" spans="1:21" customFormat="1">
      <c r="A64" s="201" t="s">
        <v>3175</v>
      </c>
      <c r="B64" s="100">
        <v>2.88</v>
      </c>
      <c r="C64" s="100">
        <v>5.42</v>
      </c>
      <c r="D64" s="100">
        <v>5.14</v>
      </c>
      <c r="E64" s="100">
        <v>6.31</v>
      </c>
      <c r="F64" s="100">
        <v>2</v>
      </c>
      <c r="G64" s="100">
        <v>15.95</v>
      </c>
      <c r="H64" s="100">
        <v>6.1</v>
      </c>
      <c r="I64" s="100">
        <v>3.37</v>
      </c>
      <c r="J64" s="100">
        <v>0.26</v>
      </c>
      <c r="K64" s="100">
        <v>248.25</v>
      </c>
      <c r="L64" s="100">
        <v>21.8</v>
      </c>
      <c r="M64" s="100">
        <v>36.229999999999997</v>
      </c>
      <c r="N64" s="100">
        <v>19.600000000000001</v>
      </c>
      <c r="O64" s="100">
        <v>7.6</v>
      </c>
      <c r="P64" s="100">
        <v>0.17</v>
      </c>
      <c r="Q64" s="100">
        <v>9.32</v>
      </c>
      <c r="R64" s="6"/>
      <c r="S64" s="6"/>
      <c r="T64" s="156"/>
      <c r="U64" s="6"/>
    </row>
    <row r="65" spans="1:21" customFormat="1">
      <c r="A65" s="201" t="s">
        <v>3176</v>
      </c>
      <c r="B65" s="100">
        <v>2.95</v>
      </c>
      <c r="C65" s="100">
        <v>5.45</v>
      </c>
      <c r="D65" s="100">
        <v>5.21</v>
      </c>
      <c r="E65" s="100">
        <v>6.13</v>
      </c>
      <c r="F65" s="100">
        <v>2</v>
      </c>
      <c r="G65" s="100">
        <v>15.95</v>
      </c>
      <c r="H65" s="100">
        <v>6.1</v>
      </c>
      <c r="I65" s="100">
        <v>3.31</v>
      </c>
      <c r="J65" s="100">
        <v>0.46</v>
      </c>
      <c r="K65" s="100">
        <v>310.29000000000002</v>
      </c>
      <c r="L65" s="100">
        <v>21.83</v>
      </c>
      <c r="M65" s="100">
        <v>36.270000000000003</v>
      </c>
      <c r="N65" s="100">
        <v>15.6</v>
      </c>
      <c r="O65" s="100">
        <v>1</v>
      </c>
      <c r="P65" s="100">
        <v>0.17</v>
      </c>
      <c r="Q65" s="100">
        <v>9.32</v>
      </c>
      <c r="R65" s="6"/>
      <c r="S65" s="6"/>
      <c r="T65" s="156"/>
      <c r="U65" s="6"/>
    </row>
    <row r="66" spans="1:21" customFormat="1">
      <c r="A66" s="201" t="s">
        <v>3177</v>
      </c>
      <c r="B66" s="100">
        <v>3.15</v>
      </c>
      <c r="C66" s="100">
        <v>5.67</v>
      </c>
      <c r="D66" s="100">
        <v>5.49</v>
      </c>
      <c r="E66" s="100">
        <v>6.11</v>
      </c>
      <c r="F66" s="100">
        <v>2</v>
      </c>
      <c r="G66" s="100">
        <v>15.95</v>
      </c>
      <c r="H66" s="100">
        <v>6.1</v>
      </c>
      <c r="I66" s="100">
        <v>3.29</v>
      </c>
      <c r="J66" s="100">
        <v>0.45</v>
      </c>
      <c r="K66" s="100">
        <v>251.46</v>
      </c>
      <c r="L66" s="100">
        <v>22.23</v>
      </c>
      <c r="M66" s="100">
        <v>37.26</v>
      </c>
      <c r="N66" s="100">
        <v>22</v>
      </c>
      <c r="O66" s="100">
        <v>0.2</v>
      </c>
      <c r="P66" s="100">
        <v>0.19</v>
      </c>
      <c r="Q66" s="100">
        <v>9.32</v>
      </c>
      <c r="R66" s="6"/>
      <c r="S66" s="6"/>
      <c r="T66" s="156"/>
      <c r="U66" s="6"/>
    </row>
    <row r="67" spans="1:21" customFormat="1">
      <c r="A67" s="201" t="s">
        <v>3178</v>
      </c>
      <c r="B67" s="100">
        <v>3.26</v>
      </c>
      <c r="C67" s="100">
        <v>5.66</v>
      </c>
      <c r="D67" s="100">
        <v>5.58</v>
      </c>
      <c r="E67" s="100">
        <v>6.23</v>
      </c>
      <c r="F67" s="100">
        <v>2</v>
      </c>
      <c r="G67" s="100">
        <v>18.989999999999998</v>
      </c>
      <c r="H67" s="100">
        <v>5.75</v>
      </c>
      <c r="I67" s="100">
        <v>3.29</v>
      </c>
      <c r="J67" s="100">
        <v>0.9</v>
      </c>
      <c r="K67" s="100">
        <v>255.1</v>
      </c>
      <c r="L67" s="100">
        <v>22.84</v>
      </c>
      <c r="M67" s="100">
        <v>38.479999999999997</v>
      </c>
      <c r="N67" s="100">
        <v>37.5</v>
      </c>
      <c r="O67" s="100">
        <v>0</v>
      </c>
      <c r="P67" s="100">
        <v>0.19</v>
      </c>
      <c r="Q67" s="100">
        <v>9.32</v>
      </c>
      <c r="R67" s="6"/>
      <c r="S67" s="6"/>
      <c r="T67" s="156"/>
      <c r="U67" s="6"/>
    </row>
    <row r="68" spans="1:21" customFormat="1">
      <c r="A68" s="201" t="s">
        <v>3179</v>
      </c>
      <c r="B68" s="100">
        <v>3.26</v>
      </c>
      <c r="C68" s="100">
        <v>5.6</v>
      </c>
      <c r="D68" s="100">
        <v>5.54</v>
      </c>
      <c r="E68" s="100">
        <v>6.48</v>
      </c>
      <c r="F68" s="100">
        <v>2</v>
      </c>
      <c r="G68" s="100">
        <v>20.09</v>
      </c>
      <c r="H68" s="100">
        <v>5.74</v>
      </c>
      <c r="I68" s="100">
        <v>3.37</v>
      </c>
      <c r="J68" s="100">
        <v>0.82</v>
      </c>
      <c r="K68" s="100">
        <v>254.85</v>
      </c>
      <c r="L68" s="100">
        <v>22.99</v>
      </c>
      <c r="M68" s="100">
        <v>38.770000000000003</v>
      </c>
      <c r="N68" s="100">
        <v>42.5</v>
      </c>
      <c r="O68" s="100">
        <v>0</v>
      </c>
      <c r="P68" s="100">
        <v>0.19</v>
      </c>
      <c r="Q68" s="100">
        <v>9.32</v>
      </c>
      <c r="R68" s="6"/>
      <c r="S68" s="6"/>
      <c r="T68" s="156"/>
      <c r="U68" s="6"/>
    </row>
    <row r="69" spans="1:21" customFormat="1">
      <c r="A69" s="201" t="s">
        <v>3180</v>
      </c>
      <c r="B69" s="100">
        <v>3.2</v>
      </c>
      <c r="C69" s="100">
        <v>5.52</v>
      </c>
      <c r="D69" s="100">
        <v>5.45</v>
      </c>
      <c r="E69" s="100">
        <v>6.59</v>
      </c>
      <c r="F69" s="100">
        <v>2</v>
      </c>
      <c r="G69" s="100">
        <v>20.09</v>
      </c>
      <c r="H69" s="100">
        <v>5.74</v>
      </c>
      <c r="I69" s="100">
        <v>3.42</v>
      </c>
      <c r="J69" s="100">
        <v>0.78</v>
      </c>
      <c r="K69" s="100">
        <v>256.06</v>
      </c>
      <c r="L69" s="100">
        <v>23.12</v>
      </c>
      <c r="M69" s="100">
        <v>38.520000000000003</v>
      </c>
      <c r="N69" s="100">
        <v>68.3</v>
      </c>
      <c r="O69" s="100">
        <v>0</v>
      </c>
      <c r="P69" s="100">
        <v>0.2</v>
      </c>
      <c r="Q69" s="100">
        <v>9.32</v>
      </c>
      <c r="R69" s="6"/>
      <c r="S69" s="6"/>
      <c r="T69" s="156"/>
      <c r="U69" s="6"/>
    </row>
    <row r="70" spans="1:21" customFormat="1">
      <c r="A70" s="201" t="s">
        <v>3181</v>
      </c>
      <c r="B70" s="100">
        <v>3.08</v>
      </c>
      <c r="C70" s="100">
        <v>5.48</v>
      </c>
      <c r="D70" s="100">
        <v>5.33</v>
      </c>
      <c r="E70" s="100">
        <v>6.56</v>
      </c>
      <c r="F70" s="100">
        <v>2</v>
      </c>
      <c r="G70" s="100">
        <v>20.09</v>
      </c>
      <c r="H70" s="100">
        <v>5.74</v>
      </c>
      <c r="I70" s="100">
        <v>3.4</v>
      </c>
      <c r="J70" s="100">
        <v>0.81</v>
      </c>
      <c r="K70" s="100">
        <v>256.14</v>
      </c>
      <c r="L70" s="100">
        <v>22.94</v>
      </c>
      <c r="M70" s="100">
        <v>38.15</v>
      </c>
      <c r="N70" s="100">
        <v>63.9</v>
      </c>
      <c r="O70" s="100">
        <v>0</v>
      </c>
      <c r="P70" s="100">
        <v>0.19</v>
      </c>
      <c r="Q70" s="100">
        <v>9.32</v>
      </c>
      <c r="R70" s="6"/>
      <c r="S70" s="6"/>
      <c r="T70" s="156"/>
      <c r="U70" s="6"/>
    </row>
    <row r="71" spans="1:21" customFormat="1">
      <c r="A71" s="201" t="s">
        <v>3182</v>
      </c>
      <c r="B71" s="100">
        <v>3.02</v>
      </c>
      <c r="C71" s="100">
        <v>5.44</v>
      </c>
      <c r="D71" s="100">
        <v>5.26</v>
      </c>
      <c r="E71" s="100">
        <v>6.6</v>
      </c>
      <c r="F71" s="100">
        <v>2</v>
      </c>
      <c r="G71" s="100">
        <v>18.3</v>
      </c>
      <c r="H71" s="100">
        <v>5.26</v>
      </c>
      <c r="I71" s="100">
        <v>3.37</v>
      </c>
      <c r="J71" s="100">
        <v>0.67</v>
      </c>
      <c r="K71" s="100">
        <v>254.37</v>
      </c>
      <c r="L71" s="100">
        <v>22.8</v>
      </c>
      <c r="M71" s="100">
        <v>38.369999999999997</v>
      </c>
      <c r="N71" s="100">
        <v>37.700000000000003</v>
      </c>
      <c r="O71" s="100">
        <v>0</v>
      </c>
      <c r="P71" s="100">
        <v>0.19</v>
      </c>
      <c r="Q71" s="100">
        <v>9.32</v>
      </c>
      <c r="R71" s="6"/>
      <c r="S71" s="6"/>
      <c r="T71" s="156"/>
      <c r="U71" s="6"/>
    </row>
    <row r="72" spans="1:21" customFormat="1">
      <c r="A72" s="201" t="s">
        <v>3183</v>
      </c>
      <c r="B72" s="100">
        <v>3.01</v>
      </c>
      <c r="C72" s="100">
        <v>5.35</v>
      </c>
      <c r="D72" s="100">
        <v>5.21</v>
      </c>
      <c r="E72" s="100">
        <v>6.46</v>
      </c>
      <c r="F72" s="100">
        <v>2</v>
      </c>
      <c r="G72" s="100">
        <v>17.649999999999999</v>
      </c>
      <c r="H72" s="100">
        <v>5.25</v>
      </c>
      <c r="I72" s="100">
        <v>3.34</v>
      </c>
      <c r="J72" s="100">
        <v>0.6</v>
      </c>
      <c r="K72" s="100">
        <v>258.68</v>
      </c>
      <c r="L72" s="100">
        <v>22.84</v>
      </c>
      <c r="M72" s="100">
        <v>38.56</v>
      </c>
      <c r="N72" s="100">
        <v>32.5</v>
      </c>
      <c r="O72" s="100">
        <v>0</v>
      </c>
      <c r="P72" s="100">
        <v>0.2</v>
      </c>
      <c r="Q72" s="100">
        <v>9.32</v>
      </c>
      <c r="R72" s="6"/>
      <c r="S72" s="6"/>
      <c r="T72" s="156"/>
      <c r="U72" s="6"/>
    </row>
    <row r="73" spans="1:21" customFormat="1">
      <c r="A73" s="201" t="s">
        <v>3184</v>
      </c>
      <c r="B73" s="100">
        <v>3</v>
      </c>
      <c r="C73" s="100">
        <v>5.28</v>
      </c>
      <c r="D73" s="100">
        <v>5.16</v>
      </c>
      <c r="E73" s="100">
        <v>6.22</v>
      </c>
      <c r="F73" s="100">
        <v>2</v>
      </c>
      <c r="G73" s="100">
        <v>17.649999999999999</v>
      </c>
      <c r="H73" s="100">
        <v>5.25</v>
      </c>
      <c r="I73" s="100">
        <v>3.31</v>
      </c>
      <c r="J73" s="100">
        <v>0.61</v>
      </c>
      <c r="K73" s="100">
        <v>254.08</v>
      </c>
      <c r="L73" s="100">
        <v>22.8</v>
      </c>
      <c r="M73" s="100">
        <v>38.56</v>
      </c>
      <c r="N73" s="100">
        <v>29.3</v>
      </c>
      <c r="O73" s="100">
        <v>0</v>
      </c>
      <c r="P73" s="100">
        <v>0.2</v>
      </c>
      <c r="Q73" s="100">
        <v>9.32</v>
      </c>
      <c r="R73" s="6"/>
      <c r="S73" s="6"/>
      <c r="T73" s="156"/>
      <c r="U73" s="6"/>
    </row>
    <row r="74" spans="1:21" customFormat="1">
      <c r="A74" s="201" t="s">
        <v>3185</v>
      </c>
      <c r="B74" s="100">
        <v>2.94</v>
      </c>
      <c r="C74" s="100">
        <v>5.2</v>
      </c>
      <c r="D74" s="100">
        <v>5.08</v>
      </c>
      <c r="E74" s="100">
        <v>6.66</v>
      </c>
      <c r="F74" s="100">
        <v>2</v>
      </c>
      <c r="G74" s="100">
        <v>17.649999999999999</v>
      </c>
      <c r="H74" s="100">
        <v>5.25</v>
      </c>
      <c r="I74" s="100">
        <v>3.31</v>
      </c>
      <c r="J74" s="100">
        <v>0.52</v>
      </c>
      <c r="K74" s="100">
        <v>256.64</v>
      </c>
      <c r="L74" s="100">
        <v>23.09</v>
      </c>
      <c r="M74" s="100">
        <v>39.33</v>
      </c>
      <c r="N74" s="100">
        <v>28.5</v>
      </c>
      <c r="O74" s="100">
        <v>0</v>
      </c>
      <c r="P74" s="100">
        <v>0.19</v>
      </c>
      <c r="Q74" s="100">
        <v>9.32</v>
      </c>
      <c r="R74" s="6"/>
      <c r="S74" s="6"/>
      <c r="T74" s="156"/>
      <c r="U74" s="6"/>
    </row>
    <row r="75" spans="1:21" customFormat="1">
      <c r="A75" s="201" t="s">
        <v>3186</v>
      </c>
      <c r="B75" s="100">
        <v>2.94</v>
      </c>
      <c r="C75" s="100">
        <v>5.16</v>
      </c>
      <c r="D75" s="100">
        <v>5.05</v>
      </c>
      <c r="E75" s="100">
        <v>6.86</v>
      </c>
      <c r="F75" s="100">
        <v>2</v>
      </c>
      <c r="G75" s="100">
        <v>15.32</v>
      </c>
      <c r="H75" s="100">
        <v>6.57</v>
      </c>
      <c r="I75" s="100">
        <v>3.31</v>
      </c>
      <c r="J75" s="100">
        <v>0.51</v>
      </c>
      <c r="K75" s="100">
        <v>255.91</v>
      </c>
      <c r="L75" s="100">
        <v>22.69</v>
      </c>
      <c r="M75" s="100">
        <v>38.520000000000003</v>
      </c>
      <c r="N75" s="100">
        <v>18.3</v>
      </c>
      <c r="O75" s="100">
        <v>0</v>
      </c>
      <c r="P75" s="100">
        <v>0.19</v>
      </c>
      <c r="Q75" s="100">
        <v>9.32</v>
      </c>
      <c r="R75" s="6"/>
      <c r="S75" s="6"/>
      <c r="T75" s="156"/>
      <c r="U75" s="6"/>
    </row>
    <row r="76" spans="1:21" customFormat="1">
      <c r="A76" s="201" t="s">
        <v>3187</v>
      </c>
      <c r="B76" s="100">
        <v>2.96</v>
      </c>
      <c r="C76" s="100">
        <v>5.12</v>
      </c>
      <c r="D76" s="100">
        <v>5.04</v>
      </c>
      <c r="E76" s="100">
        <v>6.74</v>
      </c>
      <c r="F76" s="100">
        <v>2</v>
      </c>
      <c r="G76" s="100">
        <v>14.47</v>
      </c>
      <c r="H76" s="100">
        <v>6.59</v>
      </c>
      <c r="I76" s="100">
        <v>3.34</v>
      </c>
      <c r="J76" s="100">
        <v>0.51</v>
      </c>
      <c r="K76" s="100">
        <v>253.93</v>
      </c>
      <c r="L76" s="100">
        <v>22.6</v>
      </c>
      <c r="M76" s="100">
        <v>38.44</v>
      </c>
      <c r="N76" s="100">
        <v>11.8</v>
      </c>
      <c r="O76" s="100">
        <v>0</v>
      </c>
      <c r="P76" s="100">
        <v>0.2</v>
      </c>
      <c r="Q76" s="100">
        <v>9.32</v>
      </c>
      <c r="R76" s="6"/>
      <c r="S76" s="6"/>
      <c r="T76" s="156"/>
      <c r="U76" s="6"/>
    </row>
    <row r="77" spans="1:21" customFormat="1">
      <c r="A77" s="201" t="s">
        <v>3188</v>
      </c>
      <c r="B77" s="100">
        <v>2.96</v>
      </c>
      <c r="C77" s="100">
        <v>5.12</v>
      </c>
      <c r="D77" s="100">
        <v>5.05</v>
      </c>
      <c r="E77" s="100">
        <v>6.64</v>
      </c>
      <c r="F77" s="100">
        <v>2</v>
      </c>
      <c r="G77" s="100">
        <v>14.47</v>
      </c>
      <c r="H77" s="100">
        <v>6.59</v>
      </c>
      <c r="I77" s="100">
        <v>3.38</v>
      </c>
      <c r="J77" s="100">
        <v>0.36</v>
      </c>
      <c r="K77" s="100">
        <v>253.34</v>
      </c>
      <c r="L77" s="100">
        <v>21.97</v>
      </c>
      <c r="M77" s="100">
        <v>37.090000000000003</v>
      </c>
      <c r="N77" s="100">
        <v>7.7</v>
      </c>
      <c r="O77" s="100">
        <v>0</v>
      </c>
      <c r="P77" s="100">
        <v>0.2</v>
      </c>
      <c r="Q77" s="100">
        <v>9.32</v>
      </c>
      <c r="R77" s="6"/>
      <c r="S77" s="6"/>
      <c r="T77" s="156"/>
      <c r="U77" s="6"/>
    </row>
    <row r="78" spans="1:21" customFormat="1">
      <c r="A78" s="201" t="s">
        <v>3189</v>
      </c>
      <c r="B78" s="100">
        <v>2.97</v>
      </c>
      <c r="C78" s="100">
        <v>5.01</v>
      </c>
      <c r="D78" s="100">
        <v>5</v>
      </c>
      <c r="E78" s="100">
        <v>6.63</v>
      </c>
      <c r="F78" s="100">
        <v>2</v>
      </c>
      <c r="G78" s="100">
        <v>14.47</v>
      </c>
      <c r="H78" s="100">
        <v>6.59</v>
      </c>
      <c r="I78" s="100">
        <v>3.34</v>
      </c>
      <c r="J78" s="100">
        <v>0.33</v>
      </c>
      <c r="K78" s="100">
        <v>256.39999999999998</v>
      </c>
      <c r="L78" s="100">
        <v>22.64</v>
      </c>
      <c r="M78" s="100">
        <v>38.75</v>
      </c>
      <c r="N78" s="100">
        <v>4.2</v>
      </c>
      <c r="O78" s="100">
        <v>0</v>
      </c>
      <c r="P78" s="100">
        <v>0.2</v>
      </c>
      <c r="Q78" s="100">
        <v>9.32</v>
      </c>
      <c r="R78" s="6"/>
      <c r="S78" s="6"/>
      <c r="T78" s="156"/>
      <c r="U78" s="6"/>
    </row>
    <row r="79" spans="1:21" customFormat="1">
      <c r="A79" s="201" t="s">
        <v>3190</v>
      </c>
      <c r="B79" s="100">
        <v>3.01</v>
      </c>
      <c r="C79" s="100">
        <v>5.03</v>
      </c>
      <c r="D79" s="100">
        <v>5.04</v>
      </c>
      <c r="E79" s="100">
        <v>6.74</v>
      </c>
      <c r="F79" s="100">
        <v>2</v>
      </c>
      <c r="G79" s="100">
        <v>15.45</v>
      </c>
      <c r="H79" s="100">
        <v>7.22</v>
      </c>
      <c r="I79" s="100">
        <v>3.34</v>
      </c>
      <c r="J79" s="100">
        <v>0.4</v>
      </c>
      <c r="K79" s="100">
        <v>253.28</v>
      </c>
      <c r="L79" s="100">
        <v>22.29</v>
      </c>
      <c r="M79" s="100">
        <v>37.94</v>
      </c>
      <c r="N79" s="100">
        <v>3.1</v>
      </c>
      <c r="O79" s="100">
        <v>0</v>
      </c>
      <c r="P79" s="100">
        <v>0.2</v>
      </c>
      <c r="Q79" s="100">
        <v>9.32</v>
      </c>
      <c r="R79" s="6"/>
      <c r="S79" s="6"/>
      <c r="T79" s="156"/>
      <c r="U79" s="6"/>
    </row>
    <row r="80" spans="1:21" customFormat="1">
      <c r="A80" s="201" t="s">
        <v>3191</v>
      </c>
      <c r="B80" s="100">
        <v>3.08</v>
      </c>
      <c r="C80" s="100">
        <v>5.05</v>
      </c>
      <c r="D80" s="100">
        <v>5.1100000000000003</v>
      </c>
      <c r="E80" s="100">
        <v>6.89</v>
      </c>
      <c r="F80" s="100">
        <v>2</v>
      </c>
      <c r="G80" s="100">
        <v>15.81</v>
      </c>
      <c r="H80" s="100">
        <v>7.23</v>
      </c>
      <c r="I80" s="100">
        <v>3.4</v>
      </c>
      <c r="J80" s="100">
        <v>0.31</v>
      </c>
      <c r="K80" s="100">
        <v>255.39</v>
      </c>
      <c r="L80" s="100">
        <v>22.65</v>
      </c>
      <c r="M80" s="100">
        <v>38.869999999999997</v>
      </c>
      <c r="N80" s="100">
        <v>2.6</v>
      </c>
      <c r="O80" s="100">
        <v>0</v>
      </c>
      <c r="P80" s="100">
        <v>0.21</v>
      </c>
      <c r="Q80" s="100">
        <v>9.32</v>
      </c>
      <c r="R80" s="6"/>
      <c r="S80" s="6"/>
      <c r="T80" s="156"/>
      <c r="U80" s="6"/>
    </row>
    <row r="81" spans="1:21" customFormat="1">
      <c r="A81" s="201" t="s">
        <v>3192</v>
      </c>
      <c r="B81" s="100">
        <v>3.12</v>
      </c>
      <c r="C81" s="100">
        <v>4.95</v>
      </c>
      <c r="D81" s="100">
        <v>5.09</v>
      </c>
      <c r="E81" s="100">
        <v>5.04</v>
      </c>
      <c r="F81" s="100">
        <v>2</v>
      </c>
      <c r="G81" s="100">
        <v>15.81</v>
      </c>
      <c r="H81" s="100">
        <v>7.23</v>
      </c>
      <c r="I81" s="100">
        <v>3.43</v>
      </c>
      <c r="J81" s="100">
        <v>0.26</v>
      </c>
      <c r="K81" s="100">
        <v>254.65</v>
      </c>
      <c r="L81" s="100">
        <v>22.68</v>
      </c>
      <c r="M81" s="100">
        <v>38.950000000000003</v>
      </c>
      <c r="N81" s="100">
        <v>2.5</v>
      </c>
      <c r="O81" s="100">
        <v>0</v>
      </c>
      <c r="P81" s="100">
        <v>0.22</v>
      </c>
      <c r="Q81" s="100">
        <v>9.32</v>
      </c>
      <c r="R81" s="6"/>
      <c r="S81" s="6"/>
      <c r="T81" s="156"/>
      <c r="U81" s="6"/>
    </row>
    <row r="82" spans="1:21" customFormat="1">
      <c r="A82" s="201" t="s">
        <v>3193</v>
      </c>
      <c r="B82" s="100">
        <v>3.17</v>
      </c>
      <c r="C82" s="100">
        <v>4.95</v>
      </c>
      <c r="D82" s="100">
        <v>5.13</v>
      </c>
      <c r="E82" s="100">
        <v>5.69</v>
      </c>
      <c r="F82" s="100">
        <v>2</v>
      </c>
      <c r="G82" s="100">
        <v>15.81</v>
      </c>
      <c r="H82" s="100">
        <v>7.23</v>
      </c>
      <c r="I82" s="100">
        <v>3.46</v>
      </c>
      <c r="J82" s="100">
        <v>0.22</v>
      </c>
      <c r="K82" s="100">
        <v>249.67</v>
      </c>
      <c r="L82" s="100">
        <v>21.66</v>
      </c>
      <c r="M82" s="100">
        <v>36.4</v>
      </c>
      <c r="N82" s="100">
        <v>2.5</v>
      </c>
      <c r="O82" s="100">
        <v>0</v>
      </c>
      <c r="P82" s="100">
        <v>0.23</v>
      </c>
      <c r="Q82" s="100">
        <v>9.32</v>
      </c>
      <c r="R82" s="6"/>
      <c r="S82" s="6"/>
      <c r="T82" s="156"/>
      <c r="U82" s="6"/>
    </row>
    <row r="83" spans="1:21" customFormat="1">
      <c r="A83" s="201" t="s">
        <v>3194</v>
      </c>
      <c r="B83" s="100">
        <v>3.34</v>
      </c>
      <c r="C83" s="100">
        <v>4.9000000000000004</v>
      </c>
      <c r="D83" s="100">
        <v>5.24</v>
      </c>
      <c r="E83" s="100">
        <v>5.66</v>
      </c>
      <c r="F83" s="100">
        <v>2</v>
      </c>
      <c r="G83" s="100">
        <v>15.14</v>
      </c>
      <c r="H83" s="100">
        <v>8.7200000000000006</v>
      </c>
      <c r="I83" s="100">
        <v>3.54</v>
      </c>
      <c r="J83" s="100">
        <v>0.08</v>
      </c>
      <c r="K83" s="100">
        <v>172.06</v>
      </c>
      <c r="L83" s="100">
        <v>15.86</v>
      </c>
      <c r="M83" s="100">
        <v>21.92</v>
      </c>
      <c r="N83" s="100">
        <v>2.6</v>
      </c>
      <c r="O83" s="100">
        <v>0</v>
      </c>
      <c r="P83" s="100">
        <v>0.24</v>
      </c>
      <c r="Q83" s="100">
        <v>9.32</v>
      </c>
      <c r="R83" s="6"/>
      <c r="S83" s="6"/>
      <c r="T83" s="156"/>
      <c r="U83" s="6"/>
    </row>
    <row r="84" spans="1:21" customFormat="1">
      <c r="A84" s="201" t="s">
        <v>3195</v>
      </c>
      <c r="B84" s="100">
        <v>3.4</v>
      </c>
      <c r="C84" s="100">
        <v>4.84</v>
      </c>
      <c r="D84" s="100">
        <v>5.26</v>
      </c>
      <c r="E84" s="100">
        <v>5.74</v>
      </c>
      <c r="F84" s="100">
        <v>2</v>
      </c>
      <c r="G84" s="100">
        <v>14.9</v>
      </c>
      <c r="H84" s="100">
        <v>8.74</v>
      </c>
      <c r="I84" s="100">
        <v>3.62</v>
      </c>
      <c r="J84" s="100">
        <v>0.11</v>
      </c>
      <c r="K84" s="100">
        <v>213.41</v>
      </c>
      <c r="L84" s="100">
        <v>18.28</v>
      </c>
      <c r="M84" s="100">
        <v>27.98</v>
      </c>
      <c r="N84" s="100">
        <v>2.4</v>
      </c>
      <c r="O84" s="100">
        <v>0</v>
      </c>
      <c r="P84" s="100">
        <v>0.24</v>
      </c>
      <c r="Q84" s="100">
        <v>9.32</v>
      </c>
      <c r="R84" s="6"/>
      <c r="S84" s="6"/>
      <c r="T84" s="156"/>
      <c r="U84" s="6"/>
    </row>
    <row r="85" spans="1:21" customFormat="1">
      <c r="A85" s="201" t="s">
        <v>3196</v>
      </c>
      <c r="B85" s="100">
        <v>3.59</v>
      </c>
      <c r="C85" s="100">
        <v>4.9400000000000004</v>
      </c>
      <c r="D85" s="100">
        <v>5.46</v>
      </c>
      <c r="E85" s="100">
        <v>5.83</v>
      </c>
      <c r="F85" s="100">
        <v>2</v>
      </c>
      <c r="G85" s="100">
        <v>14.9</v>
      </c>
      <c r="H85" s="100">
        <v>8.74</v>
      </c>
      <c r="I85" s="100">
        <v>3.7</v>
      </c>
      <c r="J85" s="100">
        <v>7.0000000000000007E-2</v>
      </c>
      <c r="K85" s="100">
        <v>183.7</v>
      </c>
      <c r="L85" s="100">
        <v>16.87</v>
      </c>
      <c r="M85" s="100">
        <v>24.43</v>
      </c>
      <c r="N85" s="100">
        <v>2.5</v>
      </c>
      <c r="O85" s="100">
        <v>0</v>
      </c>
      <c r="P85" s="100">
        <v>0.25</v>
      </c>
      <c r="Q85" s="100">
        <v>9.32</v>
      </c>
      <c r="R85" s="6"/>
      <c r="S85" s="6"/>
      <c r="T85" s="156"/>
      <c r="U85" s="6"/>
    </row>
    <row r="86" spans="1:21" customFormat="1">
      <c r="A86" s="201" t="s">
        <v>3197</v>
      </c>
      <c r="B86" s="100">
        <v>3.67</v>
      </c>
      <c r="C86" s="100">
        <v>5.05</v>
      </c>
      <c r="D86" s="100">
        <v>5.58</v>
      </c>
      <c r="E86" s="100">
        <v>5.56</v>
      </c>
      <c r="F86" s="100">
        <v>2</v>
      </c>
      <c r="G86" s="100">
        <v>14.9</v>
      </c>
      <c r="H86" s="100">
        <v>8.74</v>
      </c>
      <c r="I86" s="100">
        <v>3.77</v>
      </c>
      <c r="J86" s="100">
        <v>0.05</v>
      </c>
      <c r="K86" s="100">
        <v>211.12</v>
      </c>
      <c r="L86" s="100">
        <v>16.21</v>
      </c>
      <c r="M86" s="100">
        <v>22.8</v>
      </c>
      <c r="N86" s="100">
        <v>2.4</v>
      </c>
      <c r="O86" s="100">
        <v>0</v>
      </c>
      <c r="P86" s="100">
        <v>0.25</v>
      </c>
      <c r="Q86" s="100">
        <v>9.32</v>
      </c>
      <c r="R86" s="6"/>
      <c r="S86" s="6"/>
      <c r="T86" s="156"/>
      <c r="U86" s="6"/>
    </row>
    <row r="87" spans="1:21" customFormat="1">
      <c r="A87" s="201" t="s">
        <v>3198</v>
      </c>
      <c r="B87" s="100">
        <v>3.87</v>
      </c>
      <c r="C87" s="100">
        <v>5.07</v>
      </c>
      <c r="D87" s="100">
        <v>5.76</v>
      </c>
      <c r="E87" s="100">
        <v>6.07</v>
      </c>
      <c r="F87" s="100">
        <v>2</v>
      </c>
      <c r="G87" s="100">
        <v>18.899999999999999</v>
      </c>
      <c r="H87" s="100">
        <v>10.68</v>
      </c>
      <c r="I87" s="100">
        <v>3.83</v>
      </c>
      <c r="J87" s="100">
        <v>0.06</v>
      </c>
      <c r="K87" s="100">
        <v>228.63</v>
      </c>
      <c r="L87" s="100">
        <v>20.079999999999998</v>
      </c>
      <c r="M87" s="100">
        <v>32.44</v>
      </c>
      <c r="N87" s="100">
        <v>2.5</v>
      </c>
      <c r="O87" s="100">
        <v>0</v>
      </c>
      <c r="P87" s="100">
        <v>0.26</v>
      </c>
      <c r="Q87" s="100">
        <v>9.32</v>
      </c>
      <c r="R87" s="6"/>
      <c r="S87" s="6"/>
      <c r="T87" s="156"/>
      <c r="U87" s="6"/>
    </row>
    <row r="88" spans="1:21" customFormat="1">
      <c r="A88" s="201" t="s">
        <v>3199</v>
      </c>
      <c r="B88" s="100">
        <v>3.95</v>
      </c>
      <c r="C88" s="100">
        <v>5.12</v>
      </c>
      <c r="D88" s="100">
        <v>5.84</v>
      </c>
      <c r="E88" s="100">
        <v>5.78</v>
      </c>
      <c r="F88" s="100">
        <v>2</v>
      </c>
      <c r="G88" s="100">
        <v>20.440000000000001</v>
      </c>
      <c r="H88" s="100">
        <v>10.73</v>
      </c>
      <c r="I88" s="100">
        <v>3.9</v>
      </c>
      <c r="J88" s="100">
        <v>0.14000000000000001</v>
      </c>
      <c r="K88" s="100">
        <v>245.79</v>
      </c>
      <c r="L88" s="100">
        <v>21.19</v>
      </c>
      <c r="M88" s="100">
        <v>35.19</v>
      </c>
      <c r="N88" s="100">
        <v>2.5</v>
      </c>
      <c r="O88" s="100">
        <v>0</v>
      </c>
      <c r="P88" s="100">
        <v>0.25</v>
      </c>
      <c r="Q88" s="100">
        <v>9.32</v>
      </c>
      <c r="R88" s="6"/>
      <c r="S88" s="6"/>
      <c r="T88" s="156"/>
      <c r="U88" s="6"/>
    </row>
    <row r="89" spans="1:21" customFormat="1">
      <c r="A89" s="201" t="s">
        <v>3200</v>
      </c>
      <c r="B89" s="100">
        <v>4.1399999999999997</v>
      </c>
      <c r="C89" s="100">
        <v>5.15</v>
      </c>
      <c r="D89" s="100">
        <v>6.01</v>
      </c>
      <c r="E89" s="100">
        <v>6</v>
      </c>
      <c r="F89" s="100">
        <v>2</v>
      </c>
      <c r="G89" s="100">
        <v>20.440000000000001</v>
      </c>
      <c r="H89" s="100">
        <v>10.73</v>
      </c>
      <c r="I89" s="100">
        <v>3.94</v>
      </c>
      <c r="J89" s="100">
        <v>0.17</v>
      </c>
      <c r="K89" s="100">
        <v>260.22000000000003</v>
      </c>
      <c r="L89" s="100">
        <v>22.63</v>
      </c>
      <c r="M89" s="100">
        <v>38.78</v>
      </c>
      <c r="N89" s="100">
        <v>2.4</v>
      </c>
      <c r="O89" s="100">
        <v>0</v>
      </c>
      <c r="P89" s="100">
        <v>0.27</v>
      </c>
      <c r="Q89" s="100">
        <v>9.32</v>
      </c>
      <c r="R89" s="6"/>
      <c r="S89" s="6"/>
      <c r="T89" s="156"/>
      <c r="U89" s="6"/>
    </row>
    <row r="90" spans="1:21" customFormat="1">
      <c r="A90" s="201" t="s">
        <v>3201</v>
      </c>
      <c r="B90" s="100">
        <v>4.21</v>
      </c>
      <c r="C90" s="100">
        <v>5.1100000000000003</v>
      </c>
      <c r="D90" s="100">
        <v>6.05</v>
      </c>
      <c r="E90" s="100">
        <v>5.58</v>
      </c>
      <c r="F90" s="100">
        <v>2</v>
      </c>
      <c r="G90" s="100">
        <v>20.440000000000001</v>
      </c>
      <c r="H90" s="100">
        <v>10.73</v>
      </c>
      <c r="I90" s="100">
        <v>3.97</v>
      </c>
      <c r="J90" s="100">
        <v>0.32</v>
      </c>
      <c r="K90" s="100">
        <v>252.38</v>
      </c>
      <c r="L90" s="100">
        <v>22.29</v>
      </c>
      <c r="M90" s="100">
        <v>37.99</v>
      </c>
      <c r="N90" s="100">
        <v>2.4</v>
      </c>
      <c r="O90" s="100">
        <v>0</v>
      </c>
      <c r="P90" s="100">
        <v>0.26</v>
      </c>
      <c r="Q90" s="100">
        <v>9.32</v>
      </c>
      <c r="R90" s="6"/>
      <c r="S90" s="6"/>
      <c r="T90" s="156"/>
      <c r="U90" s="6"/>
    </row>
    <row r="91" spans="1:21" customFormat="1">
      <c r="A91" s="201" t="s">
        <v>3202</v>
      </c>
      <c r="B91" s="100">
        <v>4.25</v>
      </c>
      <c r="C91" s="100">
        <v>5.22</v>
      </c>
      <c r="D91" s="100">
        <v>6.13</v>
      </c>
      <c r="E91" s="100">
        <v>5.58</v>
      </c>
      <c r="F91" s="100">
        <v>2</v>
      </c>
      <c r="G91" s="100">
        <v>22.05</v>
      </c>
      <c r="H91" s="100">
        <v>10.6</v>
      </c>
      <c r="I91" s="100">
        <v>3.99</v>
      </c>
      <c r="J91" s="100">
        <v>0.39</v>
      </c>
      <c r="K91" s="100">
        <v>254.44</v>
      </c>
      <c r="L91" s="100">
        <v>22.44</v>
      </c>
      <c r="M91" s="100">
        <v>38.33</v>
      </c>
      <c r="N91" s="100">
        <v>2.4</v>
      </c>
      <c r="O91" s="100">
        <v>0</v>
      </c>
      <c r="P91" s="100">
        <v>0.26</v>
      </c>
      <c r="Q91" s="100">
        <v>9.32</v>
      </c>
      <c r="R91" s="6"/>
      <c r="S91" s="6"/>
      <c r="T91" s="156"/>
      <c r="U91" s="6"/>
    </row>
    <row r="92" spans="1:21" customFormat="1">
      <c r="A92" s="201" t="s">
        <v>3203</v>
      </c>
      <c r="B92" s="100">
        <v>4.3600000000000003</v>
      </c>
      <c r="C92" s="100">
        <v>5.2</v>
      </c>
      <c r="D92" s="100">
        <v>6.22</v>
      </c>
      <c r="E92" s="100">
        <v>5.75</v>
      </c>
      <c r="F92" s="100">
        <v>2</v>
      </c>
      <c r="G92" s="100">
        <v>22.63</v>
      </c>
      <c r="H92" s="100">
        <v>10.6</v>
      </c>
      <c r="I92" s="100">
        <v>4.03</v>
      </c>
      <c r="J92" s="100">
        <v>0.11</v>
      </c>
      <c r="K92" s="100">
        <v>220.73</v>
      </c>
      <c r="L92" s="100">
        <v>18.760000000000002</v>
      </c>
      <c r="M92" s="100">
        <v>29.17</v>
      </c>
      <c r="N92" s="100">
        <v>2.5</v>
      </c>
      <c r="O92" s="100">
        <v>0</v>
      </c>
      <c r="P92" s="100">
        <v>0.26</v>
      </c>
      <c r="Q92" s="100">
        <v>9.32</v>
      </c>
      <c r="R92" s="6"/>
      <c r="S92" s="6"/>
      <c r="T92" s="156"/>
      <c r="U92" s="6"/>
    </row>
    <row r="93" spans="1:21" customFormat="1">
      <c r="A93" s="201" t="s">
        <v>3204</v>
      </c>
      <c r="B93" s="100">
        <v>4.43</v>
      </c>
      <c r="C93" s="100">
        <v>5.25</v>
      </c>
      <c r="D93" s="100">
        <v>6.3</v>
      </c>
      <c r="E93" s="100">
        <v>5.61</v>
      </c>
      <c r="F93" s="100">
        <v>2</v>
      </c>
      <c r="G93" s="100">
        <v>22.63</v>
      </c>
      <c r="H93" s="100">
        <v>10.6</v>
      </c>
      <c r="I93" s="100">
        <v>4.08</v>
      </c>
      <c r="J93" s="100">
        <v>0.18</v>
      </c>
      <c r="K93" s="100">
        <v>241.98</v>
      </c>
      <c r="L93" s="100">
        <v>20.46</v>
      </c>
      <c r="M93" s="100">
        <v>33.39</v>
      </c>
      <c r="N93" s="100">
        <v>2.6</v>
      </c>
      <c r="O93" s="100">
        <v>0</v>
      </c>
      <c r="P93" s="100">
        <v>0.26</v>
      </c>
      <c r="Q93" s="100">
        <v>9.32</v>
      </c>
      <c r="R93" s="6"/>
      <c r="S93" s="6"/>
      <c r="T93" s="156"/>
      <c r="U93" s="6"/>
    </row>
    <row r="94" spans="1:21" customFormat="1">
      <c r="A94" s="201" t="s">
        <v>3205</v>
      </c>
      <c r="B94" s="100">
        <v>4.5599999999999996</v>
      </c>
      <c r="C94" s="100">
        <v>5.24</v>
      </c>
      <c r="D94" s="100">
        <v>6.39</v>
      </c>
      <c r="E94" s="100">
        <v>5.93</v>
      </c>
      <c r="F94" s="100">
        <v>2</v>
      </c>
      <c r="G94" s="100">
        <v>22.63</v>
      </c>
      <c r="H94" s="100">
        <v>10.6</v>
      </c>
      <c r="I94" s="100">
        <v>4.1399999999999997</v>
      </c>
      <c r="J94" s="100">
        <v>0.22</v>
      </c>
      <c r="K94" s="100">
        <v>247.86</v>
      </c>
      <c r="L94" s="100">
        <v>21.86</v>
      </c>
      <c r="M94" s="100">
        <v>36.909999999999997</v>
      </c>
      <c r="N94" s="100">
        <v>2.4</v>
      </c>
      <c r="O94" s="100">
        <v>0</v>
      </c>
      <c r="P94" s="100">
        <v>0.27</v>
      </c>
      <c r="Q94" s="100">
        <v>9.32</v>
      </c>
      <c r="R94" s="6"/>
      <c r="S94" s="6"/>
      <c r="T94" s="156"/>
      <c r="U94" s="6"/>
    </row>
    <row r="95" spans="1:21" customFormat="1">
      <c r="A95" s="201" t="s">
        <v>3206</v>
      </c>
      <c r="B95" s="100">
        <v>4.6100000000000003</v>
      </c>
      <c r="C95" s="100">
        <v>5.27</v>
      </c>
      <c r="D95" s="100">
        <v>6.45</v>
      </c>
      <c r="E95" s="100">
        <v>5.75</v>
      </c>
      <c r="F95" s="100">
        <v>2</v>
      </c>
      <c r="G95" s="100">
        <v>21</v>
      </c>
      <c r="H95" s="100">
        <v>9.14</v>
      </c>
      <c r="I95" s="100">
        <v>4.18</v>
      </c>
      <c r="J95" s="100">
        <v>7.0000000000000007E-2</v>
      </c>
      <c r="K95" s="100">
        <v>223.89</v>
      </c>
      <c r="L95" s="100">
        <v>19.73</v>
      </c>
      <c r="M95" s="100">
        <v>31.58</v>
      </c>
      <c r="N95" s="100">
        <v>2.6</v>
      </c>
      <c r="O95" s="100">
        <v>0</v>
      </c>
      <c r="P95" s="100">
        <v>0.27</v>
      </c>
      <c r="Q95" s="100">
        <v>9.32</v>
      </c>
      <c r="R95" s="6"/>
      <c r="S95" s="6"/>
      <c r="T95" s="156"/>
      <c r="U95" s="6"/>
    </row>
    <row r="96" spans="1:21" customFormat="1">
      <c r="A96" s="201" t="s">
        <v>3207</v>
      </c>
      <c r="B96" s="100">
        <v>4.74</v>
      </c>
      <c r="C96" s="100">
        <v>5.29</v>
      </c>
      <c r="D96" s="100">
        <v>6.57</v>
      </c>
      <c r="E96" s="100">
        <v>5.96</v>
      </c>
      <c r="F96" s="100">
        <v>2</v>
      </c>
      <c r="G96" s="100">
        <v>20.399999999999999</v>
      </c>
      <c r="H96" s="100">
        <v>9.1199999999999992</v>
      </c>
      <c r="I96" s="100">
        <v>4.16</v>
      </c>
      <c r="J96" s="100">
        <v>0.06</v>
      </c>
      <c r="K96" s="100">
        <v>230.1</v>
      </c>
      <c r="L96" s="100">
        <v>20.74</v>
      </c>
      <c r="M96" s="100">
        <v>34.130000000000003</v>
      </c>
      <c r="N96" s="100">
        <v>2.5</v>
      </c>
      <c r="O96" s="100">
        <v>0</v>
      </c>
      <c r="P96" s="100">
        <v>0.27</v>
      </c>
      <c r="Q96" s="100">
        <v>9.32</v>
      </c>
      <c r="R96" s="6"/>
      <c r="S96" s="6"/>
      <c r="T96" s="156"/>
      <c r="U96" s="6"/>
    </row>
    <row r="97" spans="1:28" customFormat="1">
      <c r="A97" s="201" t="s">
        <v>3208</v>
      </c>
      <c r="B97" s="100">
        <v>4.82</v>
      </c>
      <c r="C97" s="100">
        <v>5.3</v>
      </c>
      <c r="D97" s="100">
        <v>6.63</v>
      </c>
      <c r="E97" s="100">
        <v>6.07</v>
      </c>
      <c r="F97" s="100">
        <v>2</v>
      </c>
      <c r="G97" s="100">
        <v>20.399999999999999</v>
      </c>
      <c r="H97" s="100">
        <v>9.1199999999999992</v>
      </c>
      <c r="I97" s="100">
        <v>4.21</v>
      </c>
      <c r="J97" s="100">
        <v>0.09</v>
      </c>
      <c r="K97" s="100">
        <v>150.09</v>
      </c>
      <c r="L97" s="100">
        <v>14.56</v>
      </c>
      <c r="M97" s="100">
        <v>18.72</v>
      </c>
      <c r="N97" s="100">
        <v>2.5</v>
      </c>
      <c r="O97" s="100">
        <v>0</v>
      </c>
      <c r="P97" s="100">
        <v>0.27</v>
      </c>
      <c r="Q97" s="100">
        <v>9.32</v>
      </c>
      <c r="R97" s="6"/>
      <c r="S97" s="6"/>
      <c r="T97" s="156"/>
      <c r="U97" s="6"/>
    </row>
    <row r="98" spans="1:28" customFormat="1">
      <c r="A98" s="201" t="s">
        <v>3209</v>
      </c>
      <c r="B98" s="100">
        <v>4.91</v>
      </c>
      <c r="C98" s="100">
        <v>5.27</v>
      </c>
      <c r="D98" s="100">
        <v>6.69</v>
      </c>
      <c r="E98" s="100">
        <v>5.82</v>
      </c>
      <c r="F98" s="100">
        <v>2</v>
      </c>
      <c r="G98" s="100">
        <v>20.399999999999999</v>
      </c>
      <c r="H98" s="100">
        <v>9.1199999999999992</v>
      </c>
      <c r="I98" s="100">
        <v>4.25</v>
      </c>
      <c r="J98" s="100">
        <v>0.09</v>
      </c>
      <c r="K98" s="100">
        <v>146.54</v>
      </c>
      <c r="L98" s="100">
        <v>13.79</v>
      </c>
      <c r="M98" s="100">
        <v>16.8</v>
      </c>
      <c r="N98" s="100">
        <v>2.4</v>
      </c>
      <c r="O98" s="100">
        <v>0</v>
      </c>
      <c r="P98" s="100">
        <v>0.26</v>
      </c>
      <c r="Q98" s="100">
        <v>9.32</v>
      </c>
      <c r="R98" s="6"/>
      <c r="S98" s="6"/>
      <c r="T98" s="156"/>
      <c r="U98" s="6"/>
    </row>
    <row r="99" spans="1:28" customFormat="1">
      <c r="A99" s="201" t="s">
        <v>3210</v>
      </c>
      <c r="B99" s="100">
        <v>5.0199999999999996</v>
      </c>
      <c r="C99" s="100">
        <v>5.36</v>
      </c>
      <c r="D99" s="100">
        <v>6.83</v>
      </c>
      <c r="E99" s="100">
        <v>5.64</v>
      </c>
      <c r="F99" s="100">
        <v>2</v>
      </c>
      <c r="G99" s="100">
        <v>21.2</v>
      </c>
      <c r="H99" s="100">
        <v>8.11</v>
      </c>
      <c r="I99" s="100">
        <v>4.26</v>
      </c>
      <c r="J99" s="100">
        <v>0.06</v>
      </c>
      <c r="K99" s="100">
        <v>164.56</v>
      </c>
      <c r="L99" s="100">
        <v>15.65</v>
      </c>
      <c r="M99" s="100">
        <v>21.46</v>
      </c>
      <c r="N99" s="100">
        <v>2.4</v>
      </c>
      <c r="O99" s="100">
        <v>0</v>
      </c>
      <c r="P99" s="100">
        <v>0.28000000000000003</v>
      </c>
      <c r="Q99" s="100">
        <v>9.32</v>
      </c>
      <c r="R99" s="6"/>
      <c r="S99" s="6"/>
      <c r="T99" s="156"/>
      <c r="U99" s="6"/>
    </row>
    <row r="100" spans="1:28" customFormat="1">
      <c r="A100" s="201" t="s">
        <v>3211</v>
      </c>
      <c r="B100" s="100">
        <v>5.17</v>
      </c>
      <c r="C100" s="100">
        <v>5.44</v>
      </c>
      <c r="D100" s="100">
        <v>6.99</v>
      </c>
      <c r="E100" s="100">
        <v>6.05</v>
      </c>
      <c r="F100" s="100">
        <v>2</v>
      </c>
      <c r="G100" s="100">
        <v>21.49</v>
      </c>
      <c r="H100" s="100">
        <v>8.1</v>
      </c>
      <c r="I100" s="100">
        <v>4.3099999999999996</v>
      </c>
      <c r="J100" s="100">
        <v>0.14000000000000001</v>
      </c>
      <c r="K100" s="100">
        <v>179.86</v>
      </c>
      <c r="L100" s="100">
        <v>17.05</v>
      </c>
      <c r="M100" s="100">
        <v>24.97</v>
      </c>
      <c r="N100" s="100">
        <v>2.2999999999999998</v>
      </c>
      <c r="O100" s="100">
        <v>0</v>
      </c>
      <c r="P100" s="100">
        <v>0.27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3212</v>
      </c>
      <c r="B101" s="100">
        <v>5.14</v>
      </c>
      <c r="C101" s="100">
        <v>5.46</v>
      </c>
      <c r="D101" s="100">
        <v>6.98</v>
      </c>
      <c r="E101" s="100">
        <v>6.25</v>
      </c>
      <c r="F101" s="100">
        <v>2</v>
      </c>
      <c r="G101" s="100">
        <v>21.49</v>
      </c>
      <c r="H101" s="100">
        <v>8.1</v>
      </c>
      <c r="I101" s="100">
        <v>4.34</v>
      </c>
      <c r="J101" s="100">
        <v>0.06</v>
      </c>
      <c r="K101" s="100">
        <v>186.99</v>
      </c>
      <c r="L101" s="100">
        <v>17.28</v>
      </c>
      <c r="M101" s="100">
        <v>25.54</v>
      </c>
      <c r="N101" s="100">
        <v>2.2999999999999998</v>
      </c>
      <c r="O101" s="100">
        <v>0</v>
      </c>
      <c r="P101" s="100">
        <v>0.25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3213</v>
      </c>
      <c r="B102" s="100">
        <v>5.13</v>
      </c>
      <c r="C102" s="100">
        <v>5.41</v>
      </c>
      <c r="D102" s="100">
        <v>6.94</v>
      </c>
      <c r="E102" s="100">
        <v>6.09</v>
      </c>
      <c r="F102" s="100">
        <v>2</v>
      </c>
      <c r="G102" s="100">
        <v>21.49</v>
      </c>
      <c r="H102" s="100">
        <v>8.1</v>
      </c>
      <c r="I102" s="100">
        <v>4.34</v>
      </c>
      <c r="J102" s="100">
        <v>0.05</v>
      </c>
      <c r="K102" s="100">
        <v>166.68</v>
      </c>
      <c r="L102" s="100">
        <v>18.05</v>
      </c>
      <c r="M102" s="100">
        <v>27.43</v>
      </c>
      <c r="N102" s="100">
        <v>2.2999999999999998</v>
      </c>
      <c r="O102" s="100">
        <v>0</v>
      </c>
      <c r="P102" s="100">
        <v>0.25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3214</v>
      </c>
      <c r="B103" s="100">
        <v>5.14</v>
      </c>
      <c r="C103" s="100">
        <v>5.46</v>
      </c>
      <c r="D103" s="100">
        <v>6.97</v>
      </c>
      <c r="E103" s="100">
        <v>6.43</v>
      </c>
      <c r="F103" s="100">
        <v>2</v>
      </c>
      <c r="G103" s="100">
        <v>20.46</v>
      </c>
      <c r="H103" s="100">
        <v>9.1199999999999992</v>
      </c>
      <c r="I103" s="100">
        <v>4.29</v>
      </c>
      <c r="J103" s="100">
        <v>7.0000000000000007E-2</v>
      </c>
      <c r="K103" s="100">
        <v>196.98</v>
      </c>
      <c r="L103" s="100">
        <v>18.29</v>
      </c>
      <c r="M103" s="100">
        <v>28.03</v>
      </c>
      <c r="N103" s="100">
        <v>2.2000000000000002</v>
      </c>
      <c r="O103" s="100">
        <v>0</v>
      </c>
      <c r="P103" s="100">
        <v>0.25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3215</v>
      </c>
      <c r="B104" s="100">
        <v>5.15</v>
      </c>
      <c r="C104" s="100">
        <v>5.38</v>
      </c>
      <c r="D104" s="100">
        <v>6.94</v>
      </c>
      <c r="E104" s="100">
        <v>6.52</v>
      </c>
      <c r="F104" s="100">
        <v>2</v>
      </c>
      <c r="G104" s="100">
        <v>20.09</v>
      </c>
      <c r="H104" s="100">
        <v>9.14</v>
      </c>
      <c r="I104" s="100">
        <v>4.28</v>
      </c>
      <c r="J104" s="100">
        <v>0.08</v>
      </c>
      <c r="K104" s="100">
        <v>184.35</v>
      </c>
      <c r="L104" s="100">
        <v>17.16</v>
      </c>
      <c r="M104" s="100">
        <v>25.2</v>
      </c>
      <c r="N104" s="100">
        <v>2.1</v>
      </c>
      <c r="O104" s="100">
        <v>0</v>
      </c>
      <c r="P104" s="100">
        <v>0.24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2.88</v>
      </c>
      <c r="C106" s="158">
        <f>MIN(C9:C104)</f>
        <v>4.7300000000000004</v>
      </c>
      <c r="D106" s="158">
        <f t="shared" ref="D106:Q106" si="0">MIN(D9:D104)</f>
        <v>5</v>
      </c>
      <c r="E106" s="158">
        <f t="shared" si="0"/>
        <v>4.49</v>
      </c>
      <c r="F106" s="158">
        <f t="shared" si="0"/>
        <v>2</v>
      </c>
      <c r="G106" s="158">
        <f t="shared" si="0"/>
        <v>5.54</v>
      </c>
      <c r="H106" s="158">
        <f t="shared" si="0"/>
        <v>2.19</v>
      </c>
      <c r="I106" s="158">
        <f t="shared" si="0"/>
        <v>2.85</v>
      </c>
      <c r="J106" s="158">
        <f t="shared" si="0"/>
        <v>0.05</v>
      </c>
      <c r="K106" s="158">
        <f t="shared" si="0"/>
        <v>146.54</v>
      </c>
      <c r="L106" s="158">
        <f t="shared" si="0"/>
        <v>13.79</v>
      </c>
      <c r="M106" s="158">
        <f t="shared" si="0"/>
        <v>16.8</v>
      </c>
      <c r="N106" s="158">
        <f t="shared" si="0"/>
        <v>2.1</v>
      </c>
      <c r="O106" s="158">
        <f t="shared" si="0"/>
        <v>0</v>
      </c>
      <c r="P106" s="158">
        <f t="shared" si="0"/>
        <v>0.17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5.17</v>
      </c>
      <c r="C107" s="157">
        <f t="shared" ref="C107:Q107" si="1">MAX(C9:C104)</f>
        <v>5.67</v>
      </c>
      <c r="D107" s="157">
        <f t="shared" si="1"/>
        <v>6.99</v>
      </c>
      <c r="E107" s="157">
        <f t="shared" si="1"/>
        <v>7.38</v>
      </c>
      <c r="F107" s="157">
        <f t="shared" si="1"/>
        <v>2</v>
      </c>
      <c r="G107" s="157">
        <f t="shared" si="1"/>
        <v>22.63</v>
      </c>
      <c r="H107" s="157">
        <f t="shared" si="1"/>
        <v>10.73</v>
      </c>
      <c r="I107" s="157">
        <f t="shared" si="1"/>
        <v>4.34</v>
      </c>
      <c r="J107" s="157">
        <f t="shared" si="1"/>
        <v>1.18</v>
      </c>
      <c r="K107" s="157">
        <f t="shared" si="1"/>
        <v>310.29000000000002</v>
      </c>
      <c r="L107" s="157">
        <f t="shared" si="1"/>
        <v>25.63</v>
      </c>
      <c r="M107" s="157">
        <f t="shared" si="1"/>
        <v>40.840000000000003</v>
      </c>
      <c r="N107" s="157">
        <f t="shared" si="1"/>
        <v>287.39999999999998</v>
      </c>
      <c r="O107" s="157">
        <f t="shared" si="1"/>
        <v>7.6</v>
      </c>
      <c r="P107" s="157">
        <f t="shared" si="1"/>
        <v>0.28000000000000003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3.7012499999999986</v>
      </c>
      <c r="C108" s="158">
        <f t="shared" ref="C108:Q108" si="2">AVERAGE(C9:C104)</f>
        <v>5.1755208333333327</v>
      </c>
      <c r="D108" s="158">
        <f t="shared" si="2"/>
        <v>5.6728125</v>
      </c>
      <c r="E108" s="158">
        <f t="shared" si="2"/>
        <v>6.4390625000000021</v>
      </c>
      <c r="F108" s="158">
        <f t="shared" si="2"/>
        <v>2</v>
      </c>
      <c r="G108" s="158">
        <f t="shared" si="2"/>
        <v>13.440625000000004</v>
      </c>
      <c r="H108" s="158">
        <f t="shared" si="2"/>
        <v>6.3281250000000027</v>
      </c>
      <c r="I108" s="158">
        <f t="shared" si="2"/>
        <v>3.3934374999999988</v>
      </c>
      <c r="J108" s="158">
        <f t="shared" si="2"/>
        <v>0.4992708333333335</v>
      </c>
      <c r="K108" s="158">
        <f t="shared" si="2"/>
        <v>244.94802083333335</v>
      </c>
      <c r="L108" s="158">
        <f t="shared" si="2"/>
        <v>21.774687499999995</v>
      </c>
      <c r="M108" s="158">
        <f t="shared" si="2"/>
        <v>35.968124999999993</v>
      </c>
      <c r="N108" s="158">
        <f t="shared" si="2"/>
        <v>31.882291666666671</v>
      </c>
      <c r="O108" s="158">
        <f t="shared" si="2"/>
        <v>9.5833333333333326E-2</v>
      </c>
      <c r="P108" s="158">
        <f t="shared" si="2"/>
        <v>0.20937500000000001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0.62156720430995838</v>
      </c>
      <c r="C109" s="158">
        <f t="shared" ref="C109:Q109" si="3">STDEV(C9:C104)</f>
        <v>0.20591193718964668</v>
      </c>
      <c r="D109" s="158">
        <f t="shared" si="3"/>
        <v>0.52771145051059876</v>
      </c>
      <c r="E109" s="158">
        <f t="shared" si="3"/>
        <v>0.62295911519980685</v>
      </c>
      <c r="F109" s="158">
        <f t="shared" si="3"/>
        <v>0</v>
      </c>
      <c r="G109" s="158">
        <f t="shared" si="3"/>
        <v>5.1108147074301309</v>
      </c>
      <c r="H109" s="158">
        <f t="shared" si="3"/>
        <v>2.3445077196222646</v>
      </c>
      <c r="I109" s="158">
        <f t="shared" si="3"/>
        <v>0.40894943227483316</v>
      </c>
      <c r="J109" s="158">
        <f t="shared" si="3"/>
        <v>0.2668460813659263</v>
      </c>
      <c r="K109" s="158">
        <f t="shared" si="3"/>
        <v>27.308588339463792</v>
      </c>
      <c r="L109" s="158">
        <f t="shared" si="3"/>
        <v>2.2749310935198834</v>
      </c>
      <c r="M109" s="158">
        <f t="shared" si="3"/>
        <v>5.0854012546753014</v>
      </c>
      <c r="N109" s="158">
        <f t="shared" si="3"/>
        <v>58.488456791497555</v>
      </c>
      <c r="O109" s="158">
        <f t="shared" si="3"/>
        <v>0.78135060755708419</v>
      </c>
      <c r="P109" s="158">
        <f t="shared" si="3"/>
        <v>3.0841274463392711E-2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S44" sqref="S44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01/10/2025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01/10/2025 00:15</v>
      </c>
      <c r="B9" s="83">
        <f>'01'!B108</f>
        <v>5.9634374999999986</v>
      </c>
      <c r="C9" s="83">
        <f>'01'!C108</f>
        <v>6.663854166666666</v>
      </c>
      <c r="D9" s="83">
        <f>'01'!D108</f>
        <v>12.627187500000007</v>
      </c>
      <c r="E9" s="83">
        <f>'01'!E108</f>
        <v>6.1476041666666648</v>
      </c>
      <c r="F9" s="83">
        <f>'01'!F108</f>
        <v>2.7266666666666666</v>
      </c>
      <c r="G9" s="83">
        <f>'01'!G108</f>
        <v>44.931770833333367</v>
      </c>
      <c r="H9" s="83">
        <f>'01'!H108</f>
        <v>17.254895833333332</v>
      </c>
      <c r="I9" s="83">
        <f>'01'!I108</f>
        <v>7.492604166666669</v>
      </c>
      <c r="J9" s="83">
        <f>'01'!J108</f>
        <v>0.24302083333333324</v>
      </c>
      <c r="K9" s="83">
        <f>'01'!K108</f>
        <v>196.56052083333336</v>
      </c>
      <c r="L9" s="83">
        <f>'01'!L108</f>
        <v>19.129583333333333</v>
      </c>
      <c r="M9" s="83">
        <f>'01'!M108</f>
        <v>28.119687500000012</v>
      </c>
      <c r="N9" s="83">
        <f>'01'!N108</f>
        <v>79.372916666666683</v>
      </c>
      <c r="O9" s="83">
        <f>'01'!O108</f>
        <v>2.0833333333333332E-2</v>
      </c>
      <c r="P9" s="83">
        <f>'01'!P108</f>
        <v>0.38583333333333331</v>
      </c>
      <c r="Q9" s="83">
        <f>'01'!Q108</f>
        <v>10.328333333333333</v>
      </c>
      <c r="R9" s="76"/>
      <c r="S9" s="76"/>
      <c r="T9" s="76"/>
      <c r="U9" s="76"/>
    </row>
    <row r="10" spans="1:21">
      <c r="A10" s="139" t="str">
        <f>'02'!$B$2</f>
        <v>02/10/2025 00:15</v>
      </c>
      <c r="B10" s="83">
        <f>'02'!B108</f>
        <v>8.9656250000000011</v>
      </c>
      <c r="C10" s="83">
        <f>'02'!C108</f>
        <v>8.0983333333333327</v>
      </c>
      <c r="D10" s="83">
        <f>'02'!D108</f>
        <v>17.060208333333332</v>
      </c>
      <c r="E10" s="83">
        <f>'02'!E108</f>
        <v>6.5100000000000007</v>
      </c>
      <c r="F10" s="83">
        <f>'02'!F108</f>
        <v>3.6202083333333337</v>
      </c>
      <c r="G10" s="83">
        <f>'02'!G108</f>
        <v>60.443333333333335</v>
      </c>
      <c r="H10" s="83">
        <f>'02'!H108</f>
        <v>23.923437499999995</v>
      </c>
      <c r="I10" s="83">
        <f>'02'!I108</f>
        <v>6.9974999999999996</v>
      </c>
      <c r="J10" s="83">
        <f>'02'!J108</f>
        <v>0.30291666666666678</v>
      </c>
      <c r="K10" s="83">
        <f>'02'!K108</f>
        <v>139.00375</v>
      </c>
      <c r="L10" s="83">
        <f>'02'!L108</f>
        <v>16.178750000000001</v>
      </c>
      <c r="M10" s="83">
        <f>'02'!M108</f>
        <v>20.886041666666667</v>
      </c>
      <c r="N10" s="83">
        <f>'02'!N108</f>
        <v>69.81666666666662</v>
      </c>
      <c r="O10" s="83">
        <f>'02'!O108</f>
        <v>0.2104166666666667</v>
      </c>
      <c r="P10" s="83">
        <f>'02'!P108</f>
        <v>0.4056249999999999</v>
      </c>
      <c r="Q10" s="83">
        <f>'02'!Q108</f>
        <v>10.444374999999994</v>
      </c>
      <c r="R10" s="76"/>
      <c r="S10" s="76"/>
      <c r="T10" s="76"/>
      <c r="U10" s="76"/>
    </row>
    <row r="11" spans="1:21">
      <c r="A11" s="139" t="str">
        <f>'03'!$B$2</f>
        <v>03/10/2025 00:15</v>
      </c>
      <c r="B11" s="83">
        <f>'03'!B108</f>
        <v>8.4760416666666654</v>
      </c>
      <c r="C11" s="83">
        <f>'03'!C108</f>
        <v>7.6071874999999984</v>
      </c>
      <c r="D11" s="83">
        <f>'03'!D108</f>
        <v>16.084270833333335</v>
      </c>
      <c r="E11" s="83">
        <f>'03'!E108</f>
        <v>6.4463541666666666</v>
      </c>
      <c r="F11" s="83">
        <f>'03'!F108</f>
        <v>2.1708333333333338</v>
      </c>
      <c r="G11" s="83">
        <f>'03'!G108</f>
        <v>35.385520833333345</v>
      </c>
      <c r="H11" s="83">
        <f>'03'!H108</f>
        <v>16.169062499999992</v>
      </c>
      <c r="I11" s="83">
        <f>'03'!I108</f>
        <v>6.0405208333333329</v>
      </c>
      <c r="J11" s="83">
        <f>'03'!J108</f>
        <v>0.30906250000000007</v>
      </c>
      <c r="K11" s="83">
        <f>'03'!K108</f>
        <v>189.16499999999999</v>
      </c>
      <c r="L11" s="83">
        <f>'03'!L108</f>
        <v>18.437499999999996</v>
      </c>
      <c r="M11" s="83">
        <f>'03'!M108</f>
        <v>27.4453125</v>
      </c>
      <c r="N11" s="83">
        <f>'03'!N108</f>
        <v>31.131250000000005</v>
      </c>
      <c r="O11" s="83">
        <f>'03'!O108</f>
        <v>0.32291666666666669</v>
      </c>
      <c r="P11" s="83">
        <f>'03'!P108</f>
        <v>0.36739583333333331</v>
      </c>
      <c r="Q11" s="83">
        <f>'03'!Q108</f>
        <v>10.260104166666666</v>
      </c>
      <c r="R11" s="76"/>
      <c r="S11" s="76"/>
      <c r="T11" s="76"/>
      <c r="U11" s="76"/>
    </row>
    <row r="12" spans="1:21">
      <c r="A12" s="139" t="str">
        <f>'04'!$B$2</f>
        <v>04/10/2025 00:15</v>
      </c>
      <c r="B12" s="83">
        <f>'04'!B108</f>
        <v>4.3600000000000003</v>
      </c>
      <c r="C12" s="83">
        <f>'04'!C108</f>
        <v>6.1857291666666638</v>
      </c>
      <c r="D12" s="83">
        <f>'04'!D108</f>
        <v>10.545833333333333</v>
      </c>
      <c r="E12" s="83">
        <f>'04'!E108</f>
        <v>5.5506249999999993</v>
      </c>
      <c r="F12" s="83">
        <f>'04'!F108</f>
        <v>2.2727083333333336</v>
      </c>
      <c r="G12" s="83">
        <f>'04'!G108</f>
        <v>15.878645833333323</v>
      </c>
      <c r="H12" s="83">
        <f>'04'!H108</f>
        <v>5.5293750000000044</v>
      </c>
      <c r="I12" s="83">
        <f>'04'!I108</f>
        <v>5.9485416666666673</v>
      </c>
      <c r="J12" s="83">
        <f>'04'!J108</f>
        <v>0.41093749999999996</v>
      </c>
      <c r="K12" s="83">
        <f>'04'!K108</f>
        <v>234.39760416666658</v>
      </c>
      <c r="L12" s="83">
        <f>'04'!L108</f>
        <v>21.504999999999995</v>
      </c>
      <c r="M12" s="83">
        <f>'04'!M108</f>
        <v>34.368124999999985</v>
      </c>
      <c r="N12" s="83">
        <f>'04'!N108</f>
        <v>71.157291666666694</v>
      </c>
      <c r="O12" s="83">
        <f>'04'!O108</f>
        <v>3.5416666666666673E-2</v>
      </c>
      <c r="P12" s="83">
        <f>'04'!P108</f>
        <v>0.23999999999999991</v>
      </c>
      <c r="Q12" s="83">
        <f>'04'!Q108</f>
        <v>10.061875000000001</v>
      </c>
      <c r="R12" s="76"/>
      <c r="S12" s="76"/>
      <c r="T12" s="76"/>
      <c r="U12" s="76"/>
    </row>
    <row r="13" spans="1:21">
      <c r="A13" s="139" t="str">
        <f>'05'!$B$2</f>
        <v>05/10/2025 00:15</v>
      </c>
      <c r="B13" s="83">
        <f>'05'!B108</f>
        <v>4.8001041666666646</v>
      </c>
      <c r="C13" s="83">
        <f>'05'!C108</f>
        <v>6.2480208333333316</v>
      </c>
      <c r="D13" s="83">
        <f>'05'!D108</f>
        <v>11.048854166666665</v>
      </c>
      <c r="E13" s="83">
        <f>'05'!E108</f>
        <v>5.5078125</v>
      </c>
      <c r="F13" s="83">
        <f>'05'!F108</f>
        <v>2.3209374999999999</v>
      </c>
      <c r="G13" s="83">
        <f>'05'!G108</f>
        <v>23.166041666666658</v>
      </c>
      <c r="H13" s="83">
        <f>'05'!H108</f>
        <v>8.8055208333333326</v>
      </c>
      <c r="I13" s="83">
        <f>'05'!I108</f>
        <v>5.5798958333333362</v>
      </c>
      <c r="J13" s="83">
        <f>'05'!J108</f>
        <v>0.26718749999999986</v>
      </c>
      <c r="K13" s="83">
        <f>'05'!K108</f>
        <v>217.1926041666666</v>
      </c>
      <c r="L13" s="83">
        <f>'05'!L108</f>
        <v>19.988854166666659</v>
      </c>
      <c r="M13" s="83">
        <f>'05'!M108</f>
        <v>31.111354166666683</v>
      </c>
      <c r="N13" s="83">
        <f>'05'!N108</f>
        <v>47.056249999999984</v>
      </c>
      <c r="O13" s="83">
        <f>'05'!O108</f>
        <v>0.35000000000000009</v>
      </c>
      <c r="P13" s="83">
        <f>'05'!P108</f>
        <v>0.24489583333333317</v>
      </c>
      <c r="Q13" s="83">
        <f>'05'!Q108</f>
        <v>10.0175</v>
      </c>
      <c r="R13" s="76"/>
      <c r="S13" s="76"/>
      <c r="T13" s="76"/>
      <c r="U13" s="76"/>
    </row>
    <row r="14" spans="1:21">
      <c r="A14" s="139" t="str">
        <f>'06'!$B$2</f>
        <v>06/10/2025 00:15</v>
      </c>
      <c r="B14" s="83">
        <f>'06'!B108</f>
        <v>4.7961458333333349</v>
      </c>
      <c r="C14" s="83">
        <f>'06'!C108</f>
        <v>6.6187499999999986</v>
      </c>
      <c r="D14" s="83">
        <f>'06'!D108</f>
        <v>11.4140625</v>
      </c>
      <c r="E14" s="83">
        <f>'06'!E108</f>
        <v>5.5255208333333341</v>
      </c>
      <c r="F14" s="83">
        <f>'06'!F108</f>
        <v>3.6040624999999995</v>
      </c>
      <c r="G14" s="83">
        <f>'06'!G108</f>
        <v>22.838020833333342</v>
      </c>
      <c r="H14" s="83">
        <f>'06'!H108</f>
        <v>9.6511458333333344</v>
      </c>
      <c r="I14" s="83">
        <f>'06'!I108</f>
        <v>7.0996875000000017</v>
      </c>
      <c r="J14" s="83">
        <f>'06'!J108</f>
        <v>0.19687499999999999</v>
      </c>
      <c r="K14" s="83">
        <f>'06'!K108</f>
        <v>223.42375000000001</v>
      </c>
      <c r="L14" s="83">
        <f>'06'!L108</f>
        <v>20.168125</v>
      </c>
      <c r="M14" s="83">
        <f>'06'!M108</f>
        <v>31.499062499999997</v>
      </c>
      <c r="N14" s="83">
        <f>'06'!N108</f>
        <v>51.452083333333313</v>
      </c>
      <c r="O14" s="83">
        <f>'06'!O108</f>
        <v>8.3333333333333332E-3</v>
      </c>
      <c r="P14" s="83">
        <f>'06'!P108</f>
        <v>0.36083333333333351</v>
      </c>
      <c r="Q14" s="83">
        <f>'06'!Q108</f>
        <v>10.143125</v>
      </c>
      <c r="R14" s="76"/>
      <c r="S14" s="76"/>
      <c r="T14" s="76"/>
      <c r="U14" s="76"/>
    </row>
    <row r="15" spans="1:21">
      <c r="A15" s="139" t="str">
        <f>'07'!$B$2</f>
        <v>07/10/2025 00:15</v>
      </c>
      <c r="B15" s="83">
        <f>'07'!B108</f>
        <v>5.5662499999999975</v>
      </c>
      <c r="C15" s="83">
        <f>'07'!C108</f>
        <v>6.3291666666666666</v>
      </c>
      <c r="D15" s="83">
        <f>'07'!D108</f>
        <v>11.895729166666662</v>
      </c>
      <c r="E15" s="83">
        <f>'07'!E108</f>
        <v>5.5637500000000024</v>
      </c>
      <c r="F15" s="83">
        <f>'07'!F108</f>
        <v>3.3974999999999991</v>
      </c>
      <c r="G15" s="83">
        <f>'07'!G108</f>
        <v>41.456875000000018</v>
      </c>
      <c r="H15" s="83">
        <f>'07'!H108</f>
        <v>19.760416666666675</v>
      </c>
      <c r="I15" s="83">
        <f>'07'!I108</f>
        <v>10.204375000000006</v>
      </c>
      <c r="J15" s="83">
        <f>'07'!J108</f>
        <v>0.20062499999999986</v>
      </c>
      <c r="K15" s="83">
        <f>'07'!K108</f>
        <v>202.18791666666664</v>
      </c>
      <c r="L15" s="83">
        <f>'07'!L108</f>
        <v>19.471145833333331</v>
      </c>
      <c r="M15" s="83">
        <f>'07'!M108</f>
        <v>28.766041666666666</v>
      </c>
      <c r="N15" s="83">
        <f>'07'!N108</f>
        <v>95.038541666666788</v>
      </c>
      <c r="O15" s="83">
        <f>'07'!O108</f>
        <v>0</v>
      </c>
      <c r="P15" s="83">
        <f>'07'!P108</f>
        <v>0.4789583333333336</v>
      </c>
      <c r="Q15" s="83">
        <f>'07'!Q108</f>
        <v>10.495625000000002</v>
      </c>
      <c r="R15" s="76"/>
      <c r="S15" s="76"/>
      <c r="T15" s="76"/>
      <c r="U15" s="76"/>
    </row>
    <row r="16" spans="1:21">
      <c r="A16" s="139" t="str">
        <f>'08'!$B$2</f>
        <v>08/10/2025 00:15</v>
      </c>
      <c r="B16" s="83">
        <f>'08'!B108</f>
        <v>5.523854166666669</v>
      </c>
      <c r="C16" s="83">
        <f>'08'!C108</f>
        <v>7.2556250000000029</v>
      </c>
      <c r="D16" s="83">
        <f>'08'!D108</f>
        <v>12.778958333333334</v>
      </c>
      <c r="E16" s="83">
        <f>'08'!E108</f>
        <v>5.672395833333332</v>
      </c>
      <c r="F16" s="83">
        <f>'08'!F108</f>
        <v>11.556979166666657</v>
      </c>
      <c r="G16" s="83">
        <f>'08'!G108</f>
        <v>57.001562500000013</v>
      </c>
      <c r="H16" s="83">
        <f>'08'!H108</f>
        <v>23.492916666666687</v>
      </c>
      <c r="I16" s="83">
        <f>'08'!I108</f>
        <v>6.2677083333333341</v>
      </c>
      <c r="J16" s="83">
        <f>'08'!J108</f>
        <v>0.19812499999999997</v>
      </c>
      <c r="K16" s="83">
        <f>'08'!K108</f>
        <v>140.90781250000001</v>
      </c>
      <c r="L16" s="83">
        <f>'08'!L108</f>
        <v>16.414687499999996</v>
      </c>
      <c r="M16" s="83">
        <f>'08'!M108</f>
        <v>20.667500000000008</v>
      </c>
      <c r="N16" s="83">
        <f>'08'!N108</f>
        <v>111.21770833333331</v>
      </c>
      <c r="O16" s="83">
        <f>'08'!O108</f>
        <v>0.13125000000000001</v>
      </c>
      <c r="P16" s="83">
        <f>'08'!P108</f>
        <v>0.27968749999999998</v>
      </c>
      <c r="Q16" s="83">
        <f>'08'!Q108</f>
        <v>10.148437500000002</v>
      </c>
      <c r="R16" s="76"/>
      <c r="S16" s="76"/>
      <c r="T16" s="76"/>
      <c r="U16" s="76"/>
    </row>
    <row r="17" spans="1:21">
      <c r="A17" s="139" t="str">
        <f>'09'!$B$2</f>
        <v>09/10/2025 00:15</v>
      </c>
      <c r="B17" s="83">
        <f>'09'!B108</f>
        <v>6.1374193548387135</v>
      </c>
      <c r="C17" s="83">
        <f>'09'!C108</f>
        <v>7.0313978494623637</v>
      </c>
      <c r="D17" s="83">
        <f>'09'!D108</f>
        <v>13.169462365591395</v>
      </c>
      <c r="E17" s="83">
        <f>'09'!E108</f>
        <v>5.2882795698924712</v>
      </c>
      <c r="F17" s="151" t="s">
        <v>8</v>
      </c>
      <c r="G17" s="83">
        <f>'09'!G108</f>
        <v>61.791276595744733</v>
      </c>
      <c r="H17" s="83">
        <f>'09'!H108</f>
        <v>26.230106382978718</v>
      </c>
      <c r="I17" s="83">
        <f>'09'!I108</f>
        <v>6.8338043478260877</v>
      </c>
      <c r="J17" s="83">
        <f>'09'!J108</f>
        <v>0.27904255319148946</v>
      </c>
      <c r="K17" s="83">
        <f>'09'!K108</f>
        <v>129.2637234042553</v>
      </c>
      <c r="L17" s="83">
        <f>'09'!L108</f>
        <v>15.677659574468088</v>
      </c>
      <c r="M17" s="83">
        <f>'09'!M108</f>
        <v>19.129255319148943</v>
      </c>
      <c r="N17" s="83">
        <f>'09'!N108</f>
        <v>103.76276595744677</v>
      </c>
      <c r="O17" s="83">
        <f>'09'!O108</f>
        <v>0</v>
      </c>
      <c r="P17" s="83">
        <f>'09'!P108</f>
        <v>0.348723404255319</v>
      </c>
      <c r="Q17" s="83">
        <f>'09'!Q108</f>
        <v>10.034408602150537</v>
      </c>
      <c r="R17" s="76"/>
      <c r="S17" s="76"/>
      <c r="T17" s="76"/>
      <c r="U17" s="76"/>
    </row>
    <row r="18" spans="1:21">
      <c r="A18" s="139" t="str">
        <f>'10'!$B$2</f>
        <v>10/10/2025 00:15</v>
      </c>
      <c r="B18" s="83">
        <f>'10'!B108</f>
        <v>7.0377083333333337</v>
      </c>
      <c r="C18" s="83">
        <f>'10'!C108</f>
        <v>7.5707291666666636</v>
      </c>
      <c r="D18" s="83">
        <f>'10'!D108</f>
        <v>14.608020833333327</v>
      </c>
      <c r="E18" s="83">
        <f>'10'!E108</f>
        <v>5.1924999999999999</v>
      </c>
      <c r="F18" s="151" t="s">
        <v>8</v>
      </c>
      <c r="G18" s="83">
        <f>'10'!G108</f>
        <v>68.364999999999995</v>
      </c>
      <c r="H18" s="83">
        <f>'10'!H108</f>
        <v>26.861666666666661</v>
      </c>
      <c r="I18" s="83">
        <f>'10'!I108</f>
        <v>5.9298958333333323</v>
      </c>
      <c r="J18" s="83">
        <f>'10'!J108</f>
        <v>0.23979166666666665</v>
      </c>
      <c r="K18" s="83">
        <f>'10'!K108</f>
        <v>87.417604166666635</v>
      </c>
      <c r="L18" s="83">
        <f>'10'!L108</f>
        <v>12.536979166666669</v>
      </c>
      <c r="M18" s="83">
        <f>'10'!M108</f>
        <v>12.057916666666669</v>
      </c>
      <c r="N18" s="83">
        <f>'10'!N108</f>
        <v>60.208333333333286</v>
      </c>
      <c r="O18" s="83">
        <f>'10'!O108</f>
        <v>0.10625</v>
      </c>
      <c r="P18" s="83">
        <f>'10'!P108</f>
        <v>0.37843749999999998</v>
      </c>
      <c r="Q18" s="83">
        <f>'10'!Q108</f>
        <v>11.818020833333334</v>
      </c>
      <c r="R18" s="76"/>
      <c r="S18" s="76"/>
      <c r="T18" s="76"/>
      <c r="U18" s="76"/>
    </row>
    <row r="19" spans="1:21">
      <c r="A19" s="139" t="str">
        <f>'11'!$B$2</f>
        <v>11/10/2025 00:15</v>
      </c>
      <c r="B19" s="83">
        <f>'11'!B108</f>
        <v>8.1300000000000061</v>
      </c>
      <c r="C19" s="83">
        <f>'11'!C108</f>
        <v>8.5194791666666685</v>
      </c>
      <c r="D19" s="83">
        <f>'11'!D108</f>
        <v>16.650416666666668</v>
      </c>
      <c r="E19" s="83">
        <f>'11'!E108</f>
        <v>5.8093750000000002</v>
      </c>
      <c r="F19" s="151" t="s">
        <v>8</v>
      </c>
      <c r="G19" s="83">
        <f>'11'!G108</f>
        <v>88.866354166666682</v>
      </c>
      <c r="H19" s="83">
        <f>'11'!H108</f>
        <v>29.344791666666669</v>
      </c>
      <c r="I19" s="83">
        <f>'11'!I108</f>
        <v>6.6033333333333344</v>
      </c>
      <c r="J19" s="83">
        <f>'11'!J108</f>
        <v>0.36468750000000011</v>
      </c>
      <c r="K19" s="83">
        <f>'11'!K108</f>
        <v>115.45437499999998</v>
      </c>
      <c r="L19" s="83">
        <f>'11'!L108</f>
        <v>13.231562499999997</v>
      </c>
      <c r="M19" s="83">
        <f>'11'!M108</f>
        <v>13.584895833333325</v>
      </c>
      <c r="N19" s="83">
        <f>'11'!N108</f>
        <v>64.278124999999946</v>
      </c>
      <c r="O19" s="83">
        <f>'11'!O108</f>
        <v>0</v>
      </c>
      <c r="P19" s="83">
        <f>'11'!P108</f>
        <v>0.37937500000000024</v>
      </c>
      <c r="Q19" s="83">
        <f>'11'!Q108</f>
        <v>10.126562499999999</v>
      </c>
      <c r="R19" s="76"/>
      <c r="S19" s="76"/>
      <c r="T19" s="76"/>
      <c r="U19" s="76"/>
    </row>
    <row r="20" spans="1:21">
      <c r="A20" s="139" t="str">
        <f>'12'!$B$2</f>
        <v>12/10/2025 00:15</v>
      </c>
      <c r="B20" s="83">
        <f>'12'!B108</f>
        <v>8.9988541666666695</v>
      </c>
      <c r="C20" s="83">
        <f>'12'!C108</f>
        <v>8.0937500000000018</v>
      </c>
      <c r="D20" s="83">
        <f>'12'!D108</f>
        <v>17.09249999999999</v>
      </c>
      <c r="E20" s="83">
        <f>'12'!E108</f>
        <v>6.0171874999999995</v>
      </c>
      <c r="F20" s="152" t="s">
        <v>15</v>
      </c>
      <c r="G20" s="83">
        <f>'12'!G108</f>
        <v>59.585624999999986</v>
      </c>
      <c r="H20" s="83">
        <f>'12'!H108</f>
        <v>20.646250000000006</v>
      </c>
      <c r="I20" s="83">
        <f>'12'!I108</f>
        <v>6.4584375000000014</v>
      </c>
      <c r="J20" s="83">
        <f>'12'!J108</f>
        <v>0.2676041666666667</v>
      </c>
      <c r="K20" s="83">
        <f>'12'!K108</f>
        <v>59.634999999999998</v>
      </c>
      <c r="L20" s="83">
        <f>'12'!L108</f>
        <v>11.222499999999997</v>
      </c>
      <c r="M20" s="83">
        <f>'12'!M108</f>
        <v>7.8807291666666677</v>
      </c>
      <c r="N20" s="83">
        <f>'12'!N108</f>
        <v>114.6697916666667</v>
      </c>
      <c r="O20" s="83">
        <f>'12'!O108</f>
        <v>0</v>
      </c>
      <c r="P20" s="83">
        <f>'12'!P108</f>
        <v>0.3708333333333334</v>
      </c>
      <c r="Q20" s="83">
        <f>'12'!Q108</f>
        <v>10</v>
      </c>
      <c r="R20" s="76"/>
      <c r="S20" s="76"/>
      <c r="T20" s="76"/>
      <c r="U20" s="76"/>
    </row>
    <row r="21" spans="1:21">
      <c r="A21" s="139" t="str">
        <f>'13'!$B$2</f>
        <v>13/10/2025 00:15</v>
      </c>
      <c r="B21" s="83">
        <f>'13'!B108</f>
        <v>9.66041666666667</v>
      </c>
      <c r="C21" s="83">
        <f>'13'!C108</f>
        <v>9.2424999999999997</v>
      </c>
      <c r="D21" s="83">
        <f>'13'!D108</f>
        <v>18.902708333333322</v>
      </c>
      <c r="E21" s="83">
        <f>'13'!E108</f>
        <v>26.374166666666671</v>
      </c>
      <c r="F21" s="152" t="s">
        <v>15</v>
      </c>
      <c r="G21" s="83">
        <f>'13'!G108</f>
        <v>53.869479166666679</v>
      </c>
      <c r="H21" s="83">
        <f>'13'!H108</f>
        <v>19.13208333333333</v>
      </c>
      <c r="I21" s="83">
        <f>'13'!I108</f>
        <v>7.7338541666666698</v>
      </c>
      <c r="J21" s="83">
        <f>'13'!J108</f>
        <v>0.27718749999999998</v>
      </c>
      <c r="K21" s="83">
        <f>'13'!K108</f>
        <v>70.898333333333341</v>
      </c>
      <c r="L21" s="83">
        <f>'13'!L108</f>
        <v>11.206875000000004</v>
      </c>
      <c r="M21" s="83">
        <f>'13'!M108</f>
        <v>7.2910416666666675</v>
      </c>
      <c r="N21" s="83">
        <f>'13'!N108</f>
        <v>116.93749999999999</v>
      </c>
      <c r="O21" s="83">
        <f>'13'!O108</f>
        <v>0</v>
      </c>
      <c r="P21" s="83">
        <f>'13'!P108</f>
        <v>0.40885416666666669</v>
      </c>
      <c r="Q21" s="83">
        <f>'13'!Q108</f>
        <v>10.000520833333333</v>
      </c>
      <c r="R21" s="76"/>
      <c r="S21" s="76"/>
      <c r="T21" s="76"/>
      <c r="U21" s="76"/>
    </row>
    <row r="22" spans="1:21">
      <c r="A22" s="139" t="str">
        <f>'14'!$B$2</f>
        <v>14/10/2025 00:15</v>
      </c>
      <c r="B22" s="140">
        <f>'14'!B108</f>
        <v>5.3616666666666655</v>
      </c>
      <c r="C22" s="140">
        <f>'14'!C108</f>
        <v>9.0377083333333363</v>
      </c>
      <c r="D22" s="140">
        <f>'14'!D108</f>
        <v>12.855937499999998</v>
      </c>
      <c r="E22" s="140">
        <f>'14'!E108</f>
        <v>4.2519791666666675</v>
      </c>
      <c r="F22" s="140">
        <f>'14'!F108</f>
        <v>10.844509803921568</v>
      </c>
      <c r="G22" s="140">
        <f>'14'!G108</f>
        <v>50.814791666666657</v>
      </c>
      <c r="H22" s="140">
        <f>'14'!H108</f>
        <v>15.101145833333334</v>
      </c>
      <c r="I22" s="140">
        <f>'14'!I108</f>
        <v>6.3963541666666641</v>
      </c>
      <c r="J22" s="140">
        <f>'14'!J108</f>
        <v>0.26177083333333334</v>
      </c>
      <c r="K22" s="140">
        <f>'14'!K108</f>
        <v>73.344791666666637</v>
      </c>
      <c r="L22" s="140">
        <f>'14'!L108</f>
        <v>11.096145833333331</v>
      </c>
      <c r="M22" s="140">
        <f>'14'!M108</f>
        <v>6.981354166666665</v>
      </c>
      <c r="N22" s="140">
        <f>'14'!N108</f>
        <v>119.38020833333336</v>
      </c>
      <c r="O22" s="140">
        <f>'14'!O108</f>
        <v>0</v>
      </c>
      <c r="P22" s="140">
        <f>'14'!P108</f>
        <v>0.42208333333333381</v>
      </c>
      <c r="Q22" s="140">
        <f>'14'!Q108</f>
        <v>10</v>
      </c>
      <c r="R22" s="153"/>
      <c r="S22" s="153"/>
      <c r="T22" s="153"/>
      <c r="U22" s="153"/>
    </row>
    <row r="23" spans="1:21">
      <c r="A23" s="139" t="str">
        <f>'15'!$B$2</f>
        <v>15/10/2025 00:15</v>
      </c>
      <c r="B23" s="83">
        <f>'15'!B108</f>
        <v>4.9807291666666673</v>
      </c>
      <c r="C23" s="83">
        <f>'15'!C108</f>
        <v>7.2084375000000023</v>
      </c>
      <c r="D23" s="83">
        <f>'15'!D108</f>
        <v>7.7607291666666685</v>
      </c>
      <c r="E23" s="83">
        <f>'15'!E108</f>
        <v>6.537812500000002</v>
      </c>
      <c r="F23" s="83">
        <f>'15'!F108</f>
        <v>2.1429166666666668</v>
      </c>
      <c r="G23" s="83">
        <f>'15'!G108</f>
        <v>44.509374999999999</v>
      </c>
      <c r="H23" s="83">
        <f>'15'!H108</f>
        <v>9.2093749999999961</v>
      </c>
      <c r="I23" s="83">
        <f>'15'!I108</f>
        <v>7.4943750000000016</v>
      </c>
      <c r="J23" s="83">
        <f>'15'!J108</f>
        <v>0.24031250000000004</v>
      </c>
      <c r="K23" s="83">
        <f>'15'!K108</f>
        <v>89.210937500000014</v>
      </c>
      <c r="L23" s="83">
        <f>'15'!L108</f>
        <v>12.609999999999994</v>
      </c>
      <c r="M23" s="83">
        <f>'15'!M108</f>
        <v>10.408645833333333</v>
      </c>
      <c r="N23" s="83">
        <f>'15'!N108</f>
        <v>138.56354166666668</v>
      </c>
      <c r="O23" s="83">
        <f>'15'!O108</f>
        <v>0</v>
      </c>
      <c r="P23" s="83">
        <f>'15'!P108</f>
        <v>0.43072916666666689</v>
      </c>
      <c r="Q23" s="83">
        <f>'15'!Q108</f>
        <v>10</v>
      </c>
      <c r="R23" s="76"/>
      <c r="S23" s="76"/>
      <c r="T23" s="76"/>
      <c r="U23" s="76"/>
    </row>
    <row r="24" spans="1:21">
      <c r="A24" s="139" t="str">
        <f>'16'!$B$2</f>
        <v>16/10/2025 00:15</v>
      </c>
      <c r="B24" s="83">
        <f>'16'!B108</f>
        <v>3.8807291666666681</v>
      </c>
      <c r="C24" s="83">
        <f>'16'!C108</f>
        <v>7.7988541666666649</v>
      </c>
      <c r="D24" s="83">
        <f>'16'!D108</f>
        <v>7.1871874999999994</v>
      </c>
      <c r="E24" s="83">
        <f>'16'!E108</f>
        <v>6.1015624999999991</v>
      </c>
      <c r="F24" s="83">
        <f>'16'!F108</f>
        <v>5.5040625000000007</v>
      </c>
      <c r="G24" s="83">
        <f>'16'!G108</f>
        <v>46.251770833333332</v>
      </c>
      <c r="H24" s="83">
        <f>'16'!H108</f>
        <v>10.708958333333342</v>
      </c>
      <c r="I24" s="83">
        <f>'16'!I108</f>
        <v>7.167083333333335</v>
      </c>
      <c r="J24" s="83">
        <f>'16'!J108</f>
        <v>0.2026041666666667</v>
      </c>
      <c r="K24" s="83">
        <f>'16'!K108</f>
        <v>114.68020833333333</v>
      </c>
      <c r="L24" s="83">
        <f>'16'!L108</f>
        <v>13.816666666666663</v>
      </c>
      <c r="M24" s="83">
        <f>'16'!M108</f>
        <v>14.23270833333333</v>
      </c>
      <c r="N24" s="83">
        <f>'16'!N108</f>
        <v>106.58645833333337</v>
      </c>
      <c r="O24" s="83">
        <f>'16'!O108</f>
        <v>0</v>
      </c>
      <c r="P24" s="83">
        <f>'16'!P108</f>
        <v>0.39677083333333368</v>
      </c>
      <c r="Q24" s="83">
        <f>'16'!Q108</f>
        <v>10</v>
      </c>
      <c r="R24" s="76"/>
      <c r="S24" s="76"/>
      <c r="T24" s="76"/>
      <c r="U24" s="76"/>
    </row>
    <row r="25" spans="1:21">
      <c r="A25" s="139" t="str">
        <f>'17'!$B$2</f>
        <v>17/10/2025 00:15</v>
      </c>
      <c r="B25" s="83">
        <f>'17'!B108</f>
        <v>5.1690624999999981</v>
      </c>
      <c r="C25" s="83">
        <f>'17'!C108</f>
        <v>7.205000000000001</v>
      </c>
      <c r="D25" s="83">
        <f>'17'!D108</f>
        <v>7.91</v>
      </c>
      <c r="E25" s="83">
        <f>'17'!E108</f>
        <v>6.6523958333333297</v>
      </c>
      <c r="F25" s="83">
        <f>'17'!F108</f>
        <v>2.524270833333333</v>
      </c>
      <c r="G25" s="83">
        <f>'17'!G108</f>
        <v>50.147708333333327</v>
      </c>
      <c r="H25" s="83">
        <f>'17'!H108</f>
        <v>11.91645833333334</v>
      </c>
      <c r="I25" s="83">
        <f>'17'!I108</f>
        <v>6.7111458333333323</v>
      </c>
      <c r="J25" s="83">
        <f>'17'!J108</f>
        <v>0.2161458333333334</v>
      </c>
      <c r="K25" s="83">
        <f>'17'!K108</f>
        <v>119.56677083333335</v>
      </c>
      <c r="L25" s="83">
        <f>'17'!L108</f>
        <v>14.57583333333333</v>
      </c>
      <c r="M25" s="83">
        <f>'17'!M108</f>
        <v>16.080833333333327</v>
      </c>
      <c r="N25" s="83">
        <f>'17'!N108</f>
        <v>107.94687500000008</v>
      </c>
      <c r="O25" s="83">
        <f>'17'!O108</f>
        <v>0</v>
      </c>
      <c r="P25" s="83">
        <f>'17'!P108</f>
        <v>0.41229166666666656</v>
      </c>
      <c r="Q25" s="83">
        <f>'17'!Q108</f>
        <v>10</v>
      </c>
      <c r="R25" s="76"/>
      <c r="S25" s="76"/>
      <c r="T25" s="76"/>
      <c r="U25" s="76"/>
    </row>
    <row r="26" spans="1:21">
      <c r="A26" s="139" t="str">
        <f>'18'!$B$2</f>
        <v>18/10/2025 00:15</v>
      </c>
      <c r="B26" s="83">
        <f>'18'!B108</f>
        <v>4.6178124999999968</v>
      </c>
      <c r="C26" s="83">
        <f>'18'!C108</f>
        <v>11.199375000000005</v>
      </c>
      <c r="D26" s="83">
        <f>'18'!D108</f>
        <v>9.5548958333333367</v>
      </c>
      <c r="E26" s="83">
        <f>'18'!E108</f>
        <v>7.8752083333333331</v>
      </c>
      <c r="F26" s="83">
        <f>'18'!F108</f>
        <v>10.131770833333336</v>
      </c>
      <c r="G26" s="83">
        <f>'18'!G108</f>
        <v>48.461041666666667</v>
      </c>
      <c r="H26" s="83">
        <f>'18'!H108</f>
        <v>10.60364583333333</v>
      </c>
      <c r="I26" s="83">
        <f>'18'!I108</f>
        <v>7.3701041666666702</v>
      </c>
      <c r="J26" s="83">
        <f>'18'!J108</f>
        <v>0.2456249999999999</v>
      </c>
      <c r="K26" s="83">
        <f>'18'!K108</f>
        <v>108.03541666666666</v>
      </c>
      <c r="L26" s="83">
        <f>'18'!L108</f>
        <v>13.596145833333331</v>
      </c>
      <c r="M26" s="83">
        <f>'18'!M108</f>
        <v>13.110625000000004</v>
      </c>
      <c r="N26" s="83">
        <f>'18'!N108</f>
        <v>127.33333333333339</v>
      </c>
      <c r="O26" s="83">
        <f>'18'!O108</f>
        <v>0</v>
      </c>
      <c r="P26" s="83">
        <f>'18'!P108</f>
        <v>0.41885416666666658</v>
      </c>
      <c r="Q26" s="83">
        <f>'18'!Q108</f>
        <v>9.6413541666666891</v>
      </c>
      <c r="R26" s="76"/>
      <c r="S26" s="76"/>
      <c r="T26" s="76"/>
      <c r="U26" s="76"/>
    </row>
    <row r="27" spans="1:21">
      <c r="A27" s="139" t="str">
        <f>'19'!$B$2</f>
        <v>19/10/2025 00:15</v>
      </c>
      <c r="B27" s="83">
        <f>'19'!B108</f>
        <v>5.9271874999999996</v>
      </c>
      <c r="C27" s="83">
        <f>'19'!C108</f>
        <v>9.1253124999999979</v>
      </c>
      <c r="D27" s="83">
        <f>'19'!D108</f>
        <v>9.5204166666666641</v>
      </c>
      <c r="E27" s="83">
        <f>'19'!E108</f>
        <v>6.6464583333333342</v>
      </c>
      <c r="F27" s="83">
        <f>'19'!F108</f>
        <v>3.5238541666666667</v>
      </c>
      <c r="G27" s="83">
        <f>'19'!G108</f>
        <v>50.998437499999966</v>
      </c>
      <c r="H27" s="83">
        <f>'19'!H108</f>
        <v>13.379479166666664</v>
      </c>
      <c r="I27" s="83">
        <f>'19'!I108</f>
        <v>4.9567708333333238</v>
      </c>
      <c r="J27" s="83">
        <f>'19'!J108</f>
        <v>0.24312499999999992</v>
      </c>
      <c r="K27" s="83">
        <f>'19'!K108</f>
        <v>90.251250000000027</v>
      </c>
      <c r="L27" s="83">
        <f>'19'!L108</f>
        <v>13.172604166666668</v>
      </c>
      <c r="M27" s="83">
        <f>'19'!M108</f>
        <v>11.799791666666664</v>
      </c>
      <c r="N27" s="83">
        <f>'19'!N108</f>
        <v>134.41562500000006</v>
      </c>
      <c r="O27" s="83">
        <f>'19'!O108</f>
        <v>0</v>
      </c>
      <c r="P27" s="83">
        <f>'19'!P108</f>
        <v>0.43666666666666676</v>
      </c>
      <c r="Q27" s="83">
        <f>'19'!Q108</f>
        <v>9.89302083333334</v>
      </c>
      <c r="R27" s="76"/>
      <c r="S27" s="76"/>
      <c r="T27" s="76"/>
      <c r="U27" s="76"/>
    </row>
    <row r="28" spans="1:21">
      <c r="A28" s="139" t="str">
        <f>'20'!$B$2</f>
        <v>20/10/2025 00:15</v>
      </c>
      <c r="B28" s="83">
        <f>'20'!B108</f>
        <v>4.1261458333333323</v>
      </c>
      <c r="C28" s="83">
        <f>'20'!C108</f>
        <v>7.3765625000000012</v>
      </c>
      <c r="D28" s="83">
        <f>'20'!D108</f>
        <v>7.1629166666666686</v>
      </c>
      <c r="E28" s="83">
        <f>'20'!E108</f>
        <v>6.4234375000000021</v>
      </c>
      <c r="F28" s="83">
        <f>'20'!F108</f>
        <v>2.0921875000000005</v>
      </c>
      <c r="G28" s="83">
        <f>'20'!G108</f>
        <v>45.360416666666659</v>
      </c>
      <c r="H28" s="83">
        <f>'20'!H108</f>
        <v>24.258854166666676</v>
      </c>
      <c r="I28" s="83">
        <f>'20'!I108</f>
        <v>6.4433802816901453</v>
      </c>
      <c r="J28" s="83">
        <f>'20'!J108</f>
        <v>0.27447916666666666</v>
      </c>
      <c r="K28" s="83">
        <f>'20'!K108</f>
        <v>89.237499999999955</v>
      </c>
      <c r="L28" s="83">
        <f>'20'!L108</f>
        <v>12.195937499999999</v>
      </c>
      <c r="M28" s="83">
        <f>'20'!M108</f>
        <v>10.262291666666666</v>
      </c>
      <c r="N28" s="83">
        <f>'20'!N108</f>
        <v>98.049999999999955</v>
      </c>
      <c r="O28" s="83">
        <f>'20'!O108</f>
        <v>0</v>
      </c>
      <c r="P28" s="83">
        <f>'20'!P108</f>
        <v>0.3786458333333334</v>
      </c>
      <c r="Q28" s="83">
        <f>'20'!Q108</f>
        <v>12.210416666666667</v>
      </c>
      <c r="R28" s="76"/>
      <c r="S28" s="76"/>
      <c r="T28" s="76"/>
      <c r="U28" s="76"/>
    </row>
    <row r="29" spans="1:21">
      <c r="A29" s="139" t="str">
        <f>'21'!$B$2</f>
        <v>21/10/2025 00:15</v>
      </c>
      <c r="B29" s="83">
        <f>'21'!B108</f>
        <v>4.0523958333333319</v>
      </c>
      <c r="C29" s="83">
        <f>'21'!C108</f>
        <v>6.7232291666666653</v>
      </c>
      <c r="D29" s="83">
        <f>'21'!D108</f>
        <v>6.7621875000000005</v>
      </c>
      <c r="E29" s="83">
        <f>'21'!E108</f>
        <v>6.8572916666666623</v>
      </c>
      <c r="F29" s="83">
        <f>'21'!F108</f>
        <v>2.4282291666666662</v>
      </c>
      <c r="G29" s="83">
        <f>'21'!G108</f>
        <v>22.828437499999996</v>
      </c>
      <c r="H29" s="83">
        <f>'21'!H108</f>
        <v>13.552499999999997</v>
      </c>
      <c r="I29" s="151" t="s">
        <v>8</v>
      </c>
      <c r="J29" s="83">
        <f>'21'!J108</f>
        <v>0.30666666666666664</v>
      </c>
      <c r="K29" s="83">
        <f>'21'!K108</f>
        <v>90.659999999999968</v>
      </c>
      <c r="L29" s="83">
        <f>'21'!L108</f>
        <v>11.884687499999998</v>
      </c>
      <c r="M29" s="83">
        <f>'21'!M108</f>
        <v>9.794895833333328</v>
      </c>
      <c r="N29" s="83">
        <f>'21'!N108</f>
        <v>85.614583333333272</v>
      </c>
      <c r="O29" s="83">
        <f>'21'!O108</f>
        <v>0</v>
      </c>
      <c r="P29" s="83">
        <f>'21'!P108</f>
        <v>0.25885416666666672</v>
      </c>
      <c r="Q29" s="83">
        <f>'21'!Q108</f>
        <v>9.4944791666666877</v>
      </c>
      <c r="R29" s="76"/>
      <c r="S29" s="76"/>
      <c r="T29" s="76"/>
      <c r="U29" s="76"/>
    </row>
    <row r="30" spans="1:21">
      <c r="A30" s="139" t="str">
        <f>'22'!$B$2</f>
        <v>22/10/2025 00:15</v>
      </c>
      <c r="B30" s="83">
        <f>'22'!B108</f>
        <v>3.2433333333333336</v>
      </c>
      <c r="C30" s="83">
        <f>'22'!C108</f>
        <v>7.1368750000000007</v>
      </c>
      <c r="D30" s="83">
        <f>'22'!D108</f>
        <v>6.3295833333333356</v>
      </c>
      <c r="E30" s="83">
        <f>'22'!E108</f>
        <v>6.3857291666666667</v>
      </c>
      <c r="F30" s="83">
        <f>'22'!F108</f>
        <v>7.2755208333333341</v>
      </c>
      <c r="G30" s="83">
        <f>'22'!G108</f>
        <v>59.694687500000036</v>
      </c>
      <c r="H30" s="83">
        <f>'22'!H108</f>
        <v>33.138645833333349</v>
      </c>
      <c r="I30" s="83">
        <f>'22'!I108</f>
        <v>5.5020000000000007</v>
      </c>
      <c r="J30" s="83">
        <f>'22'!J108</f>
        <v>0.27125000000000005</v>
      </c>
      <c r="K30" s="83">
        <f>'22'!K108</f>
        <v>88.639375000000015</v>
      </c>
      <c r="L30" s="83">
        <f>'22'!L108</f>
        <v>12.291041666666665</v>
      </c>
      <c r="M30" s="83">
        <f>'22'!M108</f>
        <v>9.8724999999999969</v>
      </c>
      <c r="N30" s="83">
        <f>'22'!N108</f>
        <v>126.14375000000003</v>
      </c>
      <c r="O30" s="83">
        <f>'22'!O108</f>
        <v>0</v>
      </c>
      <c r="P30" s="83">
        <f>'22'!P108</f>
        <v>0.35947916666666679</v>
      </c>
      <c r="Q30" s="83">
        <f>'22'!Q108</f>
        <v>9.320000000000018</v>
      </c>
      <c r="R30" s="76"/>
      <c r="S30" s="76"/>
      <c r="T30" s="76"/>
      <c r="U30" s="76"/>
    </row>
    <row r="31" spans="1:21">
      <c r="A31" s="139" t="str">
        <f>'23'!$B$2</f>
        <v>23/10/2025 00:15</v>
      </c>
      <c r="B31" s="83">
        <f>'23'!B108</f>
        <v>3.4516666666666667</v>
      </c>
      <c r="C31" s="83">
        <f>'23'!C108</f>
        <v>6.857187500000002</v>
      </c>
      <c r="D31" s="83">
        <f>'23'!D108</f>
        <v>6.3501041666666653</v>
      </c>
      <c r="E31" s="83">
        <f>'23'!E108</f>
        <v>6.3062499999999995</v>
      </c>
      <c r="F31" s="83">
        <f>'23'!F108</f>
        <v>2.8722916666666669</v>
      </c>
      <c r="G31" s="83">
        <f>'23'!G108</f>
        <v>60.862916666666649</v>
      </c>
      <c r="H31" s="83">
        <f>'23'!H108</f>
        <v>31.883229166666663</v>
      </c>
      <c r="I31" s="83">
        <f>'23'!I108</f>
        <v>6.0401041666666826</v>
      </c>
      <c r="J31" s="83">
        <f>'23'!J108</f>
        <v>0.25322916666666662</v>
      </c>
      <c r="K31" s="83">
        <f>'23'!K108</f>
        <v>103.51562499999999</v>
      </c>
      <c r="L31" s="83">
        <f>'23'!L108</f>
        <v>13.394062499999997</v>
      </c>
      <c r="M31" s="83">
        <f>'23'!M108</f>
        <v>12.259479166666665</v>
      </c>
      <c r="N31" s="83">
        <f>'23'!N108</f>
        <v>144.10833333333332</v>
      </c>
      <c r="O31" s="83">
        <f>'23'!O108</f>
        <v>0</v>
      </c>
      <c r="P31" s="83">
        <f>'23'!P108</f>
        <v>0.35552083333333329</v>
      </c>
      <c r="Q31" s="83">
        <f>'23'!Q108</f>
        <v>9.3203125000000178</v>
      </c>
      <c r="R31" s="76"/>
      <c r="S31" s="154"/>
      <c r="T31" s="76"/>
      <c r="U31" s="76"/>
    </row>
    <row r="32" spans="1:21">
      <c r="A32" s="139" t="str">
        <f>'24'!$B$2</f>
        <v>24/10/2025 00:15</v>
      </c>
      <c r="B32" s="83">
        <f>'24'!B108</f>
        <v>4.3122916666666677</v>
      </c>
      <c r="C32" s="83">
        <f>'24'!C108</f>
        <v>7.6697916666666641</v>
      </c>
      <c r="D32" s="83">
        <f>'24'!D108</f>
        <v>7.4660416666666682</v>
      </c>
      <c r="E32" s="83">
        <f>'24'!E108</f>
        <v>5.9579166666666685</v>
      </c>
      <c r="F32" s="83">
        <f>'24'!F108</f>
        <v>4.9321874999999995</v>
      </c>
      <c r="G32" s="83">
        <f>'24'!G108</f>
        <v>49.230543478260891</v>
      </c>
      <c r="H32" s="83">
        <f>'24'!H108</f>
        <v>27.383478260869584</v>
      </c>
      <c r="I32" s="83">
        <f>'24'!I108</f>
        <v>4.1338541666666684</v>
      </c>
      <c r="J32" s="83">
        <f>'24'!J108</f>
        <v>0.23802083333333343</v>
      </c>
      <c r="K32" s="83">
        <f>'24'!K108</f>
        <v>105.23510416666664</v>
      </c>
      <c r="L32" s="83">
        <f>'24'!L108</f>
        <v>13.449999999999998</v>
      </c>
      <c r="M32" s="83">
        <f>'24'!M108</f>
        <v>12.839270833333336</v>
      </c>
      <c r="N32" s="83">
        <f>'24'!N108</f>
        <v>125.52812499999995</v>
      </c>
      <c r="O32" s="83">
        <f>'24'!O108</f>
        <v>0</v>
      </c>
      <c r="P32" s="83">
        <f>'24'!P108</f>
        <v>0.32375000000000015</v>
      </c>
      <c r="Q32" s="83">
        <f>'24'!Q108</f>
        <v>9.3368750000000134</v>
      </c>
      <c r="R32" s="76"/>
      <c r="S32" s="76"/>
      <c r="T32" s="76"/>
      <c r="U32" s="76"/>
    </row>
    <row r="33" spans="1:21">
      <c r="A33" s="139" t="str">
        <f>'25'!$B$2</f>
        <v>25/10/2025 00:15</v>
      </c>
      <c r="B33" s="83">
        <f>'25'!B108</f>
        <v>4.7721875000000002</v>
      </c>
      <c r="C33" s="83">
        <f>'25'!C108</f>
        <v>7.8290624999999991</v>
      </c>
      <c r="D33" s="83">
        <f>'25'!D108</f>
        <v>7.916875000000001</v>
      </c>
      <c r="E33" s="83">
        <f>'25'!E108</f>
        <v>5.6447916666666655</v>
      </c>
      <c r="F33" s="83">
        <f>'25'!F108</f>
        <v>4.2534374999999995</v>
      </c>
      <c r="G33" s="83">
        <f>'25'!G108</f>
        <v>60.095625000000005</v>
      </c>
      <c r="H33" s="83">
        <f>'25'!H108</f>
        <v>28.330000000000002</v>
      </c>
      <c r="I33" s="83">
        <f>'25'!I108</f>
        <v>7.3296874999999986</v>
      </c>
      <c r="J33" s="83">
        <f>'25'!J108</f>
        <v>0.24479166666666666</v>
      </c>
      <c r="K33" s="83">
        <f>'25'!K108</f>
        <v>91.946250000000006</v>
      </c>
      <c r="L33" s="83">
        <f>'25'!L108</f>
        <v>11.983229166666666</v>
      </c>
      <c r="M33" s="83">
        <f>'25'!M108</f>
        <v>10.669583333333334</v>
      </c>
      <c r="N33" s="83">
        <f>'25'!N108</f>
        <v>62.111458333333282</v>
      </c>
      <c r="O33" s="83">
        <f>'25'!O108</f>
        <v>0</v>
      </c>
      <c r="P33" s="83">
        <f>'25'!P108</f>
        <v>0.37916666666666671</v>
      </c>
      <c r="Q33" s="83">
        <f>'25'!Q108</f>
        <v>9.3245833333333525</v>
      </c>
      <c r="R33" s="76"/>
      <c r="S33" s="154"/>
      <c r="T33" s="76"/>
      <c r="U33" s="76"/>
    </row>
    <row r="34" spans="1:21">
      <c r="A34" s="139" t="str">
        <f>'26'!$B$2</f>
        <v>26/10/2025 00:15</v>
      </c>
      <c r="B34" s="83">
        <f>'26'!B108</f>
        <v>6.0216666666666656</v>
      </c>
      <c r="C34" s="83">
        <f>'26'!C108</f>
        <v>6.7403124999999973</v>
      </c>
      <c r="D34" s="83">
        <f>'26'!D108</f>
        <v>8.3508333333333304</v>
      </c>
      <c r="E34" s="83">
        <f>'26'!E108</f>
        <v>5.6071875000000029</v>
      </c>
      <c r="F34" s="83">
        <f>'26'!F108</f>
        <v>2.0364583333333335</v>
      </c>
      <c r="G34" s="83">
        <f>'26'!G108</f>
        <v>62.79666666666666</v>
      </c>
      <c r="H34" s="83">
        <f>'26'!H108</f>
        <v>29.135104166666675</v>
      </c>
      <c r="I34" s="83">
        <f>'26'!I108</f>
        <v>7.7269791666666672</v>
      </c>
      <c r="J34" s="83">
        <f>'26'!J108</f>
        <v>0.2819791666666665</v>
      </c>
      <c r="K34" s="83">
        <f>'26'!K108</f>
        <v>86.480520833333301</v>
      </c>
      <c r="L34" s="83">
        <f>'26'!L108</f>
        <v>12.003854166666668</v>
      </c>
      <c r="M34" s="83">
        <f>'26'!M108</f>
        <v>10.533333333333335</v>
      </c>
      <c r="N34" s="83">
        <f>'26'!N108</f>
        <v>67.919791666666711</v>
      </c>
      <c r="O34" s="83">
        <f>'26'!O108</f>
        <v>0</v>
      </c>
      <c r="P34" s="83">
        <f>'26'!P108</f>
        <v>0.4209374999999998</v>
      </c>
      <c r="Q34" s="83">
        <f>'26'!Q108</f>
        <v>9.3343750000000174</v>
      </c>
      <c r="R34" s="76"/>
      <c r="S34" s="76"/>
      <c r="T34" s="76"/>
      <c r="U34" s="76"/>
    </row>
    <row r="35" spans="1:21">
      <c r="A35" s="139" t="str">
        <f>'27'!$B$2</f>
        <v>27/10/2025 00:15</v>
      </c>
      <c r="B35" s="83">
        <f>'27'!B108</f>
        <v>7.5065625000000002</v>
      </c>
      <c r="C35" s="83">
        <f>'27'!C108</f>
        <v>6.9865624999999989</v>
      </c>
      <c r="D35" s="83">
        <f>'27'!D108</f>
        <v>9.6698958333333334</v>
      </c>
      <c r="E35" s="83">
        <f>'27'!E108</f>
        <v>6.6420833333333347</v>
      </c>
      <c r="F35" s="83">
        <f>'27'!F108</f>
        <v>2</v>
      </c>
      <c r="G35" s="83">
        <f>'27'!G108</f>
        <v>51.688333333333368</v>
      </c>
      <c r="H35" s="83">
        <f>'27'!H108</f>
        <v>20.964062500000001</v>
      </c>
      <c r="I35" s="83">
        <f>'27'!I108</f>
        <v>7.2544791666666635</v>
      </c>
      <c r="J35" s="83">
        <f>'27'!J108</f>
        <v>0.30260416666666667</v>
      </c>
      <c r="K35" s="83">
        <f>'27'!K108</f>
        <v>74.712083333333368</v>
      </c>
      <c r="L35" s="83">
        <f>'27'!L108</f>
        <v>11.290312500000004</v>
      </c>
      <c r="M35" s="83">
        <f>'27'!M108</f>
        <v>7.8371874999999998</v>
      </c>
      <c r="N35" s="83">
        <f>'27'!N108</f>
        <v>108.14999999999988</v>
      </c>
      <c r="O35" s="83">
        <f>'27'!O108</f>
        <v>0</v>
      </c>
      <c r="P35" s="83">
        <f>'27'!P108</f>
        <v>0.34333333333333343</v>
      </c>
      <c r="Q35" s="83">
        <f>'27'!Q108</f>
        <v>9.5509375000000105</v>
      </c>
      <c r="R35" s="76"/>
      <c r="S35" s="76"/>
      <c r="T35" s="76"/>
      <c r="U35" s="76"/>
    </row>
    <row r="36" spans="1:21">
      <c r="A36" s="139" t="str">
        <f>'28'!$B$2</f>
        <v>28/10/2025 00:15</v>
      </c>
      <c r="B36" s="83">
        <f>'28'!B108</f>
        <v>4.9931249999999974</v>
      </c>
      <c r="C36" s="83">
        <f>'28'!C108</f>
        <v>6.5252083333333326</v>
      </c>
      <c r="D36" s="83">
        <f>'28'!D108</f>
        <v>7.4129166666666642</v>
      </c>
      <c r="E36" s="83">
        <f>'28'!E108</f>
        <v>6.4061458333333343</v>
      </c>
      <c r="F36" s="83">
        <f>'28'!F108</f>
        <v>2.0035416666666666</v>
      </c>
      <c r="G36" s="83">
        <f>'28'!G108</f>
        <v>35.08687500000002</v>
      </c>
      <c r="H36" s="83">
        <f>'28'!H108</f>
        <v>12.43229166666667</v>
      </c>
      <c r="I36" s="83">
        <f>'28'!I108</f>
        <v>6.1783333333333381</v>
      </c>
      <c r="J36" s="83">
        <f>'28'!J108</f>
        <v>0.58770833333333339</v>
      </c>
      <c r="K36" s="83">
        <f>'28'!K108</f>
        <v>50.844583333333333</v>
      </c>
      <c r="L36" s="83">
        <f>'28'!L108</f>
        <v>8.9173958333333285</v>
      </c>
      <c r="M36" s="83">
        <f>'28'!M108</f>
        <v>3.6455208333333329</v>
      </c>
      <c r="N36" s="83">
        <f>'28'!N108</f>
        <v>30.787500000000012</v>
      </c>
      <c r="O36" s="83">
        <f>'28'!O108</f>
        <v>0</v>
      </c>
      <c r="P36" s="83">
        <f>'28'!P108</f>
        <v>0.26781250000000001</v>
      </c>
      <c r="Q36" s="83">
        <f>'28'!Q108</f>
        <v>9.6094791666666826</v>
      </c>
      <c r="R36" s="76"/>
      <c r="S36" s="76"/>
      <c r="T36" s="76"/>
      <c r="U36" s="76"/>
    </row>
    <row r="37" spans="1:21" s="2" customFormat="1">
      <c r="A37" s="139" t="str">
        <f>'29'!$B$2</f>
        <v>29/10/2025 00:15</v>
      </c>
      <c r="B37" s="83">
        <f>'29'!B108</f>
        <v>5.7841666666666676</v>
      </c>
      <c r="C37" s="83">
        <f>'29'!C108</f>
        <v>6.3195833333333313</v>
      </c>
      <c r="D37" s="83">
        <f>'29'!D108</f>
        <v>7.9395833333333306</v>
      </c>
      <c r="E37" s="83">
        <f>'29'!E108</f>
        <v>6.0517708333333351</v>
      </c>
      <c r="F37" s="83">
        <f>'29'!F108</f>
        <v>2</v>
      </c>
      <c r="G37" s="83">
        <f>'29'!G108</f>
        <v>20.970520833333328</v>
      </c>
      <c r="H37" s="83">
        <f>'29'!H108</f>
        <v>6.280000000000002</v>
      </c>
      <c r="I37" s="83">
        <f>'29'!I108</f>
        <v>4.6239583333333334</v>
      </c>
      <c r="J37" s="83">
        <f>'29'!J108</f>
        <v>0.57489583333333338</v>
      </c>
      <c r="K37" s="83">
        <f>'29'!K108</f>
        <v>60.175312500000025</v>
      </c>
      <c r="L37" s="83">
        <f>'29'!L108</f>
        <v>9.9165625000000031</v>
      </c>
      <c r="M37" s="83">
        <f>'29'!M108</f>
        <v>5.9981249999999982</v>
      </c>
      <c r="N37" s="83">
        <f>'29'!N108</f>
        <v>40.006250000000016</v>
      </c>
      <c r="O37" s="83">
        <f>'29'!O108</f>
        <v>0</v>
      </c>
      <c r="P37" s="83">
        <f>'29'!P108</f>
        <v>0.21260416666666682</v>
      </c>
      <c r="Q37" s="83">
        <f>'29'!Q108</f>
        <v>9.3440625000000175</v>
      </c>
      <c r="R37" s="76"/>
      <c r="S37" s="76"/>
      <c r="T37" s="76"/>
      <c r="U37" s="76"/>
    </row>
    <row r="38" spans="1:21" s="2" customFormat="1">
      <c r="A38" s="139" t="str">
        <f>'30'!$B$2</f>
        <v>30/10/2025 00:15</v>
      </c>
      <c r="B38" s="83">
        <f>'30'!B108</f>
        <v>4.8825000000000012</v>
      </c>
      <c r="C38" s="83">
        <f>'30'!C108</f>
        <v>5.5755208333333384</v>
      </c>
      <c r="D38" s="83">
        <f>'30'!D108</f>
        <v>6.8285416666666663</v>
      </c>
      <c r="E38" s="83">
        <f>'30'!E108</f>
        <v>6.5669791666666626</v>
      </c>
      <c r="F38" s="83">
        <f>'30'!F108</f>
        <v>2</v>
      </c>
      <c r="G38" s="83">
        <f>'30'!G108</f>
        <v>12.514895833333332</v>
      </c>
      <c r="H38" s="83">
        <f>'30'!H108</f>
        <v>4.4479166666666652</v>
      </c>
      <c r="I38" s="83">
        <f>'30'!I108</f>
        <v>3.6352083333333329</v>
      </c>
      <c r="J38" s="83">
        <f>'30'!J108</f>
        <v>0.26708333333333328</v>
      </c>
      <c r="K38" s="83">
        <f>'30'!K108</f>
        <v>180.31520833333323</v>
      </c>
      <c r="L38" s="83">
        <f>'30'!L108</f>
        <v>17.353124999999999</v>
      </c>
      <c r="M38" s="83">
        <f>'30'!M108</f>
        <v>25.233020833333327</v>
      </c>
      <c r="N38" s="83">
        <f>'30'!N108</f>
        <v>18.389583333333334</v>
      </c>
      <c r="O38" s="83">
        <f>'30'!O108</f>
        <v>1.2500000000000002E-2</v>
      </c>
      <c r="P38" s="83">
        <f>'30'!P108</f>
        <v>0.20416666666666691</v>
      </c>
      <c r="Q38" s="83">
        <f>'30'!Q108</f>
        <v>9.320000000000018</v>
      </c>
      <c r="R38" s="76"/>
      <c r="S38" s="76"/>
      <c r="T38" s="76"/>
      <c r="U38" s="76"/>
    </row>
    <row r="39" spans="1:21" s="2" customFormat="1">
      <c r="A39" s="139" t="str">
        <f>'31'!$B$2</f>
        <v>31/10/2025 00:15</v>
      </c>
      <c r="B39" s="83">
        <f>'31'!B108</f>
        <v>3.7012499999999986</v>
      </c>
      <c r="C39" s="83">
        <f>'31'!C108</f>
        <v>5.1755208333333327</v>
      </c>
      <c r="D39" s="83">
        <f>'31'!D108</f>
        <v>5.6728125</v>
      </c>
      <c r="E39" s="83">
        <f>'31'!E108</f>
        <v>6.4390625000000021</v>
      </c>
      <c r="F39" s="83">
        <f>'31'!F108</f>
        <v>2</v>
      </c>
      <c r="G39" s="83">
        <f>'31'!G108</f>
        <v>13.440625000000004</v>
      </c>
      <c r="H39" s="83">
        <f>'31'!H108</f>
        <v>6.3281250000000027</v>
      </c>
      <c r="I39" s="83">
        <f>'31'!I108</f>
        <v>3.3934374999999988</v>
      </c>
      <c r="J39" s="83">
        <f>'31'!J108</f>
        <v>0.4992708333333335</v>
      </c>
      <c r="K39" s="83">
        <f>'31'!K108</f>
        <v>244.94802083333335</v>
      </c>
      <c r="L39" s="83">
        <f>'31'!L108</f>
        <v>21.774687499999995</v>
      </c>
      <c r="M39" s="83">
        <f>'31'!M108</f>
        <v>35.968124999999993</v>
      </c>
      <c r="N39" s="83">
        <f>'31'!N108</f>
        <v>31.882291666666671</v>
      </c>
      <c r="O39" s="83">
        <f>'31'!O108</f>
        <v>9.5833333333333326E-2</v>
      </c>
      <c r="P39" s="83">
        <f>'31'!P108</f>
        <v>0.20937500000000001</v>
      </c>
      <c r="Q39" s="83">
        <f>'31'!Q108</f>
        <v>9.320000000000018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3.2433333333333336</v>
      </c>
      <c r="C41" s="141">
        <f t="shared" si="0"/>
        <v>5.1755208333333327</v>
      </c>
      <c r="D41" s="141">
        <f t="shared" si="0"/>
        <v>5.6728125</v>
      </c>
      <c r="E41" s="141">
        <f t="shared" si="0"/>
        <v>4.2519791666666675</v>
      </c>
      <c r="F41" s="141">
        <f t="shared" si="0"/>
        <v>2</v>
      </c>
      <c r="G41" s="141">
        <f t="shared" si="0"/>
        <v>12.514895833333332</v>
      </c>
      <c r="H41" s="141">
        <f t="shared" si="0"/>
        <v>4.4479166666666652</v>
      </c>
      <c r="I41" s="141">
        <f t="shared" si="0"/>
        <v>3.3934374999999988</v>
      </c>
      <c r="J41" s="141">
        <f t="shared" si="0"/>
        <v>0.19687499999999999</v>
      </c>
      <c r="K41" s="141">
        <f t="shared" si="0"/>
        <v>50.844583333333333</v>
      </c>
      <c r="L41" s="141">
        <f t="shared" si="0"/>
        <v>8.9173958333333285</v>
      </c>
      <c r="M41" s="141">
        <f t="shared" si="0"/>
        <v>3.6455208333333329</v>
      </c>
      <c r="N41" s="141">
        <f t="shared" si="0"/>
        <v>18.389583333333334</v>
      </c>
      <c r="O41" s="141">
        <f t="shared" si="0"/>
        <v>0</v>
      </c>
      <c r="P41" s="141">
        <f t="shared" si="0"/>
        <v>0.20416666666666691</v>
      </c>
      <c r="Q41" s="141">
        <f t="shared" si="0"/>
        <v>9.320000000000018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9.66041666666667</v>
      </c>
      <c r="C42" s="141">
        <f t="shared" si="1"/>
        <v>11.199375000000005</v>
      </c>
      <c r="D42" s="141">
        <f t="shared" si="1"/>
        <v>18.902708333333322</v>
      </c>
      <c r="E42" s="141">
        <f t="shared" si="1"/>
        <v>26.374166666666671</v>
      </c>
      <c r="F42" s="141">
        <f t="shared" si="1"/>
        <v>11.556979166666657</v>
      </c>
      <c r="G42" s="141">
        <f t="shared" si="1"/>
        <v>88.866354166666682</v>
      </c>
      <c r="H42" s="141">
        <f t="shared" si="1"/>
        <v>33.138645833333349</v>
      </c>
      <c r="I42" s="141">
        <f t="shared" si="1"/>
        <v>10.204375000000006</v>
      </c>
      <c r="J42" s="141">
        <f t="shared" si="1"/>
        <v>0.58770833333333339</v>
      </c>
      <c r="K42" s="141">
        <f t="shared" si="1"/>
        <v>244.94802083333335</v>
      </c>
      <c r="L42" s="141">
        <f t="shared" si="1"/>
        <v>21.774687499999995</v>
      </c>
      <c r="M42" s="141">
        <f t="shared" si="1"/>
        <v>35.968124999999993</v>
      </c>
      <c r="N42" s="141">
        <f t="shared" si="1"/>
        <v>144.10833333333332</v>
      </c>
      <c r="O42" s="141">
        <f t="shared" si="1"/>
        <v>0.35000000000000009</v>
      </c>
      <c r="P42" s="141">
        <f t="shared" si="1"/>
        <v>0.4789583333333336</v>
      </c>
      <c r="Q42" s="141">
        <f t="shared" si="1"/>
        <v>12.210416666666667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5.6516237426292051</v>
      </c>
      <c r="C43" s="141">
        <f t="shared" si="2"/>
        <v>7.3533750650364214</v>
      </c>
      <c r="D43" s="141">
        <f t="shared" si="2"/>
        <v>10.53321518383628</v>
      </c>
      <c r="E43" s="141">
        <f t="shared" si="2"/>
        <v>6.7406333463406192</v>
      </c>
      <c r="F43" s="141">
        <f t="shared" si="2"/>
        <v>3.9321205693815982</v>
      </c>
      <c r="G43" s="141">
        <f t="shared" si="2"/>
        <v>45.784941104537808</v>
      </c>
      <c r="H43" s="141">
        <f t="shared" si="2"/>
        <v>17.930804477758542</v>
      </c>
      <c r="I43" s="141">
        <f t="shared" si="2"/>
        <v>6.3849137932060991</v>
      </c>
      <c r="J43" s="141">
        <f t="shared" si="2"/>
        <v>0.29253631892015564</v>
      </c>
      <c r="K43" s="141">
        <f t="shared" si="2"/>
        <v>124.75183717970717</v>
      </c>
      <c r="L43" s="141">
        <f t="shared" si="2"/>
        <v>14.531984314230149</v>
      </c>
      <c r="M43" s="141">
        <f t="shared" si="2"/>
        <v>16.462395332875776</v>
      </c>
      <c r="N43" s="141">
        <f t="shared" si="2"/>
        <v>86.742481697552037</v>
      </c>
      <c r="O43" s="141">
        <f t="shared" si="2"/>
        <v>4.1733870967741941E-2</v>
      </c>
      <c r="P43" s="141">
        <f t="shared" si="2"/>
        <v>0.35098368508350503</v>
      </c>
      <c r="Q43" s="141">
        <f t="shared" si="2"/>
        <v>9.9644768903919587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1.7257239254892325</v>
      </c>
      <c r="C44" s="141">
        <f t="shared" si="3"/>
        <v>1.1986344969960028</v>
      </c>
      <c r="D44" s="141">
        <f t="shared" si="3"/>
        <v>3.7826419478279325</v>
      </c>
      <c r="E44" s="141">
        <f t="shared" si="3"/>
        <v>3.7013222546252793</v>
      </c>
      <c r="F44" s="141">
        <f t="shared" si="3"/>
        <v>2.8556545246392986</v>
      </c>
      <c r="G44" s="141">
        <f t="shared" si="3"/>
        <v>18.010588793059149</v>
      </c>
      <c r="H44" s="141">
        <f t="shared" si="3"/>
        <v>8.5900928486198751</v>
      </c>
      <c r="I44" s="141">
        <f t="shared" si="3"/>
        <v>1.3643924187626253</v>
      </c>
      <c r="J44" s="141">
        <f t="shared" si="3"/>
        <v>9.8910954799330084E-2</v>
      </c>
      <c r="K44" s="141">
        <f t="shared" si="3"/>
        <v>56.858246305478431</v>
      </c>
      <c r="L44" s="141">
        <f t="shared" si="3"/>
        <v>3.5661755329163247</v>
      </c>
      <c r="M44" s="141">
        <f t="shared" si="3"/>
        <v>9.3005854577792988</v>
      </c>
      <c r="N44" s="141">
        <f t="shared" si="3"/>
        <v>36.406070510464509</v>
      </c>
      <c r="O44" s="141">
        <f t="shared" si="3"/>
        <v>9.249700300288724E-2</v>
      </c>
      <c r="P44" s="141">
        <f t="shared" si="3"/>
        <v>7.4751393265825417E-2</v>
      </c>
      <c r="Q44" s="141">
        <f t="shared" si="3"/>
        <v>0.66339136837628621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41">
        <f>COUNT(F9:F39)+3</f>
        <v>29</v>
      </c>
      <c r="G45" s="132">
        <f t="shared" si="4"/>
        <v>31</v>
      </c>
      <c r="H45" s="132">
        <f t="shared" si="4"/>
        <v>31</v>
      </c>
      <c r="I45" s="132">
        <f t="shared" si="4"/>
        <v>30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3" t="s">
        <v>56</v>
      </c>
      <c r="C50" s="163"/>
      <c r="D50" s="16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zoomScale="85" zoomScaleNormal="85" workbookViewId="0">
      <selection activeCell="D2" sqref="D2:J2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239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68" t="s">
        <v>62</v>
      </c>
      <c r="H5" s="168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>
        <v>45936.480555555558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>
        <v>199.5</v>
      </c>
      <c r="I8" s="6">
        <v>0</v>
      </c>
      <c r="J8" s="83">
        <f>F8/H8</f>
        <v>1.0025062656641603</v>
      </c>
      <c r="K8" s="83">
        <f>(H8-F8)*100/F8</f>
        <v>-0.25</v>
      </c>
      <c r="L8" s="6" t="s">
        <v>80</v>
      </c>
      <c r="M8" s="103" t="s">
        <v>238</v>
      </c>
      <c r="O8" s="72">
        <v>45936.480555555558</v>
      </c>
      <c r="P8" s="100" t="s">
        <v>63</v>
      </c>
      <c r="Q8" s="100">
        <v>4640.96</v>
      </c>
      <c r="R8" s="100">
        <v>3548.98</v>
      </c>
      <c r="S8" s="100" t="s">
        <v>81</v>
      </c>
      <c r="T8" s="100">
        <v>873.98</v>
      </c>
      <c r="U8" s="117">
        <v>0.97550000000000003</v>
      </c>
      <c r="V8" s="117">
        <v>0.96440000000000003</v>
      </c>
      <c r="W8" s="6" t="s">
        <v>80</v>
      </c>
      <c r="X8" s="103" t="s">
        <v>238</v>
      </c>
    </row>
    <row r="9" spans="2:24" ht="15.75">
      <c r="B9" s="72">
        <v>45943.605555555558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>
        <v>182.36</v>
      </c>
      <c r="I9" s="6">
        <v>0</v>
      </c>
      <c r="J9" s="83">
        <f t="shared" ref="J9:J14" si="0">F9/H9</f>
        <v>1.0967317394165386</v>
      </c>
      <c r="K9" s="83">
        <f t="shared" ref="K9:K14" si="1">(H9-F9)*100/F9</f>
        <v>-8.8199999999999932</v>
      </c>
      <c r="L9" s="6" t="s">
        <v>80</v>
      </c>
      <c r="M9" s="103" t="s">
        <v>238</v>
      </c>
      <c r="O9" s="72">
        <v>45943.51458333333</v>
      </c>
      <c r="P9" s="100" t="s">
        <v>63</v>
      </c>
      <c r="Q9" s="100">
        <v>4454.96</v>
      </c>
      <c r="R9" s="100">
        <v>3411.11</v>
      </c>
      <c r="S9" s="100" t="s">
        <v>81</v>
      </c>
      <c r="T9" s="100">
        <v>861.4</v>
      </c>
      <c r="U9" s="117">
        <v>0.95220000000000005</v>
      </c>
      <c r="V9" s="117">
        <v>0.95509999999999995</v>
      </c>
      <c r="W9" s="6" t="s">
        <v>80</v>
      </c>
      <c r="X9" s="103" t="s">
        <v>238</v>
      </c>
    </row>
    <row r="10" spans="2:24" ht="15.75">
      <c r="B10" s="7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 t="s">
        <v>238</v>
      </c>
      <c r="O10" s="72"/>
      <c r="P10" s="100" t="s">
        <v>63</v>
      </c>
      <c r="Q10" s="100"/>
      <c r="R10" s="100"/>
      <c r="S10" s="100" t="s">
        <v>81</v>
      </c>
      <c r="T10" s="100"/>
      <c r="U10" s="117"/>
      <c r="V10" s="117"/>
      <c r="W10" s="6" t="s">
        <v>80</v>
      </c>
      <c r="X10" s="103" t="s">
        <v>238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 t="s">
        <v>238</v>
      </c>
      <c r="O11" s="72"/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238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 t="s">
        <v>238</v>
      </c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 t="s">
        <v>238</v>
      </c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 t="s">
        <v>238</v>
      </c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 t="s">
        <v>238</v>
      </c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 t="s">
        <v>238</v>
      </c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 t="s">
        <v>238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6" t="s">
        <v>82</v>
      </c>
      <c r="D21" s="166"/>
      <c r="E21" s="166"/>
      <c r="F21" s="166"/>
      <c r="G21" s="166"/>
      <c r="H21" s="166"/>
      <c r="I21" s="106">
        <f>COUNT(B8:B20)</f>
        <v>2</v>
      </c>
      <c r="J21" s="107"/>
      <c r="K21" s="107"/>
      <c r="L21" s="94"/>
      <c r="M21" s="108"/>
      <c r="O21" s="109"/>
      <c r="P21" s="169" t="s">
        <v>83</v>
      </c>
      <c r="Q21" s="169"/>
      <c r="R21" s="169"/>
      <c r="S21" s="169"/>
      <c r="T21" s="121">
        <f>COUNT(O8:O20)</f>
        <v>2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7" t="s">
        <v>84</v>
      </c>
      <c r="H24" s="167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>
        <v>45936.480555555558</v>
      </c>
      <c r="C27" s="6" t="s">
        <v>85</v>
      </c>
      <c r="D27" s="6" t="s">
        <v>39</v>
      </c>
      <c r="E27" s="6">
        <v>0</v>
      </c>
      <c r="F27" s="6">
        <v>200</v>
      </c>
      <c r="G27" s="6"/>
      <c r="H27" s="83">
        <v>201.1</v>
      </c>
      <c r="I27" s="6">
        <v>0</v>
      </c>
      <c r="J27" s="83">
        <f>F27/H27</f>
        <v>0.9945300845350572</v>
      </c>
      <c r="K27" s="83">
        <f>(H27-F27)*100/F27</f>
        <v>0.54999999999999716</v>
      </c>
      <c r="L27" s="6" t="s">
        <v>80</v>
      </c>
      <c r="M27" s="103" t="s">
        <v>238</v>
      </c>
      <c r="O27" s="72">
        <v>45936.480555555558</v>
      </c>
      <c r="P27" s="100" t="s">
        <v>29</v>
      </c>
      <c r="Q27" s="100">
        <v>5055.13</v>
      </c>
      <c r="R27" s="100">
        <v>3935.24</v>
      </c>
      <c r="S27" s="100" t="s">
        <v>86</v>
      </c>
      <c r="T27" s="100">
        <v>782.31</v>
      </c>
      <c r="U27" s="117">
        <v>0.93110000000000004</v>
      </c>
      <c r="V27" s="117">
        <v>0.93899999999999995</v>
      </c>
      <c r="W27" s="6" t="s">
        <v>80</v>
      </c>
      <c r="X27" s="103" t="s">
        <v>238</v>
      </c>
    </row>
    <row r="28" spans="2:24" ht="15.75">
      <c r="B28" s="72">
        <v>45943.625694444447</v>
      </c>
      <c r="C28" s="6" t="s">
        <v>85</v>
      </c>
      <c r="D28" s="6" t="s">
        <v>39</v>
      </c>
      <c r="E28" s="6">
        <v>0</v>
      </c>
      <c r="F28" s="6">
        <v>200</v>
      </c>
      <c r="G28" s="6"/>
      <c r="H28" s="83">
        <v>199.47</v>
      </c>
      <c r="I28" s="6">
        <v>0</v>
      </c>
      <c r="J28" s="83">
        <f t="shared" ref="J28:J33" si="2">F28/H28</f>
        <v>1.0026570411590716</v>
      </c>
      <c r="K28" s="83">
        <f t="shared" ref="K28:K33" si="3">(H28-F28)*100/F28</f>
        <v>-0.26500000000000057</v>
      </c>
      <c r="L28" s="6" t="s">
        <v>80</v>
      </c>
      <c r="M28" s="103" t="s">
        <v>238</v>
      </c>
      <c r="O28" s="72">
        <v>45943.513888888891</v>
      </c>
      <c r="P28" s="100" t="s">
        <v>29</v>
      </c>
      <c r="Q28" s="100">
        <v>4865.41</v>
      </c>
      <c r="R28" s="100">
        <v>3776.46</v>
      </c>
      <c r="S28" s="100" t="s">
        <v>86</v>
      </c>
      <c r="T28" s="100">
        <v>787.7</v>
      </c>
      <c r="U28" s="117">
        <v>0.91920000000000002</v>
      </c>
      <c r="V28" s="117">
        <v>0.92069999999999996</v>
      </c>
      <c r="W28" s="6" t="s">
        <v>80</v>
      </c>
      <c r="X28" s="103" t="s">
        <v>238</v>
      </c>
    </row>
    <row r="29" spans="2:24" ht="15.75">
      <c r="B29" s="72"/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 t="s">
        <v>238</v>
      </c>
      <c r="O29" s="72"/>
      <c r="P29" s="100" t="s">
        <v>29</v>
      </c>
      <c r="Q29" s="100"/>
      <c r="R29" s="100"/>
      <c r="S29" s="100" t="s">
        <v>86</v>
      </c>
      <c r="T29" s="100"/>
      <c r="U29" s="117"/>
      <c r="V29" s="117"/>
      <c r="W29" s="6" t="s">
        <v>80</v>
      </c>
      <c r="X29" s="103" t="s">
        <v>238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 t="s">
        <v>238</v>
      </c>
      <c r="O30" s="72"/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 t="s">
        <v>238</v>
      </c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 t="s">
        <v>238</v>
      </c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 t="s">
        <v>238</v>
      </c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 t="s">
        <v>238</v>
      </c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 t="s">
        <v>238</v>
      </c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 t="s">
        <v>238</v>
      </c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 t="s">
        <v>238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69" t="s">
        <v>87</v>
      </c>
      <c r="Q40" s="169"/>
      <c r="R40" s="169"/>
      <c r="S40" s="169"/>
      <c r="T40" s="121">
        <f>COUNT(O27:O39)</f>
        <v>2</v>
      </c>
      <c r="U40" s="122"/>
      <c r="V40" s="122"/>
      <c r="W40" s="123"/>
      <c r="X40" s="124"/>
    </row>
    <row r="41" spans="2:24">
      <c r="B41" s="87"/>
      <c r="C41" s="94"/>
      <c r="D41" s="166" t="s">
        <v>88</v>
      </c>
      <c r="E41" s="166"/>
      <c r="F41" s="166"/>
      <c r="G41" s="166"/>
      <c r="H41" s="166"/>
      <c r="I41" s="166"/>
      <c r="J41" s="113">
        <f>COUNT(B27:B39)</f>
        <v>2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7" t="s">
        <v>38</v>
      </c>
      <c r="H44" s="167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 t="s">
        <v>238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 t="s">
        <v>238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 t="s">
        <v>238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 t="s">
        <v>238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 t="s">
        <v>238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238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238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6" t="s">
        <v>89</v>
      </c>
      <c r="E61" s="166"/>
      <c r="F61" s="166"/>
      <c r="G61" s="166"/>
      <c r="H61" s="166"/>
      <c r="I61" s="166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7" t="s">
        <v>37</v>
      </c>
      <c r="H64" s="167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>
        <v>45936.480555555558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4.9000000000000004</v>
      </c>
      <c r="I67" s="6">
        <v>0</v>
      </c>
      <c r="J67" s="83">
        <f>F67/H67</f>
        <v>1.0204081632653061</v>
      </c>
      <c r="K67" s="83">
        <f>(H67-F67)*100/F67</f>
        <v>-1.9999999999999929</v>
      </c>
      <c r="L67" s="6" t="s">
        <v>80</v>
      </c>
      <c r="M67" s="103" t="s">
        <v>238</v>
      </c>
    </row>
    <row r="68" spans="2:13" ht="15.75">
      <c r="B68" s="72">
        <v>45943.625694444447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4.5</v>
      </c>
      <c r="I68" s="6">
        <v>0</v>
      </c>
      <c r="J68" s="83">
        <f t="shared" ref="J68:J73" si="4">F68/H68</f>
        <v>1.1111111111111112</v>
      </c>
      <c r="K68" s="83">
        <f t="shared" ref="K68:K73" si="5">(H68-F68)*100/F68</f>
        <v>-10</v>
      </c>
      <c r="L68" s="6" t="s">
        <v>80</v>
      </c>
      <c r="M68" s="103" t="s">
        <v>238</v>
      </c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80</v>
      </c>
      <c r="M69" s="103" t="s">
        <v>238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 t="s">
        <v>238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 t="s">
        <v>238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 t="s">
        <v>238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 t="s">
        <v>238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6" t="s">
        <v>90</v>
      </c>
      <c r="E81" s="166"/>
      <c r="F81" s="166"/>
      <c r="G81" s="166"/>
      <c r="H81" s="166"/>
      <c r="I81" s="166"/>
      <c r="J81" s="113">
        <f>COUNT(B67:B79)</f>
        <v>2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7" t="s">
        <v>91</v>
      </c>
      <c r="H84" s="167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 t="s">
        <v>238</v>
      </c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 t="s">
        <v>238</v>
      </c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 t="s">
        <v>238</v>
      </c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 t="s">
        <v>238</v>
      </c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 t="s">
        <v>238</v>
      </c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 t="s">
        <v>238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238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6" t="s">
        <v>92</v>
      </c>
      <c r="E101" s="166"/>
      <c r="F101" s="166"/>
      <c r="G101" s="166"/>
      <c r="H101" s="166"/>
      <c r="I101" s="166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68" t="s">
        <v>93</v>
      </c>
      <c r="H104" s="168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>
        <v>45936.480555555558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83">
        <v>329.1</v>
      </c>
      <c r="I107" s="6">
        <f>G107-E107</f>
        <v>0</v>
      </c>
      <c r="J107" s="83">
        <f>F107/H107</f>
        <v>0.9723488301428137</v>
      </c>
      <c r="K107" s="83">
        <f>(H107-F107)*100/F107</f>
        <v>2.8437500000000071</v>
      </c>
      <c r="L107" s="6" t="s">
        <v>80</v>
      </c>
      <c r="M107" s="103" t="s">
        <v>238</v>
      </c>
    </row>
    <row r="108" spans="2:13" ht="15.75">
      <c r="B108" s="72">
        <v>45943.625694444447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83">
        <v>326.10000000000002</v>
      </c>
      <c r="I108" s="6">
        <f>G108-E108</f>
        <v>0</v>
      </c>
      <c r="J108" s="83">
        <f>F108/H108</f>
        <v>0.98129408157007048</v>
      </c>
      <c r="K108" s="83">
        <f>(H108-F108)*100/F108</f>
        <v>1.9062500000000071</v>
      </c>
      <c r="L108" s="6" t="s">
        <v>80</v>
      </c>
      <c r="M108" s="103" t="s">
        <v>238</v>
      </c>
    </row>
    <row r="109" spans="2:13" ht="15.75">
      <c r="B109" s="7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80</v>
      </c>
      <c r="M109" s="103" t="s">
        <v>238</v>
      </c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 t="s">
        <v>238</v>
      </c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 t="s">
        <v>238</v>
      </c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 t="s">
        <v>238</v>
      </c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 t="s">
        <v>238</v>
      </c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6" t="s">
        <v>94</v>
      </c>
      <c r="D119" s="166"/>
      <c r="E119" s="166"/>
      <c r="F119" s="166"/>
      <c r="G119" s="166"/>
      <c r="H119" s="166"/>
      <c r="I119" s="113">
        <f>COUNT(B107:B118)</f>
        <v>2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5" t="s">
        <v>95</v>
      </c>
      <c r="C2" s="175"/>
      <c r="D2" s="177" t="str">
        <f>'MONTHLY 31'!$B$2</f>
        <v>01/10/2025 00:15</v>
      </c>
      <c r="E2" s="177"/>
    </row>
    <row r="3" spans="2:5">
      <c r="B3" s="175" t="s">
        <v>96</v>
      </c>
      <c r="C3" s="175"/>
      <c r="D3" s="177"/>
      <c r="E3" s="177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6" t="s">
        <v>100</v>
      </c>
      <c r="C44" s="176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8" t="s">
        <v>101</v>
      </c>
      <c r="C2" s="178"/>
      <c r="D2" s="178"/>
      <c r="E2" s="178"/>
      <c r="F2" s="179">
        <v>1</v>
      </c>
      <c r="G2" s="180"/>
      <c r="H2" s="180"/>
    </row>
    <row r="3" spans="2:24" customFormat="1" ht="15" customHeight="1">
      <c r="B3" s="178"/>
      <c r="C3" s="178"/>
      <c r="D3" s="178"/>
      <c r="E3" s="178"/>
      <c r="F3" s="180"/>
      <c r="G3" s="180"/>
      <c r="H3" s="180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3" t="s">
        <v>93</v>
      </c>
      <c r="C12" s="194" t="s">
        <v>102</v>
      </c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40"/>
      <c r="U12" s="39"/>
    </row>
    <row r="13" spans="2:24" ht="15" customHeight="1">
      <c r="B13" s="184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4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4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4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4"/>
      <c r="C17" s="10"/>
      <c r="P17" s="1"/>
      <c r="Q17" s="1"/>
      <c r="R17" s="45"/>
      <c r="X17" s="42"/>
    </row>
    <row r="18" spans="2:28" ht="15.75" customHeight="1">
      <c r="B18" s="184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5" t="s">
        <v>84</v>
      </c>
      <c r="C25" s="196" t="s">
        <v>102</v>
      </c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81"/>
      <c r="S25" s="49"/>
      <c r="T25" s="50"/>
    </row>
    <row r="26" spans="2:28" ht="15" customHeight="1">
      <c r="B26" s="185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6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7" t="s">
        <v>37</v>
      </c>
      <c r="C36" s="198" t="s">
        <v>102</v>
      </c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9"/>
    </row>
    <row r="37" spans="2:25" ht="15.75" customHeight="1">
      <c r="B37" s="188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88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8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8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9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0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0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0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5" t="s">
        <v>196</v>
      </c>
      <c r="C61" s="196" t="s">
        <v>102</v>
      </c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81"/>
      <c r="S61" s="57"/>
      <c r="T61" s="58"/>
    </row>
    <row r="62" spans="2:20" ht="15.75">
      <c r="B62" s="185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1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6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5" t="s">
        <v>213</v>
      </c>
      <c r="C69" s="196" t="s">
        <v>102</v>
      </c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81"/>
      <c r="S69" s="57"/>
      <c r="T69" s="58"/>
    </row>
    <row r="70" spans="2:20" ht="15.75">
      <c r="B70" s="185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6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2" t="s">
        <v>91</v>
      </c>
      <c r="C77" s="181" t="s">
        <v>102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61"/>
      <c r="S77" s="61"/>
      <c r="T77" s="13"/>
    </row>
    <row r="78" spans="2:20">
      <c r="B78" s="193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3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3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3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3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2026-01-09T16:14:04Z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