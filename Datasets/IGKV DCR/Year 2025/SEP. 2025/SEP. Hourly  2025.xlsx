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\Desktop\IGKB DCR\Year 2025\SEP. 2025\"/>
    </mc:Choice>
  </mc:AlternateContent>
  <xr:revisionPtr revIDLastSave="0" documentId="13_ncr:1_{271A0FAD-7D70-446B-9D31-5C65C99B0464}" xr6:coauthVersionLast="47" xr6:coauthVersionMax="47" xr10:uidLastSave="{00000000-0000-0000-0000-000000000000}"/>
  <bookViews>
    <workbookView xWindow="-120" yWindow="-120" windowWidth="20730" windowHeight="11040" tabRatio="913" firstSheet="6" activeTab="31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31" sheetId="41" r:id="rId31"/>
    <sheet name="MONTHLY 31" sheetId="39" r:id="rId32"/>
  </sheets>
  <calcPr calcId="191029"/>
</workbook>
</file>

<file path=xl/calcChain.xml><?xml version="1.0" encoding="utf-8"?>
<calcChain xmlns="http://schemas.openxmlformats.org/spreadsheetml/2006/main">
  <c r="K44" i="39" l="1"/>
  <c r="L44" i="39"/>
  <c r="M44" i="39"/>
  <c r="N44" i="39"/>
  <c r="O44" i="39"/>
  <c r="J44" i="39"/>
  <c r="L38" i="28"/>
  <c r="K38" i="28"/>
  <c r="L40" i="28"/>
  <c r="M38" i="28"/>
  <c r="N38" i="28"/>
  <c r="O38" i="28"/>
  <c r="O40" i="28" s="1"/>
  <c r="J38" i="28"/>
  <c r="H38" i="28"/>
  <c r="G38" i="28"/>
  <c r="K38" i="25"/>
  <c r="L38" i="25"/>
  <c r="L40" i="25" s="1"/>
  <c r="M38" i="25"/>
  <c r="N38" i="25"/>
  <c r="O38" i="25"/>
  <c r="J38" i="25"/>
  <c r="K38" i="24"/>
  <c r="L38" i="24"/>
  <c r="M38" i="24"/>
  <c r="N38" i="24"/>
  <c r="O38" i="24"/>
  <c r="J38" i="24"/>
  <c r="K38" i="23"/>
  <c r="L38" i="23"/>
  <c r="M38" i="23"/>
  <c r="N38" i="23"/>
  <c r="O38" i="23"/>
  <c r="O40" i="23" s="1"/>
  <c r="J38" i="23"/>
  <c r="K38" i="22"/>
  <c r="L38" i="22"/>
  <c r="M38" i="22"/>
  <c r="N38" i="22"/>
  <c r="O38" i="22"/>
  <c r="J38" i="22"/>
  <c r="O38" i="39"/>
  <c r="C16" i="39"/>
  <c r="L40" i="41"/>
  <c r="L39" i="41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40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O40" i="40"/>
  <c r="M40" i="40"/>
  <c r="O39" i="40"/>
  <c r="M39" i="40"/>
  <c r="I39" i="40"/>
  <c r="H39" i="40"/>
  <c r="F39" i="40"/>
  <c r="C39" i="40"/>
  <c r="Q38" i="40"/>
  <c r="Q39" i="40" s="1"/>
  <c r="P38" i="40"/>
  <c r="P40" i="40" s="1"/>
  <c r="O38" i="40"/>
  <c r="N38" i="40"/>
  <c r="N40" i="40" s="1"/>
  <c r="M38" i="40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40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8" i="39" s="1"/>
  <c r="P36" i="40"/>
  <c r="P38" i="39" s="1"/>
  <c r="O36" i="40"/>
  <c r="N36" i="40"/>
  <c r="N38" i="39" s="1"/>
  <c r="M36" i="40"/>
  <c r="M38" i="39" s="1"/>
  <c r="L36" i="40"/>
  <c r="L38" i="39" s="1"/>
  <c r="K36" i="40"/>
  <c r="K38" i="39" s="1"/>
  <c r="J36" i="40"/>
  <c r="J38" i="39" s="1"/>
  <c r="I36" i="40"/>
  <c r="I38" i="39" s="1"/>
  <c r="H36" i="40"/>
  <c r="H38" i="39" s="1"/>
  <c r="G36" i="40"/>
  <c r="G38" i="39" s="1"/>
  <c r="F36" i="40"/>
  <c r="F38" i="39" s="1"/>
  <c r="E36" i="40"/>
  <c r="E38" i="39" s="1"/>
  <c r="D36" i="40"/>
  <c r="D38" i="39" s="1"/>
  <c r="C36" i="40"/>
  <c r="C38" i="39" s="1"/>
  <c r="B36" i="40"/>
  <c r="B38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8" i="39" s="1"/>
  <c r="P39" i="43"/>
  <c r="I39" i="43"/>
  <c r="Q38" i="43"/>
  <c r="Q40" i="43" s="1"/>
  <c r="P38" i="43"/>
  <c r="P40" i="43" s="1"/>
  <c r="O38" i="43"/>
  <c r="O40" i="43" s="1"/>
  <c r="N38" i="43"/>
  <c r="N40" i="43" s="1"/>
  <c r="M38" i="43"/>
  <c r="M40" i="43" s="1"/>
  <c r="L38" i="43"/>
  <c r="L40" i="43" s="1"/>
  <c r="K38" i="43"/>
  <c r="K40" i="43" s="1"/>
  <c r="J38" i="43"/>
  <c r="J40" i="43" s="1"/>
  <c r="I38" i="43"/>
  <c r="I40" i="43" s="1"/>
  <c r="H38" i="43"/>
  <c r="H40" i="43" s="1"/>
  <c r="G38" i="43"/>
  <c r="G40" i="43" s="1"/>
  <c r="F38" i="43"/>
  <c r="F40" i="43" s="1"/>
  <c r="E38" i="43"/>
  <c r="E40" i="43" s="1"/>
  <c r="D38" i="43"/>
  <c r="D39" i="43" s="1"/>
  <c r="C38" i="43"/>
  <c r="C40" i="43" s="1"/>
  <c r="B38" i="43"/>
  <c r="B39" i="43" s="1"/>
  <c r="Q37" i="43"/>
  <c r="P37" i="43"/>
  <c r="O37" i="43"/>
  <c r="N37" i="43"/>
  <c r="M37" i="43"/>
  <c r="L37" i="43"/>
  <c r="K37" i="43"/>
  <c r="J37" i="43"/>
  <c r="I37" i="43"/>
  <c r="H37" i="43"/>
  <c r="G37" i="43"/>
  <c r="F37" i="43"/>
  <c r="E37" i="43"/>
  <c r="D37" i="43"/>
  <c r="C37" i="43"/>
  <c r="B37" i="43"/>
  <c r="Q36" i="43"/>
  <c r="Q37" i="39" s="1"/>
  <c r="P36" i="43"/>
  <c r="P37" i="39" s="1"/>
  <c r="O36" i="43"/>
  <c r="O37" i="39" s="1"/>
  <c r="N36" i="43"/>
  <c r="N37" i="39" s="1"/>
  <c r="M36" i="43"/>
  <c r="M37" i="39" s="1"/>
  <c r="L36" i="43"/>
  <c r="L37" i="39" s="1"/>
  <c r="K36" i="43"/>
  <c r="K37" i="39" s="1"/>
  <c r="J36" i="43"/>
  <c r="J37" i="39" s="1"/>
  <c r="I36" i="43"/>
  <c r="I37" i="39" s="1"/>
  <c r="H36" i="43"/>
  <c r="H37" i="39" s="1"/>
  <c r="G36" i="43"/>
  <c r="G37" i="39" s="1"/>
  <c r="F36" i="43"/>
  <c r="F37" i="39" s="1"/>
  <c r="E36" i="43"/>
  <c r="E37" i="39" s="1"/>
  <c r="D36" i="43"/>
  <c r="D37" i="39" s="1"/>
  <c r="C36" i="43"/>
  <c r="C37" i="39" s="1"/>
  <c r="B36" i="43"/>
  <c r="B37" i="39" s="1"/>
  <c r="Q35" i="43"/>
  <c r="P35" i="43"/>
  <c r="O35" i="43"/>
  <c r="N35" i="43"/>
  <c r="M35" i="43"/>
  <c r="L35" i="43"/>
  <c r="K35" i="43"/>
  <c r="J35" i="43"/>
  <c r="I35" i="43"/>
  <c r="H35" i="43"/>
  <c r="G35" i="43"/>
  <c r="F35" i="43"/>
  <c r="E35" i="43"/>
  <c r="D35" i="43"/>
  <c r="C35" i="43"/>
  <c r="B35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E34" i="43"/>
  <c r="D34" i="43"/>
  <c r="C34" i="43"/>
  <c r="B34" i="43"/>
  <c r="B2" i="43"/>
  <c r="A37" i="39" s="1"/>
  <c r="E40" i="33"/>
  <c r="C40" i="33"/>
  <c r="E39" i="33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39" i="33" s="1"/>
  <c r="H38" i="33"/>
  <c r="H39" i="33" s="1"/>
  <c r="G38" i="33"/>
  <c r="G40" i="33" s="1"/>
  <c r="F38" i="33"/>
  <c r="F39" i="33" s="1"/>
  <c r="E38" i="33"/>
  <c r="D38" i="33"/>
  <c r="D40" i="33" s="1"/>
  <c r="C38" i="33"/>
  <c r="C39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G40" i="32"/>
  <c r="D40" i="32"/>
  <c r="B40" i="32"/>
  <c r="J39" i="32"/>
  <c r="H39" i="32"/>
  <c r="D39" i="32"/>
  <c r="Q38" i="32"/>
  <c r="Q40" i="32" s="1"/>
  <c r="P38" i="32"/>
  <c r="P39" i="32" s="1"/>
  <c r="O38" i="32"/>
  <c r="O40" i="32" s="1"/>
  <c r="N38" i="32"/>
  <c r="N40" i="32" s="1"/>
  <c r="M38" i="32"/>
  <c r="M40" i="32" s="1"/>
  <c r="L38" i="32"/>
  <c r="L39" i="32" s="1"/>
  <c r="K38" i="32"/>
  <c r="K39" i="32" s="1"/>
  <c r="J38" i="32"/>
  <c r="J40" i="32" s="1"/>
  <c r="I38" i="32"/>
  <c r="I39" i="32" s="1"/>
  <c r="H38" i="32"/>
  <c r="H40" i="32" s="1"/>
  <c r="G38" i="32"/>
  <c r="G39" i="32" s="1"/>
  <c r="F38" i="32"/>
  <c r="F39" i="32" s="1"/>
  <c r="E38" i="32"/>
  <c r="E40" i="32" s="1"/>
  <c r="D38" i="32"/>
  <c r="C38" i="32"/>
  <c r="C40" i="32" s="1"/>
  <c r="B38" i="32"/>
  <c r="B39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K40" i="31"/>
  <c r="I39" i="31"/>
  <c r="H39" i="31"/>
  <c r="Q38" i="31"/>
  <c r="Q39" i="31" s="1"/>
  <c r="P38" i="31"/>
  <c r="P40" i="31" s="1"/>
  <c r="O38" i="31"/>
  <c r="O40" i="31" s="1"/>
  <c r="N38" i="31"/>
  <c r="N40" i="31" s="1"/>
  <c r="M38" i="31"/>
  <c r="M39" i="31" s="1"/>
  <c r="L38" i="31"/>
  <c r="L40" i="31" s="1"/>
  <c r="K38" i="31"/>
  <c r="K39" i="31" s="1"/>
  <c r="J38" i="31"/>
  <c r="J40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D40" i="30"/>
  <c r="B40" i="30"/>
  <c r="N39" i="30"/>
  <c r="D39" i="30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39" i="30" s="1"/>
  <c r="G38" i="30"/>
  <c r="G40" i="30" s="1"/>
  <c r="F38" i="30"/>
  <c r="F39" i="30" s="1"/>
  <c r="E38" i="30"/>
  <c r="E40" i="30" s="1"/>
  <c r="D38" i="30"/>
  <c r="C38" i="30"/>
  <c r="C40" i="30" s="1"/>
  <c r="B38" i="30"/>
  <c r="B39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N40" i="29"/>
  <c r="G40" i="29"/>
  <c r="F40" i="29"/>
  <c r="E40" i="29"/>
  <c r="N39" i="29"/>
  <c r="C39" i="29"/>
  <c r="Q38" i="29"/>
  <c r="Q40" i="29" s="1"/>
  <c r="P38" i="29"/>
  <c r="P39" i="29" s="1"/>
  <c r="O38" i="29"/>
  <c r="O39" i="29" s="1"/>
  <c r="N38" i="29"/>
  <c r="M38" i="29"/>
  <c r="M39" i="29" s="1"/>
  <c r="L38" i="29"/>
  <c r="L39" i="29" s="1"/>
  <c r="K38" i="29"/>
  <c r="K39" i="29" s="1"/>
  <c r="J38" i="29"/>
  <c r="J39" i="29" s="1"/>
  <c r="I38" i="29"/>
  <c r="I39" i="29" s="1"/>
  <c r="H38" i="29"/>
  <c r="H40" i="29" s="1"/>
  <c r="G38" i="29"/>
  <c r="G39" i="29" s="1"/>
  <c r="F38" i="29"/>
  <c r="F39" i="29" s="1"/>
  <c r="E38" i="29"/>
  <c r="E39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G40" i="28"/>
  <c r="F39" i="28"/>
  <c r="D39" i="28"/>
  <c r="Q38" i="28"/>
  <c r="Q40" i="28" s="1"/>
  <c r="P38" i="28"/>
  <c r="P40" i="28" s="1"/>
  <c r="N40" i="28"/>
  <c r="M40" i="28"/>
  <c r="K39" i="28"/>
  <c r="J39" i="28"/>
  <c r="I38" i="28"/>
  <c r="I40" i="28" s="1"/>
  <c r="H39" i="28"/>
  <c r="G39" i="28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H40" i="27"/>
  <c r="Q38" i="27"/>
  <c r="Q39" i="27" s="1"/>
  <c r="P38" i="27"/>
  <c r="P39" i="27" s="1"/>
  <c r="O38" i="27"/>
  <c r="O40" i="27" s="1"/>
  <c r="N38" i="27"/>
  <c r="N40" i="27" s="1"/>
  <c r="M38" i="27"/>
  <c r="M40" i="27" s="1"/>
  <c r="L38" i="27"/>
  <c r="L39" i="27" s="1"/>
  <c r="K38" i="27"/>
  <c r="K40" i="27" s="1"/>
  <c r="J38" i="27"/>
  <c r="J40" i="27" s="1"/>
  <c r="I38" i="27"/>
  <c r="I39" i="27" s="1"/>
  <c r="H38" i="27"/>
  <c r="H39" i="27" s="1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N36" i="27"/>
  <c r="M36" i="27"/>
  <c r="L36" i="27"/>
  <c r="K36" i="27"/>
  <c r="J36" i="27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Q38" i="26"/>
  <c r="Q40" i="26" s="1"/>
  <c r="P38" i="26"/>
  <c r="P40" i="26" s="1"/>
  <c r="O38" i="26"/>
  <c r="O40" i="26" s="1"/>
  <c r="N38" i="26"/>
  <c r="N40" i="26" s="1"/>
  <c r="M38" i="26"/>
  <c r="M39" i="26" s="1"/>
  <c r="L38" i="26"/>
  <c r="L39" i="26" s="1"/>
  <c r="K38" i="26"/>
  <c r="K40" i="26" s="1"/>
  <c r="J38" i="26"/>
  <c r="J39" i="26" s="1"/>
  <c r="I38" i="26"/>
  <c r="I40" i="26" s="1"/>
  <c r="H38" i="26"/>
  <c r="H40" i="26" s="1"/>
  <c r="G38" i="26"/>
  <c r="G40" i="26" s="1"/>
  <c r="F38" i="26"/>
  <c r="F40" i="26" s="1"/>
  <c r="E38" i="26"/>
  <c r="E40" i="26" s="1"/>
  <c r="D38" i="26"/>
  <c r="D40" i="26" s="1"/>
  <c r="C38" i="26"/>
  <c r="C39" i="26" s="1"/>
  <c r="B38" i="26"/>
  <c r="B39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N36" i="26"/>
  <c r="M36" i="26"/>
  <c r="L36" i="26"/>
  <c r="K36" i="26"/>
  <c r="J36" i="26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Q39" i="25"/>
  <c r="P39" i="25"/>
  <c r="Q38" i="25"/>
  <c r="Q40" i="25" s="1"/>
  <c r="P38" i="25"/>
  <c r="P40" i="25" s="1"/>
  <c r="O40" i="25"/>
  <c r="N40" i="25"/>
  <c r="M40" i="25"/>
  <c r="K39" i="25"/>
  <c r="J39" i="25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39" i="25" s="1"/>
  <c r="B38" i="25"/>
  <c r="B39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N36" i="25"/>
  <c r="M36" i="25"/>
  <c r="L36" i="25"/>
  <c r="K36" i="25"/>
  <c r="J36" i="25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P39" i="24"/>
  <c r="H39" i="24"/>
  <c r="Q38" i="24"/>
  <c r="Q40" i="24" s="1"/>
  <c r="P38" i="24"/>
  <c r="P40" i="24" s="1"/>
  <c r="O39" i="24"/>
  <c r="N39" i="24"/>
  <c r="M40" i="24"/>
  <c r="L39" i="24"/>
  <c r="K40" i="24"/>
  <c r="J39" i="24"/>
  <c r="I38" i="24"/>
  <c r="I40" i="24" s="1"/>
  <c r="H38" i="24"/>
  <c r="H40" i="24" s="1"/>
  <c r="G38" i="24"/>
  <c r="G40" i="24" s="1"/>
  <c r="F38" i="24"/>
  <c r="F40" i="24" s="1"/>
  <c r="E38" i="24"/>
  <c r="E39" i="24" s="1"/>
  <c r="D38" i="24"/>
  <c r="D39" i="24" s="1"/>
  <c r="C38" i="24"/>
  <c r="C39" i="24" s="1"/>
  <c r="B38" i="24"/>
  <c r="B39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N36" i="24"/>
  <c r="M36" i="24"/>
  <c r="L36" i="24"/>
  <c r="K36" i="24"/>
  <c r="J36" i="24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Q38" i="23"/>
  <c r="Q40" i="23" s="1"/>
  <c r="P38" i="23"/>
  <c r="P40" i="23" s="1"/>
  <c r="N40" i="23"/>
  <c r="M40" i="23"/>
  <c r="L40" i="23"/>
  <c r="K40" i="23"/>
  <c r="J40" i="23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39" i="23" s="1"/>
  <c r="C38" i="23"/>
  <c r="C39" i="23" s="1"/>
  <c r="B38" i="23"/>
  <c r="B39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N36" i="23"/>
  <c r="M36" i="23"/>
  <c r="L36" i="23"/>
  <c r="K36" i="23"/>
  <c r="J36" i="23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M40" i="22"/>
  <c r="L40" i="22"/>
  <c r="N39" i="22"/>
  <c r="Q38" i="22"/>
  <c r="Q39" i="22" s="1"/>
  <c r="P38" i="22"/>
  <c r="P39" i="22" s="1"/>
  <c r="O40" i="22"/>
  <c r="N40" i="22"/>
  <c r="M39" i="22"/>
  <c r="L39" i="22"/>
  <c r="K40" i="22"/>
  <c r="J39" i="22"/>
  <c r="I38" i="22"/>
  <c r="I40" i="22" s="1"/>
  <c r="H38" i="22"/>
  <c r="H40" i="22" s="1"/>
  <c r="G38" i="22"/>
  <c r="G39" i="22" s="1"/>
  <c r="F38" i="22"/>
  <c r="F39" i="22" s="1"/>
  <c r="E38" i="22"/>
  <c r="E39" i="22" s="1"/>
  <c r="D38" i="22"/>
  <c r="D39" i="22" s="1"/>
  <c r="C38" i="22"/>
  <c r="C39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H40" i="21"/>
  <c r="E40" i="21"/>
  <c r="B40" i="21"/>
  <c r="Q38" i="21"/>
  <c r="Q39" i="21" s="1"/>
  <c r="P38" i="21"/>
  <c r="P40" i="21" s="1"/>
  <c r="O38" i="21"/>
  <c r="O40" i="21" s="1"/>
  <c r="N38" i="21"/>
  <c r="N40" i="21" s="1"/>
  <c r="M38" i="21"/>
  <c r="M39" i="21" s="1"/>
  <c r="L38" i="21"/>
  <c r="L40" i="21" s="1"/>
  <c r="K38" i="21"/>
  <c r="K39" i="21" s="1"/>
  <c r="J38" i="21"/>
  <c r="J39" i="21" s="1"/>
  <c r="I38" i="21"/>
  <c r="I39" i="21" s="1"/>
  <c r="H38" i="21"/>
  <c r="H39" i="21" s="1"/>
  <c r="G38" i="21"/>
  <c r="G39" i="21" s="1"/>
  <c r="F38" i="21"/>
  <c r="F39" i="21" s="1"/>
  <c r="E38" i="21"/>
  <c r="E39" i="21" s="1"/>
  <c r="D38" i="21"/>
  <c r="D39" i="21" s="1"/>
  <c r="C38" i="21"/>
  <c r="C39" i="21" s="1"/>
  <c r="B38" i="21"/>
  <c r="B39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A24" i="39" s="1"/>
  <c r="B40" i="20"/>
  <c r="Q38" i="20"/>
  <c r="Q40" i="20" s="1"/>
  <c r="P38" i="20"/>
  <c r="P39" i="20" s="1"/>
  <c r="O38" i="20"/>
  <c r="O40" i="20" s="1"/>
  <c r="N38" i="20"/>
  <c r="N40" i="20" s="1"/>
  <c r="M38" i="20"/>
  <c r="M40" i="20" s="1"/>
  <c r="L38" i="20"/>
  <c r="L39" i="20" s="1"/>
  <c r="K38" i="20"/>
  <c r="K40" i="20" s="1"/>
  <c r="J38" i="20"/>
  <c r="J40" i="20" s="1"/>
  <c r="I38" i="20"/>
  <c r="I39" i="20" s="1"/>
  <c r="H38" i="20"/>
  <c r="H39" i="20" s="1"/>
  <c r="G38" i="20"/>
  <c r="G39" i="20" s="1"/>
  <c r="F38" i="20"/>
  <c r="F39" i="20" s="1"/>
  <c r="E38" i="20"/>
  <c r="E39" i="20" s="1"/>
  <c r="D38" i="20"/>
  <c r="D39" i="20" s="1"/>
  <c r="C38" i="20"/>
  <c r="C39" i="20" s="1"/>
  <c r="B38" i="20"/>
  <c r="B39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2" i="20"/>
  <c r="A23" i="39" s="1"/>
  <c r="K39" i="19"/>
  <c r="I39" i="19"/>
  <c r="Q38" i="19"/>
  <c r="Q40" i="19" s="1"/>
  <c r="P38" i="19"/>
  <c r="P40" i="19" s="1"/>
  <c r="O38" i="19"/>
  <c r="O40" i="19" s="1"/>
  <c r="N38" i="19"/>
  <c r="N40" i="19" s="1"/>
  <c r="M38" i="19"/>
  <c r="M39" i="19" s="1"/>
  <c r="L38" i="19"/>
  <c r="L40" i="19" s="1"/>
  <c r="K38" i="19"/>
  <c r="K40" i="19" s="1"/>
  <c r="J38" i="19"/>
  <c r="J39" i="19" s="1"/>
  <c r="I38" i="19"/>
  <c r="I40" i="19" s="1"/>
  <c r="H38" i="19"/>
  <c r="H40" i="19" s="1"/>
  <c r="G38" i="19"/>
  <c r="G39" i="19" s="1"/>
  <c r="F38" i="19"/>
  <c r="F39" i="19" s="1"/>
  <c r="E38" i="19"/>
  <c r="E39" i="19" s="1"/>
  <c r="D38" i="19"/>
  <c r="D39" i="19" s="1"/>
  <c r="C38" i="19"/>
  <c r="C39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N40" i="18"/>
  <c r="K40" i="18"/>
  <c r="J40" i="18"/>
  <c r="M39" i="18"/>
  <c r="L39" i="18"/>
  <c r="K39" i="18"/>
  <c r="E39" i="18"/>
  <c r="Q38" i="18"/>
  <c r="Q39" i="18" s="1"/>
  <c r="P38" i="18"/>
  <c r="P39" i="18" s="1"/>
  <c r="O38" i="18"/>
  <c r="O40" i="18" s="1"/>
  <c r="N38" i="18"/>
  <c r="N39" i="18" s="1"/>
  <c r="M38" i="18"/>
  <c r="M40" i="18" s="1"/>
  <c r="L38" i="18"/>
  <c r="L40" i="18" s="1"/>
  <c r="K38" i="18"/>
  <c r="J38" i="18"/>
  <c r="J39" i="18" s="1"/>
  <c r="I38" i="18"/>
  <c r="I40" i="18" s="1"/>
  <c r="H38" i="18"/>
  <c r="H39" i="18" s="1"/>
  <c r="G38" i="18"/>
  <c r="G39" i="18" s="1"/>
  <c r="F38" i="18"/>
  <c r="F40" i="18" s="1"/>
  <c r="E38" i="18"/>
  <c r="E40" i="18" s="1"/>
  <c r="D38" i="18"/>
  <c r="D39" i="18" s="1"/>
  <c r="C38" i="18"/>
  <c r="C40" i="18" s="1"/>
  <c r="B38" i="18"/>
  <c r="B39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E40" i="17"/>
  <c r="C40" i="17"/>
  <c r="F39" i="17"/>
  <c r="Q38" i="17"/>
  <c r="Q39" i="17" s="1"/>
  <c r="P38" i="17"/>
  <c r="P40" i="17" s="1"/>
  <c r="O38" i="17"/>
  <c r="O40" i="17" s="1"/>
  <c r="N38" i="17"/>
  <c r="N39" i="17" s="1"/>
  <c r="M38" i="17"/>
  <c r="M39" i="17" s="1"/>
  <c r="L38" i="17"/>
  <c r="L39" i="17" s="1"/>
  <c r="K38" i="17"/>
  <c r="K39" i="17" s="1"/>
  <c r="J38" i="17"/>
  <c r="J39" i="17" s="1"/>
  <c r="I38" i="17"/>
  <c r="I39" i="17" s="1"/>
  <c r="H38" i="17"/>
  <c r="H39" i="17" s="1"/>
  <c r="G38" i="17"/>
  <c r="G39" i="17" s="1"/>
  <c r="F38" i="17"/>
  <c r="F40" i="17" s="1"/>
  <c r="E38" i="17"/>
  <c r="E39" i="17" s="1"/>
  <c r="D38" i="17"/>
  <c r="D40" i="17" s="1"/>
  <c r="C38" i="17"/>
  <c r="C39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J40" i="16"/>
  <c r="G40" i="16"/>
  <c r="F40" i="16"/>
  <c r="C40" i="16"/>
  <c r="Q38" i="16"/>
  <c r="Q40" i="16" s="1"/>
  <c r="P38" i="16"/>
  <c r="P40" i="16" s="1"/>
  <c r="O38" i="16"/>
  <c r="O40" i="16" s="1"/>
  <c r="N38" i="16"/>
  <c r="N39" i="16" s="1"/>
  <c r="M38" i="16"/>
  <c r="M39" i="16" s="1"/>
  <c r="L38" i="16"/>
  <c r="L39" i="16" s="1"/>
  <c r="K38" i="16"/>
  <c r="K39" i="16" s="1"/>
  <c r="J38" i="16"/>
  <c r="J39" i="16" s="1"/>
  <c r="I38" i="16"/>
  <c r="I39" i="16" s="1"/>
  <c r="H38" i="16"/>
  <c r="H39" i="16" s="1"/>
  <c r="G38" i="16"/>
  <c r="G39" i="16" s="1"/>
  <c r="F38" i="16"/>
  <c r="F39" i="16" s="1"/>
  <c r="E38" i="16"/>
  <c r="E40" i="16" s="1"/>
  <c r="D38" i="16"/>
  <c r="D39" i="16" s="1"/>
  <c r="C38" i="16"/>
  <c r="C39" i="16" s="1"/>
  <c r="B38" i="16"/>
  <c r="B39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Q40" i="15"/>
  <c r="P40" i="15"/>
  <c r="L40" i="15"/>
  <c r="F40" i="15"/>
  <c r="P39" i="15"/>
  <c r="M39" i="15"/>
  <c r="L39" i="15"/>
  <c r="F39" i="15"/>
  <c r="C39" i="15"/>
  <c r="Q38" i="15"/>
  <c r="Q39" i="15" s="1"/>
  <c r="P38" i="15"/>
  <c r="O38" i="15"/>
  <c r="O40" i="15" s="1"/>
  <c r="N38" i="15"/>
  <c r="N39" i="15" s="1"/>
  <c r="M38" i="15"/>
  <c r="M40" i="15" s="1"/>
  <c r="L38" i="15"/>
  <c r="K38" i="15"/>
  <c r="K40" i="15" s="1"/>
  <c r="J38" i="15"/>
  <c r="J39" i="15" s="1"/>
  <c r="I38" i="15"/>
  <c r="I39" i="15" s="1"/>
  <c r="H38" i="15"/>
  <c r="H39" i="15" s="1"/>
  <c r="G38" i="15"/>
  <c r="G39" i="15" s="1"/>
  <c r="F38" i="15"/>
  <c r="E38" i="15"/>
  <c r="E39" i="15" s="1"/>
  <c r="D38" i="15"/>
  <c r="D39" i="15" s="1"/>
  <c r="C38" i="15"/>
  <c r="C40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K40" i="14"/>
  <c r="F40" i="14"/>
  <c r="E40" i="14"/>
  <c r="D40" i="14"/>
  <c r="D39" i="14"/>
  <c r="Q38" i="14"/>
  <c r="Q40" i="14" s="1"/>
  <c r="P38" i="14"/>
  <c r="P39" i="14" s="1"/>
  <c r="O38" i="14"/>
  <c r="O39" i="14" s="1"/>
  <c r="N38" i="14"/>
  <c r="N40" i="14" s="1"/>
  <c r="M38" i="14"/>
  <c r="M39" i="14" s="1"/>
  <c r="L38" i="14"/>
  <c r="L39" i="14" s="1"/>
  <c r="K38" i="14"/>
  <c r="K39" i="14" s="1"/>
  <c r="J38" i="14"/>
  <c r="J40" i="14" s="1"/>
  <c r="I38" i="14"/>
  <c r="I39" i="14" s="1"/>
  <c r="H38" i="14"/>
  <c r="H39" i="14" s="1"/>
  <c r="G38" i="14"/>
  <c r="G39" i="14" s="1"/>
  <c r="F38" i="14"/>
  <c r="F39" i="14" s="1"/>
  <c r="E38" i="14"/>
  <c r="E39" i="14" s="1"/>
  <c r="D38" i="14"/>
  <c r="C38" i="14"/>
  <c r="B38" i="14"/>
  <c r="B39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39" i="13" s="1"/>
  <c r="P38" i="13"/>
  <c r="P40" i="13" s="1"/>
  <c r="O38" i="13"/>
  <c r="O39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F40" i="12" s="1"/>
  <c r="E38" i="12"/>
  <c r="E39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39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40" i="11" s="1"/>
  <c r="G38" i="11"/>
  <c r="G40" i="11" s="1"/>
  <c r="F38" i="11"/>
  <c r="F40" i="11" s="1"/>
  <c r="E38" i="11"/>
  <c r="E40" i="11" s="1"/>
  <c r="D38" i="11"/>
  <c r="D40" i="11" s="1"/>
  <c r="C38" i="11"/>
  <c r="C39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D39" i="10"/>
  <c r="Q38" i="10"/>
  <c r="Q39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38" i="9"/>
  <c r="H39" i="9" s="1"/>
  <c r="G38" i="9"/>
  <c r="G40" i="9" s="1"/>
  <c r="F38" i="9"/>
  <c r="F40" i="9" s="1"/>
  <c r="E38" i="9"/>
  <c r="E39" i="9" s="1"/>
  <c r="D38" i="9"/>
  <c r="D40" i="9" s="1"/>
  <c r="C38" i="9"/>
  <c r="C39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39" i="8" s="1"/>
  <c r="H38" i="8"/>
  <c r="H40" i="8" s="1"/>
  <c r="G38" i="8"/>
  <c r="G40" i="8" s="1"/>
  <c r="F38" i="8"/>
  <c r="F39" i="8" s="1"/>
  <c r="E38" i="8"/>
  <c r="E40" i="8" s="1"/>
  <c r="D38" i="8"/>
  <c r="D40" i="8" s="1"/>
  <c r="C38" i="8"/>
  <c r="C39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39" i="3" s="1"/>
  <c r="O38" i="3"/>
  <c r="O40" i="3" s="1"/>
  <c r="N38" i="3"/>
  <c r="N40" i="3" s="1"/>
  <c r="M38" i="3"/>
  <c r="M40" i="3" s="1"/>
  <c r="L38" i="3"/>
  <c r="L40" i="3" s="1"/>
  <c r="K38" i="3"/>
  <c r="K39" i="3" s="1"/>
  <c r="J38" i="3"/>
  <c r="J39" i="3" s="1"/>
  <c r="I38" i="3"/>
  <c r="I40" i="3" s="1"/>
  <c r="H38" i="3"/>
  <c r="H40" i="3" s="1"/>
  <c r="G38" i="3"/>
  <c r="G39" i="3" s="1"/>
  <c r="F38" i="3"/>
  <c r="F40" i="3" s="1"/>
  <c r="E38" i="3"/>
  <c r="E39" i="3" s="1"/>
  <c r="D38" i="3"/>
  <c r="D39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39" i="2" s="1"/>
  <c r="P38" i="2"/>
  <c r="P39" i="2" s="1"/>
  <c r="O38" i="2"/>
  <c r="O40" i="2" s="1"/>
  <c r="N38" i="2"/>
  <c r="N40" i="2" s="1"/>
  <c r="M38" i="2"/>
  <c r="M39" i="2" s="1"/>
  <c r="L38" i="2"/>
  <c r="L40" i="2" s="1"/>
  <c r="K38" i="2"/>
  <c r="K40" i="2" s="1"/>
  <c r="J38" i="2"/>
  <c r="J40" i="2" s="1"/>
  <c r="I38" i="2"/>
  <c r="I40" i="2" s="1"/>
  <c r="H38" i="2"/>
  <c r="H39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E39" i="43" l="1"/>
  <c r="N39" i="43"/>
  <c r="B40" i="43"/>
  <c r="Q39" i="33"/>
  <c r="F40" i="33"/>
  <c r="I40" i="33"/>
  <c r="J39" i="33"/>
  <c r="K39" i="33"/>
  <c r="F40" i="32"/>
  <c r="I40" i="32"/>
  <c r="K40" i="32"/>
  <c r="C39" i="31"/>
  <c r="G39" i="31"/>
  <c r="J39" i="31"/>
  <c r="L39" i="31"/>
  <c r="M40" i="31"/>
  <c r="I39" i="30"/>
  <c r="J39" i="30"/>
  <c r="L39" i="30"/>
  <c r="M39" i="30"/>
  <c r="I40" i="29"/>
  <c r="J40" i="29"/>
  <c r="K40" i="29"/>
  <c r="L40" i="29"/>
  <c r="M40" i="29"/>
  <c r="L39" i="28"/>
  <c r="M39" i="28"/>
  <c r="O39" i="28"/>
  <c r="P39" i="28"/>
  <c r="Q39" i="28"/>
  <c r="F39" i="26"/>
  <c r="H39" i="26"/>
  <c r="I39" i="26"/>
  <c r="N39" i="26"/>
  <c r="O39" i="26"/>
  <c r="Q39" i="26"/>
  <c r="B40" i="26"/>
  <c r="C40" i="26"/>
  <c r="L40" i="26"/>
  <c r="M39" i="27"/>
  <c r="N39" i="27"/>
  <c r="O39" i="27"/>
  <c r="P40" i="27"/>
  <c r="L40" i="27"/>
  <c r="I40" i="27"/>
  <c r="G39" i="27"/>
  <c r="K39" i="27"/>
  <c r="N39" i="25"/>
  <c r="O39" i="25"/>
  <c r="K39" i="24"/>
  <c r="O39" i="20"/>
  <c r="Q39" i="19"/>
  <c r="O39" i="17"/>
  <c r="M39" i="25"/>
  <c r="J40" i="25"/>
  <c r="K40" i="25"/>
  <c r="I39" i="25"/>
  <c r="Q39" i="24"/>
  <c r="C40" i="24"/>
  <c r="D40" i="24"/>
  <c r="E40" i="24"/>
  <c r="J40" i="24"/>
  <c r="N40" i="24"/>
  <c r="K39" i="23"/>
  <c r="L39" i="23"/>
  <c r="M39" i="23"/>
  <c r="O39" i="23"/>
  <c r="P39" i="23"/>
  <c r="Q39" i="23"/>
  <c r="B40" i="23"/>
  <c r="C40" i="23"/>
  <c r="J40" i="22"/>
  <c r="I39" i="22"/>
  <c r="C40" i="22"/>
  <c r="D40" i="22"/>
  <c r="F40" i="22"/>
  <c r="G40" i="22"/>
  <c r="D40" i="21"/>
  <c r="F40" i="21"/>
  <c r="G40" i="21"/>
  <c r="K40" i="21"/>
  <c r="Q40" i="21"/>
  <c r="N39" i="21"/>
  <c r="O39" i="21"/>
  <c r="N39" i="20"/>
  <c r="C40" i="20"/>
  <c r="D40" i="20"/>
  <c r="E40" i="20"/>
  <c r="H40" i="20"/>
  <c r="I40" i="20"/>
  <c r="L40" i="20"/>
  <c r="P40" i="20"/>
  <c r="H39" i="19"/>
  <c r="L39" i="19"/>
  <c r="O39" i="19"/>
  <c r="P39" i="19"/>
  <c r="D40" i="19"/>
  <c r="F40" i="19"/>
  <c r="J40" i="19"/>
  <c r="M40" i="19"/>
  <c r="B40" i="18"/>
  <c r="G40" i="18"/>
  <c r="H40" i="18"/>
  <c r="P40" i="18"/>
  <c r="F39" i="18"/>
  <c r="I39" i="18"/>
  <c r="G40" i="17"/>
  <c r="H40" i="17"/>
  <c r="I40" i="17"/>
  <c r="J40" i="17"/>
  <c r="K40" i="17"/>
  <c r="L40" i="17"/>
  <c r="N40" i="17"/>
  <c r="D40" i="16"/>
  <c r="H40" i="16"/>
  <c r="I40" i="16"/>
  <c r="M40" i="16"/>
  <c r="N40" i="16"/>
  <c r="O39" i="15"/>
  <c r="E40" i="15"/>
  <c r="G40" i="15"/>
  <c r="H40" i="15"/>
  <c r="I40" i="15"/>
  <c r="K39" i="15"/>
  <c r="G40" i="14"/>
  <c r="H40" i="14"/>
  <c r="L40" i="14"/>
  <c r="O40" i="14"/>
  <c r="P40" i="14"/>
  <c r="J39" i="14"/>
  <c r="N39" i="14"/>
  <c r="Q39" i="14"/>
  <c r="B40" i="14"/>
  <c r="O40" i="39"/>
  <c r="M41" i="39"/>
  <c r="J43" i="39"/>
  <c r="J42" i="39"/>
  <c r="J41" i="39"/>
  <c r="J40" i="39"/>
  <c r="L43" i="39"/>
  <c r="L42" i="39"/>
  <c r="L41" i="39"/>
  <c r="L40" i="39"/>
  <c r="D40" i="3"/>
  <c r="K39" i="20"/>
  <c r="F39" i="23"/>
  <c r="D39" i="25"/>
  <c r="N39" i="13"/>
  <c r="O39" i="16"/>
  <c r="F39" i="2"/>
  <c r="C40" i="9"/>
  <c r="P39" i="12"/>
  <c r="P39" i="16"/>
  <c r="B39" i="17"/>
  <c r="B39" i="27"/>
  <c r="G39" i="43"/>
  <c r="G44" i="39"/>
  <c r="G43" i="39"/>
  <c r="G42" i="39"/>
  <c r="G41" i="39"/>
  <c r="G40" i="39"/>
  <c r="G39" i="2"/>
  <c r="F39" i="3"/>
  <c r="E39" i="8"/>
  <c r="D39" i="9"/>
  <c r="C39" i="10"/>
  <c r="B39" i="11"/>
  <c r="Q39" i="12"/>
  <c r="P39" i="13"/>
  <c r="B40" i="16"/>
  <c r="B39" i="22"/>
  <c r="E40" i="22"/>
  <c r="I39" i="23"/>
  <c r="B40" i="24"/>
  <c r="G39" i="25"/>
  <c r="P39" i="26"/>
  <c r="E39" i="27"/>
  <c r="N39" i="28"/>
  <c r="K39" i="30"/>
  <c r="E39" i="31"/>
  <c r="O39" i="33"/>
  <c r="H39" i="43"/>
  <c r="D39" i="40"/>
  <c r="Q40" i="40"/>
  <c r="E44" i="39"/>
  <c r="E43" i="39"/>
  <c r="E42" i="39"/>
  <c r="E41" i="39"/>
  <c r="E40" i="39"/>
  <c r="Q40" i="10"/>
  <c r="E39" i="23"/>
  <c r="O40" i="13"/>
  <c r="C40" i="11"/>
  <c r="H39" i="3"/>
  <c r="G39" i="8"/>
  <c r="F39" i="9"/>
  <c r="E39" i="10"/>
  <c r="D39" i="11"/>
  <c r="C39" i="12"/>
  <c r="B39" i="13"/>
  <c r="D40" i="15"/>
  <c r="C40" i="21"/>
  <c r="Q40" i="31"/>
  <c r="J39" i="43"/>
  <c r="G39" i="40"/>
  <c r="O39" i="12"/>
  <c r="J39" i="20"/>
  <c r="I44" i="39"/>
  <c r="I43" i="39"/>
  <c r="I42" i="39"/>
  <c r="I41" i="39"/>
  <c r="I40" i="39"/>
  <c r="I39" i="2"/>
  <c r="J39" i="2"/>
  <c r="I39" i="3"/>
  <c r="H39" i="8"/>
  <c r="G39" i="9"/>
  <c r="F39" i="10"/>
  <c r="E39" i="11"/>
  <c r="D39" i="12"/>
  <c r="C39" i="13"/>
  <c r="N39" i="41"/>
  <c r="C40" i="8"/>
  <c r="F44" i="39"/>
  <c r="F43" i="39"/>
  <c r="F42" i="39"/>
  <c r="F41" i="39"/>
  <c r="F40" i="39"/>
  <c r="E40" i="3"/>
  <c r="D39" i="8"/>
  <c r="B39" i="10"/>
  <c r="H44" i="39"/>
  <c r="H43" i="39"/>
  <c r="H42" i="39"/>
  <c r="H41" i="39"/>
  <c r="H40" i="39"/>
  <c r="F40" i="8"/>
  <c r="B39" i="12"/>
  <c r="J40" i="3"/>
  <c r="I40" i="8"/>
  <c r="E40" i="12"/>
  <c r="D39" i="13"/>
  <c r="L39" i="2"/>
  <c r="I39" i="9"/>
  <c r="H39" i="10"/>
  <c r="G39" i="11"/>
  <c r="F39" i="12"/>
  <c r="E39" i="13"/>
  <c r="H40" i="33"/>
  <c r="H40" i="2"/>
  <c r="E40" i="9"/>
  <c r="Q40" i="13"/>
  <c r="E39" i="16"/>
  <c r="M40" i="2"/>
  <c r="L39" i="3"/>
  <c r="K39" i="8"/>
  <c r="J39" i="9"/>
  <c r="I39" i="10"/>
  <c r="H39" i="11"/>
  <c r="G39" i="12"/>
  <c r="F39" i="13"/>
  <c r="Q40" i="27"/>
  <c r="F40" i="30"/>
  <c r="L40" i="32"/>
  <c r="D40" i="43"/>
  <c r="M40" i="39"/>
  <c r="C40" i="14"/>
  <c r="C39" i="14"/>
  <c r="K40" i="3"/>
  <c r="J39" i="8"/>
  <c r="N43" i="39"/>
  <c r="N42" i="39"/>
  <c r="N41" i="39"/>
  <c r="N40" i="39"/>
  <c r="N39" i="2"/>
  <c r="M39" i="3"/>
  <c r="L39" i="8"/>
  <c r="K39" i="9"/>
  <c r="J39" i="10"/>
  <c r="I39" i="11"/>
  <c r="H39" i="12"/>
  <c r="G39" i="13"/>
  <c r="M40" i="17"/>
  <c r="Q40" i="18"/>
  <c r="C40" i="19"/>
  <c r="L40" i="24"/>
  <c r="J40" i="26"/>
  <c r="H40" i="28"/>
  <c r="O40" i="29"/>
  <c r="H40" i="30"/>
  <c r="P40" i="32"/>
  <c r="P40" i="11"/>
  <c r="O39" i="2"/>
  <c r="N39" i="3"/>
  <c r="M39" i="8"/>
  <c r="L39" i="9"/>
  <c r="K39" i="10"/>
  <c r="J39" i="11"/>
  <c r="I39" i="12"/>
  <c r="H39" i="13"/>
  <c r="I40" i="14"/>
  <c r="J40" i="15"/>
  <c r="K40" i="16"/>
  <c r="F40" i="20"/>
  <c r="I40" i="21"/>
  <c r="P40" i="22"/>
  <c r="J40" i="28"/>
  <c r="P40" i="29"/>
  <c r="E39" i="2"/>
  <c r="K43" i="39"/>
  <c r="K42" i="39"/>
  <c r="K41" i="39"/>
  <c r="K40" i="39"/>
  <c r="P40" i="2"/>
  <c r="O39" i="3"/>
  <c r="N39" i="8"/>
  <c r="M39" i="9"/>
  <c r="L39" i="10"/>
  <c r="K39" i="11"/>
  <c r="J39" i="12"/>
  <c r="I39" i="13"/>
  <c r="L40" i="16"/>
  <c r="E40" i="19"/>
  <c r="G40" i="20"/>
  <c r="J40" i="21"/>
  <c r="Q40" i="22"/>
  <c r="D40" i="23"/>
  <c r="O40" i="24"/>
  <c r="B40" i="25"/>
  <c r="M40" i="26"/>
  <c r="K40" i="28"/>
  <c r="O41" i="39"/>
  <c r="Q39" i="11"/>
  <c r="G40" i="3"/>
  <c r="H40" i="9"/>
  <c r="F39" i="11"/>
  <c r="O39" i="8"/>
  <c r="N39" i="9"/>
  <c r="M39" i="10"/>
  <c r="L39" i="11"/>
  <c r="K39" i="12"/>
  <c r="J39" i="13"/>
  <c r="Q40" i="17"/>
  <c r="C40" i="25"/>
  <c r="M42" i="39"/>
  <c r="B39" i="9"/>
  <c r="G39" i="10"/>
  <c r="Q40" i="2"/>
  <c r="B44" i="39"/>
  <c r="B43" i="39"/>
  <c r="B42" i="39"/>
  <c r="B41" i="39"/>
  <c r="B40" i="39"/>
  <c r="B39" i="2"/>
  <c r="Q39" i="3"/>
  <c r="P39" i="8"/>
  <c r="O39" i="9"/>
  <c r="N39" i="10"/>
  <c r="M39" i="11"/>
  <c r="L39" i="12"/>
  <c r="K39" i="13"/>
  <c r="D40" i="18"/>
  <c r="G40" i="19"/>
  <c r="M40" i="21"/>
  <c r="O42" i="39"/>
  <c r="K39" i="2"/>
  <c r="P40" i="3"/>
  <c r="C44" i="39"/>
  <c r="C43" i="39"/>
  <c r="C42" i="39"/>
  <c r="C41" i="39"/>
  <c r="C40" i="39"/>
  <c r="C39" i="2"/>
  <c r="B39" i="3"/>
  <c r="Q39" i="8"/>
  <c r="P39" i="9"/>
  <c r="O39" i="10"/>
  <c r="N39" i="11"/>
  <c r="M39" i="12"/>
  <c r="L39" i="13"/>
  <c r="M40" i="14"/>
  <c r="N40" i="15"/>
  <c r="M43" i="39"/>
  <c r="P44" i="39"/>
  <c r="P43" i="39"/>
  <c r="P42" i="39"/>
  <c r="P41" i="39"/>
  <c r="P40" i="39"/>
  <c r="Q44" i="39"/>
  <c r="Q43" i="39"/>
  <c r="Q42" i="39"/>
  <c r="Q41" i="39"/>
  <c r="Q40" i="39"/>
  <c r="D44" i="39"/>
  <c r="D43" i="39"/>
  <c r="D42" i="39"/>
  <c r="D41" i="39"/>
  <c r="D40" i="39"/>
  <c r="D39" i="2"/>
  <c r="C39" i="3"/>
  <c r="B39" i="8"/>
  <c r="Q39" i="9"/>
  <c r="P39" i="10"/>
  <c r="O39" i="11"/>
  <c r="N39" i="12"/>
  <c r="M39" i="13"/>
  <c r="O43" i="39"/>
  <c r="D39" i="17"/>
  <c r="C39" i="18"/>
  <c r="B39" i="19"/>
  <c r="Q39" i="20"/>
  <c r="P39" i="21"/>
  <c r="O39" i="22"/>
  <c r="N39" i="23"/>
  <c r="M39" i="24"/>
  <c r="L39" i="25"/>
  <c r="K39" i="26"/>
  <c r="J39" i="27"/>
  <c r="I39" i="28"/>
  <c r="H39" i="29"/>
  <c r="G39" i="30"/>
  <c r="F39" i="31"/>
  <c r="E39" i="32"/>
  <c r="D39" i="33"/>
  <c r="C39" i="43"/>
  <c r="B39" i="40"/>
  <c r="Q39" i="41"/>
  <c r="B39" i="41"/>
  <c r="C39" i="41"/>
  <c r="G39" i="33"/>
  <c r="F39" i="43"/>
  <c r="E39" i="40"/>
  <c r="D39" i="41"/>
  <c r="E39" i="41"/>
  <c r="F39" i="41"/>
  <c r="G39" i="41"/>
  <c r="H39" i="41"/>
  <c r="O39" i="30"/>
  <c r="N39" i="31"/>
  <c r="M39" i="32"/>
  <c r="L39" i="33"/>
  <c r="K39" i="43"/>
  <c r="J39" i="40"/>
  <c r="I39" i="41"/>
  <c r="H39" i="22"/>
  <c r="G39" i="23"/>
  <c r="F39" i="24"/>
  <c r="E39" i="25"/>
  <c r="D39" i="26"/>
  <c r="C39" i="27"/>
  <c r="B39" i="28"/>
  <c r="Q39" i="29"/>
  <c r="P39" i="30"/>
  <c r="O39" i="31"/>
  <c r="N39" i="32"/>
  <c r="M39" i="33"/>
  <c r="L39" i="43"/>
  <c r="K39" i="40"/>
  <c r="J39" i="41"/>
  <c r="H39" i="23"/>
  <c r="G39" i="24"/>
  <c r="F39" i="25"/>
  <c r="E39" i="26"/>
  <c r="D39" i="27"/>
  <c r="C39" i="28"/>
  <c r="B39" i="29"/>
  <c r="Q39" i="30"/>
  <c r="P39" i="31"/>
  <c r="O39" i="32"/>
  <c r="N39" i="33"/>
  <c r="M39" i="43"/>
  <c r="L39" i="40"/>
  <c r="K39" i="41"/>
  <c r="B39" i="15"/>
  <c r="Q39" i="16"/>
  <c r="P39" i="17"/>
  <c r="O39" i="18"/>
  <c r="N39" i="19"/>
  <c r="M39" i="20"/>
  <c r="L39" i="21"/>
  <c r="K39" i="22"/>
  <c r="J39" i="23"/>
  <c r="I39" i="24"/>
  <c r="H39" i="25"/>
  <c r="G39" i="26"/>
  <c r="F39" i="27"/>
  <c r="E39" i="28"/>
  <c r="D39" i="29"/>
  <c r="C39" i="30"/>
  <c r="B39" i="31"/>
  <c r="Q39" i="32"/>
  <c r="P39" i="33"/>
  <c r="O39" i="43"/>
  <c r="N39" i="40"/>
  <c r="M39" i="41"/>
  <c r="E39" i="30"/>
  <c r="D39" i="31"/>
  <c r="C39" i="32"/>
  <c r="B39" i="33"/>
  <c r="Q39" i="43"/>
  <c r="P39" i="40"/>
  <c r="O39" i="41"/>
  <c r="P39" i="41"/>
  <c r="B46" i="39" l="1"/>
  <c r="B45" i="39"/>
  <c r="N46" i="39"/>
  <c r="N45" i="39"/>
  <c r="D46" i="39"/>
  <c r="D45" i="39"/>
  <c r="F46" i="39"/>
  <c r="F45" i="39"/>
  <c r="G46" i="39"/>
  <c r="G45" i="39"/>
  <c r="P46" i="39"/>
  <c r="P45" i="39"/>
  <c r="L46" i="39"/>
  <c r="L45" i="39"/>
  <c r="Q46" i="39"/>
  <c r="Q45" i="39"/>
  <c r="E46" i="39"/>
  <c r="E45" i="39"/>
  <c r="C46" i="39"/>
  <c r="C45" i="39"/>
  <c r="K46" i="39"/>
  <c r="K45" i="39"/>
  <c r="H46" i="39"/>
  <c r="H45" i="39"/>
  <c r="M46" i="39"/>
  <c r="M45" i="39"/>
  <c r="I46" i="39"/>
  <c r="I45" i="39"/>
  <c r="O46" i="39"/>
  <c r="O45" i="39"/>
  <c r="J46" i="39"/>
  <c r="J45" i="39"/>
</calcChain>
</file>

<file path=xl/sharedStrings.xml><?xml version="1.0" encoding="utf-8"?>
<sst xmlns="http://schemas.openxmlformats.org/spreadsheetml/2006/main" count="3732" uniqueCount="781">
  <si>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</si>
  <si>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</si>
  <si>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</si>
  <si>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</si>
  <si>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</si>
  <si>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</si>
  <si>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</si>
  <si>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</si>
  <si>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</si>
  <si>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</si>
  <si>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</si>
  <si>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</si>
  <si>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</si>
  <si>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</si>
  <si>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</si>
  <si>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</si>
  <si>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</si>
  <si>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</si>
  <si>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</si>
  <si>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</si>
  <si>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</si>
  <si>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</si>
  <si>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</si>
  <si>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</si>
  <si>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</si>
  <si>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</si>
  <si>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</si>
  <si>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</si>
  <si>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</si>
  <si>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</si>
  <si>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</si>
  <si>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</si>
  <si>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</si>
  <si>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</si>
  <si>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</si>
  <si>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</si>
  <si>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</si>
  <si>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</si>
  <si>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</si>
  <si>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</si>
  <si>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</si>
  <si>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</si>
  <si>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</si>
  <si>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</si>
  <si>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</si>
  <si>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</si>
  <si>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</si>
  <si>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</si>
  <si>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</si>
  <si>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</si>
  <si>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</si>
  <si>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</si>
  <si>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</si>
  <si>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</si>
  <si>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</si>
  <si>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</si>
  <si>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</si>
  <si>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</si>
  <si>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</si>
  <si>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</si>
  <si>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animesh</t>
  </si>
  <si>
    <t>01/09/2025 01:00</t>
  </si>
  <si>
    <t>01/09/2025 02:00</t>
  </si>
  <si>
    <t>01/09/2025 03:00</t>
  </si>
  <si>
    <t>01/09/2025 04:00</t>
  </si>
  <si>
    <t>01/09/2025 05:00</t>
  </si>
  <si>
    <t>01/09/2025 06:00</t>
  </si>
  <si>
    <t>01/09/2025 07:00</t>
  </si>
  <si>
    <t>01/09/2025 08:00</t>
  </si>
  <si>
    <t>01/09/2025 09:00</t>
  </si>
  <si>
    <t>01/09/2025 10:00</t>
  </si>
  <si>
    <t>01/09/2025 11:00</t>
  </si>
  <si>
    <t>01/09/2025 12:00</t>
  </si>
  <si>
    <t>01/09/2025 13:00</t>
  </si>
  <si>
    <t>01/09/2025 14:00</t>
  </si>
  <si>
    <t>01/09/2025 15:00</t>
  </si>
  <si>
    <t>01/09/2025 16:00</t>
  </si>
  <si>
    <t>01/09/2025 17:00</t>
  </si>
  <si>
    <t>01/09/2025 18:00</t>
  </si>
  <si>
    <t>01/09/2025 19:00</t>
  </si>
  <si>
    <t>01/09/2025 20:00</t>
  </si>
  <si>
    <t>01/09/2025 21:00</t>
  </si>
  <si>
    <t>01/09/2025 22:00</t>
  </si>
  <si>
    <t>01/09/2025 23:00</t>
  </si>
  <si>
    <t>01/09/2025 24:00</t>
  </si>
  <si>
    <t>02/09/2025 01:00</t>
  </si>
  <si>
    <t>02/09/2025 02:00</t>
  </si>
  <si>
    <t>02/09/2025 03:00</t>
  </si>
  <si>
    <t>02/09/2025 04:00</t>
  </si>
  <si>
    <t>02/09/2025 05:00</t>
  </si>
  <si>
    <t>02/09/2025 06:00</t>
  </si>
  <si>
    <t>02/09/2025 07:00</t>
  </si>
  <si>
    <t>02/09/2025 08:00</t>
  </si>
  <si>
    <t>02/09/2025 09:00</t>
  </si>
  <si>
    <t>02/09/2025 10:00</t>
  </si>
  <si>
    <t>02/09/2025 11:00</t>
  </si>
  <si>
    <t>02/09/2025 12:00</t>
  </si>
  <si>
    <t>02/09/2025 13:00</t>
  </si>
  <si>
    <t>02/09/2025 14:00</t>
  </si>
  <si>
    <t>02/09/2025 15:00</t>
  </si>
  <si>
    <t>02/09/2025 16:00</t>
  </si>
  <si>
    <t>02/09/2025 17:00</t>
  </si>
  <si>
    <t>02/09/2025 18:00</t>
  </si>
  <si>
    <t>02/09/2025 19:00</t>
  </si>
  <si>
    <t>02/09/2025 20:00</t>
  </si>
  <si>
    <t>02/09/2025 21:00</t>
  </si>
  <si>
    <t>02/09/2025 22:00</t>
  </si>
  <si>
    <t>02/09/2025 23:00</t>
  </si>
  <si>
    <t>02/09/2025 24:00</t>
  </si>
  <si>
    <t>03/09/2025 01:00</t>
  </si>
  <si>
    <t>03/09/2025 02:00</t>
  </si>
  <si>
    <t>03/09/2025 03:00</t>
  </si>
  <si>
    <t>03/09/2025 04:00</t>
  </si>
  <si>
    <t>03/09/2025 05:00</t>
  </si>
  <si>
    <t>03/09/2025 06:00</t>
  </si>
  <si>
    <t>03/09/2025 07:00</t>
  </si>
  <si>
    <t>03/09/2025 08:00</t>
  </si>
  <si>
    <t>03/09/2025 09:00</t>
  </si>
  <si>
    <t>03/09/2025 10:00</t>
  </si>
  <si>
    <t>03/09/2025 11:00</t>
  </si>
  <si>
    <t>03/09/2025 12:00</t>
  </si>
  <si>
    <t>03/09/2025 13:00</t>
  </si>
  <si>
    <t>03/09/2025 14:00</t>
  </si>
  <si>
    <t>03/09/2025 15:00</t>
  </si>
  <si>
    <t>03/09/2025 16:00</t>
  </si>
  <si>
    <t>03/09/2025 17:00</t>
  </si>
  <si>
    <t>03/09/2025 18:00</t>
  </si>
  <si>
    <t>03/09/2025 19:00</t>
  </si>
  <si>
    <t>03/09/2025 20:00</t>
  </si>
  <si>
    <t>03/09/2025 21:00</t>
  </si>
  <si>
    <t>03/09/2025 22:00</t>
  </si>
  <si>
    <t>03/09/2025 23:00</t>
  </si>
  <si>
    <t>03/09/2025 24:00</t>
  </si>
  <si>
    <t>04/09/2025 01:00</t>
  </si>
  <si>
    <t>04/09/2025 02:00</t>
  </si>
  <si>
    <t>04/09/2025 03:00</t>
  </si>
  <si>
    <t>04/09/2025 04:00</t>
  </si>
  <si>
    <t>04/09/2025 05:00</t>
  </si>
  <si>
    <t>04/09/2025 06:00</t>
  </si>
  <si>
    <t>04/09/2025 07:00</t>
  </si>
  <si>
    <t>04/09/2025 08:00</t>
  </si>
  <si>
    <t>04/09/2025 09:00</t>
  </si>
  <si>
    <t>04/09/2025 10:00</t>
  </si>
  <si>
    <t>04/09/2025 11:00</t>
  </si>
  <si>
    <t>04/09/2025 12:00</t>
  </si>
  <si>
    <t>04/09/2025 13:00</t>
  </si>
  <si>
    <t>04/09/2025 14:00</t>
  </si>
  <si>
    <t>04/09/2025 15:00</t>
  </si>
  <si>
    <t>04/09/2025 16:00</t>
  </si>
  <si>
    <t>04/09/2025 17:00</t>
  </si>
  <si>
    <t>04/09/2025 18:00</t>
  </si>
  <si>
    <t>04/09/2025 19:00</t>
  </si>
  <si>
    <t>04/09/2025 20:00</t>
  </si>
  <si>
    <t>04/09/2025 21:00</t>
  </si>
  <si>
    <t>04/09/2025 22:00</t>
  </si>
  <si>
    <t>04/09/2025 23:00</t>
  </si>
  <si>
    <t>04/09/2025 24:00</t>
  </si>
  <si>
    <t>05/09/2025 01:00</t>
  </si>
  <si>
    <t>05/09/2025 02:00</t>
  </si>
  <si>
    <t>05/09/2025 03:00</t>
  </si>
  <si>
    <t>05/09/2025 04:00</t>
  </si>
  <si>
    <t>05/09/2025 05:00</t>
  </si>
  <si>
    <t>05/09/2025 06:00</t>
  </si>
  <si>
    <t>05/09/2025 07:00</t>
  </si>
  <si>
    <t>05/09/2025 08:00</t>
  </si>
  <si>
    <t>05/09/2025 09:00</t>
  </si>
  <si>
    <t>05/09/2025 10:00</t>
  </si>
  <si>
    <t>05/09/2025 11:00</t>
  </si>
  <si>
    <t>05/09/2025 12:00</t>
  </si>
  <si>
    <t>05/09/2025 13:00</t>
  </si>
  <si>
    <t>05/09/2025 14:00</t>
  </si>
  <si>
    <t>05/09/2025 15:00</t>
  </si>
  <si>
    <t>05/09/2025 16:00</t>
  </si>
  <si>
    <t>05/09/2025 17:00</t>
  </si>
  <si>
    <t>05/09/2025 18:00</t>
  </si>
  <si>
    <t>05/09/2025 19:00</t>
  </si>
  <si>
    <t>05/09/2025 20:00</t>
  </si>
  <si>
    <t>05/09/2025 21:00</t>
  </si>
  <si>
    <t>05/09/2025 22:00</t>
  </si>
  <si>
    <t>05/09/2025 23:00</t>
  </si>
  <si>
    <t>05/09/2025 24:00</t>
  </si>
  <si>
    <t>06/09/2025 01:00</t>
  </si>
  <si>
    <t>06/09/2025 02:00</t>
  </si>
  <si>
    <t>06/09/2025 03:00</t>
  </si>
  <si>
    <t>06/09/2025 04:00</t>
  </si>
  <si>
    <t>06/09/2025 05:00</t>
  </si>
  <si>
    <t>06/09/2025 06:00</t>
  </si>
  <si>
    <t>06/09/2025 07:00</t>
  </si>
  <si>
    <t>06/09/2025 08:00</t>
  </si>
  <si>
    <t>06/09/2025 09:00</t>
  </si>
  <si>
    <t>06/09/2025 10:00</t>
  </si>
  <si>
    <t>06/09/2025 11:00</t>
  </si>
  <si>
    <t>06/09/2025 12:00</t>
  </si>
  <si>
    <t>06/09/2025 13:00</t>
  </si>
  <si>
    <t>06/09/2025 14:00</t>
  </si>
  <si>
    <t>06/09/2025 15:00</t>
  </si>
  <si>
    <t>06/09/2025 16:00</t>
  </si>
  <si>
    <t>06/09/2025 17:00</t>
  </si>
  <si>
    <t>06/09/2025 18:00</t>
  </si>
  <si>
    <t>06/09/2025 19:00</t>
  </si>
  <si>
    <t>06/09/2025 20:00</t>
  </si>
  <si>
    <t>06/09/2025 21:00</t>
  </si>
  <si>
    <t>06/09/2025 22:00</t>
  </si>
  <si>
    <t>06/09/2025 23:00</t>
  </si>
  <si>
    <t>06/09/2025 24:00</t>
  </si>
  <si>
    <t>07/09/2025 01:00</t>
  </si>
  <si>
    <t>07/09/2025 02:00</t>
  </si>
  <si>
    <t>07/09/2025 03:00</t>
  </si>
  <si>
    <t>07/09/2025 04:00</t>
  </si>
  <si>
    <t>07/09/2025 05:00</t>
  </si>
  <si>
    <t>07/09/2025 06:00</t>
  </si>
  <si>
    <t>07/09/2025 07:00</t>
  </si>
  <si>
    <t>07/09/2025 08:00</t>
  </si>
  <si>
    <t>07/09/2025 09:00</t>
  </si>
  <si>
    <t>07/09/2025 10:00</t>
  </si>
  <si>
    <t>07/09/2025 11:00</t>
  </si>
  <si>
    <t>07/09/2025 12:00</t>
  </si>
  <si>
    <t>07/09/2025 13:00</t>
  </si>
  <si>
    <t>07/09/2025 14:00</t>
  </si>
  <si>
    <t>07/09/2025 15:00</t>
  </si>
  <si>
    <t>07/09/2025 16:00</t>
  </si>
  <si>
    <t>07/09/2025 17:00</t>
  </si>
  <si>
    <t>07/09/2025 18:00</t>
  </si>
  <si>
    <t>07/09/2025 19:00</t>
  </si>
  <si>
    <t>07/09/2025 20:00</t>
  </si>
  <si>
    <t>07/09/2025 21:00</t>
  </si>
  <si>
    <t>07/09/2025 22:00</t>
  </si>
  <si>
    <t>07/09/2025 23:00</t>
  </si>
  <si>
    <t>07/09/2025 24:00</t>
  </si>
  <si>
    <t>08/09/2025 01:00</t>
  </si>
  <si>
    <t>08/09/2025 02:00</t>
  </si>
  <si>
    <t>08/09/2025 03:00</t>
  </si>
  <si>
    <t>08/09/2025 04:00</t>
  </si>
  <si>
    <t>08/09/2025 05:00</t>
  </si>
  <si>
    <t>08/09/2025 06:00</t>
  </si>
  <si>
    <t>08/09/2025 07:00</t>
  </si>
  <si>
    <t>08/09/2025 08:00</t>
  </si>
  <si>
    <t>08/09/2025 09:00</t>
  </si>
  <si>
    <t>08/09/2025 10:00</t>
  </si>
  <si>
    <t>08/09/2025 11:00</t>
  </si>
  <si>
    <t>08/09/2025 12:00</t>
  </si>
  <si>
    <t>08/09/2025 13:00</t>
  </si>
  <si>
    <t>08/09/2025 14:00</t>
  </si>
  <si>
    <t>08/09/2025 15:00</t>
  </si>
  <si>
    <t>08/09/2025 16:00</t>
  </si>
  <si>
    <t>08/09/2025 17:00</t>
  </si>
  <si>
    <t>08/09/2025 18:00</t>
  </si>
  <si>
    <t>08/09/2025 19:00</t>
  </si>
  <si>
    <t>08/09/2025 20:00</t>
  </si>
  <si>
    <t>08/09/2025 21:00</t>
  </si>
  <si>
    <t>08/09/2025 22:00</t>
  </si>
  <si>
    <t>08/09/2025 23:00</t>
  </si>
  <si>
    <t>08/09/2025 24:00</t>
  </si>
  <si>
    <t>09/09/2025 01:00</t>
  </si>
  <si>
    <t>09/09/2025 02:00</t>
  </si>
  <si>
    <t>09/09/2025 03:00</t>
  </si>
  <si>
    <t>09/09/2025 04:00</t>
  </si>
  <si>
    <t>09/09/2025 05:00</t>
  </si>
  <si>
    <t>09/09/2025 06:00</t>
  </si>
  <si>
    <t>09/09/2025 07:00</t>
  </si>
  <si>
    <t>09/09/2025 08:00</t>
  </si>
  <si>
    <t>09/09/2025 09:00</t>
  </si>
  <si>
    <t>09/09/2025 10:00</t>
  </si>
  <si>
    <t>09/09/2025 11:00</t>
  </si>
  <si>
    <t>09/09/2025 12:00</t>
  </si>
  <si>
    <t>09/09/2025 13:00</t>
  </si>
  <si>
    <t>09/09/2025 14:00</t>
  </si>
  <si>
    <t>09/09/2025 15:00</t>
  </si>
  <si>
    <t>09/09/2025 16:00</t>
  </si>
  <si>
    <t>09/09/2025 17:00</t>
  </si>
  <si>
    <t>09/09/2025 18:00</t>
  </si>
  <si>
    <t>09/09/2025 19:00</t>
  </si>
  <si>
    <t>09/09/2025 20:00</t>
  </si>
  <si>
    <t>09/09/2025 21:00</t>
  </si>
  <si>
    <t>09/09/2025 22:00</t>
  </si>
  <si>
    <t>09/09/2025 23:00</t>
  </si>
  <si>
    <t>09/09/2025 24:00</t>
  </si>
  <si>
    <t>10/09/2025 01:00</t>
  </si>
  <si>
    <t>10/09/2025 02:00</t>
  </si>
  <si>
    <t>10/09/2025 03:00</t>
  </si>
  <si>
    <t>10/09/2025 04:00</t>
  </si>
  <si>
    <t>10/09/2025 05:00</t>
  </si>
  <si>
    <t>10/09/2025 06:00</t>
  </si>
  <si>
    <t>10/09/2025 07:00</t>
  </si>
  <si>
    <t>10/09/2025 08:00</t>
  </si>
  <si>
    <t>10/09/2025 09:00</t>
  </si>
  <si>
    <t>10/09/2025 10:00</t>
  </si>
  <si>
    <t>10/09/2025 11:00</t>
  </si>
  <si>
    <t>10/09/2025 12:00</t>
  </si>
  <si>
    <t>10/09/2025 13:00</t>
  </si>
  <si>
    <t>10/09/2025 14:00</t>
  </si>
  <si>
    <t>10/09/2025 15:00</t>
  </si>
  <si>
    <t>10/09/2025 16:00</t>
  </si>
  <si>
    <t>10/09/2025 17:00</t>
  </si>
  <si>
    <t>10/09/2025 18:00</t>
  </si>
  <si>
    <t>10/09/2025 19:00</t>
  </si>
  <si>
    <t>10/09/2025 20:00</t>
  </si>
  <si>
    <t>10/09/2025 21:00</t>
  </si>
  <si>
    <t>10/09/2025 22:00</t>
  </si>
  <si>
    <t>10/09/2025 23:00</t>
  </si>
  <si>
    <t>10/09/2025 24:00</t>
  </si>
  <si>
    <t>11/09/2025 01:00</t>
  </si>
  <si>
    <t>11/09/2025 02:00</t>
  </si>
  <si>
    <t>11/09/2025 03:00</t>
  </si>
  <si>
    <t>11/09/2025 04:00</t>
  </si>
  <si>
    <t>11/09/2025 05:00</t>
  </si>
  <si>
    <t>11/09/2025 06:00</t>
  </si>
  <si>
    <t>11/09/2025 07:00</t>
  </si>
  <si>
    <t>11/09/2025 08:00</t>
  </si>
  <si>
    <t>11/09/2025 09:00</t>
  </si>
  <si>
    <t>11/09/2025 10:00</t>
  </si>
  <si>
    <t>11/09/2025 11:00</t>
  </si>
  <si>
    <t>11/09/2025 12:00</t>
  </si>
  <si>
    <t>11/09/2025 13:00</t>
  </si>
  <si>
    <t>11/09/2025 14:00</t>
  </si>
  <si>
    <t>11/09/2025 15:00</t>
  </si>
  <si>
    <t>11/09/2025 16:00</t>
  </si>
  <si>
    <t>11/09/2025 17:00</t>
  </si>
  <si>
    <t>11/09/2025 18:00</t>
  </si>
  <si>
    <t>11/09/2025 19:00</t>
  </si>
  <si>
    <t>11/09/2025 20:00</t>
  </si>
  <si>
    <t>11/09/2025 21:00</t>
  </si>
  <si>
    <t>11/09/2025 22:00</t>
  </si>
  <si>
    <t>11/09/2025 23:00</t>
  </si>
  <si>
    <t>11/09/2025 24:00</t>
  </si>
  <si>
    <t>12/09/2025 01:00</t>
  </si>
  <si>
    <t>12/09/2025 02:00</t>
  </si>
  <si>
    <t>12/09/2025 03:00</t>
  </si>
  <si>
    <t>12/09/2025 04:00</t>
  </si>
  <si>
    <t>12/09/2025 05:00</t>
  </si>
  <si>
    <t>12/09/2025 06:00</t>
  </si>
  <si>
    <t>12/09/2025 07:00</t>
  </si>
  <si>
    <t>12/09/2025 08:00</t>
  </si>
  <si>
    <t>12/09/2025 09:00</t>
  </si>
  <si>
    <t>12/09/2025 10:00</t>
  </si>
  <si>
    <t>12/09/2025 11:00</t>
  </si>
  <si>
    <t>12/09/2025 12:00</t>
  </si>
  <si>
    <t>12/09/2025 13:00</t>
  </si>
  <si>
    <t>12/09/2025 14:00</t>
  </si>
  <si>
    <t>12/09/2025 15:00</t>
  </si>
  <si>
    <t>12/09/2025 16:00</t>
  </si>
  <si>
    <t>12/09/2025 17:00</t>
  </si>
  <si>
    <t>12/09/2025 18:00</t>
  </si>
  <si>
    <t>12/09/2025 19:00</t>
  </si>
  <si>
    <t>12/09/2025 20:00</t>
  </si>
  <si>
    <t>12/09/2025 21:00</t>
  </si>
  <si>
    <t>12/09/2025 22:00</t>
  </si>
  <si>
    <t>12/09/2025 23:00</t>
  </si>
  <si>
    <t>12/09/2025 24:00</t>
  </si>
  <si>
    <t>13/09/2025 01:00</t>
  </si>
  <si>
    <t>13/09/2025 02:00</t>
  </si>
  <si>
    <t>13/09/2025 03:00</t>
  </si>
  <si>
    <t>13/09/2025 04:00</t>
  </si>
  <si>
    <t>13/09/2025 05:00</t>
  </si>
  <si>
    <t>13/09/2025 06:00</t>
  </si>
  <si>
    <t>13/09/2025 07:00</t>
  </si>
  <si>
    <t>13/09/2025 08:00</t>
  </si>
  <si>
    <t>13/09/2025 09:00</t>
  </si>
  <si>
    <t>13/09/2025 10:00</t>
  </si>
  <si>
    <t>13/09/2025 11:00</t>
  </si>
  <si>
    <t>13/09/2025 12:00</t>
  </si>
  <si>
    <t>13/09/2025 13:00</t>
  </si>
  <si>
    <t>13/09/2025 14:00</t>
  </si>
  <si>
    <t>13/09/2025 15:00</t>
  </si>
  <si>
    <t>13/09/2025 16:00</t>
  </si>
  <si>
    <t>13/09/2025 17:00</t>
  </si>
  <si>
    <t>13/09/2025 18:00</t>
  </si>
  <si>
    <t>13/09/2025 19:00</t>
  </si>
  <si>
    <t>13/09/2025 20:00</t>
  </si>
  <si>
    <t>13/09/2025 21:00</t>
  </si>
  <si>
    <t>13/09/2025 22:00</t>
  </si>
  <si>
    <t>13/09/2025 23:00</t>
  </si>
  <si>
    <t>13/09/2025 24:00</t>
  </si>
  <si>
    <t>14/09/2025 01:00</t>
  </si>
  <si>
    <t>14/09/2025 02:00</t>
  </si>
  <si>
    <t>14/09/2025 03:00</t>
  </si>
  <si>
    <t>14/09/2025 04:00</t>
  </si>
  <si>
    <t>14/09/2025 05:00</t>
  </si>
  <si>
    <t>14/09/2025 06:00</t>
  </si>
  <si>
    <t>14/09/2025 07:00</t>
  </si>
  <si>
    <t>14/09/2025 08:00</t>
  </si>
  <si>
    <t>14/09/2025 09:00</t>
  </si>
  <si>
    <t>14/09/2025 10:00</t>
  </si>
  <si>
    <t>14/09/2025 11:00</t>
  </si>
  <si>
    <t>14/09/2025 12:00</t>
  </si>
  <si>
    <t>14/09/2025 13:00</t>
  </si>
  <si>
    <t>14/09/2025 14:00</t>
  </si>
  <si>
    <t>14/09/2025 15:00</t>
  </si>
  <si>
    <t>14/09/2025 16:00</t>
  </si>
  <si>
    <t>14/09/2025 17:00</t>
  </si>
  <si>
    <t>14/09/2025 18:00</t>
  </si>
  <si>
    <t>14/09/2025 19:00</t>
  </si>
  <si>
    <t>14/09/2025 20:00</t>
  </si>
  <si>
    <t>14/09/2025 21:00</t>
  </si>
  <si>
    <t>14/09/2025 22:00</t>
  </si>
  <si>
    <t>14/09/2025 23:00</t>
  </si>
  <si>
    <t>14/09/2025 24:00</t>
  </si>
  <si>
    <t>15/09/2025 01:00</t>
  </si>
  <si>
    <t>15/09/2025 02:00</t>
  </si>
  <si>
    <t>15/09/2025 03:00</t>
  </si>
  <si>
    <t>15/09/2025 04:00</t>
  </si>
  <si>
    <t>15/09/2025 05:00</t>
  </si>
  <si>
    <t>15/09/2025 06:00</t>
  </si>
  <si>
    <t>15/09/2025 07:00</t>
  </si>
  <si>
    <t>15/09/2025 08:00</t>
  </si>
  <si>
    <t>15/09/2025 09:00</t>
  </si>
  <si>
    <t>15/09/2025 10:00</t>
  </si>
  <si>
    <t>15/09/2025 11:00</t>
  </si>
  <si>
    <t>15/09/2025 12:00</t>
  </si>
  <si>
    <t>15/09/2025 13:00</t>
  </si>
  <si>
    <t>15/09/2025 14:00</t>
  </si>
  <si>
    <t>15/09/2025 15:00</t>
  </si>
  <si>
    <t>15/09/2025 16:00</t>
  </si>
  <si>
    <t>15/09/2025 17:00</t>
  </si>
  <si>
    <t>15/09/2025 18:00</t>
  </si>
  <si>
    <t>15/09/2025 19:00</t>
  </si>
  <si>
    <t>15/09/2025 20:00</t>
  </si>
  <si>
    <t>15/09/2025 21:00</t>
  </si>
  <si>
    <t>15/09/2025 22:00</t>
  </si>
  <si>
    <t>15/09/2025 23:00</t>
  </si>
  <si>
    <t>15/09/2025 24:00</t>
  </si>
  <si>
    <t>16/09/2025 01:00</t>
  </si>
  <si>
    <t>16/09/2025 02:00</t>
  </si>
  <si>
    <t>16/09/2025 03:00</t>
  </si>
  <si>
    <t>16/09/2025 04:00</t>
  </si>
  <si>
    <t>16/09/2025 05:00</t>
  </si>
  <si>
    <t>16/09/2025 06:00</t>
  </si>
  <si>
    <t>16/09/2025 07:00</t>
  </si>
  <si>
    <t>16/09/2025 08:00</t>
  </si>
  <si>
    <t>16/09/2025 09:00</t>
  </si>
  <si>
    <t>16/09/2025 10:00</t>
  </si>
  <si>
    <t>16/09/2025 11:00</t>
  </si>
  <si>
    <t>16/09/2025 12:00</t>
  </si>
  <si>
    <t>16/09/2025 13:00</t>
  </si>
  <si>
    <t>16/09/2025 14:00</t>
  </si>
  <si>
    <t>16/09/2025 15:00</t>
  </si>
  <si>
    <t>16/09/2025 16:00</t>
  </si>
  <si>
    <t>16/09/2025 17:00</t>
  </si>
  <si>
    <t>16/09/2025 18:00</t>
  </si>
  <si>
    <t>16/09/2025 19:00</t>
  </si>
  <si>
    <t>16/09/2025 20:00</t>
  </si>
  <si>
    <t>16/09/2025 21:00</t>
  </si>
  <si>
    <t>16/09/2025 22:00</t>
  </si>
  <si>
    <t>16/09/2025 23:00</t>
  </si>
  <si>
    <t>16/09/2025 24:00</t>
  </si>
  <si>
    <t>17/09/2025 01:00</t>
  </si>
  <si>
    <t>17/09/2025 02:00</t>
  </si>
  <si>
    <t>17/09/2025 03:00</t>
  </si>
  <si>
    <t>17/09/2025 04:00</t>
  </si>
  <si>
    <t>17/09/2025 05:00</t>
  </si>
  <si>
    <t>17/09/2025 06:00</t>
  </si>
  <si>
    <t>17/09/2025 07:00</t>
  </si>
  <si>
    <t>17/09/2025 08:00</t>
  </si>
  <si>
    <t>17/09/2025 09:00</t>
  </si>
  <si>
    <t>17/09/2025 10:00</t>
  </si>
  <si>
    <t>17/09/2025 11:00</t>
  </si>
  <si>
    <t>17/09/2025 12:00</t>
  </si>
  <si>
    <t>17/09/2025 13:00</t>
  </si>
  <si>
    <t>17/09/2025 14:00</t>
  </si>
  <si>
    <t>17/09/2025 15:00</t>
  </si>
  <si>
    <t>17/09/2025 16:00</t>
  </si>
  <si>
    <t>17/09/2025 17:00</t>
  </si>
  <si>
    <t>17/09/2025 18:00</t>
  </si>
  <si>
    <t>17/09/2025 19:00</t>
  </si>
  <si>
    <t>17/09/2025 20:00</t>
  </si>
  <si>
    <t>17/09/2025 21:00</t>
  </si>
  <si>
    <t>17/09/2025 22:00</t>
  </si>
  <si>
    <t>17/09/2025 23:00</t>
  </si>
  <si>
    <t>17/09/2025 24:00</t>
  </si>
  <si>
    <t>18/09/2025 01:00</t>
  </si>
  <si>
    <t>18/09/2025 02:00</t>
  </si>
  <si>
    <t>18/09/2025 03:00</t>
  </si>
  <si>
    <t>18/09/2025 04:00</t>
  </si>
  <si>
    <t>18/09/2025 05:00</t>
  </si>
  <si>
    <t>18/09/2025 06:00</t>
  </si>
  <si>
    <t>18/09/2025 07:00</t>
  </si>
  <si>
    <t>18/09/2025 08:00</t>
  </si>
  <si>
    <t>18/09/2025 09:00</t>
  </si>
  <si>
    <t>18/09/2025 10:00</t>
  </si>
  <si>
    <t>18/09/2025 11:00</t>
  </si>
  <si>
    <t>18/09/2025 12:00</t>
  </si>
  <si>
    <t>18/09/2025 13:00</t>
  </si>
  <si>
    <t>18/09/2025 14:00</t>
  </si>
  <si>
    <t>18/09/2025 15:00</t>
  </si>
  <si>
    <t>18/09/2025 16:00</t>
  </si>
  <si>
    <t>18/09/2025 17:00</t>
  </si>
  <si>
    <t>18/09/2025 18:00</t>
  </si>
  <si>
    <t>18/09/2025 19:00</t>
  </si>
  <si>
    <t>18/09/2025 20:00</t>
  </si>
  <si>
    <t>18/09/2025 21:00</t>
  </si>
  <si>
    <t>18/09/2025 22:00</t>
  </si>
  <si>
    <t>18/09/2025 23:00</t>
  </si>
  <si>
    <t>18/09/2025 24:00</t>
  </si>
  <si>
    <t>19/09/2025 01:00</t>
  </si>
  <si>
    <t>19/09/2025 02:00</t>
  </si>
  <si>
    <t>19/09/2025 03:00</t>
  </si>
  <si>
    <t>19/09/2025 04:00</t>
  </si>
  <si>
    <t>19/09/2025 05:00</t>
  </si>
  <si>
    <t>19/09/2025 06:00</t>
  </si>
  <si>
    <t>19/09/2025 07:00</t>
  </si>
  <si>
    <t>19/09/2025 08:00</t>
  </si>
  <si>
    <t>19/09/2025 09:00</t>
  </si>
  <si>
    <t>19/09/2025 10:00</t>
  </si>
  <si>
    <t>19/09/2025 11:00</t>
  </si>
  <si>
    <t>19/09/2025 12:00</t>
  </si>
  <si>
    <t>19/09/2025 13:00</t>
  </si>
  <si>
    <t>19/09/2025 14:00</t>
  </si>
  <si>
    <t>19/09/2025 15:00</t>
  </si>
  <si>
    <t>19/09/2025 16:00</t>
  </si>
  <si>
    <t>19/09/2025 17:00</t>
  </si>
  <si>
    <t>19/09/2025 18:00</t>
  </si>
  <si>
    <t>19/09/2025 19:00</t>
  </si>
  <si>
    <t>19/09/2025 20:00</t>
  </si>
  <si>
    <t>19/09/2025 21:00</t>
  </si>
  <si>
    <t>19/09/2025 22:00</t>
  </si>
  <si>
    <t>19/09/2025 23:00</t>
  </si>
  <si>
    <t>19/09/2025 24:00</t>
  </si>
  <si>
    <t>20/09/2025 01:00</t>
  </si>
  <si>
    <t>20/09/2025 02:00</t>
  </si>
  <si>
    <t>20/09/2025 03:00</t>
  </si>
  <si>
    <t>20/09/2025 04:00</t>
  </si>
  <si>
    <t>20/09/2025 05:00</t>
  </si>
  <si>
    <t>20/09/2025 06:00</t>
  </si>
  <si>
    <t>20/09/2025 07:00</t>
  </si>
  <si>
    <t>20/09/2025 08:00</t>
  </si>
  <si>
    <t>20/09/2025 09:00</t>
  </si>
  <si>
    <t>20/09/2025 10:00</t>
  </si>
  <si>
    <t>20/09/2025 11:00</t>
  </si>
  <si>
    <t>20/09/2025 12:00</t>
  </si>
  <si>
    <t>20/09/2025 13:00</t>
  </si>
  <si>
    <t>20/09/2025 14:00</t>
  </si>
  <si>
    <t>20/09/2025 15:00</t>
  </si>
  <si>
    <t>20/09/2025 16:00</t>
  </si>
  <si>
    <t>20/09/2025 17:00</t>
  </si>
  <si>
    <t>20/09/2025 18:00</t>
  </si>
  <si>
    <t>20/09/2025 19:00</t>
  </si>
  <si>
    <t>20/09/2025 20:00</t>
  </si>
  <si>
    <t>20/09/2025 21:00</t>
  </si>
  <si>
    <t>20/09/2025 22:00</t>
  </si>
  <si>
    <t>20/09/2025 23:00</t>
  </si>
  <si>
    <t>20/09/2025 24:00</t>
  </si>
  <si>
    <t>21/09/2025 01:00</t>
  </si>
  <si>
    <t>21/09/2025 02:00</t>
  </si>
  <si>
    <t>21/09/2025 03:00</t>
  </si>
  <si>
    <t>21/09/2025 04:00</t>
  </si>
  <si>
    <t>21/09/2025 05:00</t>
  </si>
  <si>
    <t>21/09/2025 06:00</t>
  </si>
  <si>
    <t>21/09/2025 07:00</t>
  </si>
  <si>
    <t>21/09/2025 08:00</t>
  </si>
  <si>
    <t>21/09/2025 09:00</t>
  </si>
  <si>
    <t>21/09/2025 10:00</t>
  </si>
  <si>
    <t>21/09/2025 11:00</t>
  </si>
  <si>
    <t>21/09/2025 12:00</t>
  </si>
  <si>
    <t>21/09/2025 13:00</t>
  </si>
  <si>
    <t>21/09/2025 14:00</t>
  </si>
  <si>
    <t>21/09/2025 15:00</t>
  </si>
  <si>
    <t>21/09/2025 16:00</t>
  </si>
  <si>
    <t>21/09/2025 17:00</t>
  </si>
  <si>
    <t>21/09/2025 18:00</t>
  </si>
  <si>
    <t>21/09/2025 19:00</t>
  </si>
  <si>
    <t>21/09/2025 20:00</t>
  </si>
  <si>
    <t>21/09/2025 21:00</t>
  </si>
  <si>
    <t>21/09/2025 22:00</t>
  </si>
  <si>
    <t>21/09/2025 23:00</t>
  </si>
  <si>
    <t>21/09/2025 24:00</t>
  </si>
  <si>
    <t>22/09/2025 01:00</t>
  </si>
  <si>
    <t>22/09/2025 02:00</t>
  </si>
  <si>
    <t>22/09/2025 03:00</t>
  </si>
  <si>
    <t>22/09/2025 04:00</t>
  </si>
  <si>
    <t>22/09/2025 05:00</t>
  </si>
  <si>
    <t>22/09/2025 06:00</t>
  </si>
  <si>
    <t>22/09/2025 07:00</t>
  </si>
  <si>
    <t>22/09/2025 08:00</t>
  </si>
  <si>
    <t>22/09/2025 09:00</t>
  </si>
  <si>
    <t>22/09/2025 10:00</t>
  </si>
  <si>
    <t>22/09/2025 11:00</t>
  </si>
  <si>
    <t>22/09/2025 12:00</t>
  </si>
  <si>
    <t>22/09/2025 13:00</t>
  </si>
  <si>
    <t>22/09/2025 14:00</t>
  </si>
  <si>
    <t>22/09/2025 15:00</t>
  </si>
  <si>
    <t>22/09/2025 16:00</t>
  </si>
  <si>
    <t>22/09/2025 17:00</t>
  </si>
  <si>
    <t>22/09/2025 18:00</t>
  </si>
  <si>
    <t>22/09/2025 19:00</t>
  </si>
  <si>
    <t>22/09/2025 20:00</t>
  </si>
  <si>
    <t>22/09/2025 21:00</t>
  </si>
  <si>
    <t>22/09/2025 22:00</t>
  </si>
  <si>
    <t>22/09/2025 23:00</t>
  </si>
  <si>
    <t>22/09/2025 24:00</t>
  </si>
  <si>
    <t>23/09/2025 01:00</t>
  </si>
  <si>
    <t>23/09/2025 02:00</t>
  </si>
  <si>
    <t>23/09/2025 03:00</t>
  </si>
  <si>
    <t>23/09/2025 04:00</t>
  </si>
  <si>
    <t>23/09/2025 05:00</t>
  </si>
  <si>
    <t>23/09/2025 06:00</t>
  </si>
  <si>
    <t>23/09/2025 07:00</t>
  </si>
  <si>
    <t>23/09/2025 08:00</t>
  </si>
  <si>
    <t>23/09/2025 09:00</t>
  </si>
  <si>
    <t>23/09/2025 10:00</t>
  </si>
  <si>
    <t>23/09/2025 11:00</t>
  </si>
  <si>
    <t>23/09/2025 12:00</t>
  </si>
  <si>
    <t>23/09/2025 13:00</t>
  </si>
  <si>
    <t>23/09/2025 14:00</t>
  </si>
  <si>
    <t>23/09/2025 15:00</t>
  </si>
  <si>
    <t>23/09/2025 16:00</t>
  </si>
  <si>
    <t>23/09/2025 17:00</t>
  </si>
  <si>
    <t>23/09/2025 18:00</t>
  </si>
  <si>
    <t>23/09/2025 19:00</t>
  </si>
  <si>
    <t>23/09/2025 20:00</t>
  </si>
  <si>
    <t>23/09/2025 21:00</t>
  </si>
  <si>
    <t>23/09/2025 22:00</t>
  </si>
  <si>
    <t>23/09/2025 23:00</t>
  </si>
  <si>
    <t>23/09/2025 24:00</t>
  </si>
  <si>
    <t>24/09/2025 01:00</t>
  </si>
  <si>
    <t>24/09/2025 02:00</t>
  </si>
  <si>
    <t>24/09/2025 03:00</t>
  </si>
  <si>
    <t>24/09/2025 04:00</t>
  </si>
  <si>
    <t>24/09/2025 05:00</t>
  </si>
  <si>
    <t>24/09/2025 06:00</t>
  </si>
  <si>
    <t>24/09/2025 07:00</t>
  </si>
  <si>
    <t>24/09/2025 08:00</t>
  </si>
  <si>
    <t>24/09/2025 09:00</t>
  </si>
  <si>
    <t>24/09/2025 10:00</t>
  </si>
  <si>
    <t>24/09/2025 11:00</t>
  </si>
  <si>
    <t>24/09/2025 12:00</t>
  </si>
  <si>
    <t>24/09/2025 13:00</t>
  </si>
  <si>
    <t>24/09/2025 14:00</t>
  </si>
  <si>
    <t>24/09/2025 15:00</t>
  </si>
  <si>
    <t>24/09/2025 16:00</t>
  </si>
  <si>
    <t>24/09/2025 17:00</t>
  </si>
  <si>
    <t>24/09/2025 18:00</t>
  </si>
  <si>
    <t>24/09/2025 19:00</t>
  </si>
  <si>
    <t>24/09/2025 20:00</t>
  </si>
  <si>
    <t>24/09/2025 21:00</t>
  </si>
  <si>
    <t>24/09/2025 22:00</t>
  </si>
  <si>
    <t>24/09/2025 23:00</t>
  </si>
  <si>
    <t>24/09/2025 24:00</t>
  </si>
  <si>
    <t>25/09/2025 01:00</t>
  </si>
  <si>
    <t>25/09/2025 02:00</t>
  </si>
  <si>
    <t>25/09/2025 03:00</t>
  </si>
  <si>
    <t>25/09/2025 04:00</t>
  </si>
  <si>
    <t>25/09/2025 05:00</t>
  </si>
  <si>
    <t>25/09/2025 06:00</t>
  </si>
  <si>
    <t>25/09/2025 07:00</t>
  </si>
  <si>
    <t>25/09/2025 08:00</t>
  </si>
  <si>
    <t>25/09/2025 09:00</t>
  </si>
  <si>
    <t>25/09/2025 10:00</t>
  </si>
  <si>
    <t>25/09/2025 11:00</t>
  </si>
  <si>
    <t>25/09/2025 12:00</t>
  </si>
  <si>
    <t>25/09/2025 13:00</t>
  </si>
  <si>
    <t>25/09/2025 14:00</t>
  </si>
  <si>
    <t>25/09/2025 15:00</t>
  </si>
  <si>
    <t>25/09/2025 16:00</t>
  </si>
  <si>
    <t>25/09/2025 17:00</t>
  </si>
  <si>
    <t>25/09/2025 18:00</t>
  </si>
  <si>
    <t>25/09/2025 19:00</t>
  </si>
  <si>
    <t>25/09/2025 20:00</t>
  </si>
  <si>
    <t>25/09/2025 21:00</t>
  </si>
  <si>
    <t>25/09/2025 22:00</t>
  </si>
  <si>
    <t>25/09/2025 23:00</t>
  </si>
  <si>
    <t>25/09/2025 24:00</t>
  </si>
  <si>
    <t>26/09/2025 01:00</t>
  </si>
  <si>
    <t>26/09/2025 02:00</t>
  </si>
  <si>
    <t>26/09/2025 03:00</t>
  </si>
  <si>
    <t>26/09/2025 04:00</t>
  </si>
  <si>
    <t>26/09/2025 05:00</t>
  </si>
  <si>
    <t>26/09/2025 06:00</t>
  </si>
  <si>
    <t>26/09/2025 07:00</t>
  </si>
  <si>
    <t>26/09/2025 08:00</t>
  </si>
  <si>
    <t>26/09/2025 09:00</t>
  </si>
  <si>
    <t>26/09/2025 10:00</t>
  </si>
  <si>
    <t>26/09/2025 11:00</t>
  </si>
  <si>
    <t>26/09/2025 12:00</t>
  </si>
  <si>
    <t>26/09/2025 13:00</t>
  </si>
  <si>
    <t>26/09/2025 14:00</t>
  </si>
  <si>
    <t>26/09/2025 15:00</t>
  </si>
  <si>
    <t>26/09/2025 16:00</t>
  </si>
  <si>
    <t>26/09/2025 17:00</t>
  </si>
  <si>
    <t>26/09/2025 18:00</t>
  </si>
  <si>
    <t>26/09/2025 19:00</t>
  </si>
  <si>
    <t>26/09/2025 20:00</t>
  </si>
  <si>
    <t>26/09/2025 21:00</t>
  </si>
  <si>
    <t>26/09/2025 22:00</t>
  </si>
  <si>
    <t>26/09/2025 23:00</t>
  </si>
  <si>
    <t>26/09/2025 24:00</t>
  </si>
  <si>
    <t>27/09/2025 01:00</t>
  </si>
  <si>
    <t>27/09/2025 02:00</t>
  </si>
  <si>
    <t>27/09/2025 03:00</t>
  </si>
  <si>
    <t>27/09/2025 04:00</t>
  </si>
  <si>
    <t>27/09/2025 05:00</t>
  </si>
  <si>
    <t>27/09/2025 06:00</t>
  </si>
  <si>
    <t>27/09/2025 07:00</t>
  </si>
  <si>
    <t>27/09/2025 08:00</t>
  </si>
  <si>
    <t>27/09/2025 09:00</t>
  </si>
  <si>
    <t>27/09/2025 10:00</t>
  </si>
  <si>
    <t>27/09/2025 11:00</t>
  </si>
  <si>
    <t>27/09/2025 12:00</t>
  </si>
  <si>
    <t>27/09/2025 13:00</t>
  </si>
  <si>
    <t>27/09/2025 14:00</t>
  </si>
  <si>
    <t>27/09/2025 15:00</t>
  </si>
  <si>
    <t>27/09/2025 16:00</t>
  </si>
  <si>
    <t>27/09/2025 17:00</t>
  </si>
  <si>
    <t>27/09/2025 18:00</t>
  </si>
  <si>
    <t>27/09/2025 19:00</t>
  </si>
  <si>
    <t>27/09/2025 20:00</t>
  </si>
  <si>
    <t>27/09/2025 21:00</t>
  </si>
  <si>
    <t>27/09/2025 22:00</t>
  </si>
  <si>
    <t>27/09/2025 23:00</t>
  </si>
  <si>
    <t>27/09/2025 24:00</t>
  </si>
  <si>
    <t>28/09/2025 01:00</t>
  </si>
  <si>
    <t>28/09/2025 02:00</t>
  </si>
  <si>
    <t>28/09/2025 03:00</t>
  </si>
  <si>
    <t>28/09/2025 04:00</t>
  </si>
  <si>
    <t>28/09/2025 05:00</t>
  </si>
  <si>
    <t>28/09/2025 06:00</t>
  </si>
  <si>
    <t>28/09/2025 07:00</t>
  </si>
  <si>
    <t>28/09/2025 08:00</t>
  </si>
  <si>
    <t>28/09/2025 09:00</t>
  </si>
  <si>
    <t>28/09/2025 10:00</t>
  </si>
  <si>
    <t>28/09/2025 11:00</t>
  </si>
  <si>
    <t>28/09/2025 12:00</t>
  </si>
  <si>
    <t>28/09/2025 13:00</t>
  </si>
  <si>
    <t>28/09/2025 14:00</t>
  </si>
  <si>
    <t>28/09/2025 15:00</t>
  </si>
  <si>
    <t>28/09/2025 16:00</t>
  </si>
  <si>
    <t>28/09/2025 17:00</t>
  </si>
  <si>
    <t>28/09/2025 18:00</t>
  </si>
  <si>
    <t>28/09/2025 19:00</t>
  </si>
  <si>
    <t>28/09/2025 20:00</t>
  </si>
  <si>
    <t>28/09/2025 21:00</t>
  </si>
  <si>
    <t>28/09/2025 22:00</t>
  </si>
  <si>
    <t>28/09/2025 23:00</t>
  </si>
  <si>
    <t>28/09/2025 24:00</t>
  </si>
  <si>
    <t>29/09/2025 01:00</t>
  </si>
  <si>
    <t>29/09/2025 02:00</t>
  </si>
  <si>
    <t>29/09/2025 03:00</t>
  </si>
  <si>
    <t>29/09/2025 04:00</t>
  </si>
  <si>
    <t>29/09/2025 05:00</t>
  </si>
  <si>
    <t>29/09/2025 06:00</t>
  </si>
  <si>
    <t>29/09/2025 07:00</t>
  </si>
  <si>
    <t>29/09/2025 08:00</t>
  </si>
  <si>
    <t>29/09/2025 09:00</t>
  </si>
  <si>
    <t>29/09/2025 10:00</t>
  </si>
  <si>
    <t>29/09/2025 11:00</t>
  </si>
  <si>
    <t>29/09/2025 12:00</t>
  </si>
  <si>
    <t>29/09/2025 13:00</t>
  </si>
  <si>
    <t>29/09/2025 14:00</t>
  </si>
  <si>
    <t>29/09/2025 15:00</t>
  </si>
  <si>
    <t>29/09/2025 16:00</t>
  </si>
  <si>
    <t>29/09/2025 17:00</t>
  </si>
  <si>
    <t>29/09/2025 18:00</t>
  </si>
  <si>
    <t>29/09/2025 19:00</t>
  </si>
  <si>
    <t>29/09/2025 20:00</t>
  </si>
  <si>
    <t>29/09/2025 21:00</t>
  </si>
  <si>
    <t>29/09/2025 22:00</t>
  </si>
  <si>
    <t>29/09/2025 23:00</t>
  </si>
  <si>
    <t>29/09/2025 24:00</t>
  </si>
  <si>
    <t>30/09/2025 01:00</t>
  </si>
  <si>
    <t>30/09/2025 02:00</t>
  </si>
  <si>
    <t>30/09/2025 03:00</t>
  </si>
  <si>
    <t>30/09/2025 04:00</t>
  </si>
  <si>
    <t>30/09/2025 05:00</t>
  </si>
  <si>
    <t>30/09/2025 06:00</t>
  </si>
  <si>
    <t>30/09/2025 07:00</t>
  </si>
  <si>
    <t>30/09/2025 08:00</t>
  </si>
  <si>
    <t>30/09/2025 09:00</t>
  </si>
  <si>
    <t>30/09/2025 10:00</t>
  </si>
  <si>
    <t>30/09/2025 11:00</t>
  </si>
  <si>
    <t>30/09/2025 12:00</t>
  </si>
  <si>
    <t>30/09/2025 13:00</t>
  </si>
  <si>
    <t>30/09/2025 14:00</t>
  </si>
  <si>
    <t>30/09/2025 15:00</t>
  </si>
  <si>
    <t>30/09/2025 16:00</t>
  </si>
  <si>
    <t>30/09/2025 17:00</t>
  </si>
  <si>
    <t>30/09/2025 18:00</t>
  </si>
  <si>
    <t>30/09/2025 19:00</t>
  </si>
  <si>
    <t>30/09/2025 20:00</t>
  </si>
  <si>
    <t>30/09/2025 21:00</t>
  </si>
  <si>
    <t>30/09/2025 22:00</t>
  </si>
  <si>
    <t>30/09/2025 23:00</t>
  </si>
  <si>
    <t>30/09/2025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</si>
</sst>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7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49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11" fillId="3" borderId="0" xfId="0" applyFont="1" applyFill="1"/>
    <xf numFmtId="0" fontId="1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zoomScale="85" zoomScaleNormal="85" workbookViewId="0">
      <pane xSplit="2" ySplit="8" topLeftCell="C24" activePane="bottomRight" state="frozen"/>
      <selection pane="topRight"/>
      <selection pane="bottomLeft"/>
      <selection pane="bottomRight" activeCell="F31" sqref="F31:F32"/>
    </sheetView>
  </sheetViews>
  <sheetFormatPr defaultColWidth="8.85546875" defaultRowHeight="15"/>
  <cols>
    <col min="1" max="1" width="19.5703125" style="1" customWidth="1"/>
    <col min="2" max="2" width="14.42578125" style="1" customWidth="1"/>
    <col min="3" max="3" width="10.42578125" style="1" customWidth="1"/>
    <col min="4" max="4" width="10.140625" style="1" customWidth="1"/>
    <col min="5" max="5" width="10.28515625" style="1" customWidth="1"/>
    <col min="6" max="6" width="9.85546875" style="1" customWidth="1"/>
    <col min="7" max="7" width="11.28515625" style="1" customWidth="1"/>
    <col min="8" max="8" width="12" style="1" customWidth="1"/>
    <col min="9" max="9" width="11.5703125" style="1" customWidth="1"/>
    <col min="10" max="10" width="10.5703125" style="1" customWidth="1"/>
    <col min="11" max="11" width="10" style="1" customWidth="1"/>
    <col min="12" max="12" width="11.140625" style="1" customWidth="1"/>
    <col min="13" max="13" width="11.28515625" style="1" customWidth="1"/>
    <col min="14" max="14" width="9.7109375" style="1" customWidth="1"/>
    <col min="15" max="15" width="10" style="1" customWidth="1"/>
    <col min="16" max="16" width="9.7109375" style="1" customWidth="1"/>
    <col min="17" max="17" width="10.1406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01/09/2025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61</v>
      </c>
      <c r="B9" s="43">
        <v>5.52</v>
      </c>
      <c r="C9" s="43">
        <v>11.55</v>
      </c>
      <c r="D9" s="43">
        <v>10.4</v>
      </c>
      <c r="E9" s="43">
        <v>5.42</v>
      </c>
      <c r="F9" s="43">
        <v>0.21</v>
      </c>
      <c r="G9" s="43">
        <v>16.510000000000002</v>
      </c>
      <c r="H9" s="43">
        <v>5.82</v>
      </c>
      <c r="I9" s="43">
        <v>4.8499999999999996</v>
      </c>
      <c r="J9" s="43">
        <v>0.52</v>
      </c>
      <c r="K9" s="43">
        <v>237.78</v>
      </c>
      <c r="L9" s="43">
        <v>26.3</v>
      </c>
      <c r="M9" s="43">
        <v>94.24</v>
      </c>
      <c r="N9" s="43">
        <v>2.5</v>
      </c>
      <c r="O9" s="43">
        <v>0</v>
      </c>
      <c r="P9" s="43">
        <v>0.26</v>
      </c>
      <c r="Q9" s="43">
        <v>10</v>
      </c>
      <c r="R9" s="41"/>
      <c r="S9" s="41"/>
      <c r="T9" s="41"/>
      <c r="U9" s="41"/>
    </row>
    <row r="10" spans="1:21" customFormat="1">
      <c r="A10" s="42" t="s">
        <v>62</v>
      </c>
      <c r="B10" s="43">
        <v>5.8</v>
      </c>
      <c r="C10" s="43">
        <v>11.61</v>
      </c>
      <c r="D10" s="43">
        <v>10.71</v>
      </c>
      <c r="E10" s="43">
        <v>5.46</v>
      </c>
      <c r="F10" s="43">
        <v>1.26</v>
      </c>
      <c r="G10" s="43">
        <v>15.91</v>
      </c>
      <c r="H10" s="43">
        <v>6.17</v>
      </c>
      <c r="I10" s="43">
        <v>4.62</v>
      </c>
      <c r="J10" s="43">
        <v>0.36</v>
      </c>
      <c r="K10" s="43">
        <v>236.44</v>
      </c>
      <c r="L10" s="43">
        <v>25.83</v>
      </c>
      <c r="M10" s="43">
        <v>95.2</v>
      </c>
      <c r="N10" s="43">
        <v>2.1</v>
      </c>
      <c r="O10" s="43">
        <v>0</v>
      </c>
      <c r="P10" s="43">
        <v>0.25</v>
      </c>
      <c r="Q10" s="43">
        <v>10</v>
      </c>
      <c r="R10" s="41"/>
      <c r="S10" s="41"/>
      <c r="T10" s="41"/>
      <c r="U10" s="41"/>
    </row>
    <row r="11" spans="1:21" customFormat="1">
      <c r="A11" s="42" t="s">
        <v>63</v>
      </c>
      <c r="B11" s="43">
        <v>6.15</v>
      </c>
      <c r="C11" s="43">
        <v>11.66</v>
      </c>
      <c r="D11" s="43">
        <v>11.02</v>
      </c>
      <c r="E11" s="43">
        <v>6.02</v>
      </c>
      <c r="F11" s="43">
        <v>0.03</v>
      </c>
      <c r="G11" s="43">
        <v>15.34</v>
      </c>
      <c r="H11" s="43">
        <v>5.88</v>
      </c>
      <c r="I11" s="43">
        <v>4.54</v>
      </c>
      <c r="J11" s="43">
        <v>0.2</v>
      </c>
      <c r="K11" s="43">
        <v>231.78</v>
      </c>
      <c r="L11" s="43">
        <v>25.59</v>
      </c>
      <c r="M11" s="43">
        <v>95.23</v>
      </c>
      <c r="N11" s="43">
        <v>2.1</v>
      </c>
      <c r="O11" s="43">
        <v>0</v>
      </c>
      <c r="P11" s="43">
        <v>0.25</v>
      </c>
      <c r="Q11" s="43">
        <v>10</v>
      </c>
      <c r="R11" s="41"/>
      <c r="S11" s="41"/>
      <c r="T11" s="41"/>
      <c r="U11" s="41"/>
    </row>
    <row r="12" spans="1:21" customFormat="1">
      <c r="A12" s="42" t="s">
        <v>64</v>
      </c>
      <c r="B12" s="43">
        <v>6.06</v>
      </c>
      <c r="C12" s="43">
        <v>11.98</v>
      </c>
      <c r="D12" s="43">
        <v>10.98</v>
      </c>
      <c r="E12" s="43">
        <v>5.97</v>
      </c>
      <c r="F12" s="43">
        <v>0.02</v>
      </c>
      <c r="G12" s="43">
        <v>11.28</v>
      </c>
      <c r="H12" s="43">
        <v>4.1900000000000004</v>
      </c>
      <c r="I12" s="43">
        <v>4.3600000000000003</v>
      </c>
      <c r="J12" s="43">
        <v>0.3</v>
      </c>
      <c r="K12" s="43">
        <v>233.67</v>
      </c>
      <c r="L12" s="43">
        <v>25.32</v>
      </c>
      <c r="M12" s="43">
        <v>95.49</v>
      </c>
      <c r="N12" s="43">
        <v>2.2999999999999998</v>
      </c>
      <c r="O12" s="43">
        <v>0</v>
      </c>
      <c r="P12" s="43">
        <v>0.24</v>
      </c>
      <c r="Q12" s="43">
        <v>10</v>
      </c>
      <c r="R12" s="41"/>
      <c r="S12" s="41"/>
      <c r="T12" s="41"/>
      <c r="U12" s="41"/>
    </row>
    <row r="13" spans="1:21" customFormat="1">
      <c r="A13" s="42" t="s">
        <v>65</v>
      </c>
      <c r="B13" s="43">
        <v>5.46</v>
      </c>
      <c r="C13" s="43">
        <v>12.03</v>
      </c>
      <c r="D13" s="43">
        <v>10.66</v>
      </c>
      <c r="E13" s="43">
        <v>6.14</v>
      </c>
      <c r="F13" s="43">
        <v>0.02</v>
      </c>
      <c r="G13" s="43">
        <v>9.98</v>
      </c>
      <c r="H13" s="43">
        <v>3.17</v>
      </c>
      <c r="I13" s="43">
        <v>4.0599999999999996</v>
      </c>
      <c r="J13" s="43">
        <v>0.17</v>
      </c>
      <c r="K13" s="43">
        <v>233.4</v>
      </c>
      <c r="L13" s="43">
        <v>25.12</v>
      </c>
      <c r="M13" s="43">
        <v>95.26</v>
      </c>
      <c r="N13" s="43">
        <v>2.2000000000000002</v>
      </c>
      <c r="O13" s="43">
        <v>0</v>
      </c>
      <c r="P13" s="43">
        <v>0.23</v>
      </c>
      <c r="Q13" s="43">
        <v>10</v>
      </c>
      <c r="R13" s="41"/>
      <c r="S13" s="41"/>
      <c r="T13" s="41"/>
      <c r="U13" s="41"/>
    </row>
    <row r="14" spans="1:21" customFormat="1">
      <c r="A14" s="42" t="s">
        <v>66</v>
      </c>
      <c r="B14" s="43">
        <v>5.23</v>
      </c>
      <c r="C14" s="43">
        <v>11.9</v>
      </c>
      <c r="D14" s="43">
        <v>10.41</v>
      </c>
      <c r="E14" s="43">
        <v>6.34</v>
      </c>
      <c r="F14" s="43">
        <v>0.02</v>
      </c>
      <c r="G14" s="43">
        <v>9.6199999999999992</v>
      </c>
      <c r="H14" s="43">
        <v>2.46</v>
      </c>
      <c r="I14" s="43">
        <v>3.8</v>
      </c>
      <c r="J14" s="43">
        <v>0.34</v>
      </c>
      <c r="K14" s="43">
        <v>236.23</v>
      </c>
      <c r="L14" s="43">
        <v>24.96</v>
      </c>
      <c r="M14" s="43">
        <v>95.02</v>
      </c>
      <c r="N14" s="43">
        <v>5.5</v>
      </c>
      <c r="O14" s="43">
        <v>0</v>
      </c>
      <c r="P14" s="43">
        <v>0.22</v>
      </c>
      <c r="Q14" s="43">
        <v>10</v>
      </c>
      <c r="R14" s="41"/>
      <c r="S14" s="41"/>
      <c r="T14" s="41"/>
      <c r="U14" s="41"/>
    </row>
    <row r="15" spans="1:21" customFormat="1">
      <c r="A15" s="42" t="s">
        <v>67</v>
      </c>
      <c r="B15" s="43">
        <v>5.14</v>
      </c>
      <c r="C15" s="43">
        <v>11.63</v>
      </c>
      <c r="D15" s="43">
        <v>10.19</v>
      </c>
      <c r="E15" s="43">
        <v>6.31</v>
      </c>
      <c r="F15" s="43">
        <v>0.02</v>
      </c>
      <c r="G15" s="43">
        <v>7.65</v>
      </c>
      <c r="H15" s="43">
        <v>3.33</v>
      </c>
      <c r="I15" s="43">
        <v>3.43</v>
      </c>
      <c r="J15" s="43">
        <v>0.48</v>
      </c>
      <c r="K15" s="43">
        <v>235.38</v>
      </c>
      <c r="L15" s="43">
        <v>25.53</v>
      </c>
      <c r="M15" s="43">
        <v>94.85</v>
      </c>
      <c r="N15" s="43">
        <v>41.1</v>
      </c>
      <c r="O15" s="43">
        <v>0</v>
      </c>
      <c r="P15" s="43">
        <v>0.22</v>
      </c>
      <c r="Q15" s="43">
        <v>10</v>
      </c>
      <c r="R15" s="41"/>
      <c r="S15" s="41"/>
      <c r="T15" s="41"/>
      <c r="U15" s="41"/>
    </row>
    <row r="16" spans="1:21" customFormat="1">
      <c r="A16" s="42" t="s">
        <v>68</v>
      </c>
      <c r="B16" s="43">
        <v>4.9400000000000004</v>
      </c>
      <c r="C16" s="43">
        <v>11.5</v>
      </c>
      <c r="D16" s="43">
        <v>9.9700000000000006</v>
      </c>
      <c r="E16" s="43">
        <v>6.48</v>
      </c>
      <c r="F16" s="43">
        <v>0.01</v>
      </c>
      <c r="G16" s="43">
        <v>10.119999999999999</v>
      </c>
      <c r="H16" s="43">
        <v>3.2</v>
      </c>
      <c r="I16" s="43">
        <v>3.46</v>
      </c>
      <c r="J16" s="43">
        <v>0.49</v>
      </c>
      <c r="K16" s="43">
        <v>234.01</v>
      </c>
      <c r="L16" s="43">
        <v>26.27</v>
      </c>
      <c r="M16" s="43">
        <v>93.68</v>
      </c>
      <c r="N16" s="43">
        <v>79.8</v>
      </c>
      <c r="O16" s="43">
        <v>0</v>
      </c>
      <c r="P16" s="43">
        <v>0.23</v>
      </c>
      <c r="Q16" s="43">
        <v>10</v>
      </c>
      <c r="R16" s="41"/>
      <c r="S16" s="41"/>
      <c r="T16" s="41"/>
      <c r="U16" s="41"/>
    </row>
    <row r="17" spans="1:21" customFormat="1">
      <c r="A17" s="42" t="s">
        <v>69</v>
      </c>
      <c r="B17" s="43">
        <v>5.33</v>
      </c>
      <c r="C17" s="43">
        <v>11.77</v>
      </c>
      <c r="D17" s="43">
        <v>10.43</v>
      </c>
      <c r="E17" s="43">
        <v>6.31</v>
      </c>
      <c r="F17" s="43">
        <v>0.19</v>
      </c>
      <c r="G17" s="43">
        <v>9.8800000000000008</v>
      </c>
      <c r="H17" s="43">
        <v>4.7300000000000004</v>
      </c>
      <c r="I17" s="43">
        <v>3.88</v>
      </c>
      <c r="J17" s="43">
        <v>0.62</v>
      </c>
      <c r="K17" s="43">
        <v>236.89</v>
      </c>
      <c r="L17" s="43">
        <v>27.33</v>
      </c>
      <c r="M17" s="43">
        <v>91.84</v>
      </c>
      <c r="N17" s="43">
        <v>156.6</v>
      </c>
      <c r="O17" s="43">
        <v>0</v>
      </c>
      <c r="P17" s="43">
        <v>0.23</v>
      </c>
      <c r="Q17" s="43">
        <v>10</v>
      </c>
      <c r="R17" s="41"/>
      <c r="S17" s="41"/>
      <c r="T17" s="41"/>
      <c r="U17" s="41"/>
    </row>
    <row r="18" spans="1:21" customFormat="1">
      <c r="A18" s="42" t="s">
        <v>70</v>
      </c>
      <c r="B18" s="43">
        <v>6.04</v>
      </c>
      <c r="C18" s="43">
        <v>12.16</v>
      </c>
      <c r="D18" s="43">
        <v>11.2</v>
      </c>
      <c r="E18" s="43">
        <v>5.9</v>
      </c>
      <c r="F18" s="43">
        <v>0.63</v>
      </c>
      <c r="G18" s="43">
        <v>16.399999999999999</v>
      </c>
      <c r="H18" s="43">
        <v>6.46</v>
      </c>
      <c r="I18" s="43">
        <v>4.5</v>
      </c>
      <c r="J18" s="43">
        <v>0.64</v>
      </c>
      <c r="K18" s="43">
        <v>236.54</v>
      </c>
      <c r="L18" s="43">
        <v>28.25</v>
      </c>
      <c r="M18" s="43">
        <v>87.17</v>
      </c>
      <c r="N18" s="43">
        <v>156.4</v>
      </c>
      <c r="O18" s="43">
        <v>0</v>
      </c>
      <c r="P18" s="43">
        <v>0.25</v>
      </c>
      <c r="Q18" s="43">
        <v>10</v>
      </c>
      <c r="R18" s="41"/>
      <c r="S18" s="41"/>
      <c r="T18" s="41"/>
      <c r="U18" s="41"/>
    </row>
    <row r="19" spans="1:21" customFormat="1">
      <c r="A19" s="42" t="s">
        <v>71</v>
      </c>
      <c r="B19" s="43">
        <v>6.48</v>
      </c>
      <c r="C19" s="43">
        <v>12.43</v>
      </c>
      <c r="D19" s="43">
        <v>11.69</v>
      </c>
      <c r="E19" s="43">
        <v>5.34</v>
      </c>
      <c r="F19" s="43">
        <v>0.59</v>
      </c>
      <c r="G19" s="43">
        <v>24.28</v>
      </c>
      <c r="H19" s="43">
        <v>7.86</v>
      </c>
      <c r="I19" s="43">
        <v>4.83</v>
      </c>
      <c r="J19" s="43">
        <v>0.55000000000000004</v>
      </c>
      <c r="K19" s="43">
        <v>236.97</v>
      </c>
      <c r="L19" s="43">
        <v>28.42</v>
      </c>
      <c r="M19" s="43">
        <v>81.37</v>
      </c>
      <c r="N19" s="43">
        <v>164.2</v>
      </c>
      <c r="O19" s="43">
        <v>0</v>
      </c>
      <c r="P19" s="43">
        <v>0.27</v>
      </c>
      <c r="Q19" s="43">
        <v>10</v>
      </c>
      <c r="R19" s="41"/>
      <c r="S19" s="41"/>
      <c r="T19" s="41"/>
      <c r="U19" s="41"/>
    </row>
    <row r="20" spans="1:21" customFormat="1">
      <c r="A20" s="42" t="s">
        <v>72</v>
      </c>
      <c r="B20" s="43">
        <v>6.86</v>
      </c>
      <c r="C20" s="43">
        <v>12.97</v>
      </c>
      <c r="D20" s="43">
        <v>12.28</v>
      </c>
      <c r="E20" s="43">
        <v>5.6</v>
      </c>
      <c r="F20" s="43">
        <v>0.43</v>
      </c>
      <c r="G20" s="43">
        <v>24.25</v>
      </c>
      <c r="H20" s="43">
        <v>12.64</v>
      </c>
      <c r="I20" s="43">
        <v>4.97</v>
      </c>
      <c r="J20" s="43">
        <v>0.59</v>
      </c>
      <c r="K20" s="43">
        <v>336.27</v>
      </c>
      <c r="L20" s="43">
        <v>29.35</v>
      </c>
      <c r="M20" s="43">
        <v>78.239999999999995</v>
      </c>
      <c r="N20" s="43">
        <v>273.60000000000002</v>
      </c>
      <c r="O20" s="43">
        <v>0</v>
      </c>
      <c r="P20" s="43">
        <v>0.3</v>
      </c>
      <c r="Q20" s="43">
        <v>10</v>
      </c>
      <c r="R20" s="41"/>
      <c r="S20" s="41"/>
      <c r="T20" s="41"/>
      <c r="U20" s="41"/>
    </row>
    <row r="21" spans="1:21" customFormat="1">
      <c r="A21" s="42" t="s">
        <v>73</v>
      </c>
      <c r="B21" s="43">
        <v>7.32</v>
      </c>
      <c r="C21" s="43">
        <v>13.22</v>
      </c>
      <c r="D21" s="43">
        <v>12.77</v>
      </c>
      <c r="E21" s="43">
        <v>5.5</v>
      </c>
      <c r="F21" s="43">
        <v>1.21</v>
      </c>
      <c r="G21" s="43">
        <v>32.31</v>
      </c>
      <c r="H21" s="43">
        <v>12.46</v>
      </c>
      <c r="I21" s="43">
        <v>5</v>
      </c>
      <c r="J21" s="43">
        <v>0.41</v>
      </c>
      <c r="K21" s="43">
        <v>239.93</v>
      </c>
      <c r="L21" s="43">
        <v>29.81</v>
      </c>
      <c r="M21" s="43">
        <v>77.97</v>
      </c>
      <c r="N21" s="43">
        <v>321.39999999999998</v>
      </c>
      <c r="O21" s="43">
        <v>0</v>
      </c>
      <c r="P21" s="43">
        <v>0.33</v>
      </c>
      <c r="Q21" s="43">
        <v>10</v>
      </c>
      <c r="R21" s="41"/>
      <c r="S21" s="41"/>
      <c r="T21" s="41"/>
      <c r="U21" s="41"/>
    </row>
    <row r="22" spans="1:21" customFormat="1">
      <c r="A22" s="42" t="s">
        <v>74</v>
      </c>
      <c r="B22" s="43">
        <v>7.17</v>
      </c>
      <c r="C22" s="43">
        <v>13.7</v>
      </c>
      <c r="D22" s="43">
        <v>12.81</v>
      </c>
      <c r="E22" s="43">
        <v>5.77</v>
      </c>
      <c r="F22" s="43">
        <v>1.06</v>
      </c>
      <c r="G22" s="43">
        <v>36.67</v>
      </c>
      <c r="H22" s="43">
        <v>11.65</v>
      </c>
      <c r="I22" s="43">
        <v>5.0199999999999996</v>
      </c>
      <c r="J22" s="43">
        <v>0.55000000000000004</v>
      </c>
      <c r="K22" s="43">
        <v>57.19</v>
      </c>
      <c r="L22" s="43">
        <v>30.27</v>
      </c>
      <c r="M22" s="43">
        <v>77.400000000000006</v>
      </c>
      <c r="N22" s="43">
        <v>466.3</v>
      </c>
      <c r="O22" s="43">
        <v>0</v>
      </c>
      <c r="P22" s="43">
        <v>0.34</v>
      </c>
      <c r="Q22" s="43">
        <v>10</v>
      </c>
      <c r="R22" s="41"/>
      <c r="S22" s="41"/>
      <c r="T22" s="41"/>
      <c r="U22" s="41"/>
    </row>
    <row r="23" spans="1:21" customFormat="1">
      <c r="A23" s="42" t="s">
        <v>75</v>
      </c>
      <c r="B23" s="43">
        <v>6.42</v>
      </c>
      <c r="C23" s="43">
        <v>13.78</v>
      </c>
      <c r="D23" s="43">
        <v>12.34</v>
      </c>
      <c r="E23" s="43">
        <v>5.83</v>
      </c>
      <c r="F23" s="43">
        <v>0.21</v>
      </c>
      <c r="G23" s="43">
        <v>38.79</v>
      </c>
      <c r="H23" s="43">
        <v>11.41</v>
      </c>
      <c r="I23" s="43">
        <v>4.93</v>
      </c>
      <c r="J23" s="43">
        <v>0.31</v>
      </c>
      <c r="K23" s="43">
        <v>198.14</v>
      </c>
      <c r="L23" s="43">
        <v>30.9</v>
      </c>
      <c r="M23" s="43">
        <v>77.55</v>
      </c>
      <c r="N23" s="43">
        <v>291.2</v>
      </c>
      <c r="O23" s="43">
        <v>0</v>
      </c>
      <c r="P23" s="43">
        <v>0.27</v>
      </c>
      <c r="Q23" s="43">
        <v>10</v>
      </c>
      <c r="R23" s="41"/>
      <c r="S23" s="41"/>
      <c r="T23" s="41"/>
      <c r="U23" s="41"/>
    </row>
    <row r="24" spans="1:21" customFormat="1">
      <c r="A24" s="42" t="s">
        <v>76</v>
      </c>
      <c r="B24" s="43">
        <v>5.92</v>
      </c>
      <c r="C24" s="43">
        <v>13.38</v>
      </c>
      <c r="D24" s="43">
        <v>11.74</v>
      </c>
      <c r="E24" s="43">
        <v>5.75</v>
      </c>
      <c r="F24" s="43">
        <v>0.28999999999999998</v>
      </c>
      <c r="G24" s="43">
        <v>41.59</v>
      </c>
      <c r="H24" s="43">
        <v>13.41</v>
      </c>
      <c r="I24" s="43">
        <v>4.8499999999999996</v>
      </c>
      <c r="J24" s="43">
        <v>0.54</v>
      </c>
      <c r="K24" s="43">
        <v>227.73</v>
      </c>
      <c r="L24" s="43">
        <v>29.18</v>
      </c>
      <c r="M24" s="43">
        <v>87.92</v>
      </c>
      <c r="N24" s="43">
        <v>63</v>
      </c>
      <c r="O24" s="43">
        <v>0</v>
      </c>
      <c r="P24" s="43">
        <v>0.27</v>
      </c>
      <c r="Q24" s="43">
        <v>10</v>
      </c>
      <c r="R24" s="41"/>
      <c r="S24" s="41"/>
      <c r="T24" s="41"/>
      <c r="U24" s="41"/>
    </row>
    <row r="25" spans="1:21" customFormat="1">
      <c r="A25" s="42" t="s">
        <v>77</v>
      </c>
      <c r="B25" s="43">
        <v>4.8099999999999996</v>
      </c>
      <c r="C25" s="43">
        <v>12.93</v>
      </c>
      <c r="D25" s="43">
        <v>10.62</v>
      </c>
      <c r="E25" s="43">
        <v>5.88</v>
      </c>
      <c r="F25" s="43">
        <v>0.03</v>
      </c>
      <c r="G25" s="43">
        <v>40.130000000000003</v>
      </c>
      <c r="H25" s="43">
        <v>12.89</v>
      </c>
      <c r="I25" s="43">
        <v>4.68</v>
      </c>
      <c r="J25" s="43">
        <v>0.39</v>
      </c>
      <c r="K25" s="43">
        <v>228.59</v>
      </c>
      <c r="L25" s="43">
        <v>28</v>
      </c>
      <c r="M25" s="43">
        <v>87.93</v>
      </c>
      <c r="N25" s="43">
        <v>77.900000000000006</v>
      </c>
      <c r="O25" s="43">
        <v>0</v>
      </c>
      <c r="P25" s="43">
        <v>0.26</v>
      </c>
      <c r="Q25" s="43">
        <v>10</v>
      </c>
      <c r="R25" s="41"/>
      <c r="S25" s="41"/>
      <c r="T25" s="41"/>
      <c r="U25" s="41"/>
    </row>
    <row r="26" spans="1:21" customFormat="1">
      <c r="A26" s="42" t="s">
        <v>78</v>
      </c>
      <c r="B26" s="43">
        <v>4.4000000000000004</v>
      </c>
      <c r="C26" s="43">
        <v>12.54</v>
      </c>
      <c r="D26" s="43">
        <v>10.08</v>
      </c>
      <c r="E26" s="43">
        <v>5.85</v>
      </c>
      <c r="F26" s="43">
        <v>7.0000000000000007E-2</v>
      </c>
      <c r="G26" s="43">
        <v>29.97</v>
      </c>
      <c r="H26" s="43">
        <v>10.94</v>
      </c>
      <c r="I26" s="43">
        <v>4.54</v>
      </c>
      <c r="J26" s="43">
        <v>0.34</v>
      </c>
      <c r="K26" s="43">
        <v>225.36</v>
      </c>
      <c r="L26" s="43">
        <v>27.81</v>
      </c>
      <c r="M26" s="43">
        <v>88.05</v>
      </c>
      <c r="N26" s="43">
        <v>43.7</v>
      </c>
      <c r="O26" s="43">
        <v>0</v>
      </c>
      <c r="P26" s="43">
        <v>0.25</v>
      </c>
      <c r="Q26" s="43">
        <v>10</v>
      </c>
      <c r="R26" s="41"/>
      <c r="S26" s="41"/>
      <c r="T26" s="41"/>
      <c r="U26" s="41"/>
    </row>
    <row r="27" spans="1:21" customFormat="1">
      <c r="A27" s="42" t="s">
        <v>79</v>
      </c>
      <c r="B27" s="43">
        <v>4.78</v>
      </c>
      <c r="C27" s="43">
        <v>12.28</v>
      </c>
      <c r="D27" s="43">
        <v>10.25</v>
      </c>
      <c r="E27" s="43">
        <v>4.96</v>
      </c>
      <c r="F27" s="43">
        <v>1.76</v>
      </c>
      <c r="G27" s="43">
        <v>24.74</v>
      </c>
      <c r="H27" s="43">
        <v>10.63</v>
      </c>
      <c r="I27" s="43">
        <v>4.7300000000000004</v>
      </c>
      <c r="J27" s="43">
        <v>0.19</v>
      </c>
      <c r="K27" s="43">
        <v>222.64</v>
      </c>
      <c r="L27" s="43">
        <v>27.15</v>
      </c>
      <c r="M27" s="43">
        <v>90.59</v>
      </c>
      <c r="N27" s="43">
        <v>4</v>
      </c>
      <c r="O27" s="43">
        <v>0</v>
      </c>
      <c r="P27" s="43">
        <v>0.23</v>
      </c>
      <c r="Q27" s="43">
        <v>10</v>
      </c>
      <c r="R27" s="41"/>
      <c r="S27" s="41"/>
      <c r="T27" s="41"/>
      <c r="U27" s="41"/>
    </row>
    <row r="28" spans="1:21" customFormat="1">
      <c r="A28" s="42" t="s">
        <v>80</v>
      </c>
      <c r="B28" s="43">
        <v>5.15</v>
      </c>
      <c r="C28" s="43">
        <v>12.34</v>
      </c>
      <c r="D28" s="43">
        <v>10.48</v>
      </c>
      <c r="E28" s="43">
        <v>4.9000000000000004</v>
      </c>
      <c r="F28" s="43">
        <v>0.94</v>
      </c>
      <c r="G28" s="43">
        <v>19.16</v>
      </c>
      <c r="H28" s="43">
        <v>8.92</v>
      </c>
      <c r="I28" s="43">
        <v>5.16</v>
      </c>
      <c r="J28" s="43">
        <v>0.27</v>
      </c>
      <c r="K28" s="43">
        <v>231.97</v>
      </c>
      <c r="L28" s="43">
        <v>26.92</v>
      </c>
      <c r="M28" s="43">
        <v>91.62</v>
      </c>
      <c r="N28" s="43">
        <v>2.1</v>
      </c>
      <c r="O28" s="43">
        <v>0</v>
      </c>
      <c r="P28" s="43">
        <v>0.25</v>
      </c>
      <c r="Q28" s="43">
        <v>10</v>
      </c>
      <c r="R28" s="41"/>
      <c r="S28" s="41"/>
      <c r="T28" s="41"/>
      <c r="U28" s="41"/>
    </row>
    <row r="29" spans="1:21" customFormat="1">
      <c r="A29" s="42" t="s">
        <v>81</v>
      </c>
      <c r="B29" s="43">
        <v>5.77</v>
      </c>
      <c r="C29" s="43">
        <v>11.96</v>
      </c>
      <c r="D29" s="43">
        <v>10.83</v>
      </c>
      <c r="E29" s="43">
        <v>4.9800000000000004</v>
      </c>
      <c r="F29" s="43">
        <v>1.1599999999999999</v>
      </c>
      <c r="G29" s="43">
        <v>18.2</v>
      </c>
      <c r="H29" s="43">
        <v>8.31</v>
      </c>
      <c r="I29" s="43">
        <v>5.23</v>
      </c>
      <c r="J29" s="43">
        <v>0.24</v>
      </c>
      <c r="K29" s="43">
        <v>224.79</v>
      </c>
      <c r="L29" s="43">
        <v>26.79</v>
      </c>
      <c r="M29" s="43">
        <v>91.1</v>
      </c>
      <c r="N29" s="43">
        <v>2.2000000000000002</v>
      </c>
      <c r="O29" s="43">
        <v>0</v>
      </c>
      <c r="P29" s="43">
        <v>0.25</v>
      </c>
      <c r="Q29" s="43">
        <v>10</v>
      </c>
      <c r="R29" s="41"/>
      <c r="S29" s="41"/>
      <c r="T29" s="41"/>
      <c r="U29" s="41"/>
    </row>
    <row r="30" spans="1:21" customFormat="1">
      <c r="A30" s="42" t="s">
        <v>82</v>
      </c>
      <c r="B30" s="43">
        <v>6.13</v>
      </c>
      <c r="C30" s="43">
        <v>11.84</v>
      </c>
      <c r="D30" s="43">
        <v>11.05</v>
      </c>
      <c r="E30" s="43">
        <v>4.83</v>
      </c>
      <c r="F30" s="43">
        <v>0.79</v>
      </c>
      <c r="G30" s="43">
        <v>13.08</v>
      </c>
      <c r="H30" s="43">
        <v>8.14</v>
      </c>
      <c r="I30" s="43">
        <v>5.38</v>
      </c>
      <c r="J30" s="43">
        <v>0.14000000000000001</v>
      </c>
      <c r="K30" s="43">
        <v>192.01</v>
      </c>
      <c r="L30" s="43">
        <v>26.4</v>
      </c>
      <c r="M30" s="43">
        <v>91.56</v>
      </c>
      <c r="N30" s="43">
        <v>2.1</v>
      </c>
      <c r="O30" s="43">
        <v>0</v>
      </c>
      <c r="P30" s="43">
        <v>0.25</v>
      </c>
      <c r="Q30" s="43">
        <v>10</v>
      </c>
      <c r="R30" s="41"/>
      <c r="S30" s="41"/>
      <c r="T30" s="41"/>
      <c r="U30" s="41"/>
    </row>
    <row r="31" spans="1:21" customFormat="1">
      <c r="A31" s="42" t="s">
        <v>83</v>
      </c>
      <c r="B31" s="43">
        <v>6.44</v>
      </c>
      <c r="C31" s="43">
        <v>11.87</v>
      </c>
      <c r="D31" s="43">
        <v>11.32</v>
      </c>
      <c r="E31" s="43">
        <v>4.93</v>
      </c>
      <c r="F31" s="43">
        <v>0.22</v>
      </c>
      <c r="G31" s="43">
        <v>15.61</v>
      </c>
      <c r="H31" s="43">
        <v>6.93</v>
      </c>
      <c r="I31" s="43">
        <v>5.37</v>
      </c>
      <c r="J31" s="43">
        <v>0.12</v>
      </c>
      <c r="K31" s="43">
        <v>224.12</v>
      </c>
      <c r="L31" s="43">
        <v>26.19</v>
      </c>
      <c r="M31" s="43">
        <v>91.74</v>
      </c>
      <c r="N31" s="43">
        <v>2.1</v>
      </c>
      <c r="O31" s="43">
        <v>0</v>
      </c>
      <c r="P31" s="43">
        <v>0.25</v>
      </c>
      <c r="Q31" s="43">
        <v>10</v>
      </c>
      <c r="R31" s="41"/>
      <c r="S31" s="41"/>
      <c r="T31" s="41"/>
      <c r="U31" s="41"/>
    </row>
    <row r="32" spans="1:21" customFormat="1">
      <c r="A32" s="42" t="s">
        <v>84</v>
      </c>
      <c r="B32" s="43">
        <v>6.28</v>
      </c>
      <c r="C32" s="43">
        <v>12.06</v>
      </c>
      <c r="D32" s="43">
        <v>11.34</v>
      </c>
      <c r="E32" s="43">
        <v>5.09</v>
      </c>
      <c r="F32" s="43">
        <v>0.22</v>
      </c>
      <c r="G32" s="43">
        <v>15.97</v>
      </c>
      <c r="H32" s="43">
        <v>5.52</v>
      </c>
      <c r="I32" s="43">
        <v>5.21</v>
      </c>
      <c r="J32" s="43">
        <v>0.2</v>
      </c>
      <c r="K32" s="43">
        <v>230.5</v>
      </c>
      <c r="L32" s="43">
        <v>26.4</v>
      </c>
      <c r="M32" s="43">
        <v>92.27</v>
      </c>
      <c r="N32" s="43">
        <v>2.1</v>
      </c>
      <c r="O32" s="43">
        <v>0</v>
      </c>
      <c r="P32" s="43">
        <v>0.26</v>
      </c>
      <c r="Q32" s="43">
        <v>10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4.4000000000000004</v>
      </c>
      <c r="C34" s="18">
        <f t="shared" si="0"/>
        <v>11.5</v>
      </c>
      <c r="D34" s="18">
        <f t="shared" si="0"/>
        <v>9.9700000000000006</v>
      </c>
      <c r="E34" s="18">
        <f t="shared" si="0"/>
        <v>4.83</v>
      </c>
      <c r="F34" s="18">
        <f t="shared" si="0"/>
        <v>0.01</v>
      </c>
      <c r="G34" s="18">
        <f t="shared" si="0"/>
        <v>7.65</v>
      </c>
      <c r="H34" s="18">
        <f t="shared" si="0"/>
        <v>2.46</v>
      </c>
      <c r="I34" s="18">
        <f t="shared" si="0"/>
        <v>3.43</v>
      </c>
      <c r="J34" s="18">
        <f t="shared" si="0"/>
        <v>0.12</v>
      </c>
      <c r="K34" s="18">
        <f t="shared" si="0"/>
        <v>57.19</v>
      </c>
      <c r="L34" s="18">
        <f t="shared" si="0"/>
        <v>24.96</v>
      </c>
      <c r="M34" s="18">
        <f t="shared" si="0"/>
        <v>77.400000000000006</v>
      </c>
      <c r="N34" s="18">
        <f t="shared" si="0"/>
        <v>2.1</v>
      </c>
      <c r="O34" s="18">
        <f t="shared" si="0"/>
        <v>0</v>
      </c>
      <c r="P34" s="18">
        <f t="shared" si="0"/>
        <v>0.22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7.32</v>
      </c>
      <c r="C35" s="3">
        <f t="shared" si="1"/>
        <v>13.78</v>
      </c>
      <c r="D35" s="3">
        <f t="shared" si="1"/>
        <v>12.81</v>
      </c>
      <c r="E35" s="3">
        <f t="shared" si="1"/>
        <v>6.48</v>
      </c>
      <c r="F35" s="3">
        <f t="shared" si="1"/>
        <v>1.76</v>
      </c>
      <c r="G35" s="3">
        <f t="shared" si="1"/>
        <v>41.59</v>
      </c>
      <c r="H35" s="3">
        <f t="shared" si="1"/>
        <v>13.41</v>
      </c>
      <c r="I35" s="3">
        <f t="shared" si="1"/>
        <v>5.38</v>
      </c>
      <c r="J35" s="3">
        <f t="shared" si="1"/>
        <v>0.64</v>
      </c>
      <c r="K35" s="3">
        <f t="shared" si="1"/>
        <v>336.27</v>
      </c>
      <c r="L35" s="3">
        <f t="shared" si="1"/>
        <v>30.9</v>
      </c>
      <c r="M35" s="3">
        <f t="shared" si="1"/>
        <v>95.49</v>
      </c>
      <c r="N35" s="3">
        <f t="shared" si="1"/>
        <v>466.3</v>
      </c>
      <c r="O35" s="3">
        <f t="shared" si="1"/>
        <v>0</v>
      </c>
      <c r="P35" s="3">
        <f t="shared" si="1"/>
        <v>0.34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5.8166666666666664</v>
      </c>
      <c r="C36" s="18">
        <f t="shared" si="2"/>
        <v>12.295416666666666</v>
      </c>
      <c r="D36" s="18">
        <f t="shared" si="2"/>
        <v>11.065416666666666</v>
      </c>
      <c r="E36" s="18">
        <f t="shared" si="2"/>
        <v>5.6483333333333325</v>
      </c>
      <c r="F36" s="18">
        <f t="shared" si="2"/>
        <v>0.47458333333333352</v>
      </c>
      <c r="G36" s="18">
        <f t="shared" si="2"/>
        <v>20.72666666666667</v>
      </c>
      <c r="H36" s="18">
        <f t="shared" si="2"/>
        <v>7.7966666666666677</v>
      </c>
      <c r="I36" s="18">
        <f t="shared" si="2"/>
        <v>4.6416666666666666</v>
      </c>
      <c r="J36" s="18">
        <f t="shared" si="2"/>
        <v>0.37333333333333329</v>
      </c>
      <c r="K36" s="18">
        <f t="shared" si="2"/>
        <v>226.18041666666667</v>
      </c>
      <c r="L36" s="18">
        <f t="shared" si="2"/>
        <v>27.253749999999997</v>
      </c>
      <c r="M36" s="18">
        <f t="shared" si="2"/>
        <v>89.30374999999998</v>
      </c>
      <c r="N36" s="18">
        <f t="shared" si="2"/>
        <v>90.2708333333333</v>
      </c>
      <c r="O36" s="18">
        <f t="shared" si="2"/>
        <v>0</v>
      </c>
      <c r="P36" s="18">
        <f t="shared" si="2"/>
        <v>0.25666666666666665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0.76558966570342768</v>
      </c>
      <c r="C37" s="18">
        <f t="shared" ref="C37:Q37" si="3">STDEV(C9:C32)</f>
        <v>0.68612319318901027</v>
      </c>
      <c r="D37" s="18">
        <f t="shared" si="3"/>
        <v>0.82955189143278429</v>
      </c>
      <c r="E37" s="18">
        <f t="shared" si="3"/>
        <v>0.50775436261407247</v>
      </c>
      <c r="F37" s="18">
        <f t="shared" si="3"/>
        <v>0.50922771165642633</v>
      </c>
      <c r="G37" s="18">
        <f t="shared" si="3"/>
        <v>10.605728012101128</v>
      </c>
      <c r="H37" s="18">
        <f t="shared" si="3"/>
        <v>3.4980922336842828</v>
      </c>
      <c r="I37" s="18">
        <f t="shared" si="3"/>
        <v>0.5602535657816109</v>
      </c>
      <c r="J37" s="18">
        <f t="shared" si="3"/>
        <v>0.16300617930849637</v>
      </c>
      <c r="K37" s="18">
        <f t="shared" si="3"/>
        <v>43.671164148436581</v>
      </c>
      <c r="L37" s="18">
        <f t="shared" si="3"/>
        <v>1.6988584722382416</v>
      </c>
      <c r="M37" s="18">
        <f t="shared" si="3"/>
        <v>6.2229308155227478</v>
      </c>
      <c r="N37" s="18">
        <f t="shared" si="3"/>
        <v>128.68240810537046</v>
      </c>
      <c r="O37" s="18">
        <f t="shared" si="3"/>
        <v>0</v>
      </c>
      <c r="P37" s="18">
        <f t="shared" si="3"/>
        <v>3.0168608312884402E-2</v>
      </c>
      <c r="Q37" s="18">
        <f t="shared" si="3"/>
        <v>0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6"/>
  <sheetViews>
    <sheetView zoomScale="85" zoomScaleNormal="85" workbookViewId="0">
      <pane xSplit="2" ySplit="8" topLeftCell="C18" activePane="bottomRight" state="frozen"/>
      <selection activeCell="G19" sqref="G19"/>
      <selection pane="topRight" activeCell="G19" sqref="G19"/>
      <selection pane="bottomLeft" activeCell="G19" sqref="G19"/>
      <selection pane="bottomRight" activeCell="F17" sqref="F17:F1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3" width="11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02/09/2025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85</v>
      </c>
      <c r="B9" s="43">
        <v>5.82</v>
      </c>
      <c r="C9" s="43">
        <v>11.93</v>
      </c>
      <c r="D9" s="43">
        <v>10.76</v>
      </c>
      <c r="E9" s="43">
        <v>5.28</v>
      </c>
      <c r="F9" s="43">
        <v>0.01</v>
      </c>
      <c r="G9" s="43">
        <v>19.03</v>
      </c>
      <c r="H9" s="43">
        <v>6.75</v>
      </c>
      <c r="I9" s="43">
        <v>5.15</v>
      </c>
      <c r="J9" s="43">
        <v>0.67</v>
      </c>
      <c r="K9" s="43">
        <v>231.14</v>
      </c>
      <c r="L9" s="43">
        <v>26.4</v>
      </c>
      <c r="M9" s="43">
        <v>91.83</v>
      </c>
      <c r="N9" s="43">
        <v>2.8</v>
      </c>
      <c r="O9" s="43">
        <v>0</v>
      </c>
      <c r="P9" s="43">
        <v>0.25</v>
      </c>
      <c r="Q9" s="43">
        <v>10</v>
      </c>
      <c r="R9" s="41"/>
      <c r="S9" s="41"/>
      <c r="T9" s="41"/>
      <c r="U9" s="41"/>
    </row>
    <row r="10" spans="1:21" customFormat="1">
      <c r="A10" s="42" t="s">
        <v>86</v>
      </c>
      <c r="B10" s="43">
        <v>5.22</v>
      </c>
      <c r="C10" s="43">
        <v>11.91</v>
      </c>
      <c r="D10" s="43">
        <v>10.4</v>
      </c>
      <c r="E10" s="43">
        <v>5.57</v>
      </c>
      <c r="F10" s="43">
        <v>0.03</v>
      </c>
      <c r="G10" s="43">
        <v>18.34</v>
      </c>
      <c r="H10" s="43">
        <v>6.51</v>
      </c>
      <c r="I10" s="43">
        <v>4.8099999999999996</v>
      </c>
      <c r="J10" s="43">
        <v>0.65</v>
      </c>
      <c r="K10" s="43">
        <v>229.18</v>
      </c>
      <c r="L10" s="43">
        <v>25.6</v>
      </c>
      <c r="M10" s="43">
        <v>91.67</v>
      </c>
      <c r="N10" s="43">
        <v>2.4</v>
      </c>
      <c r="O10" s="43">
        <v>0</v>
      </c>
      <c r="P10" s="43">
        <v>0.23</v>
      </c>
      <c r="Q10" s="43">
        <v>10</v>
      </c>
      <c r="R10" s="41"/>
      <c r="S10" s="41"/>
      <c r="T10" s="41"/>
      <c r="U10" s="41"/>
    </row>
    <row r="11" spans="1:21" customFormat="1">
      <c r="A11" s="42" t="s">
        <v>87</v>
      </c>
      <c r="B11" s="43">
        <v>4.75</v>
      </c>
      <c r="C11" s="43">
        <v>11.88</v>
      </c>
      <c r="D11" s="43">
        <v>10.02</v>
      </c>
      <c r="E11" s="43">
        <v>5.42</v>
      </c>
      <c r="F11" s="43">
        <v>0.21</v>
      </c>
      <c r="G11" s="43">
        <v>13.44</v>
      </c>
      <c r="H11" s="43">
        <v>5.0199999999999996</v>
      </c>
      <c r="I11" s="43">
        <v>4.5199999999999996</v>
      </c>
      <c r="J11" s="43">
        <v>0.5</v>
      </c>
      <c r="K11" s="43">
        <v>228.24</v>
      </c>
      <c r="L11" s="43">
        <v>25.28</v>
      </c>
      <c r="M11" s="43">
        <v>92.16</v>
      </c>
      <c r="N11" s="43">
        <v>2.2999999999999998</v>
      </c>
      <c r="O11" s="43">
        <v>0</v>
      </c>
      <c r="P11" s="43">
        <v>0.22</v>
      </c>
      <c r="Q11" s="43">
        <v>10</v>
      </c>
      <c r="R11" s="41"/>
      <c r="S11" s="41"/>
      <c r="T11" s="41"/>
      <c r="U11" s="41"/>
    </row>
    <row r="12" spans="1:21" customFormat="1">
      <c r="A12" s="42" t="s">
        <v>88</v>
      </c>
      <c r="B12" s="43">
        <v>4.53</v>
      </c>
      <c r="C12" s="43">
        <v>11.69</v>
      </c>
      <c r="D12" s="43">
        <v>9.7100000000000009</v>
      </c>
      <c r="E12" s="43">
        <v>5.31</v>
      </c>
      <c r="F12" s="43">
        <v>0.02</v>
      </c>
      <c r="G12" s="43">
        <v>10.91</v>
      </c>
      <c r="H12" s="43">
        <v>5.41</v>
      </c>
      <c r="I12" s="43">
        <v>4.43</v>
      </c>
      <c r="J12" s="43">
        <v>0.56999999999999995</v>
      </c>
      <c r="K12" s="43">
        <v>230.63</v>
      </c>
      <c r="L12" s="43">
        <v>25.18</v>
      </c>
      <c r="M12" s="43">
        <v>92.83</v>
      </c>
      <c r="N12" s="43">
        <v>2.2999999999999998</v>
      </c>
      <c r="O12" s="43">
        <v>0</v>
      </c>
      <c r="P12" s="43">
        <v>0.21</v>
      </c>
      <c r="Q12" s="43">
        <v>10</v>
      </c>
      <c r="R12" s="41"/>
      <c r="S12" s="41"/>
      <c r="T12" s="41"/>
      <c r="U12" s="41"/>
    </row>
    <row r="13" spans="1:21" customFormat="1">
      <c r="A13" s="42" t="s">
        <v>89</v>
      </c>
      <c r="B13" s="43">
        <v>5.15</v>
      </c>
      <c r="C13" s="43">
        <v>11.99</v>
      </c>
      <c r="D13" s="43">
        <v>10.4</v>
      </c>
      <c r="E13" s="43">
        <v>4.8499999999999996</v>
      </c>
      <c r="F13" s="43">
        <v>0.02</v>
      </c>
      <c r="G13" s="43">
        <v>13.88</v>
      </c>
      <c r="H13" s="43">
        <v>5.23</v>
      </c>
      <c r="I13" s="43">
        <v>4.54</v>
      </c>
      <c r="J13" s="43">
        <v>0.45</v>
      </c>
      <c r="K13" s="43">
        <v>231.98</v>
      </c>
      <c r="L13" s="43">
        <v>25.11</v>
      </c>
      <c r="M13" s="43">
        <v>93.06</v>
      </c>
      <c r="N13" s="43">
        <v>2.4</v>
      </c>
      <c r="O13" s="43">
        <v>0</v>
      </c>
      <c r="P13" s="43">
        <v>0.17</v>
      </c>
      <c r="Q13" s="43">
        <v>10</v>
      </c>
      <c r="R13" s="41"/>
      <c r="S13" s="41"/>
      <c r="T13" s="41"/>
      <c r="U13" s="41"/>
    </row>
    <row r="14" spans="1:21" customFormat="1">
      <c r="A14" s="42" t="s">
        <v>90</v>
      </c>
      <c r="B14" s="43">
        <v>5.82</v>
      </c>
      <c r="C14" s="43">
        <v>12.01</v>
      </c>
      <c r="D14" s="43">
        <v>10.87</v>
      </c>
      <c r="E14" s="43">
        <v>4.95</v>
      </c>
      <c r="F14" s="43">
        <v>0.02</v>
      </c>
      <c r="G14" s="43">
        <v>16.309999999999999</v>
      </c>
      <c r="H14" s="43">
        <v>7.04</v>
      </c>
      <c r="I14" s="43">
        <v>4.7300000000000004</v>
      </c>
      <c r="J14" s="43">
        <v>0.34</v>
      </c>
      <c r="K14" s="43">
        <v>230.76</v>
      </c>
      <c r="L14" s="43">
        <v>25.13</v>
      </c>
      <c r="M14" s="43">
        <v>92.8</v>
      </c>
      <c r="N14" s="43">
        <v>4.2</v>
      </c>
      <c r="O14" s="43">
        <v>0</v>
      </c>
      <c r="P14" s="43">
        <v>0.19</v>
      </c>
      <c r="Q14" s="43">
        <v>10</v>
      </c>
      <c r="R14" s="41"/>
      <c r="S14" s="41"/>
      <c r="T14" s="41"/>
      <c r="U14" s="41"/>
    </row>
    <row r="15" spans="1:21" customFormat="1">
      <c r="A15" s="42" t="s">
        <v>91</v>
      </c>
      <c r="B15" s="43">
        <v>6.36</v>
      </c>
      <c r="C15" s="43">
        <v>11.99</v>
      </c>
      <c r="D15" s="43">
        <v>11.35</v>
      </c>
      <c r="E15" s="43">
        <v>4.74</v>
      </c>
      <c r="F15" s="43">
        <v>0.02</v>
      </c>
      <c r="G15" s="43">
        <v>15.69</v>
      </c>
      <c r="H15" s="43">
        <v>6.74</v>
      </c>
      <c r="I15" s="43">
        <v>5.23</v>
      </c>
      <c r="J15" s="43">
        <v>0.27</v>
      </c>
      <c r="K15" s="43">
        <v>230.27</v>
      </c>
      <c r="L15" s="43">
        <v>25.38</v>
      </c>
      <c r="M15" s="43">
        <v>92.43</v>
      </c>
      <c r="N15" s="43">
        <v>27.7</v>
      </c>
      <c r="O15" s="43">
        <v>0</v>
      </c>
      <c r="P15" s="43">
        <v>0.22</v>
      </c>
      <c r="Q15" s="43">
        <v>10</v>
      </c>
      <c r="R15" s="41"/>
      <c r="S15" s="41"/>
      <c r="T15" s="41"/>
      <c r="U15" s="41"/>
    </row>
    <row r="16" spans="1:21" customFormat="1">
      <c r="A16" s="42" t="s">
        <v>92</v>
      </c>
      <c r="B16" s="43">
        <v>7.13</v>
      </c>
      <c r="C16" s="43">
        <v>12.14</v>
      </c>
      <c r="D16" s="43">
        <v>12.06</v>
      </c>
      <c r="E16" s="43">
        <v>4.67</v>
      </c>
      <c r="F16" s="43">
        <v>0.01</v>
      </c>
      <c r="G16" s="43">
        <v>19.96</v>
      </c>
      <c r="H16" s="43">
        <v>5.09</v>
      </c>
      <c r="I16" s="43">
        <v>6.05</v>
      </c>
      <c r="J16" s="43">
        <v>0.44</v>
      </c>
      <c r="K16" s="43">
        <v>233.96</v>
      </c>
      <c r="L16" s="43">
        <v>25.85</v>
      </c>
      <c r="M16" s="43">
        <v>93.5</v>
      </c>
      <c r="N16" s="43">
        <v>45.8</v>
      </c>
      <c r="O16" s="43">
        <v>0</v>
      </c>
      <c r="P16" s="43">
        <v>0.25</v>
      </c>
      <c r="Q16" s="43">
        <v>10</v>
      </c>
      <c r="R16" s="41"/>
      <c r="S16" s="41"/>
      <c r="T16" s="41"/>
      <c r="U16" s="41"/>
    </row>
    <row r="17" spans="1:21" customFormat="1">
      <c r="A17" s="42" t="s">
        <v>93</v>
      </c>
      <c r="B17" s="43">
        <v>8.07</v>
      </c>
      <c r="C17" s="43">
        <v>12.57</v>
      </c>
      <c r="D17" s="43">
        <v>13.04</v>
      </c>
      <c r="E17" s="43">
        <v>5.0599999999999996</v>
      </c>
      <c r="F17" s="43">
        <v>0.01</v>
      </c>
      <c r="G17" s="43">
        <v>26.74</v>
      </c>
      <c r="H17" s="43">
        <v>8.52</v>
      </c>
      <c r="I17" s="43">
        <v>6.26</v>
      </c>
      <c r="J17" s="43">
        <v>0.52</v>
      </c>
      <c r="K17" s="43">
        <v>230.49</v>
      </c>
      <c r="L17" s="43">
        <v>27.24</v>
      </c>
      <c r="M17" s="43">
        <v>90.93</v>
      </c>
      <c r="N17" s="43">
        <v>207.1</v>
      </c>
      <c r="O17" s="43">
        <v>0</v>
      </c>
      <c r="P17" s="43">
        <v>0.28000000000000003</v>
      </c>
      <c r="Q17" s="43">
        <v>10</v>
      </c>
      <c r="R17" s="41"/>
      <c r="S17" s="41"/>
      <c r="T17" s="41"/>
      <c r="U17" s="41"/>
    </row>
    <row r="18" spans="1:21" customFormat="1">
      <c r="A18" s="42" t="s">
        <v>94</v>
      </c>
      <c r="B18" s="43">
        <v>9.02</v>
      </c>
      <c r="C18" s="43">
        <v>12.84</v>
      </c>
      <c r="D18" s="43">
        <v>13.94</v>
      </c>
      <c r="E18" s="43">
        <v>5.31</v>
      </c>
      <c r="F18" s="43">
        <v>0.01</v>
      </c>
      <c r="G18" s="43">
        <v>31.96</v>
      </c>
      <c r="H18" s="43">
        <v>14.34</v>
      </c>
      <c r="I18" s="43">
        <v>6.27</v>
      </c>
      <c r="J18" s="43">
        <v>0.48</v>
      </c>
      <c r="K18" s="43">
        <v>231.5</v>
      </c>
      <c r="L18" s="43">
        <v>28.52</v>
      </c>
      <c r="M18" s="43">
        <v>84.61</v>
      </c>
      <c r="N18" s="43">
        <v>220.2</v>
      </c>
      <c r="O18" s="43">
        <v>0</v>
      </c>
      <c r="P18" s="43">
        <v>0.33</v>
      </c>
      <c r="Q18" s="43">
        <v>10</v>
      </c>
      <c r="R18" s="41"/>
      <c r="S18" s="41"/>
      <c r="T18" s="41"/>
      <c r="U18" s="41"/>
    </row>
    <row r="19" spans="1:21" customFormat="1">
      <c r="A19" s="42" t="s">
        <v>95</v>
      </c>
      <c r="B19" s="43">
        <v>9.33</v>
      </c>
      <c r="C19" s="43">
        <v>13.11</v>
      </c>
      <c r="D19" s="43">
        <v>14.25</v>
      </c>
      <c r="E19" s="43">
        <v>5.99</v>
      </c>
      <c r="F19" s="43">
        <v>3.51</v>
      </c>
      <c r="G19" s="43">
        <v>47.84</v>
      </c>
      <c r="H19" s="43">
        <v>14.2</v>
      </c>
      <c r="I19" s="43">
        <v>6.32</v>
      </c>
      <c r="J19" s="43">
        <v>0.19</v>
      </c>
      <c r="K19" s="43">
        <v>234.46</v>
      </c>
      <c r="L19" s="43">
        <v>29.94</v>
      </c>
      <c r="M19" s="43">
        <v>81.260000000000005</v>
      </c>
      <c r="N19" s="43">
        <v>406</v>
      </c>
      <c r="O19" s="43">
        <v>0</v>
      </c>
      <c r="P19" s="43">
        <v>0.37</v>
      </c>
      <c r="Q19" s="43">
        <v>10</v>
      </c>
      <c r="R19" s="41"/>
      <c r="S19" s="41"/>
      <c r="T19" s="41"/>
      <c r="U19" s="41"/>
    </row>
    <row r="20" spans="1:21" customFormat="1">
      <c r="A20" s="42" t="s">
        <v>96</v>
      </c>
      <c r="B20" s="43">
        <v>8.9</v>
      </c>
      <c r="C20" s="43">
        <v>14.36</v>
      </c>
      <c r="D20" s="43">
        <v>14.49</v>
      </c>
      <c r="E20" s="43">
        <v>7.66</v>
      </c>
      <c r="F20" s="43">
        <v>3.69</v>
      </c>
      <c r="G20" s="43">
        <v>47.82</v>
      </c>
      <c r="H20" s="43">
        <v>14.62</v>
      </c>
      <c r="I20" s="43">
        <v>6.38</v>
      </c>
      <c r="J20" s="43">
        <v>0.31</v>
      </c>
      <c r="K20" s="43">
        <v>54.08</v>
      </c>
      <c r="L20" s="43">
        <v>29.58</v>
      </c>
      <c r="M20" s="43">
        <v>80.45</v>
      </c>
      <c r="N20" s="43">
        <v>246.4</v>
      </c>
      <c r="O20" s="43">
        <v>0</v>
      </c>
      <c r="P20" s="43">
        <v>0.42</v>
      </c>
      <c r="Q20" s="43">
        <v>10</v>
      </c>
      <c r="R20" s="41"/>
      <c r="S20" s="41"/>
      <c r="T20" s="41"/>
      <c r="U20" s="41"/>
    </row>
    <row r="21" spans="1:21" customFormat="1">
      <c r="A21" s="42" t="s">
        <v>97</v>
      </c>
      <c r="B21" s="43">
        <v>7.39</v>
      </c>
      <c r="C21" s="43">
        <v>14.61</v>
      </c>
      <c r="D21" s="43">
        <v>13.37</v>
      </c>
      <c r="E21" s="43">
        <v>5.0999999999999996</v>
      </c>
      <c r="F21" s="43">
        <v>9.74</v>
      </c>
      <c r="G21" s="43">
        <v>185.86</v>
      </c>
      <c r="H21" s="43">
        <v>15.29</v>
      </c>
      <c r="I21" s="43">
        <v>6.19</v>
      </c>
      <c r="J21" s="43">
        <v>0.39</v>
      </c>
      <c r="K21" s="43">
        <v>232.67</v>
      </c>
      <c r="L21" s="43">
        <v>30.16</v>
      </c>
      <c r="M21" s="43">
        <v>78.349999999999994</v>
      </c>
      <c r="N21" s="43">
        <v>403.3</v>
      </c>
      <c r="O21" s="43">
        <v>0</v>
      </c>
      <c r="P21" s="43">
        <v>0.37</v>
      </c>
      <c r="Q21" s="43">
        <v>10</v>
      </c>
      <c r="R21" s="41"/>
      <c r="S21" s="41"/>
      <c r="T21" s="41"/>
      <c r="U21" s="41"/>
    </row>
    <row r="22" spans="1:21" customFormat="1">
      <c r="A22" s="42" t="s">
        <v>98</v>
      </c>
      <c r="B22" s="43">
        <v>4.47</v>
      </c>
      <c r="C22" s="43">
        <v>14.52</v>
      </c>
      <c r="D22" s="43">
        <v>11.07</v>
      </c>
      <c r="E22" s="43">
        <v>7.38</v>
      </c>
      <c r="F22" s="43">
        <v>11</v>
      </c>
      <c r="G22" s="43">
        <v>171.2</v>
      </c>
      <c r="H22" s="43">
        <v>15.16</v>
      </c>
      <c r="I22" s="43">
        <v>5.32</v>
      </c>
      <c r="J22" s="43">
        <v>0.28999999999999998</v>
      </c>
      <c r="K22" s="43">
        <v>230.52</v>
      </c>
      <c r="L22" s="43">
        <v>30.25</v>
      </c>
      <c r="M22" s="43">
        <v>80.040000000000006</v>
      </c>
      <c r="N22" s="43">
        <v>205</v>
      </c>
      <c r="O22" s="43">
        <v>0</v>
      </c>
      <c r="P22" s="43">
        <v>0.33</v>
      </c>
      <c r="Q22" s="43">
        <v>10</v>
      </c>
      <c r="R22" s="41"/>
      <c r="S22" s="41"/>
      <c r="T22" s="41"/>
      <c r="U22" s="41"/>
    </row>
    <row r="23" spans="1:21" customFormat="1">
      <c r="A23" s="42" t="s">
        <v>99</v>
      </c>
      <c r="B23" s="43">
        <v>3.43</v>
      </c>
      <c r="C23" s="43">
        <v>14.89</v>
      </c>
      <c r="D23" s="43">
        <v>10.27</v>
      </c>
      <c r="E23" s="43">
        <v>6.83</v>
      </c>
      <c r="F23" s="43">
        <v>8.8800000000000008</v>
      </c>
      <c r="G23" s="43">
        <v>74.069999999999993</v>
      </c>
      <c r="H23" s="43">
        <v>14.41</v>
      </c>
      <c r="I23" s="43">
        <v>4.32</v>
      </c>
      <c r="J23" s="43">
        <v>0.38</v>
      </c>
      <c r="K23" s="43">
        <v>230.64</v>
      </c>
      <c r="L23" s="43">
        <v>30.45</v>
      </c>
      <c r="M23" s="43">
        <v>77.790000000000006</v>
      </c>
      <c r="N23" s="43">
        <v>168.5</v>
      </c>
      <c r="O23" s="43">
        <v>0</v>
      </c>
      <c r="P23" s="43">
        <v>0.3</v>
      </c>
      <c r="Q23" s="43">
        <v>10</v>
      </c>
      <c r="R23" s="41"/>
      <c r="S23" s="41"/>
      <c r="T23" s="41"/>
      <c r="U23" s="41"/>
    </row>
    <row r="24" spans="1:21" customFormat="1">
      <c r="A24" s="42" t="s">
        <v>100</v>
      </c>
      <c r="B24" s="43">
        <v>2.92</v>
      </c>
      <c r="C24" s="43">
        <v>14.82</v>
      </c>
      <c r="D24" s="43">
        <v>9.9700000000000006</v>
      </c>
      <c r="E24" s="43">
        <v>5.68</v>
      </c>
      <c r="F24" s="43">
        <v>19.86</v>
      </c>
      <c r="G24" s="43">
        <v>61.17</v>
      </c>
      <c r="H24" s="43">
        <v>17.63</v>
      </c>
      <c r="I24" s="43">
        <v>4.58</v>
      </c>
      <c r="J24" s="43">
        <v>0.3</v>
      </c>
      <c r="K24" s="43">
        <v>223.67</v>
      </c>
      <c r="L24" s="43">
        <v>30.68</v>
      </c>
      <c r="M24" s="43">
        <v>79.099999999999994</v>
      </c>
      <c r="N24" s="43">
        <v>131.1</v>
      </c>
      <c r="O24" s="43">
        <v>0</v>
      </c>
      <c r="P24" s="43">
        <v>0.27</v>
      </c>
      <c r="Q24" s="43">
        <v>10</v>
      </c>
      <c r="R24" s="41"/>
      <c r="S24" s="41"/>
      <c r="T24" s="41"/>
      <c r="U24" s="41"/>
    </row>
    <row r="25" spans="1:21" customFormat="1">
      <c r="A25" s="42" t="s">
        <v>101</v>
      </c>
      <c r="B25" s="43">
        <v>2.5299999999999998</v>
      </c>
      <c r="C25" s="43">
        <v>13.34</v>
      </c>
      <c r="D25" s="43">
        <v>9</v>
      </c>
      <c r="E25" s="43">
        <v>4.5199999999999996</v>
      </c>
      <c r="F25" s="43">
        <v>19.079999999999998</v>
      </c>
      <c r="G25" s="43">
        <v>52.54</v>
      </c>
      <c r="H25" s="43">
        <v>17.68</v>
      </c>
      <c r="I25" s="43">
        <v>3.96</v>
      </c>
      <c r="J25" s="43">
        <v>0.62</v>
      </c>
      <c r="K25" s="43">
        <v>227.49</v>
      </c>
      <c r="L25" s="43">
        <v>29.85</v>
      </c>
      <c r="M25" s="43">
        <v>92.2</v>
      </c>
      <c r="N25" s="43">
        <v>15.1</v>
      </c>
      <c r="O25" s="43">
        <v>4.8</v>
      </c>
      <c r="P25" s="43">
        <v>0.25</v>
      </c>
      <c r="Q25" s="43">
        <v>10</v>
      </c>
      <c r="R25" s="41"/>
      <c r="S25" s="41"/>
      <c r="T25" s="41"/>
      <c r="U25" s="41"/>
    </row>
    <row r="26" spans="1:21" customFormat="1">
      <c r="A26" s="42" t="s">
        <v>102</v>
      </c>
      <c r="B26" s="43">
        <v>1.5</v>
      </c>
      <c r="C26" s="43">
        <v>11.56</v>
      </c>
      <c r="D26" s="43">
        <v>7.23</v>
      </c>
      <c r="E26" s="43">
        <v>2.41</v>
      </c>
      <c r="F26" s="43">
        <v>12.9</v>
      </c>
      <c r="G26" s="43">
        <v>38.96</v>
      </c>
      <c r="H26" s="43">
        <v>17.62</v>
      </c>
      <c r="I26" s="43">
        <v>3.89</v>
      </c>
      <c r="J26" s="43">
        <v>0.17</v>
      </c>
      <c r="K26" s="43">
        <v>219.52</v>
      </c>
      <c r="L26" s="43">
        <v>25.02</v>
      </c>
      <c r="M26" s="43">
        <v>92.23</v>
      </c>
      <c r="N26" s="43">
        <v>17.100000000000001</v>
      </c>
      <c r="O26" s="43">
        <v>0</v>
      </c>
      <c r="P26" s="43">
        <v>0.16</v>
      </c>
      <c r="Q26" s="43">
        <v>10</v>
      </c>
      <c r="R26" s="41"/>
      <c r="S26" s="41"/>
      <c r="T26" s="41"/>
      <c r="U26" s="41"/>
    </row>
    <row r="27" spans="1:21" customFormat="1">
      <c r="A27" s="42" t="s">
        <v>103</v>
      </c>
      <c r="B27" s="43">
        <v>2.13</v>
      </c>
      <c r="C27" s="43">
        <v>12.1</v>
      </c>
      <c r="D27" s="43">
        <v>8.02</v>
      </c>
      <c r="E27" s="43">
        <v>3.75</v>
      </c>
      <c r="F27" s="43">
        <v>5.31</v>
      </c>
      <c r="G27" s="43">
        <v>20.63</v>
      </c>
      <c r="H27" s="43">
        <v>16.63</v>
      </c>
      <c r="I27" s="43">
        <v>3.59</v>
      </c>
      <c r="J27" s="43">
        <v>0.18</v>
      </c>
      <c r="K27" s="43">
        <v>186.14</v>
      </c>
      <c r="L27" s="43">
        <v>25.45</v>
      </c>
      <c r="M27" s="43">
        <v>92.97</v>
      </c>
      <c r="N27" s="43">
        <v>4.8</v>
      </c>
      <c r="O27" s="43">
        <v>0</v>
      </c>
      <c r="P27" s="43">
        <v>0.18</v>
      </c>
      <c r="Q27" s="43">
        <v>10</v>
      </c>
      <c r="R27" s="41"/>
      <c r="S27" s="41"/>
      <c r="T27" s="41"/>
      <c r="U27" s="41"/>
    </row>
    <row r="28" spans="1:21" customFormat="1">
      <c r="A28" s="42" t="s">
        <v>104</v>
      </c>
      <c r="B28" s="43">
        <v>3.39</v>
      </c>
      <c r="C28" s="43">
        <v>12.44</v>
      </c>
      <c r="D28" s="43">
        <v>9.2100000000000009</v>
      </c>
      <c r="E28" s="43">
        <v>4.71</v>
      </c>
      <c r="F28" s="43">
        <v>2</v>
      </c>
      <c r="G28" s="43">
        <v>28.9</v>
      </c>
      <c r="H28" s="43">
        <v>15.67</v>
      </c>
      <c r="I28" s="43">
        <v>3.92</v>
      </c>
      <c r="J28" s="43">
        <v>0.21</v>
      </c>
      <c r="K28" s="43">
        <v>214.05</v>
      </c>
      <c r="L28" s="43">
        <v>26.07</v>
      </c>
      <c r="M28" s="43">
        <v>92.91</v>
      </c>
      <c r="N28" s="43">
        <v>2.6</v>
      </c>
      <c r="O28" s="43">
        <v>0</v>
      </c>
      <c r="P28" s="43">
        <v>0.25</v>
      </c>
      <c r="Q28" s="43">
        <v>10</v>
      </c>
      <c r="R28" s="41"/>
      <c r="S28" s="41"/>
      <c r="T28" s="41"/>
      <c r="U28" s="41"/>
    </row>
    <row r="29" spans="1:21" customFormat="1">
      <c r="A29" s="42" t="s">
        <v>105</v>
      </c>
      <c r="B29" s="43">
        <v>3.96</v>
      </c>
      <c r="C29" s="43">
        <v>12.72</v>
      </c>
      <c r="D29" s="43">
        <v>9.8000000000000007</v>
      </c>
      <c r="E29" s="43">
        <v>5.3</v>
      </c>
      <c r="F29" s="43">
        <v>2.72</v>
      </c>
      <c r="G29" s="43">
        <v>28.8</v>
      </c>
      <c r="H29" s="43">
        <v>15.65</v>
      </c>
      <c r="I29" s="43">
        <v>4.66</v>
      </c>
      <c r="J29" s="43">
        <v>1.6</v>
      </c>
      <c r="K29" s="43">
        <v>67.459999999999994</v>
      </c>
      <c r="L29" s="43">
        <v>26.03</v>
      </c>
      <c r="M29" s="43">
        <v>94.99</v>
      </c>
      <c r="N29" s="43">
        <v>8</v>
      </c>
      <c r="O29" s="43">
        <v>2</v>
      </c>
      <c r="P29" s="43">
        <v>0.27</v>
      </c>
      <c r="Q29" s="43">
        <v>10</v>
      </c>
      <c r="R29" s="41"/>
      <c r="S29" s="41"/>
      <c r="T29" s="41"/>
      <c r="U29" s="41"/>
    </row>
    <row r="30" spans="1:21" customFormat="1">
      <c r="A30" s="42" t="s">
        <v>106</v>
      </c>
      <c r="B30" s="43">
        <v>3.72</v>
      </c>
      <c r="C30" s="43">
        <v>12.76</v>
      </c>
      <c r="D30" s="43">
        <v>9.65</v>
      </c>
      <c r="E30" s="43">
        <v>5.41</v>
      </c>
      <c r="F30" s="43">
        <v>2.04</v>
      </c>
      <c r="G30" s="43">
        <v>26.64</v>
      </c>
      <c r="H30" s="43">
        <v>14.86</v>
      </c>
      <c r="I30" s="43">
        <v>4.46</v>
      </c>
      <c r="J30" s="43">
        <v>0.38</v>
      </c>
      <c r="K30" s="43">
        <v>232.01</v>
      </c>
      <c r="L30" s="43">
        <v>23.58</v>
      </c>
      <c r="M30" s="43">
        <v>94.88</v>
      </c>
      <c r="N30" s="43">
        <v>2.2999999999999998</v>
      </c>
      <c r="O30" s="43">
        <v>1</v>
      </c>
      <c r="P30" s="43">
        <v>0.25</v>
      </c>
      <c r="Q30" s="43">
        <v>10</v>
      </c>
      <c r="R30" s="41"/>
      <c r="S30" s="41"/>
      <c r="T30" s="41"/>
      <c r="U30" s="41"/>
    </row>
    <row r="31" spans="1:21" customFormat="1">
      <c r="A31" s="42" t="s">
        <v>107</v>
      </c>
      <c r="B31" s="43">
        <v>5.14</v>
      </c>
      <c r="C31" s="43">
        <v>13.08</v>
      </c>
      <c r="D31" s="43">
        <v>10.96</v>
      </c>
      <c r="E31" s="43">
        <v>5.65</v>
      </c>
      <c r="F31" s="43">
        <v>2.0099999999999998</v>
      </c>
      <c r="G31" s="43">
        <v>19.61</v>
      </c>
      <c r="H31" s="43">
        <v>10.37</v>
      </c>
      <c r="I31" s="43">
        <v>4.91</v>
      </c>
      <c r="J31" s="43">
        <v>0.12</v>
      </c>
      <c r="K31" s="43">
        <v>240.21</v>
      </c>
      <c r="L31" s="43">
        <v>23.81</v>
      </c>
      <c r="M31" s="43">
        <v>93.96</v>
      </c>
      <c r="N31" s="43">
        <v>2.4</v>
      </c>
      <c r="O31" s="43">
        <v>0.8</v>
      </c>
      <c r="P31" s="43">
        <v>0.25</v>
      </c>
      <c r="Q31" s="43">
        <v>10</v>
      </c>
      <c r="R31" s="41"/>
      <c r="S31" s="41"/>
      <c r="T31" s="41"/>
      <c r="U31" s="41"/>
    </row>
    <row r="32" spans="1:21" customFormat="1">
      <c r="A32" s="42" t="s">
        <v>108</v>
      </c>
      <c r="B32" s="43">
        <v>6.4</v>
      </c>
      <c r="C32" s="43">
        <v>13.15</v>
      </c>
      <c r="D32" s="43">
        <v>11.92</v>
      </c>
      <c r="E32" s="43">
        <v>6.02</v>
      </c>
      <c r="F32" s="43">
        <v>2.02</v>
      </c>
      <c r="G32" s="43">
        <v>17.61</v>
      </c>
      <c r="H32" s="43">
        <v>7.37</v>
      </c>
      <c r="I32" s="43">
        <v>4.8499999999999996</v>
      </c>
      <c r="J32" s="43">
        <v>0.24</v>
      </c>
      <c r="K32" s="43">
        <v>232</v>
      </c>
      <c r="L32" s="43">
        <v>23.8</v>
      </c>
      <c r="M32" s="43">
        <v>94.32</v>
      </c>
      <c r="N32" s="43">
        <v>2.4</v>
      </c>
      <c r="O32" s="43">
        <v>0.4</v>
      </c>
      <c r="P32" s="43">
        <v>0.25</v>
      </c>
      <c r="Q32" s="43">
        <v>10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1.5</v>
      </c>
      <c r="C34" s="18">
        <f t="shared" si="0"/>
        <v>11.56</v>
      </c>
      <c r="D34" s="18">
        <f t="shared" si="0"/>
        <v>7.23</v>
      </c>
      <c r="E34" s="18">
        <f t="shared" si="0"/>
        <v>2.41</v>
      </c>
      <c r="F34" s="18">
        <f t="shared" si="0"/>
        <v>0.01</v>
      </c>
      <c r="G34" s="18">
        <f t="shared" si="0"/>
        <v>10.91</v>
      </c>
      <c r="H34" s="18">
        <f t="shared" si="0"/>
        <v>5.0199999999999996</v>
      </c>
      <c r="I34" s="18">
        <f t="shared" si="0"/>
        <v>3.59</v>
      </c>
      <c r="J34" s="18">
        <f t="shared" si="0"/>
        <v>0.12</v>
      </c>
      <c r="K34" s="18">
        <f t="shared" si="0"/>
        <v>54.08</v>
      </c>
      <c r="L34" s="18">
        <f t="shared" si="0"/>
        <v>23.58</v>
      </c>
      <c r="M34" s="18">
        <f t="shared" si="0"/>
        <v>77.790000000000006</v>
      </c>
      <c r="N34" s="18">
        <f t="shared" si="0"/>
        <v>2.2999999999999998</v>
      </c>
      <c r="O34" s="18">
        <f t="shared" si="0"/>
        <v>0</v>
      </c>
      <c r="P34" s="18">
        <f t="shared" si="0"/>
        <v>0.16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9.33</v>
      </c>
      <c r="C35" s="3">
        <f t="shared" si="1"/>
        <v>14.89</v>
      </c>
      <c r="D35" s="3">
        <f t="shared" si="1"/>
        <v>14.49</v>
      </c>
      <c r="E35" s="3">
        <f t="shared" si="1"/>
        <v>7.66</v>
      </c>
      <c r="F35" s="3">
        <f t="shared" si="1"/>
        <v>19.86</v>
      </c>
      <c r="G35" s="3">
        <f t="shared" si="1"/>
        <v>185.86</v>
      </c>
      <c r="H35" s="3">
        <f t="shared" si="1"/>
        <v>17.68</v>
      </c>
      <c r="I35" s="3">
        <f t="shared" si="1"/>
        <v>6.38</v>
      </c>
      <c r="J35" s="3">
        <f t="shared" si="1"/>
        <v>1.6</v>
      </c>
      <c r="K35" s="3">
        <f t="shared" si="1"/>
        <v>240.21</v>
      </c>
      <c r="L35" s="3">
        <f t="shared" si="1"/>
        <v>30.68</v>
      </c>
      <c r="M35" s="3">
        <f t="shared" si="1"/>
        <v>94.99</v>
      </c>
      <c r="N35" s="3">
        <f t="shared" si="1"/>
        <v>406</v>
      </c>
      <c r="O35" s="3">
        <f t="shared" si="1"/>
        <v>4.8</v>
      </c>
      <c r="P35" s="3">
        <f t="shared" si="1"/>
        <v>0.42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5.2950000000000008</v>
      </c>
      <c r="C36" s="18">
        <f t="shared" si="2"/>
        <v>12.850416666666668</v>
      </c>
      <c r="D36" s="18">
        <f t="shared" si="2"/>
        <v>10.906666666666668</v>
      </c>
      <c r="E36" s="18">
        <f t="shared" si="2"/>
        <v>5.3154166666666649</v>
      </c>
      <c r="F36" s="18">
        <f t="shared" si="2"/>
        <v>4.3800000000000008</v>
      </c>
      <c r="G36" s="18">
        <f t="shared" si="2"/>
        <v>41.996249999999996</v>
      </c>
      <c r="H36" s="18">
        <f t="shared" si="2"/>
        <v>11.575416666666667</v>
      </c>
      <c r="I36" s="18">
        <f t="shared" si="2"/>
        <v>4.9724999999999984</v>
      </c>
      <c r="J36" s="18">
        <f t="shared" si="2"/>
        <v>0.42791666666666667</v>
      </c>
      <c r="K36" s="18">
        <f t="shared" si="2"/>
        <v>213.87791666666666</v>
      </c>
      <c r="L36" s="18">
        <f t="shared" si="2"/>
        <v>26.848333333333333</v>
      </c>
      <c r="M36" s="18">
        <f t="shared" si="2"/>
        <v>89.219583333333333</v>
      </c>
      <c r="N36" s="18">
        <f t="shared" si="2"/>
        <v>88.841666666666683</v>
      </c>
      <c r="O36" s="18">
        <f t="shared" si="2"/>
        <v>0.375</v>
      </c>
      <c r="P36" s="18">
        <f t="shared" si="2"/>
        <v>0.26124999999999998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2.2087277471136089</v>
      </c>
      <c r="C37" s="18">
        <f t="shared" ref="C37:Q37" si="3">STDEV(C9:C32)</f>
        <v>1.060420257816874</v>
      </c>
      <c r="D37" s="18">
        <f t="shared" si="3"/>
        <v>1.8838828235199727</v>
      </c>
      <c r="E37" s="18">
        <f t="shared" si="3"/>
        <v>1.0721128232593398</v>
      </c>
      <c r="F37" s="18">
        <f t="shared" si="3"/>
        <v>6.0326366000138005</v>
      </c>
      <c r="G37" s="18">
        <f t="shared" si="3"/>
        <v>45.175647808208623</v>
      </c>
      <c r="H37" s="18">
        <f t="shared" si="3"/>
        <v>4.770053303108126</v>
      </c>
      <c r="I37" s="18">
        <f t="shared" si="3"/>
        <v>0.85836675043998101</v>
      </c>
      <c r="J37" s="18">
        <f t="shared" si="3"/>
        <v>0.29532560021936388</v>
      </c>
      <c r="K37" s="18">
        <f t="shared" si="3"/>
        <v>48.288749070310047</v>
      </c>
      <c r="L37" s="18">
        <f t="shared" si="3"/>
        <v>2.3872790891044482</v>
      </c>
      <c r="M37" s="18">
        <f t="shared" si="3"/>
        <v>6.0793281087323434</v>
      </c>
      <c r="N37" s="18">
        <f t="shared" si="3"/>
        <v>128.75627436519667</v>
      </c>
      <c r="O37" s="18">
        <f t="shared" si="3"/>
        <v>1.052223318998148</v>
      </c>
      <c r="P37" s="18">
        <f t="shared" si="3"/>
        <v>6.5429185084865532E-2</v>
      </c>
      <c r="Q37" s="18">
        <f t="shared" si="3"/>
        <v>0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6"/>
  <sheetViews>
    <sheetView zoomScale="85" zoomScaleNormal="85" workbookViewId="0">
      <pane xSplit="2" ySplit="8" topLeftCell="C21" activePane="bottomRight" state="frozen"/>
      <selection activeCell="G19" sqref="G19"/>
      <selection pane="topRight" activeCell="G19" sqref="G19"/>
      <selection pane="bottomLeft" activeCell="G19" sqref="G19"/>
      <selection pane="bottomRight" activeCell="S13" sqref="S1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03/09/2025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109</v>
      </c>
      <c r="B9" s="43">
        <v>7.49</v>
      </c>
      <c r="C9" s="43">
        <v>13.01</v>
      </c>
      <c r="D9" s="43">
        <v>12.56</v>
      </c>
      <c r="E9" s="43">
        <v>5.48</v>
      </c>
      <c r="F9" s="43">
        <v>2.0299999999999998</v>
      </c>
      <c r="G9" s="43">
        <v>15.55</v>
      </c>
      <c r="H9" s="43">
        <v>5.38</v>
      </c>
      <c r="I9" s="43">
        <v>4.76</v>
      </c>
      <c r="J9" s="43">
        <v>0.14000000000000001</v>
      </c>
      <c r="K9" s="43">
        <v>230.78</v>
      </c>
      <c r="L9" s="43">
        <v>23.8</v>
      </c>
      <c r="M9" s="43">
        <v>94.32</v>
      </c>
      <c r="N9" s="43">
        <v>2.2999999999999998</v>
      </c>
      <c r="O9" s="43">
        <v>0.4</v>
      </c>
      <c r="P9" s="43">
        <v>0.23</v>
      </c>
      <c r="Q9" s="43">
        <v>10</v>
      </c>
      <c r="R9" s="41"/>
      <c r="S9" s="41"/>
      <c r="T9" s="41"/>
      <c r="U9" s="41"/>
    </row>
    <row r="10" spans="1:21" customFormat="1">
      <c r="A10" s="42" t="s">
        <v>110</v>
      </c>
      <c r="B10" s="43">
        <v>8.1</v>
      </c>
      <c r="C10" s="43">
        <v>12.36</v>
      </c>
      <c r="D10" s="43">
        <v>12.75</v>
      </c>
      <c r="E10" s="43">
        <v>5.55</v>
      </c>
      <c r="F10" s="43">
        <v>2</v>
      </c>
      <c r="G10" s="43">
        <v>14.31</v>
      </c>
      <c r="H10" s="43">
        <v>4.4400000000000004</v>
      </c>
      <c r="I10" s="43">
        <v>4.76</v>
      </c>
      <c r="J10" s="43">
        <v>0.17</v>
      </c>
      <c r="K10" s="43">
        <v>174.77</v>
      </c>
      <c r="L10" s="43">
        <v>23.84</v>
      </c>
      <c r="M10" s="43">
        <v>93.48</v>
      </c>
      <c r="N10" s="43">
        <v>2.2999999999999998</v>
      </c>
      <c r="O10" s="43">
        <v>0.2</v>
      </c>
      <c r="P10" s="43">
        <v>0.23</v>
      </c>
      <c r="Q10" s="43">
        <v>10</v>
      </c>
      <c r="R10" s="41"/>
      <c r="S10" s="41"/>
      <c r="T10" s="41"/>
      <c r="U10" s="41"/>
    </row>
    <row r="11" spans="1:21" customFormat="1">
      <c r="A11" s="42" t="s">
        <v>111</v>
      </c>
      <c r="B11" s="43">
        <v>8.4700000000000006</v>
      </c>
      <c r="C11" s="43">
        <v>12.09</v>
      </c>
      <c r="D11" s="43">
        <v>13.03</v>
      </c>
      <c r="E11" s="43">
        <v>4.93</v>
      </c>
      <c r="F11" s="43">
        <v>2</v>
      </c>
      <c r="G11" s="43">
        <v>5.95</v>
      </c>
      <c r="H11" s="43">
        <v>4.21</v>
      </c>
      <c r="I11" s="43">
        <v>4.74</v>
      </c>
      <c r="J11" s="43">
        <v>0.19</v>
      </c>
      <c r="K11" s="43">
        <v>228.01</v>
      </c>
      <c r="L11" s="43">
        <v>23.98</v>
      </c>
      <c r="M11" s="43">
        <v>92.26</v>
      </c>
      <c r="N11" s="43">
        <v>2.2999999999999998</v>
      </c>
      <c r="O11" s="43">
        <v>0</v>
      </c>
      <c r="P11" s="43">
        <v>0.23</v>
      </c>
      <c r="Q11" s="43">
        <v>10</v>
      </c>
      <c r="R11" s="41"/>
      <c r="S11" s="41"/>
      <c r="T11" s="41"/>
      <c r="U11" s="41"/>
    </row>
    <row r="12" spans="1:21" customFormat="1">
      <c r="A12" s="42" t="s">
        <v>112</v>
      </c>
      <c r="B12" s="43">
        <v>8.9600000000000009</v>
      </c>
      <c r="C12" s="43">
        <v>11.99</v>
      </c>
      <c r="D12" s="43">
        <v>13.39</v>
      </c>
      <c r="E12" s="43">
        <v>5.19</v>
      </c>
      <c r="F12" s="43">
        <v>2</v>
      </c>
      <c r="G12" s="43">
        <v>3.83</v>
      </c>
      <c r="H12" s="43">
        <v>4.05</v>
      </c>
      <c r="I12" s="43">
        <v>4.6900000000000004</v>
      </c>
      <c r="J12" s="43">
        <v>0.17</v>
      </c>
      <c r="K12" s="43">
        <v>227.08</v>
      </c>
      <c r="L12" s="43">
        <v>24</v>
      </c>
      <c r="M12" s="43">
        <v>92.42</v>
      </c>
      <c r="N12" s="43">
        <v>2.4</v>
      </c>
      <c r="O12" s="43">
        <v>0.2</v>
      </c>
      <c r="P12" s="43">
        <v>0.22</v>
      </c>
      <c r="Q12" s="43">
        <v>10</v>
      </c>
      <c r="R12" s="41"/>
      <c r="S12" s="41"/>
      <c r="T12" s="41"/>
      <c r="U12" s="41"/>
    </row>
    <row r="13" spans="1:21" customFormat="1">
      <c r="A13" s="42" t="s">
        <v>113</v>
      </c>
      <c r="B13" s="43">
        <v>8.98</v>
      </c>
      <c r="C13" s="43">
        <v>12.24</v>
      </c>
      <c r="D13" s="43">
        <v>13.49</v>
      </c>
      <c r="E13" s="43">
        <v>5.49</v>
      </c>
      <c r="F13" s="43">
        <v>2</v>
      </c>
      <c r="G13" s="43">
        <v>6.89</v>
      </c>
      <c r="H13" s="43">
        <v>3.1</v>
      </c>
      <c r="I13" s="43">
        <v>4.6900000000000004</v>
      </c>
      <c r="J13" s="43">
        <v>0.17</v>
      </c>
      <c r="K13" s="43">
        <v>221.1</v>
      </c>
      <c r="L13" s="43">
        <v>24.12</v>
      </c>
      <c r="M13" s="43">
        <v>90.71</v>
      </c>
      <c r="N13" s="43">
        <v>2.4</v>
      </c>
      <c r="O13" s="43">
        <v>0.2</v>
      </c>
      <c r="P13" s="43">
        <v>0.24</v>
      </c>
      <c r="Q13" s="43">
        <v>10</v>
      </c>
      <c r="R13" s="41"/>
      <c r="S13" s="41"/>
      <c r="T13" s="41"/>
      <c r="U13" s="41"/>
    </row>
    <row r="14" spans="1:21" customFormat="1">
      <c r="A14" s="42" t="s">
        <v>114</v>
      </c>
      <c r="B14" s="43">
        <v>8.19</v>
      </c>
      <c r="C14" s="43">
        <v>12.03</v>
      </c>
      <c r="D14" s="43">
        <v>12.85</v>
      </c>
      <c r="E14" s="43">
        <v>5.78</v>
      </c>
      <c r="F14" s="43">
        <v>2</v>
      </c>
      <c r="G14" s="43">
        <v>11.41</v>
      </c>
      <c r="H14" s="43">
        <v>2.4700000000000002</v>
      </c>
      <c r="I14" s="43">
        <v>4.51</v>
      </c>
      <c r="J14" s="43">
        <v>0.2</v>
      </c>
      <c r="K14" s="43">
        <v>217.15</v>
      </c>
      <c r="L14" s="43">
        <v>24.13</v>
      </c>
      <c r="M14" s="43">
        <v>90.49</v>
      </c>
      <c r="N14" s="43">
        <v>2.9</v>
      </c>
      <c r="O14" s="43">
        <v>0</v>
      </c>
      <c r="P14" s="43">
        <v>0.25</v>
      </c>
      <c r="Q14" s="43">
        <v>10</v>
      </c>
      <c r="R14" s="41"/>
      <c r="S14" s="41"/>
      <c r="T14" s="41"/>
      <c r="U14" s="41"/>
    </row>
    <row r="15" spans="1:21" customFormat="1">
      <c r="A15" s="42" t="s">
        <v>115</v>
      </c>
      <c r="B15" s="43">
        <v>7.62</v>
      </c>
      <c r="C15" s="43">
        <v>11.83</v>
      </c>
      <c r="D15" s="43">
        <v>12.29</v>
      </c>
      <c r="E15" s="43">
        <v>5.87</v>
      </c>
      <c r="F15" s="43">
        <v>2</v>
      </c>
      <c r="G15" s="43">
        <v>17.899999999999999</v>
      </c>
      <c r="H15" s="43">
        <v>2.15</v>
      </c>
      <c r="I15" s="43">
        <v>4.4800000000000004</v>
      </c>
      <c r="J15" s="43">
        <v>0.14000000000000001</v>
      </c>
      <c r="K15" s="43">
        <v>213.38</v>
      </c>
      <c r="L15" s="43">
        <v>24.21</v>
      </c>
      <c r="M15" s="43">
        <v>90.71</v>
      </c>
      <c r="N15" s="43">
        <v>16.8</v>
      </c>
      <c r="O15" s="43">
        <v>0.2</v>
      </c>
      <c r="P15" s="43">
        <v>0.25</v>
      </c>
      <c r="Q15" s="43">
        <v>10</v>
      </c>
      <c r="R15" s="41"/>
      <c r="S15" s="41"/>
      <c r="T15" s="41"/>
      <c r="U15" s="41"/>
    </row>
    <row r="16" spans="1:21" customFormat="1">
      <c r="A16" s="42" t="s">
        <v>116</v>
      </c>
      <c r="B16" s="43">
        <v>7.3</v>
      </c>
      <c r="C16" s="43">
        <v>11.69</v>
      </c>
      <c r="D16" s="43">
        <v>11.95</v>
      </c>
      <c r="E16" s="43">
        <v>6.01</v>
      </c>
      <c r="F16" s="43">
        <v>2</v>
      </c>
      <c r="G16" s="43">
        <v>16.510000000000002</v>
      </c>
      <c r="H16" s="43">
        <v>3.6</v>
      </c>
      <c r="I16" s="43">
        <v>4.34</v>
      </c>
      <c r="J16" s="43">
        <v>0.15</v>
      </c>
      <c r="K16" s="43">
        <v>136.91</v>
      </c>
      <c r="L16" s="43">
        <v>24.64</v>
      </c>
      <c r="M16" s="43">
        <v>90.04</v>
      </c>
      <c r="N16" s="43">
        <v>45.6</v>
      </c>
      <c r="O16" s="43">
        <v>0</v>
      </c>
      <c r="P16" s="43">
        <v>0.25</v>
      </c>
      <c r="Q16" s="43">
        <v>10</v>
      </c>
      <c r="R16" s="41"/>
      <c r="S16" s="41"/>
      <c r="T16" s="41"/>
      <c r="U16" s="41"/>
    </row>
    <row r="17" spans="1:21" customFormat="1">
      <c r="A17" s="42" t="s">
        <v>117</v>
      </c>
      <c r="B17" s="43">
        <v>7.04</v>
      </c>
      <c r="C17" s="43">
        <v>11.57</v>
      </c>
      <c r="D17" s="43">
        <v>11.66</v>
      </c>
      <c r="E17" s="43">
        <v>6.02</v>
      </c>
      <c r="F17" s="43">
        <v>2.02</v>
      </c>
      <c r="G17" s="43">
        <v>7.06</v>
      </c>
      <c r="H17" s="43">
        <v>4.51</v>
      </c>
      <c r="I17" s="43">
        <v>4.1900000000000004</v>
      </c>
      <c r="J17" s="43">
        <v>0.16</v>
      </c>
      <c r="K17" s="43">
        <v>180.25</v>
      </c>
      <c r="L17" s="43">
        <v>25.45</v>
      </c>
      <c r="M17" s="43">
        <v>89.92</v>
      </c>
      <c r="N17" s="43">
        <v>105.2</v>
      </c>
      <c r="O17" s="43">
        <v>0</v>
      </c>
      <c r="P17" s="43">
        <v>0.24</v>
      </c>
      <c r="Q17" s="43">
        <v>10</v>
      </c>
      <c r="R17" s="41"/>
      <c r="S17" s="41"/>
      <c r="T17" s="41"/>
      <c r="U17" s="41"/>
    </row>
    <row r="18" spans="1:21" customFormat="1">
      <c r="A18" s="42" t="s">
        <v>118</v>
      </c>
      <c r="B18" s="43">
        <v>7.6</v>
      </c>
      <c r="C18" s="43">
        <v>11.96</v>
      </c>
      <c r="D18" s="43">
        <v>12.35</v>
      </c>
      <c r="E18" s="43">
        <v>5.93</v>
      </c>
      <c r="F18" s="43">
        <v>2</v>
      </c>
      <c r="G18" s="43">
        <v>13.43</v>
      </c>
      <c r="H18" s="43">
        <v>5.76</v>
      </c>
      <c r="I18" s="43">
        <v>4.22</v>
      </c>
      <c r="J18" s="43">
        <v>0.25</v>
      </c>
      <c r="K18" s="43">
        <v>128.62</v>
      </c>
      <c r="L18" s="43">
        <v>26.22</v>
      </c>
      <c r="M18" s="43">
        <v>89.4</v>
      </c>
      <c r="N18" s="43">
        <v>106.2</v>
      </c>
      <c r="O18" s="43">
        <v>0</v>
      </c>
      <c r="P18" s="43">
        <v>0.23</v>
      </c>
      <c r="Q18" s="43">
        <v>10</v>
      </c>
      <c r="R18" s="41"/>
      <c r="S18" s="41"/>
      <c r="T18" s="41"/>
      <c r="U18" s="41"/>
    </row>
    <row r="19" spans="1:21" customFormat="1">
      <c r="A19" s="42" t="s">
        <v>119</v>
      </c>
      <c r="B19" s="43">
        <v>8.23</v>
      </c>
      <c r="C19" s="43">
        <v>12.03</v>
      </c>
      <c r="D19" s="43">
        <v>12.76</v>
      </c>
      <c r="E19" s="43">
        <v>5.75</v>
      </c>
      <c r="F19" s="43">
        <v>2.73</v>
      </c>
      <c r="G19" s="43">
        <v>39.53</v>
      </c>
      <c r="H19" s="43">
        <v>5.51</v>
      </c>
      <c r="I19" s="43">
        <v>4.4000000000000004</v>
      </c>
      <c r="J19" s="43">
        <v>0.28999999999999998</v>
      </c>
      <c r="K19" s="43">
        <v>214.92</v>
      </c>
      <c r="L19" s="43">
        <v>28.23</v>
      </c>
      <c r="M19" s="43">
        <v>87.34</v>
      </c>
      <c r="N19" s="43">
        <v>339.7</v>
      </c>
      <c r="O19" s="43">
        <v>0</v>
      </c>
      <c r="P19" s="43">
        <v>0.23</v>
      </c>
      <c r="Q19" s="43">
        <v>10</v>
      </c>
      <c r="R19" s="41"/>
      <c r="S19" s="41"/>
      <c r="T19" s="41"/>
      <c r="U19" s="41"/>
    </row>
    <row r="20" spans="1:21" customFormat="1">
      <c r="A20" s="42" t="s">
        <v>120</v>
      </c>
      <c r="B20" s="43">
        <v>7.24</v>
      </c>
      <c r="C20" s="43">
        <v>12.95</v>
      </c>
      <c r="D20" s="43">
        <v>11.95</v>
      </c>
      <c r="E20" s="43">
        <v>4.9400000000000004</v>
      </c>
      <c r="F20" s="43">
        <v>3.93</v>
      </c>
      <c r="G20" s="43">
        <v>37.01</v>
      </c>
      <c r="H20" s="43">
        <v>4.0999999999999996</v>
      </c>
      <c r="I20" s="43">
        <v>4.37</v>
      </c>
      <c r="J20" s="43">
        <v>0.23</v>
      </c>
      <c r="K20" s="43">
        <v>177.1</v>
      </c>
      <c r="L20" s="43">
        <v>28.78</v>
      </c>
      <c r="M20" s="43">
        <v>82.59</v>
      </c>
      <c r="N20" s="43">
        <v>235.2</v>
      </c>
      <c r="O20" s="43">
        <v>0</v>
      </c>
      <c r="P20" s="43">
        <v>0.18</v>
      </c>
      <c r="Q20" s="43">
        <v>10</v>
      </c>
      <c r="R20" s="41"/>
      <c r="S20" s="41"/>
      <c r="T20" s="41"/>
      <c r="U20" s="41"/>
    </row>
    <row r="21" spans="1:21" customFormat="1">
      <c r="A21" s="42" t="s">
        <v>121</v>
      </c>
      <c r="B21" s="43">
        <v>5.0599999999999996</v>
      </c>
      <c r="C21" s="43">
        <v>12.83</v>
      </c>
      <c r="D21" s="43">
        <v>10.7</v>
      </c>
      <c r="E21" s="43">
        <v>4.17</v>
      </c>
      <c r="F21" s="43">
        <v>2.19</v>
      </c>
      <c r="G21" s="43">
        <v>40.49</v>
      </c>
      <c r="H21" s="43">
        <v>6.89</v>
      </c>
      <c r="I21" s="43">
        <v>3.8</v>
      </c>
      <c r="J21" s="43">
        <v>0.27</v>
      </c>
      <c r="K21" s="43">
        <v>159.55000000000001</v>
      </c>
      <c r="L21" s="43">
        <v>29.22</v>
      </c>
      <c r="M21" s="43">
        <v>78.760000000000005</v>
      </c>
      <c r="N21" s="43">
        <v>266.5</v>
      </c>
      <c r="O21" s="43">
        <v>0</v>
      </c>
      <c r="P21" s="43">
        <v>0.18</v>
      </c>
      <c r="Q21" s="43">
        <v>10</v>
      </c>
      <c r="R21" s="41"/>
      <c r="S21" s="41"/>
      <c r="T21" s="41"/>
      <c r="U21" s="41"/>
    </row>
    <row r="22" spans="1:21" customFormat="1">
      <c r="A22" s="42" t="s">
        <v>122</v>
      </c>
      <c r="B22" s="43">
        <v>5.15</v>
      </c>
      <c r="C22" s="43">
        <v>12.71</v>
      </c>
      <c r="D22" s="43">
        <v>10.74</v>
      </c>
      <c r="E22" s="43">
        <v>4.3899999999999997</v>
      </c>
      <c r="F22" s="43">
        <v>2.4700000000000002</v>
      </c>
      <c r="G22" s="43">
        <v>37.840000000000003</v>
      </c>
      <c r="H22" s="43">
        <v>6.91</v>
      </c>
      <c r="I22" s="43">
        <v>3.85</v>
      </c>
      <c r="J22" s="43">
        <v>0.22</v>
      </c>
      <c r="K22" s="43">
        <v>211.49</v>
      </c>
      <c r="L22" s="43">
        <v>29.72</v>
      </c>
      <c r="M22" s="43">
        <v>77.3</v>
      </c>
      <c r="N22" s="43">
        <v>201.3</v>
      </c>
      <c r="O22" s="43">
        <v>0</v>
      </c>
      <c r="P22" s="43">
        <v>0.18</v>
      </c>
      <c r="Q22" s="43">
        <v>10</v>
      </c>
      <c r="R22" s="41"/>
      <c r="S22" s="41"/>
      <c r="T22" s="41"/>
      <c r="U22" s="41"/>
    </row>
    <row r="23" spans="1:21" customFormat="1">
      <c r="A23" s="42" t="s">
        <v>123</v>
      </c>
      <c r="B23" s="43">
        <v>4.99</v>
      </c>
      <c r="C23" s="43">
        <v>13.11</v>
      </c>
      <c r="D23" s="43">
        <v>10.57</v>
      </c>
      <c r="E23" s="43">
        <v>4.63</v>
      </c>
      <c r="F23" s="43">
        <v>3.09</v>
      </c>
      <c r="G23" s="43">
        <v>25.28</v>
      </c>
      <c r="H23" s="43">
        <v>6.86</v>
      </c>
      <c r="I23" s="43">
        <v>3.88</v>
      </c>
      <c r="J23" s="43">
        <v>0.22</v>
      </c>
      <c r="K23" s="43">
        <v>192.94</v>
      </c>
      <c r="L23" s="43">
        <v>29.97</v>
      </c>
      <c r="M23" s="43">
        <v>74.25</v>
      </c>
      <c r="N23" s="43">
        <v>269.8</v>
      </c>
      <c r="O23" s="43">
        <v>0</v>
      </c>
      <c r="P23" s="43">
        <v>0.19</v>
      </c>
      <c r="Q23" s="43">
        <v>10</v>
      </c>
      <c r="R23" s="41"/>
      <c r="S23" s="41"/>
      <c r="T23" s="41"/>
      <c r="U23" s="41"/>
    </row>
    <row r="24" spans="1:21" customFormat="1">
      <c r="A24" s="42" t="s">
        <v>124</v>
      </c>
      <c r="B24" s="43">
        <v>4.17</v>
      </c>
      <c r="C24" s="43">
        <v>13.04</v>
      </c>
      <c r="D24" s="43">
        <v>10.16</v>
      </c>
      <c r="E24" s="43">
        <v>5.04</v>
      </c>
      <c r="F24" s="43">
        <v>2.04</v>
      </c>
      <c r="G24" s="43">
        <v>24.42</v>
      </c>
      <c r="H24" s="43">
        <v>9.11</v>
      </c>
      <c r="I24" s="43">
        <v>3.57</v>
      </c>
      <c r="J24" s="43">
        <v>0.27</v>
      </c>
      <c r="K24" s="43">
        <v>182.8</v>
      </c>
      <c r="L24" s="43">
        <v>29.32</v>
      </c>
      <c r="M24" s="43">
        <v>77.95</v>
      </c>
      <c r="N24" s="43">
        <v>101.7</v>
      </c>
      <c r="O24" s="43">
        <v>0</v>
      </c>
      <c r="P24" s="43">
        <v>0.19</v>
      </c>
      <c r="Q24" s="43">
        <v>10</v>
      </c>
      <c r="R24" s="41"/>
      <c r="S24" s="41"/>
      <c r="T24" s="41"/>
      <c r="U24" s="41"/>
    </row>
    <row r="25" spans="1:21" customFormat="1">
      <c r="A25" s="42" t="s">
        <v>125</v>
      </c>
      <c r="B25" s="43">
        <v>3.73</v>
      </c>
      <c r="C25" s="43">
        <v>12.53</v>
      </c>
      <c r="D25" s="43">
        <v>9.5399999999999991</v>
      </c>
      <c r="E25" s="43">
        <v>5.33</v>
      </c>
      <c r="F25" s="43">
        <v>2.2000000000000002</v>
      </c>
      <c r="G25" s="43">
        <v>19.03</v>
      </c>
      <c r="H25" s="43">
        <v>8.7200000000000006</v>
      </c>
      <c r="I25" s="43">
        <v>3.39</v>
      </c>
      <c r="J25" s="43">
        <v>0.32</v>
      </c>
      <c r="K25" s="43">
        <v>179.51</v>
      </c>
      <c r="L25" s="43">
        <v>29.2</v>
      </c>
      <c r="M25" s="43">
        <v>79.84</v>
      </c>
      <c r="N25" s="43">
        <v>46.2</v>
      </c>
      <c r="O25" s="43">
        <v>0</v>
      </c>
      <c r="P25" s="43">
        <v>0.18</v>
      </c>
      <c r="Q25" s="43">
        <v>10</v>
      </c>
      <c r="R25" s="41"/>
      <c r="S25" s="41"/>
      <c r="T25" s="41"/>
      <c r="U25" s="41"/>
    </row>
    <row r="26" spans="1:21" customFormat="1">
      <c r="A26" s="42" t="s">
        <v>126</v>
      </c>
      <c r="B26" s="43">
        <v>3.52</v>
      </c>
      <c r="C26" s="43">
        <v>12.14</v>
      </c>
      <c r="D26" s="43">
        <v>9.16</v>
      </c>
      <c r="E26" s="43">
        <v>5.48</v>
      </c>
      <c r="F26" s="43">
        <v>2.77</v>
      </c>
      <c r="G26" s="43">
        <v>20.27</v>
      </c>
      <c r="H26" s="43">
        <v>7.48</v>
      </c>
      <c r="I26" s="43">
        <v>3.2</v>
      </c>
      <c r="J26" s="43">
        <v>0.22</v>
      </c>
      <c r="K26" s="43">
        <v>175.46</v>
      </c>
      <c r="L26" s="43">
        <v>28.67</v>
      </c>
      <c r="M26" s="43">
        <v>81.73</v>
      </c>
      <c r="N26" s="43">
        <v>29.6</v>
      </c>
      <c r="O26" s="43">
        <v>0</v>
      </c>
      <c r="P26" s="43">
        <v>0.18</v>
      </c>
      <c r="Q26" s="43">
        <v>10</v>
      </c>
      <c r="R26" s="41"/>
      <c r="S26" s="41"/>
      <c r="T26" s="41"/>
      <c r="U26" s="41"/>
    </row>
    <row r="27" spans="1:21" customFormat="1">
      <c r="A27" s="42" t="s">
        <v>127</v>
      </c>
      <c r="B27" s="43">
        <v>3.64</v>
      </c>
      <c r="C27" s="43">
        <v>12.24</v>
      </c>
      <c r="D27" s="43">
        <v>9.32</v>
      </c>
      <c r="E27" s="43">
        <v>5.24</v>
      </c>
      <c r="F27" s="43">
        <v>2.79</v>
      </c>
      <c r="G27" s="43">
        <v>20.21</v>
      </c>
      <c r="H27" s="43">
        <v>7.16</v>
      </c>
      <c r="I27" s="43">
        <v>3.16</v>
      </c>
      <c r="J27" s="43">
        <v>0.18</v>
      </c>
      <c r="K27" s="43">
        <v>191.07</v>
      </c>
      <c r="L27" s="43">
        <v>27.71</v>
      </c>
      <c r="M27" s="43">
        <v>85.01</v>
      </c>
      <c r="N27" s="43">
        <v>6.7</v>
      </c>
      <c r="O27" s="43">
        <v>0</v>
      </c>
      <c r="P27" s="43">
        <v>0.19</v>
      </c>
      <c r="Q27" s="43">
        <v>10</v>
      </c>
      <c r="R27" s="41"/>
      <c r="S27" s="41"/>
      <c r="T27" s="41"/>
      <c r="U27" s="41"/>
    </row>
    <row r="28" spans="1:21" customFormat="1">
      <c r="A28" s="42" t="s">
        <v>128</v>
      </c>
      <c r="B28" s="43">
        <v>6.43</v>
      </c>
      <c r="C28" s="43">
        <v>14.5</v>
      </c>
      <c r="D28" s="43">
        <v>12.7</v>
      </c>
      <c r="E28" s="43">
        <v>5.07</v>
      </c>
      <c r="F28" s="43">
        <v>2.0699999999999998</v>
      </c>
      <c r="G28" s="43">
        <v>31.41</v>
      </c>
      <c r="H28" s="43">
        <v>8.25</v>
      </c>
      <c r="I28" s="43">
        <v>4.9000000000000004</v>
      </c>
      <c r="J28" s="43">
        <v>0.22</v>
      </c>
      <c r="K28" s="43">
        <v>119.04</v>
      </c>
      <c r="L28" s="43">
        <v>27.36</v>
      </c>
      <c r="M28" s="43">
        <v>87.41</v>
      </c>
      <c r="N28" s="43">
        <v>2.2000000000000002</v>
      </c>
      <c r="O28" s="43">
        <v>0.2</v>
      </c>
      <c r="P28" s="43">
        <v>0.28999999999999998</v>
      </c>
      <c r="Q28" s="43">
        <v>10</v>
      </c>
      <c r="R28" s="41"/>
      <c r="S28" s="41"/>
      <c r="T28" s="41"/>
      <c r="U28" s="41"/>
    </row>
    <row r="29" spans="1:21" customFormat="1">
      <c r="A29" s="42" t="s">
        <v>129</v>
      </c>
      <c r="B29" s="43">
        <v>7.66</v>
      </c>
      <c r="C29" s="43">
        <v>13.83</v>
      </c>
      <c r="D29" s="43">
        <v>13.16</v>
      </c>
      <c r="E29" s="43">
        <v>5.12</v>
      </c>
      <c r="F29" s="43">
        <v>2.14</v>
      </c>
      <c r="G29" s="43">
        <v>62.03</v>
      </c>
      <c r="H29" s="43">
        <v>18.13</v>
      </c>
      <c r="I29" s="43">
        <v>5.8</v>
      </c>
      <c r="J29" s="43">
        <v>0.15</v>
      </c>
      <c r="K29" s="43">
        <v>177.91</v>
      </c>
      <c r="L29" s="43">
        <v>27.33</v>
      </c>
      <c r="M29" s="43">
        <v>86.87</v>
      </c>
      <c r="N29" s="43">
        <v>2.4</v>
      </c>
      <c r="O29" s="43">
        <v>0</v>
      </c>
      <c r="P29" s="43">
        <v>0.36</v>
      </c>
      <c r="Q29" s="43">
        <v>10</v>
      </c>
      <c r="R29" s="41"/>
      <c r="S29" s="41"/>
      <c r="T29" s="41"/>
      <c r="U29" s="41"/>
    </row>
    <row r="30" spans="1:21" customFormat="1">
      <c r="A30" s="42" t="s">
        <v>130</v>
      </c>
      <c r="B30" s="43">
        <v>8.65</v>
      </c>
      <c r="C30" s="43">
        <v>14.59</v>
      </c>
      <c r="D30" s="43">
        <v>14.48</v>
      </c>
      <c r="E30" s="43">
        <v>5.1100000000000003</v>
      </c>
      <c r="F30" s="43">
        <v>2.56</v>
      </c>
      <c r="G30" s="43">
        <v>77.47</v>
      </c>
      <c r="H30" s="43">
        <v>21.54</v>
      </c>
      <c r="I30" s="43">
        <v>7.18</v>
      </c>
      <c r="J30" s="43">
        <v>0.81</v>
      </c>
      <c r="K30" s="43">
        <v>218.89</v>
      </c>
      <c r="L30" s="43">
        <v>27.29</v>
      </c>
      <c r="M30" s="43">
        <v>84.55</v>
      </c>
      <c r="N30" s="43">
        <v>3.3</v>
      </c>
      <c r="O30" s="43">
        <v>0</v>
      </c>
      <c r="P30" s="43">
        <v>0.4</v>
      </c>
      <c r="Q30" s="43">
        <v>10</v>
      </c>
      <c r="R30" s="41"/>
      <c r="S30" s="41"/>
      <c r="T30" s="41"/>
      <c r="U30" s="41"/>
    </row>
    <row r="31" spans="1:21" customFormat="1">
      <c r="A31" s="42" t="s">
        <v>131</v>
      </c>
      <c r="B31" s="43">
        <v>8.2799999999999994</v>
      </c>
      <c r="C31" s="43">
        <v>12.64</v>
      </c>
      <c r="D31" s="43">
        <v>13.2</v>
      </c>
      <c r="E31" s="43">
        <v>5.21</v>
      </c>
      <c r="F31" s="43">
        <v>2.54</v>
      </c>
      <c r="G31" s="43">
        <v>74.22</v>
      </c>
      <c r="H31" s="43">
        <v>20.52</v>
      </c>
      <c r="I31" s="43">
        <v>6.17</v>
      </c>
      <c r="J31" s="43">
        <v>0.78</v>
      </c>
      <c r="K31" s="43">
        <v>229.07</v>
      </c>
      <c r="L31" s="43">
        <v>25.19</v>
      </c>
      <c r="M31" s="43">
        <v>89.29</v>
      </c>
      <c r="N31" s="43">
        <v>3.4</v>
      </c>
      <c r="O31" s="43">
        <v>0.8</v>
      </c>
      <c r="P31" s="43">
        <v>0.35</v>
      </c>
      <c r="Q31" s="43">
        <v>10</v>
      </c>
      <c r="R31" s="41"/>
      <c r="S31" s="41"/>
      <c r="T31" s="41"/>
      <c r="U31" s="41"/>
    </row>
    <row r="32" spans="1:21" customFormat="1">
      <c r="A32" s="42" t="s">
        <v>132</v>
      </c>
      <c r="B32" s="43">
        <v>7.66</v>
      </c>
      <c r="C32" s="43">
        <v>12.56</v>
      </c>
      <c r="D32" s="43">
        <v>12.71</v>
      </c>
      <c r="E32" s="43">
        <v>5.19</v>
      </c>
      <c r="F32" s="43">
        <v>2.0299999999999998</v>
      </c>
      <c r="G32" s="43">
        <v>49.96</v>
      </c>
      <c r="H32" s="43">
        <v>14.69</v>
      </c>
      <c r="I32" s="43">
        <v>5.79</v>
      </c>
      <c r="J32" s="43">
        <v>0.44</v>
      </c>
      <c r="K32" s="43">
        <v>229.56</v>
      </c>
      <c r="L32" s="43">
        <v>24.52</v>
      </c>
      <c r="M32" s="43">
        <v>89.56</v>
      </c>
      <c r="N32" s="43">
        <v>2.4</v>
      </c>
      <c r="O32" s="43">
        <v>1</v>
      </c>
      <c r="P32" s="43">
        <v>0.34</v>
      </c>
      <c r="Q32" s="43">
        <v>10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3.52</v>
      </c>
      <c r="C34" s="18">
        <f t="shared" si="0"/>
        <v>11.57</v>
      </c>
      <c r="D34" s="18">
        <f t="shared" si="0"/>
        <v>9.16</v>
      </c>
      <c r="E34" s="18">
        <f t="shared" si="0"/>
        <v>4.17</v>
      </c>
      <c r="F34" s="18">
        <f t="shared" si="0"/>
        <v>2</v>
      </c>
      <c r="G34" s="18">
        <f t="shared" si="0"/>
        <v>3.83</v>
      </c>
      <c r="H34" s="18">
        <f t="shared" si="0"/>
        <v>2.15</v>
      </c>
      <c r="I34" s="18">
        <f t="shared" si="0"/>
        <v>3.16</v>
      </c>
      <c r="J34" s="18">
        <f t="shared" si="0"/>
        <v>0.14000000000000001</v>
      </c>
      <c r="K34" s="18">
        <f t="shared" si="0"/>
        <v>119.04</v>
      </c>
      <c r="L34" s="18">
        <f t="shared" si="0"/>
        <v>23.8</v>
      </c>
      <c r="M34" s="18">
        <f t="shared" si="0"/>
        <v>74.25</v>
      </c>
      <c r="N34" s="18">
        <f t="shared" si="0"/>
        <v>2.2000000000000002</v>
      </c>
      <c r="O34" s="18">
        <f t="shared" si="0"/>
        <v>0</v>
      </c>
      <c r="P34" s="18">
        <f t="shared" si="0"/>
        <v>0.18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8.98</v>
      </c>
      <c r="C35" s="3">
        <f t="shared" si="1"/>
        <v>14.59</v>
      </c>
      <c r="D35" s="3">
        <f t="shared" si="1"/>
        <v>14.48</v>
      </c>
      <c r="E35" s="3">
        <f t="shared" si="1"/>
        <v>6.02</v>
      </c>
      <c r="F35" s="3">
        <f t="shared" si="1"/>
        <v>3.93</v>
      </c>
      <c r="G35" s="3">
        <f t="shared" si="1"/>
        <v>77.47</v>
      </c>
      <c r="H35" s="3">
        <f t="shared" si="1"/>
        <v>21.54</v>
      </c>
      <c r="I35" s="3">
        <f t="shared" si="1"/>
        <v>7.18</v>
      </c>
      <c r="J35" s="3">
        <f t="shared" si="1"/>
        <v>0.81</v>
      </c>
      <c r="K35" s="3">
        <f t="shared" si="1"/>
        <v>230.78</v>
      </c>
      <c r="L35" s="3">
        <f t="shared" si="1"/>
        <v>29.97</v>
      </c>
      <c r="M35" s="3">
        <f t="shared" si="1"/>
        <v>94.32</v>
      </c>
      <c r="N35" s="3">
        <f t="shared" si="1"/>
        <v>339.7</v>
      </c>
      <c r="O35" s="3">
        <f t="shared" si="1"/>
        <v>1</v>
      </c>
      <c r="P35" s="3">
        <f t="shared" si="1"/>
        <v>0.4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6.84</v>
      </c>
      <c r="C36" s="18">
        <f t="shared" si="2"/>
        <v>12.602916666666665</v>
      </c>
      <c r="D36" s="18">
        <f t="shared" si="2"/>
        <v>11.977916666666664</v>
      </c>
      <c r="E36" s="18">
        <f t="shared" si="2"/>
        <v>5.2883333333333331</v>
      </c>
      <c r="F36" s="18">
        <f t="shared" si="2"/>
        <v>2.3166666666666669</v>
      </c>
      <c r="G36" s="18">
        <f t="shared" si="2"/>
        <v>28.00041666666667</v>
      </c>
      <c r="H36" s="18">
        <f t="shared" si="2"/>
        <v>7.730833333333333</v>
      </c>
      <c r="I36" s="18">
        <f t="shared" si="2"/>
        <v>4.5350000000000001</v>
      </c>
      <c r="J36" s="18">
        <f t="shared" si="2"/>
        <v>0.26500000000000007</v>
      </c>
      <c r="K36" s="18">
        <f t="shared" si="2"/>
        <v>192.39000000000001</v>
      </c>
      <c r="L36" s="18">
        <f t="shared" si="2"/>
        <v>26.537500000000005</v>
      </c>
      <c r="M36" s="18">
        <f t="shared" si="2"/>
        <v>86.508333333333326</v>
      </c>
      <c r="N36" s="18">
        <f t="shared" si="2"/>
        <v>74.95</v>
      </c>
      <c r="O36" s="18">
        <f t="shared" si="2"/>
        <v>0.13333333333333333</v>
      </c>
      <c r="P36" s="18">
        <f t="shared" si="2"/>
        <v>0.24208333333333334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1.7872276320311453</v>
      </c>
      <c r="C37" s="18">
        <f t="shared" ref="C37:Q37" si="3">STDEV(C9:C32)</f>
        <v>0.79678964092416382</v>
      </c>
      <c r="D37" s="18">
        <f t="shared" si="3"/>
        <v>1.4392418872951864</v>
      </c>
      <c r="E37" s="18">
        <f t="shared" si="3"/>
        <v>0.48380436817650441</v>
      </c>
      <c r="F37" s="18">
        <f t="shared" si="3"/>
        <v>0.47487908453366723</v>
      </c>
      <c r="G37" s="18">
        <f t="shared" si="3"/>
        <v>20.790892755193823</v>
      </c>
      <c r="H37" s="18">
        <f t="shared" si="3"/>
        <v>5.4713116753915019</v>
      </c>
      <c r="I37" s="18">
        <f t="shared" si="3"/>
        <v>0.95161190481797686</v>
      </c>
      <c r="J37" s="18">
        <f t="shared" si="3"/>
        <v>0.17680743639682517</v>
      </c>
      <c r="K37" s="18">
        <f t="shared" si="3"/>
        <v>33.085349969566323</v>
      </c>
      <c r="L37" s="18">
        <f t="shared" si="3"/>
        <v>2.2380275671457546</v>
      </c>
      <c r="M37" s="18">
        <f t="shared" si="3"/>
        <v>5.6608938199351266</v>
      </c>
      <c r="N37" s="18">
        <f t="shared" si="3"/>
        <v>105.99653808948914</v>
      </c>
      <c r="O37" s="18">
        <f t="shared" si="3"/>
        <v>0.2615450192633178</v>
      </c>
      <c r="P37" s="18">
        <f t="shared" si="3"/>
        <v>6.296853366471257E-2</v>
      </c>
      <c r="Q37" s="18">
        <f t="shared" si="3"/>
        <v>0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T12" sqref="T12"/>
    </sheetView>
  </sheetViews>
  <sheetFormatPr defaultColWidth="8.85546875" defaultRowHeight="15"/>
  <cols>
    <col min="1" max="1" width="15.140625" style="1" customWidth="1"/>
    <col min="2" max="2" width="14.42578125" style="1" customWidth="1"/>
    <col min="3" max="3" width="10.140625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04/09/2025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133</v>
      </c>
      <c r="B9" s="43">
        <v>7.24</v>
      </c>
      <c r="C9" s="43">
        <v>13.06</v>
      </c>
      <c r="D9" s="43">
        <v>12.61</v>
      </c>
      <c r="E9" s="43">
        <v>5.15</v>
      </c>
      <c r="F9" s="43">
        <v>2</v>
      </c>
      <c r="G9" s="43">
        <v>28.37</v>
      </c>
      <c r="H9" s="43">
        <v>11.03</v>
      </c>
      <c r="I9" s="43">
        <v>5.87</v>
      </c>
      <c r="J9" s="43">
        <v>0.27</v>
      </c>
      <c r="K9" s="43">
        <v>223.02</v>
      </c>
      <c r="L9" s="43">
        <v>24.67</v>
      </c>
      <c r="M9" s="43">
        <v>87.08</v>
      </c>
      <c r="N9" s="43">
        <v>2.2000000000000002</v>
      </c>
      <c r="O9" s="43">
        <v>0.4</v>
      </c>
      <c r="P9" s="43">
        <v>0.36</v>
      </c>
      <c r="Q9" s="43">
        <v>10</v>
      </c>
      <c r="R9" s="41"/>
      <c r="S9" s="41"/>
      <c r="T9" s="41"/>
      <c r="U9" s="41"/>
    </row>
    <row r="10" spans="1:21" customFormat="1">
      <c r="A10" s="42" t="s">
        <v>134</v>
      </c>
      <c r="B10" s="43">
        <v>6.99</v>
      </c>
      <c r="C10" s="43">
        <v>12.85</v>
      </c>
      <c r="D10" s="43">
        <v>12.32</v>
      </c>
      <c r="E10" s="43">
        <v>5.71</v>
      </c>
      <c r="F10" s="43">
        <v>2</v>
      </c>
      <c r="G10" s="43">
        <v>19.75</v>
      </c>
      <c r="H10" s="43">
        <v>10.19</v>
      </c>
      <c r="I10" s="43">
        <v>6.43</v>
      </c>
      <c r="J10" s="43">
        <v>0.22</v>
      </c>
      <c r="K10" s="43">
        <v>222.5</v>
      </c>
      <c r="L10" s="43">
        <v>24.88</v>
      </c>
      <c r="M10" s="43">
        <v>88.5</v>
      </c>
      <c r="N10" s="43">
        <v>2.2000000000000002</v>
      </c>
      <c r="O10" s="43">
        <v>0.2</v>
      </c>
      <c r="P10" s="43">
        <v>0.37</v>
      </c>
      <c r="Q10" s="43">
        <v>10</v>
      </c>
      <c r="R10" s="41"/>
      <c r="S10" s="41"/>
      <c r="T10" s="41"/>
      <c r="U10" s="41"/>
    </row>
    <row r="11" spans="1:21" customFormat="1">
      <c r="A11" s="42" t="s">
        <v>135</v>
      </c>
      <c r="B11" s="43">
        <v>6.51</v>
      </c>
      <c r="C11" s="43">
        <v>12.21</v>
      </c>
      <c r="D11" s="43">
        <v>11.6</v>
      </c>
      <c r="E11" s="43">
        <v>5.88</v>
      </c>
      <c r="F11" s="43">
        <v>2.02</v>
      </c>
      <c r="G11" s="43">
        <v>19.05</v>
      </c>
      <c r="H11" s="43">
        <v>7.93</v>
      </c>
      <c r="I11" s="43">
        <v>6.51</v>
      </c>
      <c r="J11" s="43">
        <v>0.43</v>
      </c>
      <c r="K11" s="43">
        <v>224.77</v>
      </c>
      <c r="L11" s="43">
        <v>24.99</v>
      </c>
      <c r="M11" s="43">
        <v>87.64</v>
      </c>
      <c r="N11" s="43">
        <v>2.5</v>
      </c>
      <c r="O11" s="43">
        <v>0.2</v>
      </c>
      <c r="P11" s="43">
        <v>0.35</v>
      </c>
      <c r="Q11" s="43">
        <v>10</v>
      </c>
      <c r="R11" s="41"/>
      <c r="S11" s="41"/>
      <c r="T11" s="41"/>
      <c r="U11" s="41"/>
    </row>
    <row r="12" spans="1:21" customFormat="1">
      <c r="A12" s="42" t="s">
        <v>136</v>
      </c>
      <c r="B12" s="43">
        <v>5.87</v>
      </c>
      <c r="C12" s="43">
        <v>11.77</v>
      </c>
      <c r="D12" s="43">
        <v>10.86</v>
      </c>
      <c r="E12" s="43">
        <v>5.79</v>
      </c>
      <c r="F12" s="43">
        <v>2</v>
      </c>
      <c r="G12" s="43">
        <v>13.76</v>
      </c>
      <c r="H12" s="43">
        <v>7.08</v>
      </c>
      <c r="I12" s="43">
        <v>5.99</v>
      </c>
      <c r="J12" s="43">
        <v>0.39</v>
      </c>
      <c r="K12" s="43">
        <v>231.24</v>
      </c>
      <c r="L12" s="43">
        <v>24.9</v>
      </c>
      <c r="M12" s="43">
        <v>88.84</v>
      </c>
      <c r="N12" s="43">
        <v>2.4</v>
      </c>
      <c r="O12" s="43">
        <v>0.2</v>
      </c>
      <c r="P12" s="43">
        <v>0.31</v>
      </c>
      <c r="Q12" s="43">
        <v>10</v>
      </c>
      <c r="R12" s="41"/>
      <c r="S12" s="41"/>
      <c r="T12" s="41"/>
      <c r="U12" s="41"/>
    </row>
    <row r="13" spans="1:21" customFormat="1">
      <c r="A13" s="42" t="s">
        <v>137</v>
      </c>
      <c r="B13" s="43">
        <v>5.41</v>
      </c>
      <c r="C13" s="43">
        <v>11.53</v>
      </c>
      <c r="D13" s="43">
        <v>10.36</v>
      </c>
      <c r="E13" s="43">
        <v>5.84</v>
      </c>
      <c r="F13" s="43">
        <v>2.0099999999999998</v>
      </c>
      <c r="G13" s="43">
        <v>8.39</v>
      </c>
      <c r="H13" s="43">
        <v>8.0399999999999991</v>
      </c>
      <c r="I13" s="43">
        <v>5.3</v>
      </c>
      <c r="J13" s="43">
        <v>0.31</v>
      </c>
      <c r="K13" s="43">
        <v>230.44</v>
      </c>
      <c r="L13" s="43">
        <v>24.93</v>
      </c>
      <c r="M13" s="43">
        <v>89.01</v>
      </c>
      <c r="N13" s="43">
        <v>2.4</v>
      </c>
      <c r="O13" s="43">
        <v>0.2</v>
      </c>
      <c r="P13" s="43">
        <v>0.27</v>
      </c>
      <c r="Q13" s="43">
        <v>10</v>
      </c>
      <c r="R13" s="41"/>
      <c r="S13" s="41"/>
      <c r="T13" s="41"/>
      <c r="U13" s="41"/>
    </row>
    <row r="14" spans="1:21" customFormat="1">
      <c r="A14" s="42" t="s">
        <v>138</v>
      </c>
      <c r="B14" s="43">
        <v>5.86</v>
      </c>
      <c r="C14" s="43">
        <v>11.48</v>
      </c>
      <c r="D14" s="43">
        <v>10.7</v>
      </c>
      <c r="E14" s="43">
        <v>5.75</v>
      </c>
      <c r="F14" s="43">
        <v>2</v>
      </c>
      <c r="G14" s="43">
        <v>10.66</v>
      </c>
      <c r="H14" s="43">
        <v>7.7</v>
      </c>
      <c r="I14" s="43">
        <v>4.83</v>
      </c>
      <c r="J14" s="43">
        <v>0.41</v>
      </c>
      <c r="K14" s="43">
        <v>231.65</v>
      </c>
      <c r="L14" s="43">
        <v>24.9</v>
      </c>
      <c r="M14" s="43">
        <v>89.76</v>
      </c>
      <c r="N14" s="43">
        <v>3.1</v>
      </c>
      <c r="O14" s="43">
        <v>0</v>
      </c>
      <c r="P14" s="43">
        <v>0.22</v>
      </c>
      <c r="Q14" s="43">
        <v>10</v>
      </c>
      <c r="R14" s="41"/>
      <c r="S14" s="41"/>
      <c r="T14" s="41"/>
      <c r="U14" s="41"/>
    </row>
    <row r="15" spans="1:21" customFormat="1">
      <c r="A15" s="42" t="s">
        <v>139</v>
      </c>
      <c r="B15" s="43">
        <v>6.26</v>
      </c>
      <c r="C15" s="43">
        <v>11.49</v>
      </c>
      <c r="D15" s="43">
        <v>10.95</v>
      </c>
      <c r="E15" s="43">
        <v>5.3</v>
      </c>
      <c r="F15" s="43">
        <v>2.2999999999999998</v>
      </c>
      <c r="G15" s="43">
        <v>10.3</v>
      </c>
      <c r="H15" s="43">
        <v>5.6</v>
      </c>
      <c r="I15" s="43">
        <v>4.74</v>
      </c>
      <c r="J15" s="43">
        <v>0.45</v>
      </c>
      <c r="K15" s="43">
        <v>229.53</v>
      </c>
      <c r="L15" s="43">
        <v>24.96</v>
      </c>
      <c r="M15" s="43">
        <v>89.74</v>
      </c>
      <c r="N15" s="43">
        <v>17</v>
      </c>
      <c r="O15" s="43">
        <v>0.2</v>
      </c>
      <c r="P15" s="43">
        <v>0.2</v>
      </c>
      <c r="Q15" s="43">
        <v>10</v>
      </c>
      <c r="R15" s="41"/>
      <c r="S15" s="41"/>
      <c r="T15" s="41"/>
      <c r="U15" s="41"/>
    </row>
    <row r="16" spans="1:21" customFormat="1">
      <c r="A16" s="42" t="s">
        <v>140</v>
      </c>
      <c r="B16" s="43">
        <v>6.64</v>
      </c>
      <c r="C16" s="43">
        <v>11.41</v>
      </c>
      <c r="D16" s="43">
        <v>11.24</v>
      </c>
      <c r="E16" s="43">
        <v>5.28</v>
      </c>
      <c r="F16" s="43">
        <v>2.02</v>
      </c>
      <c r="G16" s="43">
        <v>10.15</v>
      </c>
      <c r="H16" s="43">
        <v>5.85</v>
      </c>
      <c r="I16" s="43">
        <v>4.68</v>
      </c>
      <c r="J16" s="43">
        <v>0.57999999999999996</v>
      </c>
      <c r="K16" s="43">
        <v>222.81</v>
      </c>
      <c r="L16" s="43">
        <v>25.3</v>
      </c>
      <c r="M16" s="43">
        <v>87.86</v>
      </c>
      <c r="N16" s="43">
        <v>55</v>
      </c>
      <c r="O16" s="43">
        <v>0.2</v>
      </c>
      <c r="P16" s="43">
        <v>0.2</v>
      </c>
      <c r="Q16" s="43">
        <v>10</v>
      </c>
      <c r="R16" s="41"/>
      <c r="S16" s="41"/>
      <c r="T16" s="41"/>
      <c r="U16" s="41"/>
    </row>
    <row r="17" spans="1:21" customFormat="1">
      <c r="A17" s="42" t="s">
        <v>141</v>
      </c>
      <c r="B17" s="43">
        <v>6.87</v>
      </c>
      <c r="C17" s="43">
        <v>11.4</v>
      </c>
      <c r="D17" s="43">
        <v>11.45</v>
      </c>
      <c r="E17" s="43">
        <v>4.99</v>
      </c>
      <c r="F17" s="43">
        <v>2.06</v>
      </c>
      <c r="G17" s="43">
        <v>9.82</v>
      </c>
      <c r="H17" s="43">
        <v>5.75</v>
      </c>
      <c r="I17" s="43">
        <v>4.6399999999999997</v>
      </c>
      <c r="J17" s="43">
        <v>0.55000000000000004</v>
      </c>
      <c r="K17" s="43">
        <v>212.18</v>
      </c>
      <c r="L17" s="43">
        <v>25.61</v>
      </c>
      <c r="M17" s="43">
        <v>82.16</v>
      </c>
      <c r="N17" s="43">
        <v>62.1</v>
      </c>
      <c r="O17" s="43">
        <v>0</v>
      </c>
      <c r="P17" s="43">
        <v>0.18</v>
      </c>
      <c r="Q17" s="43">
        <v>10</v>
      </c>
      <c r="R17" s="41"/>
      <c r="S17" s="41"/>
      <c r="T17" s="41"/>
      <c r="U17" s="41"/>
    </row>
    <row r="18" spans="1:21" customFormat="1">
      <c r="A18" s="42" t="s">
        <v>142</v>
      </c>
      <c r="B18" s="43">
        <v>6.92</v>
      </c>
      <c r="C18" s="43">
        <v>11.66</v>
      </c>
      <c r="D18" s="43">
        <v>11.64</v>
      </c>
      <c r="E18" s="43">
        <v>5.1100000000000003</v>
      </c>
      <c r="F18" s="43">
        <v>2.12</v>
      </c>
      <c r="G18" s="43">
        <v>7.4</v>
      </c>
      <c r="H18" s="43">
        <v>5.91</v>
      </c>
      <c r="I18" s="43">
        <v>4.53</v>
      </c>
      <c r="J18" s="43">
        <v>0.69</v>
      </c>
      <c r="K18" s="43">
        <v>214.36</v>
      </c>
      <c r="L18" s="43">
        <v>26.16</v>
      </c>
      <c r="M18" s="43">
        <v>82.65</v>
      </c>
      <c r="N18" s="43">
        <v>124.8</v>
      </c>
      <c r="O18" s="43">
        <v>0</v>
      </c>
      <c r="P18" s="43">
        <v>0.19</v>
      </c>
      <c r="Q18" s="43">
        <v>10</v>
      </c>
      <c r="R18" s="41"/>
      <c r="S18" s="41"/>
      <c r="T18" s="41"/>
      <c r="U18" s="41"/>
    </row>
    <row r="19" spans="1:21" customFormat="1">
      <c r="A19" s="42" t="s">
        <v>143</v>
      </c>
      <c r="B19" s="43">
        <v>6.36</v>
      </c>
      <c r="C19" s="43">
        <v>12.08</v>
      </c>
      <c r="D19" s="43">
        <v>11.22</v>
      </c>
      <c r="E19" s="43">
        <v>6.07</v>
      </c>
      <c r="F19" s="43">
        <v>2.0299999999999998</v>
      </c>
      <c r="G19" s="43">
        <v>7</v>
      </c>
      <c r="H19" s="43">
        <v>5.64</v>
      </c>
      <c r="I19" s="43">
        <v>4.37</v>
      </c>
      <c r="J19" s="43">
        <v>0.71</v>
      </c>
      <c r="K19" s="43">
        <v>214.62</v>
      </c>
      <c r="L19" s="43">
        <v>27.33</v>
      </c>
      <c r="M19" s="43">
        <v>81.34</v>
      </c>
      <c r="N19" s="43">
        <v>265.60000000000002</v>
      </c>
      <c r="O19" s="43">
        <v>0</v>
      </c>
      <c r="P19" s="43">
        <v>0.19</v>
      </c>
      <c r="Q19" s="43">
        <v>10</v>
      </c>
      <c r="R19" s="41"/>
      <c r="S19" s="41"/>
      <c r="T19" s="41"/>
      <c r="U19" s="41"/>
    </row>
    <row r="20" spans="1:21" customFormat="1">
      <c r="A20" s="42" t="s">
        <v>144</v>
      </c>
      <c r="B20" s="43">
        <v>5.36</v>
      </c>
      <c r="C20" s="43">
        <v>12.1</v>
      </c>
      <c r="D20" s="43">
        <v>10.62</v>
      </c>
      <c r="E20" s="43">
        <v>6.11</v>
      </c>
      <c r="F20" s="43">
        <v>2.06</v>
      </c>
      <c r="G20" s="43">
        <v>10.07</v>
      </c>
      <c r="H20" s="43">
        <v>4.0999999999999996</v>
      </c>
      <c r="I20" s="43">
        <v>4.08</v>
      </c>
      <c r="J20" s="43">
        <v>0.69</v>
      </c>
      <c r="K20" s="43">
        <v>215.54</v>
      </c>
      <c r="L20" s="43">
        <v>27.98</v>
      </c>
      <c r="M20" s="43">
        <v>80.63</v>
      </c>
      <c r="N20" s="43">
        <v>260.5</v>
      </c>
      <c r="O20" s="43">
        <v>0</v>
      </c>
      <c r="P20" s="43">
        <v>0.17</v>
      </c>
      <c r="Q20" s="43">
        <v>10</v>
      </c>
      <c r="R20" s="41"/>
      <c r="S20" s="41"/>
      <c r="T20" s="41"/>
      <c r="U20" s="41"/>
    </row>
    <row r="21" spans="1:21" customFormat="1">
      <c r="A21" s="42" t="s">
        <v>145</v>
      </c>
      <c r="B21" s="43">
        <v>4.67</v>
      </c>
      <c r="C21" s="43">
        <v>11.95</v>
      </c>
      <c r="D21" s="43">
        <v>9.98</v>
      </c>
      <c r="E21" s="43">
        <v>6.14</v>
      </c>
      <c r="F21" s="43">
        <v>2.14</v>
      </c>
      <c r="G21" s="43">
        <v>9.9600000000000009</v>
      </c>
      <c r="H21" s="43">
        <v>3.93</v>
      </c>
      <c r="I21" s="43">
        <v>3.75</v>
      </c>
      <c r="J21" s="43">
        <v>0.93</v>
      </c>
      <c r="K21" s="43">
        <v>216.32</v>
      </c>
      <c r="L21" s="43">
        <v>28.08</v>
      </c>
      <c r="M21" s="43">
        <v>83.37</v>
      </c>
      <c r="N21" s="43">
        <v>291.8</v>
      </c>
      <c r="O21" s="43">
        <v>0</v>
      </c>
      <c r="P21" s="43">
        <v>0.17</v>
      </c>
      <c r="Q21" s="43">
        <v>10</v>
      </c>
      <c r="R21" s="41"/>
      <c r="S21" s="41"/>
      <c r="T21" s="41"/>
      <c r="U21" s="41"/>
    </row>
    <row r="22" spans="1:21" customFormat="1">
      <c r="A22" s="42" t="s">
        <v>146</v>
      </c>
      <c r="B22" s="43">
        <v>4.0999999999999996</v>
      </c>
      <c r="C22" s="43">
        <v>11.71</v>
      </c>
      <c r="D22" s="43">
        <v>9.4</v>
      </c>
      <c r="E22" s="43">
        <v>6.3</v>
      </c>
      <c r="F22" s="43">
        <v>2.52</v>
      </c>
      <c r="G22" s="43">
        <v>10.6</v>
      </c>
      <c r="H22" s="43">
        <v>5.21</v>
      </c>
      <c r="I22" s="43">
        <v>3.52</v>
      </c>
      <c r="J22" s="43">
        <v>0.93</v>
      </c>
      <c r="K22" s="43">
        <v>208.65</v>
      </c>
      <c r="L22" s="43">
        <v>27.87</v>
      </c>
      <c r="M22" s="43">
        <v>78.44</v>
      </c>
      <c r="N22" s="43">
        <v>243.4</v>
      </c>
      <c r="O22" s="43">
        <v>0</v>
      </c>
      <c r="P22" s="43">
        <v>0.16</v>
      </c>
      <c r="Q22" s="43">
        <v>10</v>
      </c>
      <c r="R22" s="41"/>
      <c r="S22" s="41"/>
      <c r="T22" s="41"/>
      <c r="U22" s="41"/>
    </row>
    <row r="23" spans="1:21" customFormat="1">
      <c r="A23" s="42" t="s">
        <v>147</v>
      </c>
      <c r="B23" s="43">
        <v>3.7</v>
      </c>
      <c r="C23" s="43">
        <v>11.72</v>
      </c>
      <c r="D23" s="43">
        <v>9.09</v>
      </c>
      <c r="E23" s="43">
        <v>6.62</v>
      </c>
      <c r="F23" s="43">
        <v>2.17</v>
      </c>
      <c r="G23" s="43">
        <v>10.54</v>
      </c>
      <c r="H23" s="43">
        <v>5.1100000000000003</v>
      </c>
      <c r="I23" s="43">
        <v>3.4</v>
      </c>
      <c r="J23" s="43">
        <v>0.69</v>
      </c>
      <c r="K23" s="43">
        <v>224.78</v>
      </c>
      <c r="L23" s="43">
        <v>28.29</v>
      </c>
      <c r="M23" s="43">
        <v>81.77</v>
      </c>
      <c r="N23" s="43">
        <v>210.3</v>
      </c>
      <c r="O23" s="43">
        <v>0</v>
      </c>
      <c r="P23" s="43">
        <v>0.15</v>
      </c>
      <c r="Q23" s="43">
        <v>10</v>
      </c>
      <c r="R23" s="41"/>
      <c r="S23" s="41"/>
      <c r="T23" s="41"/>
      <c r="U23" s="41"/>
    </row>
    <row r="24" spans="1:21" customFormat="1">
      <c r="A24" s="42" t="s">
        <v>148</v>
      </c>
      <c r="B24" s="43">
        <v>3.77</v>
      </c>
      <c r="C24" s="43">
        <v>11.79</v>
      </c>
      <c r="D24" s="43">
        <v>9.17</v>
      </c>
      <c r="E24" s="43">
        <v>5.97</v>
      </c>
      <c r="F24" s="43">
        <v>2.9</v>
      </c>
      <c r="G24" s="43">
        <v>11.85</v>
      </c>
      <c r="H24" s="43">
        <v>6.5</v>
      </c>
      <c r="I24" s="43">
        <v>3.49</v>
      </c>
      <c r="J24" s="43">
        <v>0.69</v>
      </c>
      <c r="K24" s="43">
        <v>223.67</v>
      </c>
      <c r="L24" s="43">
        <v>28.01</v>
      </c>
      <c r="M24" s="43">
        <v>82.06</v>
      </c>
      <c r="N24" s="43">
        <v>154.69999999999999</v>
      </c>
      <c r="O24" s="43">
        <v>0</v>
      </c>
      <c r="P24" s="43">
        <v>0.12</v>
      </c>
      <c r="Q24" s="43">
        <v>10</v>
      </c>
      <c r="R24" s="41"/>
      <c r="S24" s="41"/>
      <c r="T24" s="41"/>
      <c r="U24" s="41"/>
    </row>
    <row r="25" spans="1:21" customFormat="1">
      <c r="A25" s="42" t="s">
        <v>149</v>
      </c>
      <c r="B25" s="43">
        <v>3.88</v>
      </c>
      <c r="C25" s="43">
        <v>11.79</v>
      </c>
      <c r="D25" s="43">
        <v>9.25</v>
      </c>
      <c r="E25" s="43">
        <v>5.43</v>
      </c>
      <c r="F25" s="43">
        <v>3.33</v>
      </c>
      <c r="G25" s="43">
        <v>12.78</v>
      </c>
      <c r="H25" s="43">
        <v>6.39</v>
      </c>
      <c r="I25" s="43">
        <v>3.51</v>
      </c>
      <c r="J25" s="43">
        <v>0.66</v>
      </c>
      <c r="K25" s="43">
        <v>232.33</v>
      </c>
      <c r="L25" s="43">
        <v>28.02</v>
      </c>
      <c r="M25" s="43">
        <v>82.2</v>
      </c>
      <c r="N25" s="43">
        <v>99.9</v>
      </c>
      <c r="O25" s="43">
        <v>0</v>
      </c>
      <c r="P25" s="43">
        <v>0.12</v>
      </c>
      <c r="Q25" s="43">
        <v>10</v>
      </c>
      <c r="R25" s="41"/>
      <c r="S25" s="41"/>
      <c r="T25" s="41"/>
      <c r="U25" s="41"/>
    </row>
    <row r="26" spans="1:21" customFormat="1">
      <c r="A26" s="42" t="s">
        <v>150</v>
      </c>
      <c r="B26" s="43">
        <v>4.1399999999999997</v>
      </c>
      <c r="C26" s="43">
        <v>11.71</v>
      </c>
      <c r="D26" s="43">
        <v>9.44</v>
      </c>
      <c r="E26" s="43">
        <v>5.27</v>
      </c>
      <c r="F26" s="43">
        <v>3.51</v>
      </c>
      <c r="G26" s="43">
        <v>12.5</v>
      </c>
      <c r="H26" s="43">
        <v>9.34</v>
      </c>
      <c r="I26" s="43">
        <v>3.52</v>
      </c>
      <c r="J26" s="43">
        <v>0.59</v>
      </c>
      <c r="K26" s="43">
        <v>222.71</v>
      </c>
      <c r="L26" s="43">
        <v>27.43</v>
      </c>
      <c r="M26" s="43">
        <v>84.37</v>
      </c>
      <c r="N26" s="43">
        <v>43.2</v>
      </c>
      <c r="O26" s="43">
        <v>0</v>
      </c>
      <c r="P26" s="43">
        <v>0.12</v>
      </c>
      <c r="Q26" s="43">
        <v>10</v>
      </c>
      <c r="R26" s="41"/>
      <c r="S26" s="41"/>
      <c r="T26" s="41"/>
      <c r="U26" s="41"/>
    </row>
    <row r="27" spans="1:21" customFormat="1">
      <c r="A27" s="42" t="s">
        <v>151</v>
      </c>
      <c r="B27" s="43">
        <v>4.67</v>
      </c>
      <c r="C27" s="43">
        <v>11.74</v>
      </c>
      <c r="D27" s="43">
        <v>9.7799999999999994</v>
      </c>
      <c r="E27" s="43">
        <v>5.15</v>
      </c>
      <c r="F27" s="43">
        <v>3.15</v>
      </c>
      <c r="G27" s="43">
        <v>13.57</v>
      </c>
      <c r="H27" s="43">
        <v>9.2899999999999991</v>
      </c>
      <c r="I27" s="43">
        <v>3.56</v>
      </c>
      <c r="J27" s="43">
        <v>0.31</v>
      </c>
      <c r="K27" s="43">
        <v>214.14</v>
      </c>
      <c r="L27" s="43">
        <v>26.71</v>
      </c>
      <c r="M27" s="43">
        <v>85.17</v>
      </c>
      <c r="N27" s="43">
        <v>5.7</v>
      </c>
      <c r="O27" s="43">
        <v>0</v>
      </c>
      <c r="P27" s="43">
        <v>0.13</v>
      </c>
      <c r="Q27" s="43">
        <v>10</v>
      </c>
      <c r="R27" s="41"/>
      <c r="S27" s="41"/>
      <c r="T27" s="41"/>
      <c r="U27" s="41"/>
    </row>
    <row r="28" spans="1:21" customFormat="1">
      <c r="A28" s="42" t="s">
        <v>152</v>
      </c>
      <c r="B28" s="43">
        <v>5.03</v>
      </c>
      <c r="C28" s="43">
        <v>11.79</v>
      </c>
      <c r="D28" s="43">
        <v>10.14</v>
      </c>
      <c r="E28" s="43">
        <v>5.62</v>
      </c>
      <c r="F28" s="43">
        <v>2.4300000000000002</v>
      </c>
      <c r="G28" s="43">
        <v>14.26</v>
      </c>
      <c r="H28" s="43">
        <v>9.65</v>
      </c>
      <c r="I28" s="43">
        <v>3.55</v>
      </c>
      <c r="J28" s="43">
        <v>0.28999999999999998</v>
      </c>
      <c r="K28" s="43">
        <v>214.21</v>
      </c>
      <c r="L28" s="43">
        <v>26.18</v>
      </c>
      <c r="M28" s="43">
        <v>86.56</v>
      </c>
      <c r="N28" s="43">
        <v>2.2999999999999998</v>
      </c>
      <c r="O28" s="43">
        <v>0</v>
      </c>
      <c r="P28" s="43">
        <v>0.14000000000000001</v>
      </c>
      <c r="Q28" s="43">
        <v>10</v>
      </c>
      <c r="R28" s="41"/>
      <c r="S28" s="41"/>
      <c r="T28" s="41"/>
      <c r="U28" s="41"/>
    </row>
    <row r="29" spans="1:21" customFormat="1">
      <c r="A29" s="42" t="s">
        <v>153</v>
      </c>
      <c r="B29" s="43">
        <v>4.92</v>
      </c>
      <c r="C29" s="43">
        <v>11.64</v>
      </c>
      <c r="D29" s="43">
        <v>10.02</v>
      </c>
      <c r="E29" s="43">
        <v>5.77</v>
      </c>
      <c r="F29" s="43">
        <v>2.0099999999999998</v>
      </c>
      <c r="G29" s="43">
        <v>13.77</v>
      </c>
      <c r="H29" s="43">
        <v>9.43</v>
      </c>
      <c r="I29" s="43">
        <v>3.52</v>
      </c>
      <c r="J29" s="43">
        <v>0.22</v>
      </c>
      <c r="K29" s="43">
        <v>218.01</v>
      </c>
      <c r="L29" s="43">
        <v>25.8</v>
      </c>
      <c r="M29" s="43">
        <v>86.29</v>
      </c>
      <c r="N29" s="43">
        <v>2.1</v>
      </c>
      <c r="O29" s="43">
        <v>0</v>
      </c>
      <c r="P29" s="43">
        <v>0.16</v>
      </c>
      <c r="Q29" s="43">
        <v>10</v>
      </c>
      <c r="R29" s="41"/>
      <c r="S29" s="41"/>
      <c r="T29" s="41"/>
      <c r="U29" s="41"/>
    </row>
    <row r="30" spans="1:21" customFormat="1">
      <c r="A30" s="42" t="s">
        <v>154</v>
      </c>
      <c r="B30" s="43">
        <v>4.9400000000000004</v>
      </c>
      <c r="C30" s="43">
        <v>11.47</v>
      </c>
      <c r="D30" s="43">
        <v>9.92</v>
      </c>
      <c r="E30" s="43">
        <v>5.99</v>
      </c>
      <c r="F30" s="43">
        <v>2.0299999999999998</v>
      </c>
      <c r="G30" s="43">
        <v>12.22</v>
      </c>
      <c r="H30" s="43">
        <v>8.15</v>
      </c>
      <c r="I30" s="43">
        <v>3.45</v>
      </c>
      <c r="J30" s="43">
        <v>0.32</v>
      </c>
      <c r="K30" s="43">
        <v>218.77</v>
      </c>
      <c r="L30" s="43">
        <v>25.46</v>
      </c>
      <c r="M30" s="43">
        <v>85.79</v>
      </c>
      <c r="N30" s="43">
        <v>2.1</v>
      </c>
      <c r="O30" s="43">
        <v>0</v>
      </c>
      <c r="P30" s="43">
        <v>0.16</v>
      </c>
      <c r="Q30" s="43">
        <v>10</v>
      </c>
      <c r="R30" s="41"/>
      <c r="S30" s="41"/>
      <c r="T30" s="41"/>
      <c r="U30" s="41"/>
    </row>
    <row r="31" spans="1:21" customFormat="1">
      <c r="A31" s="42" t="s">
        <v>155</v>
      </c>
      <c r="B31" s="43">
        <v>4.9400000000000004</v>
      </c>
      <c r="C31" s="43">
        <v>11.35</v>
      </c>
      <c r="D31" s="43">
        <v>9.86</v>
      </c>
      <c r="E31" s="43">
        <v>6.01</v>
      </c>
      <c r="F31" s="43">
        <v>2.0299999999999998</v>
      </c>
      <c r="G31" s="43">
        <v>14.7</v>
      </c>
      <c r="H31" s="43">
        <v>6.86</v>
      </c>
      <c r="I31" s="43">
        <v>3.55</v>
      </c>
      <c r="J31" s="43">
        <v>0.39</v>
      </c>
      <c r="K31" s="43">
        <v>216.09</v>
      </c>
      <c r="L31" s="43">
        <v>25.23</v>
      </c>
      <c r="M31" s="43">
        <v>85.06</v>
      </c>
      <c r="N31" s="43">
        <v>2.1</v>
      </c>
      <c r="O31" s="43">
        <v>0</v>
      </c>
      <c r="P31" s="43">
        <v>0.17</v>
      </c>
      <c r="Q31" s="43">
        <v>10</v>
      </c>
      <c r="R31" s="41"/>
      <c r="S31" s="41"/>
      <c r="T31" s="41"/>
      <c r="U31" s="41"/>
    </row>
    <row r="32" spans="1:21" customFormat="1">
      <c r="A32" s="42" t="s">
        <v>156</v>
      </c>
      <c r="B32" s="43">
        <v>4.87</v>
      </c>
      <c r="C32" s="43">
        <v>11.23</v>
      </c>
      <c r="D32" s="43">
        <v>9.77</v>
      </c>
      <c r="E32" s="43">
        <v>6.31</v>
      </c>
      <c r="F32" s="43">
        <v>2.04</v>
      </c>
      <c r="G32" s="43">
        <v>14.34</v>
      </c>
      <c r="H32" s="43">
        <v>5.07</v>
      </c>
      <c r="I32" s="43">
        <v>3.49</v>
      </c>
      <c r="J32" s="43">
        <v>0.3</v>
      </c>
      <c r="K32" s="43">
        <v>216.15</v>
      </c>
      <c r="L32" s="43">
        <v>25.18</v>
      </c>
      <c r="M32" s="43">
        <v>86.1</v>
      </c>
      <c r="N32" s="43">
        <v>2.1</v>
      </c>
      <c r="O32" s="43">
        <v>0</v>
      </c>
      <c r="P32" s="43">
        <v>0.17</v>
      </c>
      <c r="Q32" s="43">
        <v>10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3.7</v>
      </c>
      <c r="C34" s="18">
        <f t="shared" si="0"/>
        <v>11.23</v>
      </c>
      <c r="D34" s="18">
        <f t="shared" si="0"/>
        <v>9.09</v>
      </c>
      <c r="E34" s="18">
        <f t="shared" si="0"/>
        <v>4.99</v>
      </c>
      <c r="F34" s="18">
        <f t="shared" si="0"/>
        <v>2</v>
      </c>
      <c r="G34" s="18">
        <f t="shared" si="0"/>
        <v>7</v>
      </c>
      <c r="H34" s="18">
        <f t="shared" si="0"/>
        <v>3.93</v>
      </c>
      <c r="I34" s="18">
        <f t="shared" si="0"/>
        <v>3.4</v>
      </c>
      <c r="J34" s="18">
        <f t="shared" si="0"/>
        <v>0.22</v>
      </c>
      <c r="K34" s="18">
        <f t="shared" si="0"/>
        <v>208.65</v>
      </c>
      <c r="L34" s="18">
        <f t="shared" si="0"/>
        <v>24.67</v>
      </c>
      <c r="M34" s="18">
        <f t="shared" si="0"/>
        <v>78.44</v>
      </c>
      <c r="N34" s="18">
        <f t="shared" si="0"/>
        <v>2.1</v>
      </c>
      <c r="O34" s="18">
        <f t="shared" si="0"/>
        <v>0</v>
      </c>
      <c r="P34" s="18">
        <f t="shared" si="0"/>
        <v>0.12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7.24</v>
      </c>
      <c r="C35" s="3">
        <f t="shared" si="1"/>
        <v>13.06</v>
      </c>
      <c r="D35" s="3">
        <f t="shared" si="1"/>
        <v>12.61</v>
      </c>
      <c r="E35" s="3">
        <f t="shared" si="1"/>
        <v>6.62</v>
      </c>
      <c r="F35" s="3">
        <f t="shared" si="1"/>
        <v>3.51</v>
      </c>
      <c r="G35" s="3">
        <f t="shared" si="1"/>
        <v>28.37</v>
      </c>
      <c r="H35" s="3">
        <f t="shared" si="1"/>
        <v>11.03</v>
      </c>
      <c r="I35" s="3">
        <f t="shared" si="1"/>
        <v>6.51</v>
      </c>
      <c r="J35" s="3">
        <f t="shared" si="1"/>
        <v>0.93</v>
      </c>
      <c r="K35" s="3">
        <f t="shared" si="1"/>
        <v>232.33</v>
      </c>
      <c r="L35" s="3">
        <f t="shared" si="1"/>
        <v>28.29</v>
      </c>
      <c r="M35" s="3">
        <f t="shared" si="1"/>
        <v>89.76</v>
      </c>
      <c r="N35" s="3">
        <f t="shared" si="1"/>
        <v>291.8</v>
      </c>
      <c r="O35" s="3">
        <f t="shared" si="1"/>
        <v>0.4</v>
      </c>
      <c r="P35" s="3">
        <f t="shared" si="1"/>
        <v>0.37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5.4133333333333331</v>
      </c>
      <c r="C36" s="18">
        <f t="shared" si="2"/>
        <v>11.788750000000002</v>
      </c>
      <c r="D36" s="18">
        <f t="shared" si="2"/>
        <v>10.474583333333333</v>
      </c>
      <c r="E36" s="18">
        <f t="shared" si="2"/>
        <v>5.7316666666666665</v>
      </c>
      <c r="F36" s="18">
        <f t="shared" si="2"/>
        <v>2.2866666666666662</v>
      </c>
      <c r="G36" s="18">
        <f t="shared" si="2"/>
        <v>12.742083333333332</v>
      </c>
      <c r="H36" s="18">
        <f t="shared" si="2"/>
        <v>7.0729166666666679</v>
      </c>
      <c r="I36" s="18">
        <f t="shared" si="2"/>
        <v>4.3449999999999998</v>
      </c>
      <c r="J36" s="18">
        <f t="shared" si="2"/>
        <v>0.50083333333333335</v>
      </c>
      <c r="K36" s="18">
        <f t="shared" si="2"/>
        <v>220.7704166666667</v>
      </c>
      <c r="L36" s="18">
        <f t="shared" si="2"/>
        <v>26.202916666666667</v>
      </c>
      <c r="M36" s="18">
        <f t="shared" si="2"/>
        <v>85.099583333333328</v>
      </c>
      <c r="N36" s="18">
        <f t="shared" si="2"/>
        <v>77.479166666666657</v>
      </c>
      <c r="O36" s="18">
        <f t="shared" si="2"/>
        <v>6.6666666666666666E-2</v>
      </c>
      <c r="P36" s="18">
        <f t="shared" si="2"/>
        <v>0.19916666666666669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1.1135125257165004</v>
      </c>
      <c r="C37" s="18">
        <f t="shared" ref="C37:Q37" si="3">STDEV(C9:C32)</f>
        <v>0.43431417700534031</v>
      </c>
      <c r="D37" s="18">
        <f t="shared" si="3"/>
        <v>0.99376306845841489</v>
      </c>
      <c r="E37" s="18">
        <f t="shared" si="3"/>
        <v>0.43894801778666287</v>
      </c>
      <c r="F37" s="18">
        <f t="shared" si="3"/>
        <v>0.45825440690655278</v>
      </c>
      <c r="G37" s="18">
        <f t="shared" si="3"/>
        <v>4.5495054477207342</v>
      </c>
      <c r="H37" s="18">
        <f t="shared" si="3"/>
        <v>1.984311246550895</v>
      </c>
      <c r="I37" s="18">
        <f t="shared" si="3"/>
        <v>1.0173110336226796</v>
      </c>
      <c r="J37" s="18">
        <f t="shared" si="3"/>
        <v>0.21253985133568948</v>
      </c>
      <c r="K37" s="18">
        <f t="shared" si="3"/>
        <v>6.8427984862326925</v>
      </c>
      <c r="L37" s="18">
        <f t="shared" si="3"/>
        <v>1.3092463121189615</v>
      </c>
      <c r="M37" s="18">
        <f t="shared" si="3"/>
        <v>3.1793306366437344</v>
      </c>
      <c r="N37" s="18">
        <f t="shared" si="3"/>
        <v>102.48313956416212</v>
      </c>
      <c r="O37" s="18">
        <f t="shared" si="3"/>
        <v>0.11293194051465602</v>
      </c>
      <c r="P37" s="18">
        <f t="shared" si="3"/>
        <v>7.6210045364720438E-2</v>
      </c>
      <c r="Q37" s="18">
        <f t="shared" si="3"/>
        <v>0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T12" sqref="T1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05/09/2025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157</v>
      </c>
      <c r="B9" s="43">
        <v>5.29</v>
      </c>
      <c r="C9" s="43">
        <v>11.07</v>
      </c>
      <c r="D9" s="43">
        <v>10.029999999999999</v>
      </c>
      <c r="E9" s="43">
        <v>6.12</v>
      </c>
      <c r="F9" s="43">
        <v>2.0099999999999998</v>
      </c>
      <c r="G9" s="43">
        <v>15.11</v>
      </c>
      <c r="H9" s="43">
        <v>3.9</v>
      </c>
      <c r="I9" s="43">
        <v>3.3</v>
      </c>
      <c r="J9" s="43">
        <v>0.31</v>
      </c>
      <c r="K9" s="43">
        <v>217.45</v>
      </c>
      <c r="L9" s="43">
        <v>25.04</v>
      </c>
      <c r="M9" s="43">
        <v>86.05</v>
      </c>
      <c r="N9" s="43">
        <v>2.1</v>
      </c>
      <c r="O9" s="43">
        <v>0</v>
      </c>
      <c r="P9" s="43">
        <v>0.16</v>
      </c>
      <c r="Q9" s="43">
        <v>10</v>
      </c>
      <c r="R9" s="41"/>
      <c r="S9" s="41"/>
      <c r="T9" s="41"/>
      <c r="U9" s="41"/>
    </row>
    <row r="10" spans="1:21" customFormat="1">
      <c r="A10" s="42" t="s">
        <v>158</v>
      </c>
      <c r="B10" s="43">
        <v>5.99</v>
      </c>
      <c r="C10" s="43">
        <v>11.42</v>
      </c>
      <c r="D10" s="43">
        <v>10.69</v>
      </c>
      <c r="E10" s="43">
        <v>5.72</v>
      </c>
      <c r="F10" s="43">
        <v>2</v>
      </c>
      <c r="G10" s="43">
        <v>15.8</v>
      </c>
      <c r="H10" s="43">
        <v>7.02</v>
      </c>
      <c r="I10" s="43">
        <v>3.39</v>
      </c>
      <c r="J10" s="43">
        <v>0.25</v>
      </c>
      <c r="K10" s="43">
        <v>211.98</v>
      </c>
      <c r="L10" s="43">
        <v>24.93</v>
      </c>
      <c r="M10" s="43">
        <v>84.98</v>
      </c>
      <c r="N10" s="43">
        <v>2.1</v>
      </c>
      <c r="O10" s="43">
        <v>0</v>
      </c>
      <c r="P10" s="43">
        <v>0.13</v>
      </c>
      <c r="Q10" s="43">
        <v>10</v>
      </c>
      <c r="R10" s="41"/>
      <c r="S10" s="41"/>
      <c r="T10" s="41"/>
      <c r="U10" s="41"/>
    </row>
    <row r="11" spans="1:21" customFormat="1">
      <c r="A11" s="42" t="s">
        <v>159</v>
      </c>
      <c r="B11" s="43">
        <v>6.59</v>
      </c>
      <c r="C11" s="43">
        <v>11.38</v>
      </c>
      <c r="D11" s="43">
        <v>11.2</v>
      </c>
      <c r="E11" s="43">
        <v>5.51</v>
      </c>
      <c r="F11" s="43">
        <v>2.0299999999999998</v>
      </c>
      <c r="G11" s="43">
        <v>15.76</v>
      </c>
      <c r="H11" s="43">
        <v>8.6300000000000008</v>
      </c>
      <c r="I11" s="43">
        <v>3.46</v>
      </c>
      <c r="J11" s="43">
        <v>0.27</v>
      </c>
      <c r="K11" s="43">
        <v>219.37</v>
      </c>
      <c r="L11" s="43">
        <v>24.72</v>
      </c>
      <c r="M11" s="43">
        <v>86.59</v>
      </c>
      <c r="N11" s="43">
        <v>2.1</v>
      </c>
      <c r="O11" s="43">
        <v>0</v>
      </c>
      <c r="P11" s="43">
        <v>0.14000000000000001</v>
      </c>
      <c r="Q11" s="43">
        <v>10</v>
      </c>
      <c r="R11" s="41"/>
      <c r="S11" s="41"/>
      <c r="T11" s="41"/>
      <c r="U11" s="41"/>
    </row>
    <row r="12" spans="1:21" customFormat="1">
      <c r="A12" s="42" t="s">
        <v>160</v>
      </c>
      <c r="B12" s="43">
        <v>7</v>
      </c>
      <c r="C12" s="43">
        <v>11.48</v>
      </c>
      <c r="D12" s="43">
        <v>11.53</v>
      </c>
      <c r="E12" s="43">
        <v>5.82</v>
      </c>
      <c r="F12" s="43">
        <v>2</v>
      </c>
      <c r="G12" s="43">
        <v>14.98</v>
      </c>
      <c r="H12" s="43">
        <v>8.2799999999999994</v>
      </c>
      <c r="I12" s="43">
        <v>3.49</v>
      </c>
      <c r="J12" s="43">
        <v>0.25</v>
      </c>
      <c r="K12" s="43">
        <v>217.37</v>
      </c>
      <c r="L12" s="43">
        <v>24.65</v>
      </c>
      <c r="M12" s="43">
        <v>86.54</v>
      </c>
      <c r="N12" s="43">
        <v>2.1</v>
      </c>
      <c r="O12" s="43">
        <v>0</v>
      </c>
      <c r="P12" s="43">
        <v>0.13</v>
      </c>
      <c r="Q12" s="43">
        <v>10</v>
      </c>
      <c r="R12" s="41"/>
      <c r="S12" s="41"/>
      <c r="T12" s="41"/>
      <c r="U12" s="41"/>
    </row>
    <row r="13" spans="1:21" customFormat="1">
      <c r="A13" s="42" t="s">
        <v>161</v>
      </c>
      <c r="B13" s="43">
        <v>7.42</v>
      </c>
      <c r="C13" s="43">
        <v>11.51</v>
      </c>
      <c r="D13" s="43">
        <v>11.88</v>
      </c>
      <c r="E13" s="43">
        <v>5.82</v>
      </c>
      <c r="F13" s="43">
        <v>2</v>
      </c>
      <c r="G13" s="43">
        <v>11.71</v>
      </c>
      <c r="H13" s="43">
        <v>6.52</v>
      </c>
      <c r="I13" s="43">
        <v>3.41</v>
      </c>
      <c r="J13" s="43">
        <v>0.21</v>
      </c>
      <c r="K13" s="43">
        <v>213.67</v>
      </c>
      <c r="L13" s="43">
        <v>24.36</v>
      </c>
      <c r="M13" s="43">
        <v>84.25</v>
      </c>
      <c r="N13" s="43">
        <v>2.1</v>
      </c>
      <c r="O13" s="43">
        <v>0</v>
      </c>
      <c r="P13" s="43">
        <v>0.13</v>
      </c>
      <c r="Q13" s="43">
        <v>10</v>
      </c>
      <c r="R13" s="41"/>
      <c r="S13" s="41"/>
      <c r="T13" s="41"/>
      <c r="U13" s="41"/>
    </row>
    <row r="14" spans="1:21" customFormat="1">
      <c r="A14" s="42" t="s">
        <v>162</v>
      </c>
      <c r="B14" s="43">
        <v>7.56</v>
      </c>
      <c r="C14" s="43">
        <v>11.56</v>
      </c>
      <c r="D14" s="43">
        <v>12.1</v>
      </c>
      <c r="E14" s="43">
        <v>5.95</v>
      </c>
      <c r="F14" s="43">
        <v>2</v>
      </c>
      <c r="G14" s="43">
        <v>15.06</v>
      </c>
      <c r="H14" s="43">
        <v>6.24</v>
      </c>
      <c r="I14" s="43">
        <v>3.46</v>
      </c>
      <c r="J14" s="43">
        <v>0.08</v>
      </c>
      <c r="K14" s="43">
        <v>209.53</v>
      </c>
      <c r="L14" s="43">
        <v>24.58</v>
      </c>
      <c r="M14" s="43">
        <v>84.81</v>
      </c>
      <c r="N14" s="43">
        <v>3.7</v>
      </c>
      <c r="O14" s="43">
        <v>0</v>
      </c>
      <c r="P14" s="43">
        <v>0.15</v>
      </c>
      <c r="Q14" s="43">
        <v>10</v>
      </c>
      <c r="R14" s="41"/>
      <c r="S14" s="41"/>
      <c r="T14" s="41"/>
      <c r="U14" s="41"/>
    </row>
    <row r="15" spans="1:21" customFormat="1">
      <c r="A15" s="42" t="s">
        <v>163</v>
      </c>
      <c r="B15" s="43">
        <v>7.27</v>
      </c>
      <c r="C15" s="43">
        <v>11.38</v>
      </c>
      <c r="D15" s="43">
        <v>11.77</v>
      </c>
      <c r="E15" s="43">
        <v>6.04</v>
      </c>
      <c r="F15" s="43">
        <v>2.0099999999999998</v>
      </c>
      <c r="G15" s="43">
        <v>14.57</v>
      </c>
      <c r="H15" s="43">
        <v>4.6500000000000004</v>
      </c>
      <c r="I15" s="43">
        <v>3.31</v>
      </c>
      <c r="J15" s="43">
        <v>0.23</v>
      </c>
      <c r="K15" s="43">
        <v>212.35</v>
      </c>
      <c r="L15" s="43">
        <v>24.88</v>
      </c>
      <c r="M15" s="43">
        <v>84.91</v>
      </c>
      <c r="N15" s="43">
        <v>32</v>
      </c>
      <c r="O15" s="43">
        <v>0</v>
      </c>
      <c r="P15" s="43">
        <v>0.15</v>
      </c>
      <c r="Q15" s="43">
        <v>10</v>
      </c>
      <c r="R15" s="41"/>
      <c r="S15" s="41"/>
      <c r="T15" s="41"/>
      <c r="U15" s="41"/>
    </row>
    <row r="16" spans="1:21" customFormat="1">
      <c r="A16" s="42" t="s">
        <v>164</v>
      </c>
      <c r="B16" s="43">
        <v>6.83</v>
      </c>
      <c r="C16" s="43">
        <v>11.36</v>
      </c>
      <c r="D16" s="43">
        <v>11.36</v>
      </c>
      <c r="E16" s="43">
        <v>5.93</v>
      </c>
      <c r="F16" s="43">
        <v>2.02</v>
      </c>
      <c r="G16" s="43">
        <v>15.61</v>
      </c>
      <c r="H16" s="43">
        <v>3.49</v>
      </c>
      <c r="I16" s="43">
        <v>3.16</v>
      </c>
      <c r="J16" s="43">
        <v>0.3</v>
      </c>
      <c r="K16" s="43">
        <v>209.06</v>
      </c>
      <c r="L16" s="43">
        <v>25.76</v>
      </c>
      <c r="M16" s="43">
        <v>84.41</v>
      </c>
      <c r="N16" s="43">
        <v>79.900000000000006</v>
      </c>
      <c r="O16" s="43">
        <v>0.4</v>
      </c>
      <c r="P16" s="43">
        <v>0.15</v>
      </c>
      <c r="Q16" s="43">
        <v>10</v>
      </c>
      <c r="R16" s="41"/>
      <c r="S16" s="41"/>
      <c r="T16" s="41"/>
      <c r="U16" s="41"/>
    </row>
    <row r="17" spans="1:21" customFormat="1">
      <c r="A17" s="42" t="s">
        <v>165</v>
      </c>
      <c r="B17" s="43">
        <v>6.17</v>
      </c>
      <c r="C17" s="43">
        <v>11.42</v>
      </c>
      <c r="D17" s="43">
        <v>10.88</v>
      </c>
      <c r="E17" s="43">
        <v>6.34</v>
      </c>
      <c r="F17" s="43">
        <v>2.02</v>
      </c>
      <c r="G17" s="43">
        <v>15.35</v>
      </c>
      <c r="H17" s="43">
        <v>2.83</v>
      </c>
      <c r="I17" s="43">
        <v>3.07</v>
      </c>
      <c r="J17" s="43">
        <v>0.24</v>
      </c>
      <c r="K17" s="43">
        <v>208.82</v>
      </c>
      <c r="L17" s="43">
        <v>25.7</v>
      </c>
      <c r="M17" s="43">
        <v>84.28</v>
      </c>
      <c r="N17" s="43">
        <v>109.4</v>
      </c>
      <c r="O17" s="43">
        <v>0</v>
      </c>
      <c r="P17" s="43">
        <v>0.15</v>
      </c>
      <c r="Q17" s="43">
        <v>10</v>
      </c>
      <c r="R17" s="41"/>
      <c r="S17" s="41"/>
      <c r="T17" s="41"/>
      <c r="U17" s="41"/>
    </row>
    <row r="18" spans="1:21" customFormat="1">
      <c r="A18" s="42" t="s">
        <v>166</v>
      </c>
      <c r="B18" s="43">
        <v>5.61</v>
      </c>
      <c r="C18" s="43">
        <v>11.47</v>
      </c>
      <c r="D18" s="43">
        <v>10.48</v>
      </c>
      <c r="E18" s="43">
        <v>6.44</v>
      </c>
      <c r="F18" s="43">
        <v>2.04</v>
      </c>
      <c r="G18" s="43">
        <v>13.21</v>
      </c>
      <c r="H18" s="43">
        <v>2.29</v>
      </c>
      <c r="I18" s="43">
        <v>3.11</v>
      </c>
      <c r="J18" s="43">
        <v>0.39</v>
      </c>
      <c r="K18" s="43">
        <v>207.15</v>
      </c>
      <c r="L18" s="43">
        <v>27.56</v>
      </c>
      <c r="M18" s="43">
        <v>84.66</v>
      </c>
      <c r="N18" s="43">
        <v>286.10000000000002</v>
      </c>
      <c r="O18" s="43">
        <v>0</v>
      </c>
      <c r="P18" s="43">
        <v>0.15</v>
      </c>
      <c r="Q18" s="43">
        <v>10</v>
      </c>
      <c r="R18" s="41"/>
      <c r="S18" s="41"/>
      <c r="T18" s="41"/>
      <c r="U18" s="41"/>
    </row>
    <row r="19" spans="1:21" customFormat="1">
      <c r="A19" s="42" t="s">
        <v>167</v>
      </c>
      <c r="B19" s="43">
        <v>5.05</v>
      </c>
      <c r="C19" s="43">
        <v>11.45</v>
      </c>
      <c r="D19" s="43">
        <v>10.029999999999999</v>
      </c>
      <c r="E19" s="43">
        <v>4.68</v>
      </c>
      <c r="F19" s="43">
        <v>2.23</v>
      </c>
      <c r="G19" s="43">
        <v>10.199999999999999</v>
      </c>
      <c r="H19" s="43">
        <v>2.0099999999999998</v>
      </c>
      <c r="I19" s="43">
        <v>3.12</v>
      </c>
      <c r="J19" s="43">
        <v>0.74</v>
      </c>
      <c r="K19" s="43">
        <v>209.49</v>
      </c>
      <c r="L19" s="43">
        <v>29.81</v>
      </c>
      <c r="M19" s="43">
        <v>81.37</v>
      </c>
      <c r="N19" s="43">
        <v>686.5</v>
      </c>
      <c r="O19" s="43">
        <v>0</v>
      </c>
      <c r="P19" s="43">
        <v>0.15</v>
      </c>
      <c r="Q19" s="43">
        <v>10</v>
      </c>
      <c r="R19" s="41"/>
      <c r="S19" s="41"/>
      <c r="T19" s="41"/>
      <c r="U19" s="41"/>
    </row>
    <row r="20" spans="1:21" customFormat="1">
      <c r="A20" s="42" t="s">
        <v>168</v>
      </c>
      <c r="B20" s="43">
        <v>4.43</v>
      </c>
      <c r="C20" s="43">
        <v>11.18</v>
      </c>
      <c r="D20" s="43">
        <v>9.4</v>
      </c>
      <c r="E20" s="43">
        <v>3.82</v>
      </c>
      <c r="F20" s="43">
        <v>17.04</v>
      </c>
      <c r="G20" s="43">
        <v>9.93</v>
      </c>
      <c r="H20" s="43">
        <v>2.33</v>
      </c>
      <c r="I20" s="43">
        <v>3.09</v>
      </c>
      <c r="J20" s="43">
        <v>0.71</v>
      </c>
      <c r="K20" s="43">
        <v>215.27</v>
      </c>
      <c r="L20" s="43">
        <v>29.79</v>
      </c>
      <c r="M20" s="43">
        <v>77.31</v>
      </c>
      <c r="N20" s="43">
        <v>409</v>
      </c>
      <c r="O20" s="43">
        <v>0</v>
      </c>
      <c r="P20" s="43">
        <v>0.13</v>
      </c>
      <c r="Q20" s="43">
        <v>10</v>
      </c>
      <c r="R20" s="41"/>
      <c r="S20" s="41"/>
      <c r="T20" s="41"/>
      <c r="U20" s="41"/>
    </row>
    <row r="21" spans="1:21" customFormat="1">
      <c r="A21" s="42" t="s">
        <v>169</v>
      </c>
      <c r="B21" s="43">
        <v>1.77</v>
      </c>
      <c r="C21" s="43">
        <v>8.0399999999999991</v>
      </c>
      <c r="D21" s="43">
        <v>5.61</v>
      </c>
      <c r="E21" s="43">
        <v>1.46</v>
      </c>
      <c r="F21" s="43">
        <v>21.43</v>
      </c>
      <c r="G21" s="43">
        <v>0</v>
      </c>
      <c r="H21" s="43">
        <v>0</v>
      </c>
      <c r="I21" s="43">
        <v>2.41</v>
      </c>
      <c r="J21" s="43">
        <v>0.61</v>
      </c>
      <c r="K21" s="43">
        <v>215.46</v>
      </c>
      <c r="L21" s="43">
        <v>30.44</v>
      </c>
      <c r="M21" s="43">
        <v>74.290000000000006</v>
      </c>
      <c r="N21" s="43">
        <v>412.2</v>
      </c>
      <c r="O21" s="43">
        <v>0</v>
      </c>
      <c r="P21" s="43">
        <v>0.11</v>
      </c>
      <c r="Q21" s="43">
        <v>10</v>
      </c>
      <c r="R21" s="41"/>
      <c r="S21" s="41"/>
      <c r="T21" s="41"/>
      <c r="U21" s="41"/>
    </row>
    <row r="22" spans="1:21" customFormat="1">
      <c r="A22" s="42" t="s">
        <v>170</v>
      </c>
      <c r="B22" s="43">
        <v>1.73</v>
      </c>
      <c r="C22" s="43">
        <v>7.94</v>
      </c>
      <c r="D22" s="43">
        <v>5.54</v>
      </c>
      <c r="E22" s="43">
        <v>1.36</v>
      </c>
      <c r="F22" s="43">
        <v>19.12</v>
      </c>
      <c r="G22" s="43">
        <v>17.8</v>
      </c>
      <c r="H22" s="43">
        <v>0.69</v>
      </c>
      <c r="I22" s="43">
        <v>2.37</v>
      </c>
      <c r="J22" s="43">
        <v>0.75</v>
      </c>
      <c r="K22" s="43">
        <v>215.38</v>
      </c>
      <c r="L22" s="43">
        <v>30.7</v>
      </c>
      <c r="M22" s="43">
        <v>71.489999999999995</v>
      </c>
      <c r="N22" s="43">
        <v>373.6</v>
      </c>
      <c r="O22" s="43">
        <v>0</v>
      </c>
      <c r="P22" s="43">
        <v>0.08</v>
      </c>
      <c r="Q22" s="43">
        <v>10</v>
      </c>
      <c r="R22" s="41"/>
      <c r="S22" s="41"/>
      <c r="T22" s="41"/>
      <c r="U22" s="41"/>
    </row>
    <row r="23" spans="1:21" customFormat="1">
      <c r="A23" s="42" t="s">
        <v>171</v>
      </c>
      <c r="B23" s="43">
        <v>1.79</v>
      </c>
      <c r="C23" s="43">
        <v>9.32</v>
      </c>
      <c r="D23" s="43">
        <v>6.3</v>
      </c>
      <c r="E23" s="43">
        <v>1.32</v>
      </c>
      <c r="F23" s="43">
        <v>18.899999999999999</v>
      </c>
      <c r="G23" s="43">
        <v>17.8</v>
      </c>
      <c r="H23" s="43">
        <v>1.17</v>
      </c>
      <c r="I23" s="43">
        <v>2.16</v>
      </c>
      <c r="J23" s="43">
        <v>0.62</v>
      </c>
      <c r="K23" s="43">
        <v>217.44</v>
      </c>
      <c r="L23" s="43">
        <v>30.96</v>
      </c>
      <c r="M23" s="43">
        <v>70.510000000000005</v>
      </c>
      <c r="N23" s="43">
        <v>245.4</v>
      </c>
      <c r="O23" s="43">
        <v>0</v>
      </c>
      <c r="P23" s="43">
        <v>0.12</v>
      </c>
      <c r="Q23" s="43">
        <v>10</v>
      </c>
      <c r="R23" s="41"/>
      <c r="S23" s="41"/>
      <c r="T23" s="41"/>
      <c r="U23" s="41"/>
    </row>
    <row r="24" spans="1:21" customFormat="1">
      <c r="A24" s="42" t="s">
        <v>172</v>
      </c>
      <c r="B24" s="43">
        <v>2.4300000000000002</v>
      </c>
      <c r="C24" s="43">
        <v>11.23</v>
      </c>
      <c r="D24" s="43">
        <v>7.82</v>
      </c>
      <c r="E24" s="43">
        <v>1.59</v>
      </c>
      <c r="F24" s="43">
        <v>3.68</v>
      </c>
      <c r="G24" s="43">
        <v>15.15</v>
      </c>
      <c r="H24" s="43">
        <v>1.17</v>
      </c>
      <c r="I24" s="43">
        <v>2.36</v>
      </c>
      <c r="J24" s="43">
        <v>0.46</v>
      </c>
      <c r="K24" s="43">
        <v>216.65</v>
      </c>
      <c r="L24" s="43">
        <v>30.73</v>
      </c>
      <c r="M24" s="43">
        <v>70.36</v>
      </c>
      <c r="N24" s="43">
        <v>276</v>
      </c>
      <c r="O24" s="43">
        <v>0</v>
      </c>
      <c r="P24" s="43">
        <v>0.13</v>
      </c>
      <c r="Q24" s="43">
        <v>10</v>
      </c>
      <c r="R24" s="41"/>
      <c r="S24" s="41"/>
      <c r="T24" s="41"/>
      <c r="U24" s="41"/>
    </row>
    <row r="25" spans="1:21" customFormat="1">
      <c r="A25" s="42" t="s">
        <v>173</v>
      </c>
      <c r="B25" s="43">
        <v>2.8</v>
      </c>
      <c r="C25" s="43">
        <v>11.37</v>
      </c>
      <c r="D25" s="43">
        <v>8.18</v>
      </c>
      <c r="E25" s="43">
        <v>2.54</v>
      </c>
      <c r="F25" s="43">
        <v>4.0599999999999996</v>
      </c>
      <c r="G25" s="43">
        <v>15.15</v>
      </c>
      <c r="H25" s="43">
        <v>3.92</v>
      </c>
      <c r="I25" s="43">
        <v>2.3199999999999998</v>
      </c>
      <c r="J25" s="43">
        <v>0.44</v>
      </c>
      <c r="K25" s="43">
        <v>216.31</v>
      </c>
      <c r="L25" s="43">
        <v>30.29</v>
      </c>
      <c r="M25" s="43">
        <v>74.53</v>
      </c>
      <c r="N25" s="43">
        <v>66.599999999999994</v>
      </c>
      <c r="O25" s="43">
        <v>0</v>
      </c>
      <c r="P25" s="43">
        <v>0.14000000000000001</v>
      </c>
      <c r="Q25" s="43">
        <v>10</v>
      </c>
      <c r="R25" s="41"/>
      <c r="S25" s="41"/>
      <c r="T25" s="41"/>
      <c r="U25" s="41"/>
    </row>
    <row r="26" spans="1:21" customFormat="1">
      <c r="A26" s="42" t="s">
        <v>174</v>
      </c>
      <c r="B26" s="43">
        <v>3.08</v>
      </c>
      <c r="C26" s="43">
        <v>11.49</v>
      </c>
      <c r="D26" s="43">
        <v>8.48</v>
      </c>
      <c r="E26" s="43">
        <v>3.5</v>
      </c>
      <c r="F26" s="43">
        <v>2.61</v>
      </c>
      <c r="G26" s="43">
        <v>23.82</v>
      </c>
      <c r="H26" s="43">
        <v>10.94</v>
      </c>
      <c r="I26" s="43">
        <v>2.41</v>
      </c>
      <c r="J26" s="43">
        <v>0.35</v>
      </c>
      <c r="K26" s="43">
        <v>218.46</v>
      </c>
      <c r="L26" s="43">
        <v>29.39</v>
      </c>
      <c r="M26" s="43">
        <v>76.69</v>
      </c>
      <c r="N26" s="43">
        <v>36.200000000000003</v>
      </c>
      <c r="O26" s="43">
        <v>0</v>
      </c>
      <c r="P26" s="43">
        <v>0.15</v>
      </c>
      <c r="Q26" s="43">
        <v>10</v>
      </c>
      <c r="R26" s="41"/>
      <c r="S26" s="41"/>
      <c r="T26" s="41"/>
      <c r="U26" s="41"/>
    </row>
    <row r="27" spans="1:21" customFormat="1">
      <c r="A27" s="42" t="s">
        <v>175</v>
      </c>
      <c r="B27" s="43">
        <v>3.34</v>
      </c>
      <c r="C27" s="43">
        <v>11.57</v>
      </c>
      <c r="D27" s="43">
        <v>8.68</v>
      </c>
      <c r="E27" s="43">
        <v>4.13</v>
      </c>
      <c r="F27" s="43">
        <v>2.17</v>
      </c>
      <c r="G27" s="43">
        <v>23.82</v>
      </c>
      <c r="H27" s="43">
        <v>10.94</v>
      </c>
      <c r="I27" s="43">
        <v>2.5099999999999998</v>
      </c>
      <c r="J27" s="43">
        <v>0.19</v>
      </c>
      <c r="K27" s="43">
        <v>200.4</v>
      </c>
      <c r="L27" s="43">
        <v>28.39</v>
      </c>
      <c r="M27" s="43">
        <v>83.66</v>
      </c>
      <c r="N27" s="43">
        <v>6.3</v>
      </c>
      <c r="O27" s="43">
        <v>0</v>
      </c>
      <c r="P27" s="43">
        <v>0.17</v>
      </c>
      <c r="Q27" s="43">
        <v>10</v>
      </c>
      <c r="R27" s="41"/>
      <c r="S27" s="41"/>
      <c r="T27" s="41"/>
      <c r="U27" s="41"/>
    </row>
    <row r="28" spans="1:21" customFormat="1">
      <c r="A28" s="42" t="s">
        <v>176</v>
      </c>
      <c r="B28" s="43">
        <v>3.63</v>
      </c>
      <c r="C28" s="43">
        <v>11.5</v>
      </c>
      <c r="D28" s="43">
        <v>8.8699999999999992</v>
      </c>
      <c r="E28" s="43">
        <v>4.5599999999999996</v>
      </c>
      <c r="F28" s="43">
        <v>2.1</v>
      </c>
      <c r="G28" s="43">
        <v>21.92</v>
      </c>
      <c r="H28" s="43">
        <v>9.26</v>
      </c>
      <c r="I28" s="43">
        <v>3.12</v>
      </c>
      <c r="J28" s="43">
        <v>0.36</v>
      </c>
      <c r="K28" s="43">
        <v>217.07</v>
      </c>
      <c r="L28" s="43">
        <v>27.59</v>
      </c>
      <c r="M28" s="43">
        <v>85.69</v>
      </c>
      <c r="N28" s="43">
        <v>2.4</v>
      </c>
      <c r="O28" s="43">
        <v>0</v>
      </c>
      <c r="P28" s="43">
        <v>0.18</v>
      </c>
      <c r="Q28" s="43">
        <v>10</v>
      </c>
      <c r="R28" s="41"/>
      <c r="S28" s="41"/>
      <c r="T28" s="41"/>
      <c r="U28" s="41"/>
    </row>
    <row r="29" spans="1:21" customFormat="1">
      <c r="A29" s="42" t="s">
        <v>177</v>
      </c>
      <c r="B29" s="43">
        <v>4.21</v>
      </c>
      <c r="C29" s="43">
        <v>11.36</v>
      </c>
      <c r="D29" s="43">
        <v>9.2899999999999991</v>
      </c>
      <c r="E29" s="43">
        <v>4.84</v>
      </c>
      <c r="F29" s="43">
        <v>3.16</v>
      </c>
      <c r="G29" s="43">
        <v>22.74</v>
      </c>
      <c r="H29" s="43">
        <v>8.07</v>
      </c>
      <c r="I29" s="43">
        <v>3.27</v>
      </c>
      <c r="J29" s="43">
        <v>0.12</v>
      </c>
      <c r="K29" s="43">
        <v>207.02</v>
      </c>
      <c r="L29" s="43">
        <v>26.59</v>
      </c>
      <c r="M29" s="43">
        <v>91.19</v>
      </c>
      <c r="N29" s="43">
        <v>2.2000000000000002</v>
      </c>
      <c r="O29" s="43">
        <v>0</v>
      </c>
      <c r="P29" s="43">
        <v>0.18</v>
      </c>
      <c r="Q29" s="43">
        <v>10</v>
      </c>
      <c r="R29" s="41"/>
      <c r="S29" s="41"/>
      <c r="T29" s="41"/>
      <c r="U29" s="41"/>
    </row>
    <row r="30" spans="1:21" customFormat="1">
      <c r="A30" s="42" t="s">
        <v>178</v>
      </c>
      <c r="B30" s="43">
        <v>5.04</v>
      </c>
      <c r="C30" s="43">
        <v>11.58</v>
      </c>
      <c r="D30" s="43">
        <v>10.09</v>
      </c>
      <c r="E30" s="43">
        <v>4.17</v>
      </c>
      <c r="F30" s="43">
        <v>2.65</v>
      </c>
      <c r="G30" s="43">
        <v>26.63</v>
      </c>
      <c r="H30" s="43">
        <v>8.07</v>
      </c>
      <c r="I30" s="43">
        <v>3.45</v>
      </c>
      <c r="J30" s="43">
        <v>0.12</v>
      </c>
      <c r="K30" s="43">
        <v>218.71</v>
      </c>
      <c r="L30" s="43">
        <v>25.78</v>
      </c>
      <c r="M30" s="43">
        <v>94.58</v>
      </c>
      <c r="N30" s="43">
        <v>2.1</v>
      </c>
      <c r="O30" s="43">
        <v>0</v>
      </c>
      <c r="P30" s="43">
        <v>0.16</v>
      </c>
      <c r="Q30" s="43">
        <v>10</v>
      </c>
      <c r="R30" s="41"/>
      <c r="S30" s="41"/>
      <c r="T30" s="41"/>
      <c r="U30" s="41"/>
    </row>
    <row r="31" spans="1:21" customFormat="1">
      <c r="A31" s="42" t="s">
        <v>179</v>
      </c>
      <c r="B31" s="43">
        <v>5.65</v>
      </c>
      <c r="C31" s="43">
        <v>11.45</v>
      </c>
      <c r="D31" s="43">
        <v>10.52</v>
      </c>
      <c r="E31" s="43">
        <v>4.58</v>
      </c>
      <c r="F31" s="43">
        <v>2</v>
      </c>
      <c r="G31" s="43">
        <v>26.63</v>
      </c>
      <c r="H31" s="43">
        <v>5.74</v>
      </c>
      <c r="I31" s="43">
        <v>3.54</v>
      </c>
      <c r="J31" s="43">
        <v>0.09</v>
      </c>
      <c r="K31" s="43">
        <v>213.98</v>
      </c>
      <c r="L31" s="43">
        <v>25.31</v>
      </c>
      <c r="M31" s="43">
        <v>95.91</v>
      </c>
      <c r="N31" s="43">
        <v>2.1</v>
      </c>
      <c r="O31" s="43">
        <v>0</v>
      </c>
      <c r="P31" s="43">
        <v>0.16</v>
      </c>
      <c r="Q31" s="43">
        <v>10</v>
      </c>
      <c r="R31" s="41"/>
      <c r="S31" s="41"/>
      <c r="T31" s="41"/>
      <c r="U31" s="41"/>
    </row>
    <row r="32" spans="1:21" customFormat="1">
      <c r="A32" s="42" t="s">
        <v>180</v>
      </c>
      <c r="B32" s="43">
        <v>6.32</v>
      </c>
      <c r="C32" s="43">
        <v>11.43</v>
      </c>
      <c r="D32" s="43">
        <v>10.97</v>
      </c>
      <c r="E32" s="43">
        <v>4.3899999999999997</v>
      </c>
      <c r="F32" s="43">
        <v>2</v>
      </c>
      <c r="G32" s="43">
        <v>24.61</v>
      </c>
      <c r="H32" s="43">
        <v>7.07</v>
      </c>
      <c r="I32" s="43">
        <v>3.63</v>
      </c>
      <c r="J32" s="43">
        <v>7.0000000000000007E-2</v>
      </c>
      <c r="K32" s="43">
        <v>205.6</v>
      </c>
      <c r="L32" s="43">
        <v>25.1</v>
      </c>
      <c r="M32" s="43">
        <v>95.8</v>
      </c>
      <c r="N32" s="43">
        <v>2.1</v>
      </c>
      <c r="O32" s="43">
        <v>0</v>
      </c>
      <c r="P32" s="43">
        <v>0.17</v>
      </c>
      <c r="Q32" s="43">
        <v>10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1.73</v>
      </c>
      <c r="C34" s="18">
        <f t="shared" si="0"/>
        <v>7.94</v>
      </c>
      <c r="D34" s="18">
        <f t="shared" si="0"/>
        <v>5.54</v>
      </c>
      <c r="E34" s="18">
        <f t="shared" si="0"/>
        <v>1.32</v>
      </c>
      <c r="F34" s="18">
        <f t="shared" si="0"/>
        <v>2</v>
      </c>
      <c r="G34" s="18">
        <f t="shared" si="0"/>
        <v>0</v>
      </c>
      <c r="H34" s="18">
        <f t="shared" si="0"/>
        <v>0</v>
      </c>
      <c r="I34" s="18">
        <f t="shared" si="0"/>
        <v>2.16</v>
      </c>
      <c r="J34" s="18">
        <f t="shared" si="0"/>
        <v>7.0000000000000007E-2</v>
      </c>
      <c r="K34" s="18">
        <f t="shared" si="0"/>
        <v>200.4</v>
      </c>
      <c r="L34" s="18">
        <f t="shared" si="0"/>
        <v>24.36</v>
      </c>
      <c r="M34" s="18">
        <f t="shared" si="0"/>
        <v>70.36</v>
      </c>
      <c r="N34" s="18">
        <f t="shared" si="0"/>
        <v>2.1</v>
      </c>
      <c r="O34" s="18">
        <f t="shared" si="0"/>
        <v>0</v>
      </c>
      <c r="P34" s="18">
        <f t="shared" si="0"/>
        <v>0.08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7.56</v>
      </c>
      <c r="C35" s="3">
        <f t="shared" si="1"/>
        <v>11.58</v>
      </c>
      <c r="D35" s="3">
        <f t="shared" si="1"/>
        <v>12.1</v>
      </c>
      <c r="E35" s="3">
        <f t="shared" si="1"/>
        <v>6.44</v>
      </c>
      <c r="F35" s="3">
        <f t="shared" si="1"/>
        <v>21.43</v>
      </c>
      <c r="G35" s="3">
        <f t="shared" si="1"/>
        <v>26.63</v>
      </c>
      <c r="H35" s="3">
        <f t="shared" si="1"/>
        <v>10.94</v>
      </c>
      <c r="I35" s="3">
        <f t="shared" si="1"/>
        <v>3.63</v>
      </c>
      <c r="J35" s="3">
        <f t="shared" si="1"/>
        <v>0.75</v>
      </c>
      <c r="K35" s="3">
        <f t="shared" si="1"/>
        <v>219.37</v>
      </c>
      <c r="L35" s="3">
        <f t="shared" si="1"/>
        <v>30.96</v>
      </c>
      <c r="M35" s="3">
        <f t="shared" si="1"/>
        <v>95.91</v>
      </c>
      <c r="N35" s="3">
        <f t="shared" si="1"/>
        <v>686.5</v>
      </c>
      <c r="O35" s="3">
        <f t="shared" si="1"/>
        <v>0.4</v>
      </c>
      <c r="P35" s="3">
        <f t="shared" si="1"/>
        <v>0.18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4.8750000000000009</v>
      </c>
      <c r="C36" s="18">
        <f t="shared" si="2"/>
        <v>11.04</v>
      </c>
      <c r="D36" s="18">
        <f t="shared" si="2"/>
        <v>9.6541666666666668</v>
      </c>
      <c r="E36" s="18">
        <f t="shared" si="2"/>
        <v>4.4429166666666662</v>
      </c>
      <c r="F36" s="18">
        <f t="shared" si="2"/>
        <v>5.1366666666666667</v>
      </c>
      <c r="G36" s="18">
        <f t="shared" si="2"/>
        <v>16.806666666666668</v>
      </c>
      <c r="H36" s="18">
        <f t="shared" si="2"/>
        <v>5.2179166666666665</v>
      </c>
      <c r="I36" s="18">
        <f t="shared" si="2"/>
        <v>3.0383333333333327</v>
      </c>
      <c r="J36" s="18">
        <f t="shared" si="2"/>
        <v>0.34000000000000008</v>
      </c>
      <c r="K36" s="18">
        <f t="shared" si="2"/>
        <v>213.0829166666667</v>
      </c>
      <c r="L36" s="18">
        <f t="shared" si="2"/>
        <v>27.210416666666664</v>
      </c>
      <c r="M36" s="18">
        <f t="shared" si="2"/>
        <v>83.119166666666658</v>
      </c>
      <c r="N36" s="18">
        <f t="shared" si="2"/>
        <v>126.84583333333332</v>
      </c>
      <c r="O36" s="18">
        <f t="shared" si="2"/>
        <v>1.6666666666666666E-2</v>
      </c>
      <c r="P36" s="18">
        <f t="shared" si="2"/>
        <v>0.14458333333333334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1.9131331006674779</v>
      </c>
      <c r="C37" s="18">
        <f t="shared" ref="C37:Q37" si="3">STDEV(C9:C32)</f>
        <v>1.0384645856514194</v>
      </c>
      <c r="D37" s="18">
        <f t="shared" si="3"/>
        <v>1.9071009564181416</v>
      </c>
      <c r="E37" s="18">
        <f t="shared" si="3"/>
        <v>1.6889576903256469</v>
      </c>
      <c r="F37" s="18">
        <f t="shared" si="3"/>
        <v>6.4457742589313085</v>
      </c>
      <c r="G37" s="18">
        <f t="shared" si="3"/>
        <v>6.0910445071765569</v>
      </c>
      <c r="H37" s="18">
        <f t="shared" si="3"/>
        <v>3.2898790504616842</v>
      </c>
      <c r="I37" s="18">
        <f t="shared" si="3"/>
        <v>0.47036217929394358</v>
      </c>
      <c r="J37" s="18">
        <f t="shared" si="3"/>
        <v>0.21147515014874618</v>
      </c>
      <c r="K37" s="18">
        <f t="shared" si="3"/>
        <v>4.9470460919857899</v>
      </c>
      <c r="L37" s="18">
        <f t="shared" si="3"/>
        <v>2.4351028532275807</v>
      </c>
      <c r="M37" s="18">
        <f t="shared" si="3"/>
        <v>7.4109988276337218</v>
      </c>
      <c r="N37" s="18">
        <f t="shared" si="3"/>
        <v>187.1251940353132</v>
      </c>
      <c r="O37" s="18">
        <f t="shared" si="3"/>
        <v>8.1649658092772623E-2</v>
      </c>
      <c r="P37" s="18">
        <f t="shared" si="3"/>
        <v>2.2646463716010496E-2</v>
      </c>
      <c r="Q37" s="18">
        <f t="shared" si="3"/>
        <v>0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6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T14" sqref="T14:T16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06/09/2025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181</v>
      </c>
      <c r="B9" s="43">
        <v>6.8</v>
      </c>
      <c r="C9" s="43">
        <v>11.57</v>
      </c>
      <c r="D9" s="43">
        <v>11.43</v>
      </c>
      <c r="E9" s="43">
        <v>4.67</v>
      </c>
      <c r="F9" s="43">
        <v>2</v>
      </c>
      <c r="G9" s="43">
        <v>24.61</v>
      </c>
      <c r="H9" s="43">
        <v>7.07</v>
      </c>
      <c r="I9" s="43">
        <v>3.74</v>
      </c>
      <c r="J9" s="43">
        <v>0.11</v>
      </c>
      <c r="K9" s="43">
        <v>187.47</v>
      </c>
      <c r="L9" s="43">
        <v>24.95</v>
      </c>
      <c r="M9" s="43">
        <v>95.44</v>
      </c>
      <c r="N9" s="43">
        <v>2.1</v>
      </c>
      <c r="O9" s="43">
        <v>0</v>
      </c>
      <c r="P9" s="43">
        <v>0.18</v>
      </c>
      <c r="Q9" s="43">
        <v>10</v>
      </c>
      <c r="R9" s="41"/>
      <c r="S9" s="41"/>
      <c r="T9" s="41"/>
      <c r="U9" s="41"/>
    </row>
    <row r="10" spans="1:21" customFormat="1">
      <c r="A10" s="42" t="s">
        <v>182</v>
      </c>
      <c r="B10" s="43">
        <v>6.81</v>
      </c>
      <c r="C10" s="43">
        <v>11.69</v>
      </c>
      <c r="D10" s="43">
        <v>11.42</v>
      </c>
      <c r="E10" s="43">
        <v>4.66</v>
      </c>
      <c r="F10" s="43">
        <v>2</v>
      </c>
      <c r="G10" s="43">
        <v>23.81</v>
      </c>
      <c r="H10" s="43">
        <v>5.1100000000000003</v>
      </c>
      <c r="I10" s="43">
        <v>3.69</v>
      </c>
      <c r="J10" s="43">
        <v>0.08</v>
      </c>
      <c r="K10" s="43">
        <v>201.03</v>
      </c>
      <c r="L10" s="43">
        <v>24.74</v>
      </c>
      <c r="M10" s="43">
        <v>96.38</v>
      </c>
      <c r="N10" s="43">
        <v>2.1</v>
      </c>
      <c r="O10" s="43">
        <v>0</v>
      </c>
      <c r="P10" s="43">
        <v>0.19</v>
      </c>
      <c r="Q10" s="43">
        <v>10</v>
      </c>
      <c r="R10" s="41"/>
      <c r="S10" s="41"/>
      <c r="T10" s="41"/>
      <c r="U10" s="41"/>
    </row>
    <row r="11" spans="1:21" customFormat="1">
      <c r="A11" s="42" t="s">
        <v>183</v>
      </c>
      <c r="B11" s="43">
        <v>6.42</v>
      </c>
      <c r="C11" s="43">
        <v>11.75</v>
      </c>
      <c r="D11" s="43">
        <v>11.27</v>
      </c>
      <c r="E11" s="43">
        <v>5.07</v>
      </c>
      <c r="F11" s="43">
        <v>2</v>
      </c>
      <c r="G11" s="43">
        <v>22</v>
      </c>
      <c r="H11" s="43">
        <v>5.77</v>
      </c>
      <c r="I11" s="43">
        <v>3.52</v>
      </c>
      <c r="J11" s="43">
        <v>0.08</v>
      </c>
      <c r="K11" s="43">
        <v>205.32</v>
      </c>
      <c r="L11" s="43">
        <v>24.77</v>
      </c>
      <c r="M11" s="43">
        <v>97.07</v>
      </c>
      <c r="N11" s="43">
        <v>2.1</v>
      </c>
      <c r="O11" s="43">
        <v>0</v>
      </c>
      <c r="P11" s="43">
        <v>0.19</v>
      </c>
      <c r="Q11" s="43">
        <v>10</v>
      </c>
      <c r="R11" s="41"/>
      <c r="S11" s="41"/>
      <c r="T11" s="41"/>
      <c r="U11" s="41"/>
    </row>
    <row r="12" spans="1:21" customFormat="1">
      <c r="A12" s="42" t="s">
        <v>184</v>
      </c>
      <c r="B12" s="43">
        <v>6.44</v>
      </c>
      <c r="C12" s="43">
        <v>11.58</v>
      </c>
      <c r="D12" s="43">
        <v>11.18</v>
      </c>
      <c r="E12" s="43">
        <v>5.56</v>
      </c>
      <c r="F12" s="43">
        <v>2</v>
      </c>
      <c r="G12" s="43">
        <v>22</v>
      </c>
      <c r="H12" s="43">
        <v>5.77</v>
      </c>
      <c r="I12" s="43">
        <v>3.52</v>
      </c>
      <c r="J12" s="43">
        <v>0.1</v>
      </c>
      <c r="K12" s="43">
        <v>216.77</v>
      </c>
      <c r="L12" s="43">
        <v>24.81</v>
      </c>
      <c r="M12" s="43">
        <v>96.68</v>
      </c>
      <c r="N12" s="43">
        <v>2.1</v>
      </c>
      <c r="O12" s="43">
        <v>0</v>
      </c>
      <c r="P12" s="43">
        <v>0.2</v>
      </c>
      <c r="Q12" s="43">
        <v>10</v>
      </c>
      <c r="R12" s="41"/>
      <c r="S12" s="41"/>
      <c r="T12" s="41"/>
      <c r="U12" s="41"/>
    </row>
    <row r="13" spans="1:21" customFormat="1">
      <c r="A13" s="42" t="s">
        <v>185</v>
      </c>
      <c r="B13" s="43">
        <v>6.5</v>
      </c>
      <c r="C13" s="43">
        <v>11.35</v>
      </c>
      <c r="D13" s="43">
        <v>11.1</v>
      </c>
      <c r="E13" s="43">
        <v>5.6</v>
      </c>
      <c r="F13" s="43">
        <v>2</v>
      </c>
      <c r="G13" s="43">
        <v>23.49</v>
      </c>
      <c r="H13" s="43">
        <v>8.42</v>
      </c>
      <c r="I13" s="43">
        <v>3.49</v>
      </c>
      <c r="J13" s="43">
        <v>0.09</v>
      </c>
      <c r="K13" s="43">
        <v>195.43</v>
      </c>
      <c r="L13" s="43">
        <v>25.12</v>
      </c>
      <c r="M13" s="43">
        <v>96.97</v>
      </c>
      <c r="N13" s="43">
        <v>2.1</v>
      </c>
      <c r="O13" s="43">
        <v>0</v>
      </c>
      <c r="P13" s="43">
        <v>0.2</v>
      </c>
      <c r="Q13" s="43">
        <v>10</v>
      </c>
      <c r="R13" s="41"/>
      <c r="S13" s="41"/>
      <c r="T13" s="41"/>
      <c r="U13" s="41"/>
    </row>
    <row r="14" spans="1:21" customFormat="1">
      <c r="A14" s="42" t="s">
        <v>186</v>
      </c>
      <c r="B14" s="43">
        <v>6.67</v>
      </c>
      <c r="C14" s="43">
        <v>11.11</v>
      </c>
      <c r="D14" s="43">
        <v>11.04</v>
      </c>
      <c r="E14" s="43">
        <v>5.84</v>
      </c>
      <c r="F14" s="43">
        <v>2.0099999999999998</v>
      </c>
      <c r="G14" s="43">
        <v>23.49</v>
      </c>
      <c r="H14" s="43">
        <v>8.42</v>
      </c>
      <c r="I14" s="43">
        <v>3.45</v>
      </c>
      <c r="J14" s="43">
        <v>0.12</v>
      </c>
      <c r="K14" s="43">
        <v>214.5</v>
      </c>
      <c r="L14" s="43">
        <v>25.47</v>
      </c>
      <c r="M14" s="43">
        <v>96.88</v>
      </c>
      <c r="N14" s="43">
        <v>3.1</v>
      </c>
      <c r="O14" s="43">
        <v>0</v>
      </c>
      <c r="P14" s="43">
        <v>0.19</v>
      </c>
      <c r="Q14" s="43">
        <v>10</v>
      </c>
      <c r="R14" s="41"/>
      <c r="S14" s="41"/>
      <c r="T14" s="41"/>
      <c r="U14" s="41"/>
    </row>
    <row r="15" spans="1:21" customFormat="1">
      <c r="A15" s="42" t="s">
        <v>187</v>
      </c>
      <c r="B15" s="43">
        <v>7.33</v>
      </c>
      <c r="C15" s="43">
        <v>11.19</v>
      </c>
      <c r="D15" s="43">
        <v>11.73</v>
      </c>
      <c r="E15" s="43">
        <v>5.88</v>
      </c>
      <c r="F15" s="43">
        <v>2</v>
      </c>
      <c r="G15" s="43">
        <v>22.8</v>
      </c>
      <c r="H15" s="43">
        <v>6.12</v>
      </c>
      <c r="I15" s="43">
        <v>3.47</v>
      </c>
      <c r="J15" s="43">
        <v>0.12</v>
      </c>
      <c r="K15" s="43">
        <v>190.84</v>
      </c>
      <c r="L15" s="43">
        <v>25.8</v>
      </c>
      <c r="M15" s="43">
        <v>96.48</v>
      </c>
      <c r="N15" s="43">
        <v>32.200000000000003</v>
      </c>
      <c r="O15" s="43">
        <v>0</v>
      </c>
      <c r="P15" s="43">
        <v>0.19</v>
      </c>
      <c r="Q15" s="43">
        <v>10</v>
      </c>
      <c r="R15" s="41"/>
      <c r="S15" s="41"/>
      <c r="T15" s="41"/>
      <c r="U15" s="41"/>
    </row>
    <row r="16" spans="1:21" customFormat="1">
      <c r="A16" s="42" t="s">
        <v>188</v>
      </c>
      <c r="B16" s="43">
        <v>7.78</v>
      </c>
      <c r="C16" s="43">
        <v>11.32</v>
      </c>
      <c r="D16" s="43">
        <v>12.08</v>
      </c>
      <c r="E16" s="43">
        <v>5.66</v>
      </c>
      <c r="F16" s="43">
        <v>2</v>
      </c>
      <c r="G16" s="43">
        <v>22.8</v>
      </c>
      <c r="H16" s="43">
        <v>6.12</v>
      </c>
      <c r="I16" s="43">
        <v>3.6</v>
      </c>
      <c r="J16" s="43">
        <v>0.17</v>
      </c>
      <c r="K16" s="43">
        <v>211.45</v>
      </c>
      <c r="L16" s="43">
        <v>27.47</v>
      </c>
      <c r="M16" s="43">
        <v>94.96</v>
      </c>
      <c r="N16" s="43">
        <v>105.8</v>
      </c>
      <c r="O16" s="43">
        <v>0</v>
      </c>
      <c r="P16" s="43">
        <v>0.15</v>
      </c>
      <c r="Q16" s="43">
        <v>10</v>
      </c>
      <c r="R16" s="41"/>
      <c r="S16" s="41"/>
      <c r="T16" s="41"/>
      <c r="U16" s="41"/>
    </row>
    <row r="17" spans="1:21" customFormat="1">
      <c r="A17" s="42" t="s">
        <v>189</v>
      </c>
      <c r="B17" s="43">
        <v>7.84</v>
      </c>
      <c r="C17" s="43">
        <v>11.59</v>
      </c>
      <c r="D17" s="43">
        <v>12.24</v>
      </c>
      <c r="E17" s="43">
        <v>5.51</v>
      </c>
      <c r="F17" s="43">
        <v>2.2999999999999998</v>
      </c>
      <c r="G17" s="43">
        <v>21.31</v>
      </c>
      <c r="H17" s="43">
        <v>6.93</v>
      </c>
      <c r="I17" s="43">
        <v>3.71</v>
      </c>
      <c r="J17" s="43">
        <v>0.38</v>
      </c>
      <c r="K17" s="43">
        <v>237.7</v>
      </c>
      <c r="L17" s="43">
        <v>29.73</v>
      </c>
      <c r="M17" s="43">
        <v>83.84</v>
      </c>
      <c r="N17" s="43">
        <v>328.9</v>
      </c>
      <c r="O17" s="43">
        <v>0</v>
      </c>
      <c r="P17" s="43">
        <v>0.17</v>
      </c>
      <c r="Q17" s="43">
        <v>10</v>
      </c>
      <c r="R17" s="41"/>
      <c r="S17" s="41"/>
      <c r="T17" s="41"/>
      <c r="U17" s="41"/>
    </row>
    <row r="18" spans="1:21" customFormat="1">
      <c r="A18" s="42" t="s">
        <v>190</v>
      </c>
      <c r="B18" s="43">
        <v>7.52</v>
      </c>
      <c r="C18" s="43">
        <v>11.85</v>
      </c>
      <c r="D18" s="43">
        <v>12.08</v>
      </c>
      <c r="E18" s="43">
        <v>5.34</v>
      </c>
      <c r="F18" s="43">
        <v>2.12</v>
      </c>
      <c r="G18" s="43">
        <v>28.87</v>
      </c>
      <c r="H18" s="43">
        <v>8.9600000000000009</v>
      </c>
      <c r="I18" s="43">
        <v>3.71</v>
      </c>
      <c r="J18" s="43">
        <v>0.56999999999999995</v>
      </c>
      <c r="K18" s="43">
        <v>242.44</v>
      </c>
      <c r="L18" s="43">
        <v>30.76</v>
      </c>
      <c r="M18" s="43">
        <v>76.489999999999995</v>
      </c>
      <c r="N18" s="43">
        <v>635.4</v>
      </c>
      <c r="O18" s="43">
        <v>0</v>
      </c>
      <c r="P18" s="43">
        <v>0.16</v>
      </c>
      <c r="Q18" s="43">
        <v>10</v>
      </c>
      <c r="R18" s="41"/>
      <c r="S18" s="41"/>
      <c r="T18" s="41"/>
      <c r="U18" s="41"/>
    </row>
    <row r="19" spans="1:21" customFormat="1">
      <c r="A19" s="42" t="s">
        <v>191</v>
      </c>
      <c r="B19" s="43">
        <v>6.62</v>
      </c>
      <c r="C19" s="43">
        <v>12</v>
      </c>
      <c r="D19" s="43">
        <v>11.56</v>
      </c>
      <c r="E19" s="43">
        <v>4.88</v>
      </c>
      <c r="F19" s="43">
        <v>4.34</v>
      </c>
      <c r="G19" s="43">
        <v>28.87</v>
      </c>
      <c r="H19" s="43">
        <v>8.9600000000000009</v>
      </c>
      <c r="I19" s="43">
        <v>3.64</v>
      </c>
      <c r="J19" s="43">
        <v>0.56000000000000005</v>
      </c>
      <c r="K19" s="43">
        <v>240.87</v>
      </c>
      <c r="L19" s="43">
        <v>32.17</v>
      </c>
      <c r="M19" s="43">
        <v>68.91</v>
      </c>
      <c r="N19" s="43">
        <v>792.4</v>
      </c>
      <c r="O19" s="43">
        <v>0</v>
      </c>
      <c r="P19" s="43">
        <v>0.15</v>
      </c>
      <c r="Q19" s="43">
        <v>10</v>
      </c>
      <c r="R19" s="41"/>
      <c r="S19" s="41"/>
      <c r="T19" s="41"/>
      <c r="U19" s="41"/>
    </row>
    <row r="20" spans="1:21" customFormat="1">
      <c r="A20" s="42" t="s">
        <v>192</v>
      </c>
      <c r="B20" s="43">
        <v>5.46</v>
      </c>
      <c r="C20" s="43">
        <v>12.21</v>
      </c>
      <c r="D20" s="43">
        <v>10.65</v>
      </c>
      <c r="E20" s="43">
        <v>4.9800000000000004</v>
      </c>
      <c r="F20" s="43">
        <v>2.4300000000000002</v>
      </c>
      <c r="G20" s="43">
        <v>29.62</v>
      </c>
      <c r="H20" s="43">
        <v>9.6999999999999993</v>
      </c>
      <c r="I20" s="43">
        <v>3.52</v>
      </c>
      <c r="J20" s="43">
        <v>0.74</v>
      </c>
      <c r="K20" s="43">
        <v>240.71</v>
      </c>
      <c r="L20" s="43">
        <v>32.69</v>
      </c>
      <c r="M20" s="43">
        <v>71.180000000000007</v>
      </c>
      <c r="N20" s="43">
        <v>879.8</v>
      </c>
      <c r="O20" s="43">
        <v>0</v>
      </c>
      <c r="P20" s="43">
        <v>0.18</v>
      </c>
      <c r="Q20" s="43">
        <v>10</v>
      </c>
      <c r="R20" s="41"/>
      <c r="S20" s="41"/>
      <c r="T20" s="41"/>
      <c r="U20" s="41"/>
    </row>
    <row r="21" spans="1:21" customFormat="1">
      <c r="A21" s="42" t="s">
        <v>193</v>
      </c>
      <c r="B21" s="43">
        <v>4.2300000000000004</v>
      </c>
      <c r="C21" s="43">
        <v>12.26</v>
      </c>
      <c r="D21" s="43">
        <v>9.8000000000000007</v>
      </c>
      <c r="E21" s="43">
        <v>5.08</v>
      </c>
      <c r="F21" s="43">
        <v>2.65</v>
      </c>
      <c r="G21" s="43">
        <v>29.62</v>
      </c>
      <c r="H21" s="43">
        <v>9.85</v>
      </c>
      <c r="I21" s="43">
        <v>3.36</v>
      </c>
      <c r="J21" s="43">
        <v>0.49</v>
      </c>
      <c r="K21" s="43">
        <v>229.98</v>
      </c>
      <c r="L21" s="43">
        <v>33.159999999999997</v>
      </c>
      <c r="M21" s="43">
        <v>63.04</v>
      </c>
      <c r="N21" s="43">
        <v>819.4</v>
      </c>
      <c r="O21" s="43">
        <v>0</v>
      </c>
      <c r="P21" s="43">
        <v>0.18</v>
      </c>
      <c r="Q21" s="43">
        <v>10</v>
      </c>
      <c r="R21" s="41"/>
      <c r="S21" s="41"/>
      <c r="T21" s="41"/>
      <c r="U21" s="41"/>
    </row>
    <row r="22" spans="1:21" customFormat="1">
      <c r="A22" s="42" t="s">
        <v>194</v>
      </c>
      <c r="B22" s="43">
        <v>3.53</v>
      </c>
      <c r="C22" s="43">
        <v>11.89</v>
      </c>
      <c r="D22" s="43">
        <v>9.0399999999999991</v>
      </c>
      <c r="E22" s="43">
        <v>5.31</v>
      </c>
      <c r="F22" s="43">
        <v>2.2000000000000002</v>
      </c>
      <c r="G22" s="43">
        <v>25.16</v>
      </c>
      <c r="H22" s="43">
        <v>9.85</v>
      </c>
      <c r="I22" s="43">
        <v>3.21</v>
      </c>
      <c r="J22" s="43">
        <v>0.42</v>
      </c>
      <c r="K22" s="43">
        <v>221.53</v>
      </c>
      <c r="L22" s="43">
        <v>34.090000000000003</v>
      </c>
      <c r="M22" s="43">
        <v>59.31</v>
      </c>
      <c r="N22" s="43">
        <v>613.70000000000005</v>
      </c>
      <c r="O22" s="43">
        <v>0</v>
      </c>
      <c r="P22" s="43">
        <v>0.18</v>
      </c>
      <c r="Q22" s="43">
        <v>10</v>
      </c>
      <c r="R22" s="41"/>
      <c r="S22" s="41"/>
      <c r="T22" s="41"/>
      <c r="U22" s="41"/>
    </row>
    <row r="23" spans="1:21" customFormat="1">
      <c r="A23" s="42" t="s">
        <v>195</v>
      </c>
      <c r="B23" s="43">
        <v>3.28</v>
      </c>
      <c r="C23" s="43">
        <v>11.59</v>
      </c>
      <c r="D23" s="43">
        <v>8.69</v>
      </c>
      <c r="E23" s="43">
        <v>5.5</v>
      </c>
      <c r="F23" s="43">
        <v>3.28</v>
      </c>
      <c r="G23" s="43">
        <v>28.28</v>
      </c>
      <c r="H23" s="43">
        <v>7.11</v>
      </c>
      <c r="I23" s="43">
        <v>3.11</v>
      </c>
      <c r="J23" s="43">
        <v>0.41</v>
      </c>
      <c r="K23" s="43">
        <v>200.28</v>
      </c>
      <c r="L23" s="43">
        <v>33.15</v>
      </c>
      <c r="M23" s="43">
        <v>59.28</v>
      </c>
      <c r="N23" s="43">
        <v>241.5</v>
      </c>
      <c r="O23" s="43">
        <v>0</v>
      </c>
      <c r="P23" s="43">
        <v>0.18</v>
      </c>
      <c r="Q23" s="43">
        <v>10</v>
      </c>
      <c r="R23" s="41"/>
      <c r="S23" s="41"/>
      <c r="T23" s="41"/>
      <c r="U23" s="41"/>
    </row>
    <row r="24" spans="1:21" customFormat="1">
      <c r="A24" s="42" t="s">
        <v>196</v>
      </c>
      <c r="B24" s="43">
        <v>3.17</v>
      </c>
      <c r="C24" s="43">
        <v>11.47</v>
      </c>
      <c r="D24" s="43">
        <v>8.5299999999999994</v>
      </c>
      <c r="E24" s="43">
        <v>5.61</v>
      </c>
      <c r="F24" s="43">
        <v>3.83</v>
      </c>
      <c r="G24" s="43">
        <v>28.28</v>
      </c>
      <c r="H24" s="43">
        <v>5.77</v>
      </c>
      <c r="I24" s="43">
        <v>3</v>
      </c>
      <c r="J24" s="43">
        <v>0.35</v>
      </c>
      <c r="K24" s="43">
        <v>174.92</v>
      </c>
      <c r="L24" s="43">
        <v>33</v>
      </c>
      <c r="M24" s="43">
        <v>60</v>
      </c>
      <c r="N24" s="43">
        <v>281.7</v>
      </c>
      <c r="O24" s="43">
        <v>0</v>
      </c>
      <c r="P24" s="43">
        <v>0.18</v>
      </c>
      <c r="Q24" s="43">
        <v>10</v>
      </c>
      <c r="R24" s="41"/>
      <c r="S24" s="41"/>
      <c r="T24" s="41"/>
      <c r="U24" s="41"/>
    </row>
    <row r="25" spans="1:21" customFormat="1">
      <c r="A25" s="42" t="s">
        <v>197</v>
      </c>
      <c r="B25" s="43">
        <v>3.95</v>
      </c>
      <c r="C25" s="43">
        <v>12.62</v>
      </c>
      <c r="D25" s="43">
        <v>9.76</v>
      </c>
      <c r="E25" s="43">
        <v>6.18</v>
      </c>
      <c r="F25" s="43">
        <v>8.77</v>
      </c>
      <c r="G25" s="43">
        <v>38.049999999999997</v>
      </c>
      <c r="H25" s="43">
        <v>11.54</v>
      </c>
      <c r="I25" s="43">
        <v>3.23</v>
      </c>
      <c r="J25" s="43">
        <v>0.8</v>
      </c>
      <c r="K25" s="43">
        <v>242.63</v>
      </c>
      <c r="L25" s="43">
        <v>31.33</v>
      </c>
      <c r="M25" s="43">
        <v>71.64</v>
      </c>
      <c r="N25" s="43">
        <v>52.8</v>
      </c>
      <c r="O25" s="43">
        <v>0</v>
      </c>
      <c r="P25" s="43">
        <v>0.19</v>
      </c>
      <c r="Q25" s="43">
        <v>10</v>
      </c>
      <c r="R25" s="41"/>
      <c r="S25" s="41"/>
      <c r="T25" s="41"/>
      <c r="U25" s="41"/>
    </row>
    <row r="26" spans="1:21" customFormat="1">
      <c r="A26" s="42" t="s">
        <v>198</v>
      </c>
      <c r="B26" s="43">
        <v>4.8499999999999996</v>
      </c>
      <c r="C26" s="43">
        <v>14.32</v>
      </c>
      <c r="D26" s="43">
        <v>11.37</v>
      </c>
      <c r="E26" s="43">
        <v>7.3</v>
      </c>
      <c r="F26" s="43">
        <v>13.07</v>
      </c>
      <c r="G26" s="43">
        <v>47.9</v>
      </c>
      <c r="H26" s="43">
        <v>15.29</v>
      </c>
      <c r="I26" s="43">
        <v>3.74</v>
      </c>
      <c r="J26" s="43">
        <v>0.38</v>
      </c>
      <c r="K26" s="43">
        <v>52.83</v>
      </c>
      <c r="L26" s="43">
        <v>30.02</v>
      </c>
      <c r="M26" s="43">
        <v>73.87</v>
      </c>
      <c r="N26" s="43">
        <v>46.3</v>
      </c>
      <c r="O26" s="43">
        <v>0</v>
      </c>
      <c r="P26" s="43">
        <v>0.24</v>
      </c>
      <c r="Q26" s="43">
        <v>10</v>
      </c>
      <c r="R26" s="41"/>
      <c r="S26" s="41"/>
      <c r="T26" s="41"/>
      <c r="U26" s="41"/>
    </row>
    <row r="27" spans="1:21" customFormat="1">
      <c r="A27" s="42" t="s">
        <v>199</v>
      </c>
      <c r="B27" s="43">
        <v>4.63</v>
      </c>
      <c r="C27" s="43">
        <v>13.64</v>
      </c>
      <c r="D27" s="43">
        <v>10.84</v>
      </c>
      <c r="E27" s="43">
        <v>5.88</v>
      </c>
      <c r="F27" s="43">
        <v>10.4</v>
      </c>
      <c r="G27" s="43">
        <v>56.58</v>
      </c>
      <c r="H27" s="43">
        <v>21.31</v>
      </c>
      <c r="I27" s="43">
        <v>4.28</v>
      </c>
      <c r="J27" s="43">
        <v>0.18</v>
      </c>
      <c r="K27" s="43">
        <v>171.73</v>
      </c>
      <c r="L27" s="43">
        <v>29.54</v>
      </c>
      <c r="M27" s="43">
        <v>83.43</v>
      </c>
      <c r="N27" s="43">
        <v>4.0999999999999996</v>
      </c>
      <c r="O27" s="43">
        <v>0</v>
      </c>
      <c r="P27" s="43">
        <v>0.28000000000000003</v>
      </c>
      <c r="Q27" s="43">
        <v>10</v>
      </c>
      <c r="R27" s="41"/>
      <c r="S27" s="41"/>
      <c r="T27" s="41"/>
      <c r="U27" s="41"/>
    </row>
    <row r="28" spans="1:21" customFormat="1">
      <c r="A28" s="42" t="s">
        <v>200</v>
      </c>
      <c r="B28" s="43">
        <v>4.9400000000000004</v>
      </c>
      <c r="C28" s="43">
        <v>12.66</v>
      </c>
      <c r="D28" s="43">
        <v>10.4</v>
      </c>
      <c r="E28" s="43">
        <v>4.9000000000000004</v>
      </c>
      <c r="F28" s="43">
        <v>5.42</v>
      </c>
      <c r="G28" s="43">
        <v>60.31</v>
      </c>
      <c r="H28" s="43">
        <v>22.18</v>
      </c>
      <c r="I28" s="43">
        <v>4.45</v>
      </c>
      <c r="J28" s="43">
        <v>0.28000000000000003</v>
      </c>
      <c r="K28" s="43">
        <v>168.52</v>
      </c>
      <c r="L28" s="43">
        <v>28.53</v>
      </c>
      <c r="M28" s="43">
        <v>87.64</v>
      </c>
      <c r="N28" s="43">
        <v>2.2000000000000002</v>
      </c>
      <c r="O28" s="43">
        <v>0</v>
      </c>
      <c r="P28" s="43">
        <v>0.27</v>
      </c>
      <c r="Q28" s="43">
        <v>10</v>
      </c>
      <c r="R28" s="41"/>
      <c r="S28" s="41"/>
      <c r="T28" s="41"/>
      <c r="U28" s="41"/>
    </row>
    <row r="29" spans="1:21" customFormat="1">
      <c r="A29" s="42" t="s">
        <v>201</v>
      </c>
      <c r="B29" s="43">
        <v>5.57</v>
      </c>
      <c r="C29" s="43">
        <v>12.19</v>
      </c>
      <c r="D29" s="43">
        <v>10.83</v>
      </c>
      <c r="E29" s="43">
        <v>4.9000000000000004</v>
      </c>
      <c r="F29" s="43">
        <v>5</v>
      </c>
      <c r="G29" s="43">
        <v>60.31</v>
      </c>
      <c r="H29" s="43">
        <v>22.18</v>
      </c>
      <c r="I29" s="43">
        <v>4.42</v>
      </c>
      <c r="J29" s="43">
        <v>0.41</v>
      </c>
      <c r="K29" s="43">
        <v>245.19</v>
      </c>
      <c r="L29" s="43">
        <v>28.23</v>
      </c>
      <c r="M29" s="43">
        <v>88.06</v>
      </c>
      <c r="N29" s="43">
        <v>3.3</v>
      </c>
      <c r="O29" s="43">
        <v>0</v>
      </c>
      <c r="P29" s="43">
        <v>0.28999999999999998</v>
      </c>
      <c r="Q29" s="43">
        <v>10</v>
      </c>
      <c r="R29" s="41"/>
      <c r="S29" s="41"/>
      <c r="T29" s="41"/>
      <c r="U29" s="41"/>
    </row>
    <row r="30" spans="1:21" customFormat="1">
      <c r="A30" s="42" t="s">
        <v>202</v>
      </c>
      <c r="B30" s="43">
        <v>5.78</v>
      </c>
      <c r="C30" s="43">
        <v>13.03</v>
      </c>
      <c r="D30" s="43">
        <v>11.44</v>
      </c>
      <c r="E30" s="43">
        <v>4.82</v>
      </c>
      <c r="F30" s="43">
        <v>2.14</v>
      </c>
      <c r="G30" s="43">
        <v>58.19</v>
      </c>
      <c r="H30" s="43">
        <v>17.02</v>
      </c>
      <c r="I30" s="43">
        <v>4.4400000000000004</v>
      </c>
      <c r="J30" s="43">
        <v>0.24</v>
      </c>
      <c r="K30" s="43">
        <v>238.69</v>
      </c>
      <c r="L30" s="43">
        <v>26.63</v>
      </c>
      <c r="M30" s="43">
        <v>86.89</v>
      </c>
      <c r="N30" s="43">
        <v>2.7</v>
      </c>
      <c r="O30" s="43">
        <v>0</v>
      </c>
      <c r="P30" s="43">
        <v>0.28999999999999998</v>
      </c>
      <c r="Q30" s="43">
        <v>10</v>
      </c>
      <c r="R30" s="41"/>
      <c r="S30" s="41"/>
      <c r="T30" s="41"/>
      <c r="U30" s="41"/>
    </row>
    <row r="31" spans="1:21" customFormat="1">
      <c r="A31" s="42" t="s">
        <v>203</v>
      </c>
      <c r="B31" s="43">
        <v>5.81</v>
      </c>
      <c r="C31" s="43">
        <v>12.93</v>
      </c>
      <c r="D31" s="43">
        <v>11.42</v>
      </c>
      <c r="E31" s="43">
        <v>5.14</v>
      </c>
      <c r="F31" s="43">
        <v>2</v>
      </c>
      <c r="G31" s="43">
        <v>46.5</v>
      </c>
      <c r="H31" s="43">
        <v>15.19</v>
      </c>
      <c r="I31" s="43">
        <v>4.34</v>
      </c>
      <c r="J31" s="43">
        <v>0.22</v>
      </c>
      <c r="K31" s="43">
        <v>231.2</v>
      </c>
      <c r="L31" s="43">
        <v>26.58</v>
      </c>
      <c r="M31" s="43">
        <v>91.08</v>
      </c>
      <c r="N31" s="43">
        <v>2.1</v>
      </c>
      <c r="O31" s="43">
        <v>0</v>
      </c>
      <c r="P31" s="43">
        <v>0.28000000000000003</v>
      </c>
      <c r="Q31" s="43">
        <v>10</v>
      </c>
      <c r="R31" s="41"/>
      <c r="S31" s="41"/>
      <c r="T31" s="41"/>
      <c r="U31" s="41"/>
    </row>
    <row r="32" spans="1:21" customFormat="1">
      <c r="A32" s="42" t="s">
        <v>204</v>
      </c>
      <c r="B32" s="43">
        <v>5.44</v>
      </c>
      <c r="C32" s="43">
        <v>12.2</v>
      </c>
      <c r="D32" s="43">
        <v>10.74</v>
      </c>
      <c r="E32" s="43">
        <v>5</v>
      </c>
      <c r="F32" s="43">
        <v>2</v>
      </c>
      <c r="G32" s="43">
        <v>43.64</v>
      </c>
      <c r="H32" s="43">
        <v>15.01</v>
      </c>
      <c r="I32" s="43">
        <v>4.18</v>
      </c>
      <c r="J32" s="43">
        <v>0.25</v>
      </c>
      <c r="K32" s="43">
        <v>236.69</v>
      </c>
      <c r="L32" s="43">
        <v>26.33</v>
      </c>
      <c r="M32" s="43">
        <v>91.73</v>
      </c>
      <c r="N32" s="43">
        <v>2.1</v>
      </c>
      <c r="O32" s="43">
        <v>0</v>
      </c>
      <c r="P32" s="43">
        <v>0.27</v>
      </c>
      <c r="Q32" s="43">
        <v>10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3.17</v>
      </c>
      <c r="C34" s="18">
        <f t="shared" si="0"/>
        <v>11.11</v>
      </c>
      <c r="D34" s="18">
        <f t="shared" si="0"/>
        <v>8.5299999999999994</v>
      </c>
      <c r="E34" s="18">
        <f t="shared" si="0"/>
        <v>4.66</v>
      </c>
      <c r="F34" s="18">
        <f t="shared" si="0"/>
        <v>2</v>
      </c>
      <c r="G34" s="18">
        <f t="shared" si="0"/>
        <v>21.31</v>
      </c>
      <c r="H34" s="18">
        <f t="shared" si="0"/>
        <v>5.1100000000000003</v>
      </c>
      <c r="I34" s="18">
        <f t="shared" si="0"/>
        <v>3</v>
      </c>
      <c r="J34" s="18">
        <f t="shared" si="0"/>
        <v>0.08</v>
      </c>
      <c r="K34" s="18">
        <f t="shared" si="0"/>
        <v>52.83</v>
      </c>
      <c r="L34" s="18">
        <f t="shared" si="0"/>
        <v>24.74</v>
      </c>
      <c r="M34" s="18">
        <f t="shared" si="0"/>
        <v>59.28</v>
      </c>
      <c r="N34" s="18">
        <f t="shared" si="0"/>
        <v>2.1</v>
      </c>
      <c r="O34" s="18">
        <f t="shared" si="0"/>
        <v>0</v>
      </c>
      <c r="P34" s="18">
        <f t="shared" si="0"/>
        <v>0.15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7.84</v>
      </c>
      <c r="C35" s="3">
        <f t="shared" si="1"/>
        <v>14.32</v>
      </c>
      <c r="D35" s="3">
        <f t="shared" si="1"/>
        <v>12.24</v>
      </c>
      <c r="E35" s="3">
        <f t="shared" si="1"/>
        <v>7.3</v>
      </c>
      <c r="F35" s="3">
        <f t="shared" si="1"/>
        <v>13.07</v>
      </c>
      <c r="G35" s="3">
        <f t="shared" si="1"/>
        <v>60.31</v>
      </c>
      <c r="H35" s="3">
        <f t="shared" si="1"/>
        <v>22.18</v>
      </c>
      <c r="I35" s="3">
        <f t="shared" si="1"/>
        <v>4.45</v>
      </c>
      <c r="J35" s="3">
        <f t="shared" si="1"/>
        <v>0.8</v>
      </c>
      <c r="K35" s="3">
        <f t="shared" si="1"/>
        <v>245.19</v>
      </c>
      <c r="L35" s="3">
        <f t="shared" si="1"/>
        <v>34.090000000000003</v>
      </c>
      <c r="M35" s="3">
        <f t="shared" si="1"/>
        <v>97.07</v>
      </c>
      <c r="N35" s="3">
        <f t="shared" si="1"/>
        <v>879.8</v>
      </c>
      <c r="O35" s="3">
        <f t="shared" si="1"/>
        <v>0</v>
      </c>
      <c r="P35" s="3">
        <f t="shared" si="1"/>
        <v>0.28999999999999998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5.7237499999999999</v>
      </c>
      <c r="C36" s="18">
        <f t="shared" si="2"/>
        <v>12.08375</v>
      </c>
      <c r="D36" s="18">
        <f t="shared" si="2"/>
        <v>10.86</v>
      </c>
      <c r="E36" s="18">
        <f t="shared" si="2"/>
        <v>5.3862499999999995</v>
      </c>
      <c r="F36" s="18">
        <f t="shared" si="2"/>
        <v>3.6649999999999996</v>
      </c>
      <c r="G36" s="18">
        <f t="shared" si="2"/>
        <v>34.020416666666662</v>
      </c>
      <c r="H36" s="18">
        <f t="shared" si="2"/>
        <v>10.818750000000001</v>
      </c>
      <c r="I36" s="18">
        <f t="shared" si="2"/>
        <v>3.7008333333333332</v>
      </c>
      <c r="J36" s="18">
        <f t="shared" si="2"/>
        <v>0.31458333333333333</v>
      </c>
      <c r="K36" s="18">
        <f t="shared" si="2"/>
        <v>208.27999999999997</v>
      </c>
      <c r="L36" s="18">
        <f t="shared" si="2"/>
        <v>28.711250000000003</v>
      </c>
      <c r="M36" s="18">
        <f t="shared" si="2"/>
        <v>82.802083333333343</v>
      </c>
      <c r="N36" s="18">
        <f t="shared" si="2"/>
        <v>202.50000000000009</v>
      </c>
      <c r="O36" s="18">
        <f t="shared" si="2"/>
        <v>0</v>
      </c>
      <c r="P36" s="18">
        <f t="shared" si="2"/>
        <v>0.20750000000000002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1.407933460940104</v>
      </c>
      <c r="C37" s="18">
        <f t="shared" ref="C37:Q37" si="3">STDEV(C9:C32)</f>
        <v>0.78966042509202761</v>
      </c>
      <c r="D37" s="18">
        <f t="shared" si="3"/>
        <v>1.023472350468694</v>
      </c>
      <c r="E37" s="18">
        <f t="shared" si="3"/>
        <v>0.58540073602544673</v>
      </c>
      <c r="F37" s="18">
        <f t="shared" si="3"/>
        <v>2.9806273048529208</v>
      </c>
      <c r="G37" s="18">
        <f t="shared" si="3"/>
        <v>13.650380303403141</v>
      </c>
      <c r="H37" s="18">
        <f t="shared" si="3"/>
        <v>5.4436131802803311</v>
      </c>
      <c r="I37" s="18">
        <f t="shared" si="3"/>
        <v>0.43205189570202424</v>
      </c>
      <c r="J37" s="18">
        <f t="shared" si="3"/>
        <v>0.20799203928467336</v>
      </c>
      <c r="K37" s="18">
        <f t="shared" si="3"/>
        <v>41.143981862214979</v>
      </c>
      <c r="L37" s="18">
        <f t="shared" si="3"/>
        <v>3.2168230513160281</v>
      </c>
      <c r="M37" s="18">
        <f t="shared" si="3"/>
        <v>13.640494055557857</v>
      </c>
      <c r="N37" s="18">
        <f t="shared" si="3"/>
        <v>304.5072769887945</v>
      </c>
      <c r="O37" s="18">
        <f t="shared" si="3"/>
        <v>0</v>
      </c>
      <c r="P37" s="18">
        <f t="shared" si="3"/>
        <v>4.6368092477478307E-2</v>
      </c>
      <c r="Q37" s="18">
        <f t="shared" si="3"/>
        <v>0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96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S12" sqref="S1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07/09/2025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205</v>
      </c>
      <c r="B9" s="43">
        <v>4.97</v>
      </c>
      <c r="C9" s="43">
        <v>11.47</v>
      </c>
      <c r="D9" s="43">
        <v>9.91</v>
      </c>
      <c r="E9" s="43">
        <v>5.18</v>
      </c>
      <c r="F9" s="43">
        <v>2.0499999999999998</v>
      </c>
      <c r="G9" s="43">
        <v>28.42</v>
      </c>
      <c r="H9" s="43">
        <v>10.92</v>
      </c>
      <c r="I9" s="43">
        <v>3.8</v>
      </c>
      <c r="J9" s="43">
        <v>0.33</v>
      </c>
      <c r="K9" s="43">
        <v>234.37</v>
      </c>
      <c r="L9" s="43">
        <v>26.3</v>
      </c>
      <c r="M9" s="43">
        <v>91.34</v>
      </c>
      <c r="N9" s="43">
        <v>2.1</v>
      </c>
      <c r="O9" s="43">
        <v>0</v>
      </c>
      <c r="P9" s="43">
        <v>0.25</v>
      </c>
      <c r="Q9" s="43">
        <v>10</v>
      </c>
      <c r="R9" s="41"/>
      <c r="S9" s="41"/>
      <c r="T9" s="41"/>
      <c r="U9" s="41"/>
    </row>
    <row r="10" spans="1:21" customFormat="1">
      <c r="A10" s="42" t="s">
        <v>206</v>
      </c>
      <c r="B10" s="43">
        <v>4.93</v>
      </c>
      <c r="C10" s="43">
        <v>11.4</v>
      </c>
      <c r="D10" s="43">
        <v>9.8000000000000007</v>
      </c>
      <c r="E10" s="43">
        <v>5.32</v>
      </c>
      <c r="F10" s="43">
        <v>2.0699999999999998</v>
      </c>
      <c r="G10" s="43">
        <v>23.78</v>
      </c>
      <c r="H10" s="43">
        <v>9.6199999999999992</v>
      </c>
      <c r="I10" s="43">
        <v>3.64</v>
      </c>
      <c r="J10" s="43">
        <v>0.15</v>
      </c>
      <c r="K10" s="43">
        <v>227.49</v>
      </c>
      <c r="L10" s="43">
        <v>26.03</v>
      </c>
      <c r="M10" s="43">
        <v>94.32</v>
      </c>
      <c r="N10" s="43">
        <v>2.1</v>
      </c>
      <c r="O10" s="43">
        <v>0</v>
      </c>
      <c r="P10" s="43">
        <v>0.23</v>
      </c>
      <c r="Q10" s="43">
        <v>10</v>
      </c>
      <c r="R10" s="41"/>
      <c r="S10" s="41"/>
      <c r="T10" s="41"/>
      <c r="U10" s="41"/>
    </row>
    <row r="11" spans="1:21" customFormat="1">
      <c r="A11" s="42" t="s">
        <v>207</v>
      </c>
      <c r="B11" s="43">
        <v>5.63</v>
      </c>
      <c r="C11" s="43">
        <v>11.37</v>
      </c>
      <c r="D11" s="43">
        <v>10.45</v>
      </c>
      <c r="E11" s="43">
        <v>5.28</v>
      </c>
      <c r="F11" s="43">
        <v>2.1800000000000002</v>
      </c>
      <c r="G11" s="43">
        <v>17.32</v>
      </c>
      <c r="H11" s="43">
        <v>7.2</v>
      </c>
      <c r="I11" s="43">
        <v>3.49</v>
      </c>
      <c r="J11" s="43">
        <v>0.24</v>
      </c>
      <c r="K11" s="43">
        <v>234.6</v>
      </c>
      <c r="L11" s="43">
        <v>25.83</v>
      </c>
      <c r="M11" s="43">
        <v>94.57</v>
      </c>
      <c r="N11" s="43">
        <v>2.1</v>
      </c>
      <c r="O11" s="43">
        <v>0</v>
      </c>
      <c r="P11" s="43">
        <v>0.18</v>
      </c>
      <c r="Q11" s="43">
        <v>10</v>
      </c>
      <c r="R11" s="41"/>
      <c r="S11" s="41"/>
      <c r="T11" s="41"/>
      <c r="U11" s="41"/>
    </row>
    <row r="12" spans="1:21" customFormat="1">
      <c r="A12" s="42" t="s">
        <v>208</v>
      </c>
      <c r="B12" s="43">
        <v>6.29</v>
      </c>
      <c r="C12" s="43">
        <v>11.38</v>
      </c>
      <c r="D12" s="43">
        <v>10.97</v>
      </c>
      <c r="E12" s="43">
        <v>5.27</v>
      </c>
      <c r="F12" s="43">
        <v>2.0299999999999998</v>
      </c>
      <c r="G12" s="43">
        <v>14.13</v>
      </c>
      <c r="H12" s="43">
        <v>5.49</v>
      </c>
      <c r="I12" s="43">
        <v>3.57</v>
      </c>
      <c r="J12" s="43">
        <v>0.16</v>
      </c>
      <c r="K12" s="43">
        <v>228.83</v>
      </c>
      <c r="L12" s="43">
        <v>25.62</v>
      </c>
      <c r="M12" s="43">
        <v>94.77</v>
      </c>
      <c r="N12" s="43">
        <v>2.1</v>
      </c>
      <c r="O12" s="43">
        <v>0</v>
      </c>
      <c r="P12" s="43">
        <v>0.18</v>
      </c>
      <c r="Q12" s="43">
        <v>10</v>
      </c>
      <c r="R12" s="41"/>
      <c r="S12" s="41"/>
      <c r="T12" s="41"/>
      <c r="U12" s="41"/>
    </row>
    <row r="13" spans="1:21" customFormat="1">
      <c r="A13" s="42" t="s">
        <v>209</v>
      </c>
      <c r="B13" s="43">
        <v>6.81</v>
      </c>
      <c r="C13" s="43">
        <v>11.34</v>
      </c>
      <c r="D13" s="43">
        <v>11.32</v>
      </c>
      <c r="E13" s="43">
        <v>5.38</v>
      </c>
      <c r="F13" s="43">
        <v>2.02</v>
      </c>
      <c r="G13" s="43">
        <v>14.13</v>
      </c>
      <c r="H13" s="43">
        <v>3.89</v>
      </c>
      <c r="I13" s="43">
        <v>3.56</v>
      </c>
      <c r="J13" s="43">
        <v>0.18</v>
      </c>
      <c r="K13" s="43">
        <v>182.38</v>
      </c>
      <c r="L13" s="43">
        <v>25.49</v>
      </c>
      <c r="M13" s="43">
        <v>95.34</v>
      </c>
      <c r="N13" s="43">
        <v>2.1</v>
      </c>
      <c r="O13" s="43">
        <v>0</v>
      </c>
      <c r="P13" s="43">
        <v>0.17</v>
      </c>
      <c r="Q13" s="43">
        <v>10</v>
      </c>
      <c r="R13" s="41"/>
      <c r="S13" s="41"/>
      <c r="T13" s="41"/>
      <c r="U13" s="41"/>
    </row>
    <row r="14" spans="1:21" customFormat="1">
      <c r="A14" s="42" t="s">
        <v>210</v>
      </c>
      <c r="B14" s="43">
        <v>7.35</v>
      </c>
      <c r="C14" s="43">
        <v>11.29</v>
      </c>
      <c r="D14" s="43">
        <v>11.75</v>
      </c>
      <c r="E14" s="43">
        <v>5.46</v>
      </c>
      <c r="F14" s="43">
        <v>2</v>
      </c>
      <c r="G14" s="43">
        <v>18</v>
      </c>
      <c r="H14" s="43">
        <v>4.41</v>
      </c>
      <c r="I14" s="43">
        <v>3.59</v>
      </c>
      <c r="J14" s="43">
        <v>0.14000000000000001</v>
      </c>
      <c r="K14" s="43">
        <v>195.69</v>
      </c>
      <c r="L14" s="43">
        <v>25.54</v>
      </c>
      <c r="M14" s="43">
        <v>95.41</v>
      </c>
      <c r="N14" s="43">
        <v>4.4000000000000004</v>
      </c>
      <c r="O14" s="43">
        <v>0</v>
      </c>
      <c r="P14" s="43">
        <v>0.18</v>
      </c>
      <c r="Q14" s="43">
        <v>10</v>
      </c>
      <c r="R14" s="41"/>
      <c r="S14" s="41"/>
      <c r="T14" s="41"/>
      <c r="U14" s="41"/>
    </row>
    <row r="15" spans="1:21" customFormat="1">
      <c r="A15" s="42" t="s">
        <v>211</v>
      </c>
      <c r="B15" s="43">
        <v>7.56</v>
      </c>
      <c r="C15" s="43">
        <v>11.34</v>
      </c>
      <c r="D15" s="43">
        <v>11.97</v>
      </c>
      <c r="E15" s="43">
        <v>5.55</v>
      </c>
      <c r="F15" s="43">
        <v>2</v>
      </c>
      <c r="G15" s="43">
        <v>18</v>
      </c>
      <c r="H15" s="43">
        <v>4.41</v>
      </c>
      <c r="I15" s="43">
        <v>3.59</v>
      </c>
      <c r="J15" s="43">
        <v>0.3</v>
      </c>
      <c r="K15" s="43">
        <v>230.89</v>
      </c>
      <c r="L15" s="43">
        <v>26.39</v>
      </c>
      <c r="M15" s="43">
        <v>94.94</v>
      </c>
      <c r="N15" s="43">
        <v>61.6</v>
      </c>
      <c r="O15" s="43">
        <v>0</v>
      </c>
      <c r="P15" s="43">
        <v>0.2</v>
      </c>
      <c r="Q15" s="43">
        <v>10</v>
      </c>
      <c r="R15" s="41"/>
      <c r="S15" s="41"/>
      <c r="T15" s="41"/>
      <c r="U15" s="41"/>
    </row>
    <row r="16" spans="1:21" customFormat="1">
      <c r="A16" s="42" t="s">
        <v>212</v>
      </c>
      <c r="B16" s="43">
        <v>7.28</v>
      </c>
      <c r="C16" s="43">
        <v>11.68</v>
      </c>
      <c r="D16" s="43">
        <v>11.8</v>
      </c>
      <c r="E16" s="43">
        <v>5.48</v>
      </c>
      <c r="F16" s="43">
        <v>2</v>
      </c>
      <c r="G16" s="43">
        <v>15.41</v>
      </c>
      <c r="H16" s="43">
        <v>3.25</v>
      </c>
      <c r="I16" s="43">
        <v>3.71</v>
      </c>
      <c r="J16" s="43">
        <v>0.45</v>
      </c>
      <c r="K16" s="43">
        <v>236.87</v>
      </c>
      <c r="L16" s="43">
        <v>27.8</v>
      </c>
      <c r="M16" s="43">
        <v>92.54</v>
      </c>
      <c r="N16" s="43">
        <v>127.9</v>
      </c>
      <c r="O16" s="43">
        <v>0</v>
      </c>
      <c r="P16" s="43">
        <v>0.22</v>
      </c>
      <c r="Q16" s="43">
        <v>10</v>
      </c>
      <c r="R16" s="41"/>
      <c r="S16" s="41"/>
      <c r="T16" s="41"/>
      <c r="U16" s="41"/>
    </row>
    <row r="17" spans="1:21" customFormat="1">
      <c r="A17" s="42" t="s">
        <v>213</v>
      </c>
      <c r="B17" s="43">
        <v>6.71</v>
      </c>
      <c r="C17" s="43">
        <v>11.93</v>
      </c>
      <c r="D17" s="43">
        <v>11.54</v>
      </c>
      <c r="E17" s="43">
        <v>5.39</v>
      </c>
      <c r="F17" s="43">
        <v>2.0099999999999998</v>
      </c>
      <c r="G17" s="43">
        <v>18.649999999999999</v>
      </c>
      <c r="H17" s="43">
        <v>10.31</v>
      </c>
      <c r="I17" s="43">
        <v>4.09</v>
      </c>
      <c r="J17" s="43">
        <v>0.28000000000000003</v>
      </c>
      <c r="K17" s="43">
        <v>233.18</v>
      </c>
      <c r="L17" s="43">
        <v>28.66</v>
      </c>
      <c r="M17" s="43">
        <v>85.01</v>
      </c>
      <c r="N17" s="43">
        <v>242.2</v>
      </c>
      <c r="O17" s="43">
        <v>0</v>
      </c>
      <c r="P17" s="43">
        <v>0.3</v>
      </c>
      <c r="Q17" s="43">
        <v>10</v>
      </c>
      <c r="R17" s="41"/>
      <c r="S17" s="41"/>
      <c r="T17" s="41"/>
      <c r="U17" s="41"/>
    </row>
    <row r="18" spans="1:21" customFormat="1">
      <c r="A18" s="42" t="s">
        <v>214</v>
      </c>
      <c r="B18" s="43">
        <v>6.36</v>
      </c>
      <c r="C18" s="43">
        <v>12.16</v>
      </c>
      <c r="D18" s="43">
        <v>11.34</v>
      </c>
      <c r="E18" s="43">
        <v>5.43</v>
      </c>
      <c r="F18" s="43">
        <v>2.15</v>
      </c>
      <c r="G18" s="43">
        <v>29.62</v>
      </c>
      <c r="H18" s="43">
        <v>10.31</v>
      </c>
      <c r="I18" s="43">
        <v>5.19</v>
      </c>
      <c r="J18" s="43">
        <v>0.37</v>
      </c>
      <c r="K18" s="43">
        <v>235.5</v>
      </c>
      <c r="L18" s="43">
        <v>30.78</v>
      </c>
      <c r="M18" s="43">
        <v>81.61</v>
      </c>
      <c r="N18" s="43">
        <v>513.20000000000005</v>
      </c>
      <c r="O18" s="43">
        <v>0</v>
      </c>
      <c r="P18" s="43">
        <v>0.35</v>
      </c>
      <c r="Q18" s="43">
        <v>10</v>
      </c>
      <c r="R18" s="41"/>
      <c r="S18" s="41"/>
      <c r="T18" s="41"/>
      <c r="U18" s="41"/>
    </row>
    <row r="19" spans="1:21" customFormat="1">
      <c r="A19" s="42" t="s">
        <v>215</v>
      </c>
      <c r="B19" s="43">
        <v>5.34</v>
      </c>
      <c r="C19" s="43">
        <v>12.57</v>
      </c>
      <c r="D19" s="43">
        <v>10.76</v>
      </c>
      <c r="E19" s="43">
        <v>6.08</v>
      </c>
      <c r="F19" s="43">
        <v>2.2599999999999998</v>
      </c>
      <c r="G19" s="43">
        <v>31.63</v>
      </c>
      <c r="H19" s="43">
        <v>8.75</v>
      </c>
      <c r="I19" s="43">
        <v>5.98</v>
      </c>
      <c r="J19" s="43">
        <v>0.43</v>
      </c>
      <c r="K19" s="43">
        <v>239.93</v>
      </c>
      <c r="L19" s="43">
        <v>31.19</v>
      </c>
      <c r="M19" s="43">
        <v>69.87</v>
      </c>
      <c r="N19" s="43">
        <v>599.79999999999995</v>
      </c>
      <c r="O19" s="43">
        <v>0</v>
      </c>
      <c r="P19" s="43">
        <v>0.37</v>
      </c>
      <c r="Q19" s="43">
        <v>10</v>
      </c>
      <c r="R19" s="41"/>
      <c r="S19" s="41"/>
      <c r="T19" s="41"/>
      <c r="U19" s="41"/>
    </row>
    <row r="20" spans="1:21" customFormat="1">
      <c r="A20" s="42" t="s">
        <v>216</v>
      </c>
      <c r="B20" s="43">
        <v>4</v>
      </c>
      <c r="C20" s="43">
        <v>12.99</v>
      </c>
      <c r="D20" s="43">
        <v>9.82</v>
      </c>
      <c r="E20" s="43">
        <v>6.06</v>
      </c>
      <c r="F20" s="43">
        <v>2.76</v>
      </c>
      <c r="G20" s="43">
        <v>41.21</v>
      </c>
      <c r="H20" s="43">
        <v>14.92</v>
      </c>
      <c r="I20" s="43">
        <v>6.27</v>
      </c>
      <c r="J20" s="43">
        <v>0.57999999999999996</v>
      </c>
      <c r="K20" s="43">
        <v>243.92</v>
      </c>
      <c r="L20" s="43">
        <v>30.96</v>
      </c>
      <c r="M20" s="43">
        <v>74.06</v>
      </c>
      <c r="N20" s="43">
        <v>290.89999999999998</v>
      </c>
      <c r="O20" s="43">
        <v>0</v>
      </c>
      <c r="P20" s="43">
        <v>0.39</v>
      </c>
      <c r="Q20" s="43">
        <v>10</v>
      </c>
      <c r="R20" s="41"/>
      <c r="S20" s="41"/>
      <c r="T20" s="41"/>
      <c r="U20" s="41"/>
    </row>
    <row r="21" spans="1:21" customFormat="1">
      <c r="A21" s="42" t="s">
        <v>217</v>
      </c>
      <c r="B21" s="43">
        <v>3.76</v>
      </c>
      <c r="C21" s="43">
        <v>13.29</v>
      </c>
      <c r="D21" s="43">
        <v>9.9600000000000009</v>
      </c>
      <c r="E21" s="43">
        <v>6.03</v>
      </c>
      <c r="F21" s="43">
        <v>10.11</v>
      </c>
      <c r="G21" s="43">
        <v>44.82</v>
      </c>
      <c r="H21" s="43">
        <v>19.39</v>
      </c>
      <c r="I21" s="43">
        <v>6.7</v>
      </c>
      <c r="J21" s="43">
        <v>0.39</v>
      </c>
      <c r="K21" s="43">
        <v>280.01</v>
      </c>
      <c r="L21" s="43">
        <v>31.47</v>
      </c>
      <c r="M21" s="43">
        <v>74.959999999999994</v>
      </c>
      <c r="N21" s="43">
        <v>576.79999999999995</v>
      </c>
      <c r="O21" s="43">
        <v>0</v>
      </c>
      <c r="P21" s="43">
        <v>0.37</v>
      </c>
      <c r="Q21" s="43">
        <v>10</v>
      </c>
      <c r="R21" s="41"/>
      <c r="S21" s="41"/>
      <c r="T21" s="41"/>
      <c r="U21" s="41"/>
    </row>
    <row r="22" spans="1:21" customFormat="1">
      <c r="A22" s="42" t="s">
        <v>218</v>
      </c>
      <c r="B22" s="43">
        <v>4.24</v>
      </c>
      <c r="C22" s="43">
        <v>13.48</v>
      </c>
      <c r="D22" s="43">
        <v>10.25</v>
      </c>
      <c r="E22" s="43">
        <v>5.44</v>
      </c>
      <c r="F22" s="43">
        <v>6.57</v>
      </c>
      <c r="G22" s="43">
        <v>44.82</v>
      </c>
      <c r="H22" s="43">
        <v>19.39</v>
      </c>
      <c r="I22" s="43">
        <v>6.66</v>
      </c>
      <c r="J22" s="43">
        <v>0.3</v>
      </c>
      <c r="K22" s="43">
        <v>253.73</v>
      </c>
      <c r="L22" s="43">
        <v>30.23</v>
      </c>
      <c r="M22" s="43">
        <v>92.35</v>
      </c>
      <c r="N22" s="43">
        <v>71.3</v>
      </c>
      <c r="O22" s="43">
        <v>1.2</v>
      </c>
      <c r="P22" s="43">
        <v>0.36</v>
      </c>
      <c r="Q22" s="43">
        <v>10</v>
      </c>
      <c r="R22" s="41"/>
      <c r="S22" s="41"/>
      <c r="T22" s="41"/>
      <c r="U22" s="41"/>
    </row>
    <row r="23" spans="1:21" customFormat="1">
      <c r="A23" s="42" t="s">
        <v>219</v>
      </c>
      <c r="B23" s="43">
        <v>4.46</v>
      </c>
      <c r="C23" s="43">
        <v>12.5</v>
      </c>
      <c r="D23" s="43">
        <v>10.02</v>
      </c>
      <c r="E23" s="43">
        <v>5.46</v>
      </c>
      <c r="F23" s="43">
        <v>7.17</v>
      </c>
      <c r="G23" s="43">
        <v>49.85</v>
      </c>
      <c r="H23" s="43">
        <v>20.3</v>
      </c>
      <c r="I23" s="43">
        <v>6.42</v>
      </c>
      <c r="J23" s="43">
        <v>0.23</v>
      </c>
      <c r="K23" s="43">
        <v>174.1</v>
      </c>
      <c r="L23" s="43">
        <v>29.26</v>
      </c>
      <c r="M23" s="43">
        <v>92.63</v>
      </c>
      <c r="N23" s="43">
        <v>99.9</v>
      </c>
      <c r="O23" s="43">
        <v>0</v>
      </c>
      <c r="P23" s="43">
        <v>0.33</v>
      </c>
      <c r="Q23" s="43">
        <v>10</v>
      </c>
      <c r="R23" s="41"/>
      <c r="S23" s="41"/>
      <c r="T23" s="41"/>
      <c r="U23" s="41"/>
    </row>
    <row r="24" spans="1:21" customFormat="1">
      <c r="A24" s="42" t="s">
        <v>220</v>
      </c>
      <c r="B24" s="43">
        <v>4.59</v>
      </c>
      <c r="C24" s="43">
        <v>11.79</v>
      </c>
      <c r="D24" s="43">
        <v>9.77</v>
      </c>
      <c r="E24" s="43">
        <v>5.44</v>
      </c>
      <c r="F24" s="43">
        <v>5.4</v>
      </c>
      <c r="G24" s="43">
        <v>49.85</v>
      </c>
      <c r="H24" s="43">
        <v>23.31</v>
      </c>
      <c r="I24" s="43">
        <v>6.01</v>
      </c>
      <c r="J24" s="43">
        <v>0.2</v>
      </c>
      <c r="K24" s="43">
        <v>191.76</v>
      </c>
      <c r="L24" s="43">
        <v>30.18</v>
      </c>
      <c r="M24" s="43">
        <v>86.91</v>
      </c>
      <c r="N24" s="43">
        <v>223.3</v>
      </c>
      <c r="O24" s="43">
        <v>0</v>
      </c>
      <c r="P24" s="43">
        <v>0.32</v>
      </c>
      <c r="Q24" s="43">
        <v>10</v>
      </c>
      <c r="R24" s="41"/>
      <c r="S24" s="41"/>
      <c r="T24" s="41"/>
      <c r="U24" s="41"/>
    </row>
    <row r="25" spans="1:21" customFormat="1">
      <c r="A25" s="42" t="s">
        <v>221</v>
      </c>
      <c r="B25" s="43">
        <v>4.7</v>
      </c>
      <c r="C25" s="43">
        <v>12.17</v>
      </c>
      <c r="D25" s="43">
        <v>9.94</v>
      </c>
      <c r="E25" s="43">
        <v>5.65</v>
      </c>
      <c r="F25" s="43">
        <v>4.4800000000000004</v>
      </c>
      <c r="G25" s="43">
        <v>43.17</v>
      </c>
      <c r="H25" s="43">
        <v>23.31</v>
      </c>
      <c r="I25" s="43">
        <v>5.7</v>
      </c>
      <c r="J25" s="43">
        <v>0.24</v>
      </c>
      <c r="K25" s="43">
        <v>203</v>
      </c>
      <c r="L25" s="43">
        <v>30.04</v>
      </c>
      <c r="M25" s="43">
        <v>78.25</v>
      </c>
      <c r="N25" s="43">
        <v>67.2</v>
      </c>
      <c r="O25" s="43">
        <v>0</v>
      </c>
      <c r="P25" s="43">
        <v>0.33</v>
      </c>
      <c r="Q25" s="43">
        <v>10</v>
      </c>
      <c r="R25" s="41"/>
      <c r="S25" s="41"/>
      <c r="T25" s="41"/>
      <c r="U25" s="41"/>
    </row>
    <row r="26" spans="1:21" customFormat="1">
      <c r="A26" s="42" t="s">
        <v>222</v>
      </c>
      <c r="B26" s="43">
        <v>4.29</v>
      </c>
      <c r="C26" s="43">
        <v>12.21</v>
      </c>
      <c r="D26" s="43">
        <v>9.81</v>
      </c>
      <c r="E26" s="43">
        <v>6.07</v>
      </c>
      <c r="F26" s="43">
        <v>2.2200000000000002</v>
      </c>
      <c r="G26" s="43">
        <v>37.729999999999997</v>
      </c>
      <c r="H26" s="43">
        <v>16.57</v>
      </c>
      <c r="I26" s="43">
        <v>5.46</v>
      </c>
      <c r="J26" s="43">
        <v>0.22</v>
      </c>
      <c r="K26" s="43">
        <v>219.27</v>
      </c>
      <c r="L26" s="43">
        <v>29.73</v>
      </c>
      <c r="M26" s="43">
        <v>81.150000000000006</v>
      </c>
      <c r="N26" s="43">
        <v>47.2</v>
      </c>
      <c r="O26" s="43">
        <v>0</v>
      </c>
      <c r="P26" s="43">
        <v>0.33</v>
      </c>
      <c r="Q26" s="43">
        <v>10</v>
      </c>
      <c r="R26" s="41"/>
      <c r="S26" s="41"/>
      <c r="T26" s="41"/>
      <c r="U26" s="41"/>
    </row>
    <row r="27" spans="1:21" customFormat="1">
      <c r="A27" s="42" t="s">
        <v>223</v>
      </c>
      <c r="B27" s="43">
        <v>3.91</v>
      </c>
      <c r="C27" s="43">
        <v>12.06</v>
      </c>
      <c r="D27" s="43">
        <v>9.44</v>
      </c>
      <c r="E27" s="43">
        <v>5.78</v>
      </c>
      <c r="F27" s="43">
        <v>2.2400000000000002</v>
      </c>
      <c r="G27" s="43">
        <v>37.729999999999997</v>
      </c>
      <c r="H27" s="43">
        <v>15.44</v>
      </c>
      <c r="I27" s="43">
        <v>5.5</v>
      </c>
      <c r="J27" s="43">
        <v>1.1100000000000001</v>
      </c>
      <c r="K27" s="43">
        <v>233.53</v>
      </c>
      <c r="L27" s="43">
        <v>28.69</v>
      </c>
      <c r="M27" s="43">
        <v>89.12</v>
      </c>
      <c r="N27" s="43">
        <v>4.8</v>
      </c>
      <c r="O27" s="43">
        <v>0</v>
      </c>
      <c r="P27" s="43">
        <v>0.32</v>
      </c>
      <c r="Q27" s="43">
        <v>10</v>
      </c>
      <c r="R27" s="41"/>
      <c r="S27" s="41"/>
      <c r="T27" s="41"/>
      <c r="U27" s="41"/>
    </row>
    <row r="28" spans="1:21" customFormat="1">
      <c r="A28" s="42" t="s">
        <v>224</v>
      </c>
      <c r="B28" s="43">
        <v>3.63</v>
      </c>
      <c r="C28" s="43">
        <v>12.12</v>
      </c>
      <c r="D28" s="43">
        <v>9.1</v>
      </c>
      <c r="E28" s="43">
        <v>5.87</v>
      </c>
      <c r="F28" s="43">
        <v>2.38</v>
      </c>
      <c r="G28" s="43">
        <v>35.61</v>
      </c>
      <c r="H28" s="43">
        <v>13.43</v>
      </c>
      <c r="I28" s="43">
        <v>5.17</v>
      </c>
      <c r="J28" s="43">
        <v>1.07</v>
      </c>
      <c r="K28" s="43">
        <v>232.34</v>
      </c>
      <c r="L28" s="43">
        <v>25.04</v>
      </c>
      <c r="M28" s="43">
        <v>94.03</v>
      </c>
      <c r="N28" s="43">
        <v>4.5</v>
      </c>
      <c r="O28" s="43">
        <v>0.4</v>
      </c>
      <c r="P28" s="43">
        <v>0.3</v>
      </c>
      <c r="Q28" s="43">
        <v>10</v>
      </c>
      <c r="R28" s="41"/>
      <c r="S28" s="41"/>
      <c r="T28" s="41"/>
      <c r="U28" s="41"/>
    </row>
    <row r="29" spans="1:21" customFormat="1">
      <c r="A29" s="42" t="s">
        <v>225</v>
      </c>
      <c r="B29" s="43">
        <v>3.72</v>
      </c>
      <c r="C29" s="43">
        <v>12.12</v>
      </c>
      <c r="D29" s="43">
        <v>9.25</v>
      </c>
      <c r="E29" s="43">
        <v>5.98</v>
      </c>
      <c r="F29" s="43">
        <v>2.02</v>
      </c>
      <c r="G29" s="43">
        <v>25.32</v>
      </c>
      <c r="H29" s="43">
        <v>11.31</v>
      </c>
      <c r="I29" s="43">
        <v>4.87</v>
      </c>
      <c r="J29" s="43">
        <v>0.2</v>
      </c>
      <c r="K29" s="43">
        <v>182.64</v>
      </c>
      <c r="L29" s="43">
        <v>24.35</v>
      </c>
      <c r="M29" s="43">
        <v>94.16</v>
      </c>
      <c r="N29" s="43">
        <v>2.8</v>
      </c>
      <c r="O29" s="43">
        <v>0.2</v>
      </c>
      <c r="P29" s="43">
        <v>0.28000000000000003</v>
      </c>
      <c r="Q29" s="43">
        <v>10</v>
      </c>
      <c r="R29" s="41"/>
      <c r="S29" s="41"/>
      <c r="T29" s="41"/>
      <c r="U29" s="41"/>
    </row>
    <row r="30" spans="1:21" customFormat="1">
      <c r="A30" s="42" t="s">
        <v>226</v>
      </c>
      <c r="B30" s="43">
        <v>4.37</v>
      </c>
      <c r="C30" s="43">
        <v>11.84</v>
      </c>
      <c r="D30" s="43">
        <v>9.61</v>
      </c>
      <c r="E30" s="43">
        <v>6.09</v>
      </c>
      <c r="F30" s="43">
        <v>2</v>
      </c>
      <c r="G30" s="43">
        <v>24.6</v>
      </c>
      <c r="H30" s="43">
        <v>8.6999999999999993</v>
      </c>
      <c r="I30" s="43">
        <v>4.59</v>
      </c>
      <c r="J30" s="43">
        <v>0.14000000000000001</v>
      </c>
      <c r="K30" s="43">
        <v>212.36</v>
      </c>
      <c r="L30" s="43">
        <v>24.36</v>
      </c>
      <c r="M30" s="43">
        <v>93.68</v>
      </c>
      <c r="N30" s="43">
        <v>2.5</v>
      </c>
      <c r="O30" s="43">
        <v>0.6</v>
      </c>
      <c r="P30" s="43">
        <v>0.28000000000000003</v>
      </c>
      <c r="Q30" s="43">
        <v>10</v>
      </c>
      <c r="R30" s="41"/>
      <c r="S30" s="41"/>
      <c r="T30" s="41"/>
      <c r="U30" s="41"/>
    </row>
    <row r="31" spans="1:21" customFormat="1">
      <c r="A31" s="42" t="s">
        <v>227</v>
      </c>
      <c r="B31" s="43">
        <v>5.72</v>
      </c>
      <c r="C31" s="43">
        <v>12.06</v>
      </c>
      <c r="D31" s="43">
        <v>10.84</v>
      </c>
      <c r="E31" s="43">
        <v>5.69</v>
      </c>
      <c r="F31" s="43">
        <v>2</v>
      </c>
      <c r="G31" s="43">
        <v>20.85</v>
      </c>
      <c r="H31" s="43">
        <v>7.22</v>
      </c>
      <c r="I31" s="43">
        <v>4.54</v>
      </c>
      <c r="J31" s="43">
        <v>0.3</v>
      </c>
      <c r="K31" s="43">
        <v>190.68</v>
      </c>
      <c r="L31" s="43">
        <v>24.5</v>
      </c>
      <c r="M31" s="43">
        <v>93.7</v>
      </c>
      <c r="N31" s="43">
        <v>2.4</v>
      </c>
      <c r="O31" s="43">
        <v>0.2</v>
      </c>
      <c r="P31" s="43">
        <v>0.24</v>
      </c>
      <c r="Q31" s="43">
        <v>10</v>
      </c>
      <c r="R31" s="41"/>
      <c r="S31" s="41"/>
      <c r="T31" s="41"/>
      <c r="U31" s="41"/>
    </row>
    <row r="32" spans="1:21" customFormat="1">
      <c r="A32" s="42" t="s">
        <v>228</v>
      </c>
      <c r="B32" s="43">
        <v>6.43</v>
      </c>
      <c r="C32" s="43">
        <v>11.99</v>
      </c>
      <c r="D32" s="43">
        <v>11.39</v>
      </c>
      <c r="E32" s="43">
        <v>5.65</v>
      </c>
      <c r="F32" s="43">
        <v>2</v>
      </c>
      <c r="G32" s="43">
        <v>19.77</v>
      </c>
      <c r="H32" s="43">
        <v>7.94</v>
      </c>
      <c r="I32" s="43">
        <v>4.59</v>
      </c>
      <c r="J32" s="43">
        <v>0.21</v>
      </c>
      <c r="K32" s="43">
        <v>231.77</v>
      </c>
      <c r="L32" s="43">
        <v>24.53</v>
      </c>
      <c r="M32" s="43">
        <v>93.16</v>
      </c>
      <c r="N32" s="43">
        <v>2.2000000000000002</v>
      </c>
      <c r="O32" s="43">
        <v>0</v>
      </c>
      <c r="P32" s="43">
        <v>0.25</v>
      </c>
      <c r="Q32" s="43">
        <v>10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3.63</v>
      </c>
      <c r="C34" s="18">
        <f t="shared" si="0"/>
        <v>11.29</v>
      </c>
      <c r="D34" s="18">
        <f t="shared" si="0"/>
        <v>9.1</v>
      </c>
      <c r="E34" s="18">
        <f t="shared" si="0"/>
        <v>5.18</v>
      </c>
      <c r="F34" s="18">
        <f t="shared" si="0"/>
        <v>2</v>
      </c>
      <c r="G34" s="18">
        <f t="shared" si="0"/>
        <v>14.13</v>
      </c>
      <c r="H34" s="18">
        <f t="shared" si="0"/>
        <v>3.25</v>
      </c>
      <c r="I34" s="18">
        <f t="shared" si="0"/>
        <v>3.49</v>
      </c>
      <c r="J34" s="18">
        <f t="shared" si="0"/>
        <v>0.14000000000000001</v>
      </c>
      <c r="K34" s="18">
        <f t="shared" si="0"/>
        <v>174.1</v>
      </c>
      <c r="L34" s="18">
        <f t="shared" si="0"/>
        <v>24.35</v>
      </c>
      <c r="M34" s="18">
        <f t="shared" si="0"/>
        <v>69.87</v>
      </c>
      <c r="N34" s="18">
        <f t="shared" si="0"/>
        <v>2.1</v>
      </c>
      <c r="O34" s="18">
        <f t="shared" si="0"/>
        <v>0</v>
      </c>
      <c r="P34" s="18">
        <f t="shared" si="0"/>
        <v>0.17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7.56</v>
      </c>
      <c r="C35" s="3">
        <f t="shared" si="1"/>
        <v>13.48</v>
      </c>
      <c r="D35" s="3">
        <f t="shared" si="1"/>
        <v>11.97</v>
      </c>
      <c r="E35" s="3">
        <f t="shared" si="1"/>
        <v>6.09</v>
      </c>
      <c r="F35" s="3">
        <f t="shared" si="1"/>
        <v>10.11</v>
      </c>
      <c r="G35" s="3">
        <f t="shared" si="1"/>
        <v>49.85</v>
      </c>
      <c r="H35" s="3">
        <f t="shared" si="1"/>
        <v>23.31</v>
      </c>
      <c r="I35" s="3">
        <f t="shared" si="1"/>
        <v>6.7</v>
      </c>
      <c r="J35" s="3">
        <f t="shared" si="1"/>
        <v>1.1100000000000001</v>
      </c>
      <c r="K35" s="3">
        <f t="shared" si="1"/>
        <v>280.01</v>
      </c>
      <c r="L35" s="3">
        <f t="shared" si="1"/>
        <v>31.47</v>
      </c>
      <c r="M35" s="3">
        <f t="shared" si="1"/>
        <v>95.41</v>
      </c>
      <c r="N35" s="3">
        <f t="shared" si="1"/>
        <v>599.79999999999995</v>
      </c>
      <c r="O35" s="3">
        <f t="shared" si="1"/>
        <v>1.2</v>
      </c>
      <c r="P35" s="3">
        <f t="shared" si="1"/>
        <v>0.39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5.2937500000000002</v>
      </c>
      <c r="C36" s="18">
        <f t="shared" si="2"/>
        <v>12.022916666666667</v>
      </c>
      <c r="D36" s="18">
        <f t="shared" si="2"/>
        <v>10.450416666666669</v>
      </c>
      <c r="E36" s="18">
        <f t="shared" si="2"/>
        <v>5.6262500000000015</v>
      </c>
      <c r="F36" s="18">
        <f t="shared" si="2"/>
        <v>3.0883333333333329</v>
      </c>
      <c r="G36" s="18">
        <f t="shared" si="2"/>
        <v>29.350833333333341</v>
      </c>
      <c r="H36" s="18">
        <f t="shared" si="2"/>
        <v>11.657916666666667</v>
      </c>
      <c r="I36" s="18">
        <f t="shared" si="2"/>
        <v>4.8620833333333335</v>
      </c>
      <c r="J36" s="18">
        <f t="shared" si="2"/>
        <v>0.34250000000000008</v>
      </c>
      <c r="K36" s="18">
        <f t="shared" si="2"/>
        <v>222.03500000000005</v>
      </c>
      <c r="L36" s="18">
        <f t="shared" si="2"/>
        <v>27.623750000000001</v>
      </c>
      <c r="M36" s="18">
        <f t="shared" si="2"/>
        <v>88.661666666666676</v>
      </c>
      <c r="N36" s="18">
        <f t="shared" si="2"/>
        <v>123.14166666666669</v>
      </c>
      <c r="O36" s="18">
        <f t="shared" si="2"/>
        <v>0.10833333333333334</v>
      </c>
      <c r="P36" s="18">
        <f t="shared" si="2"/>
        <v>0.2804166666666667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1.2729350285684302</v>
      </c>
      <c r="C37" s="18">
        <f t="shared" ref="C37:Q37" si="3">STDEV(C9:C32)</f>
        <v>0.60813670636065742</v>
      </c>
      <c r="D37" s="18">
        <f t="shared" si="3"/>
        <v>0.87621954349683229</v>
      </c>
      <c r="E37" s="18">
        <f t="shared" si="3"/>
        <v>0.29701138171720837</v>
      </c>
      <c r="F37" s="18">
        <f t="shared" si="3"/>
        <v>2.1226391830570916</v>
      </c>
      <c r="G37" s="18">
        <f t="shared" si="3"/>
        <v>11.87781524218725</v>
      </c>
      <c r="H37" s="18">
        <f t="shared" si="3"/>
        <v>6.1545394905370205</v>
      </c>
      <c r="I37" s="18">
        <f t="shared" si="3"/>
        <v>1.1138807178612866</v>
      </c>
      <c r="J37" s="18">
        <f t="shared" si="3"/>
        <v>0.25469931120918782</v>
      </c>
      <c r="K37" s="18">
        <f t="shared" si="3"/>
        <v>25.51003570634731</v>
      </c>
      <c r="L37" s="18">
        <f t="shared" si="3"/>
        <v>2.5232929011942691</v>
      </c>
      <c r="M37" s="18">
        <f t="shared" si="3"/>
        <v>7.8031574805758375</v>
      </c>
      <c r="N37" s="18">
        <f t="shared" si="3"/>
        <v>189.63533865465757</v>
      </c>
      <c r="O37" s="18">
        <f t="shared" si="3"/>
        <v>0.27649462085602827</v>
      </c>
      <c r="P37" s="18">
        <f t="shared" si="3"/>
        <v>6.8871598656116945E-2</v>
      </c>
      <c r="Q37" s="18">
        <f t="shared" si="3"/>
        <v>0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S11" sqref="S11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08/09/2025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229</v>
      </c>
      <c r="B9" s="43">
        <v>7.18</v>
      </c>
      <c r="C9" s="43">
        <v>11.81</v>
      </c>
      <c r="D9" s="43">
        <v>11.93</v>
      </c>
      <c r="E9" s="43">
        <v>5.68</v>
      </c>
      <c r="F9" s="43">
        <v>2</v>
      </c>
      <c r="G9" s="43">
        <v>19.77</v>
      </c>
      <c r="H9" s="43">
        <v>9.16</v>
      </c>
      <c r="I9" s="43">
        <v>4.6399999999999997</v>
      </c>
      <c r="J9" s="43">
        <v>0.16</v>
      </c>
      <c r="K9" s="43">
        <v>196.14</v>
      </c>
      <c r="L9" s="43">
        <v>24.69</v>
      </c>
      <c r="M9" s="43">
        <v>92.89</v>
      </c>
      <c r="N9" s="43">
        <v>2.2999999999999998</v>
      </c>
      <c r="O9" s="43">
        <v>0</v>
      </c>
      <c r="P9" s="43">
        <v>0.24</v>
      </c>
      <c r="Q9" s="43">
        <v>10</v>
      </c>
      <c r="R9" s="41"/>
      <c r="S9" s="41"/>
      <c r="T9" s="41"/>
      <c r="U9" s="41"/>
    </row>
    <row r="10" spans="1:21" customFormat="1">
      <c r="A10" s="42" t="s">
        <v>230</v>
      </c>
      <c r="B10" s="43">
        <v>7.59</v>
      </c>
      <c r="C10" s="43">
        <v>11.91</v>
      </c>
      <c r="D10" s="43">
        <v>12.25</v>
      </c>
      <c r="E10" s="43">
        <v>5.88</v>
      </c>
      <c r="F10" s="43">
        <v>2.02</v>
      </c>
      <c r="G10" s="43">
        <v>17.77</v>
      </c>
      <c r="H10" s="43">
        <v>9.16</v>
      </c>
      <c r="I10" s="43">
        <v>4.5999999999999996</v>
      </c>
      <c r="J10" s="43">
        <v>0.16</v>
      </c>
      <c r="K10" s="43">
        <v>220.14</v>
      </c>
      <c r="L10" s="43">
        <v>24.75</v>
      </c>
      <c r="M10" s="43">
        <v>92.08</v>
      </c>
      <c r="N10" s="43">
        <v>2.1</v>
      </c>
      <c r="O10" s="43">
        <v>0</v>
      </c>
      <c r="P10" s="43">
        <v>0.24</v>
      </c>
      <c r="Q10" s="43">
        <v>10</v>
      </c>
      <c r="R10" s="41"/>
      <c r="S10" s="41"/>
      <c r="T10" s="41"/>
      <c r="U10" s="41"/>
    </row>
    <row r="11" spans="1:21" customFormat="1">
      <c r="A11" s="42" t="s">
        <v>231</v>
      </c>
      <c r="B11" s="43">
        <v>7.58</v>
      </c>
      <c r="C11" s="43">
        <v>11.9</v>
      </c>
      <c r="D11" s="43">
        <v>12.3</v>
      </c>
      <c r="E11" s="43">
        <v>6.23</v>
      </c>
      <c r="F11" s="43">
        <v>2</v>
      </c>
      <c r="G11" s="43">
        <v>13.43</v>
      </c>
      <c r="H11" s="43">
        <v>6.67</v>
      </c>
      <c r="I11" s="43">
        <v>4.5999999999999996</v>
      </c>
      <c r="J11" s="43">
        <v>0.16</v>
      </c>
      <c r="K11" s="43">
        <v>231.91</v>
      </c>
      <c r="L11" s="43">
        <v>24.94</v>
      </c>
      <c r="M11" s="43">
        <v>91.1</v>
      </c>
      <c r="N11" s="43">
        <v>2.2999999999999998</v>
      </c>
      <c r="O11" s="43">
        <v>0.2</v>
      </c>
      <c r="P11" s="43">
        <v>0.26</v>
      </c>
      <c r="Q11" s="43">
        <v>10</v>
      </c>
      <c r="R11" s="41"/>
      <c r="S11" s="41"/>
      <c r="T11" s="41"/>
      <c r="U11" s="41"/>
    </row>
    <row r="12" spans="1:21" customFormat="1">
      <c r="A12" s="42" t="s">
        <v>232</v>
      </c>
      <c r="B12" s="43">
        <v>6.99</v>
      </c>
      <c r="C12" s="43">
        <v>11.39</v>
      </c>
      <c r="D12" s="43">
        <v>11.56</v>
      </c>
      <c r="E12" s="43">
        <v>6.3</v>
      </c>
      <c r="F12" s="43">
        <v>2</v>
      </c>
      <c r="G12" s="43">
        <v>10.08</v>
      </c>
      <c r="H12" s="43">
        <v>8.24</v>
      </c>
      <c r="I12" s="43">
        <v>4.28</v>
      </c>
      <c r="J12" s="43">
        <v>0.2</v>
      </c>
      <c r="K12" s="43">
        <v>226.91</v>
      </c>
      <c r="L12" s="43">
        <v>25.03</v>
      </c>
      <c r="M12" s="43">
        <v>89.88</v>
      </c>
      <c r="N12" s="43">
        <v>2.4</v>
      </c>
      <c r="O12" s="43">
        <v>0</v>
      </c>
      <c r="P12" s="43">
        <v>0.25</v>
      </c>
      <c r="Q12" s="43">
        <v>10</v>
      </c>
      <c r="R12" s="41"/>
      <c r="S12" s="41"/>
      <c r="T12" s="41"/>
      <c r="U12" s="41"/>
    </row>
    <row r="13" spans="1:21" customFormat="1">
      <c r="A13" s="42" t="s">
        <v>233</v>
      </c>
      <c r="B13" s="43">
        <v>6.57</v>
      </c>
      <c r="C13" s="43">
        <v>11.31</v>
      </c>
      <c r="D13" s="43">
        <v>11.18</v>
      </c>
      <c r="E13" s="43">
        <v>6.42</v>
      </c>
      <c r="F13" s="43">
        <v>2.0299999999999998</v>
      </c>
      <c r="G13" s="43">
        <v>10.57</v>
      </c>
      <c r="H13" s="43">
        <v>8.24</v>
      </c>
      <c r="I13" s="43">
        <v>3.97</v>
      </c>
      <c r="J13" s="43">
        <v>0.13</v>
      </c>
      <c r="K13" s="43">
        <v>190.58</v>
      </c>
      <c r="L13" s="43">
        <v>24.84</v>
      </c>
      <c r="M13" s="43">
        <v>89.92</v>
      </c>
      <c r="N13" s="43">
        <v>2.1</v>
      </c>
      <c r="O13" s="43">
        <v>0</v>
      </c>
      <c r="P13" s="43">
        <v>0.25</v>
      </c>
      <c r="Q13" s="43">
        <v>10</v>
      </c>
      <c r="R13" s="41"/>
      <c r="S13" s="41"/>
      <c r="T13" s="41"/>
      <c r="U13" s="41"/>
    </row>
    <row r="14" spans="1:21" customFormat="1">
      <c r="A14" s="42" t="s">
        <v>234</v>
      </c>
      <c r="B14" s="43">
        <v>6.43</v>
      </c>
      <c r="C14" s="43">
        <v>11.13</v>
      </c>
      <c r="D14" s="43">
        <v>10.97</v>
      </c>
      <c r="E14" s="43">
        <v>6.34</v>
      </c>
      <c r="F14" s="43">
        <v>2</v>
      </c>
      <c r="G14" s="43">
        <v>13.58</v>
      </c>
      <c r="H14" s="43">
        <v>5.89</v>
      </c>
      <c r="I14" s="43">
        <v>3.96</v>
      </c>
      <c r="J14" s="43">
        <v>0.1</v>
      </c>
      <c r="K14" s="43">
        <v>185.26</v>
      </c>
      <c r="L14" s="43">
        <v>24.94</v>
      </c>
      <c r="M14" s="43">
        <v>90.16</v>
      </c>
      <c r="N14" s="43">
        <v>5.6</v>
      </c>
      <c r="O14" s="43">
        <v>0</v>
      </c>
      <c r="P14" s="43">
        <v>0.24</v>
      </c>
      <c r="Q14" s="43">
        <v>10</v>
      </c>
      <c r="R14" s="41"/>
      <c r="S14" s="41"/>
      <c r="T14" s="41"/>
      <c r="U14" s="41"/>
    </row>
    <row r="15" spans="1:21" customFormat="1">
      <c r="A15" s="42" t="s">
        <v>235</v>
      </c>
      <c r="B15" s="43">
        <v>6.53</v>
      </c>
      <c r="C15" s="43">
        <v>10.91</v>
      </c>
      <c r="D15" s="43">
        <v>10.87</v>
      </c>
      <c r="E15" s="43">
        <v>6.31</v>
      </c>
      <c r="F15" s="43">
        <v>2.06</v>
      </c>
      <c r="G15" s="43">
        <v>13.58</v>
      </c>
      <c r="H15" s="43">
        <v>5.87</v>
      </c>
      <c r="I15" s="43">
        <v>3.94</v>
      </c>
      <c r="J15" s="43">
        <v>0.14000000000000001</v>
      </c>
      <c r="K15" s="43">
        <v>221.95</v>
      </c>
      <c r="L15" s="43">
        <v>25.4</v>
      </c>
      <c r="M15" s="43">
        <v>89.57</v>
      </c>
      <c r="N15" s="43">
        <v>39.1</v>
      </c>
      <c r="O15" s="43">
        <v>0</v>
      </c>
      <c r="P15" s="43">
        <v>0.24</v>
      </c>
      <c r="Q15" s="43">
        <v>10</v>
      </c>
      <c r="R15" s="41"/>
      <c r="S15" s="41"/>
      <c r="T15" s="41"/>
      <c r="U15" s="41"/>
    </row>
    <row r="16" spans="1:21" customFormat="1">
      <c r="A16" s="42" t="s">
        <v>236</v>
      </c>
      <c r="B16" s="43">
        <v>7.1</v>
      </c>
      <c r="C16" s="43">
        <v>10.95</v>
      </c>
      <c r="D16" s="43">
        <v>11.41</v>
      </c>
      <c r="E16" s="43">
        <v>6.32</v>
      </c>
      <c r="F16" s="43">
        <v>2.0299999999999998</v>
      </c>
      <c r="G16" s="43">
        <v>11.53</v>
      </c>
      <c r="H16" s="43">
        <v>7.47</v>
      </c>
      <c r="I16" s="43">
        <v>4.0999999999999996</v>
      </c>
      <c r="J16" s="43">
        <v>0.37</v>
      </c>
      <c r="K16" s="43">
        <v>231.46</v>
      </c>
      <c r="L16" s="43">
        <v>26.41</v>
      </c>
      <c r="M16" s="43">
        <v>89.3</v>
      </c>
      <c r="N16" s="43">
        <v>110.5</v>
      </c>
      <c r="O16" s="43">
        <v>0</v>
      </c>
      <c r="P16" s="43">
        <v>0.23</v>
      </c>
      <c r="Q16" s="43">
        <v>10</v>
      </c>
      <c r="R16" s="41"/>
      <c r="S16" s="41"/>
      <c r="T16" s="41"/>
      <c r="U16" s="41"/>
    </row>
    <row r="17" spans="1:21" customFormat="1">
      <c r="A17" s="42" t="s">
        <v>237</v>
      </c>
      <c r="B17" s="43">
        <v>7.33</v>
      </c>
      <c r="C17" s="43">
        <v>11.27</v>
      </c>
      <c r="D17" s="43">
        <v>11.77</v>
      </c>
      <c r="E17" s="43">
        <v>5.94</v>
      </c>
      <c r="F17" s="43">
        <v>2.2999999999999998</v>
      </c>
      <c r="G17" s="43">
        <v>9.77</v>
      </c>
      <c r="H17" s="43">
        <v>10.01</v>
      </c>
      <c r="I17" s="43">
        <v>4.34</v>
      </c>
      <c r="J17" s="43">
        <v>0.46</v>
      </c>
      <c r="K17" s="43">
        <v>231.66</v>
      </c>
      <c r="L17" s="43">
        <v>28.91</v>
      </c>
      <c r="M17" s="43">
        <v>88.93</v>
      </c>
      <c r="N17" s="43">
        <v>358.8</v>
      </c>
      <c r="O17" s="43">
        <v>0</v>
      </c>
      <c r="P17" s="43">
        <v>0.22</v>
      </c>
      <c r="Q17" s="43">
        <v>10</v>
      </c>
      <c r="R17" s="41"/>
      <c r="S17" s="41"/>
      <c r="T17" s="41"/>
      <c r="U17" s="41"/>
    </row>
    <row r="18" spans="1:21" customFormat="1">
      <c r="A18" s="42" t="s">
        <v>238</v>
      </c>
      <c r="B18" s="43">
        <v>7.3</v>
      </c>
      <c r="C18" s="43">
        <v>11.85</v>
      </c>
      <c r="D18" s="43">
        <v>11.82</v>
      </c>
      <c r="E18" s="43">
        <v>5.71</v>
      </c>
      <c r="F18" s="43">
        <v>3.54</v>
      </c>
      <c r="G18" s="43">
        <v>19.27</v>
      </c>
      <c r="H18" s="43">
        <v>10.01</v>
      </c>
      <c r="I18" s="43">
        <v>5.24</v>
      </c>
      <c r="J18" s="43">
        <v>0.59</v>
      </c>
      <c r="K18" s="43">
        <v>232.3</v>
      </c>
      <c r="L18" s="43">
        <v>29.9</v>
      </c>
      <c r="M18" s="43">
        <v>83.75</v>
      </c>
      <c r="N18" s="43">
        <v>477.7</v>
      </c>
      <c r="O18" s="43">
        <v>0</v>
      </c>
      <c r="P18" s="43">
        <v>0.25</v>
      </c>
      <c r="Q18" s="43">
        <v>10</v>
      </c>
      <c r="R18" s="41"/>
      <c r="S18" s="41"/>
      <c r="T18" s="41"/>
      <c r="U18" s="41"/>
    </row>
    <row r="19" spans="1:21" customFormat="1">
      <c r="A19" s="42" t="s">
        <v>239</v>
      </c>
      <c r="B19" s="43">
        <v>6.9</v>
      </c>
      <c r="C19" s="43">
        <v>12.21</v>
      </c>
      <c r="D19" s="43">
        <v>11.79</v>
      </c>
      <c r="E19" s="43">
        <v>5.72</v>
      </c>
      <c r="F19" s="43">
        <v>3.84</v>
      </c>
      <c r="G19" s="43">
        <v>34.409999999999997</v>
      </c>
      <c r="H19" s="43">
        <v>17.28</v>
      </c>
      <c r="I19" s="43">
        <v>6.09</v>
      </c>
      <c r="J19" s="43">
        <v>0.56000000000000005</v>
      </c>
      <c r="K19" s="43">
        <v>233.45</v>
      </c>
      <c r="L19" s="43">
        <v>31.65</v>
      </c>
      <c r="M19" s="43">
        <v>80.88</v>
      </c>
      <c r="N19" s="43">
        <v>701.5</v>
      </c>
      <c r="O19" s="43">
        <v>0</v>
      </c>
      <c r="P19" s="43">
        <v>0.3</v>
      </c>
      <c r="Q19" s="43">
        <v>10</v>
      </c>
      <c r="R19" s="41"/>
      <c r="S19" s="41"/>
      <c r="T19" s="41"/>
      <c r="U19" s="41"/>
    </row>
    <row r="20" spans="1:21" customFormat="1">
      <c r="A20" s="42" t="s">
        <v>240</v>
      </c>
      <c r="B20" s="43">
        <v>5.89</v>
      </c>
      <c r="C20" s="43">
        <v>13.01</v>
      </c>
      <c r="D20" s="43">
        <v>11.23</v>
      </c>
      <c r="E20" s="43">
        <v>5.55</v>
      </c>
      <c r="F20" s="43">
        <v>3.73</v>
      </c>
      <c r="G20" s="43">
        <v>34.409999999999997</v>
      </c>
      <c r="H20" s="43">
        <v>17.28</v>
      </c>
      <c r="I20" s="43">
        <v>6.83</v>
      </c>
      <c r="J20" s="43">
        <v>0.6</v>
      </c>
      <c r="K20" s="43">
        <v>327.43</v>
      </c>
      <c r="L20" s="43">
        <v>31.98</v>
      </c>
      <c r="M20" s="43">
        <v>76.260000000000005</v>
      </c>
      <c r="N20" s="43">
        <v>644.4</v>
      </c>
      <c r="O20" s="43">
        <v>0</v>
      </c>
      <c r="P20" s="43">
        <v>0.33</v>
      </c>
      <c r="Q20" s="43">
        <v>10</v>
      </c>
      <c r="R20" s="41"/>
      <c r="S20" s="41"/>
      <c r="T20" s="41"/>
      <c r="U20" s="41"/>
    </row>
    <row r="21" spans="1:21" customFormat="1">
      <c r="A21" s="42" t="s">
        <v>241</v>
      </c>
      <c r="B21" s="43">
        <v>4.7699999999999996</v>
      </c>
      <c r="C21" s="43">
        <v>13.42</v>
      </c>
      <c r="D21" s="43">
        <v>10.84</v>
      </c>
      <c r="E21" s="43">
        <v>5.47</v>
      </c>
      <c r="F21" s="43">
        <v>2.4900000000000002</v>
      </c>
      <c r="G21" s="43">
        <v>37.6</v>
      </c>
      <c r="H21" s="43">
        <v>17.18</v>
      </c>
      <c r="I21" s="43">
        <v>6.99</v>
      </c>
      <c r="J21" s="43">
        <v>1.0900000000000001</v>
      </c>
      <c r="K21" s="43">
        <v>263.38</v>
      </c>
      <c r="L21" s="43">
        <v>28.12</v>
      </c>
      <c r="M21" s="43">
        <v>90.23</v>
      </c>
      <c r="N21" s="43">
        <v>44</v>
      </c>
      <c r="O21" s="43">
        <v>9.6</v>
      </c>
      <c r="P21" s="43">
        <v>0.35</v>
      </c>
      <c r="Q21" s="43">
        <v>10</v>
      </c>
      <c r="R21" s="41"/>
      <c r="S21" s="41"/>
      <c r="T21" s="41"/>
      <c r="U21" s="41"/>
    </row>
    <row r="22" spans="1:21" customFormat="1">
      <c r="A22" s="42" t="s">
        <v>242</v>
      </c>
      <c r="B22" s="43">
        <v>4.74</v>
      </c>
      <c r="C22" s="43">
        <v>13.39</v>
      </c>
      <c r="D22" s="43">
        <v>10.8</v>
      </c>
      <c r="E22" s="43">
        <v>5.73</v>
      </c>
      <c r="F22" s="43">
        <v>2.04</v>
      </c>
      <c r="G22" s="43">
        <v>40.880000000000003</v>
      </c>
      <c r="H22" s="43">
        <v>13.56</v>
      </c>
      <c r="I22" s="43">
        <v>6.52</v>
      </c>
      <c r="J22" s="43">
        <v>0.46</v>
      </c>
      <c r="K22" s="43">
        <v>239.63</v>
      </c>
      <c r="L22" s="43">
        <v>25.98</v>
      </c>
      <c r="M22" s="43">
        <v>89.97</v>
      </c>
      <c r="N22" s="43">
        <v>104.1</v>
      </c>
      <c r="O22" s="43">
        <v>0.6</v>
      </c>
      <c r="P22" s="43">
        <v>0.35</v>
      </c>
      <c r="Q22" s="43">
        <v>10</v>
      </c>
      <c r="R22" s="41"/>
      <c r="S22" s="41"/>
      <c r="T22" s="41"/>
      <c r="U22" s="41"/>
    </row>
    <row r="23" spans="1:21" customFormat="1">
      <c r="A23" s="42" t="s">
        <v>243</v>
      </c>
      <c r="B23" s="43">
        <v>5.72</v>
      </c>
      <c r="C23" s="43">
        <v>13.73</v>
      </c>
      <c r="D23" s="43">
        <v>11.76</v>
      </c>
      <c r="E23" s="43">
        <v>5.86</v>
      </c>
      <c r="F23" s="43">
        <v>2.0299999999999998</v>
      </c>
      <c r="G23" s="43">
        <v>42.39</v>
      </c>
      <c r="H23" s="43">
        <v>14.23</v>
      </c>
      <c r="I23" s="43">
        <v>6.29</v>
      </c>
      <c r="J23" s="43">
        <v>0.6</v>
      </c>
      <c r="K23" s="43">
        <v>234.36</v>
      </c>
      <c r="L23" s="43">
        <v>27.48</v>
      </c>
      <c r="M23" s="43">
        <v>89.36</v>
      </c>
      <c r="N23" s="43">
        <v>151.69999999999999</v>
      </c>
      <c r="O23" s="43">
        <v>0.2</v>
      </c>
      <c r="P23" s="43">
        <v>0.39</v>
      </c>
      <c r="Q23" s="43">
        <v>10</v>
      </c>
      <c r="R23" s="41"/>
      <c r="S23" s="41"/>
      <c r="T23" s="41"/>
      <c r="U23" s="41"/>
    </row>
    <row r="24" spans="1:21" customFormat="1">
      <c r="A24" s="42" t="s">
        <v>244</v>
      </c>
      <c r="B24" s="43">
        <v>6.7</v>
      </c>
      <c r="C24" s="43">
        <v>14</v>
      </c>
      <c r="D24" s="43">
        <v>12.65</v>
      </c>
      <c r="E24" s="43">
        <v>5.9</v>
      </c>
      <c r="F24" s="43">
        <v>2.0299999999999998</v>
      </c>
      <c r="G24" s="43">
        <v>84.01</v>
      </c>
      <c r="H24" s="43">
        <v>34.72</v>
      </c>
      <c r="I24" s="43">
        <v>6.61</v>
      </c>
      <c r="J24" s="43">
        <v>0.61</v>
      </c>
      <c r="K24" s="43">
        <v>246.69</v>
      </c>
      <c r="L24" s="43">
        <v>28.61</v>
      </c>
      <c r="M24" s="43">
        <v>85</v>
      </c>
      <c r="N24" s="43">
        <v>148.1</v>
      </c>
      <c r="O24" s="43">
        <v>0</v>
      </c>
      <c r="P24" s="43">
        <v>0.46</v>
      </c>
      <c r="Q24" s="43">
        <v>10</v>
      </c>
      <c r="R24" s="41"/>
      <c r="S24" s="41"/>
      <c r="T24" s="41"/>
      <c r="U24" s="41"/>
    </row>
    <row r="25" spans="1:21" customFormat="1">
      <c r="A25" s="42" t="s">
        <v>245</v>
      </c>
      <c r="B25" s="43">
        <v>7.34</v>
      </c>
      <c r="C25" s="43">
        <v>14.04</v>
      </c>
      <c r="D25" s="43">
        <v>13.09</v>
      </c>
      <c r="E25" s="43">
        <v>6.01</v>
      </c>
      <c r="F25" s="43">
        <v>2.06</v>
      </c>
      <c r="G25" s="43">
        <v>86.7</v>
      </c>
      <c r="H25" s="43">
        <v>37.29</v>
      </c>
      <c r="I25" s="43">
        <v>6.64</v>
      </c>
      <c r="J25" s="43">
        <v>0.61</v>
      </c>
      <c r="K25" s="43">
        <v>234.53</v>
      </c>
      <c r="L25" s="43">
        <v>29.05</v>
      </c>
      <c r="M25" s="43">
        <v>83.51</v>
      </c>
      <c r="N25" s="43">
        <v>113.4</v>
      </c>
      <c r="O25" s="43">
        <v>0</v>
      </c>
      <c r="P25" s="43">
        <v>0.46</v>
      </c>
      <c r="Q25" s="43">
        <v>10</v>
      </c>
      <c r="R25" s="41"/>
      <c r="S25" s="41"/>
      <c r="T25" s="41"/>
      <c r="U25" s="41"/>
    </row>
    <row r="26" spans="1:21" customFormat="1">
      <c r="A26" s="42" t="s">
        <v>246</v>
      </c>
      <c r="B26" s="43">
        <v>7.98</v>
      </c>
      <c r="C26" s="43">
        <v>13.87</v>
      </c>
      <c r="D26" s="43">
        <v>13.61</v>
      </c>
      <c r="E26" s="43">
        <v>5.91</v>
      </c>
      <c r="F26" s="43">
        <v>3.23</v>
      </c>
      <c r="G26" s="43">
        <v>90.34</v>
      </c>
      <c r="H26" s="43">
        <v>37.29</v>
      </c>
      <c r="I26" s="43">
        <v>6.37</v>
      </c>
      <c r="J26" s="43">
        <v>0.21</v>
      </c>
      <c r="K26" s="43">
        <v>212.36</v>
      </c>
      <c r="L26" s="43">
        <v>28.12</v>
      </c>
      <c r="M26" s="43">
        <v>87.78</v>
      </c>
      <c r="N26" s="43">
        <v>11.5</v>
      </c>
      <c r="O26" s="43">
        <v>0</v>
      </c>
      <c r="P26" s="43">
        <v>0.46</v>
      </c>
      <c r="Q26" s="43">
        <v>10</v>
      </c>
      <c r="R26" s="41"/>
      <c r="S26" s="41"/>
      <c r="T26" s="41"/>
      <c r="U26" s="41"/>
    </row>
    <row r="27" spans="1:21" customFormat="1">
      <c r="A27" s="42" t="s">
        <v>247</v>
      </c>
      <c r="B27" s="43">
        <v>8.58</v>
      </c>
      <c r="C27" s="43">
        <v>13.71</v>
      </c>
      <c r="D27" s="43">
        <v>13.75</v>
      </c>
      <c r="E27" s="43">
        <v>5.17</v>
      </c>
      <c r="F27" s="43">
        <v>2.2000000000000002</v>
      </c>
      <c r="G27" s="43">
        <v>90.55</v>
      </c>
      <c r="H27" s="43">
        <v>32.83</v>
      </c>
      <c r="I27" s="43">
        <v>6.63</v>
      </c>
      <c r="J27" s="43">
        <v>0.25</v>
      </c>
      <c r="K27" s="43">
        <v>176.07</v>
      </c>
      <c r="L27" s="43">
        <v>27.47</v>
      </c>
      <c r="M27" s="43">
        <v>89.38</v>
      </c>
      <c r="N27" s="43">
        <v>3.6</v>
      </c>
      <c r="O27" s="43">
        <v>0</v>
      </c>
      <c r="P27" s="43">
        <v>0.46</v>
      </c>
      <c r="Q27" s="43">
        <v>10</v>
      </c>
      <c r="R27" s="41"/>
      <c r="S27" s="41"/>
      <c r="T27" s="41"/>
      <c r="U27" s="41"/>
    </row>
    <row r="28" spans="1:21" customFormat="1">
      <c r="A28" s="42" t="s">
        <v>248</v>
      </c>
      <c r="B28" s="43">
        <v>8.68</v>
      </c>
      <c r="C28" s="43">
        <v>12.65</v>
      </c>
      <c r="D28" s="43">
        <v>13.57</v>
      </c>
      <c r="E28" s="43">
        <v>5.05</v>
      </c>
      <c r="F28" s="43">
        <v>2.2999999999999998</v>
      </c>
      <c r="G28" s="43">
        <v>90.55</v>
      </c>
      <c r="H28" s="43">
        <v>31.9</v>
      </c>
      <c r="I28" s="43">
        <v>6.83</v>
      </c>
      <c r="J28" s="43">
        <v>0.35</v>
      </c>
      <c r="K28" s="43">
        <v>233.73</v>
      </c>
      <c r="L28" s="43">
        <v>27.23</v>
      </c>
      <c r="M28" s="43">
        <v>89.82</v>
      </c>
      <c r="N28" s="43">
        <v>2.4</v>
      </c>
      <c r="O28" s="43">
        <v>0</v>
      </c>
      <c r="P28" s="43">
        <v>0.49</v>
      </c>
      <c r="Q28" s="43">
        <v>10</v>
      </c>
      <c r="R28" s="41"/>
      <c r="S28" s="41"/>
      <c r="T28" s="41"/>
      <c r="U28" s="41"/>
    </row>
    <row r="29" spans="1:21" customFormat="1">
      <c r="A29" s="42" t="s">
        <v>249</v>
      </c>
      <c r="B29" s="43">
        <v>10.17</v>
      </c>
      <c r="C29" s="43">
        <v>12.92</v>
      </c>
      <c r="D29" s="43">
        <v>14.76</v>
      </c>
      <c r="E29" s="43">
        <v>5.12</v>
      </c>
      <c r="F29" s="43">
        <v>2.1800000000000002</v>
      </c>
      <c r="G29" s="43">
        <v>79.86</v>
      </c>
      <c r="H29" s="43">
        <v>31.9</v>
      </c>
      <c r="I29" s="43">
        <v>7.16</v>
      </c>
      <c r="J29" s="43">
        <v>0.32</v>
      </c>
      <c r="K29" s="43">
        <v>233.62</v>
      </c>
      <c r="L29" s="43">
        <v>27.2</v>
      </c>
      <c r="M29" s="43">
        <v>89.61</v>
      </c>
      <c r="N29" s="43">
        <v>2.5</v>
      </c>
      <c r="O29" s="43">
        <v>0</v>
      </c>
      <c r="P29" s="43">
        <v>0.51</v>
      </c>
      <c r="Q29" s="43">
        <v>10</v>
      </c>
      <c r="R29" s="41"/>
      <c r="S29" s="41"/>
      <c r="T29" s="41"/>
      <c r="U29" s="41"/>
    </row>
    <row r="30" spans="1:21" customFormat="1">
      <c r="A30" s="42" t="s">
        <v>250</v>
      </c>
      <c r="B30" s="43">
        <v>10.74</v>
      </c>
      <c r="C30" s="43">
        <v>12.6</v>
      </c>
      <c r="D30" s="43">
        <v>15.2</v>
      </c>
      <c r="E30" s="43">
        <v>5.09</v>
      </c>
      <c r="F30" s="43">
        <v>2</v>
      </c>
      <c r="G30" s="43">
        <v>82.4</v>
      </c>
      <c r="H30" s="43">
        <v>31.27</v>
      </c>
      <c r="I30" s="43">
        <v>7.16</v>
      </c>
      <c r="J30" s="43">
        <v>0.15</v>
      </c>
      <c r="K30" s="43">
        <v>191.78</v>
      </c>
      <c r="L30" s="43">
        <v>26.52</v>
      </c>
      <c r="M30" s="43">
        <v>90.3</v>
      </c>
      <c r="N30" s="43">
        <v>2.2999999999999998</v>
      </c>
      <c r="O30" s="43">
        <v>0</v>
      </c>
      <c r="P30" s="43">
        <v>0.55000000000000004</v>
      </c>
      <c r="Q30" s="43">
        <v>10</v>
      </c>
      <c r="R30" s="41"/>
      <c r="S30" s="41"/>
      <c r="T30" s="41"/>
      <c r="U30" s="41"/>
    </row>
    <row r="31" spans="1:21" customFormat="1">
      <c r="A31" s="42" t="s">
        <v>251</v>
      </c>
      <c r="B31" s="43">
        <v>10.53</v>
      </c>
      <c r="C31" s="43">
        <v>12.5</v>
      </c>
      <c r="D31" s="43">
        <v>14.98</v>
      </c>
      <c r="E31" s="43">
        <v>5.0999999999999996</v>
      </c>
      <c r="F31" s="43">
        <v>2</v>
      </c>
      <c r="G31" s="43">
        <v>82.4</v>
      </c>
      <c r="H31" s="43">
        <v>28.08</v>
      </c>
      <c r="I31" s="43">
        <v>7.43</v>
      </c>
      <c r="J31" s="43">
        <v>0.14000000000000001</v>
      </c>
      <c r="K31" s="43">
        <v>227.56</v>
      </c>
      <c r="L31" s="43">
        <v>26.26</v>
      </c>
      <c r="M31" s="43">
        <v>89.79</v>
      </c>
      <c r="N31" s="43">
        <v>2.1</v>
      </c>
      <c r="O31" s="43">
        <v>0</v>
      </c>
      <c r="P31" s="43">
        <v>0.56999999999999995</v>
      </c>
      <c r="Q31" s="43">
        <v>10</v>
      </c>
      <c r="R31" s="41"/>
      <c r="S31" s="41"/>
      <c r="T31" s="41"/>
      <c r="U31" s="41"/>
    </row>
    <row r="32" spans="1:21" customFormat="1">
      <c r="A32" s="42" t="s">
        <v>252</v>
      </c>
      <c r="B32" s="43">
        <v>9.74</v>
      </c>
      <c r="C32" s="43">
        <v>12.19</v>
      </c>
      <c r="D32" s="43">
        <v>14.18</v>
      </c>
      <c r="E32" s="43">
        <v>5.47</v>
      </c>
      <c r="F32" s="43">
        <v>2</v>
      </c>
      <c r="G32" s="43">
        <v>71.150000000000006</v>
      </c>
      <c r="H32" s="43">
        <v>28.08</v>
      </c>
      <c r="I32" s="43">
        <v>7.44</v>
      </c>
      <c r="J32" s="43">
        <v>0.23</v>
      </c>
      <c r="K32" s="43">
        <v>228.59</v>
      </c>
      <c r="L32" s="43">
        <v>26.25</v>
      </c>
      <c r="M32" s="43">
        <v>90.13</v>
      </c>
      <c r="N32" s="43">
        <v>2.2999999999999998</v>
      </c>
      <c r="O32" s="43">
        <v>0</v>
      </c>
      <c r="P32" s="43">
        <v>0.54</v>
      </c>
      <c r="Q32" s="43">
        <v>10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4.74</v>
      </c>
      <c r="C34" s="18">
        <f t="shared" si="0"/>
        <v>10.91</v>
      </c>
      <c r="D34" s="18">
        <f t="shared" si="0"/>
        <v>10.8</v>
      </c>
      <c r="E34" s="18">
        <f t="shared" si="0"/>
        <v>5.05</v>
      </c>
      <c r="F34" s="18">
        <f t="shared" si="0"/>
        <v>2</v>
      </c>
      <c r="G34" s="18">
        <f t="shared" si="0"/>
        <v>9.77</v>
      </c>
      <c r="H34" s="18">
        <f t="shared" si="0"/>
        <v>5.87</v>
      </c>
      <c r="I34" s="18">
        <f t="shared" si="0"/>
        <v>3.94</v>
      </c>
      <c r="J34" s="18">
        <f t="shared" si="0"/>
        <v>0.1</v>
      </c>
      <c r="K34" s="18">
        <f t="shared" si="0"/>
        <v>176.07</v>
      </c>
      <c r="L34" s="18">
        <f t="shared" si="0"/>
        <v>24.69</v>
      </c>
      <c r="M34" s="18">
        <f t="shared" si="0"/>
        <v>76.260000000000005</v>
      </c>
      <c r="N34" s="18">
        <f t="shared" si="0"/>
        <v>2.1</v>
      </c>
      <c r="O34" s="18">
        <f t="shared" si="0"/>
        <v>0</v>
      </c>
      <c r="P34" s="18">
        <f t="shared" si="0"/>
        <v>0.22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10.74</v>
      </c>
      <c r="C35" s="3">
        <f t="shared" si="1"/>
        <v>14.04</v>
      </c>
      <c r="D35" s="3">
        <f t="shared" si="1"/>
        <v>15.2</v>
      </c>
      <c r="E35" s="3">
        <f t="shared" si="1"/>
        <v>6.42</v>
      </c>
      <c r="F35" s="3">
        <f t="shared" si="1"/>
        <v>3.84</v>
      </c>
      <c r="G35" s="3">
        <f t="shared" si="1"/>
        <v>90.55</v>
      </c>
      <c r="H35" s="3">
        <f t="shared" si="1"/>
        <v>37.29</v>
      </c>
      <c r="I35" s="3">
        <f t="shared" si="1"/>
        <v>7.44</v>
      </c>
      <c r="J35" s="3">
        <f t="shared" si="1"/>
        <v>1.0900000000000001</v>
      </c>
      <c r="K35" s="3">
        <f t="shared" si="1"/>
        <v>327.43</v>
      </c>
      <c r="L35" s="3">
        <f t="shared" si="1"/>
        <v>31.98</v>
      </c>
      <c r="M35" s="3">
        <f t="shared" si="1"/>
        <v>92.89</v>
      </c>
      <c r="N35" s="3">
        <f t="shared" si="1"/>
        <v>701.5</v>
      </c>
      <c r="O35" s="3">
        <f t="shared" si="1"/>
        <v>9.6</v>
      </c>
      <c r="P35" s="3">
        <f t="shared" si="1"/>
        <v>0.56999999999999995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7.4616666666666687</v>
      </c>
      <c r="C36" s="18">
        <f t="shared" si="2"/>
        <v>12.444583333333334</v>
      </c>
      <c r="D36" s="18">
        <f t="shared" si="2"/>
        <v>12.427916666666667</v>
      </c>
      <c r="E36" s="18">
        <f t="shared" si="2"/>
        <v>5.7616666666666667</v>
      </c>
      <c r="F36" s="18">
        <f t="shared" si="2"/>
        <v>2.3379166666666666</v>
      </c>
      <c r="G36" s="18">
        <f t="shared" si="2"/>
        <v>45.291666666666657</v>
      </c>
      <c r="H36" s="18">
        <f t="shared" si="2"/>
        <v>18.900416666666661</v>
      </c>
      <c r="I36" s="18">
        <f t="shared" si="2"/>
        <v>5.7774999999999999</v>
      </c>
      <c r="J36" s="18">
        <f t="shared" si="2"/>
        <v>0.36041666666666666</v>
      </c>
      <c r="K36" s="18">
        <f t="shared" si="2"/>
        <v>227.14541666666665</v>
      </c>
      <c r="L36" s="18">
        <f t="shared" si="2"/>
        <v>27.155416666666671</v>
      </c>
      <c r="M36" s="18">
        <f t="shared" si="2"/>
        <v>88.316666666666649</v>
      </c>
      <c r="N36" s="18">
        <f t="shared" si="2"/>
        <v>122.36666666666667</v>
      </c>
      <c r="O36" s="18">
        <f t="shared" si="2"/>
        <v>0.4416666666666666</v>
      </c>
      <c r="P36" s="18">
        <f t="shared" si="2"/>
        <v>0.36000000000000004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1.6150398209296173</v>
      </c>
      <c r="C37" s="18">
        <f t="shared" ref="C37:Q37" si="3">STDEV(C9:C32)</f>
        <v>1.0271276080353431</v>
      </c>
      <c r="D37" s="18">
        <f t="shared" si="3"/>
        <v>1.3847083484058853</v>
      </c>
      <c r="E37" s="18">
        <f t="shared" si="3"/>
        <v>0.43896782754911373</v>
      </c>
      <c r="F37" s="18">
        <f t="shared" si="3"/>
        <v>0.5907915042121672</v>
      </c>
      <c r="G37" s="18">
        <f t="shared" si="3"/>
        <v>32.464519317136883</v>
      </c>
      <c r="H37" s="18">
        <f t="shared" si="3"/>
        <v>11.483682744836615</v>
      </c>
      <c r="I37" s="18">
        <f t="shared" si="3"/>
        <v>1.282911939097245</v>
      </c>
      <c r="J37" s="18">
        <f t="shared" si="3"/>
        <v>0.24193925156798216</v>
      </c>
      <c r="K37" s="18">
        <f t="shared" si="3"/>
        <v>29.808686212778344</v>
      </c>
      <c r="L37" s="18">
        <f t="shared" si="3"/>
        <v>2.0900405221090739</v>
      </c>
      <c r="M37" s="18">
        <f t="shared" si="3"/>
        <v>3.7993382337576564</v>
      </c>
      <c r="N37" s="18">
        <f t="shared" si="3"/>
        <v>207.41353078722511</v>
      </c>
      <c r="O37" s="18">
        <f t="shared" si="3"/>
        <v>1.9551307454705065</v>
      </c>
      <c r="P37" s="18">
        <f t="shared" si="3"/>
        <v>0.12122562507124073</v>
      </c>
      <c r="Q37" s="18">
        <f t="shared" si="3"/>
        <v>0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S13" sqref="S1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09/09/2025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253</v>
      </c>
      <c r="B9" s="43">
        <v>8.67</v>
      </c>
      <c r="C9" s="43">
        <v>11.65</v>
      </c>
      <c r="D9" s="43">
        <v>12.93</v>
      </c>
      <c r="E9" s="43">
        <v>5.61</v>
      </c>
      <c r="F9" s="43">
        <v>2.02</v>
      </c>
      <c r="G9" s="43">
        <v>55.61</v>
      </c>
      <c r="H9" s="43">
        <v>20.27</v>
      </c>
      <c r="I9" s="43">
        <v>6.81</v>
      </c>
      <c r="J9" s="43">
        <v>0.13</v>
      </c>
      <c r="K9" s="43">
        <v>174.14</v>
      </c>
      <c r="L9" s="43">
        <v>25.52</v>
      </c>
      <c r="M9" s="43">
        <v>90.3</v>
      </c>
      <c r="N9" s="43">
        <v>2.2000000000000002</v>
      </c>
      <c r="O9" s="43">
        <v>0</v>
      </c>
      <c r="P9" s="43">
        <v>0.48</v>
      </c>
      <c r="Q9" s="43">
        <v>10</v>
      </c>
      <c r="R9" s="41"/>
      <c r="S9" s="41"/>
      <c r="T9" s="41"/>
      <c r="U9" s="41"/>
    </row>
    <row r="10" spans="1:21" customFormat="1">
      <c r="A10" s="42" t="s">
        <v>254</v>
      </c>
      <c r="B10" s="43">
        <v>8.5500000000000007</v>
      </c>
      <c r="C10" s="43">
        <v>11.69</v>
      </c>
      <c r="D10" s="43">
        <v>12.96</v>
      </c>
      <c r="E10" s="43">
        <v>5.91</v>
      </c>
      <c r="F10" s="43">
        <v>2.0099999999999998</v>
      </c>
      <c r="G10" s="43">
        <v>41.4</v>
      </c>
      <c r="H10" s="43">
        <v>16.399999999999999</v>
      </c>
      <c r="I10" s="43">
        <v>6.12</v>
      </c>
      <c r="J10" s="43">
        <v>0.17</v>
      </c>
      <c r="K10" s="43">
        <v>195.52</v>
      </c>
      <c r="L10" s="43">
        <v>25.58</v>
      </c>
      <c r="M10" s="43">
        <v>90.07</v>
      </c>
      <c r="N10" s="43">
        <v>2.2000000000000002</v>
      </c>
      <c r="O10" s="43">
        <v>0</v>
      </c>
      <c r="P10" s="43">
        <v>0.43</v>
      </c>
      <c r="Q10" s="43">
        <v>10</v>
      </c>
      <c r="R10" s="41"/>
      <c r="S10" s="41"/>
      <c r="T10" s="41"/>
      <c r="U10" s="41"/>
    </row>
    <row r="11" spans="1:21" customFormat="1">
      <c r="A11" s="42" t="s">
        <v>255</v>
      </c>
      <c r="B11" s="43">
        <v>8.36</v>
      </c>
      <c r="C11" s="43">
        <v>11.27</v>
      </c>
      <c r="D11" s="43">
        <v>12.59</v>
      </c>
      <c r="E11" s="43">
        <v>4.76</v>
      </c>
      <c r="F11" s="43">
        <v>2</v>
      </c>
      <c r="G11" s="43">
        <v>30.71</v>
      </c>
      <c r="H11" s="43">
        <v>16.399999999999999</v>
      </c>
      <c r="I11" s="43">
        <v>5.67</v>
      </c>
      <c r="J11" s="43">
        <v>0.1</v>
      </c>
      <c r="K11" s="43">
        <v>218.43</v>
      </c>
      <c r="L11" s="43">
        <v>25.41</v>
      </c>
      <c r="M11" s="43">
        <v>89.93</v>
      </c>
      <c r="N11" s="43">
        <v>2.1</v>
      </c>
      <c r="O11" s="43">
        <v>0</v>
      </c>
      <c r="P11" s="43">
        <v>0.38</v>
      </c>
      <c r="Q11" s="43">
        <v>10</v>
      </c>
      <c r="R11" s="41"/>
      <c r="S11" s="41"/>
      <c r="T11" s="41"/>
      <c r="U11" s="41"/>
    </row>
    <row r="12" spans="1:21" customFormat="1">
      <c r="A12" s="42" t="s">
        <v>256</v>
      </c>
      <c r="B12" s="43">
        <v>8.81</v>
      </c>
      <c r="C12" s="43">
        <v>11.35</v>
      </c>
      <c r="D12" s="43">
        <v>12.96</v>
      </c>
      <c r="E12" s="43">
        <v>4.49</v>
      </c>
      <c r="F12" s="43">
        <v>2</v>
      </c>
      <c r="G12" s="43">
        <v>29.73</v>
      </c>
      <c r="H12" s="43">
        <v>11.52</v>
      </c>
      <c r="I12" s="43">
        <v>5.24</v>
      </c>
      <c r="J12" s="43">
        <v>0.13</v>
      </c>
      <c r="K12" s="43">
        <v>195.56</v>
      </c>
      <c r="L12" s="43">
        <v>25.28</v>
      </c>
      <c r="M12" s="43">
        <v>90.26</v>
      </c>
      <c r="N12" s="43">
        <v>2.1</v>
      </c>
      <c r="O12" s="43">
        <v>0</v>
      </c>
      <c r="P12" s="43">
        <v>0.31</v>
      </c>
      <c r="Q12" s="43">
        <v>10</v>
      </c>
      <c r="R12" s="41"/>
      <c r="S12" s="41"/>
      <c r="T12" s="41"/>
      <c r="U12" s="41"/>
    </row>
    <row r="13" spans="1:21" customFormat="1">
      <c r="A13" s="42" t="s">
        <v>257</v>
      </c>
      <c r="B13" s="43">
        <v>9.15</v>
      </c>
      <c r="C13" s="43">
        <v>11.51</v>
      </c>
      <c r="D13" s="43">
        <v>13.36</v>
      </c>
      <c r="E13" s="43">
        <v>4.41</v>
      </c>
      <c r="F13" s="43">
        <v>2</v>
      </c>
      <c r="G13" s="43">
        <v>25.79</v>
      </c>
      <c r="H13" s="43">
        <v>8.69</v>
      </c>
      <c r="I13" s="43">
        <v>5.21</v>
      </c>
      <c r="J13" s="43">
        <v>0.11</v>
      </c>
      <c r="K13" s="43">
        <v>210.12</v>
      </c>
      <c r="L13" s="43">
        <v>24.99</v>
      </c>
      <c r="M13" s="43">
        <v>90.24</v>
      </c>
      <c r="N13" s="43">
        <v>2.1</v>
      </c>
      <c r="O13" s="43">
        <v>0</v>
      </c>
      <c r="P13" s="43">
        <v>0.3</v>
      </c>
      <c r="Q13" s="43">
        <v>10</v>
      </c>
      <c r="R13" s="41"/>
      <c r="S13" s="41"/>
      <c r="T13" s="41"/>
      <c r="U13" s="41"/>
    </row>
    <row r="14" spans="1:21" customFormat="1">
      <c r="A14" s="42" t="s">
        <v>258</v>
      </c>
      <c r="B14" s="43">
        <v>9.48</v>
      </c>
      <c r="C14" s="43">
        <v>11.41</v>
      </c>
      <c r="D14" s="43">
        <v>13.56</v>
      </c>
      <c r="E14" s="43">
        <v>4.0999999999999996</v>
      </c>
      <c r="F14" s="43">
        <v>2</v>
      </c>
      <c r="G14" s="43">
        <v>22.64</v>
      </c>
      <c r="H14" s="43">
        <v>6.71</v>
      </c>
      <c r="I14" s="43">
        <v>5.01</v>
      </c>
      <c r="J14" s="43">
        <v>0.14000000000000001</v>
      </c>
      <c r="K14" s="43">
        <v>225.42</v>
      </c>
      <c r="L14" s="43">
        <v>24.84</v>
      </c>
      <c r="M14" s="43">
        <v>90.64</v>
      </c>
      <c r="N14" s="43">
        <v>5.6</v>
      </c>
      <c r="O14" s="43">
        <v>0</v>
      </c>
      <c r="P14" s="43">
        <v>0.28999999999999998</v>
      </c>
      <c r="Q14" s="43">
        <v>10</v>
      </c>
      <c r="R14" s="41"/>
      <c r="S14" s="41"/>
      <c r="T14" s="41"/>
      <c r="U14" s="41"/>
    </row>
    <row r="15" spans="1:21" customFormat="1">
      <c r="A15" s="42" t="s">
        <v>259</v>
      </c>
      <c r="B15" s="43">
        <v>9.7200000000000006</v>
      </c>
      <c r="C15" s="43">
        <v>11.49</v>
      </c>
      <c r="D15" s="43">
        <v>13.8</v>
      </c>
      <c r="E15" s="43">
        <v>4.0599999999999996</v>
      </c>
      <c r="F15" s="43">
        <v>2</v>
      </c>
      <c r="G15" s="43">
        <v>21.52</v>
      </c>
      <c r="H15" s="43">
        <v>6.26</v>
      </c>
      <c r="I15" s="43">
        <v>4.88</v>
      </c>
      <c r="J15" s="43">
        <v>0.17</v>
      </c>
      <c r="K15" s="43">
        <v>231.14</v>
      </c>
      <c r="L15" s="43">
        <v>25.23</v>
      </c>
      <c r="M15" s="43">
        <v>90.9</v>
      </c>
      <c r="N15" s="43">
        <v>50</v>
      </c>
      <c r="O15" s="43">
        <v>0</v>
      </c>
      <c r="P15" s="43">
        <v>0.27</v>
      </c>
      <c r="Q15" s="43">
        <v>10</v>
      </c>
      <c r="R15" s="41"/>
      <c r="S15" s="41"/>
      <c r="T15" s="41"/>
      <c r="U15" s="41"/>
    </row>
    <row r="16" spans="1:21" customFormat="1">
      <c r="A16" s="42" t="s">
        <v>260</v>
      </c>
      <c r="B16" s="43">
        <v>9.82</v>
      </c>
      <c r="C16" s="43">
        <v>11.66</v>
      </c>
      <c r="D16" s="43">
        <v>13.87</v>
      </c>
      <c r="E16" s="43">
        <v>4.26</v>
      </c>
      <c r="F16" s="43">
        <v>2</v>
      </c>
      <c r="G16" s="43">
        <v>25.99</v>
      </c>
      <c r="H16" s="43">
        <v>5.6</v>
      </c>
      <c r="I16" s="43">
        <v>4.8099999999999996</v>
      </c>
      <c r="J16" s="43">
        <v>0.31</v>
      </c>
      <c r="K16" s="43">
        <v>228.34</v>
      </c>
      <c r="L16" s="43">
        <v>26.41</v>
      </c>
      <c r="M16" s="43">
        <v>89.12</v>
      </c>
      <c r="N16" s="43">
        <v>107.3</v>
      </c>
      <c r="O16" s="43">
        <v>0</v>
      </c>
      <c r="P16" s="43">
        <v>0.28999999999999998</v>
      </c>
      <c r="Q16" s="43">
        <v>10</v>
      </c>
      <c r="R16" s="41"/>
      <c r="S16" s="41"/>
      <c r="T16" s="41"/>
      <c r="U16" s="41"/>
    </row>
    <row r="17" spans="1:21" customFormat="1">
      <c r="A17" s="42" t="s">
        <v>261</v>
      </c>
      <c r="B17" s="43">
        <v>9.08</v>
      </c>
      <c r="C17" s="43">
        <v>11.86</v>
      </c>
      <c r="D17" s="43">
        <v>13.39</v>
      </c>
      <c r="E17" s="43">
        <v>4.32</v>
      </c>
      <c r="F17" s="43">
        <v>2</v>
      </c>
      <c r="G17" s="43">
        <v>29.91</v>
      </c>
      <c r="H17" s="43">
        <v>10.33</v>
      </c>
      <c r="I17" s="43">
        <v>6.01</v>
      </c>
      <c r="J17" s="43">
        <v>0.33</v>
      </c>
      <c r="K17" s="43">
        <v>225.05</v>
      </c>
      <c r="L17" s="43">
        <v>29.2</v>
      </c>
      <c r="M17" s="43">
        <v>88.09</v>
      </c>
      <c r="N17" s="43">
        <v>324.10000000000002</v>
      </c>
      <c r="O17" s="43">
        <v>0</v>
      </c>
      <c r="P17" s="43">
        <v>0.33</v>
      </c>
      <c r="Q17" s="43">
        <v>10</v>
      </c>
      <c r="R17" s="41"/>
      <c r="S17" s="41"/>
      <c r="T17" s="41"/>
      <c r="U17" s="41"/>
    </row>
    <row r="18" spans="1:21" customFormat="1">
      <c r="A18" s="42" t="s">
        <v>262</v>
      </c>
      <c r="B18" s="43">
        <v>8.18</v>
      </c>
      <c r="C18" s="43">
        <v>12.64</v>
      </c>
      <c r="D18" s="43">
        <v>12.84</v>
      </c>
      <c r="E18" s="43">
        <v>4.45</v>
      </c>
      <c r="F18" s="43">
        <v>2.0299999999999998</v>
      </c>
      <c r="G18" s="43">
        <v>37.74</v>
      </c>
      <c r="H18" s="43">
        <v>13.44</v>
      </c>
      <c r="I18" s="43">
        <v>6.61</v>
      </c>
      <c r="J18" s="43">
        <v>0.28999999999999998</v>
      </c>
      <c r="K18" s="43">
        <v>196.38</v>
      </c>
      <c r="L18" s="43">
        <v>30.66</v>
      </c>
      <c r="M18" s="43">
        <v>76.69</v>
      </c>
      <c r="N18" s="43">
        <v>375.5</v>
      </c>
      <c r="O18" s="43">
        <v>0</v>
      </c>
      <c r="P18" s="43">
        <v>0.35</v>
      </c>
      <c r="Q18" s="43">
        <v>10</v>
      </c>
      <c r="R18" s="41"/>
      <c r="S18" s="41"/>
      <c r="T18" s="41"/>
      <c r="U18" s="41"/>
    </row>
    <row r="19" spans="1:21" customFormat="1">
      <c r="A19" s="42" t="s">
        <v>263</v>
      </c>
      <c r="B19" s="43">
        <v>7.65</v>
      </c>
      <c r="C19" s="43">
        <v>13.39</v>
      </c>
      <c r="D19" s="43">
        <v>13.08</v>
      </c>
      <c r="E19" s="43">
        <v>5.0599999999999996</v>
      </c>
      <c r="F19" s="43">
        <v>2.02</v>
      </c>
      <c r="G19" s="43">
        <v>49.11</v>
      </c>
      <c r="H19" s="43">
        <v>17.87</v>
      </c>
      <c r="I19" s="43">
        <v>6.77</v>
      </c>
      <c r="J19" s="43">
        <v>0.24</v>
      </c>
      <c r="K19" s="43">
        <v>114.04</v>
      </c>
      <c r="L19" s="43">
        <v>30.85</v>
      </c>
      <c r="M19" s="43">
        <v>72</v>
      </c>
      <c r="N19" s="43">
        <v>420.7</v>
      </c>
      <c r="O19" s="43">
        <v>0</v>
      </c>
      <c r="P19" s="43">
        <v>0.37</v>
      </c>
      <c r="Q19" s="43">
        <v>10</v>
      </c>
      <c r="R19" s="41"/>
      <c r="S19" s="41"/>
      <c r="T19" s="41"/>
      <c r="U19" s="41"/>
    </row>
    <row r="20" spans="1:21" customFormat="1">
      <c r="A20" s="42" t="s">
        <v>264</v>
      </c>
      <c r="B20" s="43">
        <v>7.29</v>
      </c>
      <c r="C20" s="43">
        <v>13.68</v>
      </c>
      <c r="D20" s="43">
        <v>12.87</v>
      </c>
      <c r="E20" s="43">
        <v>5.13</v>
      </c>
      <c r="F20" s="43">
        <v>2.68</v>
      </c>
      <c r="G20" s="43">
        <v>77.489999999999995</v>
      </c>
      <c r="H20" s="43">
        <v>26.12</v>
      </c>
      <c r="I20" s="43">
        <v>6.76</v>
      </c>
      <c r="J20" s="43">
        <v>0.44</v>
      </c>
      <c r="K20" s="43">
        <v>161.38</v>
      </c>
      <c r="L20" s="43">
        <v>30.81</v>
      </c>
      <c r="M20" s="43">
        <v>73.64</v>
      </c>
      <c r="N20" s="43">
        <v>494.6</v>
      </c>
      <c r="O20" s="43">
        <v>0</v>
      </c>
      <c r="P20" s="43">
        <v>0.38</v>
      </c>
      <c r="Q20" s="43">
        <v>10</v>
      </c>
      <c r="R20" s="41"/>
      <c r="S20" s="41"/>
      <c r="T20" s="41"/>
      <c r="U20" s="41"/>
    </row>
    <row r="21" spans="1:21" customFormat="1">
      <c r="A21" s="42" t="s">
        <v>265</v>
      </c>
      <c r="B21" s="43">
        <v>5.47</v>
      </c>
      <c r="C21" s="43">
        <v>13.33</v>
      </c>
      <c r="D21" s="43">
        <v>11.3</v>
      </c>
      <c r="E21" s="43">
        <v>7.85</v>
      </c>
      <c r="F21" s="43">
        <v>21.04</v>
      </c>
      <c r="G21" s="43">
        <v>84.23</v>
      </c>
      <c r="H21" s="43">
        <v>41.24</v>
      </c>
      <c r="I21" s="43">
        <v>6.82</v>
      </c>
      <c r="J21" s="43">
        <v>0.31</v>
      </c>
      <c r="K21" s="43">
        <v>146.52000000000001</v>
      </c>
      <c r="L21" s="43">
        <v>32.57</v>
      </c>
      <c r="M21" s="43">
        <v>67.2</v>
      </c>
      <c r="N21" s="43">
        <v>586.1</v>
      </c>
      <c r="O21" s="43">
        <v>0</v>
      </c>
      <c r="P21" s="43">
        <v>0.38</v>
      </c>
      <c r="Q21" s="43">
        <v>10</v>
      </c>
      <c r="R21" s="41"/>
      <c r="S21" s="41"/>
      <c r="T21" s="41"/>
      <c r="U21" s="41"/>
    </row>
    <row r="22" spans="1:21" customFormat="1">
      <c r="A22" s="42" t="s">
        <v>266</v>
      </c>
      <c r="B22" s="43">
        <v>2.0099999999999998</v>
      </c>
      <c r="C22" s="43">
        <v>12.86</v>
      </c>
      <c r="D22" s="43">
        <v>8.3000000000000007</v>
      </c>
      <c r="E22" s="43">
        <v>7.7</v>
      </c>
      <c r="F22" s="43">
        <v>25.49</v>
      </c>
      <c r="G22" s="43">
        <v>85.23</v>
      </c>
      <c r="H22" s="43">
        <v>46.18</v>
      </c>
      <c r="I22" s="43">
        <v>5.94</v>
      </c>
      <c r="J22" s="43">
        <v>0.39</v>
      </c>
      <c r="K22" s="43">
        <v>151</v>
      </c>
      <c r="L22" s="43">
        <v>32.619999999999997</v>
      </c>
      <c r="M22" s="43">
        <v>65.14</v>
      </c>
      <c r="N22" s="43">
        <v>442.6</v>
      </c>
      <c r="O22" s="43">
        <v>0</v>
      </c>
      <c r="P22" s="43">
        <v>0.37</v>
      </c>
      <c r="Q22" s="43">
        <v>10</v>
      </c>
      <c r="R22" s="41"/>
      <c r="S22" s="41"/>
      <c r="T22" s="41"/>
      <c r="U22" s="41"/>
    </row>
    <row r="23" spans="1:21" customFormat="1">
      <c r="A23" s="42" t="s">
        <v>267</v>
      </c>
      <c r="B23" s="43">
        <v>1.99</v>
      </c>
      <c r="C23" s="43">
        <v>13.87</v>
      </c>
      <c r="D23" s="43">
        <v>8.7200000000000006</v>
      </c>
      <c r="E23" s="43">
        <v>4.1500000000000004</v>
      </c>
      <c r="F23" s="43">
        <v>13.76</v>
      </c>
      <c r="G23" s="43">
        <v>87.8</v>
      </c>
      <c r="H23" s="43">
        <v>53.79</v>
      </c>
      <c r="I23" s="43">
        <v>5.17</v>
      </c>
      <c r="J23" s="43">
        <v>0.26</v>
      </c>
      <c r="K23" s="43">
        <v>161.25</v>
      </c>
      <c r="L23" s="43">
        <v>32.6</v>
      </c>
      <c r="M23" s="43">
        <v>64.38</v>
      </c>
      <c r="N23" s="43">
        <v>448.8</v>
      </c>
      <c r="O23" s="43">
        <v>0</v>
      </c>
      <c r="P23" s="43">
        <v>0.24</v>
      </c>
      <c r="Q23" s="43">
        <v>10</v>
      </c>
      <c r="R23" s="41"/>
      <c r="S23" s="41"/>
      <c r="T23" s="41"/>
      <c r="U23" s="41"/>
    </row>
    <row r="24" spans="1:21" customFormat="1">
      <c r="A24" s="42" t="s">
        <v>268</v>
      </c>
      <c r="B24" s="43">
        <v>2.2799999999999998</v>
      </c>
      <c r="C24" s="43">
        <v>13.33</v>
      </c>
      <c r="D24" s="43">
        <v>8.67</v>
      </c>
      <c r="E24" s="43">
        <v>5.52</v>
      </c>
      <c r="F24" s="43">
        <v>19.420000000000002</v>
      </c>
      <c r="G24" s="43">
        <v>87.8</v>
      </c>
      <c r="H24" s="43">
        <v>59.3</v>
      </c>
      <c r="I24" s="43">
        <v>4.62</v>
      </c>
      <c r="J24" s="43">
        <v>0.22</v>
      </c>
      <c r="K24" s="43">
        <v>142.31</v>
      </c>
      <c r="L24" s="43">
        <v>32.22</v>
      </c>
      <c r="M24" s="43">
        <v>65.58</v>
      </c>
      <c r="N24" s="43">
        <v>129.5</v>
      </c>
      <c r="O24" s="43">
        <v>0</v>
      </c>
      <c r="P24" s="43">
        <v>0.22</v>
      </c>
      <c r="Q24" s="43">
        <v>10</v>
      </c>
      <c r="R24" s="41"/>
      <c r="S24" s="41"/>
      <c r="T24" s="41"/>
      <c r="U24" s="41"/>
    </row>
    <row r="25" spans="1:21" customFormat="1">
      <c r="A25" s="42" t="s">
        <v>269</v>
      </c>
      <c r="B25" s="43">
        <v>2.37</v>
      </c>
      <c r="C25" s="43">
        <v>12.57</v>
      </c>
      <c r="D25" s="43">
        <v>8.1999999999999993</v>
      </c>
      <c r="E25" s="43">
        <v>7.37</v>
      </c>
      <c r="F25" s="43">
        <v>32.56</v>
      </c>
      <c r="G25" s="43">
        <v>91.05</v>
      </c>
      <c r="H25" s="43">
        <v>62.48</v>
      </c>
      <c r="I25" s="43">
        <v>4.25</v>
      </c>
      <c r="J25" s="43">
        <v>0.31</v>
      </c>
      <c r="K25" s="43">
        <v>169.73</v>
      </c>
      <c r="L25" s="43">
        <v>31.76</v>
      </c>
      <c r="M25" s="43">
        <v>66.62</v>
      </c>
      <c r="N25" s="43">
        <v>73.8</v>
      </c>
      <c r="O25" s="43">
        <v>0</v>
      </c>
      <c r="P25" s="43">
        <v>0.2</v>
      </c>
      <c r="Q25" s="43">
        <v>10</v>
      </c>
      <c r="R25" s="41"/>
      <c r="S25" s="41"/>
      <c r="T25" s="41"/>
      <c r="U25" s="41"/>
    </row>
    <row r="26" spans="1:21" customFormat="1">
      <c r="A26" s="42" t="s">
        <v>270</v>
      </c>
      <c r="B26" s="43">
        <v>2.35</v>
      </c>
      <c r="C26" s="43">
        <v>14.12</v>
      </c>
      <c r="D26" s="43">
        <v>8.9499999999999993</v>
      </c>
      <c r="E26" s="43">
        <v>6.18</v>
      </c>
      <c r="F26" s="43">
        <v>43.86</v>
      </c>
      <c r="G26" s="43">
        <v>95.29</v>
      </c>
      <c r="H26" s="43">
        <v>62.48</v>
      </c>
      <c r="I26" s="43">
        <v>4.45</v>
      </c>
      <c r="J26" s="43">
        <v>0.22</v>
      </c>
      <c r="K26" s="43">
        <v>158.81</v>
      </c>
      <c r="L26" s="43">
        <v>30.97</v>
      </c>
      <c r="M26" s="43">
        <v>70.989999999999995</v>
      </c>
      <c r="N26" s="43">
        <v>31.3</v>
      </c>
      <c r="O26" s="43">
        <v>0</v>
      </c>
      <c r="P26" s="43">
        <v>0.28000000000000003</v>
      </c>
      <c r="Q26" s="43">
        <v>10</v>
      </c>
      <c r="R26" s="41"/>
      <c r="S26" s="41"/>
      <c r="T26" s="41"/>
      <c r="U26" s="41"/>
    </row>
    <row r="27" spans="1:21" customFormat="1">
      <c r="A27" s="42" t="s">
        <v>271</v>
      </c>
      <c r="B27" s="43">
        <v>1.88</v>
      </c>
      <c r="C27" s="43">
        <v>11.49</v>
      </c>
      <c r="D27" s="43">
        <v>7.36</v>
      </c>
      <c r="E27" s="43">
        <v>3.52</v>
      </c>
      <c r="F27" s="43">
        <v>25.09</v>
      </c>
      <c r="G27" s="43">
        <v>95.29</v>
      </c>
      <c r="H27" s="43">
        <v>66.06</v>
      </c>
      <c r="I27" s="43">
        <v>4.58</v>
      </c>
      <c r="J27" s="43">
        <v>0.24</v>
      </c>
      <c r="K27" s="43">
        <v>172.49</v>
      </c>
      <c r="L27" s="43">
        <v>29.8</v>
      </c>
      <c r="M27" s="43">
        <v>83.55</v>
      </c>
      <c r="N27" s="43">
        <v>4.3</v>
      </c>
      <c r="O27" s="43">
        <v>0</v>
      </c>
      <c r="P27" s="43">
        <v>0.24</v>
      </c>
      <c r="Q27" s="43">
        <v>10</v>
      </c>
      <c r="R27" s="41"/>
      <c r="S27" s="41"/>
      <c r="T27" s="41"/>
      <c r="U27" s="41"/>
    </row>
    <row r="28" spans="1:21" customFormat="1">
      <c r="A28" s="42" t="s">
        <v>272</v>
      </c>
      <c r="B28" s="43">
        <v>3.13</v>
      </c>
      <c r="C28" s="43">
        <v>12.51</v>
      </c>
      <c r="D28" s="43">
        <v>8.99</v>
      </c>
      <c r="E28" s="43">
        <v>3.56</v>
      </c>
      <c r="F28" s="43">
        <v>2.41</v>
      </c>
      <c r="G28" s="43">
        <v>102.89</v>
      </c>
      <c r="H28" s="43">
        <v>66.06</v>
      </c>
      <c r="I28" s="43">
        <v>4.55</v>
      </c>
      <c r="J28" s="43">
        <v>0.17</v>
      </c>
      <c r="K28" s="43">
        <v>185.46</v>
      </c>
      <c r="L28" s="43">
        <v>29.14</v>
      </c>
      <c r="M28" s="43">
        <v>87</v>
      </c>
      <c r="N28" s="43">
        <v>2.4</v>
      </c>
      <c r="O28" s="43">
        <v>0</v>
      </c>
      <c r="P28" s="43">
        <v>0.3</v>
      </c>
      <c r="Q28" s="43">
        <v>10</v>
      </c>
      <c r="R28" s="41"/>
      <c r="S28" s="41"/>
      <c r="T28" s="41"/>
      <c r="U28" s="41"/>
    </row>
    <row r="29" spans="1:21" customFormat="1">
      <c r="A29" s="42" t="s">
        <v>273</v>
      </c>
      <c r="B29" s="43">
        <v>3.74</v>
      </c>
      <c r="C29" s="43">
        <v>12.19</v>
      </c>
      <c r="D29" s="43">
        <v>9.08</v>
      </c>
      <c r="E29" s="43">
        <v>3.74</v>
      </c>
      <c r="F29" s="43">
        <v>2.27</v>
      </c>
      <c r="G29" s="43">
        <v>104.47</v>
      </c>
      <c r="H29" s="43">
        <v>72.12</v>
      </c>
      <c r="I29" s="43">
        <v>5.0599999999999996</v>
      </c>
      <c r="J29" s="43">
        <v>0.28000000000000003</v>
      </c>
      <c r="K29" s="43">
        <v>180.36</v>
      </c>
      <c r="L29" s="43">
        <v>28.57</v>
      </c>
      <c r="M29" s="43">
        <v>90.72</v>
      </c>
      <c r="N29" s="43">
        <v>2.2999999999999998</v>
      </c>
      <c r="O29" s="43">
        <v>0</v>
      </c>
      <c r="P29" s="43">
        <v>0.33</v>
      </c>
      <c r="Q29" s="43">
        <v>10</v>
      </c>
      <c r="R29" s="41"/>
      <c r="S29" s="41"/>
      <c r="T29" s="41"/>
      <c r="U29" s="41"/>
    </row>
    <row r="30" spans="1:21" customFormat="1">
      <c r="A30" s="42" t="s">
        <v>274</v>
      </c>
      <c r="B30" s="43">
        <v>4.25</v>
      </c>
      <c r="C30" s="43">
        <v>11.53</v>
      </c>
      <c r="D30" s="43">
        <v>9.4</v>
      </c>
      <c r="E30" s="43">
        <v>4.04</v>
      </c>
      <c r="F30" s="43">
        <v>2.14</v>
      </c>
      <c r="G30" s="43">
        <v>108.36</v>
      </c>
      <c r="H30" s="43">
        <v>72.12</v>
      </c>
      <c r="I30" s="43">
        <v>5.47</v>
      </c>
      <c r="J30" s="43">
        <v>0.16</v>
      </c>
      <c r="K30" s="43">
        <v>217.22</v>
      </c>
      <c r="L30" s="43">
        <v>28.04</v>
      </c>
      <c r="M30" s="43">
        <v>90.75</v>
      </c>
      <c r="N30" s="43">
        <v>2.2000000000000002</v>
      </c>
      <c r="O30" s="43">
        <v>0</v>
      </c>
      <c r="P30" s="43">
        <v>0.35</v>
      </c>
      <c r="Q30" s="43">
        <v>10</v>
      </c>
      <c r="R30" s="41"/>
      <c r="S30" s="41"/>
      <c r="T30" s="41"/>
      <c r="U30" s="41"/>
    </row>
    <row r="31" spans="1:21" customFormat="1">
      <c r="A31" s="42" t="s">
        <v>275</v>
      </c>
      <c r="B31" s="43">
        <v>4.42</v>
      </c>
      <c r="C31" s="43">
        <v>11.7</v>
      </c>
      <c r="D31" s="43">
        <v>9.65</v>
      </c>
      <c r="E31" s="43">
        <v>4.32</v>
      </c>
      <c r="F31" s="43">
        <v>4.78</v>
      </c>
      <c r="G31" s="43">
        <v>108.36</v>
      </c>
      <c r="H31" s="43">
        <v>67.25</v>
      </c>
      <c r="I31" s="43">
        <v>6.09</v>
      </c>
      <c r="J31" s="43">
        <v>0.3</v>
      </c>
      <c r="K31" s="43">
        <v>225.68</v>
      </c>
      <c r="L31" s="43">
        <v>28.03</v>
      </c>
      <c r="M31" s="43">
        <v>89.52</v>
      </c>
      <c r="N31" s="43">
        <v>2.5</v>
      </c>
      <c r="O31" s="43">
        <v>0</v>
      </c>
      <c r="P31" s="43">
        <v>0.36</v>
      </c>
      <c r="Q31" s="43">
        <v>10</v>
      </c>
      <c r="R31" s="41"/>
      <c r="S31" s="41"/>
      <c r="T31" s="41"/>
      <c r="U31" s="41"/>
    </row>
    <row r="32" spans="1:21" customFormat="1">
      <c r="A32" s="42" t="s">
        <v>276</v>
      </c>
      <c r="B32" s="43">
        <v>5.26</v>
      </c>
      <c r="C32" s="43">
        <v>12.58</v>
      </c>
      <c r="D32" s="43">
        <v>10.75</v>
      </c>
      <c r="E32" s="43">
        <v>4.25</v>
      </c>
      <c r="F32" s="43">
        <v>3.84</v>
      </c>
      <c r="G32" s="43">
        <v>93.73</v>
      </c>
      <c r="H32" s="43">
        <v>62.83</v>
      </c>
      <c r="I32" s="43">
        <v>6.38</v>
      </c>
      <c r="J32" s="43">
        <v>0.13</v>
      </c>
      <c r="K32" s="43">
        <v>209.7</v>
      </c>
      <c r="L32" s="43">
        <v>26.95</v>
      </c>
      <c r="M32" s="43">
        <v>91.37</v>
      </c>
      <c r="N32" s="43">
        <v>2.1</v>
      </c>
      <c r="O32" s="43">
        <v>0</v>
      </c>
      <c r="P32" s="43">
        <v>0.36</v>
      </c>
      <c r="Q32" s="43">
        <v>10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1.88</v>
      </c>
      <c r="C34" s="18">
        <f t="shared" si="0"/>
        <v>11.27</v>
      </c>
      <c r="D34" s="18">
        <f t="shared" si="0"/>
        <v>7.36</v>
      </c>
      <c r="E34" s="18">
        <f t="shared" si="0"/>
        <v>3.52</v>
      </c>
      <c r="F34" s="18">
        <f t="shared" si="0"/>
        <v>2</v>
      </c>
      <c r="G34" s="18">
        <f t="shared" si="0"/>
        <v>21.52</v>
      </c>
      <c r="H34" s="18">
        <f t="shared" si="0"/>
        <v>5.6</v>
      </c>
      <c r="I34" s="18">
        <f t="shared" si="0"/>
        <v>4.25</v>
      </c>
      <c r="J34" s="18">
        <f t="shared" si="0"/>
        <v>0.1</v>
      </c>
      <c r="K34" s="18">
        <f t="shared" si="0"/>
        <v>114.04</v>
      </c>
      <c r="L34" s="18">
        <f t="shared" si="0"/>
        <v>24.84</v>
      </c>
      <c r="M34" s="18">
        <f t="shared" si="0"/>
        <v>64.38</v>
      </c>
      <c r="N34" s="18">
        <f t="shared" si="0"/>
        <v>2.1</v>
      </c>
      <c r="O34" s="18">
        <f t="shared" si="0"/>
        <v>0</v>
      </c>
      <c r="P34" s="18">
        <f t="shared" si="0"/>
        <v>0.2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9.82</v>
      </c>
      <c r="C35" s="3">
        <f t="shared" si="1"/>
        <v>14.12</v>
      </c>
      <c r="D35" s="3">
        <f t="shared" si="1"/>
        <v>13.87</v>
      </c>
      <c r="E35" s="3">
        <f t="shared" si="1"/>
        <v>7.85</v>
      </c>
      <c r="F35" s="3">
        <f t="shared" si="1"/>
        <v>43.86</v>
      </c>
      <c r="G35" s="3">
        <f t="shared" si="1"/>
        <v>108.36</v>
      </c>
      <c r="H35" s="3">
        <f t="shared" si="1"/>
        <v>72.12</v>
      </c>
      <c r="I35" s="3">
        <f t="shared" si="1"/>
        <v>6.82</v>
      </c>
      <c r="J35" s="3">
        <f t="shared" si="1"/>
        <v>0.44</v>
      </c>
      <c r="K35" s="3">
        <f t="shared" si="1"/>
        <v>231.14</v>
      </c>
      <c r="L35" s="3">
        <f t="shared" si="1"/>
        <v>32.619999999999997</v>
      </c>
      <c r="M35" s="3">
        <f t="shared" si="1"/>
        <v>91.37</v>
      </c>
      <c r="N35" s="3">
        <f t="shared" si="1"/>
        <v>586.1</v>
      </c>
      <c r="O35" s="3">
        <f t="shared" si="1"/>
        <v>0</v>
      </c>
      <c r="P35" s="3">
        <f t="shared" si="1"/>
        <v>0.48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5.996249999999999</v>
      </c>
      <c r="C36" s="18">
        <f t="shared" si="2"/>
        <v>12.32</v>
      </c>
      <c r="D36" s="18">
        <f t="shared" si="2"/>
        <v>11.149166666666668</v>
      </c>
      <c r="E36" s="18">
        <f t="shared" si="2"/>
        <v>4.9483333333333341</v>
      </c>
      <c r="F36" s="18">
        <f t="shared" si="2"/>
        <v>9.2258333333333322</v>
      </c>
      <c r="G36" s="18">
        <f t="shared" si="2"/>
        <v>66.339166666666657</v>
      </c>
      <c r="H36" s="18">
        <f t="shared" si="2"/>
        <v>37.146666666666668</v>
      </c>
      <c r="I36" s="18">
        <f t="shared" si="2"/>
        <v>5.5533333333333337</v>
      </c>
      <c r="J36" s="18">
        <f t="shared" si="2"/>
        <v>0.23125000000000004</v>
      </c>
      <c r="K36" s="18">
        <f t="shared" si="2"/>
        <v>187.33541666666667</v>
      </c>
      <c r="L36" s="18">
        <f t="shared" si="2"/>
        <v>28.668749999999999</v>
      </c>
      <c r="M36" s="18">
        <f t="shared" si="2"/>
        <v>81.862500000000011</v>
      </c>
      <c r="N36" s="18">
        <f t="shared" si="2"/>
        <v>146.51666666666668</v>
      </c>
      <c r="O36" s="18">
        <f t="shared" si="2"/>
        <v>0</v>
      </c>
      <c r="P36" s="18">
        <f t="shared" si="2"/>
        <v>0.32541666666666674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2.987147559709479</v>
      </c>
      <c r="C37" s="18">
        <f t="shared" ref="C37:Q37" si="3">STDEV(C9:C32)</f>
        <v>0.90075330792572195</v>
      </c>
      <c r="D37" s="18">
        <f t="shared" si="3"/>
        <v>2.2262679175201905</v>
      </c>
      <c r="E37" s="18">
        <f t="shared" si="3"/>
        <v>1.2518044946211144</v>
      </c>
      <c r="F37" s="18">
        <f t="shared" si="3"/>
        <v>12.039990942025579</v>
      </c>
      <c r="G37" s="18">
        <f t="shared" si="3"/>
        <v>32.343457092071453</v>
      </c>
      <c r="H37" s="18">
        <f t="shared" si="3"/>
        <v>25.61913426678797</v>
      </c>
      <c r="I37" s="18">
        <f t="shared" si="3"/>
        <v>0.84843419291665734</v>
      </c>
      <c r="J37" s="18">
        <f t="shared" si="3"/>
        <v>9.2375062511010103E-2</v>
      </c>
      <c r="K37" s="18">
        <f t="shared" si="3"/>
        <v>32.537060739377722</v>
      </c>
      <c r="L37" s="18">
        <f t="shared" si="3"/>
        <v>2.7919641091812983</v>
      </c>
      <c r="M37" s="18">
        <f t="shared" si="3"/>
        <v>10.504232376812894</v>
      </c>
      <c r="N37" s="18">
        <f t="shared" si="3"/>
        <v>201.14734955222266</v>
      </c>
      <c r="O37" s="18">
        <f t="shared" si="3"/>
        <v>0</v>
      </c>
      <c r="P37" s="18">
        <f t="shared" si="3"/>
        <v>6.659280328440402E-2</v>
      </c>
      <c r="Q37" s="18">
        <f t="shared" si="3"/>
        <v>0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T28" sqref="T2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10/09/2025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277</v>
      </c>
      <c r="B9" s="43">
        <v>6.59</v>
      </c>
      <c r="C9" s="43">
        <v>13.27</v>
      </c>
      <c r="D9" s="43">
        <v>11.93</v>
      </c>
      <c r="E9" s="43">
        <v>4.8</v>
      </c>
      <c r="F9" s="43">
        <v>3.33</v>
      </c>
      <c r="G9" s="43">
        <v>105.43</v>
      </c>
      <c r="H9" s="43">
        <v>62.02</v>
      </c>
      <c r="I9" s="43">
        <v>7.02</v>
      </c>
      <c r="J9" s="43">
        <v>0.18</v>
      </c>
      <c r="K9" s="43">
        <v>221.09</v>
      </c>
      <c r="L9" s="43">
        <v>27.01</v>
      </c>
      <c r="M9" s="43">
        <v>90.92</v>
      </c>
      <c r="N9" s="43">
        <v>2.1</v>
      </c>
      <c r="O9" s="43">
        <v>0</v>
      </c>
      <c r="P9" s="43">
        <v>0.45</v>
      </c>
      <c r="Q9" s="43">
        <v>10</v>
      </c>
      <c r="R9" s="41"/>
      <c r="S9" s="41"/>
      <c r="T9" s="41"/>
      <c r="U9" s="41"/>
    </row>
    <row r="10" spans="1:21" customFormat="1">
      <c r="A10" s="42" t="s">
        <v>278</v>
      </c>
      <c r="B10" s="43">
        <v>7.66</v>
      </c>
      <c r="C10" s="43">
        <v>12.84</v>
      </c>
      <c r="D10" s="43">
        <v>12.74</v>
      </c>
      <c r="E10" s="43">
        <v>4.82</v>
      </c>
      <c r="F10" s="43">
        <v>2.97</v>
      </c>
      <c r="G10" s="43">
        <v>112.56</v>
      </c>
      <c r="H10" s="43">
        <v>66.66</v>
      </c>
      <c r="I10" s="43">
        <v>7.29</v>
      </c>
      <c r="J10" s="43">
        <v>0.21</v>
      </c>
      <c r="K10" s="43">
        <v>210.28</v>
      </c>
      <c r="L10" s="43">
        <v>26.8</v>
      </c>
      <c r="M10" s="43">
        <v>90.97</v>
      </c>
      <c r="N10" s="43">
        <v>2.1</v>
      </c>
      <c r="O10" s="43">
        <v>0</v>
      </c>
      <c r="P10" s="43">
        <v>0.39</v>
      </c>
      <c r="Q10" s="43">
        <v>10</v>
      </c>
      <c r="R10" s="41"/>
      <c r="S10" s="41"/>
      <c r="T10" s="41"/>
      <c r="U10" s="41"/>
    </row>
    <row r="11" spans="1:21" customFormat="1">
      <c r="A11" s="42" t="s">
        <v>279</v>
      </c>
      <c r="B11" s="43">
        <v>8.4</v>
      </c>
      <c r="C11" s="43">
        <v>12.25</v>
      </c>
      <c r="D11" s="43">
        <v>13</v>
      </c>
      <c r="E11" s="43">
        <v>4.92</v>
      </c>
      <c r="F11" s="43">
        <v>2.1</v>
      </c>
      <c r="G11" s="43">
        <v>112.56</v>
      </c>
      <c r="H11" s="43">
        <v>66.66</v>
      </c>
      <c r="I11" s="43">
        <v>6.93</v>
      </c>
      <c r="J11" s="43">
        <v>0.16</v>
      </c>
      <c r="K11" s="43">
        <v>218.61</v>
      </c>
      <c r="L11" s="43">
        <v>26.61</v>
      </c>
      <c r="M11" s="43">
        <v>91.18</v>
      </c>
      <c r="N11" s="43">
        <v>2.1</v>
      </c>
      <c r="O11" s="43">
        <v>0</v>
      </c>
      <c r="P11" s="43">
        <v>0.37</v>
      </c>
      <c r="Q11" s="43">
        <v>10</v>
      </c>
      <c r="R11" s="41"/>
      <c r="S11" s="41"/>
      <c r="T11" s="41"/>
      <c r="U11" s="41"/>
    </row>
    <row r="12" spans="1:21" customFormat="1">
      <c r="A12" s="42" t="s">
        <v>280</v>
      </c>
      <c r="B12" s="43">
        <v>8.5500000000000007</v>
      </c>
      <c r="C12" s="43">
        <v>12.07</v>
      </c>
      <c r="D12" s="43">
        <v>13.11</v>
      </c>
      <c r="E12" s="43">
        <v>5.03</v>
      </c>
      <c r="F12" s="43">
        <v>2.0099999999999998</v>
      </c>
      <c r="G12" s="43">
        <v>102.44</v>
      </c>
      <c r="H12" s="43">
        <v>57.78</v>
      </c>
      <c r="I12" s="43">
        <v>6.91</v>
      </c>
      <c r="J12" s="43">
        <v>0.14000000000000001</v>
      </c>
      <c r="K12" s="43">
        <v>198.22</v>
      </c>
      <c r="L12" s="43">
        <v>26.71</v>
      </c>
      <c r="M12" s="43">
        <v>91.06</v>
      </c>
      <c r="N12" s="43">
        <v>2.2000000000000002</v>
      </c>
      <c r="O12" s="43">
        <v>0</v>
      </c>
      <c r="P12" s="43">
        <v>0.39</v>
      </c>
      <c r="Q12" s="43">
        <v>10</v>
      </c>
      <c r="R12" s="41"/>
      <c r="S12" s="41"/>
      <c r="T12" s="41"/>
      <c r="U12" s="41"/>
    </row>
    <row r="13" spans="1:21" customFormat="1">
      <c r="A13" s="42" t="s">
        <v>281</v>
      </c>
      <c r="B13" s="43">
        <v>9</v>
      </c>
      <c r="C13" s="43">
        <v>11.83</v>
      </c>
      <c r="D13" s="43">
        <v>13.3</v>
      </c>
      <c r="E13" s="43">
        <v>5.27</v>
      </c>
      <c r="F13" s="43">
        <v>2</v>
      </c>
      <c r="G13" s="43">
        <v>96.57</v>
      </c>
      <c r="H13" s="43">
        <v>51.95</v>
      </c>
      <c r="I13" s="43">
        <v>6.94</v>
      </c>
      <c r="J13" s="43">
        <v>0.14000000000000001</v>
      </c>
      <c r="K13" s="43">
        <v>193.72</v>
      </c>
      <c r="L13" s="43">
        <v>26.35</v>
      </c>
      <c r="M13" s="43">
        <v>89.84</v>
      </c>
      <c r="N13" s="43">
        <v>2.1</v>
      </c>
      <c r="O13" s="43">
        <v>0</v>
      </c>
      <c r="P13" s="43">
        <v>0.39</v>
      </c>
      <c r="Q13" s="43">
        <v>10</v>
      </c>
      <c r="R13" s="41"/>
      <c r="S13" s="41"/>
      <c r="T13" s="41"/>
      <c r="U13" s="41"/>
    </row>
    <row r="14" spans="1:21" customFormat="1">
      <c r="A14" s="42" t="s">
        <v>282</v>
      </c>
      <c r="B14" s="43">
        <v>9.61</v>
      </c>
      <c r="C14" s="43">
        <v>11.69</v>
      </c>
      <c r="D14" s="43">
        <v>13.82</v>
      </c>
      <c r="E14" s="43">
        <v>5.53</v>
      </c>
      <c r="F14" s="43">
        <v>2</v>
      </c>
      <c r="G14" s="43">
        <v>96.75</v>
      </c>
      <c r="H14" s="43">
        <v>54.64</v>
      </c>
      <c r="I14" s="43">
        <v>7.49</v>
      </c>
      <c r="J14" s="43">
        <v>0.16</v>
      </c>
      <c r="K14" s="43">
        <v>208.75</v>
      </c>
      <c r="L14" s="43">
        <v>26.32</v>
      </c>
      <c r="M14" s="43">
        <v>89.49</v>
      </c>
      <c r="N14" s="43">
        <v>4.0999999999999996</v>
      </c>
      <c r="O14" s="43">
        <v>0</v>
      </c>
      <c r="P14" s="43">
        <v>0.38</v>
      </c>
      <c r="Q14" s="43">
        <v>10</v>
      </c>
      <c r="R14" s="41"/>
      <c r="S14" s="41"/>
      <c r="T14" s="41"/>
      <c r="U14" s="41"/>
    </row>
    <row r="15" spans="1:21" customFormat="1">
      <c r="A15" s="42" t="s">
        <v>283</v>
      </c>
      <c r="B15" s="43">
        <v>10.199999999999999</v>
      </c>
      <c r="C15" s="43">
        <v>11.74</v>
      </c>
      <c r="D15" s="43">
        <v>14.28</v>
      </c>
      <c r="E15" s="43">
        <v>5.55</v>
      </c>
      <c r="F15" s="43">
        <v>2.0099999999999998</v>
      </c>
      <c r="G15" s="43">
        <v>96.75</v>
      </c>
      <c r="H15" s="43">
        <v>57.34</v>
      </c>
      <c r="I15" s="43">
        <v>8.34</v>
      </c>
      <c r="J15" s="43">
        <v>0.18</v>
      </c>
      <c r="K15" s="43">
        <v>221.13</v>
      </c>
      <c r="L15" s="43">
        <v>26.48</v>
      </c>
      <c r="M15" s="43">
        <v>89.56</v>
      </c>
      <c r="N15" s="43">
        <v>32.6</v>
      </c>
      <c r="O15" s="43">
        <v>0</v>
      </c>
      <c r="P15" s="43">
        <v>0.38</v>
      </c>
      <c r="Q15" s="43">
        <v>10</v>
      </c>
      <c r="R15" s="41"/>
      <c r="S15" s="41"/>
      <c r="T15" s="41"/>
      <c r="U15" s="41"/>
    </row>
    <row r="16" spans="1:21" customFormat="1">
      <c r="A16" s="42" t="s">
        <v>284</v>
      </c>
      <c r="B16" s="43">
        <v>11.32</v>
      </c>
      <c r="C16" s="43">
        <v>11.8</v>
      </c>
      <c r="D16" s="43">
        <v>15.22</v>
      </c>
      <c r="E16" s="43">
        <v>5.74</v>
      </c>
      <c r="F16" s="43">
        <v>2</v>
      </c>
      <c r="G16" s="43">
        <v>105.52</v>
      </c>
      <c r="H16" s="43">
        <v>57.34</v>
      </c>
      <c r="I16" s="43">
        <v>9.19</v>
      </c>
      <c r="J16" s="43">
        <v>0.21</v>
      </c>
      <c r="K16" s="43">
        <v>227.17</v>
      </c>
      <c r="L16" s="43">
        <v>27.61</v>
      </c>
      <c r="M16" s="43">
        <v>89.41</v>
      </c>
      <c r="N16" s="43">
        <v>84.6</v>
      </c>
      <c r="O16" s="43">
        <v>0</v>
      </c>
      <c r="P16" s="43">
        <v>0.39</v>
      </c>
      <c r="Q16" s="43">
        <v>10</v>
      </c>
      <c r="R16" s="41"/>
      <c r="S16" s="41"/>
      <c r="T16" s="41"/>
      <c r="U16" s="41"/>
    </row>
    <row r="17" spans="1:21" customFormat="1">
      <c r="A17" s="42" t="s">
        <v>285</v>
      </c>
      <c r="B17" s="43">
        <v>11.86</v>
      </c>
      <c r="C17" s="43">
        <v>12.34</v>
      </c>
      <c r="D17" s="43">
        <v>15.96</v>
      </c>
      <c r="E17" s="43">
        <v>6.11</v>
      </c>
      <c r="F17" s="43">
        <v>2.09</v>
      </c>
      <c r="G17" s="43">
        <v>112.58</v>
      </c>
      <c r="H17" s="43">
        <v>58.74</v>
      </c>
      <c r="I17" s="43">
        <v>9.58</v>
      </c>
      <c r="J17" s="43">
        <v>0.15</v>
      </c>
      <c r="K17" s="43">
        <v>217.04</v>
      </c>
      <c r="L17" s="43">
        <v>29.33</v>
      </c>
      <c r="M17" s="43">
        <v>85.32</v>
      </c>
      <c r="N17" s="43">
        <v>218.1</v>
      </c>
      <c r="O17" s="43">
        <v>0</v>
      </c>
      <c r="P17" s="43">
        <v>0.4</v>
      </c>
      <c r="Q17" s="43">
        <v>10</v>
      </c>
      <c r="R17" s="41"/>
      <c r="S17" s="41"/>
      <c r="T17" s="41"/>
      <c r="U17" s="41"/>
    </row>
    <row r="18" spans="1:21" customFormat="1">
      <c r="A18" s="42" t="s">
        <v>286</v>
      </c>
      <c r="B18" s="43">
        <v>12.63</v>
      </c>
      <c r="C18" s="43">
        <v>13.4</v>
      </c>
      <c r="D18" s="43">
        <v>17.13</v>
      </c>
      <c r="E18" s="43">
        <v>8.74</v>
      </c>
      <c r="F18" s="43">
        <v>2.67</v>
      </c>
      <c r="G18" s="43">
        <v>128.47999999999999</v>
      </c>
      <c r="H18" s="43">
        <v>64.150000000000006</v>
      </c>
      <c r="I18" s="43">
        <v>9.68</v>
      </c>
      <c r="J18" s="43">
        <v>0.28000000000000003</v>
      </c>
      <c r="K18" s="43">
        <v>253.78</v>
      </c>
      <c r="L18" s="43">
        <v>30.85</v>
      </c>
      <c r="M18" s="43">
        <v>75.92</v>
      </c>
      <c r="N18" s="43">
        <v>367.6</v>
      </c>
      <c r="O18" s="43">
        <v>0</v>
      </c>
      <c r="P18" s="43">
        <v>0.42</v>
      </c>
      <c r="Q18" s="43">
        <v>10</v>
      </c>
      <c r="R18" s="41"/>
      <c r="S18" s="41"/>
      <c r="T18" s="41"/>
      <c r="U18" s="41"/>
    </row>
    <row r="19" spans="1:21" customFormat="1">
      <c r="A19" s="42" t="s">
        <v>287</v>
      </c>
      <c r="B19" s="43">
        <v>12.66</v>
      </c>
      <c r="C19" s="43">
        <v>13.92</v>
      </c>
      <c r="D19" s="43">
        <v>17.23</v>
      </c>
      <c r="E19" s="43">
        <v>10.050000000000001</v>
      </c>
      <c r="F19" s="43">
        <v>4</v>
      </c>
      <c r="G19" s="43">
        <v>134.86000000000001</v>
      </c>
      <c r="H19" s="43">
        <v>64.150000000000006</v>
      </c>
      <c r="I19" s="43">
        <v>9.64</v>
      </c>
      <c r="J19" s="43">
        <v>0.26</v>
      </c>
      <c r="K19" s="43">
        <v>228.6</v>
      </c>
      <c r="L19" s="43">
        <v>32.25</v>
      </c>
      <c r="M19" s="43">
        <v>71</v>
      </c>
      <c r="N19" s="43">
        <v>472.6</v>
      </c>
      <c r="O19" s="43">
        <v>0</v>
      </c>
      <c r="P19" s="43">
        <v>0.41</v>
      </c>
      <c r="Q19" s="43">
        <v>10</v>
      </c>
      <c r="R19" s="41"/>
      <c r="S19" s="41"/>
      <c r="T19" s="41"/>
      <c r="U19" s="41"/>
    </row>
    <row r="20" spans="1:21" customFormat="1">
      <c r="A20" s="42" t="s">
        <v>288</v>
      </c>
      <c r="B20" s="43">
        <v>11.66</v>
      </c>
      <c r="C20" s="43">
        <v>14.33</v>
      </c>
      <c r="D20" s="43">
        <v>16.600000000000001</v>
      </c>
      <c r="E20" s="43">
        <v>11.72</v>
      </c>
      <c r="F20" s="43">
        <v>5.49</v>
      </c>
      <c r="G20" s="43">
        <v>134.86000000000001</v>
      </c>
      <c r="H20" s="43">
        <v>60.83</v>
      </c>
      <c r="I20" s="43">
        <v>9.34</v>
      </c>
      <c r="J20" s="43">
        <v>0.41</v>
      </c>
      <c r="K20" s="43">
        <v>116.35</v>
      </c>
      <c r="L20" s="43">
        <v>32.68</v>
      </c>
      <c r="M20" s="43">
        <v>66.41</v>
      </c>
      <c r="N20" s="43">
        <v>499.2</v>
      </c>
      <c r="O20" s="43">
        <v>0</v>
      </c>
      <c r="P20" s="43">
        <v>0.42</v>
      </c>
      <c r="Q20" s="43">
        <v>10</v>
      </c>
      <c r="R20" s="41"/>
      <c r="S20" s="41"/>
      <c r="T20" s="41"/>
      <c r="U20" s="41"/>
    </row>
    <row r="21" spans="1:21" customFormat="1">
      <c r="A21" s="42" t="s">
        <v>289</v>
      </c>
      <c r="B21" s="43">
        <v>9.98</v>
      </c>
      <c r="C21" s="43">
        <v>14.8</v>
      </c>
      <c r="D21" s="43">
        <v>15.54</v>
      </c>
      <c r="E21" s="43">
        <v>13.06</v>
      </c>
      <c r="F21" s="43">
        <v>8.8800000000000008</v>
      </c>
      <c r="G21" s="43">
        <v>32.78</v>
      </c>
      <c r="H21" s="43">
        <v>9.56</v>
      </c>
      <c r="I21" s="43">
        <v>9.07</v>
      </c>
      <c r="J21" s="43">
        <v>0.4</v>
      </c>
      <c r="K21" s="43">
        <v>327.67</v>
      </c>
      <c r="L21" s="43">
        <v>32.94</v>
      </c>
      <c r="M21" s="43">
        <v>66.09</v>
      </c>
      <c r="N21" s="43">
        <v>541.9</v>
      </c>
      <c r="O21" s="43">
        <v>0</v>
      </c>
      <c r="P21" s="43">
        <v>0.41</v>
      </c>
      <c r="Q21" s="43">
        <v>10</v>
      </c>
      <c r="R21" s="41"/>
      <c r="S21" s="41"/>
      <c r="T21" s="41"/>
      <c r="U21" s="41"/>
    </row>
    <row r="22" spans="1:21" customFormat="1">
      <c r="A22" s="42" t="s">
        <v>290</v>
      </c>
      <c r="B22" s="43">
        <v>9.0399999999999991</v>
      </c>
      <c r="C22" s="43">
        <v>14.61</v>
      </c>
      <c r="D22" s="43">
        <v>14.88</v>
      </c>
      <c r="E22" s="43">
        <v>7.05</v>
      </c>
      <c r="F22" s="43">
        <v>2.88</v>
      </c>
      <c r="G22" s="43">
        <v>32.409999999999997</v>
      </c>
      <c r="H22" s="43">
        <v>9.56</v>
      </c>
      <c r="I22" s="43">
        <v>8.3800000000000008</v>
      </c>
      <c r="J22" s="43">
        <v>0.49</v>
      </c>
      <c r="K22" s="43">
        <v>221.34</v>
      </c>
      <c r="L22" s="43">
        <v>32.72</v>
      </c>
      <c r="M22" s="43">
        <v>70.83</v>
      </c>
      <c r="N22" s="43">
        <v>239.9</v>
      </c>
      <c r="O22" s="43">
        <v>0</v>
      </c>
      <c r="P22" s="43">
        <v>0.42</v>
      </c>
      <c r="Q22" s="43">
        <v>10</v>
      </c>
      <c r="R22" s="41"/>
      <c r="S22" s="41"/>
      <c r="T22" s="41"/>
      <c r="U22" s="41"/>
    </row>
    <row r="23" spans="1:21" customFormat="1">
      <c r="A23" s="42" t="s">
        <v>291</v>
      </c>
      <c r="B23" s="43">
        <v>6.12</v>
      </c>
      <c r="C23" s="43">
        <v>14.19</v>
      </c>
      <c r="D23" s="43">
        <v>12.32</v>
      </c>
      <c r="E23" s="43">
        <v>5.62</v>
      </c>
      <c r="F23" s="43">
        <v>2.2400000000000002</v>
      </c>
      <c r="G23" s="43">
        <v>27.29</v>
      </c>
      <c r="H23" s="43">
        <v>8.3699999999999992</v>
      </c>
      <c r="I23" s="43">
        <v>7.71</v>
      </c>
      <c r="J23" s="43">
        <v>0.39</v>
      </c>
      <c r="K23" s="43">
        <v>208.8</v>
      </c>
      <c r="L23" s="43">
        <v>30.8</v>
      </c>
      <c r="M23" s="43">
        <v>70.77</v>
      </c>
      <c r="N23" s="43">
        <v>145.9</v>
      </c>
      <c r="O23" s="43">
        <v>0</v>
      </c>
      <c r="P23" s="43">
        <v>0.36</v>
      </c>
      <c r="Q23" s="43">
        <v>10</v>
      </c>
      <c r="R23" s="41"/>
      <c r="S23" s="41"/>
      <c r="T23" s="41"/>
      <c r="U23" s="41"/>
    </row>
    <row r="24" spans="1:21" customFormat="1">
      <c r="A24" s="42" t="s">
        <v>292</v>
      </c>
      <c r="B24" s="43">
        <v>4.4000000000000004</v>
      </c>
      <c r="C24" s="43">
        <v>13.39</v>
      </c>
      <c r="D24" s="43">
        <v>10.52</v>
      </c>
      <c r="E24" s="43">
        <v>5.71</v>
      </c>
      <c r="F24" s="43">
        <v>2.36</v>
      </c>
      <c r="G24" s="43">
        <v>20.18</v>
      </c>
      <c r="H24" s="43">
        <v>7.89</v>
      </c>
      <c r="I24" s="43">
        <v>6.87</v>
      </c>
      <c r="J24" s="43">
        <v>0.39</v>
      </c>
      <c r="K24" s="43">
        <v>204.51</v>
      </c>
      <c r="L24" s="43">
        <v>31.46</v>
      </c>
      <c r="M24" s="43">
        <v>71.48</v>
      </c>
      <c r="N24" s="43">
        <v>120.6</v>
      </c>
      <c r="O24" s="43">
        <v>0</v>
      </c>
      <c r="P24" s="43">
        <v>0.32</v>
      </c>
      <c r="Q24" s="43">
        <v>10</v>
      </c>
      <c r="R24" s="41"/>
      <c r="S24" s="41"/>
      <c r="T24" s="41"/>
      <c r="U24" s="41"/>
    </row>
    <row r="25" spans="1:21" customFormat="1">
      <c r="A25" s="42" t="s">
        <v>293</v>
      </c>
      <c r="B25" s="43">
        <v>3.56</v>
      </c>
      <c r="C25" s="43">
        <v>13.05</v>
      </c>
      <c r="D25" s="43">
        <v>9.68</v>
      </c>
      <c r="E25" s="43">
        <v>5.84</v>
      </c>
      <c r="F25" s="43">
        <v>6.52</v>
      </c>
      <c r="G25" s="43">
        <v>18.899999999999999</v>
      </c>
      <c r="H25" s="43">
        <v>7.13</v>
      </c>
      <c r="I25" s="43">
        <v>6.18</v>
      </c>
      <c r="J25" s="43">
        <v>0.28999999999999998</v>
      </c>
      <c r="K25" s="43">
        <v>176.81</v>
      </c>
      <c r="L25" s="43">
        <v>31.18</v>
      </c>
      <c r="M25" s="43">
        <v>81.97</v>
      </c>
      <c r="N25" s="43">
        <v>57.6</v>
      </c>
      <c r="O25" s="43">
        <v>0</v>
      </c>
      <c r="P25" s="43">
        <v>0.31</v>
      </c>
      <c r="Q25" s="43">
        <v>10</v>
      </c>
      <c r="R25" s="41"/>
      <c r="S25" s="41"/>
      <c r="T25" s="41"/>
      <c r="U25" s="41"/>
    </row>
    <row r="26" spans="1:21" customFormat="1">
      <c r="A26" s="42" t="s">
        <v>294</v>
      </c>
      <c r="B26" s="43">
        <v>3.74</v>
      </c>
      <c r="C26" s="43">
        <v>13.93</v>
      </c>
      <c r="D26" s="43">
        <v>9.33</v>
      </c>
      <c r="E26" s="43">
        <v>4.6900000000000004</v>
      </c>
      <c r="F26" s="43">
        <v>5.54</v>
      </c>
      <c r="G26" s="43">
        <v>18.55</v>
      </c>
      <c r="H26" s="43">
        <v>6.75</v>
      </c>
      <c r="I26" s="43">
        <v>5.79</v>
      </c>
      <c r="J26" s="43">
        <v>1.54</v>
      </c>
      <c r="K26" s="43">
        <v>223.06</v>
      </c>
      <c r="L26" s="43">
        <v>29.07</v>
      </c>
      <c r="M26" s="43">
        <v>87.16</v>
      </c>
      <c r="N26" s="43">
        <v>9.6</v>
      </c>
      <c r="O26" s="43">
        <v>0</v>
      </c>
      <c r="P26" s="43">
        <v>0.41</v>
      </c>
      <c r="Q26" s="43">
        <v>10</v>
      </c>
      <c r="R26" s="41"/>
      <c r="S26" s="41"/>
      <c r="T26" s="41"/>
      <c r="U26" s="41"/>
    </row>
    <row r="27" spans="1:21" customFormat="1">
      <c r="A27" s="42" t="s">
        <v>295</v>
      </c>
      <c r="B27" s="43">
        <v>3.14</v>
      </c>
      <c r="C27" s="43">
        <v>14.57</v>
      </c>
      <c r="D27" s="43">
        <v>10.07</v>
      </c>
      <c r="E27" s="43">
        <v>5.0199999999999996</v>
      </c>
      <c r="F27" s="43">
        <v>2.4700000000000002</v>
      </c>
      <c r="G27" s="43">
        <v>15.81</v>
      </c>
      <c r="H27" s="43">
        <v>4.8499999999999996</v>
      </c>
      <c r="I27" s="43">
        <v>5.74</v>
      </c>
      <c r="J27" s="43">
        <v>0.28000000000000003</v>
      </c>
      <c r="K27" s="43">
        <v>213.35</v>
      </c>
      <c r="L27" s="43">
        <v>26.28</v>
      </c>
      <c r="M27" s="43">
        <v>87.82</v>
      </c>
      <c r="N27" s="43">
        <v>3</v>
      </c>
      <c r="O27" s="43">
        <v>0</v>
      </c>
      <c r="P27" s="43">
        <v>0.38</v>
      </c>
      <c r="Q27" s="43">
        <v>10</v>
      </c>
      <c r="R27" s="41"/>
      <c r="S27" s="41"/>
      <c r="T27" s="41"/>
      <c r="U27" s="41"/>
    </row>
    <row r="28" spans="1:21" customFormat="1">
      <c r="A28" s="42" t="s">
        <v>296</v>
      </c>
      <c r="B28" s="43">
        <v>4.12</v>
      </c>
      <c r="C28" s="43">
        <v>14.37</v>
      </c>
      <c r="D28" s="43">
        <v>10.8</v>
      </c>
      <c r="E28" s="43">
        <v>4.68</v>
      </c>
      <c r="F28" s="43">
        <v>2.12</v>
      </c>
      <c r="G28" s="43">
        <v>13.89</v>
      </c>
      <c r="H28" s="43">
        <v>3.92</v>
      </c>
      <c r="I28" s="43">
        <v>5.59</v>
      </c>
      <c r="J28" s="43">
        <v>0.23</v>
      </c>
      <c r="K28" s="43">
        <v>208.21</v>
      </c>
      <c r="L28" s="43">
        <v>25.92</v>
      </c>
      <c r="M28" s="43">
        <v>87.68</v>
      </c>
      <c r="N28" s="43">
        <v>2.2999999999999998</v>
      </c>
      <c r="O28" s="43">
        <v>0</v>
      </c>
      <c r="P28" s="43">
        <v>0.37</v>
      </c>
      <c r="Q28" s="43">
        <v>10</v>
      </c>
      <c r="R28" s="41"/>
      <c r="S28" s="41"/>
      <c r="T28" s="41"/>
      <c r="U28" s="41"/>
    </row>
    <row r="29" spans="1:21" customFormat="1">
      <c r="A29" s="42" t="s">
        <v>297</v>
      </c>
      <c r="B29" s="43">
        <v>5.1100000000000003</v>
      </c>
      <c r="C29" s="43">
        <v>14.55</v>
      </c>
      <c r="D29" s="43">
        <v>11.53</v>
      </c>
      <c r="E29" s="43">
        <v>4.4800000000000004</v>
      </c>
      <c r="F29" s="43">
        <v>2.04</v>
      </c>
      <c r="G29" s="43">
        <v>11.81</v>
      </c>
      <c r="H29" s="43">
        <v>3.72</v>
      </c>
      <c r="I29" s="43">
        <v>5.6</v>
      </c>
      <c r="J29" s="43">
        <v>0.21</v>
      </c>
      <c r="K29" s="43">
        <v>168.61</v>
      </c>
      <c r="L29" s="43">
        <v>26.07</v>
      </c>
      <c r="M29" s="43">
        <v>88.32</v>
      </c>
      <c r="N29" s="43">
        <v>2.8</v>
      </c>
      <c r="O29" s="43">
        <v>0</v>
      </c>
      <c r="P29" s="43">
        <v>0.38</v>
      </c>
      <c r="Q29" s="43">
        <v>10</v>
      </c>
      <c r="R29" s="41"/>
      <c r="S29" s="41"/>
      <c r="T29" s="41"/>
      <c r="U29" s="41"/>
    </row>
    <row r="30" spans="1:21" customFormat="1">
      <c r="A30" s="42" t="s">
        <v>298</v>
      </c>
      <c r="B30" s="43">
        <v>5.93</v>
      </c>
      <c r="C30" s="43">
        <v>14.29</v>
      </c>
      <c r="D30" s="43">
        <v>12.15</v>
      </c>
      <c r="E30" s="43">
        <v>4.72</v>
      </c>
      <c r="F30" s="43">
        <v>2.0099999999999998</v>
      </c>
      <c r="G30" s="43">
        <v>11.88</v>
      </c>
      <c r="H30" s="43">
        <v>3.59</v>
      </c>
      <c r="I30" s="43">
        <v>5.65</v>
      </c>
      <c r="J30" s="43">
        <v>0.2</v>
      </c>
      <c r="K30" s="43">
        <v>216.64</v>
      </c>
      <c r="L30" s="43">
        <v>26.07</v>
      </c>
      <c r="M30" s="43">
        <v>88.59</v>
      </c>
      <c r="N30" s="43">
        <v>2.5</v>
      </c>
      <c r="O30" s="43">
        <v>0</v>
      </c>
      <c r="P30" s="43">
        <v>0.38</v>
      </c>
      <c r="Q30" s="43">
        <v>10</v>
      </c>
      <c r="R30" s="41"/>
      <c r="S30" s="41"/>
      <c r="T30" s="41"/>
      <c r="U30" s="41"/>
    </row>
    <row r="31" spans="1:21" customFormat="1">
      <c r="A31" s="42" t="s">
        <v>299</v>
      </c>
      <c r="B31" s="43">
        <v>5.96</v>
      </c>
      <c r="C31" s="43">
        <v>14.62</v>
      </c>
      <c r="D31" s="43">
        <v>12.15</v>
      </c>
      <c r="E31" s="43">
        <v>4.67</v>
      </c>
      <c r="F31" s="43">
        <v>2</v>
      </c>
      <c r="G31" s="43">
        <v>11.88</v>
      </c>
      <c r="H31" s="43">
        <v>2.88</v>
      </c>
      <c r="I31" s="43">
        <v>5.58</v>
      </c>
      <c r="J31" s="43">
        <v>0.13</v>
      </c>
      <c r="K31" s="43">
        <v>217.88</v>
      </c>
      <c r="L31" s="43">
        <v>25.94</v>
      </c>
      <c r="M31" s="43">
        <v>89.23</v>
      </c>
      <c r="N31" s="43">
        <v>2.7</v>
      </c>
      <c r="O31" s="43">
        <v>0</v>
      </c>
      <c r="P31" s="43">
        <v>0.4</v>
      </c>
      <c r="Q31" s="43">
        <v>10</v>
      </c>
      <c r="R31" s="41"/>
      <c r="S31" s="41"/>
      <c r="T31" s="41"/>
      <c r="U31" s="41"/>
    </row>
    <row r="32" spans="1:21" customFormat="1">
      <c r="A32" s="42" t="s">
        <v>300</v>
      </c>
      <c r="B32" s="43">
        <v>5.46</v>
      </c>
      <c r="C32" s="43">
        <v>14.65</v>
      </c>
      <c r="D32" s="43">
        <v>12.01</v>
      </c>
      <c r="E32" s="43">
        <v>4.8</v>
      </c>
      <c r="F32" s="43">
        <v>2</v>
      </c>
      <c r="G32" s="43">
        <v>9.83</v>
      </c>
      <c r="H32" s="43">
        <v>2.88</v>
      </c>
      <c r="I32" s="43">
        <v>5.37</v>
      </c>
      <c r="J32" s="43">
        <v>0.14000000000000001</v>
      </c>
      <c r="K32" s="43">
        <v>217.24</v>
      </c>
      <c r="L32" s="43">
        <v>25.74</v>
      </c>
      <c r="M32" s="43">
        <v>89.33</v>
      </c>
      <c r="N32" s="43">
        <v>2.4</v>
      </c>
      <c r="O32" s="43">
        <v>0</v>
      </c>
      <c r="P32" s="43">
        <v>0.4</v>
      </c>
      <c r="Q32" s="43">
        <v>10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3.14</v>
      </c>
      <c r="C34" s="18">
        <f t="shared" si="0"/>
        <v>11.69</v>
      </c>
      <c r="D34" s="18">
        <f t="shared" si="0"/>
        <v>9.33</v>
      </c>
      <c r="E34" s="18">
        <f t="shared" si="0"/>
        <v>4.4800000000000004</v>
      </c>
      <c r="F34" s="18">
        <f t="shared" si="0"/>
        <v>2</v>
      </c>
      <c r="G34" s="18">
        <f t="shared" si="0"/>
        <v>9.83</v>
      </c>
      <c r="H34" s="18">
        <f t="shared" si="0"/>
        <v>2.88</v>
      </c>
      <c r="I34" s="18">
        <f t="shared" si="0"/>
        <v>5.37</v>
      </c>
      <c r="J34" s="18">
        <f t="shared" si="0"/>
        <v>0.13</v>
      </c>
      <c r="K34" s="18">
        <f t="shared" si="0"/>
        <v>116.35</v>
      </c>
      <c r="L34" s="18">
        <f t="shared" si="0"/>
        <v>25.74</v>
      </c>
      <c r="M34" s="18">
        <f t="shared" si="0"/>
        <v>66.09</v>
      </c>
      <c r="N34" s="18">
        <f t="shared" si="0"/>
        <v>2.1</v>
      </c>
      <c r="O34" s="18">
        <f t="shared" si="0"/>
        <v>0</v>
      </c>
      <c r="P34" s="18">
        <f t="shared" si="0"/>
        <v>0.31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12.66</v>
      </c>
      <c r="C35" s="3">
        <f t="shared" si="1"/>
        <v>14.8</v>
      </c>
      <c r="D35" s="3">
        <f t="shared" si="1"/>
        <v>17.23</v>
      </c>
      <c r="E35" s="3">
        <f t="shared" si="1"/>
        <v>13.06</v>
      </c>
      <c r="F35" s="3">
        <f t="shared" si="1"/>
        <v>8.8800000000000008</v>
      </c>
      <c r="G35" s="3">
        <f t="shared" si="1"/>
        <v>134.86000000000001</v>
      </c>
      <c r="H35" s="3">
        <f t="shared" si="1"/>
        <v>66.66</v>
      </c>
      <c r="I35" s="3">
        <f t="shared" si="1"/>
        <v>9.68</v>
      </c>
      <c r="J35" s="3">
        <f t="shared" si="1"/>
        <v>1.54</v>
      </c>
      <c r="K35" s="3">
        <f t="shared" si="1"/>
        <v>327.67</v>
      </c>
      <c r="L35" s="3">
        <f t="shared" si="1"/>
        <v>32.94</v>
      </c>
      <c r="M35" s="3">
        <f t="shared" si="1"/>
        <v>91.18</v>
      </c>
      <c r="N35" s="3">
        <f t="shared" si="1"/>
        <v>541.9</v>
      </c>
      <c r="O35" s="3">
        <f t="shared" si="1"/>
        <v>0</v>
      </c>
      <c r="P35" s="3">
        <f t="shared" si="1"/>
        <v>0.45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7.7791666666666686</v>
      </c>
      <c r="C36" s="18">
        <f t="shared" si="2"/>
        <v>13.437500000000002</v>
      </c>
      <c r="D36" s="18">
        <f t="shared" si="2"/>
        <v>13.137499999999998</v>
      </c>
      <c r="E36" s="18">
        <f t="shared" si="2"/>
        <v>6.192499999999999</v>
      </c>
      <c r="F36" s="18">
        <f t="shared" si="2"/>
        <v>3.0720833333333339</v>
      </c>
      <c r="G36" s="18">
        <f t="shared" si="2"/>
        <v>65.190416666666678</v>
      </c>
      <c r="H36" s="18">
        <f t="shared" si="2"/>
        <v>33.056666666666665</v>
      </c>
      <c r="I36" s="18">
        <f t="shared" si="2"/>
        <v>7.328333333333334</v>
      </c>
      <c r="J36" s="18">
        <f t="shared" si="2"/>
        <v>0.29875000000000002</v>
      </c>
      <c r="K36" s="18">
        <f t="shared" si="2"/>
        <v>213.28583333333333</v>
      </c>
      <c r="L36" s="18">
        <f t="shared" si="2"/>
        <v>28.466250000000002</v>
      </c>
      <c r="M36" s="18">
        <f t="shared" si="2"/>
        <v>83.347916666666649</v>
      </c>
      <c r="N36" s="18">
        <f t="shared" si="2"/>
        <v>117.52500000000002</v>
      </c>
      <c r="O36" s="18">
        <f t="shared" si="2"/>
        <v>0</v>
      </c>
      <c r="P36" s="18">
        <f t="shared" si="2"/>
        <v>0.3887500000000001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3.0473066035815735</v>
      </c>
      <c r="C37" s="18">
        <f t="shared" ref="C37:Q37" si="3">STDEV(C9:C32)</f>
        <v>1.1088311511403031</v>
      </c>
      <c r="D37" s="18">
        <f t="shared" si="3"/>
        <v>2.3207237439325357</v>
      </c>
      <c r="E37" s="18">
        <f t="shared" si="3"/>
        <v>2.3265168030303629</v>
      </c>
      <c r="F37" s="18">
        <f t="shared" si="3"/>
        <v>1.7848078185830984</v>
      </c>
      <c r="G37" s="18">
        <f t="shared" si="3"/>
        <v>48.736482761815665</v>
      </c>
      <c r="H37" s="18">
        <f t="shared" si="3"/>
        <v>27.960521495831252</v>
      </c>
      <c r="I37" s="18">
        <f t="shared" si="3"/>
        <v>1.4964876752980025</v>
      </c>
      <c r="J37" s="18">
        <f t="shared" si="3"/>
        <v>0.28359972557783986</v>
      </c>
      <c r="K37" s="18">
        <f t="shared" si="3"/>
        <v>35.514461220707183</v>
      </c>
      <c r="L37" s="18">
        <f t="shared" si="3"/>
        <v>2.6416345606790337</v>
      </c>
      <c r="M37" s="18">
        <f t="shared" si="3"/>
        <v>8.8985988047788105</v>
      </c>
      <c r="N37" s="18">
        <f t="shared" si="3"/>
        <v>177.23812341396629</v>
      </c>
      <c r="O37" s="18">
        <f t="shared" si="3"/>
        <v>0</v>
      </c>
      <c r="P37" s="18">
        <f t="shared" si="3"/>
        <v>3.0404876611147932E-2</v>
      </c>
      <c r="Q37" s="18">
        <f t="shared" si="3"/>
        <v>0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96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O27" sqref="O27:O2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 ht="25.5" customHeight="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11/09/2025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301</v>
      </c>
      <c r="B9" s="43">
        <v>8.06</v>
      </c>
      <c r="C9" s="43">
        <v>14.46</v>
      </c>
      <c r="D9" s="43">
        <v>13.98</v>
      </c>
      <c r="E9" s="43">
        <v>5.14</v>
      </c>
      <c r="F9" s="43">
        <v>2.0499999999999998</v>
      </c>
      <c r="G9" s="43">
        <v>9.83</v>
      </c>
      <c r="H9" s="43">
        <v>2.73</v>
      </c>
      <c r="I9" s="43">
        <v>5.21</v>
      </c>
      <c r="J9" s="43">
        <v>0.14000000000000001</v>
      </c>
      <c r="K9" s="43">
        <v>176.5</v>
      </c>
      <c r="L9" s="43">
        <v>25.36</v>
      </c>
      <c r="M9" s="43">
        <v>89.38</v>
      </c>
      <c r="N9" s="43">
        <v>2.5</v>
      </c>
      <c r="O9" s="43">
        <v>0</v>
      </c>
      <c r="P9" s="43">
        <v>0.4</v>
      </c>
      <c r="Q9" s="43">
        <v>10.6</v>
      </c>
      <c r="R9" s="41"/>
      <c r="S9" s="41"/>
      <c r="T9" s="41"/>
      <c r="U9" s="41"/>
    </row>
    <row r="10" spans="1:21" customFormat="1">
      <c r="A10" s="42" t="s">
        <v>302</v>
      </c>
      <c r="B10" s="43">
        <v>8.02</v>
      </c>
      <c r="C10" s="43">
        <v>14.13</v>
      </c>
      <c r="D10" s="43">
        <v>13.78</v>
      </c>
      <c r="E10" s="43">
        <v>5.01</v>
      </c>
      <c r="F10" s="43">
        <v>2</v>
      </c>
      <c r="G10" s="43">
        <v>8.6</v>
      </c>
      <c r="H10" s="43">
        <v>2.63</v>
      </c>
      <c r="I10" s="43">
        <v>5.04</v>
      </c>
      <c r="J10" s="43">
        <v>0.25</v>
      </c>
      <c r="K10" s="43">
        <v>227.02</v>
      </c>
      <c r="L10" s="43">
        <v>25.38</v>
      </c>
      <c r="M10" s="43">
        <v>89.91</v>
      </c>
      <c r="N10" s="43">
        <v>2.2000000000000002</v>
      </c>
      <c r="O10" s="43">
        <v>0</v>
      </c>
      <c r="P10" s="43">
        <v>0.38</v>
      </c>
      <c r="Q10" s="43">
        <v>10.3</v>
      </c>
      <c r="R10" s="41"/>
      <c r="S10" s="41"/>
      <c r="T10" s="41"/>
      <c r="U10" s="41"/>
    </row>
    <row r="11" spans="1:21" customFormat="1">
      <c r="A11" s="42" t="s">
        <v>303</v>
      </c>
      <c r="B11" s="43">
        <v>8.1300000000000008</v>
      </c>
      <c r="C11" s="43">
        <v>13.64</v>
      </c>
      <c r="D11" s="43">
        <v>13.59</v>
      </c>
      <c r="E11" s="43">
        <v>5.07</v>
      </c>
      <c r="F11" s="43">
        <v>2.0099999999999998</v>
      </c>
      <c r="G11" s="43">
        <v>7.36</v>
      </c>
      <c r="H11" s="43">
        <v>2.17</v>
      </c>
      <c r="I11" s="43">
        <v>4.79</v>
      </c>
      <c r="J11" s="43">
        <v>0.19</v>
      </c>
      <c r="K11" s="43">
        <v>209.64</v>
      </c>
      <c r="L11" s="43">
        <v>25.87</v>
      </c>
      <c r="M11" s="43">
        <v>89.52</v>
      </c>
      <c r="N11" s="43">
        <v>2.4</v>
      </c>
      <c r="O11" s="43">
        <v>0</v>
      </c>
      <c r="P11" s="43">
        <v>0.37</v>
      </c>
      <c r="Q11" s="43">
        <v>10.3</v>
      </c>
      <c r="R11" s="41"/>
      <c r="S11" s="41"/>
      <c r="T11" s="41"/>
      <c r="U11" s="41"/>
    </row>
    <row r="12" spans="1:21" customFormat="1">
      <c r="A12" s="42" t="s">
        <v>304</v>
      </c>
      <c r="B12" s="43">
        <v>8.99</v>
      </c>
      <c r="C12" s="43">
        <v>13.35</v>
      </c>
      <c r="D12" s="43">
        <v>14.19</v>
      </c>
      <c r="E12" s="43">
        <v>5.1100000000000003</v>
      </c>
      <c r="F12" s="43">
        <v>2</v>
      </c>
      <c r="G12" s="43">
        <v>7.69</v>
      </c>
      <c r="H12" s="43">
        <v>2.17</v>
      </c>
      <c r="I12" s="43">
        <v>4.97</v>
      </c>
      <c r="J12" s="43">
        <v>0.12</v>
      </c>
      <c r="K12" s="43">
        <v>207.86</v>
      </c>
      <c r="L12" s="43">
        <v>25.82</v>
      </c>
      <c r="M12" s="43">
        <v>86.72</v>
      </c>
      <c r="N12" s="43">
        <v>2.2999999999999998</v>
      </c>
      <c r="O12" s="43">
        <v>0</v>
      </c>
      <c r="P12" s="43">
        <v>0.36</v>
      </c>
      <c r="Q12" s="43">
        <v>10.3</v>
      </c>
      <c r="R12" s="41"/>
      <c r="S12" s="41"/>
      <c r="T12" s="41"/>
      <c r="U12" s="41"/>
    </row>
    <row r="13" spans="1:21" customFormat="1">
      <c r="A13" s="42" t="s">
        <v>305</v>
      </c>
      <c r="B13" s="43">
        <v>9.81</v>
      </c>
      <c r="C13" s="43">
        <v>13.34</v>
      </c>
      <c r="D13" s="43">
        <v>14.69</v>
      </c>
      <c r="E13" s="43">
        <v>4.88</v>
      </c>
      <c r="F13" s="43">
        <v>2</v>
      </c>
      <c r="G13" s="43">
        <v>7.69</v>
      </c>
      <c r="H13" s="43">
        <v>2.09</v>
      </c>
      <c r="I13" s="43">
        <v>5.23</v>
      </c>
      <c r="J13" s="43">
        <v>0.14000000000000001</v>
      </c>
      <c r="K13" s="43">
        <v>206.85</v>
      </c>
      <c r="L13" s="43">
        <v>25.75</v>
      </c>
      <c r="M13" s="43">
        <v>87.55</v>
      </c>
      <c r="N13" s="43">
        <v>2.4</v>
      </c>
      <c r="O13" s="43">
        <v>0</v>
      </c>
      <c r="P13" s="43">
        <v>0.33</v>
      </c>
      <c r="Q13" s="43">
        <v>10.3</v>
      </c>
      <c r="R13" s="41"/>
      <c r="S13" s="41"/>
      <c r="T13" s="41"/>
      <c r="U13" s="41"/>
    </row>
    <row r="14" spans="1:21" customFormat="1">
      <c r="A14" s="42" t="s">
        <v>306</v>
      </c>
      <c r="B14" s="43">
        <v>10.61</v>
      </c>
      <c r="C14" s="43">
        <v>13.3</v>
      </c>
      <c r="D14" s="43">
        <v>15.4</v>
      </c>
      <c r="E14" s="43">
        <v>5.17</v>
      </c>
      <c r="F14" s="43">
        <v>2</v>
      </c>
      <c r="G14" s="43">
        <v>6.37</v>
      </c>
      <c r="H14" s="43">
        <v>1.8</v>
      </c>
      <c r="I14" s="43">
        <v>5.31</v>
      </c>
      <c r="J14" s="43">
        <v>0.12</v>
      </c>
      <c r="K14" s="43">
        <v>192.52</v>
      </c>
      <c r="L14" s="43">
        <v>25.83</v>
      </c>
      <c r="M14" s="43">
        <v>87.08</v>
      </c>
      <c r="N14" s="43">
        <v>5.9</v>
      </c>
      <c r="O14" s="43">
        <v>0</v>
      </c>
      <c r="P14" s="43">
        <v>0.34</v>
      </c>
      <c r="Q14" s="43">
        <v>10.3</v>
      </c>
      <c r="R14" s="41"/>
      <c r="S14" s="41"/>
      <c r="T14" s="41"/>
      <c r="U14" s="41"/>
    </row>
    <row r="15" spans="1:21" customFormat="1">
      <c r="A15" s="42" t="s">
        <v>307</v>
      </c>
      <c r="B15" s="43">
        <v>11.02</v>
      </c>
      <c r="C15" s="43">
        <v>13.2</v>
      </c>
      <c r="D15" s="43">
        <v>15.56</v>
      </c>
      <c r="E15" s="43">
        <v>4.95</v>
      </c>
      <c r="F15" s="43">
        <v>2.0099999999999998</v>
      </c>
      <c r="G15" s="43">
        <v>7.45</v>
      </c>
      <c r="H15" s="43">
        <v>1.52</v>
      </c>
      <c r="I15" s="43">
        <v>5.51</v>
      </c>
      <c r="J15" s="43">
        <v>0.33</v>
      </c>
      <c r="K15" s="43">
        <v>228.21</v>
      </c>
      <c r="L15" s="43">
        <v>26.36</v>
      </c>
      <c r="M15" s="43">
        <v>90.83</v>
      </c>
      <c r="N15" s="43">
        <v>49.7</v>
      </c>
      <c r="O15" s="43">
        <v>0</v>
      </c>
      <c r="P15" s="43">
        <v>0.36</v>
      </c>
      <c r="Q15" s="43">
        <v>10.3</v>
      </c>
      <c r="R15" s="41"/>
      <c r="S15" s="41"/>
      <c r="T15" s="41"/>
      <c r="U15" s="41"/>
    </row>
    <row r="16" spans="1:21" customFormat="1">
      <c r="A16" s="42" t="s">
        <v>308</v>
      </c>
      <c r="B16" s="43">
        <v>11.33</v>
      </c>
      <c r="C16" s="43">
        <v>13.32</v>
      </c>
      <c r="D16" s="43">
        <v>16.04</v>
      </c>
      <c r="E16" s="43">
        <v>4.84</v>
      </c>
      <c r="F16" s="43">
        <v>2.0099999999999998</v>
      </c>
      <c r="G16" s="43">
        <v>10.25</v>
      </c>
      <c r="H16" s="43">
        <v>1.7</v>
      </c>
      <c r="I16" s="43">
        <v>5.9</v>
      </c>
      <c r="J16" s="43">
        <v>0.32</v>
      </c>
      <c r="K16" s="43">
        <v>227.7</v>
      </c>
      <c r="L16" s="43">
        <v>27.89</v>
      </c>
      <c r="M16" s="43">
        <v>90.53</v>
      </c>
      <c r="N16" s="43">
        <v>136.4</v>
      </c>
      <c r="O16" s="43">
        <v>0</v>
      </c>
      <c r="P16" s="43">
        <v>0.37</v>
      </c>
      <c r="Q16" s="43">
        <v>10.3</v>
      </c>
      <c r="R16" s="41"/>
      <c r="S16" s="41"/>
      <c r="T16" s="41"/>
      <c r="U16" s="41"/>
    </row>
    <row r="17" spans="1:21" customFormat="1">
      <c r="A17" s="42" t="s">
        <v>309</v>
      </c>
      <c r="B17" s="43">
        <v>11.13</v>
      </c>
      <c r="C17" s="43">
        <v>13.68</v>
      </c>
      <c r="D17" s="43">
        <v>15.99</v>
      </c>
      <c r="E17" s="43">
        <v>4.95</v>
      </c>
      <c r="F17" s="43">
        <v>2.11</v>
      </c>
      <c r="G17" s="43">
        <v>10.25</v>
      </c>
      <c r="H17" s="43">
        <v>2.17</v>
      </c>
      <c r="I17" s="43">
        <v>6.15</v>
      </c>
      <c r="J17" s="43">
        <v>0.33</v>
      </c>
      <c r="K17" s="43">
        <v>224.21</v>
      </c>
      <c r="L17" s="43">
        <v>29.02</v>
      </c>
      <c r="M17" s="43">
        <v>88.95</v>
      </c>
      <c r="N17" s="43">
        <v>226.2</v>
      </c>
      <c r="O17" s="43">
        <v>0</v>
      </c>
      <c r="P17" s="43">
        <v>0.4</v>
      </c>
      <c r="Q17" s="43">
        <v>10.3</v>
      </c>
      <c r="R17" s="41"/>
      <c r="S17" s="41"/>
      <c r="T17" s="41"/>
      <c r="U17" s="41"/>
    </row>
    <row r="18" spans="1:21" customFormat="1">
      <c r="A18" s="42" t="s">
        <v>310</v>
      </c>
      <c r="B18" s="43">
        <v>9.94</v>
      </c>
      <c r="C18" s="43">
        <v>14.91</v>
      </c>
      <c r="D18" s="43">
        <v>15.23</v>
      </c>
      <c r="E18" s="43">
        <v>5.33</v>
      </c>
      <c r="F18" s="43">
        <v>2.13</v>
      </c>
      <c r="G18" s="43">
        <v>12.48</v>
      </c>
      <c r="H18" s="43">
        <v>2.17</v>
      </c>
      <c r="I18" s="43">
        <v>6.33</v>
      </c>
      <c r="J18" s="43">
        <v>0.27</v>
      </c>
      <c r="K18" s="43">
        <v>218.69</v>
      </c>
      <c r="L18" s="43">
        <v>30.7</v>
      </c>
      <c r="M18" s="43">
        <v>79.61</v>
      </c>
      <c r="N18" s="43">
        <v>381</v>
      </c>
      <c r="O18" s="43">
        <v>0</v>
      </c>
      <c r="P18" s="43">
        <v>0.42</v>
      </c>
      <c r="Q18" s="43">
        <v>10.3</v>
      </c>
      <c r="R18" s="41"/>
      <c r="S18" s="41"/>
      <c r="T18" s="41"/>
      <c r="U18" s="41"/>
    </row>
    <row r="19" spans="1:21" customFormat="1">
      <c r="A19" s="42" t="s">
        <v>311</v>
      </c>
      <c r="B19" s="43">
        <v>9.17</v>
      </c>
      <c r="C19" s="43">
        <v>15.58</v>
      </c>
      <c r="D19" s="43">
        <v>15.4</v>
      </c>
      <c r="E19" s="43">
        <v>5.29</v>
      </c>
      <c r="F19" s="43">
        <v>4.43</v>
      </c>
      <c r="G19" s="43">
        <v>13.88</v>
      </c>
      <c r="H19" s="43">
        <v>2.29</v>
      </c>
      <c r="I19" s="43">
        <v>6.59</v>
      </c>
      <c r="J19" s="43">
        <v>1.1499999999999999</v>
      </c>
      <c r="K19" s="43">
        <v>43.42</v>
      </c>
      <c r="L19" s="43">
        <v>29.61</v>
      </c>
      <c r="M19" s="43">
        <v>90.82</v>
      </c>
      <c r="N19" s="43">
        <v>90.9</v>
      </c>
      <c r="O19" s="43">
        <v>0</v>
      </c>
      <c r="P19" s="43">
        <v>0.43</v>
      </c>
      <c r="Q19" s="43">
        <v>10.3</v>
      </c>
      <c r="R19" s="41"/>
      <c r="S19" s="41"/>
      <c r="T19" s="41"/>
      <c r="U19" s="41"/>
    </row>
    <row r="20" spans="1:21" customFormat="1">
      <c r="A20" s="42" t="s">
        <v>312</v>
      </c>
      <c r="B20" s="43">
        <v>6.58</v>
      </c>
      <c r="C20" s="43">
        <v>15.55</v>
      </c>
      <c r="D20" s="43">
        <v>13.4</v>
      </c>
      <c r="E20" s="43">
        <v>4.29</v>
      </c>
      <c r="F20" s="43">
        <v>4.62</v>
      </c>
      <c r="G20" s="43">
        <v>13.88</v>
      </c>
      <c r="H20" s="43">
        <v>2.29</v>
      </c>
      <c r="I20" s="43">
        <v>6.88</v>
      </c>
      <c r="J20" s="43">
        <v>0.88</v>
      </c>
      <c r="K20" s="43">
        <v>40.72</v>
      </c>
      <c r="L20" s="43">
        <v>25.73</v>
      </c>
      <c r="M20" s="43">
        <v>90.68</v>
      </c>
      <c r="N20" s="43">
        <v>305.7</v>
      </c>
      <c r="O20" s="43">
        <v>0</v>
      </c>
      <c r="P20" s="43">
        <v>0.39</v>
      </c>
      <c r="Q20" s="43">
        <v>10.3</v>
      </c>
      <c r="R20" s="41"/>
      <c r="S20" s="41"/>
      <c r="T20" s="41"/>
      <c r="U20" s="41"/>
    </row>
    <row r="21" spans="1:21" customFormat="1">
      <c r="A21" s="42" t="s">
        <v>313</v>
      </c>
      <c r="B21" s="43">
        <v>8.92</v>
      </c>
      <c r="C21" s="43">
        <v>14.5</v>
      </c>
      <c r="D21" s="43">
        <v>14.73</v>
      </c>
      <c r="E21" s="43">
        <v>3.92</v>
      </c>
      <c r="F21" s="43">
        <v>2.72</v>
      </c>
      <c r="G21" s="43">
        <v>17.760000000000002</v>
      </c>
      <c r="H21" s="43">
        <v>2.63</v>
      </c>
      <c r="I21" s="43">
        <v>6.46</v>
      </c>
      <c r="J21" s="43">
        <v>0.47</v>
      </c>
      <c r="K21" s="43">
        <v>63.75</v>
      </c>
      <c r="L21" s="43">
        <v>26.93</v>
      </c>
      <c r="M21" s="43">
        <v>89.84</v>
      </c>
      <c r="N21" s="43">
        <v>148.30000000000001</v>
      </c>
      <c r="O21" s="43">
        <v>0</v>
      </c>
      <c r="P21" s="43">
        <v>0.37</v>
      </c>
      <c r="Q21" s="43">
        <v>10.3</v>
      </c>
      <c r="R21" s="41"/>
      <c r="S21" s="41"/>
      <c r="T21" s="41"/>
      <c r="U21" s="41"/>
    </row>
    <row r="22" spans="1:21" customFormat="1">
      <c r="A22" s="42" t="s">
        <v>314</v>
      </c>
      <c r="B22" s="43">
        <v>8.68</v>
      </c>
      <c r="C22" s="43">
        <v>19.95</v>
      </c>
      <c r="D22" s="43">
        <v>17.38</v>
      </c>
      <c r="E22" s="43">
        <v>3.53</v>
      </c>
      <c r="F22" s="43">
        <v>27.92</v>
      </c>
      <c r="G22" s="43">
        <v>17.760000000000002</v>
      </c>
      <c r="H22" s="43">
        <v>2.63</v>
      </c>
      <c r="I22" s="43">
        <v>5.3</v>
      </c>
      <c r="J22" s="43">
        <v>0.73</v>
      </c>
      <c r="K22" s="43">
        <v>44.12</v>
      </c>
      <c r="L22" s="43">
        <v>29.87</v>
      </c>
      <c r="M22" s="43">
        <v>85.23</v>
      </c>
      <c r="N22" s="43">
        <v>382.9</v>
      </c>
      <c r="O22" s="43">
        <v>0</v>
      </c>
      <c r="P22" s="43">
        <v>0.36</v>
      </c>
      <c r="Q22" s="43">
        <v>10</v>
      </c>
      <c r="R22" s="41"/>
      <c r="S22" s="41"/>
      <c r="T22" s="41"/>
      <c r="U22" s="41"/>
    </row>
    <row r="23" spans="1:21" customFormat="1">
      <c r="A23" s="42" t="s">
        <v>315</v>
      </c>
      <c r="B23" s="43">
        <v>3.96</v>
      </c>
      <c r="C23" s="43">
        <v>13.88</v>
      </c>
      <c r="D23" s="43">
        <v>9.11</v>
      </c>
      <c r="E23" s="43">
        <v>2.04</v>
      </c>
      <c r="F23" s="43">
        <v>10.91</v>
      </c>
      <c r="G23" s="43">
        <v>15.29</v>
      </c>
      <c r="H23" s="43">
        <v>2.42</v>
      </c>
      <c r="I23" s="43">
        <v>3.11</v>
      </c>
      <c r="J23" s="43">
        <v>0.67</v>
      </c>
      <c r="K23" s="43">
        <v>41.46</v>
      </c>
      <c r="L23" s="43">
        <v>30.28</v>
      </c>
      <c r="M23" s="43">
        <v>73.44</v>
      </c>
      <c r="N23" s="43">
        <v>432.6</v>
      </c>
      <c r="O23" s="43">
        <v>0</v>
      </c>
      <c r="P23" s="43">
        <v>0.14000000000000001</v>
      </c>
      <c r="Q23" s="43">
        <v>10</v>
      </c>
      <c r="R23" s="41"/>
      <c r="S23" s="41"/>
      <c r="T23" s="41"/>
      <c r="U23" s="41"/>
    </row>
    <row r="24" spans="1:21" customFormat="1">
      <c r="A24" s="42" t="s">
        <v>316</v>
      </c>
      <c r="B24" s="43">
        <v>6.39</v>
      </c>
      <c r="C24" s="43">
        <v>10.9</v>
      </c>
      <c r="D24" s="43">
        <v>10.59</v>
      </c>
      <c r="E24" s="43">
        <v>2.72</v>
      </c>
      <c r="F24" s="43">
        <v>8.4499999999999993</v>
      </c>
      <c r="G24" s="43">
        <v>16.79</v>
      </c>
      <c r="H24" s="43">
        <v>3.28</v>
      </c>
      <c r="I24" s="43">
        <v>3.39</v>
      </c>
      <c r="J24" s="43">
        <v>0.67</v>
      </c>
      <c r="K24" s="43">
        <v>42.25</v>
      </c>
      <c r="L24" s="43">
        <v>29.99</v>
      </c>
      <c r="M24" s="43">
        <v>79.849999999999994</v>
      </c>
      <c r="N24" s="43">
        <v>142.69999999999999</v>
      </c>
      <c r="O24" s="43">
        <v>0</v>
      </c>
      <c r="P24" s="43">
        <v>0.14000000000000001</v>
      </c>
      <c r="Q24" s="43">
        <v>10</v>
      </c>
      <c r="R24" s="41"/>
      <c r="S24" s="41"/>
      <c r="T24" s="41"/>
      <c r="U24" s="41"/>
    </row>
    <row r="25" spans="1:21" customFormat="1">
      <c r="A25" s="42" t="s">
        <v>317</v>
      </c>
      <c r="B25" s="43">
        <v>7.65</v>
      </c>
      <c r="C25" s="43">
        <v>11.8</v>
      </c>
      <c r="D25" s="43">
        <v>11.83</v>
      </c>
      <c r="E25" s="43">
        <v>4.0199999999999996</v>
      </c>
      <c r="F25" s="43">
        <v>12.2</v>
      </c>
      <c r="G25" s="43">
        <v>17.420000000000002</v>
      </c>
      <c r="H25" s="43">
        <v>3.7</v>
      </c>
      <c r="I25" s="43">
        <v>3.73</v>
      </c>
      <c r="J25" s="43">
        <v>0.72</v>
      </c>
      <c r="K25" s="43">
        <v>39.51</v>
      </c>
      <c r="L25" s="43">
        <v>29.83</v>
      </c>
      <c r="M25" s="43">
        <v>80.61</v>
      </c>
      <c r="N25" s="43">
        <v>78.7</v>
      </c>
      <c r="O25" s="43">
        <v>0</v>
      </c>
      <c r="P25" s="43">
        <v>0.15</v>
      </c>
      <c r="Q25" s="43">
        <v>10</v>
      </c>
      <c r="R25" s="41"/>
      <c r="S25" s="41"/>
      <c r="T25" s="41"/>
      <c r="U25" s="41"/>
    </row>
    <row r="26" spans="1:21" customFormat="1">
      <c r="A26" s="42" t="s">
        <v>318</v>
      </c>
      <c r="B26" s="43">
        <v>8.32</v>
      </c>
      <c r="C26" s="43">
        <v>10.51</v>
      </c>
      <c r="D26" s="43">
        <v>12.01</v>
      </c>
      <c r="E26" s="43">
        <v>3.58</v>
      </c>
      <c r="F26" s="43">
        <v>10.83</v>
      </c>
      <c r="G26" s="43">
        <v>17.87</v>
      </c>
      <c r="H26" s="43">
        <v>3.7</v>
      </c>
      <c r="I26" s="43">
        <v>4.03</v>
      </c>
      <c r="J26" s="43">
        <v>0.87</v>
      </c>
      <c r="K26" s="43">
        <v>36.49</v>
      </c>
      <c r="L26" s="43">
        <v>29.44</v>
      </c>
      <c r="M26" s="43">
        <v>81.56</v>
      </c>
      <c r="N26" s="43">
        <v>46.9</v>
      </c>
      <c r="O26" s="43">
        <v>0</v>
      </c>
      <c r="P26" s="43">
        <v>0.2</v>
      </c>
      <c r="Q26" s="43">
        <v>10</v>
      </c>
      <c r="R26" s="41"/>
      <c r="S26" s="41"/>
      <c r="T26" s="41"/>
      <c r="U26" s="41"/>
    </row>
    <row r="27" spans="1:21" customFormat="1">
      <c r="A27" s="42" t="s">
        <v>319</v>
      </c>
      <c r="B27" s="43">
        <v>8.85</v>
      </c>
      <c r="C27" s="43">
        <v>10.17</v>
      </c>
      <c r="D27" s="43">
        <v>12.3</v>
      </c>
      <c r="E27" s="43">
        <v>4.7300000000000004</v>
      </c>
      <c r="F27" s="43">
        <v>3.4</v>
      </c>
      <c r="G27" s="43">
        <v>17.87</v>
      </c>
      <c r="H27" s="43">
        <v>3.48</v>
      </c>
      <c r="I27" s="43">
        <v>4.1100000000000003</v>
      </c>
      <c r="J27" s="43">
        <v>0.67</v>
      </c>
      <c r="K27" s="43">
        <v>41.94</v>
      </c>
      <c r="L27" s="43">
        <v>28.11</v>
      </c>
      <c r="M27" s="43">
        <v>83.69</v>
      </c>
      <c r="N27" s="43">
        <v>3</v>
      </c>
      <c r="O27" s="43">
        <v>0</v>
      </c>
      <c r="P27" s="43">
        <v>0.25</v>
      </c>
      <c r="Q27" s="43">
        <v>10</v>
      </c>
      <c r="R27" s="41"/>
      <c r="S27" s="41"/>
      <c r="T27" s="41"/>
      <c r="U27" s="41"/>
    </row>
    <row r="28" spans="1:21" customFormat="1">
      <c r="A28" s="42" t="s">
        <v>320</v>
      </c>
      <c r="B28" s="43">
        <v>9.1199999999999992</v>
      </c>
      <c r="C28" s="43">
        <v>10.02</v>
      </c>
      <c r="D28" s="43">
        <v>12.54</v>
      </c>
      <c r="E28" s="43">
        <v>5.13</v>
      </c>
      <c r="F28" s="43">
        <v>2.17</v>
      </c>
      <c r="G28" s="43">
        <v>18.54</v>
      </c>
      <c r="H28" s="43">
        <v>3.61</v>
      </c>
      <c r="I28" s="43">
        <v>4.6399999999999997</v>
      </c>
      <c r="J28" s="43">
        <v>0.56999999999999995</v>
      </c>
      <c r="K28" s="43">
        <v>67.08</v>
      </c>
      <c r="L28" s="43">
        <v>27.52</v>
      </c>
      <c r="M28" s="43">
        <v>81.92</v>
      </c>
      <c r="N28" s="43">
        <v>2.4</v>
      </c>
      <c r="O28" s="43">
        <v>0</v>
      </c>
      <c r="P28" s="43">
        <v>0.28999999999999998</v>
      </c>
      <c r="Q28" s="43">
        <v>10</v>
      </c>
      <c r="R28" s="41"/>
      <c r="S28" s="41"/>
      <c r="T28" s="41"/>
      <c r="U28" s="41"/>
    </row>
    <row r="29" spans="1:21" customFormat="1">
      <c r="A29" s="42" t="s">
        <v>321</v>
      </c>
      <c r="B29" s="43">
        <v>10.46</v>
      </c>
      <c r="C29" s="43">
        <v>9.85</v>
      </c>
      <c r="D29" s="43">
        <v>13.42</v>
      </c>
      <c r="E29" s="43">
        <v>5.29</v>
      </c>
      <c r="F29" s="43">
        <v>2</v>
      </c>
      <c r="G29" s="43">
        <v>18.54</v>
      </c>
      <c r="H29" s="43">
        <v>3.61</v>
      </c>
      <c r="I29" s="43">
        <v>5.4</v>
      </c>
      <c r="J29" s="43">
        <v>0.24</v>
      </c>
      <c r="K29" s="43">
        <v>133.02000000000001</v>
      </c>
      <c r="L29" s="43">
        <v>27.34</v>
      </c>
      <c r="M29" s="43">
        <v>81.84</v>
      </c>
      <c r="N29" s="43">
        <v>2.4</v>
      </c>
      <c r="O29" s="43">
        <v>0</v>
      </c>
      <c r="P29" s="43">
        <v>0.32</v>
      </c>
      <c r="Q29" s="43">
        <v>10</v>
      </c>
      <c r="R29" s="41"/>
      <c r="S29" s="41"/>
      <c r="T29" s="41"/>
      <c r="U29" s="41"/>
    </row>
    <row r="30" spans="1:21" customFormat="1">
      <c r="A30" s="42" t="s">
        <v>322</v>
      </c>
      <c r="B30" s="43">
        <v>10.61</v>
      </c>
      <c r="C30" s="43">
        <v>9.15</v>
      </c>
      <c r="D30" s="43">
        <v>13.22</v>
      </c>
      <c r="E30" s="43">
        <v>5.57</v>
      </c>
      <c r="F30" s="43">
        <v>2</v>
      </c>
      <c r="G30" s="43">
        <v>18.829999999999998</v>
      </c>
      <c r="H30" s="43">
        <v>3.03</v>
      </c>
      <c r="I30" s="43">
        <v>5.97</v>
      </c>
      <c r="J30" s="43">
        <v>0.17</v>
      </c>
      <c r="K30" s="43">
        <v>140.58000000000001</v>
      </c>
      <c r="L30" s="43">
        <v>27.14</v>
      </c>
      <c r="M30" s="43">
        <v>81.44</v>
      </c>
      <c r="N30" s="43">
        <v>2.2999999999999998</v>
      </c>
      <c r="O30" s="43">
        <v>0</v>
      </c>
      <c r="P30" s="43">
        <v>0.32</v>
      </c>
      <c r="Q30" s="43">
        <v>10</v>
      </c>
      <c r="R30" s="41"/>
      <c r="S30" s="41"/>
      <c r="T30" s="41"/>
      <c r="U30" s="41"/>
    </row>
    <row r="31" spans="1:21" customFormat="1">
      <c r="A31" s="42" t="s">
        <v>323</v>
      </c>
      <c r="B31" s="43">
        <v>10.61</v>
      </c>
      <c r="C31" s="43">
        <v>8.89</v>
      </c>
      <c r="D31" s="43">
        <v>13.16</v>
      </c>
      <c r="E31" s="43">
        <v>5.68</v>
      </c>
      <c r="F31" s="43">
        <v>2</v>
      </c>
      <c r="G31" s="43">
        <v>18.829999999999998</v>
      </c>
      <c r="H31" s="43">
        <v>2.3199999999999998</v>
      </c>
      <c r="I31" s="43">
        <v>5.95</v>
      </c>
      <c r="J31" s="43">
        <v>0.13</v>
      </c>
      <c r="K31" s="43">
        <v>192.25</v>
      </c>
      <c r="L31" s="43">
        <v>26.83</v>
      </c>
      <c r="M31" s="43">
        <v>82.03</v>
      </c>
      <c r="N31" s="43">
        <v>2.4</v>
      </c>
      <c r="O31" s="43">
        <v>0</v>
      </c>
      <c r="P31" s="43">
        <v>0.33</v>
      </c>
      <c r="Q31" s="43">
        <v>10</v>
      </c>
      <c r="R31" s="41"/>
      <c r="S31" s="41"/>
      <c r="T31" s="41"/>
      <c r="U31" s="41"/>
    </row>
    <row r="32" spans="1:21" customFormat="1">
      <c r="A32" s="42" t="s">
        <v>324</v>
      </c>
      <c r="B32" s="43">
        <v>11.3</v>
      </c>
      <c r="C32" s="43">
        <v>7.78</v>
      </c>
      <c r="D32" s="43">
        <v>13.13</v>
      </c>
      <c r="E32" s="43">
        <v>5.73</v>
      </c>
      <c r="F32" s="43">
        <v>2.0299999999999998</v>
      </c>
      <c r="G32" s="43">
        <v>17.12</v>
      </c>
      <c r="H32" s="43">
        <v>2.4500000000000002</v>
      </c>
      <c r="I32" s="43">
        <v>5.88</v>
      </c>
      <c r="J32" s="43">
        <v>0.13</v>
      </c>
      <c r="K32" s="43">
        <v>173.88</v>
      </c>
      <c r="L32" s="43">
        <v>26.64</v>
      </c>
      <c r="M32" s="43">
        <v>86.35</v>
      </c>
      <c r="N32" s="43">
        <v>2.2000000000000002</v>
      </c>
      <c r="O32" s="43">
        <v>0</v>
      </c>
      <c r="P32" s="43">
        <v>0.27</v>
      </c>
      <c r="Q32" s="43">
        <v>10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3.96</v>
      </c>
      <c r="C34" s="18">
        <f t="shared" si="0"/>
        <v>7.78</v>
      </c>
      <c r="D34" s="18">
        <f t="shared" si="0"/>
        <v>9.11</v>
      </c>
      <c r="E34" s="18">
        <f t="shared" si="0"/>
        <v>2.04</v>
      </c>
      <c r="F34" s="18">
        <f t="shared" si="0"/>
        <v>2</v>
      </c>
      <c r="G34" s="18">
        <f t="shared" si="0"/>
        <v>6.37</v>
      </c>
      <c r="H34" s="18">
        <f t="shared" si="0"/>
        <v>1.52</v>
      </c>
      <c r="I34" s="18">
        <f t="shared" si="0"/>
        <v>3.11</v>
      </c>
      <c r="J34" s="18">
        <f t="shared" si="0"/>
        <v>0.12</v>
      </c>
      <c r="K34" s="18">
        <f t="shared" si="0"/>
        <v>36.49</v>
      </c>
      <c r="L34" s="18">
        <f t="shared" si="0"/>
        <v>25.36</v>
      </c>
      <c r="M34" s="18">
        <f t="shared" si="0"/>
        <v>73.44</v>
      </c>
      <c r="N34" s="18">
        <f t="shared" si="0"/>
        <v>2.2000000000000002</v>
      </c>
      <c r="O34" s="18">
        <f t="shared" si="0"/>
        <v>0</v>
      </c>
      <c r="P34" s="18">
        <f t="shared" si="0"/>
        <v>0.14000000000000001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11.33</v>
      </c>
      <c r="C35" s="3">
        <f t="shared" si="1"/>
        <v>19.95</v>
      </c>
      <c r="D35" s="3">
        <f t="shared" si="1"/>
        <v>17.38</v>
      </c>
      <c r="E35" s="3">
        <f t="shared" si="1"/>
        <v>5.73</v>
      </c>
      <c r="F35" s="3">
        <f t="shared" si="1"/>
        <v>27.92</v>
      </c>
      <c r="G35" s="3">
        <f t="shared" si="1"/>
        <v>18.829999999999998</v>
      </c>
      <c r="H35" s="3">
        <f t="shared" si="1"/>
        <v>3.7</v>
      </c>
      <c r="I35" s="3">
        <f t="shared" si="1"/>
        <v>6.88</v>
      </c>
      <c r="J35" s="3">
        <f t="shared" si="1"/>
        <v>1.1499999999999999</v>
      </c>
      <c r="K35" s="3">
        <f t="shared" si="1"/>
        <v>228.21</v>
      </c>
      <c r="L35" s="3">
        <f t="shared" si="1"/>
        <v>30.7</v>
      </c>
      <c r="M35" s="3">
        <f t="shared" si="1"/>
        <v>90.83</v>
      </c>
      <c r="N35" s="3">
        <f t="shared" si="1"/>
        <v>432.6</v>
      </c>
      <c r="O35" s="3">
        <f t="shared" si="1"/>
        <v>0</v>
      </c>
      <c r="P35" s="3">
        <f t="shared" si="1"/>
        <v>0.43</v>
      </c>
      <c r="Q35" s="3">
        <f t="shared" si="1"/>
        <v>10.6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9.0691666666666677</v>
      </c>
      <c r="C36" s="18">
        <f t="shared" si="2"/>
        <v>12.744166666666665</v>
      </c>
      <c r="D36" s="18">
        <f t="shared" si="2"/>
        <v>13.77791666666667</v>
      </c>
      <c r="E36" s="18">
        <f t="shared" si="2"/>
        <v>4.6654166666666672</v>
      </c>
      <c r="F36" s="18">
        <f t="shared" si="2"/>
        <v>4.8333333333333339</v>
      </c>
      <c r="G36" s="18">
        <f t="shared" si="2"/>
        <v>13.681249999999997</v>
      </c>
      <c r="H36" s="18">
        <f t="shared" si="2"/>
        <v>2.6079166666666667</v>
      </c>
      <c r="I36" s="18">
        <f t="shared" si="2"/>
        <v>5.2449999999999992</v>
      </c>
      <c r="J36" s="18">
        <f t="shared" si="2"/>
        <v>0.4283333333333334</v>
      </c>
      <c r="K36" s="18">
        <f t="shared" si="2"/>
        <v>134.15291666666664</v>
      </c>
      <c r="L36" s="18">
        <f t="shared" si="2"/>
        <v>27.635000000000005</v>
      </c>
      <c r="M36" s="18">
        <f t="shared" si="2"/>
        <v>85.390833333333333</v>
      </c>
      <c r="N36" s="18">
        <f t="shared" si="2"/>
        <v>102.26666666666665</v>
      </c>
      <c r="O36" s="18">
        <f t="shared" si="2"/>
        <v>0</v>
      </c>
      <c r="P36" s="18">
        <f t="shared" si="2"/>
        <v>0.32041666666666663</v>
      </c>
      <c r="Q36" s="18">
        <f t="shared" si="2"/>
        <v>10.174999999999999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1.7912781850488406</v>
      </c>
      <c r="C37" s="18">
        <f t="shared" ref="C37:Q37" si="3">STDEV(C9:C32)</f>
        <v>2.7118017701483543</v>
      </c>
      <c r="D37" s="18">
        <f t="shared" si="3"/>
        <v>1.8590436512092259</v>
      </c>
      <c r="E37" s="18">
        <f t="shared" si="3"/>
        <v>0.92968428098942935</v>
      </c>
      <c r="F37" s="18">
        <f t="shared" si="3"/>
        <v>5.8884135803078248</v>
      </c>
      <c r="G37" s="18">
        <f t="shared" si="3"/>
        <v>4.5511817027344108</v>
      </c>
      <c r="H37" s="18">
        <f t="shared" si="3"/>
        <v>0.6541371958652793</v>
      </c>
      <c r="I37" s="18">
        <f t="shared" si="3"/>
        <v>1.0142935001013416</v>
      </c>
      <c r="J37" s="18">
        <f t="shared" si="3"/>
        <v>0.30031384549684237</v>
      </c>
      <c r="K37" s="18">
        <f t="shared" si="3"/>
        <v>79.850674576071214</v>
      </c>
      <c r="L37" s="18">
        <f t="shared" si="3"/>
        <v>1.773395171636206</v>
      </c>
      <c r="M37" s="18">
        <f t="shared" si="3"/>
        <v>4.7017516778940704</v>
      </c>
      <c r="N37" s="18">
        <f t="shared" si="3"/>
        <v>140.29754922606662</v>
      </c>
      <c r="O37" s="18">
        <f t="shared" si="3"/>
        <v>0</v>
      </c>
      <c r="P37" s="18">
        <f t="shared" si="3"/>
        <v>8.6651684881216537E-2</v>
      </c>
      <c r="Q37" s="18">
        <f t="shared" si="3"/>
        <v>0.1750776225365297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60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96"/>
  <sheetViews>
    <sheetView zoomScale="85" zoomScaleNormal="85" workbookViewId="0">
      <pane xSplit="2" ySplit="8" topLeftCell="C15" activePane="bottomRight" state="frozen"/>
      <selection activeCell="G19" sqref="G19"/>
      <selection pane="topRight" activeCell="G19" sqref="G19"/>
      <selection pane="bottomLeft" activeCell="G19" sqref="G19"/>
      <selection pane="bottomRight" activeCell="P24" sqref="P2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12/09/2025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325</v>
      </c>
      <c r="B9" s="43">
        <v>12.63</v>
      </c>
      <c r="C9" s="43">
        <v>9.08</v>
      </c>
      <c r="D9" s="43">
        <v>14.44</v>
      </c>
      <c r="E9" s="43">
        <v>5.8</v>
      </c>
      <c r="F9" s="43">
        <v>2.06</v>
      </c>
      <c r="G9" s="43">
        <v>17.13</v>
      </c>
      <c r="H9" s="43">
        <v>2.54</v>
      </c>
      <c r="I9" s="43">
        <v>5.94</v>
      </c>
      <c r="J9" s="43">
        <v>0.12</v>
      </c>
      <c r="K9" s="43">
        <v>89.26</v>
      </c>
      <c r="L9" s="43">
        <v>26.75</v>
      </c>
      <c r="M9" s="43">
        <v>87.34</v>
      </c>
      <c r="N9" s="43">
        <v>2.4</v>
      </c>
      <c r="O9" s="43">
        <v>0</v>
      </c>
      <c r="P9" s="43">
        <v>0.27</v>
      </c>
      <c r="Q9" s="43">
        <v>11.6</v>
      </c>
      <c r="R9" s="41"/>
      <c r="S9" s="41"/>
      <c r="T9" s="41"/>
      <c r="U9" s="41"/>
    </row>
    <row r="10" spans="1:21" customFormat="1">
      <c r="A10" s="42" t="s">
        <v>326</v>
      </c>
      <c r="B10" s="43">
        <v>13.37</v>
      </c>
      <c r="C10" s="43">
        <v>7.76</v>
      </c>
      <c r="D10" s="43">
        <v>14.74</v>
      </c>
      <c r="E10" s="43">
        <v>6.2</v>
      </c>
      <c r="F10" s="43">
        <v>2.23</v>
      </c>
      <c r="G10" s="43">
        <v>18.66</v>
      </c>
      <c r="H10" s="43">
        <v>3.11</v>
      </c>
      <c r="I10" s="43">
        <v>5.93</v>
      </c>
      <c r="J10" s="43">
        <v>0.34</v>
      </c>
      <c r="K10" s="43">
        <v>63.61</v>
      </c>
      <c r="L10" s="43">
        <v>26.7</v>
      </c>
      <c r="M10" s="43">
        <v>87.74</v>
      </c>
      <c r="N10" s="43">
        <v>3.3</v>
      </c>
      <c r="O10" s="43">
        <v>0</v>
      </c>
      <c r="P10" s="43">
        <v>0.28000000000000003</v>
      </c>
      <c r="Q10" s="43">
        <v>11.6</v>
      </c>
      <c r="R10" s="41"/>
      <c r="S10" s="41"/>
      <c r="T10" s="41"/>
      <c r="U10" s="41"/>
    </row>
    <row r="11" spans="1:21" customFormat="1">
      <c r="A11" s="42" t="s">
        <v>327</v>
      </c>
      <c r="B11" s="43">
        <v>13.41</v>
      </c>
      <c r="C11" s="43">
        <v>7.99</v>
      </c>
      <c r="D11" s="43">
        <v>14.78</v>
      </c>
      <c r="E11" s="43">
        <v>5.3</v>
      </c>
      <c r="F11" s="43">
        <v>2.2400000000000002</v>
      </c>
      <c r="G11" s="43">
        <v>18.66</v>
      </c>
      <c r="H11" s="43">
        <v>3.11</v>
      </c>
      <c r="I11" s="43">
        <v>5.95</v>
      </c>
      <c r="J11" s="43">
        <v>1.01</v>
      </c>
      <c r="K11" s="43">
        <v>320.27</v>
      </c>
      <c r="L11" s="43">
        <v>24.67</v>
      </c>
      <c r="M11" s="43">
        <v>89.48</v>
      </c>
      <c r="N11" s="43">
        <v>3.6</v>
      </c>
      <c r="O11" s="43">
        <v>0</v>
      </c>
      <c r="P11" s="43">
        <v>0.27</v>
      </c>
      <c r="Q11" s="43">
        <v>11.6</v>
      </c>
      <c r="R11" s="41"/>
      <c r="S11" s="41"/>
      <c r="T11" s="41"/>
      <c r="U11" s="41"/>
    </row>
    <row r="12" spans="1:21" customFormat="1">
      <c r="A12" s="42" t="s">
        <v>328</v>
      </c>
      <c r="B12" s="43">
        <v>13.22</v>
      </c>
      <c r="C12" s="43">
        <v>9.56</v>
      </c>
      <c r="D12" s="43">
        <v>15.6</v>
      </c>
      <c r="E12" s="43">
        <v>5.46</v>
      </c>
      <c r="F12" s="43">
        <v>2</v>
      </c>
      <c r="G12" s="43">
        <v>14.57</v>
      </c>
      <c r="H12" s="43">
        <v>2.7</v>
      </c>
      <c r="I12" s="43">
        <v>5.92</v>
      </c>
      <c r="J12" s="43">
        <v>0.21</v>
      </c>
      <c r="K12" s="43">
        <v>225.17</v>
      </c>
      <c r="L12" s="43">
        <v>24.56</v>
      </c>
      <c r="M12" s="43">
        <v>89.52</v>
      </c>
      <c r="N12" s="43">
        <v>2.5</v>
      </c>
      <c r="O12" s="43">
        <v>0</v>
      </c>
      <c r="P12" s="43">
        <v>0.27</v>
      </c>
      <c r="Q12" s="43">
        <v>11.6</v>
      </c>
      <c r="R12" s="41"/>
      <c r="S12" s="41"/>
      <c r="T12" s="41"/>
      <c r="U12" s="41"/>
    </row>
    <row r="13" spans="1:21" customFormat="1">
      <c r="A13" s="42" t="s">
        <v>329</v>
      </c>
      <c r="B13" s="43">
        <v>14.11</v>
      </c>
      <c r="C13" s="43">
        <v>9.9</v>
      </c>
      <c r="D13" s="43">
        <v>16.48</v>
      </c>
      <c r="E13" s="43">
        <v>5.67</v>
      </c>
      <c r="F13" s="43">
        <v>2.0099999999999998</v>
      </c>
      <c r="G13" s="43">
        <v>11.77</v>
      </c>
      <c r="H13" s="43">
        <v>2.62</v>
      </c>
      <c r="I13" s="43">
        <v>5.44</v>
      </c>
      <c r="J13" s="43">
        <v>0.08</v>
      </c>
      <c r="K13" s="43">
        <v>211.52</v>
      </c>
      <c r="L13" s="43">
        <v>24.82</v>
      </c>
      <c r="M13" s="43">
        <v>88.86</v>
      </c>
      <c r="N13" s="43">
        <v>2.2999999999999998</v>
      </c>
      <c r="O13" s="43">
        <v>0</v>
      </c>
      <c r="P13" s="43">
        <v>0.27</v>
      </c>
      <c r="Q13" s="43">
        <v>11.6</v>
      </c>
      <c r="R13" s="41"/>
      <c r="S13" s="41"/>
      <c r="T13" s="41"/>
      <c r="U13" s="41"/>
    </row>
    <row r="14" spans="1:21" customFormat="1">
      <c r="A14" s="42" t="s">
        <v>330</v>
      </c>
      <c r="B14" s="43">
        <v>14.27</v>
      </c>
      <c r="C14" s="43">
        <v>9.8000000000000007</v>
      </c>
      <c r="D14" s="43">
        <v>16.52</v>
      </c>
      <c r="E14" s="43">
        <v>5.89</v>
      </c>
      <c r="F14" s="43">
        <v>2</v>
      </c>
      <c r="G14" s="43">
        <v>10.68</v>
      </c>
      <c r="H14" s="43">
        <v>2.62</v>
      </c>
      <c r="I14" s="43">
        <v>4.93</v>
      </c>
      <c r="J14" s="43">
        <v>0.33</v>
      </c>
      <c r="K14" s="43">
        <v>42.98</v>
      </c>
      <c r="L14" s="43">
        <v>24.9</v>
      </c>
      <c r="M14" s="43">
        <v>88.56</v>
      </c>
      <c r="N14" s="43">
        <v>4.5999999999999996</v>
      </c>
      <c r="O14" s="43">
        <v>0</v>
      </c>
      <c r="P14" s="43">
        <v>0.24</v>
      </c>
      <c r="Q14" s="43">
        <v>11.6</v>
      </c>
      <c r="R14" s="41"/>
      <c r="S14" s="41"/>
      <c r="T14" s="41"/>
      <c r="U14" s="41"/>
    </row>
    <row r="15" spans="1:21" customFormat="1">
      <c r="A15" s="42" t="s">
        <v>331</v>
      </c>
      <c r="B15" s="43">
        <v>14.51</v>
      </c>
      <c r="C15" s="43">
        <v>9.75</v>
      </c>
      <c r="D15" s="43">
        <v>16.63</v>
      </c>
      <c r="E15" s="43">
        <v>5.8</v>
      </c>
      <c r="F15" s="43">
        <v>2</v>
      </c>
      <c r="G15" s="43">
        <v>10.94</v>
      </c>
      <c r="H15" s="43">
        <v>2.71</v>
      </c>
      <c r="I15" s="43">
        <v>4.9400000000000004</v>
      </c>
      <c r="J15" s="43">
        <v>0.17</v>
      </c>
      <c r="K15" s="43">
        <v>204.16</v>
      </c>
      <c r="L15" s="43">
        <v>25.19</v>
      </c>
      <c r="M15" s="43">
        <v>87.56</v>
      </c>
      <c r="N15" s="43">
        <v>37.9</v>
      </c>
      <c r="O15" s="43">
        <v>0</v>
      </c>
      <c r="P15" s="43">
        <v>0.26</v>
      </c>
      <c r="Q15" s="43">
        <v>11.6</v>
      </c>
      <c r="R15" s="41"/>
      <c r="S15" s="41"/>
      <c r="T15" s="41"/>
      <c r="U15" s="41"/>
    </row>
    <row r="16" spans="1:21" customFormat="1">
      <c r="A16" s="42" t="s">
        <v>332</v>
      </c>
      <c r="B16" s="43">
        <v>14.83</v>
      </c>
      <c r="C16" s="43">
        <v>9.4</v>
      </c>
      <c r="D16" s="43">
        <v>16.7</v>
      </c>
      <c r="E16" s="43">
        <v>5.93</v>
      </c>
      <c r="F16" s="43">
        <v>2</v>
      </c>
      <c r="G16" s="43">
        <v>16.68</v>
      </c>
      <c r="H16" s="43">
        <v>3.36</v>
      </c>
      <c r="I16" s="43">
        <v>5.27</v>
      </c>
      <c r="J16" s="43">
        <v>0.51</v>
      </c>
      <c r="K16" s="43">
        <v>48.47</v>
      </c>
      <c r="L16" s="43">
        <v>26.28</v>
      </c>
      <c r="M16" s="43">
        <v>87.35</v>
      </c>
      <c r="N16" s="43">
        <v>175.6</v>
      </c>
      <c r="O16" s="43">
        <v>0</v>
      </c>
      <c r="P16" s="43">
        <v>0.28000000000000003</v>
      </c>
      <c r="Q16" s="43">
        <v>11.6</v>
      </c>
      <c r="R16" s="41"/>
      <c r="S16" s="41"/>
      <c r="T16" s="41"/>
      <c r="U16" s="41"/>
    </row>
    <row r="17" spans="1:21" customFormat="1">
      <c r="A17" s="42" t="s">
        <v>333</v>
      </c>
      <c r="B17" s="43">
        <v>15.71</v>
      </c>
      <c r="C17" s="43">
        <v>9.65</v>
      </c>
      <c r="D17" s="43">
        <v>17.399999999999999</v>
      </c>
      <c r="E17" s="43">
        <v>5.95</v>
      </c>
      <c r="F17" s="43">
        <v>2.23</v>
      </c>
      <c r="G17" s="43">
        <v>18.11</v>
      </c>
      <c r="H17" s="43">
        <v>3.62</v>
      </c>
      <c r="I17" s="43">
        <v>5.4</v>
      </c>
      <c r="J17" s="43">
        <v>0.56999999999999995</v>
      </c>
      <c r="K17" s="43">
        <v>47.06</v>
      </c>
      <c r="L17" s="43">
        <v>28.14</v>
      </c>
      <c r="M17" s="43">
        <v>87.05</v>
      </c>
      <c r="N17" s="43">
        <v>261.10000000000002</v>
      </c>
      <c r="O17" s="43">
        <v>0</v>
      </c>
      <c r="P17" s="43">
        <v>0.28000000000000003</v>
      </c>
      <c r="Q17" s="43">
        <v>11.6</v>
      </c>
      <c r="R17" s="41"/>
      <c r="S17" s="41"/>
      <c r="T17" s="41"/>
      <c r="U17" s="41"/>
    </row>
    <row r="18" spans="1:21" customFormat="1">
      <c r="A18" s="42" t="s">
        <v>334</v>
      </c>
      <c r="B18" s="43">
        <v>15.88</v>
      </c>
      <c r="C18" s="43">
        <v>9.6300000000000008</v>
      </c>
      <c r="D18" s="43">
        <v>17.77</v>
      </c>
      <c r="E18" s="43">
        <v>6.27</v>
      </c>
      <c r="F18" s="43">
        <v>3.14</v>
      </c>
      <c r="G18" s="43">
        <v>18.579999999999998</v>
      </c>
      <c r="H18" s="43">
        <v>3.62</v>
      </c>
      <c r="I18" s="43">
        <v>5.41</v>
      </c>
      <c r="J18" s="43">
        <v>0.77</v>
      </c>
      <c r="K18" s="43">
        <v>49.76</v>
      </c>
      <c r="L18" s="43">
        <v>29.12</v>
      </c>
      <c r="M18" s="43">
        <v>81.69</v>
      </c>
      <c r="N18" s="43">
        <v>402.6</v>
      </c>
      <c r="O18" s="43">
        <v>0</v>
      </c>
      <c r="P18" s="43">
        <v>0.25</v>
      </c>
      <c r="Q18" s="43">
        <v>11.6</v>
      </c>
      <c r="R18" s="41"/>
      <c r="S18" s="41"/>
      <c r="T18" s="41"/>
      <c r="U18" s="41"/>
    </row>
    <row r="19" spans="1:21" customFormat="1">
      <c r="A19" s="42" t="s">
        <v>335</v>
      </c>
      <c r="B19" s="43">
        <v>15.95</v>
      </c>
      <c r="C19" s="43">
        <v>9.6199999999999992</v>
      </c>
      <c r="D19" s="43">
        <v>17.809999999999999</v>
      </c>
      <c r="E19" s="43">
        <v>7.9</v>
      </c>
      <c r="F19" s="43">
        <v>3.91</v>
      </c>
      <c r="G19" s="43">
        <v>18.579999999999998</v>
      </c>
      <c r="H19" s="43">
        <v>3.61</v>
      </c>
      <c r="I19" s="43">
        <v>5.42</v>
      </c>
      <c r="J19" s="43">
        <v>0.55000000000000004</v>
      </c>
      <c r="K19" s="43">
        <v>77.62</v>
      </c>
      <c r="L19" s="43">
        <v>30.08</v>
      </c>
      <c r="M19" s="43">
        <v>79.349999999999994</v>
      </c>
      <c r="N19" s="43">
        <v>412.4</v>
      </c>
      <c r="O19" s="43">
        <v>0</v>
      </c>
      <c r="P19" s="43">
        <v>0.23</v>
      </c>
      <c r="Q19" s="43">
        <v>11.6</v>
      </c>
      <c r="R19" s="41"/>
      <c r="S19" s="41"/>
      <c r="T19" s="41"/>
      <c r="U19" s="41"/>
    </row>
    <row r="20" spans="1:21" customFormat="1">
      <c r="A20" s="42" t="s">
        <v>336</v>
      </c>
      <c r="B20" s="43">
        <v>15.06</v>
      </c>
      <c r="C20" s="43">
        <v>9.89</v>
      </c>
      <c r="D20" s="43">
        <v>17.14</v>
      </c>
      <c r="E20" s="43">
        <v>9.6300000000000008</v>
      </c>
      <c r="F20" s="43">
        <v>3.26</v>
      </c>
      <c r="G20" s="43">
        <v>17.260000000000002</v>
      </c>
      <c r="H20" s="43">
        <v>3.61</v>
      </c>
      <c r="I20" s="43">
        <v>5.3</v>
      </c>
      <c r="J20" s="43">
        <v>0.45</v>
      </c>
      <c r="K20" s="43">
        <v>60.61</v>
      </c>
      <c r="L20" s="43">
        <v>31.01</v>
      </c>
      <c r="M20" s="43">
        <v>72.87</v>
      </c>
      <c r="N20" s="43">
        <v>516.1</v>
      </c>
      <c r="O20" s="43">
        <v>0</v>
      </c>
      <c r="P20" s="43">
        <v>0.24</v>
      </c>
      <c r="Q20" s="43">
        <v>11.6</v>
      </c>
      <c r="R20" s="41"/>
      <c r="S20" s="41"/>
      <c r="T20" s="41"/>
      <c r="U20" s="41"/>
    </row>
    <row r="21" spans="1:21" customFormat="1">
      <c r="A21" s="42" t="s">
        <v>337</v>
      </c>
      <c r="B21" s="43">
        <v>13.65</v>
      </c>
      <c r="C21" s="43">
        <v>10.35</v>
      </c>
      <c r="D21" s="43">
        <v>16.11</v>
      </c>
      <c r="E21" s="43">
        <v>10.63</v>
      </c>
      <c r="F21" s="43">
        <v>4.4400000000000004</v>
      </c>
      <c r="G21" s="43">
        <v>18.170000000000002</v>
      </c>
      <c r="H21" s="43">
        <v>3.87</v>
      </c>
      <c r="I21" s="43">
        <v>5.22</v>
      </c>
      <c r="J21" s="43">
        <v>0.42</v>
      </c>
      <c r="K21" s="43">
        <v>124.73</v>
      </c>
      <c r="L21" s="43">
        <v>31.86</v>
      </c>
      <c r="M21" s="43">
        <v>71.67</v>
      </c>
      <c r="N21" s="43">
        <v>586.70000000000005</v>
      </c>
      <c r="O21" s="43">
        <v>0</v>
      </c>
      <c r="P21" s="43">
        <v>0.22</v>
      </c>
      <c r="Q21" s="43">
        <v>11.6</v>
      </c>
      <c r="R21" s="41"/>
      <c r="S21" s="41"/>
      <c r="T21" s="41"/>
      <c r="U21" s="41"/>
    </row>
    <row r="22" spans="1:21" customFormat="1">
      <c r="A22" s="42" t="s">
        <v>338</v>
      </c>
      <c r="B22" s="43">
        <v>12.42</v>
      </c>
      <c r="C22" s="43">
        <v>10.81</v>
      </c>
      <c r="D22" s="43">
        <v>15.09</v>
      </c>
      <c r="E22" s="43">
        <v>7.35</v>
      </c>
      <c r="F22" s="43">
        <v>5.53</v>
      </c>
      <c r="G22" s="43">
        <v>18.170000000000002</v>
      </c>
      <c r="H22" s="43">
        <v>3.87</v>
      </c>
      <c r="I22" s="43">
        <v>5.01</v>
      </c>
      <c r="J22" s="43">
        <v>0.31</v>
      </c>
      <c r="K22" s="43">
        <v>97.93</v>
      </c>
      <c r="L22" s="43">
        <v>32.299999999999997</v>
      </c>
      <c r="M22" s="43">
        <v>70.209999999999994</v>
      </c>
      <c r="N22" s="43">
        <v>408.1</v>
      </c>
      <c r="O22" s="43">
        <v>0</v>
      </c>
      <c r="P22" s="43">
        <v>0.25</v>
      </c>
      <c r="Q22" s="43">
        <v>11.6</v>
      </c>
      <c r="R22" s="41"/>
      <c r="S22" s="41"/>
      <c r="T22" s="41"/>
      <c r="U22" s="41"/>
    </row>
    <row r="23" spans="1:21" customFormat="1">
      <c r="A23" s="42" t="s">
        <v>339</v>
      </c>
      <c r="B23" s="43">
        <v>8.67</v>
      </c>
      <c r="C23" s="43">
        <v>11.06</v>
      </c>
      <c r="D23" s="43">
        <v>12.69</v>
      </c>
      <c r="E23" s="43">
        <v>6.22</v>
      </c>
      <c r="F23" s="43">
        <v>5.12</v>
      </c>
      <c r="G23" s="43">
        <v>16.95</v>
      </c>
      <c r="H23" s="43">
        <v>4.1100000000000003</v>
      </c>
      <c r="I23" s="43">
        <v>4.75</v>
      </c>
      <c r="J23" s="43">
        <v>0.39</v>
      </c>
      <c r="K23" s="43">
        <v>135.94999999999999</v>
      </c>
      <c r="L23" s="43">
        <v>31.78</v>
      </c>
      <c r="M23" s="43">
        <v>70.44</v>
      </c>
      <c r="N23" s="43">
        <v>229.7</v>
      </c>
      <c r="O23" s="43">
        <v>0</v>
      </c>
      <c r="P23" s="43">
        <v>0.25</v>
      </c>
      <c r="Q23" s="43">
        <v>11.6</v>
      </c>
      <c r="R23" s="41"/>
      <c r="S23" s="41"/>
      <c r="T23" s="41"/>
      <c r="U23" s="41"/>
    </row>
    <row r="24" spans="1:21" customFormat="1">
      <c r="A24" s="42" t="s">
        <v>340</v>
      </c>
      <c r="B24" s="43">
        <v>5.66</v>
      </c>
      <c r="C24" s="43">
        <v>10.47</v>
      </c>
      <c r="D24" s="43">
        <v>10.01</v>
      </c>
      <c r="E24" s="43">
        <v>6</v>
      </c>
      <c r="F24" s="43">
        <v>3.93</v>
      </c>
      <c r="G24" s="43">
        <v>16.48</v>
      </c>
      <c r="H24" s="43">
        <v>4.84</v>
      </c>
      <c r="I24" s="43">
        <v>4.42</v>
      </c>
      <c r="J24" s="43">
        <v>0.32</v>
      </c>
      <c r="K24" s="43">
        <v>148.96</v>
      </c>
      <c r="L24" s="43">
        <v>31.09</v>
      </c>
      <c r="M24" s="43">
        <v>71.84</v>
      </c>
      <c r="N24" s="43">
        <v>116.5</v>
      </c>
      <c r="O24" s="43">
        <v>0</v>
      </c>
      <c r="P24" s="43">
        <v>0.23</v>
      </c>
      <c r="Q24" s="43">
        <v>11.6</v>
      </c>
      <c r="R24" s="41"/>
      <c r="S24" s="41"/>
      <c r="T24" s="41"/>
      <c r="U24" s="41"/>
    </row>
    <row r="25" spans="1:21" customFormat="1">
      <c r="A25" s="42" t="s">
        <v>341</v>
      </c>
      <c r="B25" s="43">
        <v>4.05</v>
      </c>
      <c r="C25" s="43">
        <v>9.58</v>
      </c>
      <c r="D25" s="43">
        <v>8.26</v>
      </c>
      <c r="E25" s="43">
        <v>6.23</v>
      </c>
      <c r="F25" s="43">
        <v>4.21</v>
      </c>
      <c r="G25" s="43">
        <v>16.28</v>
      </c>
      <c r="H25" s="43">
        <v>4.88</v>
      </c>
      <c r="I25" s="43">
        <v>4.1100000000000003</v>
      </c>
      <c r="J25" s="43">
        <v>0.27</v>
      </c>
      <c r="K25" s="43">
        <v>141.08000000000001</v>
      </c>
      <c r="L25" s="43">
        <v>30.79</v>
      </c>
      <c r="M25" s="43">
        <v>77.650000000000006</v>
      </c>
      <c r="N25" s="43">
        <v>75.099999999999994</v>
      </c>
      <c r="O25" s="43">
        <v>0</v>
      </c>
      <c r="P25" s="43">
        <v>0.23</v>
      </c>
      <c r="Q25" s="43">
        <v>11.6</v>
      </c>
      <c r="R25" s="41"/>
      <c r="S25" s="41"/>
      <c r="T25" s="41"/>
      <c r="U25" s="41"/>
    </row>
    <row r="26" spans="1:21" customFormat="1">
      <c r="A26" s="42" t="s">
        <v>342</v>
      </c>
      <c r="B26" s="43">
        <v>3.46</v>
      </c>
      <c r="C26" s="43">
        <v>8.84</v>
      </c>
      <c r="D26" s="43">
        <v>7.39</v>
      </c>
      <c r="E26" s="43">
        <v>6.14</v>
      </c>
      <c r="F26" s="43">
        <v>5.91</v>
      </c>
      <c r="G26" s="43">
        <v>16.28</v>
      </c>
      <c r="H26" s="43">
        <v>4.88</v>
      </c>
      <c r="I26" s="43">
        <v>4.18</v>
      </c>
      <c r="J26" s="43">
        <v>0.23</v>
      </c>
      <c r="K26" s="43">
        <v>162.72999999999999</v>
      </c>
      <c r="L26" s="43">
        <v>29.78</v>
      </c>
      <c r="M26" s="43">
        <v>79.64</v>
      </c>
      <c r="N26" s="43">
        <v>27.2</v>
      </c>
      <c r="O26" s="43">
        <v>0</v>
      </c>
      <c r="P26" s="43">
        <v>0.22</v>
      </c>
      <c r="Q26" s="43">
        <v>11.6</v>
      </c>
      <c r="R26" s="41"/>
      <c r="S26" s="41"/>
      <c r="T26" s="41"/>
      <c r="U26" s="41"/>
    </row>
    <row r="27" spans="1:21" customFormat="1">
      <c r="A27" s="42" t="s">
        <v>343</v>
      </c>
      <c r="B27" s="43">
        <v>3.67</v>
      </c>
      <c r="C27" s="43">
        <v>8.99</v>
      </c>
      <c r="D27" s="43">
        <v>7.64</v>
      </c>
      <c r="E27" s="43">
        <v>4.79</v>
      </c>
      <c r="F27" s="43">
        <v>9.48</v>
      </c>
      <c r="G27" s="43">
        <v>13.42</v>
      </c>
      <c r="H27" s="43">
        <v>3.83</v>
      </c>
      <c r="I27" s="43">
        <v>4.07</v>
      </c>
      <c r="J27" s="43">
        <v>0.3</v>
      </c>
      <c r="K27" s="43">
        <v>163.81</v>
      </c>
      <c r="L27" s="43">
        <v>28.55</v>
      </c>
      <c r="M27" s="43">
        <v>84.17</v>
      </c>
      <c r="N27" s="43">
        <v>3.2</v>
      </c>
      <c r="O27" s="43">
        <v>0</v>
      </c>
      <c r="P27" s="43">
        <v>0.21</v>
      </c>
      <c r="Q27" s="43">
        <v>11.6</v>
      </c>
      <c r="R27" s="41"/>
      <c r="S27" s="41"/>
      <c r="T27" s="41"/>
      <c r="U27" s="41"/>
    </row>
    <row r="28" spans="1:21" customFormat="1">
      <c r="A28" s="42" t="s">
        <v>344</v>
      </c>
      <c r="B28" s="43">
        <v>4.76</v>
      </c>
      <c r="C28" s="43">
        <v>10.02</v>
      </c>
      <c r="D28" s="43">
        <v>8.77</v>
      </c>
      <c r="E28" s="43">
        <v>4.84</v>
      </c>
      <c r="F28" s="43">
        <v>6.28</v>
      </c>
      <c r="G28" s="43">
        <v>18.5</v>
      </c>
      <c r="H28" s="43">
        <v>4.41</v>
      </c>
      <c r="I28" s="43">
        <v>4.57</v>
      </c>
      <c r="J28" s="43">
        <v>0.17</v>
      </c>
      <c r="K28" s="43">
        <v>91.21</v>
      </c>
      <c r="L28" s="43">
        <v>27.85</v>
      </c>
      <c r="M28" s="43">
        <v>85.32</v>
      </c>
      <c r="N28" s="43">
        <v>2.2000000000000002</v>
      </c>
      <c r="O28" s="43">
        <v>0</v>
      </c>
      <c r="P28" s="43">
        <v>0.22</v>
      </c>
      <c r="Q28" s="43">
        <v>11.6</v>
      </c>
      <c r="R28" s="41"/>
      <c r="S28" s="41"/>
      <c r="T28" s="41"/>
      <c r="U28" s="41"/>
    </row>
    <row r="29" spans="1:21" customFormat="1">
      <c r="A29" s="42" t="s">
        <v>345</v>
      </c>
      <c r="B29" s="43">
        <v>6.29</v>
      </c>
      <c r="C29" s="43">
        <v>10.81</v>
      </c>
      <c r="D29" s="43">
        <v>10.69</v>
      </c>
      <c r="E29" s="43">
        <v>4.82</v>
      </c>
      <c r="F29" s="43">
        <v>4.43</v>
      </c>
      <c r="G29" s="43">
        <v>20.75</v>
      </c>
      <c r="H29" s="43">
        <v>5.18</v>
      </c>
      <c r="I29" s="43">
        <v>5</v>
      </c>
      <c r="J29" s="43">
        <v>0.28000000000000003</v>
      </c>
      <c r="K29" s="43">
        <v>50.08</v>
      </c>
      <c r="L29" s="43">
        <v>27.81</v>
      </c>
      <c r="M29" s="43">
        <v>85.19</v>
      </c>
      <c r="N29" s="43">
        <v>2.2000000000000002</v>
      </c>
      <c r="O29" s="43">
        <v>0</v>
      </c>
      <c r="P29" s="43">
        <v>0.26</v>
      </c>
      <c r="Q29" s="43">
        <v>11.6</v>
      </c>
      <c r="R29" s="41"/>
      <c r="S29" s="41"/>
      <c r="T29" s="41"/>
      <c r="U29" s="41"/>
    </row>
    <row r="30" spans="1:21" customFormat="1">
      <c r="A30" s="42" t="s">
        <v>346</v>
      </c>
      <c r="B30" s="43">
        <v>8.17</v>
      </c>
      <c r="C30" s="43">
        <v>10.58</v>
      </c>
      <c r="D30" s="43">
        <v>11.71</v>
      </c>
      <c r="E30" s="43">
        <v>5.01</v>
      </c>
      <c r="F30" s="43">
        <v>4.55</v>
      </c>
      <c r="G30" s="43">
        <v>23.75</v>
      </c>
      <c r="H30" s="43">
        <v>5.53</v>
      </c>
      <c r="I30" s="43">
        <v>5.48</v>
      </c>
      <c r="J30" s="43">
        <v>0.4</v>
      </c>
      <c r="K30" s="43">
        <v>47.26</v>
      </c>
      <c r="L30" s="43">
        <v>27.64</v>
      </c>
      <c r="M30" s="43">
        <v>85.39</v>
      </c>
      <c r="N30" s="43">
        <v>2.4</v>
      </c>
      <c r="O30" s="43">
        <v>0</v>
      </c>
      <c r="P30" s="43">
        <v>0.28000000000000003</v>
      </c>
      <c r="Q30" s="43">
        <v>11.6</v>
      </c>
      <c r="R30" s="41"/>
      <c r="S30" s="41"/>
      <c r="T30" s="41"/>
      <c r="U30" s="41"/>
    </row>
    <row r="31" spans="1:21" customFormat="1">
      <c r="A31" s="42" t="s">
        <v>347</v>
      </c>
      <c r="B31" s="43">
        <v>8.8000000000000007</v>
      </c>
      <c r="C31" s="43">
        <v>9.52</v>
      </c>
      <c r="D31" s="43">
        <v>11.81</v>
      </c>
      <c r="E31" s="43">
        <v>5.42</v>
      </c>
      <c r="F31" s="43">
        <v>3.18</v>
      </c>
      <c r="G31" s="43">
        <v>23.75</v>
      </c>
      <c r="H31" s="43">
        <v>5.53</v>
      </c>
      <c r="I31" s="43">
        <v>5.21</v>
      </c>
      <c r="J31" s="43">
        <v>0.25</v>
      </c>
      <c r="K31" s="43">
        <v>38.880000000000003</v>
      </c>
      <c r="L31" s="43">
        <v>27.03</v>
      </c>
      <c r="M31" s="43">
        <v>85.7</v>
      </c>
      <c r="N31" s="43">
        <v>2.4</v>
      </c>
      <c r="O31" s="43">
        <v>0</v>
      </c>
      <c r="P31" s="43">
        <v>0.27</v>
      </c>
      <c r="Q31" s="43">
        <v>11.6</v>
      </c>
      <c r="R31" s="41"/>
      <c r="S31" s="41"/>
      <c r="T31" s="41"/>
      <c r="U31" s="41"/>
    </row>
    <row r="32" spans="1:21" customFormat="1">
      <c r="A32" s="42" t="s">
        <v>348</v>
      </c>
      <c r="B32" s="43">
        <v>10.31</v>
      </c>
      <c r="C32" s="43">
        <v>9.4</v>
      </c>
      <c r="D32" s="43">
        <v>13.17</v>
      </c>
      <c r="E32" s="43">
        <v>5.31</v>
      </c>
      <c r="F32" s="43">
        <v>2.11</v>
      </c>
      <c r="G32" s="43">
        <v>25.96</v>
      </c>
      <c r="H32" s="43">
        <v>5.25</v>
      </c>
      <c r="I32" s="43">
        <v>5.25</v>
      </c>
      <c r="J32" s="43">
        <v>0.41</v>
      </c>
      <c r="K32" s="43">
        <v>42.21</v>
      </c>
      <c r="L32" s="43">
        <v>26.48</v>
      </c>
      <c r="M32" s="43">
        <v>85.45</v>
      </c>
      <c r="N32" s="43">
        <v>2.1</v>
      </c>
      <c r="O32" s="43">
        <v>0</v>
      </c>
      <c r="P32" s="43">
        <v>0.31</v>
      </c>
      <c r="Q32" s="43">
        <v>11.6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3.46</v>
      </c>
      <c r="C34" s="18">
        <f t="shared" si="0"/>
        <v>7.76</v>
      </c>
      <c r="D34" s="18">
        <f t="shared" si="0"/>
        <v>7.39</v>
      </c>
      <c r="E34" s="18">
        <f t="shared" si="0"/>
        <v>4.79</v>
      </c>
      <c r="F34" s="18">
        <f t="shared" si="0"/>
        <v>2</v>
      </c>
      <c r="G34" s="18">
        <f t="shared" si="0"/>
        <v>10.68</v>
      </c>
      <c r="H34" s="18">
        <f t="shared" si="0"/>
        <v>2.54</v>
      </c>
      <c r="I34" s="18">
        <f t="shared" si="0"/>
        <v>4.07</v>
      </c>
      <c r="J34" s="18">
        <f t="shared" si="0"/>
        <v>0.08</v>
      </c>
      <c r="K34" s="18">
        <f t="shared" si="0"/>
        <v>38.880000000000003</v>
      </c>
      <c r="L34" s="18">
        <f t="shared" si="0"/>
        <v>24.56</v>
      </c>
      <c r="M34" s="18">
        <f t="shared" si="0"/>
        <v>70.209999999999994</v>
      </c>
      <c r="N34" s="18">
        <f t="shared" si="0"/>
        <v>2.1</v>
      </c>
      <c r="O34" s="18">
        <f t="shared" si="0"/>
        <v>0</v>
      </c>
      <c r="P34" s="18">
        <f t="shared" si="0"/>
        <v>0.21</v>
      </c>
      <c r="Q34" s="18">
        <f t="shared" si="0"/>
        <v>11.6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15.95</v>
      </c>
      <c r="C35" s="3">
        <f t="shared" si="1"/>
        <v>11.06</v>
      </c>
      <c r="D35" s="3">
        <f t="shared" si="1"/>
        <v>17.809999999999999</v>
      </c>
      <c r="E35" s="3">
        <f t="shared" si="1"/>
        <v>10.63</v>
      </c>
      <c r="F35" s="3">
        <f t="shared" si="1"/>
        <v>9.48</v>
      </c>
      <c r="G35" s="3">
        <f t="shared" si="1"/>
        <v>25.96</v>
      </c>
      <c r="H35" s="3">
        <f t="shared" si="1"/>
        <v>5.53</v>
      </c>
      <c r="I35" s="3">
        <f t="shared" si="1"/>
        <v>5.95</v>
      </c>
      <c r="J35" s="3">
        <f t="shared" si="1"/>
        <v>1.01</v>
      </c>
      <c r="K35" s="3">
        <f t="shared" si="1"/>
        <v>320.27</v>
      </c>
      <c r="L35" s="3">
        <f t="shared" si="1"/>
        <v>32.299999999999997</v>
      </c>
      <c r="M35" s="3">
        <f t="shared" si="1"/>
        <v>89.52</v>
      </c>
      <c r="N35" s="3">
        <f t="shared" si="1"/>
        <v>586.70000000000005</v>
      </c>
      <c r="O35" s="3">
        <f t="shared" si="1"/>
        <v>0</v>
      </c>
      <c r="P35" s="3">
        <f t="shared" si="1"/>
        <v>0.31</v>
      </c>
      <c r="Q35" s="3">
        <f t="shared" si="1"/>
        <v>11.6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10.952499999999999</v>
      </c>
      <c r="C36" s="18">
        <f t="shared" si="2"/>
        <v>9.6858333333333366</v>
      </c>
      <c r="D36" s="18">
        <f t="shared" si="2"/>
        <v>13.722916666666665</v>
      </c>
      <c r="E36" s="18">
        <f t="shared" si="2"/>
        <v>6.1899999999999986</v>
      </c>
      <c r="F36" s="18">
        <f t="shared" si="2"/>
        <v>3.6770833333333335</v>
      </c>
      <c r="G36" s="18">
        <f t="shared" si="2"/>
        <v>17.50333333333333</v>
      </c>
      <c r="H36" s="18">
        <f t="shared" si="2"/>
        <v>3.8920833333333333</v>
      </c>
      <c r="I36" s="18">
        <f t="shared" si="2"/>
        <v>5.129999999999999</v>
      </c>
      <c r="J36" s="18">
        <f t="shared" si="2"/>
        <v>0.36916666666666664</v>
      </c>
      <c r="K36" s="18">
        <f t="shared" si="2"/>
        <v>111.88833333333336</v>
      </c>
      <c r="L36" s="18">
        <f t="shared" si="2"/>
        <v>28.132499999999993</v>
      </c>
      <c r="M36" s="18">
        <f t="shared" si="2"/>
        <v>82.501666666666679</v>
      </c>
      <c r="N36" s="18">
        <f t="shared" si="2"/>
        <v>136.7583333333333</v>
      </c>
      <c r="O36" s="18">
        <f t="shared" si="2"/>
        <v>0</v>
      </c>
      <c r="P36" s="18">
        <f t="shared" si="2"/>
        <v>0.25374999999999998</v>
      </c>
      <c r="Q36" s="18">
        <f t="shared" si="2"/>
        <v>11.599999999999996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4.3218748447766453</v>
      </c>
      <c r="C37" s="18">
        <f t="shared" ref="C37:Q37" si="3">STDEV(C9:C32)</f>
        <v>0.80395174345050202</v>
      </c>
      <c r="D37" s="18">
        <f t="shared" si="3"/>
        <v>3.4156105561106536</v>
      </c>
      <c r="E37" s="18">
        <f t="shared" si="3"/>
        <v>1.4203245189499674</v>
      </c>
      <c r="F37" s="18">
        <f t="shared" si="3"/>
        <v>1.8571424500318066</v>
      </c>
      <c r="G37" s="18">
        <f t="shared" si="3"/>
        <v>3.7320558114409663</v>
      </c>
      <c r="H37" s="18">
        <f t="shared" si="3"/>
        <v>0.97212890166339438</v>
      </c>
      <c r="I37" s="18">
        <f t="shared" si="3"/>
        <v>0.56182931030078254</v>
      </c>
      <c r="J37" s="18">
        <f t="shared" si="3"/>
        <v>0.20759317796168525</v>
      </c>
      <c r="K37" s="18">
        <f t="shared" si="3"/>
        <v>73.789233082073551</v>
      </c>
      <c r="L37" s="18">
        <f t="shared" si="3"/>
        <v>2.4926993400729258</v>
      </c>
      <c r="M37" s="18">
        <f t="shared" si="3"/>
        <v>6.6056218919727874</v>
      </c>
      <c r="N37" s="18">
        <f t="shared" si="3"/>
        <v>190.38534816813367</v>
      </c>
      <c r="O37" s="18">
        <f t="shared" si="3"/>
        <v>0</v>
      </c>
      <c r="P37" s="18">
        <f t="shared" si="3"/>
        <v>2.5334715828028483E-2</v>
      </c>
      <c r="Q37" s="18">
        <f t="shared" si="3"/>
        <v>3.6291248651938389E-15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R18" sqref="R1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13/09/2025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349</v>
      </c>
      <c r="B9" s="43">
        <v>10.47</v>
      </c>
      <c r="C9" s="43">
        <v>9.5299999999999994</v>
      </c>
      <c r="D9" s="43">
        <v>13.38</v>
      </c>
      <c r="E9" s="43">
        <v>5.82</v>
      </c>
      <c r="F9" s="43">
        <v>2.06</v>
      </c>
      <c r="G9" s="43">
        <v>25.96</v>
      </c>
      <c r="H9" s="43">
        <v>5.91</v>
      </c>
      <c r="I9" s="43">
        <v>5.0999999999999996</v>
      </c>
      <c r="J9" s="43">
        <v>0.54</v>
      </c>
      <c r="K9" s="43">
        <v>47.17</v>
      </c>
      <c r="L9" s="43">
        <v>26.17</v>
      </c>
      <c r="M9" s="43">
        <v>85.22</v>
      </c>
      <c r="N9" s="43">
        <v>2.1</v>
      </c>
      <c r="O9" s="43">
        <v>0</v>
      </c>
      <c r="P9" s="43">
        <v>0.3</v>
      </c>
      <c r="Q9" s="43">
        <v>10.6</v>
      </c>
      <c r="R9" s="41"/>
      <c r="S9" s="41"/>
      <c r="T9" s="41"/>
      <c r="U9" s="41"/>
    </row>
    <row r="10" spans="1:21" customFormat="1">
      <c r="A10" s="42" t="s">
        <v>350</v>
      </c>
      <c r="B10" s="43">
        <v>10.44</v>
      </c>
      <c r="C10" s="43">
        <v>9.4700000000000006</v>
      </c>
      <c r="D10" s="43">
        <v>13.3</v>
      </c>
      <c r="E10" s="43">
        <v>5.85</v>
      </c>
      <c r="F10" s="43">
        <v>2.04</v>
      </c>
      <c r="G10" s="43">
        <v>23.33</v>
      </c>
      <c r="H10" s="43">
        <v>5.91</v>
      </c>
      <c r="I10" s="43">
        <v>5.03</v>
      </c>
      <c r="J10" s="43">
        <v>0.38</v>
      </c>
      <c r="K10" s="43">
        <v>54.13</v>
      </c>
      <c r="L10" s="43">
        <v>25.99</v>
      </c>
      <c r="M10" s="43">
        <v>85.14</v>
      </c>
      <c r="N10" s="43">
        <v>2.1</v>
      </c>
      <c r="O10" s="43">
        <v>0</v>
      </c>
      <c r="P10" s="43">
        <v>0.28999999999999998</v>
      </c>
      <c r="Q10" s="43">
        <v>10.4</v>
      </c>
      <c r="R10" s="41"/>
      <c r="S10" s="41"/>
      <c r="T10" s="41"/>
      <c r="U10" s="41"/>
    </row>
    <row r="11" spans="1:21" customFormat="1">
      <c r="A11" s="42" t="s">
        <v>351</v>
      </c>
      <c r="B11" s="43">
        <v>10.58</v>
      </c>
      <c r="C11" s="43">
        <v>9.23</v>
      </c>
      <c r="D11" s="43">
        <v>13.3</v>
      </c>
      <c r="E11" s="43">
        <v>5.49</v>
      </c>
      <c r="F11" s="43">
        <v>2</v>
      </c>
      <c r="G11" s="43">
        <v>21.66</v>
      </c>
      <c r="H11" s="43">
        <v>5.38</v>
      </c>
      <c r="I11" s="43">
        <v>4.8899999999999997</v>
      </c>
      <c r="J11" s="43">
        <v>0.17</v>
      </c>
      <c r="K11" s="43">
        <v>133.77000000000001</v>
      </c>
      <c r="L11" s="43">
        <v>26</v>
      </c>
      <c r="M11" s="43">
        <v>84.37</v>
      </c>
      <c r="N11" s="43">
        <v>2.1</v>
      </c>
      <c r="O11" s="43">
        <v>0</v>
      </c>
      <c r="P11" s="43">
        <v>0.27</v>
      </c>
      <c r="Q11" s="43">
        <v>10.4</v>
      </c>
      <c r="R11" s="41"/>
      <c r="S11" s="41"/>
      <c r="T11" s="41"/>
      <c r="U11" s="41"/>
    </row>
    <row r="12" spans="1:21" customFormat="1">
      <c r="A12" s="42" t="s">
        <v>352</v>
      </c>
      <c r="B12" s="43">
        <v>10.19</v>
      </c>
      <c r="C12" s="43">
        <v>9.01</v>
      </c>
      <c r="D12" s="43">
        <v>12.88</v>
      </c>
      <c r="E12" s="43">
        <v>5.61</v>
      </c>
      <c r="F12" s="43">
        <v>2</v>
      </c>
      <c r="G12" s="43">
        <v>20.94</v>
      </c>
      <c r="H12" s="43">
        <v>4.76</v>
      </c>
      <c r="I12" s="43">
        <v>4.87</v>
      </c>
      <c r="J12" s="43">
        <v>0.17</v>
      </c>
      <c r="K12" s="43">
        <v>165.88</v>
      </c>
      <c r="L12" s="43">
        <v>25.97</v>
      </c>
      <c r="M12" s="43">
        <v>84.21</v>
      </c>
      <c r="N12" s="43">
        <v>2.1</v>
      </c>
      <c r="O12" s="43">
        <v>0</v>
      </c>
      <c r="P12" s="43">
        <v>0.26</v>
      </c>
      <c r="Q12" s="43">
        <v>10.4</v>
      </c>
      <c r="R12" s="41"/>
      <c r="S12" s="41"/>
      <c r="T12" s="41"/>
      <c r="U12" s="41"/>
    </row>
    <row r="13" spans="1:21" customFormat="1">
      <c r="A13" s="42" t="s">
        <v>353</v>
      </c>
      <c r="B13" s="43">
        <v>9.84</v>
      </c>
      <c r="C13" s="43">
        <v>8.75</v>
      </c>
      <c r="D13" s="43">
        <v>12.24</v>
      </c>
      <c r="E13" s="43">
        <v>5.28</v>
      </c>
      <c r="F13" s="43">
        <v>2.2599999999999998</v>
      </c>
      <c r="G13" s="43">
        <v>16.45</v>
      </c>
      <c r="H13" s="43">
        <v>4.42</v>
      </c>
      <c r="I13" s="43">
        <v>4.7</v>
      </c>
      <c r="J13" s="43">
        <v>0.2</v>
      </c>
      <c r="K13" s="43">
        <v>143.36000000000001</v>
      </c>
      <c r="L13" s="43">
        <v>25.59</v>
      </c>
      <c r="M13" s="43">
        <v>84.39</v>
      </c>
      <c r="N13" s="43">
        <v>2.1</v>
      </c>
      <c r="O13" s="43">
        <v>0</v>
      </c>
      <c r="P13" s="43">
        <v>0.24</v>
      </c>
      <c r="Q13" s="43">
        <v>10.4</v>
      </c>
      <c r="R13" s="41"/>
      <c r="S13" s="41"/>
      <c r="T13" s="41"/>
      <c r="U13" s="41"/>
    </row>
    <row r="14" spans="1:21" customFormat="1">
      <c r="A14" s="42" t="s">
        <v>354</v>
      </c>
      <c r="B14" s="43">
        <v>10.72</v>
      </c>
      <c r="C14" s="43">
        <v>8.23</v>
      </c>
      <c r="D14" s="43">
        <v>12.9</v>
      </c>
      <c r="E14" s="43">
        <v>5.1100000000000003</v>
      </c>
      <c r="F14" s="43">
        <v>2.2599999999999998</v>
      </c>
      <c r="G14" s="43">
        <v>16.34</v>
      </c>
      <c r="H14" s="43">
        <v>3.68</v>
      </c>
      <c r="I14" s="43">
        <v>4.8</v>
      </c>
      <c r="J14" s="43">
        <v>0.48</v>
      </c>
      <c r="K14" s="43">
        <v>45.1</v>
      </c>
      <c r="L14" s="43">
        <v>25.43</v>
      </c>
      <c r="M14" s="43">
        <v>85.18</v>
      </c>
      <c r="N14" s="43">
        <v>4.4000000000000004</v>
      </c>
      <c r="O14" s="43">
        <v>0</v>
      </c>
      <c r="P14" s="43">
        <v>0.21</v>
      </c>
      <c r="Q14" s="43">
        <v>10.4</v>
      </c>
      <c r="R14" s="41"/>
      <c r="S14" s="41"/>
      <c r="T14" s="41"/>
      <c r="U14" s="41"/>
    </row>
    <row r="15" spans="1:21" customFormat="1">
      <c r="A15" s="42" t="s">
        <v>355</v>
      </c>
      <c r="B15" s="43">
        <v>11.88</v>
      </c>
      <c r="C15" s="43">
        <v>8.2799999999999994</v>
      </c>
      <c r="D15" s="43">
        <v>13.59</v>
      </c>
      <c r="E15" s="43">
        <v>4.92</v>
      </c>
      <c r="F15" s="43">
        <v>2</v>
      </c>
      <c r="G15" s="43">
        <v>13.96</v>
      </c>
      <c r="H15" s="43">
        <v>3.27</v>
      </c>
      <c r="I15" s="43">
        <v>4.88</v>
      </c>
      <c r="J15" s="43">
        <v>0.44</v>
      </c>
      <c r="K15" s="43">
        <v>47.47</v>
      </c>
      <c r="L15" s="43">
        <v>25.76</v>
      </c>
      <c r="M15" s="43">
        <v>85.48</v>
      </c>
      <c r="N15" s="43">
        <v>21.4</v>
      </c>
      <c r="O15" s="43">
        <v>0</v>
      </c>
      <c r="P15" s="43">
        <v>0.22</v>
      </c>
      <c r="Q15" s="43">
        <v>10.4</v>
      </c>
      <c r="R15" s="41"/>
      <c r="S15" s="41"/>
      <c r="T15" s="41"/>
      <c r="U15" s="41"/>
    </row>
    <row r="16" spans="1:21" customFormat="1">
      <c r="A16" s="42" t="s">
        <v>356</v>
      </c>
      <c r="B16" s="43">
        <v>12.66</v>
      </c>
      <c r="C16" s="43">
        <v>8.3699999999999992</v>
      </c>
      <c r="D16" s="43">
        <v>14.53</v>
      </c>
      <c r="E16" s="43">
        <v>5.0199999999999996</v>
      </c>
      <c r="F16" s="43">
        <v>2.5099999999999998</v>
      </c>
      <c r="G16" s="43">
        <v>13.96</v>
      </c>
      <c r="H16" s="43">
        <v>3.26</v>
      </c>
      <c r="I16" s="43">
        <v>5.0599999999999996</v>
      </c>
      <c r="J16" s="43">
        <v>0.66</v>
      </c>
      <c r="K16" s="43">
        <v>40.61</v>
      </c>
      <c r="L16" s="43">
        <v>26.25</v>
      </c>
      <c r="M16" s="43">
        <v>85.38</v>
      </c>
      <c r="N16" s="43">
        <v>67.400000000000006</v>
      </c>
      <c r="O16" s="43">
        <v>0</v>
      </c>
      <c r="P16" s="43">
        <v>0.23</v>
      </c>
      <c r="Q16" s="43">
        <v>10.4</v>
      </c>
      <c r="R16" s="41"/>
      <c r="S16" s="41"/>
      <c r="T16" s="41"/>
      <c r="U16" s="41"/>
    </row>
    <row r="17" spans="1:21" customFormat="1">
      <c r="A17" s="42" t="s">
        <v>357</v>
      </c>
      <c r="B17" s="43">
        <v>12.96</v>
      </c>
      <c r="C17" s="43">
        <v>8.85</v>
      </c>
      <c r="D17" s="43">
        <v>14.88</v>
      </c>
      <c r="E17" s="43">
        <v>5.14</v>
      </c>
      <c r="F17" s="43">
        <v>2.66</v>
      </c>
      <c r="G17" s="43">
        <v>14.65</v>
      </c>
      <c r="H17" s="43">
        <v>3.99</v>
      </c>
      <c r="I17" s="43">
        <v>5.14</v>
      </c>
      <c r="J17" s="43">
        <v>0.42</v>
      </c>
      <c r="K17" s="43">
        <v>57.16</v>
      </c>
      <c r="L17" s="43">
        <v>28.55</v>
      </c>
      <c r="M17" s="43">
        <v>84.93</v>
      </c>
      <c r="N17" s="43">
        <v>220.8</v>
      </c>
      <c r="O17" s="43">
        <v>0</v>
      </c>
      <c r="P17" s="43">
        <v>0.25</v>
      </c>
      <c r="Q17" s="43">
        <v>10.4</v>
      </c>
      <c r="R17" s="41"/>
      <c r="S17" s="41"/>
      <c r="T17" s="41"/>
      <c r="U17" s="41"/>
    </row>
    <row r="18" spans="1:21" customFormat="1">
      <c r="A18" s="42" t="s">
        <v>358</v>
      </c>
      <c r="B18" s="43">
        <v>12.61</v>
      </c>
      <c r="C18" s="43">
        <v>9.3699999999999992</v>
      </c>
      <c r="D18" s="43">
        <v>14.8</v>
      </c>
      <c r="E18" s="43">
        <v>5.49</v>
      </c>
      <c r="F18" s="43">
        <v>2.19</v>
      </c>
      <c r="G18" s="43">
        <v>14.65</v>
      </c>
      <c r="H18" s="43">
        <v>3.99</v>
      </c>
      <c r="I18" s="43">
        <v>5.19</v>
      </c>
      <c r="J18" s="43">
        <v>0.52</v>
      </c>
      <c r="K18" s="43">
        <v>91.58</v>
      </c>
      <c r="L18" s="43">
        <v>30.21</v>
      </c>
      <c r="M18" s="43">
        <v>82.1</v>
      </c>
      <c r="N18" s="43">
        <v>474.3</v>
      </c>
      <c r="O18" s="43">
        <v>0</v>
      </c>
      <c r="P18" s="43">
        <v>0.28000000000000003</v>
      </c>
      <c r="Q18" s="43">
        <v>10.4</v>
      </c>
      <c r="R18" s="41"/>
      <c r="S18" s="41"/>
      <c r="T18" s="41"/>
      <c r="U18" s="41"/>
    </row>
    <row r="19" spans="1:21" customFormat="1">
      <c r="A19" s="42" t="s">
        <v>359</v>
      </c>
      <c r="B19" s="43">
        <v>10.97</v>
      </c>
      <c r="C19" s="43">
        <v>9.5399999999999991</v>
      </c>
      <c r="D19" s="43">
        <v>13.78</v>
      </c>
      <c r="E19" s="43">
        <v>5.53</v>
      </c>
      <c r="F19" s="43">
        <v>2.06</v>
      </c>
      <c r="G19" s="43">
        <v>13.88</v>
      </c>
      <c r="H19" s="43">
        <v>3.62</v>
      </c>
      <c r="I19" s="43">
        <v>4.9800000000000004</v>
      </c>
      <c r="J19" s="43">
        <v>0.46</v>
      </c>
      <c r="K19" s="43">
        <v>108.62</v>
      </c>
      <c r="L19" s="43">
        <v>31.41</v>
      </c>
      <c r="M19" s="43">
        <v>73.02</v>
      </c>
      <c r="N19" s="43">
        <v>591.6</v>
      </c>
      <c r="O19" s="43">
        <v>0</v>
      </c>
      <c r="P19" s="43">
        <v>0.28000000000000003</v>
      </c>
      <c r="Q19" s="43">
        <v>10.4</v>
      </c>
      <c r="R19" s="41"/>
      <c r="S19" s="41"/>
      <c r="T19" s="41"/>
      <c r="U19" s="41"/>
    </row>
    <row r="20" spans="1:21" customFormat="1">
      <c r="A20" s="42" t="s">
        <v>360</v>
      </c>
      <c r="B20" s="43">
        <v>8.7899999999999991</v>
      </c>
      <c r="C20" s="43">
        <v>9.24</v>
      </c>
      <c r="D20" s="43">
        <v>11.87</v>
      </c>
      <c r="E20" s="43">
        <v>5.49</v>
      </c>
      <c r="F20" s="43">
        <v>2.61</v>
      </c>
      <c r="G20" s="43">
        <v>12.84</v>
      </c>
      <c r="H20" s="43">
        <v>3.76</v>
      </c>
      <c r="I20" s="43">
        <v>4.7</v>
      </c>
      <c r="J20" s="43">
        <v>0.44</v>
      </c>
      <c r="K20" s="43">
        <v>94.97</v>
      </c>
      <c r="L20" s="43">
        <v>31.96</v>
      </c>
      <c r="M20" s="43">
        <v>68.430000000000007</v>
      </c>
      <c r="N20" s="43">
        <v>749.2</v>
      </c>
      <c r="O20" s="43">
        <v>0</v>
      </c>
      <c r="P20" s="43">
        <v>0.26</v>
      </c>
      <c r="Q20" s="43">
        <v>10.4</v>
      </c>
      <c r="R20" s="41"/>
      <c r="S20" s="41"/>
      <c r="T20" s="41"/>
      <c r="U20" s="41"/>
    </row>
    <row r="21" spans="1:21" customFormat="1">
      <c r="A21" s="42" t="s">
        <v>361</v>
      </c>
      <c r="B21" s="43">
        <v>7.16</v>
      </c>
      <c r="C21" s="43">
        <v>9.1999999999999993</v>
      </c>
      <c r="D21" s="43">
        <v>10.55</v>
      </c>
      <c r="E21" s="43">
        <v>5.46</v>
      </c>
      <c r="F21" s="43">
        <v>2.63</v>
      </c>
      <c r="G21" s="43">
        <v>12.84</v>
      </c>
      <c r="H21" s="43">
        <v>3.76</v>
      </c>
      <c r="I21" s="43">
        <v>4.42</v>
      </c>
      <c r="J21" s="43">
        <v>0.32</v>
      </c>
      <c r="K21" s="43">
        <v>136.29</v>
      </c>
      <c r="L21" s="43">
        <v>32.75</v>
      </c>
      <c r="M21" s="43">
        <v>67.489999999999995</v>
      </c>
      <c r="N21" s="43">
        <v>841</v>
      </c>
      <c r="O21" s="43">
        <v>0</v>
      </c>
      <c r="P21" s="43">
        <v>0.25</v>
      </c>
      <c r="Q21" s="43">
        <v>10.4</v>
      </c>
      <c r="R21" s="41"/>
      <c r="S21" s="41"/>
      <c r="T21" s="41"/>
      <c r="U21" s="41"/>
    </row>
    <row r="22" spans="1:21" customFormat="1">
      <c r="A22" s="42" t="s">
        <v>362</v>
      </c>
      <c r="B22" s="43">
        <v>6.13</v>
      </c>
      <c r="C22" s="43">
        <v>8.94</v>
      </c>
      <c r="D22" s="43">
        <v>9.5399999999999991</v>
      </c>
      <c r="E22" s="43">
        <v>5.29</v>
      </c>
      <c r="F22" s="43">
        <v>2.58</v>
      </c>
      <c r="G22" s="43">
        <v>11.81</v>
      </c>
      <c r="H22" s="43">
        <v>3.52</v>
      </c>
      <c r="I22" s="43">
        <v>4.33</v>
      </c>
      <c r="J22" s="43">
        <v>0.53</v>
      </c>
      <c r="K22" s="43">
        <v>82.32</v>
      </c>
      <c r="L22" s="43">
        <v>32.619999999999997</v>
      </c>
      <c r="M22" s="43">
        <v>64.98</v>
      </c>
      <c r="N22" s="43">
        <v>387.4</v>
      </c>
      <c r="O22" s="43">
        <v>0</v>
      </c>
      <c r="P22" s="43">
        <v>0.22</v>
      </c>
      <c r="Q22" s="43">
        <v>10.4</v>
      </c>
      <c r="R22" s="41"/>
      <c r="S22" s="41"/>
      <c r="T22" s="41"/>
      <c r="U22" s="41"/>
    </row>
    <row r="23" spans="1:21" customFormat="1">
      <c r="A23" s="42" t="s">
        <v>363</v>
      </c>
      <c r="B23" s="43">
        <v>6.25</v>
      </c>
      <c r="C23" s="43">
        <v>8.49</v>
      </c>
      <c r="D23" s="43">
        <v>9.44</v>
      </c>
      <c r="E23" s="43">
        <v>5.32</v>
      </c>
      <c r="F23" s="43">
        <v>3.8</v>
      </c>
      <c r="G23" s="43">
        <v>10.95</v>
      </c>
      <c r="H23" s="43">
        <v>3.27</v>
      </c>
      <c r="I23" s="43">
        <v>4.12</v>
      </c>
      <c r="J23" s="43">
        <v>0.42</v>
      </c>
      <c r="K23" s="43">
        <v>160.22</v>
      </c>
      <c r="L23" s="43">
        <v>31.85</v>
      </c>
      <c r="M23" s="43">
        <v>66.8</v>
      </c>
      <c r="N23" s="43">
        <v>414.3</v>
      </c>
      <c r="O23" s="43">
        <v>0</v>
      </c>
      <c r="P23" s="43">
        <v>0.2</v>
      </c>
      <c r="Q23" s="43">
        <v>10.4</v>
      </c>
      <c r="R23" s="41"/>
      <c r="S23" s="41"/>
      <c r="T23" s="41"/>
      <c r="U23" s="41"/>
    </row>
    <row r="24" spans="1:21" customFormat="1">
      <c r="A24" s="42" t="s">
        <v>364</v>
      </c>
      <c r="B24" s="43">
        <v>6.23</v>
      </c>
      <c r="C24" s="43">
        <v>8.57</v>
      </c>
      <c r="D24" s="43">
        <v>9.48</v>
      </c>
      <c r="E24" s="43">
        <v>4.87</v>
      </c>
      <c r="F24" s="43">
        <v>6.98</v>
      </c>
      <c r="G24" s="43">
        <v>10.95</v>
      </c>
      <c r="H24" s="43">
        <v>3.27</v>
      </c>
      <c r="I24" s="43">
        <v>4.3499999999999996</v>
      </c>
      <c r="J24" s="43">
        <v>0.6</v>
      </c>
      <c r="K24" s="43">
        <v>126.85</v>
      </c>
      <c r="L24" s="43">
        <v>31.69</v>
      </c>
      <c r="M24" s="43">
        <v>67.27</v>
      </c>
      <c r="N24" s="43">
        <v>132.5</v>
      </c>
      <c r="O24" s="43">
        <v>0</v>
      </c>
      <c r="P24" s="43">
        <v>0.17</v>
      </c>
      <c r="Q24" s="43">
        <v>10.4</v>
      </c>
      <c r="R24" s="41"/>
      <c r="S24" s="41"/>
      <c r="T24" s="41"/>
      <c r="U24" s="41"/>
    </row>
    <row r="25" spans="1:21" customFormat="1">
      <c r="A25" s="42" t="s">
        <v>365</v>
      </c>
      <c r="B25" s="43">
        <v>6.64</v>
      </c>
      <c r="C25" s="43">
        <v>9.94</v>
      </c>
      <c r="D25" s="43">
        <v>10.52</v>
      </c>
      <c r="E25" s="43">
        <v>4.54</v>
      </c>
      <c r="F25" s="43">
        <v>8.18</v>
      </c>
      <c r="G25" s="43">
        <v>10.34</v>
      </c>
      <c r="H25" s="43">
        <v>2.73</v>
      </c>
      <c r="I25" s="43">
        <v>4.34</v>
      </c>
      <c r="J25" s="43">
        <v>0.33</v>
      </c>
      <c r="K25" s="43">
        <v>140.69999999999999</v>
      </c>
      <c r="L25" s="43">
        <v>30.87</v>
      </c>
      <c r="M25" s="43">
        <v>70.33</v>
      </c>
      <c r="N25" s="43">
        <v>76.599999999999994</v>
      </c>
      <c r="O25" s="43">
        <v>0</v>
      </c>
      <c r="P25" s="43">
        <v>0.18</v>
      </c>
      <c r="Q25" s="43">
        <v>10.4</v>
      </c>
      <c r="R25" s="41"/>
      <c r="S25" s="41"/>
      <c r="T25" s="41"/>
      <c r="U25" s="41"/>
    </row>
    <row r="26" spans="1:21" customFormat="1">
      <c r="A26" s="42" t="s">
        <v>366</v>
      </c>
      <c r="B26" s="43">
        <v>5.85</v>
      </c>
      <c r="C26" s="43">
        <v>8.4499999999999993</v>
      </c>
      <c r="D26" s="43">
        <v>9.1</v>
      </c>
      <c r="E26" s="43">
        <v>4.57</v>
      </c>
      <c r="F26" s="43">
        <v>8.82</v>
      </c>
      <c r="G26" s="43">
        <v>9.68</v>
      </c>
      <c r="H26" s="43">
        <v>2.73</v>
      </c>
      <c r="I26" s="43">
        <v>4.3600000000000003</v>
      </c>
      <c r="J26" s="43">
        <v>0.22</v>
      </c>
      <c r="K26" s="43">
        <v>166.03</v>
      </c>
      <c r="L26" s="43">
        <v>30.08</v>
      </c>
      <c r="M26" s="43">
        <v>77.66</v>
      </c>
      <c r="N26" s="43">
        <v>27.8</v>
      </c>
      <c r="O26" s="43">
        <v>0</v>
      </c>
      <c r="P26" s="43">
        <v>0.18</v>
      </c>
      <c r="Q26" s="43">
        <v>10.4</v>
      </c>
      <c r="R26" s="41"/>
      <c r="S26" s="41"/>
      <c r="T26" s="41"/>
      <c r="U26" s="41"/>
    </row>
    <row r="27" spans="1:21" customFormat="1">
      <c r="A27" s="42" t="s">
        <v>367</v>
      </c>
      <c r="B27" s="43">
        <v>6.38</v>
      </c>
      <c r="C27" s="43">
        <v>8.6199999999999992</v>
      </c>
      <c r="D27" s="43">
        <v>9.48</v>
      </c>
      <c r="E27" s="43">
        <v>5.99</v>
      </c>
      <c r="F27" s="43">
        <v>6.31</v>
      </c>
      <c r="G27" s="43">
        <v>8.94</v>
      </c>
      <c r="H27" s="43">
        <v>2.68</v>
      </c>
      <c r="I27" s="43">
        <v>4.2699999999999996</v>
      </c>
      <c r="J27" s="43">
        <v>0.26</v>
      </c>
      <c r="K27" s="43">
        <v>170.81</v>
      </c>
      <c r="L27" s="43">
        <v>29.6</v>
      </c>
      <c r="M27" s="43">
        <v>80.510000000000005</v>
      </c>
      <c r="N27" s="43">
        <v>3.2</v>
      </c>
      <c r="O27" s="43">
        <v>0</v>
      </c>
      <c r="P27" s="43">
        <v>0.21</v>
      </c>
      <c r="Q27" s="43">
        <v>10.4</v>
      </c>
      <c r="R27" s="41"/>
      <c r="S27" s="41"/>
      <c r="T27" s="41"/>
      <c r="U27" s="41"/>
    </row>
    <row r="28" spans="1:21" customFormat="1">
      <c r="A28" s="42" t="s">
        <v>368</v>
      </c>
      <c r="B28" s="43">
        <v>6.64</v>
      </c>
      <c r="C28" s="43">
        <v>8.48</v>
      </c>
      <c r="D28" s="43">
        <v>9.76</v>
      </c>
      <c r="E28" s="43">
        <v>6.02</v>
      </c>
      <c r="F28" s="43">
        <v>2.02</v>
      </c>
      <c r="G28" s="43">
        <v>10.53</v>
      </c>
      <c r="H28" s="43">
        <v>3.39</v>
      </c>
      <c r="I28" s="43">
        <v>5.04</v>
      </c>
      <c r="J28" s="43">
        <v>0.18</v>
      </c>
      <c r="K28" s="43">
        <v>159.22</v>
      </c>
      <c r="L28" s="43">
        <v>28.88</v>
      </c>
      <c r="M28" s="43">
        <v>79.75</v>
      </c>
      <c r="N28" s="43">
        <v>2.2999999999999998</v>
      </c>
      <c r="O28" s="43">
        <v>0</v>
      </c>
      <c r="P28" s="43">
        <v>0.26</v>
      </c>
      <c r="Q28" s="43">
        <v>10.4</v>
      </c>
      <c r="R28" s="41"/>
      <c r="S28" s="41"/>
      <c r="T28" s="41"/>
      <c r="U28" s="41"/>
    </row>
    <row r="29" spans="1:21" customFormat="1">
      <c r="A29" s="42" t="s">
        <v>369</v>
      </c>
      <c r="B29" s="43">
        <v>6.66</v>
      </c>
      <c r="C29" s="43">
        <v>8.3000000000000007</v>
      </c>
      <c r="D29" s="43">
        <v>9.64</v>
      </c>
      <c r="E29" s="43">
        <v>5.98</v>
      </c>
      <c r="F29" s="43">
        <v>2.0299999999999998</v>
      </c>
      <c r="G29" s="43">
        <v>10.53</v>
      </c>
      <c r="H29" s="43">
        <v>3.39</v>
      </c>
      <c r="I29" s="43">
        <v>5.44</v>
      </c>
      <c r="J29" s="43">
        <v>0.18</v>
      </c>
      <c r="K29" s="43">
        <v>150.94999999999999</v>
      </c>
      <c r="L29" s="43">
        <v>28.27</v>
      </c>
      <c r="M29" s="43">
        <v>81.16</v>
      </c>
      <c r="N29" s="43">
        <v>2.2000000000000002</v>
      </c>
      <c r="O29" s="43">
        <v>0</v>
      </c>
      <c r="P29" s="43">
        <v>0.26</v>
      </c>
      <c r="Q29" s="43">
        <v>10.4</v>
      </c>
      <c r="R29" s="41"/>
      <c r="S29" s="41"/>
      <c r="T29" s="41"/>
      <c r="U29" s="41"/>
    </row>
    <row r="30" spans="1:21" customFormat="1">
      <c r="A30" s="42" t="s">
        <v>370</v>
      </c>
      <c r="B30" s="43">
        <v>6.55</v>
      </c>
      <c r="C30" s="43">
        <v>7.85</v>
      </c>
      <c r="D30" s="43">
        <v>9.35</v>
      </c>
      <c r="E30" s="43">
        <v>6.14</v>
      </c>
      <c r="F30" s="43">
        <v>2</v>
      </c>
      <c r="G30" s="43">
        <v>10.49</v>
      </c>
      <c r="H30" s="43">
        <v>3.37</v>
      </c>
      <c r="I30" s="43">
        <v>5.2</v>
      </c>
      <c r="J30" s="43">
        <v>0.13</v>
      </c>
      <c r="K30" s="43">
        <v>185.27</v>
      </c>
      <c r="L30" s="43">
        <v>27.52</v>
      </c>
      <c r="M30" s="43">
        <v>81.400000000000006</v>
      </c>
      <c r="N30" s="43">
        <v>2.2000000000000002</v>
      </c>
      <c r="O30" s="43">
        <v>0</v>
      </c>
      <c r="P30" s="43">
        <v>0.24</v>
      </c>
      <c r="Q30" s="43">
        <v>10.4</v>
      </c>
      <c r="R30" s="41"/>
      <c r="S30" s="41"/>
      <c r="T30" s="41"/>
      <c r="U30" s="41"/>
    </row>
    <row r="31" spans="1:21" customFormat="1">
      <c r="A31" s="42" t="s">
        <v>371</v>
      </c>
      <c r="B31" s="43">
        <v>6.42</v>
      </c>
      <c r="C31" s="43">
        <v>7.53</v>
      </c>
      <c r="D31" s="43">
        <v>9.07</v>
      </c>
      <c r="E31" s="43">
        <v>6.36</v>
      </c>
      <c r="F31" s="43">
        <v>2</v>
      </c>
      <c r="G31" s="43">
        <v>8.23</v>
      </c>
      <c r="H31" s="43">
        <v>2.44</v>
      </c>
      <c r="I31" s="43">
        <v>4.79</v>
      </c>
      <c r="J31" s="43">
        <v>0.14000000000000001</v>
      </c>
      <c r="K31" s="43">
        <v>158.97999999999999</v>
      </c>
      <c r="L31" s="43">
        <v>26.88</v>
      </c>
      <c r="M31" s="43">
        <v>81.7</v>
      </c>
      <c r="N31" s="43">
        <v>2.1</v>
      </c>
      <c r="O31" s="43">
        <v>0</v>
      </c>
      <c r="P31" s="43">
        <v>0.22</v>
      </c>
      <c r="Q31" s="43">
        <v>10.91</v>
      </c>
      <c r="R31" s="41"/>
      <c r="S31" s="41"/>
      <c r="T31" s="41"/>
      <c r="U31" s="41"/>
    </row>
    <row r="32" spans="1:21" customFormat="1">
      <c r="A32" s="42" t="s">
        <v>372</v>
      </c>
      <c r="B32" s="43">
        <v>6.55</v>
      </c>
      <c r="C32" s="43">
        <v>7.64</v>
      </c>
      <c r="D32" s="43">
        <v>9.1199999999999992</v>
      </c>
      <c r="E32" s="43">
        <v>6.4</v>
      </c>
      <c r="F32" s="43">
        <v>2</v>
      </c>
      <c r="G32" s="43">
        <v>5.95</v>
      </c>
      <c r="H32" s="43">
        <v>1.79</v>
      </c>
      <c r="I32" s="43">
        <v>4.51</v>
      </c>
      <c r="J32" s="43">
        <v>0.19</v>
      </c>
      <c r="K32" s="43">
        <v>159.05000000000001</v>
      </c>
      <c r="L32" s="43">
        <v>26.79</v>
      </c>
      <c r="M32" s="43">
        <v>82.03</v>
      </c>
      <c r="N32" s="43">
        <v>2.1</v>
      </c>
      <c r="O32" s="43">
        <v>0</v>
      </c>
      <c r="P32" s="43">
        <v>0.2</v>
      </c>
      <c r="Q32" s="43">
        <v>10.6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5.85</v>
      </c>
      <c r="C34" s="18">
        <f t="shared" si="0"/>
        <v>7.53</v>
      </c>
      <c r="D34" s="18">
        <f t="shared" si="0"/>
        <v>9.07</v>
      </c>
      <c r="E34" s="18">
        <f t="shared" si="0"/>
        <v>4.54</v>
      </c>
      <c r="F34" s="18">
        <f t="shared" si="0"/>
        <v>2</v>
      </c>
      <c r="G34" s="18">
        <f t="shared" si="0"/>
        <v>5.95</v>
      </c>
      <c r="H34" s="18">
        <f t="shared" si="0"/>
        <v>1.79</v>
      </c>
      <c r="I34" s="18">
        <f t="shared" si="0"/>
        <v>4.12</v>
      </c>
      <c r="J34" s="18">
        <f t="shared" si="0"/>
        <v>0.13</v>
      </c>
      <c r="K34" s="18">
        <f t="shared" si="0"/>
        <v>40.61</v>
      </c>
      <c r="L34" s="18">
        <f t="shared" si="0"/>
        <v>25.43</v>
      </c>
      <c r="M34" s="18">
        <f t="shared" si="0"/>
        <v>64.98</v>
      </c>
      <c r="N34" s="18">
        <f t="shared" si="0"/>
        <v>2.1</v>
      </c>
      <c r="O34" s="18">
        <f t="shared" si="0"/>
        <v>0</v>
      </c>
      <c r="P34" s="18">
        <f t="shared" si="0"/>
        <v>0.17</v>
      </c>
      <c r="Q34" s="18">
        <f t="shared" si="0"/>
        <v>10.4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12.96</v>
      </c>
      <c r="C35" s="3">
        <f t="shared" si="1"/>
        <v>9.94</v>
      </c>
      <c r="D35" s="3">
        <f t="shared" si="1"/>
        <v>14.88</v>
      </c>
      <c r="E35" s="3">
        <f t="shared" si="1"/>
        <v>6.4</v>
      </c>
      <c r="F35" s="3">
        <f t="shared" si="1"/>
        <v>8.82</v>
      </c>
      <c r="G35" s="3">
        <f t="shared" si="1"/>
        <v>25.96</v>
      </c>
      <c r="H35" s="3">
        <f t="shared" si="1"/>
        <v>5.91</v>
      </c>
      <c r="I35" s="3">
        <f t="shared" si="1"/>
        <v>5.44</v>
      </c>
      <c r="J35" s="3">
        <f t="shared" si="1"/>
        <v>0.66</v>
      </c>
      <c r="K35" s="3">
        <f t="shared" si="1"/>
        <v>185.27</v>
      </c>
      <c r="L35" s="3">
        <f t="shared" si="1"/>
        <v>32.75</v>
      </c>
      <c r="M35" s="3">
        <f t="shared" si="1"/>
        <v>85.48</v>
      </c>
      <c r="N35" s="3">
        <f t="shared" si="1"/>
        <v>841</v>
      </c>
      <c r="O35" s="3">
        <f t="shared" si="1"/>
        <v>0</v>
      </c>
      <c r="P35" s="3">
        <f t="shared" si="1"/>
        <v>0.3</v>
      </c>
      <c r="Q35" s="3">
        <f t="shared" si="1"/>
        <v>10.91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8.7320833333333301</v>
      </c>
      <c r="C36" s="18">
        <f t="shared" si="2"/>
        <v>8.7449999999999992</v>
      </c>
      <c r="D36" s="18">
        <f t="shared" si="2"/>
        <v>11.520833333333334</v>
      </c>
      <c r="E36" s="18">
        <f t="shared" si="2"/>
        <v>5.4870833333333344</v>
      </c>
      <c r="F36" s="18">
        <f t="shared" si="2"/>
        <v>3.1666666666666665</v>
      </c>
      <c r="G36" s="18">
        <f t="shared" si="2"/>
        <v>13.744166666666665</v>
      </c>
      <c r="H36" s="18">
        <f t="shared" si="2"/>
        <v>3.6787500000000013</v>
      </c>
      <c r="I36" s="18">
        <f t="shared" si="2"/>
        <v>4.7712500000000011</v>
      </c>
      <c r="J36" s="18">
        <f t="shared" si="2"/>
        <v>0.34916666666666668</v>
      </c>
      <c r="K36" s="18">
        <f t="shared" si="2"/>
        <v>117.77124999999999</v>
      </c>
      <c r="L36" s="18">
        <f t="shared" si="2"/>
        <v>28.62875</v>
      </c>
      <c r="M36" s="18">
        <f t="shared" si="2"/>
        <v>78.705416666666665</v>
      </c>
      <c r="N36" s="18">
        <f t="shared" si="2"/>
        <v>168.05416666666667</v>
      </c>
      <c r="O36" s="18">
        <f t="shared" si="2"/>
        <v>0</v>
      </c>
      <c r="P36" s="18">
        <f t="shared" si="2"/>
        <v>0.23666666666666666</v>
      </c>
      <c r="Q36" s="18">
        <f t="shared" si="2"/>
        <v>10.43791666666667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2.4964147843181737</v>
      </c>
      <c r="C37" s="18">
        <f t="shared" ref="C37:Q37" si="3">STDEV(C9:C32)</f>
        <v>0.62505651918359584</v>
      </c>
      <c r="D37" s="18">
        <f t="shared" si="3"/>
        <v>2.1075700342516162</v>
      </c>
      <c r="E37" s="18">
        <f t="shared" si="3"/>
        <v>0.51468419330748805</v>
      </c>
      <c r="F37" s="18">
        <f t="shared" si="3"/>
        <v>2.0917761678133457</v>
      </c>
      <c r="G37" s="18">
        <f t="shared" si="3"/>
        <v>4.9604995511643359</v>
      </c>
      <c r="H37" s="18">
        <f t="shared" si="3"/>
        <v>1.0138961120780283</v>
      </c>
      <c r="I37" s="18">
        <f t="shared" si="3"/>
        <v>0.35861221032098789</v>
      </c>
      <c r="J37" s="18">
        <f t="shared" si="3"/>
        <v>0.16170065383069834</v>
      </c>
      <c r="K37" s="18">
        <f t="shared" si="3"/>
        <v>48.152533123353457</v>
      </c>
      <c r="L37" s="18">
        <f t="shared" si="3"/>
        <v>2.556121913980324</v>
      </c>
      <c r="M37" s="18">
        <f t="shared" si="3"/>
        <v>7.2070701875592835</v>
      </c>
      <c r="N37" s="18">
        <f t="shared" si="3"/>
        <v>260.89049173462843</v>
      </c>
      <c r="O37" s="18">
        <f t="shared" si="3"/>
        <v>0</v>
      </c>
      <c r="P37" s="18">
        <f t="shared" si="3"/>
        <v>3.6195924184032814E-2</v>
      </c>
      <c r="Q37" s="18">
        <f t="shared" si="3"/>
        <v>0.11526827561093646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K28" sqref="K2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14/09/2025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373</v>
      </c>
      <c r="B9" s="43">
        <v>7.79</v>
      </c>
      <c r="C9" s="43">
        <v>7.51</v>
      </c>
      <c r="D9" s="43">
        <v>10.15</v>
      </c>
      <c r="E9" s="43">
        <v>6.01</v>
      </c>
      <c r="F9" s="43">
        <v>2.08</v>
      </c>
      <c r="G9" s="43">
        <v>6.68</v>
      </c>
      <c r="H9" s="43">
        <v>1.32</v>
      </c>
      <c r="I9" s="43">
        <v>4.28</v>
      </c>
      <c r="J9" s="43">
        <v>0.14000000000000001</v>
      </c>
      <c r="K9" s="43">
        <v>145.53</v>
      </c>
      <c r="L9" s="43">
        <v>26.61</v>
      </c>
      <c r="M9" s="43">
        <v>80.180000000000007</v>
      </c>
      <c r="N9" s="43">
        <v>2.1</v>
      </c>
      <c r="O9" s="43">
        <v>0</v>
      </c>
      <c r="P9" s="43">
        <v>0.16</v>
      </c>
      <c r="Q9" s="43">
        <v>9.5</v>
      </c>
      <c r="R9" s="41"/>
      <c r="S9" s="41"/>
      <c r="T9" s="41"/>
      <c r="U9" s="41"/>
    </row>
    <row r="10" spans="1:21" customFormat="1">
      <c r="A10" s="42" t="s">
        <v>374</v>
      </c>
      <c r="B10" s="43">
        <v>8.75</v>
      </c>
      <c r="C10" s="43">
        <v>7.51</v>
      </c>
      <c r="D10" s="43">
        <v>10.71</v>
      </c>
      <c r="E10" s="43">
        <v>6.16</v>
      </c>
      <c r="F10" s="43">
        <v>2</v>
      </c>
      <c r="G10" s="43">
        <v>6.82</v>
      </c>
      <c r="H10" s="43">
        <v>0.99</v>
      </c>
      <c r="I10" s="43">
        <v>4.42</v>
      </c>
      <c r="J10" s="43">
        <v>0.21</v>
      </c>
      <c r="K10" s="43">
        <v>197.66</v>
      </c>
      <c r="L10" s="43">
        <v>26.33</v>
      </c>
      <c r="M10" s="43">
        <v>81.12</v>
      </c>
      <c r="N10" s="43">
        <v>2.1</v>
      </c>
      <c r="O10" s="43">
        <v>0</v>
      </c>
      <c r="P10" s="43">
        <v>0.16</v>
      </c>
      <c r="Q10" s="43">
        <v>9.6</v>
      </c>
      <c r="R10" s="41"/>
      <c r="S10" s="41"/>
      <c r="T10" s="41"/>
      <c r="U10" s="41"/>
    </row>
    <row r="11" spans="1:21" customFormat="1">
      <c r="A11" s="42" t="s">
        <v>375</v>
      </c>
      <c r="B11" s="43">
        <v>9.2799999999999994</v>
      </c>
      <c r="C11" s="43">
        <v>7.57</v>
      </c>
      <c r="D11" s="43">
        <v>11.4</v>
      </c>
      <c r="E11" s="43">
        <v>5.6</v>
      </c>
      <c r="F11" s="43">
        <v>2.0099999999999998</v>
      </c>
      <c r="G11" s="43">
        <v>6.82</v>
      </c>
      <c r="H11" s="43">
        <v>0.88</v>
      </c>
      <c r="I11" s="43">
        <v>4.34</v>
      </c>
      <c r="J11" s="43">
        <v>0.16</v>
      </c>
      <c r="K11" s="43">
        <v>177.32</v>
      </c>
      <c r="L11" s="43">
        <v>26.02</v>
      </c>
      <c r="M11" s="43">
        <v>81.55</v>
      </c>
      <c r="N11" s="43">
        <v>2.1</v>
      </c>
      <c r="O11" s="43">
        <v>0</v>
      </c>
      <c r="P11" s="43">
        <v>0.16</v>
      </c>
      <c r="Q11" s="43">
        <v>9.6</v>
      </c>
      <c r="R11" s="41"/>
      <c r="S11" s="41"/>
      <c r="T11" s="41"/>
      <c r="U11" s="41"/>
    </row>
    <row r="12" spans="1:21" customFormat="1">
      <c r="A12" s="42" t="s">
        <v>376</v>
      </c>
      <c r="B12" s="43">
        <v>9.9</v>
      </c>
      <c r="C12" s="43">
        <v>7.6</v>
      </c>
      <c r="D12" s="43">
        <v>11.76</v>
      </c>
      <c r="E12" s="43">
        <v>5.77</v>
      </c>
      <c r="F12" s="43">
        <v>2</v>
      </c>
      <c r="G12" s="43">
        <v>7.98</v>
      </c>
      <c r="H12" s="43">
        <v>1.45</v>
      </c>
      <c r="I12" s="43">
        <v>4.38</v>
      </c>
      <c r="J12" s="43">
        <v>0.13</v>
      </c>
      <c r="K12" s="43">
        <v>137.28</v>
      </c>
      <c r="L12" s="43">
        <v>25.92</v>
      </c>
      <c r="M12" s="43">
        <v>74.569999999999993</v>
      </c>
      <c r="N12" s="43">
        <v>2.1</v>
      </c>
      <c r="O12" s="43">
        <v>0</v>
      </c>
      <c r="P12" s="43">
        <v>0.15</v>
      </c>
      <c r="Q12" s="43">
        <v>9.6</v>
      </c>
      <c r="R12" s="41"/>
      <c r="S12" s="41"/>
      <c r="T12" s="41"/>
      <c r="U12" s="41"/>
    </row>
    <row r="13" spans="1:21" customFormat="1">
      <c r="A13" s="42" t="s">
        <v>377</v>
      </c>
      <c r="B13" s="43">
        <v>10.050000000000001</v>
      </c>
      <c r="C13" s="43">
        <v>7.86</v>
      </c>
      <c r="D13" s="43">
        <v>12.15</v>
      </c>
      <c r="E13" s="43">
        <v>5.73</v>
      </c>
      <c r="F13" s="43">
        <v>2.16</v>
      </c>
      <c r="G13" s="43">
        <v>7.98</v>
      </c>
      <c r="H13" s="43">
        <v>1.51</v>
      </c>
      <c r="I13" s="43">
        <v>4.3499999999999996</v>
      </c>
      <c r="J13" s="43">
        <v>0.15</v>
      </c>
      <c r="K13" s="43">
        <v>129.46</v>
      </c>
      <c r="L13" s="43">
        <v>25.78</v>
      </c>
      <c r="M13" s="43">
        <v>76.36</v>
      </c>
      <c r="N13" s="43">
        <v>2.1</v>
      </c>
      <c r="O13" s="43">
        <v>0</v>
      </c>
      <c r="P13" s="43">
        <v>0.18</v>
      </c>
      <c r="Q13" s="43">
        <v>9.6</v>
      </c>
      <c r="R13" s="41"/>
      <c r="S13" s="41"/>
      <c r="T13" s="41"/>
      <c r="U13" s="41"/>
    </row>
    <row r="14" spans="1:21" customFormat="1">
      <c r="A14" s="42" t="s">
        <v>378</v>
      </c>
      <c r="B14" s="43">
        <v>9.9600000000000009</v>
      </c>
      <c r="C14" s="43">
        <v>8.01</v>
      </c>
      <c r="D14" s="43">
        <v>12.09</v>
      </c>
      <c r="E14" s="43">
        <v>6.13</v>
      </c>
      <c r="F14" s="43">
        <v>2</v>
      </c>
      <c r="G14" s="43">
        <v>6.92</v>
      </c>
      <c r="H14" s="43">
        <v>1.51</v>
      </c>
      <c r="I14" s="43">
        <v>4.51</v>
      </c>
      <c r="J14" s="43">
        <v>0.14000000000000001</v>
      </c>
      <c r="K14" s="43">
        <v>187.5</v>
      </c>
      <c r="L14" s="43">
        <v>25.73</v>
      </c>
      <c r="M14" s="43">
        <v>85.53</v>
      </c>
      <c r="N14" s="43">
        <v>5.2</v>
      </c>
      <c r="O14" s="43">
        <v>0</v>
      </c>
      <c r="P14" s="43">
        <v>0.18</v>
      </c>
      <c r="Q14" s="43">
        <v>9.6</v>
      </c>
      <c r="R14" s="41"/>
      <c r="S14" s="41"/>
      <c r="T14" s="41"/>
      <c r="U14" s="41"/>
    </row>
    <row r="15" spans="1:21" customFormat="1">
      <c r="A15" s="42" t="s">
        <v>379</v>
      </c>
      <c r="B15" s="43">
        <v>9.27</v>
      </c>
      <c r="C15" s="43">
        <v>7.85</v>
      </c>
      <c r="D15" s="43">
        <v>11.54</v>
      </c>
      <c r="E15" s="43">
        <v>6.13</v>
      </c>
      <c r="F15" s="43">
        <v>2</v>
      </c>
      <c r="G15" s="43">
        <v>6.92</v>
      </c>
      <c r="H15" s="43">
        <v>1.1000000000000001</v>
      </c>
      <c r="I15" s="43">
        <v>4.55</v>
      </c>
      <c r="J15" s="43">
        <v>0.21</v>
      </c>
      <c r="K15" s="43">
        <v>135.38</v>
      </c>
      <c r="L15" s="43">
        <v>26.54</v>
      </c>
      <c r="M15" s="43">
        <v>88.33</v>
      </c>
      <c r="N15" s="43">
        <v>53</v>
      </c>
      <c r="O15" s="43">
        <v>0</v>
      </c>
      <c r="P15" s="43">
        <v>0.17</v>
      </c>
      <c r="Q15" s="43">
        <v>9.6</v>
      </c>
      <c r="R15" s="41"/>
      <c r="S15" s="41"/>
      <c r="T15" s="41"/>
      <c r="U15" s="41"/>
    </row>
    <row r="16" spans="1:21" customFormat="1">
      <c r="A16" s="42" t="s">
        <v>380</v>
      </c>
      <c r="B16" s="43">
        <v>8.89</v>
      </c>
      <c r="C16" s="43">
        <v>7.58</v>
      </c>
      <c r="D16" s="43">
        <v>11.09</v>
      </c>
      <c r="E16" s="43">
        <v>6.16</v>
      </c>
      <c r="F16" s="43">
        <v>2.02</v>
      </c>
      <c r="G16" s="43">
        <v>6.42</v>
      </c>
      <c r="H16" s="43">
        <v>1.46</v>
      </c>
      <c r="I16" s="43">
        <v>4.4800000000000004</v>
      </c>
      <c r="J16" s="43">
        <v>0.26</v>
      </c>
      <c r="K16" s="43">
        <v>123.59</v>
      </c>
      <c r="L16" s="43">
        <v>27.28</v>
      </c>
      <c r="M16" s="43">
        <v>85.74</v>
      </c>
      <c r="N16" s="43">
        <v>79.5</v>
      </c>
      <c r="O16" s="43">
        <v>0</v>
      </c>
      <c r="P16" s="43">
        <v>0.18</v>
      </c>
      <c r="Q16" s="43">
        <v>9.6</v>
      </c>
      <c r="R16" s="41"/>
      <c r="S16" s="41"/>
      <c r="T16" s="41"/>
      <c r="U16" s="41"/>
    </row>
    <row r="17" spans="1:21" customFormat="1">
      <c r="A17" s="42" t="s">
        <v>381</v>
      </c>
      <c r="B17" s="43">
        <v>8.18</v>
      </c>
      <c r="C17" s="43">
        <v>7.71</v>
      </c>
      <c r="D17" s="43">
        <v>10.49</v>
      </c>
      <c r="E17" s="43">
        <v>6.28</v>
      </c>
      <c r="F17" s="43">
        <v>2</v>
      </c>
      <c r="G17" s="43">
        <v>4.57</v>
      </c>
      <c r="H17" s="43">
        <v>1.46</v>
      </c>
      <c r="I17" s="43">
        <v>4.26</v>
      </c>
      <c r="J17" s="43">
        <v>0.3</v>
      </c>
      <c r="K17" s="43">
        <v>157.6</v>
      </c>
      <c r="L17" s="43">
        <v>29.97</v>
      </c>
      <c r="M17" s="43">
        <v>84.09</v>
      </c>
      <c r="N17" s="43">
        <v>373.1</v>
      </c>
      <c r="O17" s="43">
        <v>0</v>
      </c>
      <c r="P17" s="43">
        <v>0.16</v>
      </c>
      <c r="Q17" s="43">
        <v>9.6</v>
      </c>
      <c r="R17" s="41"/>
      <c r="S17" s="41"/>
      <c r="T17" s="41"/>
      <c r="U17" s="41"/>
    </row>
    <row r="18" spans="1:21" customFormat="1">
      <c r="A18" s="42" t="s">
        <v>382</v>
      </c>
      <c r="B18" s="43">
        <v>7.46</v>
      </c>
      <c r="C18" s="43">
        <v>7.81</v>
      </c>
      <c r="D18" s="43">
        <v>10.07</v>
      </c>
      <c r="E18" s="43">
        <v>6.14</v>
      </c>
      <c r="F18" s="43">
        <v>2.0099999999999998</v>
      </c>
      <c r="G18" s="43">
        <v>4.57</v>
      </c>
      <c r="H18" s="43">
        <v>1.1399999999999999</v>
      </c>
      <c r="I18" s="43">
        <v>4.01</v>
      </c>
      <c r="J18" s="43">
        <v>0.33</v>
      </c>
      <c r="K18" s="43">
        <v>158.01</v>
      </c>
      <c r="L18" s="43">
        <v>31.25</v>
      </c>
      <c r="M18" s="43">
        <v>73.89</v>
      </c>
      <c r="N18" s="43">
        <v>543.6</v>
      </c>
      <c r="O18" s="43">
        <v>0</v>
      </c>
      <c r="P18" s="43">
        <v>0.16</v>
      </c>
      <c r="Q18" s="43">
        <v>9.6</v>
      </c>
      <c r="R18" s="41"/>
      <c r="S18" s="41"/>
      <c r="T18" s="41"/>
      <c r="U18" s="41"/>
    </row>
    <row r="19" spans="1:21" customFormat="1">
      <c r="A19" s="42" t="s">
        <v>383</v>
      </c>
      <c r="B19" s="43">
        <v>7.03</v>
      </c>
      <c r="C19" s="43">
        <v>7.57</v>
      </c>
      <c r="D19" s="43">
        <v>9.52</v>
      </c>
      <c r="E19" s="43">
        <v>5.87</v>
      </c>
      <c r="F19" s="43">
        <v>2.58</v>
      </c>
      <c r="G19" s="43">
        <v>4.16</v>
      </c>
      <c r="H19" s="43">
        <v>0.9</v>
      </c>
      <c r="I19" s="43">
        <v>3.94</v>
      </c>
      <c r="J19" s="43">
        <v>0.36</v>
      </c>
      <c r="K19" s="43">
        <v>188.42</v>
      </c>
      <c r="L19" s="43">
        <v>31.28</v>
      </c>
      <c r="M19" s="43">
        <v>71.010000000000005</v>
      </c>
      <c r="N19" s="43">
        <v>630</v>
      </c>
      <c r="O19" s="43">
        <v>0</v>
      </c>
      <c r="P19" s="43">
        <v>0.12</v>
      </c>
      <c r="Q19" s="43">
        <v>9.6</v>
      </c>
      <c r="R19" s="41"/>
      <c r="S19" s="41"/>
      <c r="T19" s="41"/>
      <c r="U19" s="41"/>
    </row>
    <row r="20" spans="1:21" customFormat="1">
      <c r="A20" s="42" t="s">
        <v>384</v>
      </c>
      <c r="B20" s="43">
        <v>6.64</v>
      </c>
      <c r="C20" s="43">
        <v>7.52</v>
      </c>
      <c r="D20" s="43">
        <v>9.23</v>
      </c>
      <c r="E20" s="43">
        <v>5.78</v>
      </c>
      <c r="F20" s="43">
        <v>3.43</v>
      </c>
      <c r="G20" s="43">
        <v>3.92</v>
      </c>
      <c r="H20" s="43">
        <v>0.71</v>
      </c>
      <c r="I20" s="43">
        <v>3.96</v>
      </c>
      <c r="J20" s="43">
        <v>0.3</v>
      </c>
      <c r="K20" s="43">
        <v>175.25</v>
      </c>
      <c r="L20" s="43">
        <v>31.69</v>
      </c>
      <c r="M20" s="43">
        <v>71.72</v>
      </c>
      <c r="N20" s="43">
        <v>676</v>
      </c>
      <c r="O20" s="43">
        <v>0</v>
      </c>
      <c r="P20" s="43">
        <v>0.11</v>
      </c>
      <c r="Q20" s="43">
        <v>9.6</v>
      </c>
      <c r="R20" s="41"/>
      <c r="S20" s="41"/>
      <c r="T20" s="41"/>
      <c r="U20" s="41"/>
    </row>
    <row r="21" spans="1:21" customFormat="1">
      <c r="A21" s="42" t="s">
        <v>385</v>
      </c>
      <c r="B21" s="43">
        <v>5.95</v>
      </c>
      <c r="C21" s="43">
        <v>7.61</v>
      </c>
      <c r="D21" s="43">
        <v>8.73</v>
      </c>
      <c r="E21" s="43">
        <v>5.35</v>
      </c>
      <c r="F21" s="43">
        <v>6.09</v>
      </c>
      <c r="G21" s="43">
        <v>4.18</v>
      </c>
      <c r="H21" s="43">
        <v>0.67</v>
      </c>
      <c r="I21" s="43">
        <v>3.85</v>
      </c>
      <c r="J21" s="43">
        <v>0.56999999999999995</v>
      </c>
      <c r="K21" s="43">
        <v>203.55</v>
      </c>
      <c r="L21" s="43">
        <v>33.14</v>
      </c>
      <c r="M21" s="43">
        <v>65.91</v>
      </c>
      <c r="N21" s="43">
        <v>863.4</v>
      </c>
      <c r="O21" s="43">
        <v>0</v>
      </c>
      <c r="P21" s="43">
        <v>0.1</v>
      </c>
      <c r="Q21" s="43">
        <v>9.6</v>
      </c>
      <c r="R21" s="41"/>
      <c r="S21" s="41"/>
      <c r="T21" s="41"/>
      <c r="U21" s="41"/>
    </row>
    <row r="22" spans="1:21" customFormat="1">
      <c r="A22" s="42" t="s">
        <v>386</v>
      </c>
      <c r="B22" s="43">
        <v>5.37</v>
      </c>
      <c r="C22" s="43">
        <v>7.61</v>
      </c>
      <c r="D22" s="43">
        <v>8.24</v>
      </c>
      <c r="E22" s="43">
        <v>5.08</v>
      </c>
      <c r="F22" s="43">
        <v>4.62</v>
      </c>
      <c r="G22" s="43">
        <v>4.18</v>
      </c>
      <c r="H22" s="43">
        <v>0.67</v>
      </c>
      <c r="I22" s="43">
        <v>3.73</v>
      </c>
      <c r="J22" s="43">
        <v>0.37</v>
      </c>
      <c r="K22" s="43">
        <v>200.11</v>
      </c>
      <c r="L22" s="43">
        <v>33.53</v>
      </c>
      <c r="M22" s="43">
        <v>63.66</v>
      </c>
      <c r="N22" s="43">
        <v>533.6</v>
      </c>
      <c r="O22" s="43">
        <v>0</v>
      </c>
      <c r="P22" s="43">
        <v>0.1</v>
      </c>
      <c r="Q22" s="43">
        <v>9.6</v>
      </c>
      <c r="R22" s="41"/>
      <c r="S22" s="41"/>
      <c r="T22" s="41"/>
      <c r="U22" s="41"/>
    </row>
    <row r="23" spans="1:21" customFormat="1">
      <c r="A23" s="42" t="s">
        <v>387</v>
      </c>
      <c r="B23" s="43">
        <v>4.9800000000000004</v>
      </c>
      <c r="C23" s="43">
        <v>8.18</v>
      </c>
      <c r="D23" s="43">
        <v>8.02</v>
      </c>
      <c r="E23" s="43">
        <v>5.2</v>
      </c>
      <c r="F23" s="43">
        <v>2.77</v>
      </c>
      <c r="G23" s="43">
        <v>2.97</v>
      </c>
      <c r="H23" s="43">
        <v>0.48</v>
      </c>
      <c r="I23" s="43">
        <v>3.65</v>
      </c>
      <c r="J23" s="43">
        <v>0.43</v>
      </c>
      <c r="K23" s="43">
        <v>174.3</v>
      </c>
      <c r="L23" s="43">
        <v>34.1</v>
      </c>
      <c r="M23" s="43">
        <v>62.5</v>
      </c>
      <c r="N23" s="43">
        <v>675.4</v>
      </c>
      <c r="O23" s="43">
        <v>0</v>
      </c>
      <c r="P23" s="43">
        <v>0.18</v>
      </c>
      <c r="Q23" s="43">
        <v>9.6</v>
      </c>
      <c r="R23" s="41"/>
      <c r="S23" s="41"/>
      <c r="T23" s="41"/>
      <c r="U23" s="41"/>
    </row>
    <row r="24" spans="1:21" customFormat="1">
      <c r="A24" s="42" t="s">
        <v>388</v>
      </c>
      <c r="B24" s="43">
        <v>4.21</v>
      </c>
      <c r="C24" s="43">
        <v>9.23</v>
      </c>
      <c r="D24" s="43">
        <v>8.19</v>
      </c>
      <c r="E24" s="43">
        <v>5.68</v>
      </c>
      <c r="F24" s="43">
        <v>2.5</v>
      </c>
      <c r="G24" s="43">
        <v>3.42</v>
      </c>
      <c r="H24" s="43">
        <v>0.67</v>
      </c>
      <c r="I24" s="43">
        <v>3.43</v>
      </c>
      <c r="J24" s="43">
        <v>0.31</v>
      </c>
      <c r="K24" s="43">
        <v>133.58000000000001</v>
      </c>
      <c r="L24" s="43">
        <v>32.880000000000003</v>
      </c>
      <c r="M24" s="43">
        <v>66.47</v>
      </c>
      <c r="N24" s="43">
        <v>147.69999999999999</v>
      </c>
      <c r="O24" s="43">
        <v>0</v>
      </c>
      <c r="P24" s="43">
        <v>0.2</v>
      </c>
      <c r="Q24" s="43">
        <v>9.6</v>
      </c>
      <c r="R24" s="41"/>
      <c r="S24" s="41"/>
      <c r="T24" s="41"/>
      <c r="U24" s="41"/>
    </row>
    <row r="25" spans="1:21" customFormat="1">
      <c r="A25" s="42" t="s">
        <v>389</v>
      </c>
      <c r="B25" s="43">
        <v>4.2</v>
      </c>
      <c r="C25" s="43">
        <v>9.2200000000000006</v>
      </c>
      <c r="D25" s="43">
        <v>8.19</v>
      </c>
      <c r="E25" s="43">
        <v>6.21</v>
      </c>
      <c r="F25" s="43">
        <v>5.72</v>
      </c>
      <c r="G25" s="43">
        <v>4.67</v>
      </c>
      <c r="H25" s="43">
        <v>0.74</v>
      </c>
      <c r="I25" s="43">
        <v>3.57</v>
      </c>
      <c r="J25" s="43">
        <v>0.28999999999999998</v>
      </c>
      <c r="K25" s="43">
        <v>160.01</v>
      </c>
      <c r="L25" s="43">
        <v>31.79</v>
      </c>
      <c r="M25" s="43">
        <v>66.510000000000005</v>
      </c>
      <c r="N25" s="43">
        <v>49.3</v>
      </c>
      <c r="O25" s="43">
        <v>0</v>
      </c>
      <c r="P25" s="43">
        <v>0.21</v>
      </c>
      <c r="Q25" s="43">
        <v>9.6</v>
      </c>
      <c r="R25" s="41"/>
      <c r="S25" s="41"/>
      <c r="T25" s="41"/>
      <c r="U25" s="41"/>
    </row>
    <row r="26" spans="1:21" customFormat="1">
      <c r="A26" s="42" t="s">
        <v>390</v>
      </c>
      <c r="B26" s="43">
        <v>3.94</v>
      </c>
      <c r="C26" s="43">
        <v>8.6999999999999993</v>
      </c>
      <c r="D26" s="43">
        <v>7.7</v>
      </c>
      <c r="E26" s="43">
        <v>6.06</v>
      </c>
      <c r="F26" s="43">
        <v>3.2</v>
      </c>
      <c r="G26" s="43">
        <v>4.8099999999999996</v>
      </c>
      <c r="H26" s="43">
        <v>0.74</v>
      </c>
      <c r="I26" s="43">
        <v>3.56</v>
      </c>
      <c r="J26" s="43">
        <v>0.28999999999999998</v>
      </c>
      <c r="K26" s="43">
        <v>158.38</v>
      </c>
      <c r="L26" s="43">
        <v>31.31</v>
      </c>
      <c r="M26" s="43">
        <v>71.61</v>
      </c>
      <c r="N26" s="43">
        <v>32.200000000000003</v>
      </c>
      <c r="O26" s="43">
        <v>0</v>
      </c>
      <c r="P26" s="43">
        <v>0.21</v>
      </c>
      <c r="Q26" s="43">
        <v>9.6</v>
      </c>
      <c r="R26" s="41"/>
      <c r="S26" s="41"/>
      <c r="T26" s="41"/>
      <c r="U26" s="41"/>
    </row>
    <row r="27" spans="1:21" customFormat="1">
      <c r="A27" s="42" t="s">
        <v>391</v>
      </c>
      <c r="B27" s="43">
        <v>3.92</v>
      </c>
      <c r="C27" s="43">
        <v>8.2899999999999991</v>
      </c>
      <c r="D27" s="43">
        <v>7.39</v>
      </c>
      <c r="E27" s="43">
        <v>5.27</v>
      </c>
      <c r="F27" s="43">
        <v>3.98</v>
      </c>
      <c r="G27" s="43">
        <v>6.78</v>
      </c>
      <c r="H27" s="43">
        <v>0.65</v>
      </c>
      <c r="I27" s="43">
        <v>3.46</v>
      </c>
      <c r="J27" s="43">
        <v>0.27</v>
      </c>
      <c r="K27" s="43">
        <v>166.11</v>
      </c>
      <c r="L27" s="43">
        <v>30.31</v>
      </c>
      <c r="M27" s="43">
        <v>76.92</v>
      </c>
      <c r="N27" s="43">
        <v>3.2</v>
      </c>
      <c r="O27" s="43">
        <v>0</v>
      </c>
      <c r="P27" s="43">
        <v>0.21</v>
      </c>
      <c r="Q27" s="43">
        <v>9.6</v>
      </c>
      <c r="R27" s="41"/>
      <c r="S27" s="41"/>
      <c r="T27" s="41"/>
      <c r="U27" s="41"/>
    </row>
    <row r="28" spans="1:21" customFormat="1">
      <c r="A28" s="42" t="s">
        <v>392</v>
      </c>
      <c r="B28" s="43">
        <v>4.0999999999999996</v>
      </c>
      <c r="C28" s="43">
        <v>8.06</v>
      </c>
      <c r="D28" s="43">
        <v>7.5</v>
      </c>
      <c r="E28" s="43">
        <v>5.31</v>
      </c>
      <c r="F28" s="43">
        <v>4.83</v>
      </c>
      <c r="G28" s="43">
        <v>7.95</v>
      </c>
      <c r="H28" s="43">
        <v>0.9</v>
      </c>
      <c r="I28" s="43">
        <v>3.68</v>
      </c>
      <c r="J28" s="43">
        <v>0.25</v>
      </c>
      <c r="K28" s="43">
        <v>163.03</v>
      </c>
      <c r="L28" s="43">
        <v>29.09</v>
      </c>
      <c r="M28" s="43">
        <v>82.63</v>
      </c>
      <c r="N28" s="43">
        <v>2.2999999999999998</v>
      </c>
      <c r="O28" s="43">
        <v>0</v>
      </c>
      <c r="P28" s="43">
        <v>0.21</v>
      </c>
      <c r="Q28" s="43">
        <v>9.6</v>
      </c>
      <c r="R28" s="41"/>
      <c r="S28" s="41"/>
      <c r="T28" s="41"/>
      <c r="U28" s="41"/>
    </row>
    <row r="29" spans="1:21" customFormat="1">
      <c r="A29" s="42" t="s">
        <v>393</v>
      </c>
      <c r="B29" s="43">
        <v>4.8899999999999997</v>
      </c>
      <c r="C29" s="43">
        <v>7.8</v>
      </c>
      <c r="D29" s="43">
        <v>8</v>
      </c>
      <c r="E29" s="43">
        <v>4.8899999999999997</v>
      </c>
      <c r="F29" s="43">
        <v>5.84</v>
      </c>
      <c r="G29" s="43">
        <v>7.95</v>
      </c>
      <c r="H29" s="43">
        <v>0.9</v>
      </c>
      <c r="I29" s="43">
        <v>3.94</v>
      </c>
      <c r="J29" s="43">
        <v>0.24</v>
      </c>
      <c r="K29" s="43">
        <v>189.68</v>
      </c>
      <c r="L29" s="43">
        <v>28.35</v>
      </c>
      <c r="M29" s="43">
        <v>83.27</v>
      </c>
      <c r="N29" s="43">
        <v>2.1</v>
      </c>
      <c r="O29" s="43">
        <v>0</v>
      </c>
      <c r="P29" s="43">
        <v>0.2</v>
      </c>
      <c r="Q29" s="43">
        <v>9.6</v>
      </c>
      <c r="R29" s="41"/>
      <c r="S29" s="41"/>
      <c r="T29" s="41"/>
      <c r="U29" s="41"/>
    </row>
    <row r="30" spans="1:21" customFormat="1">
      <c r="A30" s="42" t="s">
        <v>394</v>
      </c>
      <c r="B30" s="43">
        <v>5.41</v>
      </c>
      <c r="C30" s="43">
        <v>8.75</v>
      </c>
      <c r="D30" s="43">
        <v>8.39</v>
      </c>
      <c r="E30" s="43">
        <v>4.53</v>
      </c>
      <c r="F30" s="43">
        <v>3.82</v>
      </c>
      <c r="G30" s="43">
        <v>9.9499999999999993</v>
      </c>
      <c r="H30" s="43">
        <v>1.04</v>
      </c>
      <c r="I30" s="43">
        <v>4.75</v>
      </c>
      <c r="J30" s="43">
        <v>0.17</v>
      </c>
      <c r="K30" s="43">
        <v>173.84</v>
      </c>
      <c r="L30" s="43">
        <v>28.27</v>
      </c>
      <c r="M30" s="43">
        <v>82.66</v>
      </c>
      <c r="N30" s="43">
        <v>2.1</v>
      </c>
      <c r="O30" s="43">
        <v>0</v>
      </c>
      <c r="P30" s="43">
        <v>0.22</v>
      </c>
      <c r="Q30" s="43">
        <v>9.6</v>
      </c>
      <c r="R30" s="41"/>
      <c r="S30" s="41"/>
      <c r="T30" s="41"/>
      <c r="U30" s="41"/>
    </row>
    <row r="31" spans="1:21" customFormat="1">
      <c r="A31" s="42" t="s">
        <v>395</v>
      </c>
      <c r="B31" s="43">
        <v>5.74</v>
      </c>
      <c r="C31" s="43">
        <v>7.29</v>
      </c>
      <c r="D31" s="43">
        <v>8.36</v>
      </c>
      <c r="E31" s="43">
        <v>4.9400000000000004</v>
      </c>
      <c r="F31" s="43">
        <v>4.29</v>
      </c>
      <c r="G31" s="43">
        <v>9.9499999999999993</v>
      </c>
      <c r="H31" s="43">
        <v>1.1000000000000001</v>
      </c>
      <c r="I31" s="43">
        <v>4.42</v>
      </c>
      <c r="J31" s="43">
        <v>0.14000000000000001</v>
      </c>
      <c r="K31" s="43">
        <v>205.08</v>
      </c>
      <c r="L31" s="43">
        <v>27.99</v>
      </c>
      <c r="M31" s="43">
        <v>82.39</v>
      </c>
      <c r="N31" s="43">
        <v>2.1</v>
      </c>
      <c r="O31" s="43">
        <v>0</v>
      </c>
      <c r="P31" s="43">
        <v>0.21</v>
      </c>
      <c r="Q31" s="43">
        <v>9.6</v>
      </c>
      <c r="R31" s="41"/>
      <c r="S31" s="41"/>
      <c r="T31" s="41"/>
      <c r="U31" s="41"/>
    </row>
    <row r="32" spans="1:21" customFormat="1">
      <c r="A32" s="42" t="s">
        <v>396</v>
      </c>
      <c r="B32" s="43">
        <v>6.12</v>
      </c>
      <c r="C32" s="43">
        <v>6.99</v>
      </c>
      <c r="D32" s="43">
        <v>8.5299999999999994</v>
      </c>
      <c r="E32" s="43">
        <v>4.8</v>
      </c>
      <c r="F32" s="43">
        <v>3.86</v>
      </c>
      <c r="G32" s="43">
        <v>9.2899999999999991</v>
      </c>
      <c r="H32" s="43">
        <v>1.51</v>
      </c>
      <c r="I32" s="43">
        <v>4.42</v>
      </c>
      <c r="J32" s="43">
        <v>0.16</v>
      </c>
      <c r="K32" s="43">
        <v>175.02</v>
      </c>
      <c r="L32" s="43">
        <v>27.87</v>
      </c>
      <c r="M32" s="43">
        <v>82.28</v>
      </c>
      <c r="N32" s="43">
        <v>2.2000000000000002</v>
      </c>
      <c r="O32" s="43">
        <v>0</v>
      </c>
      <c r="P32" s="43">
        <v>0.22</v>
      </c>
      <c r="Q32" s="43">
        <v>9.6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3.92</v>
      </c>
      <c r="C34" s="18">
        <f t="shared" si="0"/>
        <v>6.99</v>
      </c>
      <c r="D34" s="18">
        <f t="shared" si="0"/>
        <v>7.39</v>
      </c>
      <c r="E34" s="18">
        <f t="shared" si="0"/>
        <v>4.53</v>
      </c>
      <c r="F34" s="18">
        <f t="shared" si="0"/>
        <v>2</v>
      </c>
      <c r="G34" s="18">
        <f t="shared" si="0"/>
        <v>2.97</v>
      </c>
      <c r="H34" s="18">
        <f t="shared" si="0"/>
        <v>0.48</v>
      </c>
      <c r="I34" s="18">
        <f t="shared" si="0"/>
        <v>3.43</v>
      </c>
      <c r="J34" s="18">
        <f t="shared" si="0"/>
        <v>0.13</v>
      </c>
      <c r="K34" s="18">
        <f t="shared" si="0"/>
        <v>123.59</v>
      </c>
      <c r="L34" s="18">
        <f t="shared" si="0"/>
        <v>25.73</v>
      </c>
      <c r="M34" s="18">
        <f t="shared" si="0"/>
        <v>62.5</v>
      </c>
      <c r="N34" s="18">
        <f t="shared" si="0"/>
        <v>2.1</v>
      </c>
      <c r="O34" s="18">
        <f t="shared" si="0"/>
        <v>0</v>
      </c>
      <c r="P34" s="18">
        <f t="shared" si="0"/>
        <v>0.1</v>
      </c>
      <c r="Q34" s="18">
        <f t="shared" si="0"/>
        <v>9.5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10.050000000000001</v>
      </c>
      <c r="C35" s="3">
        <f t="shared" si="1"/>
        <v>9.23</v>
      </c>
      <c r="D35" s="3">
        <f t="shared" si="1"/>
        <v>12.15</v>
      </c>
      <c r="E35" s="3">
        <f t="shared" si="1"/>
        <v>6.28</v>
      </c>
      <c r="F35" s="3">
        <f t="shared" si="1"/>
        <v>6.09</v>
      </c>
      <c r="G35" s="3">
        <f t="shared" si="1"/>
        <v>9.9499999999999993</v>
      </c>
      <c r="H35" s="3">
        <f t="shared" si="1"/>
        <v>1.51</v>
      </c>
      <c r="I35" s="3">
        <f t="shared" si="1"/>
        <v>4.75</v>
      </c>
      <c r="J35" s="3">
        <f t="shared" si="1"/>
        <v>0.56999999999999995</v>
      </c>
      <c r="K35" s="3">
        <f t="shared" si="1"/>
        <v>205.08</v>
      </c>
      <c r="L35" s="3">
        <f t="shared" si="1"/>
        <v>34.1</v>
      </c>
      <c r="M35" s="3">
        <f t="shared" si="1"/>
        <v>88.33</v>
      </c>
      <c r="N35" s="3">
        <f t="shared" si="1"/>
        <v>863.4</v>
      </c>
      <c r="O35" s="3">
        <f t="shared" si="1"/>
        <v>0</v>
      </c>
      <c r="P35" s="3">
        <f t="shared" si="1"/>
        <v>0.22</v>
      </c>
      <c r="Q35" s="3">
        <f t="shared" si="1"/>
        <v>9.6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6.7512499999999989</v>
      </c>
      <c r="C36" s="18">
        <f t="shared" si="2"/>
        <v>7.909583333333333</v>
      </c>
      <c r="D36" s="18">
        <f t="shared" si="2"/>
        <v>9.4766666666666648</v>
      </c>
      <c r="E36" s="18">
        <f t="shared" si="2"/>
        <v>5.6283333333333339</v>
      </c>
      <c r="F36" s="18">
        <f t="shared" si="2"/>
        <v>3.242083333333333</v>
      </c>
      <c r="G36" s="18">
        <f t="shared" si="2"/>
        <v>6.2441666666666658</v>
      </c>
      <c r="H36" s="18">
        <f t="shared" si="2"/>
        <v>1.0208333333333333</v>
      </c>
      <c r="I36" s="18">
        <f t="shared" si="2"/>
        <v>4.0808333333333326</v>
      </c>
      <c r="J36" s="18">
        <f t="shared" si="2"/>
        <v>0.25749999999999995</v>
      </c>
      <c r="K36" s="18">
        <f t="shared" si="2"/>
        <v>167.32041666666669</v>
      </c>
      <c r="L36" s="18">
        <f t="shared" si="2"/>
        <v>29.292916666666667</v>
      </c>
      <c r="M36" s="18">
        <f t="shared" si="2"/>
        <v>76.70416666666668</v>
      </c>
      <c r="N36" s="18">
        <f t="shared" si="2"/>
        <v>195.27083333333337</v>
      </c>
      <c r="O36" s="18">
        <f t="shared" si="2"/>
        <v>0</v>
      </c>
      <c r="P36" s="18">
        <f t="shared" si="2"/>
        <v>0.17333333333333334</v>
      </c>
      <c r="Q36" s="18">
        <f t="shared" si="2"/>
        <v>9.5958333333333297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2.1305200681687051</v>
      </c>
      <c r="C37" s="18">
        <f t="shared" ref="C37:Q37" si="3">STDEV(C9:C32)</f>
        <v>0.56818918440547805</v>
      </c>
      <c r="D37" s="18">
        <f t="shared" si="3"/>
        <v>1.5826166188685307</v>
      </c>
      <c r="E37" s="18">
        <f t="shared" si="3"/>
        <v>0.52101628670752009</v>
      </c>
      <c r="F37" s="18">
        <f t="shared" si="3"/>
        <v>1.3798581501345553</v>
      </c>
      <c r="G37" s="18">
        <f t="shared" si="3"/>
        <v>2.0618457679987832</v>
      </c>
      <c r="H37" s="18">
        <f t="shared" si="3"/>
        <v>0.33117598981792801</v>
      </c>
      <c r="I37" s="18">
        <f t="shared" si="3"/>
        <v>0.39455992730114403</v>
      </c>
      <c r="J37" s="18">
        <f t="shared" si="3"/>
        <v>0.1073899841496041</v>
      </c>
      <c r="K37" s="18">
        <f t="shared" si="3"/>
        <v>24.330853284625388</v>
      </c>
      <c r="L37" s="18">
        <f t="shared" si="3"/>
        <v>2.7542812195256836</v>
      </c>
      <c r="M37" s="18">
        <f t="shared" si="3"/>
        <v>7.7301459104664678</v>
      </c>
      <c r="N37" s="18">
        <f t="shared" si="3"/>
        <v>286.98523288651558</v>
      </c>
      <c r="O37" s="18">
        <f t="shared" si="3"/>
        <v>0</v>
      </c>
      <c r="P37" s="18">
        <f t="shared" si="3"/>
        <v>3.7144449719002957E-2</v>
      </c>
      <c r="Q37" s="18">
        <f t="shared" si="3"/>
        <v>2.0412414523193066E-2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O16" sqref="O16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15/09/2025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397</v>
      </c>
      <c r="B9" s="43">
        <v>6.74</v>
      </c>
      <c r="C9" s="43">
        <v>7.42</v>
      </c>
      <c r="D9" s="43">
        <v>9.1199999999999992</v>
      </c>
      <c r="E9" s="43">
        <v>5.25</v>
      </c>
      <c r="F9" s="43">
        <v>4.42</v>
      </c>
      <c r="G9" s="43">
        <v>8.0299999999999994</v>
      </c>
      <c r="H9" s="43">
        <v>1.51</v>
      </c>
      <c r="I9" s="43">
        <v>4.4800000000000004</v>
      </c>
      <c r="J9" s="43">
        <v>0.24</v>
      </c>
      <c r="K9" s="43">
        <v>171.27</v>
      </c>
      <c r="L9" s="43">
        <v>27.78</v>
      </c>
      <c r="M9" s="43">
        <v>82.05</v>
      </c>
      <c r="N9" s="43">
        <v>2.2999999999999998</v>
      </c>
      <c r="O9" s="43">
        <v>0</v>
      </c>
      <c r="P9" s="43">
        <v>0.24</v>
      </c>
      <c r="Q9" s="43">
        <v>12.6</v>
      </c>
      <c r="R9" s="41"/>
      <c r="S9" s="41"/>
      <c r="T9" s="41"/>
      <c r="U9" s="41"/>
    </row>
    <row r="10" spans="1:21" customFormat="1">
      <c r="A10" s="42" t="s">
        <v>398</v>
      </c>
      <c r="B10" s="43">
        <v>6.47</v>
      </c>
      <c r="C10" s="43">
        <v>7.74</v>
      </c>
      <c r="D10" s="43">
        <v>9.1300000000000008</v>
      </c>
      <c r="E10" s="43">
        <v>5.61</v>
      </c>
      <c r="F10" s="43">
        <v>2.0699999999999998</v>
      </c>
      <c r="G10" s="43">
        <v>6.86</v>
      </c>
      <c r="H10" s="43">
        <v>1.1100000000000001</v>
      </c>
      <c r="I10" s="43">
        <v>4.18</v>
      </c>
      <c r="J10" s="43">
        <v>0.11</v>
      </c>
      <c r="K10" s="43">
        <v>192.25</v>
      </c>
      <c r="L10" s="43">
        <v>27.06</v>
      </c>
      <c r="M10" s="43">
        <v>82.08</v>
      </c>
      <c r="N10" s="43">
        <v>2.4</v>
      </c>
      <c r="O10" s="43">
        <v>0</v>
      </c>
      <c r="P10" s="43">
        <v>0.23</v>
      </c>
      <c r="Q10" s="43">
        <v>12.61</v>
      </c>
      <c r="R10" s="41"/>
      <c r="S10" s="41"/>
      <c r="T10" s="41"/>
      <c r="U10" s="41"/>
    </row>
    <row r="11" spans="1:21" customFormat="1">
      <c r="A11" s="42" t="s">
        <v>399</v>
      </c>
      <c r="B11" s="43">
        <v>6.13</v>
      </c>
      <c r="C11" s="43">
        <v>7.63</v>
      </c>
      <c r="D11" s="43">
        <v>8.8800000000000008</v>
      </c>
      <c r="E11" s="43">
        <v>5.77</v>
      </c>
      <c r="F11" s="43">
        <v>2</v>
      </c>
      <c r="G11" s="43">
        <v>4.99</v>
      </c>
      <c r="H11" s="43">
        <v>0.83</v>
      </c>
      <c r="I11" s="43">
        <v>3.95</v>
      </c>
      <c r="J11" s="43">
        <v>0.09</v>
      </c>
      <c r="K11" s="43">
        <v>189.62</v>
      </c>
      <c r="L11" s="43">
        <v>26.91</v>
      </c>
      <c r="M11" s="43">
        <v>79.97</v>
      </c>
      <c r="N11" s="43">
        <v>2.1</v>
      </c>
      <c r="O11" s="43">
        <v>0</v>
      </c>
      <c r="P11" s="43">
        <v>0.22</v>
      </c>
      <c r="Q11" s="43">
        <v>12.61</v>
      </c>
      <c r="R11" s="41"/>
      <c r="S11" s="41"/>
      <c r="T11" s="41"/>
      <c r="U11" s="41"/>
    </row>
    <row r="12" spans="1:21" customFormat="1">
      <c r="A12" s="42" t="s">
        <v>400</v>
      </c>
      <c r="B12" s="43">
        <v>6.2</v>
      </c>
      <c r="C12" s="43">
        <v>7.41</v>
      </c>
      <c r="D12" s="43">
        <v>8.81</v>
      </c>
      <c r="E12" s="43">
        <v>5.95</v>
      </c>
      <c r="F12" s="43">
        <v>2</v>
      </c>
      <c r="G12" s="43">
        <v>3.62</v>
      </c>
      <c r="H12" s="43">
        <v>0.68</v>
      </c>
      <c r="I12" s="43">
        <v>3.77</v>
      </c>
      <c r="J12" s="43">
        <v>0.11</v>
      </c>
      <c r="K12" s="43">
        <v>188.16</v>
      </c>
      <c r="L12" s="43">
        <v>26.68</v>
      </c>
      <c r="M12" s="43">
        <v>78.33</v>
      </c>
      <c r="N12" s="43">
        <v>2.1</v>
      </c>
      <c r="O12" s="43">
        <v>0</v>
      </c>
      <c r="P12" s="43">
        <v>0.21</v>
      </c>
      <c r="Q12" s="43">
        <v>12.61</v>
      </c>
      <c r="R12" s="41"/>
      <c r="S12" s="41"/>
      <c r="T12" s="41"/>
      <c r="U12" s="41"/>
    </row>
    <row r="13" spans="1:21" customFormat="1">
      <c r="A13" s="42" t="s">
        <v>401</v>
      </c>
      <c r="B13" s="43">
        <v>6.36</v>
      </c>
      <c r="C13" s="43">
        <v>7.32</v>
      </c>
      <c r="D13" s="43">
        <v>8.89</v>
      </c>
      <c r="E13" s="43">
        <v>5.78</v>
      </c>
      <c r="F13" s="43">
        <v>2</v>
      </c>
      <c r="G13" s="43">
        <v>3.45</v>
      </c>
      <c r="H13" s="43">
        <v>0.48</v>
      </c>
      <c r="I13" s="43">
        <v>3.58</v>
      </c>
      <c r="J13" s="43">
        <v>0.19</v>
      </c>
      <c r="K13" s="43">
        <v>200.58</v>
      </c>
      <c r="L13" s="43">
        <v>26.71</v>
      </c>
      <c r="M13" s="43">
        <v>77.760000000000005</v>
      </c>
      <c r="N13" s="43">
        <v>2.1</v>
      </c>
      <c r="O13" s="43">
        <v>0</v>
      </c>
      <c r="P13" s="43">
        <v>0.21</v>
      </c>
      <c r="Q13" s="43">
        <v>12.61</v>
      </c>
      <c r="R13" s="41"/>
      <c r="S13" s="41"/>
      <c r="T13" s="41"/>
      <c r="U13" s="41"/>
    </row>
    <row r="14" spans="1:21" customFormat="1">
      <c r="A14" s="42" t="s">
        <v>402</v>
      </c>
      <c r="B14" s="43">
        <v>6.72</v>
      </c>
      <c r="C14" s="43">
        <v>7.29</v>
      </c>
      <c r="D14" s="43">
        <v>8.9499999999999993</v>
      </c>
      <c r="E14" s="43">
        <v>6.13</v>
      </c>
      <c r="F14" s="43">
        <v>2.17</v>
      </c>
      <c r="G14" s="43">
        <v>3.11</v>
      </c>
      <c r="H14" s="43">
        <v>0.4</v>
      </c>
      <c r="I14" s="43">
        <v>3.62</v>
      </c>
      <c r="J14" s="43">
        <v>0.22</v>
      </c>
      <c r="K14" s="43">
        <v>202.01</v>
      </c>
      <c r="L14" s="43">
        <v>26.45</v>
      </c>
      <c r="M14" s="43">
        <v>78.569999999999993</v>
      </c>
      <c r="N14" s="43">
        <v>3.5</v>
      </c>
      <c r="O14" s="43">
        <v>0</v>
      </c>
      <c r="P14" s="43">
        <v>0.2</v>
      </c>
      <c r="Q14" s="43">
        <v>12.61</v>
      </c>
      <c r="R14" s="41"/>
      <c r="S14" s="41"/>
      <c r="T14" s="41"/>
      <c r="U14" s="41"/>
    </row>
    <row r="15" spans="1:21" customFormat="1">
      <c r="A15" s="42" t="s">
        <v>403</v>
      </c>
      <c r="B15" s="43">
        <v>7.12</v>
      </c>
      <c r="C15" s="43">
        <v>7.1</v>
      </c>
      <c r="D15" s="43">
        <v>9.42</v>
      </c>
      <c r="E15" s="43">
        <v>5.32</v>
      </c>
      <c r="F15" s="43">
        <v>3.19</v>
      </c>
      <c r="G15" s="43">
        <v>2.98</v>
      </c>
      <c r="H15" s="43">
        <v>0.33</v>
      </c>
      <c r="I15" s="43">
        <v>3.68</v>
      </c>
      <c r="J15" s="43">
        <v>0.28000000000000003</v>
      </c>
      <c r="K15" s="43">
        <v>211.56</v>
      </c>
      <c r="L15" s="43">
        <v>26.63</v>
      </c>
      <c r="M15" s="43">
        <v>81.75</v>
      </c>
      <c r="N15" s="43">
        <v>20.6</v>
      </c>
      <c r="O15" s="43">
        <v>0</v>
      </c>
      <c r="P15" s="43">
        <v>0.16</v>
      </c>
      <c r="Q15" s="43">
        <v>12.61</v>
      </c>
      <c r="R15" s="41"/>
      <c r="S15" s="41"/>
      <c r="T15" s="41"/>
      <c r="U15" s="41"/>
    </row>
    <row r="16" spans="1:21" customFormat="1">
      <c r="A16" s="42" t="s">
        <v>404</v>
      </c>
      <c r="B16" s="43">
        <v>7.32</v>
      </c>
      <c r="C16" s="43">
        <v>6.99</v>
      </c>
      <c r="D16" s="43">
        <v>9.48</v>
      </c>
      <c r="E16" s="43">
        <v>5.45</v>
      </c>
      <c r="F16" s="43">
        <v>2.38</v>
      </c>
      <c r="G16" s="43">
        <v>2.98</v>
      </c>
      <c r="H16" s="43">
        <v>0.27</v>
      </c>
      <c r="I16" s="43">
        <v>3.75</v>
      </c>
      <c r="J16" s="43">
        <v>0.5</v>
      </c>
      <c r="K16" s="43">
        <v>210.56</v>
      </c>
      <c r="L16" s="43">
        <v>27.53</v>
      </c>
      <c r="M16" s="43">
        <v>80.540000000000006</v>
      </c>
      <c r="N16" s="43">
        <v>75.8</v>
      </c>
      <c r="O16" s="43">
        <v>0</v>
      </c>
      <c r="P16" s="43">
        <v>0.16</v>
      </c>
      <c r="Q16" s="43">
        <v>12.61</v>
      </c>
      <c r="R16" s="41"/>
      <c r="S16" s="41"/>
      <c r="T16" s="41"/>
      <c r="U16" s="41"/>
    </row>
    <row r="17" spans="1:21" customFormat="1">
      <c r="A17" s="42" t="s">
        <v>405</v>
      </c>
      <c r="B17" s="43">
        <v>7.17</v>
      </c>
      <c r="C17" s="43">
        <v>7.21</v>
      </c>
      <c r="D17" s="43">
        <v>9.44</v>
      </c>
      <c r="E17" s="43">
        <v>5.33</v>
      </c>
      <c r="F17" s="43">
        <v>2.5299999999999998</v>
      </c>
      <c r="G17" s="43">
        <v>2.52</v>
      </c>
      <c r="H17" s="43">
        <v>0.24</v>
      </c>
      <c r="I17" s="43">
        <v>3.72</v>
      </c>
      <c r="J17" s="43">
        <v>0.75</v>
      </c>
      <c r="K17" s="43">
        <v>207.56</v>
      </c>
      <c r="L17" s="43">
        <v>28</v>
      </c>
      <c r="M17" s="43">
        <v>77.63</v>
      </c>
      <c r="N17" s="43">
        <v>133.5</v>
      </c>
      <c r="O17" s="43">
        <v>0</v>
      </c>
      <c r="P17" s="43">
        <v>0.16</v>
      </c>
      <c r="Q17" s="43">
        <v>12.61</v>
      </c>
      <c r="R17" s="41"/>
      <c r="S17" s="41"/>
      <c r="T17" s="41"/>
      <c r="U17" s="41"/>
    </row>
    <row r="18" spans="1:21" customFormat="1">
      <c r="A18" s="42" t="s">
        <v>406</v>
      </c>
      <c r="B18" s="43">
        <v>6.73</v>
      </c>
      <c r="C18" s="43">
        <v>8.83</v>
      </c>
      <c r="D18" s="43">
        <v>9.75</v>
      </c>
      <c r="E18" s="43">
        <v>5.37</v>
      </c>
      <c r="F18" s="43">
        <v>2.67</v>
      </c>
      <c r="G18" s="43">
        <v>2.58</v>
      </c>
      <c r="H18" s="43">
        <v>0.2</v>
      </c>
      <c r="I18" s="43">
        <v>3.73</v>
      </c>
      <c r="J18" s="43">
        <v>0.76</v>
      </c>
      <c r="K18" s="43">
        <v>207.33</v>
      </c>
      <c r="L18" s="43">
        <v>27.91</v>
      </c>
      <c r="M18" s="43">
        <v>78.2</v>
      </c>
      <c r="N18" s="43">
        <v>58.3</v>
      </c>
      <c r="O18" s="43">
        <v>0</v>
      </c>
      <c r="P18" s="43">
        <v>0.16</v>
      </c>
      <c r="Q18" s="43">
        <v>12.61</v>
      </c>
      <c r="R18" s="41"/>
      <c r="S18" s="41"/>
      <c r="T18" s="41"/>
      <c r="U18" s="41"/>
    </row>
    <row r="19" spans="1:21" customFormat="1">
      <c r="A19" s="42" t="s">
        <v>407</v>
      </c>
      <c r="B19" s="43">
        <v>6.13</v>
      </c>
      <c r="C19" s="43">
        <v>10.14</v>
      </c>
      <c r="D19" s="43">
        <v>9.9600000000000009</v>
      </c>
      <c r="E19" s="43">
        <v>6.09</v>
      </c>
      <c r="F19" s="43">
        <v>8.86</v>
      </c>
      <c r="G19" s="43">
        <v>3.26</v>
      </c>
      <c r="H19" s="43">
        <v>0.43</v>
      </c>
      <c r="I19" s="43">
        <v>3.68</v>
      </c>
      <c r="J19" s="43">
        <v>0.45</v>
      </c>
      <c r="K19" s="43">
        <v>205.38</v>
      </c>
      <c r="L19" s="43">
        <v>27.94</v>
      </c>
      <c r="M19" s="43">
        <v>77.73</v>
      </c>
      <c r="N19" s="43">
        <v>90.7</v>
      </c>
      <c r="O19" s="43">
        <v>0</v>
      </c>
      <c r="P19" s="43">
        <v>0.18</v>
      </c>
      <c r="Q19" s="43">
        <v>12.61</v>
      </c>
      <c r="R19" s="41"/>
      <c r="S19" s="41"/>
      <c r="T19" s="41"/>
      <c r="U19" s="41"/>
    </row>
    <row r="20" spans="1:21" customFormat="1">
      <c r="A20" s="42" t="s">
        <v>408</v>
      </c>
      <c r="B20" s="43">
        <v>2.39</v>
      </c>
      <c r="C20" s="43">
        <v>8.7899999999999991</v>
      </c>
      <c r="D20" s="43">
        <v>6.51</v>
      </c>
      <c r="E20" s="43">
        <v>4.3099999999999996</v>
      </c>
      <c r="F20" s="43">
        <v>7.15</v>
      </c>
      <c r="G20" s="43">
        <v>12.19</v>
      </c>
      <c r="H20" s="43">
        <v>2.0299999999999998</v>
      </c>
      <c r="I20" s="43">
        <v>3.21</v>
      </c>
      <c r="J20" s="43">
        <v>0.47</v>
      </c>
      <c r="K20" s="43">
        <v>178.98</v>
      </c>
      <c r="L20" s="43">
        <v>28.33</v>
      </c>
      <c r="M20" s="43">
        <v>65.28</v>
      </c>
      <c r="N20" s="43">
        <v>125.2</v>
      </c>
      <c r="O20" s="43">
        <v>0</v>
      </c>
      <c r="P20" s="43">
        <v>0.18</v>
      </c>
      <c r="Q20" s="43">
        <v>10.14</v>
      </c>
      <c r="R20" s="41"/>
      <c r="S20" s="41"/>
      <c r="T20" s="41"/>
      <c r="U20" s="41"/>
    </row>
    <row r="21" spans="1:21" customFormat="1">
      <c r="A21" s="42" t="s">
        <v>409</v>
      </c>
      <c r="B21" s="43">
        <v>2.59</v>
      </c>
      <c r="C21" s="43">
        <v>8.0299999999999994</v>
      </c>
      <c r="D21" s="43">
        <v>6.27</v>
      </c>
      <c r="E21" s="43">
        <v>4.29</v>
      </c>
      <c r="F21" s="43">
        <v>14.19</v>
      </c>
      <c r="G21" s="43">
        <v>12.19</v>
      </c>
      <c r="H21" s="43">
        <v>2.61</v>
      </c>
      <c r="I21" s="43">
        <v>3.26</v>
      </c>
      <c r="J21" s="43">
        <v>0.46</v>
      </c>
      <c r="K21" s="43">
        <v>180.37</v>
      </c>
      <c r="L21" s="43">
        <v>28.53</v>
      </c>
      <c r="M21" s="43">
        <v>65.13</v>
      </c>
      <c r="N21" s="43">
        <v>99.4</v>
      </c>
      <c r="O21" s="43">
        <v>0</v>
      </c>
      <c r="P21" s="43">
        <v>0.22</v>
      </c>
      <c r="Q21" s="43">
        <v>54.38</v>
      </c>
      <c r="R21" s="41"/>
      <c r="S21" s="41"/>
      <c r="T21" s="41"/>
      <c r="U21" s="41"/>
    </row>
    <row r="22" spans="1:21" customFormat="1">
      <c r="A22" s="42" t="s">
        <v>410</v>
      </c>
      <c r="B22" s="43">
        <v>6.4</v>
      </c>
      <c r="C22" s="43">
        <v>13.52</v>
      </c>
      <c r="D22" s="43">
        <v>12.06</v>
      </c>
      <c r="E22" s="43">
        <v>4.6100000000000003</v>
      </c>
      <c r="F22" s="43">
        <v>9.85</v>
      </c>
      <c r="G22" s="43">
        <v>11.49</v>
      </c>
      <c r="H22" s="43">
        <v>3.66</v>
      </c>
      <c r="I22" s="43">
        <v>3.74</v>
      </c>
      <c r="J22" s="43">
        <v>0.62</v>
      </c>
      <c r="K22" s="43">
        <v>181.09</v>
      </c>
      <c r="L22" s="43">
        <v>27.84</v>
      </c>
      <c r="M22" s="43">
        <v>67.709999999999994</v>
      </c>
      <c r="N22" s="43">
        <v>29.8</v>
      </c>
      <c r="O22" s="43">
        <v>0</v>
      </c>
      <c r="P22" s="43">
        <v>0.33</v>
      </c>
      <c r="Q22" s="43">
        <v>52.9</v>
      </c>
      <c r="R22" s="41"/>
      <c r="S22" s="41"/>
      <c r="T22" s="41"/>
      <c r="U22" s="41"/>
    </row>
    <row r="23" spans="1:21" customFormat="1">
      <c r="A23" s="42" t="s">
        <v>411</v>
      </c>
      <c r="B23" s="43">
        <v>7.8</v>
      </c>
      <c r="C23" s="43">
        <v>14.26</v>
      </c>
      <c r="D23" s="43">
        <v>13.36</v>
      </c>
      <c r="E23" s="43">
        <v>4.79</v>
      </c>
      <c r="F23" s="43">
        <v>3.9</v>
      </c>
      <c r="G23" s="43">
        <v>27</v>
      </c>
      <c r="H23" s="43">
        <v>6.69</v>
      </c>
      <c r="I23" s="43">
        <v>4.72</v>
      </c>
      <c r="J23" s="43">
        <v>0.28999999999999998</v>
      </c>
      <c r="K23" s="43">
        <v>168.88</v>
      </c>
      <c r="L23" s="43">
        <v>27.11</v>
      </c>
      <c r="M23" s="43">
        <v>68.239999999999995</v>
      </c>
      <c r="N23" s="43">
        <v>31.5</v>
      </c>
      <c r="O23" s="43">
        <v>0</v>
      </c>
      <c r="P23" s="43">
        <v>0.39</v>
      </c>
      <c r="Q23" s="43">
        <v>10.02</v>
      </c>
      <c r="R23" s="41"/>
      <c r="S23" s="41"/>
      <c r="T23" s="41"/>
      <c r="U23" s="41"/>
    </row>
    <row r="24" spans="1:21" customFormat="1">
      <c r="A24" s="42" t="s">
        <v>412</v>
      </c>
      <c r="B24" s="43">
        <v>9.36</v>
      </c>
      <c r="C24" s="43">
        <v>13.33</v>
      </c>
      <c r="D24" s="43">
        <v>14.08</v>
      </c>
      <c r="E24" s="43">
        <v>5.21</v>
      </c>
      <c r="F24" s="43">
        <v>2.14</v>
      </c>
      <c r="G24" s="43">
        <v>40.98</v>
      </c>
      <c r="H24" s="43">
        <v>10.1</v>
      </c>
      <c r="I24" s="43">
        <v>5.8</v>
      </c>
      <c r="J24" s="43">
        <v>0.51</v>
      </c>
      <c r="K24" s="43">
        <v>76.040000000000006</v>
      </c>
      <c r="L24" s="43">
        <v>26.69</v>
      </c>
      <c r="M24" s="43">
        <v>68.430000000000007</v>
      </c>
      <c r="N24" s="43">
        <v>31.8</v>
      </c>
      <c r="O24" s="43">
        <v>0</v>
      </c>
      <c r="P24" s="43">
        <v>0.37</v>
      </c>
      <c r="Q24" s="43">
        <v>10.039999999999999</v>
      </c>
      <c r="R24" s="41"/>
      <c r="S24" s="41"/>
      <c r="T24" s="41"/>
      <c r="U24" s="41"/>
    </row>
    <row r="25" spans="1:21" customFormat="1">
      <c r="A25" s="42" t="s">
        <v>413</v>
      </c>
      <c r="B25" s="43">
        <v>11.86</v>
      </c>
      <c r="C25" s="43">
        <v>10.52</v>
      </c>
      <c r="D25" s="43">
        <v>14.74</v>
      </c>
      <c r="E25" s="43">
        <v>5.04</v>
      </c>
      <c r="F25" s="43">
        <v>2.31</v>
      </c>
      <c r="G25" s="43">
        <v>44.74</v>
      </c>
      <c r="H25" s="43">
        <v>12.49</v>
      </c>
      <c r="I25" s="43">
        <v>6.7</v>
      </c>
      <c r="J25" s="43">
        <v>0.19</v>
      </c>
      <c r="K25" s="43">
        <v>66.91</v>
      </c>
      <c r="L25" s="43">
        <v>26.26</v>
      </c>
      <c r="M25" s="43">
        <v>68.900000000000006</v>
      </c>
      <c r="N25" s="43">
        <v>21.5</v>
      </c>
      <c r="O25" s="43">
        <v>0</v>
      </c>
      <c r="P25" s="43">
        <v>0.4</v>
      </c>
      <c r="Q25" s="43">
        <v>15.54</v>
      </c>
      <c r="R25" s="41"/>
      <c r="S25" s="41"/>
      <c r="T25" s="41"/>
      <c r="U25" s="41"/>
    </row>
    <row r="26" spans="1:21" customFormat="1">
      <c r="A26" s="42" t="s">
        <v>414</v>
      </c>
      <c r="B26" s="43">
        <v>12.73</v>
      </c>
      <c r="C26" s="43">
        <v>8.3800000000000008</v>
      </c>
      <c r="D26" s="43">
        <v>14.33</v>
      </c>
      <c r="E26" s="43">
        <v>4.75</v>
      </c>
      <c r="F26" s="43">
        <v>2</v>
      </c>
      <c r="G26" s="43">
        <v>44.74</v>
      </c>
      <c r="H26" s="43">
        <v>14.28</v>
      </c>
      <c r="I26" s="43">
        <v>6.93</v>
      </c>
      <c r="J26" s="43">
        <v>0.12</v>
      </c>
      <c r="K26" s="43">
        <v>157.1</v>
      </c>
      <c r="L26" s="43">
        <v>26.05</v>
      </c>
      <c r="M26" s="43">
        <v>68.42</v>
      </c>
      <c r="N26" s="43">
        <v>11.3</v>
      </c>
      <c r="O26" s="43">
        <v>0</v>
      </c>
      <c r="P26" s="43">
        <v>0.4</v>
      </c>
      <c r="Q26" s="43">
        <v>13.6</v>
      </c>
      <c r="R26" s="41"/>
      <c r="S26" s="41"/>
      <c r="T26" s="41"/>
      <c r="U26" s="41"/>
    </row>
    <row r="27" spans="1:21" customFormat="1">
      <c r="A27" s="42" t="s">
        <v>415</v>
      </c>
      <c r="B27" s="43">
        <v>16.02</v>
      </c>
      <c r="C27" s="43">
        <v>8.4700000000000006</v>
      </c>
      <c r="D27" s="43">
        <v>17.13</v>
      </c>
      <c r="E27" s="43">
        <v>5.98</v>
      </c>
      <c r="F27" s="43">
        <v>2</v>
      </c>
      <c r="G27" s="43">
        <v>42.75</v>
      </c>
      <c r="H27" s="43">
        <v>14.28</v>
      </c>
      <c r="I27" s="43">
        <v>6.86</v>
      </c>
      <c r="J27" s="43">
        <v>0.13</v>
      </c>
      <c r="K27" s="43">
        <v>85.17</v>
      </c>
      <c r="L27" s="43">
        <v>25.56</v>
      </c>
      <c r="M27" s="43">
        <v>70.77</v>
      </c>
      <c r="N27" s="43">
        <v>2.4</v>
      </c>
      <c r="O27" s="43">
        <v>0</v>
      </c>
      <c r="P27" s="43">
        <v>0.43</v>
      </c>
      <c r="Q27" s="43">
        <v>10.76</v>
      </c>
      <c r="R27" s="41"/>
      <c r="S27" s="41"/>
      <c r="T27" s="41"/>
      <c r="U27" s="41"/>
    </row>
    <row r="28" spans="1:21" customFormat="1">
      <c r="A28" s="42" t="s">
        <v>416</v>
      </c>
      <c r="B28" s="43">
        <v>16.84</v>
      </c>
      <c r="C28" s="43">
        <v>8.0500000000000007</v>
      </c>
      <c r="D28" s="43">
        <v>17.53</v>
      </c>
      <c r="E28" s="43">
        <v>6.34</v>
      </c>
      <c r="F28" s="43">
        <v>2</v>
      </c>
      <c r="G28" s="43">
        <v>42.75</v>
      </c>
      <c r="H28" s="43">
        <v>14.24</v>
      </c>
      <c r="I28" s="43">
        <v>7.25</v>
      </c>
      <c r="J28" s="43">
        <v>0.16</v>
      </c>
      <c r="K28" s="43">
        <v>180.53</v>
      </c>
      <c r="L28" s="43">
        <v>25.57</v>
      </c>
      <c r="M28" s="43">
        <v>70.11</v>
      </c>
      <c r="N28" s="43">
        <v>2.2999999999999998</v>
      </c>
      <c r="O28" s="43">
        <v>0</v>
      </c>
      <c r="P28" s="43">
        <v>0.45</v>
      </c>
      <c r="Q28" s="43">
        <v>10</v>
      </c>
      <c r="R28" s="41"/>
      <c r="S28" s="41"/>
      <c r="T28" s="41"/>
      <c r="U28" s="41"/>
    </row>
    <row r="29" spans="1:21" customFormat="1">
      <c r="A29" s="42" t="s">
        <v>417</v>
      </c>
      <c r="B29" s="43">
        <v>15.84</v>
      </c>
      <c r="C29" s="43">
        <v>7.69</v>
      </c>
      <c r="D29" s="43">
        <v>16.72</v>
      </c>
      <c r="E29" s="43">
        <v>7.17</v>
      </c>
      <c r="F29" s="43">
        <v>2.0299999999999998</v>
      </c>
      <c r="G29" s="43">
        <v>41.96</v>
      </c>
      <c r="H29" s="43">
        <v>15.47</v>
      </c>
      <c r="I29" s="43">
        <v>7.27</v>
      </c>
      <c r="J29" s="43">
        <v>0.22</v>
      </c>
      <c r="K29" s="43">
        <v>177.38</v>
      </c>
      <c r="L29" s="43">
        <v>25.69</v>
      </c>
      <c r="M29" s="43">
        <v>67.180000000000007</v>
      </c>
      <c r="N29" s="43">
        <v>2.4</v>
      </c>
      <c r="O29" s="43">
        <v>0</v>
      </c>
      <c r="P29" s="43">
        <v>0.43</v>
      </c>
      <c r="Q29" s="43">
        <v>14.16</v>
      </c>
      <c r="R29" s="41"/>
      <c r="S29" s="41"/>
      <c r="T29" s="41"/>
      <c r="U29" s="41"/>
    </row>
    <row r="30" spans="1:21" customFormat="1">
      <c r="A30" s="42" t="s">
        <v>418</v>
      </c>
      <c r="B30" s="43">
        <v>14.26</v>
      </c>
      <c r="C30" s="43">
        <v>7.21</v>
      </c>
      <c r="D30" s="43">
        <v>15.2</v>
      </c>
      <c r="E30" s="43">
        <v>7.48</v>
      </c>
      <c r="F30" s="43">
        <v>2.0299999999999998</v>
      </c>
      <c r="G30" s="43">
        <v>41.96</v>
      </c>
      <c r="H30" s="43">
        <v>18.059999999999999</v>
      </c>
      <c r="I30" s="43">
        <v>7.24</v>
      </c>
      <c r="J30" s="43">
        <v>0.26</v>
      </c>
      <c r="K30" s="43">
        <v>157.66999999999999</v>
      </c>
      <c r="L30" s="43">
        <v>25.79</v>
      </c>
      <c r="M30" s="43">
        <v>67.400000000000006</v>
      </c>
      <c r="N30" s="43">
        <v>2.2999999999999998</v>
      </c>
      <c r="O30" s="43">
        <v>0</v>
      </c>
      <c r="P30" s="43">
        <v>0.43</v>
      </c>
      <c r="Q30" s="43">
        <v>14.7</v>
      </c>
      <c r="R30" s="41"/>
      <c r="S30" s="41"/>
      <c r="T30" s="41"/>
      <c r="U30" s="41"/>
    </row>
    <row r="31" spans="1:21" customFormat="1">
      <c r="A31" s="42" t="s">
        <v>419</v>
      </c>
      <c r="B31" s="43">
        <v>14.29</v>
      </c>
      <c r="C31" s="43">
        <v>6.96</v>
      </c>
      <c r="D31" s="43">
        <v>15.09</v>
      </c>
      <c r="E31" s="43">
        <v>7.5</v>
      </c>
      <c r="F31" s="43">
        <v>2.0099999999999998</v>
      </c>
      <c r="G31" s="43">
        <v>41.78</v>
      </c>
      <c r="H31" s="43">
        <v>18.059999999999999</v>
      </c>
      <c r="I31" s="43">
        <v>7.26</v>
      </c>
      <c r="J31" s="43">
        <v>0.38</v>
      </c>
      <c r="K31" s="43">
        <v>159.78</v>
      </c>
      <c r="L31" s="43">
        <v>25.94</v>
      </c>
      <c r="M31" s="43">
        <v>64.53</v>
      </c>
      <c r="N31" s="43">
        <v>2.4</v>
      </c>
      <c r="O31" s="43">
        <v>0</v>
      </c>
      <c r="P31" s="43">
        <v>0.43</v>
      </c>
      <c r="Q31" s="43">
        <v>12.43</v>
      </c>
      <c r="R31" s="41"/>
      <c r="S31" s="41"/>
      <c r="T31" s="41"/>
      <c r="U31" s="41"/>
    </row>
    <row r="32" spans="1:21" customFormat="1">
      <c r="A32" s="42" t="s">
        <v>420</v>
      </c>
      <c r="B32" s="43">
        <v>13.59</v>
      </c>
      <c r="C32" s="43">
        <v>6.64</v>
      </c>
      <c r="D32" s="43">
        <v>14.36</v>
      </c>
      <c r="E32" s="43">
        <v>7.59</v>
      </c>
      <c r="F32" s="43">
        <v>2.12</v>
      </c>
      <c r="G32" s="43">
        <v>41.78</v>
      </c>
      <c r="H32" s="43">
        <v>15.88</v>
      </c>
      <c r="I32" s="43">
        <v>7.13</v>
      </c>
      <c r="J32" s="43">
        <v>0.2</v>
      </c>
      <c r="K32" s="43">
        <v>173.54</v>
      </c>
      <c r="L32" s="43">
        <v>25.94</v>
      </c>
      <c r="M32" s="43">
        <v>65.569999999999993</v>
      </c>
      <c r="N32" s="43">
        <v>2.5</v>
      </c>
      <c r="O32" s="43">
        <v>0</v>
      </c>
      <c r="P32" s="43">
        <v>0.39</v>
      </c>
      <c r="Q32" s="43">
        <v>15.57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2.39</v>
      </c>
      <c r="C34" s="18">
        <f t="shared" si="0"/>
        <v>6.64</v>
      </c>
      <c r="D34" s="18">
        <f t="shared" si="0"/>
        <v>6.27</v>
      </c>
      <c r="E34" s="18">
        <f t="shared" si="0"/>
        <v>4.29</v>
      </c>
      <c r="F34" s="18">
        <f t="shared" si="0"/>
        <v>2</v>
      </c>
      <c r="G34" s="18">
        <f t="shared" si="0"/>
        <v>2.52</v>
      </c>
      <c r="H34" s="18">
        <f t="shared" si="0"/>
        <v>0.2</v>
      </c>
      <c r="I34" s="18">
        <f t="shared" si="0"/>
        <v>3.21</v>
      </c>
      <c r="J34" s="18">
        <f t="shared" si="0"/>
        <v>0.09</v>
      </c>
      <c r="K34" s="18">
        <f t="shared" si="0"/>
        <v>66.91</v>
      </c>
      <c r="L34" s="18">
        <f t="shared" si="0"/>
        <v>25.56</v>
      </c>
      <c r="M34" s="18">
        <f t="shared" si="0"/>
        <v>64.53</v>
      </c>
      <c r="N34" s="18">
        <f t="shared" si="0"/>
        <v>2.1</v>
      </c>
      <c r="O34" s="18">
        <f t="shared" si="0"/>
        <v>0</v>
      </c>
      <c r="P34" s="18">
        <f t="shared" si="0"/>
        <v>0.16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16.84</v>
      </c>
      <c r="C35" s="3">
        <f t="shared" si="1"/>
        <v>14.26</v>
      </c>
      <c r="D35" s="3">
        <f t="shared" si="1"/>
        <v>17.53</v>
      </c>
      <c r="E35" s="3">
        <f t="shared" si="1"/>
        <v>7.59</v>
      </c>
      <c r="F35" s="3">
        <f t="shared" si="1"/>
        <v>14.19</v>
      </c>
      <c r="G35" s="3">
        <f t="shared" si="1"/>
        <v>44.74</v>
      </c>
      <c r="H35" s="3">
        <f t="shared" si="1"/>
        <v>18.059999999999999</v>
      </c>
      <c r="I35" s="3">
        <f t="shared" si="1"/>
        <v>7.27</v>
      </c>
      <c r="J35" s="3">
        <f t="shared" si="1"/>
        <v>0.76</v>
      </c>
      <c r="K35" s="3">
        <f t="shared" si="1"/>
        <v>211.56</v>
      </c>
      <c r="L35" s="3">
        <f t="shared" si="1"/>
        <v>28.53</v>
      </c>
      <c r="M35" s="3">
        <f t="shared" si="1"/>
        <v>82.08</v>
      </c>
      <c r="N35" s="3">
        <f t="shared" si="1"/>
        <v>133.5</v>
      </c>
      <c r="O35" s="3">
        <f t="shared" si="1"/>
        <v>0</v>
      </c>
      <c r="P35" s="3">
        <f t="shared" si="1"/>
        <v>0.45</v>
      </c>
      <c r="Q35" s="3">
        <f t="shared" si="1"/>
        <v>54.38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9.0441666666666674</v>
      </c>
      <c r="C36" s="18">
        <f t="shared" si="2"/>
        <v>8.6220833333333342</v>
      </c>
      <c r="D36" s="18">
        <f t="shared" si="2"/>
        <v>11.633750000000001</v>
      </c>
      <c r="E36" s="18">
        <f t="shared" si="2"/>
        <v>5.7129166666666684</v>
      </c>
      <c r="F36" s="18">
        <f t="shared" si="2"/>
        <v>3.6675000000000004</v>
      </c>
      <c r="G36" s="18">
        <f t="shared" si="2"/>
        <v>20.445416666666663</v>
      </c>
      <c r="H36" s="18">
        <f t="shared" si="2"/>
        <v>6.430416666666666</v>
      </c>
      <c r="I36" s="18">
        <f t="shared" si="2"/>
        <v>4.9795833333333333</v>
      </c>
      <c r="J36" s="18">
        <f t="shared" si="2"/>
        <v>0.32124999999999998</v>
      </c>
      <c r="K36" s="18">
        <f t="shared" si="2"/>
        <v>172.07166666666669</v>
      </c>
      <c r="L36" s="18">
        <f t="shared" si="2"/>
        <v>26.870833333333341</v>
      </c>
      <c r="M36" s="18">
        <f t="shared" si="2"/>
        <v>73.01166666666667</v>
      </c>
      <c r="N36" s="18">
        <f t="shared" si="2"/>
        <v>31.591666666666654</v>
      </c>
      <c r="O36" s="18">
        <f t="shared" si="2"/>
        <v>0</v>
      </c>
      <c r="P36" s="18">
        <f t="shared" si="2"/>
        <v>0.29083333333333333</v>
      </c>
      <c r="Q36" s="18">
        <f t="shared" si="2"/>
        <v>15.955833333333333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4.2336939536005209</v>
      </c>
      <c r="C37" s="18">
        <f t="shared" ref="C37:Q37" si="3">STDEV(C9:C32)</f>
        <v>2.180466601773404</v>
      </c>
      <c r="D37" s="18">
        <f t="shared" si="3"/>
        <v>3.4110087918768013</v>
      </c>
      <c r="E37" s="18">
        <f t="shared" si="3"/>
        <v>0.96039158302934569</v>
      </c>
      <c r="F37" s="18">
        <f t="shared" si="3"/>
        <v>3.1553257256236811</v>
      </c>
      <c r="G37" s="18">
        <f t="shared" si="3"/>
        <v>18.283523344962731</v>
      </c>
      <c r="H37" s="18">
        <f t="shared" si="3"/>
        <v>6.8987828032680261</v>
      </c>
      <c r="I37" s="18">
        <f t="shared" si="3"/>
        <v>1.6051181161106709</v>
      </c>
      <c r="J37" s="18">
        <f t="shared" si="3"/>
        <v>0.20033260387144436</v>
      </c>
      <c r="K37" s="18">
        <f t="shared" si="3"/>
        <v>40.680032134853974</v>
      </c>
      <c r="L37" s="18">
        <f t="shared" si="3"/>
        <v>0.92684090218926696</v>
      </c>
      <c r="M37" s="18">
        <f t="shared" si="3"/>
        <v>6.3780647648740239</v>
      </c>
      <c r="N37" s="18">
        <f t="shared" si="3"/>
        <v>42.103567097323733</v>
      </c>
      <c r="O37" s="18">
        <f t="shared" si="3"/>
        <v>0</v>
      </c>
      <c r="P37" s="18">
        <f t="shared" si="3"/>
        <v>0.11127391454411513</v>
      </c>
      <c r="Q37" s="18">
        <f t="shared" si="3"/>
        <v>11.710502130349809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K24" sqref="K2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16/09/2025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421</v>
      </c>
      <c r="B9" s="43">
        <v>12.09</v>
      </c>
      <c r="C9" s="43">
        <v>6.1</v>
      </c>
      <c r="D9" s="43">
        <v>12.7</v>
      </c>
      <c r="E9" s="43">
        <v>7.91</v>
      </c>
      <c r="F9" s="43">
        <v>2.04</v>
      </c>
      <c r="G9" s="43">
        <v>36.99</v>
      </c>
      <c r="H9" s="43">
        <v>14.3</v>
      </c>
      <c r="I9" s="43">
        <v>6.5</v>
      </c>
      <c r="J9" s="43">
        <v>0.28999999999999998</v>
      </c>
      <c r="K9" s="43">
        <v>169</v>
      </c>
      <c r="L9" s="43">
        <v>25.6</v>
      </c>
      <c r="M9" s="43">
        <v>64.86</v>
      </c>
      <c r="N9" s="43">
        <v>2.7</v>
      </c>
      <c r="O9" s="43">
        <v>0</v>
      </c>
      <c r="P9" s="43">
        <v>0.35</v>
      </c>
      <c r="Q9" s="43">
        <v>14.39</v>
      </c>
      <c r="R9" s="41"/>
      <c r="S9" s="41"/>
      <c r="T9" s="41"/>
      <c r="U9" s="41"/>
    </row>
    <row r="10" spans="1:21" customFormat="1">
      <c r="A10" s="42" t="s">
        <v>422</v>
      </c>
      <c r="B10" s="43">
        <v>11.51</v>
      </c>
      <c r="C10" s="43">
        <v>5.65</v>
      </c>
      <c r="D10" s="43">
        <v>12.11</v>
      </c>
      <c r="E10" s="43">
        <v>7.4</v>
      </c>
      <c r="F10" s="43">
        <v>2.02</v>
      </c>
      <c r="G10" s="43">
        <v>24.39</v>
      </c>
      <c r="H10" s="43">
        <v>10.64</v>
      </c>
      <c r="I10" s="43">
        <v>6.02</v>
      </c>
      <c r="J10" s="43">
        <v>0.16</v>
      </c>
      <c r="K10" s="43">
        <v>165.9</v>
      </c>
      <c r="L10" s="43">
        <v>25.01</v>
      </c>
      <c r="M10" s="43">
        <v>66.75</v>
      </c>
      <c r="N10" s="43">
        <v>2.4</v>
      </c>
      <c r="O10" s="43">
        <v>0</v>
      </c>
      <c r="P10" s="43">
        <v>0.34</v>
      </c>
      <c r="Q10" s="43">
        <v>66.81</v>
      </c>
      <c r="R10" s="41"/>
      <c r="S10" s="41"/>
      <c r="T10" s="41"/>
      <c r="U10" s="41"/>
    </row>
    <row r="11" spans="1:21" customFormat="1">
      <c r="A11" s="42" t="s">
        <v>423</v>
      </c>
      <c r="B11" s="43">
        <v>11.41</v>
      </c>
      <c r="C11" s="43">
        <v>5.72</v>
      </c>
      <c r="D11" s="43">
        <v>12.12</v>
      </c>
      <c r="E11" s="43">
        <v>6.48</v>
      </c>
      <c r="F11" s="43">
        <v>2</v>
      </c>
      <c r="G11" s="43">
        <v>16.760000000000002</v>
      </c>
      <c r="H11" s="43">
        <v>7.45</v>
      </c>
      <c r="I11" s="43">
        <v>5.89</v>
      </c>
      <c r="J11" s="43">
        <v>0.24</v>
      </c>
      <c r="K11" s="43">
        <v>176.59</v>
      </c>
      <c r="L11" s="43">
        <v>24.83</v>
      </c>
      <c r="M11" s="43">
        <v>67.48</v>
      </c>
      <c r="N11" s="43">
        <v>2.4</v>
      </c>
      <c r="O11" s="43">
        <v>0</v>
      </c>
      <c r="P11" s="43">
        <v>0.32</v>
      </c>
      <c r="Q11" s="43">
        <v>18.03</v>
      </c>
      <c r="R11" s="41"/>
      <c r="S11" s="41"/>
      <c r="T11" s="41"/>
      <c r="U11" s="41"/>
    </row>
    <row r="12" spans="1:21" customFormat="1">
      <c r="A12" s="42" t="s">
        <v>424</v>
      </c>
      <c r="B12" s="43">
        <v>11.36</v>
      </c>
      <c r="C12" s="43">
        <v>5.65</v>
      </c>
      <c r="D12" s="43">
        <v>12.03</v>
      </c>
      <c r="E12" s="43">
        <v>6.52</v>
      </c>
      <c r="F12" s="43">
        <v>2</v>
      </c>
      <c r="G12" s="43">
        <v>11.83</v>
      </c>
      <c r="H12" s="43">
        <v>5.22</v>
      </c>
      <c r="I12" s="43">
        <v>5.66</v>
      </c>
      <c r="J12" s="43">
        <v>0.13</v>
      </c>
      <c r="K12" s="43">
        <v>151.62</v>
      </c>
      <c r="L12" s="43">
        <v>24.86</v>
      </c>
      <c r="M12" s="43">
        <v>59.81</v>
      </c>
      <c r="N12" s="43">
        <v>2.2999999999999998</v>
      </c>
      <c r="O12" s="43">
        <v>0</v>
      </c>
      <c r="P12" s="43">
        <v>0.31</v>
      </c>
      <c r="Q12" s="43">
        <v>17.48</v>
      </c>
      <c r="R12" s="41"/>
      <c r="S12" s="41"/>
      <c r="T12" s="41"/>
      <c r="U12" s="41"/>
    </row>
    <row r="13" spans="1:21" customFormat="1">
      <c r="A13" s="42" t="s">
        <v>425</v>
      </c>
      <c r="B13" s="43">
        <v>11.44</v>
      </c>
      <c r="C13" s="43">
        <v>5.71</v>
      </c>
      <c r="D13" s="43">
        <v>12.09</v>
      </c>
      <c r="E13" s="43">
        <v>6.54</v>
      </c>
      <c r="F13" s="43">
        <v>2</v>
      </c>
      <c r="G13" s="43">
        <v>8.4499999999999993</v>
      </c>
      <c r="H13" s="43">
        <v>4.8099999999999996</v>
      </c>
      <c r="I13" s="43">
        <v>5.53</v>
      </c>
      <c r="J13" s="43">
        <v>0.13</v>
      </c>
      <c r="K13" s="43">
        <v>163.21</v>
      </c>
      <c r="L13" s="43">
        <v>24.84</v>
      </c>
      <c r="M13" s="43">
        <v>60.34</v>
      </c>
      <c r="N13" s="43">
        <v>2.2999999999999998</v>
      </c>
      <c r="O13" s="43">
        <v>0</v>
      </c>
      <c r="P13" s="43">
        <v>0.28999999999999998</v>
      </c>
      <c r="Q13" s="43">
        <v>14.5</v>
      </c>
      <c r="R13" s="41"/>
      <c r="S13" s="41"/>
      <c r="T13" s="41"/>
      <c r="U13" s="41"/>
    </row>
    <row r="14" spans="1:21" customFormat="1">
      <c r="A14" s="42" t="s">
        <v>426</v>
      </c>
      <c r="B14" s="43">
        <v>11.44</v>
      </c>
      <c r="C14" s="43">
        <v>5.95</v>
      </c>
      <c r="D14" s="43">
        <v>12.12</v>
      </c>
      <c r="E14" s="43">
        <v>6.7</v>
      </c>
      <c r="F14" s="43">
        <v>2</v>
      </c>
      <c r="G14" s="43">
        <v>8.9</v>
      </c>
      <c r="H14" s="43">
        <v>3.68</v>
      </c>
      <c r="I14" s="43">
        <v>5.39</v>
      </c>
      <c r="J14" s="43">
        <v>0.08</v>
      </c>
      <c r="K14" s="43">
        <v>158.57</v>
      </c>
      <c r="L14" s="43">
        <v>24.72</v>
      </c>
      <c r="M14" s="43">
        <v>59.92</v>
      </c>
      <c r="N14" s="43">
        <v>4</v>
      </c>
      <c r="O14" s="43">
        <v>0</v>
      </c>
      <c r="P14" s="43">
        <v>0.27</v>
      </c>
      <c r="Q14" s="43">
        <v>13.98</v>
      </c>
      <c r="R14" s="41"/>
      <c r="S14" s="41"/>
      <c r="T14" s="41"/>
      <c r="U14" s="41"/>
    </row>
    <row r="15" spans="1:21" customFormat="1">
      <c r="A15" s="42" t="s">
        <v>427</v>
      </c>
      <c r="B15" s="43">
        <v>10.59</v>
      </c>
      <c r="C15" s="43">
        <v>5.92</v>
      </c>
      <c r="D15" s="43">
        <v>11.58</v>
      </c>
      <c r="E15" s="43">
        <v>6.96</v>
      </c>
      <c r="F15" s="43">
        <v>2</v>
      </c>
      <c r="G15" s="43">
        <v>8.9</v>
      </c>
      <c r="H15" s="43">
        <v>2.76</v>
      </c>
      <c r="I15" s="43">
        <v>4.96</v>
      </c>
      <c r="J15" s="43">
        <v>0.12</v>
      </c>
      <c r="K15" s="43">
        <v>128.56</v>
      </c>
      <c r="L15" s="43">
        <v>24.88</v>
      </c>
      <c r="M15" s="43">
        <v>58.54</v>
      </c>
      <c r="N15" s="43">
        <v>25.4</v>
      </c>
      <c r="O15" s="43">
        <v>0</v>
      </c>
      <c r="P15" s="43">
        <v>0.22</v>
      </c>
      <c r="Q15" s="43">
        <v>13.18</v>
      </c>
      <c r="R15" s="41"/>
      <c r="S15" s="41"/>
      <c r="T15" s="41"/>
      <c r="U15" s="41"/>
    </row>
    <row r="16" spans="1:21" customFormat="1">
      <c r="A16" s="42" t="s">
        <v>428</v>
      </c>
      <c r="B16" s="43">
        <v>9.7100000000000009</v>
      </c>
      <c r="C16" s="43">
        <v>5.62</v>
      </c>
      <c r="D16" s="43">
        <v>10.73</v>
      </c>
      <c r="E16" s="43">
        <v>7.52</v>
      </c>
      <c r="F16" s="43">
        <v>2.0299999999999998</v>
      </c>
      <c r="G16" s="43">
        <v>6.38</v>
      </c>
      <c r="H16" s="43">
        <v>2.4</v>
      </c>
      <c r="I16" s="43">
        <v>4.55</v>
      </c>
      <c r="J16" s="43">
        <v>0.22</v>
      </c>
      <c r="K16" s="43">
        <v>137.1</v>
      </c>
      <c r="L16" s="43">
        <v>25.56</v>
      </c>
      <c r="M16" s="43">
        <v>56.52</v>
      </c>
      <c r="N16" s="43">
        <v>44.7</v>
      </c>
      <c r="O16" s="43">
        <v>0</v>
      </c>
      <c r="P16" s="43">
        <v>0.2</v>
      </c>
      <c r="Q16" s="43">
        <v>12.06</v>
      </c>
      <c r="R16" s="41"/>
      <c r="S16" s="41"/>
      <c r="T16" s="41"/>
      <c r="U16" s="41"/>
    </row>
    <row r="17" spans="1:21" customFormat="1">
      <c r="A17" s="42" t="s">
        <v>429</v>
      </c>
      <c r="B17" s="43">
        <v>9.06</v>
      </c>
      <c r="C17" s="43">
        <v>5.61</v>
      </c>
      <c r="D17" s="43">
        <v>10.199999999999999</v>
      </c>
      <c r="E17" s="43">
        <v>7.31</v>
      </c>
      <c r="F17" s="43">
        <v>2.1</v>
      </c>
      <c r="G17" s="43">
        <v>8.7899999999999991</v>
      </c>
      <c r="H17" s="43">
        <v>3.97</v>
      </c>
      <c r="I17" s="43">
        <v>4.26</v>
      </c>
      <c r="J17" s="43">
        <v>0.27</v>
      </c>
      <c r="K17" s="43">
        <v>153.47999999999999</v>
      </c>
      <c r="L17" s="43">
        <v>26.29</v>
      </c>
      <c r="M17" s="43">
        <v>56.2</v>
      </c>
      <c r="N17" s="43">
        <v>81.2</v>
      </c>
      <c r="O17" s="43">
        <v>0</v>
      </c>
      <c r="P17" s="43">
        <v>0.19</v>
      </c>
      <c r="Q17" s="43">
        <v>13.37</v>
      </c>
      <c r="R17" s="41"/>
      <c r="S17" s="41"/>
      <c r="T17" s="41"/>
      <c r="U17" s="41"/>
    </row>
    <row r="18" spans="1:21" customFormat="1">
      <c r="A18" s="42" t="s">
        <v>430</v>
      </c>
      <c r="B18" s="43">
        <v>8.33</v>
      </c>
      <c r="C18" s="43">
        <v>5.55</v>
      </c>
      <c r="D18" s="43">
        <v>9.5399999999999991</v>
      </c>
      <c r="E18" s="43">
        <v>7.62</v>
      </c>
      <c r="F18" s="43">
        <v>2.15</v>
      </c>
      <c r="G18" s="43">
        <v>8.7899999999999991</v>
      </c>
      <c r="H18" s="43">
        <v>3.97</v>
      </c>
      <c r="I18" s="43">
        <v>4.1399999999999997</v>
      </c>
      <c r="J18" s="43">
        <v>0.28000000000000003</v>
      </c>
      <c r="K18" s="43">
        <v>141.76</v>
      </c>
      <c r="L18" s="43">
        <v>26.98</v>
      </c>
      <c r="M18" s="43">
        <v>54.12</v>
      </c>
      <c r="N18" s="43">
        <v>106.6</v>
      </c>
      <c r="O18" s="43">
        <v>0</v>
      </c>
      <c r="P18" s="43">
        <v>0.19</v>
      </c>
      <c r="Q18" s="43">
        <v>11</v>
      </c>
      <c r="R18" s="41"/>
      <c r="S18" s="41"/>
      <c r="T18" s="41"/>
      <c r="U18" s="41"/>
    </row>
    <row r="19" spans="1:21" customFormat="1">
      <c r="A19" s="42" t="s">
        <v>431</v>
      </c>
      <c r="B19" s="43">
        <v>7.31</v>
      </c>
      <c r="C19" s="43">
        <v>5.67</v>
      </c>
      <c r="D19" s="43">
        <v>8.77</v>
      </c>
      <c r="E19" s="43">
        <v>5.5</v>
      </c>
      <c r="F19" s="43">
        <v>2.04</v>
      </c>
      <c r="G19" s="43">
        <v>10.91</v>
      </c>
      <c r="H19" s="43">
        <v>3.14</v>
      </c>
      <c r="I19" s="43">
        <v>3.98</v>
      </c>
      <c r="J19" s="43">
        <v>0.33</v>
      </c>
      <c r="K19" s="43">
        <v>127.21</v>
      </c>
      <c r="L19" s="43">
        <v>15.94</v>
      </c>
      <c r="M19" s="43">
        <v>41.32</v>
      </c>
      <c r="N19" s="43">
        <v>248.7</v>
      </c>
      <c r="O19" s="43">
        <v>0</v>
      </c>
      <c r="P19" s="43">
        <v>0.2</v>
      </c>
      <c r="Q19" s="43">
        <v>30.19</v>
      </c>
      <c r="R19" s="41"/>
      <c r="S19" s="41"/>
      <c r="T19" s="41"/>
      <c r="U19" s="41"/>
    </row>
    <row r="20" spans="1:21" customFormat="1">
      <c r="A20" s="42" t="s">
        <v>432</v>
      </c>
      <c r="B20" s="43">
        <v>6.68</v>
      </c>
      <c r="C20" s="43">
        <v>5.73</v>
      </c>
      <c r="D20" s="43">
        <v>8.24</v>
      </c>
      <c r="E20" s="43">
        <v>5.13</v>
      </c>
      <c r="F20" s="43">
        <v>2.74</v>
      </c>
      <c r="G20" s="43">
        <v>11.48</v>
      </c>
      <c r="H20" s="43">
        <v>2.91</v>
      </c>
      <c r="I20" s="43">
        <v>4.04</v>
      </c>
      <c r="J20" s="43">
        <v>0.55000000000000004</v>
      </c>
      <c r="K20" s="43">
        <v>126.21</v>
      </c>
      <c r="L20" s="43">
        <v>13.94</v>
      </c>
      <c r="M20" s="43">
        <v>39.130000000000003</v>
      </c>
      <c r="N20" s="43">
        <v>524.1</v>
      </c>
      <c r="O20" s="43">
        <v>0</v>
      </c>
      <c r="P20" s="43">
        <v>0.2</v>
      </c>
      <c r="Q20" s="43">
        <v>10.95</v>
      </c>
      <c r="R20" s="41"/>
      <c r="S20" s="41"/>
      <c r="T20" s="41"/>
      <c r="U20" s="41"/>
    </row>
    <row r="21" spans="1:21" customFormat="1">
      <c r="A21" s="42" t="s">
        <v>433</v>
      </c>
      <c r="B21" s="43">
        <v>7.48</v>
      </c>
      <c r="C21" s="43">
        <v>6.56</v>
      </c>
      <c r="D21" s="43">
        <v>9.42</v>
      </c>
      <c r="E21" s="43">
        <v>5.53</v>
      </c>
      <c r="F21" s="43">
        <v>2.99</v>
      </c>
      <c r="G21" s="43">
        <v>23.72</v>
      </c>
      <c r="H21" s="43">
        <v>10.16</v>
      </c>
      <c r="I21" s="43">
        <v>4.42</v>
      </c>
      <c r="J21" s="43">
        <v>0.97</v>
      </c>
      <c r="K21" s="43">
        <v>136.24</v>
      </c>
      <c r="L21" s="43">
        <v>20.38</v>
      </c>
      <c r="M21" s="43">
        <v>45.63</v>
      </c>
      <c r="N21" s="43">
        <v>40.200000000000003</v>
      </c>
      <c r="O21" s="43">
        <v>0</v>
      </c>
      <c r="P21" s="43">
        <v>0.26</v>
      </c>
      <c r="Q21" s="43">
        <v>10.32</v>
      </c>
      <c r="R21" s="41"/>
      <c r="S21" s="41"/>
      <c r="T21" s="41"/>
      <c r="U21" s="41"/>
    </row>
    <row r="22" spans="1:21" customFormat="1">
      <c r="A22" s="42" t="s">
        <v>434</v>
      </c>
      <c r="B22" s="43">
        <v>7.7</v>
      </c>
      <c r="C22" s="43">
        <v>6.45</v>
      </c>
      <c r="D22" s="43">
        <v>9.5299999999999994</v>
      </c>
      <c r="E22" s="43">
        <v>4.84</v>
      </c>
      <c r="F22" s="43">
        <v>2</v>
      </c>
      <c r="G22" s="43">
        <v>25.68</v>
      </c>
      <c r="H22" s="43">
        <v>10.16</v>
      </c>
      <c r="I22" s="43">
        <v>4.7</v>
      </c>
      <c r="J22" s="43">
        <v>0.38</v>
      </c>
      <c r="K22" s="43">
        <v>136.41</v>
      </c>
      <c r="L22" s="43">
        <v>20.149999999999999</v>
      </c>
      <c r="M22" s="43">
        <v>45.47</v>
      </c>
      <c r="N22" s="43">
        <v>26.8</v>
      </c>
      <c r="O22" s="43">
        <v>0</v>
      </c>
      <c r="P22" s="43">
        <v>0.28000000000000003</v>
      </c>
      <c r="Q22" s="43">
        <v>20.49</v>
      </c>
      <c r="R22" s="41"/>
      <c r="S22" s="41"/>
      <c r="T22" s="41"/>
      <c r="U22" s="41"/>
    </row>
    <row r="23" spans="1:21" customFormat="1">
      <c r="A23" s="42" t="s">
        <v>435</v>
      </c>
      <c r="B23" s="43">
        <v>7.76</v>
      </c>
      <c r="C23" s="43">
        <v>6.2</v>
      </c>
      <c r="D23" s="43">
        <v>9.3800000000000008</v>
      </c>
      <c r="E23" s="43">
        <v>4.95</v>
      </c>
      <c r="F23" s="43">
        <v>2</v>
      </c>
      <c r="G23" s="43">
        <v>25.68</v>
      </c>
      <c r="H23" s="43">
        <v>8.74</v>
      </c>
      <c r="I23" s="43">
        <v>4.8</v>
      </c>
      <c r="J23" s="43">
        <v>0.25</v>
      </c>
      <c r="K23" s="43">
        <v>135.01</v>
      </c>
      <c r="L23" s="43">
        <v>20.64</v>
      </c>
      <c r="M23" s="43">
        <v>45.9</v>
      </c>
      <c r="N23" s="43">
        <v>10.4</v>
      </c>
      <c r="O23" s="43">
        <v>0</v>
      </c>
      <c r="P23" s="43">
        <v>0.27</v>
      </c>
      <c r="Q23" s="43">
        <v>12.49</v>
      </c>
      <c r="R23" s="41"/>
      <c r="S23" s="41"/>
      <c r="T23" s="41"/>
      <c r="U23" s="41"/>
    </row>
    <row r="24" spans="1:21" customFormat="1">
      <c r="A24" s="42" t="s">
        <v>436</v>
      </c>
      <c r="B24" s="43">
        <v>7.8</v>
      </c>
      <c r="C24" s="43">
        <v>6.42</v>
      </c>
      <c r="D24" s="43">
        <v>9.2200000000000006</v>
      </c>
      <c r="E24" s="43">
        <v>5.03</v>
      </c>
      <c r="F24" s="43">
        <v>2</v>
      </c>
      <c r="G24" s="43">
        <v>17.72</v>
      </c>
      <c r="H24" s="43">
        <v>8.74</v>
      </c>
      <c r="I24" s="43">
        <v>4.7699999999999996</v>
      </c>
      <c r="J24" s="43">
        <v>0.19</v>
      </c>
      <c r="K24" s="43">
        <v>135.08000000000001</v>
      </c>
      <c r="L24" s="43">
        <v>23.49</v>
      </c>
      <c r="M24" s="43">
        <v>52.15</v>
      </c>
      <c r="N24" s="43">
        <v>13.4</v>
      </c>
      <c r="O24" s="43">
        <v>0</v>
      </c>
      <c r="P24" s="43">
        <v>0.26</v>
      </c>
      <c r="Q24" s="43">
        <v>12.73</v>
      </c>
      <c r="R24" s="41"/>
      <c r="S24" s="41"/>
      <c r="T24" s="41"/>
      <c r="U24" s="41"/>
    </row>
    <row r="25" spans="1:21" customFormat="1">
      <c r="A25" s="42" t="s">
        <v>437</v>
      </c>
      <c r="B25" s="43">
        <v>7.1</v>
      </c>
      <c r="C25" s="43">
        <v>6.42</v>
      </c>
      <c r="D25" s="43">
        <v>9.0399999999999991</v>
      </c>
      <c r="E25" s="43">
        <v>5.29</v>
      </c>
      <c r="F25" s="43">
        <v>2</v>
      </c>
      <c r="G25" s="43">
        <v>13.51</v>
      </c>
      <c r="H25" s="43">
        <v>6.62</v>
      </c>
      <c r="I25" s="43">
        <v>4.51</v>
      </c>
      <c r="J25" s="43">
        <v>0.14000000000000001</v>
      </c>
      <c r="K25" s="43">
        <v>146.59</v>
      </c>
      <c r="L25" s="43">
        <v>24.79</v>
      </c>
      <c r="M25" s="43">
        <v>53.82</v>
      </c>
      <c r="N25" s="43">
        <v>13.3</v>
      </c>
      <c r="O25" s="43">
        <v>0</v>
      </c>
      <c r="P25" s="43">
        <v>0.21</v>
      </c>
      <c r="Q25" s="43">
        <v>12.46</v>
      </c>
      <c r="R25" s="41"/>
      <c r="S25" s="41"/>
      <c r="T25" s="41"/>
      <c r="U25" s="41"/>
    </row>
    <row r="26" spans="1:21" customFormat="1">
      <c r="A26" s="42" t="s">
        <v>438</v>
      </c>
      <c r="B26" s="43">
        <v>6.39</v>
      </c>
      <c r="C26" s="43">
        <v>6.27</v>
      </c>
      <c r="D26" s="43">
        <v>8.4</v>
      </c>
      <c r="E26" s="43">
        <v>5.49</v>
      </c>
      <c r="F26" s="43">
        <v>2.0499999999999998</v>
      </c>
      <c r="G26" s="43">
        <v>12.22</v>
      </c>
      <c r="H26" s="43">
        <v>4.72</v>
      </c>
      <c r="I26" s="43">
        <v>4.2</v>
      </c>
      <c r="J26" s="43">
        <v>0.13</v>
      </c>
      <c r="K26" s="43">
        <v>144.66999999999999</v>
      </c>
      <c r="L26" s="43">
        <v>25.02</v>
      </c>
      <c r="M26" s="43">
        <v>51.17</v>
      </c>
      <c r="N26" s="43">
        <v>11.6</v>
      </c>
      <c r="O26" s="43">
        <v>0</v>
      </c>
      <c r="P26" s="43">
        <v>0.2</v>
      </c>
      <c r="Q26" s="43">
        <v>15.26</v>
      </c>
      <c r="R26" s="41"/>
      <c r="S26" s="41"/>
      <c r="T26" s="41"/>
      <c r="U26" s="41"/>
    </row>
    <row r="27" spans="1:21" customFormat="1">
      <c r="A27" s="42" t="s">
        <v>439</v>
      </c>
      <c r="B27" s="43">
        <v>6.07</v>
      </c>
      <c r="C27" s="43">
        <v>5.98</v>
      </c>
      <c r="D27" s="43">
        <v>7.99</v>
      </c>
      <c r="E27" s="43">
        <v>6.26</v>
      </c>
      <c r="F27" s="43">
        <v>2</v>
      </c>
      <c r="G27" s="43">
        <v>12.02</v>
      </c>
      <c r="H27" s="43">
        <v>3.64</v>
      </c>
      <c r="I27" s="43">
        <v>4</v>
      </c>
      <c r="J27" s="43">
        <v>0.18</v>
      </c>
      <c r="K27" s="43">
        <v>147.63999999999999</v>
      </c>
      <c r="L27" s="43">
        <v>24.99</v>
      </c>
      <c r="M27" s="43">
        <v>51.12</v>
      </c>
      <c r="N27" s="43">
        <v>2.6</v>
      </c>
      <c r="O27" s="43">
        <v>0</v>
      </c>
      <c r="P27" s="43">
        <v>0.2</v>
      </c>
      <c r="Q27" s="43">
        <v>28.05</v>
      </c>
      <c r="R27" s="41"/>
      <c r="S27" s="41"/>
      <c r="T27" s="41"/>
      <c r="U27" s="41"/>
    </row>
    <row r="28" spans="1:21" customFormat="1">
      <c r="A28" s="42" t="s">
        <v>440</v>
      </c>
      <c r="B28" s="43">
        <v>5.97</v>
      </c>
      <c r="C28" s="43">
        <v>5.93</v>
      </c>
      <c r="D28" s="43">
        <v>7.89</v>
      </c>
      <c r="E28" s="43">
        <v>6.56</v>
      </c>
      <c r="F28" s="43">
        <v>2.09</v>
      </c>
      <c r="G28" s="43">
        <v>8.49</v>
      </c>
      <c r="H28" s="43">
        <v>3.28</v>
      </c>
      <c r="I28" s="43">
        <v>4.0199999999999996</v>
      </c>
      <c r="J28" s="43">
        <v>0.13</v>
      </c>
      <c r="K28" s="43">
        <v>146.57</v>
      </c>
      <c r="L28" s="43">
        <v>24.76</v>
      </c>
      <c r="M28" s="43">
        <v>51.53</v>
      </c>
      <c r="N28" s="43">
        <v>2.2999999999999998</v>
      </c>
      <c r="O28" s="43">
        <v>0</v>
      </c>
      <c r="P28" s="43">
        <v>0.21</v>
      </c>
      <c r="Q28" s="43">
        <v>17.28</v>
      </c>
      <c r="R28" s="41"/>
      <c r="S28" s="41"/>
      <c r="T28" s="41"/>
      <c r="U28" s="41"/>
    </row>
    <row r="29" spans="1:21" customFormat="1">
      <c r="A29" s="42" t="s">
        <v>441</v>
      </c>
      <c r="B29" s="43">
        <v>6.35</v>
      </c>
      <c r="C29" s="43">
        <v>5.65</v>
      </c>
      <c r="D29" s="43">
        <v>7.7</v>
      </c>
      <c r="E29" s="43">
        <v>6.47</v>
      </c>
      <c r="F29" s="43">
        <v>2.02</v>
      </c>
      <c r="G29" s="43">
        <v>10.73</v>
      </c>
      <c r="H29" s="43">
        <v>4.2</v>
      </c>
      <c r="I29" s="43">
        <v>4.1900000000000004</v>
      </c>
      <c r="J29" s="43">
        <v>0.11</v>
      </c>
      <c r="K29" s="43">
        <v>148.57</v>
      </c>
      <c r="L29" s="43">
        <v>24.71</v>
      </c>
      <c r="M29" s="43">
        <v>52.08</v>
      </c>
      <c r="N29" s="43">
        <v>2.2999999999999998</v>
      </c>
      <c r="O29" s="43">
        <v>0</v>
      </c>
      <c r="P29" s="43">
        <v>0.24</v>
      </c>
      <c r="Q29" s="43">
        <v>52.25</v>
      </c>
      <c r="R29" s="41"/>
      <c r="S29" s="41"/>
      <c r="T29" s="41"/>
      <c r="U29" s="41"/>
    </row>
    <row r="30" spans="1:21" customFormat="1">
      <c r="A30" s="42" t="s">
        <v>442</v>
      </c>
      <c r="B30" s="43">
        <v>7.1</v>
      </c>
      <c r="C30" s="43">
        <v>5.08</v>
      </c>
      <c r="D30" s="43">
        <v>8.35</v>
      </c>
      <c r="E30" s="43">
        <v>6.13</v>
      </c>
      <c r="F30" s="43">
        <v>2.0699999999999998</v>
      </c>
      <c r="G30" s="43">
        <v>10.73</v>
      </c>
      <c r="H30" s="43">
        <v>4.2</v>
      </c>
      <c r="I30" s="43">
        <v>4.4800000000000004</v>
      </c>
      <c r="J30" s="43">
        <v>0.18</v>
      </c>
      <c r="K30" s="43">
        <v>149.33000000000001</v>
      </c>
      <c r="L30" s="43">
        <v>24.53</v>
      </c>
      <c r="M30" s="43">
        <v>52.03</v>
      </c>
      <c r="N30" s="43">
        <v>2.2000000000000002</v>
      </c>
      <c r="O30" s="43">
        <v>0</v>
      </c>
      <c r="P30" s="43">
        <v>0.25</v>
      </c>
      <c r="Q30" s="43">
        <v>17.53</v>
      </c>
      <c r="R30" s="41"/>
      <c r="S30" s="41"/>
      <c r="T30" s="41"/>
      <c r="U30" s="41"/>
    </row>
    <row r="31" spans="1:21" customFormat="1">
      <c r="A31" s="42" t="s">
        <v>443</v>
      </c>
      <c r="B31" s="43">
        <v>7.59</v>
      </c>
      <c r="C31" s="43">
        <v>5.22</v>
      </c>
      <c r="D31" s="43">
        <v>8.7100000000000009</v>
      </c>
      <c r="E31" s="43">
        <v>5.77</v>
      </c>
      <c r="F31" s="43">
        <v>2.0099999999999998</v>
      </c>
      <c r="G31" s="43">
        <v>10.52</v>
      </c>
      <c r="H31" s="43">
        <v>4.38</v>
      </c>
      <c r="I31" s="43">
        <v>4.54</v>
      </c>
      <c r="J31" s="43">
        <v>0.17</v>
      </c>
      <c r="K31" s="43">
        <v>150.38999999999999</v>
      </c>
      <c r="L31" s="43">
        <v>24.4</v>
      </c>
      <c r="M31" s="43">
        <v>52.6</v>
      </c>
      <c r="N31" s="43">
        <v>2.4</v>
      </c>
      <c r="O31" s="43">
        <v>0</v>
      </c>
      <c r="P31" s="43">
        <v>0.24</v>
      </c>
      <c r="Q31" s="43">
        <v>13.89</v>
      </c>
      <c r="R31" s="41"/>
      <c r="S31" s="41"/>
      <c r="T31" s="41"/>
      <c r="U31" s="41"/>
    </row>
    <row r="32" spans="1:21" customFormat="1">
      <c r="A32" s="42" t="s">
        <v>444</v>
      </c>
      <c r="B32" s="43">
        <v>8.14</v>
      </c>
      <c r="C32" s="43">
        <v>5.23</v>
      </c>
      <c r="D32" s="43">
        <v>9.26</v>
      </c>
      <c r="E32" s="43">
        <v>6.1</v>
      </c>
      <c r="F32" s="43">
        <v>2</v>
      </c>
      <c r="G32" s="43">
        <v>10.52</v>
      </c>
      <c r="H32" s="43">
        <v>4.38</v>
      </c>
      <c r="I32" s="43">
        <v>4.6100000000000003</v>
      </c>
      <c r="J32" s="43">
        <v>0.09</v>
      </c>
      <c r="K32" s="43">
        <v>149.55000000000001</v>
      </c>
      <c r="L32" s="43">
        <v>24.24</v>
      </c>
      <c r="M32" s="43">
        <v>51.51</v>
      </c>
      <c r="N32" s="43">
        <v>2.4</v>
      </c>
      <c r="O32" s="43">
        <v>0</v>
      </c>
      <c r="P32" s="43">
        <v>0.25</v>
      </c>
      <c r="Q32" s="43">
        <v>12.23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5.97</v>
      </c>
      <c r="C34" s="18">
        <f t="shared" si="0"/>
        <v>5.08</v>
      </c>
      <c r="D34" s="18">
        <f t="shared" si="0"/>
        <v>7.7</v>
      </c>
      <c r="E34" s="18">
        <f t="shared" si="0"/>
        <v>4.84</v>
      </c>
      <c r="F34" s="18">
        <f t="shared" si="0"/>
        <v>2</v>
      </c>
      <c r="G34" s="18">
        <f t="shared" si="0"/>
        <v>6.38</v>
      </c>
      <c r="H34" s="18">
        <f t="shared" si="0"/>
        <v>2.4</v>
      </c>
      <c r="I34" s="18">
        <f t="shared" si="0"/>
        <v>3.98</v>
      </c>
      <c r="J34" s="18">
        <f t="shared" si="0"/>
        <v>0.08</v>
      </c>
      <c r="K34" s="18">
        <f t="shared" si="0"/>
        <v>126.21</v>
      </c>
      <c r="L34" s="18">
        <f t="shared" si="0"/>
        <v>13.94</v>
      </c>
      <c r="M34" s="18">
        <f t="shared" si="0"/>
        <v>39.130000000000003</v>
      </c>
      <c r="N34" s="18">
        <f t="shared" si="0"/>
        <v>2.2000000000000002</v>
      </c>
      <c r="O34" s="18">
        <f t="shared" si="0"/>
        <v>0</v>
      </c>
      <c r="P34" s="18">
        <f t="shared" si="0"/>
        <v>0.19</v>
      </c>
      <c r="Q34" s="18">
        <f t="shared" si="0"/>
        <v>10.32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12.09</v>
      </c>
      <c r="C35" s="3">
        <f t="shared" si="1"/>
        <v>6.56</v>
      </c>
      <c r="D35" s="3">
        <f t="shared" si="1"/>
        <v>12.7</v>
      </c>
      <c r="E35" s="3">
        <f t="shared" si="1"/>
        <v>7.91</v>
      </c>
      <c r="F35" s="3">
        <f t="shared" si="1"/>
        <v>2.99</v>
      </c>
      <c r="G35" s="3">
        <f t="shared" si="1"/>
        <v>36.99</v>
      </c>
      <c r="H35" s="3">
        <f t="shared" si="1"/>
        <v>14.3</v>
      </c>
      <c r="I35" s="3">
        <f t="shared" si="1"/>
        <v>6.5</v>
      </c>
      <c r="J35" s="3">
        <f t="shared" si="1"/>
        <v>0.97</v>
      </c>
      <c r="K35" s="3">
        <f t="shared" si="1"/>
        <v>176.59</v>
      </c>
      <c r="L35" s="3">
        <f t="shared" si="1"/>
        <v>26.98</v>
      </c>
      <c r="M35" s="3">
        <f t="shared" si="1"/>
        <v>67.48</v>
      </c>
      <c r="N35" s="3">
        <f t="shared" si="1"/>
        <v>524.1</v>
      </c>
      <c r="O35" s="3">
        <f t="shared" si="1"/>
        <v>0</v>
      </c>
      <c r="P35" s="3">
        <f t="shared" si="1"/>
        <v>0.35</v>
      </c>
      <c r="Q35" s="3">
        <f t="shared" si="1"/>
        <v>66.81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8.5991666666666635</v>
      </c>
      <c r="C36" s="18">
        <f t="shared" si="2"/>
        <v>5.8454166666666678</v>
      </c>
      <c r="D36" s="18">
        <f t="shared" si="2"/>
        <v>9.8799999999999972</v>
      </c>
      <c r="E36" s="18">
        <f t="shared" si="2"/>
        <v>6.2504166666666672</v>
      </c>
      <c r="F36" s="18">
        <f t="shared" si="2"/>
        <v>2.0979166666666669</v>
      </c>
      <c r="G36" s="18">
        <f t="shared" si="2"/>
        <v>14.337916666666667</v>
      </c>
      <c r="H36" s="18">
        <f t="shared" si="2"/>
        <v>5.7695833333333324</v>
      </c>
      <c r="I36" s="18">
        <f t="shared" si="2"/>
        <v>4.7566666666666668</v>
      </c>
      <c r="J36" s="18">
        <f t="shared" si="2"/>
        <v>0.23833333333333329</v>
      </c>
      <c r="K36" s="18">
        <f t="shared" si="2"/>
        <v>146.88583333333335</v>
      </c>
      <c r="L36" s="18">
        <f t="shared" si="2"/>
        <v>23.564583333333331</v>
      </c>
      <c r="M36" s="18">
        <f t="shared" si="2"/>
        <v>53.749999999999993</v>
      </c>
      <c r="N36" s="18">
        <f t="shared" si="2"/>
        <v>49.029166666666676</v>
      </c>
      <c r="O36" s="18">
        <f t="shared" si="2"/>
        <v>0</v>
      </c>
      <c r="P36" s="18">
        <f t="shared" si="2"/>
        <v>0.24791666666666676</v>
      </c>
      <c r="Q36" s="18">
        <f t="shared" si="2"/>
        <v>19.204999999999998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2.0379698266885096</v>
      </c>
      <c r="C37" s="18">
        <f t="shared" ref="C37:Q37" si="3">STDEV(C9:C32)</f>
        <v>0.40059715389671063</v>
      </c>
      <c r="D37" s="18">
        <f t="shared" si="3"/>
        <v>1.622046479792969</v>
      </c>
      <c r="E37" s="18">
        <f t="shared" si="3"/>
        <v>0.90939291343978212</v>
      </c>
      <c r="F37" s="18">
        <f t="shared" si="3"/>
        <v>0.24232531434213331</v>
      </c>
      <c r="G37" s="18">
        <f t="shared" si="3"/>
        <v>7.5803206191035057</v>
      </c>
      <c r="H37" s="18">
        <f t="shared" si="3"/>
        <v>3.1237372811184505</v>
      </c>
      <c r="I37" s="18">
        <f t="shared" si="3"/>
        <v>0.71119413766514905</v>
      </c>
      <c r="J37" s="18">
        <f t="shared" si="3"/>
        <v>0.18892525935720844</v>
      </c>
      <c r="K37" s="18">
        <f t="shared" si="3"/>
        <v>13.206800921483984</v>
      </c>
      <c r="L37" s="18">
        <f t="shared" si="3"/>
        <v>3.1545935852984197</v>
      </c>
      <c r="M37" s="18">
        <f t="shared" si="3"/>
        <v>7.3231039985728987</v>
      </c>
      <c r="N37" s="18">
        <f t="shared" si="3"/>
        <v>114.67395549487503</v>
      </c>
      <c r="O37" s="18">
        <f t="shared" si="3"/>
        <v>0</v>
      </c>
      <c r="P37" s="18">
        <f t="shared" si="3"/>
        <v>4.8452501767568296E-2</v>
      </c>
      <c r="Q37" s="18">
        <f t="shared" si="3"/>
        <v>13.51816298299376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96"/>
  <sheetViews>
    <sheetView zoomScale="85" zoomScaleNormal="85" workbookViewId="0">
      <pane xSplit="1" ySplit="8" topLeftCell="B15" activePane="bottomRight" state="frozen"/>
      <selection activeCell="G19" sqref="G19"/>
      <selection pane="topRight" activeCell="G19" sqref="G19"/>
      <selection pane="bottomLeft" activeCell="G19" sqref="G19"/>
      <selection pane="bottomRight" activeCell="Q24" sqref="Q2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17/09/2025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4" t="s">
        <v>445</v>
      </c>
      <c r="B9" s="45">
        <v>8.6300000000000008</v>
      </c>
      <c r="C9" s="45">
        <v>5.18</v>
      </c>
      <c r="D9" s="45">
        <v>9.5500000000000007</v>
      </c>
      <c r="E9" s="45">
        <v>6.23</v>
      </c>
      <c r="F9" s="45">
        <v>2.0099999999999998</v>
      </c>
      <c r="G9" s="45">
        <v>9.99</v>
      </c>
      <c r="H9" s="45">
        <v>3.16</v>
      </c>
      <c r="I9" s="45">
        <v>4.6100000000000003</v>
      </c>
      <c r="J9" s="45">
        <v>0.11</v>
      </c>
      <c r="K9" s="45">
        <v>150.38</v>
      </c>
      <c r="L9" s="45">
        <v>24.17</v>
      </c>
      <c r="M9" s="45">
        <v>53.42</v>
      </c>
      <c r="N9" s="45">
        <v>2.4</v>
      </c>
      <c r="O9" s="45">
        <v>0</v>
      </c>
      <c r="P9" s="45">
        <v>0.25</v>
      </c>
      <c r="Q9" s="45">
        <v>24.54</v>
      </c>
      <c r="R9" s="41"/>
      <c r="S9" s="41"/>
      <c r="T9" s="41"/>
      <c r="U9" s="41"/>
    </row>
    <row r="10" spans="1:21" customFormat="1">
      <c r="A10" s="44" t="s">
        <v>446</v>
      </c>
      <c r="B10" s="45">
        <v>8.7100000000000009</v>
      </c>
      <c r="C10" s="45">
        <v>5.42</v>
      </c>
      <c r="D10" s="45">
        <v>9.75</v>
      </c>
      <c r="E10" s="45">
        <v>6.34</v>
      </c>
      <c r="F10" s="45">
        <v>2.0299999999999998</v>
      </c>
      <c r="G10" s="45">
        <v>11.38</v>
      </c>
      <c r="H10" s="45">
        <v>4.3099999999999996</v>
      </c>
      <c r="I10" s="45">
        <v>4.57</v>
      </c>
      <c r="J10" s="45">
        <v>0.11</v>
      </c>
      <c r="K10" s="45">
        <v>151.22999999999999</v>
      </c>
      <c r="L10" s="45">
        <v>24.68</v>
      </c>
      <c r="M10" s="45">
        <v>56.21</v>
      </c>
      <c r="N10" s="45">
        <v>2.2999999999999998</v>
      </c>
      <c r="O10" s="45">
        <v>0</v>
      </c>
      <c r="P10" s="45">
        <v>0.24</v>
      </c>
      <c r="Q10" s="45">
        <v>10.79</v>
      </c>
      <c r="R10" s="41"/>
      <c r="S10" s="41"/>
      <c r="T10" s="41"/>
      <c r="U10" s="41"/>
    </row>
    <row r="11" spans="1:21" customFormat="1">
      <c r="A11" s="44" t="s">
        <v>447</v>
      </c>
      <c r="B11" s="45">
        <v>8.18</v>
      </c>
      <c r="C11" s="45">
        <v>5.49</v>
      </c>
      <c r="D11" s="45">
        <v>9.43</v>
      </c>
      <c r="E11" s="45">
        <v>5.76</v>
      </c>
      <c r="F11" s="45">
        <v>2</v>
      </c>
      <c r="G11" s="45">
        <v>11.38</v>
      </c>
      <c r="H11" s="45">
        <v>4.3099999999999996</v>
      </c>
      <c r="I11" s="45">
        <v>4.29</v>
      </c>
      <c r="J11" s="45">
        <v>0.21</v>
      </c>
      <c r="K11" s="45">
        <v>155.66999999999999</v>
      </c>
      <c r="L11" s="45">
        <v>24.61</v>
      </c>
      <c r="M11" s="45">
        <v>55.94</v>
      </c>
      <c r="N11" s="45">
        <v>2.4</v>
      </c>
      <c r="O11" s="45">
        <v>0</v>
      </c>
      <c r="P11" s="45">
        <v>0.19</v>
      </c>
      <c r="Q11" s="45">
        <v>10.4</v>
      </c>
      <c r="R11" s="41"/>
      <c r="S11" s="41"/>
      <c r="T11" s="41"/>
      <c r="U11" s="41"/>
    </row>
    <row r="12" spans="1:21" customFormat="1">
      <c r="A12" s="44" t="s">
        <v>448</v>
      </c>
      <c r="B12" s="45">
        <v>7.75</v>
      </c>
      <c r="C12" s="45">
        <v>5.41</v>
      </c>
      <c r="D12" s="45">
        <v>9.0399999999999991</v>
      </c>
      <c r="E12" s="45">
        <v>5.76</v>
      </c>
      <c r="F12" s="45">
        <v>2</v>
      </c>
      <c r="G12" s="45">
        <v>8.7100000000000009</v>
      </c>
      <c r="H12" s="45">
        <v>3.19</v>
      </c>
      <c r="I12" s="45">
        <v>4.16</v>
      </c>
      <c r="J12" s="45">
        <v>0.16</v>
      </c>
      <c r="K12" s="45">
        <v>154.94</v>
      </c>
      <c r="L12" s="45">
        <v>24.37</v>
      </c>
      <c r="M12" s="45">
        <v>55.51</v>
      </c>
      <c r="N12" s="45">
        <v>2.2999999999999998</v>
      </c>
      <c r="O12" s="45">
        <v>0</v>
      </c>
      <c r="P12" s="45">
        <v>0.18</v>
      </c>
      <c r="Q12" s="45">
        <v>10.37</v>
      </c>
      <c r="R12" s="41"/>
      <c r="S12" s="41"/>
      <c r="T12" s="41"/>
      <c r="U12" s="41"/>
    </row>
    <row r="13" spans="1:21" customFormat="1">
      <c r="A13" s="44" t="s">
        <v>449</v>
      </c>
      <c r="B13" s="45">
        <v>7.4</v>
      </c>
      <c r="C13" s="45">
        <v>5.23</v>
      </c>
      <c r="D13" s="45">
        <v>8.6300000000000008</v>
      </c>
      <c r="E13" s="45">
        <v>5.62</v>
      </c>
      <c r="F13" s="45">
        <v>2.19</v>
      </c>
      <c r="G13" s="45">
        <v>6.2</v>
      </c>
      <c r="H13" s="45">
        <v>2.2799999999999998</v>
      </c>
      <c r="I13" s="45">
        <v>3.97</v>
      </c>
      <c r="J13" s="45">
        <v>0.16</v>
      </c>
      <c r="K13" s="45">
        <v>154.19999999999999</v>
      </c>
      <c r="L13" s="45">
        <v>24.23</v>
      </c>
      <c r="M13" s="45">
        <v>54.85</v>
      </c>
      <c r="N13" s="45">
        <v>2.4</v>
      </c>
      <c r="O13" s="45">
        <v>0</v>
      </c>
      <c r="P13" s="45">
        <v>0.17</v>
      </c>
      <c r="Q13" s="45">
        <v>15.64</v>
      </c>
      <c r="R13" s="41"/>
      <c r="S13" s="41"/>
      <c r="T13" s="41"/>
      <c r="U13" s="41"/>
    </row>
    <row r="14" spans="1:21" customFormat="1">
      <c r="A14" s="44" t="s">
        <v>450</v>
      </c>
      <c r="B14" s="45">
        <v>7.21</v>
      </c>
      <c r="C14" s="45">
        <v>5.1100000000000003</v>
      </c>
      <c r="D14" s="45">
        <v>8.43</v>
      </c>
      <c r="E14" s="45">
        <v>5.8</v>
      </c>
      <c r="F14" s="45">
        <v>2.0699999999999998</v>
      </c>
      <c r="G14" s="45">
        <v>7.95</v>
      </c>
      <c r="H14" s="45">
        <v>1.69</v>
      </c>
      <c r="I14" s="45">
        <v>3.67</v>
      </c>
      <c r="J14" s="45">
        <v>0.14000000000000001</v>
      </c>
      <c r="K14" s="45">
        <v>154.55000000000001</v>
      </c>
      <c r="L14" s="45">
        <v>24.18</v>
      </c>
      <c r="M14" s="45">
        <v>54.61</v>
      </c>
      <c r="N14" s="45">
        <v>4.0999999999999996</v>
      </c>
      <c r="O14" s="45">
        <v>0</v>
      </c>
      <c r="P14" s="45">
        <v>0.17</v>
      </c>
      <c r="Q14" s="45">
        <v>10.19</v>
      </c>
      <c r="R14" s="41"/>
      <c r="S14" s="41"/>
      <c r="T14" s="41"/>
      <c r="U14" s="41"/>
    </row>
    <row r="15" spans="1:21" customFormat="1">
      <c r="A15" s="44" t="s">
        <v>451</v>
      </c>
      <c r="B15" s="45">
        <v>7.55</v>
      </c>
      <c r="C15" s="45">
        <v>5.03</v>
      </c>
      <c r="D15" s="45">
        <v>8.4499999999999993</v>
      </c>
      <c r="E15" s="45">
        <v>6.08</v>
      </c>
      <c r="F15" s="45">
        <v>2.0299999999999998</v>
      </c>
      <c r="G15" s="45">
        <v>8.58</v>
      </c>
      <c r="H15" s="45">
        <v>1.41</v>
      </c>
      <c r="I15" s="45">
        <v>3.7</v>
      </c>
      <c r="J15" s="45">
        <v>0.14000000000000001</v>
      </c>
      <c r="K15" s="45">
        <v>157.12</v>
      </c>
      <c r="L15" s="45">
        <v>24.65</v>
      </c>
      <c r="M15" s="45">
        <v>55.61</v>
      </c>
      <c r="N15" s="45">
        <v>33.200000000000003</v>
      </c>
      <c r="O15" s="45">
        <v>0</v>
      </c>
      <c r="P15" s="45">
        <v>0.19</v>
      </c>
      <c r="Q15" s="45">
        <v>17.829999999999998</v>
      </c>
      <c r="R15" s="41"/>
      <c r="S15" s="41"/>
      <c r="T15" s="41"/>
      <c r="U15" s="41"/>
    </row>
    <row r="16" spans="1:21" customFormat="1">
      <c r="A16" s="44" t="s">
        <v>452</v>
      </c>
      <c r="B16" s="45">
        <v>8.18</v>
      </c>
      <c r="C16" s="45">
        <v>4.79</v>
      </c>
      <c r="D16" s="45">
        <v>9</v>
      </c>
      <c r="E16" s="45">
        <v>5.52</v>
      </c>
      <c r="F16" s="45">
        <v>2</v>
      </c>
      <c r="G16" s="45">
        <v>10.8</v>
      </c>
      <c r="H16" s="45">
        <v>2.46</v>
      </c>
      <c r="I16" s="45">
        <v>3.79</v>
      </c>
      <c r="J16" s="45">
        <v>0.4</v>
      </c>
      <c r="K16" s="45">
        <v>156.84</v>
      </c>
      <c r="L16" s="45">
        <v>24.95</v>
      </c>
      <c r="M16" s="45">
        <v>55.83</v>
      </c>
      <c r="N16" s="45">
        <v>84.2</v>
      </c>
      <c r="O16" s="45">
        <v>0</v>
      </c>
      <c r="P16" s="45">
        <v>0.2</v>
      </c>
      <c r="Q16" s="45">
        <v>10</v>
      </c>
      <c r="R16" s="41"/>
      <c r="S16" s="41"/>
      <c r="T16" s="41"/>
      <c r="U16" s="41"/>
    </row>
    <row r="17" spans="1:21" customFormat="1">
      <c r="A17" s="44" t="s">
        <v>453</v>
      </c>
      <c r="B17" s="45">
        <v>8.2100000000000009</v>
      </c>
      <c r="C17" s="45">
        <v>4.97</v>
      </c>
      <c r="D17" s="45">
        <v>9.17</v>
      </c>
      <c r="E17" s="45">
        <v>5.23</v>
      </c>
      <c r="F17" s="45">
        <v>2.0299999999999998</v>
      </c>
      <c r="G17" s="45">
        <v>10.8</v>
      </c>
      <c r="H17" s="45">
        <v>2.46</v>
      </c>
      <c r="I17" s="45">
        <v>3.92</v>
      </c>
      <c r="J17" s="45">
        <v>0.72</v>
      </c>
      <c r="K17" s="45">
        <v>141.41</v>
      </c>
      <c r="L17" s="45">
        <v>17.13</v>
      </c>
      <c r="M17" s="45">
        <v>42.41</v>
      </c>
      <c r="N17" s="45">
        <v>267</v>
      </c>
      <c r="O17" s="45">
        <v>0</v>
      </c>
      <c r="P17" s="45">
        <v>0.2</v>
      </c>
      <c r="Q17" s="45">
        <v>10</v>
      </c>
      <c r="R17" s="41"/>
      <c r="S17" s="41"/>
      <c r="T17" s="41"/>
      <c r="U17" s="41"/>
    </row>
    <row r="18" spans="1:21" customFormat="1">
      <c r="A18" s="44" t="s">
        <v>454</v>
      </c>
      <c r="B18" s="45">
        <v>7.9</v>
      </c>
      <c r="C18" s="45">
        <v>5.23</v>
      </c>
      <c r="D18" s="45">
        <v>9.07</v>
      </c>
      <c r="E18" s="45">
        <v>5.15</v>
      </c>
      <c r="F18" s="45">
        <v>2.35</v>
      </c>
      <c r="G18" s="45">
        <v>7.92</v>
      </c>
      <c r="H18" s="45">
        <v>2.29</v>
      </c>
      <c r="I18" s="45">
        <v>3.97</v>
      </c>
      <c r="J18" s="45">
        <v>0.74</v>
      </c>
      <c r="K18" s="45">
        <v>143.11000000000001</v>
      </c>
      <c r="L18" s="45">
        <v>13.05</v>
      </c>
      <c r="M18" s="45">
        <v>38.35</v>
      </c>
      <c r="N18" s="45">
        <v>469.7</v>
      </c>
      <c r="O18" s="45">
        <v>0</v>
      </c>
      <c r="P18" s="45">
        <v>0.2</v>
      </c>
      <c r="Q18" s="45">
        <v>11.43</v>
      </c>
      <c r="R18" s="41"/>
      <c r="S18" s="41"/>
      <c r="T18" s="41"/>
      <c r="U18" s="41"/>
    </row>
    <row r="19" spans="1:21" customFormat="1">
      <c r="A19" s="44" t="s">
        <v>455</v>
      </c>
      <c r="B19" s="45">
        <v>6.9</v>
      </c>
      <c r="C19" s="45">
        <v>5.56</v>
      </c>
      <c r="D19" s="45">
        <v>8.2899999999999991</v>
      </c>
      <c r="E19" s="45">
        <v>4.6900000000000004</v>
      </c>
      <c r="F19" s="45">
        <v>2.33</v>
      </c>
      <c r="G19" s="45">
        <v>11.75</v>
      </c>
      <c r="H19" s="45">
        <v>2.0299999999999998</v>
      </c>
      <c r="I19" s="45">
        <v>3.91</v>
      </c>
      <c r="J19" s="45">
        <v>0.75</v>
      </c>
      <c r="K19" s="45">
        <v>143.32</v>
      </c>
      <c r="L19" s="45">
        <v>11.66</v>
      </c>
      <c r="M19" s="45">
        <v>36.99</v>
      </c>
      <c r="N19" s="45">
        <v>493.2</v>
      </c>
      <c r="O19" s="45">
        <v>0</v>
      </c>
      <c r="P19" s="45">
        <v>0.18</v>
      </c>
      <c r="Q19" s="45">
        <v>13.16</v>
      </c>
      <c r="R19" s="41"/>
      <c r="S19" s="41"/>
      <c r="T19" s="41"/>
      <c r="U19" s="41"/>
    </row>
    <row r="20" spans="1:21" customFormat="1">
      <c r="A20" s="44" t="s">
        <v>456</v>
      </c>
      <c r="B20" s="45">
        <v>5.51</v>
      </c>
      <c r="C20" s="45">
        <v>6.8</v>
      </c>
      <c r="D20" s="45">
        <v>7.45</v>
      </c>
      <c r="E20" s="45">
        <v>4.17</v>
      </c>
      <c r="F20" s="45">
        <v>7.98</v>
      </c>
      <c r="G20" s="45">
        <v>11.75</v>
      </c>
      <c r="H20" s="45">
        <v>1.87</v>
      </c>
      <c r="I20" s="45">
        <v>3.7</v>
      </c>
      <c r="J20" s="45">
        <v>0.64</v>
      </c>
      <c r="K20" s="45">
        <v>140.69</v>
      </c>
      <c r="L20" s="45">
        <v>11.66</v>
      </c>
      <c r="M20" s="45">
        <v>36.99</v>
      </c>
      <c r="N20" s="45">
        <v>538.29999999999995</v>
      </c>
      <c r="O20" s="45">
        <v>0</v>
      </c>
      <c r="P20" s="45">
        <v>0.17</v>
      </c>
      <c r="Q20" s="45">
        <v>19.27</v>
      </c>
      <c r="R20" s="41"/>
      <c r="S20" s="41"/>
      <c r="T20" s="41"/>
      <c r="U20" s="41"/>
    </row>
    <row r="21" spans="1:21" customFormat="1">
      <c r="A21" s="44" t="s">
        <v>457</v>
      </c>
      <c r="B21" s="45">
        <v>2.5</v>
      </c>
      <c r="C21" s="45">
        <v>6.48</v>
      </c>
      <c r="D21" s="45">
        <v>5.39</v>
      </c>
      <c r="E21" s="45">
        <v>3.68</v>
      </c>
      <c r="F21" s="45">
        <v>20.399999999999999</v>
      </c>
      <c r="G21" s="10" t="s">
        <v>12</v>
      </c>
      <c r="H21" s="10" t="s">
        <v>12</v>
      </c>
      <c r="I21" s="45">
        <v>3.2</v>
      </c>
      <c r="J21" s="45">
        <v>0.6</v>
      </c>
      <c r="K21" s="45">
        <v>118.98</v>
      </c>
      <c r="L21" s="45">
        <v>11.66</v>
      </c>
      <c r="M21" s="45">
        <v>36.99</v>
      </c>
      <c r="N21" s="45">
        <v>184.6</v>
      </c>
      <c r="O21" s="45">
        <v>0</v>
      </c>
      <c r="P21" s="45">
        <v>0.13</v>
      </c>
      <c r="Q21" s="45">
        <v>38.64</v>
      </c>
      <c r="R21" s="41"/>
      <c r="S21" s="41"/>
      <c r="T21" s="41"/>
      <c r="U21" s="41"/>
    </row>
    <row r="22" spans="1:21" customFormat="1">
      <c r="A22" s="44" t="s">
        <v>458</v>
      </c>
      <c r="B22" s="45">
        <v>2.5</v>
      </c>
      <c r="C22" s="45">
        <v>6.48</v>
      </c>
      <c r="D22" s="45">
        <v>5.39</v>
      </c>
      <c r="E22" s="45">
        <v>3.15</v>
      </c>
      <c r="F22" s="45">
        <v>11.22</v>
      </c>
      <c r="G22" s="45">
        <v>3.77</v>
      </c>
      <c r="H22" s="45">
        <v>16.53</v>
      </c>
      <c r="I22" s="45">
        <v>5.81</v>
      </c>
      <c r="J22" s="24" t="s">
        <v>14</v>
      </c>
      <c r="K22" s="24" t="s">
        <v>14</v>
      </c>
      <c r="L22" s="24" t="s">
        <v>14</v>
      </c>
      <c r="M22" s="24" t="s">
        <v>14</v>
      </c>
      <c r="N22" s="24" t="s">
        <v>14</v>
      </c>
      <c r="O22" s="24" t="s">
        <v>14</v>
      </c>
      <c r="P22" s="45">
        <v>0.14000000000000001</v>
      </c>
      <c r="Q22" s="45">
        <v>31.46</v>
      </c>
      <c r="R22" s="41"/>
      <c r="S22" s="41"/>
      <c r="T22" s="41"/>
      <c r="U22" s="41"/>
    </row>
    <row r="23" spans="1:21" customFormat="1">
      <c r="A23" s="44" t="s">
        <v>459</v>
      </c>
      <c r="B23" s="45">
        <v>2.3199999999999998</v>
      </c>
      <c r="C23" s="45">
        <v>5.88</v>
      </c>
      <c r="D23" s="45">
        <v>8.1999999999999993</v>
      </c>
      <c r="E23" s="45">
        <v>3.08</v>
      </c>
      <c r="F23" s="45">
        <v>15.62</v>
      </c>
      <c r="G23" s="45">
        <v>4.01</v>
      </c>
      <c r="H23" s="45">
        <v>12.98</v>
      </c>
      <c r="I23" s="45">
        <v>8.1300000000000008</v>
      </c>
      <c r="J23" s="24" t="s">
        <v>14</v>
      </c>
      <c r="K23" s="24" t="s">
        <v>14</v>
      </c>
      <c r="L23" s="24" t="s">
        <v>14</v>
      </c>
      <c r="M23" s="24" t="s">
        <v>14</v>
      </c>
      <c r="N23" s="24" t="s">
        <v>14</v>
      </c>
      <c r="O23" s="24" t="s">
        <v>14</v>
      </c>
      <c r="P23" s="45">
        <v>0.17</v>
      </c>
      <c r="Q23" s="45">
        <v>10.75</v>
      </c>
      <c r="R23" s="41"/>
      <c r="S23" s="41"/>
      <c r="T23" s="41"/>
      <c r="U23" s="41"/>
    </row>
    <row r="24" spans="1:21" customFormat="1">
      <c r="A24" s="44" t="s">
        <v>460</v>
      </c>
      <c r="B24" s="45">
        <v>1.94</v>
      </c>
      <c r="C24" s="45">
        <v>5.5</v>
      </c>
      <c r="D24" s="45">
        <v>7.44</v>
      </c>
      <c r="E24" s="45">
        <v>3.08</v>
      </c>
      <c r="F24" s="45">
        <v>18.14</v>
      </c>
      <c r="G24" s="45">
        <v>18.62</v>
      </c>
      <c r="H24" s="45">
        <v>19.21</v>
      </c>
      <c r="I24" s="45">
        <v>8.68</v>
      </c>
      <c r="J24" s="24" t="s">
        <v>14</v>
      </c>
      <c r="K24" s="24" t="s">
        <v>14</v>
      </c>
      <c r="L24" s="24" t="s">
        <v>14</v>
      </c>
      <c r="M24" s="24" t="s">
        <v>14</v>
      </c>
      <c r="N24" s="24" t="s">
        <v>14</v>
      </c>
      <c r="O24" s="24" t="s">
        <v>14</v>
      </c>
      <c r="P24" s="45">
        <v>0.19</v>
      </c>
      <c r="Q24" s="45">
        <v>10</v>
      </c>
      <c r="R24" s="41"/>
      <c r="S24" s="41"/>
      <c r="T24" s="41"/>
      <c r="U24" s="41"/>
    </row>
    <row r="25" spans="1:21" customFormat="1">
      <c r="A25" s="44" t="s">
        <v>461</v>
      </c>
      <c r="B25" s="45">
        <v>2.13</v>
      </c>
      <c r="C25" s="45">
        <v>5.54</v>
      </c>
      <c r="D25" s="45">
        <v>7.61</v>
      </c>
      <c r="E25" s="45">
        <v>3.08</v>
      </c>
      <c r="F25" s="45">
        <v>10.88</v>
      </c>
      <c r="G25" s="45">
        <v>18.62</v>
      </c>
      <c r="H25" s="45">
        <v>19.21</v>
      </c>
      <c r="I25" s="45">
        <v>12.08</v>
      </c>
      <c r="J25" s="24" t="s">
        <v>14</v>
      </c>
      <c r="K25" s="24" t="s">
        <v>14</v>
      </c>
      <c r="L25" s="24" t="s">
        <v>14</v>
      </c>
      <c r="M25" s="24" t="s">
        <v>14</v>
      </c>
      <c r="N25" s="24" t="s">
        <v>14</v>
      </c>
      <c r="O25" s="24" t="s">
        <v>14</v>
      </c>
      <c r="P25" s="45">
        <v>0.18</v>
      </c>
      <c r="Q25" s="45">
        <v>10</v>
      </c>
      <c r="R25" s="41"/>
      <c r="S25" s="41"/>
      <c r="T25" s="41"/>
      <c r="U25" s="41"/>
    </row>
    <row r="26" spans="1:21" customFormat="1">
      <c r="A26" s="44" t="s">
        <v>462</v>
      </c>
      <c r="B26" s="45">
        <v>1.86</v>
      </c>
      <c r="C26" s="45">
        <v>5.41</v>
      </c>
      <c r="D26" s="45">
        <v>7.26</v>
      </c>
      <c r="E26" s="45">
        <v>3.16</v>
      </c>
      <c r="F26" s="45">
        <v>21.33</v>
      </c>
      <c r="G26" s="45">
        <v>17.46</v>
      </c>
      <c r="H26" s="45">
        <v>15.37</v>
      </c>
      <c r="I26" s="45">
        <v>13.66</v>
      </c>
      <c r="J26" s="24" t="s">
        <v>14</v>
      </c>
      <c r="K26" s="24" t="s">
        <v>14</v>
      </c>
      <c r="L26" s="24" t="s">
        <v>14</v>
      </c>
      <c r="M26" s="24" t="s">
        <v>14</v>
      </c>
      <c r="N26" s="24" t="s">
        <v>14</v>
      </c>
      <c r="O26" s="24" t="s">
        <v>14</v>
      </c>
      <c r="P26" s="45">
        <v>0.18</v>
      </c>
      <c r="Q26" s="45">
        <v>10.41</v>
      </c>
      <c r="R26" s="41"/>
      <c r="S26" s="41"/>
      <c r="T26" s="41"/>
      <c r="U26" s="41"/>
    </row>
    <row r="27" spans="1:21" customFormat="1">
      <c r="A27" s="44" t="s">
        <v>463</v>
      </c>
      <c r="B27" s="45">
        <v>2.14</v>
      </c>
      <c r="C27" s="45">
        <v>5.18</v>
      </c>
      <c r="D27" s="45">
        <v>7.06</v>
      </c>
      <c r="E27" s="45">
        <v>2.9</v>
      </c>
      <c r="F27" s="45">
        <v>5.69</v>
      </c>
      <c r="G27" s="45">
        <v>17.68</v>
      </c>
      <c r="H27" s="45">
        <v>13.75</v>
      </c>
      <c r="I27" s="45">
        <v>3.41</v>
      </c>
      <c r="J27" s="24" t="s">
        <v>14</v>
      </c>
      <c r="K27" s="24" t="s">
        <v>14</v>
      </c>
      <c r="L27" s="24" t="s">
        <v>14</v>
      </c>
      <c r="M27" s="24" t="s">
        <v>14</v>
      </c>
      <c r="N27" s="24" t="s">
        <v>14</v>
      </c>
      <c r="O27" s="24" t="s">
        <v>14</v>
      </c>
      <c r="P27" s="45">
        <v>0.16</v>
      </c>
      <c r="Q27" s="45">
        <v>26.36</v>
      </c>
      <c r="R27" s="41"/>
      <c r="S27" s="41"/>
      <c r="T27" s="41"/>
      <c r="U27" s="41"/>
    </row>
    <row r="28" spans="1:21" customFormat="1">
      <c r="A28" s="44" t="s">
        <v>464</v>
      </c>
      <c r="B28" s="45">
        <v>3.3</v>
      </c>
      <c r="C28" s="45">
        <v>5.1100000000000003</v>
      </c>
      <c r="D28" s="45">
        <v>8.41</v>
      </c>
      <c r="E28" s="45">
        <v>3.27</v>
      </c>
      <c r="F28" s="45">
        <v>2</v>
      </c>
      <c r="G28" s="45">
        <v>18.3</v>
      </c>
      <c r="H28" s="45">
        <v>12.17</v>
      </c>
      <c r="I28" s="45">
        <v>3.96</v>
      </c>
      <c r="J28" s="24" t="s">
        <v>14</v>
      </c>
      <c r="K28" s="24" t="s">
        <v>14</v>
      </c>
      <c r="L28" s="24" t="s">
        <v>14</v>
      </c>
      <c r="M28" s="24" t="s">
        <v>14</v>
      </c>
      <c r="N28" s="24" t="s">
        <v>14</v>
      </c>
      <c r="O28" s="24" t="s">
        <v>14</v>
      </c>
      <c r="P28" s="45">
        <v>0.2</v>
      </c>
      <c r="Q28" s="45">
        <v>26.24</v>
      </c>
      <c r="R28" s="41"/>
      <c r="S28" s="41"/>
      <c r="T28" s="41"/>
      <c r="U28" s="41"/>
    </row>
    <row r="29" spans="1:21" customFormat="1">
      <c r="A29" s="44" t="s">
        <v>465</v>
      </c>
      <c r="B29" s="45">
        <v>3.99</v>
      </c>
      <c r="C29" s="45">
        <v>5.19</v>
      </c>
      <c r="D29" s="45">
        <v>9.18</v>
      </c>
      <c r="E29" s="45">
        <v>4</v>
      </c>
      <c r="F29" s="45">
        <v>2.0099999999999998</v>
      </c>
      <c r="G29" s="45">
        <v>22.34</v>
      </c>
      <c r="H29" s="45">
        <v>12.17</v>
      </c>
      <c r="I29" s="45">
        <v>4.34</v>
      </c>
      <c r="J29" s="24" t="s">
        <v>14</v>
      </c>
      <c r="K29" s="24" t="s">
        <v>14</v>
      </c>
      <c r="L29" s="24" t="s">
        <v>14</v>
      </c>
      <c r="M29" s="24" t="s">
        <v>14</v>
      </c>
      <c r="N29" s="24" t="s">
        <v>14</v>
      </c>
      <c r="O29" s="24" t="s">
        <v>14</v>
      </c>
      <c r="P29" s="45">
        <v>0.26</v>
      </c>
      <c r="Q29" s="45">
        <v>15</v>
      </c>
      <c r="R29" s="41"/>
      <c r="S29" s="41"/>
      <c r="T29" s="41"/>
      <c r="U29" s="41"/>
    </row>
    <row r="30" spans="1:21" customFormat="1">
      <c r="A30" s="44" t="s">
        <v>466</v>
      </c>
      <c r="B30" s="45">
        <v>4.67</v>
      </c>
      <c r="C30" s="45">
        <v>5.33</v>
      </c>
      <c r="D30" s="45">
        <v>10</v>
      </c>
      <c r="E30" s="45">
        <v>4.6399999999999997</v>
      </c>
      <c r="F30" s="45">
        <v>2.0299999999999998</v>
      </c>
      <c r="G30" s="45">
        <v>22.34</v>
      </c>
      <c r="H30" s="45">
        <v>12.45</v>
      </c>
      <c r="I30" s="45">
        <v>5.0199999999999996</v>
      </c>
      <c r="J30" s="24" t="s">
        <v>14</v>
      </c>
      <c r="K30" s="24" t="s">
        <v>14</v>
      </c>
      <c r="L30" s="24" t="s">
        <v>14</v>
      </c>
      <c r="M30" s="24" t="s">
        <v>14</v>
      </c>
      <c r="N30" s="24" t="s">
        <v>14</v>
      </c>
      <c r="O30" s="24" t="s">
        <v>14</v>
      </c>
      <c r="P30" s="45">
        <v>0.33</v>
      </c>
      <c r="Q30" s="45">
        <v>20.47</v>
      </c>
      <c r="R30" s="41"/>
      <c r="S30" s="41"/>
      <c r="T30" s="41"/>
      <c r="U30" s="41"/>
    </row>
    <row r="31" spans="1:21" customFormat="1">
      <c r="A31" s="44" t="s">
        <v>467</v>
      </c>
      <c r="B31" s="45">
        <v>5.01</v>
      </c>
      <c r="C31" s="45">
        <v>5.44</v>
      </c>
      <c r="D31" s="45">
        <v>10.46</v>
      </c>
      <c r="E31" s="45">
        <v>5.38</v>
      </c>
      <c r="F31" s="45">
        <v>2</v>
      </c>
      <c r="G31" s="45">
        <v>29.67</v>
      </c>
      <c r="H31" s="45">
        <v>12.89</v>
      </c>
      <c r="I31" s="45">
        <v>5.56</v>
      </c>
      <c r="J31" s="24" t="s">
        <v>14</v>
      </c>
      <c r="K31" s="24" t="s">
        <v>14</v>
      </c>
      <c r="L31" s="24" t="s">
        <v>14</v>
      </c>
      <c r="M31" s="24" t="s">
        <v>14</v>
      </c>
      <c r="N31" s="24" t="s">
        <v>14</v>
      </c>
      <c r="O31" s="24" t="s">
        <v>14</v>
      </c>
      <c r="P31" s="45">
        <v>0.39</v>
      </c>
      <c r="Q31" s="45">
        <v>14.63</v>
      </c>
      <c r="R31" s="41"/>
      <c r="S31" s="41"/>
      <c r="T31" s="41"/>
      <c r="U31" s="41"/>
    </row>
    <row r="32" spans="1:21" customFormat="1">
      <c r="A32" s="44" t="s">
        <v>468</v>
      </c>
      <c r="B32" s="45">
        <v>4.92</v>
      </c>
      <c r="C32" s="45">
        <v>5.37</v>
      </c>
      <c r="D32" s="45">
        <v>10.29</v>
      </c>
      <c r="E32" s="45">
        <v>5.49</v>
      </c>
      <c r="F32" s="45">
        <v>2</v>
      </c>
      <c r="G32" s="45">
        <v>29.82</v>
      </c>
      <c r="H32" s="45">
        <v>12.89</v>
      </c>
      <c r="I32" s="45">
        <v>5.89</v>
      </c>
      <c r="J32" s="24" t="s">
        <v>14</v>
      </c>
      <c r="K32" s="24" t="s">
        <v>14</v>
      </c>
      <c r="L32" s="24" t="s">
        <v>14</v>
      </c>
      <c r="M32" s="24" t="s">
        <v>14</v>
      </c>
      <c r="N32" s="24" t="s">
        <v>14</v>
      </c>
      <c r="O32" s="24" t="s">
        <v>14</v>
      </c>
      <c r="P32" s="45">
        <v>0.39</v>
      </c>
      <c r="Q32" s="45">
        <v>13.32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1.86</v>
      </c>
      <c r="C34" s="18">
        <f t="shared" si="0"/>
        <v>4.79</v>
      </c>
      <c r="D34" s="18">
        <f t="shared" si="0"/>
        <v>5.39</v>
      </c>
      <c r="E34" s="18">
        <f t="shared" si="0"/>
        <v>2.9</v>
      </c>
      <c r="F34" s="18">
        <f t="shared" si="0"/>
        <v>2</v>
      </c>
      <c r="G34" s="18">
        <f t="shared" si="0"/>
        <v>3.77</v>
      </c>
      <c r="H34" s="18">
        <f t="shared" si="0"/>
        <v>1.41</v>
      </c>
      <c r="I34" s="18">
        <f t="shared" si="0"/>
        <v>3.2</v>
      </c>
      <c r="J34" s="18">
        <f t="shared" si="0"/>
        <v>0.11</v>
      </c>
      <c r="K34" s="18">
        <f t="shared" si="0"/>
        <v>118.98</v>
      </c>
      <c r="L34" s="18">
        <f t="shared" si="0"/>
        <v>11.66</v>
      </c>
      <c r="M34" s="18">
        <f t="shared" si="0"/>
        <v>36.99</v>
      </c>
      <c r="N34" s="18">
        <f t="shared" si="0"/>
        <v>2.2999999999999998</v>
      </c>
      <c r="O34" s="18">
        <f t="shared" si="0"/>
        <v>0</v>
      </c>
      <c r="P34" s="18">
        <f t="shared" si="0"/>
        <v>0.13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8.7100000000000009</v>
      </c>
      <c r="C35" s="3">
        <f t="shared" si="1"/>
        <v>6.8</v>
      </c>
      <c r="D35" s="3">
        <f t="shared" si="1"/>
        <v>10.46</v>
      </c>
      <c r="E35" s="3">
        <f t="shared" si="1"/>
        <v>6.34</v>
      </c>
      <c r="F35" s="3">
        <f t="shared" si="1"/>
        <v>21.33</v>
      </c>
      <c r="G35" s="3">
        <f t="shared" si="1"/>
        <v>29.82</v>
      </c>
      <c r="H35" s="3">
        <f t="shared" si="1"/>
        <v>19.21</v>
      </c>
      <c r="I35" s="3">
        <f t="shared" si="1"/>
        <v>13.66</v>
      </c>
      <c r="J35" s="3">
        <f t="shared" si="1"/>
        <v>0.75</v>
      </c>
      <c r="K35" s="3">
        <f t="shared" si="1"/>
        <v>157.12</v>
      </c>
      <c r="L35" s="3">
        <f t="shared" si="1"/>
        <v>24.95</v>
      </c>
      <c r="M35" s="3">
        <f t="shared" si="1"/>
        <v>56.21</v>
      </c>
      <c r="N35" s="3">
        <f t="shared" si="1"/>
        <v>538.29999999999995</v>
      </c>
      <c r="O35" s="3">
        <f t="shared" si="1"/>
        <v>0</v>
      </c>
      <c r="P35" s="3">
        <f t="shared" si="1"/>
        <v>0.39</v>
      </c>
      <c r="Q35" s="3">
        <f t="shared" si="1"/>
        <v>38.64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5.3920833333333329</v>
      </c>
      <c r="C36" s="18">
        <f t="shared" si="2"/>
        <v>5.4637500000000001</v>
      </c>
      <c r="D36" s="18">
        <f t="shared" si="2"/>
        <v>8.4562500000000007</v>
      </c>
      <c r="E36" s="18">
        <f t="shared" si="2"/>
        <v>4.6358333333333333</v>
      </c>
      <c r="F36" s="18">
        <f t="shared" si="2"/>
        <v>6.0141666666666671</v>
      </c>
      <c r="G36" s="18">
        <f t="shared" si="2"/>
        <v>13.90608695652174</v>
      </c>
      <c r="H36" s="18">
        <f t="shared" si="2"/>
        <v>8.3078260869565206</v>
      </c>
      <c r="I36" s="18">
        <f t="shared" si="2"/>
        <v>5.333333333333333</v>
      </c>
      <c r="J36" s="18">
        <f t="shared" si="2"/>
        <v>0.37538461538461537</v>
      </c>
      <c r="K36" s="18">
        <f t="shared" si="2"/>
        <v>147.88000000000002</v>
      </c>
      <c r="L36" s="18">
        <f t="shared" si="2"/>
        <v>20.076923076923077</v>
      </c>
      <c r="M36" s="18">
        <f t="shared" si="2"/>
        <v>48.746923076923082</v>
      </c>
      <c r="N36" s="18">
        <f t="shared" si="2"/>
        <v>160.46923076923076</v>
      </c>
      <c r="O36" s="18">
        <f t="shared" si="2"/>
        <v>0</v>
      </c>
      <c r="P36" s="18">
        <f t="shared" si="2"/>
        <v>0.21083333333333332</v>
      </c>
      <c r="Q36" s="18">
        <f t="shared" si="2"/>
        <v>16.287500000000001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2.5547670346724924</v>
      </c>
      <c r="C37" s="18">
        <f t="shared" ref="C37:Q37" si="3">STDEV(C9:C32)</f>
        <v>0.49157079635194656</v>
      </c>
      <c r="D37" s="18">
        <f t="shared" si="3"/>
        <v>1.3302102236603113</v>
      </c>
      <c r="E37" s="18">
        <f t="shared" si="3"/>
        <v>1.2001663532037212</v>
      </c>
      <c r="F37" s="18">
        <f t="shared" si="3"/>
        <v>6.5441762471393741</v>
      </c>
      <c r="G37" s="18">
        <f t="shared" si="3"/>
        <v>7.3176584302074232</v>
      </c>
      <c r="H37" s="18">
        <f t="shared" si="3"/>
        <v>6.3727245183328991</v>
      </c>
      <c r="I37" s="18">
        <f t="shared" si="3"/>
        <v>2.6984547376256827</v>
      </c>
      <c r="J37" s="18">
        <f t="shared" si="3"/>
        <v>0.27155770978484439</v>
      </c>
      <c r="K37" s="18">
        <f t="shared" si="3"/>
        <v>10.608189446523534</v>
      </c>
      <c r="L37" s="18">
        <f t="shared" si="3"/>
        <v>5.9600047324021848</v>
      </c>
      <c r="M37" s="18">
        <f t="shared" si="3"/>
        <v>8.6930914951810614</v>
      </c>
      <c r="N37" s="18">
        <f t="shared" si="3"/>
        <v>210.6496039422473</v>
      </c>
      <c r="O37" s="18">
        <f t="shared" si="3"/>
        <v>0</v>
      </c>
      <c r="P37" s="18">
        <f t="shared" si="3"/>
        <v>6.9025305168635073E-2</v>
      </c>
      <c r="Q37" s="18">
        <f t="shared" si="3"/>
        <v>7.8978424406537284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23</v>
      </c>
      <c r="H38" s="37">
        <f t="shared" si="4"/>
        <v>23</v>
      </c>
      <c r="I38" s="37">
        <f t="shared" si="4"/>
        <v>24</v>
      </c>
      <c r="J38" s="37">
        <f>COUNT(J9:J32)+11</f>
        <v>24</v>
      </c>
      <c r="K38" s="37">
        <f t="shared" ref="K38:O38" si="5">COUNT(K9:K32)+11</f>
        <v>24</v>
      </c>
      <c r="L38" s="37">
        <f t="shared" si="5"/>
        <v>24</v>
      </c>
      <c r="M38" s="37">
        <f t="shared" si="5"/>
        <v>24</v>
      </c>
      <c r="N38" s="37">
        <f t="shared" si="5"/>
        <v>24</v>
      </c>
      <c r="O38" s="37">
        <f t="shared" si="5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6">IF(C38&gt;=22,"&gt;90%",IF(C38&lt;=22,"&lt;90%"))</f>
        <v>&gt;90%</v>
      </c>
      <c r="D39" s="3" t="str">
        <f t="shared" si="6"/>
        <v>&gt;90%</v>
      </c>
      <c r="E39" s="3" t="str">
        <f t="shared" si="6"/>
        <v>&gt;90%</v>
      </c>
      <c r="F39" s="3" t="str">
        <f t="shared" si="6"/>
        <v>&gt;90%</v>
      </c>
      <c r="G39" s="3" t="str">
        <f t="shared" si="6"/>
        <v>&gt;90%</v>
      </c>
      <c r="H39" s="3" t="str">
        <f t="shared" si="6"/>
        <v>&gt;90%</v>
      </c>
      <c r="I39" s="3" t="str">
        <f t="shared" si="6"/>
        <v>&gt;90%</v>
      </c>
      <c r="J39" s="3" t="str">
        <f t="shared" si="6"/>
        <v>&gt;90%</v>
      </c>
      <c r="K39" s="3" t="str">
        <f t="shared" si="6"/>
        <v>&gt;90%</v>
      </c>
      <c r="L39" s="3" t="str">
        <f t="shared" si="6"/>
        <v>&gt;90%</v>
      </c>
      <c r="M39" s="3" t="str">
        <f t="shared" si="6"/>
        <v>&gt;90%</v>
      </c>
      <c r="N39" s="3" t="str">
        <f t="shared" si="6"/>
        <v>&gt;90%</v>
      </c>
      <c r="O39" s="3" t="str">
        <f t="shared" si="6"/>
        <v>&gt;90%</v>
      </c>
      <c r="P39" s="3" t="str">
        <f t="shared" si="6"/>
        <v>&gt;90%</v>
      </c>
      <c r="Q39" s="3" t="str">
        <f t="shared" si="6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7">IF(C38&gt;=22,"OK",IF(C38&lt;=22,"LESS"))</f>
        <v>OK</v>
      </c>
      <c r="D40" s="3" t="str">
        <f t="shared" si="7"/>
        <v>OK</v>
      </c>
      <c r="E40" s="3" t="str">
        <f t="shared" si="7"/>
        <v>OK</v>
      </c>
      <c r="F40" s="3" t="str">
        <f t="shared" si="7"/>
        <v>OK</v>
      </c>
      <c r="G40" s="3" t="str">
        <f t="shared" si="7"/>
        <v>OK</v>
      </c>
      <c r="H40" s="3" t="str">
        <f t="shared" si="7"/>
        <v>OK</v>
      </c>
      <c r="I40" s="3" t="str">
        <f t="shared" si="7"/>
        <v>OK</v>
      </c>
      <c r="J40" s="3" t="str">
        <f t="shared" si="7"/>
        <v>OK</v>
      </c>
      <c r="K40" s="3" t="str">
        <f t="shared" si="7"/>
        <v>OK</v>
      </c>
      <c r="L40" s="3" t="str">
        <f t="shared" si="7"/>
        <v>OK</v>
      </c>
      <c r="M40" s="3" t="str">
        <f t="shared" si="7"/>
        <v>OK</v>
      </c>
      <c r="N40" s="3" t="str">
        <f t="shared" si="7"/>
        <v>OK</v>
      </c>
      <c r="O40" s="3" t="str">
        <f t="shared" si="7"/>
        <v>OK</v>
      </c>
      <c r="P40" s="3" t="str">
        <f t="shared" si="7"/>
        <v>OK</v>
      </c>
      <c r="Q40" s="3" t="str">
        <f t="shared" si="7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Q31" sqref="Q31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18/09/2025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469</v>
      </c>
      <c r="B9" s="43">
        <v>4.6500000000000004</v>
      </c>
      <c r="C9" s="43">
        <v>5.0199999999999996</v>
      </c>
      <c r="D9" s="43">
        <v>9.6199999999999992</v>
      </c>
      <c r="E9" s="43">
        <v>5.88</v>
      </c>
      <c r="F9" s="43">
        <v>2</v>
      </c>
      <c r="G9" s="43">
        <v>29.82</v>
      </c>
      <c r="H9" s="43">
        <v>11.56</v>
      </c>
      <c r="I9" s="43">
        <v>5.7</v>
      </c>
      <c r="J9" s="27" t="s">
        <v>8</v>
      </c>
      <c r="K9" s="27" t="s">
        <v>8</v>
      </c>
      <c r="L9" s="27" t="s">
        <v>8</v>
      </c>
      <c r="M9" s="27" t="s">
        <v>8</v>
      </c>
      <c r="N9" s="27" t="s">
        <v>8</v>
      </c>
      <c r="O9" s="27" t="s">
        <v>8</v>
      </c>
      <c r="P9" s="43">
        <v>0.37</v>
      </c>
      <c r="Q9" s="43">
        <v>10</v>
      </c>
      <c r="R9" s="41"/>
      <c r="S9" s="41"/>
      <c r="T9" s="41"/>
      <c r="U9" s="41"/>
    </row>
    <row r="10" spans="1:21" customFormat="1">
      <c r="A10" s="42" t="s">
        <v>470</v>
      </c>
      <c r="B10" s="43">
        <v>4.54</v>
      </c>
      <c r="C10" s="43">
        <v>4.95</v>
      </c>
      <c r="D10" s="43">
        <v>9.43</v>
      </c>
      <c r="E10" s="43">
        <v>6.12</v>
      </c>
      <c r="F10" s="43">
        <v>2.0099999999999998</v>
      </c>
      <c r="G10" s="43">
        <v>22.32</v>
      </c>
      <c r="H10" s="43">
        <v>9.9</v>
      </c>
      <c r="I10" s="43">
        <v>5.2</v>
      </c>
      <c r="J10" s="27" t="s">
        <v>8</v>
      </c>
      <c r="K10" s="27" t="s">
        <v>8</v>
      </c>
      <c r="L10" s="27" t="s">
        <v>8</v>
      </c>
      <c r="M10" s="27" t="s">
        <v>8</v>
      </c>
      <c r="N10" s="27" t="s">
        <v>8</v>
      </c>
      <c r="O10" s="27" t="s">
        <v>8</v>
      </c>
      <c r="P10" s="43">
        <v>0.35</v>
      </c>
      <c r="Q10" s="43">
        <v>14.3</v>
      </c>
      <c r="R10" s="41"/>
      <c r="S10" s="41"/>
      <c r="T10" s="41"/>
      <c r="U10" s="41"/>
    </row>
    <row r="11" spans="1:21" customFormat="1">
      <c r="A11" s="42" t="s">
        <v>471</v>
      </c>
      <c r="B11" s="43">
        <v>4.96</v>
      </c>
      <c r="C11" s="43">
        <v>4.7300000000000004</v>
      </c>
      <c r="D11" s="43">
        <v>9.67</v>
      </c>
      <c r="E11" s="43">
        <v>4.4800000000000004</v>
      </c>
      <c r="F11" s="43">
        <v>2.09</v>
      </c>
      <c r="G11" s="43">
        <v>21.97</v>
      </c>
      <c r="H11" s="43">
        <v>7.17</v>
      </c>
      <c r="I11" s="43">
        <v>4.82</v>
      </c>
      <c r="J11" s="27" t="s">
        <v>8</v>
      </c>
      <c r="K11" s="27" t="s">
        <v>8</v>
      </c>
      <c r="L11" s="27" t="s">
        <v>8</v>
      </c>
      <c r="M11" s="27" t="s">
        <v>8</v>
      </c>
      <c r="N11" s="27" t="s">
        <v>8</v>
      </c>
      <c r="O11" s="27" t="s">
        <v>8</v>
      </c>
      <c r="P11" s="43">
        <v>0.28999999999999998</v>
      </c>
      <c r="Q11" s="43">
        <v>10.43</v>
      </c>
      <c r="R11" s="41"/>
      <c r="S11" s="41"/>
      <c r="T11" s="41"/>
      <c r="U11" s="41"/>
    </row>
    <row r="12" spans="1:21" customFormat="1">
      <c r="A12" s="42" t="s">
        <v>472</v>
      </c>
      <c r="B12" s="43">
        <v>5.22</v>
      </c>
      <c r="C12" s="43">
        <v>4.8600000000000003</v>
      </c>
      <c r="D12" s="43">
        <v>10</v>
      </c>
      <c r="E12" s="43">
        <v>4.5</v>
      </c>
      <c r="F12" s="43">
        <v>2</v>
      </c>
      <c r="G12" s="43">
        <v>19.87</v>
      </c>
      <c r="H12" s="43">
        <v>5.1100000000000003</v>
      </c>
      <c r="I12" s="43">
        <v>4.7300000000000004</v>
      </c>
      <c r="J12" s="27" t="s">
        <v>8</v>
      </c>
      <c r="K12" s="27" t="s">
        <v>8</v>
      </c>
      <c r="L12" s="27" t="s">
        <v>8</v>
      </c>
      <c r="M12" s="27" t="s">
        <v>8</v>
      </c>
      <c r="N12" s="27" t="s">
        <v>8</v>
      </c>
      <c r="O12" s="27" t="s">
        <v>8</v>
      </c>
      <c r="P12" s="43">
        <v>0.26</v>
      </c>
      <c r="Q12" s="43">
        <v>10</v>
      </c>
      <c r="R12" s="41"/>
      <c r="S12" s="41"/>
      <c r="T12" s="41"/>
      <c r="U12" s="41"/>
    </row>
    <row r="13" spans="1:21" customFormat="1">
      <c r="A13" s="42" t="s">
        <v>473</v>
      </c>
      <c r="B13" s="43">
        <v>5.37</v>
      </c>
      <c r="C13" s="43">
        <v>4.9400000000000004</v>
      </c>
      <c r="D13" s="43">
        <v>10.31</v>
      </c>
      <c r="E13" s="43">
        <v>4.2300000000000004</v>
      </c>
      <c r="F13" s="43">
        <v>2.0099999999999998</v>
      </c>
      <c r="G13" s="43">
        <v>14.39</v>
      </c>
      <c r="H13" s="43">
        <v>3.97</v>
      </c>
      <c r="I13" s="43">
        <v>4.6100000000000003</v>
      </c>
      <c r="J13" s="27" t="s">
        <v>8</v>
      </c>
      <c r="K13" s="27" t="s">
        <v>8</v>
      </c>
      <c r="L13" s="27" t="s">
        <v>8</v>
      </c>
      <c r="M13" s="27" t="s">
        <v>8</v>
      </c>
      <c r="N13" s="27" t="s">
        <v>8</v>
      </c>
      <c r="O13" s="27" t="s">
        <v>8</v>
      </c>
      <c r="P13" s="43">
        <v>0.26</v>
      </c>
      <c r="Q13" s="43">
        <v>10.39</v>
      </c>
      <c r="R13" s="41"/>
      <c r="S13" s="41"/>
      <c r="T13" s="41"/>
      <c r="U13" s="41"/>
    </row>
    <row r="14" spans="1:21" customFormat="1">
      <c r="A14" s="42" t="s">
        <v>474</v>
      </c>
      <c r="B14" s="43">
        <v>5.64</v>
      </c>
      <c r="C14" s="43">
        <v>4.93</v>
      </c>
      <c r="D14" s="43">
        <v>10.55</v>
      </c>
      <c r="E14" s="43">
        <v>4.7</v>
      </c>
      <c r="F14" s="43">
        <v>2</v>
      </c>
      <c r="G14" s="43">
        <v>14.14</v>
      </c>
      <c r="H14" s="43">
        <v>5.86</v>
      </c>
      <c r="I14" s="43">
        <v>4.37</v>
      </c>
      <c r="J14" s="27" t="s">
        <v>8</v>
      </c>
      <c r="K14" s="27" t="s">
        <v>8</v>
      </c>
      <c r="L14" s="27" t="s">
        <v>8</v>
      </c>
      <c r="M14" s="27" t="s">
        <v>8</v>
      </c>
      <c r="N14" s="27" t="s">
        <v>8</v>
      </c>
      <c r="O14" s="27" t="s">
        <v>8</v>
      </c>
      <c r="P14" s="43">
        <v>0.25</v>
      </c>
      <c r="Q14" s="43">
        <v>10.199999999999999</v>
      </c>
      <c r="R14" s="41"/>
      <c r="S14" s="41"/>
      <c r="T14" s="41"/>
      <c r="U14" s="41"/>
    </row>
    <row r="15" spans="1:21" customFormat="1">
      <c r="A15" s="42" t="s">
        <v>475</v>
      </c>
      <c r="B15" s="43">
        <v>5.85</v>
      </c>
      <c r="C15" s="43">
        <v>5.17</v>
      </c>
      <c r="D15" s="43">
        <v>11.01</v>
      </c>
      <c r="E15" s="43">
        <v>4.66</v>
      </c>
      <c r="F15" s="43">
        <v>2</v>
      </c>
      <c r="G15" s="43">
        <v>14.94</v>
      </c>
      <c r="H15" s="43">
        <v>5.86</v>
      </c>
      <c r="I15" s="43">
        <v>4.24</v>
      </c>
      <c r="J15" s="27" t="s">
        <v>8</v>
      </c>
      <c r="K15" s="27" t="s">
        <v>8</v>
      </c>
      <c r="L15" s="27" t="s">
        <v>8</v>
      </c>
      <c r="M15" s="27" t="s">
        <v>8</v>
      </c>
      <c r="N15" s="27" t="s">
        <v>8</v>
      </c>
      <c r="O15" s="27" t="s">
        <v>8</v>
      </c>
      <c r="P15" s="43">
        <v>0.26</v>
      </c>
      <c r="Q15" s="43">
        <v>13.76</v>
      </c>
      <c r="R15" s="41"/>
      <c r="S15" s="41"/>
      <c r="T15" s="41"/>
      <c r="U15" s="41"/>
    </row>
    <row r="16" spans="1:21" customFormat="1">
      <c r="A16" s="42" t="s">
        <v>476</v>
      </c>
      <c r="B16" s="43">
        <v>5.74</v>
      </c>
      <c r="C16" s="43">
        <v>5.1100000000000003</v>
      </c>
      <c r="D16" s="43">
        <v>10.84</v>
      </c>
      <c r="E16" s="43">
        <v>5.24</v>
      </c>
      <c r="F16" s="43">
        <v>2.0099999999999998</v>
      </c>
      <c r="G16" s="43">
        <v>14.94</v>
      </c>
      <c r="H16" s="43">
        <v>5.63</v>
      </c>
      <c r="I16" s="43">
        <v>4.22</v>
      </c>
      <c r="J16" s="27" t="s">
        <v>8</v>
      </c>
      <c r="K16" s="27" t="s">
        <v>8</v>
      </c>
      <c r="L16" s="27" t="s">
        <v>8</v>
      </c>
      <c r="M16" s="27" t="s">
        <v>8</v>
      </c>
      <c r="N16" s="27" t="s">
        <v>8</v>
      </c>
      <c r="O16" s="27" t="s">
        <v>8</v>
      </c>
      <c r="P16" s="43">
        <v>0.27</v>
      </c>
      <c r="Q16" s="43">
        <v>10.01</v>
      </c>
      <c r="R16" s="41"/>
      <c r="S16" s="41"/>
      <c r="T16" s="41"/>
      <c r="U16" s="41"/>
    </row>
    <row r="17" spans="1:21" customFormat="1">
      <c r="A17" s="42" t="s">
        <v>477</v>
      </c>
      <c r="B17" s="43">
        <v>5.15</v>
      </c>
      <c r="C17" s="43">
        <v>5.22</v>
      </c>
      <c r="D17" s="43">
        <v>10.16</v>
      </c>
      <c r="E17" s="43">
        <v>5.18</v>
      </c>
      <c r="F17" s="43">
        <v>2</v>
      </c>
      <c r="G17" s="43">
        <v>14.31</v>
      </c>
      <c r="H17" s="43">
        <v>7.63</v>
      </c>
      <c r="I17" s="43">
        <v>3.99</v>
      </c>
      <c r="J17" s="27" t="s">
        <v>8</v>
      </c>
      <c r="K17" s="27" t="s">
        <v>8</v>
      </c>
      <c r="L17" s="27" t="s">
        <v>8</v>
      </c>
      <c r="M17" s="27" t="s">
        <v>8</v>
      </c>
      <c r="N17" s="27" t="s">
        <v>8</v>
      </c>
      <c r="O17" s="27" t="s">
        <v>8</v>
      </c>
      <c r="P17" s="43">
        <v>0.27</v>
      </c>
      <c r="Q17" s="43">
        <v>10.85</v>
      </c>
      <c r="R17" s="41"/>
      <c r="S17" s="41"/>
      <c r="T17" s="41"/>
      <c r="U17" s="41"/>
    </row>
    <row r="18" spans="1:21" customFormat="1">
      <c r="A18" s="42" t="s">
        <v>478</v>
      </c>
      <c r="B18" s="43">
        <v>4.0999999999999996</v>
      </c>
      <c r="C18" s="43">
        <v>5.32</v>
      </c>
      <c r="D18" s="43">
        <v>9.33</v>
      </c>
      <c r="E18" s="43">
        <v>5.14</v>
      </c>
      <c r="F18" s="43">
        <v>2.2400000000000002</v>
      </c>
      <c r="G18" s="43">
        <v>11.71</v>
      </c>
      <c r="H18" s="43">
        <v>7.63</v>
      </c>
      <c r="I18" s="43">
        <v>3.75</v>
      </c>
      <c r="J18" s="27" t="s">
        <v>8</v>
      </c>
      <c r="K18" s="27" t="s">
        <v>8</v>
      </c>
      <c r="L18" s="27" t="s">
        <v>8</v>
      </c>
      <c r="M18" s="27" t="s">
        <v>8</v>
      </c>
      <c r="N18" s="27" t="s">
        <v>8</v>
      </c>
      <c r="O18" s="27" t="s">
        <v>8</v>
      </c>
      <c r="P18" s="43">
        <v>0.24</v>
      </c>
      <c r="Q18" s="43">
        <v>10.82</v>
      </c>
      <c r="R18" s="41"/>
      <c r="S18" s="41"/>
      <c r="T18" s="41"/>
      <c r="U18" s="41"/>
    </row>
    <row r="19" spans="1:21" customFormat="1">
      <c r="A19" s="42" t="s">
        <v>479</v>
      </c>
      <c r="B19" s="43">
        <v>3.13</v>
      </c>
      <c r="C19" s="43">
        <v>5.36</v>
      </c>
      <c r="D19" s="43">
        <v>8.39</v>
      </c>
      <c r="E19" s="43">
        <v>4.91</v>
      </c>
      <c r="F19" s="43">
        <v>2.2599999999999998</v>
      </c>
      <c r="G19" s="43">
        <v>13.85</v>
      </c>
      <c r="H19" s="43">
        <v>9.7799999999999994</v>
      </c>
      <c r="I19" s="43">
        <v>3.54</v>
      </c>
      <c r="J19" s="27" t="s">
        <v>8</v>
      </c>
      <c r="K19" s="27" t="s">
        <v>8</v>
      </c>
      <c r="L19" s="27" t="s">
        <v>8</v>
      </c>
      <c r="M19" s="27" t="s">
        <v>8</v>
      </c>
      <c r="N19" s="27" t="s">
        <v>8</v>
      </c>
      <c r="O19" s="27" t="s">
        <v>8</v>
      </c>
      <c r="P19" s="43">
        <v>0.23</v>
      </c>
      <c r="Q19" s="43">
        <v>11.24</v>
      </c>
      <c r="R19" s="41"/>
      <c r="S19" s="41"/>
      <c r="T19" s="41"/>
      <c r="U19" s="41"/>
    </row>
    <row r="20" spans="1:21" customFormat="1">
      <c r="A20" s="42" t="s">
        <v>480</v>
      </c>
      <c r="B20" s="43">
        <v>2.61</v>
      </c>
      <c r="C20" s="43">
        <v>5.21</v>
      </c>
      <c r="D20" s="43">
        <v>7.81</v>
      </c>
      <c r="E20" s="43">
        <v>4.8499999999999996</v>
      </c>
      <c r="F20" s="43">
        <v>2.2200000000000002</v>
      </c>
      <c r="G20" s="43">
        <v>16.41</v>
      </c>
      <c r="H20" s="43">
        <v>9.7799999999999994</v>
      </c>
      <c r="I20" s="43">
        <v>3.5</v>
      </c>
      <c r="J20" s="27" t="s">
        <v>8</v>
      </c>
      <c r="K20" s="27" t="s">
        <v>8</v>
      </c>
      <c r="L20" s="27" t="s">
        <v>8</v>
      </c>
      <c r="M20" s="27" t="s">
        <v>8</v>
      </c>
      <c r="N20" s="27" t="s">
        <v>8</v>
      </c>
      <c r="O20" s="27" t="s">
        <v>8</v>
      </c>
      <c r="P20" s="43">
        <v>0.23</v>
      </c>
      <c r="Q20" s="43">
        <v>13.44</v>
      </c>
      <c r="R20" s="41"/>
      <c r="S20" s="41"/>
      <c r="T20" s="41"/>
      <c r="U20" s="41"/>
    </row>
    <row r="21" spans="1:21" customFormat="1">
      <c r="A21" s="42" t="s">
        <v>481</v>
      </c>
      <c r="B21" s="43">
        <v>2.61</v>
      </c>
      <c r="C21" s="43">
        <v>4.76</v>
      </c>
      <c r="D21" s="43">
        <v>7.27</v>
      </c>
      <c r="E21" s="43">
        <v>4.57</v>
      </c>
      <c r="F21" s="43">
        <v>2.2400000000000002</v>
      </c>
      <c r="G21" s="43">
        <v>19.95</v>
      </c>
      <c r="H21" s="43">
        <v>9.59</v>
      </c>
      <c r="I21" s="43">
        <v>3.58</v>
      </c>
      <c r="J21" s="27" t="s">
        <v>8</v>
      </c>
      <c r="K21" s="27" t="s">
        <v>8</v>
      </c>
      <c r="L21" s="27" t="s">
        <v>8</v>
      </c>
      <c r="M21" s="27" t="s">
        <v>8</v>
      </c>
      <c r="N21" s="27" t="s">
        <v>8</v>
      </c>
      <c r="O21" s="27" t="s">
        <v>8</v>
      </c>
      <c r="P21" s="43">
        <v>0.21</v>
      </c>
      <c r="Q21" s="43">
        <v>10</v>
      </c>
      <c r="R21" s="41"/>
      <c r="S21" s="41"/>
      <c r="T21" s="41"/>
      <c r="U21" s="41"/>
    </row>
    <row r="22" spans="1:21" customFormat="1">
      <c r="A22" s="42" t="s">
        <v>482</v>
      </c>
      <c r="B22" s="43">
        <v>2.68</v>
      </c>
      <c r="C22" s="43">
        <v>4.7300000000000004</v>
      </c>
      <c r="D22" s="43">
        <v>7.38</v>
      </c>
      <c r="E22" s="43">
        <v>4.03</v>
      </c>
      <c r="F22" s="43">
        <v>2.08</v>
      </c>
      <c r="G22" s="43">
        <v>19.95</v>
      </c>
      <c r="H22" s="43">
        <v>10.130000000000001</v>
      </c>
      <c r="I22" s="43">
        <v>3.59</v>
      </c>
      <c r="J22" s="27" t="s">
        <v>8</v>
      </c>
      <c r="K22" s="27" t="s">
        <v>8</v>
      </c>
      <c r="L22" s="27" t="s">
        <v>8</v>
      </c>
      <c r="M22" s="27" t="s">
        <v>8</v>
      </c>
      <c r="N22" s="27" t="s">
        <v>8</v>
      </c>
      <c r="O22" s="27" t="s">
        <v>8</v>
      </c>
      <c r="P22" s="43">
        <v>0.19</v>
      </c>
      <c r="Q22" s="43">
        <v>10</v>
      </c>
      <c r="R22" s="41"/>
      <c r="S22" s="41"/>
      <c r="T22" s="41"/>
      <c r="U22" s="41"/>
    </row>
    <row r="23" spans="1:21" customFormat="1">
      <c r="A23" s="42" t="s">
        <v>483</v>
      </c>
      <c r="B23" s="43">
        <v>2.79</v>
      </c>
      <c r="C23" s="43">
        <v>4.72</v>
      </c>
      <c r="D23" s="43">
        <v>7.49</v>
      </c>
      <c r="E23" s="43">
        <v>3.54</v>
      </c>
      <c r="F23" s="43">
        <v>2.34</v>
      </c>
      <c r="G23" s="43">
        <v>17.78</v>
      </c>
      <c r="H23" s="43">
        <v>13.4</v>
      </c>
      <c r="I23" s="43">
        <v>3.56</v>
      </c>
      <c r="J23" s="27" t="s">
        <v>8</v>
      </c>
      <c r="K23" s="27" t="s">
        <v>8</v>
      </c>
      <c r="L23" s="27" t="s">
        <v>8</v>
      </c>
      <c r="M23" s="27" t="s">
        <v>8</v>
      </c>
      <c r="N23" s="27" t="s">
        <v>8</v>
      </c>
      <c r="O23" s="27" t="s">
        <v>8</v>
      </c>
      <c r="P23" s="43">
        <v>0.19</v>
      </c>
      <c r="Q23" s="43">
        <v>10.4</v>
      </c>
      <c r="R23" s="41"/>
      <c r="S23" s="41"/>
      <c r="T23" s="41"/>
      <c r="U23" s="41"/>
    </row>
    <row r="24" spans="1:21" customFormat="1">
      <c r="A24" s="42" t="s">
        <v>484</v>
      </c>
      <c r="B24" s="43">
        <v>2.92</v>
      </c>
      <c r="C24" s="43">
        <v>4.68</v>
      </c>
      <c r="D24" s="43">
        <v>7.58</v>
      </c>
      <c r="E24" s="43">
        <v>3.43</v>
      </c>
      <c r="F24" s="43">
        <v>2.08</v>
      </c>
      <c r="G24" s="43">
        <v>14.76</v>
      </c>
      <c r="H24" s="43">
        <v>13.4</v>
      </c>
      <c r="I24" s="43">
        <v>3.48</v>
      </c>
      <c r="J24" s="27" t="s">
        <v>8</v>
      </c>
      <c r="K24" s="27" t="s">
        <v>8</v>
      </c>
      <c r="L24" s="27" t="s">
        <v>8</v>
      </c>
      <c r="M24" s="27" t="s">
        <v>8</v>
      </c>
      <c r="N24" s="27" t="s">
        <v>8</v>
      </c>
      <c r="O24" s="27" t="s">
        <v>8</v>
      </c>
      <c r="P24" s="43">
        <v>0.18</v>
      </c>
      <c r="Q24" s="43">
        <v>11.37</v>
      </c>
      <c r="R24" s="41"/>
      <c r="S24" s="41"/>
      <c r="T24" s="41"/>
      <c r="U24" s="41"/>
    </row>
    <row r="25" spans="1:21" customFormat="1">
      <c r="A25" s="42" t="s">
        <v>485</v>
      </c>
      <c r="B25" s="43">
        <v>2.94</v>
      </c>
      <c r="C25" s="43">
        <v>5.4</v>
      </c>
      <c r="D25" s="43">
        <v>7.57</v>
      </c>
      <c r="E25" s="43">
        <v>3.37</v>
      </c>
      <c r="F25" s="43">
        <v>14.56</v>
      </c>
      <c r="G25" s="43">
        <v>13.09</v>
      </c>
      <c r="H25" s="43">
        <v>10.73</v>
      </c>
      <c r="I25" s="43">
        <v>3.36</v>
      </c>
      <c r="J25" s="27" t="s">
        <v>8</v>
      </c>
      <c r="K25" s="27" t="s">
        <v>8</v>
      </c>
      <c r="L25" s="27" t="s">
        <v>8</v>
      </c>
      <c r="M25" s="27" t="s">
        <v>8</v>
      </c>
      <c r="N25" s="27" t="s">
        <v>8</v>
      </c>
      <c r="O25" s="27" t="s">
        <v>8</v>
      </c>
      <c r="P25" s="43">
        <v>0.21</v>
      </c>
      <c r="Q25" s="43">
        <v>10.44</v>
      </c>
      <c r="R25" s="41"/>
      <c r="S25" s="41"/>
      <c r="T25" s="41"/>
      <c r="U25" s="41"/>
    </row>
    <row r="26" spans="1:21" customFormat="1">
      <c r="A26" s="42" t="s">
        <v>486</v>
      </c>
      <c r="B26" s="43">
        <v>1.9</v>
      </c>
      <c r="C26" s="43">
        <v>5.24</v>
      </c>
      <c r="D26" s="43">
        <v>6.92</v>
      </c>
      <c r="E26" s="43">
        <v>2.97</v>
      </c>
      <c r="F26" s="43">
        <v>7.56</v>
      </c>
      <c r="G26" s="43">
        <v>11.89</v>
      </c>
      <c r="H26" s="43">
        <v>8.17</v>
      </c>
      <c r="I26" s="43">
        <v>2.77</v>
      </c>
      <c r="J26" s="27" t="s">
        <v>8</v>
      </c>
      <c r="K26" s="27" t="s">
        <v>8</v>
      </c>
      <c r="L26" s="27" t="s">
        <v>8</v>
      </c>
      <c r="M26" s="27" t="s">
        <v>8</v>
      </c>
      <c r="N26" s="27" t="s">
        <v>8</v>
      </c>
      <c r="O26" s="27" t="s">
        <v>8</v>
      </c>
      <c r="P26" s="43">
        <v>0.2</v>
      </c>
      <c r="Q26" s="43">
        <v>10.97</v>
      </c>
      <c r="R26" s="41"/>
      <c r="S26" s="41"/>
      <c r="T26" s="41"/>
      <c r="U26" s="41"/>
    </row>
    <row r="27" spans="1:21" customFormat="1">
      <c r="A27" s="42" t="s">
        <v>487</v>
      </c>
      <c r="B27" s="43">
        <v>2.36</v>
      </c>
      <c r="C27" s="43">
        <v>4.79</v>
      </c>
      <c r="D27" s="43">
        <v>7.1</v>
      </c>
      <c r="E27" s="43">
        <v>3.72</v>
      </c>
      <c r="F27" s="43">
        <v>2</v>
      </c>
      <c r="G27" s="43">
        <v>13.2</v>
      </c>
      <c r="H27" s="43">
        <v>10.43</v>
      </c>
      <c r="I27" s="43">
        <v>2.52</v>
      </c>
      <c r="J27" s="27" t="s">
        <v>8</v>
      </c>
      <c r="K27" s="27" t="s">
        <v>8</v>
      </c>
      <c r="L27" s="27" t="s">
        <v>8</v>
      </c>
      <c r="M27" s="27" t="s">
        <v>8</v>
      </c>
      <c r="N27" s="27" t="s">
        <v>8</v>
      </c>
      <c r="O27" s="27" t="s">
        <v>8</v>
      </c>
      <c r="P27" s="43">
        <v>0.21</v>
      </c>
      <c r="Q27" s="43">
        <v>10.62</v>
      </c>
      <c r="R27" s="41"/>
      <c r="S27" s="41"/>
      <c r="T27" s="41"/>
      <c r="U27" s="41"/>
    </row>
    <row r="28" spans="1:21" customFormat="1">
      <c r="A28" s="42" t="s">
        <v>488</v>
      </c>
      <c r="B28" s="43">
        <v>2.83</v>
      </c>
      <c r="C28" s="43">
        <v>4.68</v>
      </c>
      <c r="D28" s="43">
        <v>7.5</v>
      </c>
      <c r="E28" s="43">
        <v>4.18</v>
      </c>
      <c r="F28" s="43">
        <v>2</v>
      </c>
      <c r="G28" s="43">
        <v>22.19</v>
      </c>
      <c r="H28" s="43">
        <v>10.43</v>
      </c>
      <c r="I28" s="43">
        <v>3.1</v>
      </c>
      <c r="J28" s="27" t="s">
        <v>8</v>
      </c>
      <c r="K28" s="27" t="s">
        <v>8</v>
      </c>
      <c r="L28" s="27" t="s">
        <v>8</v>
      </c>
      <c r="M28" s="27" t="s">
        <v>8</v>
      </c>
      <c r="N28" s="27" t="s">
        <v>8</v>
      </c>
      <c r="O28" s="27" t="s">
        <v>8</v>
      </c>
      <c r="P28" s="43">
        <v>0.22</v>
      </c>
      <c r="Q28" s="43">
        <v>10.210000000000001</v>
      </c>
      <c r="R28" s="41"/>
      <c r="S28" s="41"/>
      <c r="T28" s="41"/>
      <c r="U28" s="41"/>
    </row>
    <row r="29" spans="1:21" customFormat="1">
      <c r="A29" s="42" t="s">
        <v>489</v>
      </c>
      <c r="B29" s="43">
        <v>3.19</v>
      </c>
      <c r="C29" s="43">
        <v>4.74</v>
      </c>
      <c r="D29" s="43">
        <v>7.9</v>
      </c>
      <c r="E29" s="43">
        <v>4.5999999999999996</v>
      </c>
      <c r="F29" s="43">
        <v>2</v>
      </c>
      <c r="G29" s="43">
        <v>22.19</v>
      </c>
      <c r="H29" s="43">
        <v>10.98</v>
      </c>
      <c r="I29" s="43">
        <v>3.51</v>
      </c>
      <c r="J29" s="27" t="s">
        <v>8</v>
      </c>
      <c r="K29" s="27" t="s">
        <v>8</v>
      </c>
      <c r="L29" s="27" t="s">
        <v>8</v>
      </c>
      <c r="M29" s="27" t="s">
        <v>8</v>
      </c>
      <c r="N29" s="27" t="s">
        <v>8</v>
      </c>
      <c r="O29" s="27" t="s">
        <v>8</v>
      </c>
      <c r="P29" s="43">
        <v>0.26</v>
      </c>
      <c r="Q29" s="43">
        <v>10</v>
      </c>
      <c r="R29" s="41"/>
      <c r="S29" s="41"/>
      <c r="T29" s="41"/>
      <c r="U29" s="41"/>
    </row>
    <row r="30" spans="1:21" customFormat="1">
      <c r="A30" s="42" t="s">
        <v>490</v>
      </c>
      <c r="B30" s="43">
        <v>3.65</v>
      </c>
      <c r="C30" s="43">
        <v>4.84</v>
      </c>
      <c r="D30" s="43">
        <v>8.35</v>
      </c>
      <c r="E30" s="43">
        <v>4.9800000000000004</v>
      </c>
      <c r="F30" s="43">
        <v>2</v>
      </c>
      <c r="G30" s="43">
        <v>21.16</v>
      </c>
      <c r="H30" s="43">
        <v>13.11</v>
      </c>
      <c r="I30" s="43">
        <v>4.0999999999999996</v>
      </c>
      <c r="J30" s="27" t="s">
        <v>8</v>
      </c>
      <c r="K30" s="27" t="s">
        <v>8</v>
      </c>
      <c r="L30" s="27" t="s">
        <v>8</v>
      </c>
      <c r="M30" s="27" t="s">
        <v>8</v>
      </c>
      <c r="N30" s="27" t="s">
        <v>8</v>
      </c>
      <c r="O30" s="27" t="s">
        <v>8</v>
      </c>
      <c r="P30" s="43">
        <v>0.28999999999999998</v>
      </c>
      <c r="Q30" s="43">
        <v>10</v>
      </c>
      <c r="R30" s="41"/>
      <c r="S30" s="41"/>
      <c r="T30" s="41"/>
      <c r="U30" s="41"/>
    </row>
    <row r="31" spans="1:21" customFormat="1">
      <c r="A31" s="42" t="s">
        <v>491</v>
      </c>
      <c r="B31" s="43">
        <v>4.29</v>
      </c>
      <c r="C31" s="43">
        <v>4.76</v>
      </c>
      <c r="D31" s="43">
        <v>9.0500000000000007</v>
      </c>
      <c r="E31" s="43">
        <v>4.62</v>
      </c>
      <c r="F31" s="43">
        <v>2</v>
      </c>
      <c r="G31" s="43">
        <v>25.01</v>
      </c>
      <c r="H31" s="43">
        <v>13.11</v>
      </c>
      <c r="I31" s="43">
        <v>4.72</v>
      </c>
      <c r="J31" s="27" t="s">
        <v>8</v>
      </c>
      <c r="K31" s="27" t="s">
        <v>8</v>
      </c>
      <c r="L31" s="27" t="s">
        <v>8</v>
      </c>
      <c r="M31" s="27" t="s">
        <v>8</v>
      </c>
      <c r="N31" s="27" t="s">
        <v>8</v>
      </c>
      <c r="O31" s="27" t="s">
        <v>8</v>
      </c>
      <c r="P31" s="43">
        <v>0.28000000000000003</v>
      </c>
      <c r="Q31" s="43">
        <v>10</v>
      </c>
      <c r="R31" s="41"/>
      <c r="S31" s="41"/>
      <c r="T31" s="41"/>
      <c r="U31" s="41"/>
    </row>
    <row r="32" spans="1:21" customFormat="1">
      <c r="A32" s="42" t="s">
        <v>492</v>
      </c>
      <c r="B32" s="43">
        <v>4.78</v>
      </c>
      <c r="C32" s="43">
        <v>4.95</v>
      </c>
      <c r="D32" s="43">
        <v>9.6999999999999993</v>
      </c>
      <c r="E32" s="43">
        <v>4.9800000000000004</v>
      </c>
      <c r="F32" s="43">
        <v>2</v>
      </c>
      <c r="G32" s="43">
        <v>29.92</v>
      </c>
      <c r="H32" s="43">
        <v>11.8</v>
      </c>
      <c r="I32" s="43">
        <v>5.09</v>
      </c>
      <c r="J32" s="27" t="s">
        <v>8</v>
      </c>
      <c r="K32" s="27" t="s">
        <v>8</v>
      </c>
      <c r="L32" s="27" t="s">
        <v>8</v>
      </c>
      <c r="M32" s="27" t="s">
        <v>8</v>
      </c>
      <c r="N32" s="27" t="s">
        <v>8</v>
      </c>
      <c r="O32" s="27" t="s">
        <v>8</v>
      </c>
      <c r="P32" s="43">
        <v>0.31</v>
      </c>
      <c r="Q32" s="43">
        <v>10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1.9</v>
      </c>
      <c r="C34" s="18">
        <f t="shared" si="0"/>
        <v>4.68</v>
      </c>
      <c r="D34" s="18">
        <f t="shared" si="0"/>
        <v>6.92</v>
      </c>
      <c r="E34" s="18">
        <f t="shared" si="0"/>
        <v>2.97</v>
      </c>
      <c r="F34" s="18">
        <f t="shared" si="0"/>
        <v>2</v>
      </c>
      <c r="G34" s="18">
        <f t="shared" si="0"/>
        <v>11.71</v>
      </c>
      <c r="H34" s="18">
        <f t="shared" si="0"/>
        <v>3.97</v>
      </c>
      <c r="I34" s="18">
        <f t="shared" si="0"/>
        <v>2.52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0.18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5.85</v>
      </c>
      <c r="C35" s="3">
        <f t="shared" si="1"/>
        <v>5.4</v>
      </c>
      <c r="D35" s="3">
        <f t="shared" si="1"/>
        <v>11.01</v>
      </c>
      <c r="E35" s="3">
        <f t="shared" si="1"/>
        <v>6.12</v>
      </c>
      <c r="F35" s="3">
        <f t="shared" si="1"/>
        <v>14.56</v>
      </c>
      <c r="G35" s="3">
        <f t="shared" si="1"/>
        <v>29.92</v>
      </c>
      <c r="H35" s="3">
        <f t="shared" si="1"/>
        <v>13.4</v>
      </c>
      <c r="I35" s="3">
        <f t="shared" si="1"/>
        <v>5.7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0.37</v>
      </c>
      <c r="Q35" s="3">
        <f t="shared" si="1"/>
        <v>14.3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3.912500000000001</v>
      </c>
      <c r="C36" s="18">
        <f t="shared" si="2"/>
        <v>4.9629166666666675</v>
      </c>
      <c r="D36" s="18">
        <f t="shared" si="2"/>
        <v>8.7887500000000003</v>
      </c>
      <c r="E36" s="18">
        <f t="shared" si="2"/>
        <v>4.536666666666668</v>
      </c>
      <c r="F36" s="18">
        <f t="shared" si="2"/>
        <v>2.8208333333333333</v>
      </c>
      <c r="G36" s="18">
        <f t="shared" si="2"/>
        <v>18.323333333333334</v>
      </c>
      <c r="H36" s="18">
        <f t="shared" si="2"/>
        <v>9.3816666666666677</v>
      </c>
      <c r="I36" s="18">
        <f t="shared" si="2"/>
        <v>4.0020833333333332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>
        <f t="shared" si="2"/>
        <v>0.25124999999999997</v>
      </c>
      <c r="Q36" s="18">
        <f t="shared" si="2"/>
        <v>10.810416666666669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1.2396817614070186</v>
      </c>
      <c r="C37" s="18">
        <f t="shared" ref="C37:Q37" si="3">STDEV(C9:C32)</f>
        <v>0.2345296711861139</v>
      </c>
      <c r="D37" s="18">
        <f t="shared" si="3"/>
        <v>1.3188312101514656</v>
      </c>
      <c r="E37" s="18">
        <f t="shared" si="3"/>
        <v>0.76476007415037361</v>
      </c>
      <c r="F37" s="18">
        <f t="shared" si="3"/>
        <v>2.7415069113404651</v>
      </c>
      <c r="G37" s="18">
        <f t="shared" si="3"/>
        <v>5.2488869765649984</v>
      </c>
      <c r="H37" s="18">
        <f t="shared" si="3"/>
        <v>2.776902664084048</v>
      </c>
      <c r="I37" s="18">
        <f t="shared" si="3"/>
        <v>0.79022274882062693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>
        <f t="shared" si="3"/>
        <v>4.8661430133204148E-2</v>
      </c>
      <c r="Q37" s="18">
        <f t="shared" si="3"/>
        <v>1.244258043859914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>COUNT(J9:J32)+24</f>
        <v>24</v>
      </c>
      <c r="K38" s="37">
        <f t="shared" ref="K38:O38" si="5">COUNT(K9:K32)+24</f>
        <v>24</v>
      </c>
      <c r="L38" s="37">
        <f t="shared" si="5"/>
        <v>24</v>
      </c>
      <c r="M38" s="37">
        <f t="shared" si="5"/>
        <v>24</v>
      </c>
      <c r="N38" s="37">
        <f t="shared" si="5"/>
        <v>24</v>
      </c>
      <c r="O38" s="37">
        <f t="shared" si="5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6">IF(C38&gt;=22,"&gt;90%",IF(C38&lt;=22,"&lt;90%"))</f>
        <v>&gt;90%</v>
      </c>
      <c r="D39" s="3" t="str">
        <f t="shared" si="6"/>
        <v>&gt;90%</v>
      </c>
      <c r="E39" s="3" t="str">
        <f t="shared" si="6"/>
        <v>&gt;90%</v>
      </c>
      <c r="F39" s="3" t="str">
        <f t="shared" si="6"/>
        <v>&gt;90%</v>
      </c>
      <c r="G39" s="3" t="str">
        <f t="shared" si="6"/>
        <v>&gt;90%</v>
      </c>
      <c r="H39" s="3" t="str">
        <f t="shared" si="6"/>
        <v>&gt;90%</v>
      </c>
      <c r="I39" s="3" t="str">
        <f t="shared" si="6"/>
        <v>&gt;90%</v>
      </c>
      <c r="J39" s="3" t="str">
        <f t="shared" si="6"/>
        <v>&gt;90%</v>
      </c>
      <c r="K39" s="3" t="str">
        <f t="shared" si="6"/>
        <v>&gt;90%</v>
      </c>
      <c r="L39" s="3" t="str">
        <f t="shared" si="6"/>
        <v>&gt;90%</v>
      </c>
      <c r="M39" s="3" t="str">
        <f t="shared" si="6"/>
        <v>&gt;90%</v>
      </c>
      <c r="N39" s="3" t="str">
        <f t="shared" si="6"/>
        <v>&gt;90%</v>
      </c>
      <c r="O39" s="3" t="str">
        <f t="shared" si="6"/>
        <v>&gt;90%</v>
      </c>
      <c r="P39" s="3" t="str">
        <f t="shared" si="6"/>
        <v>&gt;90%</v>
      </c>
      <c r="Q39" s="3" t="str">
        <f t="shared" si="6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7">IF(C38&gt;=22,"OK",IF(C38&lt;=22,"LESS"))</f>
        <v>OK</v>
      </c>
      <c r="D40" s="3" t="str">
        <f t="shared" si="7"/>
        <v>OK</v>
      </c>
      <c r="E40" s="3" t="str">
        <f t="shared" si="7"/>
        <v>OK</v>
      </c>
      <c r="F40" s="3" t="str">
        <f t="shared" si="7"/>
        <v>OK</v>
      </c>
      <c r="G40" s="3" t="str">
        <f t="shared" si="7"/>
        <v>OK</v>
      </c>
      <c r="H40" s="3" t="str">
        <f t="shared" si="7"/>
        <v>OK</v>
      </c>
      <c r="I40" s="3" t="str">
        <f t="shared" si="7"/>
        <v>OK</v>
      </c>
      <c r="J40" s="3" t="str">
        <f t="shared" si="7"/>
        <v>OK</v>
      </c>
      <c r="K40" s="3" t="str">
        <f t="shared" si="7"/>
        <v>OK</v>
      </c>
      <c r="L40" s="3" t="str">
        <f t="shared" si="7"/>
        <v>OK</v>
      </c>
      <c r="M40" s="3" t="str">
        <f t="shared" si="7"/>
        <v>OK</v>
      </c>
      <c r="N40" s="3" t="str">
        <f t="shared" si="7"/>
        <v>OK</v>
      </c>
      <c r="O40" s="3" t="str">
        <f t="shared" si="7"/>
        <v>OK</v>
      </c>
      <c r="P40" s="3" t="str">
        <f t="shared" si="7"/>
        <v>OK</v>
      </c>
      <c r="Q40" s="3" t="str">
        <f t="shared" si="7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96"/>
  <sheetViews>
    <sheetView zoomScale="85" zoomScaleNormal="85" workbookViewId="0">
      <pane xSplit="1" ySplit="8" topLeftCell="B23" activePane="bottomRight" state="frozen"/>
      <selection activeCell="G19" sqref="G19"/>
      <selection pane="topRight" activeCell="G19" sqref="G19"/>
      <selection pane="bottomLeft" activeCell="G19" sqref="G19"/>
      <selection pane="bottomRight" activeCell="J38" sqref="J38:O3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19/09/2025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493</v>
      </c>
      <c r="B9" s="43">
        <v>5.17</v>
      </c>
      <c r="C9" s="43">
        <v>5</v>
      </c>
      <c r="D9" s="43">
        <v>10.1</v>
      </c>
      <c r="E9" s="43">
        <v>4.6900000000000004</v>
      </c>
      <c r="F9" s="43">
        <v>2</v>
      </c>
      <c r="G9" s="43">
        <v>29.92</v>
      </c>
      <c r="H9" s="43">
        <v>11.3</v>
      </c>
      <c r="I9" s="43">
        <v>5.3</v>
      </c>
      <c r="J9" s="27" t="s">
        <v>8</v>
      </c>
      <c r="K9" s="27" t="s">
        <v>8</v>
      </c>
      <c r="L9" s="27" t="s">
        <v>8</v>
      </c>
      <c r="M9" s="27" t="s">
        <v>8</v>
      </c>
      <c r="N9" s="27" t="s">
        <v>8</v>
      </c>
      <c r="O9" s="27" t="s">
        <v>8</v>
      </c>
      <c r="P9" s="43">
        <v>0.32</v>
      </c>
      <c r="Q9" s="43">
        <v>10</v>
      </c>
      <c r="R9" s="41"/>
      <c r="S9" s="41"/>
      <c r="T9" s="41"/>
      <c r="U9" s="41"/>
    </row>
    <row r="10" spans="1:21" customFormat="1">
      <c r="A10" s="42" t="s">
        <v>494</v>
      </c>
      <c r="B10" s="43">
        <v>5.52</v>
      </c>
      <c r="C10" s="43">
        <v>5.05</v>
      </c>
      <c r="D10" s="43">
        <v>10.44</v>
      </c>
      <c r="E10" s="43">
        <v>4.68</v>
      </c>
      <c r="F10" s="43">
        <v>2</v>
      </c>
      <c r="G10" s="43">
        <v>27.3</v>
      </c>
      <c r="H10" s="43">
        <v>12.28</v>
      </c>
      <c r="I10" s="43">
        <v>5.31</v>
      </c>
      <c r="J10" s="27" t="s">
        <v>8</v>
      </c>
      <c r="K10" s="27" t="s">
        <v>8</v>
      </c>
      <c r="L10" s="27" t="s">
        <v>8</v>
      </c>
      <c r="M10" s="27" t="s">
        <v>8</v>
      </c>
      <c r="N10" s="27" t="s">
        <v>8</v>
      </c>
      <c r="O10" s="27" t="s">
        <v>8</v>
      </c>
      <c r="P10" s="43">
        <v>0.32</v>
      </c>
      <c r="Q10" s="43">
        <v>10.14</v>
      </c>
      <c r="R10" s="41"/>
      <c r="S10" s="41"/>
      <c r="T10" s="41"/>
      <c r="U10" s="41"/>
    </row>
    <row r="11" spans="1:21" customFormat="1">
      <c r="A11" s="42" t="s">
        <v>495</v>
      </c>
      <c r="B11" s="43">
        <v>5.87</v>
      </c>
      <c r="C11" s="43">
        <v>5.32</v>
      </c>
      <c r="D11" s="43">
        <v>11.19</v>
      </c>
      <c r="E11" s="43">
        <v>4.7300000000000004</v>
      </c>
      <c r="F11" s="43">
        <v>2</v>
      </c>
      <c r="G11" s="43">
        <v>25.36</v>
      </c>
      <c r="H11" s="43">
        <v>12.28</v>
      </c>
      <c r="I11" s="43">
        <v>5.35</v>
      </c>
      <c r="J11" s="27" t="s">
        <v>8</v>
      </c>
      <c r="K11" s="27" t="s">
        <v>8</v>
      </c>
      <c r="L11" s="27" t="s">
        <v>8</v>
      </c>
      <c r="M11" s="27" t="s">
        <v>8</v>
      </c>
      <c r="N11" s="27" t="s">
        <v>8</v>
      </c>
      <c r="O11" s="27" t="s">
        <v>8</v>
      </c>
      <c r="P11" s="43">
        <v>0.34</v>
      </c>
      <c r="Q11" s="43">
        <v>10.039999999999999</v>
      </c>
      <c r="R11" s="41"/>
      <c r="S11" s="41"/>
      <c r="T11" s="41"/>
      <c r="U11" s="41"/>
    </row>
    <row r="12" spans="1:21" customFormat="1">
      <c r="A12" s="42" t="s">
        <v>496</v>
      </c>
      <c r="B12" s="43">
        <v>5.82</v>
      </c>
      <c r="C12" s="43">
        <v>5.29</v>
      </c>
      <c r="D12" s="43">
        <v>11.11</v>
      </c>
      <c r="E12" s="43">
        <v>5</v>
      </c>
      <c r="F12" s="43">
        <v>2</v>
      </c>
      <c r="G12" s="43">
        <v>25.36</v>
      </c>
      <c r="H12" s="43">
        <v>11.98</v>
      </c>
      <c r="I12" s="43">
        <v>5.15</v>
      </c>
      <c r="J12" s="27" t="s">
        <v>8</v>
      </c>
      <c r="K12" s="27" t="s">
        <v>8</v>
      </c>
      <c r="L12" s="27" t="s">
        <v>8</v>
      </c>
      <c r="M12" s="27" t="s">
        <v>8</v>
      </c>
      <c r="N12" s="27" t="s">
        <v>8</v>
      </c>
      <c r="O12" s="27" t="s">
        <v>8</v>
      </c>
      <c r="P12" s="43">
        <v>0.34</v>
      </c>
      <c r="Q12" s="43">
        <v>10.130000000000001</v>
      </c>
      <c r="R12" s="41"/>
      <c r="S12" s="41"/>
      <c r="T12" s="41"/>
      <c r="U12" s="41"/>
    </row>
    <row r="13" spans="1:21" customFormat="1">
      <c r="A13" s="42" t="s">
        <v>497</v>
      </c>
      <c r="B13" s="43">
        <v>7.23</v>
      </c>
      <c r="C13" s="43">
        <v>5.46</v>
      </c>
      <c r="D13" s="43">
        <v>12.69</v>
      </c>
      <c r="E13" s="43">
        <v>5.25</v>
      </c>
      <c r="F13" s="43">
        <v>2</v>
      </c>
      <c r="G13" s="43">
        <v>24.64</v>
      </c>
      <c r="H13" s="43">
        <v>9.36</v>
      </c>
      <c r="I13" s="43">
        <v>5.0199999999999996</v>
      </c>
      <c r="J13" s="27" t="s">
        <v>8</v>
      </c>
      <c r="K13" s="27" t="s">
        <v>8</v>
      </c>
      <c r="L13" s="27" t="s">
        <v>8</v>
      </c>
      <c r="M13" s="27" t="s">
        <v>8</v>
      </c>
      <c r="N13" s="27" t="s">
        <v>8</v>
      </c>
      <c r="O13" s="27" t="s">
        <v>8</v>
      </c>
      <c r="P13" s="43">
        <v>0.33</v>
      </c>
      <c r="Q13" s="43">
        <v>10.94</v>
      </c>
      <c r="R13" s="41"/>
      <c r="S13" s="41"/>
      <c r="T13" s="41"/>
      <c r="U13" s="41"/>
    </row>
    <row r="14" spans="1:21" customFormat="1">
      <c r="A14" s="42" t="s">
        <v>498</v>
      </c>
      <c r="B14" s="43">
        <v>11.87</v>
      </c>
      <c r="C14" s="43">
        <v>6.22</v>
      </c>
      <c r="D14" s="43">
        <v>18.09</v>
      </c>
      <c r="E14" s="43">
        <v>5.46</v>
      </c>
      <c r="F14" s="43">
        <v>2</v>
      </c>
      <c r="G14" s="43">
        <v>27.3</v>
      </c>
      <c r="H14" s="43">
        <v>11.53</v>
      </c>
      <c r="I14" s="43">
        <v>5.07</v>
      </c>
      <c r="J14" s="27" t="s">
        <v>8</v>
      </c>
      <c r="K14" s="27" t="s">
        <v>8</v>
      </c>
      <c r="L14" s="27" t="s">
        <v>8</v>
      </c>
      <c r="M14" s="27" t="s">
        <v>8</v>
      </c>
      <c r="N14" s="27" t="s">
        <v>8</v>
      </c>
      <c r="O14" s="27" t="s">
        <v>8</v>
      </c>
      <c r="P14" s="43">
        <v>0.34</v>
      </c>
      <c r="Q14" s="43">
        <v>11.22</v>
      </c>
      <c r="R14" s="41"/>
      <c r="S14" s="41"/>
      <c r="T14" s="41"/>
      <c r="U14" s="41"/>
    </row>
    <row r="15" spans="1:21" customFormat="1">
      <c r="A15" s="42" t="s">
        <v>499</v>
      </c>
      <c r="B15" s="43">
        <v>14.34</v>
      </c>
      <c r="C15" s="43">
        <v>6.65</v>
      </c>
      <c r="D15" s="43">
        <v>21</v>
      </c>
      <c r="E15" s="43">
        <v>5.68</v>
      </c>
      <c r="F15" s="43">
        <v>2</v>
      </c>
      <c r="G15" s="43">
        <v>30.21</v>
      </c>
      <c r="H15" s="43">
        <v>11.53</v>
      </c>
      <c r="I15" s="43">
        <v>5.22</v>
      </c>
      <c r="J15" s="27" t="s">
        <v>8</v>
      </c>
      <c r="K15" s="27" t="s">
        <v>8</v>
      </c>
      <c r="L15" s="27" t="s">
        <v>8</v>
      </c>
      <c r="M15" s="27" t="s">
        <v>8</v>
      </c>
      <c r="N15" s="27" t="s">
        <v>8</v>
      </c>
      <c r="O15" s="27" t="s">
        <v>8</v>
      </c>
      <c r="P15" s="43">
        <v>0.35</v>
      </c>
      <c r="Q15" s="43">
        <v>10.46</v>
      </c>
      <c r="R15" s="41"/>
      <c r="S15" s="41"/>
      <c r="T15" s="41"/>
      <c r="U15" s="41"/>
    </row>
    <row r="16" spans="1:21" customFormat="1">
      <c r="A16" s="42" t="s">
        <v>500</v>
      </c>
      <c r="B16" s="43">
        <v>15.69</v>
      </c>
      <c r="C16" s="43">
        <v>6.73</v>
      </c>
      <c r="D16" s="43">
        <v>22.28</v>
      </c>
      <c r="E16" s="43">
        <v>5.55</v>
      </c>
      <c r="F16" s="43">
        <v>2</v>
      </c>
      <c r="G16" s="43">
        <v>39.18</v>
      </c>
      <c r="H16" s="43">
        <v>11.44</v>
      </c>
      <c r="I16" s="43">
        <v>5.52</v>
      </c>
      <c r="J16" s="27" t="s">
        <v>8</v>
      </c>
      <c r="K16" s="27" t="s">
        <v>8</v>
      </c>
      <c r="L16" s="27" t="s">
        <v>8</v>
      </c>
      <c r="M16" s="27" t="s">
        <v>8</v>
      </c>
      <c r="N16" s="27" t="s">
        <v>8</v>
      </c>
      <c r="O16" s="27" t="s">
        <v>8</v>
      </c>
      <c r="P16" s="43">
        <v>0.35</v>
      </c>
      <c r="Q16" s="43">
        <v>10.58</v>
      </c>
      <c r="R16" s="41"/>
      <c r="S16" s="41"/>
      <c r="T16" s="41"/>
      <c r="U16" s="41"/>
    </row>
    <row r="17" spans="1:21" customFormat="1">
      <c r="A17" s="42" t="s">
        <v>501</v>
      </c>
      <c r="B17" s="43">
        <v>15.64</v>
      </c>
      <c r="C17" s="43">
        <v>7</v>
      </c>
      <c r="D17" s="43">
        <v>22.41</v>
      </c>
      <c r="E17" s="43">
        <v>5.31</v>
      </c>
      <c r="F17" s="43">
        <v>2.0099999999999998</v>
      </c>
      <c r="G17" s="43">
        <v>58.72</v>
      </c>
      <c r="H17" s="43">
        <v>18.29</v>
      </c>
      <c r="I17" s="43">
        <v>6.48</v>
      </c>
      <c r="J17" s="27" t="s">
        <v>8</v>
      </c>
      <c r="K17" s="27" t="s">
        <v>8</v>
      </c>
      <c r="L17" s="27" t="s">
        <v>8</v>
      </c>
      <c r="M17" s="27" t="s">
        <v>8</v>
      </c>
      <c r="N17" s="27" t="s">
        <v>8</v>
      </c>
      <c r="O17" s="27" t="s">
        <v>8</v>
      </c>
      <c r="P17" s="43">
        <v>0.37</v>
      </c>
      <c r="Q17" s="43">
        <v>10.61</v>
      </c>
      <c r="R17" s="41"/>
      <c r="S17" s="41"/>
      <c r="T17" s="41"/>
      <c r="U17" s="41"/>
    </row>
    <row r="18" spans="1:21" customFormat="1">
      <c r="A18" s="42" t="s">
        <v>502</v>
      </c>
      <c r="B18" s="43">
        <v>14.45</v>
      </c>
      <c r="C18" s="43">
        <v>7</v>
      </c>
      <c r="D18" s="43">
        <v>21.4</v>
      </c>
      <c r="E18" s="43">
        <v>5.34</v>
      </c>
      <c r="F18" s="43">
        <v>2</v>
      </c>
      <c r="G18" s="43">
        <v>59.81</v>
      </c>
      <c r="H18" s="43">
        <v>20.95</v>
      </c>
      <c r="I18" s="43">
        <v>7.16</v>
      </c>
      <c r="J18" s="27" t="s">
        <v>8</v>
      </c>
      <c r="K18" s="27" t="s">
        <v>8</v>
      </c>
      <c r="L18" s="27" t="s">
        <v>8</v>
      </c>
      <c r="M18" s="27" t="s">
        <v>8</v>
      </c>
      <c r="N18" s="27" t="s">
        <v>8</v>
      </c>
      <c r="O18" s="27" t="s">
        <v>8</v>
      </c>
      <c r="P18" s="43">
        <v>0.39</v>
      </c>
      <c r="Q18" s="43">
        <v>11.84</v>
      </c>
      <c r="R18" s="41"/>
      <c r="S18" s="41"/>
      <c r="T18" s="41"/>
      <c r="U18" s="41"/>
    </row>
    <row r="19" spans="1:21" customFormat="1">
      <c r="A19" s="42" t="s">
        <v>503</v>
      </c>
      <c r="B19" s="43">
        <v>12.56</v>
      </c>
      <c r="C19" s="43">
        <v>6.92</v>
      </c>
      <c r="D19" s="43">
        <v>19.48</v>
      </c>
      <c r="E19" s="43">
        <v>5.13</v>
      </c>
      <c r="F19" s="43">
        <v>2.0499999999999998</v>
      </c>
      <c r="G19" s="43">
        <v>59.81</v>
      </c>
      <c r="H19" s="43">
        <v>20.95</v>
      </c>
      <c r="I19" s="43">
        <v>7.89</v>
      </c>
      <c r="J19" s="27" t="s">
        <v>8</v>
      </c>
      <c r="K19" s="27" t="s">
        <v>8</v>
      </c>
      <c r="L19" s="27" t="s">
        <v>8</v>
      </c>
      <c r="M19" s="27" t="s">
        <v>8</v>
      </c>
      <c r="N19" s="27" t="s">
        <v>8</v>
      </c>
      <c r="O19" s="27" t="s">
        <v>8</v>
      </c>
      <c r="P19" s="43">
        <v>0.4</v>
      </c>
      <c r="Q19" s="43">
        <v>13.75</v>
      </c>
      <c r="R19" s="41"/>
      <c r="S19" s="41"/>
      <c r="T19" s="41"/>
      <c r="U19" s="41"/>
    </row>
    <row r="20" spans="1:21" customFormat="1">
      <c r="A20" s="42" t="s">
        <v>504</v>
      </c>
      <c r="B20" s="43">
        <v>10.72</v>
      </c>
      <c r="C20" s="43">
        <v>7.04</v>
      </c>
      <c r="D20" s="43">
        <v>17.66</v>
      </c>
      <c r="E20" s="43">
        <v>4.58</v>
      </c>
      <c r="F20" s="43">
        <v>2.52</v>
      </c>
      <c r="G20" s="43">
        <v>55.53</v>
      </c>
      <c r="H20" s="43">
        <v>21.62</v>
      </c>
      <c r="I20" s="43">
        <v>8.02</v>
      </c>
      <c r="J20" s="27" t="s">
        <v>8</v>
      </c>
      <c r="K20" s="27" t="s">
        <v>8</v>
      </c>
      <c r="L20" s="27" t="s">
        <v>8</v>
      </c>
      <c r="M20" s="27" t="s">
        <v>8</v>
      </c>
      <c r="N20" s="27" t="s">
        <v>8</v>
      </c>
      <c r="O20" s="27" t="s">
        <v>8</v>
      </c>
      <c r="P20" s="43">
        <v>0.42</v>
      </c>
      <c r="Q20" s="43">
        <v>12.57</v>
      </c>
      <c r="R20" s="41"/>
      <c r="S20" s="41"/>
      <c r="T20" s="41"/>
      <c r="U20" s="41"/>
    </row>
    <row r="21" spans="1:21" customFormat="1">
      <c r="A21" s="42" t="s">
        <v>505</v>
      </c>
      <c r="B21" s="43">
        <v>8.3800000000000008</v>
      </c>
      <c r="C21" s="43">
        <v>7.19</v>
      </c>
      <c r="D21" s="43">
        <v>15.28</v>
      </c>
      <c r="E21" s="43">
        <v>4.9000000000000004</v>
      </c>
      <c r="F21" s="43">
        <v>2.0099999999999998</v>
      </c>
      <c r="G21" s="43">
        <v>56.43</v>
      </c>
      <c r="H21" s="43">
        <v>21.62</v>
      </c>
      <c r="I21" s="43">
        <v>8.0299999999999994</v>
      </c>
      <c r="J21" s="27" t="s">
        <v>8</v>
      </c>
      <c r="K21" s="27" t="s">
        <v>8</v>
      </c>
      <c r="L21" s="27" t="s">
        <v>8</v>
      </c>
      <c r="M21" s="27" t="s">
        <v>8</v>
      </c>
      <c r="N21" s="27" t="s">
        <v>8</v>
      </c>
      <c r="O21" s="27" t="s">
        <v>8</v>
      </c>
      <c r="P21" s="43">
        <v>0.45</v>
      </c>
      <c r="Q21" s="43">
        <v>10.29</v>
      </c>
      <c r="R21" s="41"/>
      <c r="S21" s="41"/>
      <c r="T21" s="41"/>
      <c r="U21" s="41"/>
    </row>
    <row r="22" spans="1:21" customFormat="1">
      <c r="A22" s="42" t="s">
        <v>506</v>
      </c>
      <c r="B22" s="43">
        <v>5.74</v>
      </c>
      <c r="C22" s="43">
        <v>7.08</v>
      </c>
      <c r="D22" s="43">
        <v>12.82</v>
      </c>
      <c r="E22" s="43">
        <v>5.0999999999999996</v>
      </c>
      <c r="F22" s="43">
        <v>2.04</v>
      </c>
      <c r="G22" s="43">
        <v>56.43</v>
      </c>
      <c r="H22" s="43">
        <v>21.25</v>
      </c>
      <c r="I22" s="43">
        <v>7.86</v>
      </c>
      <c r="J22" s="27" t="s">
        <v>8</v>
      </c>
      <c r="K22" s="27" t="s">
        <v>8</v>
      </c>
      <c r="L22" s="27" t="s">
        <v>8</v>
      </c>
      <c r="M22" s="27" t="s">
        <v>8</v>
      </c>
      <c r="N22" s="27" t="s">
        <v>8</v>
      </c>
      <c r="O22" s="27" t="s">
        <v>8</v>
      </c>
      <c r="P22" s="43">
        <v>0.45</v>
      </c>
      <c r="Q22" s="43">
        <v>10.1</v>
      </c>
      <c r="R22" s="41"/>
      <c r="S22" s="41"/>
      <c r="T22" s="41"/>
      <c r="U22" s="41"/>
    </row>
    <row r="23" spans="1:21" customFormat="1">
      <c r="A23" s="42" t="s">
        <v>507</v>
      </c>
      <c r="B23" s="43">
        <v>3.63</v>
      </c>
      <c r="C23" s="43">
        <v>6.42</v>
      </c>
      <c r="D23" s="43">
        <v>10.050000000000001</v>
      </c>
      <c r="E23" s="43">
        <v>5.24</v>
      </c>
      <c r="F23" s="43">
        <v>2.4700000000000002</v>
      </c>
      <c r="G23" s="43">
        <v>52.6</v>
      </c>
      <c r="H23" s="43">
        <v>20.04</v>
      </c>
      <c r="I23" s="43">
        <v>7.76</v>
      </c>
      <c r="J23" s="27" t="s">
        <v>8</v>
      </c>
      <c r="K23" s="27" t="s">
        <v>8</v>
      </c>
      <c r="L23" s="27" t="s">
        <v>8</v>
      </c>
      <c r="M23" s="27" t="s">
        <v>8</v>
      </c>
      <c r="N23" s="27" t="s">
        <v>8</v>
      </c>
      <c r="O23" s="27" t="s">
        <v>8</v>
      </c>
      <c r="P23" s="43">
        <v>0.38</v>
      </c>
      <c r="Q23" s="43">
        <v>10.41</v>
      </c>
      <c r="R23" s="41"/>
      <c r="S23" s="41"/>
      <c r="T23" s="41"/>
      <c r="U23" s="41"/>
    </row>
    <row r="24" spans="1:21" customFormat="1">
      <c r="A24" s="42" t="s">
        <v>508</v>
      </c>
      <c r="B24" s="43">
        <v>2.83</v>
      </c>
      <c r="C24" s="43">
        <v>5.74</v>
      </c>
      <c r="D24" s="43">
        <v>8.57</v>
      </c>
      <c r="E24" s="43">
        <v>5.29</v>
      </c>
      <c r="F24" s="43">
        <v>2.1</v>
      </c>
      <c r="G24" s="43">
        <v>52.06</v>
      </c>
      <c r="H24" s="43">
        <v>20.04</v>
      </c>
      <c r="I24" s="43">
        <v>7.6</v>
      </c>
      <c r="J24" s="27" t="s">
        <v>8</v>
      </c>
      <c r="K24" s="27" t="s">
        <v>8</v>
      </c>
      <c r="L24" s="27" t="s">
        <v>8</v>
      </c>
      <c r="M24" s="27" t="s">
        <v>8</v>
      </c>
      <c r="N24" s="27" t="s">
        <v>8</v>
      </c>
      <c r="O24" s="27" t="s">
        <v>8</v>
      </c>
      <c r="P24" s="43">
        <v>0.37</v>
      </c>
      <c r="Q24" s="43">
        <v>10.28</v>
      </c>
      <c r="R24" s="41"/>
      <c r="S24" s="41"/>
      <c r="T24" s="41"/>
      <c r="U24" s="41"/>
    </row>
    <row r="25" spans="1:21" customFormat="1">
      <c r="A25" s="42" t="s">
        <v>509</v>
      </c>
      <c r="B25" s="43">
        <v>2.61</v>
      </c>
      <c r="C25" s="43">
        <v>5.38</v>
      </c>
      <c r="D25" s="43">
        <v>7.95</v>
      </c>
      <c r="E25" s="43">
        <v>5.41</v>
      </c>
      <c r="F25" s="43">
        <v>2.1</v>
      </c>
      <c r="G25" s="43">
        <v>41.33</v>
      </c>
      <c r="H25" s="43">
        <v>19.47</v>
      </c>
      <c r="I25" s="43">
        <v>7.39</v>
      </c>
      <c r="J25" s="27" t="s">
        <v>8</v>
      </c>
      <c r="K25" s="27" t="s">
        <v>8</v>
      </c>
      <c r="L25" s="27" t="s">
        <v>8</v>
      </c>
      <c r="M25" s="27" t="s">
        <v>8</v>
      </c>
      <c r="N25" s="27" t="s">
        <v>8</v>
      </c>
      <c r="O25" s="27" t="s">
        <v>8</v>
      </c>
      <c r="P25" s="43">
        <v>0.34</v>
      </c>
      <c r="Q25" s="43">
        <v>10.01</v>
      </c>
      <c r="R25" s="41"/>
      <c r="S25" s="41"/>
      <c r="T25" s="41"/>
      <c r="U25" s="41"/>
    </row>
    <row r="26" spans="1:21" customFormat="1">
      <c r="A26" s="42" t="s">
        <v>510</v>
      </c>
      <c r="B26" s="43">
        <v>3.04</v>
      </c>
      <c r="C26" s="43">
        <v>5.21</v>
      </c>
      <c r="D26" s="43">
        <v>7.95</v>
      </c>
      <c r="E26" s="43">
        <v>5.71</v>
      </c>
      <c r="F26" s="43">
        <v>2</v>
      </c>
      <c r="G26" s="43">
        <v>41.33</v>
      </c>
      <c r="H26" s="43">
        <v>18.57</v>
      </c>
      <c r="I26" s="43">
        <v>7.04</v>
      </c>
      <c r="J26" s="27" t="s">
        <v>8</v>
      </c>
      <c r="K26" s="27" t="s">
        <v>8</v>
      </c>
      <c r="L26" s="27" t="s">
        <v>8</v>
      </c>
      <c r="M26" s="27" t="s">
        <v>8</v>
      </c>
      <c r="N26" s="27" t="s">
        <v>8</v>
      </c>
      <c r="O26" s="27" t="s">
        <v>8</v>
      </c>
      <c r="P26" s="43">
        <v>0.33</v>
      </c>
      <c r="Q26" s="43">
        <v>10.26</v>
      </c>
      <c r="R26" s="41"/>
      <c r="S26" s="41"/>
      <c r="T26" s="41"/>
      <c r="U26" s="41"/>
    </row>
    <row r="27" spans="1:21" customFormat="1">
      <c r="A27" s="42" t="s">
        <v>511</v>
      </c>
      <c r="B27" s="43">
        <v>3.59</v>
      </c>
      <c r="C27" s="43">
        <v>4.92</v>
      </c>
      <c r="D27" s="43">
        <v>8.51</v>
      </c>
      <c r="E27" s="43">
        <v>4.5999999999999996</v>
      </c>
      <c r="F27" s="43">
        <v>2</v>
      </c>
      <c r="G27" s="43">
        <v>40.85</v>
      </c>
      <c r="H27" s="43">
        <v>20.09</v>
      </c>
      <c r="I27" s="43">
        <v>6.76</v>
      </c>
      <c r="J27" s="27" t="s">
        <v>8</v>
      </c>
      <c r="K27" s="27" t="s">
        <v>8</v>
      </c>
      <c r="L27" s="27" t="s">
        <v>8</v>
      </c>
      <c r="M27" s="27" t="s">
        <v>8</v>
      </c>
      <c r="N27" s="27" t="s">
        <v>8</v>
      </c>
      <c r="O27" s="27" t="s">
        <v>8</v>
      </c>
      <c r="P27" s="43">
        <v>0.26</v>
      </c>
      <c r="Q27" s="43">
        <v>13.11</v>
      </c>
      <c r="R27" s="41"/>
      <c r="S27" s="41"/>
      <c r="T27" s="41"/>
      <c r="U27" s="41"/>
    </row>
    <row r="28" spans="1:21" customFormat="1">
      <c r="A28" s="42" t="s">
        <v>512</v>
      </c>
      <c r="B28" s="43">
        <v>4.03</v>
      </c>
      <c r="C28" s="43">
        <v>5</v>
      </c>
      <c r="D28" s="43">
        <v>8.91</v>
      </c>
      <c r="E28" s="43">
        <v>4.83</v>
      </c>
      <c r="F28" s="43">
        <v>2</v>
      </c>
      <c r="G28" s="43">
        <v>36.11</v>
      </c>
      <c r="H28" s="43">
        <v>21.37</v>
      </c>
      <c r="I28" s="43">
        <v>6.53</v>
      </c>
      <c r="J28" s="27" t="s">
        <v>8</v>
      </c>
      <c r="K28" s="27" t="s">
        <v>8</v>
      </c>
      <c r="L28" s="27" t="s">
        <v>8</v>
      </c>
      <c r="M28" s="27" t="s">
        <v>8</v>
      </c>
      <c r="N28" s="27" t="s">
        <v>8</v>
      </c>
      <c r="O28" s="27" t="s">
        <v>8</v>
      </c>
      <c r="P28" s="43">
        <v>0.27</v>
      </c>
      <c r="Q28" s="43">
        <v>11.11</v>
      </c>
      <c r="R28" s="41"/>
      <c r="S28" s="41"/>
      <c r="T28" s="41"/>
      <c r="U28" s="41"/>
    </row>
    <row r="29" spans="1:21" customFormat="1">
      <c r="A29" s="42" t="s">
        <v>513</v>
      </c>
      <c r="B29" s="43">
        <v>4.51</v>
      </c>
      <c r="C29" s="43">
        <v>5.07</v>
      </c>
      <c r="D29" s="43">
        <v>9.58</v>
      </c>
      <c r="E29" s="43">
        <v>4.96</v>
      </c>
      <c r="F29" s="43">
        <v>2.0499999999999998</v>
      </c>
      <c r="G29" s="43">
        <v>38.659999999999997</v>
      </c>
      <c r="H29" s="43">
        <v>21.37</v>
      </c>
      <c r="I29" s="43">
        <v>6.29</v>
      </c>
      <c r="J29" s="27" t="s">
        <v>8</v>
      </c>
      <c r="K29" s="27" t="s">
        <v>8</v>
      </c>
      <c r="L29" s="27" t="s">
        <v>8</v>
      </c>
      <c r="M29" s="27" t="s">
        <v>8</v>
      </c>
      <c r="N29" s="27" t="s">
        <v>8</v>
      </c>
      <c r="O29" s="27" t="s">
        <v>8</v>
      </c>
      <c r="P29" s="43">
        <v>0.27</v>
      </c>
      <c r="Q29" s="43">
        <v>11.28</v>
      </c>
      <c r="R29" s="41"/>
      <c r="S29" s="41"/>
      <c r="T29" s="41"/>
      <c r="U29" s="41"/>
    </row>
    <row r="30" spans="1:21" customFormat="1">
      <c r="A30" s="42" t="s">
        <v>514</v>
      </c>
      <c r="B30" s="43">
        <v>4.97</v>
      </c>
      <c r="C30" s="43">
        <v>5.0199999999999996</v>
      </c>
      <c r="D30" s="43">
        <v>9.99</v>
      </c>
      <c r="E30" s="43">
        <v>4.96</v>
      </c>
      <c r="F30" s="43">
        <v>2</v>
      </c>
      <c r="G30" s="43">
        <v>38.659999999999997</v>
      </c>
      <c r="H30" s="43">
        <v>20.73</v>
      </c>
      <c r="I30" s="43">
        <v>6.24</v>
      </c>
      <c r="J30" s="27" t="s">
        <v>8</v>
      </c>
      <c r="K30" s="27" t="s">
        <v>8</v>
      </c>
      <c r="L30" s="27" t="s">
        <v>8</v>
      </c>
      <c r="M30" s="27" t="s">
        <v>8</v>
      </c>
      <c r="N30" s="27" t="s">
        <v>8</v>
      </c>
      <c r="O30" s="27" t="s">
        <v>8</v>
      </c>
      <c r="P30" s="43">
        <v>0.28000000000000003</v>
      </c>
      <c r="Q30" s="43">
        <v>13.12</v>
      </c>
      <c r="R30" s="41"/>
      <c r="S30" s="41"/>
      <c r="T30" s="41"/>
      <c r="U30" s="41"/>
    </row>
    <row r="31" spans="1:21" customFormat="1">
      <c r="A31" s="42" t="s">
        <v>515</v>
      </c>
      <c r="B31" s="43">
        <v>5.03</v>
      </c>
      <c r="C31" s="43">
        <v>5.26</v>
      </c>
      <c r="D31" s="43">
        <v>10.24</v>
      </c>
      <c r="E31" s="43">
        <v>5.49</v>
      </c>
      <c r="F31" s="43">
        <v>2</v>
      </c>
      <c r="G31" s="43">
        <v>37.29</v>
      </c>
      <c r="H31" s="43">
        <v>18.920000000000002</v>
      </c>
      <c r="I31" s="43">
        <v>6.28</v>
      </c>
      <c r="J31" s="27" t="s">
        <v>8</v>
      </c>
      <c r="K31" s="27" t="s">
        <v>8</v>
      </c>
      <c r="L31" s="27" t="s">
        <v>8</v>
      </c>
      <c r="M31" s="27" t="s">
        <v>8</v>
      </c>
      <c r="N31" s="27" t="s">
        <v>8</v>
      </c>
      <c r="O31" s="27" t="s">
        <v>8</v>
      </c>
      <c r="P31" s="43">
        <v>0.31</v>
      </c>
      <c r="Q31" s="43">
        <v>19.190000000000001</v>
      </c>
      <c r="R31" s="41"/>
      <c r="S31" s="41"/>
      <c r="T31" s="41"/>
      <c r="U31" s="41"/>
    </row>
    <row r="32" spans="1:21" customFormat="1">
      <c r="A32" s="42" t="s">
        <v>516</v>
      </c>
      <c r="B32" s="43">
        <v>4.91</v>
      </c>
      <c r="C32" s="43">
        <v>5.24</v>
      </c>
      <c r="D32" s="43">
        <v>10.14</v>
      </c>
      <c r="E32" s="43">
        <v>6.04</v>
      </c>
      <c r="F32" s="43">
        <v>2</v>
      </c>
      <c r="G32" s="43">
        <v>37.29</v>
      </c>
      <c r="H32" s="43">
        <v>18.5</v>
      </c>
      <c r="I32" s="43">
        <v>6.05</v>
      </c>
      <c r="J32" s="27" t="s">
        <v>8</v>
      </c>
      <c r="K32" s="27" t="s">
        <v>8</v>
      </c>
      <c r="L32" s="27" t="s">
        <v>8</v>
      </c>
      <c r="M32" s="27" t="s">
        <v>8</v>
      </c>
      <c r="N32" s="27" t="s">
        <v>8</v>
      </c>
      <c r="O32" s="27" t="s">
        <v>8</v>
      </c>
      <c r="P32" s="43">
        <v>0.31</v>
      </c>
      <c r="Q32" s="43">
        <v>12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2.61</v>
      </c>
      <c r="C34" s="18">
        <f t="shared" si="0"/>
        <v>4.92</v>
      </c>
      <c r="D34" s="18">
        <f t="shared" si="0"/>
        <v>7.95</v>
      </c>
      <c r="E34" s="18">
        <f t="shared" si="0"/>
        <v>4.58</v>
      </c>
      <c r="F34" s="18">
        <f t="shared" si="0"/>
        <v>2</v>
      </c>
      <c r="G34" s="18">
        <f t="shared" si="0"/>
        <v>24.64</v>
      </c>
      <c r="H34" s="18">
        <f t="shared" si="0"/>
        <v>9.36</v>
      </c>
      <c r="I34" s="18">
        <f t="shared" si="0"/>
        <v>5.0199999999999996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0.26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15.69</v>
      </c>
      <c r="C35" s="3">
        <f t="shared" si="1"/>
        <v>7.19</v>
      </c>
      <c r="D35" s="3">
        <f t="shared" si="1"/>
        <v>22.41</v>
      </c>
      <c r="E35" s="3">
        <f t="shared" si="1"/>
        <v>6.04</v>
      </c>
      <c r="F35" s="3">
        <f t="shared" si="1"/>
        <v>2.52</v>
      </c>
      <c r="G35" s="3">
        <f t="shared" si="1"/>
        <v>59.81</v>
      </c>
      <c r="H35" s="3">
        <f t="shared" si="1"/>
        <v>21.62</v>
      </c>
      <c r="I35" s="3">
        <f t="shared" si="1"/>
        <v>8.0299999999999994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0.45</v>
      </c>
      <c r="Q35" s="3">
        <f t="shared" si="1"/>
        <v>19.190000000000001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7.4229166666666666</v>
      </c>
      <c r="C36" s="18">
        <f t="shared" si="2"/>
        <v>5.88375</v>
      </c>
      <c r="D36" s="18">
        <f t="shared" si="2"/>
        <v>13.243333333333332</v>
      </c>
      <c r="E36" s="18">
        <f t="shared" si="2"/>
        <v>5.1637499999999985</v>
      </c>
      <c r="F36" s="18">
        <f t="shared" si="2"/>
        <v>2.0562499999999999</v>
      </c>
      <c r="G36" s="18">
        <f t="shared" si="2"/>
        <v>41.340833333333329</v>
      </c>
      <c r="H36" s="18">
        <f t="shared" si="2"/>
        <v>17.311666666666664</v>
      </c>
      <c r="I36" s="18">
        <f t="shared" si="2"/>
        <v>6.4716666666666676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>
        <f t="shared" si="2"/>
        <v>0.34541666666666671</v>
      </c>
      <c r="Q36" s="18">
        <f t="shared" si="2"/>
        <v>11.393333333333333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4.3648402323135711</v>
      </c>
      <c r="C37" s="18">
        <f t="shared" ref="C37:Q37" si="3">STDEV(C9:C32)</f>
        <v>0.85261649720394861</v>
      </c>
      <c r="D37" s="18">
        <f t="shared" si="3"/>
        <v>5.0101311851840507</v>
      </c>
      <c r="E37" s="18">
        <f t="shared" si="3"/>
        <v>0.38558608693102842</v>
      </c>
      <c r="F37" s="18">
        <f t="shared" si="3"/>
        <v>0.13865228639203592</v>
      </c>
      <c r="G37" s="18">
        <f t="shared" si="3"/>
        <v>12.15909104035071</v>
      </c>
      <c r="H37" s="18">
        <f t="shared" si="3"/>
        <v>4.3604025209752884</v>
      </c>
      <c r="I37" s="18">
        <f t="shared" si="3"/>
        <v>1.0631645406895851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>
        <f t="shared" si="3"/>
        <v>5.2001602539408845E-2</v>
      </c>
      <c r="Q37" s="18">
        <f t="shared" si="3"/>
        <v>1.9992556585904164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>COUNT(J9:J32)+24</f>
        <v>24</v>
      </c>
      <c r="K38" s="37">
        <f t="shared" ref="K38:O38" si="5">COUNT(K9:K32)+24</f>
        <v>24</v>
      </c>
      <c r="L38" s="37">
        <f t="shared" si="5"/>
        <v>24</v>
      </c>
      <c r="M38" s="37">
        <f t="shared" si="5"/>
        <v>24</v>
      </c>
      <c r="N38" s="37">
        <f t="shared" si="5"/>
        <v>24</v>
      </c>
      <c r="O38" s="37">
        <f t="shared" si="5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6">IF(C38&gt;=22,"&gt;90%",IF(C38&lt;=22,"&lt;90%"))</f>
        <v>&gt;90%</v>
      </c>
      <c r="D39" s="3" t="str">
        <f t="shared" si="6"/>
        <v>&gt;90%</v>
      </c>
      <c r="E39" s="3" t="str">
        <f t="shared" si="6"/>
        <v>&gt;90%</v>
      </c>
      <c r="F39" s="3" t="str">
        <f t="shared" si="6"/>
        <v>&gt;90%</v>
      </c>
      <c r="G39" s="3" t="str">
        <f t="shared" si="6"/>
        <v>&gt;90%</v>
      </c>
      <c r="H39" s="3" t="str">
        <f t="shared" si="6"/>
        <v>&gt;90%</v>
      </c>
      <c r="I39" s="3" t="str">
        <f t="shared" si="6"/>
        <v>&gt;90%</v>
      </c>
      <c r="J39" s="3" t="str">
        <f t="shared" si="6"/>
        <v>&gt;90%</v>
      </c>
      <c r="K39" s="3" t="str">
        <f t="shared" si="6"/>
        <v>&gt;90%</v>
      </c>
      <c r="L39" s="3" t="str">
        <f t="shared" si="6"/>
        <v>&gt;90%</v>
      </c>
      <c r="M39" s="3" t="str">
        <f t="shared" si="6"/>
        <v>&gt;90%</v>
      </c>
      <c r="N39" s="3" t="str">
        <f t="shared" si="6"/>
        <v>&gt;90%</v>
      </c>
      <c r="O39" s="3" t="str">
        <f t="shared" si="6"/>
        <v>&gt;90%</v>
      </c>
      <c r="P39" s="3" t="str">
        <f t="shared" si="6"/>
        <v>&gt;90%</v>
      </c>
      <c r="Q39" s="3" t="str">
        <f t="shared" si="6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7">IF(C38&gt;=22,"OK",IF(C38&lt;=22,"LESS"))</f>
        <v>OK</v>
      </c>
      <c r="D40" s="3" t="str">
        <f t="shared" si="7"/>
        <v>OK</v>
      </c>
      <c r="E40" s="3" t="str">
        <f t="shared" si="7"/>
        <v>OK</v>
      </c>
      <c r="F40" s="3" t="str">
        <f t="shared" si="7"/>
        <v>OK</v>
      </c>
      <c r="G40" s="3" t="str">
        <f t="shared" si="7"/>
        <v>OK</v>
      </c>
      <c r="H40" s="3" t="str">
        <f t="shared" si="7"/>
        <v>OK</v>
      </c>
      <c r="I40" s="3" t="str">
        <f t="shared" si="7"/>
        <v>OK</v>
      </c>
      <c r="J40" s="3" t="str">
        <f t="shared" si="7"/>
        <v>OK</v>
      </c>
      <c r="K40" s="3" t="str">
        <f t="shared" si="7"/>
        <v>OK</v>
      </c>
      <c r="L40" s="3" t="str">
        <f t="shared" si="7"/>
        <v>OK</v>
      </c>
      <c r="M40" s="3" t="str">
        <f t="shared" si="7"/>
        <v>OK</v>
      </c>
      <c r="N40" s="3" t="str">
        <f t="shared" si="7"/>
        <v>OK</v>
      </c>
      <c r="O40" s="3" t="str">
        <f t="shared" si="7"/>
        <v>OK</v>
      </c>
      <c r="P40" s="3" t="str">
        <f t="shared" si="7"/>
        <v>OK</v>
      </c>
      <c r="Q40" s="3" t="str">
        <f t="shared" si="7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T33" sqref="T3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20/09/2025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517</v>
      </c>
      <c r="B9" s="43">
        <v>4.51</v>
      </c>
      <c r="C9" s="43">
        <v>5.16</v>
      </c>
      <c r="D9" s="43">
        <v>9.6199999999999992</v>
      </c>
      <c r="E9" s="43">
        <v>6.07</v>
      </c>
      <c r="F9" s="43">
        <v>2</v>
      </c>
      <c r="G9" s="43">
        <v>32.85</v>
      </c>
      <c r="H9" s="43">
        <v>15.81</v>
      </c>
      <c r="I9" s="43">
        <v>5.65</v>
      </c>
      <c r="J9" s="27" t="s">
        <v>8</v>
      </c>
      <c r="K9" s="27" t="s">
        <v>8</v>
      </c>
      <c r="L9" s="27" t="s">
        <v>8</v>
      </c>
      <c r="M9" s="27" t="s">
        <v>8</v>
      </c>
      <c r="N9" s="27" t="s">
        <v>8</v>
      </c>
      <c r="O9" s="27" t="s">
        <v>8</v>
      </c>
      <c r="P9" s="43">
        <v>0.3</v>
      </c>
      <c r="Q9" s="43">
        <v>12.27</v>
      </c>
      <c r="R9" s="41"/>
      <c r="S9" s="41"/>
      <c r="T9" s="41"/>
      <c r="U9" s="41"/>
    </row>
    <row r="10" spans="1:21" customFormat="1">
      <c r="A10" s="42" t="s">
        <v>518</v>
      </c>
      <c r="B10" s="43">
        <v>4.51</v>
      </c>
      <c r="C10" s="43">
        <v>5.0199999999999996</v>
      </c>
      <c r="D10" s="43">
        <v>9.52</v>
      </c>
      <c r="E10" s="43">
        <v>6.23</v>
      </c>
      <c r="F10" s="43">
        <v>2</v>
      </c>
      <c r="G10" s="43">
        <v>32.85</v>
      </c>
      <c r="H10" s="43">
        <v>15.53</v>
      </c>
      <c r="I10" s="43">
        <v>5.47</v>
      </c>
      <c r="J10" s="27" t="s">
        <v>8</v>
      </c>
      <c r="K10" s="27" t="s">
        <v>8</v>
      </c>
      <c r="L10" s="27" t="s">
        <v>8</v>
      </c>
      <c r="M10" s="27" t="s">
        <v>8</v>
      </c>
      <c r="N10" s="27" t="s">
        <v>8</v>
      </c>
      <c r="O10" s="27" t="s">
        <v>8</v>
      </c>
      <c r="P10" s="43">
        <v>0.28000000000000003</v>
      </c>
      <c r="Q10" s="43">
        <v>18.43</v>
      </c>
      <c r="R10" s="41"/>
      <c r="S10" s="41"/>
      <c r="T10" s="41"/>
      <c r="U10" s="41"/>
    </row>
    <row r="11" spans="1:21" customFormat="1">
      <c r="A11" s="42" t="s">
        <v>519</v>
      </c>
      <c r="B11" s="43">
        <v>4.49</v>
      </c>
      <c r="C11" s="43">
        <v>4.97</v>
      </c>
      <c r="D11" s="43">
        <v>9.42</v>
      </c>
      <c r="E11" s="43">
        <v>5.26</v>
      </c>
      <c r="F11" s="43">
        <v>2</v>
      </c>
      <c r="G11" s="43">
        <v>30.57</v>
      </c>
      <c r="H11" s="43">
        <v>17.46</v>
      </c>
      <c r="I11" s="43">
        <v>5.2</v>
      </c>
      <c r="J11" s="27" t="s">
        <v>8</v>
      </c>
      <c r="K11" s="27" t="s">
        <v>8</v>
      </c>
      <c r="L11" s="27" t="s">
        <v>8</v>
      </c>
      <c r="M11" s="27" t="s">
        <v>8</v>
      </c>
      <c r="N11" s="27" t="s">
        <v>8</v>
      </c>
      <c r="O11" s="27" t="s">
        <v>8</v>
      </c>
      <c r="P11" s="43">
        <v>0.26</v>
      </c>
      <c r="Q11" s="43">
        <v>21.61</v>
      </c>
      <c r="R11" s="41"/>
      <c r="S11" s="41"/>
      <c r="T11" s="41"/>
      <c r="U11" s="41"/>
    </row>
    <row r="12" spans="1:21" customFormat="1">
      <c r="A12" s="42" t="s">
        <v>520</v>
      </c>
      <c r="B12" s="43">
        <v>4.8899999999999997</v>
      </c>
      <c r="C12" s="43">
        <v>4.84</v>
      </c>
      <c r="D12" s="43">
        <v>9.3800000000000008</v>
      </c>
      <c r="E12" s="43">
        <v>5.64</v>
      </c>
      <c r="F12" s="43">
        <v>2</v>
      </c>
      <c r="G12" s="43">
        <v>28.9</v>
      </c>
      <c r="H12" s="43">
        <v>17.46</v>
      </c>
      <c r="I12" s="43">
        <v>5.0199999999999996</v>
      </c>
      <c r="J12" s="27" t="s">
        <v>8</v>
      </c>
      <c r="K12" s="27" t="s">
        <v>8</v>
      </c>
      <c r="L12" s="27" t="s">
        <v>8</v>
      </c>
      <c r="M12" s="27" t="s">
        <v>8</v>
      </c>
      <c r="N12" s="27" t="s">
        <v>8</v>
      </c>
      <c r="O12" s="27" t="s">
        <v>8</v>
      </c>
      <c r="P12" s="43">
        <v>0.24</v>
      </c>
      <c r="Q12" s="43">
        <v>11.33</v>
      </c>
      <c r="R12" s="41"/>
      <c r="S12" s="41"/>
      <c r="T12" s="41"/>
      <c r="U12" s="41"/>
    </row>
    <row r="13" spans="1:21" customFormat="1">
      <c r="A13" s="42" t="s">
        <v>521</v>
      </c>
      <c r="B13" s="43">
        <v>5.31</v>
      </c>
      <c r="C13" s="43">
        <v>4.78</v>
      </c>
      <c r="D13" s="43">
        <v>10.07</v>
      </c>
      <c r="E13" s="43">
        <v>5</v>
      </c>
      <c r="F13" s="43">
        <v>2</v>
      </c>
      <c r="G13" s="43">
        <v>23.23</v>
      </c>
      <c r="H13" s="43">
        <v>16.309999999999999</v>
      </c>
      <c r="I13" s="43">
        <v>5.01</v>
      </c>
      <c r="J13" s="27" t="s">
        <v>8</v>
      </c>
      <c r="K13" s="27" t="s">
        <v>8</v>
      </c>
      <c r="L13" s="27" t="s">
        <v>8</v>
      </c>
      <c r="M13" s="27" t="s">
        <v>8</v>
      </c>
      <c r="N13" s="27" t="s">
        <v>8</v>
      </c>
      <c r="O13" s="27" t="s">
        <v>8</v>
      </c>
      <c r="P13" s="43">
        <v>0.21</v>
      </c>
      <c r="Q13" s="43">
        <v>10.28</v>
      </c>
      <c r="R13" s="41"/>
      <c r="S13" s="41"/>
      <c r="T13" s="41"/>
      <c r="U13" s="41"/>
    </row>
    <row r="14" spans="1:21" customFormat="1">
      <c r="A14" s="42" t="s">
        <v>522</v>
      </c>
      <c r="B14" s="43">
        <v>5.65</v>
      </c>
      <c r="C14" s="43">
        <v>4.9000000000000004</v>
      </c>
      <c r="D14" s="43">
        <v>10.55</v>
      </c>
      <c r="E14" s="43">
        <v>5.04</v>
      </c>
      <c r="F14" s="43">
        <v>2.0299999999999998</v>
      </c>
      <c r="G14" s="43">
        <v>22.78</v>
      </c>
      <c r="H14" s="43">
        <v>14.14</v>
      </c>
      <c r="I14" s="43">
        <v>5.0199999999999996</v>
      </c>
      <c r="J14" s="27" t="s">
        <v>8</v>
      </c>
      <c r="K14" s="27" t="s">
        <v>8</v>
      </c>
      <c r="L14" s="27" t="s">
        <v>8</v>
      </c>
      <c r="M14" s="27" t="s">
        <v>8</v>
      </c>
      <c r="N14" s="27" t="s">
        <v>8</v>
      </c>
      <c r="O14" s="27" t="s">
        <v>8</v>
      </c>
      <c r="P14" s="43">
        <v>0.2</v>
      </c>
      <c r="Q14" s="43">
        <v>10</v>
      </c>
      <c r="R14" s="41"/>
      <c r="S14" s="41"/>
      <c r="T14" s="41"/>
      <c r="U14" s="41"/>
    </row>
    <row r="15" spans="1:21" customFormat="1">
      <c r="A15" s="42" t="s">
        <v>523</v>
      </c>
      <c r="B15" s="43">
        <v>5.94</v>
      </c>
      <c r="C15" s="43">
        <v>4.95</v>
      </c>
      <c r="D15" s="43">
        <v>10.83</v>
      </c>
      <c r="E15" s="43">
        <v>4.82</v>
      </c>
      <c r="F15" s="43">
        <v>2</v>
      </c>
      <c r="G15" s="43">
        <v>23.59</v>
      </c>
      <c r="H15" s="43">
        <v>14.97</v>
      </c>
      <c r="I15" s="43">
        <v>5.01</v>
      </c>
      <c r="J15" s="27" t="s">
        <v>8</v>
      </c>
      <c r="K15" s="27" t="s">
        <v>8</v>
      </c>
      <c r="L15" s="27" t="s">
        <v>8</v>
      </c>
      <c r="M15" s="27" t="s">
        <v>8</v>
      </c>
      <c r="N15" s="27" t="s">
        <v>8</v>
      </c>
      <c r="O15" s="27" t="s">
        <v>8</v>
      </c>
      <c r="P15" s="43">
        <v>0.2</v>
      </c>
      <c r="Q15" s="43">
        <v>16.71</v>
      </c>
      <c r="R15" s="41"/>
      <c r="S15" s="41"/>
      <c r="T15" s="41"/>
      <c r="U15" s="41"/>
    </row>
    <row r="16" spans="1:21" customFormat="1">
      <c r="A16" s="42" t="s">
        <v>524</v>
      </c>
      <c r="B16" s="43">
        <v>6.03</v>
      </c>
      <c r="C16" s="43">
        <v>5.05</v>
      </c>
      <c r="D16" s="43">
        <v>11.03</v>
      </c>
      <c r="E16" s="43">
        <v>4.8</v>
      </c>
      <c r="F16" s="43">
        <v>2</v>
      </c>
      <c r="G16" s="43">
        <v>24.91</v>
      </c>
      <c r="H16" s="43">
        <v>14.97</v>
      </c>
      <c r="I16" s="43">
        <v>5.26</v>
      </c>
      <c r="J16" s="27" t="s">
        <v>8</v>
      </c>
      <c r="K16" s="27" t="s">
        <v>8</v>
      </c>
      <c r="L16" s="27" t="s">
        <v>8</v>
      </c>
      <c r="M16" s="27" t="s">
        <v>8</v>
      </c>
      <c r="N16" s="27" t="s">
        <v>8</v>
      </c>
      <c r="O16" s="27" t="s">
        <v>8</v>
      </c>
      <c r="P16" s="43">
        <v>0.22</v>
      </c>
      <c r="Q16" s="43">
        <v>20.81</v>
      </c>
      <c r="R16" s="41"/>
      <c r="S16" s="41"/>
      <c r="T16" s="41"/>
      <c r="U16" s="41"/>
    </row>
    <row r="17" spans="1:21" customFormat="1">
      <c r="A17" s="42" t="s">
        <v>525</v>
      </c>
      <c r="B17" s="43">
        <v>5.71</v>
      </c>
      <c r="C17" s="43">
        <v>5.7</v>
      </c>
      <c r="D17" s="43">
        <v>10.95</v>
      </c>
      <c r="E17" s="43">
        <v>4.59</v>
      </c>
      <c r="F17" s="43">
        <v>2</v>
      </c>
      <c r="G17" s="43">
        <v>29.42</v>
      </c>
      <c r="H17" s="43">
        <v>14.54</v>
      </c>
      <c r="I17" s="43">
        <v>5.36</v>
      </c>
      <c r="J17" s="27" t="s">
        <v>8</v>
      </c>
      <c r="K17" s="27" t="s">
        <v>8</v>
      </c>
      <c r="L17" s="27" t="s">
        <v>8</v>
      </c>
      <c r="M17" s="27" t="s">
        <v>8</v>
      </c>
      <c r="N17" s="27" t="s">
        <v>8</v>
      </c>
      <c r="O17" s="27" t="s">
        <v>8</v>
      </c>
      <c r="P17" s="43">
        <v>0.26</v>
      </c>
      <c r="Q17" s="43">
        <v>10.44</v>
      </c>
      <c r="R17" s="41"/>
      <c r="S17" s="41"/>
      <c r="T17" s="41"/>
      <c r="U17" s="41"/>
    </row>
    <row r="18" spans="1:21" customFormat="1">
      <c r="A18" s="42" t="s">
        <v>526</v>
      </c>
      <c r="B18" s="43">
        <v>4.8099999999999996</v>
      </c>
      <c r="C18" s="43">
        <v>6.01</v>
      </c>
      <c r="D18" s="43">
        <v>10.62</v>
      </c>
      <c r="E18" s="43">
        <v>5.08</v>
      </c>
      <c r="F18" s="43">
        <v>2.0099999999999998</v>
      </c>
      <c r="G18" s="43">
        <v>36.11</v>
      </c>
      <c r="H18" s="43">
        <v>16.78</v>
      </c>
      <c r="I18" s="43">
        <v>5.57</v>
      </c>
      <c r="J18" s="27" t="s">
        <v>8</v>
      </c>
      <c r="K18" s="27" t="s">
        <v>8</v>
      </c>
      <c r="L18" s="27" t="s">
        <v>8</v>
      </c>
      <c r="M18" s="27" t="s">
        <v>8</v>
      </c>
      <c r="N18" s="27" t="s">
        <v>8</v>
      </c>
      <c r="O18" s="27" t="s">
        <v>8</v>
      </c>
      <c r="P18" s="43">
        <v>0.28000000000000003</v>
      </c>
      <c r="Q18" s="43">
        <v>10</v>
      </c>
      <c r="R18" s="41"/>
      <c r="S18" s="41"/>
      <c r="T18" s="41"/>
      <c r="U18" s="41"/>
    </row>
    <row r="19" spans="1:21" customFormat="1">
      <c r="A19" s="42" t="s">
        <v>527</v>
      </c>
      <c r="B19" s="43">
        <v>3.63</v>
      </c>
      <c r="C19" s="43">
        <v>5.99</v>
      </c>
      <c r="D19" s="43">
        <v>9.6300000000000008</v>
      </c>
      <c r="E19" s="43">
        <v>5.69</v>
      </c>
      <c r="F19" s="43">
        <v>2.02</v>
      </c>
      <c r="G19" s="43">
        <v>36.11</v>
      </c>
      <c r="H19" s="43">
        <v>19.399999999999999</v>
      </c>
      <c r="I19" s="43">
        <v>5.52</v>
      </c>
      <c r="J19" s="27" t="s">
        <v>8</v>
      </c>
      <c r="K19" s="27" t="s">
        <v>8</v>
      </c>
      <c r="L19" s="27" t="s">
        <v>8</v>
      </c>
      <c r="M19" s="27" t="s">
        <v>8</v>
      </c>
      <c r="N19" s="27" t="s">
        <v>8</v>
      </c>
      <c r="O19" s="27" t="s">
        <v>8</v>
      </c>
      <c r="P19" s="43">
        <v>0.28000000000000003</v>
      </c>
      <c r="Q19" s="43">
        <v>10</v>
      </c>
      <c r="R19" s="41"/>
      <c r="S19" s="41"/>
      <c r="T19" s="41"/>
      <c r="U19" s="41"/>
    </row>
    <row r="20" spans="1:21" customFormat="1">
      <c r="A20" s="42" t="s">
        <v>528</v>
      </c>
      <c r="B20" s="43">
        <v>2.91</v>
      </c>
      <c r="C20" s="43">
        <v>5.88</v>
      </c>
      <c r="D20" s="43">
        <v>8.7799999999999994</v>
      </c>
      <c r="E20" s="43">
        <v>5.51</v>
      </c>
      <c r="F20" s="43">
        <v>2.0299999999999998</v>
      </c>
      <c r="G20" s="43">
        <v>40.22</v>
      </c>
      <c r="H20" s="43">
        <v>19.399999999999999</v>
      </c>
      <c r="I20" s="43">
        <v>5.4</v>
      </c>
      <c r="J20" s="27" t="s">
        <v>8</v>
      </c>
      <c r="K20" s="27" t="s">
        <v>8</v>
      </c>
      <c r="L20" s="27" t="s">
        <v>8</v>
      </c>
      <c r="M20" s="27" t="s">
        <v>8</v>
      </c>
      <c r="N20" s="27" t="s">
        <v>8</v>
      </c>
      <c r="O20" s="27" t="s">
        <v>8</v>
      </c>
      <c r="P20" s="43">
        <v>0.28000000000000003</v>
      </c>
      <c r="Q20" s="43">
        <v>10.93</v>
      </c>
      <c r="R20" s="41"/>
      <c r="S20" s="41"/>
      <c r="T20" s="41"/>
      <c r="U20" s="41"/>
    </row>
    <row r="21" spans="1:21" customFormat="1">
      <c r="A21" s="42" t="s">
        <v>529</v>
      </c>
      <c r="B21" s="43">
        <v>2.71</v>
      </c>
      <c r="C21" s="43">
        <v>5.76</v>
      </c>
      <c r="D21" s="43">
        <v>8.4700000000000006</v>
      </c>
      <c r="E21" s="43">
        <v>5.64</v>
      </c>
      <c r="F21" s="43">
        <v>2.0299999999999998</v>
      </c>
      <c r="G21" s="43">
        <v>44.39</v>
      </c>
      <c r="H21" s="43">
        <v>17.36</v>
      </c>
      <c r="I21" s="43">
        <v>5.16</v>
      </c>
      <c r="J21" s="27" t="s">
        <v>8</v>
      </c>
      <c r="K21" s="27" t="s">
        <v>8</v>
      </c>
      <c r="L21" s="27" t="s">
        <v>8</v>
      </c>
      <c r="M21" s="27" t="s">
        <v>8</v>
      </c>
      <c r="N21" s="27" t="s">
        <v>8</v>
      </c>
      <c r="O21" s="27" t="s">
        <v>8</v>
      </c>
      <c r="P21" s="43">
        <v>0.27</v>
      </c>
      <c r="Q21" s="43">
        <v>10.06</v>
      </c>
      <c r="R21" s="41"/>
      <c r="S21" s="41"/>
      <c r="T21" s="41"/>
      <c r="U21" s="41"/>
    </row>
    <row r="22" spans="1:21" customFormat="1">
      <c r="A22" s="42" t="s">
        <v>530</v>
      </c>
      <c r="B22" s="43">
        <v>2.63</v>
      </c>
      <c r="C22" s="43">
        <v>5.49</v>
      </c>
      <c r="D22" s="43">
        <v>8.02</v>
      </c>
      <c r="E22" s="43">
        <v>5.49</v>
      </c>
      <c r="F22" s="43">
        <v>2</v>
      </c>
      <c r="G22" s="43">
        <v>46.25</v>
      </c>
      <c r="H22" s="43">
        <v>23.01</v>
      </c>
      <c r="I22" s="43">
        <v>4.92</v>
      </c>
      <c r="J22" s="27" t="s">
        <v>8</v>
      </c>
      <c r="K22" s="27" t="s">
        <v>8</v>
      </c>
      <c r="L22" s="27" t="s">
        <v>8</v>
      </c>
      <c r="M22" s="27" t="s">
        <v>8</v>
      </c>
      <c r="N22" s="27" t="s">
        <v>8</v>
      </c>
      <c r="O22" s="27" t="s">
        <v>8</v>
      </c>
      <c r="P22" s="43">
        <v>0.24</v>
      </c>
      <c r="Q22" s="43">
        <v>11.07</v>
      </c>
      <c r="R22" s="41"/>
      <c r="S22" s="41"/>
      <c r="T22" s="41"/>
      <c r="U22" s="41"/>
    </row>
    <row r="23" spans="1:21" customFormat="1">
      <c r="A23" s="42" t="s">
        <v>531</v>
      </c>
      <c r="B23" s="43">
        <v>2.78</v>
      </c>
      <c r="C23" s="43">
        <v>5.26</v>
      </c>
      <c r="D23" s="43">
        <v>8.0399999999999991</v>
      </c>
      <c r="E23" s="43">
        <v>4.8899999999999997</v>
      </c>
      <c r="F23" s="43">
        <v>2.48</v>
      </c>
      <c r="G23" s="43">
        <v>46.25</v>
      </c>
      <c r="H23" s="43">
        <v>23.73</v>
      </c>
      <c r="I23" s="43">
        <v>5.07</v>
      </c>
      <c r="J23" s="27" t="s">
        <v>8</v>
      </c>
      <c r="K23" s="27" t="s">
        <v>8</v>
      </c>
      <c r="L23" s="27" t="s">
        <v>8</v>
      </c>
      <c r="M23" s="27" t="s">
        <v>8</v>
      </c>
      <c r="N23" s="27" t="s">
        <v>8</v>
      </c>
      <c r="O23" s="27" t="s">
        <v>8</v>
      </c>
      <c r="P23" s="43">
        <v>0.26</v>
      </c>
      <c r="Q23" s="43">
        <v>10.56</v>
      </c>
      <c r="R23" s="41"/>
      <c r="S23" s="41"/>
      <c r="T23" s="41"/>
      <c r="U23" s="41"/>
    </row>
    <row r="24" spans="1:21" customFormat="1">
      <c r="A24" s="42" t="s">
        <v>532</v>
      </c>
      <c r="B24" s="43">
        <v>3.16</v>
      </c>
      <c r="C24" s="43">
        <v>5.29</v>
      </c>
      <c r="D24" s="43">
        <v>8.4499999999999993</v>
      </c>
      <c r="E24" s="43">
        <v>5.25</v>
      </c>
      <c r="F24" s="43">
        <v>2.21</v>
      </c>
      <c r="G24" s="43">
        <v>44.43</v>
      </c>
      <c r="H24" s="43">
        <v>23.73</v>
      </c>
      <c r="I24" s="43">
        <v>5.05</v>
      </c>
      <c r="J24" s="27" t="s">
        <v>8</v>
      </c>
      <c r="K24" s="27" t="s">
        <v>8</v>
      </c>
      <c r="L24" s="27" t="s">
        <v>8</v>
      </c>
      <c r="M24" s="27" t="s">
        <v>8</v>
      </c>
      <c r="N24" s="27" t="s">
        <v>8</v>
      </c>
      <c r="O24" s="27" t="s">
        <v>8</v>
      </c>
      <c r="P24" s="43">
        <v>0.26</v>
      </c>
      <c r="Q24" s="43">
        <v>10.18</v>
      </c>
      <c r="R24" s="41"/>
      <c r="S24" s="41"/>
      <c r="T24" s="41"/>
      <c r="U24" s="41"/>
    </row>
    <row r="25" spans="1:21" customFormat="1">
      <c r="A25" s="42" t="s">
        <v>533</v>
      </c>
      <c r="B25" s="43">
        <v>3.37</v>
      </c>
      <c r="C25" s="43">
        <v>5.38</v>
      </c>
      <c r="D25" s="43">
        <v>8.75</v>
      </c>
      <c r="E25" s="43">
        <v>5.18</v>
      </c>
      <c r="F25" s="43">
        <v>2</v>
      </c>
      <c r="G25" s="43">
        <v>37.96</v>
      </c>
      <c r="H25" s="43">
        <v>25.24</v>
      </c>
      <c r="I25" s="43">
        <v>5.09</v>
      </c>
      <c r="J25" s="27" t="s">
        <v>8</v>
      </c>
      <c r="K25" s="27" t="s">
        <v>8</v>
      </c>
      <c r="L25" s="27" t="s">
        <v>8</v>
      </c>
      <c r="M25" s="27" t="s">
        <v>8</v>
      </c>
      <c r="N25" s="27" t="s">
        <v>8</v>
      </c>
      <c r="O25" s="27" t="s">
        <v>8</v>
      </c>
      <c r="P25" s="43">
        <v>0.26</v>
      </c>
      <c r="Q25" s="43">
        <v>11.58</v>
      </c>
      <c r="R25" s="41"/>
      <c r="S25" s="41"/>
      <c r="T25" s="41"/>
      <c r="U25" s="41"/>
    </row>
    <row r="26" spans="1:21" customFormat="1">
      <c r="A26" s="42" t="s">
        <v>534</v>
      </c>
      <c r="B26" s="43">
        <v>4.08</v>
      </c>
      <c r="C26" s="43">
        <v>5.96</v>
      </c>
      <c r="D26" s="43">
        <v>10.039999999999999</v>
      </c>
      <c r="E26" s="43">
        <v>4.9400000000000004</v>
      </c>
      <c r="F26" s="43">
        <v>2.0299999999999998</v>
      </c>
      <c r="G26" s="43">
        <v>65.63</v>
      </c>
      <c r="H26" s="43">
        <v>25.71</v>
      </c>
      <c r="I26" s="43">
        <v>5.28</v>
      </c>
      <c r="J26" s="27" t="s">
        <v>8</v>
      </c>
      <c r="K26" s="27" t="s">
        <v>8</v>
      </c>
      <c r="L26" s="27" t="s">
        <v>8</v>
      </c>
      <c r="M26" s="27" t="s">
        <v>8</v>
      </c>
      <c r="N26" s="27" t="s">
        <v>8</v>
      </c>
      <c r="O26" s="27" t="s">
        <v>8</v>
      </c>
      <c r="P26" s="43">
        <v>0.33</v>
      </c>
      <c r="Q26" s="43">
        <v>11.88</v>
      </c>
      <c r="R26" s="41"/>
      <c r="S26" s="41"/>
      <c r="T26" s="41"/>
      <c r="U26" s="41"/>
    </row>
    <row r="27" spans="1:21" customFormat="1">
      <c r="A27" s="42" t="s">
        <v>535</v>
      </c>
      <c r="B27" s="43">
        <v>5.66</v>
      </c>
      <c r="C27" s="43">
        <v>6.69</v>
      </c>
      <c r="D27" s="43">
        <v>12.35</v>
      </c>
      <c r="E27" s="43">
        <v>5.49</v>
      </c>
      <c r="F27" s="43">
        <v>2.0099999999999998</v>
      </c>
      <c r="G27" s="43">
        <v>81.92</v>
      </c>
      <c r="H27" s="43">
        <v>26.87</v>
      </c>
      <c r="I27" s="43">
        <v>5.86</v>
      </c>
      <c r="J27" s="27" t="s">
        <v>8</v>
      </c>
      <c r="K27" s="27" t="s">
        <v>8</v>
      </c>
      <c r="L27" s="27" t="s">
        <v>8</v>
      </c>
      <c r="M27" s="27" t="s">
        <v>8</v>
      </c>
      <c r="N27" s="27" t="s">
        <v>8</v>
      </c>
      <c r="O27" s="27" t="s">
        <v>8</v>
      </c>
      <c r="P27" s="43">
        <v>0.43</v>
      </c>
      <c r="Q27" s="43">
        <v>10.73</v>
      </c>
      <c r="R27" s="41"/>
      <c r="S27" s="41"/>
      <c r="T27" s="41"/>
      <c r="U27" s="41"/>
    </row>
    <row r="28" spans="1:21" customFormat="1">
      <c r="A28" s="42" t="s">
        <v>536</v>
      </c>
      <c r="B28" s="43">
        <v>7.72</v>
      </c>
      <c r="C28" s="43">
        <v>7.06</v>
      </c>
      <c r="D28" s="43">
        <v>14.78</v>
      </c>
      <c r="E28" s="43">
        <v>5.97</v>
      </c>
      <c r="F28" s="43">
        <v>2</v>
      </c>
      <c r="G28" s="43">
        <v>102.79</v>
      </c>
      <c r="H28" s="43">
        <v>28.46</v>
      </c>
      <c r="I28" s="43">
        <v>6.82</v>
      </c>
      <c r="J28" s="27" t="s">
        <v>8</v>
      </c>
      <c r="K28" s="27" t="s">
        <v>8</v>
      </c>
      <c r="L28" s="27" t="s">
        <v>8</v>
      </c>
      <c r="M28" s="27" t="s">
        <v>8</v>
      </c>
      <c r="N28" s="27" t="s">
        <v>8</v>
      </c>
      <c r="O28" s="27" t="s">
        <v>8</v>
      </c>
      <c r="P28" s="43">
        <v>0.5</v>
      </c>
      <c r="Q28" s="43">
        <v>10</v>
      </c>
      <c r="R28" s="41"/>
      <c r="S28" s="41"/>
      <c r="T28" s="41"/>
      <c r="U28" s="41"/>
    </row>
    <row r="29" spans="1:21" customFormat="1">
      <c r="A29" s="42" t="s">
        <v>537</v>
      </c>
      <c r="B29" s="43">
        <v>7.09</v>
      </c>
      <c r="C29" s="43">
        <v>6.9</v>
      </c>
      <c r="D29" s="43">
        <v>13.99</v>
      </c>
      <c r="E29" s="43">
        <v>6.27</v>
      </c>
      <c r="F29" s="43">
        <v>2</v>
      </c>
      <c r="G29" s="43">
        <v>102.79</v>
      </c>
      <c r="H29" s="43">
        <v>28.46</v>
      </c>
      <c r="I29" s="43">
        <v>6.91</v>
      </c>
      <c r="J29" s="27" t="s">
        <v>8</v>
      </c>
      <c r="K29" s="27" t="s">
        <v>8</v>
      </c>
      <c r="L29" s="27" t="s">
        <v>8</v>
      </c>
      <c r="M29" s="27" t="s">
        <v>8</v>
      </c>
      <c r="N29" s="27" t="s">
        <v>8</v>
      </c>
      <c r="O29" s="27" t="s">
        <v>8</v>
      </c>
      <c r="P29" s="43">
        <v>0.49</v>
      </c>
      <c r="Q29" s="43">
        <v>11.28</v>
      </c>
      <c r="R29" s="41"/>
      <c r="S29" s="41"/>
      <c r="T29" s="41"/>
      <c r="U29" s="41"/>
    </row>
    <row r="30" spans="1:21" customFormat="1">
      <c r="A30" s="42" t="s">
        <v>538</v>
      </c>
      <c r="B30" s="43">
        <v>6.35</v>
      </c>
      <c r="C30" s="43">
        <v>6.61</v>
      </c>
      <c r="D30" s="43">
        <v>12.97</v>
      </c>
      <c r="E30" s="43">
        <v>6.38</v>
      </c>
      <c r="F30" s="43">
        <v>2</v>
      </c>
      <c r="G30" s="43">
        <v>81.41</v>
      </c>
      <c r="H30" s="43">
        <v>23.38</v>
      </c>
      <c r="I30" s="43">
        <v>6.7</v>
      </c>
      <c r="J30" s="27" t="s">
        <v>8</v>
      </c>
      <c r="K30" s="27" t="s">
        <v>8</v>
      </c>
      <c r="L30" s="27" t="s">
        <v>8</v>
      </c>
      <c r="M30" s="27" t="s">
        <v>8</v>
      </c>
      <c r="N30" s="27" t="s">
        <v>8</v>
      </c>
      <c r="O30" s="27" t="s">
        <v>8</v>
      </c>
      <c r="P30" s="43">
        <v>0.46</v>
      </c>
      <c r="Q30" s="43">
        <v>16.45</v>
      </c>
      <c r="R30" s="41"/>
      <c r="S30" s="41"/>
      <c r="T30" s="41"/>
      <c r="U30" s="41"/>
    </row>
    <row r="31" spans="1:21" customFormat="1">
      <c r="A31" s="42" t="s">
        <v>539</v>
      </c>
      <c r="B31" s="43">
        <v>6.12</v>
      </c>
      <c r="C31" s="43">
        <v>6.13</v>
      </c>
      <c r="D31" s="43">
        <v>12.15</v>
      </c>
      <c r="E31" s="43">
        <v>6.45</v>
      </c>
      <c r="F31" s="43">
        <v>2</v>
      </c>
      <c r="G31" s="43">
        <v>62.91</v>
      </c>
      <c r="H31" s="43">
        <v>19.93</v>
      </c>
      <c r="I31" s="43">
        <v>6.37</v>
      </c>
      <c r="J31" s="27" t="s">
        <v>8</v>
      </c>
      <c r="K31" s="27" t="s">
        <v>8</v>
      </c>
      <c r="L31" s="27" t="s">
        <v>8</v>
      </c>
      <c r="M31" s="27" t="s">
        <v>8</v>
      </c>
      <c r="N31" s="27" t="s">
        <v>8</v>
      </c>
      <c r="O31" s="27" t="s">
        <v>8</v>
      </c>
      <c r="P31" s="43">
        <v>0.43</v>
      </c>
      <c r="Q31" s="43">
        <v>15.31</v>
      </c>
      <c r="R31" s="41"/>
      <c r="S31" s="41"/>
      <c r="T31" s="41"/>
      <c r="U31" s="41"/>
    </row>
    <row r="32" spans="1:21" customFormat="1">
      <c r="A32" s="42" t="s">
        <v>540</v>
      </c>
      <c r="B32" s="43">
        <v>6.22</v>
      </c>
      <c r="C32" s="43">
        <v>5.77</v>
      </c>
      <c r="D32" s="43">
        <v>11.99</v>
      </c>
      <c r="E32" s="43">
        <v>5.96</v>
      </c>
      <c r="F32" s="43">
        <v>2</v>
      </c>
      <c r="G32" s="43">
        <v>55.94</v>
      </c>
      <c r="H32" s="43">
        <v>16.739999999999998</v>
      </c>
      <c r="I32" s="43">
        <v>6</v>
      </c>
      <c r="J32" s="27" t="s">
        <v>8</v>
      </c>
      <c r="K32" s="27" t="s">
        <v>8</v>
      </c>
      <c r="L32" s="27" t="s">
        <v>8</v>
      </c>
      <c r="M32" s="27" t="s">
        <v>8</v>
      </c>
      <c r="N32" s="27" t="s">
        <v>8</v>
      </c>
      <c r="O32" s="27" t="s">
        <v>8</v>
      </c>
      <c r="P32" s="43">
        <v>0.36</v>
      </c>
      <c r="Q32" s="43">
        <v>10.43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2.63</v>
      </c>
      <c r="C34" s="18">
        <f t="shared" si="0"/>
        <v>4.78</v>
      </c>
      <c r="D34" s="18">
        <f t="shared" si="0"/>
        <v>8.02</v>
      </c>
      <c r="E34" s="18">
        <f t="shared" si="0"/>
        <v>4.59</v>
      </c>
      <c r="F34" s="18">
        <f t="shared" si="0"/>
        <v>2</v>
      </c>
      <c r="G34" s="18">
        <f t="shared" si="0"/>
        <v>22.78</v>
      </c>
      <c r="H34" s="18">
        <f t="shared" si="0"/>
        <v>14.14</v>
      </c>
      <c r="I34" s="18">
        <f t="shared" si="0"/>
        <v>4.92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0.2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7.72</v>
      </c>
      <c r="C35" s="3">
        <f t="shared" si="1"/>
        <v>7.06</v>
      </c>
      <c r="D35" s="3">
        <f t="shared" si="1"/>
        <v>14.78</v>
      </c>
      <c r="E35" s="3">
        <f t="shared" si="1"/>
        <v>6.45</v>
      </c>
      <c r="F35" s="3">
        <f t="shared" si="1"/>
        <v>2.48</v>
      </c>
      <c r="G35" s="3">
        <f t="shared" si="1"/>
        <v>102.79</v>
      </c>
      <c r="H35" s="3">
        <f t="shared" si="1"/>
        <v>28.46</v>
      </c>
      <c r="I35" s="3">
        <f t="shared" si="1"/>
        <v>6.91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0.5</v>
      </c>
      <c r="Q35" s="3">
        <f t="shared" si="1"/>
        <v>21.61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4.8449999999999998</v>
      </c>
      <c r="C36" s="18">
        <f t="shared" si="2"/>
        <v>5.6479166666666671</v>
      </c>
      <c r="D36" s="18">
        <f t="shared" si="2"/>
        <v>10.433333333333334</v>
      </c>
      <c r="E36" s="18">
        <f t="shared" si="2"/>
        <v>5.4849999999999985</v>
      </c>
      <c r="F36" s="18">
        <f t="shared" si="2"/>
        <v>2.0354166666666669</v>
      </c>
      <c r="G36" s="18">
        <f t="shared" si="2"/>
        <v>47.258749999999999</v>
      </c>
      <c r="H36" s="18">
        <f t="shared" si="2"/>
        <v>19.974583333333332</v>
      </c>
      <c r="I36" s="18">
        <f t="shared" si="2"/>
        <v>5.5300000000000011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>
        <f t="shared" si="2"/>
        <v>0.30416666666666664</v>
      </c>
      <c r="Q36" s="18">
        <f t="shared" si="2"/>
        <v>12.597499999999998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1.4576604244622546</v>
      </c>
      <c r="C37" s="18">
        <f t="shared" ref="C37:Q37" si="3">STDEV(C9:C32)</f>
        <v>0.67606263645152975</v>
      </c>
      <c r="D37" s="18">
        <f t="shared" si="3"/>
        <v>1.8335322685216566</v>
      </c>
      <c r="E37" s="18">
        <f t="shared" si="3"/>
        <v>0.54998023679907382</v>
      </c>
      <c r="F37" s="18">
        <f t="shared" si="3"/>
        <v>0.10396400575561536</v>
      </c>
      <c r="G37" s="18">
        <f t="shared" si="3"/>
        <v>23.93933861141894</v>
      </c>
      <c r="H37" s="18">
        <f t="shared" si="3"/>
        <v>4.6913259265665488</v>
      </c>
      <c r="I37" s="18">
        <f t="shared" si="3"/>
        <v>0.60749664518664948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>
        <f t="shared" si="3"/>
        <v>9.1314871719241075E-2</v>
      </c>
      <c r="Q37" s="18">
        <f t="shared" si="3"/>
        <v>3.5725271167620289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>COUNT(J9:J32)+24</f>
        <v>24</v>
      </c>
      <c r="K38" s="37">
        <f t="shared" ref="K38:O38" si="5">COUNT(K9:K32)+24</f>
        <v>24</v>
      </c>
      <c r="L38" s="37">
        <f t="shared" si="5"/>
        <v>24</v>
      </c>
      <c r="M38" s="37">
        <f t="shared" si="5"/>
        <v>24</v>
      </c>
      <c r="N38" s="37">
        <f t="shared" si="5"/>
        <v>24</v>
      </c>
      <c r="O38" s="37">
        <f t="shared" si="5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6">IF(C38&gt;=22,"&gt;90%",IF(C38&lt;=22,"&lt;90%"))</f>
        <v>&gt;90%</v>
      </c>
      <c r="D39" s="3" t="str">
        <f t="shared" si="6"/>
        <v>&gt;90%</v>
      </c>
      <c r="E39" s="3" t="str">
        <f t="shared" si="6"/>
        <v>&gt;90%</v>
      </c>
      <c r="F39" s="3" t="str">
        <f t="shared" si="6"/>
        <v>&gt;90%</v>
      </c>
      <c r="G39" s="3" t="str">
        <f t="shared" si="6"/>
        <v>&gt;90%</v>
      </c>
      <c r="H39" s="3" t="str">
        <f t="shared" si="6"/>
        <v>&gt;90%</v>
      </c>
      <c r="I39" s="3" t="str">
        <f t="shared" si="6"/>
        <v>&gt;90%</v>
      </c>
      <c r="J39" s="3" t="str">
        <f t="shared" si="6"/>
        <v>&gt;90%</v>
      </c>
      <c r="K39" s="3" t="str">
        <f t="shared" si="6"/>
        <v>&gt;90%</v>
      </c>
      <c r="L39" s="3" t="str">
        <f t="shared" si="6"/>
        <v>&gt;90%</v>
      </c>
      <c r="M39" s="3" t="str">
        <f t="shared" si="6"/>
        <v>&gt;90%</v>
      </c>
      <c r="N39" s="3" t="str">
        <f t="shared" si="6"/>
        <v>&gt;90%</v>
      </c>
      <c r="O39" s="3" t="str">
        <f t="shared" si="6"/>
        <v>&gt;90%</v>
      </c>
      <c r="P39" s="3" t="str">
        <f t="shared" si="6"/>
        <v>&gt;90%</v>
      </c>
      <c r="Q39" s="3" t="str">
        <f t="shared" si="6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7">IF(C38&gt;=22,"OK",IF(C38&lt;=22,"LESS"))</f>
        <v>OK</v>
      </c>
      <c r="D40" s="3" t="str">
        <f t="shared" si="7"/>
        <v>OK</v>
      </c>
      <c r="E40" s="3" t="str">
        <f t="shared" si="7"/>
        <v>OK</v>
      </c>
      <c r="F40" s="3" t="str">
        <f t="shared" si="7"/>
        <v>OK</v>
      </c>
      <c r="G40" s="3" t="str">
        <f t="shared" si="7"/>
        <v>OK</v>
      </c>
      <c r="H40" s="3" t="str">
        <f t="shared" si="7"/>
        <v>OK</v>
      </c>
      <c r="I40" s="3" t="str">
        <f t="shared" si="7"/>
        <v>OK</v>
      </c>
      <c r="J40" s="3" t="str">
        <f t="shared" si="7"/>
        <v>OK</v>
      </c>
      <c r="K40" s="3" t="str">
        <f t="shared" si="7"/>
        <v>OK</v>
      </c>
      <c r="L40" s="3" t="str">
        <f t="shared" si="7"/>
        <v>OK</v>
      </c>
      <c r="M40" s="3" t="str">
        <f t="shared" si="7"/>
        <v>OK</v>
      </c>
      <c r="N40" s="3" t="str">
        <f t="shared" si="7"/>
        <v>OK</v>
      </c>
      <c r="O40" s="3" t="str">
        <f t="shared" si="7"/>
        <v>OK</v>
      </c>
      <c r="P40" s="3" t="str">
        <f t="shared" si="7"/>
        <v>OK</v>
      </c>
      <c r="Q40" s="3" t="str">
        <f t="shared" si="7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96"/>
  <sheetViews>
    <sheetView zoomScale="85" zoomScaleNormal="85" workbookViewId="0">
      <pane xSplit="1" ySplit="8" topLeftCell="B16" activePane="bottomRight" state="frozen"/>
      <selection activeCell="G19" sqref="G19"/>
      <selection pane="topRight" activeCell="G19" sqref="G19"/>
      <selection pane="bottomLeft" activeCell="G19" sqref="G19"/>
      <selection pane="bottomRight" activeCell="J9" sqref="J9:O3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21/09/2025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541</v>
      </c>
      <c r="B9" s="43">
        <v>6.17</v>
      </c>
      <c r="C9" s="43">
        <v>5.55</v>
      </c>
      <c r="D9" s="43">
        <v>11.7</v>
      </c>
      <c r="E9" s="43">
        <v>6.07</v>
      </c>
      <c r="F9" s="43">
        <v>2</v>
      </c>
      <c r="G9" s="43">
        <v>39.74</v>
      </c>
      <c r="H9" s="43">
        <v>11.94</v>
      </c>
      <c r="I9" s="43">
        <v>5.93</v>
      </c>
      <c r="J9" s="28" t="s">
        <v>15</v>
      </c>
      <c r="K9" s="28" t="s">
        <v>15</v>
      </c>
      <c r="L9" s="28" t="s">
        <v>15</v>
      </c>
      <c r="M9" s="28" t="s">
        <v>15</v>
      </c>
      <c r="N9" s="28" t="s">
        <v>15</v>
      </c>
      <c r="O9" s="28" t="s">
        <v>15</v>
      </c>
      <c r="P9" s="43">
        <v>0.35</v>
      </c>
      <c r="Q9" s="43">
        <v>10.35</v>
      </c>
      <c r="R9" s="41"/>
      <c r="S9" s="41"/>
      <c r="T9" s="41"/>
      <c r="U9" s="41"/>
    </row>
    <row r="10" spans="1:21" customFormat="1">
      <c r="A10" s="42" t="s">
        <v>542</v>
      </c>
      <c r="B10" s="43">
        <v>6.02</v>
      </c>
      <c r="C10" s="43">
        <v>5.5</v>
      </c>
      <c r="D10" s="43">
        <v>11.52</v>
      </c>
      <c r="E10" s="43">
        <v>6.24</v>
      </c>
      <c r="F10" s="43">
        <v>2</v>
      </c>
      <c r="G10" s="43">
        <v>32.24</v>
      </c>
      <c r="H10" s="43">
        <v>10.69</v>
      </c>
      <c r="I10" s="43">
        <v>5.88</v>
      </c>
      <c r="J10" s="28" t="s">
        <v>15</v>
      </c>
      <c r="K10" s="28" t="s">
        <v>15</v>
      </c>
      <c r="L10" s="28" t="s">
        <v>15</v>
      </c>
      <c r="M10" s="28" t="s">
        <v>15</v>
      </c>
      <c r="N10" s="28" t="s">
        <v>15</v>
      </c>
      <c r="O10" s="28" t="s">
        <v>15</v>
      </c>
      <c r="P10" s="43">
        <v>0.34</v>
      </c>
      <c r="Q10" s="43">
        <v>13.41</v>
      </c>
      <c r="R10" s="41"/>
      <c r="S10" s="41"/>
      <c r="T10" s="41"/>
      <c r="U10" s="41"/>
    </row>
    <row r="11" spans="1:21" customFormat="1">
      <c r="A11" s="42" t="s">
        <v>543</v>
      </c>
      <c r="B11" s="43">
        <v>6.07</v>
      </c>
      <c r="C11" s="43">
        <v>5.46</v>
      </c>
      <c r="D11" s="43">
        <v>11.44</v>
      </c>
      <c r="E11" s="43">
        <v>6.17</v>
      </c>
      <c r="F11" s="43">
        <v>2.0099999999999998</v>
      </c>
      <c r="G11" s="43">
        <v>29.96</v>
      </c>
      <c r="H11" s="43">
        <v>8.73</v>
      </c>
      <c r="I11" s="43">
        <v>5.87</v>
      </c>
      <c r="J11" s="28" t="s">
        <v>15</v>
      </c>
      <c r="K11" s="28" t="s">
        <v>15</v>
      </c>
      <c r="L11" s="28" t="s">
        <v>15</v>
      </c>
      <c r="M11" s="28" t="s">
        <v>15</v>
      </c>
      <c r="N11" s="28" t="s">
        <v>15</v>
      </c>
      <c r="O11" s="28" t="s">
        <v>15</v>
      </c>
      <c r="P11" s="43">
        <v>0.34</v>
      </c>
      <c r="Q11" s="43">
        <v>13.95</v>
      </c>
      <c r="R11" s="41"/>
      <c r="S11" s="41"/>
      <c r="T11" s="41"/>
      <c r="U11" s="41"/>
    </row>
    <row r="12" spans="1:21" customFormat="1">
      <c r="A12" s="42" t="s">
        <v>544</v>
      </c>
      <c r="B12" s="43">
        <v>6.13</v>
      </c>
      <c r="C12" s="43">
        <v>5.77</v>
      </c>
      <c r="D12" s="43">
        <v>11.83</v>
      </c>
      <c r="E12" s="43">
        <v>6.42</v>
      </c>
      <c r="F12" s="43">
        <v>2</v>
      </c>
      <c r="G12" s="43">
        <v>21.22</v>
      </c>
      <c r="H12" s="43">
        <v>7.7</v>
      </c>
      <c r="I12" s="43">
        <v>6.51</v>
      </c>
      <c r="J12" s="28" t="s">
        <v>15</v>
      </c>
      <c r="K12" s="28" t="s">
        <v>15</v>
      </c>
      <c r="L12" s="28" t="s">
        <v>15</v>
      </c>
      <c r="M12" s="28" t="s">
        <v>15</v>
      </c>
      <c r="N12" s="28" t="s">
        <v>15</v>
      </c>
      <c r="O12" s="28" t="s">
        <v>15</v>
      </c>
      <c r="P12" s="43">
        <v>0.38</v>
      </c>
      <c r="Q12" s="43">
        <v>10.66</v>
      </c>
      <c r="R12" s="41"/>
      <c r="S12" s="41"/>
      <c r="T12" s="41"/>
      <c r="U12" s="41"/>
    </row>
    <row r="13" spans="1:21" customFormat="1">
      <c r="A13" s="42" t="s">
        <v>545</v>
      </c>
      <c r="B13" s="43">
        <v>5.98</v>
      </c>
      <c r="C13" s="43">
        <v>5.75</v>
      </c>
      <c r="D13" s="43">
        <v>11.73</v>
      </c>
      <c r="E13" s="43">
        <v>6.51</v>
      </c>
      <c r="F13" s="43">
        <v>2</v>
      </c>
      <c r="G13" s="43">
        <v>27.9</v>
      </c>
      <c r="H13" s="43">
        <v>7.7</v>
      </c>
      <c r="I13" s="43">
        <v>6.86</v>
      </c>
      <c r="J13" s="28" t="s">
        <v>15</v>
      </c>
      <c r="K13" s="28" t="s">
        <v>15</v>
      </c>
      <c r="L13" s="28" t="s">
        <v>15</v>
      </c>
      <c r="M13" s="28" t="s">
        <v>15</v>
      </c>
      <c r="N13" s="28" t="s">
        <v>15</v>
      </c>
      <c r="O13" s="28" t="s">
        <v>15</v>
      </c>
      <c r="P13" s="43">
        <v>0.4</v>
      </c>
      <c r="Q13" s="43">
        <v>10.82</v>
      </c>
      <c r="R13" s="41"/>
      <c r="S13" s="41"/>
      <c r="T13" s="41"/>
      <c r="U13" s="41"/>
    </row>
    <row r="14" spans="1:21" customFormat="1">
      <c r="A14" s="42" t="s">
        <v>546</v>
      </c>
      <c r="B14" s="43">
        <v>5.65</v>
      </c>
      <c r="C14" s="43">
        <v>5.58</v>
      </c>
      <c r="D14" s="43">
        <v>11.22</v>
      </c>
      <c r="E14" s="43">
        <v>6.71</v>
      </c>
      <c r="F14" s="43">
        <v>2</v>
      </c>
      <c r="G14" s="43">
        <v>27.9</v>
      </c>
      <c r="H14" s="43">
        <v>8.15</v>
      </c>
      <c r="I14" s="43">
        <v>7.5</v>
      </c>
      <c r="J14" s="28" t="s">
        <v>15</v>
      </c>
      <c r="K14" s="28" t="s">
        <v>15</v>
      </c>
      <c r="L14" s="28" t="s">
        <v>15</v>
      </c>
      <c r="M14" s="28" t="s">
        <v>15</v>
      </c>
      <c r="N14" s="28" t="s">
        <v>15</v>
      </c>
      <c r="O14" s="28" t="s">
        <v>15</v>
      </c>
      <c r="P14" s="43">
        <v>0.41</v>
      </c>
      <c r="Q14" s="43">
        <v>12.91</v>
      </c>
      <c r="R14" s="41"/>
      <c r="S14" s="41"/>
      <c r="T14" s="41"/>
      <c r="U14" s="41"/>
    </row>
    <row r="15" spans="1:21" customFormat="1">
      <c r="A15" s="42" t="s">
        <v>547</v>
      </c>
      <c r="B15" s="43">
        <v>5.5</v>
      </c>
      <c r="C15" s="43">
        <v>5.38</v>
      </c>
      <c r="D15" s="43">
        <v>10.88</v>
      </c>
      <c r="E15" s="43">
        <v>6.89</v>
      </c>
      <c r="F15" s="43">
        <v>2</v>
      </c>
      <c r="G15" s="43">
        <v>23.63</v>
      </c>
      <c r="H15" s="43">
        <v>8.15</v>
      </c>
      <c r="I15" s="43">
        <v>8.2799999999999994</v>
      </c>
      <c r="J15" s="28" t="s">
        <v>15</v>
      </c>
      <c r="K15" s="28" t="s">
        <v>15</v>
      </c>
      <c r="L15" s="28" t="s">
        <v>15</v>
      </c>
      <c r="M15" s="28" t="s">
        <v>15</v>
      </c>
      <c r="N15" s="28" t="s">
        <v>15</v>
      </c>
      <c r="O15" s="28" t="s">
        <v>15</v>
      </c>
      <c r="P15" s="43">
        <v>0.4</v>
      </c>
      <c r="Q15" s="43">
        <v>15.46</v>
      </c>
      <c r="R15" s="41"/>
      <c r="S15" s="41"/>
      <c r="T15" s="41"/>
      <c r="U15" s="41"/>
    </row>
    <row r="16" spans="1:21" customFormat="1">
      <c r="A16" s="42" t="s">
        <v>548</v>
      </c>
      <c r="B16" s="43">
        <v>5.41</v>
      </c>
      <c r="C16" s="43">
        <v>5.22</v>
      </c>
      <c r="D16" s="43">
        <v>10.63</v>
      </c>
      <c r="E16" s="43">
        <v>7</v>
      </c>
      <c r="F16" s="43">
        <v>2</v>
      </c>
      <c r="G16" s="43">
        <v>23.63</v>
      </c>
      <c r="H16" s="43">
        <v>7.68</v>
      </c>
      <c r="I16" s="43">
        <v>8.16</v>
      </c>
      <c r="J16" s="28" t="s">
        <v>15</v>
      </c>
      <c r="K16" s="28" t="s">
        <v>15</v>
      </c>
      <c r="L16" s="28" t="s">
        <v>15</v>
      </c>
      <c r="M16" s="28" t="s">
        <v>15</v>
      </c>
      <c r="N16" s="28" t="s">
        <v>15</v>
      </c>
      <c r="O16" s="28" t="s">
        <v>15</v>
      </c>
      <c r="P16" s="43">
        <v>0.39</v>
      </c>
      <c r="Q16" s="43">
        <v>13.64</v>
      </c>
      <c r="R16" s="41"/>
      <c r="S16" s="41"/>
      <c r="T16" s="41"/>
      <c r="U16" s="41"/>
    </row>
    <row r="17" spans="1:21" customFormat="1">
      <c r="A17" s="42" t="s">
        <v>549</v>
      </c>
      <c r="B17" s="43">
        <v>4.91</v>
      </c>
      <c r="C17" s="43">
        <v>5.26</v>
      </c>
      <c r="D17" s="43">
        <v>10.11</v>
      </c>
      <c r="E17" s="43">
        <v>6.94</v>
      </c>
      <c r="F17" s="43">
        <v>2</v>
      </c>
      <c r="G17" s="43">
        <v>24.95</v>
      </c>
      <c r="H17" s="43">
        <v>9.4700000000000006</v>
      </c>
      <c r="I17" s="43">
        <v>7.39</v>
      </c>
      <c r="J17" s="28" t="s">
        <v>15</v>
      </c>
      <c r="K17" s="28" t="s">
        <v>15</v>
      </c>
      <c r="L17" s="28" t="s">
        <v>15</v>
      </c>
      <c r="M17" s="28" t="s">
        <v>15</v>
      </c>
      <c r="N17" s="28" t="s">
        <v>15</v>
      </c>
      <c r="O17" s="28" t="s">
        <v>15</v>
      </c>
      <c r="P17" s="43">
        <v>0.35</v>
      </c>
      <c r="Q17" s="43">
        <v>10.82</v>
      </c>
      <c r="R17" s="41"/>
      <c r="S17" s="41"/>
      <c r="T17" s="41"/>
      <c r="U17" s="41"/>
    </row>
    <row r="18" spans="1:21" customFormat="1">
      <c r="A18" s="42" t="s">
        <v>550</v>
      </c>
      <c r="B18" s="43">
        <v>4.63</v>
      </c>
      <c r="C18" s="43">
        <v>5.38</v>
      </c>
      <c r="D18" s="43">
        <v>9.6999999999999993</v>
      </c>
      <c r="E18" s="43">
        <v>6.35</v>
      </c>
      <c r="F18" s="43">
        <v>2</v>
      </c>
      <c r="G18" s="43">
        <v>24.95</v>
      </c>
      <c r="H18" s="43">
        <v>9.4700000000000006</v>
      </c>
      <c r="I18" s="43">
        <v>7.78</v>
      </c>
      <c r="J18" s="28" t="s">
        <v>15</v>
      </c>
      <c r="K18" s="28" t="s">
        <v>15</v>
      </c>
      <c r="L18" s="28" t="s">
        <v>15</v>
      </c>
      <c r="M18" s="28" t="s">
        <v>15</v>
      </c>
      <c r="N18" s="28" t="s">
        <v>15</v>
      </c>
      <c r="O18" s="28" t="s">
        <v>15</v>
      </c>
      <c r="P18" s="43">
        <v>0.3</v>
      </c>
      <c r="Q18" s="43">
        <v>10.89</v>
      </c>
      <c r="R18" s="41"/>
      <c r="S18" s="41"/>
      <c r="T18" s="41"/>
      <c r="U18" s="41"/>
    </row>
    <row r="19" spans="1:21" customFormat="1">
      <c r="A19" s="42" t="s">
        <v>551</v>
      </c>
      <c r="B19" s="43">
        <v>4.2</v>
      </c>
      <c r="C19" s="43">
        <v>5.63</v>
      </c>
      <c r="D19" s="43">
        <v>9.66</v>
      </c>
      <c r="E19" s="43">
        <v>5.47</v>
      </c>
      <c r="F19" s="43">
        <v>2</v>
      </c>
      <c r="G19" s="43">
        <v>36.07</v>
      </c>
      <c r="H19" s="43">
        <v>17.86</v>
      </c>
      <c r="I19" s="43">
        <v>7.77</v>
      </c>
      <c r="J19" s="28" t="s">
        <v>15</v>
      </c>
      <c r="K19" s="28" t="s">
        <v>15</v>
      </c>
      <c r="L19" s="28" t="s">
        <v>15</v>
      </c>
      <c r="M19" s="28" t="s">
        <v>15</v>
      </c>
      <c r="N19" s="28" t="s">
        <v>15</v>
      </c>
      <c r="O19" s="28" t="s">
        <v>15</v>
      </c>
      <c r="P19" s="43">
        <v>0.3</v>
      </c>
      <c r="Q19" s="43">
        <v>15.47</v>
      </c>
      <c r="R19" s="41"/>
      <c r="S19" s="41"/>
      <c r="T19" s="41"/>
      <c r="U19" s="41"/>
    </row>
    <row r="20" spans="1:21" customFormat="1">
      <c r="A20" s="42" t="s">
        <v>552</v>
      </c>
      <c r="B20" s="43">
        <v>3.46</v>
      </c>
      <c r="C20" s="43">
        <v>5.86</v>
      </c>
      <c r="D20" s="43">
        <v>9.09</v>
      </c>
      <c r="E20" s="43">
        <v>5.16</v>
      </c>
      <c r="F20" s="43">
        <v>2.33</v>
      </c>
      <c r="G20" s="43">
        <v>38.14</v>
      </c>
      <c r="H20" s="43">
        <v>18.34</v>
      </c>
      <c r="I20" s="43">
        <v>7.71</v>
      </c>
      <c r="J20" s="28" t="s">
        <v>15</v>
      </c>
      <c r="K20" s="28" t="s">
        <v>15</v>
      </c>
      <c r="L20" s="28" t="s">
        <v>15</v>
      </c>
      <c r="M20" s="28" t="s">
        <v>15</v>
      </c>
      <c r="N20" s="28" t="s">
        <v>15</v>
      </c>
      <c r="O20" s="28" t="s">
        <v>15</v>
      </c>
      <c r="P20" s="43">
        <v>0.31</v>
      </c>
      <c r="Q20" s="43">
        <v>15.08</v>
      </c>
      <c r="R20" s="41"/>
      <c r="S20" s="41"/>
      <c r="T20" s="41"/>
      <c r="U20" s="41"/>
    </row>
    <row r="21" spans="1:21" customFormat="1">
      <c r="A21" s="42" t="s">
        <v>553</v>
      </c>
      <c r="B21" s="43">
        <v>2.96</v>
      </c>
      <c r="C21" s="43">
        <v>5.95</v>
      </c>
      <c r="D21" s="43">
        <v>8.89</v>
      </c>
      <c r="E21" s="43">
        <v>5.13</v>
      </c>
      <c r="F21" s="43">
        <v>3.2</v>
      </c>
      <c r="G21" s="43">
        <v>57.01</v>
      </c>
      <c r="H21" s="43">
        <v>18.34</v>
      </c>
      <c r="I21" s="43">
        <v>7.59</v>
      </c>
      <c r="J21" s="28" t="s">
        <v>15</v>
      </c>
      <c r="K21" s="28" t="s">
        <v>15</v>
      </c>
      <c r="L21" s="28" t="s">
        <v>15</v>
      </c>
      <c r="M21" s="28" t="s">
        <v>15</v>
      </c>
      <c r="N21" s="28" t="s">
        <v>15</v>
      </c>
      <c r="O21" s="28" t="s">
        <v>15</v>
      </c>
      <c r="P21" s="43">
        <v>0.32</v>
      </c>
      <c r="Q21" s="43">
        <v>14.04</v>
      </c>
      <c r="R21" s="41"/>
      <c r="S21" s="41"/>
      <c r="T21" s="41"/>
      <c r="U21" s="41"/>
    </row>
    <row r="22" spans="1:21" customFormat="1">
      <c r="A22" s="42" t="s">
        <v>554</v>
      </c>
      <c r="B22" s="43">
        <v>2.76</v>
      </c>
      <c r="C22" s="43">
        <v>6.01</v>
      </c>
      <c r="D22" s="43">
        <v>8.58</v>
      </c>
      <c r="E22" s="43">
        <v>5.05</v>
      </c>
      <c r="F22" s="43">
        <v>3.55</v>
      </c>
      <c r="G22" s="43">
        <v>57.03</v>
      </c>
      <c r="H22" s="43">
        <v>23.08</v>
      </c>
      <c r="I22" s="43">
        <v>6.96</v>
      </c>
      <c r="J22" s="28" t="s">
        <v>15</v>
      </c>
      <c r="K22" s="28" t="s">
        <v>15</v>
      </c>
      <c r="L22" s="28" t="s">
        <v>15</v>
      </c>
      <c r="M22" s="28" t="s">
        <v>15</v>
      </c>
      <c r="N22" s="28" t="s">
        <v>15</v>
      </c>
      <c r="O22" s="28" t="s">
        <v>15</v>
      </c>
      <c r="P22" s="43">
        <v>0.34</v>
      </c>
      <c r="Q22" s="43">
        <v>11.79</v>
      </c>
      <c r="R22" s="41"/>
      <c r="S22" s="41"/>
      <c r="T22" s="41"/>
      <c r="U22" s="41"/>
    </row>
    <row r="23" spans="1:21" customFormat="1">
      <c r="A23" s="42" t="s">
        <v>555</v>
      </c>
      <c r="B23" s="43">
        <v>2.2599999999999998</v>
      </c>
      <c r="C23" s="43">
        <v>6.04</v>
      </c>
      <c r="D23" s="43">
        <v>8.3000000000000007</v>
      </c>
      <c r="E23" s="43">
        <v>5.48</v>
      </c>
      <c r="F23" s="43">
        <v>5.41</v>
      </c>
      <c r="G23" s="43">
        <v>59.9</v>
      </c>
      <c r="H23" s="43">
        <v>23.66</v>
      </c>
      <c r="I23" s="43">
        <v>6.49</v>
      </c>
      <c r="J23" s="28" t="s">
        <v>15</v>
      </c>
      <c r="K23" s="28" t="s">
        <v>15</v>
      </c>
      <c r="L23" s="28" t="s">
        <v>15</v>
      </c>
      <c r="M23" s="28" t="s">
        <v>15</v>
      </c>
      <c r="N23" s="28" t="s">
        <v>15</v>
      </c>
      <c r="O23" s="28" t="s">
        <v>15</v>
      </c>
      <c r="P23" s="43">
        <v>0.3</v>
      </c>
      <c r="Q23" s="43">
        <v>10.88</v>
      </c>
      <c r="R23" s="41"/>
      <c r="S23" s="41"/>
      <c r="T23" s="41"/>
      <c r="U23" s="41"/>
    </row>
    <row r="24" spans="1:21" customFormat="1">
      <c r="A24" s="42" t="s">
        <v>556</v>
      </c>
      <c r="B24" s="43">
        <v>2.2999999999999998</v>
      </c>
      <c r="C24" s="43">
        <v>5.99</v>
      </c>
      <c r="D24" s="43">
        <v>8.2799999999999994</v>
      </c>
      <c r="E24" s="43">
        <v>5.76</v>
      </c>
      <c r="F24" s="43">
        <v>2.4700000000000002</v>
      </c>
      <c r="G24" s="43">
        <v>59.9</v>
      </c>
      <c r="H24" s="43">
        <v>23.66</v>
      </c>
      <c r="I24" s="43">
        <v>5.99</v>
      </c>
      <c r="J24" s="28" t="s">
        <v>15</v>
      </c>
      <c r="K24" s="28" t="s">
        <v>15</v>
      </c>
      <c r="L24" s="28" t="s">
        <v>15</v>
      </c>
      <c r="M24" s="28" t="s">
        <v>15</v>
      </c>
      <c r="N24" s="28" t="s">
        <v>15</v>
      </c>
      <c r="O24" s="28" t="s">
        <v>15</v>
      </c>
      <c r="P24" s="43">
        <v>0.28999999999999998</v>
      </c>
      <c r="Q24" s="43">
        <v>10.89</v>
      </c>
      <c r="R24" s="41"/>
      <c r="S24" s="41"/>
      <c r="T24" s="41"/>
      <c r="U24" s="41"/>
    </row>
    <row r="25" spans="1:21" customFormat="1">
      <c r="A25" s="42" t="s">
        <v>557</v>
      </c>
      <c r="B25" s="43">
        <v>2.4700000000000002</v>
      </c>
      <c r="C25" s="43">
        <v>6.15</v>
      </c>
      <c r="D25" s="43">
        <v>8.6199999999999992</v>
      </c>
      <c r="E25" s="43">
        <v>6</v>
      </c>
      <c r="F25" s="43">
        <v>3.36</v>
      </c>
      <c r="G25" s="43">
        <v>58.15</v>
      </c>
      <c r="H25" s="43">
        <v>25.03</v>
      </c>
      <c r="I25" s="43">
        <v>5.5</v>
      </c>
      <c r="J25" s="28" t="s">
        <v>15</v>
      </c>
      <c r="K25" s="28" t="s">
        <v>15</v>
      </c>
      <c r="L25" s="28" t="s">
        <v>15</v>
      </c>
      <c r="M25" s="28" t="s">
        <v>15</v>
      </c>
      <c r="N25" s="28" t="s">
        <v>15</v>
      </c>
      <c r="O25" s="28" t="s">
        <v>15</v>
      </c>
      <c r="P25" s="43">
        <v>0.3</v>
      </c>
      <c r="Q25" s="43">
        <v>14.59</v>
      </c>
      <c r="R25" s="41"/>
      <c r="S25" s="41"/>
      <c r="T25" s="41"/>
      <c r="U25" s="41"/>
    </row>
    <row r="26" spans="1:21" customFormat="1">
      <c r="A26" s="42" t="s">
        <v>558</v>
      </c>
      <c r="B26" s="43">
        <v>2.97</v>
      </c>
      <c r="C26" s="43">
        <v>6.31</v>
      </c>
      <c r="D26" s="43">
        <v>9.27</v>
      </c>
      <c r="E26" s="43">
        <v>6.03</v>
      </c>
      <c r="F26" s="43">
        <v>2.21</v>
      </c>
      <c r="G26" s="43">
        <v>60.68</v>
      </c>
      <c r="H26" s="43">
        <v>25.03</v>
      </c>
      <c r="I26" s="43">
        <v>5.43</v>
      </c>
      <c r="J26" s="28" t="s">
        <v>15</v>
      </c>
      <c r="K26" s="28" t="s">
        <v>15</v>
      </c>
      <c r="L26" s="28" t="s">
        <v>15</v>
      </c>
      <c r="M26" s="28" t="s">
        <v>15</v>
      </c>
      <c r="N26" s="28" t="s">
        <v>15</v>
      </c>
      <c r="O26" s="28" t="s">
        <v>15</v>
      </c>
      <c r="P26" s="43">
        <v>0.32</v>
      </c>
      <c r="Q26" s="43">
        <v>12.9</v>
      </c>
      <c r="R26" s="41"/>
      <c r="S26" s="41"/>
      <c r="T26" s="41"/>
      <c r="U26" s="41"/>
    </row>
    <row r="27" spans="1:21" customFormat="1">
      <c r="A27" s="42" t="s">
        <v>559</v>
      </c>
      <c r="B27" s="43">
        <v>2.94</v>
      </c>
      <c r="C27" s="43">
        <v>6.11</v>
      </c>
      <c r="D27" s="43">
        <v>9.0500000000000007</v>
      </c>
      <c r="E27" s="43">
        <v>5.22</v>
      </c>
      <c r="F27" s="43">
        <v>2</v>
      </c>
      <c r="G27" s="43">
        <v>61.29</v>
      </c>
      <c r="H27" s="43">
        <v>25.22</v>
      </c>
      <c r="I27" s="43">
        <v>5.42</v>
      </c>
      <c r="J27" s="28" t="s">
        <v>15</v>
      </c>
      <c r="K27" s="28" t="s">
        <v>15</v>
      </c>
      <c r="L27" s="28" t="s">
        <v>15</v>
      </c>
      <c r="M27" s="28" t="s">
        <v>15</v>
      </c>
      <c r="N27" s="28" t="s">
        <v>15</v>
      </c>
      <c r="O27" s="28" t="s">
        <v>15</v>
      </c>
      <c r="P27" s="43">
        <v>0.31</v>
      </c>
      <c r="Q27" s="43">
        <v>10.52</v>
      </c>
      <c r="R27" s="41"/>
      <c r="S27" s="41"/>
      <c r="T27" s="41"/>
      <c r="U27" s="41"/>
    </row>
    <row r="28" spans="1:21" customFormat="1">
      <c r="A28" s="42" t="s">
        <v>560</v>
      </c>
      <c r="B28" s="43">
        <v>3.03</v>
      </c>
      <c r="C28" s="43">
        <v>5.4</v>
      </c>
      <c r="D28" s="43">
        <v>8.41</v>
      </c>
      <c r="E28" s="43">
        <v>4.75</v>
      </c>
      <c r="F28" s="43">
        <v>2</v>
      </c>
      <c r="G28" s="43">
        <v>61.29</v>
      </c>
      <c r="H28" s="43">
        <v>25.22</v>
      </c>
      <c r="I28" s="43">
        <v>5.34</v>
      </c>
      <c r="J28" s="28" t="s">
        <v>15</v>
      </c>
      <c r="K28" s="28" t="s">
        <v>15</v>
      </c>
      <c r="L28" s="28" t="s">
        <v>15</v>
      </c>
      <c r="M28" s="28" t="s">
        <v>15</v>
      </c>
      <c r="N28" s="28" t="s">
        <v>15</v>
      </c>
      <c r="O28" s="28" t="s">
        <v>15</v>
      </c>
      <c r="P28" s="43">
        <v>0.26</v>
      </c>
      <c r="Q28" s="43">
        <v>11.27</v>
      </c>
      <c r="R28" s="41"/>
      <c r="S28" s="41"/>
      <c r="T28" s="41"/>
      <c r="U28" s="41"/>
    </row>
    <row r="29" spans="1:21" customFormat="1">
      <c r="A29" s="42" t="s">
        <v>561</v>
      </c>
      <c r="B29" s="43">
        <v>3.2</v>
      </c>
      <c r="C29" s="43">
        <v>5.28</v>
      </c>
      <c r="D29" s="43">
        <v>8.42</v>
      </c>
      <c r="E29" s="43">
        <v>4.7300000000000004</v>
      </c>
      <c r="F29" s="43">
        <v>2.0099999999999998</v>
      </c>
      <c r="G29" s="43">
        <v>57.05</v>
      </c>
      <c r="H29" s="43">
        <v>21.18</v>
      </c>
      <c r="I29" s="43">
        <v>5.35</v>
      </c>
      <c r="J29" s="28" t="s">
        <v>15</v>
      </c>
      <c r="K29" s="28" t="s">
        <v>15</v>
      </c>
      <c r="L29" s="28" t="s">
        <v>15</v>
      </c>
      <c r="M29" s="28" t="s">
        <v>15</v>
      </c>
      <c r="N29" s="28" t="s">
        <v>15</v>
      </c>
      <c r="O29" s="28" t="s">
        <v>15</v>
      </c>
      <c r="P29" s="43">
        <v>0.27</v>
      </c>
      <c r="Q29" s="43">
        <v>12.92</v>
      </c>
      <c r="R29" s="41"/>
      <c r="S29" s="41"/>
      <c r="T29" s="41"/>
      <c r="U29" s="41"/>
    </row>
    <row r="30" spans="1:21" customFormat="1">
      <c r="A30" s="42" t="s">
        <v>562</v>
      </c>
      <c r="B30" s="43">
        <v>3.3</v>
      </c>
      <c r="C30" s="43">
        <v>5.2</v>
      </c>
      <c r="D30" s="43">
        <v>8.4600000000000009</v>
      </c>
      <c r="E30" s="43">
        <v>4.63</v>
      </c>
      <c r="F30" s="43">
        <v>2</v>
      </c>
      <c r="G30" s="43">
        <v>37.130000000000003</v>
      </c>
      <c r="H30" s="43">
        <v>19.87</v>
      </c>
      <c r="I30" s="43">
        <v>5.26</v>
      </c>
      <c r="J30" s="28" t="s">
        <v>15</v>
      </c>
      <c r="K30" s="28" t="s">
        <v>15</v>
      </c>
      <c r="L30" s="28" t="s">
        <v>15</v>
      </c>
      <c r="M30" s="28" t="s">
        <v>15</v>
      </c>
      <c r="N30" s="28" t="s">
        <v>15</v>
      </c>
      <c r="O30" s="28" t="s">
        <v>15</v>
      </c>
      <c r="P30" s="43">
        <v>0.25</v>
      </c>
      <c r="Q30" s="43">
        <v>12.95</v>
      </c>
      <c r="R30" s="41"/>
      <c r="S30" s="41"/>
      <c r="T30" s="41"/>
      <c r="U30" s="41"/>
    </row>
    <row r="31" spans="1:21" customFormat="1">
      <c r="A31" s="42" t="s">
        <v>563</v>
      </c>
      <c r="B31" s="43">
        <v>3.53</v>
      </c>
      <c r="C31" s="43">
        <v>5.22</v>
      </c>
      <c r="D31" s="43">
        <v>8.75</v>
      </c>
      <c r="E31" s="43">
        <v>5.16</v>
      </c>
      <c r="F31" s="43">
        <v>2</v>
      </c>
      <c r="G31" s="43">
        <v>30.53</v>
      </c>
      <c r="H31" s="43">
        <v>19.87</v>
      </c>
      <c r="I31" s="43">
        <v>5.13</v>
      </c>
      <c r="J31" s="28" t="s">
        <v>15</v>
      </c>
      <c r="K31" s="28" t="s">
        <v>15</v>
      </c>
      <c r="L31" s="28" t="s">
        <v>15</v>
      </c>
      <c r="M31" s="28" t="s">
        <v>15</v>
      </c>
      <c r="N31" s="28" t="s">
        <v>15</v>
      </c>
      <c r="O31" s="28" t="s">
        <v>15</v>
      </c>
      <c r="P31" s="43">
        <v>0.25</v>
      </c>
      <c r="Q31" s="43">
        <v>17.940000000000001</v>
      </c>
      <c r="R31" s="41"/>
      <c r="S31" s="41"/>
      <c r="T31" s="41"/>
      <c r="U31" s="41"/>
    </row>
    <row r="32" spans="1:21" customFormat="1">
      <c r="A32" s="42" t="s">
        <v>564</v>
      </c>
      <c r="B32" s="43">
        <v>3.5</v>
      </c>
      <c r="C32" s="43">
        <v>5.62</v>
      </c>
      <c r="D32" s="43">
        <v>8.84</v>
      </c>
      <c r="E32" s="43">
        <v>5.2</v>
      </c>
      <c r="F32" s="43">
        <v>2</v>
      </c>
      <c r="G32" s="43">
        <v>30.53</v>
      </c>
      <c r="H32" s="43">
        <v>16.57</v>
      </c>
      <c r="I32" s="43">
        <v>5.07</v>
      </c>
      <c r="J32" s="28" t="s">
        <v>15</v>
      </c>
      <c r="K32" s="28" t="s">
        <v>15</v>
      </c>
      <c r="L32" s="28" t="s">
        <v>15</v>
      </c>
      <c r="M32" s="28" t="s">
        <v>15</v>
      </c>
      <c r="N32" s="28" t="s">
        <v>15</v>
      </c>
      <c r="O32" s="28" t="s">
        <v>15</v>
      </c>
      <c r="P32" s="43">
        <v>0.27</v>
      </c>
      <c r="Q32" s="43">
        <v>10.54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2.2599999999999998</v>
      </c>
      <c r="C34" s="18">
        <f t="shared" si="0"/>
        <v>5.2</v>
      </c>
      <c r="D34" s="18">
        <f t="shared" si="0"/>
        <v>8.2799999999999994</v>
      </c>
      <c r="E34" s="18">
        <f t="shared" si="0"/>
        <v>4.63</v>
      </c>
      <c r="F34" s="18">
        <f t="shared" si="0"/>
        <v>2</v>
      </c>
      <c r="G34" s="18">
        <f t="shared" si="0"/>
        <v>21.22</v>
      </c>
      <c r="H34" s="18">
        <f t="shared" si="0"/>
        <v>7.68</v>
      </c>
      <c r="I34" s="18">
        <f t="shared" si="0"/>
        <v>5.07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0.25</v>
      </c>
      <c r="Q34" s="18">
        <f t="shared" si="0"/>
        <v>10.35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6.17</v>
      </c>
      <c r="C35" s="3">
        <f t="shared" si="1"/>
        <v>6.31</v>
      </c>
      <c r="D35" s="3">
        <f t="shared" si="1"/>
        <v>11.83</v>
      </c>
      <c r="E35" s="3">
        <f t="shared" si="1"/>
        <v>7</v>
      </c>
      <c r="F35" s="3">
        <f t="shared" si="1"/>
        <v>5.41</v>
      </c>
      <c r="G35" s="3">
        <f t="shared" si="1"/>
        <v>61.29</v>
      </c>
      <c r="H35" s="3">
        <f t="shared" si="1"/>
        <v>25.22</v>
      </c>
      <c r="I35" s="3">
        <f t="shared" si="1"/>
        <v>8.2799999999999994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0.41</v>
      </c>
      <c r="Q35" s="3">
        <f t="shared" si="1"/>
        <v>17.940000000000001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4.1395833333333334</v>
      </c>
      <c r="C36" s="18">
        <f t="shared" si="2"/>
        <v>5.6508333333333347</v>
      </c>
      <c r="D36" s="18">
        <f t="shared" si="2"/>
        <v>9.7241666666666671</v>
      </c>
      <c r="E36" s="18">
        <f t="shared" si="2"/>
        <v>5.7945833333333328</v>
      </c>
      <c r="F36" s="18">
        <f t="shared" si="2"/>
        <v>2.3562499999999997</v>
      </c>
      <c r="G36" s="18">
        <f t="shared" si="2"/>
        <v>40.867499999999986</v>
      </c>
      <c r="H36" s="18">
        <f t="shared" si="2"/>
        <v>16.358750000000001</v>
      </c>
      <c r="I36" s="18">
        <f t="shared" si="2"/>
        <v>6.4654166666666635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>
        <f t="shared" si="2"/>
        <v>0.32291666666666657</v>
      </c>
      <c r="Q36" s="18">
        <f t="shared" si="2"/>
        <v>12.695416666666668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1.4016309728519738</v>
      </c>
      <c r="C37" s="18">
        <f t="shared" ref="C37:Q37" si="3">STDEV(C9:C32)</f>
        <v>0.33605016016203232</v>
      </c>
      <c r="D37" s="18">
        <f t="shared" si="3"/>
        <v>1.2893574964388863</v>
      </c>
      <c r="E37" s="18">
        <f t="shared" si="3"/>
        <v>0.74596292696473432</v>
      </c>
      <c r="F37" s="18">
        <f t="shared" si="3"/>
        <v>0.79805095456803765</v>
      </c>
      <c r="G37" s="18">
        <f t="shared" si="3"/>
        <v>15.19395252981467</v>
      </c>
      <c r="H37" s="18">
        <f t="shared" si="3"/>
        <v>6.8590500752496721</v>
      </c>
      <c r="I37" s="18">
        <f t="shared" si="3"/>
        <v>1.0781908323736222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>
        <f t="shared" si="3"/>
        <v>4.8137408996825046E-2</v>
      </c>
      <c r="Q37" s="18">
        <f t="shared" si="3"/>
        <v>2.0412421179414086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J38" sqref="J3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22/09/2025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565</v>
      </c>
      <c r="B9" s="43">
        <v>3.61</v>
      </c>
      <c r="C9" s="43">
        <v>5.81</v>
      </c>
      <c r="D9" s="43">
        <v>9.35</v>
      </c>
      <c r="E9" s="43">
        <v>5.31</v>
      </c>
      <c r="F9" s="43">
        <v>2</v>
      </c>
      <c r="G9" s="43">
        <v>36.130000000000003</v>
      </c>
      <c r="H9" s="43">
        <v>13.94</v>
      </c>
      <c r="I9" s="43">
        <v>4.9400000000000004</v>
      </c>
      <c r="J9" s="28" t="s">
        <v>15</v>
      </c>
      <c r="K9" s="28" t="s">
        <v>15</v>
      </c>
      <c r="L9" s="28" t="s">
        <v>15</v>
      </c>
      <c r="M9" s="28" t="s">
        <v>15</v>
      </c>
      <c r="N9" s="28" t="s">
        <v>15</v>
      </c>
      <c r="O9" s="28" t="s">
        <v>15</v>
      </c>
      <c r="P9" s="43">
        <v>0.27</v>
      </c>
      <c r="Q9" s="43">
        <v>28.49</v>
      </c>
      <c r="R9" s="41"/>
      <c r="S9" s="41"/>
      <c r="T9" s="41"/>
      <c r="U9" s="41"/>
    </row>
    <row r="10" spans="1:21" customFormat="1">
      <c r="A10" s="42" t="s">
        <v>566</v>
      </c>
      <c r="B10" s="43">
        <v>4.97</v>
      </c>
      <c r="C10" s="43">
        <v>5.91</v>
      </c>
      <c r="D10" s="43">
        <v>10.88</v>
      </c>
      <c r="E10" s="43">
        <v>5.69</v>
      </c>
      <c r="F10" s="43">
        <v>2</v>
      </c>
      <c r="G10" s="43">
        <v>36.58</v>
      </c>
      <c r="H10" s="43">
        <v>15.29</v>
      </c>
      <c r="I10" s="43">
        <v>4.87</v>
      </c>
      <c r="J10" s="28" t="s">
        <v>15</v>
      </c>
      <c r="K10" s="28" t="s">
        <v>15</v>
      </c>
      <c r="L10" s="28" t="s">
        <v>15</v>
      </c>
      <c r="M10" s="28" t="s">
        <v>15</v>
      </c>
      <c r="N10" s="28" t="s">
        <v>15</v>
      </c>
      <c r="O10" s="28" t="s">
        <v>15</v>
      </c>
      <c r="P10" s="43">
        <v>0.28999999999999998</v>
      </c>
      <c r="Q10" s="43">
        <v>40.549999999999997</v>
      </c>
      <c r="R10" s="41"/>
      <c r="S10" s="41"/>
      <c r="T10" s="41"/>
      <c r="U10" s="41"/>
    </row>
    <row r="11" spans="1:21" customFormat="1">
      <c r="A11" s="42" t="s">
        <v>567</v>
      </c>
      <c r="B11" s="43">
        <v>6.61</v>
      </c>
      <c r="C11" s="43">
        <v>6.03</v>
      </c>
      <c r="D11" s="43">
        <v>12.62</v>
      </c>
      <c r="E11" s="43">
        <v>5.92</v>
      </c>
      <c r="F11" s="43">
        <v>2</v>
      </c>
      <c r="G11" s="43">
        <v>60.59</v>
      </c>
      <c r="H11" s="43">
        <v>26.3</v>
      </c>
      <c r="I11" s="43">
        <v>5.95</v>
      </c>
      <c r="J11" s="28" t="s">
        <v>15</v>
      </c>
      <c r="K11" s="28" t="s">
        <v>15</v>
      </c>
      <c r="L11" s="28" t="s">
        <v>15</v>
      </c>
      <c r="M11" s="28" t="s">
        <v>15</v>
      </c>
      <c r="N11" s="28" t="s">
        <v>15</v>
      </c>
      <c r="O11" s="28" t="s">
        <v>15</v>
      </c>
      <c r="P11" s="43">
        <v>0.35</v>
      </c>
      <c r="Q11" s="43">
        <v>12.91</v>
      </c>
      <c r="R11" s="41"/>
      <c r="S11" s="41"/>
      <c r="T11" s="41"/>
      <c r="U11" s="41"/>
    </row>
    <row r="12" spans="1:21" customFormat="1">
      <c r="A12" s="42" t="s">
        <v>568</v>
      </c>
      <c r="B12" s="43">
        <v>7.4</v>
      </c>
      <c r="C12" s="43">
        <v>6.3</v>
      </c>
      <c r="D12" s="43">
        <v>13.71</v>
      </c>
      <c r="E12" s="43">
        <v>5.85</v>
      </c>
      <c r="F12" s="43">
        <v>2</v>
      </c>
      <c r="G12" s="43">
        <v>70.010000000000005</v>
      </c>
      <c r="H12" s="43">
        <v>28.29</v>
      </c>
      <c r="I12" s="43">
        <v>6.94</v>
      </c>
      <c r="J12" s="28" t="s">
        <v>15</v>
      </c>
      <c r="K12" s="28" t="s">
        <v>15</v>
      </c>
      <c r="L12" s="28" t="s">
        <v>15</v>
      </c>
      <c r="M12" s="28" t="s">
        <v>15</v>
      </c>
      <c r="N12" s="28" t="s">
        <v>15</v>
      </c>
      <c r="O12" s="28" t="s">
        <v>15</v>
      </c>
      <c r="P12" s="43">
        <v>0.39</v>
      </c>
      <c r="Q12" s="43">
        <v>10.58</v>
      </c>
      <c r="R12" s="41"/>
      <c r="S12" s="41"/>
      <c r="T12" s="41"/>
      <c r="U12" s="41"/>
    </row>
    <row r="13" spans="1:21" customFormat="1">
      <c r="A13" s="42" t="s">
        <v>569</v>
      </c>
      <c r="B13" s="43">
        <v>7.57</v>
      </c>
      <c r="C13" s="43">
        <v>6.24</v>
      </c>
      <c r="D13" s="43">
        <v>13.77</v>
      </c>
      <c r="E13" s="43">
        <v>5.93</v>
      </c>
      <c r="F13" s="43">
        <v>2</v>
      </c>
      <c r="G13" s="43">
        <v>82.32</v>
      </c>
      <c r="H13" s="43">
        <v>33.17</v>
      </c>
      <c r="I13" s="43">
        <v>7.51</v>
      </c>
      <c r="J13" s="28" t="s">
        <v>15</v>
      </c>
      <c r="K13" s="28" t="s">
        <v>15</v>
      </c>
      <c r="L13" s="28" t="s">
        <v>15</v>
      </c>
      <c r="M13" s="28" t="s">
        <v>15</v>
      </c>
      <c r="N13" s="28" t="s">
        <v>15</v>
      </c>
      <c r="O13" s="28" t="s">
        <v>15</v>
      </c>
      <c r="P13" s="43">
        <v>0.38</v>
      </c>
      <c r="Q13" s="43">
        <v>10.37</v>
      </c>
      <c r="R13" s="41"/>
      <c r="S13" s="41"/>
      <c r="T13" s="41"/>
      <c r="U13" s="41"/>
    </row>
    <row r="14" spans="1:21" customFormat="1">
      <c r="A14" s="42" t="s">
        <v>570</v>
      </c>
      <c r="B14" s="43">
        <v>7.14</v>
      </c>
      <c r="C14" s="43">
        <v>6.09</v>
      </c>
      <c r="D14" s="43">
        <v>13.23</v>
      </c>
      <c r="E14" s="43">
        <v>5.32</v>
      </c>
      <c r="F14" s="43">
        <v>2</v>
      </c>
      <c r="G14" s="43">
        <v>82.32</v>
      </c>
      <c r="H14" s="43">
        <v>33.17</v>
      </c>
      <c r="I14" s="43">
        <v>7.29</v>
      </c>
      <c r="J14" s="28" t="s">
        <v>15</v>
      </c>
      <c r="K14" s="28" t="s">
        <v>15</v>
      </c>
      <c r="L14" s="28" t="s">
        <v>15</v>
      </c>
      <c r="M14" s="28" t="s">
        <v>15</v>
      </c>
      <c r="N14" s="28" t="s">
        <v>15</v>
      </c>
      <c r="O14" s="28" t="s">
        <v>15</v>
      </c>
      <c r="P14" s="43">
        <v>0.31</v>
      </c>
      <c r="Q14" s="43">
        <v>13.01</v>
      </c>
      <c r="R14" s="41"/>
      <c r="S14" s="41"/>
      <c r="T14" s="41"/>
      <c r="U14" s="41"/>
    </row>
    <row r="15" spans="1:21" customFormat="1">
      <c r="A15" s="42" t="s">
        <v>571</v>
      </c>
      <c r="B15" s="43">
        <v>6.84</v>
      </c>
      <c r="C15" s="43">
        <v>5.88</v>
      </c>
      <c r="D15" s="43">
        <v>12.66</v>
      </c>
      <c r="E15" s="43">
        <v>5.54</v>
      </c>
      <c r="F15" s="43">
        <v>2</v>
      </c>
      <c r="G15" s="43">
        <v>50.64</v>
      </c>
      <c r="H15" s="43">
        <v>21.23</v>
      </c>
      <c r="I15" s="43">
        <v>7.05</v>
      </c>
      <c r="J15" s="28" t="s">
        <v>15</v>
      </c>
      <c r="K15" s="28" t="s">
        <v>15</v>
      </c>
      <c r="L15" s="28" t="s">
        <v>15</v>
      </c>
      <c r="M15" s="28" t="s">
        <v>15</v>
      </c>
      <c r="N15" s="28" t="s">
        <v>15</v>
      </c>
      <c r="O15" s="28" t="s">
        <v>15</v>
      </c>
      <c r="P15" s="43">
        <v>0.3</v>
      </c>
      <c r="Q15" s="43">
        <v>10.42</v>
      </c>
      <c r="R15" s="41"/>
      <c r="S15" s="41"/>
      <c r="T15" s="41"/>
      <c r="U15" s="41"/>
    </row>
    <row r="16" spans="1:21" customFormat="1">
      <c r="A16" s="42" t="s">
        <v>572</v>
      </c>
      <c r="B16" s="43">
        <v>6.83</v>
      </c>
      <c r="C16" s="43">
        <v>5.9</v>
      </c>
      <c r="D16" s="43">
        <v>12.69</v>
      </c>
      <c r="E16" s="43">
        <v>5.4</v>
      </c>
      <c r="F16" s="43">
        <v>2</v>
      </c>
      <c r="G16" s="43">
        <v>32.42</v>
      </c>
      <c r="H16" s="43">
        <v>14.38</v>
      </c>
      <c r="I16" s="43">
        <v>6.71</v>
      </c>
      <c r="J16" s="28" t="s">
        <v>15</v>
      </c>
      <c r="K16" s="28" t="s">
        <v>15</v>
      </c>
      <c r="L16" s="28" t="s">
        <v>15</v>
      </c>
      <c r="M16" s="28" t="s">
        <v>15</v>
      </c>
      <c r="N16" s="28" t="s">
        <v>15</v>
      </c>
      <c r="O16" s="28" t="s">
        <v>15</v>
      </c>
      <c r="P16" s="43">
        <v>0.28999999999999998</v>
      </c>
      <c r="Q16" s="43">
        <v>9.94</v>
      </c>
      <c r="R16" s="41"/>
      <c r="S16" s="41"/>
      <c r="T16" s="41"/>
      <c r="U16" s="41"/>
    </row>
    <row r="17" spans="1:21" customFormat="1">
      <c r="A17" s="42" t="s">
        <v>573</v>
      </c>
      <c r="B17" s="43">
        <v>6.73</v>
      </c>
      <c r="C17" s="43">
        <v>5.86</v>
      </c>
      <c r="D17" s="43">
        <v>12.41</v>
      </c>
      <c r="E17" s="43">
        <v>5.47</v>
      </c>
      <c r="F17" s="43">
        <v>2</v>
      </c>
      <c r="G17" s="43">
        <v>29.84</v>
      </c>
      <c r="H17" s="43">
        <v>10.35</v>
      </c>
      <c r="I17" s="43">
        <v>6.69</v>
      </c>
      <c r="J17" s="28" t="s">
        <v>15</v>
      </c>
      <c r="K17" s="28" t="s">
        <v>15</v>
      </c>
      <c r="L17" s="28" t="s">
        <v>15</v>
      </c>
      <c r="M17" s="28" t="s">
        <v>15</v>
      </c>
      <c r="N17" s="28" t="s">
        <v>15</v>
      </c>
      <c r="O17" s="28" t="s">
        <v>15</v>
      </c>
      <c r="P17" s="43">
        <v>0.3</v>
      </c>
      <c r="Q17" s="43">
        <v>10.68</v>
      </c>
      <c r="R17" s="41"/>
      <c r="S17" s="41"/>
      <c r="T17" s="41"/>
      <c r="U17" s="41"/>
    </row>
    <row r="18" spans="1:21" customFormat="1">
      <c r="A18" s="42" t="s">
        <v>574</v>
      </c>
      <c r="B18" s="43">
        <v>5.89</v>
      </c>
      <c r="C18" s="43">
        <v>6.81</v>
      </c>
      <c r="D18" s="43">
        <v>12.27</v>
      </c>
      <c r="E18" s="43">
        <v>5.2</v>
      </c>
      <c r="F18" s="43">
        <v>2</v>
      </c>
      <c r="G18" s="43">
        <v>29.85</v>
      </c>
      <c r="H18" s="43">
        <v>18.12</v>
      </c>
      <c r="I18" s="43">
        <v>6.48</v>
      </c>
      <c r="J18" s="28" t="s">
        <v>15</v>
      </c>
      <c r="K18" s="28" t="s">
        <v>15</v>
      </c>
      <c r="L18" s="28" t="s">
        <v>15</v>
      </c>
      <c r="M18" s="28" t="s">
        <v>15</v>
      </c>
      <c r="N18" s="28" t="s">
        <v>15</v>
      </c>
      <c r="O18" s="28" t="s">
        <v>15</v>
      </c>
      <c r="P18" s="43">
        <v>0.37</v>
      </c>
      <c r="Q18" s="43">
        <v>12.87</v>
      </c>
      <c r="R18" s="41"/>
      <c r="S18" s="41"/>
      <c r="T18" s="41"/>
      <c r="U18" s="41"/>
    </row>
    <row r="19" spans="1:21" customFormat="1">
      <c r="A19" s="42" t="s">
        <v>575</v>
      </c>
      <c r="B19" s="43">
        <v>5.26</v>
      </c>
      <c r="C19" s="43">
        <v>6.94</v>
      </c>
      <c r="D19" s="43">
        <v>12.16</v>
      </c>
      <c r="E19" s="43">
        <v>6.24</v>
      </c>
      <c r="F19" s="43">
        <v>2.0299999999999998</v>
      </c>
      <c r="G19" s="43">
        <v>58.55</v>
      </c>
      <c r="H19" s="43">
        <v>23.58</v>
      </c>
      <c r="I19" s="43">
        <v>6.79</v>
      </c>
      <c r="J19" s="28" t="s">
        <v>15</v>
      </c>
      <c r="K19" s="28" t="s">
        <v>15</v>
      </c>
      <c r="L19" s="28" t="s">
        <v>15</v>
      </c>
      <c r="M19" s="28" t="s">
        <v>15</v>
      </c>
      <c r="N19" s="28" t="s">
        <v>15</v>
      </c>
      <c r="O19" s="28" t="s">
        <v>15</v>
      </c>
      <c r="P19" s="43">
        <v>0.4</v>
      </c>
      <c r="Q19" s="43">
        <v>10.75</v>
      </c>
      <c r="R19" s="41"/>
      <c r="S19" s="41"/>
      <c r="T19" s="41"/>
      <c r="U19" s="41"/>
    </row>
    <row r="20" spans="1:21" customFormat="1">
      <c r="A20" s="42" t="s">
        <v>576</v>
      </c>
      <c r="B20" s="43">
        <v>3.89</v>
      </c>
      <c r="C20" s="43">
        <v>6.8</v>
      </c>
      <c r="D20" s="43">
        <v>10.69</v>
      </c>
      <c r="E20" s="43">
        <v>6.14</v>
      </c>
      <c r="F20" s="43">
        <v>2</v>
      </c>
      <c r="G20" s="43">
        <v>58.55</v>
      </c>
      <c r="H20" s="43">
        <v>23.58</v>
      </c>
      <c r="I20" s="43">
        <v>6.78</v>
      </c>
      <c r="J20" s="28" t="s">
        <v>15</v>
      </c>
      <c r="K20" s="28" t="s">
        <v>15</v>
      </c>
      <c r="L20" s="28" t="s">
        <v>15</v>
      </c>
      <c r="M20" s="28" t="s">
        <v>15</v>
      </c>
      <c r="N20" s="28" t="s">
        <v>15</v>
      </c>
      <c r="O20" s="28" t="s">
        <v>15</v>
      </c>
      <c r="P20" s="43">
        <v>0.4</v>
      </c>
      <c r="Q20" s="43">
        <v>10.19</v>
      </c>
      <c r="R20" s="41"/>
      <c r="S20" s="41"/>
      <c r="T20" s="41"/>
      <c r="U20" s="41"/>
    </row>
    <row r="21" spans="1:21" customFormat="1">
      <c r="A21" s="42" t="s">
        <v>577</v>
      </c>
      <c r="B21" s="43">
        <v>3.89</v>
      </c>
      <c r="C21" s="43">
        <v>6.8</v>
      </c>
      <c r="D21" s="43">
        <v>10.69</v>
      </c>
      <c r="E21" s="43">
        <v>6.14</v>
      </c>
      <c r="F21" s="43">
        <v>2</v>
      </c>
      <c r="G21" s="43">
        <v>58.55</v>
      </c>
      <c r="H21" s="43">
        <v>23.58</v>
      </c>
      <c r="I21" s="43">
        <v>6.78</v>
      </c>
      <c r="J21" s="28" t="s">
        <v>15</v>
      </c>
      <c r="K21" s="28" t="s">
        <v>15</v>
      </c>
      <c r="L21" s="28" t="s">
        <v>15</v>
      </c>
      <c r="M21" s="28" t="s">
        <v>15</v>
      </c>
      <c r="N21" s="28" t="s">
        <v>15</v>
      </c>
      <c r="O21" s="28" t="s">
        <v>15</v>
      </c>
      <c r="P21" s="43">
        <v>0.4</v>
      </c>
      <c r="Q21" s="43">
        <v>10.19</v>
      </c>
      <c r="R21" s="41"/>
      <c r="S21" s="41"/>
      <c r="T21" s="41"/>
      <c r="U21" s="41"/>
    </row>
    <row r="22" spans="1:21" customFormat="1">
      <c r="A22" s="42" t="s">
        <v>578</v>
      </c>
      <c r="B22" s="43">
        <v>3.89</v>
      </c>
      <c r="C22" s="43">
        <v>6.8</v>
      </c>
      <c r="D22" s="43">
        <v>10.69</v>
      </c>
      <c r="E22" s="43">
        <v>6.14</v>
      </c>
      <c r="F22" s="43">
        <v>5.48</v>
      </c>
      <c r="G22" s="43">
        <v>49.77</v>
      </c>
      <c r="H22" s="43">
        <v>15.4</v>
      </c>
      <c r="I22" s="43">
        <v>0</v>
      </c>
      <c r="J22" s="28" t="s">
        <v>15</v>
      </c>
      <c r="K22" s="28" t="s">
        <v>15</v>
      </c>
      <c r="L22" s="28" t="s">
        <v>15</v>
      </c>
      <c r="M22" s="28" t="s">
        <v>15</v>
      </c>
      <c r="N22" s="28" t="s">
        <v>15</v>
      </c>
      <c r="O22" s="28" t="s">
        <v>15</v>
      </c>
      <c r="P22" s="43">
        <v>0.33</v>
      </c>
      <c r="Q22" s="43">
        <v>10.19</v>
      </c>
      <c r="R22" s="41"/>
      <c r="S22" s="41"/>
      <c r="T22" s="41"/>
      <c r="U22" s="41"/>
    </row>
    <row r="23" spans="1:21" customFormat="1">
      <c r="A23" s="42" t="s">
        <v>579</v>
      </c>
      <c r="B23" s="43">
        <v>3.74</v>
      </c>
      <c r="C23" s="43">
        <v>5.94</v>
      </c>
      <c r="D23" s="43">
        <v>9.39</v>
      </c>
      <c r="E23" s="43">
        <v>2.64</v>
      </c>
      <c r="F23" s="43">
        <v>4.16</v>
      </c>
      <c r="G23" s="43">
        <v>50.25</v>
      </c>
      <c r="H23" s="43">
        <v>17.93</v>
      </c>
      <c r="I23" s="43">
        <v>6.92</v>
      </c>
      <c r="J23" s="28" t="s">
        <v>15</v>
      </c>
      <c r="K23" s="28" t="s">
        <v>15</v>
      </c>
      <c r="L23" s="28" t="s">
        <v>15</v>
      </c>
      <c r="M23" s="28" t="s">
        <v>15</v>
      </c>
      <c r="N23" s="28" t="s">
        <v>15</v>
      </c>
      <c r="O23" s="28" t="s">
        <v>15</v>
      </c>
      <c r="P23" s="43">
        <v>0.22</v>
      </c>
      <c r="Q23" s="43">
        <v>10</v>
      </c>
      <c r="R23" s="41"/>
      <c r="S23" s="41"/>
      <c r="T23" s="41"/>
      <c r="U23" s="41"/>
    </row>
    <row r="24" spans="1:21" customFormat="1">
      <c r="A24" s="42" t="s">
        <v>580</v>
      </c>
      <c r="B24" s="43">
        <v>3.7</v>
      </c>
      <c r="C24" s="43">
        <v>6.1</v>
      </c>
      <c r="D24" s="43">
        <v>9.77</v>
      </c>
      <c r="E24" s="43">
        <v>0</v>
      </c>
      <c r="F24" s="43">
        <v>2.23</v>
      </c>
      <c r="G24" s="43">
        <v>61.59</v>
      </c>
      <c r="H24" s="43">
        <v>17.93</v>
      </c>
      <c r="I24" s="43">
        <v>6.71</v>
      </c>
      <c r="J24" s="28" t="s">
        <v>15</v>
      </c>
      <c r="K24" s="28" t="s">
        <v>15</v>
      </c>
      <c r="L24" s="28" t="s">
        <v>15</v>
      </c>
      <c r="M24" s="28" t="s">
        <v>15</v>
      </c>
      <c r="N24" s="28" t="s">
        <v>15</v>
      </c>
      <c r="O24" s="28" t="s">
        <v>15</v>
      </c>
      <c r="P24" s="43">
        <v>0.04</v>
      </c>
      <c r="Q24" s="43">
        <v>10</v>
      </c>
      <c r="R24" s="41"/>
      <c r="S24" s="41"/>
      <c r="T24" s="41"/>
      <c r="U24" s="41"/>
    </row>
    <row r="25" spans="1:21" customFormat="1">
      <c r="A25" s="42" t="s">
        <v>581</v>
      </c>
      <c r="B25" s="43">
        <v>4.17</v>
      </c>
      <c r="C25" s="43">
        <v>6.03</v>
      </c>
      <c r="D25" s="43">
        <v>10.119999999999999</v>
      </c>
      <c r="E25" s="43">
        <v>0</v>
      </c>
      <c r="F25" s="43">
        <v>2</v>
      </c>
      <c r="G25" s="43">
        <v>88.91</v>
      </c>
      <c r="H25" s="43">
        <v>24.74</v>
      </c>
      <c r="I25" s="43">
        <v>6.57</v>
      </c>
      <c r="J25" s="28" t="s">
        <v>15</v>
      </c>
      <c r="K25" s="28" t="s">
        <v>15</v>
      </c>
      <c r="L25" s="28" t="s">
        <v>15</v>
      </c>
      <c r="M25" s="28" t="s">
        <v>15</v>
      </c>
      <c r="N25" s="28" t="s">
        <v>15</v>
      </c>
      <c r="O25" s="28" t="s">
        <v>15</v>
      </c>
      <c r="P25" s="43">
        <v>0.03</v>
      </c>
      <c r="Q25" s="43">
        <v>10</v>
      </c>
      <c r="R25" s="41"/>
      <c r="S25" s="41"/>
      <c r="T25" s="41"/>
      <c r="U25" s="41"/>
    </row>
    <row r="26" spans="1:21" customFormat="1">
      <c r="A26" s="42" t="s">
        <v>582</v>
      </c>
      <c r="B26" s="43">
        <v>4.1399999999999997</v>
      </c>
      <c r="C26" s="43">
        <v>5.98</v>
      </c>
      <c r="D26" s="43">
        <v>10.11</v>
      </c>
      <c r="E26" s="43">
        <v>0</v>
      </c>
      <c r="F26" s="43">
        <v>2</v>
      </c>
      <c r="G26" s="43">
        <v>88.91</v>
      </c>
      <c r="H26" s="43">
        <v>27.69</v>
      </c>
      <c r="I26" s="43">
        <v>6.88</v>
      </c>
      <c r="J26" s="28" t="s">
        <v>15</v>
      </c>
      <c r="K26" s="28" t="s">
        <v>15</v>
      </c>
      <c r="L26" s="28" t="s">
        <v>15</v>
      </c>
      <c r="M26" s="28" t="s">
        <v>15</v>
      </c>
      <c r="N26" s="28" t="s">
        <v>15</v>
      </c>
      <c r="O26" s="28" t="s">
        <v>15</v>
      </c>
      <c r="P26" s="43">
        <v>0.03</v>
      </c>
      <c r="Q26" s="43">
        <v>10</v>
      </c>
      <c r="R26" s="41"/>
      <c r="S26" s="41"/>
      <c r="T26" s="41"/>
      <c r="U26" s="41"/>
    </row>
    <row r="27" spans="1:21" customFormat="1">
      <c r="A27" s="42" t="s">
        <v>583</v>
      </c>
      <c r="B27" s="43">
        <v>3.86</v>
      </c>
      <c r="C27" s="43">
        <v>5.65</v>
      </c>
      <c r="D27" s="43">
        <v>9.4</v>
      </c>
      <c r="E27" s="43">
        <v>6.18</v>
      </c>
      <c r="F27" s="43">
        <v>2</v>
      </c>
      <c r="G27" s="43">
        <v>82.98</v>
      </c>
      <c r="H27" s="43">
        <v>27.69</v>
      </c>
      <c r="I27" s="43">
        <v>6.98</v>
      </c>
      <c r="J27" s="28" t="s">
        <v>15</v>
      </c>
      <c r="K27" s="28" t="s">
        <v>15</v>
      </c>
      <c r="L27" s="28" t="s">
        <v>15</v>
      </c>
      <c r="M27" s="28" t="s">
        <v>15</v>
      </c>
      <c r="N27" s="28" t="s">
        <v>15</v>
      </c>
      <c r="O27" s="28" t="s">
        <v>15</v>
      </c>
      <c r="P27" s="43">
        <v>0.03</v>
      </c>
      <c r="Q27" s="43">
        <v>10</v>
      </c>
      <c r="R27" s="41"/>
      <c r="S27" s="41"/>
      <c r="T27" s="41"/>
      <c r="U27" s="41"/>
    </row>
    <row r="28" spans="1:21" customFormat="1">
      <c r="A28" s="42" t="s">
        <v>584</v>
      </c>
      <c r="B28" s="43">
        <v>2.99</v>
      </c>
      <c r="C28" s="43">
        <v>5.67</v>
      </c>
      <c r="D28" s="43">
        <v>8.66</v>
      </c>
      <c r="E28" s="43">
        <v>5.86</v>
      </c>
      <c r="F28" s="43">
        <v>2</v>
      </c>
      <c r="G28" s="43">
        <v>72.91</v>
      </c>
      <c r="H28" s="43">
        <v>26.14</v>
      </c>
      <c r="I28" s="43">
        <v>6.71</v>
      </c>
      <c r="J28" s="28" t="s">
        <v>15</v>
      </c>
      <c r="K28" s="28" t="s">
        <v>15</v>
      </c>
      <c r="L28" s="28" t="s">
        <v>15</v>
      </c>
      <c r="M28" s="28" t="s">
        <v>15</v>
      </c>
      <c r="N28" s="28" t="s">
        <v>15</v>
      </c>
      <c r="O28" s="28" t="s">
        <v>15</v>
      </c>
      <c r="P28" s="43">
        <v>0.04</v>
      </c>
      <c r="Q28" s="43">
        <v>10</v>
      </c>
      <c r="R28" s="41"/>
      <c r="S28" s="41"/>
      <c r="T28" s="41"/>
      <c r="U28" s="41"/>
    </row>
    <row r="29" spans="1:21" customFormat="1">
      <c r="A29" s="42" t="s">
        <v>585</v>
      </c>
      <c r="B29" s="43">
        <v>1.93</v>
      </c>
      <c r="C29" s="43">
        <v>5.59</v>
      </c>
      <c r="D29" s="43">
        <v>7.52</v>
      </c>
      <c r="E29" s="43">
        <v>5.88</v>
      </c>
      <c r="F29" s="43">
        <v>2</v>
      </c>
      <c r="G29" s="43">
        <v>61.92</v>
      </c>
      <c r="H29" s="43">
        <v>19.39</v>
      </c>
      <c r="I29" s="43">
        <v>6.11</v>
      </c>
      <c r="J29" s="28" t="s">
        <v>15</v>
      </c>
      <c r="K29" s="28" t="s">
        <v>15</v>
      </c>
      <c r="L29" s="28" t="s">
        <v>15</v>
      </c>
      <c r="M29" s="28" t="s">
        <v>15</v>
      </c>
      <c r="N29" s="28" t="s">
        <v>15</v>
      </c>
      <c r="O29" s="28" t="s">
        <v>15</v>
      </c>
      <c r="P29" s="43">
        <v>0.02</v>
      </c>
      <c r="Q29" s="43">
        <v>10</v>
      </c>
      <c r="R29" s="41"/>
      <c r="S29" s="41"/>
      <c r="T29" s="41"/>
      <c r="U29" s="41"/>
    </row>
    <row r="30" spans="1:21" customFormat="1">
      <c r="A30" s="42" t="s">
        <v>586</v>
      </c>
      <c r="B30" s="43">
        <v>1.38</v>
      </c>
      <c r="C30" s="43">
        <v>5.26</v>
      </c>
      <c r="D30" s="43">
        <v>6.64</v>
      </c>
      <c r="E30" s="43">
        <v>5.76</v>
      </c>
      <c r="F30" s="43">
        <v>2</v>
      </c>
      <c r="G30" s="43">
        <v>46.69</v>
      </c>
      <c r="H30" s="43">
        <v>16.79</v>
      </c>
      <c r="I30" s="43">
        <v>5.67</v>
      </c>
      <c r="J30" s="28" t="s">
        <v>15</v>
      </c>
      <c r="K30" s="28" t="s">
        <v>15</v>
      </c>
      <c r="L30" s="28" t="s">
        <v>15</v>
      </c>
      <c r="M30" s="28" t="s">
        <v>15</v>
      </c>
      <c r="N30" s="28" t="s">
        <v>15</v>
      </c>
      <c r="O30" s="28" t="s">
        <v>15</v>
      </c>
      <c r="P30" s="43">
        <v>0.02</v>
      </c>
      <c r="Q30" s="43">
        <v>10</v>
      </c>
      <c r="R30" s="41"/>
      <c r="S30" s="41"/>
      <c r="T30" s="41"/>
      <c r="U30" s="41"/>
    </row>
    <row r="31" spans="1:21" customFormat="1">
      <c r="A31" s="42" t="s">
        <v>587</v>
      </c>
      <c r="B31" s="43">
        <v>1.24</v>
      </c>
      <c r="C31" s="43">
        <v>4.92</v>
      </c>
      <c r="D31" s="43">
        <v>6.16</v>
      </c>
      <c r="E31" s="43">
        <v>5.99</v>
      </c>
      <c r="F31" s="43">
        <v>2</v>
      </c>
      <c r="G31" s="43">
        <v>29.07</v>
      </c>
      <c r="H31" s="43">
        <v>19.68</v>
      </c>
      <c r="I31" s="43">
        <v>5.21</v>
      </c>
      <c r="J31" s="28" t="s">
        <v>15</v>
      </c>
      <c r="K31" s="28" t="s">
        <v>15</v>
      </c>
      <c r="L31" s="28" t="s">
        <v>15</v>
      </c>
      <c r="M31" s="28" t="s">
        <v>15</v>
      </c>
      <c r="N31" s="28" t="s">
        <v>15</v>
      </c>
      <c r="O31" s="28" t="s">
        <v>15</v>
      </c>
      <c r="P31" s="43">
        <v>0.02</v>
      </c>
      <c r="Q31" s="43">
        <v>10</v>
      </c>
      <c r="R31" s="41"/>
      <c r="S31" s="41"/>
      <c r="T31" s="41"/>
      <c r="U31" s="41"/>
    </row>
    <row r="32" spans="1:21" customFormat="1">
      <c r="A32" s="42" t="s">
        <v>588</v>
      </c>
      <c r="B32" s="43">
        <v>1.37</v>
      </c>
      <c r="C32" s="43">
        <v>4.8499999999999996</v>
      </c>
      <c r="D32" s="43">
        <v>6.08</v>
      </c>
      <c r="E32" s="43">
        <v>6.13</v>
      </c>
      <c r="F32" s="43">
        <v>2</v>
      </c>
      <c r="G32" s="43">
        <v>29.78</v>
      </c>
      <c r="H32" s="43">
        <v>19.68</v>
      </c>
      <c r="I32" s="43">
        <v>4.83</v>
      </c>
      <c r="J32" s="28" t="s">
        <v>15</v>
      </c>
      <c r="K32" s="28" t="s">
        <v>15</v>
      </c>
      <c r="L32" s="28" t="s">
        <v>15</v>
      </c>
      <c r="M32" s="28" t="s">
        <v>15</v>
      </c>
      <c r="N32" s="28" t="s">
        <v>15</v>
      </c>
      <c r="O32" s="28" t="s">
        <v>15</v>
      </c>
      <c r="P32" s="43">
        <v>0.02</v>
      </c>
      <c r="Q32" s="43">
        <v>10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1.24</v>
      </c>
      <c r="C34" s="18">
        <f t="shared" si="0"/>
        <v>4.8499999999999996</v>
      </c>
      <c r="D34" s="18">
        <f t="shared" si="0"/>
        <v>6.08</v>
      </c>
      <c r="E34" s="18">
        <f t="shared" si="0"/>
        <v>0</v>
      </c>
      <c r="F34" s="18">
        <f t="shared" si="0"/>
        <v>2</v>
      </c>
      <c r="G34" s="18">
        <f t="shared" si="0"/>
        <v>29.07</v>
      </c>
      <c r="H34" s="18">
        <f t="shared" si="0"/>
        <v>10.35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0.02</v>
      </c>
      <c r="Q34" s="18">
        <f t="shared" si="0"/>
        <v>9.94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7.57</v>
      </c>
      <c r="C35" s="3">
        <f t="shared" si="1"/>
        <v>6.94</v>
      </c>
      <c r="D35" s="3">
        <f t="shared" si="1"/>
        <v>13.77</v>
      </c>
      <c r="E35" s="3">
        <f t="shared" si="1"/>
        <v>6.24</v>
      </c>
      <c r="F35" s="3">
        <f t="shared" si="1"/>
        <v>5.48</v>
      </c>
      <c r="G35" s="3">
        <f t="shared" si="1"/>
        <v>88.91</v>
      </c>
      <c r="H35" s="3">
        <f t="shared" si="1"/>
        <v>33.17</v>
      </c>
      <c r="I35" s="3">
        <f t="shared" si="1"/>
        <v>7.51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0.4</v>
      </c>
      <c r="Q35" s="3">
        <f t="shared" si="1"/>
        <v>40.549999999999997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4.5433333333333339</v>
      </c>
      <c r="C36" s="18">
        <f t="shared" si="2"/>
        <v>6.006666666666665</v>
      </c>
      <c r="D36" s="18">
        <f t="shared" si="2"/>
        <v>10.48625</v>
      </c>
      <c r="E36" s="18">
        <f t="shared" si="2"/>
        <v>4.9470833333333335</v>
      </c>
      <c r="F36" s="18">
        <f t="shared" si="2"/>
        <v>2.2458333333333331</v>
      </c>
      <c r="G36" s="18">
        <f t="shared" si="2"/>
        <v>56.213750000000005</v>
      </c>
      <c r="H36" s="18">
        <f t="shared" si="2"/>
        <v>21.584999999999997</v>
      </c>
      <c r="I36" s="18">
        <f t="shared" si="2"/>
        <v>6.1404166666666669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>
        <f t="shared" si="2"/>
        <v>0.21874999999999997</v>
      </c>
      <c r="Q36" s="18">
        <f t="shared" si="2"/>
        <v>12.547499999999999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1.9851353401822702</v>
      </c>
      <c r="C37" s="18">
        <f t="shared" ref="C37:Q37" si="3">STDEV(C9:C32)</f>
        <v>0.55772571306556473</v>
      </c>
      <c r="D37" s="18">
        <f t="shared" si="3"/>
        <v>2.3061577541349036</v>
      </c>
      <c r="E37" s="18">
        <f t="shared" si="3"/>
        <v>2.0376957983631061</v>
      </c>
      <c r="F37" s="18">
        <f t="shared" si="3"/>
        <v>0.81772173786668423</v>
      </c>
      <c r="G37" s="18">
        <f t="shared" si="3"/>
        <v>19.960477647961767</v>
      </c>
      <c r="H37" s="18">
        <f t="shared" si="3"/>
        <v>6.0475643677937754</v>
      </c>
      <c r="I37" s="18">
        <f t="shared" si="3"/>
        <v>1.5171468621887836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>
        <f t="shared" si="3"/>
        <v>0.15735068836975194</v>
      </c>
      <c r="Q37" s="18">
        <f t="shared" si="3"/>
        <v>7.0617772427404537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96"/>
  <sheetViews>
    <sheetView zoomScale="85" zoomScaleNormal="85" workbookViewId="0">
      <pane xSplit="1" ySplit="8" topLeftCell="B12" activePane="bottomRight" state="frozen"/>
      <selection activeCell="G19" sqref="G19"/>
      <selection pane="topRight" activeCell="G19" sqref="G19"/>
      <selection pane="bottomLeft" activeCell="G19" sqref="G19"/>
      <selection pane="bottomRight" activeCell="J36" sqref="J36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23/09/2025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589</v>
      </c>
      <c r="B9" s="43">
        <v>3.37</v>
      </c>
      <c r="C9" s="43">
        <v>4.99</v>
      </c>
      <c r="D9" s="43">
        <v>8.2200000000000006</v>
      </c>
      <c r="E9" s="43">
        <v>5.73</v>
      </c>
      <c r="F9" s="43">
        <v>2</v>
      </c>
      <c r="G9" s="43">
        <v>29.78</v>
      </c>
      <c r="H9" s="43">
        <v>21.12</v>
      </c>
      <c r="I9" s="43">
        <v>4.72</v>
      </c>
      <c r="J9" s="24" t="s">
        <v>14</v>
      </c>
      <c r="K9" s="24" t="s">
        <v>14</v>
      </c>
      <c r="L9" s="24" t="s">
        <v>14</v>
      </c>
      <c r="M9" s="24" t="s">
        <v>14</v>
      </c>
      <c r="N9" s="24" t="s">
        <v>14</v>
      </c>
      <c r="O9" s="24" t="s">
        <v>14</v>
      </c>
      <c r="P9" s="43">
        <v>0</v>
      </c>
      <c r="Q9" s="43">
        <v>10</v>
      </c>
      <c r="R9" s="41"/>
      <c r="S9" s="41"/>
      <c r="T9" s="41"/>
      <c r="U9" s="41"/>
    </row>
    <row r="10" spans="1:21" customFormat="1">
      <c r="A10" s="42" t="s">
        <v>590</v>
      </c>
      <c r="B10" s="43">
        <v>3.78</v>
      </c>
      <c r="C10" s="43">
        <v>4.91</v>
      </c>
      <c r="D10" s="43">
        <v>8.6199999999999992</v>
      </c>
      <c r="E10" s="43">
        <v>5.69</v>
      </c>
      <c r="F10" s="43">
        <v>2</v>
      </c>
      <c r="G10" s="43">
        <v>32.799999999999997</v>
      </c>
      <c r="H10" s="43">
        <v>21.12</v>
      </c>
      <c r="I10" s="43">
        <v>4.84</v>
      </c>
      <c r="J10" s="24" t="s">
        <v>14</v>
      </c>
      <c r="K10" s="24" t="s">
        <v>14</v>
      </c>
      <c r="L10" s="24" t="s">
        <v>14</v>
      </c>
      <c r="M10" s="24" t="s">
        <v>14</v>
      </c>
      <c r="N10" s="24" t="s">
        <v>14</v>
      </c>
      <c r="O10" s="24" t="s">
        <v>14</v>
      </c>
      <c r="P10" s="43">
        <v>0</v>
      </c>
      <c r="Q10" s="43">
        <v>10</v>
      </c>
      <c r="R10" s="41"/>
      <c r="S10" s="41"/>
      <c r="T10" s="41"/>
      <c r="U10" s="41"/>
    </row>
    <row r="11" spans="1:21" customFormat="1">
      <c r="A11" s="42" t="s">
        <v>591</v>
      </c>
      <c r="B11" s="43">
        <v>4.24</v>
      </c>
      <c r="C11" s="43">
        <v>5.05</v>
      </c>
      <c r="D11" s="43">
        <v>9.2899999999999991</v>
      </c>
      <c r="E11" s="43">
        <v>5.8</v>
      </c>
      <c r="F11" s="43">
        <v>2</v>
      </c>
      <c r="G11" s="43">
        <v>32.799999999999997</v>
      </c>
      <c r="H11" s="43">
        <v>18.47</v>
      </c>
      <c r="I11" s="43">
        <v>4.91</v>
      </c>
      <c r="J11" s="24" t="s">
        <v>14</v>
      </c>
      <c r="K11" s="24" t="s">
        <v>14</v>
      </c>
      <c r="L11" s="24" t="s">
        <v>14</v>
      </c>
      <c r="M11" s="24" t="s">
        <v>14</v>
      </c>
      <c r="N11" s="24" t="s">
        <v>14</v>
      </c>
      <c r="O11" s="24" t="s">
        <v>14</v>
      </c>
      <c r="P11" s="43">
        <v>0</v>
      </c>
      <c r="Q11" s="43">
        <v>10</v>
      </c>
      <c r="R11" s="41"/>
      <c r="S11" s="41"/>
      <c r="T11" s="41"/>
      <c r="U11" s="41"/>
    </row>
    <row r="12" spans="1:21" customFormat="1">
      <c r="A12" s="42" t="s">
        <v>592</v>
      </c>
      <c r="B12" s="43">
        <v>4.6100000000000003</v>
      </c>
      <c r="C12" s="43">
        <v>5.04</v>
      </c>
      <c r="D12" s="43">
        <v>9.57</v>
      </c>
      <c r="E12" s="43">
        <v>5.74</v>
      </c>
      <c r="F12" s="43">
        <v>2</v>
      </c>
      <c r="G12" s="43">
        <v>28.25</v>
      </c>
      <c r="H12" s="43">
        <v>18.47</v>
      </c>
      <c r="I12" s="43">
        <v>5.16</v>
      </c>
      <c r="J12" s="24" t="s">
        <v>14</v>
      </c>
      <c r="K12" s="24" t="s">
        <v>14</v>
      </c>
      <c r="L12" s="24" t="s">
        <v>14</v>
      </c>
      <c r="M12" s="24" t="s">
        <v>14</v>
      </c>
      <c r="N12" s="24" t="s">
        <v>14</v>
      </c>
      <c r="O12" s="24" t="s">
        <v>14</v>
      </c>
      <c r="P12" s="43">
        <v>0</v>
      </c>
      <c r="Q12" s="43">
        <v>10</v>
      </c>
      <c r="R12" s="41"/>
      <c r="S12" s="41"/>
      <c r="T12" s="41"/>
      <c r="U12" s="41"/>
    </row>
    <row r="13" spans="1:21" customFormat="1">
      <c r="A13" s="42" t="s">
        <v>593</v>
      </c>
      <c r="B13" s="43">
        <v>4.8</v>
      </c>
      <c r="C13" s="43">
        <v>5.36</v>
      </c>
      <c r="D13" s="43">
        <v>10.08</v>
      </c>
      <c r="E13" s="43">
        <v>5.93</v>
      </c>
      <c r="F13" s="43">
        <v>2</v>
      </c>
      <c r="G13" s="43">
        <v>27.67</v>
      </c>
      <c r="H13" s="43">
        <v>16.489999999999998</v>
      </c>
      <c r="I13" s="43">
        <v>5.84</v>
      </c>
      <c r="J13" s="24" t="s">
        <v>14</v>
      </c>
      <c r="K13" s="24" t="s">
        <v>14</v>
      </c>
      <c r="L13" s="24" t="s">
        <v>14</v>
      </c>
      <c r="M13" s="24" t="s">
        <v>14</v>
      </c>
      <c r="N13" s="24" t="s">
        <v>14</v>
      </c>
      <c r="O13" s="24" t="s">
        <v>14</v>
      </c>
      <c r="P13" s="43">
        <v>0.04</v>
      </c>
      <c r="Q13" s="43">
        <v>10</v>
      </c>
      <c r="R13" s="41"/>
      <c r="S13" s="41"/>
      <c r="T13" s="41"/>
      <c r="U13" s="41"/>
    </row>
    <row r="14" spans="1:21" customFormat="1">
      <c r="A14" s="42" t="s">
        <v>594</v>
      </c>
      <c r="B14" s="43">
        <v>4.83</v>
      </c>
      <c r="C14" s="43">
        <v>5.53</v>
      </c>
      <c r="D14" s="43">
        <v>10.35</v>
      </c>
      <c r="E14" s="43">
        <v>5.97</v>
      </c>
      <c r="F14" s="43">
        <v>2</v>
      </c>
      <c r="G14" s="43">
        <v>30.3</v>
      </c>
      <c r="H14" s="43">
        <v>15.79</v>
      </c>
      <c r="I14" s="43">
        <v>8.2799999999999994</v>
      </c>
      <c r="J14" s="24" t="s">
        <v>14</v>
      </c>
      <c r="K14" s="24" t="s">
        <v>14</v>
      </c>
      <c r="L14" s="24" t="s">
        <v>14</v>
      </c>
      <c r="M14" s="24" t="s">
        <v>14</v>
      </c>
      <c r="N14" s="24" t="s">
        <v>14</v>
      </c>
      <c r="O14" s="24" t="s">
        <v>14</v>
      </c>
      <c r="P14" s="43">
        <v>0.12</v>
      </c>
      <c r="Q14" s="43">
        <v>10</v>
      </c>
      <c r="R14" s="41"/>
      <c r="S14" s="41"/>
      <c r="T14" s="41"/>
      <c r="U14" s="41"/>
    </row>
    <row r="15" spans="1:21" customFormat="1">
      <c r="A15" s="42" t="s">
        <v>595</v>
      </c>
      <c r="B15" s="43">
        <v>5.01</v>
      </c>
      <c r="C15" s="43">
        <v>5.65</v>
      </c>
      <c r="D15" s="43">
        <v>10.61</v>
      </c>
      <c r="E15" s="43">
        <v>6.18</v>
      </c>
      <c r="F15" s="43">
        <v>2</v>
      </c>
      <c r="G15" s="43">
        <v>39.15</v>
      </c>
      <c r="H15" s="43">
        <v>17.86</v>
      </c>
      <c r="I15" s="43">
        <v>9.2200000000000006</v>
      </c>
      <c r="J15" s="24" t="s">
        <v>14</v>
      </c>
      <c r="K15" s="24" t="s">
        <v>14</v>
      </c>
      <c r="L15" s="24" t="s">
        <v>14</v>
      </c>
      <c r="M15" s="24" t="s">
        <v>14</v>
      </c>
      <c r="N15" s="24" t="s">
        <v>14</v>
      </c>
      <c r="O15" s="24" t="s">
        <v>14</v>
      </c>
      <c r="P15" s="43">
        <v>0.13</v>
      </c>
      <c r="Q15" s="43">
        <v>10</v>
      </c>
      <c r="R15" s="41"/>
      <c r="S15" s="41"/>
      <c r="T15" s="41"/>
      <c r="U15" s="41"/>
    </row>
    <row r="16" spans="1:21" customFormat="1">
      <c r="A16" s="42" t="s">
        <v>596</v>
      </c>
      <c r="B16" s="43">
        <v>5.28</v>
      </c>
      <c r="C16" s="43">
        <v>5.75</v>
      </c>
      <c r="D16" s="43">
        <v>11.04</v>
      </c>
      <c r="E16" s="43">
        <v>6.28</v>
      </c>
      <c r="F16" s="43">
        <v>2</v>
      </c>
      <c r="G16" s="43">
        <v>42.13</v>
      </c>
      <c r="H16" s="43">
        <v>17.86</v>
      </c>
      <c r="I16" s="43">
        <v>9.2200000000000006</v>
      </c>
      <c r="J16" s="24" t="s">
        <v>14</v>
      </c>
      <c r="K16" s="24" t="s">
        <v>14</v>
      </c>
      <c r="L16" s="24" t="s">
        <v>14</v>
      </c>
      <c r="M16" s="24" t="s">
        <v>14</v>
      </c>
      <c r="N16" s="24" t="s">
        <v>14</v>
      </c>
      <c r="O16" s="24" t="s">
        <v>14</v>
      </c>
      <c r="P16" s="43">
        <v>0.14000000000000001</v>
      </c>
      <c r="Q16" s="43">
        <v>10</v>
      </c>
      <c r="R16" s="41"/>
      <c r="S16" s="41"/>
      <c r="T16" s="41"/>
      <c r="U16" s="41"/>
    </row>
    <row r="17" spans="1:21" customFormat="1">
      <c r="A17" s="42" t="s">
        <v>597</v>
      </c>
      <c r="B17" s="43">
        <v>5.64</v>
      </c>
      <c r="C17" s="43">
        <v>6.07</v>
      </c>
      <c r="D17" s="43">
        <v>11.64</v>
      </c>
      <c r="E17" s="43">
        <v>6.35</v>
      </c>
      <c r="F17" s="43">
        <v>2</v>
      </c>
      <c r="G17" s="43">
        <v>50.55</v>
      </c>
      <c r="H17" s="43">
        <v>17.88</v>
      </c>
      <c r="I17" s="43">
        <v>9.26</v>
      </c>
      <c r="J17" s="24" t="s">
        <v>14</v>
      </c>
      <c r="K17" s="24" t="s">
        <v>14</v>
      </c>
      <c r="L17" s="24" t="s">
        <v>14</v>
      </c>
      <c r="M17" s="24" t="s">
        <v>14</v>
      </c>
      <c r="N17" s="24" t="s">
        <v>14</v>
      </c>
      <c r="O17" s="24" t="s">
        <v>14</v>
      </c>
      <c r="P17" s="43">
        <v>0.13</v>
      </c>
      <c r="Q17" s="43">
        <v>10</v>
      </c>
      <c r="R17" s="41"/>
      <c r="S17" s="41"/>
      <c r="T17" s="41"/>
      <c r="U17" s="41"/>
    </row>
    <row r="18" spans="1:21" customFormat="1">
      <c r="A18" s="42" t="s">
        <v>598</v>
      </c>
      <c r="B18" s="43">
        <v>5.65</v>
      </c>
      <c r="C18" s="43">
        <v>6.44</v>
      </c>
      <c r="D18" s="43">
        <v>12.09</v>
      </c>
      <c r="E18" s="43">
        <v>6.32</v>
      </c>
      <c r="F18" s="43">
        <v>2</v>
      </c>
      <c r="G18" s="43">
        <v>66.260000000000005</v>
      </c>
      <c r="H18" s="43">
        <v>29.97</v>
      </c>
      <c r="I18" s="43">
        <v>9.0399999999999991</v>
      </c>
      <c r="J18" s="24" t="s">
        <v>14</v>
      </c>
      <c r="K18" s="24" t="s">
        <v>14</v>
      </c>
      <c r="L18" s="24" t="s">
        <v>14</v>
      </c>
      <c r="M18" s="24" t="s">
        <v>14</v>
      </c>
      <c r="N18" s="24" t="s">
        <v>14</v>
      </c>
      <c r="O18" s="24" t="s">
        <v>14</v>
      </c>
      <c r="P18" s="43">
        <v>0.13</v>
      </c>
      <c r="Q18" s="43">
        <v>10</v>
      </c>
      <c r="R18" s="41"/>
      <c r="S18" s="41"/>
      <c r="T18" s="41"/>
      <c r="U18" s="41"/>
    </row>
    <row r="19" spans="1:21" customFormat="1">
      <c r="A19" s="42" t="s">
        <v>599</v>
      </c>
      <c r="B19" s="43">
        <v>5.88</v>
      </c>
      <c r="C19" s="43">
        <v>9.6199999999999992</v>
      </c>
      <c r="D19" s="43">
        <v>13.37</v>
      </c>
      <c r="E19" s="43">
        <v>4.5999999999999996</v>
      </c>
      <c r="F19" s="43">
        <v>5.01</v>
      </c>
      <c r="G19" s="43">
        <v>83.58</v>
      </c>
      <c r="H19" s="43">
        <v>29.97</v>
      </c>
      <c r="I19" s="43">
        <v>8.9600000000000009</v>
      </c>
      <c r="J19" s="24" t="s">
        <v>14</v>
      </c>
      <c r="K19" s="24" t="s">
        <v>14</v>
      </c>
      <c r="L19" s="24" t="s">
        <v>14</v>
      </c>
      <c r="M19" s="24" t="s">
        <v>14</v>
      </c>
      <c r="N19" s="24" t="s">
        <v>14</v>
      </c>
      <c r="O19" s="24" t="s">
        <v>14</v>
      </c>
      <c r="P19" s="43">
        <v>0.17</v>
      </c>
      <c r="Q19" s="43">
        <v>10</v>
      </c>
      <c r="R19" s="41"/>
      <c r="S19" s="41"/>
      <c r="T19" s="41"/>
      <c r="U19" s="41"/>
    </row>
    <row r="20" spans="1:21" customFormat="1">
      <c r="A20" s="42" t="s">
        <v>600</v>
      </c>
      <c r="B20" s="43">
        <v>5.03</v>
      </c>
      <c r="C20" s="43">
        <v>17.309999999999999</v>
      </c>
      <c r="D20" s="43">
        <v>22.34</v>
      </c>
      <c r="E20" s="43">
        <v>9.27</v>
      </c>
      <c r="F20" s="43">
        <v>18.149999999999999</v>
      </c>
      <c r="G20" s="10" t="s">
        <v>12</v>
      </c>
      <c r="H20" s="10" t="s">
        <v>12</v>
      </c>
      <c r="I20" s="43">
        <v>8.15</v>
      </c>
      <c r="J20" s="43">
        <v>0.42</v>
      </c>
      <c r="K20" s="43">
        <v>352.35</v>
      </c>
      <c r="L20" s="24" t="s">
        <v>14</v>
      </c>
      <c r="M20" s="43">
        <v>26.24</v>
      </c>
      <c r="N20" s="43">
        <v>359.2</v>
      </c>
      <c r="O20" s="43">
        <v>0</v>
      </c>
      <c r="P20" s="43">
        <v>0.2</v>
      </c>
      <c r="Q20" s="43">
        <v>10</v>
      </c>
      <c r="R20" s="41"/>
      <c r="S20" s="41"/>
      <c r="T20" s="41"/>
      <c r="U20" s="41"/>
    </row>
    <row r="21" spans="1:21" customFormat="1">
      <c r="A21" s="42" t="s">
        <v>601</v>
      </c>
      <c r="B21" s="43">
        <v>3.7</v>
      </c>
      <c r="C21" s="43">
        <v>13.13</v>
      </c>
      <c r="D21" s="43">
        <v>16.52</v>
      </c>
      <c r="E21" s="43">
        <v>5.77</v>
      </c>
      <c r="F21" s="43">
        <v>14.28</v>
      </c>
      <c r="G21" s="43">
        <v>76.48</v>
      </c>
      <c r="H21" s="43">
        <v>23.83</v>
      </c>
      <c r="I21" s="43">
        <v>6.8</v>
      </c>
      <c r="J21" s="43">
        <v>0.73</v>
      </c>
      <c r="K21" s="43">
        <v>33.270000000000003</v>
      </c>
      <c r="L21" s="24" t="s">
        <v>14</v>
      </c>
      <c r="M21" s="43">
        <v>17.68</v>
      </c>
      <c r="N21" s="43">
        <v>388.8</v>
      </c>
      <c r="O21" s="43">
        <v>0</v>
      </c>
      <c r="P21" s="43">
        <v>0.13</v>
      </c>
      <c r="Q21" s="43">
        <v>10</v>
      </c>
      <c r="R21" s="41"/>
      <c r="S21" s="41"/>
      <c r="T21" s="41"/>
      <c r="U21" s="41"/>
    </row>
    <row r="22" spans="1:21" customFormat="1">
      <c r="A22" s="42" t="s">
        <v>602</v>
      </c>
      <c r="B22" s="43">
        <v>3.86</v>
      </c>
      <c r="C22" s="43">
        <v>10.039999999999999</v>
      </c>
      <c r="D22" s="43">
        <v>13.74</v>
      </c>
      <c r="E22" s="43">
        <v>5.68</v>
      </c>
      <c r="F22" s="43">
        <v>16.23</v>
      </c>
      <c r="G22" s="43">
        <v>81.94</v>
      </c>
      <c r="H22" s="43">
        <v>23.83</v>
      </c>
      <c r="I22" s="43">
        <v>6.49</v>
      </c>
      <c r="J22" s="43">
        <v>0.57999999999999996</v>
      </c>
      <c r="K22" s="43">
        <v>28.12</v>
      </c>
      <c r="L22" s="24" t="s">
        <v>14</v>
      </c>
      <c r="M22" s="43">
        <v>14.67</v>
      </c>
      <c r="N22" s="43">
        <v>199.2</v>
      </c>
      <c r="O22" s="43">
        <v>0</v>
      </c>
      <c r="P22" s="43">
        <v>0.09</v>
      </c>
      <c r="Q22" s="43">
        <v>10</v>
      </c>
      <c r="R22" s="41"/>
      <c r="S22" s="41"/>
      <c r="T22" s="41"/>
      <c r="U22" s="41"/>
    </row>
    <row r="23" spans="1:21" customFormat="1">
      <c r="A23" s="42" t="s">
        <v>603</v>
      </c>
      <c r="B23" s="43">
        <v>3.59</v>
      </c>
      <c r="C23" s="43">
        <v>9.24</v>
      </c>
      <c r="D23" s="43">
        <v>12.83</v>
      </c>
      <c r="E23" s="43">
        <v>5.91</v>
      </c>
      <c r="F23" s="43">
        <v>9.25</v>
      </c>
      <c r="G23" s="43">
        <v>88.42</v>
      </c>
      <c r="H23" s="43">
        <v>24.5</v>
      </c>
      <c r="I23" s="43">
        <v>6.12</v>
      </c>
      <c r="J23" s="43">
        <v>0.46</v>
      </c>
      <c r="K23" s="43">
        <v>353.91</v>
      </c>
      <c r="L23" s="24" t="s">
        <v>14</v>
      </c>
      <c r="M23" s="43">
        <v>30.61</v>
      </c>
      <c r="N23" s="43">
        <v>363</v>
      </c>
      <c r="O23" s="43">
        <v>0</v>
      </c>
      <c r="P23" s="43">
        <v>0.4</v>
      </c>
      <c r="Q23" s="43">
        <v>10</v>
      </c>
      <c r="R23" s="41"/>
      <c r="S23" s="41"/>
      <c r="T23" s="41"/>
      <c r="U23" s="41"/>
    </row>
    <row r="24" spans="1:21" customFormat="1">
      <c r="A24" s="42" t="s">
        <v>604</v>
      </c>
      <c r="B24" s="43">
        <v>3.11</v>
      </c>
      <c r="C24" s="43">
        <v>8.66</v>
      </c>
      <c r="D24" s="43">
        <v>11.77</v>
      </c>
      <c r="E24" s="43">
        <v>5.54</v>
      </c>
      <c r="F24" s="43">
        <v>11.07</v>
      </c>
      <c r="G24" s="43">
        <v>88.42</v>
      </c>
      <c r="H24" s="43">
        <v>24.5</v>
      </c>
      <c r="I24" s="43">
        <v>6.05</v>
      </c>
      <c r="J24" s="43">
        <v>0.39</v>
      </c>
      <c r="K24" s="43">
        <v>200.5</v>
      </c>
      <c r="L24" s="24" t="s">
        <v>14</v>
      </c>
      <c r="M24" s="43">
        <v>28.64</v>
      </c>
      <c r="N24" s="43">
        <v>98.6</v>
      </c>
      <c r="O24" s="43">
        <v>0</v>
      </c>
      <c r="P24" s="43">
        <v>0.39</v>
      </c>
      <c r="Q24" s="43">
        <v>10</v>
      </c>
      <c r="R24" s="41"/>
      <c r="S24" s="41"/>
      <c r="T24" s="41"/>
      <c r="U24" s="41"/>
    </row>
    <row r="25" spans="1:21" customFormat="1">
      <c r="A25" s="42" t="s">
        <v>605</v>
      </c>
      <c r="B25" s="43">
        <v>2.39</v>
      </c>
      <c r="C25" s="43">
        <v>7.39</v>
      </c>
      <c r="D25" s="43">
        <v>9.77</v>
      </c>
      <c r="E25" s="43">
        <v>5.38</v>
      </c>
      <c r="F25" s="43">
        <v>6.52</v>
      </c>
      <c r="G25" s="43">
        <v>86.81</v>
      </c>
      <c r="H25" s="43">
        <v>25.06</v>
      </c>
      <c r="I25" s="43">
        <v>5.76</v>
      </c>
      <c r="J25" s="43">
        <v>0.33</v>
      </c>
      <c r="K25" s="43">
        <v>243.43</v>
      </c>
      <c r="L25" s="24" t="s">
        <v>14</v>
      </c>
      <c r="M25" s="43">
        <v>32.729999999999997</v>
      </c>
      <c r="N25" s="43">
        <v>60.9</v>
      </c>
      <c r="O25" s="43">
        <v>0</v>
      </c>
      <c r="P25" s="43">
        <v>0.37</v>
      </c>
      <c r="Q25" s="43">
        <v>10</v>
      </c>
      <c r="R25" s="41"/>
      <c r="S25" s="41"/>
      <c r="T25" s="41"/>
      <c r="U25" s="41"/>
    </row>
    <row r="26" spans="1:21" customFormat="1">
      <c r="A26" s="42" t="s">
        <v>606</v>
      </c>
      <c r="B26" s="43">
        <v>2.0499999999999998</v>
      </c>
      <c r="C26" s="43">
        <v>6.08</v>
      </c>
      <c r="D26" s="43">
        <v>8.1300000000000008</v>
      </c>
      <c r="E26" s="43">
        <v>4.84</v>
      </c>
      <c r="F26" s="43">
        <v>5.73</v>
      </c>
      <c r="G26" s="43">
        <v>82.01</v>
      </c>
      <c r="H26" s="43">
        <v>25.06</v>
      </c>
      <c r="I26" s="43">
        <v>5.5</v>
      </c>
      <c r="J26" s="43">
        <v>0.37</v>
      </c>
      <c r="K26" s="43">
        <v>248.58</v>
      </c>
      <c r="L26" s="24" t="s">
        <v>14</v>
      </c>
      <c r="M26" s="43">
        <v>36.200000000000003</v>
      </c>
      <c r="N26" s="43">
        <v>32.4</v>
      </c>
      <c r="O26" s="43">
        <v>0</v>
      </c>
      <c r="P26" s="43">
        <v>0.34</v>
      </c>
      <c r="Q26" s="43">
        <v>10</v>
      </c>
      <c r="R26" s="41"/>
      <c r="S26" s="41"/>
      <c r="T26" s="41"/>
      <c r="U26" s="41"/>
    </row>
    <row r="27" spans="1:21" customFormat="1">
      <c r="A27" s="42" t="s">
        <v>607</v>
      </c>
      <c r="B27" s="43">
        <v>2.08</v>
      </c>
      <c r="C27" s="43">
        <v>5.5</v>
      </c>
      <c r="D27" s="43">
        <v>7.54</v>
      </c>
      <c r="E27" s="43">
        <v>4.67</v>
      </c>
      <c r="F27" s="43">
        <v>4.8099999999999996</v>
      </c>
      <c r="G27" s="43">
        <v>65.86</v>
      </c>
      <c r="H27" s="43">
        <v>20.82</v>
      </c>
      <c r="I27" s="43">
        <v>5.26</v>
      </c>
      <c r="J27" s="43">
        <v>0.62</v>
      </c>
      <c r="K27" s="43">
        <v>255.33</v>
      </c>
      <c r="L27" s="24" t="s">
        <v>14</v>
      </c>
      <c r="M27" s="43">
        <v>37.78</v>
      </c>
      <c r="N27" s="43">
        <v>2.7</v>
      </c>
      <c r="O27" s="43">
        <v>0</v>
      </c>
      <c r="P27" s="43">
        <v>0.32</v>
      </c>
      <c r="Q27" s="43">
        <v>10</v>
      </c>
      <c r="R27" s="41"/>
      <c r="S27" s="41"/>
      <c r="T27" s="41"/>
      <c r="U27" s="41"/>
    </row>
    <row r="28" spans="1:21" customFormat="1">
      <c r="A28" s="42" t="s">
        <v>608</v>
      </c>
      <c r="B28" s="43">
        <v>2.2200000000000002</v>
      </c>
      <c r="C28" s="43">
        <v>5.87</v>
      </c>
      <c r="D28" s="43">
        <v>7.95</v>
      </c>
      <c r="E28" s="43">
        <v>5.05</v>
      </c>
      <c r="F28" s="43">
        <v>9.15</v>
      </c>
      <c r="G28" s="43">
        <v>50.35</v>
      </c>
      <c r="H28" s="43">
        <v>17.73</v>
      </c>
      <c r="I28" s="43">
        <v>5.67</v>
      </c>
      <c r="J28" s="43">
        <v>0.31</v>
      </c>
      <c r="K28" s="43">
        <v>248.56</v>
      </c>
      <c r="L28" s="24" t="s">
        <v>14</v>
      </c>
      <c r="M28" s="43">
        <v>36.29</v>
      </c>
      <c r="N28" s="43">
        <v>2.6</v>
      </c>
      <c r="O28" s="43">
        <v>0</v>
      </c>
      <c r="P28" s="43">
        <v>0.31</v>
      </c>
      <c r="Q28" s="43">
        <v>10</v>
      </c>
      <c r="R28" s="41"/>
      <c r="S28" s="41"/>
      <c r="T28" s="41"/>
      <c r="U28" s="41"/>
    </row>
    <row r="29" spans="1:21" customFormat="1">
      <c r="A29" s="42" t="s">
        <v>609</v>
      </c>
      <c r="B29" s="43">
        <v>2.64</v>
      </c>
      <c r="C29" s="43">
        <v>5.72</v>
      </c>
      <c r="D29" s="43">
        <v>8.11</v>
      </c>
      <c r="E29" s="43">
        <v>4.3099999999999996</v>
      </c>
      <c r="F29" s="43">
        <v>11.04</v>
      </c>
      <c r="G29" s="43">
        <v>50.35</v>
      </c>
      <c r="H29" s="43">
        <v>16.52</v>
      </c>
      <c r="I29" s="43">
        <v>5.84</v>
      </c>
      <c r="J29" s="43">
        <v>0.13</v>
      </c>
      <c r="K29" s="43">
        <v>221.65</v>
      </c>
      <c r="L29" s="24" t="s">
        <v>14</v>
      </c>
      <c r="M29" s="43">
        <v>29.29</v>
      </c>
      <c r="N29" s="43">
        <v>2.4</v>
      </c>
      <c r="O29" s="43">
        <v>0</v>
      </c>
      <c r="P29" s="43">
        <v>0.28000000000000003</v>
      </c>
      <c r="Q29" s="43">
        <v>10</v>
      </c>
      <c r="R29" s="41"/>
      <c r="S29" s="41"/>
      <c r="T29" s="41"/>
      <c r="U29" s="41"/>
    </row>
    <row r="30" spans="1:21" customFormat="1">
      <c r="A30" s="42" t="s">
        <v>610</v>
      </c>
      <c r="B30" s="43">
        <v>2.95</v>
      </c>
      <c r="C30" s="43">
        <v>5.37</v>
      </c>
      <c r="D30" s="43">
        <v>8.23</v>
      </c>
      <c r="E30" s="43">
        <v>4.8099999999999996</v>
      </c>
      <c r="F30" s="43">
        <v>7.71</v>
      </c>
      <c r="G30" s="43">
        <v>36.69</v>
      </c>
      <c r="H30" s="43">
        <v>15.45</v>
      </c>
      <c r="I30" s="43">
        <v>5.78</v>
      </c>
      <c r="J30" s="43">
        <v>0.46</v>
      </c>
      <c r="K30" s="43">
        <v>252.29</v>
      </c>
      <c r="L30" s="24" t="s">
        <v>14</v>
      </c>
      <c r="M30" s="43">
        <v>37.729999999999997</v>
      </c>
      <c r="N30" s="43">
        <v>2.4</v>
      </c>
      <c r="O30" s="43">
        <v>0</v>
      </c>
      <c r="P30" s="43">
        <v>0.27</v>
      </c>
      <c r="Q30" s="43">
        <v>10</v>
      </c>
      <c r="R30" s="41"/>
      <c r="S30" s="41"/>
      <c r="T30" s="41"/>
      <c r="U30" s="41"/>
    </row>
    <row r="31" spans="1:21" customFormat="1">
      <c r="A31" s="42" t="s">
        <v>611</v>
      </c>
      <c r="B31" s="43">
        <v>3.11</v>
      </c>
      <c r="C31" s="43">
        <v>5.24</v>
      </c>
      <c r="D31" s="43">
        <v>8.35</v>
      </c>
      <c r="E31" s="43">
        <v>4.72</v>
      </c>
      <c r="F31" s="43">
        <v>7.6</v>
      </c>
      <c r="G31" s="43">
        <v>38.42</v>
      </c>
      <c r="H31" s="43">
        <v>15.86</v>
      </c>
      <c r="I31" s="43">
        <v>5.72</v>
      </c>
      <c r="J31" s="43">
        <v>0.36</v>
      </c>
      <c r="K31" s="43">
        <v>253.14</v>
      </c>
      <c r="L31" s="24" t="s">
        <v>14</v>
      </c>
      <c r="M31" s="43">
        <v>37.46</v>
      </c>
      <c r="N31" s="43">
        <v>2.4</v>
      </c>
      <c r="O31" s="43">
        <v>0</v>
      </c>
      <c r="P31" s="43">
        <v>0.26</v>
      </c>
      <c r="Q31" s="43">
        <v>10</v>
      </c>
      <c r="R31" s="41"/>
      <c r="S31" s="41"/>
      <c r="T31" s="41"/>
      <c r="U31" s="41"/>
    </row>
    <row r="32" spans="1:21" customFormat="1">
      <c r="A32" s="42" t="s">
        <v>612</v>
      </c>
      <c r="B32" s="43">
        <v>3.36</v>
      </c>
      <c r="C32" s="43">
        <v>5.73</v>
      </c>
      <c r="D32" s="43">
        <v>8.99</v>
      </c>
      <c r="E32" s="43">
        <v>4.78</v>
      </c>
      <c r="F32" s="43">
        <v>4.75</v>
      </c>
      <c r="G32" s="43">
        <v>38.42</v>
      </c>
      <c r="H32" s="43">
        <v>15.86</v>
      </c>
      <c r="I32" s="43">
        <v>6.1</v>
      </c>
      <c r="J32" s="43">
        <v>0.27</v>
      </c>
      <c r="K32" s="43">
        <v>247.99</v>
      </c>
      <c r="L32" s="24" t="s">
        <v>14</v>
      </c>
      <c r="M32" s="43">
        <v>36.82</v>
      </c>
      <c r="N32" s="43">
        <v>2.2999999999999998</v>
      </c>
      <c r="O32" s="43">
        <v>0</v>
      </c>
      <c r="P32" s="43">
        <v>0.3</v>
      </c>
      <c r="Q32" s="43">
        <v>10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2.0499999999999998</v>
      </c>
      <c r="C34" s="18">
        <f t="shared" si="0"/>
        <v>4.91</v>
      </c>
      <c r="D34" s="18">
        <f t="shared" si="0"/>
        <v>7.54</v>
      </c>
      <c r="E34" s="18">
        <f t="shared" si="0"/>
        <v>4.3099999999999996</v>
      </c>
      <c r="F34" s="18">
        <f t="shared" si="0"/>
        <v>2</v>
      </c>
      <c r="G34" s="18">
        <f t="shared" si="0"/>
        <v>27.67</v>
      </c>
      <c r="H34" s="18">
        <f t="shared" si="0"/>
        <v>15.45</v>
      </c>
      <c r="I34" s="18">
        <f t="shared" si="0"/>
        <v>4.72</v>
      </c>
      <c r="J34" s="18">
        <f t="shared" si="0"/>
        <v>0.13</v>
      </c>
      <c r="K34" s="18">
        <f t="shared" si="0"/>
        <v>28.12</v>
      </c>
      <c r="L34" s="18">
        <f t="shared" si="0"/>
        <v>0</v>
      </c>
      <c r="M34" s="18">
        <f t="shared" si="0"/>
        <v>14.67</v>
      </c>
      <c r="N34" s="18">
        <f t="shared" si="0"/>
        <v>2.2999999999999998</v>
      </c>
      <c r="O34" s="18">
        <f t="shared" si="0"/>
        <v>0</v>
      </c>
      <c r="P34" s="18">
        <f t="shared" si="0"/>
        <v>0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5.88</v>
      </c>
      <c r="C35" s="3">
        <f t="shared" si="1"/>
        <v>17.309999999999999</v>
      </c>
      <c r="D35" s="3">
        <f t="shared" si="1"/>
        <v>22.34</v>
      </c>
      <c r="E35" s="3">
        <f t="shared" si="1"/>
        <v>9.27</v>
      </c>
      <c r="F35" s="3">
        <f t="shared" si="1"/>
        <v>18.149999999999999</v>
      </c>
      <c r="G35" s="3">
        <f t="shared" si="1"/>
        <v>88.42</v>
      </c>
      <c r="H35" s="3">
        <f t="shared" si="1"/>
        <v>29.97</v>
      </c>
      <c r="I35" s="3">
        <f t="shared" si="1"/>
        <v>9.26</v>
      </c>
      <c r="J35" s="3">
        <f t="shared" si="1"/>
        <v>0.73</v>
      </c>
      <c r="K35" s="3">
        <f t="shared" si="1"/>
        <v>353.91</v>
      </c>
      <c r="L35" s="3">
        <f t="shared" si="1"/>
        <v>0</v>
      </c>
      <c r="M35" s="3">
        <f t="shared" si="1"/>
        <v>37.78</v>
      </c>
      <c r="N35" s="3">
        <f t="shared" si="1"/>
        <v>388.8</v>
      </c>
      <c r="O35" s="3">
        <f t="shared" si="1"/>
        <v>0</v>
      </c>
      <c r="P35" s="3">
        <f t="shared" si="1"/>
        <v>0.4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3.8825000000000003</v>
      </c>
      <c r="C36" s="18">
        <f t="shared" si="2"/>
        <v>7.0704166666666666</v>
      </c>
      <c r="D36" s="18">
        <f t="shared" si="2"/>
        <v>10.797916666666667</v>
      </c>
      <c r="E36" s="18">
        <f t="shared" si="2"/>
        <v>5.6383333333333345</v>
      </c>
      <c r="F36" s="18">
        <f t="shared" si="2"/>
        <v>6.3041666666666671</v>
      </c>
      <c r="G36" s="18">
        <f t="shared" si="2"/>
        <v>54.236521739130424</v>
      </c>
      <c r="H36" s="18">
        <f t="shared" si="2"/>
        <v>20.609565217391303</v>
      </c>
      <c r="I36" s="18">
        <f t="shared" si="2"/>
        <v>6.6120833333333318</v>
      </c>
      <c r="J36" s="18">
        <f t="shared" si="2"/>
        <v>0.4176923076923077</v>
      </c>
      <c r="K36" s="18">
        <f t="shared" si="2"/>
        <v>226.08615384615385</v>
      </c>
      <c r="L36" s="18" t="e">
        <f t="shared" si="2"/>
        <v>#DIV/0!</v>
      </c>
      <c r="M36" s="18">
        <f t="shared" si="2"/>
        <v>30.933846153846154</v>
      </c>
      <c r="N36" s="18">
        <f t="shared" si="2"/>
        <v>116.68461538461541</v>
      </c>
      <c r="O36" s="18">
        <f t="shared" si="2"/>
        <v>0</v>
      </c>
      <c r="P36" s="18">
        <f t="shared" si="2"/>
        <v>0.18833333333333335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1.1980319005696842</v>
      </c>
      <c r="C37" s="18">
        <f t="shared" ref="C37:Q37" si="3">STDEV(C9:C32)</f>
        <v>2.9973226881838158</v>
      </c>
      <c r="D37" s="18">
        <f t="shared" si="3"/>
        <v>3.3273948278765566</v>
      </c>
      <c r="E37" s="18">
        <f t="shared" si="3"/>
        <v>0.98482250295108087</v>
      </c>
      <c r="F37" s="18">
        <f t="shared" si="3"/>
        <v>4.9343119133239846</v>
      </c>
      <c r="G37" s="18">
        <f t="shared" si="3"/>
        <v>22.633207222352745</v>
      </c>
      <c r="H37" s="18">
        <f t="shared" si="3"/>
        <v>4.447197767604874</v>
      </c>
      <c r="I37" s="18">
        <f t="shared" si="3"/>
        <v>1.5759578982642461</v>
      </c>
      <c r="J37" s="18">
        <f t="shared" si="3"/>
        <v>0.15775264636733488</v>
      </c>
      <c r="K37" s="18">
        <f t="shared" si="3"/>
        <v>97.206773386980089</v>
      </c>
      <c r="L37" s="18" t="e">
        <f t="shared" si="3"/>
        <v>#DIV/0!</v>
      </c>
      <c r="M37" s="18">
        <f t="shared" si="3"/>
        <v>7.6388268497869394</v>
      </c>
      <c r="N37" s="18">
        <f t="shared" si="3"/>
        <v>155.23046761806484</v>
      </c>
      <c r="O37" s="18">
        <f t="shared" si="3"/>
        <v>0</v>
      </c>
      <c r="P37" s="18">
        <f t="shared" si="3"/>
        <v>0.1320298604784956</v>
      </c>
      <c r="Q37" s="18">
        <f t="shared" si="3"/>
        <v>0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>COUNT(G9:G32)+1</f>
        <v>24</v>
      </c>
      <c r="H38" s="37">
        <f>COUNT(H9:H32)+1</f>
        <v>24</v>
      </c>
      <c r="I38" s="37">
        <f t="shared" si="4"/>
        <v>24</v>
      </c>
      <c r="J38" s="37">
        <f>COUNT(J9:J32)+11</f>
        <v>24</v>
      </c>
      <c r="K38" s="37">
        <f t="shared" ref="K38:O38" si="5">COUNT(K9:K32)+11</f>
        <v>24</v>
      </c>
      <c r="L38" s="37">
        <f>COUNT(L9:L32)+24</f>
        <v>24</v>
      </c>
      <c r="M38" s="37">
        <f t="shared" si="5"/>
        <v>24</v>
      </c>
      <c r="N38" s="37">
        <f t="shared" si="5"/>
        <v>24</v>
      </c>
      <c r="O38" s="37">
        <f t="shared" si="5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6">IF(C38&gt;=22,"&gt;90%",IF(C38&lt;=22,"&lt;90%"))</f>
        <v>&gt;90%</v>
      </c>
      <c r="D39" s="3" t="str">
        <f t="shared" si="6"/>
        <v>&gt;90%</v>
      </c>
      <c r="E39" s="3" t="str">
        <f t="shared" si="6"/>
        <v>&gt;90%</v>
      </c>
      <c r="F39" s="3" t="str">
        <f t="shared" si="6"/>
        <v>&gt;90%</v>
      </c>
      <c r="G39" s="3" t="str">
        <f t="shared" si="6"/>
        <v>&gt;90%</v>
      </c>
      <c r="H39" s="3" t="str">
        <f t="shared" si="6"/>
        <v>&gt;90%</v>
      </c>
      <c r="I39" s="3" t="str">
        <f t="shared" si="6"/>
        <v>&gt;90%</v>
      </c>
      <c r="J39" s="3" t="str">
        <f t="shared" si="6"/>
        <v>&gt;90%</v>
      </c>
      <c r="K39" s="3" t="str">
        <f t="shared" si="6"/>
        <v>&gt;90%</v>
      </c>
      <c r="L39" s="3" t="str">
        <f t="shared" si="6"/>
        <v>&gt;90%</v>
      </c>
      <c r="M39" s="3" t="str">
        <f t="shared" si="6"/>
        <v>&gt;90%</v>
      </c>
      <c r="N39" s="3" t="str">
        <f t="shared" si="6"/>
        <v>&gt;90%</v>
      </c>
      <c r="O39" s="3" t="str">
        <f t="shared" si="6"/>
        <v>&gt;90%</v>
      </c>
      <c r="P39" s="3" t="str">
        <f t="shared" si="6"/>
        <v>&gt;90%</v>
      </c>
      <c r="Q39" s="3" t="str">
        <f t="shared" si="6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7">IF(C38&gt;=22,"OK",IF(C38&lt;=22,"LESS"))</f>
        <v>OK</v>
      </c>
      <c r="D40" s="3" t="str">
        <f t="shared" si="7"/>
        <v>OK</v>
      </c>
      <c r="E40" s="3" t="str">
        <f t="shared" si="7"/>
        <v>OK</v>
      </c>
      <c r="F40" s="3" t="str">
        <f t="shared" si="7"/>
        <v>OK</v>
      </c>
      <c r="G40" s="3" t="str">
        <f t="shared" si="7"/>
        <v>OK</v>
      </c>
      <c r="H40" s="3" t="str">
        <f t="shared" si="7"/>
        <v>OK</v>
      </c>
      <c r="I40" s="3" t="str">
        <f t="shared" si="7"/>
        <v>OK</v>
      </c>
      <c r="J40" s="3" t="str">
        <f t="shared" si="7"/>
        <v>OK</v>
      </c>
      <c r="K40" s="3" t="str">
        <f t="shared" si="7"/>
        <v>OK</v>
      </c>
      <c r="L40" s="3" t="str">
        <f t="shared" si="7"/>
        <v>OK</v>
      </c>
      <c r="M40" s="3" t="str">
        <f t="shared" si="7"/>
        <v>OK</v>
      </c>
      <c r="N40" s="3" t="str">
        <f t="shared" si="7"/>
        <v>OK</v>
      </c>
      <c r="O40" s="3" t="str">
        <f t="shared" si="7"/>
        <v>OK</v>
      </c>
      <c r="P40" s="3" t="str">
        <f t="shared" si="7"/>
        <v>OK</v>
      </c>
      <c r="Q40" s="3" t="str">
        <f t="shared" si="7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L23" sqref="L2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24/09/2025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613</v>
      </c>
      <c r="B9" s="43">
        <v>3.79</v>
      </c>
      <c r="C9" s="43">
        <v>5.77</v>
      </c>
      <c r="D9" s="43">
        <v>9.5500000000000007</v>
      </c>
      <c r="E9" s="43">
        <v>4.92</v>
      </c>
      <c r="F9" s="43">
        <v>2.36</v>
      </c>
      <c r="G9" s="43">
        <v>34.06</v>
      </c>
      <c r="H9" s="43">
        <v>13.53</v>
      </c>
      <c r="I9" s="43">
        <v>6.74</v>
      </c>
      <c r="J9" s="43">
        <v>0.28000000000000003</v>
      </c>
      <c r="K9" s="43">
        <v>244.31</v>
      </c>
      <c r="L9" s="43">
        <v>24.3</v>
      </c>
      <c r="M9" s="43">
        <v>36.44</v>
      </c>
      <c r="N9" s="43">
        <v>2.2999999999999998</v>
      </c>
      <c r="O9" s="43">
        <v>0.2</v>
      </c>
      <c r="P9" s="43">
        <v>0.38</v>
      </c>
      <c r="Q9" s="43">
        <v>10</v>
      </c>
      <c r="R9" s="41"/>
      <c r="S9" s="41"/>
      <c r="T9" s="41"/>
      <c r="U9" s="41"/>
    </row>
    <row r="10" spans="1:21" customFormat="1">
      <c r="A10" s="42" t="s">
        <v>614</v>
      </c>
      <c r="B10" s="43">
        <v>3.89</v>
      </c>
      <c r="C10" s="43">
        <v>5.83</v>
      </c>
      <c r="D10" s="43">
        <v>9.66</v>
      </c>
      <c r="E10" s="43">
        <v>5.07</v>
      </c>
      <c r="F10" s="43">
        <v>2.0099999999999998</v>
      </c>
      <c r="G10" s="43">
        <v>34.06</v>
      </c>
      <c r="H10" s="43">
        <v>12.96</v>
      </c>
      <c r="I10" s="43">
        <v>7.86</v>
      </c>
      <c r="J10" s="43">
        <v>0.5</v>
      </c>
      <c r="K10" s="43">
        <v>255.79</v>
      </c>
      <c r="L10" s="43">
        <v>25.6</v>
      </c>
      <c r="M10" s="43">
        <v>39.5</v>
      </c>
      <c r="N10" s="43">
        <v>2.8</v>
      </c>
      <c r="O10" s="43">
        <v>0</v>
      </c>
      <c r="P10" s="43">
        <v>0.45</v>
      </c>
      <c r="Q10" s="43">
        <v>10</v>
      </c>
      <c r="R10" s="41"/>
      <c r="S10" s="41"/>
      <c r="T10" s="41"/>
      <c r="U10" s="41"/>
    </row>
    <row r="11" spans="1:21" customFormat="1">
      <c r="A11" s="42" t="s">
        <v>615</v>
      </c>
      <c r="B11" s="43">
        <v>3.92</v>
      </c>
      <c r="C11" s="43">
        <v>5.91</v>
      </c>
      <c r="D11" s="43">
        <v>9.83</v>
      </c>
      <c r="E11" s="43">
        <v>6.39</v>
      </c>
      <c r="F11" s="43">
        <v>2</v>
      </c>
      <c r="G11" s="43">
        <v>41.75</v>
      </c>
      <c r="H11" s="43">
        <v>12.95</v>
      </c>
      <c r="I11" s="43">
        <v>11.09</v>
      </c>
      <c r="J11" s="43">
        <v>0.56000000000000005</v>
      </c>
      <c r="K11" s="43">
        <v>256.58999999999997</v>
      </c>
      <c r="L11" s="43">
        <v>25.6</v>
      </c>
      <c r="M11" s="43">
        <v>38.81</v>
      </c>
      <c r="N11" s="43">
        <v>3.2</v>
      </c>
      <c r="O11" s="43">
        <v>0.2</v>
      </c>
      <c r="P11" s="43">
        <v>0.53</v>
      </c>
      <c r="Q11" s="43">
        <v>10</v>
      </c>
      <c r="R11" s="41"/>
      <c r="S11" s="41"/>
      <c r="T11" s="41"/>
      <c r="U11" s="41"/>
    </row>
    <row r="12" spans="1:21" customFormat="1">
      <c r="A12" s="42" t="s">
        <v>616</v>
      </c>
      <c r="B12" s="43">
        <v>4.01</v>
      </c>
      <c r="C12" s="43">
        <v>5.81</v>
      </c>
      <c r="D12" s="43">
        <v>9.74</v>
      </c>
      <c r="E12" s="43">
        <v>6.3</v>
      </c>
      <c r="F12" s="43">
        <v>2</v>
      </c>
      <c r="G12" s="43">
        <v>45.36</v>
      </c>
      <c r="H12" s="43">
        <v>19.11</v>
      </c>
      <c r="I12" s="43">
        <v>12</v>
      </c>
      <c r="J12" s="43">
        <v>0.38</v>
      </c>
      <c r="K12" s="43">
        <v>253.09</v>
      </c>
      <c r="L12" s="43">
        <v>25.6</v>
      </c>
      <c r="M12" s="43">
        <v>39.090000000000003</v>
      </c>
      <c r="N12" s="43">
        <v>2.6</v>
      </c>
      <c r="O12" s="43">
        <v>0.4</v>
      </c>
      <c r="P12" s="43">
        <v>0.54</v>
      </c>
      <c r="Q12" s="43">
        <v>10</v>
      </c>
      <c r="R12" s="41"/>
      <c r="S12" s="41"/>
      <c r="T12" s="41"/>
      <c r="U12" s="41"/>
    </row>
    <row r="13" spans="1:21" customFormat="1">
      <c r="A13" s="42" t="s">
        <v>617</v>
      </c>
      <c r="B13" s="43">
        <v>4.08</v>
      </c>
      <c r="C13" s="43">
        <v>5.73</v>
      </c>
      <c r="D13" s="43">
        <v>9.73</v>
      </c>
      <c r="E13" s="43">
        <v>6.25</v>
      </c>
      <c r="F13" s="43">
        <v>2</v>
      </c>
      <c r="G13" s="43">
        <v>45.36</v>
      </c>
      <c r="H13" s="43">
        <v>19.11</v>
      </c>
      <c r="I13" s="43">
        <v>11.88</v>
      </c>
      <c r="J13" s="43">
        <v>0.24</v>
      </c>
      <c r="K13" s="43">
        <v>251.01</v>
      </c>
      <c r="L13" s="43">
        <v>25.6</v>
      </c>
      <c r="M13" s="43">
        <v>37.03</v>
      </c>
      <c r="N13" s="43">
        <v>2.7</v>
      </c>
      <c r="O13" s="43">
        <v>0.4</v>
      </c>
      <c r="P13" s="43">
        <v>0.52</v>
      </c>
      <c r="Q13" s="43">
        <v>10</v>
      </c>
      <c r="R13" s="41"/>
      <c r="S13" s="41"/>
      <c r="T13" s="41"/>
      <c r="U13" s="41"/>
    </row>
    <row r="14" spans="1:21" customFormat="1">
      <c r="A14" s="42" t="s">
        <v>618</v>
      </c>
      <c r="B14" s="43">
        <v>4.6100000000000003</v>
      </c>
      <c r="C14" s="43">
        <v>5.37</v>
      </c>
      <c r="D14" s="43">
        <v>9.7100000000000009</v>
      </c>
      <c r="E14" s="43">
        <v>6.23</v>
      </c>
      <c r="F14" s="43">
        <v>2.34</v>
      </c>
      <c r="G14" s="43">
        <v>43.04</v>
      </c>
      <c r="H14" s="43">
        <v>16.239999999999998</v>
      </c>
      <c r="I14" s="43">
        <v>11.82</v>
      </c>
      <c r="J14" s="43">
        <v>0.28999999999999998</v>
      </c>
      <c r="K14" s="43">
        <v>254.3</v>
      </c>
      <c r="L14" s="43">
        <v>25.6</v>
      </c>
      <c r="M14" s="43">
        <v>37.39</v>
      </c>
      <c r="N14" s="43">
        <v>3.7</v>
      </c>
      <c r="O14" s="43">
        <v>0.2</v>
      </c>
      <c r="P14" s="43">
        <v>0.52</v>
      </c>
      <c r="Q14" s="43">
        <v>10</v>
      </c>
      <c r="R14" s="41"/>
      <c r="S14" s="41"/>
      <c r="T14" s="41"/>
      <c r="U14" s="41"/>
    </row>
    <row r="15" spans="1:21" customFormat="1">
      <c r="A15" s="42" t="s">
        <v>619</v>
      </c>
      <c r="B15" s="43">
        <v>5.05</v>
      </c>
      <c r="C15" s="43">
        <v>5.16</v>
      </c>
      <c r="D15" s="43">
        <v>10.199999999999999</v>
      </c>
      <c r="E15" s="43">
        <v>6.07</v>
      </c>
      <c r="F15" s="43">
        <v>2.4900000000000002</v>
      </c>
      <c r="G15" s="43">
        <v>38.76</v>
      </c>
      <c r="H15" s="43">
        <v>18.05</v>
      </c>
      <c r="I15" s="43">
        <v>11.67</v>
      </c>
      <c r="J15" s="43">
        <v>0.39</v>
      </c>
      <c r="K15" s="43">
        <v>255.04</v>
      </c>
      <c r="L15" s="43">
        <v>25.6</v>
      </c>
      <c r="M15" s="43">
        <v>38.49</v>
      </c>
      <c r="N15" s="43">
        <v>14.9</v>
      </c>
      <c r="O15" s="43">
        <v>0</v>
      </c>
      <c r="P15" s="43">
        <v>0.46</v>
      </c>
      <c r="Q15" s="43">
        <v>10</v>
      </c>
      <c r="R15" s="41"/>
      <c r="S15" s="41"/>
      <c r="T15" s="41"/>
      <c r="U15" s="41"/>
    </row>
    <row r="16" spans="1:21" customFormat="1">
      <c r="A16" s="42" t="s">
        <v>620</v>
      </c>
      <c r="B16" s="43">
        <v>5.47</v>
      </c>
      <c r="C16" s="43">
        <v>5.38</v>
      </c>
      <c r="D16" s="43">
        <v>10.79</v>
      </c>
      <c r="E16" s="43">
        <v>6.2</v>
      </c>
      <c r="F16" s="43">
        <v>2.21</v>
      </c>
      <c r="G16" s="43">
        <v>37.64</v>
      </c>
      <c r="H16" s="43">
        <v>18.05</v>
      </c>
      <c r="I16" s="43">
        <v>11.3</v>
      </c>
      <c r="J16" s="43">
        <v>0.34</v>
      </c>
      <c r="K16" s="43">
        <v>252.59</v>
      </c>
      <c r="L16" s="43">
        <v>25.6</v>
      </c>
      <c r="M16" s="43">
        <v>38.159999999999997</v>
      </c>
      <c r="N16" s="43">
        <v>9.6999999999999993</v>
      </c>
      <c r="O16" s="43">
        <v>0.6</v>
      </c>
      <c r="P16" s="43">
        <v>0.47</v>
      </c>
      <c r="Q16" s="43">
        <v>10</v>
      </c>
      <c r="R16" s="41"/>
      <c r="S16" s="41"/>
      <c r="T16" s="41"/>
      <c r="U16" s="41"/>
    </row>
    <row r="17" spans="1:21" customFormat="1">
      <c r="A17" s="42" t="s">
        <v>621</v>
      </c>
      <c r="B17" s="43">
        <v>6.23</v>
      </c>
      <c r="C17" s="43">
        <v>5.65</v>
      </c>
      <c r="D17" s="43">
        <v>11.76</v>
      </c>
      <c r="E17" s="43">
        <v>6.23</v>
      </c>
      <c r="F17" s="43">
        <v>2.12</v>
      </c>
      <c r="G17" s="43">
        <v>33.61</v>
      </c>
      <c r="H17" s="43">
        <v>15.29</v>
      </c>
      <c r="I17" s="43">
        <v>11.19</v>
      </c>
      <c r="J17" s="43">
        <v>0.24</v>
      </c>
      <c r="K17" s="43">
        <v>279.51</v>
      </c>
      <c r="L17" s="43">
        <v>25.6</v>
      </c>
      <c r="M17" s="43">
        <v>40.130000000000003</v>
      </c>
      <c r="N17" s="43">
        <v>5</v>
      </c>
      <c r="O17" s="43">
        <v>2.4</v>
      </c>
      <c r="P17" s="43">
        <v>0.48</v>
      </c>
      <c r="Q17" s="43">
        <v>10</v>
      </c>
      <c r="R17" s="41"/>
      <c r="S17" s="41"/>
      <c r="T17" s="41"/>
      <c r="U17" s="41"/>
    </row>
    <row r="18" spans="1:21" customFormat="1">
      <c r="A18" s="42" t="s">
        <v>622</v>
      </c>
      <c r="B18" s="43">
        <v>7.06</v>
      </c>
      <c r="C18" s="43">
        <v>6.22</v>
      </c>
      <c r="D18" s="43">
        <v>13.27</v>
      </c>
      <c r="E18" s="43">
        <v>6.24</v>
      </c>
      <c r="F18" s="43">
        <v>2</v>
      </c>
      <c r="G18" s="43">
        <v>36.03</v>
      </c>
      <c r="H18" s="43">
        <v>15.29</v>
      </c>
      <c r="I18" s="43">
        <v>10.97</v>
      </c>
      <c r="J18" s="43">
        <v>0.7</v>
      </c>
      <c r="K18" s="43">
        <v>300.43</v>
      </c>
      <c r="L18" s="43">
        <v>25.6</v>
      </c>
      <c r="M18" s="43">
        <v>41.75</v>
      </c>
      <c r="N18" s="43">
        <v>7.9</v>
      </c>
      <c r="O18" s="43">
        <v>5</v>
      </c>
      <c r="P18" s="43">
        <v>0.5</v>
      </c>
      <c r="Q18" s="43">
        <v>10.67</v>
      </c>
      <c r="R18" s="41"/>
      <c r="S18" s="41"/>
      <c r="T18" s="41"/>
      <c r="U18" s="41"/>
    </row>
    <row r="19" spans="1:21" customFormat="1">
      <c r="A19" s="42" t="s">
        <v>623</v>
      </c>
      <c r="B19" s="43">
        <v>7.09</v>
      </c>
      <c r="C19" s="43">
        <v>7.42</v>
      </c>
      <c r="D19" s="43">
        <v>14.27</v>
      </c>
      <c r="E19" s="43">
        <v>6.29</v>
      </c>
      <c r="F19" s="43">
        <v>2.33</v>
      </c>
      <c r="G19" s="43">
        <v>36.03</v>
      </c>
      <c r="H19" s="43">
        <v>13.44</v>
      </c>
      <c r="I19" s="43">
        <v>10.85</v>
      </c>
      <c r="J19" s="43">
        <v>0.65</v>
      </c>
      <c r="K19" s="43">
        <v>317.05</v>
      </c>
      <c r="L19" s="43">
        <v>25.6</v>
      </c>
      <c r="M19" s="43">
        <v>44.99</v>
      </c>
      <c r="N19" s="43">
        <v>11.9</v>
      </c>
      <c r="O19" s="43">
        <v>3.4</v>
      </c>
      <c r="P19" s="43">
        <v>0.52</v>
      </c>
      <c r="Q19" s="43">
        <v>10</v>
      </c>
      <c r="R19" s="41"/>
      <c r="S19" s="41"/>
      <c r="T19" s="41"/>
      <c r="U19" s="41"/>
    </row>
    <row r="20" spans="1:21" customFormat="1">
      <c r="A20" s="42" t="s">
        <v>624</v>
      </c>
      <c r="B20" s="43">
        <v>5.52</v>
      </c>
      <c r="C20" s="43">
        <v>12.07</v>
      </c>
      <c r="D20" s="43">
        <v>17.22</v>
      </c>
      <c r="E20" s="43">
        <v>4.97</v>
      </c>
      <c r="F20" s="43">
        <v>4.26</v>
      </c>
      <c r="G20" s="43">
        <v>31.87</v>
      </c>
      <c r="H20" s="43">
        <v>15.74</v>
      </c>
      <c r="I20" s="43">
        <v>9.98</v>
      </c>
      <c r="J20" s="43">
        <v>0.91</v>
      </c>
      <c r="K20" s="43">
        <v>319.14999999999998</v>
      </c>
      <c r="L20" s="43">
        <v>26.33</v>
      </c>
      <c r="M20" s="43">
        <v>47.75</v>
      </c>
      <c r="N20" s="43">
        <v>21.5</v>
      </c>
      <c r="O20" s="43">
        <v>3.2</v>
      </c>
      <c r="P20" s="43">
        <v>0.46</v>
      </c>
      <c r="Q20" s="43">
        <v>17.25</v>
      </c>
      <c r="R20" s="41"/>
      <c r="S20" s="41"/>
      <c r="T20" s="41"/>
      <c r="U20" s="41"/>
    </row>
    <row r="21" spans="1:21" customFormat="1">
      <c r="A21" s="42" t="s">
        <v>625</v>
      </c>
      <c r="B21" s="43">
        <v>4.34</v>
      </c>
      <c r="C21" s="43">
        <v>11.04</v>
      </c>
      <c r="D21" s="43">
        <v>14.96</v>
      </c>
      <c r="E21" s="43">
        <v>4.9400000000000004</v>
      </c>
      <c r="F21" s="43">
        <v>5.58</v>
      </c>
      <c r="G21" s="43">
        <v>30.27</v>
      </c>
      <c r="H21" s="43">
        <v>15.74</v>
      </c>
      <c r="I21" s="43">
        <v>7.52</v>
      </c>
      <c r="J21" s="43">
        <v>0.85</v>
      </c>
      <c r="K21" s="43">
        <v>290.95999999999998</v>
      </c>
      <c r="L21" s="43">
        <v>25.74</v>
      </c>
      <c r="M21" s="43">
        <v>45.68</v>
      </c>
      <c r="N21" s="43">
        <v>24.2</v>
      </c>
      <c r="O21" s="43">
        <v>1.6</v>
      </c>
      <c r="P21" s="43">
        <v>0.41</v>
      </c>
      <c r="Q21" s="43">
        <v>10</v>
      </c>
      <c r="R21" s="41"/>
      <c r="S21" s="41"/>
      <c r="T21" s="41"/>
      <c r="U21" s="41"/>
    </row>
    <row r="22" spans="1:21" customFormat="1">
      <c r="A22" s="42" t="s">
        <v>626</v>
      </c>
      <c r="B22" s="43">
        <v>3.29</v>
      </c>
      <c r="C22" s="43">
        <v>10.66</v>
      </c>
      <c r="D22" s="43">
        <v>13.95</v>
      </c>
      <c r="E22" s="43">
        <v>4.7300000000000004</v>
      </c>
      <c r="F22" s="43">
        <v>8.64</v>
      </c>
      <c r="G22" s="43">
        <v>30.27</v>
      </c>
      <c r="H22" s="43">
        <v>15.33</v>
      </c>
      <c r="I22" s="43">
        <v>6.75</v>
      </c>
      <c r="J22" s="43">
        <v>0.6</v>
      </c>
      <c r="K22" s="43">
        <v>277.44</v>
      </c>
      <c r="L22" s="43">
        <v>24.86</v>
      </c>
      <c r="M22" s="43">
        <v>43.12</v>
      </c>
      <c r="N22" s="43">
        <v>32.6</v>
      </c>
      <c r="O22" s="43">
        <v>0</v>
      </c>
      <c r="P22" s="43">
        <v>0.38</v>
      </c>
      <c r="Q22" s="43">
        <v>10</v>
      </c>
      <c r="R22" s="41"/>
      <c r="S22" s="41"/>
      <c r="T22" s="41"/>
      <c r="U22" s="41"/>
    </row>
    <row r="23" spans="1:21" customFormat="1">
      <c r="A23" s="42" t="s">
        <v>627</v>
      </c>
      <c r="B23" s="43">
        <v>2.33</v>
      </c>
      <c r="C23" s="43">
        <v>10.19</v>
      </c>
      <c r="D23" s="43">
        <v>12.16</v>
      </c>
      <c r="E23" s="43">
        <v>4.3</v>
      </c>
      <c r="F23" s="43">
        <v>5.56</v>
      </c>
      <c r="G23" s="43">
        <v>30.79</v>
      </c>
      <c r="H23" s="43">
        <v>16.190000000000001</v>
      </c>
      <c r="I23" s="43">
        <v>6.33</v>
      </c>
      <c r="J23" s="43">
        <v>0.47</v>
      </c>
      <c r="K23" s="43">
        <v>260.97000000000003</v>
      </c>
      <c r="L23" s="43">
        <v>23.13</v>
      </c>
      <c r="M23" s="43">
        <v>39.479999999999997</v>
      </c>
      <c r="N23" s="43">
        <v>15.3</v>
      </c>
      <c r="O23" s="43">
        <v>0.8</v>
      </c>
      <c r="P23" s="43">
        <v>0.54</v>
      </c>
      <c r="Q23" s="43">
        <v>10</v>
      </c>
      <c r="R23" s="41"/>
      <c r="S23" s="41"/>
      <c r="T23" s="41"/>
      <c r="U23" s="41"/>
    </row>
    <row r="24" spans="1:21" customFormat="1">
      <c r="A24" s="42" t="s">
        <v>628</v>
      </c>
      <c r="B24" s="43">
        <v>3.82</v>
      </c>
      <c r="C24" s="43">
        <v>9.67</v>
      </c>
      <c r="D24" s="43">
        <v>12.85</v>
      </c>
      <c r="E24" s="43">
        <v>4.2699999999999996</v>
      </c>
      <c r="F24" s="43">
        <v>3.21</v>
      </c>
      <c r="G24" s="43">
        <v>31.92</v>
      </c>
      <c r="H24" s="43">
        <v>17.96</v>
      </c>
      <c r="I24" s="43">
        <v>7.84</v>
      </c>
      <c r="J24" s="43">
        <v>0.36</v>
      </c>
      <c r="K24" s="43">
        <v>316.95</v>
      </c>
      <c r="L24" s="43">
        <v>24.88</v>
      </c>
      <c r="M24" s="43">
        <v>43.97</v>
      </c>
      <c r="N24" s="43">
        <v>6.1</v>
      </c>
      <c r="O24" s="43">
        <v>5.6</v>
      </c>
      <c r="P24" s="43">
        <v>0.56000000000000005</v>
      </c>
      <c r="Q24" s="43">
        <v>10</v>
      </c>
      <c r="R24" s="41"/>
      <c r="S24" s="41"/>
      <c r="T24" s="41"/>
      <c r="U24" s="41"/>
    </row>
    <row r="25" spans="1:21" customFormat="1">
      <c r="A25" s="42" t="s">
        <v>629</v>
      </c>
      <c r="B25" s="43">
        <v>5.57</v>
      </c>
      <c r="C25" s="43">
        <v>8.32</v>
      </c>
      <c r="D25" s="43">
        <v>13.32</v>
      </c>
      <c r="E25" s="43">
        <v>4.08</v>
      </c>
      <c r="F25" s="43">
        <v>2.25</v>
      </c>
      <c r="G25" s="43">
        <v>32.799999999999997</v>
      </c>
      <c r="H25" s="43">
        <v>17.96</v>
      </c>
      <c r="I25" s="43">
        <v>9.48</v>
      </c>
      <c r="J25" s="43">
        <v>0.43</v>
      </c>
      <c r="K25" s="43">
        <v>289.69</v>
      </c>
      <c r="L25" s="43">
        <v>25.61</v>
      </c>
      <c r="M25" s="43">
        <v>45.61</v>
      </c>
      <c r="N25" s="43">
        <v>12.5</v>
      </c>
      <c r="O25" s="43">
        <v>1.2</v>
      </c>
      <c r="P25" s="43">
        <v>0.53</v>
      </c>
      <c r="Q25" s="43">
        <v>10</v>
      </c>
      <c r="R25" s="41"/>
      <c r="S25" s="41"/>
      <c r="T25" s="41"/>
      <c r="U25" s="41"/>
    </row>
    <row r="26" spans="1:21" customFormat="1">
      <c r="A26" s="42" t="s">
        <v>630</v>
      </c>
      <c r="B26" s="43">
        <v>6.2</v>
      </c>
      <c r="C26" s="43">
        <v>8.1199999999999992</v>
      </c>
      <c r="D26" s="43">
        <v>13.87</v>
      </c>
      <c r="E26" s="43">
        <v>4.55</v>
      </c>
      <c r="F26" s="43">
        <v>2.2400000000000002</v>
      </c>
      <c r="G26" s="43">
        <v>32.799999999999997</v>
      </c>
      <c r="H26" s="43">
        <v>16.010000000000002</v>
      </c>
      <c r="I26" s="43">
        <v>9.51</v>
      </c>
      <c r="J26" s="43">
        <v>0.45</v>
      </c>
      <c r="K26" s="43">
        <v>255.05</v>
      </c>
      <c r="L26" s="43">
        <v>22.89</v>
      </c>
      <c r="M26" s="43">
        <v>39.130000000000003</v>
      </c>
      <c r="N26" s="43">
        <v>9.6</v>
      </c>
      <c r="O26" s="43">
        <v>0</v>
      </c>
      <c r="P26" s="43">
        <v>0.52</v>
      </c>
      <c r="Q26" s="43">
        <v>12.69</v>
      </c>
      <c r="R26" s="41"/>
      <c r="S26" s="41"/>
      <c r="T26" s="41"/>
      <c r="U26" s="41"/>
    </row>
    <row r="27" spans="1:21" customFormat="1">
      <c r="A27" s="42" t="s">
        <v>631</v>
      </c>
      <c r="B27" s="43">
        <v>6.56</v>
      </c>
      <c r="C27" s="43">
        <v>7.21</v>
      </c>
      <c r="D27" s="43">
        <v>13.68</v>
      </c>
      <c r="E27" s="43">
        <v>5.17</v>
      </c>
      <c r="F27" s="43">
        <v>2.0099999999999998</v>
      </c>
      <c r="G27" s="43">
        <v>29.61</v>
      </c>
      <c r="H27" s="43">
        <v>15.43</v>
      </c>
      <c r="I27" s="43">
        <v>9.48</v>
      </c>
      <c r="J27" s="43">
        <v>0.47</v>
      </c>
      <c r="K27" s="43">
        <v>289.87</v>
      </c>
      <c r="L27" s="43">
        <v>25.11</v>
      </c>
      <c r="M27" s="43">
        <v>44.65</v>
      </c>
      <c r="N27" s="43">
        <v>2.9</v>
      </c>
      <c r="O27" s="43">
        <v>0</v>
      </c>
      <c r="P27" s="43">
        <v>0.53</v>
      </c>
      <c r="Q27" s="43">
        <v>10</v>
      </c>
      <c r="R27" s="41"/>
      <c r="S27" s="41"/>
      <c r="T27" s="41"/>
      <c r="U27" s="41"/>
    </row>
    <row r="28" spans="1:21" customFormat="1">
      <c r="A28" s="42" t="s">
        <v>632</v>
      </c>
      <c r="B28" s="43">
        <v>6.81</v>
      </c>
      <c r="C28" s="43">
        <v>7.86</v>
      </c>
      <c r="D28" s="43">
        <v>14.58</v>
      </c>
      <c r="E28" s="43">
        <v>5.48</v>
      </c>
      <c r="F28" s="43">
        <v>2.11</v>
      </c>
      <c r="G28" s="43">
        <v>29.61</v>
      </c>
      <c r="H28" s="43">
        <v>13.77</v>
      </c>
      <c r="I28" s="43">
        <v>9.42</v>
      </c>
      <c r="J28" s="43">
        <v>0.35</v>
      </c>
      <c r="K28" s="43">
        <v>293.68</v>
      </c>
      <c r="L28" s="43">
        <v>23.41</v>
      </c>
      <c r="M28" s="43">
        <v>40.51</v>
      </c>
      <c r="N28" s="43">
        <v>3.1</v>
      </c>
      <c r="O28" s="43">
        <v>2</v>
      </c>
      <c r="P28" s="43">
        <v>0.55000000000000004</v>
      </c>
      <c r="Q28" s="43">
        <v>10</v>
      </c>
      <c r="R28" s="41"/>
      <c r="S28" s="41"/>
      <c r="T28" s="41"/>
      <c r="U28" s="41"/>
    </row>
    <row r="29" spans="1:21" customFormat="1">
      <c r="A29" s="42" t="s">
        <v>633</v>
      </c>
      <c r="B29" s="43">
        <v>6.71</v>
      </c>
      <c r="C29" s="43">
        <v>7.89</v>
      </c>
      <c r="D29" s="43">
        <v>14.58</v>
      </c>
      <c r="E29" s="43">
        <v>6.14</v>
      </c>
      <c r="F29" s="43">
        <v>2</v>
      </c>
      <c r="G29" s="43">
        <v>26.93</v>
      </c>
      <c r="H29" s="43">
        <v>13.52</v>
      </c>
      <c r="I29" s="43">
        <v>9.27</v>
      </c>
      <c r="J29" s="43">
        <v>0.2</v>
      </c>
      <c r="K29" s="43">
        <v>225.55</v>
      </c>
      <c r="L29" s="43">
        <v>20.73</v>
      </c>
      <c r="M29" s="43">
        <v>33.79</v>
      </c>
      <c r="N29" s="43">
        <v>2.7</v>
      </c>
      <c r="O29" s="43">
        <v>0.8</v>
      </c>
      <c r="P29" s="43">
        <v>0.56000000000000005</v>
      </c>
      <c r="Q29" s="43">
        <v>10</v>
      </c>
      <c r="R29" s="41"/>
      <c r="S29" s="41"/>
      <c r="T29" s="41"/>
      <c r="U29" s="41"/>
    </row>
    <row r="30" spans="1:21" customFormat="1">
      <c r="A30" s="42" t="s">
        <v>634</v>
      </c>
      <c r="B30" s="43">
        <v>6.63</v>
      </c>
      <c r="C30" s="43">
        <v>7.39</v>
      </c>
      <c r="D30" s="43">
        <v>14.02</v>
      </c>
      <c r="E30" s="43">
        <v>6.35</v>
      </c>
      <c r="F30" s="43">
        <v>2.04</v>
      </c>
      <c r="G30" s="43">
        <v>30.62</v>
      </c>
      <c r="H30" s="43">
        <v>15.68</v>
      </c>
      <c r="I30" s="43">
        <v>8.7799999999999994</v>
      </c>
      <c r="J30" s="43">
        <v>0.14000000000000001</v>
      </c>
      <c r="K30" s="43">
        <v>236.95</v>
      </c>
      <c r="L30" s="43">
        <v>20.91</v>
      </c>
      <c r="M30" s="43">
        <v>34.270000000000003</v>
      </c>
      <c r="N30" s="43">
        <v>2.4</v>
      </c>
      <c r="O30" s="43">
        <v>0</v>
      </c>
      <c r="P30" s="43">
        <v>0.56999999999999995</v>
      </c>
      <c r="Q30" s="43">
        <v>10</v>
      </c>
      <c r="R30" s="41"/>
      <c r="S30" s="41"/>
      <c r="T30" s="41"/>
      <c r="U30" s="41"/>
    </row>
    <row r="31" spans="1:21" customFormat="1">
      <c r="A31" s="42" t="s">
        <v>635</v>
      </c>
      <c r="B31" s="43">
        <v>7.63</v>
      </c>
      <c r="C31" s="43">
        <v>7.45</v>
      </c>
      <c r="D31" s="43">
        <v>15.08</v>
      </c>
      <c r="E31" s="43">
        <v>6.47</v>
      </c>
      <c r="F31" s="43">
        <v>2</v>
      </c>
      <c r="G31" s="43">
        <v>32.68</v>
      </c>
      <c r="H31" s="43">
        <v>17</v>
      </c>
      <c r="I31" s="43">
        <v>8.5299999999999994</v>
      </c>
      <c r="J31" s="43">
        <v>0.23</v>
      </c>
      <c r="K31" s="43">
        <v>349.91</v>
      </c>
      <c r="L31" s="43">
        <v>19.7</v>
      </c>
      <c r="M31" s="43">
        <v>31.11</v>
      </c>
      <c r="N31" s="43">
        <v>3</v>
      </c>
      <c r="O31" s="43">
        <v>2.4</v>
      </c>
      <c r="P31" s="43">
        <v>0.62</v>
      </c>
      <c r="Q31" s="43">
        <v>10.43</v>
      </c>
      <c r="R31" s="41"/>
      <c r="S31" s="41"/>
      <c r="T31" s="41"/>
      <c r="U31" s="41"/>
    </row>
    <row r="32" spans="1:21" customFormat="1">
      <c r="A32" s="42" t="s">
        <v>636</v>
      </c>
      <c r="B32" s="43">
        <v>7.46</v>
      </c>
      <c r="C32" s="43">
        <v>7.54</v>
      </c>
      <c r="D32" s="43">
        <v>15</v>
      </c>
      <c r="E32" s="43">
        <v>6.88</v>
      </c>
      <c r="F32" s="43">
        <v>2.0099999999999998</v>
      </c>
      <c r="G32" s="43">
        <v>32.85</v>
      </c>
      <c r="H32" s="43">
        <v>18.760000000000002</v>
      </c>
      <c r="I32" s="43">
        <v>8.6</v>
      </c>
      <c r="J32" s="43">
        <v>0.44</v>
      </c>
      <c r="K32" s="43">
        <v>310.47000000000003</v>
      </c>
      <c r="L32" s="43">
        <v>27.19</v>
      </c>
      <c r="M32" s="43">
        <v>49.68</v>
      </c>
      <c r="N32" s="43">
        <v>3.5</v>
      </c>
      <c r="O32" s="43">
        <v>9.6</v>
      </c>
      <c r="P32" s="43">
        <v>0.6</v>
      </c>
      <c r="Q32" s="43">
        <v>10.48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2.33</v>
      </c>
      <c r="C34" s="18">
        <f t="shared" si="0"/>
        <v>5.16</v>
      </c>
      <c r="D34" s="18">
        <f t="shared" si="0"/>
        <v>9.5500000000000007</v>
      </c>
      <c r="E34" s="18">
        <f t="shared" si="0"/>
        <v>4.08</v>
      </c>
      <c r="F34" s="18">
        <f t="shared" si="0"/>
        <v>2</v>
      </c>
      <c r="G34" s="18">
        <f t="shared" si="0"/>
        <v>26.93</v>
      </c>
      <c r="H34" s="18">
        <f t="shared" si="0"/>
        <v>12.95</v>
      </c>
      <c r="I34" s="18">
        <f t="shared" si="0"/>
        <v>6.33</v>
      </c>
      <c r="J34" s="18">
        <f t="shared" si="0"/>
        <v>0.14000000000000001</v>
      </c>
      <c r="K34" s="18">
        <f t="shared" si="0"/>
        <v>225.55</v>
      </c>
      <c r="L34" s="18">
        <f t="shared" si="0"/>
        <v>19.7</v>
      </c>
      <c r="M34" s="18">
        <f t="shared" si="0"/>
        <v>31.11</v>
      </c>
      <c r="N34" s="18">
        <f t="shared" si="0"/>
        <v>2.2999999999999998</v>
      </c>
      <c r="O34" s="18">
        <f t="shared" si="0"/>
        <v>0</v>
      </c>
      <c r="P34" s="18">
        <f t="shared" si="0"/>
        <v>0.38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7.63</v>
      </c>
      <c r="C35" s="3">
        <f t="shared" si="1"/>
        <v>12.07</v>
      </c>
      <c r="D35" s="3">
        <f t="shared" si="1"/>
        <v>17.22</v>
      </c>
      <c r="E35" s="3">
        <f t="shared" si="1"/>
        <v>6.88</v>
      </c>
      <c r="F35" s="3">
        <f t="shared" si="1"/>
        <v>8.64</v>
      </c>
      <c r="G35" s="3">
        <f t="shared" si="1"/>
        <v>45.36</v>
      </c>
      <c r="H35" s="3">
        <f t="shared" si="1"/>
        <v>19.11</v>
      </c>
      <c r="I35" s="3">
        <f t="shared" si="1"/>
        <v>12</v>
      </c>
      <c r="J35" s="3">
        <f t="shared" si="1"/>
        <v>0.91</v>
      </c>
      <c r="K35" s="3">
        <f t="shared" si="1"/>
        <v>349.91</v>
      </c>
      <c r="L35" s="3">
        <f t="shared" si="1"/>
        <v>27.19</v>
      </c>
      <c r="M35" s="3">
        <f t="shared" si="1"/>
        <v>49.68</v>
      </c>
      <c r="N35" s="3">
        <f t="shared" si="1"/>
        <v>32.6</v>
      </c>
      <c r="O35" s="3">
        <f t="shared" si="1"/>
        <v>9.6</v>
      </c>
      <c r="P35" s="3">
        <f t="shared" si="1"/>
        <v>0.62</v>
      </c>
      <c r="Q35" s="3">
        <f t="shared" si="1"/>
        <v>17.25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5.3362499999999997</v>
      </c>
      <c r="C36" s="18">
        <f t="shared" si="2"/>
        <v>7.485833333333332</v>
      </c>
      <c r="D36" s="18">
        <f t="shared" si="2"/>
        <v>12.657499999999999</v>
      </c>
      <c r="E36" s="18">
        <f t="shared" si="2"/>
        <v>5.6049999999999995</v>
      </c>
      <c r="F36" s="18">
        <f t="shared" si="2"/>
        <v>2.82375</v>
      </c>
      <c r="G36" s="18">
        <f t="shared" si="2"/>
        <v>34.529999999999994</v>
      </c>
      <c r="H36" s="18">
        <f t="shared" si="2"/>
        <v>15.962916666666665</v>
      </c>
      <c r="I36" s="18">
        <f t="shared" si="2"/>
        <v>9.5358333333333327</v>
      </c>
      <c r="J36" s="18">
        <f t="shared" si="2"/>
        <v>0.43624999999999997</v>
      </c>
      <c r="K36" s="18">
        <f t="shared" si="2"/>
        <v>276.51458333333329</v>
      </c>
      <c r="L36" s="18">
        <f t="shared" si="2"/>
        <v>24.616250000000004</v>
      </c>
      <c r="M36" s="18">
        <f t="shared" si="2"/>
        <v>40.438749999999992</v>
      </c>
      <c r="N36" s="18">
        <f t="shared" si="2"/>
        <v>8.5875000000000004</v>
      </c>
      <c r="O36" s="18">
        <f t="shared" si="2"/>
        <v>1.6666666666666667</v>
      </c>
      <c r="P36" s="18">
        <f t="shared" si="2"/>
        <v>0.50833333333333319</v>
      </c>
      <c r="Q36" s="18">
        <f t="shared" si="2"/>
        <v>10.48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1.4985668878603007</v>
      </c>
      <c r="C37" s="18">
        <f t="shared" ref="C37:Q37" si="3">STDEV(C9:C32)</f>
        <v>1.9853176652324602</v>
      </c>
      <c r="D37" s="18">
        <f t="shared" si="3"/>
        <v>2.2587573536368852</v>
      </c>
      <c r="E37" s="18">
        <f t="shared" si="3"/>
        <v>0.84569498047464275</v>
      </c>
      <c r="F37" s="18">
        <f t="shared" si="3"/>
        <v>1.6239051495646568</v>
      </c>
      <c r="G37" s="18">
        <f t="shared" si="3"/>
        <v>5.0662635232444533</v>
      </c>
      <c r="H37" s="18">
        <f t="shared" si="3"/>
        <v>1.9610588957891288</v>
      </c>
      <c r="I37" s="18">
        <f t="shared" si="3"/>
        <v>1.766068876166027</v>
      </c>
      <c r="J37" s="18">
        <f t="shared" si="3"/>
        <v>0.19741398787496206</v>
      </c>
      <c r="K37" s="18">
        <f t="shared" si="3"/>
        <v>31.29647958798979</v>
      </c>
      <c r="L37" s="18">
        <f t="shared" si="3"/>
        <v>1.8837354482863127</v>
      </c>
      <c r="M37" s="18">
        <f t="shared" si="3"/>
        <v>4.5500103320475933</v>
      </c>
      <c r="N37" s="18">
        <f t="shared" si="3"/>
        <v>8.0999899355815099</v>
      </c>
      <c r="O37" s="18">
        <f t="shared" si="3"/>
        <v>2.3336231704046124</v>
      </c>
      <c r="P37" s="18">
        <f t="shared" si="3"/>
        <v>6.2112567283062185E-2</v>
      </c>
      <c r="Q37" s="18">
        <f t="shared" si="3"/>
        <v>1.5482556804914047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G15" sqref="G1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25/09/2025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637</v>
      </c>
      <c r="B9" s="43">
        <v>6.37</v>
      </c>
      <c r="C9" s="43">
        <v>7.34</v>
      </c>
      <c r="D9" s="43">
        <v>13.71</v>
      </c>
      <c r="E9" s="43">
        <v>6.59</v>
      </c>
      <c r="F9" s="43">
        <v>2</v>
      </c>
      <c r="G9" s="43">
        <v>32.85</v>
      </c>
      <c r="H9" s="43">
        <v>18.760000000000002</v>
      </c>
      <c r="I9" s="43">
        <v>8.06</v>
      </c>
      <c r="J9" s="43">
        <v>0.1</v>
      </c>
      <c r="K9" s="43">
        <v>330.93</v>
      </c>
      <c r="L9" s="43">
        <v>21.57</v>
      </c>
      <c r="M9" s="43">
        <v>35.76</v>
      </c>
      <c r="N9" s="43">
        <v>2.4</v>
      </c>
      <c r="O9" s="43">
        <v>0</v>
      </c>
      <c r="P9" s="43">
        <v>0.54</v>
      </c>
      <c r="Q9" s="43">
        <v>10</v>
      </c>
      <c r="R9" s="41"/>
      <c r="S9" s="41"/>
      <c r="T9" s="41"/>
      <c r="U9" s="41"/>
    </row>
    <row r="10" spans="1:21" customFormat="1">
      <c r="A10" s="42" t="s">
        <v>638</v>
      </c>
      <c r="B10" s="43">
        <v>6.65</v>
      </c>
      <c r="C10" s="43">
        <v>6.74</v>
      </c>
      <c r="D10" s="43">
        <v>13.23</v>
      </c>
      <c r="E10" s="43">
        <v>6.53</v>
      </c>
      <c r="F10" s="43">
        <v>2.42</v>
      </c>
      <c r="G10" s="43">
        <v>23.8</v>
      </c>
      <c r="H10" s="43">
        <v>17.940000000000001</v>
      </c>
      <c r="I10" s="43">
        <v>7.42</v>
      </c>
      <c r="J10" s="43">
        <v>0.38</v>
      </c>
      <c r="K10" s="43">
        <v>53.22</v>
      </c>
      <c r="L10" s="43">
        <v>8.6999999999999993</v>
      </c>
      <c r="M10" s="43">
        <v>3.45</v>
      </c>
      <c r="N10" s="43">
        <v>2.4</v>
      </c>
      <c r="O10" s="43">
        <v>0.2</v>
      </c>
      <c r="P10" s="43">
        <v>0.43</v>
      </c>
      <c r="Q10" s="43">
        <v>11.78</v>
      </c>
      <c r="R10" s="41"/>
      <c r="S10" s="41"/>
      <c r="T10" s="41"/>
      <c r="U10" s="41"/>
    </row>
    <row r="11" spans="1:21" customFormat="1">
      <c r="A11" s="42" t="s">
        <v>639</v>
      </c>
      <c r="B11" s="43">
        <v>6.59</v>
      </c>
      <c r="C11" s="43">
        <v>6.22</v>
      </c>
      <c r="D11" s="43">
        <v>12.7</v>
      </c>
      <c r="E11" s="43">
        <v>4.8499999999999996</v>
      </c>
      <c r="F11" s="43">
        <v>4.0999999999999996</v>
      </c>
      <c r="G11" s="43">
        <v>26.83</v>
      </c>
      <c r="H11" s="43">
        <v>13.52</v>
      </c>
      <c r="I11" s="43">
        <v>7.26</v>
      </c>
      <c r="J11" s="43">
        <v>0.73</v>
      </c>
      <c r="K11" s="43">
        <v>31.08</v>
      </c>
      <c r="L11" s="43">
        <v>12.07</v>
      </c>
      <c r="M11" s="43">
        <v>11.91</v>
      </c>
      <c r="N11" s="43">
        <v>3.3</v>
      </c>
      <c r="O11" s="43">
        <v>0.4</v>
      </c>
      <c r="P11" s="43">
        <v>0.4</v>
      </c>
      <c r="Q11" s="43">
        <v>18.45</v>
      </c>
      <c r="R11" s="41"/>
      <c r="S11" s="41"/>
      <c r="T11" s="41"/>
      <c r="U11" s="41"/>
    </row>
    <row r="12" spans="1:21" customFormat="1">
      <c r="A12" s="42" t="s">
        <v>640</v>
      </c>
      <c r="B12" s="43">
        <v>6.9</v>
      </c>
      <c r="C12" s="43">
        <v>6.07</v>
      </c>
      <c r="D12" s="43">
        <v>12.92</v>
      </c>
      <c r="E12" s="43">
        <v>5.01</v>
      </c>
      <c r="F12" s="43">
        <v>2.4300000000000002</v>
      </c>
      <c r="G12" s="43">
        <v>26.83</v>
      </c>
      <c r="H12" s="43">
        <v>12.64</v>
      </c>
      <c r="I12" s="43">
        <v>6.82</v>
      </c>
      <c r="J12" s="43">
        <v>0.55000000000000004</v>
      </c>
      <c r="K12" s="43">
        <v>31.76</v>
      </c>
      <c r="L12" s="43">
        <v>8.0399999999999991</v>
      </c>
      <c r="M12" s="43">
        <v>1.78</v>
      </c>
      <c r="N12" s="43">
        <v>2.6</v>
      </c>
      <c r="O12" s="43">
        <v>0</v>
      </c>
      <c r="P12" s="43">
        <v>0.39</v>
      </c>
      <c r="Q12" s="43">
        <v>10.31</v>
      </c>
      <c r="R12" s="41"/>
      <c r="S12" s="41"/>
      <c r="T12" s="41"/>
      <c r="U12" s="41"/>
    </row>
    <row r="13" spans="1:21" customFormat="1">
      <c r="A13" s="42" t="s">
        <v>641</v>
      </c>
      <c r="B13" s="43">
        <v>8.35</v>
      </c>
      <c r="C13" s="43">
        <v>6.38</v>
      </c>
      <c r="D13" s="43">
        <v>14.73</v>
      </c>
      <c r="E13" s="43">
        <v>5.21</v>
      </c>
      <c r="F13" s="43">
        <v>2</v>
      </c>
      <c r="G13" s="43">
        <v>23.37</v>
      </c>
      <c r="H13" s="43">
        <v>11.06</v>
      </c>
      <c r="I13" s="43">
        <v>6.65</v>
      </c>
      <c r="J13" s="43">
        <v>0.39</v>
      </c>
      <c r="K13" s="43">
        <v>62.63</v>
      </c>
      <c r="L13" s="43">
        <v>10.66</v>
      </c>
      <c r="M13" s="43">
        <v>8.4499999999999993</v>
      </c>
      <c r="N13" s="43">
        <v>2.4</v>
      </c>
      <c r="O13" s="43">
        <v>0</v>
      </c>
      <c r="P13" s="43">
        <v>0.35</v>
      </c>
      <c r="Q13" s="43">
        <v>12.92</v>
      </c>
      <c r="R13" s="41"/>
      <c r="S13" s="41"/>
      <c r="T13" s="41"/>
      <c r="U13" s="41"/>
    </row>
    <row r="14" spans="1:21" customFormat="1">
      <c r="A14" s="42" t="s">
        <v>642</v>
      </c>
      <c r="B14" s="43">
        <v>9.98</v>
      </c>
      <c r="C14" s="43">
        <v>7.48</v>
      </c>
      <c r="D14" s="43">
        <v>17.46</v>
      </c>
      <c r="E14" s="43">
        <v>5.43</v>
      </c>
      <c r="F14" s="43">
        <v>2</v>
      </c>
      <c r="G14" s="43">
        <v>23.37</v>
      </c>
      <c r="H14" s="43">
        <v>7.77</v>
      </c>
      <c r="I14" s="43">
        <v>6.62</v>
      </c>
      <c r="J14" s="43">
        <v>0.28000000000000003</v>
      </c>
      <c r="K14" s="43">
        <v>151.72999999999999</v>
      </c>
      <c r="L14" s="43">
        <v>15.65</v>
      </c>
      <c r="M14" s="43">
        <v>21.18</v>
      </c>
      <c r="N14" s="43">
        <v>5.7</v>
      </c>
      <c r="O14" s="43">
        <v>0</v>
      </c>
      <c r="P14" s="43">
        <v>0.36</v>
      </c>
      <c r="Q14" s="43">
        <v>10.56</v>
      </c>
      <c r="R14" s="41"/>
      <c r="S14" s="41"/>
      <c r="T14" s="41"/>
      <c r="U14" s="41"/>
    </row>
    <row r="15" spans="1:21" customFormat="1">
      <c r="A15" s="42" t="s">
        <v>643</v>
      </c>
      <c r="B15" s="43">
        <v>12.16</v>
      </c>
      <c r="C15" s="43">
        <v>8.14</v>
      </c>
      <c r="D15" s="43">
        <v>20.3</v>
      </c>
      <c r="E15" s="43">
        <v>5.54</v>
      </c>
      <c r="F15" s="43">
        <v>2</v>
      </c>
      <c r="G15" s="43">
        <v>18.03</v>
      </c>
      <c r="H15" s="43">
        <v>5.72</v>
      </c>
      <c r="I15" s="43">
        <v>6.28</v>
      </c>
      <c r="J15" s="43">
        <v>0.3</v>
      </c>
      <c r="K15" s="43">
        <v>134.33000000000001</v>
      </c>
      <c r="L15" s="43">
        <v>13.78</v>
      </c>
      <c r="M15" s="43">
        <v>16.239999999999998</v>
      </c>
      <c r="N15" s="43">
        <v>49.8</v>
      </c>
      <c r="O15" s="43">
        <v>0</v>
      </c>
      <c r="P15" s="43">
        <v>0.36</v>
      </c>
      <c r="Q15" s="43">
        <v>11.31</v>
      </c>
      <c r="R15" s="41"/>
      <c r="S15" s="41"/>
      <c r="T15" s="41"/>
      <c r="U15" s="41"/>
    </row>
    <row r="16" spans="1:21" customFormat="1">
      <c r="A16" s="42" t="s">
        <v>644</v>
      </c>
      <c r="B16" s="43">
        <v>13.53</v>
      </c>
      <c r="C16" s="43">
        <v>8.23</v>
      </c>
      <c r="D16" s="43">
        <v>21.73</v>
      </c>
      <c r="E16" s="43">
        <v>5.67</v>
      </c>
      <c r="F16" s="43">
        <v>2</v>
      </c>
      <c r="G16" s="43">
        <v>43.69</v>
      </c>
      <c r="H16" s="43">
        <v>8.49</v>
      </c>
      <c r="I16" s="43">
        <v>6.05</v>
      </c>
      <c r="J16" s="43">
        <v>0.61</v>
      </c>
      <c r="K16" s="43">
        <v>42.38</v>
      </c>
      <c r="L16" s="43">
        <v>9.2899999999999991</v>
      </c>
      <c r="M16" s="43">
        <v>1.17</v>
      </c>
      <c r="N16" s="43">
        <v>165.3</v>
      </c>
      <c r="O16" s="43">
        <v>0</v>
      </c>
      <c r="P16" s="43">
        <v>0.34</v>
      </c>
      <c r="Q16" s="43">
        <v>12.16</v>
      </c>
      <c r="R16" s="41"/>
      <c r="S16" s="41"/>
      <c r="T16" s="41"/>
      <c r="U16" s="41"/>
    </row>
    <row r="17" spans="1:21" customFormat="1">
      <c r="A17" s="42" t="s">
        <v>645</v>
      </c>
      <c r="B17" s="43">
        <v>13.41</v>
      </c>
      <c r="C17" s="43">
        <v>8.16</v>
      </c>
      <c r="D17" s="43">
        <v>21.58</v>
      </c>
      <c r="E17" s="43">
        <v>5.72</v>
      </c>
      <c r="F17" s="43">
        <v>2.06</v>
      </c>
      <c r="G17" s="43">
        <v>43.69</v>
      </c>
      <c r="H17" s="43">
        <v>8.49</v>
      </c>
      <c r="I17" s="43">
        <v>6</v>
      </c>
      <c r="J17" s="43">
        <v>0.66</v>
      </c>
      <c r="K17" s="43">
        <v>58.87</v>
      </c>
      <c r="L17" s="43">
        <v>11.84</v>
      </c>
      <c r="M17" s="43">
        <v>8.48</v>
      </c>
      <c r="N17" s="43">
        <v>159.5</v>
      </c>
      <c r="O17" s="43">
        <v>0</v>
      </c>
      <c r="P17" s="43">
        <v>0.34</v>
      </c>
      <c r="Q17" s="43">
        <v>18.63</v>
      </c>
      <c r="R17" s="41"/>
      <c r="S17" s="41"/>
      <c r="T17" s="41"/>
      <c r="U17" s="41"/>
    </row>
    <row r="18" spans="1:21" customFormat="1">
      <c r="A18" s="42" t="s">
        <v>646</v>
      </c>
      <c r="B18" s="43">
        <v>12.29</v>
      </c>
      <c r="C18" s="43">
        <v>7.93</v>
      </c>
      <c r="D18" s="43">
        <v>19.97</v>
      </c>
      <c r="E18" s="43">
        <v>5.93</v>
      </c>
      <c r="F18" s="43">
        <v>2.1800000000000002</v>
      </c>
      <c r="G18" s="43">
        <v>44.81</v>
      </c>
      <c r="H18" s="43">
        <v>10.55</v>
      </c>
      <c r="I18" s="43">
        <v>6.04</v>
      </c>
      <c r="J18" s="43">
        <v>0.72</v>
      </c>
      <c r="K18" s="43">
        <v>49.43</v>
      </c>
      <c r="L18" s="43">
        <v>12.66</v>
      </c>
      <c r="M18" s="43">
        <v>7.06</v>
      </c>
      <c r="N18" s="43">
        <v>384.3</v>
      </c>
      <c r="O18" s="43">
        <v>0</v>
      </c>
      <c r="P18" s="43">
        <v>0.36</v>
      </c>
      <c r="Q18" s="43">
        <v>11.16</v>
      </c>
      <c r="R18" s="41"/>
      <c r="S18" s="41"/>
      <c r="T18" s="41"/>
      <c r="U18" s="41"/>
    </row>
    <row r="19" spans="1:21" customFormat="1">
      <c r="A19" s="42" t="s">
        <v>647</v>
      </c>
      <c r="B19" s="43">
        <v>11.16</v>
      </c>
      <c r="C19" s="43">
        <v>8.2200000000000006</v>
      </c>
      <c r="D19" s="43">
        <v>19.07</v>
      </c>
      <c r="E19" s="43">
        <v>6.78</v>
      </c>
      <c r="F19" s="43">
        <v>4.66</v>
      </c>
      <c r="G19" s="43">
        <v>48.6</v>
      </c>
      <c r="H19" s="43">
        <v>17.600000000000001</v>
      </c>
      <c r="I19" s="43">
        <v>6.14</v>
      </c>
      <c r="J19" s="43">
        <v>0.75</v>
      </c>
      <c r="K19" s="43">
        <v>74.040000000000006</v>
      </c>
      <c r="L19" s="43">
        <v>15.09</v>
      </c>
      <c r="M19" s="43">
        <v>10.35</v>
      </c>
      <c r="N19" s="43">
        <v>401.9</v>
      </c>
      <c r="O19" s="43">
        <v>0</v>
      </c>
      <c r="P19" s="43">
        <v>0.37</v>
      </c>
      <c r="Q19" s="43">
        <v>10.69</v>
      </c>
      <c r="R19" s="41"/>
      <c r="S19" s="41"/>
      <c r="T19" s="41"/>
      <c r="U19" s="41"/>
    </row>
    <row r="20" spans="1:21" customFormat="1">
      <c r="A20" s="42" t="s">
        <v>648</v>
      </c>
      <c r="B20" s="43">
        <v>9.42</v>
      </c>
      <c r="C20" s="43">
        <v>9.39</v>
      </c>
      <c r="D20" s="43">
        <v>18.809999999999999</v>
      </c>
      <c r="E20" s="43">
        <v>6.39</v>
      </c>
      <c r="F20" s="43">
        <v>7.17</v>
      </c>
      <c r="G20" s="43">
        <v>48.6</v>
      </c>
      <c r="H20" s="43">
        <v>17.600000000000001</v>
      </c>
      <c r="I20" s="43">
        <v>6.25</v>
      </c>
      <c r="J20" s="43">
        <v>0.31</v>
      </c>
      <c r="K20" s="43">
        <v>122.65</v>
      </c>
      <c r="L20" s="43">
        <v>18.72</v>
      </c>
      <c r="M20" s="43">
        <v>15.01</v>
      </c>
      <c r="N20" s="43">
        <v>589</v>
      </c>
      <c r="O20" s="43">
        <v>0</v>
      </c>
      <c r="P20" s="43">
        <v>0.33</v>
      </c>
      <c r="Q20" s="43">
        <v>11.01</v>
      </c>
      <c r="R20" s="41"/>
      <c r="S20" s="41"/>
      <c r="T20" s="41"/>
      <c r="U20" s="41"/>
    </row>
    <row r="21" spans="1:21" customFormat="1">
      <c r="A21" s="42" t="s">
        <v>649</v>
      </c>
      <c r="B21" s="43">
        <v>7.44</v>
      </c>
      <c r="C21" s="43">
        <v>7.83</v>
      </c>
      <c r="D21" s="43">
        <v>15.14</v>
      </c>
      <c r="E21" s="43">
        <v>5.74</v>
      </c>
      <c r="F21" s="43">
        <v>10.16</v>
      </c>
      <c r="G21" s="43">
        <v>47.09</v>
      </c>
      <c r="H21" s="43">
        <v>21.42</v>
      </c>
      <c r="I21" s="43">
        <v>6.11</v>
      </c>
      <c r="J21" s="43">
        <v>0.66</v>
      </c>
      <c r="K21" s="43">
        <v>102.7</v>
      </c>
      <c r="L21" s="43">
        <v>19.149999999999999</v>
      </c>
      <c r="M21" s="43">
        <v>14.96</v>
      </c>
      <c r="N21" s="43">
        <v>637.9</v>
      </c>
      <c r="O21" s="43">
        <v>0</v>
      </c>
      <c r="P21" s="43">
        <v>0.28999999999999998</v>
      </c>
      <c r="Q21" s="43">
        <v>10.66</v>
      </c>
      <c r="R21" s="41"/>
      <c r="S21" s="41"/>
      <c r="T21" s="41"/>
      <c r="U21" s="41"/>
    </row>
    <row r="22" spans="1:21" customFormat="1">
      <c r="A22" s="42" t="s">
        <v>650</v>
      </c>
      <c r="B22" s="43">
        <v>6.03</v>
      </c>
      <c r="C22" s="43">
        <v>7.87</v>
      </c>
      <c r="D22" s="43">
        <v>13.89</v>
      </c>
      <c r="E22" s="43">
        <v>5.79</v>
      </c>
      <c r="F22" s="43">
        <v>8.84</v>
      </c>
      <c r="G22" s="43">
        <v>44.97</v>
      </c>
      <c r="H22" s="43">
        <v>21.42</v>
      </c>
      <c r="I22" s="43">
        <v>5.91</v>
      </c>
      <c r="J22" s="43">
        <v>0.64</v>
      </c>
      <c r="K22" s="43">
        <v>41.09</v>
      </c>
      <c r="L22" s="43">
        <v>13.14</v>
      </c>
      <c r="M22" s="43">
        <v>6.65</v>
      </c>
      <c r="N22" s="43">
        <v>343.1</v>
      </c>
      <c r="O22" s="43">
        <v>0</v>
      </c>
      <c r="P22" s="43">
        <v>0.3</v>
      </c>
      <c r="Q22" s="43">
        <v>10.76</v>
      </c>
      <c r="R22" s="41"/>
      <c r="S22" s="41"/>
      <c r="T22" s="41"/>
      <c r="U22" s="41"/>
    </row>
    <row r="23" spans="1:21" customFormat="1">
      <c r="A23" s="42" t="s">
        <v>651</v>
      </c>
      <c r="B23" s="43">
        <v>5.05</v>
      </c>
      <c r="C23" s="43">
        <v>7.58</v>
      </c>
      <c r="D23" s="43">
        <v>12.56</v>
      </c>
      <c r="E23" s="43">
        <v>5.01</v>
      </c>
      <c r="F23" s="43">
        <v>11.09</v>
      </c>
      <c r="G23" s="43">
        <v>44.97</v>
      </c>
      <c r="H23" s="43">
        <v>22.75</v>
      </c>
      <c r="I23" s="43">
        <v>5.57</v>
      </c>
      <c r="J23" s="43">
        <v>0.61</v>
      </c>
      <c r="K23" s="43">
        <v>47.45</v>
      </c>
      <c r="L23" s="43">
        <v>11.11</v>
      </c>
      <c r="M23" s="43">
        <v>5.63</v>
      </c>
      <c r="N23" s="43">
        <v>225.4</v>
      </c>
      <c r="O23" s="43">
        <v>0</v>
      </c>
      <c r="P23" s="43">
        <v>0.31</v>
      </c>
      <c r="Q23" s="43">
        <v>10.78</v>
      </c>
      <c r="R23" s="41"/>
      <c r="S23" s="41"/>
      <c r="T23" s="41"/>
      <c r="U23" s="41"/>
    </row>
    <row r="24" spans="1:21" customFormat="1">
      <c r="A24" s="42" t="s">
        <v>652</v>
      </c>
      <c r="B24" s="43">
        <v>4.72</v>
      </c>
      <c r="C24" s="43">
        <v>7.65</v>
      </c>
      <c r="D24" s="43">
        <v>12.06</v>
      </c>
      <c r="E24" s="43">
        <v>5.26</v>
      </c>
      <c r="F24" s="43">
        <v>8.08</v>
      </c>
      <c r="G24" s="43">
        <v>44.44</v>
      </c>
      <c r="H24" s="43">
        <v>22.75</v>
      </c>
      <c r="I24" s="43">
        <v>5.47</v>
      </c>
      <c r="J24" s="43">
        <v>0.67</v>
      </c>
      <c r="K24" s="43">
        <v>37.880000000000003</v>
      </c>
      <c r="L24" s="43">
        <v>11.17</v>
      </c>
      <c r="M24" s="43">
        <v>7.57</v>
      </c>
      <c r="N24" s="43">
        <v>88.1</v>
      </c>
      <c r="O24" s="43">
        <v>0.2</v>
      </c>
      <c r="P24" s="43">
        <v>0.35</v>
      </c>
      <c r="Q24" s="43">
        <v>11.36</v>
      </c>
      <c r="R24" s="41"/>
      <c r="S24" s="41"/>
      <c r="T24" s="41"/>
      <c r="U24" s="41"/>
    </row>
    <row r="25" spans="1:21" customFormat="1">
      <c r="A25" s="42" t="s">
        <v>653</v>
      </c>
      <c r="B25" s="43">
        <v>3.95</v>
      </c>
      <c r="C25" s="43">
        <v>8.17</v>
      </c>
      <c r="D25" s="43">
        <v>11.93</v>
      </c>
      <c r="E25" s="43">
        <v>5</v>
      </c>
      <c r="F25" s="43">
        <v>6.61</v>
      </c>
      <c r="G25" s="43">
        <v>44.74</v>
      </c>
      <c r="H25" s="43">
        <v>20.38</v>
      </c>
      <c r="I25" s="43">
        <v>5.45</v>
      </c>
      <c r="J25" s="43">
        <v>0.45</v>
      </c>
      <c r="K25" s="43">
        <v>45.22</v>
      </c>
      <c r="L25" s="43">
        <v>9.69</v>
      </c>
      <c r="M25" s="43">
        <v>5.29</v>
      </c>
      <c r="N25" s="43">
        <v>56.7</v>
      </c>
      <c r="O25" s="43">
        <v>0</v>
      </c>
      <c r="P25" s="43">
        <v>0.36</v>
      </c>
      <c r="Q25" s="43">
        <v>11.53</v>
      </c>
      <c r="R25" s="41"/>
      <c r="S25" s="41"/>
      <c r="T25" s="41"/>
      <c r="U25" s="41"/>
    </row>
    <row r="26" spans="1:21" customFormat="1">
      <c r="A26" s="42" t="s">
        <v>654</v>
      </c>
      <c r="B26" s="43">
        <v>4.68</v>
      </c>
      <c r="C26" s="43">
        <v>8.89</v>
      </c>
      <c r="D26" s="43">
        <v>13.56</v>
      </c>
      <c r="E26" s="43">
        <v>4.9000000000000004</v>
      </c>
      <c r="F26" s="43">
        <v>4.74</v>
      </c>
      <c r="G26" s="43">
        <v>53.48</v>
      </c>
      <c r="H26" s="43">
        <v>20.88</v>
      </c>
      <c r="I26" s="43">
        <v>6.04</v>
      </c>
      <c r="J26" s="43">
        <v>0.34</v>
      </c>
      <c r="K26" s="43">
        <v>45.8</v>
      </c>
      <c r="L26" s="43">
        <v>7.61</v>
      </c>
      <c r="M26" s="43">
        <v>0.47</v>
      </c>
      <c r="N26" s="43">
        <v>24.7</v>
      </c>
      <c r="O26" s="43">
        <v>0</v>
      </c>
      <c r="P26" s="43">
        <v>0.4</v>
      </c>
      <c r="Q26" s="43">
        <v>10.53</v>
      </c>
      <c r="R26" s="41"/>
      <c r="S26" s="41"/>
      <c r="T26" s="41"/>
      <c r="U26" s="41"/>
    </row>
    <row r="27" spans="1:21" customFormat="1">
      <c r="A27" s="42" t="s">
        <v>655</v>
      </c>
      <c r="B27" s="43">
        <v>5.0599999999999996</v>
      </c>
      <c r="C27" s="43">
        <v>8.7899999999999991</v>
      </c>
      <c r="D27" s="43">
        <v>13.84</v>
      </c>
      <c r="E27" s="43">
        <v>5.05</v>
      </c>
      <c r="F27" s="43">
        <v>2.81</v>
      </c>
      <c r="G27" s="43">
        <v>59.27</v>
      </c>
      <c r="H27" s="43">
        <v>22.45</v>
      </c>
      <c r="I27" s="43">
        <v>7.46</v>
      </c>
      <c r="J27" s="43">
        <v>0.22</v>
      </c>
      <c r="K27" s="43">
        <v>140.63999999999999</v>
      </c>
      <c r="L27" s="43">
        <v>14.11</v>
      </c>
      <c r="M27" s="43">
        <v>17.309999999999999</v>
      </c>
      <c r="N27" s="43">
        <v>2.8</v>
      </c>
      <c r="O27" s="43">
        <v>0</v>
      </c>
      <c r="P27" s="43">
        <v>0.44</v>
      </c>
      <c r="Q27" s="43">
        <v>10.37</v>
      </c>
      <c r="R27" s="41"/>
      <c r="S27" s="41"/>
      <c r="T27" s="41"/>
      <c r="U27" s="41"/>
    </row>
    <row r="28" spans="1:21" customFormat="1">
      <c r="A28" s="42" t="s">
        <v>656</v>
      </c>
      <c r="B28" s="43">
        <v>7.07</v>
      </c>
      <c r="C28" s="43">
        <v>8.42</v>
      </c>
      <c r="D28" s="43">
        <v>15.24</v>
      </c>
      <c r="E28" s="43">
        <v>5.34</v>
      </c>
      <c r="F28" s="43">
        <v>2.02</v>
      </c>
      <c r="G28" s="43">
        <v>64.459999999999994</v>
      </c>
      <c r="H28" s="43">
        <v>28.13</v>
      </c>
      <c r="I28" s="43">
        <v>8.15</v>
      </c>
      <c r="J28" s="43">
        <v>0.18</v>
      </c>
      <c r="K28" s="43">
        <v>82.77</v>
      </c>
      <c r="L28" s="43">
        <v>13.85</v>
      </c>
      <c r="M28" s="43">
        <v>16.5</v>
      </c>
      <c r="N28" s="43">
        <v>2.4</v>
      </c>
      <c r="O28" s="43">
        <v>0</v>
      </c>
      <c r="P28" s="43">
        <v>0.5</v>
      </c>
      <c r="Q28" s="43">
        <v>11.72</v>
      </c>
      <c r="R28" s="41"/>
      <c r="S28" s="41"/>
      <c r="T28" s="41"/>
      <c r="U28" s="41"/>
    </row>
    <row r="29" spans="1:21" customFormat="1">
      <c r="A29" s="42" t="s">
        <v>657</v>
      </c>
      <c r="B29" s="43">
        <v>8.8699999999999992</v>
      </c>
      <c r="C29" s="43">
        <v>10.64</v>
      </c>
      <c r="D29" s="43">
        <v>19.100000000000001</v>
      </c>
      <c r="E29" s="43">
        <v>4.8499999999999996</v>
      </c>
      <c r="F29" s="43">
        <v>2.44</v>
      </c>
      <c r="G29" s="43">
        <v>77.84</v>
      </c>
      <c r="H29" s="43">
        <v>28.13</v>
      </c>
      <c r="I29" s="43">
        <v>9.44</v>
      </c>
      <c r="J29" s="43">
        <v>0.16</v>
      </c>
      <c r="K29" s="43">
        <v>154.43</v>
      </c>
      <c r="L29" s="43">
        <v>15.3</v>
      </c>
      <c r="M29" s="43">
        <v>20.37</v>
      </c>
      <c r="N29" s="43">
        <v>2.6</v>
      </c>
      <c r="O29" s="43">
        <v>0</v>
      </c>
      <c r="P29" s="43">
        <v>0.57999999999999996</v>
      </c>
      <c r="Q29" s="43">
        <v>11.75</v>
      </c>
      <c r="R29" s="41"/>
      <c r="S29" s="41"/>
      <c r="T29" s="41"/>
      <c r="U29" s="41"/>
    </row>
    <row r="30" spans="1:21" customFormat="1">
      <c r="A30" s="42" t="s">
        <v>658</v>
      </c>
      <c r="B30" s="43">
        <v>9.49</v>
      </c>
      <c r="C30" s="43">
        <v>10.28</v>
      </c>
      <c r="D30" s="43">
        <v>19.420000000000002</v>
      </c>
      <c r="E30" s="43">
        <v>4.68</v>
      </c>
      <c r="F30" s="43">
        <v>8.0299999999999994</v>
      </c>
      <c r="G30" s="43">
        <v>95.09</v>
      </c>
      <c r="H30" s="43">
        <v>27.16</v>
      </c>
      <c r="I30" s="43">
        <v>9.11</v>
      </c>
      <c r="J30" s="43">
        <v>0.48</v>
      </c>
      <c r="K30" s="43">
        <v>50.15</v>
      </c>
      <c r="L30" s="43">
        <v>12.11</v>
      </c>
      <c r="M30" s="43">
        <v>11.93</v>
      </c>
      <c r="N30" s="43">
        <v>2.5</v>
      </c>
      <c r="O30" s="43">
        <v>0</v>
      </c>
      <c r="P30" s="43">
        <v>0.56000000000000005</v>
      </c>
      <c r="Q30" s="43">
        <v>14.09</v>
      </c>
      <c r="R30" s="41"/>
      <c r="S30" s="41"/>
      <c r="T30" s="41"/>
      <c r="U30" s="41"/>
    </row>
    <row r="31" spans="1:21" customFormat="1">
      <c r="A31" s="42" t="s">
        <v>659</v>
      </c>
      <c r="B31" s="43">
        <v>9.66</v>
      </c>
      <c r="C31" s="43">
        <v>9.07</v>
      </c>
      <c r="D31" s="43">
        <v>18.53</v>
      </c>
      <c r="E31" s="43">
        <v>4.67</v>
      </c>
      <c r="F31" s="43">
        <v>4.8499999999999996</v>
      </c>
      <c r="G31" s="43">
        <v>95.09</v>
      </c>
      <c r="H31" s="43">
        <v>27.84</v>
      </c>
      <c r="I31" s="43">
        <v>8.42</v>
      </c>
      <c r="J31" s="43">
        <v>0.34</v>
      </c>
      <c r="K31" s="43">
        <v>28.99</v>
      </c>
      <c r="L31" s="43">
        <v>11.11</v>
      </c>
      <c r="M31" s="43">
        <v>9.5399999999999991</v>
      </c>
      <c r="N31" s="43">
        <v>2.4</v>
      </c>
      <c r="O31" s="43">
        <v>0</v>
      </c>
      <c r="P31" s="43">
        <v>0.51</v>
      </c>
      <c r="Q31" s="43">
        <v>12.24</v>
      </c>
      <c r="R31" s="41"/>
      <c r="S31" s="41"/>
      <c r="T31" s="41"/>
      <c r="U31" s="41"/>
    </row>
    <row r="32" spans="1:21" customFormat="1">
      <c r="A32" s="42" t="s">
        <v>660</v>
      </c>
      <c r="B32" s="43">
        <v>10.37</v>
      </c>
      <c r="C32" s="43">
        <v>9.01</v>
      </c>
      <c r="D32" s="43">
        <v>19.38</v>
      </c>
      <c r="E32" s="43">
        <v>5.35</v>
      </c>
      <c r="F32" s="43">
        <v>3.56</v>
      </c>
      <c r="G32" s="43">
        <v>80.64</v>
      </c>
      <c r="H32" s="43">
        <v>27.84</v>
      </c>
      <c r="I32" s="43">
        <v>8.0399999999999991</v>
      </c>
      <c r="J32" s="43">
        <v>0.28999999999999998</v>
      </c>
      <c r="K32" s="43">
        <v>45.94</v>
      </c>
      <c r="L32" s="43">
        <v>9.32</v>
      </c>
      <c r="M32" s="43">
        <v>5.0999999999999996</v>
      </c>
      <c r="N32" s="43">
        <v>2.2999999999999998</v>
      </c>
      <c r="O32" s="43">
        <v>0</v>
      </c>
      <c r="P32" s="43">
        <v>0.5</v>
      </c>
      <c r="Q32" s="43">
        <v>12.41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3.95</v>
      </c>
      <c r="C34" s="18">
        <f t="shared" si="0"/>
        <v>6.07</v>
      </c>
      <c r="D34" s="18">
        <f t="shared" si="0"/>
        <v>11.93</v>
      </c>
      <c r="E34" s="18">
        <f t="shared" si="0"/>
        <v>4.67</v>
      </c>
      <c r="F34" s="18">
        <f t="shared" si="0"/>
        <v>2</v>
      </c>
      <c r="G34" s="18">
        <f t="shared" si="0"/>
        <v>18.03</v>
      </c>
      <c r="H34" s="18">
        <f t="shared" si="0"/>
        <v>5.72</v>
      </c>
      <c r="I34" s="18">
        <f t="shared" si="0"/>
        <v>5.45</v>
      </c>
      <c r="J34" s="18">
        <f t="shared" si="0"/>
        <v>0.1</v>
      </c>
      <c r="K34" s="18">
        <f t="shared" si="0"/>
        <v>28.99</v>
      </c>
      <c r="L34" s="18">
        <f t="shared" si="0"/>
        <v>7.61</v>
      </c>
      <c r="M34" s="18">
        <f t="shared" si="0"/>
        <v>0.47</v>
      </c>
      <c r="N34" s="18">
        <f t="shared" si="0"/>
        <v>2.2999999999999998</v>
      </c>
      <c r="O34" s="18">
        <f t="shared" si="0"/>
        <v>0</v>
      </c>
      <c r="P34" s="18">
        <f t="shared" si="0"/>
        <v>0.28999999999999998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13.53</v>
      </c>
      <c r="C35" s="3">
        <f t="shared" si="1"/>
        <v>10.64</v>
      </c>
      <c r="D35" s="3">
        <f t="shared" si="1"/>
        <v>21.73</v>
      </c>
      <c r="E35" s="3">
        <f t="shared" si="1"/>
        <v>6.78</v>
      </c>
      <c r="F35" s="3">
        <f t="shared" si="1"/>
        <v>11.09</v>
      </c>
      <c r="G35" s="3">
        <f t="shared" si="1"/>
        <v>95.09</v>
      </c>
      <c r="H35" s="3">
        <f t="shared" si="1"/>
        <v>28.13</v>
      </c>
      <c r="I35" s="3">
        <f t="shared" si="1"/>
        <v>9.44</v>
      </c>
      <c r="J35" s="3">
        <f t="shared" si="1"/>
        <v>0.75</v>
      </c>
      <c r="K35" s="3">
        <f t="shared" si="1"/>
        <v>330.93</v>
      </c>
      <c r="L35" s="3">
        <f t="shared" si="1"/>
        <v>21.57</v>
      </c>
      <c r="M35" s="3">
        <f t="shared" si="1"/>
        <v>35.76</v>
      </c>
      <c r="N35" s="3">
        <f t="shared" si="1"/>
        <v>637.9</v>
      </c>
      <c r="O35" s="3">
        <f t="shared" si="1"/>
        <v>0.4</v>
      </c>
      <c r="P35" s="3">
        <f t="shared" si="1"/>
        <v>0.57999999999999996</v>
      </c>
      <c r="Q35" s="3">
        <f t="shared" si="1"/>
        <v>18.63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8.2999999999999989</v>
      </c>
      <c r="C36" s="18">
        <f t="shared" si="2"/>
        <v>8.1041666666666661</v>
      </c>
      <c r="D36" s="18">
        <f t="shared" si="2"/>
        <v>16.285833333333333</v>
      </c>
      <c r="E36" s="18">
        <f t="shared" si="2"/>
        <v>5.4704166666666678</v>
      </c>
      <c r="F36" s="18">
        <f t="shared" si="2"/>
        <v>4.5104166666666661</v>
      </c>
      <c r="G36" s="18">
        <f t="shared" si="2"/>
        <v>48.189583333333339</v>
      </c>
      <c r="H36" s="18">
        <f t="shared" si="2"/>
        <v>18.387083333333333</v>
      </c>
      <c r="I36" s="18">
        <f t="shared" si="2"/>
        <v>6.8649999999999993</v>
      </c>
      <c r="J36" s="18">
        <f t="shared" si="2"/>
        <v>0.45083333333333325</v>
      </c>
      <c r="K36" s="18">
        <f t="shared" si="2"/>
        <v>81.921250000000001</v>
      </c>
      <c r="L36" s="18">
        <f t="shared" si="2"/>
        <v>12.739166666666669</v>
      </c>
      <c r="M36" s="18">
        <f t="shared" si="2"/>
        <v>10.923333333333334</v>
      </c>
      <c r="N36" s="18">
        <f t="shared" si="2"/>
        <v>131.64583333333334</v>
      </c>
      <c r="O36" s="18">
        <f t="shared" si="2"/>
        <v>3.3333333333333333E-2</v>
      </c>
      <c r="P36" s="18">
        <f t="shared" si="2"/>
        <v>0.40291666666666665</v>
      </c>
      <c r="Q36" s="18">
        <f t="shared" si="2"/>
        <v>11.965833333333334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2.8670496879272012</v>
      </c>
      <c r="C37" s="18">
        <f t="shared" ref="C37:Q37" si="3">STDEV(C9:C32)</f>
        <v>1.1408155613102238</v>
      </c>
      <c r="D37" s="18">
        <f t="shared" si="3"/>
        <v>3.2973018174504838</v>
      </c>
      <c r="E37" s="18">
        <f t="shared" si="3"/>
        <v>0.61706513761348902</v>
      </c>
      <c r="F37" s="18">
        <f t="shared" si="3"/>
        <v>2.9255374521714783</v>
      </c>
      <c r="G37" s="18">
        <f t="shared" si="3"/>
        <v>21.600481169996222</v>
      </c>
      <c r="H37" s="18">
        <f t="shared" si="3"/>
        <v>7.1358631781377042</v>
      </c>
      <c r="I37" s="18">
        <f t="shared" si="3"/>
        <v>1.1534824398882015</v>
      </c>
      <c r="J37" s="18">
        <f t="shared" si="3"/>
        <v>0.20192371927487154</v>
      </c>
      <c r="K37" s="18">
        <f t="shared" si="3"/>
        <v>66.752031222147892</v>
      </c>
      <c r="L37" s="18">
        <f t="shared" si="3"/>
        <v>3.5576578967271142</v>
      </c>
      <c r="M37" s="18">
        <f t="shared" si="3"/>
        <v>7.9200184818990893</v>
      </c>
      <c r="N37" s="18">
        <f t="shared" si="3"/>
        <v>195.88942306526044</v>
      </c>
      <c r="O37" s="18">
        <f t="shared" si="3"/>
        <v>9.6308682468615375E-2</v>
      </c>
      <c r="P37" s="18">
        <f t="shared" si="3"/>
        <v>8.5133101244675852E-2</v>
      </c>
      <c r="Q37" s="18">
        <f t="shared" si="3"/>
        <v>2.228900911965872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J12" sqref="J1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26/09/2025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661</v>
      </c>
      <c r="B9" s="43">
        <v>12.69</v>
      </c>
      <c r="C9" s="43">
        <v>9.73</v>
      </c>
      <c r="D9" s="43">
        <v>22.42</v>
      </c>
      <c r="E9" s="43">
        <v>5.0199999999999996</v>
      </c>
      <c r="F9" s="43">
        <v>2.46</v>
      </c>
      <c r="G9" s="43">
        <v>73.92</v>
      </c>
      <c r="H9" s="43">
        <v>27.06</v>
      </c>
      <c r="I9" s="43">
        <v>7.96</v>
      </c>
      <c r="J9" s="43">
        <v>0.26</v>
      </c>
      <c r="K9" s="43">
        <v>33.32</v>
      </c>
      <c r="L9" s="43">
        <v>13.47</v>
      </c>
      <c r="M9" s="43">
        <v>15.39</v>
      </c>
      <c r="N9" s="43">
        <v>2.4</v>
      </c>
      <c r="O9" s="43">
        <v>0</v>
      </c>
      <c r="P9" s="43">
        <v>0.48</v>
      </c>
      <c r="Q9" s="43">
        <v>11.29</v>
      </c>
      <c r="R9" s="41"/>
      <c r="S9" s="41"/>
      <c r="T9" s="41"/>
      <c r="U9" s="41"/>
    </row>
    <row r="10" spans="1:21" customFormat="1">
      <c r="A10" s="42" t="s">
        <v>662</v>
      </c>
      <c r="B10" s="43">
        <v>11.72</v>
      </c>
      <c r="C10" s="43">
        <v>7.65</v>
      </c>
      <c r="D10" s="43">
        <v>19.36</v>
      </c>
      <c r="E10" s="43">
        <v>4.9800000000000004</v>
      </c>
      <c r="F10" s="43">
        <v>2.12</v>
      </c>
      <c r="G10" s="43">
        <v>73.459999999999994</v>
      </c>
      <c r="H10" s="43">
        <v>27.06</v>
      </c>
      <c r="I10" s="43">
        <v>7.79</v>
      </c>
      <c r="J10" s="43">
        <v>0.36</v>
      </c>
      <c r="K10" s="43">
        <v>32.79</v>
      </c>
      <c r="L10" s="43">
        <v>8.92</v>
      </c>
      <c r="M10" s="43">
        <v>4.04</v>
      </c>
      <c r="N10" s="43">
        <v>2.2999999999999998</v>
      </c>
      <c r="O10" s="43">
        <v>0</v>
      </c>
      <c r="P10" s="43">
        <v>0.49</v>
      </c>
      <c r="Q10" s="43">
        <v>20.170000000000002</v>
      </c>
      <c r="R10" s="41"/>
      <c r="S10" s="41"/>
      <c r="T10" s="41"/>
      <c r="U10" s="41"/>
    </row>
    <row r="11" spans="1:21" customFormat="1">
      <c r="A11" s="42" t="s">
        <v>663</v>
      </c>
      <c r="B11" s="43">
        <v>10.93</v>
      </c>
      <c r="C11" s="43">
        <v>7.39</v>
      </c>
      <c r="D11" s="43">
        <v>18.309999999999999</v>
      </c>
      <c r="E11" s="43">
        <v>6.54</v>
      </c>
      <c r="F11" s="43">
        <v>2</v>
      </c>
      <c r="G11" s="43">
        <v>73.459999999999994</v>
      </c>
      <c r="H11" s="43">
        <v>24</v>
      </c>
      <c r="I11" s="43">
        <v>7.2</v>
      </c>
      <c r="J11" s="43">
        <v>0.28999999999999998</v>
      </c>
      <c r="K11" s="43">
        <v>28.88</v>
      </c>
      <c r="L11" s="43">
        <v>15.77</v>
      </c>
      <c r="M11" s="43">
        <v>21.08</v>
      </c>
      <c r="N11" s="43">
        <v>2.2999999999999998</v>
      </c>
      <c r="O11" s="43">
        <v>0</v>
      </c>
      <c r="P11" s="43">
        <v>0.46</v>
      </c>
      <c r="Q11" s="43">
        <v>12.75</v>
      </c>
      <c r="R11" s="41"/>
      <c r="S11" s="41"/>
      <c r="T11" s="41"/>
      <c r="U11" s="41"/>
    </row>
    <row r="12" spans="1:21" customFormat="1">
      <c r="A12" s="42" t="s">
        <v>664</v>
      </c>
      <c r="B12" s="43">
        <v>10.61</v>
      </c>
      <c r="C12" s="43">
        <v>7.35</v>
      </c>
      <c r="D12" s="43">
        <v>17.899999999999999</v>
      </c>
      <c r="E12" s="43">
        <v>6.51</v>
      </c>
      <c r="F12" s="43">
        <v>2</v>
      </c>
      <c r="G12" s="43">
        <v>70.75</v>
      </c>
      <c r="H12" s="43">
        <v>21.55</v>
      </c>
      <c r="I12" s="43">
        <v>6.8</v>
      </c>
      <c r="J12" s="43">
        <v>0.24</v>
      </c>
      <c r="K12" s="43">
        <v>339.25</v>
      </c>
      <c r="L12" s="43">
        <v>15.3</v>
      </c>
      <c r="M12" s="43">
        <v>19.940000000000001</v>
      </c>
      <c r="N12" s="43">
        <v>2.1</v>
      </c>
      <c r="O12" s="43">
        <v>0</v>
      </c>
      <c r="P12" s="43">
        <v>0.43</v>
      </c>
      <c r="Q12" s="43">
        <v>11.88</v>
      </c>
      <c r="R12" s="41"/>
      <c r="S12" s="41"/>
      <c r="T12" s="41"/>
      <c r="U12" s="41"/>
    </row>
    <row r="13" spans="1:21" customFormat="1">
      <c r="A13" s="42" t="s">
        <v>665</v>
      </c>
      <c r="B13" s="43">
        <v>10.6</v>
      </c>
      <c r="C13" s="43">
        <v>7.05</v>
      </c>
      <c r="D13" s="43">
        <v>17.63</v>
      </c>
      <c r="E13" s="43">
        <v>6.71</v>
      </c>
      <c r="F13" s="43">
        <v>2</v>
      </c>
      <c r="G13" s="43">
        <v>67.67</v>
      </c>
      <c r="H13" s="43">
        <v>21</v>
      </c>
      <c r="I13" s="43">
        <v>6.4</v>
      </c>
      <c r="J13" s="43">
        <v>0.19</v>
      </c>
      <c r="K13" s="43">
        <v>47.26</v>
      </c>
      <c r="L13" s="43">
        <v>11.83</v>
      </c>
      <c r="M13" s="43">
        <v>10.59</v>
      </c>
      <c r="N13" s="43">
        <v>2.1</v>
      </c>
      <c r="O13" s="43">
        <v>0</v>
      </c>
      <c r="P13" s="43">
        <v>0.4</v>
      </c>
      <c r="Q13" s="43">
        <v>28.06</v>
      </c>
      <c r="R13" s="41"/>
      <c r="S13" s="41"/>
      <c r="T13" s="41"/>
      <c r="U13" s="41"/>
    </row>
    <row r="14" spans="1:21" customFormat="1">
      <c r="A14" s="42" t="s">
        <v>666</v>
      </c>
      <c r="B14" s="43">
        <v>11.82</v>
      </c>
      <c r="C14" s="43">
        <v>7.01</v>
      </c>
      <c r="D14" s="43">
        <v>18.760000000000002</v>
      </c>
      <c r="E14" s="43">
        <v>6.88</v>
      </c>
      <c r="F14" s="43">
        <v>2</v>
      </c>
      <c r="G14" s="43">
        <v>61.3</v>
      </c>
      <c r="H14" s="43">
        <v>21</v>
      </c>
      <c r="I14" s="43">
        <v>6</v>
      </c>
      <c r="J14" s="43">
        <v>0.22</v>
      </c>
      <c r="K14" s="43">
        <v>44.25</v>
      </c>
      <c r="L14" s="43">
        <v>16.600000000000001</v>
      </c>
      <c r="M14" s="43">
        <v>23.26</v>
      </c>
      <c r="N14" s="43">
        <v>4.5</v>
      </c>
      <c r="O14" s="43">
        <v>0</v>
      </c>
      <c r="P14" s="43">
        <v>0.37</v>
      </c>
      <c r="Q14" s="43">
        <v>12.29</v>
      </c>
      <c r="R14" s="41"/>
      <c r="S14" s="41"/>
      <c r="T14" s="41"/>
      <c r="U14" s="41"/>
    </row>
    <row r="15" spans="1:21" customFormat="1">
      <c r="A15" s="42" t="s">
        <v>667</v>
      </c>
      <c r="B15" s="43">
        <v>12.65</v>
      </c>
      <c r="C15" s="43">
        <v>7.08</v>
      </c>
      <c r="D15" s="43">
        <v>19.739999999999998</v>
      </c>
      <c r="E15" s="43">
        <v>6.83</v>
      </c>
      <c r="F15" s="43">
        <v>2.38</v>
      </c>
      <c r="G15" s="43">
        <v>56.7</v>
      </c>
      <c r="H15" s="43">
        <v>19.43</v>
      </c>
      <c r="I15" s="43">
        <v>5.65</v>
      </c>
      <c r="J15" s="43">
        <v>0.41</v>
      </c>
      <c r="K15" s="43">
        <v>28.22</v>
      </c>
      <c r="L15" s="43">
        <v>10.119999999999999</v>
      </c>
      <c r="M15" s="43">
        <v>6.72</v>
      </c>
      <c r="N15" s="43">
        <v>29.8</v>
      </c>
      <c r="O15" s="43">
        <v>0</v>
      </c>
      <c r="P15" s="43">
        <v>0.35</v>
      </c>
      <c r="Q15" s="43">
        <v>12.1</v>
      </c>
      <c r="R15" s="41"/>
      <c r="S15" s="41"/>
      <c r="T15" s="41"/>
      <c r="U15" s="41"/>
    </row>
    <row r="16" spans="1:21" customFormat="1">
      <c r="A16" s="42" t="s">
        <v>668</v>
      </c>
      <c r="B16" s="43">
        <v>14.76</v>
      </c>
      <c r="C16" s="43">
        <v>9.7200000000000006</v>
      </c>
      <c r="D16" s="43">
        <v>24.48</v>
      </c>
      <c r="E16" s="43">
        <v>6.67</v>
      </c>
      <c r="F16" s="43">
        <v>2.76</v>
      </c>
      <c r="G16" s="43">
        <v>56.62</v>
      </c>
      <c r="H16" s="43">
        <v>19.350000000000001</v>
      </c>
      <c r="I16" s="43">
        <v>5.82</v>
      </c>
      <c r="J16" s="43">
        <v>0.62</v>
      </c>
      <c r="K16" s="43">
        <v>35.799999999999997</v>
      </c>
      <c r="L16" s="43">
        <v>10.85</v>
      </c>
      <c r="M16" s="43">
        <v>7.32</v>
      </c>
      <c r="N16" s="43">
        <v>83.5</v>
      </c>
      <c r="O16" s="43">
        <v>0</v>
      </c>
      <c r="P16" s="43">
        <v>0.33</v>
      </c>
      <c r="Q16" s="43">
        <v>12.13</v>
      </c>
      <c r="R16" s="41"/>
      <c r="S16" s="41"/>
      <c r="T16" s="41"/>
      <c r="U16" s="41"/>
    </row>
    <row r="17" spans="1:21" customFormat="1">
      <c r="A17" s="42" t="s">
        <v>669</v>
      </c>
      <c r="B17" s="43">
        <v>14.41</v>
      </c>
      <c r="C17" s="43">
        <v>8.27</v>
      </c>
      <c r="D17" s="43">
        <v>22.67</v>
      </c>
      <c r="E17" s="43">
        <v>7.75</v>
      </c>
      <c r="F17" s="43">
        <v>2.86</v>
      </c>
      <c r="G17" s="43">
        <v>53.53</v>
      </c>
      <c r="H17" s="43">
        <v>18.86</v>
      </c>
      <c r="I17" s="43">
        <v>5.93</v>
      </c>
      <c r="J17" s="43">
        <v>0.6</v>
      </c>
      <c r="K17" s="43">
        <v>37.33</v>
      </c>
      <c r="L17" s="43">
        <v>9.91</v>
      </c>
      <c r="M17" s="43">
        <v>2</v>
      </c>
      <c r="N17" s="43">
        <v>304.60000000000002</v>
      </c>
      <c r="O17" s="43">
        <v>0</v>
      </c>
      <c r="P17" s="43">
        <v>0.34</v>
      </c>
      <c r="Q17" s="43">
        <v>12.95</v>
      </c>
      <c r="R17" s="41"/>
      <c r="S17" s="41"/>
      <c r="T17" s="41"/>
      <c r="U17" s="41"/>
    </row>
    <row r="18" spans="1:21" customFormat="1">
      <c r="A18" s="42" t="s">
        <v>670</v>
      </c>
      <c r="B18" s="43">
        <v>15.11</v>
      </c>
      <c r="C18" s="43">
        <v>9.0500000000000007</v>
      </c>
      <c r="D18" s="43">
        <v>23.99</v>
      </c>
      <c r="E18" s="43">
        <v>8.25</v>
      </c>
      <c r="F18" s="43">
        <v>4.66</v>
      </c>
      <c r="G18" s="43">
        <v>53.99</v>
      </c>
      <c r="H18" s="43">
        <v>18.350000000000001</v>
      </c>
      <c r="I18" s="43">
        <v>5.99</v>
      </c>
      <c r="J18" s="43">
        <v>0.65</v>
      </c>
      <c r="K18" s="43">
        <v>90.21</v>
      </c>
      <c r="L18" s="43">
        <v>13.24</v>
      </c>
      <c r="M18" s="43">
        <v>8.9499999999999993</v>
      </c>
      <c r="N18" s="43">
        <v>340.1</v>
      </c>
      <c r="O18" s="43">
        <v>0</v>
      </c>
      <c r="P18" s="43">
        <v>0.32</v>
      </c>
      <c r="Q18" s="43">
        <v>30.74</v>
      </c>
      <c r="R18" s="41"/>
      <c r="S18" s="41"/>
      <c r="T18" s="41"/>
      <c r="U18" s="41"/>
    </row>
    <row r="19" spans="1:21" customFormat="1">
      <c r="A19" s="42" t="s">
        <v>671</v>
      </c>
      <c r="B19" s="43">
        <v>14.3</v>
      </c>
      <c r="C19" s="43">
        <v>8.73</v>
      </c>
      <c r="D19" s="43">
        <v>22.8</v>
      </c>
      <c r="E19" s="43">
        <v>7.74</v>
      </c>
      <c r="F19" s="43">
        <v>10.98</v>
      </c>
      <c r="G19" s="43">
        <v>56.54</v>
      </c>
      <c r="H19" s="43">
        <v>16.34</v>
      </c>
      <c r="I19" s="43">
        <v>6.14</v>
      </c>
      <c r="J19" s="43">
        <v>0.66</v>
      </c>
      <c r="K19" s="43">
        <v>36.520000000000003</v>
      </c>
      <c r="L19" s="43">
        <v>16.37</v>
      </c>
      <c r="M19" s="43">
        <v>10.71</v>
      </c>
      <c r="N19" s="43">
        <v>619.4</v>
      </c>
      <c r="O19" s="43">
        <v>0</v>
      </c>
      <c r="P19" s="43">
        <v>0.36</v>
      </c>
      <c r="Q19" s="43">
        <v>12.22</v>
      </c>
      <c r="R19" s="41"/>
      <c r="S19" s="41"/>
      <c r="T19" s="41"/>
      <c r="U19" s="41"/>
    </row>
    <row r="20" spans="1:21" customFormat="1">
      <c r="A20" s="42" t="s">
        <v>672</v>
      </c>
      <c r="B20" s="43">
        <v>10.42</v>
      </c>
      <c r="C20" s="43">
        <v>12.64</v>
      </c>
      <c r="D20" s="43">
        <v>21.13</v>
      </c>
      <c r="E20" s="43">
        <v>7.3</v>
      </c>
      <c r="F20" s="43">
        <v>13.07</v>
      </c>
      <c r="G20" s="43">
        <v>56.54</v>
      </c>
      <c r="H20" s="43">
        <v>20.3</v>
      </c>
      <c r="I20" s="43">
        <v>6.41</v>
      </c>
      <c r="J20" s="43">
        <v>0.63</v>
      </c>
      <c r="K20" s="43">
        <v>39.119999999999997</v>
      </c>
      <c r="L20" s="43">
        <v>14.13</v>
      </c>
      <c r="M20" s="43">
        <v>9.7100000000000009</v>
      </c>
      <c r="N20" s="43">
        <v>620.70000000000005</v>
      </c>
      <c r="O20" s="43">
        <v>0</v>
      </c>
      <c r="P20" s="43">
        <v>0.4</v>
      </c>
      <c r="Q20" s="43">
        <v>12.53</v>
      </c>
      <c r="R20" s="41"/>
      <c r="S20" s="41"/>
      <c r="T20" s="41"/>
      <c r="U20" s="41"/>
    </row>
    <row r="21" spans="1:21" customFormat="1">
      <c r="A21" s="42" t="s">
        <v>673</v>
      </c>
      <c r="B21" s="43">
        <v>3.94</v>
      </c>
      <c r="C21" s="43">
        <v>12.67</v>
      </c>
      <c r="D21" s="43">
        <v>16.600000000000001</v>
      </c>
      <c r="E21" s="43">
        <v>7.37</v>
      </c>
      <c r="F21" s="43">
        <v>21.38</v>
      </c>
      <c r="G21" s="43">
        <v>53.25</v>
      </c>
      <c r="H21" s="43">
        <v>20.3</v>
      </c>
      <c r="I21" s="43">
        <v>6.04</v>
      </c>
      <c r="J21" s="43">
        <v>0.66</v>
      </c>
      <c r="K21" s="43">
        <v>46.89</v>
      </c>
      <c r="L21" s="43">
        <v>13.98</v>
      </c>
      <c r="M21" s="43">
        <v>4.3899999999999997</v>
      </c>
      <c r="N21" s="43">
        <v>600.20000000000005</v>
      </c>
      <c r="O21" s="43">
        <v>0</v>
      </c>
      <c r="P21" s="43">
        <v>0.36</v>
      </c>
      <c r="Q21" s="43">
        <v>17.82</v>
      </c>
      <c r="R21" s="41"/>
      <c r="S21" s="41"/>
      <c r="T21" s="41"/>
      <c r="U21" s="41"/>
    </row>
    <row r="22" spans="1:21" customFormat="1">
      <c r="A22" s="42" t="s">
        <v>674</v>
      </c>
      <c r="B22" s="43">
        <v>3.06</v>
      </c>
      <c r="C22" s="43">
        <v>12.57</v>
      </c>
      <c r="D22" s="43">
        <v>15.03</v>
      </c>
      <c r="E22" s="43">
        <v>6.26</v>
      </c>
      <c r="F22" s="43">
        <v>25.09</v>
      </c>
      <c r="G22" s="43">
        <v>52.85</v>
      </c>
      <c r="H22" s="43">
        <v>17.75</v>
      </c>
      <c r="I22" s="43">
        <v>5.58</v>
      </c>
      <c r="J22" s="43">
        <v>0.81</v>
      </c>
      <c r="K22" s="43">
        <v>46.02</v>
      </c>
      <c r="L22" s="43">
        <v>12.88</v>
      </c>
      <c r="M22" s="43">
        <v>8.0500000000000007</v>
      </c>
      <c r="N22" s="43">
        <v>301.5</v>
      </c>
      <c r="O22" s="43">
        <v>0</v>
      </c>
      <c r="P22" s="43">
        <v>0.34</v>
      </c>
      <c r="Q22" s="43">
        <v>14.49</v>
      </c>
      <c r="R22" s="41"/>
      <c r="S22" s="41"/>
      <c r="T22" s="41"/>
      <c r="U22" s="41"/>
    </row>
    <row r="23" spans="1:21" customFormat="1">
      <c r="A23" s="42" t="s">
        <v>675</v>
      </c>
      <c r="B23" s="43">
        <v>3.73</v>
      </c>
      <c r="C23" s="43">
        <v>13.28</v>
      </c>
      <c r="D23" s="43">
        <v>17.010000000000002</v>
      </c>
      <c r="E23" s="43">
        <v>5.94</v>
      </c>
      <c r="F23" s="43">
        <v>18.37</v>
      </c>
      <c r="G23" s="43">
        <v>54.36</v>
      </c>
      <c r="H23" s="43">
        <v>28.02</v>
      </c>
      <c r="I23" s="43">
        <v>6</v>
      </c>
      <c r="J23" s="43">
        <v>0.81</v>
      </c>
      <c r="K23" s="43">
        <v>34.770000000000003</v>
      </c>
      <c r="L23" s="43">
        <v>11.66</v>
      </c>
      <c r="M23" s="43">
        <v>7.76</v>
      </c>
      <c r="N23" s="43">
        <v>165.1</v>
      </c>
      <c r="O23" s="43">
        <v>0</v>
      </c>
      <c r="P23" s="43">
        <v>0.25</v>
      </c>
      <c r="Q23" s="43">
        <v>13.67</v>
      </c>
      <c r="R23" s="41"/>
      <c r="S23" s="41"/>
      <c r="T23" s="41"/>
      <c r="U23" s="41"/>
    </row>
    <row r="24" spans="1:21" customFormat="1">
      <c r="A24" s="42" t="s">
        <v>676</v>
      </c>
      <c r="B24" s="43">
        <v>2.67</v>
      </c>
      <c r="C24" s="43">
        <v>12.07</v>
      </c>
      <c r="D24" s="43">
        <v>14.75</v>
      </c>
      <c r="E24" s="43">
        <v>5.0999999999999996</v>
      </c>
      <c r="F24" s="43">
        <v>22.55</v>
      </c>
      <c r="G24" s="43">
        <v>54.36</v>
      </c>
      <c r="H24" s="43">
        <v>28.02</v>
      </c>
      <c r="I24" s="43">
        <v>6.04</v>
      </c>
      <c r="J24" s="43">
        <v>0.63</v>
      </c>
      <c r="K24" s="43">
        <v>51.31</v>
      </c>
      <c r="L24" s="43">
        <v>9.18</v>
      </c>
      <c r="M24" s="43">
        <v>4.26</v>
      </c>
      <c r="N24" s="43">
        <v>84.6</v>
      </c>
      <c r="O24" s="43">
        <v>0</v>
      </c>
      <c r="P24" s="43">
        <v>0.26</v>
      </c>
      <c r="Q24" s="43">
        <v>14.66</v>
      </c>
      <c r="R24" s="41"/>
      <c r="S24" s="41"/>
      <c r="T24" s="41"/>
      <c r="U24" s="41"/>
    </row>
    <row r="25" spans="1:21" customFormat="1">
      <c r="A25" s="42" t="s">
        <v>677</v>
      </c>
      <c r="B25" s="43">
        <v>2.5</v>
      </c>
      <c r="C25" s="43">
        <v>10.56</v>
      </c>
      <c r="D25" s="43">
        <v>12.72</v>
      </c>
      <c r="E25" s="43">
        <v>5.22</v>
      </c>
      <c r="F25" s="43">
        <v>14.29</v>
      </c>
      <c r="G25" s="43">
        <v>56.37</v>
      </c>
      <c r="H25" s="43">
        <v>23.74</v>
      </c>
      <c r="I25" s="43">
        <v>5.29</v>
      </c>
      <c r="J25" s="43">
        <v>0.53</v>
      </c>
      <c r="K25" s="43">
        <v>63.86</v>
      </c>
      <c r="L25" s="43">
        <v>11.06</v>
      </c>
      <c r="M25" s="43">
        <v>9.19</v>
      </c>
      <c r="N25" s="43">
        <v>30.4</v>
      </c>
      <c r="O25" s="43">
        <v>0</v>
      </c>
      <c r="P25" s="43">
        <v>0.22</v>
      </c>
      <c r="Q25" s="43">
        <v>12.81</v>
      </c>
      <c r="R25" s="41"/>
      <c r="S25" s="41"/>
      <c r="T25" s="41"/>
      <c r="U25" s="41"/>
    </row>
    <row r="26" spans="1:21" customFormat="1">
      <c r="A26" s="42" t="s">
        <v>678</v>
      </c>
      <c r="B26" s="43">
        <v>2.81</v>
      </c>
      <c r="C26" s="43">
        <v>10.26</v>
      </c>
      <c r="D26" s="43">
        <v>12.98</v>
      </c>
      <c r="E26" s="43">
        <v>4.46</v>
      </c>
      <c r="F26" s="43">
        <v>8.5399999999999991</v>
      </c>
      <c r="G26" s="43">
        <v>59.77</v>
      </c>
      <c r="H26" s="43">
        <v>20.38</v>
      </c>
      <c r="I26" s="43">
        <v>4.9800000000000004</v>
      </c>
      <c r="J26" s="43">
        <v>0.43</v>
      </c>
      <c r="K26" s="43">
        <v>133.28</v>
      </c>
      <c r="L26" s="43">
        <v>17.010000000000002</v>
      </c>
      <c r="M26" s="43">
        <v>24.07</v>
      </c>
      <c r="N26" s="43">
        <v>8.5</v>
      </c>
      <c r="O26" s="43">
        <v>0.2</v>
      </c>
      <c r="P26" s="43">
        <v>0.19</v>
      </c>
      <c r="Q26" s="43">
        <v>16.71</v>
      </c>
      <c r="R26" s="41"/>
      <c r="S26" s="41"/>
      <c r="T26" s="41"/>
      <c r="U26" s="41"/>
    </row>
    <row r="27" spans="1:21" customFormat="1">
      <c r="A27" s="42" t="s">
        <v>679</v>
      </c>
      <c r="B27" s="43">
        <v>3.2</v>
      </c>
      <c r="C27" s="43">
        <v>7.74</v>
      </c>
      <c r="D27" s="43">
        <v>10.54</v>
      </c>
      <c r="E27" s="43">
        <v>4.5999999999999996</v>
      </c>
      <c r="F27" s="43">
        <v>10.7</v>
      </c>
      <c r="G27" s="43">
        <v>59.77</v>
      </c>
      <c r="H27" s="43">
        <v>20.38</v>
      </c>
      <c r="I27" s="43">
        <v>5.14</v>
      </c>
      <c r="J27" s="43">
        <v>0.15</v>
      </c>
      <c r="K27" s="43">
        <v>206.6</v>
      </c>
      <c r="L27" s="43">
        <v>18.940000000000001</v>
      </c>
      <c r="M27" s="43">
        <v>29.51</v>
      </c>
      <c r="N27" s="43">
        <v>2.4</v>
      </c>
      <c r="O27" s="43">
        <v>0</v>
      </c>
      <c r="P27" s="43">
        <v>0.19</v>
      </c>
      <c r="Q27" s="43">
        <v>14.59</v>
      </c>
      <c r="R27" s="41"/>
      <c r="S27" s="41"/>
      <c r="T27" s="41"/>
      <c r="U27" s="41"/>
    </row>
    <row r="28" spans="1:21" customFormat="1">
      <c r="A28" s="42" t="s">
        <v>680</v>
      </c>
      <c r="B28" s="43">
        <v>3.45</v>
      </c>
      <c r="C28" s="43">
        <v>6.33</v>
      </c>
      <c r="D28" s="43">
        <v>9.48</v>
      </c>
      <c r="E28" s="43">
        <v>4.87</v>
      </c>
      <c r="F28" s="43">
        <v>6.6</v>
      </c>
      <c r="G28" s="43">
        <v>44.77</v>
      </c>
      <c r="H28" s="43">
        <v>18.91</v>
      </c>
      <c r="I28" s="43">
        <v>4.99</v>
      </c>
      <c r="J28" s="43">
        <v>0.13</v>
      </c>
      <c r="K28" s="43">
        <v>234.15</v>
      </c>
      <c r="L28" s="43">
        <v>19.559999999999999</v>
      </c>
      <c r="M28" s="43">
        <v>31.01</v>
      </c>
      <c r="N28" s="43">
        <v>2.2999999999999998</v>
      </c>
      <c r="O28" s="43">
        <v>0</v>
      </c>
      <c r="P28" s="43">
        <v>0.19</v>
      </c>
      <c r="Q28" s="43">
        <v>19.55</v>
      </c>
      <c r="R28" s="41"/>
      <c r="S28" s="41"/>
      <c r="T28" s="41"/>
      <c r="U28" s="41"/>
    </row>
    <row r="29" spans="1:21" customFormat="1">
      <c r="A29" s="42" t="s">
        <v>681</v>
      </c>
      <c r="B29" s="43">
        <v>3.96</v>
      </c>
      <c r="C29" s="43">
        <v>6.27</v>
      </c>
      <c r="D29" s="43">
        <v>9.7799999999999994</v>
      </c>
      <c r="E29" s="43">
        <v>5.64</v>
      </c>
      <c r="F29" s="43">
        <v>6.17</v>
      </c>
      <c r="G29" s="43">
        <v>39.32</v>
      </c>
      <c r="H29" s="43">
        <v>18.489999999999998</v>
      </c>
      <c r="I29" s="43">
        <v>5.31</v>
      </c>
      <c r="J29" s="43">
        <v>0.17</v>
      </c>
      <c r="K29" s="43">
        <v>230.36</v>
      </c>
      <c r="L29" s="43">
        <v>20.03</v>
      </c>
      <c r="M29" s="43">
        <v>32.18</v>
      </c>
      <c r="N29" s="43">
        <v>2.2999999999999998</v>
      </c>
      <c r="O29" s="43">
        <v>0</v>
      </c>
      <c r="P29" s="43">
        <v>0.23</v>
      </c>
      <c r="Q29" s="43">
        <v>16.059999999999999</v>
      </c>
      <c r="R29" s="41"/>
      <c r="S29" s="41"/>
      <c r="T29" s="41"/>
      <c r="U29" s="41"/>
    </row>
    <row r="30" spans="1:21" customFormat="1">
      <c r="A30" s="42" t="s">
        <v>682</v>
      </c>
      <c r="B30" s="43">
        <v>3.93</v>
      </c>
      <c r="C30" s="43">
        <v>5.89</v>
      </c>
      <c r="D30" s="43">
        <v>9.7899999999999991</v>
      </c>
      <c r="E30" s="43">
        <v>5.85</v>
      </c>
      <c r="F30" s="43">
        <v>2.2799999999999998</v>
      </c>
      <c r="G30" s="43">
        <v>36.340000000000003</v>
      </c>
      <c r="H30" s="43">
        <v>15.92</v>
      </c>
      <c r="I30" s="43">
        <v>5.27</v>
      </c>
      <c r="J30" s="43">
        <v>0.18</v>
      </c>
      <c r="K30" s="43">
        <v>211.38</v>
      </c>
      <c r="L30" s="43">
        <v>19.62</v>
      </c>
      <c r="M30" s="43">
        <v>31.12</v>
      </c>
      <c r="N30" s="43">
        <v>2.4</v>
      </c>
      <c r="O30" s="43">
        <v>0</v>
      </c>
      <c r="P30" s="43">
        <v>0.25</v>
      </c>
      <c r="Q30" s="43">
        <v>13.63</v>
      </c>
      <c r="R30" s="41"/>
      <c r="S30" s="41"/>
      <c r="T30" s="41"/>
      <c r="U30" s="41"/>
    </row>
    <row r="31" spans="1:21" customFormat="1">
      <c r="A31" s="42" t="s">
        <v>683</v>
      </c>
      <c r="B31" s="43">
        <v>3.79</v>
      </c>
      <c r="C31" s="43">
        <v>5.58</v>
      </c>
      <c r="D31" s="43">
        <v>9.36</v>
      </c>
      <c r="E31" s="43">
        <v>6.14</v>
      </c>
      <c r="F31" s="43">
        <v>2.9</v>
      </c>
      <c r="G31" s="43">
        <v>33.74</v>
      </c>
      <c r="H31" s="43">
        <v>18.489999999999998</v>
      </c>
      <c r="I31" s="43">
        <v>5.23</v>
      </c>
      <c r="J31" s="43">
        <v>0.14000000000000001</v>
      </c>
      <c r="K31" s="43">
        <v>240.71</v>
      </c>
      <c r="L31" s="43">
        <v>21.82</v>
      </c>
      <c r="M31" s="43">
        <v>36.67</v>
      </c>
      <c r="N31" s="43">
        <v>2.4</v>
      </c>
      <c r="O31" s="43">
        <v>0.2</v>
      </c>
      <c r="P31" s="43">
        <v>0.25</v>
      </c>
      <c r="Q31" s="43">
        <v>12.57</v>
      </c>
      <c r="R31" s="41"/>
      <c r="S31" s="41"/>
      <c r="T31" s="41"/>
      <c r="U31" s="41"/>
    </row>
    <row r="32" spans="1:21" customFormat="1">
      <c r="A32" s="42" t="s">
        <v>684</v>
      </c>
      <c r="B32" s="43">
        <v>4.34</v>
      </c>
      <c r="C32" s="43">
        <v>5.95</v>
      </c>
      <c r="D32" s="43">
        <v>10.29</v>
      </c>
      <c r="E32" s="43">
        <v>6.19</v>
      </c>
      <c r="F32" s="43">
        <v>2.04</v>
      </c>
      <c r="G32" s="43">
        <v>31.58</v>
      </c>
      <c r="H32" s="43">
        <v>18.489999999999998</v>
      </c>
      <c r="I32" s="43">
        <v>5.17</v>
      </c>
      <c r="J32" s="43">
        <v>0.25</v>
      </c>
      <c r="K32" s="43">
        <v>307.7</v>
      </c>
      <c r="L32" s="43">
        <v>19.25</v>
      </c>
      <c r="M32" s="43">
        <v>30.02</v>
      </c>
      <c r="N32" s="43">
        <v>3.5</v>
      </c>
      <c r="O32" s="43">
        <v>5</v>
      </c>
      <c r="P32" s="43">
        <v>0.25</v>
      </c>
      <c r="Q32" s="43">
        <v>10.86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2.5</v>
      </c>
      <c r="C34" s="18">
        <f t="shared" si="0"/>
        <v>5.58</v>
      </c>
      <c r="D34" s="18">
        <f t="shared" si="0"/>
        <v>9.36</v>
      </c>
      <c r="E34" s="18">
        <f t="shared" si="0"/>
        <v>4.46</v>
      </c>
      <c r="F34" s="18">
        <f t="shared" si="0"/>
        <v>2</v>
      </c>
      <c r="G34" s="18">
        <f t="shared" si="0"/>
        <v>31.58</v>
      </c>
      <c r="H34" s="18">
        <f t="shared" si="0"/>
        <v>15.92</v>
      </c>
      <c r="I34" s="18">
        <f t="shared" si="0"/>
        <v>4.9800000000000004</v>
      </c>
      <c r="J34" s="18">
        <f t="shared" si="0"/>
        <v>0.13</v>
      </c>
      <c r="K34" s="18">
        <f t="shared" si="0"/>
        <v>28.22</v>
      </c>
      <c r="L34" s="18">
        <f t="shared" si="0"/>
        <v>8.92</v>
      </c>
      <c r="M34" s="18">
        <f t="shared" si="0"/>
        <v>2</v>
      </c>
      <c r="N34" s="18">
        <f t="shared" si="0"/>
        <v>2.1</v>
      </c>
      <c r="O34" s="18">
        <f t="shared" si="0"/>
        <v>0</v>
      </c>
      <c r="P34" s="18">
        <f t="shared" si="0"/>
        <v>0.19</v>
      </c>
      <c r="Q34" s="18">
        <f t="shared" si="0"/>
        <v>10.86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15.11</v>
      </c>
      <c r="C35" s="3">
        <f t="shared" si="1"/>
        <v>13.28</v>
      </c>
      <c r="D35" s="3">
        <f t="shared" si="1"/>
        <v>24.48</v>
      </c>
      <c r="E35" s="3">
        <f t="shared" si="1"/>
        <v>8.25</v>
      </c>
      <c r="F35" s="3">
        <f t="shared" si="1"/>
        <v>25.09</v>
      </c>
      <c r="G35" s="3">
        <f t="shared" si="1"/>
        <v>73.92</v>
      </c>
      <c r="H35" s="3">
        <f t="shared" si="1"/>
        <v>28.02</v>
      </c>
      <c r="I35" s="3">
        <f t="shared" si="1"/>
        <v>7.96</v>
      </c>
      <c r="J35" s="3">
        <f t="shared" si="1"/>
        <v>0.81</v>
      </c>
      <c r="K35" s="3">
        <f t="shared" si="1"/>
        <v>339.25</v>
      </c>
      <c r="L35" s="3">
        <f t="shared" si="1"/>
        <v>21.82</v>
      </c>
      <c r="M35" s="3">
        <f t="shared" si="1"/>
        <v>36.67</v>
      </c>
      <c r="N35" s="3">
        <f t="shared" si="1"/>
        <v>620.70000000000005</v>
      </c>
      <c r="O35" s="3">
        <f t="shared" si="1"/>
        <v>5</v>
      </c>
      <c r="P35" s="3">
        <f t="shared" si="1"/>
        <v>0.49</v>
      </c>
      <c r="Q35" s="3">
        <f t="shared" si="1"/>
        <v>30.74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7.9749999999999988</v>
      </c>
      <c r="C36" s="18">
        <f t="shared" si="2"/>
        <v>8.7850000000000001</v>
      </c>
      <c r="D36" s="18">
        <f t="shared" si="2"/>
        <v>16.563333333333336</v>
      </c>
      <c r="E36" s="18">
        <f t="shared" si="2"/>
        <v>6.2008333333333319</v>
      </c>
      <c r="F36" s="18">
        <f t="shared" si="2"/>
        <v>7.924999999999998</v>
      </c>
      <c r="G36" s="18">
        <f t="shared" si="2"/>
        <v>55.456666666666649</v>
      </c>
      <c r="H36" s="18">
        <f t="shared" si="2"/>
        <v>20.966250000000002</v>
      </c>
      <c r="I36" s="18">
        <f t="shared" si="2"/>
        <v>5.9637500000000001</v>
      </c>
      <c r="J36" s="18">
        <f t="shared" si="2"/>
        <v>0.41750000000000004</v>
      </c>
      <c r="K36" s="18">
        <f t="shared" si="2"/>
        <v>108.3325</v>
      </c>
      <c r="L36" s="18">
        <f t="shared" si="2"/>
        <v>14.64583333333333</v>
      </c>
      <c r="M36" s="18">
        <f t="shared" si="2"/>
        <v>16.164166666666667</v>
      </c>
      <c r="N36" s="18">
        <f t="shared" si="2"/>
        <v>134.14166666666668</v>
      </c>
      <c r="O36" s="18">
        <f t="shared" si="2"/>
        <v>0.22500000000000001</v>
      </c>
      <c r="P36" s="18">
        <f t="shared" si="2"/>
        <v>0.32125000000000009</v>
      </c>
      <c r="Q36" s="18">
        <f t="shared" si="2"/>
        <v>15.272083333333329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4.7982759584993691</v>
      </c>
      <c r="C37" s="18">
        <f t="shared" ref="C37:Q37" si="3">STDEV(C9:C32)</f>
        <v>2.4424203961039015</v>
      </c>
      <c r="D37" s="18">
        <f t="shared" si="3"/>
        <v>5.0256936935560566</v>
      </c>
      <c r="E37" s="18">
        <f t="shared" si="3"/>
        <v>1.0637542894887966</v>
      </c>
      <c r="F37" s="18">
        <f t="shared" si="3"/>
        <v>7.4523705011866221</v>
      </c>
      <c r="G37" s="18">
        <f t="shared" si="3"/>
        <v>11.889539306782995</v>
      </c>
      <c r="H37" s="18">
        <f t="shared" si="3"/>
        <v>3.5427940490399772</v>
      </c>
      <c r="I37" s="18">
        <f t="shared" si="3"/>
        <v>0.81764142507580384</v>
      </c>
      <c r="J37" s="18">
        <f t="shared" si="3"/>
        <v>0.22849697933499549</v>
      </c>
      <c r="K37" s="18">
        <f t="shared" si="3"/>
        <v>100.64793923245088</v>
      </c>
      <c r="L37" s="18">
        <f t="shared" si="3"/>
        <v>3.8444142615609036</v>
      </c>
      <c r="M37" s="18">
        <f t="shared" si="3"/>
        <v>10.990195597684439</v>
      </c>
      <c r="N37" s="18">
        <f t="shared" si="3"/>
        <v>212.64565528160907</v>
      </c>
      <c r="O37" s="18">
        <f t="shared" si="3"/>
        <v>1.0186307945728785</v>
      </c>
      <c r="P37" s="18">
        <f t="shared" si="3"/>
        <v>9.2891357767157318E-2</v>
      </c>
      <c r="Q37" s="18">
        <f t="shared" si="3"/>
        <v>5.0155410468616202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E11" sqref="E11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27/09/2025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685</v>
      </c>
      <c r="B9" s="43">
        <v>5.99</v>
      </c>
      <c r="C9" s="43">
        <v>7.1</v>
      </c>
      <c r="D9" s="43">
        <v>13.08</v>
      </c>
      <c r="E9" s="43">
        <v>6.35</v>
      </c>
      <c r="F9" s="43">
        <v>2.0099999999999998</v>
      </c>
      <c r="G9" s="43">
        <v>26.41</v>
      </c>
      <c r="H9" s="43">
        <v>15.46</v>
      </c>
      <c r="I9" s="43">
        <v>5.29</v>
      </c>
      <c r="J9" s="43">
        <v>0.53</v>
      </c>
      <c r="K9" s="43">
        <v>77.540000000000006</v>
      </c>
      <c r="L9" s="43">
        <v>10.51</v>
      </c>
      <c r="M9" s="43">
        <v>8.2899999999999991</v>
      </c>
      <c r="N9" s="43">
        <v>3.1</v>
      </c>
      <c r="O9" s="43">
        <v>0.8</v>
      </c>
      <c r="P9" s="43">
        <v>0.27</v>
      </c>
      <c r="Q9" s="43">
        <v>10.63</v>
      </c>
      <c r="R9" s="41"/>
      <c r="S9" s="41"/>
      <c r="T9" s="41"/>
      <c r="U9" s="41"/>
    </row>
    <row r="10" spans="1:21" customFormat="1">
      <c r="A10" s="42" t="s">
        <v>686</v>
      </c>
      <c r="B10" s="43">
        <v>6.19</v>
      </c>
      <c r="C10" s="43">
        <v>6.92</v>
      </c>
      <c r="D10" s="43">
        <v>12.97</v>
      </c>
      <c r="E10" s="43">
        <v>6.65</v>
      </c>
      <c r="F10" s="43">
        <v>2.09</v>
      </c>
      <c r="G10" s="43">
        <v>22.62</v>
      </c>
      <c r="H10" s="43">
        <v>10.89</v>
      </c>
      <c r="I10" s="43">
        <v>5.46</v>
      </c>
      <c r="J10" s="43">
        <v>0.88</v>
      </c>
      <c r="K10" s="43">
        <v>36.19</v>
      </c>
      <c r="L10" s="43">
        <v>9.52</v>
      </c>
      <c r="M10" s="43">
        <v>5.55</v>
      </c>
      <c r="N10" s="43">
        <v>3.2</v>
      </c>
      <c r="O10" s="43">
        <v>0.4</v>
      </c>
      <c r="P10" s="43">
        <v>0.27</v>
      </c>
      <c r="Q10" s="43">
        <v>12.78</v>
      </c>
      <c r="R10" s="41"/>
      <c r="S10" s="41"/>
      <c r="T10" s="41"/>
      <c r="U10" s="41"/>
    </row>
    <row r="11" spans="1:21" customFormat="1">
      <c r="A11" s="42" t="s">
        <v>687</v>
      </c>
      <c r="B11" s="43">
        <v>6.39</v>
      </c>
      <c r="C11" s="43">
        <v>6.49</v>
      </c>
      <c r="D11" s="43">
        <v>12.75</v>
      </c>
      <c r="E11" s="43">
        <v>4.54</v>
      </c>
      <c r="F11" s="43">
        <v>4.88</v>
      </c>
      <c r="G11" s="43">
        <v>21.77</v>
      </c>
      <c r="H11" s="43">
        <v>9.17</v>
      </c>
      <c r="I11" s="43">
        <v>5.46</v>
      </c>
      <c r="J11" s="43">
        <v>0.74</v>
      </c>
      <c r="K11" s="43">
        <v>34.81</v>
      </c>
      <c r="L11" s="43">
        <v>9.9600000000000009</v>
      </c>
      <c r="M11" s="43">
        <v>6.6</v>
      </c>
      <c r="N11" s="43">
        <v>3</v>
      </c>
      <c r="O11" s="43">
        <v>0.2</v>
      </c>
      <c r="P11" s="43">
        <v>0.21</v>
      </c>
      <c r="Q11" s="43">
        <v>12.68</v>
      </c>
      <c r="R11" s="41"/>
      <c r="S11" s="41"/>
      <c r="T11" s="41"/>
      <c r="U11" s="41"/>
    </row>
    <row r="12" spans="1:21" customFormat="1">
      <c r="A12" s="42" t="s">
        <v>688</v>
      </c>
      <c r="B12" s="43">
        <v>6.59</v>
      </c>
      <c r="C12" s="43">
        <v>7.43</v>
      </c>
      <c r="D12" s="43">
        <v>14.02</v>
      </c>
      <c r="E12" s="43">
        <v>4.75</v>
      </c>
      <c r="F12" s="43">
        <v>4.42</v>
      </c>
      <c r="G12" s="43">
        <v>17.29</v>
      </c>
      <c r="H12" s="43">
        <v>7.95</v>
      </c>
      <c r="I12" s="43">
        <v>5.52</v>
      </c>
      <c r="J12" s="43">
        <v>0.76</v>
      </c>
      <c r="K12" s="43">
        <v>32.56</v>
      </c>
      <c r="L12" s="43">
        <v>9.06</v>
      </c>
      <c r="M12" s="43">
        <v>4.49</v>
      </c>
      <c r="N12" s="43">
        <v>3.1</v>
      </c>
      <c r="O12" s="43">
        <v>0</v>
      </c>
      <c r="P12" s="43">
        <v>0.21</v>
      </c>
      <c r="Q12" s="43">
        <v>11.56</v>
      </c>
      <c r="R12" s="41"/>
      <c r="S12" s="41"/>
      <c r="T12" s="41"/>
      <c r="U12" s="41"/>
    </row>
    <row r="13" spans="1:21" customFormat="1">
      <c r="A13" s="42" t="s">
        <v>689</v>
      </c>
      <c r="B13" s="43">
        <v>5.62</v>
      </c>
      <c r="C13" s="43">
        <v>6.53</v>
      </c>
      <c r="D13" s="43">
        <v>12.08</v>
      </c>
      <c r="E13" s="43">
        <v>4.66</v>
      </c>
      <c r="F13" s="43">
        <v>3.73</v>
      </c>
      <c r="G13" s="43">
        <v>17.670000000000002</v>
      </c>
      <c r="H13" s="43">
        <v>9.1300000000000008</v>
      </c>
      <c r="I13" s="43">
        <v>2.83</v>
      </c>
      <c r="J13" s="43">
        <v>0.84</v>
      </c>
      <c r="K13" s="43">
        <v>30.58</v>
      </c>
      <c r="L13" s="43">
        <v>7.91</v>
      </c>
      <c r="M13" s="43">
        <v>1.45</v>
      </c>
      <c r="N13" s="43">
        <v>2.8</v>
      </c>
      <c r="O13" s="43">
        <v>0.8</v>
      </c>
      <c r="P13" s="43">
        <v>0.43</v>
      </c>
      <c r="Q13" s="43">
        <v>10</v>
      </c>
      <c r="R13" s="41"/>
      <c r="S13" s="41"/>
      <c r="T13" s="41"/>
      <c r="U13" s="41"/>
    </row>
    <row r="14" spans="1:21" customFormat="1">
      <c r="A14" s="42" t="s">
        <v>690</v>
      </c>
      <c r="B14" s="43">
        <v>5.98</v>
      </c>
      <c r="C14" s="43">
        <v>6.52</v>
      </c>
      <c r="D14" s="43">
        <v>12.22</v>
      </c>
      <c r="E14" s="43">
        <v>0.67</v>
      </c>
      <c r="F14" s="43">
        <v>2.97</v>
      </c>
      <c r="G14" s="43">
        <v>17.670000000000002</v>
      </c>
      <c r="H14" s="43">
        <v>9.1300000000000008</v>
      </c>
      <c r="I14" s="43">
        <v>5.43</v>
      </c>
      <c r="J14" s="43">
        <v>0.71</v>
      </c>
      <c r="K14" s="43">
        <v>35.229999999999997</v>
      </c>
      <c r="L14" s="43">
        <v>10.039999999999999</v>
      </c>
      <c r="M14" s="43">
        <v>6.8</v>
      </c>
      <c r="N14" s="43">
        <v>2.6</v>
      </c>
      <c r="O14" s="43">
        <v>0.4</v>
      </c>
      <c r="P14" s="43">
        <v>0.39</v>
      </c>
      <c r="Q14" s="43">
        <v>10</v>
      </c>
      <c r="R14" s="41"/>
      <c r="S14" s="41"/>
      <c r="T14" s="41"/>
      <c r="U14" s="41"/>
    </row>
    <row r="15" spans="1:21" customFormat="1">
      <c r="A15" s="42" t="s">
        <v>691</v>
      </c>
      <c r="B15" s="43">
        <v>6.2</v>
      </c>
      <c r="C15" s="43">
        <v>6.4</v>
      </c>
      <c r="D15" s="43">
        <v>12.61</v>
      </c>
      <c r="E15" s="43">
        <v>0.02</v>
      </c>
      <c r="F15" s="43">
        <v>3.7</v>
      </c>
      <c r="G15" s="43">
        <v>17.100000000000001</v>
      </c>
      <c r="H15" s="43">
        <v>6.78</v>
      </c>
      <c r="I15" s="43">
        <v>5.4</v>
      </c>
      <c r="J15" s="43">
        <v>0.99</v>
      </c>
      <c r="K15" s="43">
        <v>49.08</v>
      </c>
      <c r="L15" s="43">
        <v>10.63</v>
      </c>
      <c r="M15" s="43">
        <v>8.52</v>
      </c>
      <c r="N15" s="43">
        <v>7</v>
      </c>
      <c r="O15" s="43">
        <v>0.6</v>
      </c>
      <c r="P15" s="43">
        <v>0.38</v>
      </c>
      <c r="Q15" s="43">
        <v>10</v>
      </c>
      <c r="R15" s="41"/>
      <c r="S15" s="41"/>
      <c r="T15" s="41"/>
      <c r="U15" s="41"/>
    </row>
    <row r="16" spans="1:21" customFormat="1">
      <c r="A16" s="42" t="s">
        <v>692</v>
      </c>
      <c r="B16" s="43">
        <v>6.74</v>
      </c>
      <c r="C16" s="43">
        <v>6.47</v>
      </c>
      <c r="D16" s="43">
        <v>12.85</v>
      </c>
      <c r="E16" s="43">
        <v>0.26</v>
      </c>
      <c r="F16" s="43">
        <v>2.4900000000000002</v>
      </c>
      <c r="G16" s="43">
        <v>14.57</v>
      </c>
      <c r="H16" s="43">
        <v>6.6</v>
      </c>
      <c r="I16" s="43">
        <v>5.34</v>
      </c>
      <c r="J16" s="43">
        <v>0.71</v>
      </c>
      <c r="K16" s="43">
        <v>38.54</v>
      </c>
      <c r="L16" s="43">
        <v>9.84</v>
      </c>
      <c r="M16" s="43">
        <v>5.54</v>
      </c>
      <c r="N16" s="43">
        <v>37.799999999999997</v>
      </c>
      <c r="O16" s="43">
        <v>0</v>
      </c>
      <c r="P16" s="43">
        <v>0.38</v>
      </c>
      <c r="Q16" s="43">
        <v>10</v>
      </c>
      <c r="R16" s="41"/>
      <c r="S16" s="41"/>
      <c r="T16" s="41"/>
      <c r="U16" s="41"/>
    </row>
    <row r="17" spans="1:21" customFormat="1">
      <c r="A17" s="42" t="s">
        <v>693</v>
      </c>
      <c r="B17" s="43">
        <v>7.33</v>
      </c>
      <c r="C17" s="43">
        <v>6.3</v>
      </c>
      <c r="D17" s="43">
        <v>13.46</v>
      </c>
      <c r="E17" s="43">
        <v>7.0000000000000007E-2</v>
      </c>
      <c r="F17" s="43">
        <v>2.15</v>
      </c>
      <c r="G17" s="43">
        <v>14.57</v>
      </c>
      <c r="H17" s="43">
        <v>5.82</v>
      </c>
      <c r="I17" s="43">
        <v>5.37</v>
      </c>
      <c r="J17" s="43">
        <v>0.86</v>
      </c>
      <c r="K17" s="43">
        <v>34.99</v>
      </c>
      <c r="L17" s="43">
        <v>9.26</v>
      </c>
      <c r="M17" s="43">
        <v>3.75</v>
      </c>
      <c r="N17" s="43">
        <v>99.5</v>
      </c>
      <c r="O17" s="43">
        <v>0</v>
      </c>
      <c r="P17" s="43">
        <v>0.39</v>
      </c>
      <c r="Q17" s="43">
        <v>10</v>
      </c>
      <c r="R17" s="41"/>
      <c r="S17" s="41"/>
      <c r="T17" s="41"/>
      <c r="U17" s="41"/>
    </row>
    <row r="18" spans="1:21" customFormat="1">
      <c r="A18" s="42" t="s">
        <v>694</v>
      </c>
      <c r="B18" s="43">
        <v>7.32</v>
      </c>
      <c r="C18" s="43">
        <v>6.58</v>
      </c>
      <c r="D18" s="43">
        <v>13.67</v>
      </c>
      <c r="E18" s="43">
        <v>0.06</v>
      </c>
      <c r="F18" s="43">
        <v>2.72</v>
      </c>
      <c r="G18" s="43">
        <v>26.24</v>
      </c>
      <c r="H18" s="43">
        <v>6.65</v>
      </c>
      <c r="I18" s="43">
        <v>5.17</v>
      </c>
      <c r="J18" s="43">
        <v>0.76</v>
      </c>
      <c r="K18" s="43">
        <v>45.56</v>
      </c>
      <c r="L18" s="43">
        <v>12.86</v>
      </c>
      <c r="M18" s="43">
        <v>8.64</v>
      </c>
      <c r="N18" s="43">
        <v>234.9</v>
      </c>
      <c r="O18" s="43">
        <v>0</v>
      </c>
      <c r="P18" s="43">
        <v>0.43</v>
      </c>
      <c r="Q18" s="43">
        <v>10</v>
      </c>
      <c r="R18" s="41"/>
      <c r="S18" s="41"/>
      <c r="T18" s="41"/>
      <c r="U18" s="41"/>
    </row>
    <row r="19" spans="1:21" customFormat="1">
      <c r="A19" s="42" t="s">
        <v>695</v>
      </c>
      <c r="B19" s="43">
        <v>6.05</v>
      </c>
      <c r="C19" s="43">
        <v>6.5</v>
      </c>
      <c r="D19" s="43">
        <v>12.55</v>
      </c>
      <c r="E19" s="43">
        <v>5.83</v>
      </c>
      <c r="F19" s="43">
        <v>2.1</v>
      </c>
      <c r="G19" s="43">
        <v>26.24</v>
      </c>
      <c r="H19" s="43">
        <v>7.52</v>
      </c>
      <c r="I19" s="43">
        <v>5.03</v>
      </c>
      <c r="J19" s="43">
        <v>0.6</v>
      </c>
      <c r="K19" s="43">
        <v>70.25</v>
      </c>
      <c r="L19" s="43">
        <v>15.75</v>
      </c>
      <c r="M19" s="43">
        <v>7.38</v>
      </c>
      <c r="N19" s="43">
        <v>594.5</v>
      </c>
      <c r="O19" s="43">
        <v>0</v>
      </c>
      <c r="P19" s="43">
        <v>0.43</v>
      </c>
      <c r="Q19" s="43">
        <v>10</v>
      </c>
      <c r="R19" s="41"/>
      <c r="S19" s="41"/>
      <c r="T19" s="41"/>
      <c r="U19" s="41"/>
    </row>
    <row r="20" spans="1:21" customFormat="1">
      <c r="A20" s="42" t="s">
        <v>696</v>
      </c>
      <c r="B20" s="43">
        <v>5.16</v>
      </c>
      <c r="C20" s="43">
        <v>6.43</v>
      </c>
      <c r="D20" s="43">
        <v>11.46</v>
      </c>
      <c r="E20" s="43">
        <v>5.61</v>
      </c>
      <c r="F20" s="43">
        <v>2.62</v>
      </c>
      <c r="G20" s="43">
        <v>36.76</v>
      </c>
      <c r="H20" s="43">
        <v>11.93</v>
      </c>
      <c r="I20" s="43">
        <v>4.78</v>
      </c>
      <c r="J20" s="43">
        <v>0.81</v>
      </c>
      <c r="K20" s="43">
        <v>66.44</v>
      </c>
      <c r="L20" s="43">
        <v>16.329999999999998</v>
      </c>
      <c r="M20" s="43">
        <v>8.01</v>
      </c>
      <c r="N20" s="43">
        <v>658.1</v>
      </c>
      <c r="O20" s="43">
        <v>0</v>
      </c>
      <c r="P20" s="43">
        <v>0.43</v>
      </c>
      <c r="Q20" s="43">
        <v>10</v>
      </c>
      <c r="R20" s="41"/>
      <c r="S20" s="41"/>
      <c r="T20" s="41"/>
      <c r="U20" s="41"/>
    </row>
    <row r="21" spans="1:21" customFormat="1">
      <c r="A21" s="42" t="s">
        <v>697</v>
      </c>
      <c r="B21" s="43">
        <v>4.16</v>
      </c>
      <c r="C21" s="43">
        <v>6.38</v>
      </c>
      <c r="D21" s="43">
        <v>10.29</v>
      </c>
      <c r="E21" s="43">
        <v>5.72</v>
      </c>
      <c r="F21" s="43">
        <v>3.12</v>
      </c>
      <c r="G21" s="43">
        <v>36.76</v>
      </c>
      <c r="H21" s="43">
        <v>12.3</v>
      </c>
      <c r="I21" s="43">
        <v>4.79</v>
      </c>
      <c r="J21" s="43">
        <v>0.61</v>
      </c>
      <c r="K21" s="43">
        <v>70.489999999999995</v>
      </c>
      <c r="L21" s="43">
        <v>12.22</v>
      </c>
      <c r="M21" s="43">
        <v>8.48</v>
      </c>
      <c r="N21" s="43">
        <v>385.8</v>
      </c>
      <c r="O21" s="43">
        <v>0</v>
      </c>
      <c r="P21" s="43">
        <v>0.42</v>
      </c>
      <c r="Q21" s="43">
        <v>10</v>
      </c>
      <c r="R21" s="41"/>
      <c r="S21" s="41"/>
      <c r="T21" s="41"/>
      <c r="U21" s="41"/>
    </row>
    <row r="22" spans="1:21" customFormat="1">
      <c r="A22" s="42" t="s">
        <v>698</v>
      </c>
      <c r="B22" s="43">
        <v>3.02</v>
      </c>
      <c r="C22" s="43">
        <v>6.26</v>
      </c>
      <c r="D22" s="43">
        <v>9.2799999999999994</v>
      </c>
      <c r="E22" s="43">
        <v>5.78</v>
      </c>
      <c r="F22" s="43">
        <v>2.4900000000000002</v>
      </c>
      <c r="G22" s="43">
        <v>29.55</v>
      </c>
      <c r="H22" s="43">
        <v>12.3</v>
      </c>
      <c r="I22" s="43">
        <v>4.6900000000000004</v>
      </c>
      <c r="J22" s="43">
        <v>0.32</v>
      </c>
      <c r="K22" s="43">
        <v>133.28</v>
      </c>
      <c r="L22" s="43">
        <v>16.16</v>
      </c>
      <c r="M22" s="43">
        <v>17.940000000000001</v>
      </c>
      <c r="N22" s="43">
        <v>453.1</v>
      </c>
      <c r="O22" s="43">
        <v>0</v>
      </c>
      <c r="P22" s="43">
        <v>0.42</v>
      </c>
      <c r="Q22" s="43">
        <v>10</v>
      </c>
      <c r="R22" s="41"/>
      <c r="S22" s="41"/>
      <c r="T22" s="41"/>
      <c r="U22" s="41"/>
    </row>
    <row r="23" spans="1:21" customFormat="1">
      <c r="A23" s="42" t="s">
        <v>699</v>
      </c>
      <c r="B23" s="43">
        <v>2.41</v>
      </c>
      <c r="C23" s="43">
        <v>5.76</v>
      </c>
      <c r="D23" s="43">
        <v>8.1300000000000008</v>
      </c>
      <c r="E23" s="43">
        <v>6.06</v>
      </c>
      <c r="F23" s="43">
        <v>4.5999999999999996</v>
      </c>
      <c r="G23" s="43">
        <v>27.41</v>
      </c>
      <c r="H23" s="43">
        <v>9</v>
      </c>
      <c r="I23" s="43">
        <v>4.59</v>
      </c>
      <c r="J23" s="43">
        <v>0.32</v>
      </c>
      <c r="K23" s="43">
        <v>129.01</v>
      </c>
      <c r="L23" s="43">
        <v>16.260000000000002</v>
      </c>
      <c r="M23" s="43">
        <v>18.13</v>
      </c>
      <c r="N23" s="43">
        <v>198.1</v>
      </c>
      <c r="O23" s="43">
        <v>0</v>
      </c>
      <c r="P23" s="43">
        <v>0.18</v>
      </c>
      <c r="Q23" s="43">
        <v>10</v>
      </c>
      <c r="R23" s="41"/>
      <c r="S23" s="41"/>
      <c r="T23" s="41"/>
      <c r="U23" s="41"/>
    </row>
    <row r="24" spans="1:21" customFormat="1">
      <c r="A24" s="42" t="s">
        <v>700</v>
      </c>
      <c r="B24" s="43">
        <v>2.57</v>
      </c>
      <c r="C24" s="43">
        <v>5.56</v>
      </c>
      <c r="D24" s="43">
        <v>8.1199999999999992</v>
      </c>
      <c r="E24" s="43">
        <v>4.93</v>
      </c>
      <c r="F24" s="43">
        <v>5.31</v>
      </c>
      <c r="G24" s="43">
        <v>27.41</v>
      </c>
      <c r="H24" s="43">
        <v>7.56</v>
      </c>
      <c r="I24" s="43">
        <v>4.59</v>
      </c>
      <c r="J24" s="43">
        <v>0.55000000000000004</v>
      </c>
      <c r="K24" s="43">
        <v>133.41999999999999</v>
      </c>
      <c r="L24" s="43">
        <v>14.2</v>
      </c>
      <c r="M24" s="43">
        <v>15.97</v>
      </c>
      <c r="N24" s="43">
        <v>74.5</v>
      </c>
      <c r="O24" s="43">
        <v>0</v>
      </c>
      <c r="P24" s="43">
        <v>0.17</v>
      </c>
      <c r="Q24" s="43">
        <v>10</v>
      </c>
      <c r="R24" s="41"/>
      <c r="S24" s="41"/>
      <c r="T24" s="41"/>
      <c r="U24" s="41"/>
    </row>
    <row r="25" spans="1:21" customFormat="1">
      <c r="A25" s="42" t="s">
        <v>701</v>
      </c>
      <c r="B25" s="43">
        <v>2.76</v>
      </c>
      <c r="C25" s="43">
        <v>6.1</v>
      </c>
      <c r="D25" s="43">
        <v>8.86</v>
      </c>
      <c r="E25" s="43">
        <v>6.75</v>
      </c>
      <c r="F25" s="43">
        <v>6.01</v>
      </c>
      <c r="G25" s="43">
        <v>21.48</v>
      </c>
      <c r="H25" s="43">
        <v>5.41</v>
      </c>
      <c r="I25" s="43">
        <v>4.5599999999999996</v>
      </c>
      <c r="J25" s="43">
        <v>0.35</v>
      </c>
      <c r="K25" s="43">
        <v>129.22</v>
      </c>
      <c r="L25" s="43">
        <v>14.63</v>
      </c>
      <c r="M25" s="43">
        <v>18.02</v>
      </c>
      <c r="N25" s="43">
        <v>35.200000000000003</v>
      </c>
      <c r="O25" s="43">
        <v>0</v>
      </c>
      <c r="P25" s="43">
        <v>0.18</v>
      </c>
      <c r="Q25" s="43">
        <v>10</v>
      </c>
      <c r="R25" s="41"/>
      <c r="S25" s="41"/>
      <c r="T25" s="41"/>
      <c r="U25" s="41"/>
    </row>
    <row r="26" spans="1:21" customFormat="1">
      <c r="A26" s="42" t="s">
        <v>702</v>
      </c>
      <c r="B26" s="43">
        <v>3.53</v>
      </c>
      <c r="C26" s="43">
        <v>6.97</v>
      </c>
      <c r="D26" s="43">
        <v>10.5</v>
      </c>
      <c r="E26" s="43">
        <v>8.3000000000000007</v>
      </c>
      <c r="F26" s="43">
        <v>3.11</v>
      </c>
      <c r="G26" s="43">
        <v>21.48</v>
      </c>
      <c r="H26" s="43">
        <v>4.2</v>
      </c>
      <c r="I26" s="43">
        <v>4.93</v>
      </c>
      <c r="J26" s="43">
        <v>0.25</v>
      </c>
      <c r="K26" s="43">
        <v>136.85</v>
      </c>
      <c r="L26" s="43">
        <v>14.2</v>
      </c>
      <c r="M26" s="43">
        <v>17.07</v>
      </c>
      <c r="N26" s="43">
        <v>21.6</v>
      </c>
      <c r="O26" s="43">
        <v>0</v>
      </c>
      <c r="P26" s="43">
        <v>0.24</v>
      </c>
      <c r="Q26" s="43">
        <v>10</v>
      </c>
      <c r="R26" s="41"/>
      <c r="S26" s="41"/>
      <c r="T26" s="41"/>
      <c r="U26" s="41"/>
    </row>
    <row r="27" spans="1:21" customFormat="1">
      <c r="A27" s="42" t="s">
        <v>703</v>
      </c>
      <c r="B27" s="43">
        <v>3.94</v>
      </c>
      <c r="C27" s="43">
        <v>6.67</v>
      </c>
      <c r="D27" s="43">
        <v>10.24</v>
      </c>
      <c r="E27" s="43">
        <v>5.93</v>
      </c>
      <c r="F27" s="43">
        <v>2.79</v>
      </c>
      <c r="G27" s="43">
        <v>25.77</v>
      </c>
      <c r="H27" s="43">
        <v>2.97</v>
      </c>
      <c r="I27" s="43">
        <v>5.36</v>
      </c>
      <c r="J27" s="43">
        <v>0.38</v>
      </c>
      <c r="K27" s="43">
        <v>116.04</v>
      </c>
      <c r="L27" s="43">
        <v>13.18</v>
      </c>
      <c r="M27" s="43">
        <v>14.96</v>
      </c>
      <c r="N27" s="43">
        <v>2.5</v>
      </c>
      <c r="O27" s="43">
        <v>0</v>
      </c>
      <c r="P27" s="43">
        <v>0.25</v>
      </c>
      <c r="Q27" s="43">
        <v>25.05</v>
      </c>
      <c r="R27" s="41"/>
      <c r="S27" s="41"/>
      <c r="T27" s="41"/>
      <c r="U27" s="41"/>
    </row>
    <row r="28" spans="1:21" customFormat="1">
      <c r="A28" s="42" t="s">
        <v>704</v>
      </c>
      <c r="B28" s="43">
        <v>3.74</v>
      </c>
      <c r="C28" s="43">
        <v>5.8</v>
      </c>
      <c r="D28" s="43">
        <v>9.4700000000000006</v>
      </c>
      <c r="E28" s="43">
        <v>5.87</v>
      </c>
      <c r="F28" s="43">
        <v>2.08</v>
      </c>
      <c r="G28" s="43">
        <v>25.77</v>
      </c>
      <c r="H28" s="43">
        <v>5.89</v>
      </c>
      <c r="I28" s="43">
        <v>5.09</v>
      </c>
      <c r="J28" s="43">
        <v>0.28000000000000003</v>
      </c>
      <c r="K28" s="43">
        <v>135.38999999999999</v>
      </c>
      <c r="L28" s="43">
        <v>15.29</v>
      </c>
      <c r="M28" s="43">
        <v>20.27</v>
      </c>
      <c r="N28" s="43">
        <v>2.4</v>
      </c>
      <c r="O28" s="43">
        <v>0</v>
      </c>
      <c r="P28" s="43">
        <v>0.26</v>
      </c>
      <c r="Q28" s="43">
        <v>11.93</v>
      </c>
      <c r="R28" s="41"/>
      <c r="S28" s="41"/>
      <c r="T28" s="41"/>
      <c r="U28" s="41"/>
    </row>
    <row r="29" spans="1:21" customFormat="1">
      <c r="A29" s="42" t="s">
        <v>705</v>
      </c>
      <c r="B29" s="43">
        <v>3.12</v>
      </c>
      <c r="C29" s="43">
        <v>5.53</v>
      </c>
      <c r="D29" s="43">
        <v>8.65</v>
      </c>
      <c r="E29" s="43">
        <v>5.93</v>
      </c>
      <c r="F29" s="43">
        <v>2.2799999999999998</v>
      </c>
      <c r="G29" s="43">
        <v>24.16</v>
      </c>
      <c r="H29" s="43">
        <v>5.89</v>
      </c>
      <c r="I29" s="43">
        <v>5.07</v>
      </c>
      <c r="J29" s="43">
        <v>0.26</v>
      </c>
      <c r="K29" s="43">
        <v>125.58</v>
      </c>
      <c r="L29" s="43">
        <v>13.73</v>
      </c>
      <c r="M29" s="43">
        <v>16.47</v>
      </c>
      <c r="N29" s="43">
        <v>2.7</v>
      </c>
      <c r="O29" s="43">
        <v>0</v>
      </c>
      <c r="P29" s="43">
        <v>0.25</v>
      </c>
      <c r="Q29" s="43">
        <v>15.67</v>
      </c>
      <c r="R29" s="41"/>
      <c r="S29" s="41"/>
      <c r="T29" s="41"/>
      <c r="U29" s="41"/>
    </row>
    <row r="30" spans="1:21" customFormat="1">
      <c r="A30" s="42" t="s">
        <v>706</v>
      </c>
      <c r="B30" s="43">
        <v>2.39</v>
      </c>
      <c r="C30" s="43">
        <v>5.25</v>
      </c>
      <c r="D30" s="43">
        <v>7.64</v>
      </c>
      <c r="E30" s="43">
        <v>5.94</v>
      </c>
      <c r="F30" s="43">
        <v>2.12</v>
      </c>
      <c r="G30" s="43">
        <v>24.16</v>
      </c>
      <c r="H30" s="43">
        <v>5</v>
      </c>
      <c r="I30" s="43">
        <v>4.78</v>
      </c>
      <c r="J30" s="43">
        <v>0.19</v>
      </c>
      <c r="K30" s="43">
        <v>131.62</v>
      </c>
      <c r="L30" s="43">
        <v>15.53</v>
      </c>
      <c r="M30" s="43">
        <v>20.2</v>
      </c>
      <c r="N30" s="43">
        <v>2.5</v>
      </c>
      <c r="O30" s="43">
        <v>0</v>
      </c>
      <c r="P30" s="43">
        <v>0.23</v>
      </c>
      <c r="Q30" s="43">
        <v>23.03</v>
      </c>
      <c r="R30" s="41"/>
      <c r="S30" s="41"/>
      <c r="T30" s="41"/>
      <c r="U30" s="41"/>
    </row>
    <row r="31" spans="1:21" customFormat="1">
      <c r="A31" s="42" t="s">
        <v>707</v>
      </c>
      <c r="B31" s="43">
        <v>1.91</v>
      </c>
      <c r="C31" s="43">
        <v>4.95</v>
      </c>
      <c r="D31" s="43">
        <v>6.86</v>
      </c>
      <c r="E31" s="43">
        <v>5.97</v>
      </c>
      <c r="F31" s="43">
        <v>2.67</v>
      </c>
      <c r="G31" s="43">
        <v>19</v>
      </c>
      <c r="H31" s="43">
        <v>4.2699999999999996</v>
      </c>
      <c r="I31" s="43">
        <v>4.3899999999999997</v>
      </c>
      <c r="J31" s="43">
        <v>0.24</v>
      </c>
      <c r="K31" s="43">
        <v>135.68</v>
      </c>
      <c r="L31" s="43">
        <v>14.85</v>
      </c>
      <c r="M31" s="43">
        <v>19.18</v>
      </c>
      <c r="N31" s="43">
        <v>2.4</v>
      </c>
      <c r="O31" s="43">
        <v>0</v>
      </c>
      <c r="P31" s="43">
        <v>0.21</v>
      </c>
      <c r="Q31" s="43">
        <v>13.86</v>
      </c>
      <c r="R31" s="41"/>
      <c r="S31" s="41"/>
      <c r="T31" s="41"/>
      <c r="U31" s="41"/>
    </row>
    <row r="32" spans="1:21" customFormat="1">
      <c r="A32" s="42" t="s">
        <v>708</v>
      </c>
      <c r="B32" s="43">
        <v>1.65</v>
      </c>
      <c r="C32" s="43">
        <v>4.76</v>
      </c>
      <c r="D32" s="43">
        <v>6.41</v>
      </c>
      <c r="E32" s="43">
        <v>6</v>
      </c>
      <c r="F32" s="43">
        <v>2.1800000000000002</v>
      </c>
      <c r="G32" s="43">
        <v>19</v>
      </c>
      <c r="H32" s="43">
        <v>4.2699999999999996</v>
      </c>
      <c r="I32" s="43">
        <v>4.1399999999999997</v>
      </c>
      <c r="J32" s="43">
        <v>0.24</v>
      </c>
      <c r="K32" s="43">
        <v>109.33</v>
      </c>
      <c r="L32" s="43">
        <v>13.04</v>
      </c>
      <c r="M32" s="43">
        <v>14.58</v>
      </c>
      <c r="N32" s="43">
        <v>2.4</v>
      </c>
      <c r="O32" s="43">
        <v>0</v>
      </c>
      <c r="P32" s="43">
        <v>0.2</v>
      </c>
      <c r="Q32" s="43">
        <v>10.9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1.65</v>
      </c>
      <c r="C34" s="18">
        <f t="shared" si="0"/>
        <v>4.76</v>
      </c>
      <c r="D34" s="18">
        <f t="shared" si="0"/>
        <v>6.41</v>
      </c>
      <c r="E34" s="18">
        <f t="shared" si="0"/>
        <v>0.02</v>
      </c>
      <c r="F34" s="18">
        <f t="shared" si="0"/>
        <v>2.0099999999999998</v>
      </c>
      <c r="G34" s="18">
        <f t="shared" si="0"/>
        <v>14.57</v>
      </c>
      <c r="H34" s="18">
        <f t="shared" si="0"/>
        <v>2.97</v>
      </c>
      <c r="I34" s="18">
        <f t="shared" si="0"/>
        <v>2.83</v>
      </c>
      <c r="J34" s="18">
        <f t="shared" si="0"/>
        <v>0.19</v>
      </c>
      <c r="K34" s="18">
        <f t="shared" si="0"/>
        <v>30.58</v>
      </c>
      <c r="L34" s="18">
        <f t="shared" si="0"/>
        <v>7.91</v>
      </c>
      <c r="M34" s="18">
        <f t="shared" si="0"/>
        <v>1.45</v>
      </c>
      <c r="N34" s="18">
        <f t="shared" si="0"/>
        <v>2.4</v>
      </c>
      <c r="O34" s="18">
        <f t="shared" si="0"/>
        <v>0</v>
      </c>
      <c r="P34" s="18">
        <f t="shared" si="0"/>
        <v>0.17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7.33</v>
      </c>
      <c r="C35" s="3">
        <f t="shared" si="1"/>
        <v>7.43</v>
      </c>
      <c r="D35" s="3">
        <f t="shared" si="1"/>
        <v>14.02</v>
      </c>
      <c r="E35" s="3">
        <f t="shared" si="1"/>
        <v>8.3000000000000007</v>
      </c>
      <c r="F35" s="3">
        <f t="shared" si="1"/>
        <v>6.01</v>
      </c>
      <c r="G35" s="3">
        <f t="shared" si="1"/>
        <v>36.76</v>
      </c>
      <c r="H35" s="3">
        <f t="shared" si="1"/>
        <v>15.46</v>
      </c>
      <c r="I35" s="3">
        <f t="shared" si="1"/>
        <v>5.52</v>
      </c>
      <c r="J35" s="3">
        <f t="shared" si="1"/>
        <v>0.99</v>
      </c>
      <c r="K35" s="3">
        <f t="shared" si="1"/>
        <v>136.85</v>
      </c>
      <c r="L35" s="3">
        <f t="shared" si="1"/>
        <v>16.329999999999998</v>
      </c>
      <c r="M35" s="3">
        <f t="shared" si="1"/>
        <v>20.27</v>
      </c>
      <c r="N35" s="3">
        <f t="shared" si="1"/>
        <v>658.1</v>
      </c>
      <c r="O35" s="3">
        <f t="shared" si="1"/>
        <v>0.8</v>
      </c>
      <c r="P35" s="3">
        <f t="shared" si="1"/>
        <v>0.43</v>
      </c>
      <c r="Q35" s="3">
        <f t="shared" si="1"/>
        <v>25.05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4.6149999999999993</v>
      </c>
      <c r="C36" s="18">
        <f t="shared" si="2"/>
        <v>6.235833333333332</v>
      </c>
      <c r="D36" s="18">
        <f t="shared" si="2"/>
        <v>10.757083333333334</v>
      </c>
      <c r="E36" s="18">
        <f t="shared" si="2"/>
        <v>4.6937500000000005</v>
      </c>
      <c r="F36" s="18">
        <f t="shared" si="2"/>
        <v>3.1100000000000008</v>
      </c>
      <c r="G36" s="18">
        <f t="shared" si="2"/>
        <v>23.369166666666672</v>
      </c>
      <c r="H36" s="18">
        <f t="shared" si="2"/>
        <v>7.7537499999999993</v>
      </c>
      <c r="I36" s="18">
        <f t="shared" si="2"/>
        <v>4.9191666666666682</v>
      </c>
      <c r="J36" s="18">
        <f t="shared" si="2"/>
        <v>0.54916666666666669</v>
      </c>
      <c r="K36" s="18">
        <f t="shared" si="2"/>
        <v>84.903333333333322</v>
      </c>
      <c r="L36" s="18">
        <f t="shared" si="2"/>
        <v>12.706666666666665</v>
      </c>
      <c r="M36" s="18">
        <f t="shared" si="2"/>
        <v>11.512083333333335</v>
      </c>
      <c r="N36" s="18">
        <f t="shared" si="2"/>
        <v>118.03333333333332</v>
      </c>
      <c r="O36" s="18">
        <f t="shared" si="2"/>
        <v>0.13333333333333333</v>
      </c>
      <c r="P36" s="18">
        <f t="shared" si="2"/>
        <v>0.30124999999999996</v>
      </c>
      <c r="Q36" s="18">
        <f t="shared" si="2"/>
        <v>12.003750000000002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1.8567924657509729</v>
      </c>
      <c r="C37" s="18">
        <f t="shared" ref="C37:Q37" si="3">STDEV(C9:C32)</f>
        <v>0.66354067839438224</v>
      </c>
      <c r="D37" s="18">
        <f t="shared" si="3"/>
        <v>2.3424225274491861</v>
      </c>
      <c r="E37" s="18">
        <f t="shared" si="3"/>
        <v>2.4670803242065209</v>
      </c>
      <c r="F37" s="18">
        <f t="shared" si="3"/>
        <v>1.1480645338625526</v>
      </c>
      <c r="G37" s="18">
        <f t="shared" si="3"/>
        <v>5.9435869104706862</v>
      </c>
      <c r="H37" s="18">
        <f t="shared" si="3"/>
        <v>3.1104645431049458</v>
      </c>
      <c r="I37" s="18">
        <f t="shared" si="3"/>
        <v>0.58914024805986787</v>
      </c>
      <c r="J37" s="18">
        <f t="shared" si="3"/>
        <v>0.25330711153385188</v>
      </c>
      <c r="K37" s="18">
        <f t="shared" si="3"/>
        <v>43.320173999677344</v>
      </c>
      <c r="L37" s="18">
        <f t="shared" si="3"/>
        <v>2.6892243372823845</v>
      </c>
      <c r="M37" s="18">
        <f t="shared" si="3"/>
        <v>6.005633572026289</v>
      </c>
      <c r="N37" s="18">
        <f t="shared" si="3"/>
        <v>199.93998809787831</v>
      </c>
      <c r="O37" s="18">
        <f t="shared" si="3"/>
        <v>0.26154501926331786</v>
      </c>
      <c r="P37" s="18">
        <f t="shared" si="3"/>
        <v>9.8303544984510757E-2</v>
      </c>
      <c r="Q37" s="18">
        <f t="shared" si="3"/>
        <v>4.0067755793752973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L14" sqref="L1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28/09/2025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709</v>
      </c>
      <c r="B9" s="43">
        <v>4.45</v>
      </c>
      <c r="C9" s="43">
        <v>4.83</v>
      </c>
      <c r="D9" s="43">
        <v>9.2799999999999994</v>
      </c>
      <c r="E9" s="43">
        <v>5.58</v>
      </c>
      <c r="F9" s="43">
        <v>3.38</v>
      </c>
      <c r="G9" s="43">
        <v>17.34</v>
      </c>
      <c r="H9" s="43">
        <v>3.34</v>
      </c>
      <c r="I9" s="43">
        <v>3.95</v>
      </c>
      <c r="J9" s="43">
        <v>0.21</v>
      </c>
      <c r="K9" s="43">
        <v>104.71</v>
      </c>
      <c r="L9" s="43">
        <v>14.01</v>
      </c>
      <c r="M9" s="43">
        <v>17.05</v>
      </c>
      <c r="N9" s="43">
        <v>2.4</v>
      </c>
      <c r="O9" s="43">
        <v>0</v>
      </c>
      <c r="P9" s="43">
        <v>0.14000000000000001</v>
      </c>
      <c r="Q9" s="43">
        <v>10</v>
      </c>
      <c r="R9" s="41"/>
      <c r="S9" s="41"/>
      <c r="T9" s="41"/>
      <c r="U9" s="41"/>
    </row>
    <row r="10" spans="1:21" customFormat="1">
      <c r="A10" s="42" t="s">
        <v>710</v>
      </c>
      <c r="B10" s="43">
        <v>4.7699999999999996</v>
      </c>
      <c r="C10" s="43">
        <v>4.8600000000000003</v>
      </c>
      <c r="D10" s="43">
        <v>9.64</v>
      </c>
      <c r="E10" s="43">
        <v>5.62</v>
      </c>
      <c r="F10" s="43">
        <v>4.68</v>
      </c>
      <c r="G10" s="43">
        <v>12.45</v>
      </c>
      <c r="H10" s="43">
        <v>2.38</v>
      </c>
      <c r="I10" s="43">
        <v>3.97</v>
      </c>
      <c r="J10" s="43">
        <v>0.32</v>
      </c>
      <c r="K10" s="43">
        <v>106.59</v>
      </c>
      <c r="L10" s="43">
        <v>11.56</v>
      </c>
      <c r="M10" s="43">
        <v>10.99</v>
      </c>
      <c r="N10" s="43">
        <v>2.4</v>
      </c>
      <c r="O10" s="43">
        <v>0</v>
      </c>
      <c r="P10" s="43">
        <v>0.14000000000000001</v>
      </c>
      <c r="Q10" s="43">
        <v>10</v>
      </c>
      <c r="R10" s="41"/>
      <c r="S10" s="41"/>
      <c r="T10" s="41"/>
      <c r="U10" s="41"/>
    </row>
    <row r="11" spans="1:21" customFormat="1">
      <c r="A11" s="42" t="s">
        <v>711</v>
      </c>
      <c r="B11" s="43">
        <v>5</v>
      </c>
      <c r="C11" s="43">
        <v>4.91</v>
      </c>
      <c r="D11" s="43">
        <v>9.92</v>
      </c>
      <c r="E11" s="43">
        <v>6.03</v>
      </c>
      <c r="F11" s="43">
        <v>3.14</v>
      </c>
      <c r="G11" s="43">
        <v>9.1999999999999993</v>
      </c>
      <c r="H11" s="43">
        <v>2.1</v>
      </c>
      <c r="I11" s="43">
        <v>3.86</v>
      </c>
      <c r="J11" s="43">
        <v>0.31</v>
      </c>
      <c r="K11" s="43">
        <v>110.35</v>
      </c>
      <c r="L11" s="43">
        <v>13.3</v>
      </c>
      <c r="M11" s="43">
        <v>15.65</v>
      </c>
      <c r="N11" s="43">
        <v>2.4</v>
      </c>
      <c r="O11" s="43">
        <v>0</v>
      </c>
      <c r="P11" s="43">
        <v>0.14000000000000001</v>
      </c>
      <c r="Q11" s="43">
        <v>10.3</v>
      </c>
      <c r="R11" s="41"/>
      <c r="S11" s="41"/>
      <c r="T11" s="41"/>
      <c r="U11" s="41"/>
    </row>
    <row r="12" spans="1:21" customFormat="1">
      <c r="A12" s="42" t="s">
        <v>712</v>
      </c>
      <c r="B12" s="43">
        <v>5.21</v>
      </c>
      <c r="C12" s="43">
        <v>5</v>
      </c>
      <c r="D12" s="43">
        <v>10.210000000000001</v>
      </c>
      <c r="E12" s="43">
        <v>6.06</v>
      </c>
      <c r="F12" s="43">
        <v>3.29</v>
      </c>
      <c r="G12" s="43">
        <v>6.94</v>
      </c>
      <c r="H12" s="43">
        <v>1.92</v>
      </c>
      <c r="I12" s="43">
        <v>3.95</v>
      </c>
      <c r="J12" s="43">
        <v>0.2</v>
      </c>
      <c r="K12" s="43">
        <v>107.95</v>
      </c>
      <c r="L12" s="43">
        <v>13.3</v>
      </c>
      <c r="M12" s="43">
        <v>15.24</v>
      </c>
      <c r="N12" s="43">
        <v>2.4</v>
      </c>
      <c r="O12" s="43">
        <v>0</v>
      </c>
      <c r="P12" s="43">
        <v>0.13</v>
      </c>
      <c r="Q12" s="43">
        <v>10.029999999999999</v>
      </c>
      <c r="R12" s="41"/>
      <c r="S12" s="41"/>
      <c r="T12" s="41"/>
      <c r="U12" s="41"/>
    </row>
    <row r="13" spans="1:21" customFormat="1">
      <c r="A13" s="42" t="s">
        <v>713</v>
      </c>
      <c r="B13" s="43">
        <v>5.42</v>
      </c>
      <c r="C13" s="43">
        <v>5.0999999999999996</v>
      </c>
      <c r="D13" s="43">
        <v>10.39</v>
      </c>
      <c r="E13" s="43">
        <v>6.12</v>
      </c>
      <c r="F13" s="43">
        <v>2.4700000000000002</v>
      </c>
      <c r="G13" s="43">
        <v>6.01</v>
      </c>
      <c r="H13" s="43">
        <v>1.68</v>
      </c>
      <c r="I13" s="43">
        <v>4.01</v>
      </c>
      <c r="J13" s="43">
        <v>0.18</v>
      </c>
      <c r="K13" s="43">
        <v>120.78</v>
      </c>
      <c r="L13" s="43">
        <v>13.42</v>
      </c>
      <c r="M13" s="43">
        <v>15.74</v>
      </c>
      <c r="N13" s="43">
        <v>2.4</v>
      </c>
      <c r="O13" s="43">
        <v>0</v>
      </c>
      <c r="P13" s="43">
        <v>0.16</v>
      </c>
      <c r="Q13" s="43">
        <v>10</v>
      </c>
      <c r="R13" s="41"/>
      <c r="S13" s="41"/>
      <c r="T13" s="41"/>
      <c r="U13" s="41"/>
    </row>
    <row r="14" spans="1:21" customFormat="1">
      <c r="A14" s="42" t="s">
        <v>714</v>
      </c>
      <c r="B14" s="43">
        <v>5.07</v>
      </c>
      <c r="C14" s="43">
        <v>5.27</v>
      </c>
      <c r="D14" s="43">
        <v>10.31</v>
      </c>
      <c r="E14" s="43">
        <v>6.3</v>
      </c>
      <c r="F14" s="43">
        <v>2.0099999999999998</v>
      </c>
      <c r="G14" s="43">
        <v>8.6199999999999992</v>
      </c>
      <c r="H14" s="43">
        <v>2.92</v>
      </c>
      <c r="I14" s="43">
        <v>3.96</v>
      </c>
      <c r="J14" s="43">
        <v>0.2</v>
      </c>
      <c r="K14" s="43">
        <v>123.49</v>
      </c>
      <c r="L14" s="43">
        <v>13.39</v>
      </c>
      <c r="M14" s="43">
        <v>15.53</v>
      </c>
      <c r="N14" s="43">
        <v>3.4</v>
      </c>
      <c r="O14" s="43">
        <v>0</v>
      </c>
      <c r="P14" s="43">
        <v>0.16</v>
      </c>
      <c r="Q14" s="43">
        <v>10</v>
      </c>
      <c r="R14" s="41"/>
      <c r="S14" s="41"/>
      <c r="T14" s="41"/>
      <c r="U14" s="41"/>
    </row>
    <row r="15" spans="1:21" customFormat="1">
      <c r="A15" s="42" t="s">
        <v>715</v>
      </c>
      <c r="B15" s="43">
        <v>4.59</v>
      </c>
      <c r="C15" s="43">
        <v>5.16</v>
      </c>
      <c r="D15" s="43">
        <v>9.75</v>
      </c>
      <c r="E15" s="43">
        <v>6.29</v>
      </c>
      <c r="F15" s="43">
        <v>2.0099999999999998</v>
      </c>
      <c r="G15" s="43">
        <v>8.6199999999999992</v>
      </c>
      <c r="H15" s="43">
        <v>2.92</v>
      </c>
      <c r="I15" s="43">
        <v>3.86</v>
      </c>
      <c r="J15" s="43">
        <v>0.22</v>
      </c>
      <c r="K15" s="43">
        <v>124.89</v>
      </c>
      <c r="L15" s="43">
        <v>15.08</v>
      </c>
      <c r="M15" s="43">
        <v>19.25</v>
      </c>
      <c r="N15" s="43">
        <v>34.700000000000003</v>
      </c>
      <c r="O15" s="43">
        <v>0</v>
      </c>
      <c r="P15" s="43">
        <v>0.15</v>
      </c>
      <c r="Q15" s="43">
        <v>10</v>
      </c>
      <c r="R15" s="41"/>
      <c r="S15" s="41"/>
      <c r="T15" s="41"/>
      <c r="U15" s="41"/>
    </row>
    <row r="16" spans="1:21" customFormat="1">
      <c r="A16" s="42" t="s">
        <v>716</v>
      </c>
      <c r="B16" s="43">
        <v>4.18</v>
      </c>
      <c r="C16" s="43">
        <v>5.12</v>
      </c>
      <c r="D16" s="43">
        <v>9.3000000000000007</v>
      </c>
      <c r="E16" s="43">
        <v>6.31</v>
      </c>
      <c r="F16" s="43">
        <v>2.1</v>
      </c>
      <c r="G16" s="43">
        <v>6.52</v>
      </c>
      <c r="H16" s="43">
        <v>2.39</v>
      </c>
      <c r="I16" s="43">
        <v>3.67</v>
      </c>
      <c r="J16" s="43">
        <v>0.24</v>
      </c>
      <c r="K16" s="43">
        <v>126.38</v>
      </c>
      <c r="L16" s="43">
        <v>16.829999999999998</v>
      </c>
      <c r="M16" s="43">
        <v>21.42</v>
      </c>
      <c r="N16" s="43">
        <v>132.19999999999999</v>
      </c>
      <c r="O16" s="43">
        <v>0</v>
      </c>
      <c r="P16" s="43">
        <v>0.16</v>
      </c>
      <c r="Q16" s="43">
        <v>10.09</v>
      </c>
      <c r="R16" s="41"/>
      <c r="S16" s="41"/>
      <c r="T16" s="41"/>
      <c r="U16" s="41"/>
    </row>
    <row r="17" spans="1:21" customFormat="1">
      <c r="A17" s="42" t="s">
        <v>717</v>
      </c>
      <c r="B17" s="43">
        <v>4.03</v>
      </c>
      <c r="C17" s="43">
        <v>5.09</v>
      </c>
      <c r="D17" s="43">
        <v>9.1199999999999992</v>
      </c>
      <c r="E17" s="43">
        <v>6.55</v>
      </c>
      <c r="F17" s="43">
        <v>2.1</v>
      </c>
      <c r="G17" s="43">
        <v>5.4</v>
      </c>
      <c r="H17" s="43">
        <v>2.2000000000000002</v>
      </c>
      <c r="I17" s="43">
        <v>3.68</v>
      </c>
      <c r="J17" s="43">
        <v>0.36</v>
      </c>
      <c r="K17" s="43">
        <v>131.62</v>
      </c>
      <c r="L17" s="43">
        <v>15.51</v>
      </c>
      <c r="M17" s="43">
        <v>16.239999999999998</v>
      </c>
      <c r="N17" s="43">
        <v>225.5</v>
      </c>
      <c r="O17" s="43">
        <v>0</v>
      </c>
      <c r="P17" s="43">
        <v>0.16</v>
      </c>
      <c r="Q17" s="43">
        <v>11.09</v>
      </c>
      <c r="R17" s="41"/>
      <c r="S17" s="41"/>
      <c r="T17" s="41"/>
      <c r="U17" s="41"/>
    </row>
    <row r="18" spans="1:21" customFormat="1">
      <c r="A18" s="42" t="s">
        <v>718</v>
      </c>
      <c r="B18" s="43">
        <v>3.69</v>
      </c>
      <c r="C18" s="43">
        <v>5.1100000000000003</v>
      </c>
      <c r="D18" s="43">
        <v>8.8000000000000007</v>
      </c>
      <c r="E18" s="43">
        <v>6.11</v>
      </c>
      <c r="F18" s="43">
        <v>2.64</v>
      </c>
      <c r="G18" s="43">
        <v>8.67</v>
      </c>
      <c r="H18" s="43">
        <v>3.3</v>
      </c>
      <c r="I18" s="43">
        <v>3.65</v>
      </c>
      <c r="J18" s="43">
        <v>0.3</v>
      </c>
      <c r="K18" s="43">
        <v>194.75</v>
      </c>
      <c r="L18" s="43">
        <v>20.38</v>
      </c>
      <c r="M18" s="43">
        <v>24.32</v>
      </c>
      <c r="N18" s="43">
        <v>377.5</v>
      </c>
      <c r="O18" s="43">
        <v>0</v>
      </c>
      <c r="P18" s="43">
        <v>0.15</v>
      </c>
      <c r="Q18" s="43">
        <v>10.02</v>
      </c>
      <c r="R18" s="41"/>
      <c r="S18" s="41"/>
      <c r="T18" s="41"/>
      <c r="U18" s="41"/>
    </row>
    <row r="19" spans="1:21" customFormat="1">
      <c r="A19" s="42" t="s">
        <v>719</v>
      </c>
      <c r="B19" s="43">
        <v>3.68</v>
      </c>
      <c r="C19" s="43">
        <v>4.91</v>
      </c>
      <c r="D19" s="43">
        <v>8.57</v>
      </c>
      <c r="E19" s="43">
        <v>5.85</v>
      </c>
      <c r="F19" s="43">
        <v>4.8099999999999996</v>
      </c>
      <c r="G19" s="43">
        <v>11.28</v>
      </c>
      <c r="H19" s="43">
        <v>3.3</v>
      </c>
      <c r="I19" s="43">
        <v>3.62</v>
      </c>
      <c r="J19" s="43">
        <v>0.28000000000000003</v>
      </c>
      <c r="K19" s="43">
        <v>129.80000000000001</v>
      </c>
      <c r="L19" s="43">
        <v>19.5</v>
      </c>
      <c r="M19" s="43">
        <v>19.88</v>
      </c>
      <c r="N19" s="43">
        <v>509.5</v>
      </c>
      <c r="O19" s="43">
        <v>0</v>
      </c>
      <c r="P19" s="43">
        <v>0.11</v>
      </c>
      <c r="Q19" s="43">
        <v>10</v>
      </c>
      <c r="R19" s="41"/>
      <c r="S19" s="41"/>
      <c r="T19" s="41"/>
      <c r="U19" s="41"/>
    </row>
    <row r="20" spans="1:21" customFormat="1">
      <c r="A20" s="42" t="s">
        <v>720</v>
      </c>
      <c r="B20" s="43">
        <v>3.67</v>
      </c>
      <c r="C20" s="43">
        <v>4.95</v>
      </c>
      <c r="D20" s="43">
        <v>8.56</v>
      </c>
      <c r="E20" s="43">
        <v>5.75</v>
      </c>
      <c r="F20" s="43">
        <v>5.93</v>
      </c>
      <c r="G20" s="43">
        <v>11.57</v>
      </c>
      <c r="H20" s="43">
        <v>4.5199999999999996</v>
      </c>
      <c r="I20" s="43">
        <v>3.61</v>
      </c>
      <c r="J20" s="43">
        <v>0.28000000000000003</v>
      </c>
      <c r="K20" s="43">
        <v>115.52</v>
      </c>
      <c r="L20" s="43">
        <v>19.149999999999999</v>
      </c>
      <c r="M20" s="43">
        <v>19.61</v>
      </c>
      <c r="N20" s="43">
        <v>506.8</v>
      </c>
      <c r="O20" s="43">
        <v>0</v>
      </c>
      <c r="P20" s="43">
        <v>0.09</v>
      </c>
      <c r="Q20" s="43">
        <v>10</v>
      </c>
      <c r="R20" s="41"/>
      <c r="S20" s="41"/>
      <c r="T20" s="41"/>
      <c r="U20" s="41"/>
    </row>
    <row r="21" spans="1:21" customFormat="1">
      <c r="A21" s="42" t="s">
        <v>721</v>
      </c>
      <c r="B21" s="43">
        <v>3.62</v>
      </c>
      <c r="C21" s="43">
        <v>6.89</v>
      </c>
      <c r="D21" s="43">
        <v>9.5</v>
      </c>
      <c r="E21" s="43">
        <v>5.05</v>
      </c>
      <c r="F21" s="43">
        <v>15.76</v>
      </c>
      <c r="G21" s="43">
        <v>11.57</v>
      </c>
      <c r="H21" s="43">
        <v>4.5199999999999996</v>
      </c>
      <c r="I21" s="43">
        <v>3.54</v>
      </c>
      <c r="J21" s="43">
        <v>0.28999999999999998</v>
      </c>
      <c r="K21" s="43">
        <v>157.28</v>
      </c>
      <c r="L21" s="43">
        <v>18.38</v>
      </c>
      <c r="M21" s="43">
        <v>21.63</v>
      </c>
      <c r="N21" s="43">
        <v>478.2</v>
      </c>
      <c r="O21" s="43">
        <v>0</v>
      </c>
      <c r="P21" s="43">
        <v>0.12</v>
      </c>
      <c r="Q21" s="43">
        <v>10.36</v>
      </c>
      <c r="R21" s="41"/>
      <c r="S21" s="41"/>
      <c r="T21" s="41"/>
      <c r="U21" s="41"/>
    </row>
    <row r="22" spans="1:21" customFormat="1">
      <c r="A22" s="42" t="s">
        <v>722</v>
      </c>
      <c r="B22" s="43">
        <v>1.84</v>
      </c>
      <c r="C22" s="43">
        <v>6.51</v>
      </c>
      <c r="D22" s="43">
        <v>8.35</v>
      </c>
      <c r="E22" s="43">
        <v>3.5</v>
      </c>
      <c r="F22" s="43">
        <v>27.56</v>
      </c>
      <c r="G22" s="43">
        <v>26.15</v>
      </c>
      <c r="H22" s="43">
        <v>9.77</v>
      </c>
      <c r="I22" s="43">
        <v>29.72</v>
      </c>
      <c r="J22" s="43">
        <v>0.22</v>
      </c>
      <c r="K22" s="43">
        <v>147.15</v>
      </c>
      <c r="L22" s="43">
        <v>17.54</v>
      </c>
      <c r="M22" s="43">
        <v>23.51</v>
      </c>
      <c r="N22" s="43">
        <v>218.5</v>
      </c>
      <c r="O22" s="43">
        <v>0</v>
      </c>
      <c r="P22" s="43">
        <v>0.48</v>
      </c>
      <c r="Q22" s="43">
        <v>10</v>
      </c>
      <c r="R22" s="41"/>
      <c r="S22" s="41"/>
      <c r="T22" s="41"/>
      <c r="U22" s="41"/>
    </row>
    <row r="23" spans="1:21" customFormat="1">
      <c r="A23" s="42" t="s">
        <v>723</v>
      </c>
      <c r="B23" s="43">
        <v>1.59</v>
      </c>
      <c r="C23" s="43">
        <v>4.62</v>
      </c>
      <c r="D23" s="43">
        <v>6.21</v>
      </c>
      <c r="E23" s="43">
        <v>3.25</v>
      </c>
      <c r="F23" s="43">
        <v>20.68</v>
      </c>
      <c r="G23" s="43">
        <v>26.15</v>
      </c>
      <c r="H23" s="43">
        <v>9.77</v>
      </c>
      <c r="I23" s="43">
        <v>29.24</v>
      </c>
      <c r="J23" s="43">
        <v>0.35</v>
      </c>
      <c r="K23" s="43">
        <v>155.58000000000001</v>
      </c>
      <c r="L23" s="43">
        <v>16.440000000000001</v>
      </c>
      <c r="M23" s="43">
        <v>20.239999999999998</v>
      </c>
      <c r="N23" s="43">
        <v>157.5</v>
      </c>
      <c r="O23" s="43">
        <v>0</v>
      </c>
      <c r="P23" s="43">
        <v>0.12</v>
      </c>
      <c r="Q23" s="43">
        <v>10</v>
      </c>
      <c r="R23" s="41"/>
      <c r="S23" s="41"/>
      <c r="T23" s="41"/>
      <c r="U23" s="41"/>
    </row>
    <row r="24" spans="1:21" customFormat="1">
      <c r="A24" s="42" t="s">
        <v>724</v>
      </c>
      <c r="B24" s="43">
        <v>2.1800000000000002</v>
      </c>
      <c r="C24" s="43">
        <v>4.87</v>
      </c>
      <c r="D24" s="43">
        <v>6.94</v>
      </c>
      <c r="E24" s="43">
        <v>4.16</v>
      </c>
      <c r="F24" s="43">
        <v>3.42</v>
      </c>
      <c r="G24" s="43">
        <v>20.89</v>
      </c>
      <c r="H24" s="43">
        <v>11.28</v>
      </c>
      <c r="I24" s="43">
        <v>5.52</v>
      </c>
      <c r="J24" s="43">
        <v>0.22</v>
      </c>
      <c r="K24" s="43">
        <v>164.87</v>
      </c>
      <c r="L24" s="43">
        <v>16.23</v>
      </c>
      <c r="M24" s="43">
        <v>21.04</v>
      </c>
      <c r="N24" s="43">
        <v>110.6</v>
      </c>
      <c r="O24" s="43">
        <v>0.4</v>
      </c>
      <c r="P24" s="43">
        <v>0.13</v>
      </c>
      <c r="Q24" s="43">
        <v>10</v>
      </c>
      <c r="R24" s="41"/>
      <c r="S24" s="41"/>
      <c r="T24" s="41"/>
      <c r="U24" s="41"/>
    </row>
    <row r="25" spans="1:21" customFormat="1">
      <c r="A25" s="42" t="s">
        <v>725</v>
      </c>
      <c r="B25" s="43">
        <v>2.77</v>
      </c>
      <c r="C25" s="43">
        <v>5.38</v>
      </c>
      <c r="D25" s="43">
        <v>8.15</v>
      </c>
      <c r="E25" s="43">
        <v>5.0199999999999996</v>
      </c>
      <c r="F25" s="43">
        <v>2.97</v>
      </c>
      <c r="G25" s="43">
        <v>20.89</v>
      </c>
      <c r="H25" s="43">
        <v>11.28</v>
      </c>
      <c r="I25" s="43">
        <v>4.9000000000000004</v>
      </c>
      <c r="J25" s="43">
        <v>0.23</v>
      </c>
      <c r="K25" s="43">
        <v>150.91999999999999</v>
      </c>
      <c r="L25" s="43">
        <v>14.18</v>
      </c>
      <c r="M25" s="43">
        <v>16.79</v>
      </c>
      <c r="N25" s="43">
        <v>63.5</v>
      </c>
      <c r="O25" s="43">
        <v>0</v>
      </c>
      <c r="P25" s="43">
        <v>0.16</v>
      </c>
      <c r="Q25" s="43">
        <v>10</v>
      </c>
      <c r="R25" s="41"/>
      <c r="S25" s="41"/>
      <c r="T25" s="41"/>
      <c r="U25" s="41"/>
    </row>
    <row r="26" spans="1:21" customFormat="1">
      <c r="A26" s="42" t="s">
        <v>726</v>
      </c>
      <c r="B26" s="43">
        <v>3.06</v>
      </c>
      <c r="C26" s="43">
        <v>5.52</v>
      </c>
      <c r="D26" s="43">
        <v>8.5399999999999991</v>
      </c>
      <c r="E26" s="43">
        <v>5.44</v>
      </c>
      <c r="F26" s="43">
        <v>3.31</v>
      </c>
      <c r="G26" s="43">
        <v>21.28</v>
      </c>
      <c r="H26" s="43">
        <v>9.3699999999999992</v>
      </c>
      <c r="I26" s="43">
        <v>4.95</v>
      </c>
      <c r="J26" s="43">
        <v>0.25</v>
      </c>
      <c r="K26" s="43">
        <v>165.91</v>
      </c>
      <c r="L26" s="43">
        <v>15.97</v>
      </c>
      <c r="M26" s="43">
        <v>22.1</v>
      </c>
      <c r="N26" s="43">
        <v>20.3</v>
      </c>
      <c r="O26" s="43">
        <v>0</v>
      </c>
      <c r="P26" s="43">
        <v>0.18</v>
      </c>
      <c r="Q26" s="43">
        <v>10.41</v>
      </c>
      <c r="R26" s="41"/>
      <c r="S26" s="41"/>
      <c r="T26" s="41"/>
      <c r="U26" s="41"/>
    </row>
    <row r="27" spans="1:21" customFormat="1">
      <c r="A27" s="42" t="s">
        <v>727</v>
      </c>
      <c r="B27" s="43">
        <v>3.48</v>
      </c>
      <c r="C27" s="43">
        <v>5.82</v>
      </c>
      <c r="D27" s="43">
        <v>9.3000000000000007</v>
      </c>
      <c r="E27" s="43">
        <v>5.23</v>
      </c>
      <c r="F27" s="43">
        <v>2.35</v>
      </c>
      <c r="G27" s="43">
        <v>21.28</v>
      </c>
      <c r="H27" s="43">
        <v>8.6300000000000008</v>
      </c>
      <c r="I27" s="43">
        <v>4.8899999999999997</v>
      </c>
      <c r="J27" s="43">
        <v>0.23</v>
      </c>
      <c r="K27" s="43">
        <v>144.02000000000001</v>
      </c>
      <c r="L27" s="43">
        <v>14.35</v>
      </c>
      <c r="M27" s="43">
        <v>18.03</v>
      </c>
      <c r="N27" s="43">
        <v>2.5</v>
      </c>
      <c r="O27" s="43">
        <v>0</v>
      </c>
      <c r="P27" s="43">
        <v>0.24</v>
      </c>
      <c r="Q27" s="43">
        <v>10</v>
      </c>
      <c r="R27" s="41"/>
      <c r="S27" s="41"/>
      <c r="T27" s="41"/>
      <c r="U27" s="41"/>
    </row>
    <row r="28" spans="1:21" customFormat="1">
      <c r="A28" s="42" t="s">
        <v>728</v>
      </c>
      <c r="B28" s="43">
        <v>6.78</v>
      </c>
      <c r="C28" s="43">
        <v>8.5500000000000007</v>
      </c>
      <c r="D28" s="43">
        <v>15.33</v>
      </c>
      <c r="E28" s="43">
        <v>5.29</v>
      </c>
      <c r="F28" s="43">
        <v>2.35</v>
      </c>
      <c r="G28" s="43">
        <v>35.49</v>
      </c>
      <c r="H28" s="43">
        <v>13.11</v>
      </c>
      <c r="I28" s="43">
        <v>6.07</v>
      </c>
      <c r="J28" s="43">
        <v>0.18</v>
      </c>
      <c r="K28" s="43">
        <v>116.25</v>
      </c>
      <c r="L28" s="43">
        <v>12.22</v>
      </c>
      <c r="M28" s="43">
        <v>12.64</v>
      </c>
      <c r="N28" s="43">
        <v>2.2999999999999998</v>
      </c>
      <c r="O28" s="43">
        <v>0</v>
      </c>
      <c r="P28" s="43">
        <v>0.36</v>
      </c>
      <c r="Q28" s="43">
        <v>10</v>
      </c>
      <c r="R28" s="41"/>
      <c r="S28" s="41"/>
      <c r="T28" s="41"/>
      <c r="U28" s="41"/>
    </row>
    <row r="29" spans="1:21" customFormat="1">
      <c r="A29" s="42" t="s">
        <v>729</v>
      </c>
      <c r="B29" s="43">
        <v>7.17</v>
      </c>
      <c r="C29" s="43">
        <v>8.9600000000000009</v>
      </c>
      <c r="D29" s="43">
        <v>16.13</v>
      </c>
      <c r="E29" s="43">
        <v>5.64</v>
      </c>
      <c r="F29" s="43">
        <v>2.21</v>
      </c>
      <c r="G29" s="43">
        <v>50.42</v>
      </c>
      <c r="H29" s="43">
        <v>13.83</v>
      </c>
      <c r="I29" s="43">
        <v>7.31</v>
      </c>
      <c r="J29" s="43">
        <v>0.18</v>
      </c>
      <c r="K29" s="43">
        <v>92.44</v>
      </c>
      <c r="L29" s="43">
        <v>11.84</v>
      </c>
      <c r="M29" s="43">
        <v>11.65</v>
      </c>
      <c r="N29" s="43">
        <v>2.4</v>
      </c>
      <c r="O29" s="43">
        <v>0</v>
      </c>
      <c r="P29" s="43">
        <v>0.35</v>
      </c>
      <c r="Q29" s="43">
        <v>10</v>
      </c>
      <c r="R29" s="41"/>
      <c r="S29" s="41"/>
      <c r="T29" s="41"/>
      <c r="U29" s="41"/>
    </row>
    <row r="30" spans="1:21" customFormat="1">
      <c r="A30" s="42" t="s">
        <v>730</v>
      </c>
      <c r="B30" s="43">
        <v>6.48</v>
      </c>
      <c r="C30" s="43">
        <v>7.97</v>
      </c>
      <c r="D30" s="43">
        <v>14.34</v>
      </c>
      <c r="E30" s="43">
        <v>5.9</v>
      </c>
      <c r="F30" s="43">
        <v>2.54</v>
      </c>
      <c r="G30" s="43">
        <v>61.46</v>
      </c>
      <c r="H30" s="43">
        <v>13.83</v>
      </c>
      <c r="I30" s="43">
        <v>7</v>
      </c>
      <c r="J30" s="43">
        <v>0.14000000000000001</v>
      </c>
      <c r="K30" s="43">
        <v>161.81</v>
      </c>
      <c r="L30" s="43">
        <v>15.73</v>
      </c>
      <c r="M30" s="43">
        <v>21.46</v>
      </c>
      <c r="N30" s="43">
        <v>2.4</v>
      </c>
      <c r="O30" s="43">
        <v>0</v>
      </c>
      <c r="P30" s="43">
        <v>0.32</v>
      </c>
      <c r="Q30" s="43">
        <v>10</v>
      </c>
      <c r="R30" s="41"/>
      <c r="S30" s="41"/>
      <c r="T30" s="41"/>
      <c r="U30" s="41"/>
    </row>
    <row r="31" spans="1:21" customFormat="1">
      <c r="A31" s="42" t="s">
        <v>731</v>
      </c>
      <c r="B31" s="43">
        <v>6.57</v>
      </c>
      <c r="C31" s="43">
        <v>5.97</v>
      </c>
      <c r="D31" s="43">
        <v>12</v>
      </c>
      <c r="E31" s="43">
        <v>5.4</v>
      </c>
      <c r="F31" s="43">
        <v>3.49</v>
      </c>
      <c r="G31" s="43">
        <v>61.46</v>
      </c>
      <c r="H31" s="43">
        <v>13.27</v>
      </c>
      <c r="I31" s="43">
        <v>6.56</v>
      </c>
      <c r="J31" s="43">
        <v>0.18</v>
      </c>
      <c r="K31" s="43">
        <v>170.23</v>
      </c>
      <c r="L31" s="43">
        <v>16.55</v>
      </c>
      <c r="M31" s="43">
        <v>23.56</v>
      </c>
      <c r="N31" s="43">
        <v>2.4</v>
      </c>
      <c r="O31" s="43">
        <v>0</v>
      </c>
      <c r="P31" s="43">
        <v>0.3</v>
      </c>
      <c r="Q31" s="43">
        <v>10.63</v>
      </c>
      <c r="R31" s="41"/>
      <c r="S31" s="41"/>
      <c r="T31" s="41"/>
      <c r="U31" s="41"/>
    </row>
    <row r="32" spans="1:21" customFormat="1">
      <c r="A32" s="42" t="s">
        <v>732</v>
      </c>
      <c r="B32" s="43">
        <v>6.53</v>
      </c>
      <c r="C32" s="43">
        <v>5.24</v>
      </c>
      <c r="D32" s="43">
        <v>11.63</v>
      </c>
      <c r="E32" s="43">
        <v>5.51</v>
      </c>
      <c r="F32" s="43">
        <v>5.05</v>
      </c>
      <c r="G32" s="43">
        <v>43.23</v>
      </c>
      <c r="H32" s="43">
        <v>14.66</v>
      </c>
      <c r="I32" s="43">
        <v>6.39</v>
      </c>
      <c r="J32" s="43">
        <v>0.2</v>
      </c>
      <c r="K32" s="43">
        <v>164.9</v>
      </c>
      <c r="L32" s="43">
        <v>15.87</v>
      </c>
      <c r="M32" s="43">
        <v>21.9</v>
      </c>
      <c r="N32" s="43">
        <v>2.4</v>
      </c>
      <c r="O32" s="43">
        <v>0</v>
      </c>
      <c r="P32" s="43">
        <v>0.31</v>
      </c>
      <c r="Q32" s="43">
        <v>10.16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1.59</v>
      </c>
      <c r="C34" s="18">
        <f t="shared" si="0"/>
        <v>4.62</v>
      </c>
      <c r="D34" s="18">
        <f t="shared" si="0"/>
        <v>6.21</v>
      </c>
      <c r="E34" s="18">
        <f t="shared" si="0"/>
        <v>3.25</v>
      </c>
      <c r="F34" s="18">
        <f t="shared" si="0"/>
        <v>2.0099999999999998</v>
      </c>
      <c r="G34" s="18">
        <f t="shared" si="0"/>
        <v>5.4</v>
      </c>
      <c r="H34" s="18">
        <f t="shared" si="0"/>
        <v>1.68</v>
      </c>
      <c r="I34" s="18">
        <f t="shared" si="0"/>
        <v>3.54</v>
      </c>
      <c r="J34" s="18">
        <f t="shared" si="0"/>
        <v>0.14000000000000001</v>
      </c>
      <c r="K34" s="18">
        <f t="shared" si="0"/>
        <v>92.44</v>
      </c>
      <c r="L34" s="18">
        <f t="shared" si="0"/>
        <v>11.56</v>
      </c>
      <c r="M34" s="18">
        <f t="shared" si="0"/>
        <v>10.99</v>
      </c>
      <c r="N34" s="18">
        <f t="shared" si="0"/>
        <v>2.2999999999999998</v>
      </c>
      <c r="O34" s="18">
        <f t="shared" si="0"/>
        <v>0</v>
      </c>
      <c r="P34" s="18">
        <f t="shared" si="0"/>
        <v>0.09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7.17</v>
      </c>
      <c r="C35" s="3">
        <f t="shared" si="1"/>
        <v>8.9600000000000009</v>
      </c>
      <c r="D35" s="3">
        <f t="shared" si="1"/>
        <v>16.13</v>
      </c>
      <c r="E35" s="3">
        <f t="shared" si="1"/>
        <v>6.55</v>
      </c>
      <c r="F35" s="3">
        <f t="shared" si="1"/>
        <v>27.56</v>
      </c>
      <c r="G35" s="3">
        <f t="shared" si="1"/>
        <v>61.46</v>
      </c>
      <c r="H35" s="3">
        <f t="shared" si="1"/>
        <v>14.66</v>
      </c>
      <c r="I35" s="3">
        <f t="shared" si="1"/>
        <v>29.72</v>
      </c>
      <c r="J35" s="3">
        <f t="shared" si="1"/>
        <v>0.36</v>
      </c>
      <c r="K35" s="3">
        <f t="shared" si="1"/>
        <v>194.75</v>
      </c>
      <c r="L35" s="3">
        <f t="shared" si="1"/>
        <v>20.38</v>
      </c>
      <c r="M35" s="3">
        <f t="shared" si="1"/>
        <v>24.32</v>
      </c>
      <c r="N35" s="3">
        <f t="shared" si="1"/>
        <v>509.5</v>
      </c>
      <c r="O35" s="3">
        <f t="shared" si="1"/>
        <v>0.4</v>
      </c>
      <c r="P35" s="3">
        <f t="shared" si="1"/>
        <v>0.48</v>
      </c>
      <c r="Q35" s="3">
        <f t="shared" si="1"/>
        <v>11.09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4.4095833333333339</v>
      </c>
      <c r="C36" s="18">
        <f t="shared" si="2"/>
        <v>5.6920833333333336</v>
      </c>
      <c r="D36" s="18">
        <f t="shared" si="2"/>
        <v>10.01125</v>
      </c>
      <c r="E36" s="18">
        <f t="shared" si="2"/>
        <v>5.498333333333334</v>
      </c>
      <c r="F36" s="18">
        <f t="shared" si="2"/>
        <v>5.427083333333333</v>
      </c>
      <c r="G36" s="18">
        <f t="shared" si="2"/>
        <v>21.370416666666667</v>
      </c>
      <c r="H36" s="18">
        <f t="shared" si="2"/>
        <v>6.92875</v>
      </c>
      <c r="I36" s="18">
        <f t="shared" si="2"/>
        <v>6.7449999999999983</v>
      </c>
      <c r="J36" s="18">
        <f t="shared" si="2"/>
        <v>0.24041666666666664</v>
      </c>
      <c r="K36" s="18">
        <f t="shared" si="2"/>
        <v>137.00791666666666</v>
      </c>
      <c r="L36" s="18">
        <f t="shared" si="2"/>
        <v>15.447083333333337</v>
      </c>
      <c r="M36" s="18">
        <f t="shared" si="2"/>
        <v>18.561250000000001</v>
      </c>
      <c r="N36" s="18">
        <f t="shared" si="2"/>
        <v>119.35833333333335</v>
      </c>
      <c r="O36" s="18">
        <f t="shared" si="2"/>
        <v>1.6666666666666666E-2</v>
      </c>
      <c r="P36" s="18">
        <f t="shared" si="2"/>
        <v>0.19833333333333333</v>
      </c>
      <c r="Q36" s="18">
        <f t="shared" si="2"/>
        <v>10.128749999999998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1.5689139948347726</v>
      </c>
      <c r="C37" s="18">
        <f t="shared" ref="C37:Q37" si="3">STDEV(C9:C32)</f>
        <v>1.2143883025109203</v>
      </c>
      <c r="D37" s="18">
        <f t="shared" si="3"/>
        <v>2.3961169901394177</v>
      </c>
      <c r="E37" s="18">
        <f t="shared" si="3"/>
        <v>0.83875511618560794</v>
      </c>
      <c r="F37" s="18">
        <f t="shared" si="3"/>
        <v>6.4691068392090623</v>
      </c>
      <c r="G37" s="18">
        <f t="shared" si="3"/>
        <v>17.100297093571378</v>
      </c>
      <c r="H37" s="18">
        <f t="shared" si="3"/>
        <v>4.7497252208852094</v>
      </c>
      <c r="I37" s="18">
        <f t="shared" si="3"/>
        <v>7.1015791262899084</v>
      </c>
      <c r="J37" s="18">
        <f t="shared" si="3"/>
        <v>5.8494084923302256E-2</v>
      </c>
      <c r="K37" s="18">
        <f t="shared" si="3"/>
        <v>26.154426174445003</v>
      </c>
      <c r="L37" s="18">
        <f t="shared" si="3"/>
        <v>2.4121242292015777</v>
      </c>
      <c r="M37" s="18">
        <f t="shared" si="3"/>
        <v>3.8020307073983384</v>
      </c>
      <c r="N37" s="18">
        <f t="shared" si="3"/>
        <v>175.01992660878625</v>
      </c>
      <c r="O37" s="18">
        <f t="shared" si="3"/>
        <v>8.1649658092772623E-2</v>
      </c>
      <c r="P37" s="18">
        <f t="shared" si="3"/>
        <v>0.10033277962194942</v>
      </c>
      <c r="Q37" s="18">
        <f t="shared" si="3"/>
        <v>0.26456383301413383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45"/>
  <sheetViews>
    <sheetView topLeftCell="A19" zoomScale="87" zoomScaleNormal="87" workbookViewId="0">
      <selection activeCell="H15" sqref="H15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3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29/09/2025 01:00</v>
      </c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O2" s="1"/>
      <c r="P2" s="23" t="s">
        <v>7</v>
      </c>
      <c r="Q2" s="3"/>
      <c r="R2" s="27" t="s">
        <v>8</v>
      </c>
    </row>
    <row r="3" spans="1:21">
      <c r="A3" s="3" t="s">
        <v>9</v>
      </c>
      <c r="B3" s="3" t="s">
        <v>10</v>
      </c>
      <c r="D3" s="7" t="s">
        <v>11</v>
      </c>
      <c r="E3" s="7"/>
      <c r="F3" s="7"/>
      <c r="G3" s="10" t="s">
        <v>12</v>
      </c>
      <c r="H3" s="9"/>
      <c r="I3" s="9"/>
      <c r="J3" s="9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</row>
    <row r="4" spans="1:21">
      <c r="A4" s="3" t="s">
        <v>16</v>
      </c>
      <c r="B4" s="3" t="s">
        <v>17</v>
      </c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42" t="s">
        <v>733</v>
      </c>
      <c r="B9" s="43">
        <v>6.47</v>
      </c>
      <c r="C9" s="43">
        <v>5.32</v>
      </c>
      <c r="D9" s="43">
        <v>11.56</v>
      </c>
      <c r="E9" s="43">
        <v>5.52</v>
      </c>
      <c r="F9" s="43">
        <v>3.15</v>
      </c>
      <c r="G9" s="43">
        <v>38.67</v>
      </c>
      <c r="H9" s="43">
        <v>14.66</v>
      </c>
      <c r="I9" s="43">
        <v>6.28</v>
      </c>
      <c r="J9" s="43">
        <v>0.42</v>
      </c>
      <c r="K9" s="43">
        <v>257.18</v>
      </c>
      <c r="L9" s="43">
        <v>22.84</v>
      </c>
      <c r="M9" s="43">
        <v>39.229999999999997</v>
      </c>
      <c r="N9" s="43">
        <v>2.5</v>
      </c>
      <c r="O9" s="43">
        <v>0</v>
      </c>
      <c r="P9" s="43">
        <v>0.31</v>
      </c>
      <c r="Q9" s="43">
        <v>10</v>
      </c>
      <c r="R9" s="41"/>
      <c r="S9" s="41"/>
      <c r="T9" s="41"/>
      <c r="U9" s="41"/>
    </row>
    <row r="10" spans="1:21">
      <c r="A10" s="42" t="s">
        <v>734</v>
      </c>
      <c r="B10" s="43">
        <v>5.9</v>
      </c>
      <c r="C10" s="43">
        <v>5.4</v>
      </c>
      <c r="D10" s="43">
        <v>11.21</v>
      </c>
      <c r="E10" s="43">
        <v>5.81</v>
      </c>
      <c r="F10" s="43">
        <v>2.0299999999999998</v>
      </c>
      <c r="G10" s="43">
        <v>25.28</v>
      </c>
      <c r="H10" s="43">
        <v>12.06</v>
      </c>
      <c r="I10" s="43">
        <v>5.72</v>
      </c>
      <c r="J10" s="43">
        <v>0.52</v>
      </c>
      <c r="K10" s="43">
        <v>263.33999999999997</v>
      </c>
      <c r="L10" s="43">
        <v>23</v>
      </c>
      <c r="M10" s="43">
        <v>39.58</v>
      </c>
      <c r="N10" s="43">
        <v>2.9</v>
      </c>
      <c r="O10" s="43">
        <v>0</v>
      </c>
      <c r="P10" s="43">
        <v>0.31</v>
      </c>
      <c r="Q10" s="43">
        <v>10.130000000000001</v>
      </c>
      <c r="R10" s="41"/>
      <c r="S10" s="41"/>
      <c r="T10" s="41"/>
      <c r="U10" s="41"/>
    </row>
    <row r="11" spans="1:21">
      <c r="A11" s="42" t="s">
        <v>735</v>
      </c>
      <c r="B11" s="43">
        <v>4.87</v>
      </c>
      <c r="C11" s="43">
        <v>5.39</v>
      </c>
      <c r="D11" s="43">
        <v>10.199999999999999</v>
      </c>
      <c r="E11" s="43">
        <v>4.96</v>
      </c>
      <c r="F11" s="43">
        <v>2.0699999999999998</v>
      </c>
      <c r="G11" s="43">
        <v>23.3</v>
      </c>
      <c r="H11" s="43">
        <v>12.06</v>
      </c>
      <c r="I11" s="43">
        <v>5.23</v>
      </c>
      <c r="J11" s="43">
        <v>0.36</v>
      </c>
      <c r="K11" s="43">
        <v>262.04000000000002</v>
      </c>
      <c r="L11" s="43">
        <v>23.08</v>
      </c>
      <c r="M11" s="43">
        <v>39.729999999999997</v>
      </c>
      <c r="N11" s="43">
        <v>2.4</v>
      </c>
      <c r="O11" s="43">
        <v>0</v>
      </c>
      <c r="P11" s="43">
        <v>0.28000000000000003</v>
      </c>
      <c r="Q11" s="43">
        <v>10</v>
      </c>
      <c r="R11" s="41"/>
      <c r="S11" s="41"/>
      <c r="T11" s="41"/>
      <c r="U11" s="41"/>
    </row>
    <row r="12" spans="1:21">
      <c r="A12" s="42" t="s">
        <v>736</v>
      </c>
      <c r="B12" s="43">
        <v>4.42</v>
      </c>
      <c r="C12" s="43">
        <v>5.35</v>
      </c>
      <c r="D12" s="43">
        <v>9.77</v>
      </c>
      <c r="E12" s="43">
        <v>4.96</v>
      </c>
      <c r="F12" s="43">
        <v>2.02</v>
      </c>
      <c r="G12" s="43">
        <v>16.79</v>
      </c>
      <c r="H12" s="43">
        <v>10.55</v>
      </c>
      <c r="I12" s="43">
        <v>4.76</v>
      </c>
      <c r="J12" s="43">
        <v>0.22</v>
      </c>
      <c r="K12" s="43">
        <v>250.31</v>
      </c>
      <c r="L12" s="43">
        <v>22.05</v>
      </c>
      <c r="M12" s="43">
        <v>37.26</v>
      </c>
      <c r="N12" s="43">
        <v>2.4</v>
      </c>
      <c r="O12" s="43">
        <v>0</v>
      </c>
      <c r="P12" s="43">
        <v>0.25</v>
      </c>
      <c r="Q12" s="43">
        <v>10.82</v>
      </c>
      <c r="R12" s="41"/>
      <c r="S12" s="41"/>
      <c r="T12" s="41"/>
      <c r="U12" s="41"/>
    </row>
    <row r="13" spans="1:21">
      <c r="A13" s="42" t="s">
        <v>737</v>
      </c>
      <c r="B13" s="43">
        <v>3.99</v>
      </c>
      <c r="C13" s="43">
        <v>5.13</v>
      </c>
      <c r="D13" s="43">
        <v>9.1199999999999992</v>
      </c>
      <c r="E13" s="43">
        <v>4.96</v>
      </c>
      <c r="F13" s="43">
        <v>2.02</v>
      </c>
      <c r="G13" s="43">
        <v>17.79</v>
      </c>
      <c r="H13" s="43">
        <v>8.42</v>
      </c>
      <c r="I13" s="43">
        <v>4.4000000000000004</v>
      </c>
      <c r="J13" s="43">
        <v>0.28999999999999998</v>
      </c>
      <c r="K13" s="43">
        <v>260.49</v>
      </c>
      <c r="L13" s="43">
        <v>23.51</v>
      </c>
      <c r="M13" s="43">
        <v>40.86</v>
      </c>
      <c r="N13" s="43">
        <v>2.6</v>
      </c>
      <c r="O13" s="43">
        <v>0.6</v>
      </c>
      <c r="P13" s="43">
        <v>0.23</v>
      </c>
      <c r="Q13" s="43">
        <v>10.58</v>
      </c>
      <c r="R13" s="41"/>
      <c r="S13" s="41"/>
      <c r="T13" s="41"/>
      <c r="U13" s="41"/>
    </row>
    <row r="14" spans="1:21">
      <c r="A14" s="42" t="s">
        <v>738</v>
      </c>
      <c r="B14" s="43">
        <v>4.0599999999999996</v>
      </c>
      <c r="C14" s="43">
        <v>4.92</v>
      </c>
      <c r="D14" s="43">
        <v>8.6999999999999993</v>
      </c>
      <c r="E14" s="43">
        <v>5.0199999999999996</v>
      </c>
      <c r="F14" s="43">
        <v>2.23</v>
      </c>
      <c r="G14" s="43">
        <v>17.79</v>
      </c>
      <c r="H14" s="43">
        <v>6.24</v>
      </c>
      <c r="I14" s="43">
        <v>4.2300000000000004</v>
      </c>
      <c r="J14" s="43">
        <v>0.11</v>
      </c>
      <c r="K14" s="43">
        <v>256.44</v>
      </c>
      <c r="L14" s="43">
        <v>22.79</v>
      </c>
      <c r="M14" s="43">
        <v>39.08</v>
      </c>
      <c r="N14" s="43">
        <v>3.9</v>
      </c>
      <c r="O14" s="43">
        <v>0</v>
      </c>
      <c r="P14" s="43">
        <v>0.22</v>
      </c>
      <c r="Q14" s="43">
        <v>10.75</v>
      </c>
      <c r="R14" s="41"/>
      <c r="S14" s="41"/>
      <c r="T14" s="41"/>
      <c r="U14" s="41"/>
    </row>
    <row r="15" spans="1:21">
      <c r="A15" s="42" t="s">
        <v>739</v>
      </c>
      <c r="B15" s="43">
        <v>5.44</v>
      </c>
      <c r="C15" s="43">
        <v>5.3</v>
      </c>
      <c r="D15" s="43">
        <v>10.64</v>
      </c>
      <c r="E15" s="43">
        <v>4.62</v>
      </c>
      <c r="F15" s="43">
        <v>2.0099999999999998</v>
      </c>
      <c r="G15" s="43">
        <v>13.94</v>
      </c>
      <c r="H15" s="43">
        <v>5.86</v>
      </c>
      <c r="I15" s="43">
        <v>4.6900000000000004</v>
      </c>
      <c r="J15" s="43">
        <v>0.13</v>
      </c>
      <c r="K15" s="43">
        <v>180.64</v>
      </c>
      <c r="L15" s="43">
        <v>14.54</v>
      </c>
      <c r="M15" s="43">
        <v>18.28</v>
      </c>
      <c r="N15" s="43">
        <v>23.9</v>
      </c>
      <c r="O15" s="43">
        <v>0</v>
      </c>
      <c r="P15" s="43">
        <v>0.18</v>
      </c>
      <c r="Q15" s="43">
        <v>10.5</v>
      </c>
      <c r="R15" s="41"/>
      <c r="S15" s="41"/>
      <c r="T15" s="41"/>
      <c r="U15" s="41"/>
    </row>
    <row r="16" spans="1:21">
      <c r="A16" s="42" t="s">
        <v>740</v>
      </c>
      <c r="B16" s="43">
        <v>6.8</v>
      </c>
      <c r="C16" s="43">
        <v>6.05</v>
      </c>
      <c r="D16" s="43">
        <v>12.85</v>
      </c>
      <c r="E16" s="43">
        <v>4.6100000000000003</v>
      </c>
      <c r="F16" s="43">
        <v>2.38</v>
      </c>
      <c r="G16" s="43">
        <v>27.95</v>
      </c>
      <c r="H16" s="43">
        <v>7.84</v>
      </c>
      <c r="I16" s="43">
        <v>5.54</v>
      </c>
      <c r="J16" s="43">
        <v>0.23</v>
      </c>
      <c r="K16" s="43">
        <v>160.84</v>
      </c>
      <c r="L16" s="43">
        <v>15.66</v>
      </c>
      <c r="M16" s="43">
        <v>20.57</v>
      </c>
      <c r="N16" s="43">
        <v>32.799999999999997</v>
      </c>
      <c r="O16" s="43">
        <v>0</v>
      </c>
      <c r="P16" s="43">
        <v>0.22</v>
      </c>
      <c r="Q16" s="43">
        <v>10</v>
      </c>
      <c r="R16" s="41"/>
      <c r="S16" s="41"/>
      <c r="T16" s="41"/>
      <c r="U16" s="41"/>
    </row>
    <row r="17" spans="1:21">
      <c r="A17" s="42" t="s">
        <v>741</v>
      </c>
      <c r="B17" s="43">
        <v>6.77</v>
      </c>
      <c r="C17" s="43">
        <v>5.29</v>
      </c>
      <c r="D17" s="43">
        <v>12.04</v>
      </c>
      <c r="E17" s="43">
        <v>4.49</v>
      </c>
      <c r="F17" s="43">
        <v>2.42</v>
      </c>
      <c r="G17" s="43">
        <v>34.21</v>
      </c>
      <c r="H17" s="43">
        <v>8.5399999999999991</v>
      </c>
      <c r="I17" s="43">
        <v>5.49</v>
      </c>
      <c r="J17" s="43">
        <v>0.13</v>
      </c>
      <c r="K17" s="43">
        <v>227.29</v>
      </c>
      <c r="L17" s="43">
        <v>20.8</v>
      </c>
      <c r="M17" s="43">
        <v>33.58</v>
      </c>
      <c r="N17" s="43">
        <v>32.6</v>
      </c>
      <c r="O17" s="43">
        <v>0</v>
      </c>
      <c r="P17" s="43">
        <v>0.23</v>
      </c>
      <c r="Q17" s="43">
        <v>10</v>
      </c>
      <c r="R17" s="41"/>
      <c r="S17" s="41"/>
      <c r="T17" s="41"/>
      <c r="U17" s="41"/>
    </row>
    <row r="18" spans="1:21">
      <c r="A18" s="42" t="s">
        <v>742</v>
      </c>
      <c r="B18" s="43">
        <v>6.8</v>
      </c>
      <c r="C18" s="43">
        <v>5.26</v>
      </c>
      <c r="D18" s="43">
        <v>12.06</v>
      </c>
      <c r="E18" s="43">
        <v>4.66</v>
      </c>
      <c r="F18" s="43">
        <v>2.14</v>
      </c>
      <c r="G18" s="43">
        <v>34.21</v>
      </c>
      <c r="H18" s="43">
        <v>10.32</v>
      </c>
      <c r="I18" s="43">
        <v>5.55</v>
      </c>
      <c r="J18" s="43">
        <v>0.24</v>
      </c>
      <c r="K18" s="43">
        <v>252.74</v>
      </c>
      <c r="L18" s="43">
        <v>23.69</v>
      </c>
      <c r="M18" s="43">
        <v>39.78</v>
      </c>
      <c r="N18" s="43">
        <v>80.400000000000006</v>
      </c>
      <c r="O18" s="43">
        <v>0.2</v>
      </c>
      <c r="P18" s="43">
        <v>0.23</v>
      </c>
      <c r="Q18" s="43">
        <v>10</v>
      </c>
      <c r="R18" s="41"/>
      <c r="S18" s="41"/>
      <c r="T18" s="41"/>
      <c r="U18" s="41"/>
    </row>
    <row r="19" spans="1:21">
      <c r="A19" s="42" t="s">
        <v>743</v>
      </c>
      <c r="B19" s="43">
        <v>6.6</v>
      </c>
      <c r="C19" s="43">
        <v>5.47</v>
      </c>
      <c r="D19" s="43">
        <v>11.73</v>
      </c>
      <c r="E19" s="43">
        <v>6.03</v>
      </c>
      <c r="F19" s="43">
        <v>2.04</v>
      </c>
      <c r="G19" s="43">
        <v>32.369999999999997</v>
      </c>
      <c r="H19" s="43">
        <v>10.32</v>
      </c>
      <c r="I19" s="43">
        <v>5.48</v>
      </c>
      <c r="J19" s="43">
        <v>0.36</v>
      </c>
      <c r="K19" s="43">
        <v>245.1</v>
      </c>
      <c r="L19" s="43">
        <v>22.83</v>
      </c>
      <c r="M19" s="43">
        <v>35.51</v>
      </c>
      <c r="N19" s="43">
        <v>259.3</v>
      </c>
      <c r="O19" s="43">
        <v>0</v>
      </c>
      <c r="P19" s="43">
        <v>0.24</v>
      </c>
      <c r="Q19" s="43">
        <v>10</v>
      </c>
      <c r="R19" s="41"/>
      <c r="S19" s="41"/>
      <c r="T19" s="41"/>
      <c r="U19" s="41"/>
    </row>
    <row r="20" spans="1:21">
      <c r="A20" s="42" t="s">
        <v>744</v>
      </c>
      <c r="B20" s="43">
        <v>5.37</v>
      </c>
      <c r="C20" s="43">
        <v>6.43</v>
      </c>
      <c r="D20" s="43">
        <v>11.49</v>
      </c>
      <c r="E20" s="43">
        <v>6.42</v>
      </c>
      <c r="F20" s="43">
        <v>2.0099999999999998</v>
      </c>
      <c r="G20" s="43">
        <v>24.69</v>
      </c>
      <c r="H20" s="43">
        <v>11.24</v>
      </c>
      <c r="I20" s="43">
        <v>5.23</v>
      </c>
      <c r="J20" s="43">
        <v>0.51</v>
      </c>
      <c r="K20" s="43">
        <v>297.20999999999998</v>
      </c>
      <c r="L20" s="43">
        <v>27.99</v>
      </c>
      <c r="M20" s="43">
        <v>43.99</v>
      </c>
      <c r="N20" s="43">
        <v>460.4</v>
      </c>
      <c r="O20" s="43">
        <v>0</v>
      </c>
      <c r="P20" s="43">
        <v>0.28000000000000003</v>
      </c>
      <c r="Q20" s="43">
        <v>10.55</v>
      </c>
      <c r="R20" s="41"/>
      <c r="S20" s="41"/>
      <c r="T20" s="41"/>
      <c r="U20" s="41"/>
    </row>
    <row r="21" spans="1:21">
      <c r="A21" s="42" t="s">
        <v>745</v>
      </c>
      <c r="B21" s="43">
        <v>4.74</v>
      </c>
      <c r="C21" s="43">
        <v>7.22</v>
      </c>
      <c r="D21" s="43">
        <v>11.82</v>
      </c>
      <c r="E21" s="43">
        <v>6.57</v>
      </c>
      <c r="F21" s="43">
        <v>2.2200000000000002</v>
      </c>
      <c r="G21" s="43">
        <v>24.2</v>
      </c>
      <c r="H21" s="43">
        <v>11.24</v>
      </c>
      <c r="I21" s="43">
        <v>6.22</v>
      </c>
      <c r="J21" s="43">
        <v>0.52</v>
      </c>
      <c r="K21" s="43">
        <v>325.25</v>
      </c>
      <c r="L21" s="43">
        <v>30.56</v>
      </c>
      <c r="M21" s="43">
        <v>46.41</v>
      </c>
      <c r="N21" s="43">
        <v>520.1</v>
      </c>
      <c r="O21" s="43">
        <v>0</v>
      </c>
      <c r="P21" s="43">
        <v>0.37</v>
      </c>
      <c r="Q21" s="43">
        <v>10.51</v>
      </c>
      <c r="R21" s="41"/>
      <c r="S21" s="41"/>
      <c r="T21" s="41"/>
      <c r="U21" s="41"/>
    </row>
    <row r="22" spans="1:21">
      <c r="A22" s="42" t="s">
        <v>746</v>
      </c>
      <c r="B22" s="43">
        <v>4.22</v>
      </c>
      <c r="C22" s="43">
        <v>7.38</v>
      </c>
      <c r="D22" s="43">
        <v>11.56</v>
      </c>
      <c r="E22" s="43">
        <v>6.53</v>
      </c>
      <c r="F22" s="43">
        <v>4.41</v>
      </c>
      <c r="G22" s="43">
        <v>37.590000000000003</v>
      </c>
      <c r="H22" s="43">
        <v>16.760000000000002</v>
      </c>
      <c r="I22" s="43">
        <v>7.19</v>
      </c>
      <c r="J22" s="43">
        <v>0.22</v>
      </c>
      <c r="K22" s="43">
        <v>358.81</v>
      </c>
      <c r="L22" s="43">
        <v>17.25</v>
      </c>
      <c r="M22" s="43">
        <v>22.23</v>
      </c>
      <c r="N22" s="43">
        <v>244.5</v>
      </c>
      <c r="O22" s="43">
        <v>0</v>
      </c>
      <c r="P22" s="43">
        <v>0.41</v>
      </c>
      <c r="Q22" s="43">
        <v>10.6</v>
      </c>
      <c r="R22" s="41"/>
      <c r="S22" s="41"/>
      <c r="T22" s="41"/>
      <c r="U22" s="41"/>
    </row>
    <row r="23" spans="1:21">
      <c r="A23" s="42" t="s">
        <v>747</v>
      </c>
      <c r="B23" s="43">
        <v>3.21</v>
      </c>
      <c r="C23" s="43">
        <v>8.09</v>
      </c>
      <c r="D23" s="43">
        <v>11.25</v>
      </c>
      <c r="E23" s="43">
        <v>6.71</v>
      </c>
      <c r="F23" s="43">
        <v>5.39</v>
      </c>
      <c r="G23" s="43">
        <v>46.49</v>
      </c>
      <c r="H23" s="43">
        <v>19.079999999999998</v>
      </c>
      <c r="I23" s="43">
        <v>7.5</v>
      </c>
      <c r="J23" s="43">
        <v>0.32</v>
      </c>
      <c r="K23" s="43">
        <v>350.22</v>
      </c>
      <c r="L23" s="43">
        <v>16.989999999999998</v>
      </c>
      <c r="M23" s="43">
        <v>22.23</v>
      </c>
      <c r="N23" s="43">
        <v>90.3</v>
      </c>
      <c r="O23" s="43">
        <v>0</v>
      </c>
      <c r="P23" s="43">
        <v>0.45</v>
      </c>
      <c r="Q23" s="43">
        <v>10</v>
      </c>
      <c r="R23" s="41"/>
      <c r="S23" s="41"/>
      <c r="T23" s="41"/>
      <c r="U23" s="41"/>
    </row>
    <row r="24" spans="1:21">
      <c r="A24" s="42" t="s">
        <v>748</v>
      </c>
      <c r="B24" s="43">
        <v>4.42</v>
      </c>
      <c r="C24" s="43">
        <v>11.08</v>
      </c>
      <c r="D24" s="43">
        <v>15.49</v>
      </c>
      <c r="E24" s="43">
        <v>12.04</v>
      </c>
      <c r="F24" s="43">
        <v>9.64</v>
      </c>
      <c r="G24" s="43">
        <v>67.489999999999995</v>
      </c>
      <c r="H24" s="43">
        <v>24.84</v>
      </c>
      <c r="I24" s="43">
        <v>7.96</v>
      </c>
      <c r="J24" s="43">
        <v>0.41</v>
      </c>
      <c r="K24" s="43">
        <v>34.6</v>
      </c>
      <c r="L24" s="43">
        <v>13.5</v>
      </c>
      <c r="M24" s="43">
        <v>14.16</v>
      </c>
      <c r="N24" s="43">
        <v>66.400000000000006</v>
      </c>
      <c r="O24" s="43">
        <v>0</v>
      </c>
      <c r="P24" s="43">
        <v>0.49</v>
      </c>
      <c r="Q24" s="43">
        <v>10</v>
      </c>
      <c r="R24" s="41"/>
      <c r="S24" s="41"/>
      <c r="T24" s="41"/>
      <c r="U24" s="41"/>
    </row>
    <row r="25" spans="1:21">
      <c r="A25" s="42" t="s">
        <v>749</v>
      </c>
      <c r="B25" s="43">
        <v>4.8099999999999996</v>
      </c>
      <c r="C25" s="43">
        <v>11.28</v>
      </c>
      <c r="D25" s="43">
        <v>15.91</v>
      </c>
      <c r="E25" s="43">
        <v>12.96</v>
      </c>
      <c r="F25" s="43">
        <v>11.71</v>
      </c>
      <c r="G25" s="43">
        <v>79.66</v>
      </c>
      <c r="H25" s="43">
        <v>28.45</v>
      </c>
      <c r="I25" s="43">
        <v>8.2899999999999991</v>
      </c>
      <c r="J25" s="43">
        <v>0.3</v>
      </c>
      <c r="K25" s="43">
        <v>34.89</v>
      </c>
      <c r="L25" s="43">
        <v>17.510000000000002</v>
      </c>
      <c r="M25" s="43">
        <v>24.04</v>
      </c>
      <c r="N25" s="43">
        <v>69</v>
      </c>
      <c r="O25" s="43">
        <v>0</v>
      </c>
      <c r="P25" s="43">
        <v>0.45</v>
      </c>
      <c r="Q25" s="43">
        <v>10</v>
      </c>
      <c r="R25" s="41"/>
      <c r="S25" s="41"/>
      <c r="T25" s="41"/>
      <c r="U25" s="41"/>
    </row>
    <row r="26" spans="1:21">
      <c r="A26" s="42" t="s">
        <v>750</v>
      </c>
      <c r="B26" s="43">
        <v>5.44</v>
      </c>
      <c r="C26" s="43">
        <v>11.4</v>
      </c>
      <c r="D26" s="43">
        <v>16.84</v>
      </c>
      <c r="E26" s="43">
        <v>8.76</v>
      </c>
      <c r="F26" s="43">
        <v>11.49</v>
      </c>
      <c r="G26" s="43">
        <v>80.98</v>
      </c>
      <c r="H26" s="43">
        <v>28.45</v>
      </c>
      <c r="I26" s="43">
        <v>9.1999999999999993</v>
      </c>
      <c r="J26" s="43">
        <v>0.28999999999999998</v>
      </c>
      <c r="K26" s="43">
        <v>76.44</v>
      </c>
      <c r="L26" s="43">
        <v>12.98</v>
      </c>
      <c r="M26" s="43">
        <v>14.52</v>
      </c>
      <c r="N26" s="43">
        <v>14</v>
      </c>
      <c r="O26" s="43">
        <v>0</v>
      </c>
      <c r="P26" s="43">
        <v>0.48</v>
      </c>
      <c r="Q26" s="43">
        <v>10</v>
      </c>
      <c r="R26" s="41"/>
      <c r="S26" s="41"/>
      <c r="T26" s="41"/>
      <c r="U26" s="41"/>
    </row>
    <row r="27" spans="1:21">
      <c r="A27" s="42" t="s">
        <v>751</v>
      </c>
      <c r="B27" s="43">
        <v>4.7</v>
      </c>
      <c r="C27" s="43">
        <v>8.0299999999999994</v>
      </c>
      <c r="D27" s="43">
        <v>12.73</v>
      </c>
      <c r="E27" s="43">
        <v>6.56</v>
      </c>
      <c r="F27" s="43">
        <v>9.98</v>
      </c>
      <c r="G27" s="43">
        <v>83.97</v>
      </c>
      <c r="H27" s="43">
        <v>30.08</v>
      </c>
      <c r="I27" s="43">
        <v>9.14</v>
      </c>
      <c r="J27" s="43">
        <v>0.14000000000000001</v>
      </c>
      <c r="K27" s="43">
        <v>181.96</v>
      </c>
      <c r="L27" s="43">
        <v>17.149999999999999</v>
      </c>
      <c r="M27" s="43">
        <v>25.12</v>
      </c>
      <c r="N27" s="43">
        <v>2.8</v>
      </c>
      <c r="O27" s="43">
        <v>0</v>
      </c>
      <c r="P27" s="43">
        <v>0.45</v>
      </c>
      <c r="Q27" s="43">
        <v>10.74</v>
      </c>
      <c r="R27" s="41"/>
      <c r="S27" s="41"/>
      <c r="T27" s="41"/>
      <c r="U27" s="41"/>
    </row>
    <row r="28" spans="1:21">
      <c r="A28" s="42" t="s">
        <v>752</v>
      </c>
      <c r="B28" s="43">
        <v>4.63</v>
      </c>
      <c r="C28" s="43">
        <v>7.09</v>
      </c>
      <c r="D28" s="43">
        <v>11.28</v>
      </c>
      <c r="E28" s="43">
        <v>6.3</v>
      </c>
      <c r="F28" s="43">
        <v>6.43</v>
      </c>
      <c r="G28" s="43">
        <v>83.97</v>
      </c>
      <c r="H28" s="43">
        <v>30.08</v>
      </c>
      <c r="I28" s="43">
        <v>8.31</v>
      </c>
      <c r="J28" s="43">
        <v>0.13</v>
      </c>
      <c r="K28" s="43">
        <v>190.74</v>
      </c>
      <c r="L28" s="43">
        <v>18.14</v>
      </c>
      <c r="M28" s="43">
        <v>27.56</v>
      </c>
      <c r="N28" s="43">
        <v>2.5</v>
      </c>
      <c r="O28" s="43">
        <v>0</v>
      </c>
      <c r="P28" s="43">
        <v>0.46</v>
      </c>
      <c r="Q28" s="43">
        <v>10.16</v>
      </c>
      <c r="R28" s="41"/>
      <c r="S28" s="41"/>
      <c r="T28" s="41"/>
      <c r="U28" s="41"/>
    </row>
    <row r="29" spans="1:21">
      <c r="A29" s="42" t="s">
        <v>753</v>
      </c>
      <c r="B29" s="43">
        <v>4.67</v>
      </c>
      <c r="C29" s="43">
        <v>6.11</v>
      </c>
      <c r="D29" s="43">
        <v>10.74</v>
      </c>
      <c r="E29" s="43">
        <v>6.1</v>
      </c>
      <c r="F29" s="43">
        <v>2.41</v>
      </c>
      <c r="G29" s="43">
        <v>73.510000000000005</v>
      </c>
      <c r="H29" s="43">
        <v>29.7</v>
      </c>
      <c r="I29" s="43">
        <v>8.2100000000000009</v>
      </c>
      <c r="J29" s="43">
        <v>0.11</v>
      </c>
      <c r="K29" s="43">
        <v>185.46</v>
      </c>
      <c r="L29" s="43">
        <v>18.09</v>
      </c>
      <c r="M29" s="43">
        <v>27.45</v>
      </c>
      <c r="N29" s="43">
        <v>2.4</v>
      </c>
      <c r="O29" s="43">
        <v>0</v>
      </c>
      <c r="P29" s="43">
        <v>0.49</v>
      </c>
      <c r="Q29" s="43">
        <v>10</v>
      </c>
      <c r="R29" s="41"/>
      <c r="S29" s="41"/>
      <c r="T29" s="41"/>
      <c r="U29" s="41"/>
    </row>
    <row r="30" spans="1:21">
      <c r="A30" s="42" t="s">
        <v>754</v>
      </c>
      <c r="B30" s="43">
        <v>4.28</v>
      </c>
      <c r="C30" s="43">
        <v>5.95</v>
      </c>
      <c r="D30" s="43">
        <v>10.23</v>
      </c>
      <c r="E30" s="43">
        <v>6.18</v>
      </c>
      <c r="F30" s="43">
        <v>2.0299999999999998</v>
      </c>
      <c r="G30" s="43">
        <v>72.77</v>
      </c>
      <c r="H30" s="43">
        <v>28.21</v>
      </c>
      <c r="I30" s="43">
        <v>8.25</v>
      </c>
      <c r="J30" s="43">
        <v>0.12</v>
      </c>
      <c r="K30" s="43">
        <v>203.18</v>
      </c>
      <c r="L30" s="43">
        <v>18.02</v>
      </c>
      <c r="M30" s="43">
        <v>27.25</v>
      </c>
      <c r="N30" s="43">
        <v>2.2999999999999998</v>
      </c>
      <c r="O30" s="43">
        <v>0</v>
      </c>
      <c r="P30" s="43">
        <v>0.51</v>
      </c>
      <c r="Q30" s="43">
        <v>10</v>
      </c>
      <c r="R30" s="41"/>
      <c r="S30" s="41"/>
      <c r="T30" s="41"/>
      <c r="U30" s="41"/>
    </row>
    <row r="31" spans="1:21">
      <c r="A31" s="42" t="s">
        <v>755</v>
      </c>
      <c r="B31" s="43">
        <v>3.98</v>
      </c>
      <c r="C31" s="43">
        <v>5.66</v>
      </c>
      <c r="D31" s="43">
        <v>9.58</v>
      </c>
      <c r="E31" s="43">
        <v>5.98</v>
      </c>
      <c r="F31" s="43">
        <v>2</v>
      </c>
      <c r="G31" s="43">
        <v>66.06</v>
      </c>
      <c r="H31" s="43">
        <v>29.94</v>
      </c>
      <c r="I31" s="43">
        <v>8.4700000000000006</v>
      </c>
      <c r="J31" s="43">
        <v>0.1</v>
      </c>
      <c r="K31" s="43">
        <v>167.01</v>
      </c>
      <c r="L31" s="43">
        <v>15.95</v>
      </c>
      <c r="M31" s="43">
        <v>22.1</v>
      </c>
      <c r="N31" s="43">
        <v>2.1</v>
      </c>
      <c r="O31" s="43">
        <v>0</v>
      </c>
      <c r="P31" s="43">
        <v>0.52</v>
      </c>
      <c r="Q31" s="43">
        <v>10.55</v>
      </c>
      <c r="R31" s="41"/>
      <c r="S31" s="41"/>
      <c r="T31" s="41"/>
      <c r="U31" s="41"/>
    </row>
    <row r="32" spans="1:21">
      <c r="A32" s="42" t="s">
        <v>756</v>
      </c>
      <c r="B32" s="43">
        <v>3.99</v>
      </c>
      <c r="C32" s="43">
        <v>5.51</v>
      </c>
      <c r="D32" s="43">
        <v>9.4499999999999993</v>
      </c>
      <c r="E32" s="43">
        <v>6.18</v>
      </c>
      <c r="F32" s="43">
        <v>2.0099999999999998</v>
      </c>
      <c r="G32" s="43">
        <v>57.27</v>
      </c>
      <c r="H32" s="43">
        <v>30.29</v>
      </c>
      <c r="I32" s="43">
        <v>8.7899999999999991</v>
      </c>
      <c r="J32" s="43">
        <v>0.11</v>
      </c>
      <c r="K32" s="43">
        <v>177.24</v>
      </c>
      <c r="L32" s="43">
        <v>18.78</v>
      </c>
      <c r="M32" s="43">
        <v>29.15</v>
      </c>
      <c r="N32" s="43">
        <v>2.2000000000000002</v>
      </c>
      <c r="O32" s="43">
        <v>0</v>
      </c>
      <c r="P32" s="43">
        <v>0.52</v>
      </c>
      <c r="Q32" s="43">
        <v>10</v>
      </c>
      <c r="R32" s="41"/>
      <c r="S32" s="41"/>
      <c r="T32" s="41"/>
      <c r="U32" s="41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3" t="s">
        <v>48</v>
      </c>
      <c r="B34" s="18">
        <f t="shared" ref="B34:Q34" si="0">MIN(B9:B32)</f>
        <v>3.21</v>
      </c>
      <c r="C34" s="18">
        <f t="shared" si="0"/>
        <v>4.92</v>
      </c>
      <c r="D34" s="18">
        <f t="shared" si="0"/>
        <v>8.6999999999999993</v>
      </c>
      <c r="E34" s="18">
        <f t="shared" si="0"/>
        <v>4.49</v>
      </c>
      <c r="F34" s="18">
        <f t="shared" si="0"/>
        <v>2</v>
      </c>
      <c r="G34" s="18">
        <f t="shared" si="0"/>
        <v>13.94</v>
      </c>
      <c r="H34" s="18">
        <f t="shared" si="0"/>
        <v>5.86</v>
      </c>
      <c r="I34" s="18">
        <f t="shared" si="0"/>
        <v>4.2300000000000004</v>
      </c>
      <c r="J34" s="18">
        <f t="shared" si="0"/>
        <v>0.1</v>
      </c>
      <c r="K34" s="18">
        <f t="shared" si="0"/>
        <v>34.6</v>
      </c>
      <c r="L34" s="18">
        <f t="shared" si="0"/>
        <v>12.98</v>
      </c>
      <c r="M34" s="18">
        <f t="shared" si="0"/>
        <v>14.16</v>
      </c>
      <c r="N34" s="18">
        <f t="shared" si="0"/>
        <v>2.1</v>
      </c>
      <c r="O34" s="18">
        <f t="shared" si="0"/>
        <v>0</v>
      </c>
      <c r="P34" s="18">
        <f t="shared" si="0"/>
        <v>0.18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6.8</v>
      </c>
      <c r="C35" s="3">
        <f t="shared" si="1"/>
        <v>11.4</v>
      </c>
      <c r="D35" s="3">
        <f t="shared" si="1"/>
        <v>16.84</v>
      </c>
      <c r="E35" s="3">
        <f t="shared" si="1"/>
        <v>12.96</v>
      </c>
      <c r="F35" s="3">
        <f t="shared" si="1"/>
        <v>11.71</v>
      </c>
      <c r="G35" s="3">
        <f t="shared" si="1"/>
        <v>83.97</v>
      </c>
      <c r="H35" s="3">
        <f t="shared" si="1"/>
        <v>30.29</v>
      </c>
      <c r="I35" s="3">
        <f t="shared" si="1"/>
        <v>9.1999999999999993</v>
      </c>
      <c r="J35" s="3">
        <f t="shared" si="1"/>
        <v>0.52</v>
      </c>
      <c r="K35" s="3">
        <f t="shared" si="1"/>
        <v>358.81</v>
      </c>
      <c r="L35" s="3">
        <f t="shared" si="1"/>
        <v>30.56</v>
      </c>
      <c r="M35" s="3">
        <f t="shared" si="1"/>
        <v>46.41</v>
      </c>
      <c r="N35" s="3">
        <f t="shared" si="1"/>
        <v>520.1</v>
      </c>
      <c r="O35" s="3">
        <f t="shared" si="1"/>
        <v>0.6</v>
      </c>
      <c r="P35" s="3">
        <f t="shared" si="1"/>
        <v>0.52</v>
      </c>
      <c r="Q35" s="3">
        <f t="shared" si="1"/>
        <v>10.82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5.024166666666666</v>
      </c>
      <c r="C36" s="18">
        <f t="shared" si="2"/>
        <v>6.6712499999999997</v>
      </c>
      <c r="D36" s="18">
        <f t="shared" si="2"/>
        <v>11.593749999999998</v>
      </c>
      <c r="E36" s="18">
        <f t="shared" si="2"/>
        <v>6.3720833333333333</v>
      </c>
      <c r="F36" s="18">
        <f t="shared" si="2"/>
        <v>4.01</v>
      </c>
      <c r="G36" s="18">
        <f t="shared" si="2"/>
        <v>45.039583333333333</v>
      </c>
      <c r="H36" s="18">
        <f t="shared" si="2"/>
        <v>17.717916666666664</v>
      </c>
      <c r="I36" s="18">
        <f t="shared" si="2"/>
        <v>6.6720833333333331</v>
      </c>
      <c r="J36" s="18">
        <f t="shared" si="2"/>
        <v>0.26208333333333328</v>
      </c>
      <c r="K36" s="18">
        <f t="shared" si="2"/>
        <v>216.64250000000001</v>
      </c>
      <c r="L36" s="18">
        <f t="shared" si="2"/>
        <v>19.904166666666665</v>
      </c>
      <c r="M36" s="18">
        <f t="shared" si="2"/>
        <v>30.402916666666659</v>
      </c>
      <c r="N36" s="18">
        <f t="shared" si="2"/>
        <v>80.19583333333334</v>
      </c>
      <c r="O36" s="18">
        <f t="shared" si="2"/>
        <v>3.3333333333333333E-2</v>
      </c>
      <c r="P36" s="18">
        <f t="shared" si="2"/>
        <v>0.35749999999999998</v>
      </c>
      <c r="Q36" s="18">
        <f t="shared" si="2"/>
        <v>10.245416666666667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1.0442010328961888</v>
      </c>
      <c r="C37" s="18">
        <f t="shared" ref="C37:Q37" si="3">STDEV(C9:C32)</f>
        <v>1.9893352888098959</v>
      </c>
      <c r="D37" s="18">
        <f t="shared" si="3"/>
        <v>2.0533891655547083</v>
      </c>
      <c r="E37" s="18">
        <f t="shared" si="3"/>
        <v>2.1199671432373175</v>
      </c>
      <c r="F37" s="18">
        <f t="shared" si="3"/>
        <v>3.2856645148809438</v>
      </c>
      <c r="G37" s="18">
        <f t="shared" si="3"/>
        <v>24.62191926951456</v>
      </c>
      <c r="H37" s="18">
        <f t="shared" si="3"/>
        <v>9.3467864643493872</v>
      </c>
      <c r="I37" s="18">
        <f t="shared" si="3"/>
        <v>1.6479314547972399</v>
      </c>
      <c r="J37" s="18">
        <f t="shared" si="3"/>
        <v>0.14065001790341841</v>
      </c>
      <c r="K37" s="18">
        <f t="shared" si="3"/>
        <v>85.051374921790227</v>
      </c>
      <c r="L37" s="18">
        <f t="shared" si="3"/>
        <v>4.4148897437281054</v>
      </c>
      <c r="M37" s="18">
        <f t="shared" si="3"/>
        <v>9.5660743296145494</v>
      </c>
      <c r="N37" s="18">
        <f t="shared" si="3"/>
        <v>144.75054247601784</v>
      </c>
      <c r="O37" s="18">
        <f t="shared" si="3"/>
        <v>0.12740441145412124</v>
      </c>
      <c r="P37" s="18">
        <f t="shared" si="3"/>
        <v>0.11891721636426791</v>
      </c>
      <c r="Q37" s="18">
        <f t="shared" si="3"/>
        <v>0.30864330286885722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40"/>
      <c r="O41" s="40"/>
      <c r="P41" s="40"/>
      <c r="Q41" s="40"/>
      <c r="R41" s="40"/>
      <c r="S41" s="40"/>
      <c r="T41" s="40"/>
      <c r="U41" s="40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19" t="s">
        <v>56</v>
      </c>
      <c r="C43" s="3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20"/>
      <c r="E44" s="20"/>
      <c r="F44" s="20"/>
      <c r="G44" s="20"/>
      <c r="H44" s="20"/>
      <c r="I44" s="2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96"/>
  <sheetViews>
    <sheetView zoomScale="85" zoomScaleNormal="85" workbookViewId="0">
      <selection activeCell="I11" sqref="I11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30/09/2025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2" t="s">
        <v>757</v>
      </c>
      <c r="B9" s="43">
        <v>4.1500000000000004</v>
      </c>
      <c r="C9" s="43">
        <v>5.16</v>
      </c>
      <c r="D9" s="43">
        <v>9.2100000000000009</v>
      </c>
      <c r="E9" s="43">
        <v>6.37</v>
      </c>
      <c r="F9" s="43">
        <v>2</v>
      </c>
      <c r="G9" s="43">
        <v>54.06</v>
      </c>
      <c r="H9" s="43">
        <v>30.29</v>
      </c>
      <c r="I9" s="43">
        <v>8.7899999999999991</v>
      </c>
      <c r="J9" s="43">
        <v>0.09</v>
      </c>
      <c r="K9" s="43">
        <v>197.87</v>
      </c>
      <c r="L9" s="43">
        <v>16.23</v>
      </c>
      <c r="M9" s="43">
        <v>22.73</v>
      </c>
      <c r="N9" s="43">
        <v>2.2000000000000002</v>
      </c>
      <c r="O9" s="43">
        <v>0</v>
      </c>
      <c r="P9" s="43">
        <v>0.51</v>
      </c>
      <c r="Q9" s="43">
        <v>10</v>
      </c>
      <c r="R9" s="41"/>
      <c r="S9" s="41"/>
      <c r="T9" s="41"/>
      <c r="U9" s="41"/>
    </row>
    <row r="10" spans="1:21" customFormat="1">
      <c r="A10" s="42" t="s">
        <v>758</v>
      </c>
      <c r="B10" s="43">
        <v>4.6100000000000003</v>
      </c>
      <c r="C10" s="43">
        <v>5.07</v>
      </c>
      <c r="D10" s="43">
        <v>9.49</v>
      </c>
      <c r="E10" s="43">
        <v>5.9</v>
      </c>
      <c r="F10" s="43">
        <v>2.34</v>
      </c>
      <c r="G10" s="43">
        <v>40.64</v>
      </c>
      <c r="H10" s="43">
        <v>24.03</v>
      </c>
      <c r="I10" s="43">
        <v>8.6199999999999992</v>
      </c>
      <c r="J10" s="43">
        <v>0.15</v>
      </c>
      <c r="K10" s="43">
        <v>259.35000000000002</v>
      </c>
      <c r="L10" s="43">
        <v>23.55</v>
      </c>
      <c r="M10" s="43">
        <v>41.03</v>
      </c>
      <c r="N10" s="43">
        <v>2.2999999999999998</v>
      </c>
      <c r="O10" s="43">
        <v>0</v>
      </c>
      <c r="P10" s="43">
        <v>0.45</v>
      </c>
      <c r="Q10" s="43">
        <v>10</v>
      </c>
      <c r="R10" s="41"/>
      <c r="S10" s="41"/>
      <c r="T10" s="41"/>
      <c r="U10" s="41"/>
    </row>
    <row r="11" spans="1:21" customFormat="1">
      <c r="A11" s="42" t="s">
        <v>759</v>
      </c>
      <c r="B11" s="43">
        <v>5</v>
      </c>
      <c r="C11" s="43">
        <v>5.0599999999999996</v>
      </c>
      <c r="D11" s="43">
        <v>10.06</v>
      </c>
      <c r="E11" s="43">
        <v>5.26</v>
      </c>
      <c r="F11" s="43">
        <v>2.19</v>
      </c>
      <c r="G11" s="43">
        <v>35.75</v>
      </c>
      <c r="H11" s="43">
        <v>19.03</v>
      </c>
      <c r="I11" s="43">
        <v>8.27</v>
      </c>
      <c r="J11" s="43">
        <v>0.16</v>
      </c>
      <c r="K11" s="43">
        <v>236.87</v>
      </c>
      <c r="L11" s="43">
        <v>20.99</v>
      </c>
      <c r="M11" s="43">
        <v>34.69</v>
      </c>
      <c r="N11" s="43">
        <v>2.2999999999999998</v>
      </c>
      <c r="O11" s="43">
        <v>0</v>
      </c>
      <c r="P11" s="43">
        <v>0.4</v>
      </c>
      <c r="Q11" s="43">
        <v>10.220000000000001</v>
      </c>
      <c r="R11" s="41"/>
      <c r="S11" s="41"/>
      <c r="T11" s="41"/>
      <c r="U11" s="41"/>
    </row>
    <row r="12" spans="1:21" customFormat="1">
      <c r="A12" s="42" t="s">
        <v>760</v>
      </c>
      <c r="B12" s="43">
        <v>5.41</v>
      </c>
      <c r="C12" s="43">
        <v>5.03</v>
      </c>
      <c r="D12" s="43">
        <v>10.44</v>
      </c>
      <c r="E12" s="43">
        <v>5.3</v>
      </c>
      <c r="F12" s="43">
        <v>2.06</v>
      </c>
      <c r="G12" s="43">
        <v>29.86</v>
      </c>
      <c r="H12" s="43">
        <v>19.03</v>
      </c>
      <c r="I12" s="43">
        <v>8.0399999999999991</v>
      </c>
      <c r="J12" s="43">
        <v>0.28999999999999998</v>
      </c>
      <c r="K12" s="43">
        <v>256.02</v>
      </c>
      <c r="L12" s="43">
        <v>22.97</v>
      </c>
      <c r="M12" s="43">
        <v>39.58</v>
      </c>
      <c r="N12" s="43">
        <v>2.1</v>
      </c>
      <c r="O12" s="43">
        <v>0</v>
      </c>
      <c r="P12" s="43">
        <v>0.38</v>
      </c>
      <c r="Q12" s="43">
        <v>10</v>
      </c>
      <c r="R12" s="41"/>
      <c r="S12" s="41"/>
      <c r="T12" s="41"/>
      <c r="U12" s="41"/>
    </row>
    <row r="13" spans="1:21" customFormat="1">
      <c r="A13" s="42" t="s">
        <v>761</v>
      </c>
      <c r="B13" s="43">
        <v>5.99</v>
      </c>
      <c r="C13" s="43">
        <v>5.99</v>
      </c>
      <c r="D13" s="43">
        <v>11.98</v>
      </c>
      <c r="E13" s="43">
        <v>5.27</v>
      </c>
      <c r="F13" s="43">
        <v>2.08</v>
      </c>
      <c r="G13" s="43">
        <v>28.01</v>
      </c>
      <c r="H13" s="43">
        <v>15.23</v>
      </c>
      <c r="I13" s="43">
        <v>7.68</v>
      </c>
      <c r="J13" s="43">
        <v>0.28999999999999998</v>
      </c>
      <c r="K13" s="43">
        <v>275.91000000000003</v>
      </c>
      <c r="L13" s="43">
        <v>24.27</v>
      </c>
      <c r="M13" s="43">
        <v>42.8</v>
      </c>
      <c r="N13" s="43">
        <v>2.1</v>
      </c>
      <c r="O13" s="43">
        <v>0</v>
      </c>
      <c r="P13" s="43">
        <v>0.36</v>
      </c>
      <c r="Q13" s="43">
        <v>10</v>
      </c>
      <c r="R13" s="41"/>
      <c r="S13" s="41"/>
      <c r="T13" s="41"/>
      <c r="U13" s="41"/>
    </row>
    <row r="14" spans="1:21" customFormat="1">
      <c r="A14" s="42" t="s">
        <v>762</v>
      </c>
      <c r="B14" s="43">
        <v>6.49</v>
      </c>
      <c r="C14" s="43">
        <v>5.98</v>
      </c>
      <c r="D14" s="43">
        <v>12.14</v>
      </c>
      <c r="E14" s="43">
        <v>5.29</v>
      </c>
      <c r="F14" s="43">
        <v>2.0299999999999998</v>
      </c>
      <c r="G14" s="43">
        <v>28.02</v>
      </c>
      <c r="H14" s="43">
        <v>15.23</v>
      </c>
      <c r="I14" s="43">
        <v>7.65</v>
      </c>
      <c r="J14" s="43">
        <v>0.12</v>
      </c>
      <c r="K14" s="43">
        <v>223.78</v>
      </c>
      <c r="L14" s="43">
        <v>20.52</v>
      </c>
      <c r="M14" s="43">
        <v>33.44</v>
      </c>
      <c r="N14" s="43">
        <v>3.6</v>
      </c>
      <c r="O14" s="43">
        <v>0</v>
      </c>
      <c r="P14" s="43">
        <v>0.33</v>
      </c>
      <c r="Q14" s="43">
        <v>10</v>
      </c>
      <c r="R14" s="41"/>
      <c r="S14" s="41"/>
      <c r="T14" s="41"/>
      <c r="U14" s="41"/>
    </row>
    <row r="15" spans="1:21" customFormat="1">
      <c r="A15" s="42" t="s">
        <v>763</v>
      </c>
      <c r="B15" s="43">
        <v>8.2899999999999991</v>
      </c>
      <c r="C15" s="43">
        <v>6.4</v>
      </c>
      <c r="D15" s="43">
        <v>14.69</v>
      </c>
      <c r="E15" s="43">
        <v>5.22</v>
      </c>
      <c r="F15" s="43">
        <v>2</v>
      </c>
      <c r="G15" s="43">
        <v>28.02</v>
      </c>
      <c r="H15" s="43">
        <v>15.3</v>
      </c>
      <c r="I15" s="43">
        <v>7.6</v>
      </c>
      <c r="J15" s="43">
        <v>0.09</v>
      </c>
      <c r="K15" s="43">
        <v>173.94</v>
      </c>
      <c r="L15" s="43">
        <v>18.190000000000001</v>
      </c>
      <c r="M15" s="43">
        <v>27.16</v>
      </c>
      <c r="N15" s="43">
        <v>44.6</v>
      </c>
      <c r="O15" s="43">
        <v>0</v>
      </c>
      <c r="P15" s="43">
        <v>0.36</v>
      </c>
      <c r="Q15" s="43">
        <v>10</v>
      </c>
      <c r="R15" s="41"/>
      <c r="S15" s="41"/>
      <c r="T15" s="41"/>
      <c r="U15" s="41"/>
    </row>
    <row r="16" spans="1:21" customFormat="1">
      <c r="A16" s="42" t="s">
        <v>764</v>
      </c>
      <c r="B16" s="43">
        <v>8.68</v>
      </c>
      <c r="C16" s="43">
        <v>6.63</v>
      </c>
      <c r="D16" s="43">
        <v>15.31</v>
      </c>
      <c r="E16" s="43">
        <v>5.54</v>
      </c>
      <c r="F16" s="43">
        <v>2</v>
      </c>
      <c r="G16" s="43">
        <v>43.31</v>
      </c>
      <c r="H16" s="43">
        <v>19.3</v>
      </c>
      <c r="I16" s="43">
        <v>7.9</v>
      </c>
      <c r="J16" s="43">
        <v>0.38</v>
      </c>
      <c r="K16" s="43">
        <v>295.41000000000003</v>
      </c>
      <c r="L16" s="43">
        <v>26.49</v>
      </c>
      <c r="M16" s="43">
        <v>47.01</v>
      </c>
      <c r="N16" s="43">
        <v>167.4</v>
      </c>
      <c r="O16" s="43">
        <v>0</v>
      </c>
      <c r="P16" s="43">
        <v>0.39</v>
      </c>
      <c r="Q16" s="43">
        <v>10</v>
      </c>
      <c r="R16" s="41"/>
      <c r="S16" s="41"/>
      <c r="T16" s="41"/>
      <c r="U16" s="41"/>
    </row>
    <row r="17" spans="1:21" customFormat="1">
      <c r="A17" s="42" t="s">
        <v>765</v>
      </c>
      <c r="B17" s="43">
        <v>8.51</v>
      </c>
      <c r="C17" s="43">
        <v>6.98</v>
      </c>
      <c r="D17" s="43">
        <v>15.22</v>
      </c>
      <c r="E17" s="43">
        <v>5.73</v>
      </c>
      <c r="F17" s="43">
        <v>2.0499999999999998</v>
      </c>
      <c r="G17" s="43">
        <v>52.18</v>
      </c>
      <c r="H17" s="43">
        <v>20.92</v>
      </c>
      <c r="I17" s="43">
        <v>8.0399999999999991</v>
      </c>
      <c r="J17" s="43">
        <v>0.47</v>
      </c>
      <c r="K17" s="43">
        <v>313.89999999999998</v>
      </c>
      <c r="L17" s="43">
        <v>27.63</v>
      </c>
      <c r="M17" s="43">
        <v>43.3</v>
      </c>
      <c r="N17" s="43">
        <v>307.60000000000002</v>
      </c>
      <c r="O17" s="43">
        <v>0</v>
      </c>
      <c r="P17" s="43">
        <v>0.39</v>
      </c>
      <c r="Q17" s="43">
        <v>10</v>
      </c>
      <c r="R17" s="41"/>
      <c r="S17" s="41"/>
      <c r="T17" s="41"/>
      <c r="U17" s="41"/>
    </row>
    <row r="18" spans="1:21" customFormat="1">
      <c r="A18" s="42" t="s">
        <v>766</v>
      </c>
      <c r="B18" s="43">
        <v>7.18</v>
      </c>
      <c r="C18" s="43">
        <v>7.59</v>
      </c>
      <c r="D18" s="43">
        <v>14.45</v>
      </c>
      <c r="E18" s="43">
        <v>5.81</v>
      </c>
      <c r="F18" s="43">
        <v>2.36</v>
      </c>
      <c r="G18" s="43">
        <v>58.66</v>
      </c>
      <c r="H18" s="43">
        <v>25.24</v>
      </c>
      <c r="I18" s="43">
        <v>7.49</v>
      </c>
      <c r="J18" s="43">
        <v>0.65</v>
      </c>
      <c r="K18" s="43">
        <v>329.74</v>
      </c>
      <c r="L18" s="43">
        <v>27.68</v>
      </c>
      <c r="M18" s="43">
        <v>41.69</v>
      </c>
      <c r="N18" s="43">
        <v>494.9</v>
      </c>
      <c r="O18" s="43">
        <v>0</v>
      </c>
      <c r="P18" s="43">
        <v>0.38</v>
      </c>
      <c r="Q18" s="43">
        <v>10.039999999999999</v>
      </c>
      <c r="R18" s="41"/>
      <c r="S18" s="41"/>
      <c r="T18" s="41"/>
      <c r="U18" s="41"/>
    </row>
    <row r="19" spans="1:21" customFormat="1">
      <c r="A19" s="42" t="s">
        <v>767</v>
      </c>
      <c r="B19" s="43">
        <v>6.21</v>
      </c>
      <c r="C19" s="43">
        <v>7.86</v>
      </c>
      <c r="D19" s="43">
        <v>13.87</v>
      </c>
      <c r="E19" s="43">
        <v>5.42</v>
      </c>
      <c r="F19" s="43">
        <v>4.1399999999999997</v>
      </c>
      <c r="G19" s="43">
        <v>58.66</v>
      </c>
      <c r="H19" s="43">
        <v>25.24</v>
      </c>
      <c r="I19" s="43">
        <v>7.16</v>
      </c>
      <c r="J19" s="43">
        <v>0.48</v>
      </c>
      <c r="K19" s="43">
        <v>333.74</v>
      </c>
      <c r="L19" s="43">
        <v>27.47</v>
      </c>
      <c r="M19" s="43">
        <v>39.020000000000003</v>
      </c>
      <c r="N19" s="43">
        <v>655.29999999999995</v>
      </c>
      <c r="O19" s="43">
        <v>0</v>
      </c>
      <c r="P19" s="43">
        <v>0.38</v>
      </c>
      <c r="Q19" s="43">
        <v>10.15</v>
      </c>
      <c r="R19" s="41"/>
      <c r="S19" s="41"/>
      <c r="T19" s="41"/>
      <c r="U19" s="41"/>
    </row>
    <row r="20" spans="1:21" customFormat="1">
      <c r="A20" s="42" t="s">
        <v>768</v>
      </c>
      <c r="B20" s="43">
        <v>5.0999999999999996</v>
      </c>
      <c r="C20" s="43">
        <v>8.32</v>
      </c>
      <c r="D20" s="43">
        <v>13.42</v>
      </c>
      <c r="E20" s="43">
        <v>5.68</v>
      </c>
      <c r="F20" s="43">
        <v>8.9700000000000006</v>
      </c>
      <c r="G20" s="43">
        <v>59.33</v>
      </c>
      <c r="H20" s="43">
        <v>26.55</v>
      </c>
      <c r="I20" s="43">
        <v>6.55</v>
      </c>
      <c r="J20" s="43">
        <v>0.56000000000000005</v>
      </c>
      <c r="K20" s="43">
        <v>339.75</v>
      </c>
      <c r="L20" s="43">
        <v>22.32</v>
      </c>
      <c r="M20" s="43">
        <v>26.74</v>
      </c>
      <c r="N20" s="43">
        <v>591.6</v>
      </c>
      <c r="O20" s="43">
        <v>0</v>
      </c>
      <c r="P20" s="43">
        <v>0.34</v>
      </c>
      <c r="Q20" s="43">
        <v>10</v>
      </c>
      <c r="R20" s="41"/>
      <c r="S20" s="41"/>
      <c r="T20" s="41"/>
      <c r="U20" s="41"/>
    </row>
    <row r="21" spans="1:21" customFormat="1">
      <c r="A21" s="42" t="s">
        <v>769</v>
      </c>
      <c r="B21" s="43">
        <v>4.6900000000000004</v>
      </c>
      <c r="C21" s="43">
        <v>7.77</v>
      </c>
      <c r="D21" s="43">
        <v>12.35</v>
      </c>
      <c r="E21" s="43">
        <v>6.86</v>
      </c>
      <c r="F21" s="43">
        <v>10.08</v>
      </c>
      <c r="G21" s="43">
        <v>59.33</v>
      </c>
      <c r="H21" s="43">
        <v>26.55</v>
      </c>
      <c r="I21" s="43">
        <v>6.14</v>
      </c>
      <c r="J21" s="43">
        <v>0.39</v>
      </c>
      <c r="K21" s="43">
        <v>332.51</v>
      </c>
      <c r="L21" s="43">
        <v>24.4</v>
      </c>
      <c r="M21" s="43">
        <v>37.04</v>
      </c>
      <c r="N21" s="43">
        <v>497.4</v>
      </c>
      <c r="O21" s="43">
        <v>0</v>
      </c>
      <c r="P21" s="43">
        <v>0.31</v>
      </c>
      <c r="Q21" s="43">
        <v>10</v>
      </c>
      <c r="R21" s="41"/>
      <c r="S21" s="41"/>
      <c r="T21" s="41"/>
      <c r="U21" s="41"/>
    </row>
    <row r="22" spans="1:21" customFormat="1">
      <c r="A22" s="42" t="s">
        <v>770</v>
      </c>
      <c r="B22" s="43">
        <v>4.25</v>
      </c>
      <c r="C22" s="43">
        <v>8.2899999999999991</v>
      </c>
      <c r="D22" s="43">
        <v>12.24</v>
      </c>
      <c r="E22" s="43">
        <v>9.75</v>
      </c>
      <c r="F22" s="43">
        <v>11.7</v>
      </c>
      <c r="G22" s="43">
        <v>57.61</v>
      </c>
      <c r="H22" s="43">
        <v>24.08</v>
      </c>
      <c r="I22" s="43">
        <v>5.81</v>
      </c>
      <c r="J22" s="43">
        <v>0.33</v>
      </c>
      <c r="K22" s="43">
        <v>354.09</v>
      </c>
      <c r="L22" s="43">
        <v>20.75</v>
      </c>
      <c r="M22" s="43">
        <v>31.43</v>
      </c>
      <c r="N22" s="43">
        <v>283.3</v>
      </c>
      <c r="O22" s="43">
        <v>0</v>
      </c>
      <c r="P22" s="43">
        <v>0.34</v>
      </c>
      <c r="Q22" s="43">
        <v>10</v>
      </c>
      <c r="R22" s="41"/>
      <c r="S22" s="41"/>
      <c r="T22" s="41"/>
      <c r="U22" s="41"/>
    </row>
    <row r="23" spans="1:21" customFormat="1">
      <c r="A23" s="42" t="s">
        <v>771</v>
      </c>
      <c r="B23" s="43">
        <v>4.1500000000000004</v>
      </c>
      <c r="C23" s="43">
        <v>9.98</v>
      </c>
      <c r="D23" s="43">
        <v>14.13</v>
      </c>
      <c r="E23" s="43">
        <v>11.98</v>
      </c>
      <c r="F23" s="43">
        <v>16.93</v>
      </c>
      <c r="G23" s="43">
        <v>58.86</v>
      </c>
      <c r="H23" s="43">
        <v>25.21</v>
      </c>
      <c r="I23" s="43">
        <v>5.78</v>
      </c>
      <c r="J23" s="43">
        <v>0.45</v>
      </c>
      <c r="K23" s="43">
        <v>47.53</v>
      </c>
      <c r="L23" s="43">
        <v>14.54</v>
      </c>
      <c r="M23" s="43">
        <v>13.8</v>
      </c>
      <c r="N23" s="43">
        <v>204.3</v>
      </c>
      <c r="O23" s="43">
        <v>0</v>
      </c>
      <c r="P23" s="43">
        <v>0.37</v>
      </c>
      <c r="Q23" s="43">
        <v>10.55</v>
      </c>
      <c r="R23" s="41"/>
      <c r="S23" s="41"/>
      <c r="T23" s="41"/>
      <c r="U23" s="41"/>
    </row>
    <row r="24" spans="1:21" customFormat="1">
      <c r="A24" s="42" t="s">
        <v>772</v>
      </c>
      <c r="B24" s="43">
        <v>3.82</v>
      </c>
      <c r="C24" s="43">
        <v>9.36</v>
      </c>
      <c r="D24" s="43">
        <v>13.18</v>
      </c>
      <c r="E24" s="43">
        <v>12.33</v>
      </c>
      <c r="F24" s="43">
        <v>22.41</v>
      </c>
      <c r="G24" s="43">
        <v>63.81</v>
      </c>
      <c r="H24" s="43">
        <v>27.49</v>
      </c>
      <c r="I24" s="43">
        <v>5.97</v>
      </c>
      <c r="J24" s="43">
        <v>0.28999999999999998</v>
      </c>
      <c r="K24" s="43">
        <v>310.93</v>
      </c>
      <c r="L24" s="43">
        <v>20.82</v>
      </c>
      <c r="M24" s="43">
        <v>33.08</v>
      </c>
      <c r="N24" s="43">
        <v>81.400000000000006</v>
      </c>
      <c r="O24" s="43">
        <v>0</v>
      </c>
      <c r="P24" s="43">
        <v>0.36</v>
      </c>
      <c r="Q24" s="43">
        <v>10</v>
      </c>
      <c r="R24" s="41"/>
      <c r="S24" s="41"/>
      <c r="T24" s="41"/>
      <c r="U24" s="41"/>
    </row>
    <row r="25" spans="1:21" customFormat="1">
      <c r="A25" s="42" t="s">
        <v>773</v>
      </c>
      <c r="B25" s="43">
        <v>3.2</v>
      </c>
      <c r="C25" s="43">
        <v>7.92</v>
      </c>
      <c r="D25" s="43">
        <v>10.97</v>
      </c>
      <c r="E25" s="43">
        <v>5.95</v>
      </c>
      <c r="F25" s="43">
        <v>9.9600000000000009</v>
      </c>
      <c r="G25" s="43">
        <v>67.05</v>
      </c>
      <c r="H25" s="43">
        <v>30.79</v>
      </c>
      <c r="I25" s="43">
        <v>5.75</v>
      </c>
      <c r="J25" s="43">
        <v>0.4</v>
      </c>
      <c r="K25" s="43">
        <v>248.99</v>
      </c>
      <c r="L25" s="43">
        <v>22.33</v>
      </c>
      <c r="M25" s="43">
        <v>37.53</v>
      </c>
      <c r="N25" s="43">
        <v>29.3</v>
      </c>
      <c r="O25" s="43">
        <v>0</v>
      </c>
      <c r="P25" s="43">
        <v>0.37</v>
      </c>
      <c r="Q25" s="43">
        <v>11.52</v>
      </c>
      <c r="R25" s="41"/>
      <c r="S25" s="41"/>
      <c r="T25" s="41"/>
      <c r="U25" s="41"/>
    </row>
    <row r="26" spans="1:21" customFormat="1">
      <c r="A26" s="42" t="s">
        <v>774</v>
      </c>
      <c r="B26" s="43">
        <v>2.7</v>
      </c>
      <c r="C26" s="43">
        <v>7.55</v>
      </c>
      <c r="D26" s="43">
        <v>10.25</v>
      </c>
      <c r="E26" s="43">
        <v>5.15</v>
      </c>
      <c r="F26" s="43">
        <v>3.69</v>
      </c>
      <c r="G26" s="43">
        <v>67.05</v>
      </c>
      <c r="H26" s="43">
        <v>30.79</v>
      </c>
      <c r="I26" s="43">
        <v>5.43</v>
      </c>
      <c r="J26" s="43">
        <v>0.4</v>
      </c>
      <c r="K26" s="43">
        <v>285.64</v>
      </c>
      <c r="L26" s="43">
        <v>24.18</v>
      </c>
      <c r="M26" s="43">
        <v>42.4</v>
      </c>
      <c r="N26" s="43">
        <v>16.2</v>
      </c>
      <c r="O26" s="43">
        <v>0</v>
      </c>
      <c r="P26" s="43">
        <v>0.35</v>
      </c>
      <c r="Q26" s="43">
        <v>10</v>
      </c>
      <c r="R26" s="41"/>
      <c r="S26" s="41"/>
      <c r="T26" s="41"/>
      <c r="U26" s="41"/>
    </row>
    <row r="27" spans="1:21" customFormat="1">
      <c r="A27" s="42" t="s">
        <v>775</v>
      </c>
      <c r="B27" s="43">
        <v>3.25</v>
      </c>
      <c r="C27" s="43">
        <v>8.0399999999999991</v>
      </c>
      <c r="D27" s="43">
        <v>11.14</v>
      </c>
      <c r="E27" s="43">
        <v>5.17</v>
      </c>
      <c r="F27" s="43">
        <v>2.35</v>
      </c>
      <c r="G27" s="43">
        <v>52.86</v>
      </c>
      <c r="H27" s="43">
        <v>25.87</v>
      </c>
      <c r="I27" s="43">
        <v>5.54</v>
      </c>
      <c r="J27" s="43">
        <v>0.21</v>
      </c>
      <c r="K27" s="43">
        <v>179.88</v>
      </c>
      <c r="L27" s="43">
        <v>17.22</v>
      </c>
      <c r="M27" s="43">
        <v>25.24</v>
      </c>
      <c r="N27" s="43">
        <v>2.6</v>
      </c>
      <c r="O27" s="43">
        <v>0</v>
      </c>
      <c r="P27" s="43">
        <v>0.38</v>
      </c>
      <c r="Q27" s="43">
        <v>10</v>
      </c>
      <c r="R27" s="41"/>
      <c r="S27" s="41"/>
      <c r="T27" s="41"/>
      <c r="U27" s="41"/>
    </row>
    <row r="28" spans="1:21" customFormat="1">
      <c r="A28" s="42" t="s">
        <v>776</v>
      </c>
      <c r="B28" s="43">
        <v>4.4800000000000004</v>
      </c>
      <c r="C28" s="43">
        <v>8.1</v>
      </c>
      <c r="D28" s="43">
        <v>12.57</v>
      </c>
      <c r="E28" s="43">
        <v>5.38</v>
      </c>
      <c r="F28" s="43">
        <v>2.1</v>
      </c>
      <c r="G28" s="43">
        <v>52.86</v>
      </c>
      <c r="H28" s="43">
        <v>26.68</v>
      </c>
      <c r="I28" s="43">
        <v>5.96</v>
      </c>
      <c r="J28" s="43">
        <v>0.17</v>
      </c>
      <c r="K28" s="43">
        <v>182.84</v>
      </c>
      <c r="L28" s="43">
        <v>17.29</v>
      </c>
      <c r="M28" s="43">
        <v>25.45</v>
      </c>
      <c r="N28" s="43">
        <v>2.2999999999999998</v>
      </c>
      <c r="O28" s="43">
        <v>0</v>
      </c>
      <c r="P28" s="43">
        <v>0.44</v>
      </c>
      <c r="Q28" s="43">
        <v>10</v>
      </c>
      <c r="R28" s="41"/>
      <c r="S28" s="41"/>
      <c r="T28" s="41"/>
      <c r="U28" s="41"/>
    </row>
    <row r="29" spans="1:21" customFormat="1">
      <c r="A29" s="42" t="s">
        <v>777</v>
      </c>
      <c r="B29" s="43">
        <v>4.8099999999999996</v>
      </c>
      <c r="C29" s="43">
        <v>8.14</v>
      </c>
      <c r="D29" s="43">
        <v>12.87</v>
      </c>
      <c r="E29" s="43">
        <v>5.61</v>
      </c>
      <c r="F29" s="43">
        <v>3.17</v>
      </c>
      <c r="G29" s="43">
        <v>61.45</v>
      </c>
      <c r="H29" s="43">
        <v>26.68</v>
      </c>
      <c r="I29" s="43">
        <v>8.2899999999999991</v>
      </c>
      <c r="J29" s="43">
        <v>0.33</v>
      </c>
      <c r="K29" s="43">
        <v>246.23</v>
      </c>
      <c r="L29" s="43">
        <v>21.54</v>
      </c>
      <c r="M29" s="43">
        <v>36.049999999999997</v>
      </c>
      <c r="N29" s="43">
        <v>3.9</v>
      </c>
      <c r="O29" s="43">
        <v>1.6</v>
      </c>
      <c r="P29" s="43">
        <v>0.52</v>
      </c>
      <c r="Q29" s="43">
        <v>10.71</v>
      </c>
      <c r="R29" s="41"/>
      <c r="S29" s="41"/>
      <c r="T29" s="41"/>
      <c r="U29" s="41"/>
    </row>
    <row r="30" spans="1:21" customFormat="1">
      <c r="A30" s="42" t="s">
        <v>778</v>
      </c>
      <c r="B30" s="43">
        <v>5.19</v>
      </c>
      <c r="C30" s="43">
        <v>8.07</v>
      </c>
      <c r="D30" s="43">
        <v>12.64</v>
      </c>
      <c r="E30" s="43">
        <v>5.34</v>
      </c>
      <c r="F30" s="43">
        <v>4.17</v>
      </c>
      <c r="G30" s="43">
        <v>61.45</v>
      </c>
      <c r="H30" s="43">
        <v>28.71</v>
      </c>
      <c r="I30" s="43">
        <v>9.56</v>
      </c>
      <c r="J30" s="43">
        <v>0.22</v>
      </c>
      <c r="K30" s="43">
        <v>188.44</v>
      </c>
      <c r="L30" s="43">
        <v>18.079999999999998</v>
      </c>
      <c r="M30" s="43">
        <v>27.31</v>
      </c>
      <c r="N30" s="43">
        <v>3.4</v>
      </c>
      <c r="O30" s="43">
        <v>1</v>
      </c>
      <c r="P30" s="43">
        <v>0.56000000000000005</v>
      </c>
      <c r="Q30" s="43">
        <v>15.6</v>
      </c>
      <c r="R30" s="41"/>
      <c r="S30" s="41"/>
      <c r="T30" s="41"/>
      <c r="U30" s="41"/>
    </row>
    <row r="31" spans="1:21" customFormat="1">
      <c r="A31" s="42" t="s">
        <v>779</v>
      </c>
      <c r="B31" s="43">
        <v>5.66</v>
      </c>
      <c r="C31" s="43">
        <v>7.56</v>
      </c>
      <c r="D31" s="43">
        <v>12.52</v>
      </c>
      <c r="E31" s="43">
        <v>5.19</v>
      </c>
      <c r="F31" s="43">
        <v>2.7</v>
      </c>
      <c r="G31" s="43">
        <v>59.06</v>
      </c>
      <c r="H31" s="43">
        <v>28.71</v>
      </c>
      <c r="I31" s="43">
        <v>12.3</v>
      </c>
      <c r="J31" s="43">
        <v>0.19</v>
      </c>
      <c r="K31" s="43">
        <v>162.37</v>
      </c>
      <c r="L31" s="43">
        <v>15.64</v>
      </c>
      <c r="M31" s="43">
        <v>21.19</v>
      </c>
      <c r="N31" s="43">
        <v>4.4000000000000004</v>
      </c>
      <c r="O31" s="43">
        <v>0</v>
      </c>
      <c r="P31" s="43">
        <v>0.65</v>
      </c>
      <c r="Q31" s="43">
        <v>10.24</v>
      </c>
      <c r="R31" s="41"/>
      <c r="S31" s="41"/>
      <c r="T31" s="41"/>
      <c r="U31" s="41"/>
    </row>
    <row r="32" spans="1:21" customFormat="1">
      <c r="A32" s="42" t="s">
        <v>780</v>
      </c>
      <c r="B32" s="43">
        <v>5.79</v>
      </c>
      <c r="C32" s="43">
        <v>5.85</v>
      </c>
      <c r="D32" s="43">
        <v>11.64</v>
      </c>
      <c r="E32" s="43">
        <v>5.27</v>
      </c>
      <c r="F32" s="43">
        <v>3.52</v>
      </c>
      <c r="G32" s="43">
        <v>54.95</v>
      </c>
      <c r="H32" s="43">
        <v>27.55</v>
      </c>
      <c r="I32" s="43">
        <v>10.11</v>
      </c>
      <c r="J32" s="43">
        <v>0.17</v>
      </c>
      <c r="K32" s="43">
        <v>217.21</v>
      </c>
      <c r="L32" s="43">
        <v>19.82</v>
      </c>
      <c r="M32" s="43">
        <v>31.71</v>
      </c>
      <c r="N32" s="43">
        <v>3.2</v>
      </c>
      <c r="O32" s="43">
        <v>5.2</v>
      </c>
      <c r="P32" s="43">
        <v>0.56000000000000005</v>
      </c>
      <c r="Q32" s="43">
        <v>10.06</v>
      </c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2.7</v>
      </c>
      <c r="C34" s="18">
        <f t="shared" si="0"/>
        <v>5.03</v>
      </c>
      <c r="D34" s="18">
        <f t="shared" si="0"/>
        <v>9.2100000000000009</v>
      </c>
      <c r="E34" s="18">
        <f t="shared" si="0"/>
        <v>5.15</v>
      </c>
      <c r="F34" s="18">
        <f t="shared" si="0"/>
        <v>2</v>
      </c>
      <c r="G34" s="18">
        <f t="shared" si="0"/>
        <v>28.01</v>
      </c>
      <c r="H34" s="18">
        <f t="shared" si="0"/>
        <v>15.23</v>
      </c>
      <c r="I34" s="18">
        <f t="shared" si="0"/>
        <v>5.43</v>
      </c>
      <c r="J34" s="18">
        <f t="shared" si="0"/>
        <v>0.09</v>
      </c>
      <c r="K34" s="18">
        <f t="shared" si="0"/>
        <v>47.53</v>
      </c>
      <c r="L34" s="18">
        <f t="shared" si="0"/>
        <v>14.54</v>
      </c>
      <c r="M34" s="18">
        <f t="shared" si="0"/>
        <v>13.8</v>
      </c>
      <c r="N34" s="18">
        <f t="shared" si="0"/>
        <v>2.1</v>
      </c>
      <c r="O34" s="18">
        <f t="shared" si="0"/>
        <v>0</v>
      </c>
      <c r="P34" s="18">
        <f t="shared" si="0"/>
        <v>0.31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8.68</v>
      </c>
      <c r="C35" s="3">
        <f t="shared" si="1"/>
        <v>9.98</v>
      </c>
      <c r="D35" s="3">
        <f t="shared" si="1"/>
        <v>15.31</v>
      </c>
      <c r="E35" s="3">
        <f t="shared" si="1"/>
        <v>12.33</v>
      </c>
      <c r="F35" s="3">
        <f t="shared" si="1"/>
        <v>22.41</v>
      </c>
      <c r="G35" s="3">
        <f t="shared" si="1"/>
        <v>67.05</v>
      </c>
      <c r="H35" s="3">
        <f t="shared" si="1"/>
        <v>30.79</v>
      </c>
      <c r="I35" s="3">
        <f t="shared" si="1"/>
        <v>12.3</v>
      </c>
      <c r="J35" s="3">
        <f t="shared" si="1"/>
        <v>0.65</v>
      </c>
      <c r="K35" s="3">
        <f t="shared" si="1"/>
        <v>354.09</v>
      </c>
      <c r="L35" s="3">
        <f t="shared" si="1"/>
        <v>27.68</v>
      </c>
      <c r="M35" s="3">
        <f t="shared" si="1"/>
        <v>47.01</v>
      </c>
      <c r="N35" s="3">
        <f t="shared" si="1"/>
        <v>655.29999999999995</v>
      </c>
      <c r="O35" s="3">
        <f t="shared" si="1"/>
        <v>5.2</v>
      </c>
      <c r="P35" s="3">
        <f t="shared" si="1"/>
        <v>0.65</v>
      </c>
      <c r="Q35" s="3">
        <f t="shared" si="1"/>
        <v>15.6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5.3170833333333336</v>
      </c>
      <c r="C36" s="18">
        <f t="shared" si="2"/>
        <v>7.1958333333333337</v>
      </c>
      <c r="D36" s="18">
        <f t="shared" si="2"/>
        <v>12.365833333333333</v>
      </c>
      <c r="E36" s="18">
        <f t="shared" si="2"/>
        <v>6.2820833333333352</v>
      </c>
      <c r="F36" s="18">
        <f t="shared" si="2"/>
        <v>5.291666666666667</v>
      </c>
      <c r="G36" s="18">
        <f t="shared" si="2"/>
        <v>51.368333333333339</v>
      </c>
      <c r="H36" s="18">
        <f t="shared" si="2"/>
        <v>24.354166666666671</v>
      </c>
      <c r="I36" s="18">
        <f t="shared" si="2"/>
        <v>7.5179166666666672</v>
      </c>
      <c r="J36" s="18">
        <f t="shared" si="2"/>
        <v>0.3033333333333334</v>
      </c>
      <c r="K36" s="18">
        <f t="shared" si="2"/>
        <v>249.70583333333332</v>
      </c>
      <c r="L36" s="18">
        <f t="shared" si="2"/>
        <v>21.454999999999998</v>
      </c>
      <c r="M36" s="18">
        <f t="shared" si="2"/>
        <v>33.392500000000005</v>
      </c>
      <c r="N36" s="18">
        <f t="shared" si="2"/>
        <v>141.98750000000004</v>
      </c>
      <c r="O36" s="18">
        <f t="shared" si="2"/>
        <v>0.32500000000000001</v>
      </c>
      <c r="P36" s="18">
        <f t="shared" si="2"/>
        <v>0.41166666666666668</v>
      </c>
      <c r="Q36" s="18">
        <f t="shared" si="2"/>
        <v>10.378750000000002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1.6220129178884781</v>
      </c>
      <c r="C37" s="18">
        <f t="shared" ref="C37:Q37" si="3">STDEV(C9:C32)</f>
        <v>1.3744656405678013</v>
      </c>
      <c r="D37" s="18">
        <f t="shared" si="3"/>
        <v>1.7449253544933228</v>
      </c>
      <c r="E37" s="18">
        <f t="shared" si="3"/>
        <v>2.0418022285666373</v>
      </c>
      <c r="F37" s="18">
        <f t="shared" si="3"/>
        <v>5.387147883513185</v>
      </c>
      <c r="G37" s="18">
        <f t="shared" si="3"/>
        <v>12.828163197219327</v>
      </c>
      <c r="H37" s="18">
        <f t="shared" si="3"/>
        <v>4.8625453315572553</v>
      </c>
      <c r="I37" s="18">
        <f t="shared" si="3"/>
        <v>1.6630955400584515</v>
      </c>
      <c r="J37" s="18">
        <f t="shared" si="3"/>
        <v>0.15227739752537611</v>
      </c>
      <c r="K37" s="18">
        <f t="shared" si="3"/>
        <v>73.227580627061258</v>
      </c>
      <c r="L37" s="18">
        <f t="shared" si="3"/>
        <v>3.8536837261079908</v>
      </c>
      <c r="M37" s="18">
        <f t="shared" si="3"/>
        <v>8.3207834340596438</v>
      </c>
      <c r="N37" s="18">
        <f t="shared" si="3"/>
        <v>212.88598563652511</v>
      </c>
      <c r="O37" s="18">
        <f t="shared" si="3"/>
        <v>1.104634505754889</v>
      </c>
      <c r="P37" s="18">
        <f t="shared" si="3"/>
        <v>8.6510450068268865E-2</v>
      </c>
      <c r="Q37" s="18">
        <f t="shared" si="3"/>
        <v>1.1640981301083244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24</v>
      </c>
      <c r="C38" s="37">
        <f t="shared" si="4"/>
        <v>24</v>
      </c>
      <c r="D38" s="37">
        <f t="shared" si="4"/>
        <v>24</v>
      </c>
      <c r="E38" s="37">
        <f t="shared" si="4"/>
        <v>24</v>
      </c>
      <c r="F38" s="37">
        <f t="shared" si="4"/>
        <v>24</v>
      </c>
      <c r="G38" s="37">
        <f t="shared" si="4"/>
        <v>24</v>
      </c>
      <c r="H38" s="37">
        <f t="shared" si="4"/>
        <v>24</v>
      </c>
      <c r="I38" s="37">
        <f t="shared" si="4"/>
        <v>24</v>
      </c>
      <c r="J38" s="37">
        <f t="shared" si="4"/>
        <v>24</v>
      </c>
      <c r="K38" s="37">
        <f t="shared" si="4"/>
        <v>24</v>
      </c>
      <c r="L38" s="37">
        <f t="shared" si="4"/>
        <v>24</v>
      </c>
      <c r="M38" s="37">
        <f t="shared" si="4"/>
        <v>24</v>
      </c>
      <c r="N38" s="37">
        <f t="shared" si="4"/>
        <v>24</v>
      </c>
      <c r="O38" s="37">
        <f t="shared" si="4"/>
        <v>24</v>
      </c>
      <c r="P38" s="37">
        <f t="shared" si="4"/>
        <v>24</v>
      </c>
      <c r="Q38" s="37">
        <f t="shared" si="4"/>
        <v>24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96"/>
  <sheetViews>
    <sheetView zoomScale="85" zoomScaleNormal="85" workbookViewId="0">
      <selection activeCell="G19" sqref="G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6" width="9.140625" style="1" customWidth="1"/>
    <col min="17" max="17" width="16.425781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>
        <f>$A$9</f>
        <v>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4"/>
      <c r="B9" s="35"/>
      <c r="C9" s="35"/>
      <c r="D9" s="35"/>
      <c r="E9" s="35"/>
      <c r="F9" s="35"/>
      <c r="G9" s="36"/>
      <c r="H9" s="35"/>
      <c r="I9" s="35"/>
      <c r="J9" s="35"/>
      <c r="K9" s="35"/>
      <c r="L9" s="35"/>
      <c r="M9" s="35"/>
      <c r="N9" s="35"/>
      <c r="O9" s="35"/>
      <c r="P9" s="35"/>
      <c r="Q9" s="35"/>
      <c r="R9" s="41"/>
      <c r="S9" s="41"/>
      <c r="T9" s="41"/>
      <c r="U9" s="41"/>
    </row>
    <row r="10" spans="1:21" customFormat="1">
      <c r="A10" s="34"/>
      <c r="B10" s="35"/>
      <c r="C10" s="35"/>
      <c r="D10" s="35"/>
      <c r="E10" s="35"/>
      <c r="F10" s="35"/>
      <c r="G10" s="36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41"/>
      <c r="S10" s="41"/>
      <c r="T10" s="41"/>
      <c r="U10" s="41"/>
    </row>
    <row r="11" spans="1:21" customFormat="1">
      <c r="A11" s="34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41"/>
      <c r="S11" s="41"/>
      <c r="T11" s="41"/>
      <c r="U11" s="41"/>
    </row>
    <row r="12" spans="1:21" customFormat="1">
      <c r="A12" s="34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41"/>
      <c r="S12" s="41"/>
      <c r="T12" s="41"/>
      <c r="U12" s="41"/>
    </row>
    <row r="13" spans="1:21" customFormat="1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41"/>
      <c r="S13" s="41"/>
      <c r="T13" s="41"/>
      <c r="U13" s="41"/>
    </row>
    <row r="14" spans="1:21" customForma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1"/>
      <c r="S14" s="41"/>
      <c r="T14" s="41"/>
      <c r="U14" s="41"/>
    </row>
    <row r="15" spans="1:21" customForma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1"/>
      <c r="S15" s="41"/>
      <c r="T15" s="41"/>
      <c r="U15" s="41"/>
    </row>
    <row r="16" spans="1:21" customFormat="1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41"/>
      <c r="S16" s="41"/>
      <c r="T16" s="41"/>
      <c r="U16" s="41"/>
    </row>
    <row r="17" spans="1:21" customFormat="1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41"/>
      <c r="S17" s="41"/>
      <c r="T17" s="41"/>
      <c r="U17" s="41"/>
    </row>
    <row r="18" spans="1:21" customFormat="1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41"/>
      <c r="S18" s="41"/>
      <c r="T18" s="41"/>
      <c r="U18" s="41"/>
    </row>
    <row r="19" spans="1:21" customFormat="1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41"/>
      <c r="S19" s="41"/>
      <c r="T19" s="41"/>
      <c r="U19" s="41"/>
    </row>
    <row r="20" spans="1:21" customFormat="1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41"/>
      <c r="S20" s="41"/>
      <c r="T20" s="41"/>
      <c r="U20" s="41"/>
    </row>
    <row r="21" spans="1:21" customFormat="1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41"/>
      <c r="S21" s="41"/>
      <c r="T21" s="41"/>
      <c r="U21" s="41"/>
    </row>
    <row r="22" spans="1:21" customForma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1"/>
      <c r="S22" s="41"/>
      <c r="T22" s="41"/>
      <c r="U22" s="41"/>
    </row>
    <row r="23" spans="1:21" customFormat="1">
      <c r="A23" s="34"/>
      <c r="B23" s="35"/>
      <c r="C23" s="35"/>
      <c r="D23" s="35"/>
      <c r="E23" s="35"/>
      <c r="F23" s="35"/>
      <c r="G23" s="36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1"/>
      <c r="S23" s="41"/>
      <c r="T23" s="41"/>
      <c r="U23" s="41"/>
    </row>
    <row r="24" spans="1:21" customFormat="1">
      <c r="A24" s="34"/>
      <c r="B24" s="35"/>
      <c r="C24" s="35"/>
      <c r="D24" s="35"/>
      <c r="E24" s="35"/>
      <c r="F24" s="35"/>
      <c r="G24" s="36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41"/>
      <c r="S24" s="41"/>
      <c r="T24" s="41"/>
      <c r="U24" s="41"/>
    </row>
    <row r="25" spans="1:21" customFormat="1">
      <c r="A25" s="34"/>
      <c r="B25" s="35"/>
      <c r="C25" s="35"/>
      <c r="D25" s="35"/>
      <c r="E25" s="35"/>
      <c r="F25" s="35"/>
      <c r="G25" s="36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41"/>
      <c r="S25" s="41"/>
      <c r="T25" s="41"/>
      <c r="U25" s="41"/>
    </row>
    <row r="26" spans="1:21" customFormat="1">
      <c r="A26" s="34"/>
      <c r="B26" s="35"/>
      <c r="C26" s="35"/>
      <c r="D26" s="35"/>
      <c r="E26" s="35"/>
      <c r="F26" s="35"/>
      <c r="G26" s="36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41"/>
      <c r="S26" s="41"/>
      <c r="T26" s="41"/>
      <c r="U26" s="41"/>
    </row>
    <row r="27" spans="1:21" customFormat="1">
      <c r="A27" s="34"/>
      <c r="B27" s="35"/>
      <c r="C27" s="35"/>
      <c r="D27" s="35"/>
      <c r="E27" s="35"/>
      <c r="F27" s="35"/>
      <c r="G27" s="36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41"/>
      <c r="S27" s="41"/>
      <c r="T27" s="41"/>
      <c r="U27" s="41"/>
    </row>
    <row r="28" spans="1:21" customFormat="1">
      <c r="A28" s="34"/>
      <c r="B28" s="35"/>
      <c r="C28" s="35"/>
      <c r="D28" s="35"/>
      <c r="E28" s="35"/>
      <c r="F28" s="35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41"/>
      <c r="S28" s="41"/>
      <c r="T28" s="41"/>
      <c r="U28" s="41"/>
    </row>
    <row r="29" spans="1:21" customFormat="1">
      <c r="A29" s="34"/>
      <c r="B29" s="35"/>
      <c r="C29" s="35"/>
      <c r="D29" s="35"/>
      <c r="E29" s="35"/>
      <c r="F29" s="35"/>
      <c r="G29" s="36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41"/>
      <c r="S29" s="41"/>
      <c r="T29" s="41"/>
      <c r="U29" s="41"/>
    </row>
    <row r="30" spans="1:21" customFormat="1">
      <c r="A30" s="34"/>
      <c r="B30" s="35"/>
      <c r="C30" s="35"/>
      <c r="D30" s="35"/>
      <c r="E30" s="35"/>
      <c r="F30" s="35"/>
      <c r="G30" s="3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41"/>
      <c r="S30" s="41"/>
      <c r="T30" s="41"/>
      <c r="U30" s="41"/>
    </row>
    <row r="31" spans="1:21" customFormat="1">
      <c r="A31" s="34"/>
      <c r="B31" s="35"/>
      <c r="C31" s="35"/>
      <c r="D31" s="35"/>
      <c r="E31" s="35"/>
      <c r="F31" s="35"/>
      <c r="G31" s="3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41"/>
      <c r="S31" s="41"/>
      <c r="T31" s="41"/>
      <c r="U31" s="41"/>
    </row>
    <row r="32" spans="1:21" customFormat="1">
      <c r="A32" s="34"/>
      <c r="B32" s="35"/>
      <c r="C32" s="35"/>
      <c r="D32" s="35"/>
      <c r="E32" s="35"/>
      <c r="F32" s="35"/>
      <c r="G32" s="3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41"/>
      <c r="S32" s="41"/>
      <c r="T32" s="41"/>
      <c r="U32" s="41"/>
    </row>
    <row r="34" spans="1:21">
      <c r="A34" s="3" t="s">
        <v>48</v>
      </c>
      <c r="B34" s="18">
        <f t="shared" ref="B34:Q34" si="0">MIN(B9:B32)</f>
        <v>0</v>
      </c>
      <c r="C34" s="18">
        <f t="shared" si="0"/>
        <v>0</v>
      </c>
      <c r="D34" s="18">
        <f t="shared" si="0"/>
        <v>0</v>
      </c>
      <c r="E34" s="18">
        <f t="shared" si="0"/>
        <v>0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0</v>
      </c>
      <c r="J34" s="18">
        <f t="shared" si="0"/>
        <v>0</v>
      </c>
      <c r="K34" s="18">
        <f t="shared" si="0"/>
        <v>0</v>
      </c>
      <c r="L34" s="18">
        <f t="shared" si="0"/>
        <v>0</v>
      </c>
      <c r="M34" s="18">
        <f t="shared" si="0"/>
        <v>0</v>
      </c>
      <c r="N34" s="18">
        <f t="shared" si="0"/>
        <v>0</v>
      </c>
      <c r="O34" s="18">
        <f t="shared" si="0"/>
        <v>0</v>
      </c>
      <c r="P34" s="18">
        <f t="shared" si="0"/>
        <v>0</v>
      </c>
      <c r="Q34" s="18">
        <f t="shared" si="0"/>
        <v>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0</v>
      </c>
      <c r="C35" s="3">
        <f t="shared" si="1"/>
        <v>0</v>
      </c>
      <c r="D35" s="3">
        <f t="shared" si="1"/>
        <v>0</v>
      </c>
      <c r="E35" s="3">
        <f t="shared" si="1"/>
        <v>0</v>
      </c>
      <c r="F35" s="3">
        <f t="shared" si="1"/>
        <v>0</v>
      </c>
      <c r="G35" s="3">
        <f t="shared" si="1"/>
        <v>0</v>
      </c>
      <c r="H35" s="3">
        <f t="shared" si="1"/>
        <v>0</v>
      </c>
      <c r="I35" s="3">
        <f t="shared" si="1"/>
        <v>0</v>
      </c>
      <c r="J35" s="3">
        <f t="shared" si="1"/>
        <v>0</v>
      </c>
      <c r="K35" s="3">
        <f t="shared" si="1"/>
        <v>0</v>
      </c>
      <c r="L35" s="3">
        <f t="shared" si="1"/>
        <v>0</v>
      </c>
      <c r="M35" s="3">
        <f t="shared" si="1"/>
        <v>0</v>
      </c>
      <c r="N35" s="3">
        <f t="shared" si="1"/>
        <v>0</v>
      </c>
      <c r="O35" s="3">
        <f t="shared" si="1"/>
        <v>0</v>
      </c>
      <c r="P35" s="3">
        <f t="shared" si="1"/>
        <v>0</v>
      </c>
      <c r="Q35" s="3">
        <f t="shared" si="1"/>
        <v>0</v>
      </c>
      <c r="R35" s="3"/>
      <c r="S35" s="3"/>
      <c r="T35" s="3"/>
      <c r="U35" s="3"/>
    </row>
    <row r="36" spans="1:21">
      <c r="A36" s="3" t="s">
        <v>50</v>
      </c>
      <c r="B36" s="18" t="e">
        <f t="shared" ref="B36:Q36" si="2">AVERAGE(B9:B32)</f>
        <v>#DIV/0!</v>
      </c>
      <c r="C36" s="18" t="e">
        <f t="shared" si="2"/>
        <v>#DIV/0!</v>
      </c>
      <c r="D36" s="18" t="e">
        <f t="shared" si="2"/>
        <v>#DIV/0!</v>
      </c>
      <c r="E36" s="18" t="e">
        <f t="shared" si="2"/>
        <v>#DIV/0!</v>
      </c>
      <c r="F36" s="18" t="e">
        <f t="shared" si="2"/>
        <v>#DIV/0!</v>
      </c>
      <c r="G36" s="18" t="e">
        <f t="shared" si="2"/>
        <v>#DIV/0!</v>
      </c>
      <c r="H36" s="18" t="e">
        <f t="shared" si="2"/>
        <v>#DIV/0!</v>
      </c>
      <c r="I36" s="18" t="e">
        <f t="shared" si="2"/>
        <v>#DIV/0!</v>
      </c>
      <c r="J36" s="18" t="e">
        <f t="shared" si="2"/>
        <v>#DIV/0!</v>
      </c>
      <c r="K36" s="18" t="e">
        <f t="shared" si="2"/>
        <v>#DIV/0!</v>
      </c>
      <c r="L36" s="18" t="e">
        <f t="shared" si="2"/>
        <v>#DIV/0!</v>
      </c>
      <c r="M36" s="18" t="e">
        <f t="shared" si="2"/>
        <v>#DIV/0!</v>
      </c>
      <c r="N36" s="18" t="e">
        <f t="shared" si="2"/>
        <v>#DIV/0!</v>
      </c>
      <c r="O36" s="18" t="e">
        <f t="shared" si="2"/>
        <v>#DIV/0!</v>
      </c>
      <c r="P36" s="18" t="e">
        <f t="shared" si="2"/>
        <v>#DIV/0!</v>
      </c>
      <c r="Q36" s="18" t="e">
        <f t="shared" si="2"/>
        <v>#DIV/0!</v>
      </c>
      <c r="R36" s="18"/>
      <c r="S36" s="18"/>
      <c r="T36" s="18"/>
      <c r="U36" s="18"/>
    </row>
    <row r="37" spans="1:21">
      <c r="A37" s="3" t="s">
        <v>51</v>
      </c>
      <c r="B37" s="18" t="e">
        <f>STDEV(B9:B32)</f>
        <v>#DIV/0!</v>
      </c>
      <c r="C37" s="18" t="e">
        <f t="shared" ref="C37:Q37" si="3">STDEV(C9:C32)</f>
        <v>#DIV/0!</v>
      </c>
      <c r="D37" s="18" t="e">
        <f t="shared" si="3"/>
        <v>#DIV/0!</v>
      </c>
      <c r="E37" s="18" t="e">
        <f t="shared" si="3"/>
        <v>#DIV/0!</v>
      </c>
      <c r="F37" s="18" t="e">
        <f t="shared" si="3"/>
        <v>#DIV/0!</v>
      </c>
      <c r="G37" s="18" t="e">
        <f t="shared" si="3"/>
        <v>#DIV/0!</v>
      </c>
      <c r="H37" s="18" t="e">
        <f t="shared" si="3"/>
        <v>#DIV/0!</v>
      </c>
      <c r="I37" s="18" t="e">
        <f t="shared" si="3"/>
        <v>#DIV/0!</v>
      </c>
      <c r="J37" s="18" t="e">
        <f t="shared" si="3"/>
        <v>#DIV/0!</v>
      </c>
      <c r="K37" s="18" t="e">
        <f t="shared" si="3"/>
        <v>#DIV/0!</v>
      </c>
      <c r="L37" s="18" t="e">
        <f t="shared" si="3"/>
        <v>#DIV/0!</v>
      </c>
      <c r="M37" s="18" t="e">
        <f t="shared" si="3"/>
        <v>#DIV/0!</v>
      </c>
      <c r="N37" s="18" t="e">
        <f t="shared" si="3"/>
        <v>#DIV/0!</v>
      </c>
      <c r="O37" s="18" t="e">
        <f t="shared" si="3"/>
        <v>#DIV/0!</v>
      </c>
      <c r="P37" s="18" t="e">
        <f t="shared" si="3"/>
        <v>#DIV/0!</v>
      </c>
      <c r="Q37" s="18" t="e">
        <f t="shared" si="3"/>
        <v>#DIV/0!</v>
      </c>
      <c r="R37" s="18"/>
      <c r="S37" s="18"/>
      <c r="T37" s="18"/>
      <c r="U37" s="18"/>
    </row>
    <row r="38" spans="1:21">
      <c r="A38" s="37" t="s">
        <v>52</v>
      </c>
      <c r="B38" s="37">
        <f t="shared" ref="B38:Q38" si="4">COUNT(B9:B32)</f>
        <v>0</v>
      </c>
      <c r="C38" s="37">
        <f t="shared" si="4"/>
        <v>0</v>
      </c>
      <c r="D38" s="37">
        <f t="shared" si="4"/>
        <v>0</v>
      </c>
      <c r="E38" s="37">
        <f t="shared" si="4"/>
        <v>0</v>
      </c>
      <c r="F38" s="37">
        <f t="shared" si="4"/>
        <v>0</v>
      </c>
      <c r="G38" s="37">
        <f t="shared" si="4"/>
        <v>0</v>
      </c>
      <c r="H38" s="37">
        <f t="shared" si="4"/>
        <v>0</v>
      </c>
      <c r="I38" s="37">
        <f t="shared" si="4"/>
        <v>0</v>
      </c>
      <c r="J38" s="37">
        <f t="shared" si="4"/>
        <v>0</v>
      </c>
      <c r="K38" s="37">
        <f t="shared" si="4"/>
        <v>0</v>
      </c>
      <c r="L38" s="37">
        <f t="shared" si="4"/>
        <v>0</v>
      </c>
      <c r="M38" s="37">
        <f t="shared" si="4"/>
        <v>0</v>
      </c>
      <c r="N38" s="37">
        <f t="shared" si="4"/>
        <v>0</v>
      </c>
      <c r="O38" s="37">
        <f t="shared" si="4"/>
        <v>0</v>
      </c>
      <c r="P38" s="37">
        <f t="shared" si="4"/>
        <v>0</v>
      </c>
      <c r="Q38" s="37">
        <f t="shared" si="4"/>
        <v>0</v>
      </c>
      <c r="R38" s="37"/>
      <c r="S38" s="37"/>
      <c r="T38" s="37"/>
      <c r="U38" s="37"/>
    </row>
    <row r="39" spans="1:21">
      <c r="A39" s="3" t="s">
        <v>53</v>
      </c>
      <c r="B39" s="3" t="str">
        <f>IF(B38&gt;=22,"&gt;90%",IF(B38&lt;=22,"&lt;90%"))</f>
        <v>&lt;90%</v>
      </c>
      <c r="C39" s="3" t="str">
        <f t="shared" ref="C39:Q39" si="5">IF(C38&gt;=22,"&gt;90%",IF(C38&lt;=22,"&lt;90%"))</f>
        <v>&lt;90%</v>
      </c>
      <c r="D39" s="3" t="str">
        <f t="shared" si="5"/>
        <v>&lt;90%</v>
      </c>
      <c r="E39" s="3" t="str">
        <f t="shared" si="5"/>
        <v>&lt;90%</v>
      </c>
      <c r="F39" s="3" t="str">
        <f t="shared" si="5"/>
        <v>&lt;90%</v>
      </c>
      <c r="G39" s="3" t="str">
        <f t="shared" si="5"/>
        <v>&lt;90%</v>
      </c>
      <c r="H39" s="3" t="str">
        <f t="shared" si="5"/>
        <v>&lt;90%</v>
      </c>
      <c r="I39" s="3" t="str">
        <f t="shared" si="5"/>
        <v>&lt;90%</v>
      </c>
      <c r="J39" s="3" t="str">
        <f t="shared" si="5"/>
        <v>&lt;90%</v>
      </c>
      <c r="K39" s="3" t="str">
        <f t="shared" si="5"/>
        <v>&lt;90%</v>
      </c>
      <c r="L39" s="3" t="str">
        <f t="shared" si="5"/>
        <v>&lt;90%</v>
      </c>
      <c r="M39" s="3" t="str">
        <f t="shared" si="5"/>
        <v>&lt;90%</v>
      </c>
      <c r="N39" s="3" t="str">
        <f t="shared" si="5"/>
        <v>&lt;90%</v>
      </c>
      <c r="O39" s="3" t="str">
        <f t="shared" si="5"/>
        <v>&lt;90%</v>
      </c>
      <c r="P39" s="3" t="str">
        <f t="shared" si="5"/>
        <v>&lt;90%</v>
      </c>
      <c r="Q39" s="3" t="str">
        <f t="shared" si="5"/>
        <v>&lt;90%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LESS</v>
      </c>
      <c r="C40" s="3" t="str">
        <f t="shared" ref="C40:Q40" si="6">IF(C38&gt;=22,"OK",IF(C38&lt;=22,"LESS"))</f>
        <v>LESS</v>
      </c>
      <c r="D40" s="3" t="str">
        <f t="shared" si="6"/>
        <v>LESS</v>
      </c>
      <c r="E40" s="3" t="str">
        <f t="shared" si="6"/>
        <v>LESS</v>
      </c>
      <c r="F40" s="3" t="str">
        <f t="shared" si="6"/>
        <v>LESS</v>
      </c>
      <c r="G40" s="3" t="str">
        <f t="shared" si="6"/>
        <v>LESS</v>
      </c>
      <c r="H40" s="3" t="str">
        <f t="shared" si="6"/>
        <v>LESS</v>
      </c>
      <c r="I40" s="3" t="str">
        <f t="shared" si="6"/>
        <v>LESS</v>
      </c>
      <c r="J40" s="3" t="str">
        <f t="shared" si="6"/>
        <v>LESS</v>
      </c>
      <c r="K40" s="3" t="str">
        <f t="shared" si="6"/>
        <v>LESS</v>
      </c>
      <c r="L40" s="3" t="str">
        <f t="shared" si="6"/>
        <v>LESS</v>
      </c>
      <c r="M40" s="3" t="str">
        <f t="shared" si="6"/>
        <v>LESS</v>
      </c>
      <c r="N40" s="3" t="str">
        <f t="shared" si="6"/>
        <v>LESS</v>
      </c>
      <c r="O40" s="3" t="str">
        <f t="shared" si="6"/>
        <v>LESS</v>
      </c>
      <c r="P40" s="3" t="str">
        <f t="shared" si="6"/>
        <v>LESS</v>
      </c>
      <c r="Q40" s="3" t="str">
        <f t="shared" si="6"/>
        <v>LESS</v>
      </c>
      <c r="R40" s="3"/>
      <c r="S40" s="3"/>
      <c r="T40" s="3"/>
      <c r="U40" s="3"/>
    </row>
    <row r="41" spans="1:21">
      <c r="N41" s="40"/>
      <c r="O41" s="40"/>
      <c r="P41" s="40"/>
      <c r="Q41" s="40"/>
      <c r="R41" s="40"/>
      <c r="S41" s="40"/>
      <c r="T41" s="40"/>
      <c r="U41" s="40"/>
    </row>
    <row r="43" spans="1:21">
      <c r="A43" s="3" t="s">
        <v>55</v>
      </c>
      <c r="B43" s="19" t="s">
        <v>56</v>
      </c>
      <c r="C43" s="38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4"/>
  <sheetViews>
    <sheetView tabSelected="1"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P32" sqref="P32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1" customFormat="1">
      <c r="A2" s="3" t="s">
        <v>2</v>
      </c>
      <c r="B2" s="6" t="str">
        <f>$A$9</f>
        <v>01/09/2025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 s="1" customFormat="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 s="1" customFormat="1">
      <c r="A4" s="3" t="s">
        <v>16</v>
      </c>
      <c r="B4" s="3" t="s">
        <v>59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 s="1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s="1" customForma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 s="1" customFormat="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 s="1" customFormat="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14" t="str">
        <f>'01'!$B$2</f>
        <v>01/09/2025 01:00</v>
      </c>
      <c r="B9" s="15">
        <f>'01'!B36</f>
        <v>5.8166666666666664</v>
      </c>
      <c r="C9" s="15">
        <f>'01'!C36</f>
        <v>12.295416666666666</v>
      </c>
      <c r="D9" s="15">
        <f>'01'!D36</f>
        <v>11.065416666666666</v>
      </c>
      <c r="E9" s="15">
        <f>'01'!E36</f>
        <v>5.6483333333333325</v>
      </c>
      <c r="F9" s="15">
        <f>'01'!F36</f>
        <v>0.47458333333333352</v>
      </c>
      <c r="G9" s="15">
        <f>'01'!G36</f>
        <v>20.72666666666667</v>
      </c>
      <c r="H9" s="15">
        <f>'01'!H36</f>
        <v>7.7966666666666677</v>
      </c>
      <c r="I9" s="15">
        <f>'01'!I36</f>
        <v>4.6416666666666666</v>
      </c>
      <c r="J9" s="15">
        <f>'01'!J36</f>
        <v>0.37333333333333329</v>
      </c>
      <c r="K9" s="15">
        <f>'01'!K36</f>
        <v>226.18041666666667</v>
      </c>
      <c r="L9" s="15">
        <f>'01'!L36</f>
        <v>27.253749999999997</v>
      </c>
      <c r="M9" s="15">
        <f>'01'!M36</f>
        <v>89.30374999999998</v>
      </c>
      <c r="N9" s="15">
        <f>'01'!N36</f>
        <v>90.2708333333333</v>
      </c>
      <c r="O9" s="15">
        <f>'01'!O36</f>
        <v>0</v>
      </c>
      <c r="P9" s="15">
        <f>'01'!P36</f>
        <v>0.25666666666666665</v>
      </c>
      <c r="Q9" s="15">
        <f>'01'!Q36</f>
        <v>10</v>
      </c>
      <c r="R9" s="29"/>
      <c r="S9" s="29"/>
      <c r="T9" s="29"/>
      <c r="U9" s="29"/>
    </row>
    <row r="10" spans="1:21" s="2" customFormat="1">
      <c r="A10" s="14" t="str">
        <f>'02'!$B$2</f>
        <v>02/09/2025 01:00</v>
      </c>
      <c r="B10" s="15">
        <f>'02'!B36</f>
        <v>5.2950000000000008</v>
      </c>
      <c r="C10" s="15">
        <f>'02'!C36</f>
        <v>12.850416666666668</v>
      </c>
      <c r="D10" s="15">
        <f>'02'!D36</f>
        <v>10.906666666666668</v>
      </c>
      <c r="E10" s="15">
        <f>'02'!E36</f>
        <v>5.3154166666666649</v>
      </c>
      <c r="F10" s="15">
        <f>'02'!F36</f>
        <v>4.3800000000000008</v>
      </c>
      <c r="G10" s="15">
        <f>'02'!G36</f>
        <v>41.996249999999996</v>
      </c>
      <c r="H10" s="15">
        <f>'02'!H36</f>
        <v>11.575416666666667</v>
      </c>
      <c r="I10" s="15">
        <f>'02'!I36</f>
        <v>4.9724999999999984</v>
      </c>
      <c r="J10" s="15">
        <f>'02'!J36</f>
        <v>0.42791666666666667</v>
      </c>
      <c r="K10" s="15">
        <f>'02'!K36</f>
        <v>213.87791666666666</v>
      </c>
      <c r="L10" s="15">
        <f>'02'!L36</f>
        <v>26.848333333333333</v>
      </c>
      <c r="M10" s="15">
        <f>'02'!M36</f>
        <v>89.219583333333333</v>
      </c>
      <c r="N10" s="15">
        <f>'02'!N36</f>
        <v>88.841666666666683</v>
      </c>
      <c r="O10" s="15">
        <f>'02'!O36</f>
        <v>0.375</v>
      </c>
      <c r="P10" s="15">
        <f>'02'!P36</f>
        <v>0.26124999999999998</v>
      </c>
      <c r="Q10" s="15">
        <f>'02'!Q36</f>
        <v>10</v>
      </c>
      <c r="R10" s="30"/>
      <c r="S10" s="30"/>
      <c r="T10" s="30"/>
      <c r="U10" s="30"/>
    </row>
    <row r="11" spans="1:21" s="2" customFormat="1">
      <c r="A11" s="14" t="str">
        <f>'03'!$B$2</f>
        <v>03/09/2025 01:00</v>
      </c>
      <c r="B11" s="15">
        <f>'03'!B36</f>
        <v>6.84</v>
      </c>
      <c r="C11" s="15">
        <f>'03'!C36</f>
        <v>12.602916666666665</v>
      </c>
      <c r="D11" s="15">
        <f>'03'!D36</f>
        <v>11.977916666666664</v>
      </c>
      <c r="E11" s="15">
        <f>'03'!E36</f>
        <v>5.2883333333333331</v>
      </c>
      <c r="F11" s="15">
        <f>'03'!F36</f>
        <v>2.3166666666666669</v>
      </c>
      <c r="G11" s="15">
        <f>'03'!G36</f>
        <v>28.00041666666667</v>
      </c>
      <c r="H11" s="15">
        <f>'03'!H36</f>
        <v>7.730833333333333</v>
      </c>
      <c r="I11" s="15">
        <f>'03'!I36</f>
        <v>4.5350000000000001</v>
      </c>
      <c r="J11" s="15">
        <f>'03'!J36</f>
        <v>0.26500000000000007</v>
      </c>
      <c r="K11" s="15">
        <f>'03'!K36</f>
        <v>192.39000000000001</v>
      </c>
      <c r="L11" s="15">
        <f>'03'!L36</f>
        <v>26.537500000000005</v>
      </c>
      <c r="M11" s="15">
        <f>'03'!M36</f>
        <v>86.508333333333326</v>
      </c>
      <c r="N11" s="15">
        <f>'03'!N36</f>
        <v>74.95</v>
      </c>
      <c r="O11" s="15">
        <f>'03'!O36</f>
        <v>0.13333333333333333</v>
      </c>
      <c r="P11" s="15">
        <f>'03'!P36</f>
        <v>0.24208333333333334</v>
      </c>
      <c r="Q11" s="15">
        <f>'03'!Q36</f>
        <v>10</v>
      </c>
      <c r="R11" s="30"/>
      <c r="S11" s="30"/>
      <c r="T11" s="30"/>
      <c r="U11" s="30"/>
    </row>
    <row r="12" spans="1:21" s="2" customFormat="1">
      <c r="A12" s="14" t="str">
        <f>'04'!$B$2</f>
        <v>04/09/2025 01:00</v>
      </c>
      <c r="B12" s="15">
        <f>'04'!B36</f>
        <v>5.4133333333333331</v>
      </c>
      <c r="C12" s="15">
        <f>'04'!C36</f>
        <v>11.788750000000002</v>
      </c>
      <c r="D12" s="15">
        <f>'04'!D36</f>
        <v>10.474583333333333</v>
      </c>
      <c r="E12" s="15">
        <f>'04'!E36</f>
        <v>5.7316666666666665</v>
      </c>
      <c r="F12" s="15">
        <f>'04'!F36</f>
        <v>2.2866666666666662</v>
      </c>
      <c r="G12" s="15">
        <f>'04'!G36</f>
        <v>12.742083333333332</v>
      </c>
      <c r="H12" s="15">
        <f>'04'!H36</f>
        <v>7.0729166666666679</v>
      </c>
      <c r="I12" s="15">
        <f>'04'!I36</f>
        <v>4.3449999999999998</v>
      </c>
      <c r="J12" s="15">
        <f>'04'!J36</f>
        <v>0.50083333333333335</v>
      </c>
      <c r="K12" s="15">
        <f>'04'!K36</f>
        <v>220.7704166666667</v>
      </c>
      <c r="L12" s="15">
        <f>'04'!L36</f>
        <v>26.202916666666667</v>
      </c>
      <c r="M12" s="15">
        <f>'04'!M36</f>
        <v>85.099583333333328</v>
      </c>
      <c r="N12" s="15">
        <f>'04'!N36</f>
        <v>77.479166666666657</v>
      </c>
      <c r="O12" s="15">
        <f>'04'!O36</f>
        <v>6.6666666666666666E-2</v>
      </c>
      <c r="P12" s="15">
        <f>'04'!P36</f>
        <v>0.19916666666666669</v>
      </c>
      <c r="Q12" s="15">
        <f>'04'!Q36</f>
        <v>10</v>
      </c>
      <c r="R12" s="30"/>
      <c r="S12" s="30"/>
      <c r="T12" s="30"/>
      <c r="U12" s="30"/>
    </row>
    <row r="13" spans="1:21" s="2" customFormat="1">
      <c r="A13" s="14" t="str">
        <f>'05'!$B$2</f>
        <v>05/09/2025 01:00</v>
      </c>
      <c r="B13" s="15">
        <f>'05'!B36</f>
        <v>4.8750000000000009</v>
      </c>
      <c r="C13" s="15">
        <f>'05'!C36</f>
        <v>11.04</v>
      </c>
      <c r="D13" s="15">
        <f>'05'!D36</f>
        <v>9.6541666666666668</v>
      </c>
      <c r="E13" s="15">
        <f>'05'!E36</f>
        <v>4.4429166666666662</v>
      </c>
      <c r="F13" s="15">
        <f>'05'!F36</f>
        <v>5.1366666666666667</v>
      </c>
      <c r="G13" s="15">
        <f>'05'!G36</f>
        <v>16.806666666666668</v>
      </c>
      <c r="H13" s="15">
        <f>'05'!H36</f>
        <v>5.2179166666666665</v>
      </c>
      <c r="I13" s="15">
        <f>'05'!I36</f>
        <v>3.0383333333333327</v>
      </c>
      <c r="J13" s="15">
        <f>'05'!J36</f>
        <v>0.34000000000000008</v>
      </c>
      <c r="K13" s="15">
        <f>'05'!K36</f>
        <v>213.0829166666667</v>
      </c>
      <c r="L13" s="15">
        <f>'05'!L36</f>
        <v>27.210416666666664</v>
      </c>
      <c r="M13" s="15">
        <f>'05'!M36</f>
        <v>83.119166666666658</v>
      </c>
      <c r="N13" s="15">
        <f>'05'!N36</f>
        <v>126.84583333333332</v>
      </c>
      <c r="O13" s="15">
        <f>'05'!O36</f>
        <v>1.6666666666666666E-2</v>
      </c>
      <c r="P13" s="15">
        <f>'05'!P36</f>
        <v>0.14458333333333334</v>
      </c>
      <c r="Q13" s="15">
        <f>'05'!Q36</f>
        <v>10</v>
      </c>
      <c r="R13" s="30"/>
      <c r="S13" s="30"/>
      <c r="T13" s="30"/>
      <c r="U13" s="30"/>
    </row>
    <row r="14" spans="1:21" s="2" customFormat="1">
      <c r="A14" s="14" t="str">
        <f>'06'!$B$2</f>
        <v>06/09/2025 01:00</v>
      </c>
      <c r="B14" s="16">
        <f>'06'!B36</f>
        <v>5.7237499999999999</v>
      </c>
      <c r="C14" s="16">
        <f>'06'!C36</f>
        <v>12.08375</v>
      </c>
      <c r="D14" s="16">
        <f>'06'!D36</f>
        <v>10.86</v>
      </c>
      <c r="E14" s="16">
        <f>'06'!E36</f>
        <v>5.3862499999999995</v>
      </c>
      <c r="F14" s="16">
        <f>'06'!F36</f>
        <v>3.6649999999999996</v>
      </c>
      <c r="G14" s="16">
        <f>'06'!G36</f>
        <v>34.020416666666662</v>
      </c>
      <c r="H14" s="16">
        <f>'06'!H36</f>
        <v>10.818750000000001</v>
      </c>
      <c r="I14" s="16">
        <f>'06'!I36</f>
        <v>3.7008333333333332</v>
      </c>
      <c r="J14" s="16">
        <f>'06'!J36</f>
        <v>0.31458333333333333</v>
      </c>
      <c r="K14" s="16">
        <f>'06'!K36</f>
        <v>208.27999999999997</v>
      </c>
      <c r="L14" s="16">
        <f>'06'!L36</f>
        <v>28.711250000000003</v>
      </c>
      <c r="M14" s="16">
        <f>'06'!M36</f>
        <v>82.802083333333343</v>
      </c>
      <c r="N14" s="16">
        <f>'06'!N36</f>
        <v>202.50000000000009</v>
      </c>
      <c r="O14" s="16">
        <f>'06'!O36</f>
        <v>0</v>
      </c>
      <c r="P14" s="16">
        <f>'06'!P36</f>
        <v>0.20750000000000002</v>
      </c>
      <c r="Q14" s="16">
        <f>'06'!Q36</f>
        <v>10</v>
      </c>
      <c r="R14" s="30"/>
      <c r="S14" s="30"/>
      <c r="T14" s="30"/>
      <c r="U14" s="30"/>
    </row>
    <row r="15" spans="1:21" s="2" customFormat="1">
      <c r="A15" s="14" t="str">
        <f>'07'!$B$2</f>
        <v>07/09/2025 01:00</v>
      </c>
      <c r="B15" s="16">
        <f>'07'!B36</f>
        <v>5.2937500000000002</v>
      </c>
      <c r="C15" s="16">
        <f>'07'!C36</f>
        <v>12.022916666666667</v>
      </c>
      <c r="D15" s="16">
        <f>'07'!D36</f>
        <v>10.450416666666669</v>
      </c>
      <c r="E15" s="16">
        <f>'07'!E36</f>
        <v>5.6262500000000015</v>
      </c>
      <c r="F15" s="16">
        <f>'07'!F36</f>
        <v>3.0883333333333329</v>
      </c>
      <c r="G15" s="16">
        <f>'07'!G36</f>
        <v>29.350833333333341</v>
      </c>
      <c r="H15" s="16">
        <f>'07'!H36</f>
        <v>11.657916666666667</v>
      </c>
      <c r="I15" s="16">
        <f>'07'!I36</f>
        <v>4.8620833333333335</v>
      </c>
      <c r="J15" s="16">
        <f>'07'!J36</f>
        <v>0.34250000000000008</v>
      </c>
      <c r="K15" s="16">
        <f>'07'!K36</f>
        <v>222.03500000000005</v>
      </c>
      <c r="L15" s="16">
        <f>'07'!L36</f>
        <v>27.623750000000001</v>
      </c>
      <c r="M15" s="16">
        <f>'07'!M36</f>
        <v>88.661666666666676</v>
      </c>
      <c r="N15" s="16">
        <f>'07'!N36</f>
        <v>123.14166666666669</v>
      </c>
      <c r="O15" s="16">
        <f>'07'!O36</f>
        <v>0.10833333333333334</v>
      </c>
      <c r="P15" s="16">
        <f>'07'!P36</f>
        <v>0.2804166666666667</v>
      </c>
      <c r="Q15" s="16">
        <f>'07'!Q36</f>
        <v>10</v>
      </c>
      <c r="R15" s="30"/>
      <c r="S15" s="30"/>
      <c r="T15" s="30"/>
      <c r="U15" s="30"/>
    </row>
    <row r="16" spans="1:21" s="2" customFormat="1">
      <c r="A16" s="14" t="str">
        <f>'08'!$B$2</f>
        <v>08/09/2025 01:00</v>
      </c>
      <c r="B16" s="16">
        <f>'08'!B36</f>
        <v>7.4616666666666687</v>
      </c>
      <c r="C16" s="16">
        <f>'08'!C36</f>
        <v>12.444583333333334</v>
      </c>
      <c r="D16" s="16">
        <f>'08'!D36</f>
        <v>12.427916666666667</v>
      </c>
      <c r="E16" s="16">
        <f>'08'!E36</f>
        <v>5.7616666666666667</v>
      </c>
      <c r="F16" s="16">
        <f>'08'!F36</f>
        <v>2.3379166666666666</v>
      </c>
      <c r="G16" s="16">
        <f>'08'!G36</f>
        <v>45.291666666666657</v>
      </c>
      <c r="H16" s="16">
        <f>'08'!H36</f>
        <v>18.900416666666661</v>
      </c>
      <c r="I16" s="16">
        <f>'08'!I36</f>
        <v>5.7774999999999999</v>
      </c>
      <c r="J16" s="16">
        <f>'08'!J36</f>
        <v>0.36041666666666666</v>
      </c>
      <c r="K16" s="16">
        <f>'08'!K36</f>
        <v>227.14541666666665</v>
      </c>
      <c r="L16" s="16">
        <f>'08'!L36</f>
        <v>27.155416666666671</v>
      </c>
      <c r="M16" s="16">
        <f>'08'!M36</f>
        <v>88.316666666666649</v>
      </c>
      <c r="N16" s="16">
        <f>'08'!N36</f>
        <v>122.36666666666667</v>
      </c>
      <c r="O16" s="16">
        <f>'08'!O36</f>
        <v>0.4416666666666666</v>
      </c>
      <c r="P16" s="16">
        <f>'08'!P36</f>
        <v>0.36000000000000004</v>
      </c>
      <c r="Q16" s="16">
        <f>'08'!Q36</f>
        <v>10</v>
      </c>
      <c r="R16" s="30"/>
      <c r="S16" s="30"/>
      <c r="T16" s="30"/>
      <c r="U16" s="30"/>
    </row>
    <row r="17" spans="1:24" s="2" customFormat="1">
      <c r="A17" s="14" t="str">
        <f>'09'!$B$2</f>
        <v>09/09/2025 01:00</v>
      </c>
      <c r="B17" s="16">
        <f>'09'!B36</f>
        <v>5.996249999999999</v>
      </c>
      <c r="C17" s="16">
        <f>'09'!C36</f>
        <v>12.32</v>
      </c>
      <c r="D17" s="16">
        <f>'09'!D36</f>
        <v>11.149166666666668</v>
      </c>
      <c r="E17" s="16">
        <f>'09'!E36</f>
        <v>4.9483333333333341</v>
      </c>
      <c r="F17" s="16">
        <f>'09'!F36</f>
        <v>9.2258333333333322</v>
      </c>
      <c r="G17" s="16">
        <f>'09'!G36</f>
        <v>66.339166666666657</v>
      </c>
      <c r="H17" s="16">
        <f>'09'!H36</f>
        <v>37.146666666666668</v>
      </c>
      <c r="I17" s="16">
        <f>'09'!I36</f>
        <v>5.5533333333333337</v>
      </c>
      <c r="J17" s="16">
        <f>'09'!J36</f>
        <v>0.23125000000000004</v>
      </c>
      <c r="K17" s="16">
        <f>'09'!K36</f>
        <v>187.33541666666667</v>
      </c>
      <c r="L17" s="16">
        <f>'09'!L36</f>
        <v>28.668749999999999</v>
      </c>
      <c r="M17" s="16">
        <f>'09'!M36</f>
        <v>81.862500000000011</v>
      </c>
      <c r="N17" s="16">
        <f>'09'!N36</f>
        <v>146.51666666666668</v>
      </c>
      <c r="O17" s="16">
        <f>'09'!O36</f>
        <v>0</v>
      </c>
      <c r="P17" s="16">
        <f>'09'!P36</f>
        <v>0.32541666666666674</v>
      </c>
      <c r="Q17" s="16">
        <f>'09'!Q36</f>
        <v>10</v>
      </c>
      <c r="R17" s="30"/>
      <c r="S17" s="30"/>
      <c r="T17" s="30"/>
      <c r="U17" s="30"/>
      <c r="V17" s="31"/>
      <c r="W17" s="31"/>
      <c r="X17" s="31"/>
    </row>
    <row r="18" spans="1:24" s="2" customFormat="1">
      <c r="A18" s="14" t="str">
        <f>'10'!$B$2</f>
        <v>10/09/2025 01:00</v>
      </c>
      <c r="B18" s="16">
        <f>'10'!B36</f>
        <v>7.7791666666666686</v>
      </c>
      <c r="C18" s="16">
        <f>'10'!C36</f>
        <v>13.437500000000002</v>
      </c>
      <c r="D18" s="16">
        <f>'10'!D36</f>
        <v>13.137499999999998</v>
      </c>
      <c r="E18" s="16">
        <f>'10'!E36</f>
        <v>6.192499999999999</v>
      </c>
      <c r="F18" s="16">
        <f>'10'!F36</f>
        <v>3.0720833333333339</v>
      </c>
      <c r="G18" s="16">
        <f>'10'!G36</f>
        <v>65.190416666666678</v>
      </c>
      <c r="H18" s="16">
        <f>'10'!H36</f>
        <v>33.056666666666665</v>
      </c>
      <c r="I18" s="16">
        <f>'10'!I36</f>
        <v>7.328333333333334</v>
      </c>
      <c r="J18" s="16">
        <f>'10'!J36</f>
        <v>0.29875000000000002</v>
      </c>
      <c r="K18" s="16">
        <f>'10'!K36</f>
        <v>213.28583333333333</v>
      </c>
      <c r="L18" s="16">
        <f>'10'!L36</f>
        <v>28.466250000000002</v>
      </c>
      <c r="M18" s="16">
        <f>'10'!M36</f>
        <v>83.347916666666649</v>
      </c>
      <c r="N18" s="16">
        <f>'10'!N36</f>
        <v>117.52500000000002</v>
      </c>
      <c r="O18" s="16">
        <f>'10'!O36</f>
        <v>0</v>
      </c>
      <c r="P18" s="16">
        <f>'10'!P36</f>
        <v>0.3887500000000001</v>
      </c>
      <c r="Q18" s="16">
        <f>'10'!Q36</f>
        <v>10</v>
      </c>
      <c r="R18" s="30"/>
      <c r="S18" s="30"/>
      <c r="T18" s="30"/>
      <c r="U18" s="30"/>
    </row>
    <row r="19" spans="1:24" s="2" customFormat="1">
      <c r="A19" s="14" t="str">
        <f>'11'!$B$2</f>
        <v>11/09/2025 01:00</v>
      </c>
      <c r="B19" s="16">
        <f>'11'!B36</f>
        <v>9.0691666666666677</v>
      </c>
      <c r="C19" s="16">
        <f>'11'!C36</f>
        <v>12.744166666666665</v>
      </c>
      <c r="D19" s="16">
        <f>'11'!D36</f>
        <v>13.77791666666667</v>
      </c>
      <c r="E19" s="16">
        <f>'11'!E36</f>
        <v>4.6654166666666672</v>
      </c>
      <c r="F19" s="16">
        <f>'11'!F36</f>
        <v>4.8333333333333339</v>
      </c>
      <c r="G19" s="16">
        <f>'11'!G36</f>
        <v>13.681249999999997</v>
      </c>
      <c r="H19" s="16">
        <f>'11'!H36</f>
        <v>2.6079166666666667</v>
      </c>
      <c r="I19" s="16">
        <f>'11'!I36</f>
        <v>5.2449999999999992</v>
      </c>
      <c r="J19" s="16">
        <f>'11'!J36</f>
        <v>0.4283333333333334</v>
      </c>
      <c r="K19" s="16">
        <f>'11'!K36</f>
        <v>134.15291666666664</v>
      </c>
      <c r="L19" s="16">
        <f>'11'!L36</f>
        <v>27.635000000000005</v>
      </c>
      <c r="M19" s="16">
        <f>'11'!M36</f>
        <v>85.390833333333333</v>
      </c>
      <c r="N19" s="16">
        <f>'11'!N36</f>
        <v>102.26666666666665</v>
      </c>
      <c r="O19" s="16">
        <f>'11'!O36</f>
        <v>0</v>
      </c>
      <c r="P19" s="16">
        <f>'11'!P36</f>
        <v>0.32041666666666663</v>
      </c>
      <c r="Q19" s="16">
        <f>'11'!Q36</f>
        <v>10.174999999999999</v>
      </c>
      <c r="R19" s="30"/>
      <c r="S19" s="30"/>
      <c r="T19" s="30"/>
      <c r="U19" s="30"/>
    </row>
    <row r="20" spans="1:24" s="2" customFormat="1">
      <c r="A20" s="14" t="str">
        <f>'12'!$B$2</f>
        <v>12/09/2025 01:00</v>
      </c>
      <c r="B20" s="16">
        <f>'12'!B36</f>
        <v>10.952499999999999</v>
      </c>
      <c r="C20" s="16">
        <f>'12'!C36</f>
        <v>9.6858333333333366</v>
      </c>
      <c r="D20" s="16">
        <f>'12'!D36</f>
        <v>13.722916666666665</v>
      </c>
      <c r="E20" s="16">
        <f>'12'!E36</f>
        <v>6.1899999999999986</v>
      </c>
      <c r="F20" s="16">
        <f>'12'!F36</f>
        <v>3.6770833333333335</v>
      </c>
      <c r="G20" s="16">
        <f>'12'!G36</f>
        <v>17.50333333333333</v>
      </c>
      <c r="H20" s="16">
        <f>'12'!H36</f>
        <v>3.8920833333333333</v>
      </c>
      <c r="I20" s="16">
        <f>'12'!I36</f>
        <v>5.129999999999999</v>
      </c>
      <c r="J20" s="16">
        <f>'12'!J36</f>
        <v>0.36916666666666664</v>
      </c>
      <c r="K20" s="16">
        <f>'12'!K36</f>
        <v>111.88833333333336</v>
      </c>
      <c r="L20" s="16">
        <f>'12'!L36</f>
        <v>28.132499999999993</v>
      </c>
      <c r="M20" s="16">
        <f>'12'!M36</f>
        <v>82.501666666666679</v>
      </c>
      <c r="N20" s="16">
        <f>'12'!N36</f>
        <v>136.7583333333333</v>
      </c>
      <c r="O20" s="16">
        <f>'12'!O36</f>
        <v>0</v>
      </c>
      <c r="P20" s="16">
        <f>'12'!P36</f>
        <v>0.25374999999999998</v>
      </c>
      <c r="Q20" s="16">
        <f>'12'!Q36</f>
        <v>11.599999999999996</v>
      </c>
      <c r="R20" s="30"/>
      <c r="S20" s="30"/>
      <c r="T20" s="30"/>
      <c r="U20" s="30"/>
    </row>
    <row r="21" spans="1:24" s="2" customFormat="1">
      <c r="A21" s="14" t="str">
        <f>'13'!$B$2</f>
        <v>13/09/2025 01:00</v>
      </c>
      <c r="B21" s="16">
        <f>'13'!B36</f>
        <v>8.7320833333333301</v>
      </c>
      <c r="C21" s="16">
        <f>'13'!C36</f>
        <v>8.7449999999999992</v>
      </c>
      <c r="D21" s="16">
        <f>'13'!D36</f>
        <v>11.520833333333334</v>
      </c>
      <c r="E21" s="16">
        <f>'13'!E36</f>
        <v>5.4870833333333344</v>
      </c>
      <c r="F21" s="16">
        <f>'13'!F36</f>
        <v>3.1666666666666665</v>
      </c>
      <c r="G21" s="16">
        <f>'13'!G36</f>
        <v>13.744166666666665</v>
      </c>
      <c r="H21" s="16">
        <f>'13'!H36</f>
        <v>3.6787500000000013</v>
      </c>
      <c r="I21" s="16">
        <f>'13'!I36</f>
        <v>4.7712500000000011</v>
      </c>
      <c r="J21" s="16">
        <f>'13'!J36</f>
        <v>0.34916666666666668</v>
      </c>
      <c r="K21" s="16">
        <f>'13'!K36</f>
        <v>117.77124999999999</v>
      </c>
      <c r="L21" s="16">
        <f>'13'!L36</f>
        <v>28.62875</v>
      </c>
      <c r="M21" s="16">
        <f>'13'!M36</f>
        <v>78.705416666666665</v>
      </c>
      <c r="N21" s="16">
        <f>'13'!N36</f>
        <v>168.05416666666667</v>
      </c>
      <c r="O21" s="16">
        <f>'13'!O36</f>
        <v>0</v>
      </c>
      <c r="P21" s="16">
        <f>'13'!P36</f>
        <v>0.23666666666666666</v>
      </c>
      <c r="Q21" s="16">
        <f>'13'!Q36</f>
        <v>10.43791666666667</v>
      </c>
      <c r="R21" s="30"/>
      <c r="S21" s="30"/>
      <c r="T21" s="30"/>
      <c r="U21" s="30"/>
    </row>
    <row r="22" spans="1:24" s="2" customFormat="1">
      <c r="A22" s="14" t="str">
        <f>'14'!$B$2</f>
        <v>14/09/2025 01:00</v>
      </c>
      <c r="B22" s="16">
        <f>'14'!B36</f>
        <v>6.7512499999999989</v>
      </c>
      <c r="C22" s="16">
        <f>'14'!C36</f>
        <v>7.909583333333333</v>
      </c>
      <c r="D22" s="16">
        <f>'14'!D36</f>
        <v>9.4766666666666648</v>
      </c>
      <c r="E22" s="16">
        <f>'14'!E36</f>
        <v>5.6283333333333339</v>
      </c>
      <c r="F22" s="16">
        <f>'14'!F36</f>
        <v>3.242083333333333</v>
      </c>
      <c r="G22" s="16">
        <f>'14'!G36</f>
        <v>6.2441666666666658</v>
      </c>
      <c r="H22" s="16">
        <f>'14'!H36</f>
        <v>1.0208333333333333</v>
      </c>
      <c r="I22" s="16">
        <f>'14'!I36</f>
        <v>4.0808333333333326</v>
      </c>
      <c r="J22" s="16">
        <f>'14'!J36</f>
        <v>0.25749999999999995</v>
      </c>
      <c r="K22" s="16">
        <f>'14'!K36</f>
        <v>167.32041666666669</v>
      </c>
      <c r="L22" s="16">
        <f>'14'!L36</f>
        <v>29.292916666666667</v>
      </c>
      <c r="M22" s="16">
        <f>'14'!M36</f>
        <v>76.70416666666668</v>
      </c>
      <c r="N22" s="16">
        <f>'14'!N36</f>
        <v>195.27083333333337</v>
      </c>
      <c r="O22" s="16">
        <f>'14'!O36</f>
        <v>0</v>
      </c>
      <c r="P22" s="16">
        <f>'14'!P36</f>
        <v>0.17333333333333334</v>
      </c>
      <c r="Q22" s="16">
        <f>'14'!Q36</f>
        <v>9.5958333333333297</v>
      </c>
      <c r="R22" s="32"/>
      <c r="S22" s="32"/>
      <c r="T22" s="32"/>
      <c r="U22" s="32"/>
    </row>
    <row r="23" spans="1:24" s="2" customFormat="1">
      <c r="A23" s="14" t="str">
        <f>'15'!$B$2</f>
        <v>15/09/2025 01:00</v>
      </c>
      <c r="B23" s="17">
        <f>'15'!B36</f>
        <v>9.0441666666666674</v>
      </c>
      <c r="C23" s="17">
        <f>'15'!C36</f>
        <v>8.6220833333333342</v>
      </c>
      <c r="D23" s="17">
        <f>'15'!D36</f>
        <v>11.633750000000001</v>
      </c>
      <c r="E23" s="17">
        <f>'15'!E36</f>
        <v>5.7129166666666684</v>
      </c>
      <c r="F23" s="17">
        <f>'15'!F36</f>
        <v>3.6675000000000004</v>
      </c>
      <c r="G23" s="17">
        <f>'15'!G36</f>
        <v>20.445416666666663</v>
      </c>
      <c r="H23" s="17">
        <f>'15'!H36</f>
        <v>6.430416666666666</v>
      </c>
      <c r="I23" s="17">
        <f>'15'!I36</f>
        <v>4.9795833333333333</v>
      </c>
      <c r="J23" s="17">
        <f>'15'!J36</f>
        <v>0.32124999999999998</v>
      </c>
      <c r="K23" s="17">
        <f>'15'!K36</f>
        <v>172.07166666666669</v>
      </c>
      <c r="L23" s="17">
        <f>'15'!L36</f>
        <v>26.870833333333341</v>
      </c>
      <c r="M23" s="17">
        <f>'15'!M36</f>
        <v>73.01166666666667</v>
      </c>
      <c r="N23" s="17">
        <f>'15'!N36</f>
        <v>31.591666666666654</v>
      </c>
      <c r="O23" s="17">
        <f>'15'!O36</f>
        <v>0</v>
      </c>
      <c r="P23" s="17">
        <f>'15'!P36</f>
        <v>0.29083333333333333</v>
      </c>
      <c r="Q23" s="17">
        <f>'15'!Q36</f>
        <v>15.955833333333333</v>
      </c>
      <c r="R23" s="32"/>
      <c r="S23" s="32"/>
      <c r="T23" s="32"/>
      <c r="U23" s="30"/>
    </row>
    <row r="24" spans="1:24" s="2" customFormat="1">
      <c r="A24" s="14" t="str">
        <f>'16'!$B$2</f>
        <v>16/09/2025 01:00</v>
      </c>
      <c r="B24" s="16">
        <f>'16'!B36</f>
        <v>8.5991666666666635</v>
      </c>
      <c r="C24" s="16">
        <f>'16'!C36</f>
        <v>5.8454166666666678</v>
      </c>
      <c r="D24" s="16">
        <f>'16'!D36</f>
        <v>9.8799999999999972</v>
      </c>
      <c r="E24" s="16">
        <f>'16'!E36</f>
        <v>6.2504166666666672</v>
      </c>
      <c r="F24" s="16">
        <f>'16'!F36</f>
        <v>2.0979166666666669</v>
      </c>
      <c r="G24" s="16">
        <f>'16'!G36</f>
        <v>14.337916666666667</v>
      </c>
      <c r="H24" s="16">
        <f>'16'!H36</f>
        <v>5.7695833333333324</v>
      </c>
      <c r="I24" s="16">
        <f>'16'!I36</f>
        <v>4.7566666666666668</v>
      </c>
      <c r="J24" s="16">
        <f>'16'!J36</f>
        <v>0.23833333333333329</v>
      </c>
      <c r="K24" s="16">
        <f>'16'!K36</f>
        <v>146.88583333333335</v>
      </c>
      <c r="L24" s="16">
        <f>'16'!L36</f>
        <v>23.564583333333331</v>
      </c>
      <c r="M24" s="16">
        <f>'16'!M36</f>
        <v>53.749999999999993</v>
      </c>
      <c r="N24" s="16">
        <f>'16'!N36</f>
        <v>49.029166666666676</v>
      </c>
      <c r="O24" s="16">
        <f>'16'!O36</f>
        <v>0</v>
      </c>
      <c r="P24" s="16">
        <f>'16'!P36</f>
        <v>0.24791666666666676</v>
      </c>
      <c r="Q24" s="16">
        <f>'16'!Q36</f>
        <v>19.204999999999998</v>
      </c>
      <c r="R24" s="32"/>
      <c r="S24" s="32"/>
      <c r="T24" s="32"/>
      <c r="U24" s="30"/>
    </row>
    <row r="25" spans="1:24" s="2" customFormat="1">
      <c r="A25" s="14" t="str">
        <f>'17'!$B$2</f>
        <v>17/09/2025 01:00</v>
      </c>
      <c r="B25" s="16">
        <f>'17'!B36</f>
        <v>5.3920833333333329</v>
      </c>
      <c r="C25" s="16">
        <f>'17'!C36</f>
        <v>5.4637500000000001</v>
      </c>
      <c r="D25" s="16">
        <f>'17'!D36</f>
        <v>8.4562500000000007</v>
      </c>
      <c r="E25" s="16">
        <f>'17'!E36</f>
        <v>4.6358333333333333</v>
      </c>
      <c r="F25" s="16">
        <f>'17'!F36</f>
        <v>6.0141666666666671</v>
      </c>
      <c r="G25" s="16">
        <f>'17'!G36</f>
        <v>13.90608695652174</v>
      </c>
      <c r="H25" s="16">
        <f>'17'!H36</f>
        <v>8.3078260869565206</v>
      </c>
      <c r="I25" s="16">
        <f>'17'!I36</f>
        <v>5.333333333333333</v>
      </c>
      <c r="J25" s="16">
        <f>'17'!J36</f>
        <v>0.37538461538461537</v>
      </c>
      <c r="K25" s="16">
        <f>'17'!K36</f>
        <v>147.88000000000002</v>
      </c>
      <c r="L25" s="16">
        <f>'17'!L36</f>
        <v>20.076923076923077</v>
      </c>
      <c r="M25" s="16">
        <f>'17'!M36</f>
        <v>48.746923076923082</v>
      </c>
      <c r="N25" s="16">
        <f>'17'!N36</f>
        <v>160.46923076923076</v>
      </c>
      <c r="O25" s="16">
        <f>'17'!O36</f>
        <v>0</v>
      </c>
      <c r="P25" s="16">
        <f>'17'!P36</f>
        <v>0.21083333333333332</v>
      </c>
      <c r="Q25" s="16">
        <f>'17'!Q36</f>
        <v>16.287500000000001</v>
      </c>
      <c r="R25" s="32"/>
      <c r="S25" s="32"/>
      <c r="T25" s="32"/>
      <c r="U25" s="30"/>
    </row>
    <row r="26" spans="1:24" s="2" customFormat="1">
      <c r="A26" s="14" t="str">
        <f>'18'!$B$2</f>
        <v>18/09/2025 01:00</v>
      </c>
      <c r="B26" s="16">
        <f>'18'!B36</f>
        <v>3.912500000000001</v>
      </c>
      <c r="C26" s="16">
        <f>'18'!C36</f>
        <v>4.9629166666666675</v>
      </c>
      <c r="D26" s="16">
        <f>'18'!D36</f>
        <v>8.7887500000000003</v>
      </c>
      <c r="E26" s="16">
        <f>'18'!E36</f>
        <v>4.536666666666668</v>
      </c>
      <c r="F26" s="16">
        <f>'18'!F36</f>
        <v>2.8208333333333333</v>
      </c>
      <c r="G26" s="16">
        <f>'18'!G36</f>
        <v>18.323333333333334</v>
      </c>
      <c r="H26" s="16">
        <f>'18'!H36</f>
        <v>9.3816666666666677</v>
      </c>
      <c r="I26" s="16">
        <f>'18'!I36</f>
        <v>4.0020833333333332</v>
      </c>
      <c r="J26" s="27" t="s">
        <v>8</v>
      </c>
      <c r="K26" s="27" t="s">
        <v>8</v>
      </c>
      <c r="L26" s="27" t="s">
        <v>8</v>
      </c>
      <c r="M26" s="27" t="s">
        <v>8</v>
      </c>
      <c r="N26" s="27" t="s">
        <v>8</v>
      </c>
      <c r="O26" s="27" t="s">
        <v>8</v>
      </c>
      <c r="P26" s="16">
        <f>'18'!P36</f>
        <v>0.25124999999999997</v>
      </c>
      <c r="Q26" s="16">
        <f>'18'!Q36</f>
        <v>10.810416666666669</v>
      </c>
      <c r="R26" s="32"/>
      <c r="S26" s="32"/>
      <c r="T26" s="32"/>
      <c r="U26" s="30"/>
    </row>
    <row r="27" spans="1:24" s="2" customFormat="1">
      <c r="A27" s="14" t="str">
        <f>'19'!$B$2</f>
        <v>19/09/2025 01:00</v>
      </c>
      <c r="B27" s="16">
        <f>'19'!B36</f>
        <v>7.4229166666666666</v>
      </c>
      <c r="C27" s="16">
        <f>'19'!C36</f>
        <v>5.88375</v>
      </c>
      <c r="D27" s="16">
        <f>'19'!D36</f>
        <v>13.243333333333332</v>
      </c>
      <c r="E27" s="16">
        <f>'19'!E36</f>
        <v>5.1637499999999985</v>
      </c>
      <c r="F27" s="16">
        <f>'19'!F36</f>
        <v>2.0562499999999999</v>
      </c>
      <c r="G27" s="16">
        <f>'19'!G36</f>
        <v>41.340833333333329</v>
      </c>
      <c r="H27" s="16">
        <f>'19'!H36</f>
        <v>17.311666666666664</v>
      </c>
      <c r="I27" s="16">
        <f>'19'!I36</f>
        <v>6.4716666666666676</v>
      </c>
      <c r="J27" s="27" t="s">
        <v>8</v>
      </c>
      <c r="K27" s="27" t="s">
        <v>8</v>
      </c>
      <c r="L27" s="27" t="s">
        <v>8</v>
      </c>
      <c r="M27" s="27" t="s">
        <v>8</v>
      </c>
      <c r="N27" s="27" t="s">
        <v>8</v>
      </c>
      <c r="O27" s="27" t="s">
        <v>8</v>
      </c>
      <c r="P27" s="16">
        <f>'19'!P36</f>
        <v>0.34541666666666671</v>
      </c>
      <c r="Q27" s="16">
        <f>'19'!Q36</f>
        <v>11.393333333333333</v>
      </c>
      <c r="R27" s="32"/>
      <c r="S27" s="32"/>
      <c r="T27" s="32"/>
      <c r="U27" s="30"/>
    </row>
    <row r="28" spans="1:24" s="2" customFormat="1">
      <c r="A28" s="14" t="str">
        <f>'20'!$B$2</f>
        <v>20/09/2025 01:00</v>
      </c>
      <c r="B28" s="16">
        <f>'20'!B36</f>
        <v>4.8449999999999998</v>
      </c>
      <c r="C28" s="16">
        <f>'20'!C36</f>
        <v>5.6479166666666671</v>
      </c>
      <c r="D28" s="16">
        <f>'20'!D36</f>
        <v>10.433333333333334</v>
      </c>
      <c r="E28" s="16">
        <f>'20'!E36</f>
        <v>5.4849999999999985</v>
      </c>
      <c r="F28" s="16">
        <f>'20'!F36</f>
        <v>2.0354166666666669</v>
      </c>
      <c r="G28" s="16">
        <f>'20'!G36</f>
        <v>47.258749999999999</v>
      </c>
      <c r="H28" s="16">
        <f>'20'!H36</f>
        <v>19.974583333333332</v>
      </c>
      <c r="I28" s="16">
        <f>'20'!I36</f>
        <v>5.5300000000000011</v>
      </c>
      <c r="J28" s="27" t="s">
        <v>8</v>
      </c>
      <c r="K28" s="27" t="s">
        <v>8</v>
      </c>
      <c r="L28" s="27" t="s">
        <v>8</v>
      </c>
      <c r="M28" s="27" t="s">
        <v>8</v>
      </c>
      <c r="N28" s="27" t="s">
        <v>8</v>
      </c>
      <c r="O28" s="27" t="s">
        <v>8</v>
      </c>
      <c r="P28" s="16">
        <f>'20'!P36</f>
        <v>0.30416666666666664</v>
      </c>
      <c r="Q28" s="16">
        <f>'20'!Q36</f>
        <v>12.597499999999998</v>
      </c>
      <c r="R28" s="32"/>
      <c r="S28" s="32"/>
      <c r="T28" s="32"/>
      <c r="U28" s="30"/>
    </row>
    <row r="29" spans="1:24" s="2" customFormat="1">
      <c r="A29" s="14" t="str">
        <f>'21'!$B$2</f>
        <v>21/09/2025 01:00</v>
      </c>
      <c r="B29" s="16">
        <f>'21'!B36</f>
        <v>4.1395833333333334</v>
      </c>
      <c r="C29" s="16">
        <f>'21'!C36</f>
        <v>5.6508333333333347</v>
      </c>
      <c r="D29" s="16">
        <f>'21'!D36</f>
        <v>9.7241666666666671</v>
      </c>
      <c r="E29" s="16">
        <f>'21'!E36</f>
        <v>5.7945833333333328</v>
      </c>
      <c r="F29" s="16">
        <f>'21'!F36</f>
        <v>2.3562499999999997</v>
      </c>
      <c r="G29" s="16">
        <f>'21'!G36</f>
        <v>40.867499999999986</v>
      </c>
      <c r="H29" s="16">
        <f>'21'!H36</f>
        <v>16.358750000000001</v>
      </c>
      <c r="I29" s="16">
        <f>'21'!I36</f>
        <v>6.4654166666666635</v>
      </c>
      <c r="J29" s="28" t="s">
        <v>15</v>
      </c>
      <c r="K29" s="28" t="s">
        <v>15</v>
      </c>
      <c r="L29" s="28" t="s">
        <v>15</v>
      </c>
      <c r="M29" s="28" t="s">
        <v>15</v>
      </c>
      <c r="N29" s="28" t="s">
        <v>15</v>
      </c>
      <c r="O29" s="28" t="s">
        <v>15</v>
      </c>
      <c r="P29" s="16">
        <f>'21'!P36</f>
        <v>0.32291666666666657</v>
      </c>
      <c r="Q29" s="16">
        <f>'21'!Q36</f>
        <v>12.695416666666668</v>
      </c>
      <c r="R29" s="32"/>
      <c r="S29" s="32"/>
      <c r="T29" s="32"/>
      <c r="U29" s="30"/>
    </row>
    <row r="30" spans="1:24" s="2" customFormat="1">
      <c r="A30" s="14" t="str">
        <f>'22'!$B$2</f>
        <v>22/09/2025 01:00</v>
      </c>
      <c r="B30" s="16">
        <f>'22'!B36</f>
        <v>4.5433333333333339</v>
      </c>
      <c r="C30" s="16">
        <f>'22'!C36</f>
        <v>6.006666666666665</v>
      </c>
      <c r="D30" s="16">
        <f>'22'!D36</f>
        <v>10.48625</v>
      </c>
      <c r="E30" s="16">
        <f>'22'!E36</f>
        <v>4.9470833333333335</v>
      </c>
      <c r="F30" s="16">
        <f>'22'!F36</f>
        <v>2.2458333333333331</v>
      </c>
      <c r="G30" s="16">
        <f>'22'!G36</f>
        <v>56.213750000000005</v>
      </c>
      <c r="H30" s="16">
        <f>'22'!H36</f>
        <v>21.584999999999997</v>
      </c>
      <c r="I30" s="16">
        <f>'22'!I36</f>
        <v>6.1404166666666669</v>
      </c>
      <c r="J30" s="28" t="s">
        <v>15</v>
      </c>
      <c r="K30" s="28" t="s">
        <v>15</v>
      </c>
      <c r="L30" s="28" t="s">
        <v>15</v>
      </c>
      <c r="M30" s="28" t="s">
        <v>15</v>
      </c>
      <c r="N30" s="28" t="s">
        <v>15</v>
      </c>
      <c r="O30" s="28" t="s">
        <v>15</v>
      </c>
      <c r="P30" s="16">
        <f>'22'!P36</f>
        <v>0.21874999999999997</v>
      </c>
      <c r="Q30" s="16">
        <f>'22'!Q36</f>
        <v>12.547499999999999</v>
      </c>
      <c r="R30" s="32"/>
      <c r="S30" s="30"/>
      <c r="T30" s="30"/>
      <c r="U30" s="30"/>
    </row>
    <row r="31" spans="1:24" s="2" customFormat="1">
      <c r="A31" s="14" t="str">
        <f>'23'!$B$2</f>
        <v>23/09/2025 01:00</v>
      </c>
      <c r="B31" s="16">
        <f>'23'!B36</f>
        <v>3.8825000000000003</v>
      </c>
      <c r="C31" s="16">
        <f>'23'!C36</f>
        <v>7.0704166666666666</v>
      </c>
      <c r="D31" s="16">
        <f>'23'!D36</f>
        <v>10.797916666666667</v>
      </c>
      <c r="E31" s="16">
        <f>'23'!E36</f>
        <v>5.6383333333333345</v>
      </c>
      <c r="F31" s="16">
        <f>'23'!F36</f>
        <v>6.3041666666666671</v>
      </c>
      <c r="G31" s="16">
        <f>'23'!G36</f>
        <v>54.236521739130424</v>
      </c>
      <c r="H31" s="16">
        <f>'23'!H36</f>
        <v>20.609565217391303</v>
      </c>
      <c r="I31" s="16">
        <f>'23'!I36</f>
        <v>6.6120833333333318</v>
      </c>
      <c r="J31" s="16">
        <f>'23'!J36</f>
        <v>0.4176923076923077</v>
      </c>
      <c r="K31" s="16">
        <f>'23'!K36</f>
        <v>226.08615384615385</v>
      </c>
      <c r="L31" s="24" t="s">
        <v>14</v>
      </c>
      <c r="M31" s="16">
        <f>'23'!M36</f>
        <v>30.933846153846154</v>
      </c>
      <c r="N31" s="16">
        <f>'23'!N36</f>
        <v>116.68461538461541</v>
      </c>
      <c r="O31" s="16">
        <f>'23'!O36</f>
        <v>0</v>
      </c>
      <c r="P31" s="16">
        <f>'23'!P36</f>
        <v>0.18833333333333335</v>
      </c>
      <c r="Q31" s="16">
        <f>'23'!Q36</f>
        <v>10</v>
      </c>
      <c r="R31" s="30"/>
      <c r="S31" s="30"/>
      <c r="T31" s="30"/>
      <c r="U31" s="30"/>
    </row>
    <row r="32" spans="1:24" s="2" customFormat="1">
      <c r="A32" s="14" t="str">
        <f>'24'!$B$2</f>
        <v>24/09/2025 01:00</v>
      </c>
      <c r="B32" s="16">
        <f>'24'!B36</f>
        <v>5.3362499999999997</v>
      </c>
      <c r="C32" s="16">
        <f>'24'!C36</f>
        <v>7.485833333333332</v>
      </c>
      <c r="D32" s="16">
        <f>'24'!D36</f>
        <v>12.657499999999999</v>
      </c>
      <c r="E32" s="16">
        <f>'24'!E36</f>
        <v>5.6049999999999995</v>
      </c>
      <c r="F32" s="16">
        <f>'24'!F36</f>
        <v>2.82375</v>
      </c>
      <c r="G32" s="16">
        <f>'24'!G36</f>
        <v>34.529999999999994</v>
      </c>
      <c r="H32" s="16">
        <f>'24'!H36</f>
        <v>15.962916666666665</v>
      </c>
      <c r="I32" s="16">
        <f>'24'!I36</f>
        <v>9.5358333333333327</v>
      </c>
      <c r="J32" s="16">
        <f>'24'!J36</f>
        <v>0.43624999999999997</v>
      </c>
      <c r="K32" s="16">
        <f>'24'!K36</f>
        <v>276.51458333333329</v>
      </c>
      <c r="L32" s="16">
        <f>'24'!L36</f>
        <v>24.616250000000004</v>
      </c>
      <c r="M32" s="16">
        <f>'24'!M36</f>
        <v>40.438749999999992</v>
      </c>
      <c r="N32" s="16">
        <f>'24'!N36</f>
        <v>8.5875000000000004</v>
      </c>
      <c r="O32" s="16">
        <f>'24'!O36</f>
        <v>1.6666666666666667</v>
      </c>
      <c r="P32" s="16">
        <f>'24'!P36</f>
        <v>0.50833333333333319</v>
      </c>
      <c r="Q32" s="16">
        <f>'24'!Q36</f>
        <v>10.48</v>
      </c>
      <c r="R32" s="30"/>
      <c r="S32" s="30"/>
      <c r="T32" s="30"/>
      <c r="U32" s="30"/>
    </row>
    <row r="33" spans="1:21" s="2" customFormat="1">
      <c r="A33" s="14" t="str">
        <f>'25'!$B$2</f>
        <v>25/09/2025 01:00</v>
      </c>
      <c r="B33" s="16">
        <f>'25'!B36</f>
        <v>8.2999999999999989</v>
      </c>
      <c r="C33" s="16">
        <f>'25'!C36</f>
        <v>8.1041666666666661</v>
      </c>
      <c r="D33" s="16">
        <f>'25'!D36</f>
        <v>16.285833333333333</v>
      </c>
      <c r="E33" s="16">
        <f>'25'!E36</f>
        <v>5.4704166666666678</v>
      </c>
      <c r="F33" s="16">
        <f>'25'!F36</f>
        <v>4.5104166666666661</v>
      </c>
      <c r="G33" s="16">
        <f>'25'!G36</f>
        <v>48.189583333333339</v>
      </c>
      <c r="H33" s="16">
        <f>'25'!H36</f>
        <v>18.387083333333333</v>
      </c>
      <c r="I33" s="16">
        <f>'25'!I36</f>
        <v>6.8649999999999993</v>
      </c>
      <c r="J33" s="16">
        <f>'25'!J36</f>
        <v>0.45083333333333325</v>
      </c>
      <c r="K33" s="16">
        <f>'25'!K36</f>
        <v>81.921250000000001</v>
      </c>
      <c r="L33" s="16">
        <f>'25'!L36</f>
        <v>12.739166666666669</v>
      </c>
      <c r="M33" s="16">
        <f>'25'!M36</f>
        <v>10.923333333333334</v>
      </c>
      <c r="N33" s="16">
        <f>'25'!N36</f>
        <v>131.64583333333334</v>
      </c>
      <c r="O33" s="16">
        <f>'25'!O36</f>
        <v>3.3333333333333333E-2</v>
      </c>
      <c r="P33" s="16">
        <f>'25'!P36</f>
        <v>0.40291666666666665</v>
      </c>
      <c r="Q33" s="16">
        <f>'25'!Q36</f>
        <v>11.965833333333334</v>
      </c>
      <c r="R33" s="30"/>
      <c r="S33" s="30"/>
      <c r="T33" s="30"/>
      <c r="U33" s="30"/>
    </row>
    <row r="34" spans="1:21" s="2" customFormat="1">
      <c r="A34" s="14" t="str">
        <f>'26'!$B$2</f>
        <v>26/09/2025 01:00</v>
      </c>
      <c r="B34" s="16">
        <f>'26'!B36</f>
        <v>7.9749999999999988</v>
      </c>
      <c r="C34" s="16">
        <f>'26'!C36</f>
        <v>8.7850000000000001</v>
      </c>
      <c r="D34" s="16">
        <f>'26'!D36</f>
        <v>16.563333333333336</v>
      </c>
      <c r="E34" s="16">
        <f>'26'!E36</f>
        <v>6.2008333333333319</v>
      </c>
      <c r="F34" s="16">
        <f>'26'!F36</f>
        <v>7.924999999999998</v>
      </c>
      <c r="G34" s="16">
        <f>'26'!G36</f>
        <v>55.456666666666649</v>
      </c>
      <c r="H34" s="16">
        <f>'26'!H36</f>
        <v>20.966250000000002</v>
      </c>
      <c r="I34" s="16">
        <f>'26'!I36</f>
        <v>5.9637500000000001</v>
      </c>
      <c r="J34" s="16">
        <f>'26'!J36</f>
        <v>0.41750000000000004</v>
      </c>
      <c r="K34" s="16">
        <f>'26'!K36</f>
        <v>108.3325</v>
      </c>
      <c r="L34" s="16">
        <f>'26'!L36</f>
        <v>14.64583333333333</v>
      </c>
      <c r="M34" s="16">
        <f>'26'!M36</f>
        <v>16.164166666666667</v>
      </c>
      <c r="N34" s="16">
        <f>'26'!N36</f>
        <v>134.14166666666668</v>
      </c>
      <c r="O34" s="16">
        <f>'26'!O36</f>
        <v>0.22500000000000001</v>
      </c>
      <c r="P34" s="16">
        <f>'26'!P36</f>
        <v>0.32125000000000009</v>
      </c>
      <c r="Q34" s="16">
        <f>'26'!Q36</f>
        <v>15.272083333333329</v>
      </c>
      <c r="R34" s="30"/>
      <c r="S34" s="30"/>
      <c r="T34" s="30"/>
      <c r="U34" s="30"/>
    </row>
    <row r="35" spans="1:21" s="2" customFormat="1">
      <c r="A35" s="14" t="str">
        <f>'27'!$B$2</f>
        <v>27/09/2025 01:00</v>
      </c>
      <c r="B35" s="16">
        <f>'27'!B36</f>
        <v>4.6149999999999993</v>
      </c>
      <c r="C35" s="16">
        <f>'27'!C36</f>
        <v>6.235833333333332</v>
      </c>
      <c r="D35" s="16">
        <f>'27'!D36</f>
        <v>10.757083333333334</v>
      </c>
      <c r="E35" s="16">
        <f>'27'!E36</f>
        <v>4.6937500000000005</v>
      </c>
      <c r="F35" s="16">
        <f>'27'!F36</f>
        <v>3.1100000000000008</v>
      </c>
      <c r="G35" s="16">
        <f>'27'!G36</f>
        <v>23.369166666666672</v>
      </c>
      <c r="H35" s="16">
        <f>'27'!H36</f>
        <v>7.7537499999999993</v>
      </c>
      <c r="I35" s="16">
        <f>'27'!I36</f>
        <v>4.9191666666666682</v>
      </c>
      <c r="J35" s="16">
        <f>'27'!J36</f>
        <v>0.54916666666666669</v>
      </c>
      <c r="K35" s="16">
        <f>'27'!K36</f>
        <v>84.903333333333322</v>
      </c>
      <c r="L35" s="16">
        <f>'27'!L36</f>
        <v>12.706666666666665</v>
      </c>
      <c r="M35" s="16">
        <f>'27'!M36</f>
        <v>11.512083333333335</v>
      </c>
      <c r="N35" s="16">
        <f>'27'!N36</f>
        <v>118.03333333333332</v>
      </c>
      <c r="O35" s="16">
        <f>'27'!O36</f>
        <v>0.13333333333333333</v>
      </c>
      <c r="P35" s="16">
        <f>'27'!P36</f>
        <v>0.30124999999999996</v>
      </c>
      <c r="Q35" s="16">
        <f>'27'!Q36</f>
        <v>12.003750000000002</v>
      </c>
      <c r="R35" s="30"/>
      <c r="S35" s="30"/>
      <c r="T35" s="30"/>
      <c r="U35" s="30"/>
    </row>
    <row r="36" spans="1:21" s="2" customFormat="1">
      <c r="A36" s="14" t="str">
        <f>'28'!$B$2</f>
        <v>28/09/2025 01:00</v>
      </c>
      <c r="B36" s="16">
        <f>'28'!B36</f>
        <v>4.4095833333333339</v>
      </c>
      <c r="C36" s="16">
        <f>'28'!C36</f>
        <v>5.6920833333333336</v>
      </c>
      <c r="D36" s="16">
        <f>'28'!D36</f>
        <v>10.01125</v>
      </c>
      <c r="E36" s="16">
        <f>'28'!E36</f>
        <v>5.498333333333334</v>
      </c>
      <c r="F36" s="16">
        <f>'28'!F36</f>
        <v>5.427083333333333</v>
      </c>
      <c r="G36" s="16">
        <f>'28'!G36</f>
        <v>21.370416666666667</v>
      </c>
      <c r="H36" s="16">
        <f>'28'!H36</f>
        <v>6.92875</v>
      </c>
      <c r="I36" s="16">
        <f>'28'!I36</f>
        <v>6.7449999999999983</v>
      </c>
      <c r="J36" s="16">
        <f>'28'!J36</f>
        <v>0.24041666666666664</v>
      </c>
      <c r="K36" s="16">
        <f>'28'!K36</f>
        <v>137.00791666666666</v>
      </c>
      <c r="L36" s="16">
        <f>'28'!L36</f>
        <v>15.447083333333337</v>
      </c>
      <c r="M36" s="16">
        <f>'28'!M36</f>
        <v>18.561250000000001</v>
      </c>
      <c r="N36" s="16">
        <f>'28'!N36</f>
        <v>119.35833333333335</v>
      </c>
      <c r="O36" s="16">
        <f>'28'!O36</f>
        <v>1.6666666666666666E-2</v>
      </c>
      <c r="P36" s="16">
        <f>'28'!P36</f>
        <v>0.19833333333333333</v>
      </c>
      <c r="Q36" s="16">
        <f>'28'!Q36</f>
        <v>10.128749999999998</v>
      </c>
      <c r="R36" s="30"/>
      <c r="S36" s="30"/>
      <c r="T36" s="30"/>
      <c r="U36" s="30"/>
    </row>
    <row r="37" spans="1:21" s="2" customFormat="1">
      <c r="A37" s="14" t="str">
        <f>'29'!$B$2</f>
        <v>29/09/2025 01:00</v>
      </c>
      <c r="B37" s="16">
        <f>'29'!B36</f>
        <v>5.024166666666666</v>
      </c>
      <c r="C37" s="16">
        <f>'29'!C36</f>
        <v>6.6712499999999997</v>
      </c>
      <c r="D37" s="16">
        <f>'29'!D36</f>
        <v>11.593749999999998</v>
      </c>
      <c r="E37" s="16">
        <f>'29'!E36</f>
        <v>6.3720833333333333</v>
      </c>
      <c r="F37" s="16">
        <f>'29'!F36</f>
        <v>4.01</v>
      </c>
      <c r="G37" s="16">
        <f>'29'!G36</f>
        <v>45.039583333333333</v>
      </c>
      <c r="H37" s="16">
        <f>'29'!H36</f>
        <v>17.717916666666664</v>
      </c>
      <c r="I37" s="16">
        <f>'29'!I36</f>
        <v>6.6720833333333331</v>
      </c>
      <c r="J37" s="16">
        <f>'29'!J36</f>
        <v>0.26208333333333328</v>
      </c>
      <c r="K37" s="16">
        <f>'29'!K36</f>
        <v>216.64250000000001</v>
      </c>
      <c r="L37" s="16">
        <f>'29'!L36</f>
        <v>19.904166666666665</v>
      </c>
      <c r="M37" s="16">
        <f>'29'!M36</f>
        <v>30.402916666666659</v>
      </c>
      <c r="N37" s="16">
        <f>'29'!N36</f>
        <v>80.19583333333334</v>
      </c>
      <c r="O37" s="16">
        <f>'29'!O36</f>
        <v>3.3333333333333333E-2</v>
      </c>
      <c r="P37" s="16">
        <f>'29'!P36</f>
        <v>0.35749999999999998</v>
      </c>
      <c r="Q37" s="16">
        <f>'29'!Q36</f>
        <v>10.245416666666667</v>
      </c>
      <c r="R37" s="30"/>
      <c r="S37" s="30"/>
      <c r="T37" s="30"/>
      <c r="U37" s="30"/>
    </row>
    <row r="38" spans="1:21" s="2" customFormat="1">
      <c r="A38" s="14" t="str">
        <f>'30'!$B$2</f>
        <v>30/09/2025 01:00</v>
      </c>
      <c r="B38" s="16">
        <f>'30'!B36</f>
        <v>5.3170833333333336</v>
      </c>
      <c r="C38" s="16">
        <f>'30'!C36</f>
        <v>7.1958333333333337</v>
      </c>
      <c r="D38" s="16">
        <f>'30'!D36</f>
        <v>12.365833333333333</v>
      </c>
      <c r="E38" s="16">
        <f>'30'!E36</f>
        <v>6.2820833333333352</v>
      </c>
      <c r="F38" s="16">
        <f>'30'!F36</f>
        <v>5.291666666666667</v>
      </c>
      <c r="G38" s="16">
        <f>'30'!G36</f>
        <v>51.368333333333339</v>
      </c>
      <c r="H38" s="16">
        <f>'30'!H36</f>
        <v>24.354166666666671</v>
      </c>
      <c r="I38" s="16">
        <f>'30'!I36</f>
        <v>7.5179166666666672</v>
      </c>
      <c r="J38" s="16">
        <f>'30'!J36</f>
        <v>0.3033333333333334</v>
      </c>
      <c r="K38" s="16">
        <f>'30'!K36</f>
        <v>249.70583333333332</v>
      </c>
      <c r="L38" s="16">
        <f>'30'!L36</f>
        <v>21.454999999999998</v>
      </c>
      <c r="M38" s="16">
        <f>'30'!M36</f>
        <v>33.392500000000005</v>
      </c>
      <c r="N38" s="16">
        <f>'30'!N36</f>
        <v>141.98750000000004</v>
      </c>
      <c r="O38" s="16">
        <f>'30'!O36</f>
        <v>0.32500000000000001</v>
      </c>
      <c r="P38" s="16">
        <f>'30'!P36</f>
        <v>0.41166666666666668</v>
      </c>
      <c r="Q38" s="16">
        <f>'30'!Q36</f>
        <v>10.378750000000002</v>
      </c>
      <c r="R38" s="30"/>
      <c r="S38" s="30"/>
      <c r="T38" s="30"/>
      <c r="U38" s="30"/>
    </row>
    <row r="39" spans="1:2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1" s="1" customFormat="1">
      <c r="A40" s="3" t="s">
        <v>48</v>
      </c>
      <c r="B40" s="18">
        <f t="shared" ref="B40:Q40" si="0">MIN(B9:B38)</f>
        <v>3.8825000000000003</v>
      </c>
      <c r="C40" s="18">
        <f t="shared" si="0"/>
        <v>4.9629166666666675</v>
      </c>
      <c r="D40" s="18">
        <f t="shared" si="0"/>
        <v>8.4562500000000007</v>
      </c>
      <c r="E40" s="18">
        <f t="shared" si="0"/>
        <v>4.4429166666666662</v>
      </c>
      <c r="F40" s="18">
        <f t="shared" si="0"/>
        <v>0.47458333333333352</v>
      </c>
      <c r="G40" s="18">
        <f t="shared" si="0"/>
        <v>6.2441666666666658</v>
      </c>
      <c r="H40" s="18">
        <f t="shared" si="0"/>
        <v>1.0208333333333333</v>
      </c>
      <c r="I40" s="18">
        <f t="shared" si="0"/>
        <v>3.0383333333333327</v>
      </c>
      <c r="J40" s="18">
        <f t="shared" si="0"/>
        <v>0.23125000000000004</v>
      </c>
      <c r="K40" s="18">
        <f t="shared" si="0"/>
        <v>81.921250000000001</v>
      </c>
      <c r="L40" s="18">
        <f t="shared" si="0"/>
        <v>12.706666666666665</v>
      </c>
      <c r="M40" s="18">
        <f t="shared" si="0"/>
        <v>10.923333333333334</v>
      </c>
      <c r="N40" s="18">
        <f t="shared" si="0"/>
        <v>8.5875000000000004</v>
      </c>
      <c r="O40" s="18">
        <f t="shared" si="0"/>
        <v>0</v>
      </c>
      <c r="P40" s="18">
        <f t="shared" si="0"/>
        <v>0.14458333333333334</v>
      </c>
      <c r="Q40" s="18">
        <f t="shared" si="0"/>
        <v>9.5958333333333297</v>
      </c>
      <c r="R40" s="18"/>
      <c r="S40" s="18"/>
      <c r="T40" s="18"/>
      <c r="U40" s="18"/>
    </row>
    <row r="41" spans="1:21" s="1" customFormat="1">
      <c r="A41" s="3" t="s">
        <v>49</v>
      </c>
      <c r="B41" s="18">
        <f t="shared" ref="B41:Q41" si="1">MAX(B9:B38)</f>
        <v>10.952499999999999</v>
      </c>
      <c r="C41" s="18">
        <f t="shared" si="1"/>
        <v>13.437500000000002</v>
      </c>
      <c r="D41" s="18">
        <f t="shared" si="1"/>
        <v>16.563333333333336</v>
      </c>
      <c r="E41" s="18">
        <f t="shared" si="1"/>
        <v>6.3720833333333333</v>
      </c>
      <c r="F41" s="18">
        <f t="shared" si="1"/>
        <v>9.2258333333333322</v>
      </c>
      <c r="G41" s="18">
        <f t="shared" si="1"/>
        <v>66.339166666666657</v>
      </c>
      <c r="H41" s="18">
        <f t="shared" si="1"/>
        <v>37.146666666666668</v>
      </c>
      <c r="I41" s="18">
        <f t="shared" si="1"/>
        <v>9.5358333333333327</v>
      </c>
      <c r="J41" s="18">
        <f t="shared" si="1"/>
        <v>0.54916666666666669</v>
      </c>
      <c r="K41" s="18">
        <f t="shared" si="1"/>
        <v>276.51458333333329</v>
      </c>
      <c r="L41" s="18">
        <f t="shared" si="1"/>
        <v>29.292916666666667</v>
      </c>
      <c r="M41" s="18">
        <f t="shared" si="1"/>
        <v>89.30374999999998</v>
      </c>
      <c r="N41" s="18">
        <f t="shared" si="1"/>
        <v>202.50000000000009</v>
      </c>
      <c r="O41" s="18">
        <f t="shared" si="1"/>
        <v>1.6666666666666667</v>
      </c>
      <c r="P41" s="18">
        <f t="shared" si="1"/>
        <v>0.50833333333333319</v>
      </c>
      <c r="Q41" s="18">
        <f t="shared" si="1"/>
        <v>19.204999999999998</v>
      </c>
      <c r="R41" s="18"/>
      <c r="S41" s="18"/>
      <c r="T41" s="18"/>
      <c r="U41" s="18"/>
    </row>
    <row r="42" spans="1:21" s="1" customFormat="1">
      <c r="A42" s="3" t="s">
        <v>50</v>
      </c>
      <c r="B42" s="18">
        <f t="shared" ref="B42:Q42" si="2">AVERAGE(B9:B38)</f>
        <v>6.2919305555555551</v>
      </c>
      <c r="C42" s="18">
        <f t="shared" si="2"/>
        <v>8.9098194444444445</v>
      </c>
      <c r="D42" s="18">
        <f t="shared" si="2"/>
        <v>11.476013888888893</v>
      </c>
      <c r="E42" s="18">
        <f t="shared" si="2"/>
        <v>5.4866527777777776</v>
      </c>
      <c r="F42" s="18">
        <f t="shared" si="2"/>
        <v>3.7866388888888891</v>
      </c>
      <c r="G42" s="18">
        <f t="shared" si="2"/>
        <v>33.263045289855064</v>
      </c>
      <c r="H42" s="18">
        <f t="shared" si="2"/>
        <v>13.33245471014493</v>
      </c>
      <c r="I42" s="18">
        <f t="shared" si="2"/>
        <v>5.5497222222222229</v>
      </c>
      <c r="J42" s="18">
        <f t="shared" si="2"/>
        <v>0.35483974358974363</v>
      </c>
      <c r="K42" s="18">
        <f t="shared" si="2"/>
        <v>180.13871282051281</v>
      </c>
      <c r="L42" s="18">
        <f t="shared" si="2"/>
        <v>24.183083600427352</v>
      </c>
      <c r="M42" s="18">
        <f t="shared" si="2"/>
        <v>61.975230769230777</v>
      </c>
      <c r="N42" s="18">
        <f t="shared" si="2"/>
        <v>114.58048717948721</v>
      </c>
      <c r="O42" s="18">
        <f t="shared" si="2"/>
        <v>0.14300000000000002</v>
      </c>
      <c r="P42" s="18">
        <f t="shared" si="2"/>
        <v>0.28438888888888891</v>
      </c>
      <c r="Q42" s="18">
        <f t="shared" si="2"/>
        <v>11.459194444444446</v>
      </c>
      <c r="R42" s="18"/>
      <c r="S42" s="18"/>
      <c r="T42" s="18"/>
      <c r="U42" s="18"/>
    </row>
    <row r="43" spans="1:21" s="1" customFormat="1">
      <c r="A43" s="3" t="s">
        <v>51</v>
      </c>
      <c r="B43" s="18">
        <f t="shared" ref="B43:Q43" si="3">STDEV(B9:B38)</f>
        <v>1.8365532313525907</v>
      </c>
      <c r="C43" s="18">
        <f t="shared" si="3"/>
        <v>2.885626948193329</v>
      </c>
      <c r="D43" s="18">
        <f t="shared" si="3"/>
        <v>1.9130119161978349</v>
      </c>
      <c r="E43" s="18">
        <f t="shared" si="3"/>
        <v>0.54679632831317437</v>
      </c>
      <c r="F43" s="18">
        <f t="shared" si="3"/>
        <v>1.8723106445205413</v>
      </c>
      <c r="G43" s="18">
        <f t="shared" si="3"/>
        <v>17.418298306890243</v>
      </c>
      <c r="H43" s="18">
        <f t="shared" si="3"/>
        <v>8.8176463319722167</v>
      </c>
      <c r="I43" s="18">
        <f t="shared" si="3"/>
        <v>1.3312910649384395</v>
      </c>
      <c r="J43" s="18">
        <f t="shared" si="3"/>
        <v>8.4553114632524892E-2</v>
      </c>
      <c r="K43" s="18">
        <f t="shared" si="3"/>
        <v>53.383288600685709</v>
      </c>
      <c r="L43" s="18">
        <f t="shared" si="3"/>
        <v>5.3920502534010435</v>
      </c>
      <c r="M43" s="18">
        <f t="shared" si="3"/>
        <v>28.84816764968641</v>
      </c>
      <c r="N43" s="18">
        <f t="shared" si="3"/>
        <v>45.83851752714596</v>
      </c>
      <c r="O43" s="18">
        <f t="shared" si="3"/>
        <v>0.34235770225934209</v>
      </c>
      <c r="P43" s="18">
        <f t="shared" si="3"/>
        <v>8.1532241387662213E-2</v>
      </c>
      <c r="Q43" s="18">
        <f t="shared" si="3"/>
        <v>2.3343768805952627</v>
      </c>
      <c r="R43" s="18"/>
      <c r="S43" s="18"/>
      <c r="T43" s="18"/>
      <c r="U43" s="18"/>
    </row>
    <row r="44" spans="1:21" s="1" customFormat="1">
      <c r="A44" s="3" t="s">
        <v>52</v>
      </c>
      <c r="B44" s="3">
        <f t="shared" ref="B44:Q44" si="4">COUNT(B9:B38)</f>
        <v>30</v>
      </c>
      <c r="C44" s="3">
        <f t="shared" si="4"/>
        <v>30</v>
      </c>
      <c r="D44" s="3">
        <f t="shared" si="4"/>
        <v>30</v>
      </c>
      <c r="E44" s="3">
        <f t="shared" si="4"/>
        <v>30</v>
      </c>
      <c r="F44" s="3">
        <f t="shared" si="4"/>
        <v>30</v>
      </c>
      <c r="G44" s="3">
        <f t="shared" si="4"/>
        <v>30</v>
      </c>
      <c r="H44" s="3">
        <f t="shared" si="4"/>
        <v>30</v>
      </c>
      <c r="I44" s="3">
        <f t="shared" si="4"/>
        <v>30</v>
      </c>
      <c r="J44" s="18">
        <f>COUNT(J9:J38)+3</f>
        <v>28</v>
      </c>
      <c r="K44" s="18">
        <f t="shared" ref="K44:O44" si="5">COUNT(K9:K38)+3</f>
        <v>28</v>
      </c>
      <c r="L44" s="18">
        <f t="shared" si="5"/>
        <v>27</v>
      </c>
      <c r="M44" s="18">
        <f t="shared" si="5"/>
        <v>28</v>
      </c>
      <c r="N44" s="18">
        <f t="shared" si="5"/>
        <v>28</v>
      </c>
      <c r="O44" s="18">
        <f t="shared" si="5"/>
        <v>28</v>
      </c>
      <c r="P44" s="3">
        <f t="shared" si="4"/>
        <v>30</v>
      </c>
      <c r="Q44" s="3">
        <f t="shared" si="4"/>
        <v>30</v>
      </c>
      <c r="R44" s="3"/>
      <c r="S44" s="3"/>
      <c r="T44" s="3"/>
      <c r="U44" s="3"/>
    </row>
    <row r="45" spans="1:21" s="1" customFormat="1">
      <c r="A45" s="3" t="s">
        <v>53</v>
      </c>
      <c r="B45" s="3" t="str">
        <f>IF(B44&gt;=28,"&gt;90%",IF(B44&lt;=28,"&lt;90%"))</f>
        <v>&gt;90%</v>
      </c>
      <c r="C45" s="3" t="str">
        <f t="shared" ref="C45:Q45" si="6">IF(C44&gt;=28,"&gt;90%",IF(C44&lt;=28,"&lt;90%"))</f>
        <v>&gt;90%</v>
      </c>
      <c r="D45" s="3" t="str">
        <f t="shared" si="6"/>
        <v>&gt;90%</v>
      </c>
      <c r="E45" s="3" t="str">
        <f t="shared" si="6"/>
        <v>&gt;90%</v>
      </c>
      <c r="F45" s="3" t="str">
        <f t="shared" si="6"/>
        <v>&gt;90%</v>
      </c>
      <c r="G45" s="3" t="str">
        <f t="shared" si="6"/>
        <v>&gt;90%</v>
      </c>
      <c r="H45" s="3" t="str">
        <f t="shared" si="6"/>
        <v>&gt;90%</v>
      </c>
      <c r="I45" s="3" t="str">
        <f t="shared" si="6"/>
        <v>&gt;90%</v>
      </c>
      <c r="J45" s="3" t="str">
        <f t="shared" si="6"/>
        <v>&gt;90%</v>
      </c>
      <c r="K45" s="3" t="str">
        <f t="shared" si="6"/>
        <v>&gt;90%</v>
      </c>
      <c r="L45" s="3" t="str">
        <f t="shared" si="6"/>
        <v>&lt;90%</v>
      </c>
      <c r="M45" s="3" t="str">
        <f t="shared" si="6"/>
        <v>&gt;90%</v>
      </c>
      <c r="N45" s="3" t="str">
        <f t="shared" si="6"/>
        <v>&gt;90%</v>
      </c>
      <c r="O45" s="3" t="str">
        <f t="shared" si="6"/>
        <v>&gt;90%</v>
      </c>
      <c r="P45" s="3" t="str">
        <f t="shared" si="6"/>
        <v>&gt;90%</v>
      </c>
      <c r="Q45" s="3" t="str">
        <f t="shared" si="6"/>
        <v>&gt;90%</v>
      </c>
      <c r="R45" s="3"/>
      <c r="S45" s="3"/>
      <c r="T45" s="3"/>
      <c r="U45" s="3"/>
    </row>
    <row r="46" spans="1:21" s="1" customFormat="1">
      <c r="A46" s="3" t="s">
        <v>54</v>
      </c>
      <c r="B46" s="3" t="str">
        <f>IF(B44&gt;=28,"OK",IF(B44&lt;=28,"LESS"))</f>
        <v>OK</v>
      </c>
      <c r="C46" s="3" t="str">
        <f t="shared" ref="C46:Q46" si="7">IF(C44&gt;=28,"OK",IF(C44&lt;=28,"LESS"))</f>
        <v>OK</v>
      </c>
      <c r="D46" s="3" t="str">
        <f t="shared" si="7"/>
        <v>OK</v>
      </c>
      <c r="E46" s="3" t="str">
        <f t="shared" si="7"/>
        <v>OK</v>
      </c>
      <c r="F46" s="3" t="str">
        <f t="shared" si="7"/>
        <v>OK</v>
      </c>
      <c r="G46" s="3" t="str">
        <f t="shared" si="7"/>
        <v>OK</v>
      </c>
      <c r="H46" s="3" t="str">
        <f t="shared" si="7"/>
        <v>OK</v>
      </c>
      <c r="I46" s="3" t="str">
        <f t="shared" si="7"/>
        <v>OK</v>
      </c>
      <c r="J46" s="3" t="str">
        <f t="shared" si="7"/>
        <v>OK</v>
      </c>
      <c r="K46" s="3" t="str">
        <f t="shared" si="7"/>
        <v>OK</v>
      </c>
      <c r="L46" s="3" t="str">
        <f t="shared" si="7"/>
        <v>LESS</v>
      </c>
      <c r="M46" s="3" t="str">
        <f t="shared" si="7"/>
        <v>OK</v>
      </c>
      <c r="N46" s="3" t="str">
        <f t="shared" si="7"/>
        <v>OK</v>
      </c>
      <c r="O46" s="3" t="str">
        <f t="shared" si="7"/>
        <v>OK</v>
      </c>
      <c r="P46" s="3" t="str">
        <f t="shared" si="7"/>
        <v>OK</v>
      </c>
      <c r="Q46" s="3" t="str">
        <f t="shared" si="7"/>
        <v>OK</v>
      </c>
      <c r="R46" s="3"/>
      <c r="S46" s="3"/>
      <c r="T46" s="3"/>
      <c r="U46" s="3"/>
    </row>
    <row r="47" spans="1:2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9" spans="1:16">
      <c r="A49" s="3" t="s">
        <v>55</v>
      </c>
      <c r="B49" s="19" t="s">
        <v>56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20"/>
      <c r="E50" s="20"/>
      <c r="F50" s="20"/>
      <c r="G50" s="20"/>
      <c r="H50" s="20"/>
      <c r="I50" s="20"/>
      <c r="J50" s="1"/>
      <c r="K50" s="1"/>
      <c r="L50" s="1"/>
      <c r="M50" s="1"/>
      <c r="N50" s="1"/>
      <c r="O50" s="1"/>
      <c r="P50" s="1"/>
    </row>
    <row r="51" spans="1:16" ht="15.75">
      <c r="A51" s="21" t="s">
        <v>57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">
    <mergeCell ref="B51:P5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2018-07-30T12:51:00Z</cp:lastPrinted>
  <dcterms:created xsi:type="dcterms:W3CDTF">2013-08-23T16:44:00Z</dcterms:created>
  <dcterms:modified xsi:type="dcterms:W3CDTF">2025-12-11T18:23:15Z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