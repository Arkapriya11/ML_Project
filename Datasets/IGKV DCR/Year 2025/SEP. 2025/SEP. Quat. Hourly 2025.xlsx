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om\Desktop\IGKB DCR\Year 2025\SEP. 2025\"/>
    </mc:Choice>
  </mc:AlternateContent>
  <xr:revisionPtr revIDLastSave="0" documentId="13_ncr:1_{761FCF56-7A36-42F3-B88F-2E9586C45ADC}" xr6:coauthVersionLast="47" xr6:coauthVersionMax="47" xr10:uidLastSave="{00000000-0000-0000-0000-000000000000}"/>
  <bookViews>
    <workbookView xWindow="-120" yWindow="-120" windowWidth="20730" windowHeight="11040" tabRatio="814" firstSheet="10" activeTab="30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91029"/>
</workbook>
</file>

<file path=xl/calcChain.xml><?xml version="1.0" encoding="utf-8"?>
<calcChain xmlns="http://schemas.openxmlformats.org/spreadsheetml/2006/main">
  <c r="K45" i="39" l="1"/>
  <c r="L45" i="39"/>
  <c r="M45" i="39"/>
  <c r="N45" i="39"/>
  <c r="J45" i="39"/>
  <c r="I110" i="32"/>
  <c r="G110" i="32"/>
  <c r="H110" i="32"/>
  <c r="H112" i="32" s="1"/>
  <c r="J110" i="32"/>
  <c r="K110" i="32"/>
  <c r="K112" i="32" s="1"/>
  <c r="L110" i="32"/>
  <c r="M110" i="32"/>
  <c r="N110" i="32"/>
  <c r="N112" i="32" s="1"/>
  <c r="O110" i="32"/>
  <c r="P110" i="32"/>
  <c r="Q110" i="32"/>
  <c r="Q112" i="32" s="1"/>
  <c r="F110" i="32"/>
  <c r="F112" i="32" s="1"/>
  <c r="C110" i="32"/>
  <c r="D110" i="32"/>
  <c r="D112" i="32" s="1"/>
  <c r="E110" i="32"/>
  <c r="I112" i="32"/>
  <c r="B110" i="32"/>
  <c r="K110" i="28"/>
  <c r="L110" i="28"/>
  <c r="M110" i="28"/>
  <c r="M112" i="28" s="1"/>
  <c r="N110" i="28"/>
  <c r="J110" i="28"/>
  <c r="Q110" i="27"/>
  <c r="K110" i="27"/>
  <c r="L110" i="27"/>
  <c r="M110" i="27"/>
  <c r="N110" i="27"/>
  <c r="N112" i="27" s="1"/>
  <c r="J110" i="27"/>
  <c r="G110" i="27"/>
  <c r="H110" i="27"/>
  <c r="I110" i="27"/>
  <c r="I112" i="27" s="1"/>
  <c r="J111" i="27"/>
  <c r="O110" i="27"/>
  <c r="P110" i="27"/>
  <c r="F110" i="27"/>
  <c r="C110" i="27"/>
  <c r="D110" i="27"/>
  <c r="E110" i="27"/>
  <c r="B110" i="27"/>
  <c r="K110" i="25"/>
  <c r="K112" i="25" s="1"/>
  <c r="L110" i="25"/>
  <c r="M110" i="25"/>
  <c r="M112" i="25" s="1"/>
  <c r="N110" i="25"/>
  <c r="J110" i="25"/>
  <c r="J112" i="25" s="1"/>
  <c r="K110" i="24"/>
  <c r="L110" i="24"/>
  <c r="M110" i="24"/>
  <c r="N110" i="24"/>
  <c r="J110" i="24"/>
  <c r="K110" i="23"/>
  <c r="L110" i="23"/>
  <c r="L112" i="23" s="1"/>
  <c r="M110" i="23"/>
  <c r="N110" i="23"/>
  <c r="J110" i="23"/>
  <c r="K110" i="22"/>
  <c r="L110" i="22"/>
  <c r="M110" i="22"/>
  <c r="N110" i="22"/>
  <c r="J110" i="22"/>
  <c r="J112" i="22" s="1"/>
  <c r="H110" i="22"/>
  <c r="G110" i="22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24" i="5" s="1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G33" i="39"/>
  <c r="O12" i="39"/>
  <c r="E111" i="40"/>
  <c r="Q110" i="40"/>
  <c r="Q112" i="40" s="1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J110" i="40"/>
  <c r="J112" i="40" s="1"/>
  <c r="I110" i="40"/>
  <c r="I112" i="40" s="1"/>
  <c r="H110" i="40"/>
  <c r="H112" i="40" s="1"/>
  <c r="G110" i="40"/>
  <c r="G112" i="40" s="1"/>
  <c r="F110" i="40"/>
  <c r="F112" i="40" s="1"/>
  <c r="E110" i="40"/>
  <c r="E112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0" i="44"/>
  <c r="I112" i="44" s="1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Q112" i="33"/>
  <c r="Q110" i="33"/>
  <c r="Q111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F110" i="33"/>
  <c r="F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P112" i="32"/>
  <c r="O112" i="32"/>
  <c r="M112" i="32"/>
  <c r="L112" i="32"/>
  <c r="J112" i="32"/>
  <c r="G112" i="32"/>
  <c r="E112" i="32"/>
  <c r="C112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Q110" i="31"/>
  <c r="Q112" i="31" s="1"/>
  <c r="P110" i="31"/>
  <c r="P112" i="31" s="1"/>
  <c r="O110" i="31"/>
  <c r="O112" i="31" s="1"/>
  <c r="N110" i="31"/>
  <c r="N112" i="31" s="1"/>
  <c r="M110" i="31"/>
  <c r="M112" i="31" s="1"/>
  <c r="L110" i="31"/>
  <c r="L112" i="31" s="1"/>
  <c r="K110" i="31"/>
  <c r="K112" i="31" s="1"/>
  <c r="J110" i="31"/>
  <c r="J112" i="31" s="1"/>
  <c r="I110" i="31"/>
  <c r="I111" i="31" s="1"/>
  <c r="H110" i="31"/>
  <c r="H112" i="31" s="1"/>
  <c r="G110" i="31"/>
  <c r="G112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2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J110" i="30"/>
  <c r="J112" i="30" s="1"/>
  <c r="I110" i="30"/>
  <c r="I112" i="30" s="1"/>
  <c r="H110" i="30"/>
  <c r="H112" i="30" s="1"/>
  <c r="G110" i="30"/>
  <c r="G112" i="30" s="1"/>
  <c r="F110" i="30"/>
  <c r="F112" i="30" s="1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K112" i="29"/>
  <c r="H112" i="29"/>
  <c r="H111" i="29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1" i="29" s="1"/>
  <c r="J110" i="29"/>
  <c r="J112" i="29" s="1"/>
  <c r="I110" i="29"/>
  <c r="I112" i="29" s="1"/>
  <c r="H110" i="29"/>
  <c r="G110" i="29"/>
  <c r="G112" i="29" s="1"/>
  <c r="F110" i="29"/>
  <c r="F112" i="29" s="1"/>
  <c r="E110" i="29"/>
  <c r="E111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2" i="28" s="1"/>
  <c r="O110" i="28"/>
  <c r="O112" i="28" s="1"/>
  <c r="N112" i="28"/>
  <c r="L112" i="28"/>
  <c r="K112" i="28"/>
  <c r="J112" i="28"/>
  <c r="I110" i="28"/>
  <c r="I112" i="28" s="1"/>
  <c r="H110" i="28"/>
  <c r="H112" i="28" s="1"/>
  <c r="G110" i="28"/>
  <c r="G112" i="28" s="1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M112" i="27"/>
  <c r="L112" i="27"/>
  <c r="K112" i="27"/>
  <c r="J112" i="27"/>
  <c r="H112" i="27"/>
  <c r="G112" i="27"/>
  <c r="F112" i="27"/>
  <c r="E112" i="27"/>
  <c r="D112" i="27"/>
  <c r="C112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M108" i="27"/>
  <c r="L108" i="27"/>
  <c r="K108" i="27"/>
  <c r="J108" i="27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Q110" i="26"/>
  <c r="Q112" i="26" s="1"/>
  <c r="P110" i="26"/>
  <c r="P112" i="26" s="1"/>
  <c r="O110" i="26"/>
  <c r="O112" i="26" s="1"/>
  <c r="N110" i="26"/>
  <c r="N112" i="26" s="1"/>
  <c r="M110" i="26"/>
  <c r="M112" i="26" s="1"/>
  <c r="L110" i="26"/>
  <c r="L112" i="26" s="1"/>
  <c r="K110" i="26"/>
  <c r="K112" i="26" s="1"/>
  <c r="J110" i="26"/>
  <c r="J112" i="26" s="1"/>
  <c r="I110" i="26"/>
  <c r="I112" i="26" s="1"/>
  <c r="H110" i="26"/>
  <c r="H112" i="26" s="1"/>
  <c r="G110" i="26"/>
  <c r="G112" i="26" s="1"/>
  <c r="F110" i="26"/>
  <c r="F112" i="26" s="1"/>
  <c r="E110" i="26"/>
  <c r="E112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M108" i="26"/>
  <c r="L108" i="26"/>
  <c r="K108" i="26"/>
  <c r="J108" i="26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I111" i="25"/>
  <c r="Q110" i="25"/>
  <c r="Q112" i="25" s="1"/>
  <c r="P110" i="25"/>
  <c r="P112" i="25" s="1"/>
  <c r="O110" i="25"/>
  <c r="O112" i="25" s="1"/>
  <c r="N112" i="25"/>
  <c r="L112" i="25"/>
  <c r="I110" i="25"/>
  <c r="I112" i="25" s="1"/>
  <c r="H110" i="25"/>
  <c r="H112" i="25" s="1"/>
  <c r="G110" i="25"/>
  <c r="G112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M108" i="25"/>
  <c r="L108" i="25"/>
  <c r="K108" i="25"/>
  <c r="J108" i="25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1" i="24" s="1"/>
  <c r="O110" i="24"/>
  <c r="O112" i="24" s="1"/>
  <c r="N112" i="24"/>
  <c r="M112" i="24"/>
  <c r="L112" i="24"/>
  <c r="K112" i="24"/>
  <c r="J112" i="24"/>
  <c r="I110" i="24"/>
  <c r="I112" i="24" s="1"/>
  <c r="H110" i="24"/>
  <c r="H112" i="24" s="1"/>
  <c r="G110" i="24"/>
  <c r="G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M108" i="24"/>
  <c r="L108" i="24"/>
  <c r="K108" i="24"/>
  <c r="J108" i="24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1" i="23" s="1"/>
  <c r="P110" i="23"/>
  <c r="P112" i="23" s="1"/>
  <c r="O110" i="23"/>
  <c r="O112" i="23" s="1"/>
  <c r="N112" i="23"/>
  <c r="M112" i="23"/>
  <c r="K112" i="23"/>
  <c r="J112" i="23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M108" i="23"/>
  <c r="L108" i="23"/>
  <c r="K108" i="23"/>
  <c r="J108" i="23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Q110" i="22"/>
  <c r="Q112" i="22" s="1"/>
  <c r="P110" i="22"/>
  <c r="P112" i="22" s="1"/>
  <c r="O110" i="22"/>
  <c r="O112" i="22" s="1"/>
  <c r="N112" i="22"/>
  <c r="M112" i="22"/>
  <c r="L112" i="22"/>
  <c r="K112" i="22"/>
  <c r="I110" i="22"/>
  <c r="I112" i="22" s="1"/>
  <c r="H112" i="22"/>
  <c r="G112" i="22"/>
  <c r="F110" i="22"/>
  <c r="F112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2" i="21"/>
  <c r="M112" i="21"/>
  <c r="Q110" i="21"/>
  <c r="Q111" i="21" s="1"/>
  <c r="P110" i="21"/>
  <c r="P112" i="21" s="1"/>
  <c r="O110" i="21"/>
  <c r="O112" i="21" s="1"/>
  <c r="N110" i="21"/>
  <c r="N112" i="21" s="1"/>
  <c r="M110" i="21"/>
  <c r="M111" i="21" s="1"/>
  <c r="L110" i="21"/>
  <c r="L112" i="21" s="1"/>
  <c r="K110" i="21"/>
  <c r="K112" i="21" s="1"/>
  <c r="J110" i="21"/>
  <c r="J112" i="21" s="1"/>
  <c r="I110" i="21"/>
  <c r="I112" i="21" s="1"/>
  <c r="H110" i="21"/>
  <c r="H112" i="21" s="1"/>
  <c r="G110" i="21"/>
  <c r="G112" i="21" s="1"/>
  <c r="F110" i="21"/>
  <c r="F112" i="21" s="1"/>
  <c r="E110" i="21"/>
  <c r="E112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N112" i="20"/>
  <c r="N111" i="20"/>
  <c r="Q110" i="20"/>
  <c r="Q111" i="20" s="1"/>
  <c r="P110" i="20"/>
  <c r="P112" i="20" s="1"/>
  <c r="O110" i="20"/>
  <c r="O112" i="20" s="1"/>
  <c r="N110" i="20"/>
  <c r="M110" i="20"/>
  <c r="M112" i="20" s="1"/>
  <c r="L110" i="20"/>
  <c r="L112" i="20" s="1"/>
  <c r="K110" i="20"/>
  <c r="K112" i="20" s="1"/>
  <c r="J110" i="20"/>
  <c r="J112" i="20" s="1"/>
  <c r="I110" i="20"/>
  <c r="I112" i="20" s="1"/>
  <c r="H110" i="20"/>
  <c r="H112" i="20" s="1"/>
  <c r="G110" i="20"/>
  <c r="G112" i="20" s="1"/>
  <c r="F110" i="20"/>
  <c r="F112" i="20" s="1"/>
  <c r="E110" i="20"/>
  <c r="E112" i="20" s="1"/>
  <c r="D110" i="20"/>
  <c r="D111" i="20" s="1"/>
  <c r="C110" i="20"/>
  <c r="C112" i="20" s="1"/>
  <c r="B110" i="20"/>
  <c r="B111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Q110" i="19"/>
  <c r="Q112" i="19" s="1"/>
  <c r="P110" i="19"/>
  <c r="P112" i="19" s="1"/>
  <c r="O110" i="19"/>
  <c r="O111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H110" i="19"/>
  <c r="H112" i="19" s="1"/>
  <c r="G110" i="19"/>
  <c r="G112" i="19" s="1"/>
  <c r="F110" i="19"/>
  <c r="F112" i="19" s="1"/>
  <c r="E110" i="19"/>
  <c r="E112" i="19" s="1"/>
  <c r="D110" i="19"/>
  <c r="D112" i="19" s="1"/>
  <c r="C110" i="19"/>
  <c r="C111" i="19" s="1"/>
  <c r="B110" i="19"/>
  <c r="B111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P111" i="18"/>
  <c r="C111" i="18"/>
  <c r="Q110" i="18"/>
  <c r="Q112" i="18" s="1"/>
  <c r="P110" i="18"/>
  <c r="P112" i="18" s="1"/>
  <c r="O110" i="18"/>
  <c r="O112" i="18" s="1"/>
  <c r="N110" i="18"/>
  <c r="N112" i="18" s="1"/>
  <c r="M110" i="18"/>
  <c r="M112" i="18" s="1"/>
  <c r="L110" i="18"/>
  <c r="L112" i="18" s="1"/>
  <c r="K110" i="18"/>
  <c r="K112" i="18" s="1"/>
  <c r="J110" i="18"/>
  <c r="J112" i="18" s="1"/>
  <c r="I110" i="18"/>
  <c r="I112" i="18" s="1"/>
  <c r="H110" i="18"/>
  <c r="H112" i="18" s="1"/>
  <c r="G110" i="18"/>
  <c r="G112" i="18" s="1"/>
  <c r="F110" i="18"/>
  <c r="F112" i="18" s="1"/>
  <c r="E110" i="18"/>
  <c r="E112" i="18" s="1"/>
  <c r="D110" i="18"/>
  <c r="D111" i="18" s="1"/>
  <c r="C110" i="18"/>
  <c r="C112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Q110" i="17"/>
  <c r="Q111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2" i="17" s="1"/>
  <c r="I110" i="17"/>
  <c r="I112" i="17" s="1"/>
  <c r="H110" i="17"/>
  <c r="H112" i="17" s="1"/>
  <c r="G110" i="17"/>
  <c r="G111" i="17" s="1"/>
  <c r="F110" i="17"/>
  <c r="F112" i="17" s="1"/>
  <c r="E110" i="17"/>
  <c r="E111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H111" i="16"/>
  <c r="Q110" i="16"/>
  <c r="Q112" i="16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2" i="16" s="1"/>
  <c r="I110" i="16"/>
  <c r="I112" i="16" s="1"/>
  <c r="H110" i="16"/>
  <c r="H112" i="16" s="1"/>
  <c r="G110" i="16"/>
  <c r="G112" i="16" s="1"/>
  <c r="F110" i="16"/>
  <c r="F112" i="16" s="1"/>
  <c r="E110" i="16"/>
  <c r="E112" i="16" s="1"/>
  <c r="D110" i="16"/>
  <c r="D112" i="16" s="1"/>
  <c r="C110" i="16"/>
  <c r="C112" i="16" s="1"/>
  <c r="B110" i="16"/>
  <c r="B111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F111" i="15"/>
  <c r="Q110" i="15"/>
  <c r="Q112" i="15" s="1"/>
  <c r="P110" i="15"/>
  <c r="P112" i="15" s="1"/>
  <c r="O110" i="15"/>
  <c r="O112" i="15" s="1"/>
  <c r="N110" i="15"/>
  <c r="N112" i="15" s="1"/>
  <c r="M110" i="15"/>
  <c r="M112" i="15" s="1"/>
  <c r="L110" i="15"/>
  <c r="K110" i="15"/>
  <c r="J110" i="15"/>
  <c r="I110" i="15"/>
  <c r="I112" i="15" s="1"/>
  <c r="H110" i="15"/>
  <c r="H112" i="15" s="1"/>
  <c r="G110" i="15"/>
  <c r="G112" i="15" s="1"/>
  <c r="F110" i="15"/>
  <c r="F112" i="15" s="1"/>
  <c r="E110" i="15"/>
  <c r="E112" i="15" s="1"/>
  <c r="D110" i="15"/>
  <c r="D112" i="15" s="1"/>
  <c r="C110" i="15"/>
  <c r="C111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1" i="14" s="1"/>
  <c r="P110" i="14"/>
  <c r="P112" i="14" s="1"/>
  <c r="O110" i="14"/>
  <c r="O112" i="14" s="1"/>
  <c r="N110" i="14"/>
  <c r="N112" i="14" s="1"/>
  <c r="M110" i="14"/>
  <c r="M112" i="14" s="1"/>
  <c r="L110" i="14"/>
  <c r="L112" i="14" s="1"/>
  <c r="K110" i="14"/>
  <c r="K112" i="14" s="1"/>
  <c r="J110" i="14"/>
  <c r="J112" i="14" s="1"/>
  <c r="I110" i="14"/>
  <c r="I112" i="14" s="1"/>
  <c r="H110" i="14"/>
  <c r="H112" i="14" s="1"/>
  <c r="G110" i="14"/>
  <c r="G112" i="14" s="1"/>
  <c r="F110" i="14"/>
  <c r="F112" i="14" s="1"/>
  <c r="E110" i="14"/>
  <c r="E112" i="14" s="1"/>
  <c r="D110" i="14"/>
  <c r="D112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1" i="13" s="1"/>
  <c r="P110" i="13"/>
  <c r="P112" i="13" s="1"/>
  <c r="O110" i="13"/>
  <c r="O112" i="13" s="1"/>
  <c r="N110" i="13"/>
  <c r="N112" i="13" s="1"/>
  <c r="M110" i="13"/>
  <c r="M112" i="13" s="1"/>
  <c r="L110" i="13"/>
  <c r="L112" i="13" s="1"/>
  <c r="K110" i="13"/>
  <c r="K112" i="13" s="1"/>
  <c r="J110" i="13"/>
  <c r="J112" i="13" s="1"/>
  <c r="I110" i="13"/>
  <c r="I112" i="13" s="1"/>
  <c r="H110" i="13"/>
  <c r="H112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2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2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J110" i="11"/>
  <c r="J112" i="11" s="1"/>
  <c r="I110" i="11"/>
  <c r="I112" i="11" s="1"/>
  <c r="H110" i="11"/>
  <c r="H112" i="11" s="1"/>
  <c r="G110" i="11"/>
  <c r="G112" i="11" s="1"/>
  <c r="F110" i="11"/>
  <c r="F112" i="11" s="1"/>
  <c r="E110" i="11"/>
  <c r="E112" i="11" s="1"/>
  <c r="D110" i="11"/>
  <c r="D111" i="11" s="1"/>
  <c r="C110" i="11"/>
  <c r="C112" i="11" s="1"/>
  <c r="B110" i="11"/>
  <c r="B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2" i="10" s="1"/>
  <c r="N110" i="10"/>
  <c r="N112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0" i="10"/>
  <c r="H112" i="10" s="1"/>
  <c r="G110" i="10"/>
  <c r="G112" i="10" s="1"/>
  <c r="F110" i="10"/>
  <c r="F112" i="10" s="1"/>
  <c r="E110" i="10"/>
  <c r="E111" i="10" s="1"/>
  <c r="D110" i="10"/>
  <c r="D111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2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J110" i="9"/>
  <c r="J112" i="9" s="1"/>
  <c r="I110" i="9"/>
  <c r="I112" i="9" s="1"/>
  <c r="H110" i="9"/>
  <c r="H112" i="9" s="1"/>
  <c r="G110" i="9"/>
  <c r="G112" i="9" s="1"/>
  <c r="F110" i="9"/>
  <c r="F111" i="9" s="1"/>
  <c r="E110" i="9"/>
  <c r="E111" i="9" s="1"/>
  <c r="D110" i="9"/>
  <c r="D112" i="9" s="1"/>
  <c r="C110" i="9"/>
  <c r="C112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2" i="8" s="1"/>
  <c r="M110" i="8"/>
  <c r="M112" i="8" s="1"/>
  <c r="L110" i="8"/>
  <c r="L112" i="8" s="1"/>
  <c r="K110" i="8"/>
  <c r="K112" i="8" s="1"/>
  <c r="J110" i="8"/>
  <c r="J112" i="8" s="1"/>
  <c r="I110" i="8"/>
  <c r="I112" i="8" s="1"/>
  <c r="H110" i="8"/>
  <c r="H112" i="8" s="1"/>
  <c r="G110" i="8"/>
  <c r="G111" i="8" s="1"/>
  <c r="F110" i="8"/>
  <c r="F112" i="8" s="1"/>
  <c r="E110" i="8"/>
  <c r="E112" i="8" s="1"/>
  <c r="D110" i="8"/>
  <c r="D112" i="8" s="1"/>
  <c r="C110" i="8"/>
  <c r="C112" i="8" s="1"/>
  <c r="B110" i="8"/>
  <c r="B112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2" i="3" s="1"/>
  <c r="P110" i="3"/>
  <c r="P112" i="3" s="1"/>
  <c r="O110" i="3"/>
  <c r="O112" i="3" s="1"/>
  <c r="N110" i="3"/>
  <c r="N112" i="3" s="1"/>
  <c r="M110" i="3"/>
  <c r="M112" i="3" s="1"/>
  <c r="L110" i="3"/>
  <c r="L112" i="3" s="1"/>
  <c r="K110" i="3"/>
  <c r="K112" i="3" s="1"/>
  <c r="J110" i="3"/>
  <c r="J112" i="3" s="1"/>
  <c r="I110" i="3"/>
  <c r="I112" i="3" s="1"/>
  <c r="H110" i="3"/>
  <c r="H111" i="3" s="1"/>
  <c r="G110" i="3"/>
  <c r="G112" i="3" s="1"/>
  <c r="F110" i="3"/>
  <c r="F112" i="3" s="1"/>
  <c r="E110" i="3"/>
  <c r="E111" i="3" s="1"/>
  <c r="D110" i="3"/>
  <c r="D112" i="3" s="1"/>
  <c r="C110" i="3"/>
  <c r="C112" i="3" s="1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2" i="2" s="1"/>
  <c r="P110" i="2"/>
  <c r="P111" i="2" s="1"/>
  <c r="O110" i="2"/>
  <c r="O112" i="2" s="1"/>
  <c r="N110" i="2"/>
  <c r="N112" i="2" s="1"/>
  <c r="M110" i="2"/>
  <c r="M112" i="2" s="1"/>
  <c r="L110" i="2"/>
  <c r="L112" i="2" s="1"/>
  <c r="K110" i="2"/>
  <c r="K112" i="2" s="1"/>
  <c r="J110" i="2"/>
  <c r="J112" i="2" s="1"/>
  <c r="I110" i="2"/>
  <c r="I112" i="2" s="1"/>
  <c r="H110" i="2"/>
  <c r="H112" i="2" s="1"/>
  <c r="G110" i="2"/>
  <c r="G112" i="2" s="1"/>
  <c r="F110" i="2"/>
  <c r="F112" i="2" s="1"/>
  <c r="E110" i="2"/>
  <c r="E112" i="2" s="1"/>
  <c r="D110" i="2"/>
  <c r="D112" i="2" s="1"/>
  <c r="C110" i="2"/>
  <c r="C112" i="2" s="1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O111" i="40" l="1"/>
  <c r="C111" i="44"/>
  <c r="F111" i="44"/>
  <c r="B112" i="32"/>
  <c r="C111" i="31"/>
  <c r="F111" i="31"/>
  <c r="I112" i="31"/>
  <c r="D111" i="30"/>
  <c r="G111" i="30"/>
  <c r="I111" i="28"/>
  <c r="M111" i="27"/>
  <c r="N111" i="26"/>
  <c r="J111" i="24"/>
  <c r="M111" i="24"/>
  <c r="N111" i="23"/>
  <c r="Q112" i="23"/>
  <c r="L111" i="22"/>
  <c r="O111" i="22"/>
  <c r="B112" i="20"/>
  <c r="Q112" i="20"/>
  <c r="E111" i="19"/>
  <c r="B112" i="19"/>
  <c r="O112" i="19"/>
  <c r="D112" i="18"/>
  <c r="D111" i="17"/>
  <c r="M111" i="17"/>
  <c r="G112" i="17"/>
  <c r="F111" i="16"/>
  <c r="N43" i="39"/>
  <c r="N111" i="16"/>
  <c r="C112" i="15"/>
  <c r="Q42" i="39"/>
  <c r="D43" i="39"/>
  <c r="D44" i="39"/>
  <c r="N44" i="39"/>
  <c r="O45" i="39"/>
  <c r="O44" i="39"/>
  <c r="O43" i="39"/>
  <c r="O42" i="39"/>
  <c r="O41" i="39"/>
  <c r="B45" i="39"/>
  <c r="B44" i="39"/>
  <c r="B43" i="39"/>
  <c r="B42" i="39"/>
  <c r="B41" i="39"/>
  <c r="L44" i="39"/>
  <c r="L43" i="39"/>
  <c r="L42" i="39"/>
  <c r="L41" i="39"/>
  <c r="C111" i="11"/>
  <c r="H112" i="3"/>
  <c r="G112" i="8"/>
  <c r="E112" i="3"/>
  <c r="G45" i="39"/>
  <c r="G44" i="39"/>
  <c r="G43" i="39"/>
  <c r="G42" i="39"/>
  <c r="G41" i="39"/>
  <c r="G111" i="2"/>
  <c r="F111" i="3"/>
  <c r="E111" i="8"/>
  <c r="D111" i="9"/>
  <c r="C111" i="10"/>
  <c r="B111" i="11"/>
  <c r="Q111" i="12"/>
  <c r="P111" i="13"/>
  <c r="O111" i="14"/>
  <c r="E111" i="16"/>
  <c r="E112" i="17"/>
  <c r="D112" i="20"/>
  <c r="B112" i="22"/>
  <c r="P112" i="24"/>
  <c r="G111" i="27"/>
  <c r="Q43" i="39"/>
  <c r="H111" i="2"/>
  <c r="F111" i="8"/>
  <c r="E112" i="9"/>
  <c r="B111" i="12"/>
  <c r="E112" i="29"/>
  <c r="F112" i="9"/>
  <c r="I111" i="3"/>
  <c r="H111" i="8"/>
  <c r="G111" i="9"/>
  <c r="F111" i="10"/>
  <c r="E111" i="11"/>
  <c r="D111" i="12"/>
  <c r="C111" i="13"/>
  <c r="B111" i="14"/>
  <c r="Q112" i="17"/>
  <c r="K111" i="19"/>
  <c r="L111" i="25"/>
  <c r="P111" i="44"/>
  <c r="Q44" i="39"/>
  <c r="D44" i="5"/>
  <c r="D112" i="11"/>
  <c r="K44" i="39"/>
  <c r="K43" i="39"/>
  <c r="K42" i="39"/>
  <c r="K41" i="39"/>
  <c r="K111" i="2"/>
  <c r="J111" i="3"/>
  <c r="I111" i="8"/>
  <c r="H111" i="9"/>
  <c r="G111" i="10"/>
  <c r="F111" i="11"/>
  <c r="E111" i="12"/>
  <c r="D111" i="13"/>
  <c r="C111" i="14"/>
  <c r="B112" i="16"/>
  <c r="C111" i="21"/>
  <c r="K111" i="23"/>
  <c r="O111" i="25"/>
  <c r="E111" i="32"/>
  <c r="D45" i="39"/>
  <c r="I45" i="39"/>
  <c r="I44" i="39"/>
  <c r="I43" i="39"/>
  <c r="I42" i="39"/>
  <c r="I41" i="39"/>
  <c r="C111" i="12"/>
  <c r="J111" i="2"/>
  <c r="L111" i="2"/>
  <c r="K111" i="3"/>
  <c r="J111" i="8"/>
  <c r="I111" i="9"/>
  <c r="H111" i="10"/>
  <c r="G111" i="11"/>
  <c r="F111" i="12"/>
  <c r="E111" i="13"/>
  <c r="D111" i="14"/>
  <c r="H111" i="32"/>
  <c r="G111" i="3"/>
  <c r="I111" i="2"/>
  <c r="M44" i="39"/>
  <c r="M43" i="39"/>
  <c r="M42" i="39"/>
  <c r="M41" i="39"/>
  <c r="M111" i="2"/>
  <c r="L111" i="3"/>
  <c r="K111" i="8"/>
  <c r="J111" i="9"/>
  <c r="I111" i="10"/>
  <c r="H111" i="11"/>
  <c r="G111" i="12"/>
  <c r="F111" i="13"/>
  <c r="E111" i="14"/>
  <c r="G111" i="15"/>
  <c r="C112" i="19"/>
  <c r="P111" i="21"/>
  <c r="Q45" i="39"/>
  <c r="J44" i="39"/>
  <c r="J43" i="39"/>
  <c r="J42" i="39"/>
  <c r="J41" i="39"/>
  <c r="N111" i="2"/>
  <c r="M111" i="3"/>
  <c r="L111" i="8"/>
  <c r="K111" i="9"/>
  <c r="J111" i="10"/>
  <c r="I111" i="11"/>
  <c r="H111" i="12"/>
  <c r="G111" i="13"/>
  <c r="F111" i="14"/>
  <c r="I111" i="15"/>
  <c r="F111" i="18"/>
  <c r="F111" i="28"/>
  <c r="J111" i="30"/>
  <c r="B112" i="13"/>
  <c r="O111" i="2"/>
  <c r="N111" i="3"/>
  <c r="M111" i="8"/>
  <c r="L111" i="9"/>
  <c r="K111" i="10"/>
  <c r="J111" i="11"/>
  <c r="I111" i="12"/>
  <c r="H111" i="13"/>
  <c r="G111" i="14"/>
  <c r="O111" i="15"/>
  <c r="L111" i="18"/>
  <c r="B111" i="40"/>
  <c r="D41" i="39"/>
  <c r="E112" i="10"/>
  <c r="P112" i="2"/>
  <c r="O111" i="3"/>
  <c r="N111" i="8"/>
  <c r="M111" i="9"/>
  <c r="L111" i="10"/>
  <c r="K111" i="11"/>
  <c r="J111" i="12"/>
  <c r="I111" i="13"/>
  <c r="H111" i="14"/>
  <c r="H111" i="26"/>
  <c r="L111" i="28"/>
  <c r="N41" i="39"/>
  <c r="Q112" i="14"/>
  <c r="Q111" i="2"/>
  <c r="P111" i="3"/>
  <c r="O111" i="8"/>
  <c r="N111" i="9"/>
  <c r="M111" i="10"/>
  <c r="L111" i="11"/>
  <c r="K111" i="12"/>
  <c r="J111" i="13"/>
  <c r="I111" i="14"/>
  <c r="K111" i="26"/>
  <c r="D111" i="33"/>
  <c r="Q41" i="39"/>
  <c r="P111" i="14"/>
  <c r="B111" i="2"/>
  <c r="Q111" i="3"/>
  <c r="P111" i="8"/>
  <c r="O111" i="9"/>
  <c r="N111" i="10"/>
  <c r="M111" i="11"/>
  <c r="L111" i="12"/>
  <c r="K111" i="13"/>
  <c r="J111" i="14"/>
  <c r="G111" i="33"/>
  <c r="D42" i="39"/>
  <c r="D112" i="10"/>
  <c r="P45" i="39"/>
  <c r="P44" i="39"/>
  <c r="P43" i="39"/>
  <c r="P42" i="39"/>
  <c r="P41" i="39"/>
  <c r="C45" i="39"/>
  <c r="C44" i="39"/>
  <c r="C43" i="39"/>
  <c r="C42" i="39"/>
  <c r="C41" i="39"/>
  <c r="C111" i="2"/>
  <c r="B111" i="3"/>
  <c r="Q111" i="8"/>
  <c r="P111" i="9"/>
  <c r="O111" i="10"/>
  <c r="N111" i="11"/>
  <c r="M111" i="12"/>
  <c r="L111" i="13"/>
  <c r="K111" i="14"/>
  <c r="J112" i="15"/>
  <c r="J111" i="15"/>
  <c r="N42" i="39"/>
  <c r="H45" i="39"/>
  <c r="H44" i="39"/>
  <c r="H43" i="39"/>
  <c r="H42" i="39"/>
  <c r="H41" i="39"/>
  <c r="Q112" i="13"/>
  <c r="D111" i="2"/>
  <c r="C111" i="3"/>
  <c r="B111" i="8"/>
  <c r="Q111" i="9"/>
  <c r="P111" i="10"/>
  <c r="O111" i="11"/>
  <c r="N111" i="12"/>
  <c r="M111" i="13"/>
  <c r="L111" i="14"/>
  <c r="K112" i="15"/>
  <c r="K111" i="15"/>
  <c r="E45" i="39"/>
  <c r="E44" i="39"/>
  <c r="E43" i="39"/>
  <c r="E42" i="39"/>
  <c r="E41" i="39"/>
  <c r="E111" i="2"/>
  <c r="D111" i="3"/>
  <c r="C111" i="8"/>
  <c r="B111" i="9"/>
  <c r="Q111" i="10"/>
  <c r="P111" i="11"/>
  <c r="O111" i="12"/>
  <c r="N111" i="13"/>
  <c r="M111" i="14"/>
  <c r="L112" i="15"/>
  <c r="L111" i="15"/>
  <c r="F45" i="39"/>
  <c r="F44" i="39"/>
  <c r="F43" i="39"/>
  <c r="F42" i="39"/>
  <c r="F41" i="39"/>
  <c r="F111" i="2"/>
  <c r="D111" i="8"/>
  <c r="C111" i="9"/>
  <c r="B111" i="10"/>
  <c r="Q111" i="11"/>
  <c r="P111" i="12"/>
  <c r="O111" i="13"/>
  <c r="N111" i="14"/>
  <c r="M111" i="15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J111" i="44"/>
  <c r="I111" i="40"/>
  <c r="N111" i="15"/>
  <c r="M111" i="16"/>
  <c r="L111" i="17"/>
  <c r="K111" i="18"/>
  <c r="J111" i="19"/>
  <c r="I111" i="20"/>
  <c r="H111" i="21"/>
  <c r="G111" i="22"/>
  <c r="F111" i="23"/>
  <c r="E111" i="24"/>
  <c r="D111" i="25"/>
  <c r="C111" i="26"/>
  <c r="B111" i="27"/>
  <c r="Q111" i="28"/>
  <c r="P111" i="29"/>
  <c r="O111" i="30"/>
  <c r="N111" i="31"/>
  <c r="M111" i="32"/>
  <c r="L111" i="33"/>
  <c r="K111" i="44"/>
  <c r="J111" i="40"/>
  <c r="J111" i="20"/>
  <c r="I111" i="21"/>
  <c r="H111" i="22"/>
  <c r="G111" i="23"/>
  <c r="F111" i="24"/>
  <c r="E111" i="25"/>
  <c r="D111" i="26"/>
  <c r="C111" i="27"/>
  <c r="B111" i="28"/>
  <c r="Q111" i="29"/>
  <c r="P111" i="30"/>
  <c r="O111" i="31"/>
  <c r="N111" i="32"/>
  <c r="M111" i="33"/>
  <c r="L111" i="44"/>
  <c r="K111" i="40"/>
  <c r="P111" i="15"/>
  <c r="O111" i="16"/>
  <c r="N111" i="17"/>
  <c r="M111" i="18"/>
  <c r="L111" i="19"/>
  <c r="K111" i="20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M111" i="44"/>
  <c r="L111" i="40"/>
  <c r="Q111" i="15"/>
  <c r="P111" i="16"/>
  <c r="O111" i="17"/>
  <c r="N111" i="18"/>
  <c r="M111" i="19"/>
  <c r="L111" i="20"/>
  <c r="K111" i="21"/>
  <c r="J111" i="22"/>
  <c r="I111" i="23"/>
  <c r="H111" i="24"/>
  <c r="G111" i="25"/>
  <c r="F111" i="26"/>
  <c r="E111" i="27"/>
  <c r="D111" i="28"/>
  <c r="C111" i="29"/>
  <c r="B111" i="30"/>
  <c r="Q111" i="31"/>
  <c r="P111" i="32"/>
  <c r="O111" i="33"/>
  <c r="N111" i="44"/>
  <c r="M111" i="40"/>
  <c r="B111" i="15"/>
  <c r="Q111" i="16"/>
  <c r="P111" i="17"/>
  <c r="O111" i="18"/>
  <c r="N111" i="19"/>
  <c r="M111" i="20"/>
  <c r="L111" i="21"/>
  <c r="K111" i="22"/>
  <c r="J111" i="23"/>
  <c r="I111" i="24"/>
  <c r="H111" i="25"/>
  <c r="G111" i="26"/>
  <c r="F111" i="27"/>
  <c r="E111" i="28"/>
  <c r="D111" i="29"/>
  <c r="C111" i="30"/>
  <c r="B111" i="31"/>
  <c r="Q111" i="32"/>
  <c r="P111" i="33"/>
  <c r="O111" i="44"/>
  <c r="N111" i="40"/>
  <c r="D111" i="15"/>
  <c r="C111" i="16"/>
  <c r="B111" i="17"/>
  <c r="Q111" i="18"/>
  <c r="P111" i="19"/>
  <c r="O111" i="20"/>
  <c r="N111" i="21"/>
  <c r="M111" i="22"/>
  <c r="L111" i="23"/>
  <c r="K111" i="24"/>
  <c r="J111" i="25"/>
  <c r="I111" i="26"/>
  <c r="H111" i="27"/>
  <c r="G111" i="28"/>
  <c r="F111" i="29"/>
  <c r="E111" i="30"/>
  <c r="D111" i="31"/>
  <c r="C111" i="32"/>
  <c r="B111" i="33"/>
  <c r="Q111" i="44"/>
  <c r="P111" i="40"/>
  <c r="E111" i="15"/>
  <c r="D111" i="16"/>
  <c r="C111" i="17"/>
  <c r="B111" i="18"/>
  <c r="Q111" i="19"/>
  <c r="P111" i="20"/>
  <c r="O111" i="21"/>
  <c r="N111" i="22"/>
  <c r="M111" i="23"/>
  <c r="L111" i="24"/>
  <c r="K111" i="25"/>
  <c r="J111" i="26"/>
  <c r="I111" i="27"/>
  <c r="H111" i="28"/>
  <c r="G111" i="29"/>
  <c r="F111" i="30"/>
  <c r="E111" i="31"/>
  <c r="D111" i="32"/>
  <c r="C111" i="33"/>
  <c r="B111" i="44"/>
  <c r="Q111" i="40"/>
  <c r="P111" i="22"/>
  <c r="O111" i="23"/>
  <c r="N111" i="24"/>
  <c r="M111" i="25"/>
  <c r="L111" i="26"/>
  <c r="K111" i="27"/>
  <c r="J111" i="28"/>
  <c r="I111" i="29"/>
  <c r="H111" i="30"/>
  <c r="G111" i="31"/>
  <c r="F111" i="32"/>
  <c r="E111" i="33"/>
  <c r="D111" i="44"/>
  <c r="C111" i="40"/>
  <c r="H111" i="15"/>
  <c r="G111" i="16"/>
  <c r="F111" i="17"/>
  <c r="E111" i="18"/>
  <c r="D111" i="19"/>
  <c r="C111" i="20"/>
  <c r="B111" i="21"/>
  <c r="Q111" i="22"/>
  <c r="P111" i="23"/>
  <c r="O111" i="24"/>
  <c r="N111" i="25"/>
  <c r="M111" i="26"/>
  <c r="L111" i="27"/>
  <c r="K111" i="28"/>
  <c r="J111" i="29"/>
  <c r="I111" i="30"/>
  <c r="H111" i="31"/>
  <c r="G111" i="32"/>
  <c r="F111" i="33"/>
  <c r="E111" i="44"/>
  <c r="D111" i="40"/>
  <c r="I111" i="16"/>
  <c r="H111" i="17"/>
  <c r="G111" i="18"/>
  <c r="F111" i="19"/>
  <c r="E111" i="20"/>
  <c r="D111" i="21"/>
  <c r="C111" i="22"/>
  <c r="B111" i="23"/>
  <c r="Q111" i="24"/>
  <c r="P111" i="25"/>
  <c r="O111" i="26"/>
  <c r="N111" i="27"/>
  <c r="M111" i="28"/>
  <c r="L111" i="29"/>
  <c r="K111" i="30"/>
  <c r="J111" i="31"/>
  <c r="I111" i="32"/>
  <c r="H111" i="33"/>
  <c r="G111" i="44"/>
  <c r="F111" i="40"/>
  <c r="J111" i="16"/>
  <c r="I111" i="17"/>
  <c r="H111" i="18"/>
  <c r="G111" i="19"/>
  <c r="F111" i="20"/>
  <c r="E111" i="21"/>
  <c r="D111" i="22"/>
  <c r="C111" i="23"/>
  <c r="B111" i="24"/>
  <c r="Q111" i="25"/>
  <c r="P111" i="26"/>
  <c r="O111" i="27"/>
  <c r="N111" i="28"/>
  <c r="M111" i="29"/>
  <c r="L111" i="30"/>
  <c r="K111" i="31"/>
  <c r="J111" i="32"/>
  <c r="I111" i="33"/>
  <c r="H111" i="44"/>
  <c r="G111" i="40"/>
  <c r="K111" i="16"/>
  <c r="J111" i="17"/>
  <c r="I111" i="18"/>
  <c r="H111" i="19"/>
  <c r="G111" i="20"/>
  <c r="F111" i="21"/>
  <c r="E111" i="22"/>
  <c r="D111" i="23"/>
  <c r="C111" i="24"/>
  <c r="B111" i="25"/>
  <c r="Q111" i="26"/>
  <c r="P111" i="27"/>
  <c r="O111" i="28"/>
  <c r="N111" i="29"/>
  <c r="M111" i="30"/>
  <c r="L111" i="31"/>
  <c r="K111" i="32"/>
  <c r="J111" i="33"/>
  <c r="I111" i="44"/>
  <c r="H111" i="40"/>
  <c r="K47" i="39" l="1"/>
  <c r="K46" i="39"/>
  <c r="M47" i="39"/>
  <c r="M46" i="39"/>
  <c r="L47" i="39"/>
  <c r="L46" i="39"/>
  <c r="J47" i="39"/>
  <c r="J46" i="39"/>
  <c r="F47" i="39"/>
  <c r="F46" i="39"/>
  <c r="E47" i="39"/>
  <c r="E46" i="39"/>
  <c r="Q47" i="39"/>
  <c r="Q46" i="39"/>
  <c r="C47" i="39"/>
  <c r="C46" i="39"/>
  <c r="B47" i="39"/>
  <c r="B46" i="39"/>
  <c r="G47" i="39"/>
  <c r="G46" i="39"/>
  <c r="H47" i="39"/>
  <c r="H46" i="39"/>
  <c r="N47" i="39"/>
  <c r="N46" i="39"/>
  <c r="I47" i="39"/>
  <c r="I46" i="39"/>
  <c r="D47" i="39"/>
  <c r="D46" i="39"/>
  <c r="P47" i="39"/>
  <c r="P46" i="39"/>
  <c r="O47" i="39"/>
  <c r="O46" i="39"/>
</calcChain>
</file>

<file path=xl/sharedStrings.xml><?xml version="1.0" encoding="utf-8"?>
<sst xmlns="http://schemas.openxmlformats.org/spreadsheetml/2006/main" count="8690" uniqueCount="3121">
  <si>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</si>
  <si>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</si>
  <si>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</si>
  <si>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</si>
  <si>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</si>
  <si>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</si>
  <si>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</si>
  <si>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</si>
  <si>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</si>
  <si>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</si>
  <si>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</si>
  <si>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</si>
  <si>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</si>
  <si>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</si>
  <si>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</si>
  <si>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</si>
  <si>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</si>
  <si>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</si>
  <si>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</si>
  <si>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</si>
  <si>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</si>
  <si>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</si>
  <si>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</si>
  <si>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</si>
  <si>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</si>
  <si>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</si>
  <si>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</si>
  <si>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</si>
  <si>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</si>
  <si>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</si>
  <si>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</si>
  <si>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</si>
  <si>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</si>
  <si>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</si>
  <si>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</si>
  <si>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</si>
  <si>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</si>
  <si>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</si>
  <si>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</si>
  <si>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</si>
  <si>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</si>
  <si>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</si>
  <si>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</si>
  <si>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</si>
  <si>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</si>
  <si>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</si>
  <si>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</si>
  <si>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</si>
  <si>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</si>
  <si>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</si>
  <si>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</si>
  <si>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</si>
  <si>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</si>
  <si>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</si>
  <si>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</si>
  <si>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</si>
  <si>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</si>
  <si>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</si>
  <si>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</si>
  <si>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</si>
  <si>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</si>
  <si>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</si>
  <si>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</si>
  <si>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</si>
  <si>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</si>
  <si>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</si>
  <si>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</si>
  <si>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</si>
  <si>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</si>
  <si>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</si>
  <si>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</si>
  <si>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</si>
  <si>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</si>
  <si>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</si>
  <si>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</si>
  <si>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</si>
  <si>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</si>
  <si>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</si>
  <si>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</si>
  <si>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</si>
  <si>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</si>
  <si>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</si>
  <si>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</si>
  <si>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</si>
  <si>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</si>
  <si>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</si>
  <si>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</si>
  <si>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</si>
  <si>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</si>
  <si>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</si>
  <si>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</si>
  <si>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</si>
  <si>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</si>
  <si>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</si>
  <si>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</si>
  <si>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</si>
  <si>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</si>
  <si>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</si>
  <si>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</si>
  <si>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</si>
  <si>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</si>
  <si>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</si>
  <si>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</si>
  <si>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</si>
  <si>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</si>
  <si>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</si>
  <si>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</si>
  <si>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</si>
  <si>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</si>
  <si>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</si>
  <si>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</si>
  <si>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</si>
  <si>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</si>
  <si>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</si>
  <si>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</si>
  <si>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</si>
  <si>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</si>
  <si>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</si>
  <si>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</si>
  <si>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</si>
  <si>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</si>
  <si>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</si>
  <si>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</si>
  <si>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</si>
  <si>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</si>
  <si>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</si>
  <si>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</si>
  <si>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</si>
  <si>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</si>
  <si>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</si>
  <si>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</si>
  <si>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</si>
  <si>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</si>
  <si>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</si>
  <si>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</si>
  <si>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</si>
  <si>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</si>
  <si>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</si>
  <si>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</si>
  <si>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</si>
  <si>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</si>
  <si>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</si>
  <si>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</si>
  <si>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</si>
  <si>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</si>
  <si>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</si>
  <si>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</si>
  <si>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</si>
  <si>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</si>
  <si>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</si>
  <si>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</si>
  <si>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</si>
  <si>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</si>
  <si>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</si>
  <si>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</si>
  <si>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</si>
  <si>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</si>
  <si>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</si>
  <si>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</si>
  <si>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</si>
  <si>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</si>
  <si>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</si>
  <si>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</si>
  <si>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</si>
  <si>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</si>
  <si>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</si>
  <si>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</si>
  <si>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</si>
  <si>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</si>
  <si>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</si>
  <si>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</si>
  <si>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</si>
  <si>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</si>
  <si>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</si>
  <si>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</si>
  <si>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</si>
  <si>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</si>
  <si>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</si>
  <si>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</si>
  <si>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</si>
  <si>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</si>
  <si>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</si>
  <si>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</si>
  <si>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</si>
  <si>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</si>
  <si>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</si>
  <si>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</si>
  <si>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</si>
  <si>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</si>
  <si>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</si>
  <si>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</si>
  <si>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</si>
  <si>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</si>
  <si>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</si>
  <si>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</si>
  <si>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</si>
  <si>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</si>
  <si>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</si>
  <si>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</si>
  <si>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</si>
  <si>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</si>
  <si>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</si>
  <si>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</si>
  <si>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</si>
  <si>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</si>
  <si>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</si>
  <si>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</si>
  <si>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</si>
  <si>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</si>
  <si>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</si>
  <si>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</si>
  <si>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</si>
  <si>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</si>
  <si>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</si>
  <si>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</si>
  <si>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</si>
  <si>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</si>
  <si>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</si>
  <si>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</si>
  <si>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</si>
  <si>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</si>
  <si>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</si>
  <si>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</si>
  <si>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</si>
  <si>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</si>
  <si>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</si>
  <si>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</si>
  <si>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</si>
  <si>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</si>
  <si>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</si>
  <si>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</si>
  <si>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</si>
  <si>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</si>
  <si>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</si>
  <si>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</si>
  <si>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</si>
  <si>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</si>
  <si>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</si>
  <si>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</si>
  <si>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rv f</t>
  </si>
  <si>
    <t>ANIMESH</t>
  </si>
  <si>
    <t>01/09/2025 00:15</t>
  </si>
  <si>
    <t>01/09/2025 00:30</t>
  </si>
  <si>
    <t>01/09/2025 00:45</t>
  </si>
  <si>
    <t>01/09/2025 01:00</t>
  </si>
  <si>
    <t>01/09/2025 01:15</t>
  </si>
  <si>
    <t>01/09/2025 01:30</t>
  </si>
  <si>
    <t>01/09/2025 01:45</t>
  </si>
  <si>
    <t>01/09/2025 02:00</t>
  </si>
  <si>
    <t>01/09/2025 02:15</t>
  </si>
  <si>
    <t>01/09/2025 02:30</t>
  </si>
  <si>
    <t>01/09/2025 02:45</t>
  </si>
  <si>
    <t>01/09/2025 03:00</t>
  </si>
  <si>
    <t>01/09/2025 03:15</t>
  </si>
  <si>
    <t>01/09/2025 03:30</t>
  </si>
  <si>
    <t>01/09/2025 03:45</t>
  </si>
  <si>
    <t>01/09/2025 04:00</t>
  </si>
  <si>
    <t>01/09/2025 04:15</t>
  </si>
  <si>
    <t>01/09/2025 04:30</t>
  </si>
  <si>
    <t>01/09/2025 04:45</t>
  </si>
  <si>
    <t>01/09/2025 05:00</t>
  </si>
  <si>
    <t>01/09/2025 05:15</t>
  </si>
  <si>
    <t>01/09/2025 05:30</t>
  </si>
  <si>
    <t>01/09/2025 05:45</t>
  </si>
  <si>
    <t>01/09/2025 06:00</t>
  </si>
  <si>
    <t>01/09/2025 06:15</t>
  </si>
  <si>
    <t>01/09/2025 06:30</t>
  </si>
  <si>
    <t>01/09/2025 06:45</t>
  </si>
  <si>
    <t>01/09/2025 07:00</t>
  </si>
  <si>
    <t>01/09/2025 07:15</t>
  </si>
  <si>
    <t>01/09/2025 07:30</t>
  </si>
  <si>
    <t>01/09/2025 07:45</t>
  </si>
  <si>
    <t>01/09/2025 08:00</t>
  </si>
  <si>
    <t>01/09/2025 08:15</t>
  </si>
  <si>
    <t>01/09/2025 08:30</t>
  </si>
  <si>
    <t>01/09/2025 08:45</t>
  </si>
  <si>
    <t>01/09/2025 09:00</t>
  </si>
  <si>
    <t>01/09/2025 09:15</t>
  </si>
  <si>
    <t>01/09/2025 09:30</t>
  </si>
  <si>
    <t>01/09/2025 09:45</t>
  </si>
  <si>
    <t>01/09/2025 10:00</t>
  </si>
  <si>
    <t>01/09/2025 10:15</t>
  </si>
  <si>
    <t>01/09/2025 10:30</t>
  </si>
  <si>
    <t>01/09/2025 10:45</t>
  </si>
  <si>
    <t>01/09/2025 11:00</t>
  </si>
  <si>
    <t>01/09/2025 11:15</t>
  </si>
  <si>
    <t>01/09/2025 11:30</t>
  </si>
  <si>
    <t>01/09/2025 11:45</t>
  </si>
  <si>
    <t>01/09/2025 12:00</t>
  </si>
  <si>
    <t>01/09/2025 12:15</t>
  </si>
  <si>
    <t>01/09/2025 12:30</t>
  </si>
  <si>
    <t>01/09/2025 12:45</t>
  </si>
  <si>
    <t>01/09/2025 13:00</t>
  </si>
  <si>
    <t>01/09/2025 13:15</t>
  </si>
  <si>
    <t>01/09/2025 13:30</t>
  </si>
  <si>
    <t>01/09/2025 13:45</t>
  </si>
  <si>
    <t>01/09/2025 14:00</t>
  </si>
  <si>
    <t>01/09/2025 14:15</t>
  </si>
  <si>
    <t>01/09/2025 14:30</t>
  </si>
  <si>
    <t>01/09/2025 14:45</t>
  </si>
  <si>
    <t>01/09/2025 15:00</t>
  </si>
  <si>
    <t>01/09/2025 15:15</t>
  </si>
  <si>
    <t>01/09/2025 15:30</t>
  </si>
  <si>
    <t>01/09/2025 15:45</t>
  </si>
  <si>
    <t>01/09/2025 16:00</t>
  </si>
  <si>
    <t>01/09/2025 16:15</t>
  </si>
  <si>
    <t>01/09/2025 16:30</t>
  </si>
  <si>
    <t>01/09/2025 16:45</t>
  </si>
  <si>
    <t>01/09/2025 17:00</t>
  </si>
  <si>
    <t>01/09/2025 17:15</t>
  </si>
  <si>
    <t>01/09/2025 17:30</t>
  </si>
  <si>
    <t>01/09/2025 17:45</t>
  </si>
  <si>
    <t>01/09/2025 18:00</t>
  </si>
  <si>
    <t>01/09/2025 18:15</t>
  </si>
  <si>
    <t>01/09/2025 18:30</t>
  </si>
  <si>
    <t>01/09/2025 18:45</t>
  </si>
  <si>
    <t>01/09/2025 19:00</t>
  </si>
  <si>
    <t>01/09/2025 19:15</t>
  </si>
  <si>
    <t>01/09/2025 19:30</t>
  </si>
  <si>
    <t>01/09/2025 19:45</t>
  </si>
  <si>
    <t>01/09/2025 20:00</t>
  </si>
  <si>
    <t>01/09/2025 20:15</t>
  </si>
  <si>
    <t>01/09/2025 20:30</t>
  </si>
  <si>
    <t>01/09/2025 20:45</t>
  </si>
  <si>
    <t>01/09/2025 21:00</t>
  </si>
  <si>
    <t>01/09/2025 21:15</t>
  </si>
  <si>
    <t>01/09/2025 21:30</t>
  </si>
  <si>
    <t>01/09/2025 21:45</t>
  </si>
  <si>
    <t>01/09/2025 22:00</t>
  </si>
  <si>
    <t>01/09/2025 22:15</t>
  </si>
  <si>
    <t>01/09/2025 22:30</t>
  </si>
  <si>
    <t>01/09/2025 22:45</t>
  </si>
  <si>
    <t>01/09/2025 23:00</t>
  </si>
  <si>
    <t>01/09/2025 23:15</t>
  </si>
  <si>
    <t>01/09/2025 23:30</t>
  </si>
  <si>
    <t>01/09/2025 23:45</t>
  </si>
  <si>
    <t>01/09/2025 24:00</t>
  </si>
  <si>
    <t>02/09/2025 00:15</t>
  </si>
  <si>
    <t>02/09/2025 00:30</t>
  </si>
  <si>
    <t>02/09/2025 00:45</t>
  </si>
  <si>
    <t>02/09/2025 01:00</t>
  </si>
  <si>
    <t>02/09/2025 01:15</t>
  </si>
  <si>
    <t>02/09/2025 01:30</t>
  </si>
  <si>
    <t>02/09/2025 01:45</t>
  </si>
  <si>
    <t>02/09/2025 02:00</t>
  </si>
  <si>
    <t>02/09/2025 02:15</t>
  </si>
  <si>
    <t>02/09/2025 02:30</t>
  </si>
  <si>
    <t>02/09/2025 02:45</t>
  </si>
  <si>
    <t>02/09/2025 03:00</t>
  </si>
  <si>
    <t>02/09/2025 03:15</t>
  </si>
  <si>
    <t>02/09/2025 03:30</t>
  </si>
  <si>
    <t>02/09/2025 03:45</t>
  </si>
  <si>
    <t>02/09/2025 04:00</t>
  </si>
  <si>
    <t>02/09/2025 04:15</t>
  </si>
  <si>
    <t>02/09/2025 04:30</t>
  </si>
  <si>
    <t>02/09/2025 04:45</t>
  </si>
  <si>
    <t>02/09/2025 05:00</t>
  </si>
  <si>
    <t>02/09/2025 05:15</t>
  </si>
  <si>
    <t>02/09/2025 05:30</t>
  </si>
  <si>
    <t>02/09/2025 05:45</t>
  </si>
  <si>
    <t>02/09/2025 06:00</t>
  </si>
  <si>
    <t>02/09/2025 06:15</t>
  </si>
  <si>
    <t>02/09/2025 06:30</t>
  </si>
  <si>
    <t>02/09/2025 06:45</t>
  </si>
  <si>
    <t>02/09/2025 07:00</t>
  </si>
  <si>
    <t>02/09/2025 07:15</t>
  </si>
  <si>
    <t>02/09/2025 07:30</t>
  </si>
  <si>
    <t>02/09/2025 07:45</t>
  </si>
  <si>
    <t>02/09/2025 08:00</t>
  </si>
  <si>
    <t>02/09/2025 08:15</t>
  </si>
  <si>
    <t>02/09/2025 08:30</t>
  </si>
  <si>
    <t>02/09/2025 08:45</t>
  </si>
  <si>
    <t>02/09/2025 09:00</t>
  </si>
  <si>
    <t>02/09/2025 09:15</t>
  </si>
  <si>
    <t>02/09/2025 09:30</t>
  </si>
  <si>
    <t>02/09/2025 09:45</t>
  </si>
  <si>
    <t>02/09/2025 10:00</t>
  </si>
  <si>
    <t>02/09/2025 10:15</t>
  </si>
  <si>
    <t>02/09/2025 10:30</t>
  </si>
  <si>
    <t>02/09/2025 10:45</t>
  </si>
  <si>
    <t>02/09/2025 11:00</t>
  </si>
  <si>
    <t>02/09/2025 11:15</t>
  </si>
  <si>
    <t>02/09/2025 11:30</t>
  </si>
  <si>
    <t>02/09/2025 11:45</t>
  </si>
  <si>
    <t>02/09/2025 12:00</t>
  </si>
  <si>
    <t>02/09/2025 12:15</t>
  </si>
  <si>
    <t>02/09/2025 12:30</t>
  </si>
  <si>
    <t>02/09/2025 12:45</t>
  </si>
  <si>
    <t>02/09/2025 13:00</t>
  </si>
  <si>
    <t>02/09/2025 13:15</t>
  </si>
  <si>
    <t>02/09/2025 13:30</t>
  </si>
  <si>
    <t>02/09/2025 13:45</t>
  </si>
  <si>
    <t>02/09/2025 14:00</t>
  </si>
  <si>
    <t>02/09/2025 14:15</t>
  </si>
  <si>
    <t>02/09/2025 14:30</t>
  </si>
  <si>
    <t>02/09/2025 14:45</t>
  </si>
  <si>
    <t>02/09/2025 15:00</t>
  </si>
  <si>
    <t>02/09/2025 15:15</t>
  </si>
  <si>
    <t>02/09/2025 15:30</t>
  </si>
  <si>
    <t>02/09/2025 15:45</t>
  </si>
  <si>
    <t>02/09/2025 16:00</t>
  </si>
  <si>
    <t>02/09/2025 16:15</t>
  </si>
  <si>
    <t>02/09/2025 16:30</t>
  </si>
  <si>
    <t>02/09/2025 16:45</t>
  </si>
  <si>
    <t>02/09/2025 17:00</t>
  </si>
  <si>
    <t>02/09/2025 17:15</t>
  </si>
  <si>
    <t>02/09/2025 17:30</t>
  </si>
  <si>
    <t>02/09/2025 17:45</t>
  </si>
  <si>
    <t>02/09/2025 18:00</t>
  </si>
  <si>
    <t>02/09/2025 18:15</t>
  </si>
  <si>
    <t>02/09/2025 18:30</t>
  </si>
  <si>
    <t>02/09/2025 18:45</t>
  </si>
  <si>
    <t>02/09/2025 19:00</t>
  </si>
  <si>
    <t>02/09/2025 19:15</t>
  </si>
  <si>
    <t>02/09/2025 19:30</t>
  </si>
  <si>
    <t>02/09/2025 19:45</t>
  </si>
  <si>
    <t>02/09/2025 20:00</t>
  </si>
  <si>
    <t>02/09/2025 20:15</t>
  </si>
  <si>
    <t>02/09/2025 20:30</t>
  </si>
  <si>
    <t>02/09/2025 20:45</t>
  </si>
  <si>
    <t>02/09/2025 21:00</t>
  </si>
  <si>
    <t>02/09/2025 21:15</t>
  </si>
  <si>
    <t>02/09/2025 21:30</t>
  </si>
  <si>
    <t>02/09/2025 21:45</t>
  </si>
  <si>
    <t>02/09/2025 22:00</t>
  </si>
  <si>
    <t>02/09/2025 22:15</t>
  </si>
  <si>
    <t>02/09/2025 22:30</t>
  </si>
  <si>
    <t>02/09/2025 22:45</t>
  </si>
  <si>
    <t>02/09/2025 23:00</t>
  </si>
  <si>
    <t>02/09/2025 23:15</t>
  </si>
  <si>
    <t>02/09/2025 23:30</t>
  </si>
  <si>
    <t>02/09/2025 23:45</t>
  </si>
  <si>
    <t>02/09/2025 24:00</t>
  </si>
  <si>
    <t>03/09/2025 00:15</t>
  </si>
  <si>
    <t>03/09/2025 00:30</t>
  </si>
  <si>
    <t>03/09/2025 00:45</t>
  </si>
  <si>
    <t>03/09/2025 01:00</t>
  </si>
  <si>
    <t>03/09/2025 01:15</t>
  </si>
  <si>
    <t>03/09/2025 01:30</t>
  </si>
  <si>
    <t>03/09/2025 01:45</t>
  </si>
  <si>
    <t>03/09/2025 02:00</t>
  </si>
  <si>
    <t>03/09/2025 02:15</t>
  </si>
  <si>
    <t>03/09/2025 02:30</t>
  </si>
  <si>
    <t>03/09/2025 02:45</t>
  </si>
  <si>
    <t>03/09/2025 03:00</t>
  </si>
  <si>
    <t>03/09/2025 03:15</t>
  </si>
  <si>
    <t>03/09/2025 03:30</t>
  </si>
  <si>
    <t>03/09/2025 03:45</t>
  </si>
  <si>
    <t>03/09/2025 04:00</t>
  </si>
  <si>
    <t>03/09/2025 04:15</t>
  </si>
  <si>
    <t>03/09/2025 04:30</t>
  </si>
  <si>
    <t>03/09/2025 04:45</t>
  </si>
  <si>
    <t>03/09/2025 05:00</t>
  </si>
  <si>
    <t>03/09/2025 05:15</t>
  </si>
  <si>
    <t>03/09/2025 05:30</t>
  </si>
  <si>
    <t>03/09/2025 05:45</t>
  </si>
  <si>
    <t>03/09/2025 06:00</t>
  </si>
  <si>
    <t>03/09/2025 06:15</t>
  </si>
  <si>
    <t>03/09/2025 06:30</t>
  </si>
  <si>
    <t>03/09/2025 06:45</t>
  </si>
  <si>
    <t>03/09/2025 07:00</t>
  </si>
  <si>
    <t>03/09/2025 07:15</t>
  </si>
  <si>
    <t>03/09/2025 07:30</t>
  </si>
  <si>
    <t>03/09/2025 07:45</t>
  </si>
  <si>
    <t>03/09/2025 08:00</t>
  </si>
  <si>
    <t>03/09/2025 08:15</t>
  </si>
  <si>
    <t>03/09/2025 08:30</t>
  </si>
  <si>
    <t>03/09/2025 08:45</t>
  </si>
  <si>
    <t>03/09/2025 09:00</t>
  </si>
  <si>
    <t>03/09/2025 09:15</t>
  </si>
  <si>
    <t>03/09/2025 09:30</t>
  </si>
  <si>
    <t>03/09/2025 09:45</t>
  </si>
  <si>
    <t>03/09/2025 10:00</t>
  </si>
  <si>
    <t>03/09/2025 10:15</t>
  </si>
  <si>
    <t>03/09/2025 10:30</t>
  </si>
  <si>
    <t>03/09/2025 10:45</t>
  </si>
  <si>
    <t>03/09/2025 11:00</t>
  </si>
  <si>
    <t>03/09/2025 11:15</t>
  </si>
  <si>
    <t>03/09/2025 11:30</t>
  </si>
  <si>
    <t>03/09/2025 11:45</t>
  </si>
  <si>
    <t>03/09/2025 12:00</t>
  </si>
  <si>
    <t>03/09/2025 12:15</t>
  </si>
  <si>
    <t>03/09/2025 12:30</t>
  </si>
  <si>
    <t>03/09/2025 12:45</t>
  </si>
  <si>
    <t>03/09/2025 13:00</t>
  </si>
  <si>
    <t>03/09/2025 13:15</t>
  </si>
  <si>
    <t>03/09/2025 13:30</t>
  </si>
  <si>
    <t>03/09/2025 13:45</t>
  </si>
  <si>
    <t>03/09/2025 14:00</t>
  </si>
  <si>
    <t>03/09/2025 14:15</t>
  </si>
  <si>
    <t>03/09/2025 14:30</t>
  </si>
  <si>
    <t>03/09/2025 14:45</t>
  </si>
  <si>
    <t>03/09/2025 15:00</t>
  </si>
  <si>
    <t>03/09/2025 15:15</t>
  </si>
  <si>
    <t>03/09/2025 15:30</t>
  </si>
  <si>
    <t>03/09/2025 15:45</t>
  </si>
  <si>
    <t>03/09/2025 16:00</t>
  </si>
  <si>
    <t>03/09/2025 16:15</t>
  </si>
  <si>
    <t>03/09/2025 16:30</t>
  </si>
  <si>
    <t>03/09/2025 16:45</t>
  </si>
  <si>
    <t>03/09/2025 17:00</t>
  </si>
  <si>
    <t>03/09/2025 17:15</t>
  </si>
  <si>
    <t>03/09/2025 17:30</t>
  </si>
  <si>
    <t>03/09/2025 17:45</t>
  </si>
  <si>
    <t>03/09/2025 18:00</t>
  </si>
  <si>
    <t>03/09/2025 18:15</t>
  </si>
  <si>
    <t>03/09/2025 18:30</t>
  </si>
  <si>
    <t>03/09/2025 18:45</t>
  </si>
  <si>
    <t>03/09/2025 19:00</t>
  </si>
  <si>
    <t>03/09/2025 19:15</t>
  </si>
  <si>
    <t>03/09/2025 19:30</t>
  </si>
  <si>
    <t>03/09/2025 19:45</t>
  </si>
  <si>
    <t>03/09/2025 20:00</t>
  </si>
  <si>
    <t>03/09/2025 20:15</t>
  </si>
  <si>
    <t>03/09/2025 20:30</t>
  </si>
  <si>
    <t>03/09/2025 20:45</t>
  </si>
  <si>
    <t>03/09/2025 21:00</t>
  </si>
  <si>
    <t>03/09/2025 21:15</t>
  </si>
  <si>
    <t>03/09/2025 21:30</t>
  </si>
  <si>
    <t>03/09/2025 21:45</t>
  </si>
  <si>
    <t>03/09/2025 22:00</t>
  </si>
  <si>
    <t>03/09/2025 22:15</t>
  </si>
  <si>
    <t>03/09/2025 22:30</t>
  </si>
  <si>
    <t>03/09/2025 22:45</t>
  </si>
  <si>
    <t>03/09/2025 23:00</t>
  </si>
  <si>
    <t>03/09/2025 23:15</t>
  </si>
  <si>
    <t>03/09/2025 23:30</t>
  </si>
  <si>
    <t>03/09/2025 23:45</t>
  </si>
  <si>
    <t>03/09/2025 24:00</t>
  </si>
  <si>
    <t>04/09/2025 00:15</t>
  </si>
  <si>
    <t>04/09/2025 00:30</t>
  </si>
  <si>
    <t>04/09/2025 00:45</t>
  </si>
  <si>
    <t>04/09/2025 01:00</t>
  </si>
  <si>
    <t>04/09/2025 01:15</t>
  </si>
  <si>
    <t>04/09/2025 01:30</t>
  </si>
  <si>
    <t>04/09/2025 01:45</t>
  </si>
  <si>
    <t>04/09/2025 02:00</t>
  </si>
  <si>
    <t>04/09/2025 02:15</t>
  </si>
  <si>
    <t>04/09/2025 02:30</t>
  </si>
  <si>
    <t>04/09/2025 02:45</t>
  </si>
  <si>
    <t>04/09/2025 03:00</t>
  </si>
  <si>
    <t>04/09/2025 03:15</t>
  </si>
  <si>
    <t>04/09/2025 03:30</t>
  </si>
  <si>
    <t>04/09/2025 03:45</t>
  </si>
  <si>
    <t>04/09/2025 04:00</t>
  </si>
  <si>
    <t>04/09/2025 04:15</t>
  </si>
  <si>
    <t>04/09/2025 04:30</t>
  </si>
  <si>
    <t>04/09/2025 04:45</t>
  </si>
  <si>
    <t>04/09/2025 05:00</t>
  </si>
  <si>
    <t>04/09/2025 05:15</t>
  </si>
  <si>
    <t>04/09/2025 05:30</t>
  </si>
  <si>
    <t>04/09/2025 05:45</t>
  </si>
  <si>
    <t>04/09/2025 06:00</t>
  </si>
  <si>
    <t>04/09/2025 06:15</t>
  </si>
  <si>
    <t>04/09/2025 06:30</t>
  </si>
  <si>
    <t>04/09/2025 06:45</t>
  </si>
  <si>
    <t>04/09/2025 07:00</t>
  </si>
  <si>
    <t>04/09/2025 07:15</t>
  </si>
  <si>
    <t>04/09/2025 07:30</t>
  </si>
  <si>
    <t>04/09/2025 07:45</t>
  </si>
  <si>
    <t>04/09/2025 08:00</t>
  </si>
  <si>
    <t>04/09/2025 08:15</t>
  </si>
  <si>
    <t>04/09/2025 08:30</t>
  </si>
  <si>
    <t>04/09/2025 08:45</t>
  </si>
  <si>
    <t>04/09/2025 09:00</t>
  </si>
  <si>
    <t>04/09/2025 09:15</t>
  </si>
  <si>
    <t>04/09/2025 09:30</t>
  </si>
  <si>
    <t>04/09/2025 09:45</t>
  </si>
  <si>
    <t>04/09/2025 10:00</t>
  </si>
  <si>
    <t>04/09/2025 10:15</t>
  </si>
  <si>
    <t>04/09/2025 10:30</t>
  </si>
  <si>
    <t>04/09/2025 10:45</t>
  </si>
  <si>
    <t>04/09/2025 11:00</t>
  </si>
  <si>
    <t>04/09/2025 11:15</t>
  </si>
  <si>
    <t>04/09/2025 11:30</t>
  </si>
  <si>
    <t>04/09/2025 11:45</t>
  </si>
  <si>
    <t>04/09/2025 12:00</t>
  </si>
  <si>
    <t>04/09/2025 12:15</t>
  </si>
  <si>
    <t>04/09/2025 12:30</t>
  </si>
  <si>
    <t>04/09/2025 12:45</t>
  </si>
  <si>
    <t>04/09/2025 13:00</t>
  </si>
  <si>
    <t>04/09/2025 13:15</t>
  </si>
  <si>
    <t>04/09/2025 13:30</t>
  </si>
  <si>
    <t>04/09/2025 13:45</t>
  </si>
  <si>
    <t>04/09/2025 14:00</t>
  </si>
  <si>
    <t>04/09/2025 14:15</t>
  </si>
  <si>
    <t>04/09/2025 14:30</t>
  </si>
  <si>
    <t>04/09/2025 14:45</t>
  </si>
  <si>
    <t>04/09/2025 15:00</t>
  </si>
  <si>
    <t>04/09/2025 15:15</t>
  </si>
  <si>
    <t>04/09/2025 15:30</t>
  </si>
  <si>
    <t>04/09/2025 15:45</t>
  </si>
  <si>
    <t>04/09/2025 16:00</t>
  </si>
  <si>
    <t>04/09/2025 16:15</t>
  </si>
  <si>
    <t>04/09/2025 16:30</t>
  </si>
  <si>
    <t>04/09/2025 16:45</t>
  </si>
  <si>
    <t>04/09/2025 17:00</t>
  </si>
  <si>
    <t>04/09/2025 17:15</t>
  </si>
  <si>
    <t>04/09/2025 17:30</t>
  </si>
  <si>
    <t>04/09/2025 17:45</t>
  </si>
  <si>
    <t>04/09/2025 18:00</t>
  </si>
  <si>
    <t>04/09/2025 18:15</t>
  </si>
  <si>
    <t>04/09/2025 18:30</t>
  </si>
  <si>
    <t>04/09/2025 18:45</t>
  </si>
  <si>
    <t>04/09/2025 19:00</t>
  </si>
  <si>
    <t>04/09/2025 19:15</t>
  </si>
  <si>
    <t>04/09/2025 19:30</t>
  </si>
  <si>
    <t>04/09/2025 19:45</t>
  </si>
  <si>
    <t>04/09/2025 20:00</t>
  </si>
  <si>
    <t>04/09/2025 20:15</t>
  </si>
  <si>
    <t>04/09/2025 20:30</t>
  </si>
  <si>
    <t>04/09/2025 20:45</t>
  </si>
  <si>
    <t>04/09/2025 21:00</t>
  </si>
  <si>
    <t>04/09/2025 21:15</t>
  </si>
  <si>
    <t>04/09/2025 21:30</t>
  </si>
  <si>
    <t>04/09/2025 21:45</t>
  </si>
  <si>
    <t>04/09/2025 22:00</t>
  </si>
  <si>
    <t>04/09/2025 22:15</t>
  </si>
  <si>
    <t>04/09/2025 22:30</t>
  </si>
  <si>
    <t>04/09/2025 22:45</t>
  </si>
  <si>
    <t>04/09/2025 23:00</t>
  </si>
  <si>
    <t>04/09/2025 23:15</t>
  </si>
  <si>
    <t>04/09/2025 23:30</t>
  </si>
  <si>
    <t>04/09/2025 23:45</t>
  </si>
  <si>
    <t>04/09/2025 24:00</t>
  </si>
  <si>
    <t>05/09/2025 00:15</t>
  </si>
  <si>
    <t>05/09/2025 00:30</t>
  </si>
  <si>
    <t>05/09/2025 00:45</t>
  </si>
  <si>
    <t>05/09/2025 01:00</t>
  </si>
  <si>
    <t>05/09/2025 01:15</t>
  </si>
  <si>
    <t>05/09/2025 01:30</t>
  </si>
  <si>
    <t>05/09/2025 01:45</t>
  </si>
  <si>
    <t>05/09/2025 02:00</t>
  </si>
  <si>
    <t>05/09/2025 02:15</t>
  </si>
  <si>
    <t>05/09/2025 02:30</t>
  </si>
  <si>
    <t>05/09/2025 02:45</t>
  </si>
  <si>
    <t>05/09/2025 03:00</t>
  </si>
  <si>
    <t>05/09/2025 03:15</t>
  </si>
  <si>
    <t>05/09/2025 03:30</t>
  </si>
  <si>
    <t>05/09/2025 03:45</t>
  </si>
  <si>
    <t>05/09/2025 04:00</t>
  </si>
  <si>
    <t>05/09/2025 04:15</t>
  </si>
  <si>
    <t>05/09/2025 04:30</t>
  </si>
  <si>
    <t>05/09/2025 04:45</t>
  </si>
  <si>
    <t>05/09/2025 05:00</t>
  </si>
  <si>
    <t>05/09/2025 05:15</t>
  </si>
  <si>
    <t>05/09/2025 05:30</t>
  </si>
  <si>
    <t>05/09/2025 05:45</t>
  </si>
  <si>
    <t>05/09/2025 06:00</t>
  </si>
  <si>
    <t>05/09/2025 06:15</t>
  </si>
  <si>
    <t>05/09/2025 06:30</t>
  </si>
  <si>
    <t>05/09/2025 06:45</t>
  </si>
  <si>
    <t>05/09/2025 07:00</t>
  </si>
  <si>
    <t>05/09/2025 07:15</t>
  </si>
  <si>
    <t>05/09/2025 07:30</t>
  </si>
  <si>
    <t>05/09/2025 07:45</t>
  </si>
  <si>
    <t>05/09/2025 08:00</t>
  </si>
  <si>
    <t>05/09/2025 08:15</t>
  </si>
  <si>
    <t>05/09/2025 08:30</t>
  </si>
  <si>
    <t>05/09/2025 08:45</t>
  </si>
  <si>
    <t>05/09/2025 09:00</t>
  </si>
  <si>
    <t>05/09/2025 09:15</t>
  </si>
  <si>
    <t>05/09/2025 09:30</t>
  </si>
  <si>
    <t>05/09/2025 09:45</t>
  </si>
  <si>
    <t>05/09/2025 10:00</t>
  </si>
  <si>
    <t>05/09/2025 10:15</t>
  </si>
  <si>
    <t>05/09/2025 10:30</t>
  </si>
  <si>
    <t>05/09/2025 10:45</t>
  </si>
  <si>
    <t>05/09/2025 11:00</t>
  </si>
  <si>
    <t>05/09/2025 11:15</t>
  </si>
  <si>
    <t>05/09/2025 11:30</t>
  </si>
  <si>
    <t>05/09/2025 11:45</t>
  </si>
  <si>
    <t>05/09/2025 12:00</t>
  </si>
  <si>
    <t>05/09/2025 12:15</t>
  </si>
  <si>
    <t>05/09/2025 12:30</t>
  </si>
  <si>
    <t>05/09/2025 12:45</t>
  </si>
  <si>
    <t>05/09/2025 13:00</t>
  </si>
  <si>
    <t>05/09/2025 13:15</t>
  </si>
  <si>
    <t>05/09/2025 13:30</t>
  </si>
  <si>
    <t>05/09/2025 13:45</t>
  </si>
  <si>
    <t>05/09/2025 14:00</t>
  </si>
  <si>
    <t>05/09/2025 14:15</t>
  </si>
  <si>
    <t>05/09/2025 14:30</t>
  </si>
  <si>
    <t>05/09/2025 14:45</t>
  </si>
  <si>
    <t>05/09/2025 15:00</t>
  </si>
  <si>
    <t>05/09/2025 15:15</t>
  </si>
  <si>
    <t>05/09/2025 15:30</t>
  </si>
  <si>
    <t>05/09/2025 15:45</t>
  </si>
  <si>
    <t>05/09/2025 16:00</t>
  </si>
  <si>
    <t>05/09/2025 16:15</t>
  </si>
  <si>
    <t>05/09/2025 16:30</t>
  </si>
  <si>
    <t>05/09/2025 16:45</t>
  </si>
  <si>
    <t>05/09/2025 17:00</t>
  </si>
  <si>
    <t>05/09/2025 17:15</t>
  </si>
  <si>
    <t>05/09/2025 17:30</t>
  </si>
  <si>
    <t>05/09/2025 17:45</t>
  </si>
  <si>
    <t>05/09/2025 18:00</t>
  </si>
  <si>
    <t>05/09/2025 18:15</t>
  </si>
  <si>
    <t>05/09/2025 18:30</t>
  </si>
  <si>
    <t>05/09/2025 18:45</t>
  </si>
  <si>
    <t>05/09/2025 19:00</t>
  </si>
  <si>
    <t>05/09/2025 19:15</t>
  </si>
  <si>
    <t>05/09/2025 19:30</t>
  </si>
  <si>
    <t>05/09/2025 19:45</t>
  </si>
  <si>
    <t>05/09/2025 20:00</t>
  </si>
  <si>
    <t>05/09/2025 20:15</t>
  </si>
  <si>
    <t>05/09/2025 20:30</t>
  </si>
  <si>
    <t>05/09/2025 20:45</t>
  </si>
  <si>
    <t>05/09/2025 21:00</t>
  </si>
  <si>
    <t>05/09/2025 21:15</t>
  </si>
  <si>
    <t>05/09/2025 21:30</t>
  </si>
  <si>
    <t>05/09/2025 21:45</t>
  </si>
  <si>
    <t>05/09/2025 22:00</t>
  </si>
  <si>
    <t>05/09/2025 22:15</t>
  </si>
  <si>
    <t>05/09/2025 22:30</t>
  </si>
  <si>
    <t>05/09/2025 22:45</t>
  </si>
  <si>
    <t>05/09/2025 23:00</t>
  </si>
  <si>
    <t>05/09/2025 23:15</t>
  </si>
  <si>
    <t>05/09/2025 23:30</t>
  </si>
  <si>
    <t>05/09/2025 23:45</t>
  </si>
  <si>
    <t>05/09/2025 24:00</t>
  </si>
  <si>
    <t>06/09/2025 00:15</t>
  </si>
  <si>
    <t>06/09/2025 00:30</t>
  </si>
  <si>
    <t>06/09/2025 00:45</t>
  </si>
  <si>
    <t>06/09/2025 01:00</t>
  </si>
  <si>
    <t>06/09/2025 01:15</t>
  </si>
  <si>
    <t>06/09/2025 01:30</t>
  </si>
  <si>
    <t>06/09/2025 01:45</t>
  </si>
  <si>
    <t>06/09/2025 02:00</t>
  </si>
  <si>
    <t>06/09/2025 02:15</t>
  </si>
  <si>
    <t>06/09/2025 02:30</t>
  </si>
  <si>
    <t>06/09/2025 02:45</t>
  </si>
  <si>
    <t>06/09/2025 03:00</t>
  </si>
  <si>
    <t>06/09/2025 03:15</t>
  </si>
  <si>
    <t>06/09/2025 03:30</t>
  </si>
  <si>
    <t>06/09/2025 03:45</t>
  </si>
  <si>
    <t>06/09/2025 04:00</t>
  </si>
  <si>
    <t>06/09/2025 04:15</t>
  </si>
  <si>
    <t>06/09/2025 04:30</t>
  </si>
  <si>
    <t>06/09/2025 04:45</t>
  </si>
  <si>
    <t>06/09/2025 05:00</t>
  </si>
  <si>
    <t>06/09/2025 05:15</t>
  </si>
  <si>
    <t>06/09/2025 05:30</t>
  </si>
  <si>
    <t>06/09/2025 05:45</t>
  </si>
  <si>
    <t>06/09/2025 06:00</t>
  </si>
  <si>
    <t>06/09/2025 06:15</t>
  </si>
  <si>
    <t>06/09/2025 06:30</t>
  </si>
  <si>
    <t>06/09/2025 06:45</t>
  </si>
  <si>
    <t>06/09/2025 07:00</t>
  </si>
  <si>
    <t>06/09/2025 07:15</t>
  </si>
  <si>
    <t>06/09/2025 07:30</t>
  </si>
  <si>
    <t>06/09/2025 07:45</t>
  </si>
  <si>
    <t>06/09/2025 08:00</t>
  </si>
  <si>
    <t>06/09/2025 08:15</t>
  </si>
  <si>
    <t>06/09/2025 08:30</t>
  </si>
  <si>
    <t>06/09/2025 08:45</t>
  </si>
  <si>
    <t>06/09/2025 09:00</t>
  </si>
  <si>
    <t>06/09/2025 09:15</t>
  </si>
  <si>
    <t>06/09/2025 09:30</t>
  </si>
  <si>
    <t>06/09/2025 09:45</t>
  </si>
  <si>
    <t>06/09/2025 10:00</t>
  </si>
  <si>
    <t>06/09/2025 10:15</t>
  </si>
  <si>
    <t>06/09/2025 10:30</t>
  </si>
  <si>
    <t>06/09/2025 10:45</t>
  </si>
  <si>
    <t>06/09/2025 11:00</t>
  </si>
  <si>
    <t>06/09/2025 11:15</t>
  </si>
  <si>
    <t>06/09/2025 11:30</t>
  </si>
  <si>
    <t>06/09/2025 11:45</t>
  </si>
  <si>
    <t>06/09/2025 12:00</t>
  </si>
  <si>
    <t>06/09/2025 12:15</t>
  </si>
  <si>
    <t>06/09/2025 12:30</t>
  </si>
  <si>
    <t>06/09/2025 12:45</t>
  </si>
  <si>
    <t>06/09/2025 13:00</t>
  </si>
  <si>
    <t>06/09/2025 13:15</t>
  </si>
  <si>
    <t>06/09/2025 13:30</t>
  </si>
  <si>
    <t>06/09/2025 13:45</t>
  </si>
  <si>
    <t>06/09/2025 14:00</t>
  </si>
  <si>
    <t>06/09/2025 14:15</t>
  </si>
  <si>
    <t>06/09/2025 14:30</t>
  </si>
  <si>
    <t>06/09/2025 14:45</t>
  </si>
  <si>
    <t>06/09/2025 15:00</t>
  </si>
  <si>
    <t>06/09/2025 15:15</t>
  </si>
  <si>
    <t>06/09/2025 15:30</t>
  </si>
  <si>
    <t>06/09/2025 15:45</t>
  </si>
  <si>
    <t>06/09/2025 16:00</t>
  </si>
  <si>
    <t>06/09/2025 16:15</t>
  </si>
  <si>
    <t>06/09/2025 16:30</t>
  </si>
  <si>
    <t>06/09/2025 16:45</t>
  </si>
  <si>
    <t>06/09/2025 17:00</t>
  </si>
  <si>
    <t>06/09/2025 17:15</t>
  </si>
  <si>
    <t>06/09/2025 17:30</t>
  </si>
  <si>
    <t>06/09/2025 17:45</t>
  </si>
  <si>
    <t>06/09/2025 18:00</t>
  </si>
  <si>
    <t>06/09/2025 18:15</t>
  </si>
  <si>
    <t>06/09/2025 18:30</t>
  </si>
  <si>
    <t>06/09/2025 18:45</t>
  </si>
  <si>
    <t>06/09/2025 19:00</t>
  </si>
  <si>
    <t>06/09/2025 19:15</t>
  </si>
  <si>
    <t>06/09/2025 19:30</t>
  </si>
  <si>
    <t>06/09/2025 19:45</t>
  </si>
  <si>
    <t>06/09/2025 20:00</t>
  </si>
  <si>
    <t>06/09/2025 20:15</t>
  </si>
  <si>
    <t>06/09/2025 20:30</t>
  </si>
  <si>
    <t>06/09/2025 20:45</t>
  </si>
  <si>
    <t>06/09/2025 21:00</t>
  </si>
  <si>
    <t>06/09/2025 21:15</t>
  </si>
  <si>
    <t>06/09/2025 21:30</t>
  </si>
  <si>
    <t>06/09/2025 21:45</t>
  </si>
  <si>
    <t>06/09/2025 22:00</t>
  </si>
  <si>
    <t>06/09/2025 22:15</t>
  </si>
  <si>
    <t>06/09/2025 22:30</t>
  </si>
  <si>
    <t>06/09/2025 22:45</t>
  </si>
  <si>
    <t>06/09/2025 23:00</t>
  </si>
  <si>
    <t>06/09/2025 23:15</t>
  </si>
  <si>
    <t>06/09/2025 23:30</t>
  </si>
  <si>
    <t>06/09/2025 23:45</t>
  </si>
  <si>
    <t>06/09/2025 24:00</t>
  </si>
  <si>
    <t>07/09/2025 00:15</t>
  </si>
  <si>
    <t>07/09/2025 00:30</t>
  </si>
  <si>
    <t>07/09/2025 00:45</t>
  </si>
  <si>
    <t>07/09/2025 01:00</t>
  </si>
  <si>
    <t>07/09/2025 01:15</t>
  </si>
  <si>
    <t>07/09/2025 01:30</t>
  </si>
  <si>
    <t>07/09/2025 01:45</t>
  </si>
  <si>
    <t>07/09/2025 02:00</t>
  </si>
  <si>
    <t>07/09/2025 02:15</t>
  </si>
  <si>
    <t>07/09/2025 02:30</t>
  </si>
  <si>
    <t>07/09/2025 02:45</t>
  </si>
  <si>
    <t>07/09/2025 03:00</t>
  </si>
  <si>
    <t>07/09/2025 03:15</t>
  </si>
  <si>
    <t>07/09/2025 03:30</t>
  </si>
  <si>
    <t>07/09/2025 03:45</t>
  </si>
  <si>
    <t>07/09/2025 04:00</t>
  </si>
  <si>
    <t>07/09/2025 04:15</t>
  </si>
  <si>
    <t>07/09/2025 04:30</t>
  </si>
  <si>
    <t>07/09/2025 04:45</t>
  </si>
  <si>
    <t>07/09/2025 05:00</t>
  </si>
  <si>
    <t>07/09/2025 05:15</t>
  </si>
  <si>
    <t>07/09/2025 05:30</t>
  </si>
  <si>
    <t>07/09/2025 05:45</t>
  </si>
  <si>
    <t>07/09/2025 06:00</t>
  </si>
  <si>
    <t>07/09/2025 06:15</t>
  </si>
  <si>
    <t>07/09/2025 06:30</t>
  </si>
  <si>
    <t>07/09/2025 06:45</t>
  </si>
  <si>
    <t>07/09/2025 07:00</t>
  </si>
  <si>
    <t>07/09/2025 07:15</t>
  </si>
  <si>
    <t>07/09/2025 07:30</t>
  </si>
  <si>
    <t>07/09/2025 07:45</t>
  </si>
  <si>
    <t>07/09/2025 08:00</t>
  </si>
  <si>
    <t>07/09/2025 08:15</t>
  </si>
  <si>
    <t>07/09/2025 08:30</t>
  </si>
  <si>
    <t>07/09/2025 08:45</t>
  </si>
  <si>
    <t>07/09/2025 09:00</t>
  </si>
  <si>
    <t>07/09/2025 09:15</t>
  </si>
  <si>
    <t>07/09/2025 09:30</t>
  </si>
  <si>
    <t>07/09/2025 09:45</t>
  </si>
  <si>
    <t>07/09/2025 10:00</t>
  </si>
  <si>
    <t>07/09/2025 10:15</t>
  </si>
  <si>
    <t>07/09/2025 10:30</t>
  </si>
  <si>
    <t>07/09/2025 10:45</t>
  </si>
  <si>
    <t>07/09/2025 11:00</t>
  </si>
  <si>
    <t>07/09/2025 11:15</t>
  </si>
  <si>
    <t>07/09/2025 11:30</t>
  </si>
  <si>
    <t>07/09/2025 11:45</t>
  </si>
  <si>
    <t>07/09/2025 12:00</t>
  </si>
  <si>
    <t>07/09/2025 12:15</t>
  </si>
  <si>
    <t>07/09/2025 12:30</t>
  </si>
  <si>
    <t>07/09/2025 12:45</t>
  </si>
  <si>
    <t>07/09/2025 13:00</t>
  </si>
  <si>
    <t>07/09/2025 13:15</t>
  </si>
  <si>
    <t>07/09/2025 13:30</t>
  </si>
  <si>
    <t>07/09/2025 13:45</t>
  </si>
  <si>
    <t>07/09/2025 14:00</t>
  </si>
  <si>
    <t>07/09/2025 14:15</t>
  </si>
  <si>
    <t>07/09/2025 14:30</t>
  </si>
  <si>
    <t>07/09/2025 14:45</t>
  </si>
  <si>
    <t>07/09/2025 15:00</t>
  </si>
  <si>
    <t>07/09/2025 15:15</t>
  </si>
  <si>
    <t>07/09/2025 15:30</t>
  </si>
  <si>
    <t>07/09/2025 15:45</t>
  </si>
  <si>
    <t>07/09/2025 16:00</t>
  </si>
  <si>
    <t>07/09/2025 16:15</t>
  </si>
  <si>
    <t>07/09/2025 16:30</t>
  </si>
  <si>
    <t>07/09/2025 16:45</t>
  </si>
  <si>
    <t>07/09/2025 17:00</t>
  </si>
  <si>
    <t>07/09/2025 17:15</t>
  </si>
  <si>
    <t>07/09/2025 17:30</t>
  </si>
  <si>
    <t>07/09/2025 17:45</t>
  </si>
  <si>
    <t>07/09/2025 18:00</t>
  </si>
  <si>
    <t>07/09/2025 18:15</t>
  </si>
  <si>
    <t>07/09/2025 18:30</t>
  </si>
  <si>
    <t>07/09/2025 18:45</t>
  </si>
  <si>
    <t>07/09/2025 19:00</t>
  </si>
  <si>
    <t>07/09/2025 19:15</t>
  </si>
  <si>
    <t>07/09/2025 19:30</t>
  </si>
  <si>
    <t>07/09/2025 19:45</t>
  </si>
  <si>
    <t>07/09/2025 20:00</t>
  </si>
  <si>
    <t>07/09/2025 20:15</t>
  </si>
  <si>
    <t>07/09/2025 20:30</t>
  </si>
  <si>
    <t>07/09/2025 20:45</t>
  </si>
  <si>
    <t>07/09/2025 21:00</t>
  </si>
  <si>
    <t>07/09/2025 21:15</t>
  </si>
  <si>
    <t>07/09/2025 21:30</t>
  </si>
  <si>
    <t>07/09/2025 21:45</t>
  </si>
  <si>
    <t>07/09/2025 22:00</t>
  </si>
  <si>
    <t>07/09/2025 22:15</t>
  </si>
  <si>
    <t>07/09/2025 22:30</t>
  </si>
  <si>
    <t>07/09/2025 22:45</t>
  </si>
  <si>
    <t>07/09/2025 23:00</t>
  </si>
  <si>
    <t>07/09/2025 23:15</t>
  </si>
  <si>
    <t>07/09/2025 23:30</t>
  </si>
  <si>
    <t>07/09/2025 23:45</t>
  </si>
  <si>
    <t>07/09/2025 24:00</t>
  </si>
  <si>
    <t>08/09/2025 00:15</t>
  </si>
  <si>
    <t>08/09/2025 00:30</t>
  </si>
  <si>
    <t>08/09/2025 00:45</t>
  </si>
  <si>
    <t>08/09/2025 01:00</t>
  </si>
  <si>
    <t>08/09/2025 01:15</t>
  </si>
  <si>
    <t>08/09/2025 01:30</t>
  </si>
  <si>
    <t>08/09/2025 01:45</t>
  </si>
  <si>
    <t>08/09/2025 02:00</t>
  </si>
  <si>
    <t>08/09/2025 02:15</t>
  </si>
  <si>
    <t>08/09/2025 02:30</t>
  </si>
  <si>
    <t>08/09/2025 02:45</t>
  </si>
  <si>
    <t>08/09/2025 03:00</t>
  </si>
  <si>
    <t>08/09/2025 03:15</t>
  </si>
  <si>
    <t>08/09/2025 03:30</t>
  </si>
  <si>
    <t>08/09/2025 03:45</t>
  </si>
  <si>
    <t>08/09/2025 04:00</t>
  </si>
  <si>
    <t>08/09/2025 04:15</t>
  </si>
  <si>
    <t>08/09/2025 04:30</t>
  </si>
  <si>
    <t>08/09/2025 04:45</t>
  </si>
  <si>
    <t>08/09/2025 05:00</t>
  </si>
  <si>
    <t>08/09/2025 05:15</t>
  </si>
  <si>
    <t>08/09/2025 05:30</t>
  </si>
  <si>
    <t>08/09/2025 05:45</t>
  </si>
  <si>
    <t>08/09/2025 06:00</t>
  </si>
  <si>
    <t>08/09/2025 06:15</t>
  </si>
  <si>
    <t>08/09/2025 06:30</t>
  </si>
  <si>
    <t>08/09/2025 06:45</t>
  </si>
  <si>
    <t>08/09/2025 07:00</t>
  </si>
  <si>
    <t>08/09/2025 07:15</t>
  </si>
  <si>
    <t>08/09/2025 07:30</t>
  </si>
  <si>
    <t>08/09/2025 07:45</t>
  </si>
  <si>
    <t>08/09/2025 08:00</t>
  </si>
  <si>
    <t>08/09/2025 08:15</t>
  </si>
  <si>
    <t>08/09/2025 08:30</t>
  </si>
  <si>
    <t>08/09/2025 08:45</t>
  </si>
  <si>
    <t>08/09/2025 09:00</t>
  </si>
  <si>
    <t>08/09/2025 09:15</t>
  </si>
  <si>
    <t>08/09/2025 09:30</t>
  </si>
  <si>
    <t>08/09/2025 09:45</t>
  </si>
  <si>
    <t>08/09/2025 10:00</t>
  </si>
  <si>
    <t>08/09/2025 10:15</t>
  </si>
  <si>
    <t>08/09/2025 10:30</t>
  </si>
  <si>
    <t>08/09/2025 10:45</t>
  </si>
  <si>
    <t>08/09/2025 11:00</t>
  </si>
  <si>
    <t>08/09/2025 11:15</t>
  </si>
  <si>
    <t>08/09/2025 11:30</t>
  </si>
  <si>
    <t>08/09/2025 11:45</t>
  </si>
  <si>
    <t>08/09/2025 12:00</t>
  </si>
  <si>
    <t>08/09/2025 12:15</t>
  </si>
  <si>
    <t>08/09/2025 12:30</t>
  </si>
  <si>
    <t>08/09/2025 12:45</t>
  </si>
  <si>
    <t>08/09/2025 13:00</t>
  </si>
  <si>
    <t>08/09/2025 13:15</t>
  </si>
  <si>
    <t>08/09/2025 13:30</t>
  </si>
  <si>
    <t>08/09/2025 13:45</t>
  </si>
  <si>
    <t>08/09/2025 14:00</t>
  </si>
  <si>
    <t>08/09/2025 14:15</t>
  </si>
  <si>
    <t>08/09/2025 14:30</t>
  </si>
  <si>
    <t>08/09/2025 14:45</t>
  </si>
  <si>
    <t>08/09/2025 15:00</t>
  </si>
  <si>
    <t>08/09/2025 15:15</t>
  </si>
  <si>
    <t>08/09/2025 15:30</t>
  </si>
  <si>
    <t>08/09/2025 15:45</t>
  </si>
  <si>
    <t>08/09/2025 16:00</t>
  </si>
  <si>
    <t>08/09/2025 16:15</t>
  </si>
  <si>
    <t>08/09/2025 16:30</t>
  </si>
  <si>
    <t>08/09/2025 16:45</t>
  </si>
  <si>
    <t>08/09/2025 17:00</t>
  </si>
  <si>
    <t>08/09/2025 17:15</t>
  </si>
  <si>
    <t>08/09/2025 17:30</t>
  </si>
  <si>
    <t>08/09/2025 17:45</t>
  </si>
  <si>
    <t>08/09/2025 18:00</t>
  </si>
  <si>
    <t>08/09/2025 18:15</t>
  </si>
  <si>
    <t>08/09/2025 18:30</t>
  </si>
  <si>
    <t>08/09/2025 18:45</t>
  </si>
  <si>
    <t>08/09/2025 19:00</t>
  </si>
  <si>
    <t>08/09/2025 19:15</t>
  </si>
  <si>
    <t>08/09/2025 19:30</t>
  </si>
  <si>
    <t>08/09/2025 19:45</t>
  </si>
  <si>
    <t>08/09/2025 20:00</t>
  </si>
  <si>
    <t>08/09/2025 20:15</t>
  </si>
  <si>
    <t>08/09/2025 20:30</t>
  </si>
  <si>
    <t>08/09/2025 20:45</t>
  </si>
  <si>
    <t>08/09/2025 21:00</t>
  </si>
  <si>
    <t>08/09/2025 21:15</t>
  </si>
  <si>
    <t>08/09/2025 21:30</t>
  </si>
  <si>
    <t>08/09/2025 21:45</t>
  </si>
  <si>
    <t>08/09/2025 22:00</t>
  </si>
  <si>
    <t>08/09/2025 22:15</t>
  </si>
  <si>
    <t>08/09/2025 22:30</t>
  </si>
  <si>
    <t>08/09/2025 22:45</t>
  </si>
  <si>
    <t>08/09/2025 23:00</t>
  </si>
  <si>
    <t>08/09/2025 23:15</t>
  </si>
  <si>
    <t>08/09/2025 23:30</t>
  </si>
  <si>
    <t>08/09/2025 23:45</t>
  </si>
  <si>
    <t>08/09/2025 24:00</t>
  </si>
  <si>
    <t>09/09/2025 00:15</t>
  </si>
  <si>
    <t>09/09/2025 00:30</t>
  </si>
  <si>
    <t>09/09/2025 00:45</t>
  </si>
  <si>
    <t>09/09/2025 01:00</t>
  </si>
  <si>
    <t>09/09/2025 01:15</t>
  </si>
  <si>
    <t>09/09/2025 01:30</t>
  </si>
  <si>
    <t>09/09/2025 01:45</t>
  </si>
  <si>
    <t>09/09/2025 02:00</t>
  </si>
  <si>
    <t>09/09/2025 02:15</t>
  </si>
  <si>
    <t>09/09/2025 02:30</t>
  </si>
  <si>
    <t>09/09/2025 02:45</t>
  </si>
  <si>
    <t>09/09/2025 03:00</t>
  </si>
  <si>
    <t>09/09/2025 03:15</t>
  </si>
  <si>
    <t>09/09/2025 03:30</t>
  </si>
  <si>
    <t>09/09/2025 03:45</t>
  </si>
  <si>
    <t>09/09/2025 04:00</t>
  </si>
  <si>
    <t>09/09/2025 04:15</t>
  </si>
  <si>
    <t>09/09/2025 04:30</t>
  </si>
  <si>
    <t>09/09/2025 04:45</t>
  </si>
  <si>
    <t>09/09/2025 05:00</t>
  </si>
  <si>
    <t>09/09/2025 05:15</t>
  </si>
  <si>
    <t>09/09/2025 05:30</t>
  </si>
  <si>
    <t>09/09/2025 05:45</t>
  </si>
  <si>
    <t>09/09/2025 06:00</t>
  </si>
  <si>
    <t>09/09/2025 06:15</t>
  </si>
  <si>
    <t>09/09/2025 06:30</t>
  </si>
  <si>
    <t>09/09/2025 06:45</t>
  </si>
  <si>
    <t>09/09/2025 07:00</t>
  </si>
  <si>
    <t>09/09/2025 07:15</t>
  </si>
  <si>
    <t>09/09/2025 07:30</t>
  </si>
  <si>
    <t>09/09/2025 07:45</t>
  </si>
  <si>
    <t>09/09/2025 08:00</t>
  </si>
  <si>
    <t>09/09/2025 08:15</t>
  </si>
  <si>
    <t>09/09/2025 08:30</t>
  </si>
  <si>
    <t>09/09/2025 08:45</t>
  </si>
  <si>
    <t>09/09/2025 09:00</t>
  </si>
  <si>
    <t>09/09/2025 09:15</t>
  </si>
  <si>
    <t>09/09/2025 09:30</t>
  </si>
  <si>
    <t>09/09/2025 09:45</t>
  </si>
  <si>
    <t>09/09/2025 10:00</t>
  </si>
  <si>
    <t>09/09/2025 10:15</t>
  </si>
  <si>
    <t>09/09/2025 10:30</t>
  </si>
  <si>
    <t>09/09/2025 10:45</t>
  </si>
  <si>
    <t>09/09/2025 11:00</t>
  </si>
  <si>
    <t>09/09/2025 11:15</t>
  </si>
  <si>
    <t>09/09/2025 11:30</t>
  </si>
  <si>
    <t>09/09/2025 11:45</t>
  </si>
  <si>
    <t>09/09/2025 12:00</t>
  </si>
  <si>
    <t>09/09/2025 12:15</t>
  </si>
  <si>
    <t>09/09/2025 12:30</t>
  </si>
  <si>
    <t>09/09/2025 12:45</t>
  </si>
  <si>
    <t>09/09/2025 13:00</t>
  </si>
  <si>
    <t>09/09/2025 13:15</t>
  </si>
  <si>
    <t>09/09/2025 13:30</t>
  </si>
  <si>
    <t>09/09/2025 13:45</t>
  </si>
  <si>
    <t>09/09/2025 14:00</t>
  </si>
  <si>
    <t>09/09/2025 14:15</t>
  </si>
  <si>
    <t>09/09/2025 14:30</t>
  </si>
  <si>
    <t>09/09/2025 14:45</t>
  </si>
  <si>
    <t>09/09/2025 15:00</t>
  </si>
  <si>
    <t>09/09/2025 15:15</t>
  </si>
  <si>
    <t>09/09/2025 15:30</t>
  </si>
  <si>
    <t>09/09/2025 15:45</t>
  </si>
  <si>
    <t>09/09/2025 16:00</t>
  </si>
  <si>
    <t>09/09/2025 16:15</t>
  </si>
  <si>
    <t>09/09/2025 16:30</t>
  </si>
  <si>
    <t>09/09/2025 16:45</t>
  </si>
  <si>
    <t>09/09/2025 17:00</t>
  </si>
  <si>
    <t>09/09/2025 17:15</t>
  </si>
  <si>
    <t>09/09/2025 17:30</t>
  </si>
  <si>
    <t>09/09/2025 17:45</t>
  </si>
  <si>
    <t>09/09/2025 18:00</t>
  </si>
  <si>
    <t>09/09/2025 18:15</t>
  </si>
  <si>
    <t>09/09/2025 18:30</t>
  </si>
  <si>
    <t>09/09/2025 18:45</t>
  </si>
  <si>
    <t>09/09/2025 19:00</t>
  </si>
  <si>
    <t>09/09/2025 19:15</t>
  </si>
  <si>
    <t>09/09/2025 19:30</t>
  </si>
  <si>
    <t>09/09/2025 19:45</t>
  </si>
  <si>
    <t>09/09/2025 20:00</t>
  </si>
  <si>
    <t>09/09/2025 20:15</t>
  </si>
  <si>
    <t>09/09/2025 20:30</t>
  </si>
  <si>
    <t>09/09/2025 20:45</t>
  </si>
  <si>
    <t>09/09/2025 21:00</t>
  </si>
  <si>
    <t>09/09/2025 21:15</t>
  </si>
  <si>
    <t>09/09/2025 21:30</t>
  </si>
  <si>
    <t>09/09/2025 21:45</t>
  </si>
  <si>
    <t>09/09/2025 22:00</t>
  </si>
  <si>
    <t>09/09/2025 22:15</t>
  </si>
  <si>
    <t>09/09/2025 22:30</t>
  </si>
  <si>
    <t>09/09/2025 22:45</t>
  </si>
  <si>
    <t>09/09/2025 23:00</t>
  </si>
  <si>
    <t>09/09/2025 23:15</t>
  </si>
  <si>
    <t>09/09/2025 23:30</t>
  </si>
  <si>
    <t>09/09/2025 23:45</t>
  </si>
  <si>
    <t>09/09/2025 24:00</t>
  </si>
  <si>
    <t>10/09/2025 00:15</t>
  </si>
  <si>
    <t>10/09/2025 00:30</t>
  </si>
  <si>
    <t>10/09/2025 00:45</t>
  </si>
  <si>
    <t>10/09/2025 01:00</t>
  </si>
  <si>
    <t>10/09/2025 01:15</t>
  </si>
  <si>
    <t>10/09/2025 01:30</t>
  </si>
  <si>
    <t>10/09/2025 01:45</t>
  </si>
  <si>
    <t>10/09/2025 02:00</t>
  </si>
  <si>
    <t>10/09/2025 02:15</t>
  </si>
  <si>
    <t>10/09/2025 02:30</t>
  </si>
  <si>
    <t>10/09/2025 02:45</t>
  </si>
  <si>
    <t>10/09/2025 03:00</t>
  </si>
  <si>
    <t>10/09/2025 03:15</t>
  </si>
  <si>
    <t>10/09/2025 03:30</t>
  </si>
  <si>
    <t>10/09/2025 03:45</t>
  </si>
  <si>
    <t>10/09/2025 04:00</t>
  </si>
  <si>
    <t>10/09/2025 04:15</t>
  </si>
  <si>
    <t>10/09/2025 04:30</t>
  </si>
  <si>
    <t>10/09/2025 04:45</t>
  </si>
  <si>
    <t>10/09/2025 05:00</t>
  </si>
  <si>
    <t>10/09/2025 05:15</t>
  </si>
  <si>
    <t>10/09/2025 05:30</t>
  </si>
  <si>
    <t>10/09/2025 05:45</t>
  </si>
  <si>
    <t>10/09/2025 06:00</t>
  </si>
  <si>
    <t>10/09/2025 06:15</t>
  </si>
  <si>
    <t>10/09/2025 06:30</t>
  </si>
  <si>
    <t>10/09/2025 06:45</t>
  </si>
  <si>
    <t>10/09/2025 07:00</t>
  </si>
  <si>
    <t>10/09/2025 07:15</t>
  </si>
  <si>
    <t>10/09/2025 07:30</t>
  </si>
  <si>
    <t>10/09/2025 07:45</t>
  </si>
  <si>
    <t>10/09/2025 08:00</t>
  </si>
  <si>
    <t>10/09/2025 08:15</t>
  </si>
  <si>
    <t>10/09/2025 08:30</t>
  </si>
  <si>
    <t>10/09/2025 08:45</t>
  </si>
  <si>
    <t>10/09/2025 09:00</t>
  </si>
  <si>
    <t>10/09/2025 09:15</t>
  </si>
  <si>
    <t>10/09/2025 09:30</t>
  </si>
  <si>
    <t>10/09/2025 09:45</t>
  </si>
  <si>
    <t>10/09/2025 10:00</t>
  </si>
  <si>
    <t>10/09/2025 10:15</t>
  </si>
  <si>
    <t>10/09/2025 10:30</t>
  </si>
  <si>
    <t>10/09/2025 10:45</t>
  </si>
  <si>
    <t>10/09/2025 11:00</t>
  </si>
  <si>
    <t>10/09/2025 11:15</t>
  </si>
  <si>
    <t>10/09/2025 11:30</t>
  </si>
  <si>
    <t>10/09/2025 11:45</t>
  </si>
  <si>
    <t>10/09/2025 12:00</t>
  </si>
  <si>
    <t>10/09/2025 12:15</t>
  </si>
  <si>
    <t>10/09/2025 12:30</t>
  </si>
  <si>
    <t>10/09/2025 12:45</t>
  </si>
  <si>
    <t>10/09/2025 13:00</t>
  </si>
  <si>
    <t>10/09/2025 13:15</t>
  </si>
  <si>
    <t>10/09/2025 13:30</t>
  </si>
  <si>
    <t>10/09/2025 13:45</t>
  </si>
  <si>
    <t>10/09/2025 14:00</t>
  </si>
  <si>
    <t>10/09/2025 14:15</t>
  </si>
  <si>
    <t>10/09/2025 14:30</t>
  </si>
  <si>
    <t>10/09/2025 14:45</t>
  </si>
  <si>
    <t>10/09/2025 15:00</t>
  </si>
  <si>
    <t>10/09/2025 15:15</t>
  </si>
  <si>
    <t>10/09/2025 15:30</t>
  </si>
  <si>
    <t>10/09/2025 15:45</t>
  </si>
  <si>
    <t>10/09/2025 16:00</t>
  </si>
  <si>
    <t>10/09/2025 16:15</t>
  </si>
  <si>
    <t>10/09/2025 16:30</t>
  </si>
  <si>
    <t>10/09/2025 16:45</t>
  </si>
  <si>
    <t>10/09/2025 17:00</t>
  </si>
  <si>
    <t>10/09/2025 17:15</t>
  </si>
  <si>
    <t>10/09/2025 17:30</t>
  </si>
  <si>
    <t>10/09/2025 17:45</t>
  </si>
  <si>
    <t>10/09/2025 18:00</t>
  </si>
  <si>
    <t>10/09/2025 18:15</t>
  </si>
  <si>
    <t>10/09/2025 18:30</t>
  </si>
  <si>
    <t>10/09/2025 18:45</t>
  </si>
  <si>
    <t>10/09/2025 19:00</t>
  </si>
  <si>
    <t>10/09/2025 19:15</t>
  </si>
  <si>
    <t>10/09/2025 19:30</t>
  </si>
  <si>
    <t>10/09/2025 19:45</t>
  </si>
  <si>
    <t>10/09/2025 20:00</t>
  </si>
  <si>
    <t>10/09/2025 20:15</t>
  </si>
  <si>
    <t>10/09/2025 20:30</t>
  </si>
  <si>
    <t>10/09/2025 20:45</t>
  </si>
  <si>
    <t>10/09/2025 21:00</t>
  </si>
  <si>
    <t>10/09/2025 21:15</t>
  </si>
  <si>
    <t>10/09/2025 21:30</t>
  </si>
  <si>
    <t>10/09/2025 21:45</t>
  </si>
  <si>
    <t>10/09/2025 22:00</t>
  </si>
  <si>
    <t>10/09/2025 22:15</t>
  </si>
  <si>
    <t>10/09/2025 22:30</t>
  </si>
  <si>
    <t>10/09/2025 22:45</t>
  </si>
  <si>
    <t>10/09/2025 23:00</t>
  </si>
  <si>
    <t>10/09/2025 23:15</t>
  </si>
  <si>
    <t>10/09/2025 23:30</t>
  </si>
  <si>
    <t>10/09/2025 23:45</t>
  </si>
  <si>
    <t>10/09/2025 24:00</t>
  </si>
  <si>
    <t>11/09/2025 00:15</t>
  </si>
  <si>
    <t>11/09/2025 00:30</t>
  </si>
  <si>
    <t>11/09/2025 00:45</t>
  </si>
  <si>
    <t>11/09/2025 01:00</t>
  </si>
  <si>
    <t>11/09/2025 01:15</t>
  </si>
  <si>
    <t>11/09/2025 01:30</t>
  </si>
  <si>
    <t>11/09/2025 01:45</t>
  </si>
  <si>
    <t>11/09/2025 02:00</t>
  </si>
  <si>
    <t>11/09/2025 02:15</t>
  </si>
  <si>
    <t>11/09/2025 02:30</t>
  </si>
  <si>
    <t>11/09/2025 02:45</t>
  </si>
  <si>
    <t>11/09/2025 03:00</t>
  </si>
  <si>
    <t>11/09/2025 03:15</t>
  </si>
  <si>
    <t>11/09/2025 03:30</t>
  </si>
  <si>
    <t>11/09/2025 03:45</t>
  </si>
  <si>
    <t>11/09/2025 04:00</t>
  </si>
  <si>
    <t>11/09/2025 04:15</t>
  </si>
  <si>
    <t>11/09/2025 04:30</t>
  </si>
  <si>
    <t>11/09/2025 04:45</t>
  </si>
  <si>
    <t>11/09/2025 05:00</t>
  </si>
  <si>
    <t>11/09/2025 05:15</t>
  </si>
  <si>
    <t>11/09/2025 05:30</t>
  </si>
  <si>
    <t>11/09/2025 05:45</t>
  </si>
  <si>
    <t>11/09/2025 06:00</t>
  </si>
  <si>
    <t>11/09/2025 06:15</t>
  </si>
  <si>
    <t>11/09/2025 06:30</t>
  </si>
  <si>
    <t>11/09/2025 06:45</t>
  </si>
  <si>
    <t>11/09/2025 07:00</t>
  </si>
  <si>
    <t>11/09/2025 07:15</t>
  </si>
  <si>
    <t>11/09/2025 07:30</t>
  </si>
  <si>
    <t>11/09/2025 07:45</t>
  </si>
  <si>
    <t>11/09/2025 08:00</t>
  </si>
  <si>
    <t>11/09/2025 08:15</t>
  </si>
  <si>
    <t>11/09/2025 08:30</t>
  </si>
  <si>
    <t>11/09/2025 08:45</t>
  </si>
  <si>
    <t>11/09/2025 09:00</t>
  </si>
  <si>
    <t>11/09/2025 09:15</t>
  </si>
  <si>
    <t>11/09/2025 09:30</t>
  </si>
  <si>
    <t>11/09/2025 09:45</t>
  </si>
  <si>
    <t>11/09/2025 10:00</t>
  </si>
  <si>
    <t>11/09/2025 10:15</t>
  </si>
  <si>
    <t>11/09/2025 10:30</t>
  </si>
  <si>
    <t>11/09/2025 10:45</t>
  </si>
  <si>
    <t>11/09/2025 11:00</t>
  </si>
  <si>
    <t>11/09/2025 11:15</t>
  </si>
  <si>
    <t>11/09/2025 11:30</t>
  </si>
  <si>
    <t>11/09/2025 11:45</t>
  </si>
  <si>
    <t>11/09/2025 12:00</t>
  </si>
  <si>
    <t>11/09/2025 12:15</t>
  </si>
  <si>
    <t>11/09/2025 12:30</t>
  </si>
  <si>
    <t>11/09/2025 12:45</t>
  </si>
  <si>
    <t>11/09/2025 13:00</t>
  </si>
  <si>
    <t>11/09/2025 13:15</t>
  </si>
  <si>
    <t>11/09/2025 13:30</t>
  </si>
  <si>
    <t>11/09/2025 13:45</t>
  </si>
  <si>
    <t>11/09/2025 14:00</t>
  </si>
  <si>
    <t>11/09/2025 14:15</t>
  </si>
  <si>
    <t>11/09/2025 14:30</t>
  </si>
  <si>
    <t>11/09/2025 14:45</t>
  </si>
  <si>
    <t>11/09/2025 15:00</t>
  </si>
  <si>
    <t>11/09/2025 15:15</t>
  </si>
  <si>
    <t>11/09/2025 15:30</t>
  </si>
  <si>
    <t>11/09/2025 15:45</t>
  </si>
  <si>
    <t>11/09/2025 16:00</t>
  </si>
  <si>
    <t>11/09/2025 16:15</t>
  </si>
  <si>
    <t>11/09/2025 16:30</t>
  </si>
  <si>
    <t>11/09/2025 16:45</t>
  </si>
  <si>
    <t>11/09/2025 17:00</t>
  </si>
  <si>
    <t>11/09/2025 17:15</t>
  </si>
  <si>
    <t>11/09/2025 17:30</t>
  </si>
  <si>
    <t>11/09/2025 17:45</t>
  </si>
  <si>
    <t>11/09/2025 18:00</t>
  </si>
  <si>
    <t>11/09/2025 18:15</t>
  </si>
  <si>
    <t>11/09/2025 18:30</t>
  </si>
  <si>
    <t>11/09/2025 18:45</t>
  </si>
  <si>
    <t>11/09/2025 19:00</t>
  </si>
  <si>
    <t>11/09/2025 19:15</t>
  </si>
  <si>
    <t>11/09/2025 19:30</t>
  </si>
  <si>
    <t>11/09/2025 19:45</t>
  </si>
  <si>
    <t>11/09/2025 20:00</t>
  </si>
  <si>
    <t>11/09/2025 20:15</t>
  </si>
  <si>
    <t>11/09/2025 20:30</t>
  </si>
  <si>
    <t>11/09/2025 20:45</t>
  </si>
  <si>
    <t>11/09/2025 21:00</t>
  </si>
  <si>
    <t>11/09/2025 21:15</t>
  </si>
  <si>
    <t>11/09/2025 21:30</t>
  </si>
  <si>
    <t>11/09/2025 21:45</t>
  </si>
  <si>
    <t>11/09/2025 22:00</t>
  </si>
  <si>
    <t>11/09/2025 22:15</t>
  </si>
  <si>
    <t>11/09/2025 22:30</t>
  </si>
  <si>
    <t>11/09/2025 22:45</t>
  </si>
  <si>
    <t>11/09/2025 23:00</t>
  </si>
  <si>
    <t>11/09/2025 23:15</t>
  </si>
  <si>
    <t>11/09/2025 23:30</t>
  </si>
  <si>
    <t>11/09/2025 23:45</t>
  </si>
  <si>
    <t>11/09/2025 24:00</t>
  </si>
  <si>
    <t>12/09/2025 00:15</t>
  </si>
  <si>
    <t>12/09/2025 00:30</t>
  </si>
  <si>
    <t>12/09/2025 00:45</t>
  </si>
  <si>
    <t>12/09/2025 01:00</t>
  </si>
  <si>
    <t>12/09/2025 01:15</t>
  </si>
  <si>
    <t>12/09/2025 01:30</t>
  </si>
  <si>
    <t>12/09/2025 01:45</t>
  </si>
  <si>
    <t>12/09/2025 02:00</t>
  </si>
  <si>
    <t>12/09/2025 02:15</t>
  </si>
  <si>
    <t>12/09/2025 02:30</t>
  </si>
  <si>
    <t>12/09/2025 02:45</t>
  </si>
  <si>
    <t>12/09/2025 03:00</t>
  </si>
  <si>
    <t>12/09/2025 03:15</t>
  </si>
  <si>
    <t>12/09/2025 03:30</t>
  </si>
  <si>
    <t>12/09/2025 03:45</t>
  </si>
  <si>
    <t>12/09/2025 04:00</t>
  </si>
  <si>
    <t>12/09/2025 04:15</t>
  </si>
  <si>
    <t>12/09/2025 04:30</t>
  </si>
  <si>
    <t>12/09/2025 04:45</t>
  </si>
  <si>
    <t>12/09/2025 05:00</t>
  </si>
  <si>
    <t>12/09/2025 05:15</t>
  </si>
  <si>
    <t>12/09/2025 05:30</t>
  </si>
  <si>
    <t>12/09/2025 05:45</t>
  </si>
  <si>
    <t>12/09/2025 06:00</t>
  </si>
  <si>
    <t>12/09/2025 06:15</t>
  </si>
  <si>
    <t>12/09/2025 06:30</t>
  </si>
  <si>
    <t>12/09/2025 06:45</t>
  </si>
  <si>
    <t>12/09/2025 07:00</t>
  </si>
  <si>
    <t>12/09/2025 07:15</t>
  </si>
  <si>
    <t>12/09/2025 07:30</t>
  </si>
  <si>
    <t>12/09/2025 07:45</t>
  </si>
  <si>
    <t>12/09/2025 08:00</t>
  </si>
  <si>
    <t>12/09/2025 08:15</t>
  </si>
  <si>
    <t>12/09/2025 08:30</t>
  </si>
  <si>
    <t>12/09/2025 08:45</t>
  </si>
  <si>
    <t>12/09/2025 09:00</t>
  </si>
  <si>
    <t>12/09/2025 09:15</t>
  </si>
  <si>
    <t>12/09/2025 09:30</t>
  </si>
  <si>
    <t>12/09/2025 09:45</t>
  </si>
  <si>
    <t>12/09/2025 10:00</t>
  </si>
  <si>
    <t>12/09/2025 10:15</t>
  </si>
  <si>
    <t>12/09/2025 10:30</t>
  </si>
  <si>
    <t>12/09/2025 10:45</t>
  </si>
  <si>
    <t>12/09/2025 11:00</t>
  </si>
  <si>
    <t>12/09/2025 11:15</t>
  </si>
  <si>
    <t>12/09/2025 11:30</t>
  </si>
  <si>
    <t>12/09/2025 11:45</t>
  </si>
  <si>
    <t>12/09/2025 12:00</t>
  </si>
  <si>
    <t>12/09/2025 12:15</t>
  </si>
  <si>
    <t>12/09/2025 12:30</t>
  </si>
  <si>
    <t>12/09/2025 12:45</t>
  </si>
  <si>
    <t>12/09/2025 13:00</t>
  </si>
  <si>
    <t>12/09/2025 13:15</t>
  </si>
  <si>
    <t>12/09/2025 13:30</t>
  </si>
  <si>
    <t>12/09/2025 13:45</t>
  </si>
  <si>
    <t>12/09/2025 14:00</t>
  </si>
  <si>
    <t>12/09/2025 14:15</t>
  </si>
  <si>
    <t>12/09/2025 14:30</t>
  </si>
  <si>
    <t>12/09/2025 14:45</t>
  </si>
  <si>
    <t>12/09/2025 15:00</t>
  </si>
  <si>
    <t>12/09/2025 15:15</t>
  </si>
  <si>
    <t>12/09/2025 15:30</t>
  </si>
  <si>
    <t>12/09/2025 15:45</t>
  </si>
  <si>
    <t>12/09/2025 16:00</t>
  </si>
  <si>
    <t>12/09/2025 16:15</t>
  </si>
  <si>
    <t>12/09/2025 16:30</t>
  </si>
  <si>
    <t>12/09/2025 16:45</t>
  </si>
  <si>
    <t>12/09/2025 17:00</t>
  </si>
  <si>
    <t>12/09/2025 17:15</t>
  </si>
  <si>
    <t>12/09/2025 17:30</t>
  </si>
  <si>
    <t>12/09/2025 17:45</t>
  </si>
  <si>
    <t>12/09/2025 18:00</t>
  </si>
  <si>
    <t>12/09/2025 18:15</t>
  </si>
  <si>
    <t>12/09/2025 18:30</t>
  </si>
  <si>
    <t>12/09/2025 18:45</t>
  </si>
  <si>
    <t>12/09/2025 19:00</t>
  </si>
  <si>
    <t>12/09/2025 19:15</t>
  </si>
  <si>
    <t>12/09/2025 19:30</t>
  </si>
  <si>
    <t>12/09/2025 19:45</t>
  </si>
  <si>
    <t>12/09/2025 20:00</t>
  </si>
  <si>
    <t>12/09/2025 20:15</t>
  </si>
  <si>
    <t>12/09/2025 20:30</t>
  </si>
  <si>
    <t>12/09/2025 20:45</t>
  </si>
  <si>
    <t>12/09/2025 21:00</t>
  </si>
  <si>
    <t>12/09/2025 21:15</t>
  </si>
  <si>
    <t>12/09/2025 21:30</t>
  </si>
  <si>
    <t>12/09/2025 21:45</t>
  </si>
  <si>
    <t>12/09/2025 22:00</t>
  </si>
  <si>
    <t>12/09/2025 22:15</t>
  </si>
  <si>
    <t>12/09/2025 22:30</t>
  </si>
  <si>
    <t>12/09/2025 22:45</t>
  </si>
  <si>
    <t>12/09/2025 23:00</t>
  </si>
  <si>
    <t>12/09/2025 23:15</t>
  </si>
  <si>
    <t>12/09/2025 23:30</t>
  </si>
  <si>
    <t>12/09/2025 23:45</t>
  </si>
  <si>
    <t>12/09/2025 24:00</t>
  </si>
  <si>
    <t>13/09/2025 00:15</t>
  </si>
  <si>
    <t>13/09/2025 00:30</t>
  </si>
  <si>
    <t>13/09/2025 00:45</t>
  </si>
  <si>
    <t>13/09/2025 01:00</t>
  </si>
  <si>
    <t>13/09/2025 01:15</t>
  </si>
  <si>
    <t>13/09/2025 01:30</t>
  </si>
  <si>
    <t>13/09/2025 01:45</t>
  </si>
  <si>
    <t>13/09/2025 02:00</t>
  </si>
  <si>
    <t>13/09/2025 02:15</t>
  </si>
  <si>
    <t>13/09/2025 02:30</t>
  </si>
  <si>
    <t>13/09/2025 02:45</t>
  </si>
  <si>
    <t>13/09/2025 03:00</t>
  </si>
  <si>
    <t>13/09/2025 03:15</t>
  </si>
  <si>
    <t>13/09/2025 03:30</t>
  </si>
  <si>
    <t>13/09/2025 03:45</t>
  </si>
  <si>
    <t>13/09/2025 04:00</t>
  </si>
  <si>
    <t>13/09/2025 04:15</t>
  </si>
  <si>
    <t>13/09/2025 04:30</t>
  </si>
  <si>
    <t>13/09/2025 04:45</t>
  </si>
  <si>
    <t>13/09/2025 05:00</t>
  </si>
  <si>
    <t>13/09/2025 05:15</t>
  </si>
  <si>
    <t>13/09/2025 05:30</t>
  </si>
  <si>
    <t>13/09/2025 05:45</t>
  </si>
  <si>
    <t>13/09/2025 06:00</t>
  </si>
  <si>
    <t>13/09/2025 06:15</t>
  </si>
  <si>
    <t>13/09/2025 06:30</t>
  </si>
  <si>
    <t>13/09/2025 06:45</t>
  </si>
  <si>
    <t>13/09/2025 07:00</t>
  </si>
  <si>
    <t>13/09/2025 07:15</t>
  </si>
  <si>
    <t>13/09/2025 07:30</t>
  </si>
  <si>
    <t>13/09/2025 07:45</t>
  </si>
  <si>
    <t>13/09/2025 08:00</t>
  </si>
  <si>
    <t>13/09/2025 08:15</t>
  </si>
  <si>
    <t>13/09/2025 08:30</t>
  </si>
  <si>
    <t>13/09/2025 08:45</t>
  </si>
  <si>
    <t>13/09/2025 09:00</t>
  </si>
  <si>
    <t>13/09/2025 09:15</t>
  </si>
  <si>
    <t>13/09/2025 09:30</t>
  </si>
  <si>
    <t>13/09/2025 09:45</t>
  </si>
  <si>
    <t>13/09/2025 10:00</t>
  </si>
  <si>
    <t>13/09/2025 10:15</t>
  </si>
  <si>
    <t>13/09/2025 10:30</t>
  </si>
  <si>
    <t>13/09/2025 10:45</t>
  </si>
  <si>
    <t>13/09/2025 11:00</t>
  </si>
  <si>
    <t>13/09/2025 11:15</t>
  </si>
  <si>
    <t>13/09/2025 11:30</t>
  </si>
  <si>
    <t>13/09/2025 11:45</t>
  </si>
  <si>
    <t>13/09/2025 12:00</t>
  </si>
  <si>
    <t>13/09/2025 12:15</t>
  </si>
  <si>
    <t>13/09/2025 12:30</t>
  </si>
  <si>
    <t>13/09/2025 12:45</t>
  </si>
  <si>
    <t>13/09/2025 13:00</t>
  </si>
  <si>
    <t>13/09/2025 13:15</t>
  </si>
  <si>
    <t>13/09/2025 13:30</t>
  </si>
  <si>
    <t>13/09/2025 13:45</t>
  </si>
  <si>
    <t>13/09/2025 14:00</t>
  </si>
  <si>
    <t>13/09/2025 14:15</t>
  </si>
  <si>
    <t>13/09/2025 14:30</t>
  </si>
  <si>
    <t>13/09/2025 14:45</t>
  </si>
  <si>
    <t>13/09/2025 15:00</t>
  </si>
  <si>
    <t>13/09/2025 15:15</t>
  </si>
  <si>
    <t>13/09/2025 15:30</t>
  </si>
  <si>
    <t>13/09/2025 15:45</t>
  </si>
  <si>
    <t>13/09/2025 16:00</t>
  </si>
  <si>
    <t>13/09/2025 16:15</t>
  </si>
  <si>
    <t>13/09/2025 16:30</t>
  </si>
  <si>
    <t>13/09/2025 16:45</t>
  </si>
  <si>
    <t>13/09/2025 17:00</t>
  </si>
  <si>
    <t>13/09/2025 17:15</t>
  </si>
  <si>
    <t>13/09/2025 17:30</t>
  </si>
  <si>
    <t>13/09/2025 17:45</t>
  </si>
  <si>
    <t>13/09/2025 18:00</t>
  </si>
  <si>
    <t>13/09/2025 18:15</t>
  </si>
  <si>
    <t>13/09/2025 18:30</t>
  </si>
  <si>
    <t>13/09/2025 18:45</t>
  </si>
  <si>
    <t>13/09/2025 19:00</t>
  </si>
  <si>
    <t>13/09/2025 19:15</t>
  </si>
  <si>
    <t>13/09/2025 19:30</t>
  </si>
  <si>
    <t>13/09/2025 19:45</t>
  </si>
  <si>
    <t>13/09/2025 20:00</t>
  </si>
  <si>
    <t>13/09/2025 20:15</t>
  </si>
  <si>
    <t>13/09/2025 20:30</t>
  </si>
  <si>
    <t>13/09/2025 20:45</t>
  </si>
  <si>
    <t>13/09/2025 21:00</t>
  </si>
  <si>
    <t>13/09/2025 21:15</t>
  </si>
  <si>
    <t>13/09/2025 21:30</t>
  </si>
  <si>
    <t>13/09/2025 21:45</t>
  </si>
  <si>
    <t>13/09/2025 22:00</t>
  </si>
  <si>
    <t>13/09/2025 22:15</t>
  </si>
  <si>
    <t>13/09/2025 22:30</t>
  </si>
  <si>
    <t>13/09/2025 22:45</t>
  </si>
  <si>
    <t>13/09/2025 23:00</t>
  </si>
  <si>
    <t>13/09/2025 23:15</t>
  </si>
  <si>
    <t>13/09/2025 23:30</t>
  </si>
  <si>
    <t>13/09/2025 23:45</t>
  </si>
  <si>
    <t>13/09/2025 24:00</t>
  </si>
  <si>
    <t>14/09/2025 00:15</t>
  </si>
  <si>
    <t>14/09/2025 00:30</t>
  </si>
  <si>
    <t>14/09/2025 00:45</t>
  </si>
  <si>
    <t>14/09/2025 01:00</t>
  </si>
  <si>
    <t>14/09/2025 01:15</t>
  </si>
  <si>
    <t>14/09/2025 01:30</t>
  </si>
  <si>
    <t>14/09/2025 01:45</t>
  </si>
  <si>
    <t>14/09/2025 02:00</t>
  </si>
  <si>
    <t>14/09/2025 02:15</t>
  </si>
  <si>
    <t>14/09/2025 02:30</t>
  </si>
  <si>
    <t>14/09/2025 02:45</t>
  </si>
  <si>
    <t>14/09/2025 03:00</t>
  </si>
  <si>
    <t>14/09/2025 03:15</t>
  </si>
  <si>
    <t>14/09/2025 03:30</t>
  </si>
  <si>
    <t>14/09/2025 03:45</t>
  </si>
  <si>
    <t>14/09/2025 04:00</t>
  </si>
  <si>
    <t>14/09/2025 04:15</t>
  </si>
  <si>
    <t>14/09/2025 04:30</t>
  </si>
  <si>
    <t>14/09/2025 04:45</t>
  </si>
  <si>
    <t>14/09/2025 05:00</t>
  </si>
  <si>
    <t>14/09/2025 05:15</t>
  </si>
  <si>
    <t>14/09/2025 05:30</t>
  </si>
  <si>
    <t>14/09/2025 05:45</t>
  </si>
  <si>
    <t>14/09/2025 06:00</t>
  </si>
  <si>
    <t>14/09/2025 06:15</t>
  </si>
  <si>
    <t>14/09/2025 06:30</t>
  </si>
  <si>
    <t>14/09/2025 06:45</t>
  </si>
  <si>
    <t>14/09/2025 07:00</t>
  </si>
  <si>
    <t>14/09/2025 07:15</t>
  </si>
  <si>
    <t>14/09/2025 07:30</t>
  </si>
  <si>
    <t>14/09/2025 07:45</t>
  </si>
  <si>
    <t>14/09/2025 08:00</t>
  </si>
  <si>
    <t>14/09/2025 08:15</t>
  </si>
  <si>
    <t>14/09/2025 08:30</t>
  </si>
  <si>
    <t>14/09/2025 08:45</t>
  </si>
  <si>
    <t>14/09/2025 09:00</t>
  </si>
  <si>
    <t>14/09/2025 09:15</t>
  </si>
  <si>
    <t>14/09/2025 09:30</t>
  </si>
  <si>
    <t>14/09/2025 09:45</t>
  </si>
  <si>
    <t>14/09/2025 10:00</t>
  </si>
  <si>
    <t>14/09/2025 10:15</t>
  </si>
  <si>
    <t>14/09/2025 10:30</t>
  </si>
  <si>
    <t>14/09/2025 10:45</t>
  </si>
  <si>
    <t>14/09/2025 11:00</t>
  </si>
  <si>
    <t>14/09/2025 11:15</t>
  </si>
  <si>
    <t>14/09/2025 11:30</t>
  </si>
  <si>
    <t>14/09/2025 11:45</t>
  </si>
  <si>
    <t>14/09/2025 12:00</t>
  </si>
  <si>
    <t>14/09/2025 12:15</t>
  </si>
  <si>
    <t>14/09/2025 12:30</t>
  </si>
  <si>
    <t>14/09/2025 12:45</t>
  </si>
  <si>
    <t>14/09/2025 13:00</t>
  </si>
  <si>
    <t>14/09/2025 13:15</t>
  </si>
  <si>
    <t>14/09/2025 13:30</t>
  </si>
  <si>
    <t>14/09/2025 13:45</t>
  </si>
  <si>
    <t>14/09/2025 14:00</t>
  </si>
  <si>
    <t>14/09/2025 14:15</t>
  </si>
  <si>
    <t>14/09/2025 14:30</t>
  </si>
  <si>
    <t>14/09/2025 14:45</t>
  </si>
  <si>
    <t>14/09/2025 15:00</t>
  </si>
  <si>
    <t>14/09/2025 15:15</t>
  </si>
  <si>
    <t>14/09/2025 15:30</t>
  </si>
  <si>
    <t>14/09/2025 15:45</t>
  </si>
  <si>
    <t>14/09/2025 16:00</t>
  </si>
  <si>
    <t>14/09/2025 16:15</t>
  </si>
  <si>
    <t>14/09/2025 16:30</t>
  </si>
  <si>
    <t>14/09/2025 16:45</t>
  </si>
  <si>
    <t>14/09/2025 17:00</t>
  </si>
  <si>
    <t>14/09/2025 17:15</t>
  </si>
  <si>
    <t>14/09/2025 17:30</t>
  </si>
  <si>
    <t>14/09/2025 17:45</t>
  </si>
  <si>
    <t>14/09/2025 18:00</t>
  </si>
  <si>
    <t>14/09/2025 18:15</t>
  </si>
  <si>
    <t>14/09/2025 18:30</t>
  </si>
  <si>
    <t>14/09/2025 18:45</t>
  </si>
  <si>
    <t>14/09/2025 19:00</t>
  </si>
  <si>
    <t>14/09/2025 19:15</t>
  </si>
  <si>
    <t>14/09/2025 19:30</t>
  </si>
  <si>
    <t>14/09/2025 19:45</t>
  </si>
  <si>
    <t>14/09/2025 20:00</t>
  </si>
  <si>
    <t>14/09/2025 20:15</t>
  </si>
  <si>
    <t>14/09/2025 20:30</t>
  </si>
  <si>
    <t>14/09/2025 20:45</t>
  </si>
  <si>
    <t>14/09/2025 21:00</t>
  </si>
  <si>
    <t>14/09/2025 21:15</t>
  </si>
  <si>
    <t>14/09/2025 21:30</t>
  </si>
  <si>
    <t>14/09/2025 21:45</t>
  </si>
  <si>
    <t>14/09/2025 22:00</t>
  </si>
  <si>
    <t>14/09/2025 22:15</t>
  </si>
  <si>
    <t>14/09/2025 22:30</t>
  </si>
  <si>
    <t>14/09/2025 22:45</t>
  </si>
  <si>
    <t>14/09/2025 23:00</t>
  </si>
  <si>
    <t>14/09/2025 23:15</t>
  </si>
  <si>
    <t>14/09/2025 23:30</t>
  </si>
  <si>
    <t>14/09/2025 23:45</t>
  </si>
  <si>
    <t>14/09/2025 24:00</t>
  </si>
  <si>
    <t>15/09/2025 00:15</t>
  </si>
  <si>
    <t>15/09/2025 00:30</t>
  </si>
  <si>
    <t>15/09/2025 00:45</t>
  </si>
  <si>
    <t>15/09/2025 01:00</t>
  </si>
  <si>
    <t>15/09/2025 01:15</t>
  </si>
  <si>
    <t>15/09/2025 01:30</t>
  </si>
  <si>
    <t>15/09/2025 01:45</t>
  </si>
  <si>
    <t>15/09/2025 02:00</t>
  </si>
  <si>
    <t>15/09/2025 02:15</t>
  </si>
  <si>
    <t>15/09/2025 02:30</t>
  </si>
  <si>
    <t>15/09/2025 02:45</t>
  </si>
  <si>
    <t>15/09/2025 03:00</t>
  </si>
  <si>
    <t>15/09/2025 03:15</t>
  </si>
  <si>
    <t>15/09/2025 03:30</t>
  </si>
  <si>
    <t>15/09/2025 03:45</t>
  </si>
  <si>
    <t>15/09/2025 04:00</t>
  </si>
  <si>
    <t>15/09/2025 04:15</t>
  </si>
  <si>
    <t>15/09/2025 04:30</t>
  </si>
  <si>
    <t>15/09/2025 04:45</t>
  </si>
  <si>
    <t>15/09/2025 05:00</t>
  </si>
  <si>
    <t>15/09/2025 05:15</t>
  </si>
  <si>
    <t>15/09/2025 05:30</t>
  </si>
  <si>
    <t>15/09/2025 05:45</t>
  </si>
  <si>
    <t>15/09/2025 06:00</t>
  </si>
  <si>
    <t>15/09/2025 06:15</t>
  </si>
  <si>
    <t>15/09/2025 06:30</t>
  </si>
  <si>
    <t>15/09/2025 06:45</t>
  </si>
  <si>
    <t>15/09/2025 07:00</t>
  </si>
  <si>
    <t>15/09/2025 07:15</t>
  </si>
  <si>
    <t>15/09/2025 07:30</t>
  </si>
  <si>
    <t>15/09/2025 07:45</t>
  </si>
  <si>
    <t>15/09/2025 08:00</t>
  </si>
  <si>
    <t>15/09/2025 08:15</t>
  </si>
  <si>
    <t>15/09/2025 08:30</t>
  </si>
  <si>
    <t>15/09/2025 08:45</t>
  </si>
  <si>
    <t>15/09/2025 09:00</t>
  </si>
  <si>
    <t>15/09/2025 09:15</t>
  </si>
  <si>
    <t>15/09/2025 09:30</t>
  </si>
  <si>
    <t>15/09/2025 09:45</t>
  </si>
  <si>
    <t>15/09/2025 10:00</t>
  </si>
  <si>
    <t>15/09/2025 10:15</t>
  </si>
  <si>
    <t>15/09/2025 10:30</t>
  </si>
  <si>
    <t>15/09/2025 10:45</t>
  </si>
  <si>
    <t>15/09/2025 11:00</t>
  </si>
  <si>
    <t>15/09/2025 11:15</t>
  </si>
  <si>
    <t>15/09/2025 11:30</t>
  </si>
  <si>
    <t>15/09/2025 11:45</t>
  </si>
  <si>
    <t>15/09/2025 12:00</t>
  </si>
  <si>
    <t>15/09/2025 12:15</t>
  </si>
  <si>
    <t>15/09/2025 12:30</t>
  </si>
  <si>
    <t>15/09/2025 12:45</t>
  </si>
  <si>
    <t>15/09/2025 13:00</t>
  </si>
  <si>
    <t>15/09/2025 13:15</t>
  </si>
  <si>
    <t>15/09/2025 13:30</t>
  </si>
  <si>
    <t>15/09/2025 13:45</t>
  </si>
  <si>
    <t>15/09/2025 14:00</t>
  </si>
  <si>
    <t>15/09/2025 14:15</t>
  </si>
  <si>
    <t>15/09/2025 14:30</t>
  </si>
  <si>
    <t>15/09/2025 14:45</t>
  </si>
  <si>
    <t>15/09/2025 15:00</t>
  </si>
  <si>
    <t>15/09/2025 15:15</t>
  </si>
  <si>
    <t>15/09/2025 15:30</t>
  </si>
  <si>
    <t>15/09/2025 15:45</t>
  </si>
  <si>
    <t>15/09/2025 16:00</t>
  </si>
  <si>
    <t>15/09/2025 16:15</t>
  </si>
  <si>
    <t>15/09/2025 16:30</t>
  </si>
  <si>
    <t>15/09/2025 16:45</t>
  </si>
  <si>
    <t>15/09/2025 17:00</t>
  </si>
  <si>
    <t>15/09/2025 17:15</t>
  </si>
  <si>
    <t>15/09/2025 17:30</t>
  </si>
  <si>
    <t>15/09/2025 17:45</t>
  </si>
  <si>
    <t>15/09/2025 18:00</t>
  </si>
  <si>
    <t>15/09/2025 18:15</t>
  </si>
  <si>
    <t>15/09/2025 18:30</t>
  </si>
  <si>
    <t>15/09/2025 18:45</t>
  </si>
  <si>
    <t>15/09/2025 19:00</t>
  </si>
  <si>
    <t>15/09/2025 19:15</t>
  </si>
  <si>
    <t>15/09/2025 19:30</t>
  </si>
  <si>
    <t>15/09/2025 19:45</t>
  </si>
  <si>
    <t>15/09/2025 20:00</t>
  </si>
  <si>
    <t>15/09/2025 20:15</t>
  </si>
  <si>
    <t>15/09/2025 20:30</t>
  </si>
  <si>
    <t>15/09/2025 20:45</t>
  </si>
  <si>
    <t>15/09/2025 21:00</t>
  </si>
  <si>
    <t>15/09/2025 21:15</t>
  </si>
  <si>
    <t>15/09/2025 21:30</t>
  </si>
  <si>
    <t>15/09/2025 21:45</t>
  </si>
  <si>
    <t>15/09/2025 22:00</t>
  </si>
  <si>
    <t>15/09/2025 22:15</t>
  </si>
  <si>
    <t>15/09/2025 22:30</t>
  </si>
  <si>
    <t>15/09/2025 22:45</t>
  </si>
  <si>
    <t>15/09/2025 23:00</t>
  </si>
  <si>
    <t>15/09/2025 23:15</t>
  </si>
  <si>
    <t>15/09/2025 23:30</t>
  </si>
  <si>
    <t>15/09/2025 23:45</t>
  </si>
  <si>
    <t>15/09/2025 24:00</t>
  </si>
  <si>
    <t>16/09/2025 00:15</t>
  </si>
  <si>
    <t>16/09/2025 00:30</t>
  </si>
  <si>
    <t>16/09/2025 00:45</t>
  </si>
  <si>
    <t>16/09/2025 01:00</t>
  </si>
  <si>
    <t>16/09/2025 01:15</t>
  </si>
  <si>
    <t>16/09/2025 01:30</t>
  </si>
  <si>
    <t>16/09/2025 01:45</t>
  </si>
  <si>
    <t>16/09/2025 02:00</t>
  </si>
  <si>
    <t>16/09/2025 02:15</t>
  </si>
  <si>
    <t>16/09/2025 02:30</t>
  </si>
  <si>
    <t>16/09/2025 02:45</t>
  </si>
  <si>
    <t>16/09/2025 03:00</t>
  </si>
  <si>
    <t>16/09/2025 03:15</t>
  </si>
  <si>
    <t>16/09/2025 03:30</t>
  </si>
  <si>
    <t>16/09/2025 03:45</t>
  </si>
  <si>
    <t>16/09/2025 04:00</t>
  </si>
  <si>
    <t>16/09/2025 04:15</t>
  </si>
  <si>
    <t>16/09/2025 04:30</t>
  </si>
  <si>
    <t>16/09/2025 04:45</t>
  </si>
  <si>
    <t>16/09/2025 05:00</t>
  </si>
  <si>
    <t>16/09/2025 05:15</t>
  </si>
  <si>
    <t>16/09/2025 05:30</t>
  </si>
  <si>
    <t>16/09/2025 05:45</t>
  </si>
  <si>
    <t>16/09/2025 06:00</t>
  </si>
  <si>
    <t>16/09/2025 06:15</t>
  </si>
  <si>
    <t>16/09/2025 06:30</t>
  </si>
  <si>
    <t>16/09/2025 06:45</t>
  </si>
  <si>
    <t>16/09/2025 07:00</t>
  </si>
  <si>
    <t>16/09/2025 07:15</t>
  </si>
  <si>
    <t>16/09/2025 07:30</t>
  </si>
  <si>
    <t>16/09/2025 07:45</t>
  </si>
  <si>
    <t>16/09/2025 08:00</t>
  </si>
  <si>
    <t>16/09/2025 08:15</t>
  </si>
  <si>
    <t>16/09/2025 08:30</t>
  </si>
  <si>
    <t>16/09/2025 08:45</t>
  </si>
  <si>
    <t>16/09/2025 09:00</t>
  </si>
  <si>
    <t>16/09/2025 09:15</t>
  </si>
  <si>
    <t>16/09/2025 09:30</t>
  </si>
  <si>
    <t>16/09/2025 09:45</t>
  </si>
  <si>
    <t>16/09/2025 10:00</t>
  </si>
  <si>
    <t>16/09/2025 10:15</t>
  </si>
  <si>
    <t>16/09/2025 10:30</t>
  </si>
  <si>
    <t>16/09/2025 10:45</t>
  </si>
  <si>
    <t>16/09/2025 11:00</t>
  </si>
  <si>
    <t>16/09/2025 11:15</t>
  </si>
  <si>
    <t>16/09/2025 11:30</t>
  </si>
  <si>
    <t>16/09/2025 11:45</t>
  </si>
  <si>
    <t>16/09/2025 12:00</t>
  </si>
  <si>
    <t>16/09/2025 12:15</t>
  </si>
  <si>
    <t>16/09/2025 12:30</t>
  </si>
  <si>
    <t>16/09/2025 12:45</t>
  </si>
  <si>
    <t>16/09/2025 13:00</t>
  </si>
  <si>
    <t>16/09/2025 13:15</t>
  </si>
  <si>
    <t>16/09/2025 13:30</t>
  </si>
  <si>
    <t>16/09/2025 13:45</t>
  </si>
  <si>
    <t>16/09/2025 14:00</t>
  </si>
  <si>
    <t>16/09/2025 14:15</t>
  </si>
  <si>
    <t>16/09/2025 14:30</t>
  </si>
  <si>
    <t>16/09/2025 14:45</t>
  </si>
  <si>
    <t>16/09/2025 15:00</t>
  </si>
  <si>
    <t>16/09/2025 15:15</t>
  </si>
  <si>
    <t>16/09/2025 15:30</t>
  </si>
  <si>
    <t>16/09/2025 15:45</t>
  </si>
  <si>
    <t>16/09/2025 16:00</t>
  </si>
  <si>
    <t>16/09/2025 16:15</t>
  </si>
  <si>
    <t>16/09/2025 16:30</t>
  </si>
  <si>
    <t>16/09/2025 16:45</t>
  </si>
  <si>
    <t>16/09/2025 17:00</t>
  </si>
  <si>
    <t>16/09/2025 17:15</t>
  </si>
  <si>
    <t>16/09/2025 17:30</t>
  </si>
  <si>
    <t>16/09/2025 17:45</t>
  </si>
  <si>
    <t>16/09/2025 18:00</t>
  </si>
  <si>
    <t>16/09/2025 18:15</t>
  </si>
  <si>
    <t>16/09/2025 18:30</t>
  </si>
  <si>
    <t>16/09/2025 18:45</t>
  </si>
  <si>
    <t>16/09/2025 19:00</t>
  </si>
  <si>
    <t>16/09/2025 19:15</t>
  </si>
  <si>
    <t>16/09/2025 19:30</t>
  </si>
  <si>
    <t>16/09/2025 19:45</t>
  </si>
  <si>
    <t>16/09/2025 20:00</t>
  </si>
  <si>
    <t>16/09/2025 20:15</t>
  </si>
  <si>
    <t>16/09/2025 20:30</t>
  </si>
  <si>
    <t>16/09/2025 20:45</t>
  </si>
  <si>
    <t>16/09/2025 21:00</t>
  </si>
  <si>
    <t>16/09/2025 21:15</t>
  </si>
  <si>
    <t>16/09/2025 21:30</t>
  </si>
  <si>
    <t>16/09/2025 21:45</t>
  </si>
  <si>
    <t>16/09/2025 22:00</t>
  </si>
  <si>
    <t>16/09/2025 22:15</t>
  </si>
  <si>
    <t>16/09/2025 22:30</t>
  </si>
  <si>
    <t>16/09/2025 22:45</t>
  </si>
  <si>
    <t>16/09/2025 23:00</t>
  </si>
  <si>
    <t>16/09/2025 23:15</t>
  </si>
  <si>
    <t>16/09/2025 23:30</t>
  </si>
  <si>
    <t>16/09/2025 23:45</t>
  </si>
  <si>
    <t>16/09/2025 24:00</t>
  </si>
  <si>
    <t>17/09/2025 00:15</t>
  </si>
  <si>
    <t>17/09/2025 00:30</t>
  </si>
  <si>
    <t>17/09/2025 00:45</t>
  </si>
  <si>
    <t>17/09/2025 01:00</t>
  </si>
  <si>
    <t>17/09/2025 01:15</t>
  </si>
  <si>
    <t>17/09/2025 01:30</t>
  </si>
  <si>
    <t>17/09/2025 01:45</t>
  </si>
  <si>
    <t>17/09/2025 02:00</t>
  </si>
  <si>
    <t>17/09/2025 02:15</t>
  </si>
  <si>
    <t>17/09/2025 02:30</t>
  </si>
  <si>
    <t>17/09/2025 02:45</t>
  </si>
  <si>
    <t>17/09/2025 03:00</t>
  </si>
  <si>
    <t>17/09/2025 03:15</t>
  </si>
  <si>
    <t>17/09/2025 03:30</t>
  </si>
  <si>
    <t>17/09/2025 03:45</t>
  </si>
  <si>
    <t>17/09/2025 04:00</t>
  </si>
  <si>
    <t>17/09/2025 04:15</t>
  </si>
  <si>
    <t>17/09/2025 04:30</t>
  </si>
  <si>
    <t>17/09/2025 04:45</t>
  </si>
  <si>
    <t>17/09/2025 05:00</t>
  </si>
  <si>
    <t>17/09/2025 05:15</t>
  </si>
  <si>
    <t>17/09/2025 05:30</t>
  </si>
  <si>
    <t>17/09/2025 05:45</t>
  </si>
  <si>
    <t>17/09/2025 06:00</t>
  </si>
  <si>
    <t>17/09/2025 06:15</t>
  </si>
  <si>
    <t>17/09/2025 06:30</t>
  </si>
  <si>
    <t>17/09/2025 06:45</t>
  </si>
  <si>
    <t>17/09/2025 07:00</t>
  </si>
  <si>
    <t>17/09/2025 07:15</t>
  </si>
  <si>
    <t>17/09/2025 07:30</t>
  </si>
  <si>
    <t>17/09/2025 07:45</t>
  </si>
  <si>
    <t>17/09/2025 08:00</t>
  </si>
  <si>
    <t>17/09/2025 08:15</t>
  </si>
  <si>
    <t>17/09/2025 08:30</t>
  </si>
  <si>
    <t>17/09/2025 08:45</t>
  </si>
  <si>
    <t>17/09/2025 09:00</t>
  </si>
  <si>
    <t>17/09/2025 09:15</t>
  </si>
  <si>
    <t>17/09/2025 09:30</t>
  </si>
  <si>
    <t>17/09/2025 09:45</t>
  </si>
  <si>
    <t>17/09/2025 10:00</t>
  </si>
  <si>
    <t>17/09/2025 10:15</t>
  </si>
  <si>
    <t>17/09/2025 10:30</t>
  </si>
  <si>
    <t>17/09/2025 10:45</t>
  </si>
  <si>
    <t>17/09/2025 11:00</t>
  </si>
  <si>
    <t>17/09/2025 11:15</t>
  </si>
  <si>
    <t>17/09/2025 11:30</t>
  </si>
  <si>
    <t>17/09/2025 11:45</t>
  </si>
  <si>
    <t>17/09/2025 12:00</t>
  </si>
  <si>
    <t>17/09/2025 12:15</t>
  </si>
  <si>
    <t>17/09/2025 12:30</t>
  </si>
  <si>
    <t>17/09/2025 12:45</t>
  </si>
  <si>
    <t>17/09/2025 13:00</t>
  </si>
  <si>
    <t>17/09/2025 13:15</t>
  </si>
  <si>
    <t>17/09/2025 13:30</t>
  </si>
  <si>
    <t>17/09/2025 13:45</t>
  </si>
  <si>
    <t>17/09/2025 14:00</t>
  </si>
  <si>
    <t>17/09/2025 14:15</t>
  </si>
  <si>
    <t>17/09/2025 14:30</t>
  </si>
  <si>
    <t>17/09/2025 14:45</t>
  </si>
  <si>
    <t>17/09/2025 15:00</t>
  </si>
  <si>
    <t>17/09/2025 15:15</t>
  </si>
  <si>
    <t>17/09/2025 15:30</t>
  </si>
  <si>
    <t>17/09/2025 15:45</t>
  </si>
  <si>
    <t>17/09/2025 16:00</t>
  </si>
  <si>
    <t>17/09/2025 16:15</t>
  </si>
  <si>
    <t>17/09/2025 16:30</t>
  </si>
  <si>
    <t>17/09/2025 16:45</t>
  </si>
  <si>
    <t>17/09/2025 17:00</t>
  </si>
  <si>
    <t>17/09/2025 17:15</t>
  </si>
  <si>
    <t>17/09/2025 17:30</t>
  </si>
  <si>
    <t>17/09/2025 17:45</t>
  </si>
  <si>
    <t>17/09/2025 18:00</t>
  </si>
  <si>
    <t>17/09/2025 18:15</t>
  </si>
  <si>
    <t>17/09/2025 18:30</t>
  </si>
  <si>
    <t>17/09/2025 18:45</t>
  </si>
  <si>
    <t>17/09/2025 19:00</t>
  </si>
  <si>
    <t>17/09/2025 19:15</t>
  </si>
  <si>
    <t>17/09/2025 19:30</t>
  </si>
  <si>
    <t>17/09/2025 19:45</t>
  </si>
  <si>
    <t>17/09/2025 20:00</t>
  </si>
  <si>
    <t>17/09/2025 20:15</t>
  </si>
  <si>
    <t>17/09/2025 20:30</t>
  </si>
  <si>
    <t>17/09/2025 20:45</t>
  </si>
  <si>
    <t>17/09/2025 21:00</t>
  </si>
  <si>
    <t>17/09/2025 21:15</t>
  </si>
  <si>
    <t>17/09/2025 21:30</t>
  </si>
  <si>
    <t>17/09/2025 21:45</t>
  </si>
  <si>
    <t>17/09/2025 22:00</t>
  </si>
  <si>
    <t>17/09/2025 22:15</t>
  </si>
  <si>
    <t>17/09/2025 22:30</t>
  </si>
  <si>
    <t>17/09/2025 22:45</t>
  </si>
  <si>
    <t>17/09/2025 23:00</t>
  </si>
  <si>
    <t>17/09/2025 23:15</t>
  </si>
  <si>
    <t>17/09/2025 23:30</t>
  </si>
  <si>
    <t>17/09/2025 23:45</t>
  </si>
  <si>
    <t>17/09/2025 24:00</t>
  </si>
  <si>
    <t>18/09/2025 00:15</t>
  </si>
  <si>
    <t>18/09/2025 00:30</t>
  </si>
  <si>
    <t>18/09/2025 00:45</t>
  </si>
  <si>
    <t>18/09/2025 01:00</t>
  </si>
  <si>
    <t>18/09/2025 01:15</t>
  </si>
  <si>
    <t>18/09/2025 01:30</t>
  </si>
  <si>
    <t>18/09/2025 01:45</t>
  </si>
  <si>
    <t>18/09/2025 02:00</t>
  </si>
  <si>
    <t>18/09/2025 02:15</t>
  </si>
  <si>
    <t>18/09/2025 02:30</t>
  </si>
  <si>
    <t>18/09/2025 02:45</t>
  </si>
  <si>
    <t>18/09/2025 03:00</t>
  </si>
  <si>
    <t>18/09/2025 03:15</t>
  </si>
  <si>
    <t>18/09/2025 03:30</t>
  </si>
  <si>
    <t>18/09/2025 03:45</t>
  </si>
  <si>
    <t>18/09/2025 04:00</t>
  </si>
  <si>
    <t>18/09/2025 04:15</t>
  </si>
  <si>
    <t>18/09/2025 04:30</t>
  </si>
  <si>
    <t>18/09/2025 04:45</t>
  </si>
  <si>
    <t>18/09/2025 05:00</t>
  </si>
  <si>
    <t>18/09/2025 05:15</t>
  </si>
  <si>
    <t>18/09/2025 05:30</t>
  </si>
  <si>
    <t>18/09/2025 05:45</t>
  </si>
  <si>
    <t>18/09/2025 06:00</t>
  </si>
  <si>
    <t>18/09/2025 06:15</t>
  </si>
  <si>
    <t>18/09/2025 06:30</t>
  </si>
  <si>
    <t>18/09/2025 06:45</t>
  </si>
  <si>
    <t>18/09/2025 07:00</t>
  </si>
  <si>
    <t>18/09/2025 07:15</t>
  </si>
  <si>
    <t>18/09/2025 07:30</t>
  </si>
  <si>
    <t>18/09/2025 07:45</t>
  </si>
  <si>
    <t>18/09/2025 08:00</t>
  </si>
  <si>
    <t>18/09/2025 08:15</t>
  </si>
  <si>
    <t>18/09/2025 08:30</t>
  </si>
  <si>
    <t>18/09/2025 08:45</t>
  </si>
  <si>
    <t>18/09/2025 09:00</t>
  </si>
  <si>
    <t>18/09/2025 09:15</t>
  </si>
  <si>
    <t>18/09/2025 09:30</t>
  </si>
  <si>
    <t>18/09/2025 09:45</t>
  </si>
  <si>
    <t>18/09/2025 10:00</t>
  </si>
  <si>
    <t>18/09/2025 10:15</t>
  </si>
  <si>
    <t>18/09/2025 10:30</t>
  </si>
  <si>
    <t>18/09/2025 10:45</t>
  </si>
  <si>
    <t>18/09/2025 11:00</t>
  </si>
  <si>
    <t>18/09/2025 11:15</t>
  </si>
  <si>
    <t>18/09/2025 11:30</t>
  </si>
  <si>
    <t>18/09/2025 11:45</t>
  </si>
  <si>
    <t>18/09/2025 12:00</t>
  </si>
  <si>
    <t>18/09/2025 12:15</t>
  </si>
  <si>
    <t>18/09/2025 12:30</t>
  </si>
  <si>
    <t>18/09/2025 12:45</t>
  </si>
  <si>
    <t>18/09/2025 13:00</t>
  </si>
  <si>
    <t>18/09/2025 13:15</t>
  </si>
  <si>
    <t>18/09/2025 13:30</t>
  </si>
  <si>
    <t>18/09/2025 13:45</t>
  </si>
  <si>
    <t>18/09/2025 14:00</t>
  </si>
  <si>
    <t>18/09/2025 14:15</t>
  </si>
  <si>
    <t>18/09/2025 14:30</t>
  </si>
  <si>
    <t>18/09/2025 14:45</t>
  </si>
  <si>
    <t>18/09/2025 15:00</t>
  </si>
  <si>
    <t>18/09/2025 15:15</t>
  </si>
  <si>
    <t>18/09/2025 15:30</t>
  </si>
  <si>
    <t>18/09/2025 15:45</t>
  </si>
  <si>
    <t>18/09/2025 16:00</t>
  </si>
  <si>
    <t>18/09/2025 16:15</t>
  </si>
  <si>
    <t>18/09/2025 16:30</t>
  </si>
  <si>
    <t>18/09/2025 16:45</t>
  </si>
  <si>
    <t>18/09/2025 17:00</t>
  </si>
  <si>
    <t>18/09/2025 17:15</t>
  </si>
  <si>
    <t>18/09/2025 17:30</t>
  </si>
  <si>
    <t>18/09/2025 17:45</t>
  </si>
  <si>
    <t>18/09/2025 18:00</t>
  </si>
  <si>
    <t>18/09/2025 18:15</t>
  </si>
  <si>
    <t>18/09/2025 18:30</t>
  </si>
  <si>
    <t>18/09/2025 18:45</t>
  </si>
  <si>
    <t>18/09/2025 19:00</t>
  </si>
  <si>
    <t>18/09/2025 19:15</t>
  </si>
  <si>
    <t>18/09/2025 19:30</t>
  </si>
  <si>
    <t>18/09/2025 19:45</t>
  </si>
  <si>
    <t>18/09/2025 20:00</t>
  </si>
  <si>
    <t>18/09/2025 20:15</t>
  </si>
  <si>
    <t>18/09/2025 20:30</t>
  </si>
  <si>
    <t>18/09/2025 20:45</t>
  </si>
  <si>
    <t>18/09/2025 21:00</t>
  </si>
  <si>
    <t>18/09/2025 21:15</t>
  </si>
  <si>
    <t>18/09/2025 21:30</t>
  </si>
  <si>
    <t>18/09/2025 21:45</t>
  </si>
  <si>
    <t>18/09/2025 22:00</t>
  </si>
  <si>
    <t>18/09/2025 22:15</t>
  </si>
  <si>
    <t>18/09/2025 22:30</t>
  </si>
  <si>
    <t>18/09/2025 22:45</t>
  </si>
  <si>
    <t>18/09/2025 23:00</t>
  </si>
  <si>
    <t>18/09/2025 23:15</t>
  </si>
  <si>
    <t>18/09/2025 23:30</t>
  </si>
  <si>
    <t>18/09/2025 23:45</t>
  </si>
  <si>
    <t>18/09/2025 24:00</t>
  </si>
  <si>
    <t>19/09/2025 00:15</t>
  </si>
  <si>
    <t>19/09/2025 00:30</t>
  </si>
  <si>
    <t>19/09/2025 00:45</t>
  </si>
  <si>
    <t>19/09/2025 01:00</t>
  </si>
  <si>
    <t>19/09/2025 01:15</t>
  </si>
  <si>
    <t>19/09/2025 01:30</t>
  </si>
  <si>
    <t>19/09/2025 01:45</t>
  </si>
  <si>
    <t>19/09/2025 02:00</t>
  </si>
  <si>
    <t>19/09/2025 02:15</t>
  </si>
  <si>
    <t>19/09/2025 02:30</t>
  </si>
  <si>
    <t>19/09/2025 02:45</t>
  </si>
  <si>
    <t>19/09/2025 03:00</t>
  </si>
  <si>
    <t>19/09/2025 03:15</t>
  </si>
  <si>
    <t>19/09/2025 03:30</t>
  </si>
  <si>
    <t>19/09/2025 03:45</t>
  </si>
  <si>
    <t>19/09/2025 04:00</t>
  </si>
  <si>
    <t>19/09/2025 04:15</t>
  </si>
  <si>
    <t>19/09/2025 04:30</t>
  </si>
  <si>
    <t>19/09/2025 04:45</t>
  </si>
  <si>
    <t>19/09/2025 05:00</t>
  </si>
  <si>
    <t>19/09/2025 05:15</t>
  </si>
  <si>
    <t>19/09/2025 05:30</t>
  </si>
  <si>
    <t>19/09/2025 05:45</t>
  </si>
  <si>
    <t>19/09/2025 06:00</t>
  </si>
  <si>
    <t>19/09/2025 06:15</t>
  </si>
  <si>
    <t>19/09/2025 06:30</t>
  </si>
  <si>
    <t>19/09/2025 06:45</t>
  </si>
  <si>
    <t>19/09/2025 07:00</t>
  </si>
  <si>
    <t>19/09/2025 07:15</t>
  </si>
  <si>
    <t>19/09/2025 07:30</t>
  </si>
  <si>
    <t>19/09/2025 07:45</t>
  </si>
  <si>
    <t>19/09/2025 08:00</t>
  </si>
  <si>
    <t>19/09/2025 08:15</t>
  </si>
  <si>
    <t>19/09/2025 08:30</t>
  </si>
  <si>
    <t>19/09/2025 08:45</t>
  </si>
  <si>
    <t>19/09/2025 09:00</t>
  </si>
  <si>
    <t>19/09/2025 09:15</t>
  </si>
  <si>
    <t>19/09/2025 09:30</t>
  </si>
  <si>
    <t>19/09/2025 09:45</t>
  </si>
  <si>
    <t>19/09/2025 10:00</t>
  </si>
  <si>
    <t>19/09/2025 10:15</t>
  </si>
  <si>
    <t>19/09/2025 10:30</t>
  </si>
  <si>
    <t>19/09/2025 10:45</t>
  </si>
  <si>
    <t>19/09/2025 11:00</t>
  </si>
  <si>
    <t>19/09/2025 11:15</t>
  </si>
  <si>
    <t>19/09/2025 11:30</t>
  </si>
  <si>
    <t>19/09/2025 11:45</t>
  </si>
  <si>
    <t>19/09/2025 12:00</t>
  </si>
  <si>
    <t>19/09/2025 12:15</t>
  </si>
  <si>
    <t>19/09/2025 12:30</t>
  </si>
  <si>
    <t>19/09/2025 12:45</t>
  </si>
  <si>
    <t>19/09/2025 13:00</t>
  </si>
  <si>
    <t>19/09/2025 13:15</t>
  </si>
  <si>
    <t>19/09/2025 13:30</t>
  </si>
  <si>
    <t>19/09/2025 13:45</t>
  </si>
  <si>
    <t>19/09/2025 14:00</t>
  </si>
  <si>
    <t>19/09/2025 14:15</t>
  </si>
  <si>
    <t>19/09/2025 14:30</t>
  </si>
  <si>
    <t>19/09/2025 14:45</t>
  </si>
  <si>
    <t>19/09/2025 15:00</t>
  </si>
  <si>
    <t>19/09/2025 15:15</t>
  </si>
  <si>
    <t>19/09/2025 15:30</t>
  </si>
  <si>
    <t>19/09/2025 15:45</t>
  </si>
  <si>
    <t>19/09/2025 16:00</t>
  </si>
  <si>
    <t>19/09/2025 16:15</t>
  </si>
  <si>
    <t>19/09/2025 16:30</t>
  </si>
  <si>
    <t>19/09/2025 16:45</t>
  </si>
  <si>
    <t>19/09/2025 17:00</t>
  </si>
  <si>
    <t>19/09/2025 17:15</t>
  </si>
  <si>
    <t>19/09/2025 17:30</t>
  </si>
  <si>
    <t>19/09/2025 17:45</t>
  </si>
  <si>
    <t>19/09/2025 18:00</t>
  </si>
  <si>
    <t>19/09/2025 18:15</t>
  </si>
  <si>
    <t>19/09/2025 18:30</t>
  </si>
  <si>
    <t>19/09/2025 18:45</t>
  </si>
  <si>
    <t>19/09/2025 19:00</t>
  </si>
  <si>
    <t>19/09/2025 19:15</t>
  </si>
  <si>
    <t>19/09/2025 19:30</t>
  </si>
  <si>
    <t>19/09/2025 19:45</t>
  </si>
  <si>
    <t>19/09/2025 20:00</t>
  </si>
  <si>
    <t>19/09/2025 20:15</t>
  </si>
  <si>
    <t>19/09/2025 20:30</t>
  </si>
  <si>
    <t>19/09/2025 20:45</t>
  </si>
  <si>
    <t>19/09/2025 21:00</t>
  </si>
  <si>
    <t>19/09/2025 21:15</t>
  </si>
  <si>
    <t>19/09/2025 21:30</t>
  </si>
  <si>
    <t>19/09/2025 21:45</t>
  </si>
  <si>
    <t>19/09/2025 22:00</t>
  </si>
  <si>
    <t>19/09/2025 22:15</t>
  </si>
  <si>
    <t>19/09/2025 22:30</t>
  </si>
  <si>
    <t>19/09/2025 22:45</t>
  </si>
  <si>
    <t>19/09/2025 23:00</t>
  </si>
  <si>
    <t>19/09/2025 23:15</t>
  </si>
  <si>
    <t>19/09/2025 23:30</t>
  </si>
  <si>
    <t>19/09/2025 23:45</t>
  </si>
  <si>
    <t>19/09/2025 24:00</t>
  </si>
  <si>
    <t>20/09/2025 00:15</t>
  </si>
  <si>
    <t>20/09/2025 00:30</t>
  </si>
  <si>
    <t>20/09/2025 00:45</t>
  </si>
  <si>
    <t>20/09/2025 01:00</t>
  </si>
  <si>
    <t>20/09/2025 01:15</t>
  </si>
  <si>
    <t>20/09/2025 01:30</t>
  </si>
  <si>
    <t>20/09/2025 01:45</t>
  </si>
  <si>
    <t>20/09/2025 02:00</t>
  </si>
  <si>
    <t>20/09/2025 02:15</t>
  </si>
  <si>
    <t>20/09/2025 02:30</t>
  </si>
  <si>
    <t>20/09/2025 02:45</t>
  </si>
  <si>
    <t>20/09/2025 03:00</t>
  </si>
  <si>
    <t>20/09/2025 03:15</t>
  </si>
  <si>
    <t>20/09/2025 03:30</t>
  </si>
  <si>
    <t>20/09/2025 03:45</t>
  </si>
  <si>
    <t>20/09/2025 04:00</t>
  </si>
  <si>
    <t>20/09/2025 04:15</t>
  </si>
  <si>
    <t>20/09/2025 04:30</t>
  </si>
  <si>
    <t>20/09/2025 04:45</t>
  </si>
  <si>
    <t>20/09/2025 05:00</t>
  </si>
  <si>
    <t>20/09/2025 05:15</t>
  </si>
  <si>
    <t>20/09/2025 05:30</t>
  </si>
  <si>
    <t>20/09/2025 05:45</t>
  </si>
  <si>
    <t>20/09/2025 06:00</t>
  </si>
  <si>
    <t>20/09/2025 06:15</t>
  </si>
  <si>
    <t>20/09/2025 06:30</t>
  </si>
  <si>
    <t>20/09/2025 06:45</t>
  </si>
  <si>
    <t>20/09/2025 07:00</t>
  </si>
  <si>
    <t>20/09/2025 07:15</t>
  </si>
  <si>
    <t>20/09/2025 07:30</t>
  </si>
  <si>
    <t>20/09/2025 07:45</t>
  </si>
  <si>
    <t>20/09/2025 08:00</t>
  </si>
  <si>
    <t>20/09/2025 08:15</t>
  </si>
  <si>
    <t>20/09/2025 08:30</t>
  </si>
  <si>
    <t>20/09/2025 08:45</t>
  </si>
  <si>
    <t>20/09/2025 09:00</t>
  </si>
  <si>
    <t>20/09/2025 09:15</t>
  </si>
  <si>
    <t>20/09/2025 09:30</t>
  </si>
  <si>
    <t>20/09/2025 09:45</t>
  </si>
  <si>
    <t>20/09/2025 10:00</t>
  </si>
  <si>
    <t>20/09/2025 10:15</t>
  </si>
  <si>
    <t>20/09/2025 10:30</t>
  </si>
  <si>
    <t>20/09/2025 10:45</t>
  </si>
  <si>
    <t>20/09/2025 11:00</t>
  </si>
  <si>
    <t>20/09/2025 11:15</t>
  </si>
  <si>
    <t>20/09/2025 11:30</t>
  </si>
  <si>
    <t>20/09/2025 11:45</t>
  </si>
  <si>
    <t>20/09/2025 12:00</t>
  </si>
  <si>
    <t>20/09/2025 12:15</t>
  </si>
  <si>
    <t>20/09/2025 12:30</t>
  </si>
  <si>
    <t>20/09/2025 12:45</t>
  </si>
  <si>
    <t>20/09/2025 13:00</t>
  </si>
  <si>
    <t>20/09/2025 13:15</t>
  </si>
  <si>
    <t>20/09/2025 13:30</t>
  </si>
  <si>
    <t>20/09/2025 13:45</t>
  </si>
  <si>
    <t>20/09/2025 14:00</t>
  </si>
  <si>
    <t>20/09/2025 14:15</t>
  </si>
  <si>
    <t>20/09/2025 14:30</t>
  </si>
  <si>
    <t>20/09/2025 14:45</t>
  </si>
  <si>
    <t>20/09/2025 15:00</t>
  </si>
  <si>
    <t>20/09/2025 15:15</t>
  </si>
  <si>
    <t>20/09/2025 15:30</t>
  </si>
  <si>
    <t>20/09/2025 15:45</t>
  </si>
  <si>
    <t>20/09/2025 16:00</t>
  </si>
  <si>
    <t>20/09/2025 16:15</t>
  </si>
  <si>
    <t>20/09/2025 16:30</t>
  </si>
  <si>
    <t>20/09/2025 16:45</t>
  </si>
  <si>
    <t>20/09/2025 17:00</t>
  </si>
  <si>
    <t>20/09/2025 17:15</t>
  </si>
  <si>
    <t>20/09/2025 17:30</t>
  </si>
  <si>
    <t>20/09/2025 17:45</t>
  </si>
  <si>
    <t>20/09/2025 18:00</t>
  </si>
  <si>
    <t>20/09/2025 18:15</t>
  </si>
  <si>
    <t>20/09/2025 18:30</t>
  </si>
  <si>
    <t>20/09/2025 18:45</t>
  </si>
  <si>
    <t>20/09/2025 19:00</t>
  </si>
  <si>
    <t>20/09/2025 19:15</t>
  </si>
  <si>
    <t>20/09/2025 19:30</t>
  </si>
  <si>
    <t>20/09/2025 19:45</t>
  </si>
  <si>
    <t>20/09/2025 20:00</t>
  </si>
  <si>
    <t>20/09/2025 20:15</t>
  </si>
  <si>
    <t>20/09/2025 20:30</t>
  </si>
  <si>
    <t>20/09/2025 20:45</t>
  </si>
  <si>
    <t>20/09/2025 21:00</t>
  </si>
  <si>
    <t>20/09/2025 21:15</t>
  </si>
  <si>
    <t>20/09/2025 21:30</t>
  </si>
  <si>
    <t>20/09/2025 21:45</t>
  </si>
  <si>
    <t>20/09/2025 22:00</t>
  </si>
  <si>
    <t>20/09/2025 22:15</t>
  </si>
  <si>
    <t>20/09/2025 22:30</t>
  </si>
  <si>
    <t>20/09/2025 22:45</t>
  </si>
  <si>
    <t>20/09/2025 23:00</t>
  </si>
  <si>
    <t>20/09/2025 23:15</t>
  </si>
  <si>
    <t>20/09/2025 23:30</t>
  </si>
  <si>
    <t>20/09/2025 23:45</t>
  </si>
  <si>
    <t>20/09/2025 24:00</t>
  </si>
  <si>
    <t>21/09/2025 00:15</t>
  </si>
  <si>
    <t>21/09/2025 00:30</t>
  </si>
  <si>
    <t>21/09/2025 00:45</t>
  </si>
  <si>
    <t>21/09/2025 01:00</t>
  </si>
  <si>
    <t>21/09/2025 01:15</t>
  </si>
  <si>
    <t>21/09/2025 01:30</t>
  </si>
  <si>
    <t>21/09/2025 01:45</t>
  </si>
  <si>
    <t>21/09/2025 02:00</t>
  </si>
  <si>
    <t>21/09/2025 02:15</t>
  </si>
  <si>
    <t>21/09/2025 02:30</t>
  </si>
  <si>
    <t>21/09/2025 02:45</t>
  </si>
  <si>
    <t>21/09/2025 03:00</t>
  </si>
  <si>
    <t>21/09/2025 03:15</t>
  </si>
  <si>
    <t>21/09/2025 03:30</t>
  </si>
  <si>
    <t>21/09/2025 03:45</t>
  </si>
  <si>
    <t>21/09/2025 04:00</t>
  </si>
  <si>
    <t>21/09/2025 04:15</t>
  </si>
  <si>
    <t>21/09/2025 04:30</t>
  </si>
  <si>
    <t>21/09/2025 04:45</t>
  </si>
  <si>
    <t>21/09/2025 05:00</t>
  </si>
  <si>
    <t>21/09/2025 05:15</t>
  </si>
  <si>
    <t>21/09/2025 05:30</t>
  </si>
  <si>
    <t>21/09/2025 05:45</t>
  </si>
  <si>
    <t>21/09/2025 06:00</t>
  </si>
  <si>
    <t>21/09/2025 06:15</t>
  </si>
  <si>
    <t>21/09/2025 06:30</t>
  </si>
  <si>
    <t>21/09/2025 06:45</t>
  </si>
  <si>
    <t>21/09/2025 07:00</t>
  </si>
  <si>
    <t>21/09/2025 07:15</t>
  </si>
  <si>
    <t>21/09/2025 07:30</t>
  </si>
  <si>
    <t>21/09/2025 07:45</t>
  </si>
  <si>
    <t>21/09/2025 08:00</t>
  </si>
  <si>
    <t>21/09/2025 08:15</t>
  </si>
  <si>
    <t>21/09/2025 08:30</t>
  </si>
  <si>
    <t>21/09/2025 08:45</t>
  </si>
  <si>
    <t>21/09/2025 09:00</t>
  </si>
  <si>
    <t>21/09/2025 09:15</t>
  </si>
  <si>
    <t>21/09/2025 09:30</t>
  </si>
  <si>
    <t>21/09/2025 09:45</t>
  </si>
  <si>
    <t>21/09/2025 10:00</t>
  </si>
  <si>
    <t>21/09/2025 10:15</t>
  </si>
  <si>
    <t>21/09/2025 10:30</t>
  </si>
  <si>
    <t>21/09/2025 10:45</t>
  </si>
  <si>
    <t>21/09/2025 11:00</t>
  </si>
  <si>
    <t>21/09/2025 11:15</t>
  </si>
  <si>
    <t>21/09/2025 11:30</t>
  </si>
  <si>
    <t>21/09/2025 11:45</t>
  </si>
  <si>
    <t>21/09/2025 12:00</t>
  </si>
  <si>
    <t>21/09/2025 12:15</t>
  </si>
  <si>
    <t>21/09/2025 12:30</t>
  </si>
  <si>
    <t>21/09/2025 12:45</t>
  </si>
  <si>
    <t>21/09/2025 13:00</t>
  </si>
  <si>
    <t>21/09/2025 13:15</t>
  </si>
  <si>
    <t>21/09/2025 13:30</t>
  </si>
  <si>
    <t>21/09/2025 13:45</t>
  </si>
  <si>
    <t>21/09/2025 14:00</t>
  </si>
  <si>
    <t>21/09/2025 14:15</t>
  </si>
  <si>
    <t>21/09/2025 14:30</t>
  </si>
  <si>
    <t>21/09/2025 14:45</t>
  </si>
  <si>
    <t>21/09/2025 15:00</t>
  </si>
  <si>
    <t>21/09/2025 15:15</t>
  </si>
  <si>
    <t>21/09/2025 15:30</t>
  </si>
  <si>
    <t>21/09/2025 15:45</t>
  </si>
  <si>
    <t>21/09/2025 16:00</t>
  </si>
  <si>
    <t>21/09/2025 16:15</t>
  </si>
  <si>
    <t>21/09/2025 16:30</t>
  </si>
  <si>
    <t>21/09/2025 16:45</t>
  </si>
  <si>
    <t>21/09/2025 17:00</t>
  </si>
  <si>
    <t>21/09/2025 17:15</t>
  </si>
  <si>
    <t>21/09/2025 17:30</t>
  </si>
  <si>
    <t>21/09/2025 17:45</t>
  </si>
  <si>
    <t>21/09/2025 18:00</t>
  </si>
  <si>
    <t>21/09/2025 18:15</t>
  </si>
  <si>
    <t>21/09/2025 18:30</t>
  </si>
  <si>
    <t>21/09/2025 18:45</t>
  </si>
  <si>
    <t>21/09/2025 19:00</t>
  </si>
  <si>
    <t>21/09/2025 19:15</t>
  </si>
  <si>
    <t>21/09/2025 19:30</t>
  </si>
  <si>
    <t>21/09/2025 19:45</t>
  </si>
  <si>
    <t>21/09/2025 20:00</t>
  </si>
  <si>
    <t>21/09/2025 20:15</t>
  </si>
  <si>
    <t>21/09/2025 20:30</t>
  </si>
  <si>
    <t>21/09/2025 20:45</t>
  </si>
  <si>
    <t>21/09/2025 21:00</t>
  </si>
  <si>
    <t>21/09/2025 21:15</t>
  </si>
  <si>
    <t>21/09/2025 21:30</t>
  </si>
  <si>
    <t>21/09/2025 21:45</t>
  </si>
  <si>
    <t>21/09/2025 22:00</t>
  </si>
  <si>
    <t>21/09/2025 22:15</t>
  </si>
  <si>
    <t>21/09/2025 22:30</t>
  </si>
  <si>
    <t>21/09/2025 22:45</t>
  </si>
  <si>
    <t>21/09/2025 23:00</t>
  </si>
  <si>
    <t>21/09/2025 23:15</t>
  </si>
  <si>
    <t>21/09/2025 23:30</t>
  </si>
  <si>
    <t>21/09/2025 23:45</t>
  </si>
  <si>
    <t>21/09/2025 24:00</t>
  </si>
  <si>
    <t>22/09/2025 00:15</t>
  </si>
  <si>
    <t>22/09/2025 00:30</t>
  </si>
  <si>
    <t>22/09/2025 00:45</t>
  </si>
  <si>
    <t>22/09/2025 01:00</t>
  </si>
  <si>
    <t>22/09/2025 01:15</t>
  </si>
  <si>
    <t>22/09/2025 01:30</t>
  </si>
  <si>
    <t>22/09/2025 01:45</t>
  </si>
  <si>
    <t>22/09/2025 02:00</t>
  </si>
  <si>
    <t>22/09/2025 02:15</t>
  </si>
  <si>
    <t>22/09/2025 02:30</t>
  </si>
  <si>
    <t>22/09/2025 02:45</t>
  </si>
  <si>
    <t>22/09/2025 03:00</t>
  </si>
  <si>
    <t>22/09/2025 03:15</t>
  </si>
  <si>
    <t>22/09/2025 03:30</t>
  </si>
  <si>
    <t>22/09/2025 03:45</t>
  </si>
  <si>
    <t>22/09/2025 04:00</t>
  </si>
  <si>
    <t>22/09/2025 04:15</t>
  </si>
  <si>
    <t>22/09/2025 04:30</t>
  </si>
  <si>
    <t>22/09/2025 04:45</t>
  </si>
  <si>
    <t>22/09/2025 05:00</t>
  </si>
  <si>
    <t>22/09/2025 05:15</t>
  </si>
  <si>
    <t>22/09/2025 05:30</t>
  </si>
  <si>
    <t>22/09/2025 05:45</t>
  </si>
  <si>
    <t>22/09/2025 06:00</t>
  </si>
  <si>
    <t>22/09/2025 06:15</t>
  </si>
  <si>
    <t>22/09/2025 06:30</t>
  </si>
  <si>
    <t>22/09/2025 06:45</t>
  </si>
  <si>
    <t>22/09/2025 07:00</t>
  </si>
  <si>
    <t>22/09/2025 07:15</t>
  </si>
  <si>
    <t>22/09/2025 07:30</t>
  </si>
  <si>
    <t>22/09/2025 07:45</t>
  </si>
  <si>
    <t>22/09/2025 08:00</t>
  </si>
  <si>
    <t>22/09/2025 08:15</t>
  </si>
  <si>
    <t>22/09/2025 08:30</t>
  </si>
  <si>
    <t>22/09/2025 08:45</t>
  </si>
  <si>
    <t>22/09/2025 09:00</t>
  </si>
  <si>
    <t>22/09/2025 09:15</t>
  </si>
  <si>
    <t>22/09/2025 09:30</t>
  </si>
  <si>
    <t>22/09/2025 09:45</t>
  </si>
  <si>
    <t>22/09/2025 10:00</t>
  </si>
  <si>
    <t>22/09/2025 10:15</t>
  </si>
  <si>
    <t>22/09/2025 10:30</t>
  </si>
  <si>
    <t>22/09/2025 10:45</t>
  </si>
  <si>
    <t>22/09/2025 11:00</t>
  </si>
  <si>
    <t>22/09/2025 11:15</t>
  </si>
  <si>
    <t>22/09/2025 11:30</t>
  </si>
  <si>
    <t>22/09/2025 11:45</t>
  </si>
  <si>
    <t>22/09/2025 12:00</t>
  </si>
  <si>
    <t>22/09/2025 12:15</t>
  </si>
  <si>
    <t>22/09/2025 12:30</t>
  </si>
  <si>
    <t>22/09/2025 12:45</t>
  </si>
  <si>
    <t>22/09/2025 13:00</t>
  </si>
  <si>
    <t>22/09/2025 13:15</t>
  </si>
  <si>
    <t>22/09/2025 13:30</t>
  </si>
  <si>
    <t>22/09/2025 13:45</t>
  </si>
  <si>
    <t>22/09/2025 14:00</t>
  </si>
  <si>
    <t>22/09/2025 14:15</t>
  </si>
  <si>
    <t>22/09/2025 14:30</t>
  </si>
  <si>
    <t>22/09/2025 14:45</t>
  </si>
  <si>
    <t>22/09/2025 15:00</t>
  </si>
  <si>
    <t>22/09/2025 15:15</t>
  </si>
  <si>
    <t>22/09/2025 15:30</t>
  </si>
  <si>
    <t>22/09/2025 15:45</t>
  </si>
  <si>
    <t>22/09/2025 16:00</t>
  </si>
  <si>
    <t>22/09/2025 16:15</t>
  </si>
  <si>
    <t>22/09/2025 16:30</t>
  </si>
  <si>
    <t>22/09/2025 16:45</t>
  </si>
  <si>
    <t>22/09/2025 17:00</t>
  </si>
  <si>
    <t>22/09/2025 17:15</t>
  </si>
  <si>
    <t>22/09/2025 17:30</t>
  </si>
  <si>
    <t>22/09/2025 17:45</t>
  </si>
  <si>
    <t>22/09/2025 18:00</t>
  </si>
  <si>
    <t>22/09/2025 18:15</t>
  </si>
  <si>
    <t>22/09/2025 18:30</t>
  </si>
  <si>
    <t>22/09/2025 18:45</t>
  </si>
  <si>
    <t>22/09/2025 19:00</t>
  </si>
  <si>
    <t>22/09/2025 19:15</t>
  </si>
  <si>
    <t>22/09/2025 19:30</t>
  </si>
  <si>
    <t>22/09/2025 19:45</t>
  </si>
  <si>
    <t>22/09/2025 20:00</t>
  </si>
  <si>
    <t>22/09/2025 20:15</t>
  </si>
  <si>
    <t>22/09/2025 20:30</t>
  </si>
  <si>
    <t>22/09/2025 20:45</t>
  </si>
  <si>
    <t>22/09/2025 21:00</t>
  </si>
  <si>
    <t>22/09/2025 21:15</t>
  </si>
  <si>
    <t>22/09/2025 21:30</t>
  </si>
  <si>
    <t>22/09/2025 21:45</t>
  </si>
  <si>
    <t>22/09/2025 22:00</t>
  </si>
  <si>
    <t>22/09/2025 22:15</t>
  </si>
  <si>
    <t>22/09/2025 22:30</t>
  </si>
  <si>
    <t>22/09/2025 22:45</t>
  </si>
  <si>
    <t>22/09/2025 23:00</t>
  </si>
  <si>
    <t>22/09/2025 23:15</t>
  </si>
  <si>
    <t>22/09/2025 23:30</t>
  </si>
  <si>
    <t>22/09/2025 23:45</t>
  </si>
  <si>
    <t>22/09/2025 24:00</t>
  </si>
  <si>
    <t>23/09/2025 00:15</t>
  </si>
  <si>
    <t>23/09/2025 00:30</t>
  </si>
  <si>
    <t>23/09/2025 00:45</t>
  </si>
  <si>
    <t>23/09/2025 01:00</t>
  </si>
  <si>
    <t>23/09/2025 01:15</t>
  </si>
  <si>
    <t>23/09/2025 01:30</t>
  </si>
  <si>
    <t>23/09/2025 01:45</t>
  </si>
  <si>
    <t>23/09/2025 02:00</t>
  </si>
  <si>
    <t>23/09/2025 02:15</t>
  </si>
  <si>
    <t>23/09/2025 02:30</t>
  </si>
  <si>
    <t>23/09/2025 02:45</t>
  </si>
  <si>
    <t>23/09/2025 03:00</t>
  </si>
  <si>
    <t>23/09/2025 03:15</t>
  </si>
  <si>
    <t>23/09/2025 03:30</t>
  </si>
  <si>
    <t>23/09/2025 03:45</t>
  </si>
  <si>
    <t>23/09/2025 04:00</t>
  </si>
  <si>
    <t>23/09/2025 04:15</t>
  </si>
  <si>
    <t>23/09/2025 04:30</t>
  </si>
  <si>
    <t>23/09/2025 04:45</t>
  </si>
  <si>
    <t>23/09/2025 05:00</t>
  </si>
  <si>
    <t>23/09/2025 05:15</t>
  </si>
  <si>
    <t>23/09/2025 05:30</t>
  </si>
  <si>
    <t>23/09/2025 05:45</t>
  </si>
  <si>
    <t>23/09/2025 06:00</t>
  </si>
  <si>
    <t>23/09/2025 06:15</t>
  </si>
  <si>
    <t>23/09/2025 06:30</t>
  </si>
  <si>
    <t>23/09/2025 06:45</t>
  </si>
  <si>
    <t>23/09/2025 07:00</t>
  </si>
  <si>
    <t>23/09/2025 07:15</t>
  </si>
  <si>
    <t>23/09/2025 07:30</t>
  </si>
  <si>
    <t>23/09/2025 07:45</t>
  </si>
  <si>
    <t>23/09/2025 08:00</t>
  </si>
  <si>
    <t>23/09/2025 08:15</t>
  </si>
  <si>
    <t>23/09/2025 08:30</t>
  </si>
  <si>
    <t>23/09/2025 08:45</t>
  </si>
  <si>
    <t>23/09/2025 09:00</t>
  </si>
  <si>
    <t>23/09/2025 09:15</t>
  </si>
  <si>
    <t>23/09/2025 09:30</t>
  </si>
  <si>
    <t>23/09/2025 09:45</t>
  </si>
  <si>
    <t>23/09/2025 10:00</t>
  </si>
  <si>
    <t>23/09/2025 10:15</t>
  </si>
  <si>
    <t>23/09/2025 10:30</t>
  </si>
  <si>
    <t>23/09/2025 10:45</t>
  </si>
  <si>
    <t>23/09/2025 11:00</t>
  </si>
  <si>
    <t>23/09/2025 11:15</t>
  </si>
  <si>
    <t>23/09/2025 11:30</t>
  </si>
  <si>
    <t>23/09/2025 11:45</t>
  </si>
  <si>
    <t>23/09/2025 12:00</t>
  </si>
  <si>
    <t>23/09/2025 12:15</t>
  </si>
  <si>
    <t>23/09/2025 12:30</t>
  </si>
  <si>
    <t>23/09/2025 12:45</t>
  </si>
  <si>
    <t>23/09/2025 13:00</t>
  </si>
  <si>
    <t>23/09/2025 13:15</t>
  </si>
  <si>
    <t>23/09/2025 13:30</t>
  </si>
  <si>
    <t>23/09/2025 13:45</t>
  </si>
  <si>
    <t>23/09/2025 14:00</t>
  </si>
  <si>
    <t>23/09/2025 14:15</t>
  </si>
  <si>
    <t>23/09/2025 14:30</t>
  </si>
  <si>
    <t>23/09/2025 14:45</t>
  </si>
  <si>
    <t>23/09/2025 15:00</t>
  </si>
  <si>
    <t>23/09/2025 15:15</t>
  </si>
  <si>
    <t>23/09/2025 15:30</t>
  </si>
  <si>
    <t>23/09/2025 15:45</t>
  </si>
  <si>
    <t>23/09/2025 16:00</t>
  </si>
  <si>
    <t>23/09/2025 16:15</t>
  </si>
  <si>
    <t>23/09/2025 16:30</t>
  </si>
  <si>
    <t>23/09/2025 16:45</t>
  </si>
  <si>
    <t>23/09/2025 17:00</t>
  </si>
  <si>
    <t>23/09/2025 17:15</t>
  </si>
  <si>
    <t>23/09/2025 17:30</t>
  </si>
  <si>
    <t>23/09/2025 17:45</t>
  </si>
  <si>
    <t>23/09/2025 18:00</t>
  </si>
  <si>
    <t>23/09/2025 18:15</t>
  </si>
  <si>
    <t>23/09/2025 18:30</t>
  </si>
  <si>
    <t>23/09/2025 18:45</t>
  </si>
  <si>
    <t>23/09/2025 19:00</t>
  </si>
  <si>
    <t>23/09/2025 19:15</t>
  </si>
  <si>
    <t>23/09/2025 19:30</t>
  </si>
  <si>
    <t>23/09/2025 19:45</t>
  </si>
  <si>
    <t>23/09/2025 20:00</t>
  </si>
  <si>
    <t>23/09/2025 20:15</t>
  </si>
  <si>
    <t>23/09/2025 20:30</t>
  </si>
  <si>
    <t>23/09/2025 20:45</t>
  </si>
  <si>
    <t>23/09/2025 21:00</t>
  </si>
  <si>
    <t>23/09/2025 21:15</t>
  </si>
  <si>
    <t>23/09/2025 21:30</t>
  </si>
  <si>
    <t>23/09/2025 21:45</t>
  </si>
  <si>
    <t>23/09/2025 22:00</t>
  </si>
  <si>
    <t>23/09/2025 22:15</t>
  </si>
  <si>
    <t>23/09/2025 22:30</t>
  </si>
  <si>
    <t>23/09/2025 22:45</t>
  </si>
  <si>
    <t>23/09/2025 23:00</t>
  </si>
  <si>
    <t>23/09/2025 23:15</t>
  </si>
  <si>
    <t>23/09/2025 23:30</t>
  </si>
  <si>
    <t>23/09/2025 23:45</t>
  </si>
  <si>
    <t>23/09/2025 24:00</t>
  </si>
  <si>
    <t>24/09/2025 00:15</t>
  </si>
  <si>
    <t>24/09/2025 00:30</t>
  </si>
  <si>
    <t>24/09/2025 00:45</t>
  </si>
  <si>
    <t>24/09/2025 01:00</t>
  </si>
  <si>
    <t>24/09/2025 01:15</t>
  </si>
  <si>
    <t>24/09/2025 01:30</t>
  </si>
  <si>
    <t>24/09/2025 01:45</t>
  </si>
  <si>
    <t>24/09/2025 02:00</t>
  </si>
  <si>
    <t>24/09/2025 02:15</t>
  </si>
  <si>
    <t>24/09/2025 02:30</t>
  </si>
  <si>
    <t>24/09/2025 02:45</t>
  </si>
  <si>
    <t>24/09/2025 03:00</t>
  </si>
  <si>
    <t>24/09/2025 03:15</t>
  </si>
  <si>
    <t>24/09/2025 03:30</t>
  </si>
  <si>
    <t>24/09/2025 03:45</t>
  </si>
  <si>
    <t>24/09/2025 04:00</t>
  </si>
  <si>
    <t>24/09/2025 04:15</t>
  </si>
  <si>
    <t>24/09/2025 04:30</t>
  </si>
  <si>
    <t>24/09/2025 04:45</t>
  </si>
  <si>
    <t>24/09/2025 05:00</t>
  </si>
  <si>
    <t>24/09/2025 05:15</t>
  </si>
  <si>
    <t>24/09/2025 05:30</t>
  </si>
  <si>
    <t>24/09/2025 05:45</t>
  </si>
  <si>
    <t>24/09/2025 06:00</t>
  </si>
  <si>
    <t>24/09/2025 06:15</t>
  </si>
  <si>
    <t>24/09/2025 06:30</t>
  </si>
  <si>
    <t>24/09/2025 06:45</t>
  </si>
  <si>
    <t>24/09/2025 07:00</t>
  </si>
  <si>
    <t>24/09/2025 07:15</t>
  </si>
  <si>
    <t>24/09/2025 07:30</t>
  </si>
  <si>
    <t>24/09/2025 07:45</t>
  </si>
  <si>
    <t>24/09/2025 08:00</t>
  </si>
  <si>
    <t>24/09/2025 08:15</t>
  </si>
  <si>
    <t>24/09/2025 08:30</t>
  </si>
  <si>
    <t>24/09/2025 08:45</t>
  </si>
  <si>
    <t>24/09/2025 09:00</t>
  </si>
  <si>
    <t>24/09/2025 09:15</t>
  </si>
  <si>
    <t>24/09/2025 09:30</t>
  </si>
  <si>
    <t>24/09/2025 09:45</t>
  </si>
  <si>
    <t>24/09/2025 10:00</t>
  </si>
  <si>
    <t>24/09/2025 10:15</t>
  </si>
  <si>
    <t>24/09/2025 10:30</t>
  </si>
  <si>
    <t>24/09/2025 10:45</t>
  </si>
  <si>
    <t>24/09/2025 11:00</t>
  </si>
  <si>
    <t>24/09/2025 11:15</t>
  </si>
  <si>
    <t>24/09/2025 11:30</t>
  </si>
  <si>
    <t>24/09/2025 11:45</t>
  </si>
  <si>
    <t>24/09/2025 12:00</t>
  </si>
  <si>
    <t>24/09/2025 12:15</t>
  </si>
  <si>
    <t>24/09/2025 12:30</t>
  </si>
  <si>
    <t>24/09/2025 12:45</t>
  </si>
  <si>
    <t>24/09/2025 13:00</t>
  </si>
  <si>
    <t>24/09/2025 13:15</t>
  </si>
  <si>
    <t>24/09/2025 13:30</t>
  </si>
  <si>
    <t>24/09/2025 13:45</t>
  </si>
  <si>
    <t>24/09/2025 14:00</t>
  </si>
  <si>
    <t>24/09/2025 14:15</t>
  </si>
  <si>
    <t>24/09/2025 14:30</t>
  </si>
  <si>
    <t>24/09/2025 14:45</t>
  </si>
  <si>
    <t>24/09/2025 15:00</t>
  </si>
  <si>
    <t>24/09/2025 15:15</t>
  </si>
  <si>
    <t>24/09/2025 15:30</t>
  </si>
  <si>
    <t>24/09/2025 15:45</t>
  </si>
  <si>
    <t>24/09/2025 16:00</t>
  </si>
  <si>
    <t>24/09/2025 16:15</t>
  </si>
  <si>
    <t>24/09/2025 16:30</t>
  </si>
  <si>
    <t>24/09/2025 16:45</t>
  </si>
  <si>
    <t>24/09/2025 17:00</t>
  </si>
  <si>
    <t>24/09/2025 17:15</t>
  </si>
  <si>
    <t>24/09/2025 17:30</t>
  </si>
  <si>
    <t>24/09/2025 17:45</t>
  </si>
  <si>
    <t>24/09/2025 18:00</t>
  </si>
  <si>
    <t>24/09/2025 18:15</t>
  </si>
  <si>
    <t>24/09/2025 18:30</t>
  </si>
  <si>
    <t>24/09/2025 18:45</t>
  </si>
  <si>
    <t>24/09/2025 19:00</t>
  </si>
  <si>
    <t>24/09/2025 19:15</t>
  </si>
  <si>
    <t>24/09/2025 19:30</t>
  </si>
  <si>
    <t>24/09/2025 19:45</t>
  </si>
  <si>
    <t>24/09/2025 20:00</t>
  </si>
  <si>
    <t>24/09/2025 20:15</t>
  </si>
  <si>
    <t>24/09/2025 20:30</t>
  </si>
  <si>
    <t>24/09/2025 20:45</t>
  </si>
  <si>
    <t>24/09/2025 21:00</t>
  </si>
  <si>
    <t>24/09/2025 21:15</t>
  </si>
  <si>
    <t>24/09/2025 21:30</t>
  </si>
  <si>
    <t>24/09/2025 21:45</t>
  </si>
  <si>
    <t>24/09/2025 22:00</t>
  </si>
  <si>
    <t>24/09/2025 22:15</t>
  </si>
  <si>
    <t>24/09/2025 22:30</t>
  </si>
  <si>
    <t>24/09/2025 22:45</t>
  </si>
  <si>
    <t>24/09/2025 23:00</t>
  </si>
  <si>
    <t>24/09/2025 23:15</t>
  </si>
  <si>
    <t>24/09/2025 23:30</t>
  </si>
  <si>
    <t>24/09/2025 23:45</t>
  </si>
  <si>
    <t>24/09/2025 24:00</t>
  </si>
  <si>
    <t>25/09/2025 00:15</t>
  </si>
  <si>
    <t>25/09/2025 00:30</t>
  </si>
  <si>
    <t>25/09/2025 00:45</t>
  </si>
  <si>
    <t>25/09/2025 01:00</t>
  </si>
  <si>
    <t>25/09/2025 01:15</t>
  </si>
  <si>
    <t>25/09/2025 01:30</t>
  </si>
  <si>
    <t>25/09/2025 01:45</t>
  </si>
  <si>
    <t>25/09/2025 02:00</t>
  </si>
  <si>
    <t>25/09/2025 02:15</t>
  </si>
  <si>
    <t>25/09/2025 02:30</t>
  </si>
  <si>
    <t>25/09/2025 02:45</t>
  </si>
  <si>
    <t>25/09/2025 03:00</t>
  </si>
  <si>
    <t>25/09/2025 03:15</t>
  </si>
  <si>
    <t>25/09/2025 03:30</t>
  </si>
  <si>
    <t>25/09/2025 03:45</t>
  </si>
  <si>
    <t>25/09/2025 04:00</t>
  </si>
  <si>
    <t>25/09/2025 04:15</t>
  </si>
  <si>
    <t>25/09/2025 04:30</t>
  </si>
  <si>
    <t>25/09/2025 04:45</t>
  </si>
  <si>
    <t>25/09/2025 05:00</t>
  </si>
  <si>
    <t>25/09/2025 05:15</t>
  </si>
  <si>
    <t>25/09/2025 05:30</t>
  </si>
  <si>
    <t>25/09/2025 05:45</t>
  </si>
  <si>
    <t>25/09/2025 06:00</t>
  </si>
  <si>
    <t>25/09/2025 06:15</t>
  </si>
  <si>
    <t>25/09/2025 06:30</t>
  </si>
  <si>
    <t>25/09/2025 06:45</t>
  </si>
  <si>
    <t>25/09/2025 07:00</t>
  </si>
  <si>
    <t>25/09/2025 07:15</t>
  </si>
  <si>
    <t>25/09/2025 07:30</t>
  </si>
  <si>
    <t>25/09/2025 07:45</t>
  </si>
  <si>
    <t>25/09/2025 08:00</t>
  </si>
  <si>
    <t>25/09/2025 08:15</t>
  </si>
  <si>
    <t>25/09/2025 08:30</t>
  </si>
  <si>
    <t>25/09/2025 08:45</t>
  </si>
  <si>
    <t>25/09/2025 09:00</t>
  </si>
  <si>
    <t>25/09/2025 09:15</t>
  </si>
  <si>
    <t>25/09/2025 09:30</t>
  </si>
  <si>
    <t>25/09/2025 09:45</t>
  </si>
  <si>
    <t>25/09/2025 10:00</t>
  </si>
  <si>
    <t>25/09/2025 10:15</t>
  </si>
  <si>
    <t>25/09/2025 10:30</t>
  </si>
  <si>
    <t>25/09/2025 10:45</t>
  </si>
  <si>
    <t>25/09/2025 11:00</t>
  </si>
  <si>
    <t>25/09/2025 11:15</t>
  </si>
  <si>
    <t>25/09/2025 11:30</t>
  </si>
  <si>
    <t>25/09/2025 11:45</t>
  </si>
  <si>
    <t>25/09/2025 12:00</t>
  </si>
  <si>
    <t>25/09/2025 12:15</t>
  </si>
  <si>
    <t>25/09/2025 12:30</t>
  </si>
  <si>
    <t>25/09/2025 12:45</t>
  </si>
  <si>
    <t>25/09/2025 13:00</t>
  </si>
  <si>
    <t>25/09/2025 13:15</t>
  </si>
  <si>
    <t>25/09/2025 13:30</t>
  </si>
  <si>
    <t>25/09/2025 13:45</t>
  </si>
  <si>
    <t>25/09/2025 14:00</t>
  </si>
  <si>
    <t>25/09/2025 14:15</t>
  </si>
  <si>
    <t>25/09/2025 14:30</t>
  </si>
  <si>
    <t>25/09/2025 14:45</t>
  </si>
  <si>
    <t>25/09/2025 15:00</t>
  </si>
  <si>
    <t>25/09/2025 15:15</t>
  </si>
  <si>
    <t>25/09/2025 15:30</t>
  </si>
  <si>
    <t>25/09/2025 15:45</t>
  </si>
  <si>
    <t>25/09/2025 16:00</t>
  </si>
  <si>
    <t>25/09/2025 16:15</t>
  </si>
  <si>
    <t>25/09/2025 16:30</t>
  </si>
  <si>
    <t>25/09/2025 16:45</t>
  </si>
  <si>
    <t>25/09/2025 17:00</t>
  </si>
  <si>
    <t>25/09/2025 17:15</t>
  </si>
  <si>
    <t>25/09/2025 17:30</t>
  </si>
  <si>
    <t>25/09/2025 17:45</t>
  </si>
  <si>
    <t>25/09/2025 18:00</t>
  </si>
  <si>
    <t>25/09/2025 18:15</t>
  </si>
  <si>
    <t>25/09/2025 18:30</t>
  </si>
  <si>
    <t>25/09/2025 18:45</t>
  </si>
  <si>
    <t>25/09/2025 19:00</t>
  </si>
  <si>
    <t>25/09/2025 19:15</t>
  </si>
  <si>
    <t>25/09/2025 19:30</t>
  </si>
  <si>
    <t>25/09/2025 19:45</t>
  </si>
  <si>
    <t>25/09/2025 20:00</t>
  </si>
  <si>
    <t>25/09/2025 20:15</t>
  </si>
  <si>
    <t>25/09/2025 20:30</t>
  </si>
  <si>
    <t>25/09/2025 20:45</t>
  </si>
  <si>
    <t>25/09/2025 21:00</t>
  </si>
  <si>
    <t>25/09/2025 21:15</t>
  </si>
  <si>
    <t>25/09/2025 21:30</t>
  </si>
  <si>
    <t>25/09/2025 21:45</t>
  </si>
  <si>
    <t>25/09/2025 22:00</t>
  </si>
  <si>
    <t>25/09/2025 22:15</t>
  </si>
  <si>
    <t>25/09/2025 22:30</t>
  </si>
  <si>
    <t>25/09/2025 22:45</t>
  </si>
  <si>
    <t>25/09/2025 23:00</t>
  </si>
  <si>
    <t>25/09/2025 23:15</t>
  </si>
  <si>
    <t>25/09/2025 23:30</t>
  </si>
  <si>
    <t>25/09/2025 23:45</t>
  </si>
  <si>
    <t>25/09/2025 24:00</t>
  </si>
  <si>
    <t>26/09/2025 00:15</t>
  </si>
  <si>
    <t>26/09/2025 00:30</t>
  </si>
  <si>
    <t>26/09/2025 00:45</t>
  </si>
  <si>
    <t>26/09/2025 01:00</t>
  </si>
  <si>
    <t>26/09/2025 01:15</t>
  </si>
  <si>
    <t>26/09/2025 01:30</t>
  </si>
  <si>
    <t>26/09/2025 01:45</t>
  </si>
  <si>
    <t>26/09/2025 02:00</t>
  </si>
  <si>
    <t>26/09/2025 02:15</t>
  </si>
  <si>
    <t>26/09/2025 02:30</t>
  </si>
  <si>
    <t>26/09/2025 02:45</t>
  </si>
  <si>
    <t>26/09/2025 03:00</t>
  </si>
  <si>
    <t>26/09/2025 03:15</t>
  </si>
  <si>
    <t>26/09/2025 03:30</t>
  </si>
  <si>
    <t>26/09/2025 03:45</t>
  </si>
  <si>
    <t>26/09/2025 04:00</t>
  </si>
  <si>
    <t>26/09/2025 04:15</t>
  </si>
  <si>
    <t>26/09/2025 04:30</t>
  </si>
  <si>
    <t>26/09/2025 04:45</t>
  </si>
  <si>
    <t>26/09/2025 05:00</t>
  </si>
  <si>
    <t>26/09/2025 05:15</t>
  </si>
  <si>
    <t>26/09/2025 05:30</t>
  </si>
  <si>
    <t>26/09/2025 05:45</t>
  </si>
  <si>
    <t>26/09/2025 06:00</t>
  </si>
  <si>
    <t>26/09/2025 06:15</t>
  </si>
  <si>
    <t>26/09/2025 06:30</t>
  </si>
  <si>
    <t>26/09/2025 06:45</t>
  </si>
  <si>
    <t>26/09/2025 07:00</t>
  </si>
  <si>
    <t>26/09/2025 07:15</t>
  </si>
  <si>
    <t>26/09/2025 07:30</t>
  </si>
  <si>
    <t>26/09/2025 07:45</t>
  </si>
  <si>
    <t>26/09/2025 08:00</t>
  </si>
  <si>
    <t>26/09/2025 08:15</t>
  </si>
  <si>
    <t>26/09/2025 08:30</t>
  </si>
  <si>
    <t>26/09/2025 08:45</t>
  </si>
  <si>
    <t>26/09/2025 09:00</t>
  </si>
  <si>
    <t>26/09/2025 09:15</t>
  </si>
  <si>
    <t>26/09/2025 09:30</t>
  </si>
  <si>
    <t>26/09/2025 09:45</t>
  </si>
  <si>
    <t>26/09/2025 10:00</t>
  </si>
  <si>
    <t>26/09/2025 10:15</t>
  </si>
  <si>
    <t>26/09/2025 10:30</t>
  </si>
  <si>
    <t>26/09/2025 10:45</t>
  </si>
  <si>
    <t>26/09/2025 11:00</t>
  </si>
  <si>
    <t>26/09/2025 11:15</t>
  </si>
  <si>
    <t>26/09/2025 11:30</t>
  </si>
  <si>
    <t>26/09/2025 11:45</t>
  </si>
  <si>
    <t>26/09/2025 12:00</t>
  </si>
  <si>
    <t>26/09/2025 12:15</t>
  </si>
  <si>
    <t>26/09/2025 12:30</t>
  </si>
  <si>
    <t>26/09/2025 12:45</t>
  </si>
  <si>
    <t>26/09/2025 13:00</t>
  </si>
  <si>
    <t>26/09/2025 13:15</t>
  </si>
  <si>
    <t>26/09/2025 13:30</t>
  </si>
  <si>
    <t>26/09/2025 13:45</t>
  </si>
  <si>
    <t>26/09/2025 14:00</t>
  </si>
  <si>
    <t>26/09/2025 14:15</t>
  </si>
  <si>
    <t>26/09/2025 14:30</t>
  </si>
  <si>
    <t>26/09/2025 14:45</t>
  </si>
  <si>
    <t>26/09/2025 15:00</t>
  </si>
  <si>
    <t>26/09/2025 15:15</t>
  </si>
  <si>
    <t>26/09/2025 15:30</t>
  </si>
  <si>
    <t>26/09/2025 15:45</t>
  </si>
  <si>
    <t>26/09/2025 16:00</t>
  </si>
  <si>
    <t>26/09/2025 16:15</t>
  </si>
  <si>
    <t>26/09/2025 16:30</t>
  </si>
  <si>
    <t>26/09/2025 16:45</t>
  </si>
  <si>
    <t>26/09/2025 17:00</t>
  </si>
  <si>
    <t>26/09/2025 17:15</t>
  </si>
  <si>
    <t>26/09/2025 17:30</t>
  </si>
  <si>
    <t>26/09/2025 17:45</t>
  </si>
  <si>
    <t>26/09/2025 18:00</t>
  </si>
  <si>
    <t>26/09/2025 18:15</t>
  </si>
  <si>
    <t>26/09/2025 18:30</t>
  </si>
  <si>
    <t>26/09/2025 18:45</t>
  </si>
  <si>
    <t>26/09/2025 19:00</t>
  </si>
  <si>
    <t>26/09/2025 19:15</t>
  </si>
  <si>
    <t>26/09/2025 19:30</t>
  </si>
  <si>
    <t>26/09/2025 19:45</t>
  </si>
  <si>
    <t>26/09/2025 20:00</t>
  </si>
  <si>
    <t>26/09/2025 20:15</t>
  </si>
  <si>
    <t>26/09/2025 20:30</t>
  </si>
  <si>
    <t>26/09/2025 20:45</t>
  </si>
  <si>
    <t>26/09/2025 21:00</t>
  </si>
  <si>
    <t>26/09/2025 21:15</t>
  </si>
  <si>
    <t>26/09/2025 21:30</t>
  </si>
  <si>
    <t>26/09/2025 21:45</t>
  </si>
  <si>
    <t>26/09/2025 22:00</t>
  </si>
  <si>
    <t>26/09/2025 22:15</t>
  </si>
  <si>
    <t>26/09/2025 22:30</t>
  </si>
  <si>
    <t>26/09/2025 22:45</t>
  </si>
  <si>
    <t>26/09/2025 23:00</t>
  </si>
  <si>
    <t>26/09/2025 23:15</t>
  </si>
  <si>
    <t>26/09/2025 23:30</t>
  </si>
  <si>
    <t>26/09/2025 23:45</t>
  </si>
  <si>
    <t>26/09/2025 24:00</t>
  </si>
  <si>
    <t>27/09/2025 00:15</t>
  </si>
  <si>
    <t>27/09/2025 00:30</t>
  </si>
  <si>
    <t>27/09/2025 00:45</t>
  </si>
  <si>
    <t>27/09/2025 01:00</t>
  </si>
  <si>
    <t>27/09/2025 01:15</t>
  </si>
  <si>
    <t>27/09/2025 01:30</t>
  </si>
  <si>
    <t>27/09/2025 01:45</t>
  </si>
  <si>
    <t>27/09/2025 02:00</t>
  </si>
  <si>
    <t>27/09/2025 02:15</t>
  </si>
  <si>
    <t>27/09/2025 02:30</t>
  </si>
  <si>
    <t>27/09/2025 02:45</t>
  </si>
  <si>
    <t>27/09/2025 03:00</t>
  </si>
  <si>
    <t>27/09/2025 03:15</t>
  </si>
  <si>
    <t>27/09/2025 03:30</t>
  </si>
  <si>
    <t>27/09/2025 03:45</t>
  </si>
  <si>
    <t>27/09/2025 04:00</t>
  </si>
  <si>
    <t>27/09/2025 04:15</t>
  </si>
  <si>
    <t>27/09/2025 04:30</t>
  </si>
  <si>
    <t>27/09/2025 04:45</t>
  </si>
  <si>
    <t>27/09/2025 05:00</t>
  </si>
  <si>
    <t>27/09/2025 05:15</t>
  </si>
  <si>
    <t>27/09/2025 05:30</t>
  </si>
  <si>
    <t>27/09/2025 05:45</t>
  </si>
  <si>
    <t>27/09/2025 06:00</t>
  </si>
  <si>
    <t>27/09/2025 06:15</t>
  </si>
  <si>
    <t>27/09/2025 06:30</t>
  </si>
  <si>
    <t>27/09/2025 06:45</t>
  </si>
  <si>
    <t>27/09/2025 07:00</t>
  </si>
  <si>
    <t>27/09/2025 07:15</t>
  </si>
  <si>
    <t>27/09/2025 07:30</t>
  </si>
  <si>
    <t>27/09/2025 07:45</t>
  </si>
  <si>
    <t>27/09/2025 08:00</t>
  </si>
  <si>
    <t>27/09/2025 08:15</t>
  </si>
  <si>
    <t>27/09/2025 08:30</t>
  </si>
  <si>
    <t>27/09/2025 08:45</t>
  </si>
  <si>
    <t>27/09/2025 09:00</t>
  </si>
  <si>
    <t>27/09/2025 09:15</t>
  </si>
  <si>
    <t>27/09/2025 09:30</t>
  </si>
  <si>
    <t>27/09/2025 09:45</t>
  </si>
  <si>
    <t>27/09/2025 10:00</t>
  </si>
  <si>
    <t>27/09/2025 10:15</t>
  </si>
  <si>
    <t>27/09/2025 10:30</t>
  </si>
  <si>
    <t>27/09/2025 10:45</t>
  </si>
  <si>
    <t>27/09/2025 11:00</t>
  </si>
  <si>
    <t>27/09/2025 11:15</t>
  </si>
  <si>
    <t>27/09/2025 11:30</t>
  </si>
  <si>
    <t>27/09/2025 11:45</t>
  </si>
  <si>
    <t>27/09/2025 12:00</t>
  </si>
  <si>
    <t>27/09/2025 12:15</t>
  </si>
  <si>
    <t>27/09/2025 12:30</t>
  </si>
  <si>
    <t>27/09/2025 12:45</t>
  </si>
  <si>
    <t>27/09/2025 13:00</t>
  </si>
  <si>
    <t>27/09/2025 13:15</t>
  </si>
  <si>
    <t>27/09/2025 13:30</t>
  </si>
  <si>
    <t>27/09/2025 13:45</t>
  </si>
  <si>
    <t>27/09/2025 14:00</t>
  </si>
  <si>
    <t>27/09/2025 14:15</t>
  </si>
  <si>
    <t>27/09/2025 14:30</t>
  </si>
  <si>
    <t>27/09/2025 14:45</t>
  </si>
  <si>
    <t>27/09/2025 15:00</t>
  </si>
  <si>
    <t>27/09/2025 15:15</t>
  </si>
  <si>
    <t>27/09/2025 15:30</t>
  </si>
  <si>
    <t>27/09/2025 15:45</t>
  </si>
  <si>
    <t>27/09/2025 16:00</t>
  </si>
  <si>
    <t>27/09/2025 16:15</t>
  </si>
  <si>
    <t>27/09/2025 16:30</t>
  </si>
  <si>
    <t>27/09/2025 16:45</t>
  </si>
  <si>
    <t>27/09/2025 17:00</t>
  </si>
  <si>
    <t>27/09/2025 17:15</t>
  </si>
  <si>
    <t>27/09/2025 17:30</t>
  </si>
  <si>
    <t>27/09/2025 17:45</t>
  </si>
  <si>
    <t>27/09/2025 18:00</t>
  </si>
  <si>
    <t>27/09/2025 18:15</t>
  </si>
  <si>
    <t>27/09/2025 18:30</t>
  </si>
  <si>
    <t>27/09/2025 18:45</t>
  </si>
  <si>
    <t>27/09/2025 19:00</t>
  </si>
  <si>
    <t>27/09/2025 19:15</t>
  </si>
  <si>
    <t>27/09/2025 19:30</t>
  </si>
  <si>
    <t>27/09/2025 19:45</t>
  </si>
  <si>
    <t>27/09/2025 20:00</t>
  </si>
  <si>
    <t>27/09/2025 20:15</t>
  </si>
  <si>
    <t>27/09/2025 20:30</t>
  </si>
  <si>
    <t>27/09/2025 20:45</t>
  </si>
  <si>
    <t>27/09/2025 21:00</t>
  </si>
  <si>
    <t>27/09/2025 21:15</t>
  </si>
  <si>
    <t>27/09/2025 21:30</t>
  </si>
  <si>
    <t>27/09/2025 21:45</t>
  </si>
  <si>
    <t>27/09/2025 22:00</t>
  </si>
  <si>
    <t>27/09/2025 22:15</t>
  </si>
  <si>
    <t>27/09/2025 22:30</t>
  </si>
  <si>
    <t>27/09/2025 22:45</t>
  </si>
  <si>
    <t>27/09/2025 23:00</t>
  </si>
  <si>
    <t>27/09/2025 23:15</t>
  </si>
  <si>
    <t>27/09/2025 23:30</t>
  </si>
  <si>
    <t>27/09/2025 23:45</t>
  </si>
  <si>
    <t>27/09/2025 24:00</t>
  </si>
  <si>
    <t>28/09/2025 00:15</t>
  </si>
  <si>
    <t>28/09/2025 00:30</t>
  </si>
  <si>
    <t>28/09/2025 00:45</t>
  </si>
  <si>
    <t>28/09/2025 01:00</t>
  </si>
  <si>
    <t>28/09/2025 01:15</t>
  </si>
  <si>
    <t>28/09/2025 01:30</t>
  </si>
  <si>
    <t>28/09/2025 01:45</t>
  </si>
  <si>
    <t>28/09/2025 02:00</t>
  </si>
  <si>
    <t>28/09/2025 02:15</t>
  </si>
  <si>
    <t>28/09/2025 02:30</t>
  </si>
  <si>
    <t>28/09/2025 02:45</t>
  </si>
  <si>
    <t>28/09/2025 03:00</t>
  </si>
  <si>
    <t>28/09/2025 03:15</t>
  </si>
  <si>
    <t>28/09/2025 03:30</t>
  </si>
  <si>
    <t>28/09/2025 03:45</t>
  </si>
  <si>
    <t>28/09/2025 04:00</t>
  </si>
  <si>
    <t>28/09/2025 04:15</t>
  </si>
  <si>
    <t>28/09/2025 04:30</t>
  </si>
  <si>
    <t>28/09/2025 04:45</t>
  </si>
  <si>
    <t>28/09/2025 05:00</t>
  </si>
  <si>
    <t>28/09/2025 05:15</t>
  </si>
  <si>
    <t>28/09/2025 05:30</t>
  </si>
  <si>
    <t>28/09/2025 05:45</t>
  </si>
  <si>
    <t>28/09/2025 06:00</t>
  </si>
  <si>
    <t>28/09/2025 06:15</t>
  </si>
  <si>
    <t>28/09/2025 06:30</t>
  </si>
  <si>
    <t>28/09/2025 06:45</t>
  </si>
  <si>
    <t>28/09/2025 07:00</t>
  </si>
  <si>
    <t>28/09/2025 07:15</t>
  </si>
  <si>
    <t>28/09/2025 07:30</t>
  </si>
  <si>
    <t>28/09/2025 07:45</t>
  </si>
  <si>
    <t>28/09/2025 08:00</t>
  </si>
  <si>
    <t>28/09/2025 08:15</t>
  </si>
  <si>
    <t>28/09/2025 08:30</t>
  </si>
  <si>
    <t>28/09/2025 08:45</t>
  </si>
  <si>
    <t>28/09/2025 09:00</t>
  </si>
  <si>
    <t>28/09/2025 09:15</t>
  </si>
  <si>
    <t>28/09/2025 09:30</t>
  </si>
  <si>
    <t>28/09/2025 09:45</t>
  </si>
  <si>
    <t>28/09/2025 10:00</t>
  </si>
  <si>
    <t>28/09/2025 10:15</t>
  </si>
  <si>
    <t>28/09/2025 10:30</t>
  </si>
  <si>
    <t>28/09/2025 10:45</t>
  </si>
  <si>
    <t>28/09/2025 11:00</t>
  </si>
  <si>
    <t>28/09/2025 11:15</t>
  </si>
  <si>
    <t>28/09/2025 11:30</t>
  </si>
  <si>
    <t>28/09/2025 11:45</t>
  </si>
  <si>
    <t>28/09/2025 12:00</t>
  </si>
  <si>
    <t>28/09/2025 12:15</t>
  </si>
  <si>
    <t>28/09/2025 12:30</t>
  </si>
  <si>
    <t>28/09/2025 12:45</t>
  </si>
  <si>
    <t>28/09/2025 13:00</t>
  </si>
  <si>
    <t>28/09/2025 13:15</t>
  </si>
  <si>
    <t>28/09/2025 13:30</t>
  </si>
  <si>
    <t>28/09/2025 13:45</t>
  </si>
  <si>
    <t>28/09/2025 14:00</t>
  </si>
  <si>
    <t>28/09/2025 14:15</t>
  </si>
  <si>
    <t>28/09/2025 14:30</t>
  </si>
  <si>
    <t>28/09/2025 14:45</t>
  </si>
  <si>
    <t>28/09/2025 15:00</t>
  </si>
  <si>
    <t>28/09/2025 15:15</t>
  </si>
  <si>
    <t>28/09/2025 15:30</t>
  </si>
  <si>
    <t>28/09/2025 15:45</t>
  </si>
  <si>
    <t>28/09/2025 16:00</t>
  </si>
  <si>
    <t>28/09/2025 16:15</t>
  </si>
  <si>
    <t>28/09/2025 16:30</t>
  </si>
  <si>
    <t>28/09/2025 16:45</t>
  </si>
  <si>
    <t>28/09/2025 17:00</t>
  </si>
  <si>
    <t>28/09/2025 17:15</t>
  </si>
  <si>
    <t>28/09/2025 17:30</t>
  </si>
  <si>
    <t>28/09/2025 17:45</t>
  </si>
  <si>
    <t>28/09/2025 18:00</t>
  </si>
  <si>
    <t>28/09/2025 18:15</t>
  </si>
  <si>
    <t>28/09/2025 18:30</t>
  </si>
  <si>
    <t>28/09/2025 18:45</t>
  </si>
  <si>
    <t>28/09/2025 19:00</t>
  </si>
  <si>
    <t>28/09/2025 19:15</t>
  </si>
  <si>
    <t>28/09/2025 19:30</t>
  </si>
  <si>
    <t>28/09/2025 19:45</t>
  </si>
  <si>
    <t>28/09/2025 20:00</t>
  </si>
  <si>
    <t>28/09/2025 20:15</t>
  </si>
  <si>
    <t>28/09/2025 20:30</t>
  </si>
  <si>
    <t>28/09/2025 20:45</t>
  </si>
  <si>
    <t>28/09/2025 21:00</t>
  </si>
  <si>
    <t>28/09/2025 21:15</t>
  </si>
  <si>
    <t>28/09/2025 21:30</t>
  </si>
  <si>
    <t>28/09/2025 21:45</t>
  </si>
  <si>
    <t>28/09/2025 22:00</t>
  </si>
  <si>
    <t>28/09/2025 22:15</t>
  </si>
  <si>
    <t>28/09/2025 22:30</t>
  </si>
  <si>
    <t>28/09/2025 22:45</t>
  </si>
  <si>
    <t>28/09/2025 23:00</t>
  </si>
  <si>
    <t>28/09/2025 23:15</t>
  </si>
  <si>
    <t>28/09/2025 23:30</t>
  </si>
  <si>
    <t>28/09/2025 23:45</t>
  </si>
  <si>
    <t>28/09/2025 24:00</t>
  </si>
  <si>
    <t>29/09/2025 00:15</t>
  </si>
  <si>
    <t>29/09/2025 00:30</t>
  </si>
  <si>
    <t>29/09/2025 00:45</t>
  </si>
  <si>
    <t>29/09/2025 01:00</t>
  </si>
  <si>
    <t>29/09/2025 01:15</t>
  </si>
  <si>
    <t>29/09/2025 01:30</t>
  </si>
  <si>
    <t>29/09/2025 01:45</t>
  </si>
  <si>
    <t>29/09/2025 02:00</t>
  </si>
  <si>
    <t>29/09/2025 02:15</t>
  </si>
  <si>
    <t>29/09/2025 02:30</t>
  </si>
  <si>
    <t>29/09/2025 02:45</t>
  </si>
  <si>
    <t>29/09/2025 03:00</t>
  </si>
  <si>
    <t>29/09/2025 03:15</t>
  </si>
  <si>
    <t>29/09/2025 03:30</t>
  </si>
  <si>
    <t>29/09/2025 03:45</t>
  </si>
  <si>
    <t>29/09/2025 04:00</t>
  </si>
  <si>
    <t>29/09/2025 04:15</t>
  </si>
  <si>
    <t>29/09/2025 04:30</t>
  </si>
  <si>
    <t>29/09/2025 04:45</t>
  </si>
  <si>
    <t>29/09/2025 05:00</t>
  </si>
  <si>
    <t>29/09/2025 05:15</t>
  </si>
  <si>
    <t>29/09/2025 05:30</t>
  </si>
  <si>
    <t>29/09/2025 05:45</t>
  </si>
  <si>
    <t>29/09/2025 06:00</t>
  </si>
  <si>
    <t>29/09/2025 06:15</t>
  </si>
  <si>
    <t>29/09/2025 06:30</t>
  </si>
  <si>
    <t>29/09/2025 06:45</t>
  </si>
  <si>
    <t>29/09/2025 07:00</t>
  </si>
  <si>
    <t>29/09/2025 07:15</t>
  </si>
  <si>
    <t>29/09/2025 07:30</t>
  </si>
  <si>
    <t>29/09/2025 07:45</t>
  </si>
  <si>
    <t>29/09/2025 08:00</t>
  </si>
  <si>
    <t>29/09/2025 08:15</t>
  </si>
  <si>
    <t>29/09/2025 08:30</t>
  </si>
  <si>
    <t>29/09/2025 08:45</t>
  </si>
  <si>
    <t>29/09/2025 09:00</t>
  </si>
  <si>
    <t>29/09/2025 09:15</t>
  </si>
  <si>
    <t>29/09/2025 09:30</t>
  </si>
  <si>
    <t>29/09/2025 09:45</t>
  </si>
  <si>
    <t>29/09/2025 10:00</t>
  </si>
  <si>
    <t>29/09/2025 10:15</t>
  </si>
  <si>
    <t>29/09/2025 10:30</t>
  </si>
  <si>
    <t>29/09/2025 10:45</t>
  </si>
  <si>
    <t>29/09/2025 11:00</t>
  </si>
  <si>
    <t>29/09/2025 11:15</t>
  </si>
  <si>
    <t>29/09/2025 11:30</t>
  </si>
  <si>
    <t>29/09/2025 11:45</t>
  </si>
  <si>
    <t>29/09/2025 12:00</t>
  </si>
  <si>
    <t>29/09/2025 12:15</t>
  </si>
  <si>
    <t>29/09/2025 12:30</t>
  </si>
  <si>
    <t>29/09/2025 12:45</t>
  </si>
  <si>
    <t>29/09/2025 13:00</t>
  </si>
  <si>
    <t>29/09/2025 13:15</t>
  </si>
  <si>
    <t>29/09/2025 13:30</t>
  </si>
  <si>
    <t>29/09/2025 13:45</t>
  </si>
  <si>
    <t>29/09/2025 14:00</t>
  </si>
  <si>
    <t>29/09/2025 14:15</t>
  </si>
  <si>
    <t>29/09/2025 14:30</t>
  </si>
  <si>
    <t>29/09/2025 14:45</t>
  </si>
  <si>
    <t>29/09/2025 15:00</t>
  </si>
  <si>
    <t>29/09/2025 15:15</t>
  </si>
  <si>
    <t>29/09/2025 15:30</t>
  </si>
  <si>
    <t>29/09/2025 15:45</t>
  </si>
  <si>
    <t>29/09/2025 16:00</t>
  </si>
  <si>
    <t>29/09/2025 16:15</t>
  </si>
  <si>
    <t>29/09/2025 16:30</t>
  </si>
  <si>
    <t>29/09/2025 16:45</t>
  </si>
  <si>
    <t>29/09/2025 17:00</t>
  </si>
  <si>
    <t>29/09/2025 17:15</t>
  </si>
  <si>
    <t>29/09/2025 17:30</t>
  </si>
  <si>
    <t>29/09/2025 17:45</t>
  </si>
  <si>
    <t>29/09/2025 18:00</t>
  </si>
  <si>
    <t>29/09/2025 18:15</t>
  </si>
  <si>
    <t>29/09/2025 18:30</t>
  </si>
  <si>
    <t>29/09/2025 18:45</t>
  </si>
  <si>
    <t>29/09/2025 19:00</t>
  </si>
  <si>
    <t>29/09/2025 19:15</t>
  </si>
  <si>
    <t>29/09/2025 19:30</t>
  </si>
  <si>
    <t>29/09/2025 19:45</t>
  </si>
  <si>
    <t>29/09/2025 20:00</t>
  </si>
  <si>
    <t>29/09/2025 20:15</t>
  </si>
  <si>
    <t>29/09/2025 20:30</t>
  </si>
  <si>
    <t>29/09/2025 20:45</t>
  </si>
  <si>
    <t>29/09/2025 21:00</t>
  </si>
  <si>
    <t>29/09/2025 21:15</t>
  </si>
  <si>
    <t>29/09/2025 21:30</t>
  </si>
  <si>
    <t>29/09/2025 21:45</t>
  </si>
  <si>
    <t>29/09/2025 22:00</t>
  </si>
  <si>
    <t>29/09/2025 22:15</t>
  </si>
  <si>
    <t>29/09/2025 22:30</t>
  </si>
  <si>
    <t>29/09/2025 22:45</t>
  </si>
  <si>
    <t>29/09/2025 23:00</t>
  </si>
  <si>
    <t>29/09/2025 23:15</t>
  </si>
  <si>
    <t>29/09/2025 23:30</t>
  </si>
  <si>
    <t>29/09/2025 23:45</t>
  </si>
  <si>
    <t>29/09/2025 24:00</t>
  </si>
  <si>
    <t>30/09/2025 00:15</t>
  </si>
  <si>
    <t>30/09/2025 00:30</t>
  </si>
  <si>
    <t>30/09/2025 00:45</t>
  </si>
  <si>
    <t>30/09/2025 01:00</t>
  </si>
  <si>
    <t>30/09/2025 01:15</t>
  </si>
  <si>
    <t>30/09/2025 01:30</t>
  </si>
  <si>
    <t>30/09/2025 01:45</t>
  </si>
  <si>
    <t>30/09/2025 02:00</t>
  </si>
  <si>
    <t>30/09/2025 02:15</t>
  </si>
  <si>
    <t>30/09/2025 02:30</t>
  </si>
  <si>
    <t>30/09/2025 02:45</t>
  </si>
  <si>
    <t>30/09/2025 03:00</t>
  </si>
  <si>
    <t>30/09/2025 03:15</t>
  </si>
  <si>
    <t>30/09/2025 03:30</t>
  </si>
  <si>
    <t>30/09/2025 03:45</t>
  </si>
  <si>
    <t>30/09/2025 04:00</t>
  </si>
  <si>
    <t>30/09/2025 04:15</t>
  </si>
  <si>
    <t>30/09/2025 04:30</t>
  </si>
  <si>
    <t>30/09/2025 04:45</t>
  </si>
  <si>
    <t>30/09/2025 05:00</t>
  </si>
  <si>
    <t>30/09/2025 05:15</t>
  </si>
  <si>
    <t>30/09/2025 05:30</t>
  </si>
  <si>
    <t>30/09/2025 05:45</t>
  </si>
  <si>
    <t>30/09/2025 06:00</t>
  </si>
  <si>
    <t>30/09/2025 06:15</t>
  </si>
  <si>
    <t>30/09/2025 06:30</t>
  </si>
  <si>
    <t>30/09/2025 06:45</t>
  </si>
  <si>
    <t>30/09/2025 07:00</t>
  </si>
  <si>
    <t>30/09/2025 07:15</t>
  </si>
  <si>
    <t>30/09/2025 07:30</t>
  </si>
  <si>
    <t>30/09/2025 07:45</t>
  </si>
  <si>
    <t>30/09/2025 08:00</t>
  </si>
  <si>
    <t>30/09/2025 08:15</t>
  </si>
  <si>
    <t>30/09/2025 08:30</t>
  </si>
  <si>
    <t>30/09/2025 08:45</t>
  </si>
  <si>
    <t>30/09/2025 09:00</t>
  </si>
  <si>
    <t>30/09/2025 09:15</t>
  </si>
  <si>
    <t>30/09/2025 09:30</t>
  </si>
  <si>
    <t>30/09/2025 09:45</t>
  </si>
  <si>
    <t>30/09/2025 10:00</t>
  </si>
  <si>
    <t>30/09/2025 10:15</t>
  </si>
  <si>
    <t>30/09/2025 10:30</t>
  </si>
  <si>
    <t>30/09/2025 10:45</t>
  </si>
  <si>
    <t>30/09/2025 11:00</t>
  </si>
  <si>
    <t>30/09/2025 11:15</t>
  </si>
  <si>
    <t>30/09/2025 11:30</t>
  </si>
  <si>
    <t>30/09/2025 11:45</t>
  </si>
  <si>
    <t>30/09/2025 12:00</t>
  </si>
  <si>
    <t>30/09/2025 12:15</t>
  </si>
  <si>
    <t>30/09/2025 12:30</t>
  </si>
  <si>
    <t>30/09/2025 12:45</t>
  </si>
  <si>
    <t>30/09/2025 13:00</t>
  </si>
  <si>
    <t>30/09/2025 13:15</t>
  </si>
  <si>
    <t>30/09/2025 13:30</t>
  </si>
  <si>
    <t>30/09/2025 13:45</t>
  </si>
  <si>
    <t>30/09/2025 14:00</t>
  </si>
  <si>
    <t>30/09/2025 14:15</t>
  </si>
  <si>
    <t>30/09/2025 14:30</t>
  </si>
  <si>
    <t>30/09/2025 14:45</t>
  </si>
  <si>
    <t>30/09/2025 15:00</t>
  </si>
  <si>
    <t>30/09/2025 15:15</t>
  </si>
  <si>
    <t>30/09/2025 15:30</t>
  </si>
  <si>
    <t>30/09/2025 15:45</t>
  </si>
  <si>
    <t>30/09/2025 16:00</t>
  </si>
  <si>
    <t>30/09/2025 16:15</t>
  </si>
  <si>
    <t>30/09/2025 16:30</t>
  </si>
  <si>
    <t>30/09/2025 16:45</t>
  </si>
  <si>
    <t>30/09/2025 17:00</t>
  </si>
  <si>
    <t>30/09/2025 17:15</t>
  </si>
  <si>
    <t>30/09/2025 17:30</t>
  </si>
  <si>
    <t>30/09/2025 17:45</t>
  </si>
  <si>
    <t>30/09/2025 18:00</t>
  </si>
  <si>
    <t>30/09/2025 18:15</t>
  </si>
  <si>
    <t>30/09/2025 18:30</t>
  </si>
  <si>
    <t>30/09/2025 18:45</t>
  </si>
  <si>
    <t>30/09/2025 19:00</t>
  </si>
  <si>
    <t>30/09/2025 19:15</t>
  </si>
  <si>
    <t>30/09/2025 19:30</t>
  </si>
  <si>
    <t>30/09/2025 19:45</t>
  </si>
  <si>
    <t>30/09/2025 20:00</t>
  </si>
  <si>
    <t>30/09/2025 20:15</t>
  </si>
  <si>
    <t>30/09/2025 20:30</t>
  </si>
  <si>
    <t>30/09/2025 20:45</t>
  </si>
  <si>
    <t>30/09/2025 21:00</t>
  </si>
  <si>
    <t>30/09/2025 21:15</t>
  </si>
  <si>
    <t>30/09/2025 21:30</t>
  </si>
  <si>
    <t>30/09/2025 21:45</t>
  </si>
  <si>
    <t>30/09/2025 22:00</t>
  </si>
  <si>
    <t>30/09/2025 22:15</t>
  </si>
  <si>
    <t>30/09/2025 22:30</t>
  </si>
  <si>
    <t>30/09/2025 22:45</t>
  </si>
  <si>
    <t>30/09/2025 23:00</t>
  </si>
  <si>
    <t>30/09/2025 23:15</t>
  </si>
  <si>
    <t>30/09/2025 23:30</t>
  </si>
  <si>
    <t>30/09/2025 23:45</t>
  </si>
  <si>
    <t>30/09/2025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</si>
</sst>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28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B99" activePane="bottomRight" state="frozen"/>
      <selection pane="topRight"/>
      <selection pane="bottomLeft"/>
      <selection pane="bottomRight" activeCell="H92" sqref="H9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241</v>
      </c>
      <c r="B9" s="100">
        <v>5.37</v>
      </c>
      <c r="C9" s="100">
        <v>11.51</v>
      </c>
      <c r="D9" s="100">
        <v>10.32</v>
      </c>
      <c r="E9" s="100">
        <v>4.96</v>
      </c>
      <c r="F9" s="100">
        <v>0.13</v>
      </c>
      <c r="G9" s="100">
        <v>16.510000000000002</v>
      </c>
      <c r="H9" s="100">
        <v>5.82</v>
      </c>
      <c r="I9" s="100">
        <v>4.8499999999999996</v>
      </c>
      <c r="J9" s="100">
        <v>0.48</v>
      </c>
      <c r="K9" s="100">
        <v>236.32</v>
      </c>
      <c r="L9" s="100">
        <v>26.3</v>
      </c>
      <c r="M9" s="100">
        <v>92.71</v>
      </c>
      <c r="N9" s="100">
        <v>2.1</v>
      </c>
      <c r="O9" s="100">
        <v>0</v>
      </c>
      <c r="P9" s="100">
        <v>0.26</v>
      </c>
      <c r="Q9" s="100">
        <v>10</v>
      </c>
      <c r="R9" s="6"/>
      <c r="S9" s="6"/>
      <c r="T9" s="156"/>
      <c r="U9" s="6"/>
    </row>
    <row r="10" spans="1:21" customFormat="1">
      <c r="A10" s="201" t="s">
        <v>242</v>
      </c>
      <c r="B10" s="100">
        <v>5.45</v>
      </c>
      <c r="C10" s="100">
        <v>11.55</v>
      </c>
      <c r="D10" s="100">
        <v>10.4</v>
      </c>
      <c r="E10" s="100">
        <v>5.25</v>
      </c>
      <c r="F10" s="100">
        <v>0.04</v>
      </c>
      <c r="G10" s="100">
        <v>14.79</v>
      </c>
      <c r="H10" s="100">
        <v>5.68</v>
      </c>
      <c r="I10" s="100">
        <v>4.7300000000000004</v>
      </c>
      <c r="J10" s="100">
        <v>0.31</v>
      </c>
      <c r="K10" s="100">
        <v>235.86</v>
      </c>
      <c r="L10" s="100">
        <v>26.3</v>
      </c>
      <c r="M10" s="100">
        <v>93.27</v>
      </c>
      <c r="N10" s="100">
        <v>2.1</v>
      </c>
      <c r="O10" s="100">
        <v>0</v>
      </c>
      <c r="P10" s="100">
        <v>0.26</v>
      </c>
      <c r="Q10" s="100">
        <v>10</v>
      </c>
      <c r="R10" s="6"/>
      <c r="S10" s="6"/>
      <c r="T10" s="156"/>
      <c r="U10" s="6"/>
    </row>
    <row r="11" spans="1:21" customFormat="1">
      <c r="A11" s="201" t="s">
        <v>243</v>
      </c>
      <c r="B11" s="100">
        <v>5.47</v>
      </c>
      <c r="C11" s="100">
        <v>11.36</v>
      </c>
      <c r="D11" s="100">
        <v>10.32</v>
      </c>
      <c r="E11" s="100">
        <v>5.42</v>
      </c>
      <c r="F11" s="100">
        <v>0.05</v>
      </c>
      <c r="G11" s="100">
        <v>14.79</v>
      </c>
      <c r="H11" s="100">
        <v>5.68</v>
      </c>
      <c r="I11" s="100">
        <v>4.72</v>
      </c>
      <c r="J11" s="100">
        <v>0.52</v>
      </c>
      <c r="K11" s="100">
        <v>237.78</v>
      </c>
      <c r="L11" s="100">
        <v>26.24</v>
      </c>
      <c r="M11" s="100">
        <v>92.25</v>
      </c>
      <c r="N11" s="100">
        <v>2.5</v>
      </c>
      <c r="O11" s="100">
        <v>0</v>
      </c>
      <c r="P11" s="100">
        <v>0.25</v>
      </c>
      <c r="Q11" s="100">
        <v>10</v>
      </c>
      <c r="R11" s="6"/>
      <c r="S11" s="6"/>
      <c r="T11" s="156"/>
      <c r="U11" s="6"/>
    </row>
    <row r="12" spans="1:21" customFormat="1">
      <c r="A12" s="201" t="s">
        <v>244</v>
      </c>
      <c r="B12" s="100">
        <v>5.52</v>
      </c>
      <c r="C12" s="100">
        <v>11.44</v>
      </c>
      <c r="D12" s="100">
        <v>10.4</v>
      </c>
      <c r="E12" s="100">
        <v>5.22</v>
      </c>
      <c r="F12" s="100">
        <v>0.21</v>
      </c>
      <c r="G12" s="100">
        <v>14.79</v>
      </c>
      <c r="H12" s="100">
        <v>5.68</v>
      </c>
      <c r="I12" s="100">
        <v>4.71</v>
      </c>
      <c r="J12" s="100">
        <v>0.44</v>
      </c>
      <c r="K12" s="100">
        <v>234.63</v>
      </c>
      <c r="L12" s="100">
        <v>25.92</v>
      </c>
      <c r="M12" s="100">
        <v>94.24</v>
      </c>
      <c r="N12" s="100">
        <v>2.1</v>
      </c>
      <c r="O12" s="100">
        <v>0</v>
      </c>
      <c r="P12" s="100">
        <v>0.26</v>
      </c>
      <c r="Q12" s="100">
        <v>10</v>
      </c>
      <c r="R12" s="6"/>
      <c r="S12" s="6"/>
      <c r="T12" s="156"/>
      <c r="U12" s="6"/>
    </row>
    <row r="13" spans="1:21" customFormat="1">
      <c r="A13" s="201" t="s">
        <v>245</v>
      </c>
      <c r="B13" s="100">
        <v>5.5</v>
      </c>
      <c r="C13" s="100">
        <v>11.41</v>
      </c>
      <c r="D13" s="100">
        <v>10.37</v>
      </c>
      <c r="E13" s="100">
        <v>5.2</v>
      </c>
      <c r="F13" s="100">
        <v>1.04</v>
      </c>
      <c r="G13" s="100">
        <v>14.94</v>
      </c>
      <c r="H13" s="100">
        <v>5.75</v>
      </c>
      <c r="I13" s="100">
        <v>4.5999999999999996</v>
      </c>
      <c r="J13" s="100">
        <v>0.36</v>
      </c>
      <c r="K13" s="100">
        <v>235.68</v>
      </c>
      <c r="L13" s="100">
        <v>25.83</v>
      </c>
      <c r="M13" s="100">
        <v>94.31</v>
      </c>
      <c r="N13" s="100">
        <v>1.9</v>
      </c>
      <c r="O13" s="100">
        <v>0</v>
      </c>
      <c r="P13" s="100">
        <v>0.25</v>
      </c>
      <c r="Q13" s="100">
        <v>10</v>
      </c>
      <c r="R13" s="6"/>
      <c r="S13" s="6"/>
      <c r="T13" s="156"/>
      <c r="U13" s="6"/>
    </row>
    <row r="14" spans="1:21" customFormat="1">
      <c r="A14" s="201" t="s">
        <v>246</v>
      </c>
      <c r="B14" s="100">
        <v>5.56</v>
      </c>
      <c r="C14" s="100">
        <v>11.43</v>
      </c>
      <c r="D14" s="100">
        <v>10.43</v>
      </c>
      <c r="E14" s="100">
        <v>5.12</v>
      </c>
      <c r="F14" s="100">
        <v>1.26</v>
      </c>
      <c r="G14" s="100">
        <v>15.91</v>
      </c>
      <c r="H14" s="100">
        <v>6.17</v>
      </c>
      <c r="I14" s="100">
        <v>4.62</v>
      </c>
      <c r="J14" s="100">
        <v>0.32</v>
      </c>
      <c r="K14" s="100">
        <v>236.44</v>
      </c>
      <c r="L14" s="100">
        <v>25.78</v>
      </c>
      <c r="M14" s="100">
        <v>94.52</v>
      </c>
      <c r="N14" s="100">
        <v>1.9</v>
      </c>
      <c r="O14" s="100">
        <v>0</v>
      </c>
      <c r="P14" s="100">
        <v>0.25</v>
      </c>
      <c r="Q14" s="100">
        <v>10</v>
      </c>
      <c r="R14" s="6"/>
      <c r="S14" s="6"/>
      <c r="T14" s="156"/>
      <c r="U14" s="6"/>
    </row>
    <row r="15" spans="1:21" customFormat="1">
      <c r="A15" s="201" t="s">
        <v>247</v>
      </c>
      <c r="B15" s="100">
        <v>5.76</v>
      </c>
      <c r="C15" s="100">
        <v>11.56</v>
      </c>
      <c r="D15" s="100">
        <v>10.66</v>
      </c>
      <c r="E15" s="100">
        <v>5.46</v>
      </c>
      <c r="F15" s="100">
        <v>0.01</v>
      </c>
      <c r="G15" s="100">
        <v>15.91</v>
      </c>
      <c r="H15" s="100">
        <v>6.17</v>
      </c>
      <c r="I15" s="100">
        <v>4.41</v>
      </c>
      <c r="J15" s="100">
        <v>0.12</v>
      </c>
      <c r="K15" s="100">
        <v>220.59</v>
      </c>
      <c r="L15" s="100">
        <v>25.71</v>
      </c>
      <c r="M15" s="100">
        <v>95.2</v>
      </c>
      <c r="N15" s="100">
        <v>2.1</v>
      </c>
      <c r="O15" s="100">
        <v>0</v>
      </c>
      <c r="P15" s="100">
        <v>0.24</v>
      </c>
      <c r="Q15" s="100">
        <v>10</v>
      </c>
      <c r="R15" s="6"/>
      <c r="S15" s="6"/>
      <c r="T15" s="156"/>
      <c r="U15" s="6"/>
    </row>
    <row r="16" spans="1:21" customFormat="1">
      <c r="A16" s="201" t="s">
        <v>248</v>
      </c>
      <c r="B16" s="100">
        <v>5.8</v>
      </c>
      <c r="C16" s="100">
        <v>11.61</v>
      </c>
      <c r="D16" s="100">
        <v>10.71</v>
      </c>
      <c r="E16" s="100">
        <v>5.33</v>
      </c>
      <c r="F16" s="100">
        <v>0.01</v>
      </c>
      <c r="G16" s="100">
        <v>15.91</v>
      </c>
      <c r="H16" s="100">
        <v>6.17</v>
      </c>
      <c r="I16" s="100">
        <v>4.3899999999999997</v>
      </c>
      <c r="J16" s="100">
        <v>0.21</v>
      </c>
      <c r="K16" s="100">
        <v>232.37</v>
      </c>
      <c r="L16" s="100">
        <v>25.65</v>
      </c>
      <c r="M16" s="100">
        <v>95.04</v>
      </c>
      <c r="N16" s="100">
        <v>2.1</v>
      </c>
      <c r="O16" s="100">
        <v>0</v>
      </c>
      <c r="P16" s="100">
        <v>0.23</v>
      </c>
      <c r="Q16" s="100">
        <v>10</v>
      </c>
      <c r="R16" s="6"/>
      <c r="S16" s="6"/>
      <c r="T16" s="156"/>
      <c r="U16" s="6"/>
    </row>
    <row r="17" spans="1:21" customFormat="1">
      <c r="A17" s="201" t="s">
        <v>249</v>
      </c>
      <c r="B17" s="100">
        <v>5.9</v>
      </c>
      <c r="C17" s="100">
        <v>11.62</v>
      </c>
      <c r="D17" s="100">
        <v>10.8</v>
      </c>
      <c r="E17" s="100">
        <v>4.74</v>
      </c>
      <c r="F17" s="100">
        <v>0.01</v>
      </c>
      <c r="G17" s="100">
        <v>15.34</v>
      </c>
      <c r="H17" s="100">
        <v>5.88</v>
      </c>
      <c r="I17" s="100">
        <v>4.54</v>
      </c>
      <c r="J17" s="100">
        <v>0.18</v>
      </c>
      <c r="K17" s="100">
        <v>228.94</v>
      </c>
      <c r="L17" s="100">
        <v>25.59</v>
      </c>
      <c r="M17" s="100">
        <v>94.75</v>
      </c>
      <c r="N17" s="100">
        <v>2.1</v>
      </c>
      <c r="O17" s="100">
        <v>0</v>
      </c>
      <c r="P17" s="100">
        <v>0.25</v>
      </c>
      <c r="Q17" s="100">
        <v>10</v>
      </c>
      <c r="R17" s="6"/>
      <c r="S17" s="6"/>
      <c r="T17" s="156"/>
      <c r="U17" s="6"/>
    </row>
    <row r="18" spans="1:21" customFormat="1">
      <c r="A18" s="201" t="s">
        <v>250</v>
      </c>
      <c r="B18" s="100">
        <v>5.98</v>
      </c>
      <c r="C18" s="100">
        <v>11.56</v>
      </c>
      <c r="D18" s="100">
        <v>10.84</v>
      </c>
      <c r="E18" s="100">
        <v>5.97</v>
      </c>
      <c r="F18" s="100">
        <v>0.01</v>
      </c>
      <c r="G18" s="100">
        <v>11.62</v>
      </c>
      <c r="H18" s="100">
        <v>4.37</v>
      </c>
      <c r="I18" s="100">
        <v>4.49</v>
      </c>
      <c r="J18" s="100">
        <v>0.2</v>
      </c>
      <c r="K18" s="100">
        <v>229.17</v>
      </c>
      <c r="L18" s="100">
        <v>25.51</v>
      </c>
      <c r="M18" s="100">
        <v>95.23</v>
      </c>
      <c r="N18" s="100">
        <v>2.1</v>
      </c>
      <c r="O18" s="100">
        <v>0</v>
      </c>
      <c r="P18" s="100">
        <v>0.23</v>
      </c>
      <c r="Q18" s="100">
        <v>10</v>
      </c>
      <c r="R18" s="6"/>
      <c r="S18" s="6"/>
      <c r="T18" s="156"/>
      <c r="U18" s="6"/>
    </row>
    <row r="19" spans="1:21" customFormat="1">
      <c r="A19" s="201" t="s">
        <v>251</v>
      </c>
      <c r="B19" s="100">
        <v>6.09</v>
      </c>
      <c r="C19" s="100">
        <v>11.63</v>
      </c>
      <c r="D19" s="100">
        <v>10.96</v>
      </c>
      <c r="E19" s="100">
        <v>6</v>
      </c>
      <c r="F19" s="100">
        <v>0.03</v>
      </c>
      <c r="G19" s="100">
        <v>11.62</v>
      </c>
      <c r="H19" s="100">
        <v>4.37</v>
      </c>
      <c r="I19" s="100">
        <v>4.4400000000000004</v>
      </c>
      <c r="J19" s="100">
        <v>0.11</v>
      </c>
      <c r="K19" s="100">
        <v>223.87</v>
      </c>
      <c r="L19" s="100">
        <v>25.42</v>
      </c>
      <c r="M19" s="100">
        <v>94.97</v>
      </c>
      <c r="N19" s="100">
        <v>2.1</v>
      </c>
      <c r="O19" s="100">
        <v>0</v>
      </c>
      <c r="P19" s="100">
        <v>0.24</v>
      </c>
      <c r="Q19" s="100">
        <v>10</v>
      </c>
      <c r="R19" s="6"/>
      <c r="S19" s="6"/>
      <c r="T19" s="156"/>
      <c r="U19" s="6"/>
    </row>
    <row r="20" spans="1:21" customFormat="1">
      <c r="A20" s="201" t="s">
        <v>252</v>
      </c>
      <c r="B20" s="100">
        <v>6.15</v>
      </c>
      <c r="C20" s="100">
        <v>11.66</v>
      </c>
      <c r="D20" s="100">
        <v>11.02</v>
      </c>
      <c r="E20" s="100">
        <v>6.02</v>
      </c>
      <c r="F20" s="100">
        <v>0.03</v>
      </c>
      <c r="G20" s="100">
        <v>11.62</v>
      </c>
      <c r="H20" s="100">
        <v>4.37</v>
      </c>
      <c r="I20" s="100">
        <v>4.32</v>
      </c>
      <c r="J20" s="100">
        <v>0.17</v>
      </c>
      <c r="K20" s="100">
        <v>231.78</v>
      </c>
      <c r="L20" s="100">
        <v>25.31</v>
      </c>
      <c r="M20" s="100">
        <v>94.88</v>
      </c>
      <c r="N20" s="100">
        <v>2.1</v>
      </c>
      <c r="O20" s="100">
        <v>0</v>
      </c>
      <c r="P20" s="100">
        <v>0.24</v>
      </c>
      <c r="Q20" s="100">
        <v>10</v>
      </c>
      <c r="R20" s="6"/>
      <c r="S20" s="6"/>
      <c r="T20" s="156"/>
      <c r="U20" s="6"/>
    </row>
    <row r="21" spans="1:21" customFormat="1">
      <c r="A21" s="201" t="s">
        <v>253</v>
      </c>
      <c r="B21" s="100">
        <v>6.06</v>
      </c>
      <c r="C21" s="100">
        <v>11.72</v>
      </c>
      <c r="D21" s="100">
        <v>10.98</v>
      </c>
      <c r="E21" s="100">
        <v>5.97</v>
      </c>
      <c r="F21" s="100">
        <v>0.03</v>
      </c>
      <c r="G21" s="100">
        <v>11.28</v>
      </c>
      <c r="H21" s="100">
        <v>4.1900000000000004</v>
      </c>
      <c r="I21" s="100">
        <v>4.3499999999999996</v>
      </c>
      <c r="J21" s="100">
        <v>0.23</v>
      </c>
      <c r="K21" s="100">
        <v>231.25</v>
      </c>
      <c r="L21" s="100">
        <v>25.32</v>
      </c>
      <c r="M21" s="100">
        <v>94.82</v>
      </c>
      <c r="N21" s="100">
        <v>2.1</v>
      </c>
      <c r="O21" s="100">
        <v>0</v>
      </c>
      <c r="P21" s="100">
        <v>0.24</v>
      </c>
      <c r="Q21" s="100">
        <v>10</v>
      </c>
      <c r="R21" s="6"/>
      <c r="S21" s="6"/>
      <c r="T21" s="156"/>
      <c r="U21" s="6"/>
    </row>
    <row r="22" spans="1:21" customFormat="1">
      <c r="A22" s="201" t="s">
        <v>254</v>
      </c>
      <c r="B22" s="100">
        <v>5.94</v>
      </c>
      <c r="C22" s="100">
        <v>11.83</v>
      </c>
      <c r="D22" s="100">
        <v>10.94</v>
      </c>
      <c r="E22" s="100">
        <v>5.77</v>
      </c>
      <c r="F22" s="100">
        <v>0.03</v>
      </c>
      <c r="G22" s="100">
        <v>8.7899999999999991</v>
      </c>
      <c r="H22" s="100">
        <v>3.29</v>
      </c>
      <c r="I22" s="100">
        <v>4.3600000000000003</v>
      </c>
      <c r="J22" s="100">
        <v>0.28999999999999998</v>
      </c>
      <c r="K22" s="100">
        <v>233.67</v>
      </c>
      <c r="L22" s="100">
        <v>25.32</v>
      </c>
      <c r="M22" s="100">
        <v>95.49</v>
      </c>
      <c r="N22" s="100">
        <v>2.1</v>
      </c>
      <c r="O22" s="100">
        <v>0</v>
      </c>
      <c r="P22" s="100">
        <v>0.24</v>
      </c>
      <c r="Q22" s="100">
        <v>10</v>
      </c>
      <c r="R22" s="6"/>
      <c r="S22" s="6"/>
      <c r="T22" s="156"/>
      <c r="U22" s="6"/>
    </row>
    <row r="23" spans="1:21" customFormat="1">
      <c r="A23" s="201" t="s">
        <v>255</v>
      </c>
      <c r="B23" s="100">
        <v>5.8</v>
      </c>
      <c r="C23" s="100">
        <v>11.92</v>
      </c>
      <c r="D23" s="100">
        <v>10.88</v>
      </c>
      <c r="E23" s="100">
        <v>5.76</v>
      </c>
      <c r="F23" s="100">
        <v>0.03</v>
      </c>
      <c r="G23" s="100">
        <v>8.7899999999999991</v>
      </c>
      <c r="H23" s="100">
        <v>3.29</v>
      </c>
      <c r="I23" s="100">
        <v>4.2699999999999996</v>
      </c>
      <c r="J23" s="100">
        <v>0.3</v>
      </c>
      <c r="K23" s="100">
        <v>231.01</v>
      </c>
      <c r="L23" s="100">
        <v>25.28</v>
      </c>
      <c r="M23" s="100">
        <v>94.89</v>
      </c>
      <c r="N23" s="100">
        <v>2.2999999999999998</v>
      </c>
      <c r="O23" s="100">
        <v>0</v>
      </c>
      <c r="P23" s="100">
        <v>0.24</v>
      </c>
      <c r="Q23" s="100">
        <v>10</v>
      </c>
      <c r="R23" s="6"/>
      <c r="S23" s="6"/>
      <c r="T23" s="156"/>
      <c r="U23" s="6"/>
    </row>
    <row r="24" spans="1:21" customFormat="1">
      <c r="A24" s="201" t="s">
        <v>256</v>
      </c>
      <c r="B24" s="100">
        <v>5.61</v>
      </c>
      <c r="C24" s="100">
        <v>11.98</v>
      </c>
      <c r="D24" s="100">
        <v>10.76</v>
      </c>
      <c r="E24" s="100">
        <v>5.96</v>
      </c>
      <c r="F24" s="100">
        <v>0.02</v>
      </c>
      <c r="G24" s="100">
        <v>8.7899999999999991</v>
      </c>
      <c r="H24" s="100">
        <v>3.29</v>
      </c>
      <c r="I24" s="100">
        <v>4.16</v>
      </c>
      <c r="J24" s="100">
        <v>0.16</v>
      </c>
      <c r="K24" s="100">
        <v>222.72</v>
      </c>
      <c r="L24" s="100">
        <v>25.31</v>
      </c>
      <c r="M24" s="100">
        <v>94.65</v>
      </c>
      <c r="N24" s="100">
        <v>2.2000000000000002</v>
      </c>
      <c r="O24" s="100">
        <v>0</v>
      </c>
      <c r="P24" s="100">
        <v>0.24</v>
      </c>
      <c r="Q24" s="100">
        <v>10</v>
      </c>
      <c r="R24" s="6"/>
      <c r="S24" s="6"/>
      <c r="T24" s="156"/>
      <c r="U24" s="6"/>
    </row>
    <row r="25" spans="1:21" customFormat="1">
      <c r="A25" s="201" t="s">
        <v>257</v>
      </c>
      <c r="B25" s="100">
        <v>5.46</v>
      </c>
      <c r="C25" s="100">
        <v>12.03</v>
      </c>
      <c r="D25" s="100">
        <v>10.66</v>
      </c>
      <c r="E25" s="100">
        <v>6.14</v>
      </c>
      <c r="F25" s="100">
        <v>0.02</v>
      </c>
      <c r="G25" s="100">
        <v>8.9499999999999993</v>
      </c>
      <c r="H25" s="100">
        <v>3.17</v>
      </c>
      <c r="I25" s="100">
        <v>4.0599999999999996</v>
      </c>
      <c r="J25" s="100">
        <v>0.11</v>
      </c>
      <c r="K25" s="100">
        <v>210.87</v>
      </c>
      <c r="L25" s="100">
        <v>25.12</v>
      </c>
      <c r="M25" s="100">
        <v>95.26</v>
      </c>
      <c r="N25" s="100">
        <v>2.2000000000000002</v>
      </c>
      <c r="O25" s="100">
        <v>0</v>
      </c>
      <c r="P25" s="100">
        <v>0.23</v>
      </c>
      <c r="Q25" s="100">
        <v>10</v>
      </c>
      <c r="R25" s="6"/>
      <c r="S25" s="6"/>
      <c r="T25" s="156"/>
      <c r="U25" s="6"/>
    </row>
    <row r="26" spans="1:21" customFormat="1">
      <c r="A26" s="201" t="s">
        <v>258</v>
      </c>
      <c r="B26" s="100">
        <v>5.42</v>
      </c>
      <c r="C26" s="100">
        <v>11.93</v>
      </c>
      <c r="D26" s="100">
        <v>10.58</v>
      </c>
      <c r="E26" s="100">
        <v>6.03</v>
      </c>
      <c r="F26" s="100">
        <v>0.02</v>
      </c>
      <c r="G26" s="100">
        <v>9.98</v>
      </c>
      <c r="H26" s="100">
        <v>2.57</v>
      </c>
      <c r="I26" s="100">
        <v>3.96</v>
      </c>
      <c r="J26" s="100">
        <v>0.09</v>
      </c>
      <c r="K26" s="100">
        <v>219.74</v>
      </c>
      <c r="L26" s="100">
        <v>24.97</v>
      </c>
      <c r="M26" s="100">
        <v>95.07</v>
      </c>
      <c r="N26" s="100">
        <v>2.1</v>
      </c>
      <c r="O26" s="100">
        <v>0</v>
      </c>
      <c r="P26" s="100">
        <v>0.23</v>
      </c>
      <c r="Q26" s="100">
        <v>10</v>
      </c>
      <c r="R26" s="6"/>
      <c r="S26" s="6"/>
      <c r="T26" s="156"/>
      <c r="U26" s="6"/>
    </row>
    <row r="27" spans="1:21" customFormat="1">
      <c r="A27" s="201" t="s">
        <v>259</v>
      </c>
      <c r="B27" s="100">
        <v>5.35</v>
      </c>
      <c r="C27" s="100">
        <v>11.97</v>
      </c>
      <c r="D27" s="100">
        <v>10.55</v>
      </c>
      <c r="E27" s="100">
        <v>6.02</v>
      </c>
      <c r="F27" s="100">
        <v>0.02</v>
      </c>
      <c r="G27" s="100">
        <v>9.98</v>
      </c>
      <c r="H27" s="100">
        <v>2.57</v>
      </c>
      <c r="I27" s="100">
        <v>3.92</v>
      </c>
      <c r="J27" s="100">
        <v>0.17</v>
      </c>
      <c r="K27" s="100">
        <v>233.4</v>
      </c>
      <c r="L27" s="100">
        <v>24.89</v>
      </c>
      <c r="M27" s="100">
        <v>94.86</v>
      </c>
      <c r="N27" s="100">
        <v>2.1</v>
      </c>
      <c r="O27" s="100">
        <v>0</v>
      </c>
      <c r="P27" s="100">
        <v>0.22</v>
      </c>
      <c r="Q27" s="100">
        <v>10</v>
      </c>
      <c r="R27" s="6"/>
      <c r="S27" s="6"/>
      <c r="T27" s="156"/>
      <c r="U27" s="6"/>
    </row>
    <row r="28" spans="1:21" customFormat="1">
      <c r="A28" s="201" t="s">
        <v>260</v>
      </c>
      <c r="B28" s="100">
        <v>5.27</v>
      </c>
      <c r="C28" s="100">
        <v>12.01</v>
      </c>
      <c r="D28" s="100">
        <v>10.5</v>
      </c>
      <c r="E28" s="100">
        <v>6.1</v>
      </c>
      <c r="F28" s="100">
        <v>0.02</v>
      </c>
      <c r="G28" s="100">
        <v>9.98</v>
      </c>
      <c r="H28" s="100">
        <v>2.57</v>
      </c>
      <c r="I28" s="100">
        <v>3.86</v>
      </c>
      <c r="J28" s="100">
        <v>0.08</v>
      </c>
      <c r="K28" s="100">
        <v>226.89</v>
      </c>
      <c r="L28" s="100">
        <v>24.9</v>
      </c>
      <c r="M28" s="100">
        <v>94.81</v>
      </c>
      <c r="N28" s="100">
        <v>2.1</v>
      </c>
      <c r="O28" s="100">
        <v>0</v>
      </c>
      <c r="P28" s="100">
        <v>0.22</v>
      </c>
      <c r="Q28" s="100">
        <v>10</v>
      </c>
      <c r="R28" s="6"/>
      <c r="S28" s="6"/>
      <c r="T28" s="156"/>
      <c r="U28" s="6"/>
    </row>
    <row r="29" spans="1:21" customFormat="1">
      <c r="A29" s="201" t="s">
        <v>261</v>
      </c>
      <c r="B29" s="100">
        <v>5.23</v>
      </c>
      <c r="C29" s="100">
        <v>11.9</v>
      </c>
      <c r="D29" s="100">
        <v>10.41</v>
      </c>
      <c r="E29" s="100">
        <v>6.06</v>
      </c>
      <c r="F29" s="100">
        <v>0.02</v>
      </c>
      <c r="G29" s="100">
        <v>9.6199999999999992</v>
      </c>
      <c r="H29" s="100">
        <v>2.46</v>
      </c>
      <c r="I29" s="100">
        <v>3.8</v>
      </c>
      <c r="J29" s="100">
        <v>0.22</v>
      </c>
      <c r="K29" s="100">
        <v>236.23</v>
      </c>
      <c r="L29" s="100">
        <v>24.88</v>
      </c>
      <c r="M29" s="100">
        <v>94.96</v>
      </c>
      <c r="N29" s="100">
        <v>2.1</v>
      </c>
      <c r="O29" s="100">
        <v>0</v>
      </c>
      <c r="P29" s="100">
        <v>0.22</v>
      </c>
      <c r="Q29" s="100">
        <v>10</v>
      </c>
      <c r="R29" s="6"/>
      <c r="S29" s="6"/>
      <c r="T29" s="156"/>
      <c r="U29" s="6"/>
    </row>
    <row r="30" spans="1:21" customFormat="1">
      <c r="A30" s="201" t="s">
        <v>262</v>
      </c>
      <c r="B30" s="100">
        <v>5.21</v>
      </c>
      <c r="C30" s="100">
        <v>11.87</v>
      </c>
      <c r="D30" s="100">
        <v>10.38</v>
      </c>
      <c r="E30" s="100">
        <v>6.31</v>
      </c>
      <c r="F30" s="100">
        <v>0.02</v>
      </c>
      <c r="G30" s="100">
        <v>7.07</v>
      </c>
      <c r="H30" s="100">
        <v>1.86</v>
      </c>
      <c r="I30" s="100">
        <v>3.73</v>
      </c>
      <c r="J30" s="100">
        <v>0.19</v>
      </c>
      <c r="K30" s="100">
        <v>235.62</v>
      </c>
      <c r="L30" s="100">
        <v>24.96</v>
      </c>
      <c r="M30" s="100">
        <v>95.02</v>
      </c>
      <c r="N30" s="100">
        <v>2.1</v>
      </c>
      <c r="O30" s="100">
        <v>0</v>
      </c>
      <c r="P30" s="100">
        <v>0.21</v>
      </c>
      <c r="Q30" s="100">
        <v>10</v>
      </c>
      <c r="R30" s="6"/>
      <c r="S30" s="6"/>
      <c r="T30" s="156"/>
      <c r="U30" s="6"/>
    </row>
    <row r="31" spans="1:21" customFormat="1">
      <c r="A31" s="201" t="s">
        <v>263</v>
      </c>
      <c r="B31" s="100">
        <v>5.21</v>
      </c>
      <c r="C31" s="100">
        <v>11.73</v>
      </c>
      <c r="D31" s="100">
        <v>10.31</v>
      </c>
      <c r="E31" s="100">
        <v>6.34</v>
      </c>
      <c r="F31" s="100">
        <v>0.02</v>
      </c>
      <c r="G31" s="100">
        <v>7.07</v>
      </c>
      <c r="H31" s="100">
        <v>1.86</v>
      </c>
      <c r="I31" s="100">
        <v>3.63</v>
      </c>
      <c r="J31" s="100">
        <v>0.31</v>
      </c>
      <c r="K31" s="100">
        <v>233.82</v>
      </c>
      <c r="L31" s="100">
        <v>24.91</v>
      </c>
      <c r="M31" s="100">
        <v>94.74</v>
      </c>
      <c r="N31" s="100">
        <v>2.4</v>
      </c>
      <c r="O31" s="100">
        <v>0</v>
      </c>
      <c r="P31" s="100">
        <v>0.22</v>
      </c>
      <c r="Q31" s="100">
        <v>10</v>
      </c>
      <c r="R31" s="6"/>
      <c r="S31" s="6"/>
      <c r="T31" s="156"/>
      <c r="U31" s="6"/>
    </row>
    <row r="32" spans="1:21" customFormat="1">
      <c r="A32" s="201" t="s">
        <v>264</v>
      </c>
      <c r="B32" s="100">
        <v>5.18</v>
      </c>
      <c r="C32" s="100">
        <v>11.7</v>
      </c>
      <c r="D32" s="100">
        <v>10.26</v>
      </c>
      <c r="E32" s="100">
        <v>6.23</v>
      </c>
      <c r="F32" s="100">
        <v>0.02</v>
      </c>
      <c r="G32" s="100">
        <v>7.07</v>
      </c>
      <c r="H32" s="100">
        <v>1.86</v>
      </c>
      <c r="I32" s="100">
        <v>3.56</v>
      </c>
      <c r="J32" s="100">
        <v>0.34</v>
      </c>
      <c r="K32" s="100">
        <v>236.15</v>
      </c>
      <c r="L32" s="100">
        <v>24.91</v>
      </c>
      <c r="M32" s="100">
        <v>94.8</v>
      </c>
      <c r="N32" s="100">
        <v>5.5</v>
      </c>
      <c r="O32" s="100">
        <v>0</v>
      </c>
      <c r="P32" s="100">
        <v>0.22</v>
      </c>
      <c r="Q32" s="100">
        <v>10</v>
      </c>
      <c r="R32" s="6"/>
      <c r="S32" s="6"/>
      <c r="T32" s="156"/>
      <c r="U32" s="6"/>
    </row>
    <row r="33" spans="1:21" customFormat="1">
      <c r="A33" s="201" t="s">
        <v>265</v>
      </c>
      <c r="B33" s="100">
        <v>5.14</v>
      </c>
      <c r="C33" s="100">
        <v>11.63</v>
      </c>
      <c r="D33" s="100">
        <v>10.19</v>
      </c>
      <c r="E33" s="100">
        <v>6.14</v>
      </c>
      <c r="F33" s="100">
        <v>0.02</v>
      </c>
      <c r="G33" s="100">
        <v>7.15</v>
      </c>
      <c r="H33" s="100">
        <v>2.1</v>
      </c>
      <c r="I33" s="100">
        <v>3.43</v>
      </c>
      <c r="J33" s="100">
        <v>0.23</v>
      </c>
      <c r="K33" s="100">
        <v>235.38</v>
      </c>
      <c r="L33" s="100">
        <v>25.01</v>
      </c>
      <c r="M33" s="100">
        <v>94.85</v>
      </c>
      <c r="N33" s="100">
        <v>14.3</v>
      </c>
      <c r="O33" s="100">
        <v>0</v>
      </c>
      <c r="P33" s="100">
        <v>0.22</v>
      </c>
      <c r="Q33" s="100">
        <v>10</v>
      </c>
      <c r="R33" s="6"/>
      <c r="S33" s="6"/>
      <c r="T33" s="156"/>
      <c r="U33" s="6"/>
    </row>
    <row r="34" spans="1:21" customFormat="1">
      <c r="A34" s="201" t="s">
        <v>266</v>
      </c>
      <c r="B34" s="100">
        <v>5.14</v>
      </c>
      <c r="C34" s="100">
        <v>11.54</v>
      </c>
      <c r="D34" s="100">
        <v>10.15</v>
      </c>
      <c r="E34" s="100">
        <v>6.13</v>
      </c>
      <c r="F34" s="100">
        <v>0.02</v>
      </c>
      <c r="G34" s="100">
        <v>7.65</v>
      </c>
      <c r="H34" s="100">
        <v>3.33</v>
      </c>
      <c r="I34" s="100">
        <v>3.41</v>
      </c>
      <c r="J34" s="100">
        <v>0.27</v>
      </c>
      <c r="K34" s="100">
        <v>233.61</v>
      </c>
      <c r="L34" s="100">
        <v>25.23</v>
      </c>
      <c r="M34" s="100">
        <v>94.54</v>
      </c>
      <c r="N34" s="100">
        <v>27</v>
      </c>
      <c r="O34" s="100">
        <v>0</v>
      </c>
      <c r="P34" s="100">
        <v>0.21</v>
      </c>
      <c r="Q34" s="100">
        <v>10</v>
      </c>
      <c r="R34" s="6"/>
      <c r="S34" s="6"/>
      <c r="T34" s="156"/>
      <c r="U34" s="6"/>
    </row>
    <row r="35" spans="1:21" customFormat="1">
      <c r="A35" s="201" t="s">
        <v>267</v>
      </c>
      <c r="B35" s="100">
        <v>5.07</v>
      </c>
      <c r="C35" s="100">
        <v>11.52</v>
      </c>
      <c r="D35" s="100">
        <v>10.09</v>
      </c>
      <c r="E35" s="100">
        <v>6.23</v>
      </c>
      <c r="F35" s="100">
        <v>0.02</v>
      </c>
      <c r="G35" s="100">
        <v>7.65</v>
      </c>
      <c r="H35" s="100">
        <v>3.33</v>
      </c>
      <c r="I35" s="100">
        <v>3.41</v>
      </c>
      <c r="J35" s="100">
        <v>0.31</v>
      </c>
      <c r="K35" s="100">
        <v>231.6</v>
      </c>
      <c r="L35" s="100">
        <v>25.43</v>
      </c>
      <c r="M35" s="100">
        <v>94.06</v>
      </c>
      <c r="N35" s="100">
        <v>39.1</v>
      </c>
      <c r="O35" s="100">
        <v>0</v>
      </c>
      <c r="P35" s="100">
        <v>0.21</v>
      </c>
      <c r="Q35" s="100">
        <v>10</v>
      </c>
      <c r="R35" s="6"/>
      <c r="S35" s="6"/>
      <c r="T35" s="156"/>
      <c r="U35" s="6"/>
    </row>
    <row r="36" spans="1:21" customFormat="1">
      <c r="A36" s="201" t="s">
        <v>268</v>
      </c>
      <c r="B36" s="100">
        <v>5</v>
      </c>
      <c r="C36" s="100">
        <v>11.57</v>
      </c>
      <c r="D36" s="100">
        <v>10.06</v>
      </c>
      <c r="E36" s="100">
        <v>6.31</v>
      </c>
      <c r="F36" s="100">
        <v>0.02</v>
      </c>
      <c r="G36" s="100">
        <v>7.65</v>
      </c>
      <c r="H36" s="100">
        <v>3.33</v>
      </c>
      <c r="I36" s="100">
        <v>3.39</v>
      </c>
      <c r="J36" s="100">
        <v>0.48</v>
      </c>
      <c r="K36" s="100">
        <v>232.89</v>
      </c>
      <c r="L36" s="100">
        <v>25.53</v>
      </c>
      <c r="M36" s="100">
        <v>93.29</v>
      </c>
      <c r="N36" s="100">
        <v>41.1</v>
      </c>
      <c r="O36" s="100">
        <v>0</v>
      </c>
      <c r="P36" s="100">
        <v>0.22</v>
      </c>
      <c r="Q36" s="100">
        <v>10</v>
      </c>
      <c r="R36" s="6"/>
      <c r="S36" s="6"/>
      <c r="T36" s="156"/>
      <c r="U36" s="6"/>
    </row>
    <row r="37" spans="1:21" customFormat="1">
      <c r="A37" s="201" t="s">
        <v>269</v>
      </c>
      <c r="B37" s="100">
        <v>4.9400000000000004</v>
      </c>
      <c r="C37" s="100">
        <v>11.5</v>
      </c>
      <c r="D37" s="100">
        <v>9.9700000000000006</v>
      </c>
      <c r="E37" s="100">
        <v>6.05</v>
      </c>
      <c r="F37" s="100">
        <v>0.02</v>
      </c>
      <c r="G37" s="100">
        <v>7.98</v>
      </c>
      <c r="H37" s="100">
        <v>3.2</v>
      </c>
      <c r="I37" s="100">
        <v>3.36</v>
      </c>
      <c r="J37" s="100">
        <v>0.49</v>
      </c>
      <c r="K37" s="100">
        <v>231.89</v>
      </c>
      <c r="L37" s="100">
        <v>25.59</v>
      </c>
      <c r="M37" s="100">
        <v>93.43</v>
      </c>
      <c r="N37" s="100">
        <v>41.1</v>
      </c>
      <c r="O37" s="100">
        <v>0</v>
      </c>
      <c r="P37" s="100">
        <v>0.22</v>
      </c>
      <c r="Q37" s="100">
        <v>10</v>
      </c>
      <c r="R37" s="6"/>
      <c r="S37" s="6"/>
      <c r="T37" s="156"/>
      <c r="U37" s="6"/>
    </row>
    <row r="38" spans="1:21" customFormat="1">
      <c r="A38" s="201" t="s">
        <v>270</v>
      </c>
      <c r="B38" s="100">
        <v>4.8899999999999997</v>
      </c>
      <c r="C38" s="100">
        <v>11.49</v>
      </c>
      <c r="D38" s="100">
        <v>9.93</v>
      </c>
      <c r="E38" s="100">
        <v>6.48</v>
      </c>
      <c r="F38" s="100">
        <v>0.02</v>
      </c>
      <c r="G38" s="100">
        <v>10.119999999999999</v>
      </c>
      <c r="H38" s="100">
        <v>2.5299999999999998</v>
      </c>
      <c r="I38" s="100">
        <v>3.3</v>
      </c>
      <c r="J38" s="100">
        <v>0.47</v>
      </c>
      <c r="K38" s="100">
        <v>234.01</v>
      </c>
      <c r="L38" s="100">
        <v>25.66</v>
      </c>
      <c r="M38" s="100">
        <v>93.68</v>
      </c>
      <c r="N38" s="100">
        <v>40</v>
      </c>
      <c r="O38" s="100">
        <v>0</v>
      </c>
      <c r="P38" s="100">
        <v>0.22</v>
      </c>
      <c r="Q38" s="100">
        <v>10</v>
      </c>
      <c r="R38" s="6"/>
      <c r="S38" s="6"/>
      <c r="T38" s="156"/>
      <c r="U38" s="6"/>
    </row>
    <row r="39" spans="1:21" customFormat="1">
      <c r="A39" s="201" t="s">
        <v>271</v>
      </c>
      <c r="B39" s="100">
        <v>4.88</v>
      </c>
      <c r="C39" s="100">
        <v>11.48</v>
      </c>
      <c r="D39" s="100">
        <v>9.91</v>
      </c>
      <c r="E39" s="100">
        <v>6.46</v>
      </c>
      <c r="F39" s="100">
        <v>0.01</v>
      </c>
      <c r="G39" s="100">
        <v>10.119999999999999</v>
      </c>
      <c r="H39" s="100">
        <v>2.5299999999999998</v>
      </c>
      <c r="I39" s="100">
        <v>3.37</v>
      </c>
      <c r="J39" s="100">
        <v>0.37</v>
      </c>
      <c r="K39" s="100">
        <v>232.26</v>
      </c>
      <c r="L39" s="100">
        <v>25.88</v>
      </c>
      <c r="M39" s="100">
        <v>93.41</v>
      </c>
      <c r="N39" s="100">
        <v>71.400000000000006</v>
      </c>
      <c r="O39" s="100">
        <v>0</v>
      </c>
      <c r="P39" s="100">
        <v>0.23</v>
      </c>
      <c r="Q39" s="100">
        <v>10</v>
      </c>
      <c r="R39" s="6"/>
      <c r="S39" s="6"/>
      <c r="T39" s="156"/>
      <c r="U39" s="6"/>
    </row>
    <row r="40" spans="1:21" customFormat="1">
      <c r="A40" s="201" t="s">
        <v>272</v>
      </c>
      <c r="B40" s="100">
        <v>4.88</v>
      </c>
      <c r="C40" s="100">
        <v>11.45</v>
      </c>
      <c r="D40" s="100">
        <v>9.89</v>
      </c>
      <c r="E40" s="100">
        <v>6.37</v>
      </c>
      <c r="F40" s="100">
        <v>0.01</v>
      </c>
      <c r="G40" s="100">
        <v>10.119999999999999</v>
      </c>
      <c r="H40" s="100">
        <v>2.5299999999999998</v>
      </c>
      <c r="I40" s="100">
        <v>3.46</v>
      </c>
      <c r="J40" s="100">
        <v>0.45</v>
      </c>
      <c r="K40" s="100">
        <v>232.78</v>
      </c>
      <c r="L40" s="100">
        <v>26.27</v>
      </c>
      <c r="M40" s="100">
        <v>92.31</v>
      </c>
      <c r="N40" s="100">
        <v>79.8</v>
      </c>
      <c r="O40" s="100">
        <v>0</v>
      </c>
      <c r="P40" s="100">
        <v>0.23</v>
      </c>
      <c r="Q40" s="100">
        <v>10</v>
      </c>
      <c r="R40" s="6"/>
      <c r="S40" s="6"/>
      <c r="T40" s="156"/>
      <c r="U40" s="6"/>
    </row>
    <row r="41" spans="1:21" customFormat="1">
      <c r="A41" s="201" t="s">
        <v>273</v>
      </c>
      <c r="B41" s="100">
        <v>4.9000000000000004</v>
      </c>
      <c r="C41" s="100">
        <v>11.46</v>
      </c>
      <c r="D41" s="100">
        <v>9.91</v>
      </c>
      <c r="E41" s="100">
        <v>6.29</v>
      </c>
      <c r="F41" s="100">
        <v>0.01</v>
      </c>
      <c r="G41" s="100">
        <v>9.8800000000000008</v>
      </c>
      <c r="H41" s="100">
        <v>2.9</v>
      </c>
      <c r="I41" s="100">
        <v>3.5</v>
      </c>
      <c r="J41" s="100">
        <v>0.42</v>
      </c>
      <c r="K41" s="100">
        <v>231.15</v>
      </c>
      <c r="L41" s="100">
        <v>26.44</v>
      </c>
      <c r="M41" s="100">
        <v>91.84</v>
      </c>
      <c r="N41" s="100">
        <v>106.5</v>
      </c>
      <c r="O41" s="100">
        <v>0</v>
      </c>
      <c r="P41" s="100">
        <v>0.23</v>
      </c>
      <c r="Q41" s="100">
        <v>10</v>
      </c>
      <c r="R41" s="6"/>
      <c r="S41" s="6"/>
      <c r="T41" s="156"/>
      <c r="U41" s="6"/>
    </row>
    <row r="42" spans="1:21" customFormat="1">
      <c r="A42" s="201" t="s">
        <v>274</v>
      </c>
      <c r="B42" s="100">
        <v>5.03</v>
      </c>
      <c r="C42" s="100">
        <v>11.44</v>
      </c>
      <c r="D42" s="100">
        <v>10.01</v>
      </c>
      <c r="E42" s="100">
        <v>6.31</v>
      </c>
      <c r="F42" s="100">
        <v>0.01</v>
      </c>
      <c r="G42" s="100">
        <v>8.3699999999999992</v>
      </c>
      <c r="H42" s="100">
        <v>4.7300000000000004</v>
      </c>
      <c r="I42" s="100">
        <v>3.6</v>
      </c>
      <c r="J42" s="100">
        <v>0.48</v>
      </c>
      <c r="K42" s="100">
        <v>235.46</v>
      </c>
      <c r="L42" s="100">
        <v>26.97</v>
      </c>
      <c r="M42" s="100">
        <v>89.6</v>
      </c>
      <c r="N42" s="100">
        <v>156.6</v>
      </c>
      <c r="O42" s="100">
        <v>0</v>
      </c>
      <c r="P42" s="100">
        <v>0.21</v>
      </c>
      <c r="Q42" s="100">
        <v>10</v>
      </c>
      <c r="R42" s="6"/>
      <c r="S42" s="6"/>
      <c r="T42" s="156"/>
      <c r="U42" s="6"/>
    </row>
    <row r="43" spans="1:21" customFormat="1">
      <c r="A43" s="201" t="s">
        <v>275</v>
      </c>
      <c r="B43" s="100">
        <v>5.14</v>
      </c>
      <c r="C43" s="100">
        <v>11.63</v>
      </c>
      <c r="D43" s="100">
        <v>10.19</v>
      </c>
      <c r="E43" s="100">
        <v>4.4400000000000004</v>
      </c>
      <c r="F43" s="100">
        <v>0.19</v>
      </c>
      <c r="G43" s="100">
        <v>8.3699999999999992</v>
      </c>
      <c r="H43" s="100">
        <v>4.7300000000000004</v>
      </c>
      <c r="I43" s="100">
        <v>3.75</v>
      </c>
      <c r="J43" s="100">
        <v>0.5</v>
      </c>
      <c r="K43" s="100">
        <v>236.8</v>
      </c>
      <c r="L43" s="100">
        <v>27.28</v>
      </c>
      <c r="M43" s="100">
        <v>88.57</v>
      </c>
      <c r="N43" s="100">
        <v>139.5</v>
      </c>
      <c r="O43" s="100">
        <v>0</v>
      </c>
      <c r="P43" s="100">
        <v>0.22</v>
      </c>
      <c r="Q43" s="100">
        <v>10</v>
      </c>
      <c r="R43" s="6"/>
      <c r="S43" s="6"/>
      <c r="T43" s="156"/>
      <c r="U43" s="6"/>
    </row>
    <row r="44" spans="1:21" customFormat="1">
      <c r="A44" s="201" t="s">
        <v>276</v>
      </c>
      <c r="B44" s="100">
        <v>5.33</v>
      </c>
      <c r="C44" s="100">
        <v>11.77</v>
      </c>
      <c r="D44" s="100">
        <v>10.43</v>
      </c>
      <c r="E44" s="100">
        <v>5.58</v>
      </c>
      <c r="F44" s="100">
        <v>0.03</v>
      </c>
      <c r="G44" s="100">
        <v>8.3699999999999992</v>
      </c>
      <c r="H44" s="100">
        <v>4.7300000000000004</v>
      </c>
      <c r="I44" s="100">
        <v>3.88</v>
      </c>
      <c r="J44" s="100">
        <v>0.62</v>
      </c>
      <c r="K44" s="100">
        <v>236.89</v>
      </c>
      <c r="L44" s="100">
        <v>27.33</v>
      </c>
      <c r="M44" s="100">
        <v>87.44</v>
      </c>
      <c r="N44" s="100">
        <v>119.4</v>
      </c>
      <c r="O44" s="100">
        <v>0</v>
      </c>
      <c r="P44" s="100">
        <v>0.23</v>
      </c>
      <c r="Q44" s="100">
        <v>10</v>
      </c>
      <c r="R44" s="6"/>
      <c r="S44" s="6"/>
      <c r="T44" s="156"/>
      <c r="U44" s="6"/>
    </row>
    <row r="45" spans="1:21" customFormat="1">
      <c r="A45" s="201" t="s">
        <v>277</v>
      </c>
      <c r="B45" s="100">
        <v>5.5</v>
      </c>
      <c r="C45" s="100">
        <v>11.85</v>
      </c>
      <c r="D45" s="100">
        <v>10.61</v>
      </c>
      <c r="E45" s="100">
        <v>5.75</v>
      </c>
      <c r="F45" s="100">
        <v>0.63</v>
      </c>
      <c r="G45" s="100">
        <v>9.44</v>
      </c>
      <c r="H45" s="100">
        <v>4.99</v>
      </c>
      <c r="I45" s="100">
        <v>3.98</v>
      </c>
      <c r="J45" s="100">
        <v>0.64</v>
      </c>
      <c r="K45" s="100">
        <v>236.54</v>
      </c>
      <c r="L45" s="100">
        <v>27.39</v>
      </c>
      <c r="M45" s="100">
        <v>86.87</v>
      </c>
      <c r="N45" s="100">
        <v>140.30000000000001</v>
      </c>
      <c r="O45" s="100">
        <v>0</v>
      </c>
      <c r="P45" s="100">
        <v>0.24</v>
      </c>
      <c r="Q45" s="100">
        <v>10</v>
      </c>
      <c r="R45" s="6"/>
      <c r="S45" s="6"/>
      <c r="T45" s="156"/>
      <c r="U45" s="6"/>
    </row>
    <row r="46" spans="1:21" customFormat="1">
      <c r="A46" s="201" t="s">
        <v>278</v>
      </c>
      <c r="B46" s="100">
        <v>5.66</v>
      </c>
      <c r="C46" s="100">
        <v>11.94</v>
      </c>
      <c r="D46" s="100">
        <v>10.77</v>
      </c>
      <c r="E46" s="100">
        <v>5.47</v>
      </c>
      <c r="F46" s="100">
        <v>0.28999999999999998</v>
      </c>
      <c r="G46" s="100">
        <v>16.399999999999999</v>
      </c>
      <c r="H46" s="100">
        <v>6.46</v>
      </c>
      <c r="I46" s="100">
        <v>4.12</v>
      </c>
      <c r="J46" s="100">
        <v>0.5</v>
      </c>
      <c r="K46" s="100">
        <v>235.44</v>
      </c>
      <c r="L46" s="100">
        <v>27.44</v>
      </c>
      <c r="M46" s="100">
        <v>87.17</v>
      </c>
      <c r="N46" s="100">
        <v>125.4</v>
      </c>
      <c r="O46" s="100">
        <v>0</v>
      </c>
      <c r="P46" s="100">
        <v>0.23</v>
      </c>
      <c r="Q46" s="100">
        <v>10</v>
      </c>
      <c r="R46" s="6"/>
      <c r="S46" s="6"/>
      <c r="T46" s="156"/>
      <c r="U46" s="6"/>
    </row>
    <row r="47" spans="1:21" customFormat="1">
      <c r="A47" s="201" t="s">
        <v>279</v>
      </c>
      <c r="B47" s="100">
        <v>5.83</v>
      </c>
      <c r="C47" s="100">
        <v>12.14</v>
      </c>
      <c r="D47" s="100">
        <v>11.02</v>
      </c>
      <c r="E47" s="100">
        <v>5.9</v>
      </c>
      <c r="F47" s="100">
        <v>7.0000000000000007E-2</v>
      </c>
      <c r="G47" s="100">
        <v>16.399999999999999</v>
      </c>
      <c r="H47" s="100">
        <v>6.46</v>
      </c>
      <c r="I47" s="100">
        <v>4.43</v>
      </c>
      <c r="J47" s="100">
        <v>0.36</v>
      </c>
      <c r="K47" s="100">
        <v>234.19</v>
      </c>
      <c r="L47" s="100">
        <v>28.02</v>
      </c>
      <c r="M47" s="100">
        <v>84.78</v>
      </c>
      <c r="N47" s="100">
        <v>156.4</v>
      </c>
      <c r="O47" s="100">
        <v>0</v>
      </c>
      <c r="P47" s="100">
        <v>0.25</v>
      </c>
      <c r="Q47" s="100">
        <v>10</v>
      </c>
      <c r="R47" s="6"/>
      <c r="S47" s="6"/>
      <c r="T47" s="156"/>
      <c r="U47" s="6"/>
    </row>
    <row r="48" spans="1:21" customFormat="1">
      <c r="A48" s="201" t="s">
        <v>280</v>
      </c>
      <c r="B48" s="100">
        <v>6.04</v>
      </c>
      <c r="C48" s="100">
        <v>12.16</v>
      </c>
      <c r="D48" s="100">
        <v>11.2</v>
      </c>
      <c r="E48" s="100">
        <v>5.69</v>
      </c>
      <c r="F48" s="100">
        <v>7.0000000000000007E-2</v>
      </c>
      <c r="G48" s="100">
        <v>16.399999999999999</v>
      </c>
      <c r="H48" s="100">
        <v>6.46</v>
      </c>
      <c r="I48" s="100">
        <v>4.5</v>
      </c>
      <c r="J48" s="100">
        <v>0.44</v>
      </c>
      <c r="K48" s="100">
        <v>234.04</v>
      </c>
      <c r="L48" s="100">
        <v>28.25</v>
      </c>
      <c r="M48" s="100">
        <v>83.54</v>
      </c>
      <c r="N48" s="100">
        <v>142</v>
      </c>
      <c r="O48" s="100">
        <v>0</v>
      </c>
      <c r="P48" s="100">
        <v>0.25</v>
      </c>
      <c r="Q48" s="100">
        <v>10</v>
      </c>
      <c r="R48" s="6"/>
      <c r="S48" s="6"/>
      <c r="T48" s="156"/>
      <c r="U48" s="6"/>
    </row>
    <row r="49" spans="1:21" customFormat="1">
      <c r="A49" s="201" t="s">
        <v>281</v>
      </c>
      <c r="B49" s="100">
        <v>6.28</v>
      </c>
      <c r="C49" s="100">
        <v>12.31</v>
      </c>
      <c r="D49" s="100">
        <v>11.47</v>
      </c>
      <c r="E49" s="100">
        <v>4.09</v>
      </c>
      <c r="F49" s="100">
        <v>0.42</v>
      </c>
      <c r="G49" s="100">
        <v>17.45</v>
      </c>
      <c r="H49" s="100">
        <v>6.69</v>
      </c>
      <c r="I49" s="100">
        <v>4.55</v>
      </c>
      <c r="J49" s="100">
        <v>0.41</v>
      </c>
      <c r="K49" s="100">
        <v>235.53</v>
      </c>
      <c r="L49" s="100">
        <v>28.26</v>
      </c>
      <c r="M49" s="100">
        <v>81.13</v>
      </c>
      <c r="N49" s="100">
        <v>101.8</v>
      </c>
      <c r="O49" s="100">
        <v>0</v>
      </c>
      <c r="P49" s="100">
        <v>0.26</v>
      </c>
      <c r="Q49" s="100">
        <v>10</v>
      </c>
      <c r="R49" s="6"/>
      <c r="S49" s="6"/>
      <c r="T49" s="156"/>
      <c r="U49" s="6"/>
    </row>
    <row r="50" spans="1:21" customFormat="1">
      <c r="A50" s="201" t="s">
        <v>282</v>
      </c>
      <c r="B50" s="100">
        <v>6.37</v>
      </c>
      <c r="C50" s="100">
        <v>12.41</v>
      </c>
      <c r="D50" s="100">
        <v>11.59</v>
      </c>
      <c r="E50" s="100">
        <v>4.7300000000000004</v>
      </c>
      <c r="F50" s="100">
        <v>0.46</v>
      </c>
      <c r="G50" s="100">
        <v>24.28</v>
      </c>
      <c r="H50" s="100">
        <v>7.86</v>
      </c>
      <c r="I50" s="100">
        <v>4.7300000000000004</v>
      </c>
      <c r="J50" s="100">
        <v>0.55000000000000004</v>
      </c>
      <c r="K50" s="100">
        <v>234.77</v>
      </c>
      <c r="L50" s="100">
        <v>28.12</v>
      </c>
      <c r="M50" s="100">
        <v>81.37</v>
      </c>
      <c r="N50" s="100">
        <v>118.2</v>
      </c>
      <c r="O50" s="100">
        <v>0</v>
      </c>
      <c r="P50" s="100">
        <v>0.27</v>
      </c>
      <c r="Q50" s="100">
        <v>10</v>
      </c>
      <c r="R50" s="6"/>
      <c r="S50" s="6"/>
      <c r="T50" s="156"/>
      <c r="U50" s="6"/>
    </row>
    <row r="51" spans="1:21" customFormat="1">
      <c r="A51" s="201" t="s">
        <v>283</v>
      </c>
      <c r="B51" s="100">
        <v>6.4</v>
      </c>
      <c r="C51" s="100">
        <v>12.35</v>
      </c>
      <c r="D51" s="100">
        <v>11.59</v>
      </c>
      <c r="E51" s="100">
        <v>5.34</v>
      </c>
      <c r="F51" s="100">
        <v>0.46</v>
      </c>
      <c r="G51" s="100">
        <v>24.28</v>
      </c>
      <c r="H51" s="100">
        <v>7.86</v>
      </c>
      <c r="I51" s="100">
        <v>4.75</v>
      </c>
      <c r="J51" s="100">
        <v>0.43</v>
      </c>
      <c r="K51" s="100">
        <v>236.46</v>
      </c>
      <c r="L51" s="100">
        <v>28.27</v>
      </c>
      <c r="M51" s="100">
        <v>80.349999999999994</v>
      </c>
      <c r="N51" s="100">
        <v>136.5</v>
      </c>
      <c r="O51" s="100">
        <v>0</v>
      </c>
      <c r="P51" s="100">
        <v>0.27</v>
      </c>
      <c r="Q51" s="100">
        <v>10</v>
      </c>
      <c r="R51" s="6"/>
      <c r="S51" s="6"/>
      <c r="T51" s="156"/>
      <c r="U51" s="6"/>
    </row>
    <row r="52" spans="1:21" customFormat="1">
      <c r="A52" s="201" t="s">
        <v>284</v>
      </c>
      <c r="B52" s="100">
        <v>6.48</v>
      </c>
      <c r="C52" s="100">
        <v>12.43</v>
      </c>
      <c r="D52" s="100">
        <v>11.69</v>
      </c>
      <c r="E52" s="100">
        <v>5.07</v>
      </c>
      <c r="F52" s="100">
        <v>0.59</v>
      </c>
      <c r="G52" s="100">
        <v>24.28</v>
      </c>
      <c r="H52" s="100">
        <v>7.86</v>
      </c>
      <c r="I52" s="100">
        <v>4.83</v>
      </c>
      <c r="J52" s="100">
        <v>0.52</v>
      </c>
      <c r="K52" s="100">
        <v>236.97</v>
      </c>
      <c r="L52" s="100">
        <v>28.42</v>
      </c>
      <c r="M52" s="100">
        <v>79.819999999999993</v>
      </c>
      <c r="N52" s="100">
        <v>164.2</v>
      </c>
      <c r="O52" s="100">
        <v>0</v>
      </c>
      <c r="P52" s="100">
        <v>0.27</v>
      </c>
      <c r="Q52" s="100">
        <v>10</v>
      </c>
      <c r="R52" s="6"/>
      <c r="S52" s="6"/>
      <c r="T52" s="156"/>
      <c r="U52" s="6"/>
    </row>
    <row r="53" spans="1:21" customFormat="1">
      <c r="A53" s="201" t="s">
        <v>285</v>
      </c>
      <c r="B53" s="100">
        <v>6.47</v>
      </c>
      <c r="C53" s="100">
        <v>12.54</v>
      </c>
      <c r="D53" s="100">
        <v>11.74</v>
      </c>
      <c r="E53" s="100">
        <v>4.75</v>
      </c>
      <c r="F53" s="100">
        <v>0.23</v>
      </c>
      <c r="G53" s="100">
        <v>24.25</v>
      </c>
      <c r="H53" s="100">
        <v>8.66</v>
      </c>
      <c r="I53" s="100">
        <v>4.9400000000000004</v>
      </c>
      <c r="J53" s="100">
        <v>0.59</v>
      </c>
      <c r="K53" s="100">
        <v>236.31</v>
      </c>
      <c r="L53" s="100">
        <v>28.86</v>
      </c>
      <c r="M53" s="100">
        <v>78.239999999999995</v>
      </c>
      <c r="N53" s="100">
        <v>273.60000000000002</v>
      </c>
      <c r="O53" s="100">
        <v>0</v>
      </c>
      <c r="P53" s="100">
        <v>0.28000000000000003</v>
      </c>
      <c r="Q53" s="100">
        <v>10</v>
      </c>
      <c r="R53" s="6"/>
      <c r="S53" s="6"/>
      <c r="T53" s="156"/>
      <c r="U53" s="6"/>
    </row>
    <row r="54" spans="1:21" customFormat="1">
      <c r="A54" s="201" t="s">
        <v>286</v>
      </c>
      <c r="B54" s="100">
        <v>6.61</v>
      </c>
      <c r="C54" s="100">
        <v>12.69</v>
      </c>
      <c r="D54" s="100">
        <v>11.94</v>
      </c>
      <c r="E54" s="100">
        <v>5.27</v>
      </c>
      <c r="F54" s="100">
        <v>0.04</v>
      </c>
      <c r="G54" s="100">
        <v>24.08</v>
      </c>
      <c r="H54" s="100">
        <v>12.64</v>
      </c>
      <c r="I54" s="100">
        <v>4.97</v>
      </c>
      <c r="J54" s="100">
        <v>0.28999999999999998</v>
      </c>
      <c r="K54" s="100">
        <v>240.94</v>
      </c>
      <c r="L54" s="100">
        <v>29.3</v>
      </c>
      <c r="M54" s="100">
        <v>75.989999999999995</v>
      </c>
      <c r="N54" s="100">
        <v>246.4</v>
      </c>
      <c r="O54" s="100">
        <v>0</v>
      </c>
      <c r="P54" s="100">
        <v>0.3</v>
      </c>
      <c r="Q54" s="100">
        <v>10</v>
      </c>
      <c r="R54" s="6"/>
      <c r="S54" s="6"/>
      <c r="T54" s="156"/>
      <c r="U54" s="6"/>
    </row>
    <row r="55" spans="1:21" customFormat="1">
      <c r="A55" s="201" t="s">
        <v>287</v>
      </c>
      <c r="B55" s="100">
        <v>6.74</v>
      </c>
      <c r="C55" s="100">
        <v>12.67</v>
      </c>
      <c r="D55" s="100">
        <v>12.03</v>
      </c>
      <c r="E55" s="100">
        <v>5.6</v>
      </c>
      <c r="F55" s="100">
        <v>0.01</v>
      </c>
      <c r="G55" s="100">
        <v>24.08</v>
      </c>
      <c r="H55" s="100">
        <v>12.64</v>
      </c>
      <c r="I55" s="100">
        <v>4.93</v>
      </c>
      <c r="J55" s="100">
        <v>0.06</v>
      </c>
      <c r="K55" s="100">
        <v>282.86</v>
      </c>
      <c r="L55" s="100">
        <v>29.35</v>
      </c>
      <c r="M55" s="100">
        <v>76.260000000000005</v>
      </c>
      <c r="N55" s="100">
        <v>149.4</v>
      </c>
      <c r="O55" s="100">
        <v>0</v>
      </c>
      <c r="P55" s="100">
        <v>0.28999999999999998</v>
      </c>
      <c r="Q55" s="100">
        <v>10</v>
      </c>
      <c r="R55" s="6"/>
      <c r="S55" s="6"/>
      <c r="T55" s="156"/>
      <c r="U55" s="6"/>
    </row>
    <row r="56" spans="1:21" customFormat="1">
      <c r="A56" s="201" t="s">
        <v>288</v>
      </c>
      <c r="B56" s="100">
        <v>6.86</v>
      </c>
      <c r="C56" s="100">
        <v>12.97</v>
      </c>
      <c r="D56" s="100">
        <v>12.28</v>
      </c>
      <c r="E56" s="100">
        <v>5.37</v>
      </c>
      <c r="F56" s="100">
        <v>0.43</v>
      </c>
      <c r="G56" s="100">
        <v>24.08</v>
      </c>
      <c r="H56" s="100">
        <v>12.64</v>
      </c>
      <c r="I56" s="100">
        <v>4.91</v>
      </c>
      <c r="J56" s="100">
        <v>0.02</v>
      </c>
      <c r="K56" s="100">
        <v>336.27</v>
      </c>
      <c r="L56" s="100">
        <v>29.16</v>
      </c>
      <c r="M56" s="100">
        <v>76.05</v>
      </c>
      <c r="N56" s="100">
        <v>93.2</v>
      </c>
      <c r="O56" s="100">
        <v>0</v>
      </c>
      <c r="P56" s="100">
        <v>0.3</v>
      </c>
      <c r="Q56" s="100">
        <v>10</v>
      </c>
      <c r="R56" s="6"/>
      <c r="S56" s="6"/>
      <c r="T56" s="156"/>
      <c r="U56" s="6"/>
    </row>
    <row r="57" spans="1:21" customFormat="1">
      <c r="A57" s="201" t="s">
        <v>289</v>
      </c>
      <c r="B57" s="100">
        <v>7.13</v>
      </c>
      <c r="C57" s="100">
        <v>13.21</v>
      </c>
      <c r="D57" s="100">
        <v>12.62</v>
      </c>
      <c r="E57" s="100">
        <v>5.18</v>
      </c>
      <c r="F57" s="100">
        <v>1.21</v>
      </c>
      <c r="G57" s="100">
        <v>25.18</v>
      </c>
      <c r="H57" s="100">
        <v>12.46</v>
      </c>
      <c r="I57" s="100">
        <v>4.95</v>
      </c>
      <c r="J57" s="100">
        <v>0.23</v>
      </c>
      <c r="K57" s="100">
        <v>37.979999999999997</v>
      </c>
      <c r="L57" s="100">
        <v>28.97</v>
      </c>
      <c r="M57" s="100">
        <v>76.599999999999994</v>
      </c>
      <c r="N57" s="100">
        <v>75.8</v>
      </c>
      <c r="O57" s="100">
        <v>0</v>
      </c>
      <c r="P57" s="100">
        <v>0.28999999999999998</v>
      </c>
      <c r="Q57" s="100">
        <v>10</v>
      </c>
      <c r="R57" s="6"/>
      <c r="S57" s="6"/>
      <c r="T57" s="156"/>
      <c r="U57" s="6"/>
    </row>
    <row r="58" spans="1:21" customFormat="1">
      <c r="A58" s="201" t="s">
        <v>290</v>
      </c>
      <c r="B58" s="100">
        <v>7.24</v>
      </c>
      <c r="C58" s="100">
        <v>13.17</v>
      </c>
      <c r="D58" s="100">
        <v>12.69</v>
      </c>
      <c r="E58" s="100">
        <v>5.04</v>
      </c>
      <c r="F58" s="100">
        <v>0.04</v>
      </c>
      <c r="G58" s="100">
        <v>32.31</v>
      </c>
      <c r="H58" s="100">
        <v>11.56</v>
      </c>
      <c r="I58" s="100">
        <v>5</v>
      </c>
      <c r="J58" s="100">
        <v>0.13</v>
      </c>
      <c r="K58" s="100">
        <v>217.95</v>
      </c>
      <c r="L58" s="100">
        <v>28.98</v>
      </c>
      <c r="M58" s="100">
        <v>77.97</v>
      </c>
      <c r="N58" s="100">
        <v>85.6</v>
      </c>
      <c r="O58" s="100">
        <v>0</v>
      </c>
      <c r="P58" s="100">
        <v>0.31</v>
      </c>
      <c r="Q58" s="100">
        <v>10</v>
      </c>
      <c r="R58" s="6"/>
      <c r="S58" s="6"/>
      <c r="T58" s="156"/>
      <c r="U58" s="6"/>
    </row>
    <row r="59" spans="1:21" customFormat="1">
      <c r="A59" s="201" t="s">
        <v>291</v>
      </c>
      <c r="B59" s="100">
        <v>7.32</v>
      </c>
      <c r="C59" s="100">
        <v>13.15</v>
      </c>
      <c r="D59" s="100">
        <v>12.74</v>
      </c>
      <c r="E59" s="100">
        <v>5.5</v>
      </c>
      <c r="F59" s="100">
        <v>0.02</v>
      </c>
      <c r="G59" s="100">
        <v>32.31</v>
      </c>
      <c r="H59" s="100">
        <v>11.56</v>
      </c>
      <c r="I59" s="100">
        <v>4.91</v>
      </c>
      <c r="J59" s="100">
        <v>0.41</v>
      </c>
      <c r="K59" s="100">
        <v>236.24</v>
      </c>
      <c r="L59" s="100">
        <v>29.15</v>
      </c>
      <c r="M59" s="100">
        <v>77.5</v>
      </c>
      <c r="N59" s="100">
        <v>277.39999999999998</v>
      </c>
      <c r="O59" s="100">
        <v>0</v>
      </c>
      <c r="P59" s="100">
        <v>0.31</v>
      </c>
      <c r="Q59" s="100">
        <v>10</v>
      </c>
      <c r="R59" s="6"/>
      <c r="S59" s="6"/>
      <c r="T59" s="156"/>
      <c r="U59" s="6"/>
    </row>
    <row r="60" spans="1:21" customFormat="1">
      <c r="A60" s="201" t="s">
        <v>292</v>
      </c>
      <c r="B60" s="100">
        <v>7.31</v>
      </c>
      <c r="C60" s="100">
        <v>13.22</v>
      </c>
      <c r="D60" s="100">
        <v>12.77</v>
      </c>
      <c r="E60" s="100">
        <v>5.25</v>
      </c>
      <c r="F60" s="100">
        <v>0.49</v>
      </c>
      <c r="G60" s="100">
        <v>32.31</v>
      </c>
      <c r="H60" s="100">
        <v>11.56</v>
      </c>
      <c r="I60" s="100">
        <v>4.93</v>
      </c>
      <c r="J60" s="100">
        <v>0.28000000000000003</v>
      </c>
      <c r="K60" s="100">
        <v>239.93</v>
      </c>
      <c r="L60" s="100">
        <v>29.81</v>
      </c>
      <c r="M60" s="100">
        <v>74.37</v>
      </c>
      <c r="N60" s="100">
        <v>321.39999999999998</v>
      </c>
      <c r="O60" s="100">
        <v>0</v>
      </c>
      <c r="P60" s="100">
        <v>0.33</v>
      </c>
      <c r="Q60" s="100">
        <v>10</v>
      </c>
      <c r="R60" s="6"/>
      <c r="S60" s="6"/>
      <c r="T60" s="156"/>
      <c r="U60" s="6"/>
    </row>
    <row r="61" spans="1:21" customFormat="1">
      <c r="A61" s="201" t="s">
        <v>293</v>
      </c>
      <c r="B61" s="100">
        <v>7.17</v>
      </c>
      <c r="C61" s="100">
        <v>13.51</v>
      </c>
      <c r="D61" s="100">
        <v>12.81</v>
      </c>
      <c r="E61" s="100">
        <v>5.07</v>
      </c>
      <c r="F61" s="100">
        <v>1.06</v>
      </c>
      <c r="G61" s="100">
        <v>32.89</v>
      </c>
      <c r="H61" s="100">
        <v>11.57</v>
      </c>
      <c r="I61" s="100">
        <v>5.0199999999999996</v>
      </c>
      <c r="J61" s="100">
        <v>0.32</v>
      </c>
      <c r="K61" s="100">
        <v>45.33</v>
      </c>
      <c r="L61" s="100">
        <v>30.04</v>
      </c>
      <c r="M61" s="100">
        <v>73.78</v>
      </c>
      <c r="N61" s="100">
        <v>238</v>
      </c>
      <c r="O61" s="100">
        <v>0</v>
      </c>
      <c r="P61" s="100">
        <v>0.34</v>
      </c>
      <c r="Q61" s="100">
        <v>10</v>
      </c>
      <c r="R61" s="6"/>
      <c r="S61" s="6"/>
      <c r="T61" s="156"/>
      <c r="U61" s="6"/>
    </row>
    <row r="62" spans="1:21" customFormat="1">
      <c r="A62" s="201" t="s">
        <v>294</v>
      </c>
      <c r="B62" s="100">
        <v>6.94</v>
      </c>
      <c r="C62" s="100">
        <v>13.54</v>
      </c>
      <c r="D62" s="100">
        <v>12.64</v>
      </c>
      <c r="E62" s="100">
        <v>5.22</v>
      </c>
      <c r="F62" s="100">
        <v>1.01</v>
      </c>
      <c r="G62" s="100">
        <v>36.67</v>
      </c>
      <c r="H62" s="100">
        <v>11.65</v>
      </c>
      <c r="I62" s="100">
        <v>5.0199999999999996</v>
      </c>
      <c r="J62" s="100">
        <v>0.55000000000000004</v>
      </c>
      <c r="K62" s="100">
        <v>46.9</v>
      </c>
      <c r="L62" s="100">
        <v>30.04</v>
      </c>
      <c r="M62" s="100">
        <v>76.02</v>
      </c>
      <c r="N62" s="100">
        <v>279.7</v>
      </c>
      <c r="O62" s="100">
        <v>0</v>
      </c>
      <c r="P62" s="100">
        <v>0.33</v>
      </c>
      <c r="Q62" s="100">
        <v>10</v>
      </c>
      <c r="R62" s="6"/>
      <c r="S62" s="6"/>
      <c r="T62" s="156"/>
      <c r="U62" s="6"/>
    </row>
    <row r="63" spans="1:21" customFormat="1">
      <c r="A63" s="201" t="s">
        <v>295</v>
      </c>
      <c r="B63" s="100">
        <v>6.72</v>
      </c>
      <c r="C63" s="100">
        <v>13.58</v>
      </c>
      <c r="D63" s="100">
        <v>12.48</v>
      </c>
      <c r="E63" s="100">
        <v>5.21</v>
      </c>
      <c r="F63" s="100">
        <v>1.06</v>
      </c>
      <c r="G63" s="100">
        <v>36.67</v>
      </c>
      <c r="H63" s="100">
        <v>11.65</v>
      </c>
      <c r="I63" s="100">
        <v>4.97</v>
      </c>
      <c r="J63" s="100">
        <v>0.21</v>
      </c>
      <c r="K63" s="100">
        <v>22.71</v>
      </c>
      <c r="L63" s="100">
        <v>30.07</v>
      </c>
      <c r="M63" s="100">
        <v>77.400000000000006</v>
      </c>
      <c r="N63" s="100">
        <v>232.4</v>
      </c>
      <c r="O63" s="100">
        <v>0</v>
      </c>
      <c r="P63" s="100">
        <v>0.34</v>
      </c>
      <c r="Q63" s="100">
        <v>10</v>
      </c>
      <c r="R63" s="6"/>
      <c r="S63" s="6"/>
      <c r="T63" s="156"/>
      <c r="U63" s="6"/>
    </row>
    <row r="64" spans="1:21" customFormat="1">
      <c r="A64" s="201" t="s">
        <v>296</v>
      </c>
      <c r="B64" s="100">
        <v>6.52</v>
      </c>
      <c r="C64" s="100">
        <v>13.7</v>
      </c>
      <c r="D64" s="100">
        <v>12.39</v>
      </c>
      <c r="E64" s="100">
        <v>5.77</v>
      </c>
      <c r="F64" s="100">
        <v>0.01</v>
      </c>
      <c r="G64" s="100">
        <v>36.67</v>
      </c>
      <c r="H64" s="100">
        <v>11.65</v>
      </c>
      <c r="I64" s="100">
        <v>4.9000000000000004</v>
      </c>
      <c r="J64" s="100">
        <v>0.45</v>
      </c>
      <c r="K64" s="100">
        <v>57.19</v>
      </c>
      <c r="L64" s="100">
        <v>30.27</v>
      </c>
      <c r="M64" s="100">
        <v>77.180000000000007</v>
      </c>
      <c r="N64" s="100">
        <v>466.3</v>
      </c>
      <c r="O64" s="100">
        <v>0</v>
      </c>
      <c r="P64" s="100">
        <v>0.34</v>
      </c>
      <c r="Q64" s="100">
        <v>10</v>
      </c>
      <c r="R64" s="6"/>
      <c r="S64" s="6"/>
      <c r="T64" s="156"/>
      <c r="U64" s="6"/>
    </row>
    <row r="65" spans="1:21" customFormat="1">
      <c r="A65" s="201" t="s">
        <v>297</v>
      </c>
      <c r="B65" s="100">
        <v>6.42</v>
      </c>
      <c r="C65" s="100">
        <v>13.75</v>
      </c>
      <c r="D65" s="100">
        <v>12.34</v>
      </c>
      <c r="E65" s="100">
        <v>5.37</v>
      </c>
      <c r="F65" s="100">
        <v>0.06</v>
      </c>
      <c r="G65" s="100">
        <v>36.950000000000003</v>
      </c>
      <c r="H65" s="100">
        <v>11.41</v>
      </c>
      <c r="I65" s="100">
        <v>4.84</v>
      </c>
      <c r="J65" s="100">
        <v>0.27</v>
      </c>
      <c r="K65" s="100">
        <v>50.51</v>
      </c>
      <c r="L65" s="100">
        <v>30.68</v>
      </c>
      <c r="M65" s="100">
        <v>74.78</v>
      </c>
      <c r="N65" s="100">
        <v>291.2</v>
      </c>
      <c r="O65" s="100">
        <v>0</v>
      </c>
      <c r="P65" s="100">
        <v>0.25</v>
      </c>
      <c r="Q65" s="100">
        <v>10</v>
      </c>
      <c r="R65" s="6"/>
      <c r="S65" s="6"/>
      <c r="T65" s="156"/>
      <c r="U65" s="6"/>
    </row>
    <row r="66" spans="1:21" customFormat="1">
      <c r="A66" s="201" t="s">
        <v>298</v>
      </c>
      <c r="B66" s="100">
        <v>6.33</v>
      </c>
      <c r="C66" s="100">
        <v>13.78</v>
      </c>
      <c r="D66" s="100">
        <v>12.27</v>
      </c>
      <c r="E66" s="100">
        <v>5.29</v>
      </c>
      <c r="F66" s="100">
        <v>0.06</v>
      </c>
      <c r="G66" s="100">
        <v>38.79</v>
      </c>
      <c r="H66" s="100">
        <v>10.220000000000001</v>
      </c>
      <c r="I66" s="100">
        <v>4.93</v>
      </c>
      <c r="J66" s="100">
        <v>0.26</v>
      </c>
      <c r="K66" s="100">
        <v>58.39</v>
      </c>
      <c r="L66" s="100">
        <v>30.9</v>
      </c>
      <c r="M66" s="100">
        <v>73.72</v>
      </c>
      <c r="N66" s="100">
        <v>213.9</v>
      </c>
      <c r="O66" s="100">
        <v>0</v>
      </c>
      <c r="P66" s="100">
        <v>0.26</v>
      </c>
      <c r="Q66" s="100">
        <v>10</v>
      </c>
      <c r="R66" s="6"/>
      <c r="S66" s="6"/>
      <c r="T66" s="156"/>
      <c r="U66" s="6"/>
    </row>
    <row r="67" spans="1:21" customFormat="1">
      <c r="A67" s="201" t="s">
        <v>299</v>
      </c>
      <c r="B67" s="100">
        <v>6.31</v>
      </c>
      <c r="C67" s="100">
        <v>13.72</v>
      </c>
      <c r="D67" s="100">
        <v>12.23</v>
      </c>
      <c r="E67" s="100">
        <v>5.53</v>
      </c>
      <c r="F67" s="100">
        <v>0.18</v>
      </c>
      <c r="G67" s="100">
        <v>38.79</v>
      </c>
      <c r="H67" s="100">
        <v>10.220000000000001</v>
      </c>
      <c r="I67" s="100">
        <v>4.92</v>
      </c>
      <c r="J67" s="100">
        <v>0.31</v>
      </c>
      <c r="K67" s="100">
        <v>44.84</v>
      </c>
      <c r="L67" s="100">
        <v>30.38</v>
      </c>
      <c r="M67" s="100">
        <v>72.66</v>
      </c>
      <c r="N67" s="100">
        <v>94.2</v>
      </c>
      <c r="O67" s="100">
        <v>0</v>
      </c>
      <c r="P67" s="100">
        <v>0.27</v>
      </c>
      <c r="Q67" s="100">
        <v>10</v>
      </c>
      <c r="R67" s="6"/>
      <c r="S67" s="6"/>
      <c r="T67" s="156"/>
      <c r="U67" s="6"/>
    </row>
    <row r="68" spans="1:21" customFormat="1">
      <c r="A68" s="201" t="s">
        <v>300</v>
      </c>
      <c r="B68" s="100">
        <v>6.2</v>
      </c>
      <c r="C68" s="100">
        <v>13.61</v>
      </c>
      <c r="D68" s="100">
        <v>12.08</v>
      </c>
      <c r="E68" s="100">
        <v>5.83</v>
      </c>
      <c r="F68" s="100">
        <v>0.21</v>
      </c>
      <c r="G68" s="100">
        <v>38.79</v>
      </c>
      <c r="H68" s="100">
        <v>10.220000000000001</v>
      </c>
      <c r="I68" s="100">
        <v>4.8899999999999997</v>
      </c>
      <c r="J68" s="100">
        <v>0.28000000000000003</v>
      </c>
      <c r="K68" s="100">
        <v>198.14</v>
      </c>
      <c r="L68" s="100">
        <v>29.89</v>
      </c>
      <c r="M68" s="100">
        <v>77.55</v>
      </c>
      <c r="N68" s="100">
        <v>61.4</v>
      </c>
      <c r="O68" s="100">
        <v>0</v>
      </c>
      <c r="P68" s="100">
        <v>0.27</v>
      </c>
      <c r="Q68" s="100">
        <v>10</v>
      </c>
      <c r="R68" s="6"/>
      <c r="S68" s="6"/>
      <c r="T68" s="156"/>
      <c r="U68" s="6"/>
    </row>
    <row r="69" spans="1:21" customFormat="1">
      <c r="A69" s="201" t="s">
        <v>301</v>
      </c>
      <c r="B69" s="100">
        <v>5.92</v>
      </c>
      <c r="C69" s="100">
        <v>13.38</v>
      </c>
      <c r="D69" s="100">
        <v>11.74</v>
      </c>
      <c r="E69" s="100">
        <v>5.44</v>
      </c>
      <c r="F69" s="100">
        <v>0.24</v>
      </c>
      <c r="G69" s="100">
        <v>39.159999999999997</v>
      </c>
      <c r="H69" s="100">
        <v>10.75</v>
      </c>
      <c r="I69" s="100">
        <v>4.8499999999999996</v>
      </c>
      <c r="J69" s="100">
        <v>0.17</v>
      </c>
      <c r="K69" s="100">
        <v>205.58</v>
      </c>
      <c r="L69" s="100">
        <v>29.18</v>
      </c>
      <c r="M69" s="100">
        <v>83.76</v>
      </c>
      <c r="N69" s="100">
        <v>41.4</v>
      </c>
      <c r="O69" s="100">
        <v>0</v>
      </c>
      <c r="P69" s="100">
        <v>0.26</v>
      </c>
      <c r="Q69" s="100">
        <v>10</v>
      </c>
      <c r="R69" s="6"/>
      <c r="S69" s="6"/>
      <c r="T69" s="156"/>
      <c r="U69" s="6"/>
    </row>
    <row r="70" spans="1:21" customFormat="1">
      <c r="A70" s="201" t="s">
        <v>302</v>
      </c>
      <c r="B70" s="100">
        <v>5.65</v>
      </c>
      <c r="C70" s="100">
        <v>13.22</v>
      </c>
      <c r="D70" s="100">
        <v>11.44</v>
      </c>
      <c r="E70" s="100">
        <v>5.38</v>
      </c>
      <c r="F70" s="100">
        <v>0.28999999999999998</v>
      </c>
      <c r="G70" s="100">
        <v>41.59</v>
      </c>
      <c r="H70" s="100">
        <v>13.41</v>
      </c>
      <c r="I70" s="100">
        <v>4.8</v>
      </c>
      <c r="J70" s="100">
        <v>0.54</v>
      </c>
      <c r="K70" s="100">
        <v>223.08</v>
      </c>
      <c r="L70" s="100">
        <v>28.32</v>
      </c>
      <c r="M70" s="100">
        <v>85.91</v>
      </c>
      <c r="N70" s="100">
        <v>27.8</v>
      </c>
      <c r="O70" s="100">
        <v>0</v>
      </c>
      <c r="P70" s="100">
        <v>0.27</v>
      </c>
      <c r="Q70" s="100">
        <v>10</v>
      </c>
      <c r="R70" s="6"/>
      <c r="S70" s="6"/>
      <c r="T70" s="156"/>
      <c r="U70" s="6"/>
    </row>
    <row r="71" spans="1:21" customFormat="1">
      <c r="A71" s="201" t="s">
        <v>303</v>
      </c>
      <c r="B71" s="100">
        <v>5.37</v>
      </c>
      <c r="C71" s="100">
        <v>13.09</v>
      </c>
      <c r="D71" s="100">
        <v>11.14</v>
      </c>
      <c r="E71" s="100">
        <v>5.41</v>
      </c>
      <c r="F71" s="100">
        <v>7.0000000000000007E-2</v>
      </c>
      <c r="G71" s="100">
        <v>41.59</v>
      </c>
      <c r="H71" s="100">
        <v>13.41</v>
      </c>
      <c r="I71" s="100">
        <v>4.74</v>
      </c>
      <c r="J71" s="100">
        <v>0.4</v>
      </c>
      <c r="K71" s="100">
        <v>220.76</v>
      </c>
      <c r="L71" s="100">
        <v>27.43</v>
      </c>
      <c r="M71" s="100">
        <v>87.75</v>
      </c>
      <c r="N71" s="100">
        <v>21.4</v>
      </c>
      <c r="O71" s="100">
        <v>0</v>
      </c>
      <c r="P71" s="100">
        <v>0.26</v>
      </c>
      <c r="Q71" s="100">
        <v>10</v>
      </c>
      <c r="R71" s="6"/>
      <c r="S71" s="6"/>
      <c r="T71" s="156"/>
      <c r="U71" s="6"/>
    </row>
    <row r="72" spans="1:21" customFormat="1">
      <c r="A72" s="201" t="s">
        <v>304</v>
      </c>
      <c r="B72" s="100">
        <v>5.0999999999999996</v>
      </c>
      <c r="C72" s="100">
        <v>13.01</v>
      </c>
      <c r="D72" s="100">
        <v>10.88</v>
      </c>
      <c r="E72" s="100">
        <v>5.75</v>
      </c>
      <c r="F72" s="100">
        <v>0.06</v>
      </c>
      <c r="G72" s="100">
        <v>41.59</v>
      </c>
      <c r="H72" s="100">
        <v>13.41</v>
      </c>
      <c r="I72" s="100">
        <v>4.76</v>
      </c>
      <c r="J72" s="100">
        <v>0.35</v>
      </c>
      <c r="K72" s="100">
        <v>227.73</v>
      </c>
      <c r="L72" s="100">
        <v>27.21</v>
      </c>
      <c r="M72" s="100">
        <v>87.92</v>
      </c>
      <c r="N72" s="100">
        <v>63</v>
      </c>
      <c r="O72" s="100">
        <v>0</v>
      </c>
      <c r="P72" s="100">
        <v>0.26</v>
      </c>
      <c r="Q72" s="100">
        <v>10</v>
      </c>
      <c r="R72" s="6"/>
      <c r="S72" s="6"/>
      <c r="T72" s="156"/>
      <c r="U72" s="6"/>
    </row>
    <row r="73" spans="1:21" customFormat="1">
      <c r="A73" s="201" t="s">
        <v>305</v>
      </c>
      <c r="B73" s="100">
        <v>4.8099999999999996</v>
      </c>
      <c r="C73" s="100">
        <v>12.93</v>
      </c>
      <c r="D73" s="100">
        <v>10.62</v>
      </c>
      <c r="E73" s="100">
        <v>5.72</v>
      </c>
      <c r="F73" s="100">
        <v>0.06</v>
      </c>
      <c r="G73" s="100">
        <v>40.130000000000003</v>
      </c>
      <c r="H73" s="100">
        <v>12.89</v>
      </c>
      <c r="I73" s="100">
        <v>4.68</v>
      </c>
      <c r="J73" s="100">
        <v>0.27</v>
      </c>
      <c r="K73" s="100">
        <v>212.47</v>
      </c>
      <c r="L73" s="100">
        <v>27.39</v>
      </c>
      <c r="M73" s="100">
        <v>87.93</v>
      </c>
      <c r="N73" s="100">
        <v>73.900000000000006</v>
      </c>
      <c r="O73" s="100">
        <v>0</v>
      </c>
      <c r="P73" s="100">
        <v>0.25</v>
      </c>
      <c r="Q73" s="100">
        <v>10</v>
      </c>
      <c r="R73" s="6"/>
      <c r="S73" s="6"/>
      <c r="T73" s="156"/>
      <c r="U73" s="6"/>
    </row>
    <row r="74" spans="1:21" customFormat="1">
      <c r="A74" s="201" t="s">
        <v>306</v>
      </c>
      <c r="B74" s="100">
        <v>4.68</v>
      </c>
      <c r="C74" s="100">
        <v>12.69</v>
      </c>
      <c r="D74" s="100">
        <v>10.38</v>
      </c>
      <c r="E74" s="100">
        <v>5.65</v>
      </c>
      <c r="F74" s="100">
        <v>0.03</v>
      </c>
      <c r="G74" s="100">
        <v>30.64</v>
      </c>
      <c r="H74" s="100">
        <v>10.31</v>
      </c>
      <c r="I74" s="100">
        <v>4.58</v>
      </c>
      <c r="J74" s="100">
        <v>0.26</v>
      </c>
      <c r="K74" s="100">
        <v>197.44</v>
      </c>
      <c r="L74" s="100">
        <v>27.69</v>
      </c>
      <c r="M74" s="100">
        <v>86.64</v>
      </c>
      <c r="N74" s="100">
        <v>77.900000000000006</v>
      </c>
      <c r="O74" s="100">
        <v>0</v>
      </c>
      <c r="P74" s="100">
        <v>0.26</v>
      </c>
      <c r="Q74" s="100">
        <v>10</v>
      </c>
      <c r="R74" s="6"/>
      <c r="S74" s="6"/>
      <c r="T74" s="156"/>
      <c r="U74" s="6"/>
    </row>
    <row r="75" spans="1:21" customFormat="1">
      <c r="A75" s="201" t="s">
        <v>307</v>
      </c>
      <c r="B75" s="100">
        <v>4.57</v>
      </c>
      <c r="C75" s="100">
        <v>12.51</v>
      </c>
      <c r="D75" s="100">
        <v>10.199999999999999</v>
      </c>
      <c r="E75" s="100">
        <v>5.88</v>
      </c>
      <c r="F75" s="100">
        <v>0.01</v>
      </c>
      <c r="G75" s="100">
        <v>30.64</v>
      </c>
      <c r="H75" s="100">
        <v>10.31</v>
      </c>
      <c r="I75" s="100">
        <v>4.51</v>
      </c>
      <c r="J75" s="100">
        <v>0.23</v>
      </c>
      <c r="K75" s="100">
        <v>185.64</v>
      </c>
      <c r="L75" s="100">
        <v>28</v>
      </c>
      <c r="M75" s="100">
        <v>85.82</v>
      </c>
      <c r="N75" s="100">
        <v>74.900000000000006</v>
      </c>
      <c r="O75" s="100">
        <v>0</v>
      </c>
      <c r="P75" s="100">
        <v>0.26</v>
      </c>
      <c r="Q75" s="100">
        <v>10</v>
      </c>
      <c r="R75" s="6"/>
      <c r="S75" s="6"/>
      <c r="T75" s="156"/>
      <c r="U75" s="6"/>
    </row>
    <row r="76" spans="1:21" customFormat="1">
      <c r="A76" s="201" t="s">
        <v>308</v>
      </c>
      <c r="B76" s="100">
        <v>4.4800000000000004</v>
      </c>
      <c r="C76" s="100">
        <v>12.53</v>
      </c>
      <c r="D76" s="100">
        <v>10.130000000000001</v>
      </c>
      <c r="E76" s="100">
        <v>5.68</v>
      </c>
      <c r="F76" s="100">
        <v>0.01</v>
      </c>
      <c r="G76" s="100">
        <v>30.64</v>
      </c>
      <c r="H76" s="100">
        <v>10.31</v>
      </c>
      <c r="I76" s="100">
        <v>4.47</v>
      </c>
      <c r="J76" s="100">
        <v>0.39</v>
      </c>
      <c r="K76" s="100">
        <v>228.59</v>
      </c>
      <c r="L76" s="100">
        <v>27.89</v>
      </c>
      <c r="M76" s="100">
        <v>85.26</v>
      </c>
      <c r="N76" s="100">
        <v>58.8</v>
      </c>
      <c r="O76" s="100">
        <v>0</v>
      </c>
      <c r="P76" s="100">
        <v>0.25</v>
      </c>
      <c r="Q76" s="100">
        <v>10</v>
      </c>
      <c r="R76" s="6"/>
      <c r="S76" s="6"/>
      <c r="T76" s="156"/>
      <c r="U76" s="6"/>
    </row>
    <row r="77" spans="1:21" customFormat="1">
      <c r="A77" s="201" t="s">
        <v>309</v>
      </c>
      <c r="B77" s="100">
        <v>4.4000000000000004</v>
      </c>
      <c r="C77" s="100">
        <v>12.54</v>
      </c>
      <c r="D77" s="100">
        <v>10.08</v>
      </c>
      <c r="E77" s="100">
        <v>5.71</v>
      </c>
      <c r="F77" s="100">
        <v>0.01</v>
      </c>
      <c r="G77" s="100">
        <v>29.97</v>
      </c>
      <c r="H77" s="100">
        <v>10.41</v>
      </c>
      <c r="I77" s="100">
        <v>4.46</v>
      </c>
      <c r="J77" s="100">
        <v>0.28000000000000003</v>
      </c>
      <c r="K77" s="100">
        <v>225.36</v>
      </c>
      <c r="L77" s="100">
        <v>27.81</v>
      </c>
      <c r="M77" s="100">
        <v>85.65</v>
      </c>
      <c r="N77" s="100">
        <v>43.7</v>
      </c>
      <c r="O77" s="100">
        <v>0</v>
      </c>
      <c r="P77" s="100">
        <v>0.24</v>
      </c>
      <c r="Q77" s="100">
        <v>10</v>
      </c>
      <c r="R77" s="6"/>
      <c r="S77" s="6"/>
      <c r="T77" s="156"/>
      <c r="U77" s="6"/>
    </row>
    <row r="78" spans="1:21" customFormat="1">
      <c r="A78" s="201" t="s">
        <v>310</v>
      </c>
      <c r="B78" s="100">
        <v>4.38</v>
      </c>
      <c r="C78" s="100">
        <v>12.48</v>
      </c>
      <c r="D78" s="100">
        <v>10.029999999999999</v>
      </c>
      <c r="E78" s="100">
        <v>5.72</v>
      </c>
      <c r="F78" s="100">
        <v>7.0000000000000007E-2</v>
      </c>
      <c r="G78" s="100">
        <v>25.6</v>
      </c>
      <c r="H78" s="100">
        <v>10.94</v>
      </c>
      <c r="I78" s="100">
        <v>4.5199999999999996</v>
      </c>
      <c r="J78" s="100">
        <v>0.34</v>
      </c>
      <c r="K78" s="100">
        <v>223.04</v>
      </c>
      <c r="L78" s="100">
        <v>27.62</v>
      </c>
      <c r="M78" s="100">
        <v>85.9</v>
      </c>
      <c r="N78" s="100">
        <v>30.1</v>
      </c>
      <c r="O78" s="100">
        <v>0</v>
      </c>
      <c r="P78" s="100">
        <v>0.25</v>
      </c>
      <c r="Q78" s="100">
        <v>10</v>
      </c>
      <c r="R78" s="6"/>
      <c r="S78" s="6"/>
      <c r="T78" s="156"/>
      <c r="U78" s="6"/>
    </row>
    <row r="79" spans="1:21" customFormat="1">
      <c r="A79" s="201" t="s">
        <v>311</v>
      </c>
      <c r="B79" s="100">
        <v>4.3</v>
      </c>
      <c r="C79" s="100">
        <v>12.42</v>
      </c>
      <c r="D79" s="100">
        <v>9.93</v>
      </c>
      <c r="E79" s="100">
        <v>5.82</v>
      </c>
      <c r="F79" s="100">
        <v>7.0000000000000007E-2</v>
      </c>
      <c r="G79" s="100">
        <v>25.6</v>
      </c>
      <c r="H79" s="100">
        <v>10.94</v>
      </c>
      <c r="I79" s="100">
        <v>4.5</v>
      </c>
      <c r="J79" s="100">
        <v>0.18</v>
      </c>
      <c r="K79" s="100">
        <v>187.16</v>
      </c>
      <c r="L79" s="100">
        <v>27.41</v>
      </c>
      <c r="M79" s="100">
        <v>86.72</v>
      </c>
      <c r="N79" s="100">
        <v>19</v>
      </c>
      <c r="O79" s="100">
        <v>0</v>
      </c>
      <c r="P79" s="100">
        <v>0.25</v>
      </c>
      <c r="Q79" s="100">
        <v>10</v>
      </c>
      <c r="R79" s="6"/>
      <c r="S79" s="6"/>
      <c r="T79" s="156"/>
      <c r="U79" s="6"/>
    </row>
    <row r="80" spans="1:21" customFormat="1">
      <c r="A80" s="201" t="s">
        <v>312</v>
      </c>
      <c r="B80" s="100">
        <v>4.22</v>
      </c>
      <c r="C80" s="100">
        <v>12.39</v>
      </c>
      <c r="D80" s="100">
        <v>9.86</v>
      </c>
      <c r="E80" s="100">
        <v>5.85</v>
      </c>
      <c r="F80" s="100">
        <v>7.0000000000000007E-2</v>
      </c>
      <c r="G80" s="100">
        <v>25.6</v>
      </c>
      <c r="H80" s="100">
        <v>10.94</v>
      </c>
      <c r="I80" s="100">
        <v>4.54</v>
      </c>
      <c r="J80" s="100">
        <v>0.22</v>
      </c>
      <c r="K80" s="100">
        <v>218.95</v>
      </c>
      <c r="L80" s="100">
        <v>27.23</v>
      </c>
      <c r="M80" s="100">
        <v>88.05</v>
      </c>
      <c r="N80" s="100">
        <v>9.6</v>
      </c>
      <c r="O80" s="100">
        <v>0</v>
      </c>
      <c r="P80" s="100">
        <v>0.25</v>
      </c>
      <c r="Q80" s="100">
        <v>10</v>
      </c>
      <c r="R80" s="6"/>
      <c r="S80" s="6"/>
      <c r="T80" s="156"/>
      <c r="U80" s="6"/>
    </row>
    <row r="81" spans="1:21" customFormat="1">
      <c r="A81" s="201" t="s">
        <v>313</v>
      </c>
      <c r="B81" s="100">
        <v>4.25</v>
      </c>
      <c r="C81" s="100">
        <v>12.2</v>
      </c>
      <c r="D81" s="100">
        <v>9.7899999999999991</v>
      </c>
      <c r="E81" s="100">
        <v>4.16</v>
      </c>
      <c r="F81" s="100">
        <v>1.76</v>
      </c>
      <c r="G81" s="100">
        <v>24.74</v>
      </c>
      <c r="H81" s="100">
        <v>10.63</v>
      </c>
      <c r="I81" s="100">
        <v>4.59</v>
      </c>
      <c r="J81" s="100">
        <v>0.11</v>
      </c>
      <c r="K81" s="100">
        <v>215.25</v>
      </c>
      <c r="L81" s="100">
        <v>27.15</v>
      </c>
      <c r="M81" s="100">
        <v>89.57</v>
      </c>
      <c r="N81" s="100">
        <v>4</v>
      </c>
      <c r="O81" s="100">
        <v>0</v>
      </c>
      <c r="P81" s="100">
        <v>0.23</v>
      </c>
      <c r="Q81" s="100">
        <v>10</v>
      </c>
      <c r="R81" s="6"/>
      <c r="S81" s="6"/>
      <c r="T81" s="156"/>
      <c r="U81" s="6"/>
    </row>
    <row r="82" spans="1:21" customFormat="1">
      <c r="A82" s="201" t="s">
        <v>314</v>
      </c>
      <c r="B82" s="100">
        <v>4.34</v>
      </c>
      <c r="C82" s="100">
        <v>12.02</v>
      </c>
      <c r="D82" s="100">
        <v>9.76</v>
      </c>
      <c r="E82" s="100">
        <v>4.7699999999999996</v>
      </c>
      <c r="F82" s="100">
        <v>0.59</v>
      </c>
      <c r="G82" s="100">
        <v>19.190000000000001</v>
      </c>
      <c r="H82" s="100">
        <v>9.07</v>
      </c>
      <c r="I82" s="100">
        <v>4.68</v>
      </c>
      <c r="J82" s="100">
        <v>0.12</v>
      </c>
      <c r="K82" s="100">
        <v>205.37</v>
      </c>
      <c r="L82" s="100">
        <v>26.98</v>
      </c>
      <c r="M82" s="100">
        <v>90.41</v>
      </c>
      <c r="N82" s="100">
        <v>2.5</v>
      </c>
      <c r="O82" s="100">
        <v>0</v>
      </c>
      <c r="P82" s="100">
        <v>0.22</v>
      </c>
      <c r="Q82" s="100">
        <v>10</v>
      </c>
      <c r="R82" s="6"/>
      <c r="S82" s="6"/>
      <c r="T82" s="156"/>
      <c r="U82" s="6"/>
    </row>
    <row r="83" spans="1:21" customFormat="1">
      <c r="A83" s="201" t="s">
        <v>315</v>
      </c>
      <c r="B83" s="100">
        <v>4.66</v>
      </c>
      <c r="C83" s="100">
        <v>12.19</v>
      </c>
      <c r="D83" s="100">
        <v>10.1</v>
      </c>
      <c r="E83" s="100">
        <v>4.96</v>
      </c>
      <c r="F83" s="100">
        <v>0.02</v>
      </c>
      <c r="G83" s="100">
        <v>19.190000000000001</v>
      </c>
      <c r="H83" s="100">
        <v>9.07</v>
      </c>
      <c r="I83" s="100">
        <v>4.7300000000000004</v>
      </c>
      <c r="J83" s="100">
        <v>0.17</v>
      </c>
      <c r="K83" s="100">
        <v>211.92</v>
      </c>
      <c r="L83" s="100">
        <v>26.97</v>
      </c>
      <c r="M83" s="100">
        <v>90.31</v>
      </c>
      <c r="N83" s="100">
        <v>2.1</v>
      </c>
      <c r="O83" s="100">
        <v>0</v>
      </c>
      <c r="P83" s="100">
        <v>0.23</v>
      </c>
      <c r="Q83" s="100">
        <v>10</v>
      </c>
      <c r="R83" s="6"/>
      <c r="S83" s="6"/>
      <c r="T83" s="156"/>
      <c r="U83" s="6"/>
    </row>
    <row r="84" spans="1:21" customFormat="1">
      <c r="A84" s="201" t="s">
        <v>316</v>
      </c>
      <c r="B84" s="100">
        <v>4.78</v>
      </c>
      <c r="C84" s="100">
        <v>12.28</v>
      </c>
      <c r="D84" s="100">
        <v>10.25</v>
      </c>
      <c r="E84" s="100">
        <v>4.9400000000000004</v>
      </c>
      <c r="F84" s="100">
        <v>0.01</v>
      </c>
      <c r="G84" s="100">
        <v>19.190000000000001</v>
      </c>
      <c r="H84" s="100">
        <v>9.07</v>
      </c>
      <c r="I84" s="100">
        <v>4.7300000000000004</v>
      </c>
      <c r="J84" s="100">
        <v>0.19</v>
      </c>
      <c r="K84" s="100">
        <v>222.64</v>
      </c>
      <c r="L84" s="100">
        <v>26.98</v>
      </c>
      <c r="M84" s="100">
        <v>90.59</v>
      </c>
      <c r="N84" s="100">
        <v>2.1</v>
      </c>
      <c r="O84" s="100">
        <v>0</v>
      </c>
      <c r="P84" s="100">
        <v>0.23</v>
      </c>
      <c r="Q84" s="100">
        <v>10</v>
      </c>
      <c r="R84" s="6"/>
      <c r="S84" s="6"/>
      <c r="T84" s="156"/>
      <c r="U84" s="6"/>
    </row>
    <row r="85" spans="1:21" customFormat="1">
      <c r="A85" s="201" t="s">
        <v>317</v>
      </c>
      <c r="B85" s="100">
        <v>4.8099999999999996</v>
      </c>
      <c r="C85" s="100">
        <v>12.29</v>
      </c>
      <c r="D85" s="100">
        <v>10.28</v>
      </c>
      <c r="E85" s="100">
        <v>4.59</v>
      </c>
      <c r="F85" s="100">
        <v>0.94</v>
      </c>
      <c r="G85" s="100">
        <v>19.16</v>
      </c>
      <c r="H85" s="100">
        <v>8.92</v>
      </c>
      <c r="I85" s="100">
        <v>4.87</v>
      </c>
      <c r="J85" s="100">
        <v>0.22</v>
      </c>
      <c r="K85" s="100">
        <v>229.28</v>
      </c>
      <c r="L85" s="100">
        <v>26.9</v>
      </c>
      <c r="M85" s="100">
        <v>90.93</v>
      </c>
      <c r="N85" s="100">
        <v>2.1</v>
      </c>
      <c r="O85" s="100">
        <v>0</v>
      </c>
      <c r="P85" s="100">
        <v>0.23</v>
      </c>
      <c r="Q85" s="100">
        <v>10</v>
      </c>
      <c r="R85" s="6"/>
      <c r="S85" s="6"/>
      <c r="T85" s="156"/>
      <c r="U85" s="6"/>
    </row>
    <row r="86" spans="1:21" customFormat="1">
      <c r="A86" s="201" t="s">
        <v>318</v>
      </c>
      <c r="B86" s="100">
        <v>5.03</v>
      </c>
      <c r="C86" s="100">
        <v>12.34</v>
      </c>
      <c r="D86" s="100">
        <v>10.48</v>
      </c>
      <c r="E86" s="100">
        <v>4.79</v>
      </c>
      <c r="F86" s="100">
        <v>0.09</v>
      </c>
      <c r="G86" s="100">
        <v>18.920000000000002</v>
      </c>
      <c r="H86" s="100">
        <v>8.15</v>
      </c>
      <c r="I86" s="100">
        <v>5.05</v>
      </c>
      <c r="J86" s="100">
        <v>0.14000000000000001</v>
      </c>
      <c r="K86" s="100">
        <v>218.22</v>
      </c>
      <c r="L86" s="100">
        <v>26.88</v>
      </c>
      <c r="M86" s="100">
        <v>90.81</v>
      </c>
      <c r="N86" s="100">
        <v>2.1</v>
      </c>
      <c r="O86" s="100">
        <v>0</v>
      </c>
      <c r="P86" s="100">
        <v>0.25</v>
      </c>
      <c r="Q86" s="100">
        <v>10</v>
      </c>
      <c r="R86" s="6"/>
      <c r="S86" s="6"/>
      <c r="T86" s="156"/>
      <c r="U86" s="6"/>
    </row>
    <row r="87" spans="1:21" customFormat="1">
      <c r="A87" s="201" t="s">
        <v>319</v>
      </c>
      <c r="B87" s="100">
        <v>5.15</v>
      </c>
      <c r="C87" s="100">
        <v>12.16</v>
      </c>
      <c r="D87" s="100">
        <v>10.48</v>
      </c>
      <c r="E87" s="100">
        <v>4.9000000000000004</v>
      </c>
      <c r="F87" s="100">
        <v>0.02</v>
      </c>
      <c r="G87" s="100">
        <v>18.920000000000002</v>
      </c>
      <c r="H87" s="100">
        <v>8.15</v>
      </c>
      <c r="I87" s="100">
        <v>5.03</v>
      </c>
      <c r="J87" s="100">
        <v>0.2</v>
      </c>
      <c r="K87" s="100">
        <v>227</v>
      </c>
      <c r="L87" s="100">
        <v>26.92</v>
      </c>
      <c r="M87" s="100">
        <v>91.37</v>
      </c>
      <c r="N87" s="100">
        <v>2.1</v>
      </c>
      <c r="O87" s="100">
        <v>0</v>
      </c>
      <c r="P87" s="100">
        <v>0.24</v>
      </c>
      <c r="Q87" s="100">
        <v>10</v>
      </c>
      <c r="R87" s="6"/>
      <c r="S87" s="6"/>
      <c r="T87" s="156"/>
      <c r="U87" s="6"/>
    </row>
    <row r="88" spans="1:21" customFormat="1">
      <c r="A88" s="201" t="s">
        <v>320</v>
      </c>
      <c r="B88" s="100">
        <v>5.12</v>
      </c>
      <c r="C88" s="100">
        <v>11.98</v>
      </c>
      <c r="D88" s="100">
        <v>10.37</v>
      </c>
      <c r="E88" s="100">
        <v>4.33</v>
      </c>
      <c r="F88" s="100">
        <v>0.68</v>
      </c>
      <c r="G88" s="100">
        <v>18.920000000000002</v>
      </c>
      <c r="H88" s="100">
        <v>8.15</v>
      </c>
      <c r="I88" s="100">
        <v>5.16</v>
      </c>
      <c r="J88" s="100">
        <v>0.27</v>
      </c>
      <c r="K88" s="100">
        <v>231.97</v>
      </c>
      <c r="L88" s="100">
        <v>26.84</v>
      </c>
      <c r="M88" s="100">
        <v>91.62</v>
      </c>
      <c r="N88" s="100">
        <v>2.1</v>
      </c>
      <c r="O88" s="100">
        <v>0</v>
      </c>
      <c r="P88" s="100">
        <v>0.23</v>
      </c>
      <c r="Q88" s="100">
        <v>10</v>
      </c>
      <c r="R88" s="6"/>
      <c r="S88" s="6"/>
      <c r="T88" s="156"/>
      <c r="U88" s="6"/>
    </row>
    <row r="89" spans="1:21" customFormat="1">
      <c r="A89" s="201" t="s">
        <v>321</v>
      </c>
      <c r="B89" s="100">
        <v>5.28</v>
      </c>
      <c r="C89" s="100">
        <v>11.96</v>
      </c>
      <c r="D89" s="100">
        <v>10.48</v>
      </c>
      <c r="E89" s="100">
        <v>4.74</v>
      </c>
      <c r="F89" s="100">
        <v>1.1599999999999999</v>
      </c>
      <c r="G89" s="100">
        <v>18.2</v>
      </c>
      <c r="H89" s="100">
        <v>8.18</v>
      </c>
      <c r="I89" s="100">
        <v>5.23</v>
      </c>
      <c r="J89" s="100">
        <v>0.24</v>
      </c>
      <c r="K89" s="100">
        <v>224.79</v>
      </c>
      <c r="L89" s="100">
        <v>26.79</v>
      </c>
      <c r="M89" s="100">
        <v>91.1</v>
      </c>
      <c r="N89" s="100">
        <v>2.1</v>
      </c>
      <c r="O89" s="100">
        <v>0</v>
      </c>
      <c r="P89" s="100">
        <v>0.25</v>
      </c>
      <c r="Q89" s="100">
        <v>10</v>
      </c>
      <c r="R89" s="6"/>
      <c r="S89" s="6"/>
      <c r="T89" s="156"/>
      <c r="U89" s="6"/>
    </row>
    <row r="90" spans="1:21" customFormat="1">
      <c r="A90" s="201" t="s">
        <v>322</v>
      </c>
      <c r="B90" s="100">
        <v>5.31</v>
      </c>
      <c r="C90" s="100">
        <v>11.76</v>
      </c>
      <c r="D90" s="100">
        <v>10.4</v>
      </c>
      <c r="E90" s="100">
        <v>4.6100000000000003</v>
      </c>
      <c r="F90" s="100">
        <v>0.22</v>
      </c>
      <c r="G90" s="100">
        <v>13.47</v>
      </c>
      <c r="H90" s="100">
        <v>8.31</v>
      </c>
      <c r="I90" s="100">
        <v>5.2</v>
      </c>
      <c r="J90" s="100">
        <v>0.12</v>
      </c>
      <c r="K90" s="100">
        <v>193.67</v>
      </c>
      <c r="L90" s="100">
        <v>26.69</v>
      </c>
      <c r="M90" s="100">
        <v>89.19</v>
      </c>
      <c r="N90" s="100">
        <v>2.1</v>
      </c>
      <c r="O90" s="100">
        <v>0</v>
      </c>
      <c r="P90" s="100">
        <v>0.23</v>
      </c>
      <c r="Q90" s="100">
        <v>10</v>
      </c>
      <c r="R90" s="6"/>
      <c r="S90" s="6"/>
      <c r="T90" s="156"/>
      <c r="U90" s="6"/>
    </row>
    <row r="91" spans="1:21" customFormat="1">
      <c r="A91" s="201" t="s">
        <v>323</v>
      </c>
      <c r="B91" s="100">
        <v>5.56</v>
      </c>
      <c r="C91" s="100">
        <v>11.83</v>
      </c>
      <c r="D91" s="100">
        <v>10.64</v>
      </c>
      <c r="E91" s="100">
        <v>4.68</v>
      </c>
      <c r="F91" s="100">
        <v>0.06</v>
      </c>
      <c r="G91" s="100">
        <v>13.47</v>
      </c>
      <c r="H91" s="100">
        <v>8.31</v>
      </c>
      <c r="I91" s="100">
        <v>5.2</v>
      </c>
      <c r="J91" s="100">
        <v>0.1</v>
      </c>
      <c r="K91" s="100">
        <v>166.45</v>
      </c>
      <c r="L91" s="100">
        <v>26.52</v>
      </c>
      <c r="M91" s="100">
        <v>90.26</v>
      </c>
      <c r="N91" s="100">
        <v>2.2000000000000002</v>
      </c>
      <c r="O91" s="100">
        <v>0</v>
      </c>
      <c r="P91" s="100">
        <v>0.24</v>
      </c>
      <c r="Q91" s="100">
        <v>10</v>
      </c>
      <c r="R91" s="6"/>
      <c r="S91" s="6"/>
      <c r="T91" s="156"/>
      <c r="U91" s="6"/>
    </row>
    <row r="92" spans="1:21" customFormat="1">
      <c r="A92" s="201" t="s">
        <v>324</v>
      </c>
      <c r="B92" s="100">
        <v>5.77</v>
      </c>
      <c r="C92" s="100">
        <v>11.88</v>
      </c>
      <c r="D92" s="100">
        <v>10.83</v>
      </c>
      <c r="E92" s="100">
        <v>4.9800000000000004</v>
      </c>
      <c r="F92" s="100">
        <v>0.02</v>
      </c>
      <c r="G92" s="100">
        <v>13.47</v>
      </c>
      <c r="H92" s="100">
        <v>8.31</v>
      </c>
      <c r="I92" s="100">
        <v>5.23</v>
      </c>
      <c r="J92" s="100">
        <v>0.08</v>
      </c>
      <c r="K92" s="100">
        <v>151.13999999999999</v>
      </c>
      <c r="L92" s="100">
        <v>26.36</v>
      </c>
      <c r="M92" s="100">
        <v>88.08</v>
      </c>
      <c r="N92" s="100">
        <v>2.1</v>
      </c>
      <c r="O92" s="100">
        <v>0</v>
      </c>
      <c r="P92" s="100">
        <v>0.25</v>
      </c>
      <c r="Q92" s="100">
        <v>10</v>
      </c>
      <c r="R92" s="6"/>
      <c r="S92" s="6"/>
      <c r="T92" s="156"/>
      <c r="U92" s="6"/>
    </row>
    <row r="93" spans="1:21" customFormat="1">
      <c r="A93" s="201" t="s">
        <v>325</v>
      </c>
      <c r="B93" s="100">
        <v>5.74</v>
      </c>
      <c r="C93" s="100">
        <v>11.68</v>
      </c>
      <c r="D93" s="100">
        <v>10.7</v>
      </c>
      <c r="E93" s="100">
        <v>4.83</v>
      </c>
      <c r="F93" s="100">
        <v>0.79</v>
      </c>
      <c r="G93" s="100">
        <v>13.08</v>
      </c>
      <c r="H93" s="100">
        <v>8.14</v>
      </c>
      <c r="I93" s="100">
        <v>5.33</v>
      </c>
      <c r="J93" s="100">
        <v>0.11</v>
      </c>
      <c r="K93" s="100">
        <v>173.31</v>
      </c>
      <c r="L93" s="100">
        <v>26.4</v>
      </c>
      <c r="M93" s="100">
        <v>90</v>
      </c>
      <c r="N93" s="100">
        <v>2.1</v>
      </c>
      <c r="O93" s="100">
        <v>0</v>
      </c>
      <c r="P93" s="100">
        <v>0.23</v>
      </c>
      <c r="Q93" s="100">
        <v>10</v>
      </c>
      <c r="R93" s="6"/>
      <c r="S93" s="6"/>
      <c r="T93" s="156"/>
      <c r="U93" s="6"/>
    </row>
    <row r="94" spans="1:21" customFormat="1">
      <c r="A94" s="201" t="s">
        <v>326</v>
      </c>
      <c r="B94" s="100">
        <v>5.84</v>
      </c>
      <c r="C94" s="100">
        <v>11.75</v>
      </c>
      <c r="D94" s="100">
        <v>10.83</v>
      </c>
      <c r="E94" s="100">
        <v>4.62</v>
      </c>
      <c r="F94" s="100">
        <v>0.33</v>
      </c>
      <c r="G94" s="100">
        <v>10.54</v>
      </c>
      <c r="H94" s="100">
        <v>7.19</v>
      </c>
      <c r="I94" s="100">
        <v>5.38</v>
      </c>
      <c r="J94" s="100">
        <v>7.0000000000000007E-2</v>
      </c>
      <c r="K94" s="100">
        <v>168.17</v>
      </c>
      <c r="L94" s="100">
        <v>26.33</v>
      </c>
      <c r="M94" s="100">
        <v>91.56</v>
      </c>
      <c r="N94" s="100">
        <v>2.1</v>
      </c>
      <c r="O94" s="100">
        <v>0</v>
      </c>
      <c r="P94" s="100">
        <v>0.24</v>
      </c>
      <c r="Q94" s="100">
        <v>10</v>
      </c>
      <c r="R94" s="6"/>
      <c r="S94" s="6"/>
      <c r="T94" s="156"/>
      <c r="U94" s="6"/>
    </row>
    <row r="95" spans="1:21" customFormat="1">
      <c r="A95" s="201" t="s">
        <v>327</v>
      </c>
      <c r="B95" s="100">
        <v>6.07</v>
      </c>
      <c r="C95" s="100">
        <v>11.84</v>
      </c>
      <c r="D95" s="100">
        <v>11.05</v>
      </c>
      <c r="E95" s="100">
        <v>4.79</v>
      </c>
      <c r="F95" s="100">
        <v>0.33</v>
      </c>
      <c r="G95" s="100">
        <v>10.54</v>
      </c>
      <c r="H95" s="100">
        <v>7.19</v>
      </c>
      <c r="I95" s="100">
        <v>5.29</v>
      </c>
      <c r="J95" s="100">
        <v>7.0000000000000007E-2</v>
      </c>
      <c r="K95" s="100">
        <v>192.01</v>
      </c>
      <c r="L95" s="100">
        <v>26.26</v>
      </c>
      <c r="M95" s="100">
        <v>91.29</v>
      </c>
      <c r="N95" s="100">
        <v>2.1</v>
      </c>
      <c r="O95" s="100">
        <v>0</v>
      </c>
      <c r="P95" s="100">
        <v>0.25</v>
      </c>
      <c r="Q95" s="100">
        <v>10</v>
      </c>
      <c r="R95" s="6"/>
      <c r="S95" s="6"/>
      <c r="T95" s="156"/>
      <c r="U95" s="6"/>
    </row>
    <row r="96" spans="1:21" customFormat="1">
      <c r="A96" s="201" t="s">
        <v>328</v>
      </c>
      <c r="B96" s="100">
        <v>6.13</v>
      </c>
      <c r="C96" s="100">
        <v>11.74</v>
      </c>
      <c r="D96" s="100">
        <v>11.05</v>
      </c>
      <c r="E96" s="100">
        <v>4.68</v>
      </c>
      <c r="F96" s="100">
        <v>0.33</v>
      </c>
      <c r="G96" s="100">
        <v>10.54</v>
      </c>
      <c r="H96" s="100">
        <v>7.19</v>
      </c>
      <c r="I96" s="100">
        <v>5.35</v>
      </c>
      <c r="J96" s="100">
        <v>0.14000000000000001</v>
      </c>
      <c r="K96" s="100">
        <v>160.21</v>
      </c>
      <c r="L96" s="100">
        <v>26.26</v>
      </c>
      <c r="M96" s="100">
        <v>91.55</v>
      </c>
      <c r="N96" s="100">
        <v>2.1</v>
      </c>
      <c r="O96" s="100">
        <v>0</v>
      </c>
      <c r="P96" s="100">
        <v>0.23</v>
      </c>
      <c r="Q96" s="100">
        <v>10</v>
      </c>
      <c r="R96" s="6"/>
      <c r="S96" s="6"/>
      <c r="T96" s="156"/>
      <c r="U96" s="6"/>
    </row>
    <row r="97" spans="1:28" customFormat="1">
      <c r="A97" s="201" t="s">
        <v>329</v>
      </c>
      <c r="B97" s="100">
        <v>6.18</v>
      </c>
      <c r="C97" s="100">
        <v>11.78</v>
      </c>
      <c r="D97" s="100">
        <v>11.12</v>
      </c>
      <c r="E97" s="100">
        <v>4.3499999999999996</v>
      </c>
      <c r="F97" s="100">
        <v>0.22</v>
      </c>
      <c r="G97" s="100">
        <v>11.22</v>
      </c>
      <c r="H97" s="100">
        <v>6.93</v>
      </c>
      <c r="I97" s="100">
        <v>5.37</v>
      </c>
      <c r="J97" s="100">
        <v>0.09</v>
      </c>
      <c r="K97" s="100">
        <v>168.82</v>
      </c>
      <c r="L97" s="100">
        <v>26.19</v>
      </c>
      <c r="M97" s="100">
        <v>91.1</v>
      </c>
      <c r="N97" s="100">
        <v>2.1</v>
      </c>
      <c r="O97" s="100">
        <v>0</v>
      </c>
      <c r="P97" s="100">
        <v>0.24</v>
      </c>
      <c r="Q97" s="100">
        <v>10</v>
      </c>
      <c r="R97" s="6"/>
      <c r="S97" s="6"/>
      <c r="T97" s="156"/>
      <c r="U97" s="6"/>
    </row>
    <row r="98" spans="1:28" customFormat="1">
      <c r="A98" s="201" t="s">
        <v>330</v>
      </c>
      <c r="B98" s="100">
        <v>6.27</v>
      </c>
      <c r="C98" s="100">
        <v>11.69</v>
      </c>
      <c r="D98" s="100">
        <v>11.13</v>
      </c>
      <c r="E98" s="100">
        <v>4.8600000000000003</v>
      </c>
      <c r="F98" s="100">
        <v>0.22</v>
      </c>
      <c r="G98" s="100">
        <v>15.61</v>
      </c>
      <c r="H98" s="100">
        <v>5.61</v>
      </c>
      <c r="I98" s="100">
        <v>5.25</v>
      </c>
      <c r="J98" s="100">
        <v>0.11</v>
      </c>
      <c r="K98" s="100">
        <v>199.58</v>
      </c>
      <c r="L98" s="100">
        <v>26.02</v>
      </c>
      <c r="M98" s="100">
        <v>91.74</v>
      </c>
      <c r="N98" s="100">
        <v>2.1</v>
      </c>
      <c r="O98" s="100">
        <v>0</v>
      </c>
      <c r="P98" s="100">
        <v>0.24</v>
      </c>
      <c r="Q98" s="100">
        <v>10</v>
      </c>
      <c r="R98" s="6"/>
      <c r="S98" s="6"/>
      <c r="T98" s="156"/>
      <c r="U98" s="6"/>
    </row>
    <row r="99" spans="1:28" customFormat="1">
      <c r="A99" s="201" t="s">
        <v>331</v>
      </c>
      <c r="B99" s="100">
        <v>6.44</v>
      </c>
      <c r="C99" s="100">
        <v>11.67</v>
      </c>
      <c r="D99" s="100">
        <v>11.26</v>
      </c>
      <c r="E99" s="100">
        <v>4.8</v>
      </c>
      <c r="F99" s="100">
        <v>0.22</v>
      </c>
      <c r="G99" s="100">
        <v>15.61</v>
      </c>
      <c r="H99" s="100">
        <v>5.61</v>
      </c>
      <c r="I99" s="100">
        <v>5.27</v>
      </c>
      <c r="J99" s="100">
        <v>0.09</v>
      </c>
      <c r="K99" s="100">
        <v>224.12</v>
      </c>
      <c r="L99" s="100">
        <v>26.04</v>
      </c>
      <c r="M99" s="100">
        <v>90.79</v>
      </c>
      <c r="N99" s="100">
        <v>2.1</v>
      </c>
      <c r="O99" s="100">
        <v>0</v>
      </c>
      <c r="P99" s="100">
        <v>0.23</v>
      </c>
      <c r="Q99" s="100">
        <v>10</v>
      </c>
      <c r="R99" s="6"/>
      <c r="S99" s="6"/>
      <c r="T99" s="156"/>
      <c r="U99" s="6"/>
    </row>
    <row r="100" spans="1:28" customFormat="1">
      <c r="A100" s="201" t="s">
        <v>332</v>
      </c>
      <c r="B100" s="100">
        <v>6.39</v>
      </c>
      <c r="C100" s="100">
        <v>11.87</v>
      </c>
      <c r="D100" s="100">
        <v>11.32</v>
      </c>
      <c r="E100" s="100">
        <v>4.93</v>
      </c>
      <c r="F100" s="100">
        <v>0.22</v>
      </c>
      <c r="G100" s="100">
        <v>15.61</v>
      </c>
      <c r="H100" s="100">
        <v>5.61</v>
      </c>
      <c r="I100" s="100">
        <v>5.26</v>
      </c>
      <c r="J100" s="100">
        <v>0.12</v>
      </c>
      <c r="K100" s="100">
        <v>203.21</v>
      </c>
      <c r="L100" s="100">
        <v>26.07</v>
      </c>
      <c r="M100" s="100">
        <v>91.26</v>
      </c>
      <c r="N100" s="100">
        <v>2.1</v>
      </c>
      <c r="O100" s="100">
        <v>0</v>
      </c>
      <c r="P100" s="100">
        <v>0.25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333</v>
      </c>
      <c r="B101" s="100">
        <v>6.28</v>
      </c>
      <c r="C101" s="100">
        <v>12.06</v>
      </c>
      <c r="D101" s="100">
        <v>11.34</v>
      </c>
      <c r="E101" s="100">
        <v>4.59</v>
      </c>
      <c r="F101" s="100">
        <v>0.22</v>
      </c>
      <c r="G101" s="100">
        <v>15.65</v>
      </c>
      <c r="H101" s="100">
        <v>5.52</v>
      </c>
      <c r="I101" s="100">
        <v>5.19</v>
      </c>
      <c r="J101" s="100">
        <v>0.18</v>
      </c>
      <c r="K101" s="100">
        <v>230.5</v>
      </c>
      <c r="L101" s="100">
        <v>26.11</v>
      </c>
      <c r="M101" s="100">
        <v>91.86</v>
      </c>
      <c r="N101" s="100">
        <v>2.1</v>
      </c>
      <c r="O101" s="100">
        <v>0</v>
      </c>
      <c r="P101" s="100">
        <v>0.26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334</v>
      </c>
      <c r="B102" s="100">
        <v>6.28</v>
      </c>
      <c r="C102" s="100">
        <v>12.02</v>
      </c>
      <c r="D102" s="100">
        <v>11.32</v>
      </c>
      <c r="E102" s="100">
        <v>4.91</v>
      </c>
      <c r="F102" s="100">
        <v>0.22</v>
      </c>
      <c r="G102" s="100">
        <v>15.97</v>
      </c>
      <c r="H102" s="100">
        <v>5.04</v>
      </c>
      <c r="I102" s="100">
        <v>5.16</v>
      </c>
      <c r="J102" s="100">
        <v>0.16</v>
      </c>
      <c r="K102" s="100">
        <v>209.43</v>
      </c>
      <c r="L102" s="100">
        <v>26.3</v>
      </c>
      <c r="M102" s="100">
        <v>91.84</v>
      </c>
      <c r="N102" s="100">
        <v>2</v>
      </c>
      <c r="O102" s="100">
        <v>0</v>
      </c>
      <c r="P102" s="100">
        <v>0.25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335</v>
      </c>
      <c r="B103" s="100">
        <v>6.25</v>
      </c>
      <c r="C103" s="100">
        <v>12.01</v>
      </c>
      <c r="D103" s="100">
        <v>11.29</v>
      </c>
      <c r="E103" s="100">
        <v>4.8600000000000003</v>
      </c>
      <c r="F103" s="100">
        <v>0.22</v>
      </c>
      <c r="G103" s="100">
        <v>15.97</v>
      </c>
      <c r="H103" s="100">
        <v>5.04</v>
      </c>
      <c r="I103" s="100">
        <v>5.21</v>
      </c>
      <c r="J103" s="100">
        <v>0.17</v>
      </c>
      <c r="K103" s="100">
        <v>198.62</v>
      </c>
      <c r="L103" s="100">
        <v>26.4</v>
      </c>
      <c r="M103" s="100">
        <v>92.05</v>
      </c>
      <c r="N103" s="100">
        <v>2</v>
      </c>
      <c r="O103" s="100">
        <v>0</v>
      </c>
      <c r="P103" s="100">
        <v>0.26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336</v>
      </c>
      <c r="B104" s="100">
        <v>6.18</v>
      </c>
      <c r="C104" s="100">
        <v>12.01</v>
      </c>
      <c r="D104" s="100">
        <v>11.23</v>
      </c>
      <c r="E104" s="100">
        <v>5.09</v>
      </c>
      <c r="F104" s="100">
        <v>0.22</v>
      </c>
      <c r="G104" s="100">
        <v>15.97</v>
      </c>
      <c r="H104" s="100">
        <v>5.04</v>
      </c>
      <c r="I104" s="100">
        <v>5.19</v>
      </c>
      <c r="J104" s="100">
        <v>0.2</v>
      </c>
      <c r="K104" s="100">
        <v>225.73</v>
      </c>
      <c r="L104" s="100">
        <v>26.4</v>
      </c>
      <c r="M104" s="100">
        <v>92.27</v>
      </c>
      <c r="N104" s="100">
        <v>2.1</v>
      </c>
      <c r="O104" s="100">
        <v>0</v>
      </c>
      <c r="P104" s="100">
        <v>0.26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4.22</v>
      </c>
      <c r="C106" s="158">
        <f>MIN(C9:C104)</f>
        <v>11.36</v>
      </c>
      <c r="D106" s="158">
        <f t="shared" ref="D106:Q106" si="0">MIN(D9:D104)</f>
        <v>9.76</v>
      </c>
      <c r="E106" s="158">
        <f t="shared" si="0"/>
        <v>4.09</v>
      </c>
      <c r="F106" s="158">
        <f t="shared" si="0"/>
        <v>0.01</v>
      </c>
      <c r="G106" s="158">
        <f t="shared" si="0"/>
        <v>7.07</v>
      </c>
      <c r="H106" s="158">
        <f t="shared" si="0"/>
        <v>1.86</v>
      </c>
      <c r="I106" s="158">
        <f t="shared" si="0"/>
        <v>3.3</v>
      </c>
      <c r="J106" s="158">
        <f t="shared" si="0"/>
        <v>0.02</v>
      </c>
      <c r="K106" s="158">
        <f t="shared" si="0"/>
        <v>22.71</v>
      </c>
      <c r="L106" s="158">
        <f t="shared" si="0"/>
        <v>24.88</v>
      </c>
      <c r="M106" s="158">
        <f t="shared" si="0"/>
        <v>72.66</v>
      </c>
      <c r="N106" s="158">
        <f t="shared" si="0"/>
        <v>1.9</v>
      </c>
      <c r="O106" s="158">
        <f t="shared" si="0"/>
        <v>0</v>
      </c>
      <c r="P106" s="158">
        <f t="shared" si="0"/>
        <v>0.21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7.32</v>
      </c>
      <c r="C107" s="157">
        <f t="shared" ref="C107:Q107" si="1">MAX(C9:C104)</f>
        <v>13.78</v>
      </c>
      <c r="D107" s="157">
        <f t="shared" si="1"/>
        <v>12.81</v>
      </c>
      <c r="E107" s="157">
        <f t="shared" si="1"/>
        <v>6.48</v>
      </c>
      <c r="F107" s="157">
        <f t="shared" si="1"/>
        <v>1.76</v>
      </c>
      <c r="G107" s="157">
        <f t="shared" si="1"/>
        <v>41.59</v>
      </c>
      <c r="H107" s="157">
        <f t="shared" si="1"/>
        <v>13.41</v>
      </c>
      <c r="I107" s="157">
        <f t="shared" si="1"/>
        <v>5.38</v>
      </c>
      <c r="J107" s="157">
        <f t="shared" si="1"/>
        <v>0.64</v>
      </c>
      <c r="K107" s="157">
        <f t="shared" si="1"/>
        <v>336.27</v>
      </c>
      <c r="L107" s="157">
        <f t="shared" si="1"/>
        <v>30.9</v>
      </c>
      <c r="M107" s="157">
        <f t="shared" si="1"/>
        <v>95.49</v>
      </c>
      <c r="N107" s="157">
        <f t="shared" si="1"/>
        <v>466.3</v>
      </c>
      <c r="O107" s="157">
        <f t="shared" si="1"/>
        <v>0</v>
      </c>
      <c r="P107" s="157">
        <f t="shared" si="1"/>
        <v>0.34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5.6611458333333315</v>
      </c>
      <c r="C108" s="158">
        <f t="shared" ref="C108:Q108" si="2">AVERAGE(C9:C104)</f>
        <v>12.187604166666667</v>
      </c>
      <c r="D108" s="158">
        <f t="shared" si="2"/>
        <v>10.907187500000001</v>
      </c>
      <c r="E108" s="158">
        <f t="shared" si="2"/>
        <v>5.4086458333333338</v>
      </c>
      <c r="F108" s="158">
        <f t="shared" si="2"/>
        <v>0.23635416666666645</v>
      </c>
      <c r="G108" s="158">
        <f t="shared" si="2"/>
        <v>19.106249999999999</v>
      </c>
      <c r="H108" s="158">
        <f t="shared" si="2"/>
        <v>7.2132291666666672</v>
      </c>
      <c r="I108" s="158">
        <f t="shared" si="2"/>
        <v>4.5585416666666676</v>
      </c>
      <c r="J108" s="158">
        <f t="shared" si="2"/>
        <v>0.27718750000000003</v>
      </c>
      <c r="K108" s="158">
        <f t="shared" si="2"/>
        <v>208.15791666666667</v>
      </c>
      <c r="L108" s="158">
        <f t="shared" si="2"/>
        <v>27.00947916666669</v>
      </c>
      <c r="M108" s="158">
        <f t="shared" si="2"/>
        <v>88.309583333333364</v>
      </c>
      <c r="N108" s="158">
        <f t="shared" si="2"/>
        <v>62.594791666666715</v>
      </c>
      <c r="O108" s="158">
        <f t="shared" si="2"/>
        <v>0</v>
      </c>
      <c r="P108" s="158">
        <f t="shared" si="2"/>
        <v>0.25020833333333331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0.75629967576445212</v>
      </c>
      <c r="C109" s="158">
        <f t="shared" ref="C109:Q109" si="3">STDEV(C9:C104)</f>
        <v>0.66460711748674117</v>
      </c>
      <c r="D109" s="158">
        <f t="shared" si="3"/>
        <v>0.81478018104336136</v>
      </c>
      <c r="E109" s="158">
        <f t="shared" si="3"/>
        <v>0.58932007171810663</v>
      </c>
      <c r="F109" s="158">
        <f t="shared" si="3"/>
        <v>0.3533512336164199</v>
      </c>
      <c r="G109" s="158">
        <f t="shared" si="3"/>
        <v>10.192399567686151</v>
      </c>
      <c r="H109" s="158">
        <f t="shared" si="3"/>
        <v>3.3712538647532964</v>
      </c>
      <c r="I109" s="158">
        <f t="shared" si="3"/>
        <v>0.57569725078499001</v>
      </c>
      <c r="J109" s="158">
        <f t="shared" si="3"/>
        <v>0.15007158379639346</v>
      </c>
      <c r="K109" s="158">
        <f t="shared" si="3"/>
        <v>54.656730580225066</v>
      </c>
      <c r="L109" s="158">
        <f t="shared" si="3"/>
        <v>1.5766836413258565</v>
      </c>
      <c r="M109" s="158">
        <f t="shared" si="3"/>
        <v>6.6513044097287555</v>
      </c>
      <c r="N109" s="158">
        <f t="shared" si="3"/>
        <v>91.924509497042749</v>
      </c>
      <c r="O109" s="158">
        <f t="shared" si="3"/>
        <v>0</v>
      </c>
      <c r="P109" s="158">
        <f t="shared" si="3"/>
        <v>2.9378802478789458E-2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56" sqref="F56:F5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337</v>
      </c>
      <c r="B9" s="100">
        <v>5.82</v>
      </c>
      <c r="C9" s="100">
        <v>11.63</v>
      </c>
      <c r="D9" s="100">
        <v>10.74</v>
      </c>
      <c r="E9" s="100">
        <v>4.9000000000000004</v>
      </c>
      <c r="F9" s="100">
        <v>0.25</v>
      </c>
      <c r="G9" s="100">
        <v>16.38</v>
      </c>
      <c r="H9" s="100">
        <v>5.32</v>
      </c>
      <c r="I9" s="100">
        <v>5.15</v>
      </c>
      <c r="J9" s="100">
        <v>0.32</v>
      </c>
      <c r="K9" s="100">
        <v>231.14</v>
      </c>
      <c r="L9" s="100">
        <v>26.39</v>
      </c>
      <c r="M9" s="100">
        <v>91.83</v>
      </c>
      <c r="N9" s="100">
        <v>2.1</v>
      </c>
      <c r="O9" s="100">
        <v>0</v>
      </c>
      <c r="P9" s="100">
        <v>0.25</v>
      </c>
      <c r="Q9" s="100">
        <v>10</v>
      </c>
      <c r="R9" s="6"/>
      <c r="S9" s="6"/>
      <c r="T9" s="156"/>
      <c r="U9" s="6"/>
    </row>
    <row r="10" spans="1:21" customFormat="1">
      <c r="A10" s="201" t="s">
        <v>338</v>
      </c>
      <c r="B10" s="100">
        <v>5.71</v>
      </c>
      <c r="C10" s="100">
        <v>11.83</v>
      </c>
      <c r="D10" s="100">
        <v>10.76</v>
      </c>
      <c r="E10" s="100">
        <v>4.9000000000000004</v>
      </c>
      <c r="F10" s="100">
        <v>0.25</v>
      </c>
      <c r="G10" s="100">
        <v>19.03</v>
      </c>
      <c r="H10" s="100">
        <v>6.75</v>
      </c>
      <c r="I10" s="100">
        <v>5.15</v>
      </c>
      <c r="J10" s="100">
        <v>0.42</v>
      </c>
      <c r="K10" s="100">
        <v>227.02</v>
      </c>
      <c r="L10" s="100">
        <v>26.4</v>
      </c>
      <c r="M10" s="100">
        <v>90.83</v>
      </c>
      <c r="N10" s="100">
        <v>2.2000000000000002</v>
      </c>
      <c r="O10" s="100">
        <v>0</v>
      </c>
      <c r="P10" s="100">
        <v>0.24</v>
      </c>
      <c r="Q10" s="100">
        <v>10</v>
      </c>
      <c r="R10" s="6"/>
      <c r="S10" s="6"/>
      <c r="T10" s="156"/>
      <c r="U10" s="6"/>
    </row>
    <row r="11" spans="1:21" customFormat="1">
      <c r="A11" s="201" t="s">
        <v>339</v>
      </c>
      <c r="B11" s="100">
        <v>5.58</v>
      </c>
      <c r="C11" s="100">
        <v>11.84</v>
      </c>
      <c r="D11" s="100">
        <v>10.66</v>
      </c>
      <c r="E11" s="100">
        <v>4.99</v>
      </c>
      <c r="F11" s="100">
        <v>0.01</v>
      </c>
      <c r="G11" s="100">
        <v>19.03</v>
      </c>
      <c r="H11" s="100">
        <v>6.75</v>
      </c>
      <c r="I11" s="100">
        <v>5.0599999999999996</v>
      </c>
      <c r="J11" s="100">
        <v>0.67</v>
      </c>
      <c r="K11" s="100">
        <v>228.1</v>
      </c>
      <c r="L11" s="100">
        <v>25.98</v>
      </c>
      <c r="M11" s="100">
        <v>90.71</v>
      </c>
      <c r="N11" s="100">
        <v>2.8</v>
      </c>
      <c r="O11" s="100">
        <v>0</v>
      </c>
      <c r="P11" s="100">
        <v>0.24</v>
      </c>
      <c r="Q11" s="100">
        <v>10</v>
      </c>
      <c r="R11" s="6"/>
      <c r="S11" s="6"/>
      <c r="T11" s="156"/>
      <c r="U11" s="6"/>
    </row>
    <row r="12" spans="1:21" customFormat="1">
      <c r="A12" s="201" t="s">
        <v>340</v>
      </c>
      <c r="B12" s="100">
        <v>5.37</v>
      </c>
      <c r="C12" s="100">
        <v>11.93</v>
      </c>
      <c r="D12" s="100">
        <v>10.54</v>
      </c>
      <c r="E12" s="100">
        <v>5.28</v>
      </c>
      <c r="F12" s="100">
        <v>0.01</v>
      </c>
      <c r="G12" s="100">
        <v>19.03</v>
      </c>
      <c r="H12" s="100">
        <v>6.75</v>
      </c>
      <c r="I12" s="100">
        <v>4.9400000000000004</v>
      </c>
      <c r="J12" s="100">
        <v>0.46</v>
      </c>
      <c r="K12" s="100">
        <v>228.27</v>
      </c>
      <c r="L12" s="100">
        <v>25.76</v>
      </c>
      <c r="M12" s="100">
        <v>91.24</v>
      </c>
      <c r="N12" s="100">
        <v>2.4</v>
      </c>
      <c r="O12" s="100">
        <v>0</v>
      </c>
      <c r="P12" s="100">
        <v>0.23</v>
      </c>
      <c r="Q12" s="100">
        <v>10</v>
      </c>
      <c r="R12" s="6"/>
      <c r="S12" s="6"/>
      <c r="T12" s="156"/>
      <c r="U12" s="6"/>
    </row>
    <row r="13" spans="1:21" customFormat="1">
      <c r="A13" s="201" t="s">
        <v>341</v>
      </c>
      <c r="B13" s="100">
        <v>5.22</v>
      </c>
      <c r="C13" s="100">
        <v>11.9</v>
      </c>
      <c r="D13" s="100">
        <v>10.4</v>
      </c>
      <c r="E13" s="100">
        <v>5.16</v>
      </c>
      <c r="F13" s="100">
        <v>0.03</v>
      </c>
      <c r="G13" s="100">
        <v>18.34</v>
      </c>
      <c r="H13" s="100">
        <v>6.51</v>
      </c>
      <c r="I13" s="100">
        <v>4.8099999999999996</v>
      </c>
      <c r="J13" s="100">
        <v>0.52</v>
      </c>
      <c r="K13" s="100">
        <v>227.37</v>
      </c>
      <c r="L13" s="100">
        <v>25.6</v>
      </c>
      <c r="M13" s="100">
        <v>90.82</v>
      </c>
      <c r="N13" s="100">
        <v>2.4</v>
      </c>
      <c r="O13" s="100">
        <v>0</v>
      </c>
      <c r="P13" s="100">
        <v>0.23</v>
      </c>
      <c r="Q13" s="100">
        <v>10</v>
      </c>
      <c r="R13" s="6"/>
      <c r="S13" s="6"/>
      <c r="T13" s="156"/>
      <c r="U13" s="6"/>
    </row>
    <row r="14" spans="1:21" customFormat="1">
      <c r="A14" s="201" t="s">
        <v>342</v>
      </c>
      <c r="B14" s="100">
        <v>5.09</v>
      </c>
      <c r="C14" s="100">
        <v>11.91</v>
      </c>
      <c r="D14" s="100">
        <v>10.3</v>
      </c>
      <c r="E14" s="100">
        <v>5.25</v>
      </c>
      <c r="F14" s="100">
        <v>0.03</v>
      </c>
      <c r="G14" s="100">
        <v>13.82</v>
      </c>
      <c r="H14" s="100">
        <v>5.21</v>
      </c>
      <c r="I14" s="100">
        <v>4.72</v>
      </c>
      <c r="J14" s="100">
        <v>0.65</v>
      </c>
      <c r="K14" s="100">
        <v>229.18</v>
      </c>
      <c r="L14" s="100">
        <v>25.49</v>
      </c>
      <c r="M14" s="100">
        <v>91.59</v>
      </c>
      <c r="N14" s="100">
        <v>2.2000000000000002</v>
      </c>
      <c r="O14" s="100">
        <v>0</v>
      </c>
      <c r="P14" s="100">
        <v>0.22</v>
      </c>
      <c r="Q14" s="100">
        <v>10</v>
      </c>
      <c r="R14" s="6"/>
      <c r="S14" s="6"/>
      <c r="T14" s="156"/>
      <c r="U14" s="6"/>
    </row>
    <row r="15" spans="1:21" customFormat="1">
      <c r="A15" s="201" t="s">
        <v>343</v>
      </c>
      <c r="B15" s="100">
        <v>4.9800000000000004</v>
      </c>
      <c r="C15" s="100">
        <v>11.86</v>
      </c>
      <c r="D15" s="100">
        <v>10.19</v>
      </c>
      <c r="E15" s="100">
        <v>5.57</v>
      </c>
      <c r="F15" s="100">
        <v>0.02</v>
      </c>
      <c r="G15" s="100">
        <v>13.82</v>
      </c>
      <c r="H15" s="100">
        <v>5.21</v>
      </c>
      <c r="I15" s="100">
        <v>4.5999999999999996</v>
      </c>
      <c r="J15" s="100">
        <v>0.54</v>
      </c>
      <c r="K15" s="100">
        <v>229.13</v>
      </c>
      <c r="L15" s="100">
        <v>25.44</v>
      </c>
      <c r="M15" s="100">
        <v>91.67</v>
      </c>
      <c r="N15" s="100">
        <v>2.2000000000000002</v>
      </c>
      <c r="O15" s="100">
        <v>0</v>
      </c>
      <c r="P15" s="100">
        <v>0.22</v>
      </c>
      <c r="Q15" s="100">
        <v>10</v>
      </c>
      <c r="R15" s="6"/>
      <c r="S15" s="6"/>
      <c r="T15" s="156"/>
      <c r="U15" s="6"/>
    </row>
    <row r="16" spans="1:21" customFormat="1">
      <c r="A16" s="201" t="s">
        <v>344</v>
      </c>
      <c r="B16" s="100">
        <v>4.8499999999999996</v>
      </c>
      <c r="C16" s="100">
        <v>11.88</v>
      </c>
      <c r="D16" s="100">
        <v>10.1</v>
      </c>
      <c r="E16" s="100">
        <v>5.56</v>
      </c>
      <c r="F16" s="100">
        <v>0.01</v>
      </c>
      <c r="G16" s="100">
        <v>13.82</v>
      </c>
      <c r="H16" s="100">
        <v>5.21</v>
      </c>
      <c r="I16" s="100">
        <v>4.5</v>
      </c>
      <c r="J16" s="100">
        <v>0.53</v>
      </c>
      <c r="K16" s="100">
        <v>227.61</v>
      </c>
      <c r="L16" s="100">
        <v>25.42</v>
      </c>
      <c r="M16" s="100">
        <v>91.53</v>
      </c>
      <c r="N16" s="100">
        <v>2.2000000000000002</v>
      </c>
      <c r="O16" s="100">
        <v>0</v>
      </c>
      <c r="P16" s="100">
        <v>0.22</v>
      </c>
      <c r="Q16" s="100">
        <v>10</v>
      </c>
      <c r="R16" s="6"/>
      <c r="S16" s="6"/>
      <c r="T16" s="156"/>
      <c r="U16" s="6"/>
    </row>
    <row r="17" spans="1:21" customFormat="1">
      <c r="A17" s="201" t="s">
        <v>345</v>
      </c>
      <c r="B17" s="100">
        <v>4.75</v>
      </c>
      <c r="C17" s="100">
        <v>11.88</v>
      </c>
      <c r="D17" s="100">
        <v>10.02</v>
      </c>
      <c r="E17" s="100">
        <v>4.5999999999999996</v>
      </c>
      <c r="F17" s="100">
        <v>0.05</v>
      </c>
      <c r="G17" s="100">
        <v>13.44</v>
      </c>
      <c r="H17" s="100">
        <v>5.0199999999999996</v>
      </c>
      <c r="I17" s="100">
        <v>4.45</v>
      </c>
      <c r="J17" s="100">
        <v>0.46</v>
      </c>
      <c r="K17" s="100">
        <v>226.41</v>
      </c>
      <c r="L17" s="100">
        <v>25.28</v>
      </c>
      <c r="M17" s="100">
        <v>91.29</v>
      </c>
      <c r="N17" s="100">
        <v>2.2999999999999998</v>
      </c>
      <c r="O17" s="100">
        <v>0</v>
      </c>
      <c r="P17" s="100">
        <v>0.22</v>
      </c>
      <c r="Q17" s="100">
        <v>10</v>
      </c>
      <c r="R17" s="6"/>
      <c r="S17" s="6"/>
      <c r="T17" s="156"/>
      <c r="U17" s="6"/>
    </row>
    <row r="18" spans="1:21" customFormat="1">
      <c r="A18" s="201" t="s">
        <v>346</v>
      </c>
      <c r="B18" s="100">
        <v>4.7</v>
      </c>
      <c r="C18" s="100">
        <v>11.87</v>
      </c>
      <c r="D18" s="100">
        <v>9.9700000000000006</v>
      </c>
      <c r="E18" s="100">
        <v>5.42</v>
      </c>
      <c r="F18" s="100">
        <v>0.21</v>
      </c>
      <c r="G18" s="100">
        <v>10.94</v>
      </c>
      <c r="H18" s="100">
        <v>4.05</v>
      </c>
      <c r="I18" s="100">
        <v>4.51</v>
      </c>
      <c r="J18" s="100">
        <v>0.39</v>
      </c>
      <c r="K18" s="100">
        <v>227.86</v>
      </c>
      <c r="L18" s="100">
        <v>25.24</v>
      </c>
      <c r="M18" s="100">
        <v>91.82</v>
      </c>
      <c r="N18" s="100">
        <v>2.1</v>
      </c>
      <c r="O18" s="100">
        <v>0</v>
      </c>
      <c r="P18" s="100">
        <v>0.22</v>
      </c>
      <c r="Q18" s="100">
        <v>10</v>
      </c>
      <c r="R18" s="6"/>
      <c r="S18" s="6"/>
      <c r="T18" s="156"/>
      <c r="U18" s="6"/>
    </row>
    <row r="19" spans="1:21" customFormat="1">
      <c r="A19" s="201" t="s">
        <v>347</v>
      </c>
      <c r="B19" s="100">
        <v>4.6500000000000004</v>
      </c>
      <c r="C19" s="100">
        <v>11.69</v>
      </c>
      <c r="D19" s="100">
        <v>9.83</v>
      </c>
      <c r="E19" s="100">
        <v>5.39</v>
      </c>
      <c r="F19" s="100">
        <v>0.05</v>
      </c>
      <c r="G19" s="100">
        <v>10.94</v>
      </c>
      <c r="H19" s="100">
        <v>4.05</v>
      </c>
      <c r="I19" s="100">
        <v>4.5199999999999996</v>
      </c>
      <c r="J19" s="100">
        <v>0.5</v>
      </c>
      <c r="K19" s="100">
        <v>228.24</v>
      </c>
      <c r="L19" s="100">
        <v>25.17</v>
      </c>
      <c r="M19" s="100">
        <v>92.03</v>
      </c>
      <c r="N19" s="100">
        <v>2.2000000000000002</v>
      </c>
      <c r="O19" s="100">
        <v>0</v>
      </c>
      <c r="P19" s="100">
        <v>0.21</v>
      </c>
      <c r="Q19" s="100">
        <v>10</v>
      </c>
      <c r="R19" s="6"/>
      <c r="S19" s="6"/>
      <c r="T19" s="156"/>
      <c r="U19" s="6"/>
    </row>
    <row r="20" spans="1:21" customFormat="1">
      <c r="A20" s="201" t="s">
        <v>348</v>
      </c>
      <c r="B20" s="100">
        <v>4.5599999999999996</v>
      </c>
      <c r="C20" s="100">
        <v>11.68</v>
      </c>
      <c r="D20" s="100">
        <v>9.76</v>
      </c>
      <c r="E20" s="100">
        <v>5.37</v>
      </c>
      <c r="F20" s="100">
        <v>0.01</v>
      </c>
      <c r="G20" s="100">
        <v>10.94</v>
      </c>
      <c r="H20" s="100">
        <v>4.05</v>
      </c>
      <c r="I20" s="100">
        <v>4.5</v>
      </c>
      <c r="J20" s="100">
        <v>0.38</v>
      </c>
      <c r="K20" s="100">
        <v>227.69</v>
      </c>
      <c r="L20" s="100">
        <v>25.2</v>
      </c>
      <c r="M20" s="100">
        <v>92.16</v>
      </c>
      <c r="N20" s="100">
        <v>2.1</v>
      </c>
      <c r="O20" s="100">
        <v>0</v>
      </c>
      <c r="P20" s="100">
        <v>0.21</v>
      </c>
      <c r="Q20" s="100">
        <v>10</v>
      </c>
      <c r="R20" s="6"/>
      <c r="S20" s="6"/>
      <c r="T20" s="156"/>
      <c r="U20" s="6"/>
    </row>
    <row r="21" spans="1:21" customFormat="1">
      <c r="A21" s="201" t="s">
        <v>349</v>
      </c>
      <c r="B21" s="100">
        <v>4.5199999999999996</v>
      </c>
      <c r="C21" s="100">
        <v>11.64</v>
      </c>
      <c r="D21" s="100">
        <v>9.7100000000000009</v>
      </c>
      <c r="E21" s="100">
        <v>5.31</v>
      </c>
      <c r="F21" s="100">
        <v>0.01</v>
      </c>
      <c r="G21" s="100">
        <v>10.91</v>
      </c>
      <c r="H21" s="100">
        <v>4.2699999999999996</v>
      </c>
      <c r="I21" s="100">
        <v>4.42</v>
      </c>
      <c r="J21" s="100">
        <v>0.56999999999999995</v>
      </c>
      <c r="K21" s="100">
        <v>230.16</v>
      </c>
      <c r="L21" s="100">
        <v>25.17</v>
      </c>
      <c r="M21" s="100">
        <v>92.42</v>
      </c>
      <c r="N21" s="100">
        <v>2.2999999999999998</v>
      </c>
      <c r="O21" s="100">
        <v>0</v>
      </c>
      <c r="P21" s="100">
        <v>0.21</v>
      </c>
      <c r="Q21" s="100">
        <v>10</v>
      </c>
      <c r="R21" s="6"/>
      <c r="S21" s="6"/>
      <c r="T21" s="156"/>
      <c r="U21" s="6"/>
    </row>
    <row r="22" spans="1:21" customFormat="1">
      <c r="A22" s="201" t="s">
        <v>350</v>
      </c>
      <c r="B22" s="100">
        <v>4.5</v>
      </c>
      <c r="C22" s="100">
        <v>11.64</v>
      </c>
      <c r="D22" s="100">
        <v>9.69</v>
      </c>
      <c r="E22" s="100">
        <v>5.27</v>
      </c>
      <c r="F22" s="100">
        <v>0.02</v>
      </c>
      <c r="G22" s="100">
        <v>10.7</v>
      </c>
      <c r="H22" s="100">
        <v>5.41</v>
      </c>
      <c r="I22" s="100">
        <v>4.42</v>
      </c>
      <c r="J22" s="100">
        <v>0.55000000000000004</v>
      </c>
      <c r="K22" s="100">
        <v>229.9</v>
      </c>
      <c r="L22" s="100">
        <v>25.18</v>
      </c>
      <c r="M22" s="100">
        <v>92.51</v>
      </c>
      <c r="N22" s="100">
        <v>2.2999999999999998</v>
      </c>
      <c r="O22" s="100">
        <v>0</v>
      </c>
      <c r="P22" s="100">
        <v>0.2</v>
      </c>
      <c r="Q22" s="100">
        <v>10</v>
      </c>
      <c r="R22" s="6"/>
      <c r="S22" s="6"/>
      <c r="T22" s="156"/>
      <c r="U22" s="6"/>
    </row>
    <row r="23" spans="1:21" customFormat="1">
      <c r="A23" s="201" t="s">
        <v>351</v>
      </c>
      <c r="B23" s="100">
        <v>4.4400000000000004</v>
      </c>
      <c r="C23" s="100">
        <v>11.69</v>
      </c>
      <c r="D23" s="100">
        <v>9.67</v>
      </c>
      <c r="E23" s="100">
        <v>3.78</v>
      </c>
      <c r="F23" s="100">
        <v>0.02</v>
      </c>
      <c r="G23" s="100">
        <v>10.7</v>
      </c>
      <c r="H23" s="100">
        <v>5.41</v>
      </c>
      <c r="I23" s="100">
        <v>4.43</v>
      </c>
      <c r="J23" s="100">
        <v>0.52</v>
      </c>
      <c r="K23" s="100">
        <v>230.63</v>
      </c>
      <c r="L23" s="100">
        <v>25.17</v>
      </c>
      <c r="M23" s="100">
        <v>92.55</v>
      </c>
      <c r="N23" s="100">
        <v>2.2999999999999998</v>
      </c>
      <c r="O23" s="100">
        <v>0</v>
      </c>
      <c r="P23" s="100">
        <v>0.2</v>
      </c>
      <c r="Q23" s="100">
        <v>10</v>
      </c>
      <c r="R23" s="6"/>
      <c r="S23" s="6"/>
      <c r="T23" s="156"/>
      <c r="U23" s="6"/>
    </row>
    <row r="24" spans="1:21" customFormat="1">
      <c r="A24" s="201" t="s">
        <v>352</v>
      </c>
      <c r="B24" s="100">
        <v>4.53</v>
      </c>
      <c r="C24" s="100">
        <v>11.63</v>
      </c>
      <c r="D24" s="100">
        <v>9.7100000000000009</v>
      </c>
      <c r="E24" s="100">
        <v>5.18</v>
      </c>
      <c r="F24" s="100">
        <v>0.02</v>
      </c>
      <c r="G24" s="100">
        <v>10.7</v>
      </c>
      <c r="H24" s="100">
        <v>5.41</v>
      </c>
      <c r="I24" s="100">
        <v>4.43</v>
      </c>
      <c r="J24" s="100">
        <v>0.45</v>
      </c>
      <c r="K24" s="100">
        <v>230.29</v>
      </c>
      <c r="L24" s="100">
        <v>25.12</v>
      </c>
      <c r="M24" s="100">
        <v>92.83</v>
      </c>
      <c r="N24" s="100">
        <v>2.2999999999999998</v>
      </c>
      <c r="O24" s="100">
        <v>0</v>
      </c>
      <c r="P24" s="100">
        <v>0.19</v>
      </c>
      <c r="Q24" s="100">
        <v>10</v>
      </c>
      <c r="R24" s="6"/>
      <c r="S24" s="6"/>
      <c r="T24" s="156"/>
      <c r="U24" s="6"/>
    </row>
    <row r="25" spans="1:21" customFormat="1">
      <c r="A25" s="201" t="s">
        <v>353</v>
      </c>
      <c r="B25" s="100">
        <v>4.66</v>
      </c>
      <c r="C25" s="100">
        <v>11.67</v>
      </c>
      <c r="D25" s="100">
        <v>9.84</v>
      </c>
      <c r="E25" s="100">
        <v>4.8499999999999996</v>
      </c>
      <c r="F25" s="100">
        <v>0.02</v>
      </c>
      <c r="G25" s="100">
        <v>11.12</v>
      </c>
      <c r="H25" s="100">
        <v>5.23</v>
      </c>
      <c r="I25" s="100">
        <v>4.43</v>
      </c>
      <c r="J25" s="100">
        <v>0.45</v>
      </c>
      <c r="K25" s="100">
        <v>231.98</v>
      </c>
      <c r="L25" s="100">
        <v>25.09</v>
      </c>
      <c r="M25" s="100">
        <v>93.06</v>
      </c>
      <c r="N25" s="100">
        <v>2.4</v>
      </c>
      <c r="O25" s="100">
        <v>0</v>
      </c>
      <c r="P25" s="100">
        <v>0.17</v>
      </c>
      <c r="Q25" s="100">
        <v>10</v>
      </c>
      <c r="R25" s="6"/>
      <c r="S25" s="6"/>
      <c r="T25" s="156"/>
      <c r="U25" s="6"/>
    </row>
    <row r="26" spans="1:21" customFormat="1">
      <c r="A26" s="201" t="s">
        <v>354</v>
      </c>
      <c r="B26" s="100">
        <v>4.8499999999999996</v>
      </c>
      <c r="C26" s="100">
        <v>11.81</v>
      </c>
      <c r="D26" s="100">
        <v>10.06</v>
      </c>
      <c r="E26" s="100">
        <v>4.5599999999999996</v>
      </c>
      <c r="F26" s="100">
        <v>0.02</v>
      </c>
      <c r="G26" s="100">
        <v>13.88</v>
      </c>
      <c r="H26" s="100">
        <v>4.2699999999999996</v>
      </c>
      <c r="I26" s="100">
        <v>4.47</v>
      </c>
      <c r="J26" s="100">
        <v>0.33</v>
      </c>
      <c r="K26" s="100">
        <v>230.9</v>
      </c>
      <c r="L26" s="100">
        <v>25.11</v>
      </c>
      <c r="M26" s="100">
        <v>92.43</v>
      </c>
      <c r="N26" s="100">
        <v>2.2000000000000002</v>
      </c>
      <c r="O26" s="100">
        <v>0</v>
      </c>
      <c r="P26" s="100">
        <v>0.17</v>
      </c>
      <c r="Q26" s="100">
        <v>10</v>
      </c>
      <c r="R26" s="6"/>
      <c r="S26" s="6"/>
      <c r="T26" s="156"/>
      <c r="U26" s="6"/>
    </row>
    <row r="27" spans="1:21" customFormat="1">
      <c r="A27" s="201" t="s">
        <v>355</v>
      </c>
      <c r="B27" s="100">
        <v>5.04</v>
      </c>
      <c r="C27" s="100">
        <v>11.9</v>
      </c>
      <c r="D27" s="100">
        <v>10.26</v>
      </c>
      <c r="E27" s="100">
        <v>4.82</v>
      </c>
      <c r="F27" s="100">
        <v>0.02</v>
      </c>
      <c r="G27" s="100">
        <v>13.88</v>
      </c>
      <c r="H27" s="100">
        <v>4.2699999999999996</v>
      </c>
      <c r="I27" s="100">
        <v>4.46</v>
      </c>
      <c r="J27" s="100">
        <v>0.37</v>
      </c>
      <c r="K27" s="100">
        <v>229.57</v>
      </c>
      <c r="L27" s="100">
        <v>25.05</v>
      </c>
      <c r="M27" s="100">
        <v>92.21</v>
      </c>
      <c r="N27" s="100">
        <v>2.2000000000000002</v>
      </c>
      <c r="O27" s="100">
        <v>0</v>
      </c>
      <c r="P27" s="100">
        <v>0.17</v>
      </c>
      <c r="Q27" s="100">
        <v>10</v>
      </c>
      <c r="R27" s="6"/>
      <c r="S27" s="6"/>
      <c r="T27" s="156"/>
      <c r="U27" s="6"/>
    </row>
    <row r="28" spans="1:21" customFormat="1">
      <c r="A28" s="201" t="s">
        <v>356</v>
      </c>
      <c r="B28" s="100">
        <v>5.15</v>
      </c>
      <c r="C28" s="100">
        <v>11.99</v>
      </c>
      <c r="D28" s="100">
        <v>10.4</v>
      </c>
      <c r="E28" s="100">
        <v>4.49</v>
      </c>
      <c r="F28" s="100">
        <v>0.02</v>
      </c>
      <c r="G28" s="100">
        <v>13.88</v>
      </c>
      <c r="H28" s="100">
        <v>4.2699999999999996</v>
      </c>
      <c r="I28" s="100">
        <v>4.54</v>
      </c>
      <c r="J28" s="100">
        <v>0.37</v>
      </c>
      <c r="K28" s="100">
        <v>228.7</v>
      </c>
      <c r="L28" s="100">
        <v>25.09</v>
      </c>
      <c r="M28" s="100">
        <v>92.27</v>
      </c>
      <c r="N28" s="100">
        <v>2.1</v>
      </c>
      <c r="O28" s="100">
        <v>0</v>
      </c>
      <c r="P28" s="100">
        <v>0.17</v>
      </c>
      <c r="Q28" s="100">
        <v>10</v>
      </c>
      <c r="R28" s="6"/>
      <c r="S28" s="6"/>
      <c r="T28" s="156"/>
      <c r="U28" s="6"/>
    </row>
    <row r="29" spans="1:21" customFormat="1">
      <c r="A29" s="201" t="s">
        <v>357</v>
      </c>
      <c r="B29" s="100">
        <v>5.31</v>
      </c>
      <c r="C29" s="100">
        <v>12.01</v>
      </c>
      <c r="D29" s="100">
        <v>10.54</v>
      </c>
      <c r="E29" s="100">
        <v>4.63</v>
      </c>
      <c r="F29" s="100">
        <v>0.02</v>
      </c>
      <c r="G29" s="100">
        <v>14.2</v>
      </c>
      <c r="H29" s="100">
        <v>4.6900000000000004</v>
      </c>
      <c r="I29" s="100">
        <v>4.53</v>
      </c>
      <c r="J29" s="100">
        <v>0.31</v>
      </c>
      <c r="K29" s="100">
        <v>228.67</v>
      </c>
      <c r="L29" s="100">
        <v>25.13</v>
      </c>
      <c r="M29" s="100">
        <v>92.3</v>
      </c>
      <c r="N29" s="100">
        <v>2.1</v>
      </c>
      <c r="O29" s="100">
        <v>0</v>
      </c>
      <c r="P29" s="100">
        <v>0.18</v>
      </c>
      <c r="Q29" s="100">
        <v>10</v>
      </c>
      <c r="R29" s="6"/>
      <c r="S29" s="6"/>
      <c r="T29" s="156"/>
      <c r="U29" s="6"/>
    </row>
    <row r="30" spans="1:21" customFormat="1">
      <c r="A30" s="201" t="s">
        <v>358</v>
      </c>
      <c r="B30" s="100">
        <v>5.46</v>
      </c>
      <c r="C30" s="100">
        <v>11.91</v>
      </c>
      <c r="D30" s="100">
        <v>10.6</v>
      </c>
      <c r="E30" s="100">
        <v>4.5999999999999996</v>
      </c>
      <c r="F30" s="100">
        <v>0.02</v>
      </c>
      <c r="G30" s="100">
        <v>16.309999999999999</v>
      </c>
      <c r="H30" s="100">
        <v>7.04</v>
      </c>
      <c r="I30" s="100">
        <v>4.5999999999999996</v>
      </c>
      <c r="J30" s="100">
        <v>0.34</v>
      </c>
      <c r="K30" s="100">
        <v>230.76</v>
      </c>
      <c r="L30" s="100">
        <v>25.1</v>
      </c>
      <c r="M30" s="100">
        <v>92.49</v>
      </c>
      <c r="N30" s="100">
        <v>2.1</v>
      </c>
      <c r="O30" s="100">
        <v>0</v>
      </c>
      <c r="P30" s="100">
        <v>0.18</v>
      </c>
      <c r="Q30" s="100">
        <v>10</v>
      </c>
      <c r="R30" s="6"/>
      <c r="S30" s="6"/>
      <c r="T30" s="156"/>
      <c r="U30" s="6"/>
    </row>
    <row r="31" spans="1:21" customFormat="1">
      <c r="A31" s="201" t="s">
        <v>359</v>
      </c>
      <c r="B31" s="100">
        <v>5.67</v>
      </c>
      <c r="C31" s="100">
        <v>11.92</v>
      </c>
      <c r="D31" s="100">
        <v>10.78</v>
      </c>
      <c r="E31" s="100">
        <v>4.95</v>
      </c>
      <c r="F31" s="100">
        <v>0.02</v>
      </c>
      <c r="G31" s="100">
        <v>16.309999999999999</v>
      </c>
      <c r="H31" s="100">
        <v>7.04</v>
      </c>
      <c r="I31" s="100">
        <v>4.67</v>
      </c>
      <c r="J31" s="100">
        <v>0.28000000000000003</v>
      </c>
      <c r="K31" s="100">
        <v>230.45</v>
      </c>
      <c r="L31" s="100">
        <v>25.02</v>
      </c>
      <c r="M31" s="100">
        <v>92.5</v>
      </c>
      <c r="N31" s="100">
        <v>2.5</v>
      </c>
      <c r="O31" s="100">
        <v>0</v>
      </c>
      <c r="P31" s="100">
        <v>0.19</v>
      </c>
      <c r="Q31" s="100">
        <v>10</v>
      </c>
      <c r="R31" s="6"/>
      <c r="S31" s="6"/>
      <c r="T31" s="156"/>
      <c r="U31" s="6"/>
    </row>
    <row r="32" spans="1:21" customFormat="1">
      <c r="A32" s="201" t="s">
        <v>360</v>
      </c>
      <c r="B32" s="100">
        <v>5.82</v>
      </c>
      <c r="C32" s="100">
        <v>11.88</v>
      </c>
      <c r="D32" s="100">
        <v>10.87</v>
      </c>
      <c r="E32" s="100">
        <v>4.8</v>
      </c>
      <c r="F32" s="100">
        <v>0.02</v>
      </c>
      <c r="G32" s="100">
        <v>16.309999999999999</v>
      </c>
      <c r="H32" s="100">
        <v>7.04</v>
      </c>
      <c r="I32" s="100">
        <v>4.7300000000000004</v>
      </c>
      <c r="J32" s="100">
        <v>0.18</v>
      </c>
      <c r="K32" s="100">
        <v>217.99</v>
      </c>
      <c r="L32" s="100">
        <v>25.01</v>
      </c>
      <c r="M32" s="100">
        <v>92.8</v>
      </c>
      <c r="N32" s="100">
        <v>4.2</v>
      </c>
      <c r="O32" s="100">
        <v>0</v>
      </c>
      <c r="P32" s="100">
        <v>0.18</v>
      </c>
      <c r="Q32" s="100">
        <v>10</v>
      </c>
      <c r="R32" s="6"/>
      <c r="S32" s="6"/>
      <c r="T32" s="156"/>
      <c r="U32" s="6"/>
    </row>
    <row r="33" spans="1:21" customFormat="1">
      <c r="A33" s="201" t="s">
        <v>361</v>
      </c>
      <c r="B33" s="100">
        <v>5.94</v>
      </c>
      <c r="C33" s="100">
        <v>11.99</v>
      </c>
      <c r="D33" s="100">
        <v>11.03</v>
      </c>
      <c r="E33" s="100">
        <v>4.54</v>
      </c>
      <c r="F33" s="100">
        <v>0.02</v>
      </c>
      <c r="G33" s="100">
        <v>15.69</v>
      </c>
      <c r="H33" s="100">
        <v>6.74</v>
      </c>
      <c r="I33" s="100">
        <v>4.83</v>
      </c>
      <c r="J33" s="100">
        <v>0.22</v>
      </c>
      <c r="K33" s="100">
        <v>230.27</v>
      </c>
      <c r="L33" s="100">
        <v>25.04</v>
      </c>
      <c r="M33" s="100">
        <v>92.43</v>
      </c>
      <c r="N33" s="100">
        <v>10.1</v>
      </c>
      <c r="O33" s="100">
        <v>0</v>
      </c>
      <c r="P33" s="100">
        <v>0.2</v>
      </c>
      <c r="Q33" s="100">
        <v>10</v>
      </c>
      <c r="R33" s="6"/>
      <c r="S33" s="6"/>
      <c r="T33" s="156"/>
      <c r="U33" s="6"/>
    </row>
    <row r="34" spans="1:21" customFormat="1">
      <c r="A34" s="201" t="s">
        <v>362</v>
      </c>
      <c r="B34" s="100">
        <v>6.1</v>
      </c>
      <c r="C34" s="100">
        <v>11.93</v>
      </c>
      <c r="D34" s="100">
        <v>11.12</v>
      </c>
      <c r="E34" s="100">
        <v>4.74</v>
      </c>
      <c r="F34" s="100">
        <v>0.02</v>
      </c>
      <c r="G34" s="100">
        <v>11.68</v>
      </c>
      <c r="H34" s="100">
        <v>5.25</v>
      </c>
      <c r="I34" s="100">
        <v>4.92</v>
      </c>
      <c r="J34" s="100">
        <v>0.22</v>
      </c>
      <c r="K34" s="100">
        <v>225.45</v>
      </c>
      <c r="L34" s="100">
        <v>25.1</v>
      </c>
      <c r="M34" s="100">
        <v>91.85</v>
      </c>
      <c r="N34" s="100">
        <v>17.3</v>
      </c>
      <c r="O34" s="100">
        <v>0</v>
      </c>
      <c r="P34" s="100">
        <v>0.2</v>
      </c>
      <c r="Q34" s="100">
        <v>10</v>
      </c>
      <c r="R34" s="6"/>
      <c r="S34" s="6"/>
      <c r="T34" s="156"/>
      <c r="U34" s="6"/>
    </row>
    <row r="35" spans="1:21" customFormat="1">
      <c r="A35" s="201" t="s">
        <v>363</v>
      </c>
      <c r="B35" s="100">
        <v>6.21</v>
      </c>
      <c r="C35" s="100">
        <v>11.97</v>
      </c>
      <c r="D35" s="100">
        <v>11.24</v>
      </c>
      <c r="E35" s="100">
        <v>4.5999999999999996</v>
      </c>
      <c r="F35" s="100">
        <v>0.02</v>
      </c>
      <c r="G35" s="100">
        <v>11.68</v>
      </c>
      <c r="H35" s="100">
        <v>5.25</v>
      </c>
      <c r="I35" s="100">
        <v>5.1100000000000003</v>
      </c>
      <c r="J35" s="100">
        <v>0.22</v>
      </c>
      <c r="K35" s="100">
        <v>226.42</v>
      </c>
      <c r="L35" s="100">
        <v>25.25</v>
      </c>
      <c r="M35" s="100">
        <v>91.66</v>
      </c>
      <c r="N35" s="100">
        <v>26</v>
      </c>
      <c r="O35" s="100">
        <v>0</v>
      </c>
      <c r="P35" s="100">
        <v>0.22</v>
      </c>
      <c r="Q35" s="100">
        <v>10</v>
      </c>
      <c r="R35" s="6"/>
      <c r="S35" s="6"/>
      <c r="T35" s="156"/>
      <c r="U35" s="6"/>
    </row>
    <row r="36" spans="1:21" customFormat="1">
      <c r="A36" s="201" t="s">
        <v>364</v>
      </c>
      <c r="B36" s="100">
        <v>6.36</v>
      </c>
      <c r="C36" s="100">
        <v>11.97</v>
      </c>
      <c r="D36" s="100">
        <v>11.35</v>
      </c>
      <c r="E36" s="100">
        <v>4.63</v>
      </c>
      <c r="F36" s="100">
        <v>0.02</v>
      </c>
      <c r="G36" s="100">
        <v>11.68</v>
      </c>
      <c r="H36" s="100">
        <v>5.25</v>
      </c>
      <c r="I36" s="100">
        <v>5.23</v>
      </c>
      <c r="J36" s="100">
        <v>0.27</v>
      </c>
      <c r="K36" s="100">
        <v>227.85</v>
      </c>
      <c r="L36" s="100">
        <v>25.38</v>
      </c>
      <c r="M36" s="100">
        <v>90.89</v>
      </c>
      <c r="N36" s="100">
        <v>27.7</v>
      </c>
      <c r="O36" s="100">
        <v>0</v>
      </c>
      <c r="P36" s="100">
        <v>0.22</v>
      </c>
      <c r="Q36" s="100">
        <v>10</v>
      </c>
      <c r="R36" s="6"/>
      <c r="S36" s="6"/>
      <c r="T36" s="156"/>
      <c r="U36" s="6"/>
    </row>
    <row r="37" spans="1:21" customFormat="1">
      <c r="A37" s="201" t="s">
        <v>365</v>
      </c>
      <c r="B37" s="100">
        <v>6.47</v>
      </c>
      <c r="C37" s="100">
        <v>11.94</v>
      </c>
      <c r="D37" s="100">
        <v>11.43</v>
      </c>
      <c r="E37" s="100">
        <v>4.43</v>
      </c>
      <c r="F37" s="100">
        <v>0.02</v>
      </c>
      <c r="G37" s="100">
        <v>12.78</v>
      </c>
      <c r="H37" s="100">
        <v>5.09</v>
      </c>
      <c r="I37" s="100">
        <v>5.45</v>
      </c>
      <c r="J37" s="100">
        <v>0.32</v>
      </c>
      <c r="K37" s="100">
        <v>233.96</v>
      </c>
      <c r="L37" s="100">
        <v>25.53</v>
      </c>
      <c r="M37" s="100">
        <v>93.5</v>
      </c>
      <c r="N37" s="100">
        <v>28.1</v>
      </c>
      <c r="O37" s="100">
        <v>0</v>
      </c>
      <c r="P37" s="100">
        <v>0.23</v>
      </c>
      <c r="Q37" s="100">
        <v>10</v>
      </c>
      <c r="R37" s="6"/>
      <c r="S37" s="6"/>
      <c r="T37" s="156"/>
      <c r="U37" s="6"/>
    </row>
    <row r="38" spans="1:21" customFormat="1">
      <c r="A38" s="201" t="s">
        <v>366</v>
      </c>
      <c r="B38" s="100">
        <v>6.69</v>
      </c>
      <c r="C38" s="100">
        <v>12.11</v>
      </c>
      <c r="D38" s="100">
        <v>11.69</v>
      </c>
      <c r="E38" s="100">
        <v>4.6100000000000003</v>
      </c>
      <c r="F38" s="100">
        <v>0.02</v>
      </c>
      <c r="G38" s="100">
        <v>19.96</v>
      </c>
      <c r="H38" s="100">
        <v>4.29</v>
      </c>
      <c r="I38" s="100">
        <v>5.69</v>
      </c>
      <c r="J38" s="100">
        <v>0.28000000000000003</v>
      </c>
      <c r="K38" s="100">
        <v>230.54</v>
      </c>
      <c r="L38" s="100">
        <v>25.64</v>
      </c>
      <c r="M38" s="100">
        <v>92.59</v>
      </c>
      <c r="N38" s="100">
        <v>32.700000000000003</v>
      </c>
      <c r="O38" s="100">
        <v>0</v>
      </c>
      <c r="P38" s="100">
        <v>0.25</v>
      </c>
      <c r="Q38" s="100">
        <v>10</v>
      </c>
      <c r="R38" s="6"/>
      <c r="S38" s="6"/>
      <c r="T38" s="156"/>
      <c r="U38" s="6"/>
    </row>
    <row r="39" spans="1:21" customFormat="1">
      <c r="A39" s="201" t="s">
        <v>367</v>
      </c>
      <c r="B39" s="100">
        <v>6.96</v>
      </c>
      <c r="C39" s="100">
        <v>11.94</v>
      </c>
      <c r="D39" s="100">
        <v>11.82</v>
      </c>
      <c r="E39" s="100">
        <v>4.67</v>
      </c>
      <c r="F39" s="100">
        <v>0.02</v>
      </c>
      <c r="G39" s="100">
        <v>19.96</v>
      </c>
      <c r="H39" s="100">
        <v>4.29</v>
      </c>
      <c r="I39" s="100">
        <v>5.9</v>
      </c>
      <c r="J39" s="100">
        <v>0.41</v>
      </c>
      <c r="K39" s="100">
        <v>230.49</v>
      </c>
      <c r="L39" s="100">
        <v>25.72</v>
      </c>
      <c r="M39" s="100">
        <v>91.87</v>
      </c>
      <c r="N39" s="100">
        <v>38.299999999999997</v>
      </c>
      <c r="O39" s="100">
        <v>0</v>
      </c>
      <c r="P39" s="100">
        <v>0.23</v>
      </c>
      <c r="Q39" s="100">
        <v>10</v>
      </c>
      <c r="R39" s="6"/>
      <c r="S39" s="6"/>
      <c r="T39" s="156"/>
      <c r="U39" s="6"/>
    </row>
    <row r="40" spans="1:21" customFormat="1">
      <c r="A40" s="201" t="s">
        <v>368</v>
      </c>
      <c r="B40" s="100">
        <v>7.13</v>
      </c>
      <c r="C40" s="100">
        <v>12.14</v>
      </c>
      <c r="D40" s="100">
        <v>12.06</v>
      </c>
      <c r="E40" s="100">
        <v>4.5</v>
      </c>
      <c r="F40" s="100">
        <v>0.01</v>
      </c>
      <c r="G40" s="100">
        <v>19.96</v>
      </c>
      <c r="H40" s="100">
        <v>4.29</v>
      </c>
      <c r="I40" s="100">
        <v>6.05</v>
      </c>
      <c r="J40" s="100">
        <v>0.44</v>
      </c>
      <c r="K40" s="100">
        <v>229.64</v>
      </c>
      <c r="L40" s="100">
        <v>25.85</v>
      </c>
      <c r="M40" s="100">
        <v>91.16</v>
      </c>
      <c r="N40" s="100">
        <v>45.8</v>
      </c>
      <c r="O40" s="100">
        <v>0</v>
      </c>
      <c r="P40" s="100">
        <v>0.25</v>
      </c>
      <c r="Q40" s="100">
        <v>10</v>
      </c>
      <c r="R40" s="6"/>
      <c r="S40" s="6"/>
      <c r="T40" s="156"/>
      <c r="U40" s="6"/>
    </row>
    <row r="41" spans="1:21" customFormat="1">
      <c r="A41" s="201" t="s">
        <v>369</v>
      </c>
      <c r="B41" s="100">
        <v>7.45</v>
      </c>
      <c r="C41" s="100">
        <v>12.14</v>
      </c>
      <c r="D41" s="100">
        <v>12.32</v>
      </c>
      <c r="E41" s="100">
        <v>4.74</v>
      </c>
      <c r="F41" s="100">
        <v>0.01</v>
      </c>
      <c r="G41" s="100">
        <v>20.79</v>
      </c>
      <c r="H41" s="100">
        <v>4.9800000000000004</v>
      </c>
      <c r="I41" s="100">
        <v>6.1</v>
      </c>
      <c r="J41" s="100">
        <v>0.27</v>
      </c>
      <c r="K41" s="100">
        <v>230.49</v>
      </c>
      <c r="L41" s="100">
        <v>26.09</v>
      </c>
      <c r="M41" s="100">
        <v>90.93</v>
      </c>
      <c r="N41" s="100">
        <v>60.7</v>
      </c>
      <c r="O41" s="100">
        <v>0</v>
      </c>
      <c r="P41" s="100">
        <v>0.24</v>
      </c>
      <c r="Q41" s="100">
        <v>10</v>
      </c>
      <c r="R41" s="6"/>
      <c r="S41" s="6"/>
      <c r="T41" s="156"/>
      <c r="U41" s="6"/>
    </row>
    <row r="42" spans="1:21" customFormat="1">
      <c r="A42" s="201" t="s">
        <v>370</v>
      </c>
      <c r="B42" s="100">
        <v>7.66</v>
      </c>
      <c r="C42" s="100">
        <v>12.32</v>
      </c>
      <c r="D42" s="100">
        <v>12.58</v>
      </c>
      <c r="E42" s="100">
        <v>4.55</v>
      </c>
      <c r="F42" s="100">
        <v>0.01</v>
      </c>
      <c r="G42" s="100">
        <v>26.74</v>
      </c>
      <c r="H42" s="100">
        <v>8.52</v>
      </c>
      <c r="I42" s="100">
        <v>6.2</v>
      </c>
      <c r="J42" s="100">
        <v>0.51</v>
      </c>
      <c r="K42" s="100">
        <v>228.68</v>
      </c>
      <c r="L42" s="100">
        <v>26.33</v>
      </c>
      <c r="M42" s="100">
        <v>88.96</v>
      </c>
      <c r="N42" s="100">
        <v>93.1</v>
      </c>
      <c r="O42" s="100">
        <v>0</v>
      </c>
      <c r="P42" s="100">
        <v>0.26</v>
      </c>
      <c r="Q42" s="100">
        <v>10</v>
      </c>
      <c r="R42" s="6"/>
      <c r="S42" s="6"/>
      <c r="T42" s="156"/>
      <c r="U42" s="6"/>
    </row>
    <row r="43" spans="1:21" customFormat="1">
      <c r="A43" s="201" t="s">
        <v>371</v>
      </c>
      <c r="B43" s="100">
        <v>7.9</v>
      </c>
      <c r="C43" s="100">
        <v>12.46</v>
      </c>
      <c r="D43" s="100">
        <v>12.84</v>
      </c>
      <c r="E43" s="100">
        <v>4.5999999999999996</v>
      </c>
      <c r="F43" s="100">
        <v>0.01</v>
      </c>
      <c r="G43" s="100">
        <v>26.74</v>
      </c>
      <c r="H43" s="100">
        <v>8.52</v>
      </c>
      <c r="I43" s="100">
        <v>6.23</v>
      </c>
      <c r="J43" s="100">
        <v>0.52</v>
      </c>
      <c r="K43" s="100">
        <v>228.68</v>
      </c>
      <c r="L43" s="100">
        <v>26.73</v>
      </c>
      <c r="M43" s="100">
        <v>87.51</v>
      </c>
      <c r="N43" s="100">
        <v>152.1</v>
      </c>
      <c r="O43" s="100">
        <v>0</v>
      </c>
      <c r="P43" s="100">
        <v>0.28000000000000003</v>
      </c>
      <c r="Q43" s="100">
        <v>10</v>
      </c>
      <c r="R43" s="6"/>
      <c r="S43" s="6"/>
      <c r="T43" s="156"/>
      <c r="U43" s="6"/>
    </row>
    <row r="44" spans="1:21" customFormat="1">
      <c r="A44" s="201" t="s">
        <v>372</v>
      </c>
      <c r="B44" s="100">
        <v>8.07</v>
      </c>
      <c r="C44" s="100">
        <v>12.57</v>
      </c>
      <c r="D44" s="100">
        <v>13.04</v>
      </c>
      <c r="E44" s="100">
        <v>5.0599999999999996</v>
      </c>
      <c r="F44" s="100">
        <v>0.01</v>
      </c>
      <c r="G44" s="100">
        <v>26.74</v>
      </c>
      <c r="H44" s="100">
        <v>8.52</v>
      </c>
      <c r="I44" s="100">
        <v>6.26</v>
      </c>
      <c r="J44" s="100">
        <v>0.38</v>
      </c>
      <c r="K44" s="100">
        <v>229.4</v>
      </c>
      <c r="L44" s="100">
        <v>27.24</v>
      </c>
      <c r="M44" s="100">
        <v>86</v>
      </c>
      <c r="N44" s="100">
        <v>207.1</v>
      </c>
      <c r="O44" s="100">
        <v>0</v>
      </c>
      <c r="P44" s="100">
        <v>0.28000000000000003</v>
      </c>
      <c r="Q44" s="100">
        <v>10</v>
      </c>
      <c r="R44" s="6"/>
      <c r="S44" s="6"/>
      <c r="T44" s="156"/>
      <c r="U44" s="6"/>
    </row>
    <row r="45" spans="1:21" customFormat="1">
      <c r="A45" s="201" t="s">
        <v>373</v>
      </c>
      <c r="B45" s="100">
        <v>8.2899999999999991</v>
      </c>
      <c r="C45" s="100">
        <v>12.61</v>
      </c>
      <c r="D45" s="100">
        <v>13.23</v>
      </c>
      <c r="E45" s="100">
        <v>5.03</v>
      </c>
      <c r="F45" s="100">
        <v>0.01</v>
      </c>
      <c r="G45" s="100">
        <v>27.44</v>
      </c>
      <c r="H45" s="100">
        <v>9.41</v>
      </c>
      <c r="I45" s="100">
        <v>6.26</v>
      </c>
      <c r="J45" s="100">
        <v>0.42</v>
      </c>
      <c r="K45" s="100">
        <v>231.5</v>
      </c>
      <c r="L45" s="100">
        <v>27.73</v>
      </c>
      <c r="M45" s="100">
        <v>84.61</v>
      </c>
      <c r="N45" s="100">
        <v>175</v>
      </c>
      <c r="O45" s="100">
        <v>0</v>
      </c>
      <c r="P45" s="100">
        <v>0.3</v>
      </c>
      <c r="Q45" s="100">
        <v>10</v>
      </c>
      <c r="R45" s="6"/>
      <c r="S45" s="6"/>
      <c r="T45" s="156"/>
      <c r="U45" s="6"/>
    </row>
    <row r="46" spans="1:21" customFormat="1">
      <c r="A46" s="201" t="s">
        <v>374</v>
      </c>
      <c r="B46" s="100">
        <v>8.58</v>
      </c>
      <c r="C46" s="100">
        <v>12.69</v>
      </c>
      <c r="D46" s="100">
        <v>13.51</v>
      </c>
      <c r="E46" s="100">
        <v>5.28</v>
      </c>
      <c r="F46" s="100">
        <v>0.01</v>
      </c>
      <c r="G46" s="100">
        <v>31.96</v>
      </c>
      <c r="H46" s="100">
        <v>14.34</v>
      </c>
      <c r="I46" s="100">
        <v>6.24</v>
      </c>
      <c r="J46" s="100">
        <v>0.4</v>
      </c>
      <c r="K46" s="100">
        <v>228.63</v>
      </c>
      <c r="L46" s="100">
        <v>27.99</v>
      </c>
      <c r="M46" s="100">
        <v>83.8</v>
      </c>
      <c r="N46" s="100">
        <v>173</v>
      </c>
      <c r="O46" s="100">
        <v>0</v>
      </c>
      <c r="P46" s="100">
        <v>0.31</v>
      </c>
      <c r="Q46" s="100">
        <v>10</v>
      </c>
      <c r="R46" s="6"/>
      <c r="S46" s="6"/>
      <c r="T46" s="156"/>
      <c r="U46" s="6"/>
    </row>
    <row r="47" spans="1:21" customFormat="1">
      <c r="A47" s="201" t="s">
        <v>375</v>
      </c>
      <c r="B47" s="100">
        <v>8.73</v>
      </c>
      <c r="C47" s="100">
        <v>12.69</v>
      </c>
      <c r="D47" s="100">
        <v>13.63</v>
      </c>
      <c r="E47" s="100">
        <v>4.97</v>
      </c>
      <c r="F47" s="100">
        <v>0.01</v>
      </c>
      <c r="G47" s="100">
        <v>31.96</v>
      </c>
      <c r="H47" s="100">
        <v>14.34</v>
      </c>
      <c r="I47" s="100">
        <v>6.25</v>
      </c>
      <c r="J47" s="100">
        <v>0.48</v>
      </c>
      <c r="K47" s="100">
        <v>227.17</v>
      </c>
      <c r="L47" s="100">
        <v>28.13</v>
      </c>
      <c r="M47" s="100">
        <v>81.91</v>
      </c>
      <c r="N47" s="100">
        <v>220.2</v>
      </c>
      <c r="O47" s="100">
        <v>0</v>
      </c>
      <c r="P47" s="100">
        <v>0.32</v>
      </c>
      <c r="Q47" s="100">
        <v>10</v>
      </c>
      <c r="R47" s="6"/>
      <c r="S47" s="6"/>
      <c r="T47" s="156"/>
      <c r="U47" s="6"/>
    </row>
    <row r="48" spans="1:21" customFormat="1">
      <c r="A48" s="201" t="s">
        <v>376</v>
      </c>
      <c r="B48" s="100">
        <v>9.02</v>
      </c>
      <c r="C48" s="100">
        <v>12.84</v>
      </c>
      <c r="D48" s="100">
        <v>13.94</v>
      </c>
      <c r="E48" s="100">
        <v>5.31</v>
      </c>
      <c r="F48" s="100">
        <v>0.01</v>
      </c>
      <c r="G48" s="100">
        <v>31.96</v>
      </c>
      <c r="H48" s="100">
        <v>14.34</v>
      </c>
      <c r="I48" s="100">
        <v>6.27</v>
      </c>
      <c r="J48" s="100">
        <v>0.34</v>
      </c>
      <c r="K48" s="100">
        <v>228.15</v>
      </c>
      <c r="L48" s="100">
        <v>28.52</v>
      </c>
      <c r="M48" s="100">
        <v>80.94</v>
      </c>
      <c r="N48" s="100">
        <v>164.5</v>
      </c>
      <c r="O48" s="100">
        <v>0</v>
      </c>
      <c r="P48" s="100">
        <v>0.33</v>
      </c>
      <c r="Q48" s="100">
        <v>10</v>
      </c>
      <c r="R48" s="6"/>
      <c r="S48" s="6"/>
      <c r="T48" s="156"/>
      <c r="U48" s="6"/>
    </row>
    <row r="49" spans="1:21" customFormat="1">
      <c r="A49" s="201" t="s">
        <v>377</v>
      </c>
      <c r="B49" s="100">
        <v>9.11</v>
      </c>
      <c r="C49" s="100">
        <v>12.99</v>
      </c>
      <c r="D49" s="100">
        <v>14.09</v>
      </c>
      <c r="E49" s="100">
        <v>4.2</v>
      </c>
      <c r="F49" s="100">
        <v>0.01</v>
      </c>
      <c r="G49" s="100">
        <v>34.08</v>
      </c>
      <c r="H49" s="100">
        <v>14.2</v>
      </c>
      <c r="I49" s="100">
        <v>6.3</v>
      </c>
      <c r="J49" s="100">
        <v>0.13</v>
      </c>
      <c r="K49" s="100">
        <v>62.78</v>
      </c>
      <c r="L49" s="100">
        <v>28.35</v>
      </c>
      <c r="M49" s="100">
        <v>81.260000000000005</v>
      </c>
      <c r="N49" s="100">
        <v>134.30000000000001</v>
      </c>
      <c r="O49" s="100">
        <v>0</v>
      </c>
      <c r="P49" s="100">
        <v>0.33</v>
      </c>
      <c r="Q49" s="100">
        <v>10</v>
      </c>
      <c r="R49" s="6"/>
      <c r="S49" s="6"/>
      <c r="T49" s="156"/>
      <c r="U49" s="6"/>
    </row>
    <row r="50" spans="1:21" customFormat="1">
      <c r="A50" s="201" t="s">
        <v>378</v>
      </c>
      <c r="B50" s="100">
        <v>9.17</v>
      </c>
      <c r="C50" s="100">
        <v>12.98</v>
      </c>
      <c r="D50" s="100">
        <v>14.14</v>
      </c>
      <c r="E50" s="100">
        <v>5.12</v>
      </c>
      <c r="F50" s="100">
        <v>0.01</v>
      </c>
      <c r="G50" s="100">
        <v>47.84</v>
      </c>
      <c r="H50" s="100">
        <v>13.53</v>
      </c>
      <c r="I50" s="100">
        <v>6.32</v>
      </c>
      <c r="J50" s="100">
        <v>0.19</v>
      </c>
      <c r="K50" s="100">
        <v>227.23</v>
      </c>
      <c r="L50" s="100">
        <v>28.73</v>
      </c>
      <c r="M50" s="100">
        <v>80.489999999999995</v>
      </c>
      <c r="N50" s="100">
        <v>237</v>
      </c>
      <c r="O50" s="100">
        <v>0</v>
      </c>
      <c r="P50" s="100">
        <v>0.34</v>
      </c>
      <c r="Q50" s="100">
        <v>10</v>
      </c>
      <c r="R50" s="6"/>
      <c r="S50" s="6"/>
      <c r="T50" s="156"/>
      <c r="U50" s="6"/>
    </row>
    <row r="51" spans="1:21" customFormat="1">
      <c r="A51" s="201" t="s">
        <v>379</v>
      </c>
      <c r="B51" s="100">
        <v>9.33</v>
      </c>
      <c r="C51" s="100">
        <v>12.94</v>
      </c>
      <c r="D51" s="100">
        <v>14.25</v>
      </c>
      <c r="E51" s="100">
        <v>5.58</v>
      </c>
      <c r="F51" s="100">
        <v>0.06</v>
      </c>
      <c r="G51" s="100">
        <v>47.84</v>
      </c>
      <c r="H51" s="100">
        <v>13.53</v>
      </c>
      <c r="I51" s="100">
        <v>6.29</v>
      </c>
      <c r="J51" s="100">
        <v>0.1</v>
      </c>
      <c r="K51" s="100">
        <v>223.38</v>
      </c>
      <c r="L51" s="100">
        <v>29.37</v>
      </c>
      <c r="M51" s="100">
        <v>78.77</v>
      </c>
      <c r="N51" s="100">
        <v>406</v>
      </c>
      <c r="O51" s="100">
        <v>0</v>
      </c>
      <c r="P51" s="100">
        <v>0.35</v>
      </c>
      <c r="Q51" s="100">
        <v>10</v>
      </c>
      <c r="R51" s="6"/>
      <c r="S51" s="6"/>
      <c r="T51" s="156"/>
      <c r="U51" s="6"/>
    </row>
    <row r="52" spans="1:21" customFormat="1">
      <c r="A52" s="201" t="s">
        <v>380</v>
      </c>
      <c r="B52" s="100">
        <v>9.1999999999999993</v>
      </c>
      <c r="C52" s="100">
        <v>13.11</v>
      </c>
      <c r="D52" s="100">
        <v>14.23</v>
      </c>
      <c r="E52" s="100">
        <v>5.99</v>
      </c>
      <c r="F52" s="100">
        <v>3.51</v>
      </c>
      <c r="G52" s="100">
        <v>47.84</v>
      </c>
      <c r="H52" s="100">
        <v>13.53</v>
      </c>
      <c r="I52" s="100">
        <v>6.25</v>
      </c>
      <c r="J52" s="100">
        <v>0.09</v>
      </c>
      <c r="K52" s="100">
        <v>234.46</v>
      </c>
      <c r="L52" s="100">
        <v>29.94</v>
      </c>
      <c r="M52" s="100">
        <v>76.959999999999994</v>
      </c>
      <c r="N52" s="100">
        <v>225.3</v>
      </c>
      <c r="O52" s="100">
        <v>0</v>
      </c>
      <c r="P52" s="100">
        <v>0.37</v>
      </c>
      <c r="Q52" s="100">
        <v>10</v>
      </c>
      <c r="R52" s="6"/>
      <c r="S52" s="6"/>
      <c r="T52" s="156"/>
      <c r="U52" s="6"/>
    </row>
    <row r="53" spans="1:21" customFormat="1">
      <c r="A53" s="201" t="s">
        <v>381</v>
      </c>
      <c r="B53" s="100">
        <v>8.81</v>
      </c>
      <c r="C53" s="100">
        <v>13.58</v>
      </c>
      <c r="D53" s="100">
        <v>14.16</v>
      </c>
      <c r="E53" s="100">
        <v>7.66</v>
      </c>
      <c r="F53" s="100">
        <v>1.68</v>
      </c>
      <c r="G53" s="100">
        <v>47.82</v>
      </c>
      <c r="H53" s="100">
        <v>13.71</v>
      </c>
      <c r="I53" s="100">
        <v>6.31</v>
      </c>
      <c r="J53" s="100">
        <v>0.27</v>
      </c>
      <c r="K53" s="100">
        <v>54.08</v>
      </c>
      <c r="L53" s="100">
        <v>28.83</v>
      </c>
      <c r="M53" s="100">
        <v>79.83</v>
      </c>
      <c r="N53" s="100">
        <v>66.7</v>
      </c>
      <c r="O53" s="100">
        <v>0</v>
      </c>
      <c r="P53" s="100">
        <v>0.39</v>
      </c>
      <c r="Q53" s="100">
        <v>10</v>
      </c>
      <c r="R53" s="6"/>
      <c r="S53" s="6"/>
      <c r="T53" s="156"/>
      <c r="U53" s="6"/>
    </row>
    <row r="54" spans="1:21" customFormat="1">
      <c r="A54" s="201" t="s">
        <v>382</v>
      </c>
      <c r="B54" s="100">
        <v>8.9</v>
      </c>
      <c r="C54" s="100">
        <v>13.94</v>
      </c>
      <c r="D54" s="100">
        <v>14.42</v>
      </c>
      <c r="E54" s="100">
        <v>6.49</v>
      </c>
      <c r="F54" s="100">
        <v>1.24</v>
      </c>
      <c r="G54" s="100">
        <v>47.69</v>
      </c>
      <c r="H54" s="100">
        <v>14.62</v>
      </c>
      <c r="I54" s="100">
        <v>6.38</v>
      </c>
      <c r="J54" s="100">
        <v>0.31</v>
      </c>
      <c r="K54" s="100">
        <v>49.81</v>
      </c>
      <c r="L54" s="100">
        <v>28.93</v>
      </c>
      <c r="M54" s="100">
        <v>80.45</v>
      </c>
      <c r="N54" s="100">
        <v>229.8</v>
      </c>
      <c r="O54" s="100">
        <v>0</v>
      </c>
      <c r="P54" s="100">
        <v>0.42</v>
      </c>
      <c r="Q54" s="100">
        <v>10</v>
      </c>
      <c r="R54" s="6"/>
      <c r="S54" s="6"/>
      <c r="T54" s="156"/>
      <c r="U54" s="6"/>
    </row>
    <row r="55" spans="1:21" customFormat="1">
      <c r="A55" s="201" t="s">
        <v>383</v>
      </c>
      <c r="B55" s="100">
        <v>8.75</v>
      </c>
      <c r="C55" s="100">
        <v>14.3</v>
      </c>
      <c r="D55" s="100">
        <v>14.49</v>
      </c>
      <c r="E55" s="100">
        <v>6.63</v>
      </c>
      <c r="F55" s="100">
        <v>3.69</v>
      </c>
      <c r="G55" s="100">
        <v>47.69</v>
      </c>
      <c r="H55" s="100">
        <v>14.62</v>
      </c>
      <c r="I55" s="100">
        <v>6.31</v>
      </c>
      <c r="J55" s="100">
        <v>0.13</v>
      </c>
      <c r="K55" s="100">
        <v>29.43</v>
      </c>
      <c r="L55" s="100">
        <v>29.58</v>
      </c>
      <c r="M55" s="100">
        <v>77.790000000000006</v>
      </c>
      <c r="N55" s="100">
        <v>246.4</v>
      </c>
      <c r="O55" s="100">
        <v>0</v>
      </c>
      <c r="P55" s="100">
        <v>0.42</v>
      </c>
      <c r="Q55" s="100">
        <v>10</v>
      </c>
      <c r="R55" s="6"/>
      <c r="S55" s="6"/>
      <c r="T55" s="156"/>
      <c r="U55" s="6"/>
    </row>
    <row r="56" spans="1:21" customFormat="1">
      <c r="A56" s="201" t="s">
        <v>384</v>
      </c>
      <c r="B56" s="100">
        <v>8.0399999999999991</v>
      </c>
      <c r="C56" s="100">
        <v>14.36</v>
      </c>
      <c r="D56" s="100">
        <v>13.95</v>
      </c>
      <c r="E56" s="100">
        <v>5.74</v>
      </c>
      <c r="F56" s="100">
        <v>0.06</v>
      </c>
      <c r="G56" s="100">
        <v>47.69</v>
      </c>
      <c r="H56" s="100">
        <v>14.62</v>
      </c>
      <c r="I56" s="100">
        <v>6.23</v>
      </c>
      <c r="J56" s="100">
        <v>0.31</v>
      </c>
      <c r="K56" s="100">
        <v>49.64</v>
      </c>
      <c r="L56" s="100">
        <v>29.4</v>
      </c>
      <c r="M56" s="100">
        <v>79.58</v>
      </c>
      <c r="N56" s="100">
        <v>233.5</v>
      </c>
      <c r="O56" s="100">
        <v>0</v>
      </c>
      <c r="P56" s="100">
        <v>0.38</v>
      </c>
      <c r="Q56" s="100">
        <v>10</v>
      </c>
      <c r="R56" s="6"/>
      <c r="S56" s="6"/>
      <c r="T56" s="156"/>
      <c r="U56" s="6"/>
    </row>
    <row r="57" spans="1:21" customFormat="1">
      <c r="A57" s="201" t="s">
        <v>385</v>
      </c>
      <c r="B57" s="100">
        <v>7.33</v>
      </c>
      <c r="C57" s="100">
        <v>14.34</v>
      </c>
      <c r="D57" s="100">
        <v>13.37</v>
      </c>
      <c r="E57" s="100">
        <v>4.5</v>
      </c>
      <c r="F57" s="100">
        <v>0.06</v>
      </c>
      <c r="G57" s="100">
        <v>66.11</v>
      </c>
      <c r="H57" s="100">
        <v>14.73</v>
      </c>
      <c r="I57" s="100">
        <v>6.19</v>
      </c>
      <c r="J57" s="100">
        <v>0.21</v>
      </c>
      <c r="K57" s="100">
        <v>38.520000000000003</v>
      </c>
      <c r="L57" s="100">
        <v>29.9</v>
      </c>
      <c r="M57" s="100">
        <v>76.459999999999994</v>
      </c>
      <c r="N57" s="100">
        <v>400.2</v>
      </c>
      <c r="O57" s="100">
        <v>0</v>
      </c>
      <c r="P57" s="100">
        <v>0.37</v>
      </c>
      <c r="Q57" s="100">
        <v>10</v>
      </c>
      <c r="R57" s="6"/>
      <c r="S57" s="6"/>
      <c r="T57" s="156"/>
      <c r="U57" s="6"/>
    </row>
    <row r="58" spans="1:21" customFormat="1">
      <c r="A58" s="201" t="s">
        <v>386</v>
      </c>
      <c r="B58" s="100">
        <v>6.68</v>
      </c>
      <c r="C58" s="100">
        <v>14.61</v>
      </c>
      <c r="D58" s="100">
        <v>12.99</v>
      </c>
      <c r="E58" s="100">
        <v>5.0999999999999996</v>
      </c>
      <c r="F58" s="100">
        <v>8.52</v>
      </c>
      <c r="G58" s="100">
        <v>185.86</v>
      </c>
      <c r="H58" s="100">
        <v>15.29</v>
      </c>
      <c r="I58" s="100">
        <v>5.81</v>
      </c>
      <c r="J58" s="100">
        <v>0.26</v>
      </c>
      <c r="K58" s="100">
        <v>32.11</v>
      </c>
      <c r="L58" s="100">
        <v>29.86</v>
      </c>
      <c r="M58" s="100">
        <v>77.599999999999994</v>
      </c>
      <c r="N58" s="100">
        <v>137.69999999999999</v>
      </c>
      <c r="O58" s="100">
        <v>0</v>
      </c>
      <c r="P58" s="100">
        <v>0.36</v>
      </c>
      <c r="Q58" s="100">
        <v>10</v>
      </c>
      <c r="R58" s="6"/>
      <c r="S58" s="6"/>
      <c r="T58" s="156"/>
      <c r="U58" s="6"/>
    </row>
    <row r="59" spans="1:21" customFormat="1">
      <c r="A59" s="201" t="s">
        <v>387</v>
      </c>
      <c r="B59" s="100">
        <v>7.39</v>
      </c>
      <c r="C59" s="100">
        <v>13.81</v>
      </c>
      <c r="D59" s="100">
        <v>13.14</v>
      </c>
      <c r="E59" s="100">
        <v>4.58</v>
      </c>
      <c r="F59" s="100">
        <v>6.3</v>
      </c>
      <c r="G59" s="100">
        <v>185.86</v>
      </c>
      <c r="H59" s="100">
        <v>15.29</v>
      </c>
      <c r="I59" s="100">
        <v>5.61</v>
      </c>
      <c r="J59" s="100">
        <v>0.02</v>
      </c>
      <c r="K59" s="100">
        <v>232.67</v>
      </c>
      <c r="L59" s="100">
        <v>29.49</v>
      </c>
      <c r="M59" s="100">
        <v>78.349999999999994</v>
      </c>
      <c r="N59" s="100">
        <v>403.3</v>
      </c>
      <c r="O59" s="100">
        <v>0</v>
      </c>
      <c r="P59" s="100">
        <v>0.35</v>
      </c>
      <c r="Q59" s="100">
        <v>10</v>
      </c>
      <c r="R59" s="6"/>
      <c r="S59" s="6"/>
      <c r="T59" s="156"/>
      <c r="U59" s="6"/>
    </row>
    <row r="60" spans="1:21" customFormat="1">
      <c r="A60" s="201" t="s">
        <v>388</v>
      </c>
      <c r="B60" s="100">
        <v>5.77</v>
      </c>
      <c r="C60" s="100">
        <v>13.97</v>
      </c>
      <c r="D60" s="100">
        <v>11.92</v>
      </c>
      <c r="E60" s="100">
        <v>4.71</v>
      </c>
      <c r="F60" s="100">
        <v>9.74</v>
      </c>
      <c r="G60" s="100">
        <v>185.86</v>
      </c>
      <c r="H60" s="100">
        <v>15.29</v>
      </c>
      <c r="I60" s="100">
        <v>5.54</v>
      </c>
      <c r="J60" s="100">
        <v>0.39</v>
      </c>
      <c r="K60" s="100">
        <v>229.11</v>
      </c>
      <c r="L60" s="100">
        <v>30.16</v>
      </c>
      <c r="M60" s="100">
        <v>75.77</v>
      </c>
      <c r="N60" s="100">
        <v>350.7</v>
      </c>
      <c r="O60" s="100">
        <v>0</v>
      </c>
      <c r="P60" s="100">
        <v>0.32</v>
      </c>
      <c r="Q60" s="100">
        <v>10</v>
      </c>
      <c r="R60" s="6"/>
      <c r="S60" s="6"/>
      <c r="T60" s="156"/>
      <c r="U60" s="6"/>
    </row>
    <row r="61" spans="1:21" customFormat="1">
      <c r="A61" s="201" t="s">
        <v>389</v>
      </c>
      <c r="B61" s="100">
        <v>4.47</v>
      </c>
      <c r="C61" s="100">
        <v>14.32</v>
      </c>
      <c r="D61" s="100">
        <v>11.07</v>
      </c>
      <c r="E61" s="100">
        <v>5.0599999999999996</v>
      </c>
      <c r="F61" s="100">
        <v>6.52</v>
      </c>
      <c r="G61" s="100">
        <v>171.2</v>
      </c>
      <c r="H61" s="100">
        <v>15.16</v>
      </c>
      <c r="I61" s="100">
        <v>5.32</v>
      </c>
      <c r="J61" s="100">
        <v>0.06</v>
      </c>
      <c r="K61" s="100">
        <v>53.41</v>
      </c>
      <c r="L61" s="100">
        <v>30.25</v>
      </c>
      <c r="M61" s="100">
        <v>73.33</v>
      </c>
      <c r="N61" s="100">
        <v>205</v>
      </c>
      <c r="O61" s="100">
        <v>0</v>
      </c>
      <c r="P61" s="100">
        <v>0.32</v>
      </c>
      <c r="Q61" s="100">
        <v>10</v>
      </c>
      <c r="R61" s="6"/>
      <c r="S61" s="6"/>
      <c r="T61" s="156"/>
      <c r="U61" s="6"/>
    </row>
    <row r="62" spans="1:21" customFormat="1">
      <c r="A62" s="201" t="s">
        <v>390</v>
      </c>
      <c r="B62" s="100">
        <v>3.58</v>
      </c>
      <c r="C62" s="100">
        <v>14.25</v>
      </c>
      <c r="D62" s="100">
        <v>10.32</v>
      </c>
      <c r="E62" s="100">
        <v>5.2</v>
      </c>
      <c r="F62" s="100">
        <v>8.06</v>
      </c>
      <c r="G62" s="100">
        <v>75.959999999999994</v>
      </c>
      <c r="H62" s="100">
        <v>14.48</v>
      </c>
      <c r="I62" s="100">
        <v>5.16</v>
      </c>
      <c r="J62" s="100">
        <v>0.09</v>
      </c>
      <c r="K62" s="100">
        <v>228.46</v>
      </c>
      <c r="L62" s="100">
        <v>29.91</v>
      </c>
      <c r="M62" s="100">
        <v>75.150000000000006</v>
      </c>
      <c r="N62" s="100">
        <v>87.7</v>
      </c>
      <c r="O62" s="100">
        <v>0</v>
      </c>
      <c r="P62" s="100">
        <v>0.3</v>
      </c>
      <c r="Q62" s="100">
        <v>10</v>
      </c>
      <c r="R62" s="6"/>
      <c r="S62" s="6"/>
      <c r="T62" s="156"/>
      <c r="U62" s="6"/>
    </row>
    <row r="63" spans="1:21" customFormat="1">
      <c r="A63" s="201" t="s">
        <v>391</v>
      </c>
      <c r="B63" s="100">
        <v>3.77</v>
      </c>
      <c r="C63" s="100">
        <v>14.5</v>
      </c>
      <c r="D63" s="100">
        <v>10.6</v>
      </c>
      <c r="E63" s="100">
        <v>5.49</v>
      </c>
      <c r="F63" s="100">
        <v>5.92</v>
      </c>
      <c r="G63" s="100">
        <v>75.959999999999994</v>
      </c>
      <c r="H63" s="100">
        <v>14.48</v>
      </c>
      <c r="I63" s="100">
        <v>4.93</v>
      </c>
      <c r="J63" s="100">
        <v>0.12</v>
      </c>
      <c r="K63" s="100">
        <v>223.56</v>
      </c>
      <c r="L63" s="100">
        <v>29.32</v>
      </c>
      <c r="M63" s="100">
        <v>78.930000000000007</v>
      </c>
      <c r="N63" s="100">
        <v>57.7</v>
      </c>
      <c r="O63" s="100">
        <v>0</v>
      </c>
      <c r="P63" s="100">
        <v>0.33</v>
      </c>
      <c r="Q63" s="100">
        <v>10</v>
      </c>
      <c r="R63" s="6"/>
      <c r="S63" s="6"/>
      <c r="T63" s="156"/>
      <c r="U63" s="6"/>
    </row>
    <row r="64" spans="1:21" customFormat="1">
      <c r="A64" s="201" t="s">
        <v>392</v>
      </c>
      <c r="B64" s="100">
        <v>3.83</v>
      </c>
      <c r="C64" s="100">
        <v>14.52</v>
      </c>
      <c r="D64" s="100">
        <v>10.66</v>
      </c>
      <c r="E64" s="100">
        <v>7.38</v>
      </c>
      <c r="F64" s="100">
        <v>11</v>
      </c>
      <c r="G64" s="100">
        <v>75.959999999999994</v>
      </c>
      <c r="H64" s="100">
        <v>14.48</v>
      </c>
      <c r="I64" s="100">
        <v>4.93</v>
      </c>
      <c r="J64" s="100">
        <v>0.28999999999999998</v>
      </c>
      <c r="K64" s="100">
        <v>230.52</v>
      </c>
      <c r="L64" s="100">
        <v>29.31</v>
      </c>
      <c r="M64" s="100">
        <v>80.040000000000006</v>
      </c>
      <c r="N64" s="100">
        <v>119.4</v>
      </c>
      <c r="O64" s="100">
        <v>0</v>
      </c>
      <c r="P64" s="100">
        <v>0.32</v>
      </c>
      <c r="Q64" s="100">
        <v>10</v>
      </c>
      <c r="R64" s="6"/>
      <c r="S64" s="6"/>
      <c r="T64" s="156"/>
      <c r="U64" s="6"/>
    </row>
    <row r="65" spans="1:21" customFormat="1">
      <c r="A65" s="201" t="s">
        <v>393</v>
      </c>
      <c r="B65" s="100">
        <v>3.43</v>
      </c>
      <c r="C65" s="100">
        <v>14.39</v>
      </c>
      <c r="D65" s="100">
        <v>10.27</v>
      </c>
      <c r="E65" s="100">
        <v>6.83</v>
      </c>
      <c r="F65" s="100">
        <v>6.12</v>
      </c>
      <c r="G65" s="100">
        <v>74.069999999999993</v>
      </c>
      <c r="H65" s="100">
        <v>14.41</v>
      </c>
      <c r="I65" s="100">
        <v>4.25</v>
      </c>
      <c r="J65" s="100">
        <v>0.38</v>
      </c>
      <c r="K65" s="100">
        <v>230.64</v>
      </c>
      <c r="L65" s="100">
        <v>29.73</v>
      </c>
      <c r="M65" s="100">
        <v>77.790000000000006</v>
      </c>
      <c r="N65" s="100">
        <v>150</v>
      </c>
      <c r="O65" s="100">
        <v>0</v>
      </c>
      <c r="P65" s="100">
        <v>0.3</v>
      </c>
      <c r="Q65" s="100">
        <v>10</v>
      </c>
      <c r="R65" s="6"/>
      <c r="S65" s="6"/>
      <c r="T65" s="156"/>
      <c r="U65" s="6"/>
    </row>
    <row r="66" spans="1:21" customFormat="1">
      <c r="A66" s="201" t="s">
        <v>394</v>
      </c>
      <c r="B66" s="100">
        <v>3.23</v>
      </c>
      <c r="C66" s="100">
        <v>14.39</v>
      </c>
      <c r="D66" s="100">
        <v>10.11</v>
      </c>
      <c r="E66" s="100">
        <v>5.77</v>
      </c>
      <c r="F66" s="100">
        <v>8.8800000000000008</v>
      </c>
      <c r="G66" s="100">
        <v>62.24</v>
      </c>
      <c r="H66" s="100">
        <v>14.11</v>
      </c>
      <c r="I66" s="100">
        <v>3.76</v>
      </c>
      <c r="J66" s="100">
        <v>0.08</v>
      </c>
      <c r="K66" s="100">
        <v>221.92</v>
      </c>
      <c r="L66" s="100">
        <v>29.9</v>
      </c>
      <c r="M66" s="100">
        <v>76.7</v>
      </c>
      <c r="N66" s="100">
        <v>129.69999999999999</v>
      </c>
      <c r="O66" s="100">
        <v>0</v>
      </c>
      <c r="P66" s="100">
        <v>0.3</v>
      </c>
      <c r="Q66" s="100">
        <v>10</v>
      </c>
      <c r="R66" s="6"/>
      <c r="S66" s="6"/>
      <c r="T66" s="156"/>
      <c r="U66" s="6"/>
    </row>
    <row r="67" spans="1:21" customFormat="1">
      <c r="A67" s="201" t="s">
        <v>395</v>
      </c>
      <c r="B67" s="100">
        <v>2.8</v>
      </c>
      <c r="C67" s="100">
        <v>14.43</v>
      </c>
      <c r="D67" s="100">
        <v>9.7799999999999994</v>
      </c>
      <c r="E67" s="100">
        <v>5.33</v>
      </c>
      <c r="F67" s="100">
        <v>6.49</v>
      </c>
      <c r="G67" s="100">
        <v>62.24</v>
      </c>
      <c r="H67" s="100">
        <v>14.11</v>
      </c>
      <c r="I67" s="100">
        <v>4.32</v>
      </c>
      <c r="J67" s="100">
        <v>0.28000000000000003</v>
      </c>
      <c r="K67" s="100">
        <v>230.46</v>
      </c>
      <c r="L67" s="100">
        <v>30.15</v>
      </c>
      <c r="M67" s="100">
        <v>74.92</v>
      </c>
      <c r="N67" s="100">
        <v>168.5</v>
      </c>
      <c r="O67" s="100">
        <v>0</v>
      </c>
      <c r="P67" s="100">
        <v>0.28000000000000003</v>
      </c>
      <c r="Q67" s="100">
        <v>10</v>
      </c>
      <c r="R67" s="6"/>
      <c r="S67" s="6"/>
      <c r="T67" s="156"/>
      <c r="U67" s="6"/>
    </row>
    <row r="68" spans="1:21" customFormat="1">
      <c r="A68" s="201" t="s">
        <v>396</v>
      </c>
      <c r="B68" s="100">
        <v>2.59</v>
      </c>
      <c r="C68" s="100">
        <v>14.89</v>
      </c>
      <c r="D68" s="100">
        <v>9.85</v>
      </c>
      <c r="E68" s="100">
        <v>3.4</v>
      </c>
      <c r="F68" s="100">
        <v>3.09</v>
      </c>
      <c r="G68" s="100">
        <v>62.24</v>
      </c>
      <c r="H68" s="100">
        <v>14.11</v>
      </c>
      <c r="I68" s="100">
        <v>3.98</v>
      </c>
      <c r="J68" s="100">
        <v>0.22</v>
      </c>
      <c r="K68" s="100">
        <v>216.09</v>
      </c>
      <c r="L68" s="100">
        <v>30.45</v>
      </c>
      <c r="M68" s="100">
        <v>71.81</v>
      </c>
      <c r="N68" s="100">
        <v>152.69999999999999</v>
      </c>
      <c r="O68" s="100">
        <v>0</v>
      </c>
      <c r="P68" s="100">
        <v>0.28000000000000003</v>
      </c>
      <c r="Q68" s="100">
        <v>10</v>
      </c>
      <c r="R68" s="6"/>
      <c r="S68" s="6"/>
      <c r="T68" s="156"/>
      <c r="U68" s="6"/>
    </row>
    <row r="69" spans="1:21" customFormat="1">
      <c r="A69" s="201" t="s">
        <v>397</v>
      </c>
      <c r="B69" s="100">
        <v>2.7</v>
      </c>
      <c r="C69" s="100">
        <v>14.82</v>
      </c>
      <c r="D69" s="100">
        <v>9.9</v>
      </c>
      <c r="E69" s="100">
        <v>3.41</v>
      </c>
      <c r="F69" s="100">
        <v>5.01</v>
      </c>
      <c r="G69" s="100">
        <v>61.17</v>
      </c>
      <c r="H69" s="100">
        <v>14.7</v>
      </c>
      <c r="I69" s="100">
        <v>4.17</v>
      </c>
      <c r="J69" s="100">
        <v>0.21</v>
      </c>
      <c r="K69" s="100">
        <v>217.67</v>
      </c>
      <c r="L69" s="100">
        <v>30.62</v>
      </c>
      <c r="M69" s="100">
        <v>70.599999999999994</v>
      </c>
      <c r="N69" s="100">
        <v>131.1</v>
      </c>
      <c r="O69" s="100">
        <v>0</v>
      </c>
      <c r="P69" s="100">
        <v>0.27</v>
      </c>
      <c r="Q69" s="100">
        <v>10</v>
      </c>
      <c r="R69" s="6"/>
      <c r="S69" s="6"/>
      <c r="T69" s="156"/>
      <c r="U69" s="6"/>
    </row>
    <row r="70" spans="1:21" customFormat="1">
      <c r="A70" s="201" t="s">
        <v>398</v>
      </c>
      <c r="B70" s="100">
        <v>2.92</v>
      </c>
      <c r="C70" s="100">
        <v>14.6</v>
      </c>
      <c r="D70" s="100">
        <v>9.9700000000000006</v>
      </c>
      <c r="E70" s="100">
        <v>3.9</v>
      </c>
      <c r="F70" s="100">
        <v>8.0399999999999991</v>
      </c>
      <c r="G70" s="100">
        <v>54.17</v>
      </c>
      <c r="H70" s="100">
        <v>17.63</v>
      </c>
      <c r="I70" s="100">
        <v>4.5599999999999996</v>
      </c>
      <c r="J70" s="100">
        <v>0.14000000000000001</v>
      </c>
      <c r="K70" s="100">
        <v>223.67</v>
      </c>
      <c r="L70" s="100">
        <v>30.68</v>
      </c>
      <c r="M70" s="100">
        <v>69.77</v>
      </c>
      <c r="N70" s="100">
        <v>106.2</v>
      </c>
      <c r="O70" s="100">
        <v>0</v>
      </c>
      <c r="P70" s="100">
        <v>0.26</v>
      </c>
      <c r="Q70" s="100">
        <v>10</v>
      </c>
      <c r="R70" s="6"/>
      <c r="S70" s="6"/>
      <c r="T70" s="156"/>
      <c r="U70" s="6"/>
    </row>
    <row r="71" spans="1:21" customFormat="1">
      <c r="A71" s="201" t="s">
        <v>399</v>
      </c>
      <c r="B71" s="100">
        <v>2.5099999999999998</v>
      </c>
      <c r="C71" s="100">
        <v>13.4</v>
      </c>
      <c r="D71" s="100">
        <v>9.01</v>
      </c>
      <c r="E71" s="100">
        <v>5.68</v>
      </c>
      <c r="F71" s="100">
        <v>19.86</v>
      </c>
      <c r="G71" s="100">
        <v>54.17</v>
      </c>
      <c r="H71" s="100">
        <v>17.63</v>
      </c>
      <c r="I71" s="100">
        <v>4.58</v>
      </c>
      <c r="J71" s="100">
        <v>0.3</v>
      </c>
      <c r="K71" s="100">
        <v>216.25</v>
      </c>
      <c r="L71" s="100">
        <v>30.32</v>
      </c>
      <c r="M71" s="100">
        <v>74.92</v>
      </c>
      <c r="N71" s="100">
        <v>88.1</v>
      </c>
      <c r="O71" s="100">
        <v>0</v>
      </c>
      <c r="P71" s="100">
        <v>0.23</v>
      </c>
      <c r="Q71" s="100">
        <v>10</v>
      </c>
      <c r="R71" s="6"/>
      <c r="S71" s="6"/>
      <c r="T71" s="156"/>
      <c r="U71" s="6"/>
    </row>
    <row r="72" spans="1:21" customFormat="1">
      <c r="A72" s="201" t="s">
        <v>400</v>
      </c>
      <c r="B72" s="100">
        <v>2.06</v>
      </c>
      <c r="C72" s="100">
        <v>12.45</v>
      </c>
      <c r="D72" s="100">
        <v>8.16</v>
      </c>
      <c r="E72" s="100">
        <v>4.83</v>
      </c>
      <c r="F72" s="100">
        <v>17.96</v>
      </c>
      <c r="G72" s="100">
        <v>54.17</v>
      </c>
      <c r="H72" s="100">
        <v>17.63</v>
      </c>
      <c r="I72" s="100">
        <v>4.51</v>
      </c>
      <c r="J72" s="100">
        <v>0.28999999999999998</v>
      </c>
      <c r="K72" s="100">
        <v>202.51</v>
      </c>
      <c r="L72" s="100">
        <v>30.05</v>
      </c>
      <c r="M72" s="100">
        <v>79.099999999999994</v>
      </c>
      <c r="N72" s="100">
        <v>65</v>
      </c>
      <c r="O72" s="100">
        <v>0</v>
      </c>
      <c r="P72" s="100">
        <v>0.24</v>
      </c>
      <c r="Q72" s="100">
        <v>10</v>
      </c>
      <c r="R72" s="6"/>
      <c r="S72" s="6"/>
      <c r="T72" s="156"/>
      <c r="U72" s="6"/>
    </row>
    <row r="73" spans="1:21" customFormat="1">
      <c r="A73" s="201" t="s">
        <v>401</v>
      </c>
      <c r="B73" s="100">
        <v>2.15</v>
      </c>
      <c r="C73" s="100">
        <v>12.44</v>
      </c>
      <c r="D73" s="100">
        <v>8.23</v>
      </c>
      <c r="E73" s="100">
        <v>4.5199999999999996</v>
      </c>
      <c r="F73" s="100">
        <v>15.31</v>
      </c>
      <c r="G73" s="100">
        <v>52.54</v>
      </c>
      <c r="H73" s="100">
        <v>17.64</v>
      </c>
      <c r="I73" s="100">
        <v>3.76</v>
      </c>
      <c r="J73" s="100">
        <v>0.14000000000000001</v>
      </c>
      <c r="K73" s="100">
        <v>227.49</v>
      </c>
      <c r="L73" s="100">
        <v>29.85</v>
      </c>
      <c r="M73" s="100">
        <v>77.86</v>
      </c>
      <c r="N73" s="100">
        <v>15.1</v>
      </c>
      <c r="O73" s="100">
        <v>0</v>
      </c>
      <c r="P73" s="100">
        <v>0.25</v>
      </c>
      <c r="Q73" s="100">
        <v>10</v>
      </c>
      <c r="R73" s="6"/>
      <c r="S73" s="6"/>
      <c r="T73" s="156"/>
      <c r="U73" s="6"/>
    </row>
    <row r="74" spans="1:21" customFormat="1">
      <c r="A74" s="201" t="s">
        <v>402</v>
      </c>
      <c r="B74" s="100">
        <v>2.5299999999999998</v>
      </c>
      <c r="C74" s="100">
        <v>13.34</v>
      </c>
      <c r="D74" s="100">
        <v>9</v>
      </c>
      <c r="E74" s="100">
        <v>4.1900000000000004</v>
      </c>
      <c r="F74" s="100">
        <v>4.83</v>
      </c>
      <c r="G74" s="100">
        <v>42.01</v>
      </c>
      <c r="H74" s="100">
        <v>17.68</v>
      </c>
      <c r="I74" s="100">
        <v>3.29</v>
      </c>
      <c r="J74" s="100">
        <v>0.62</v>
      </c>
      <c r="K74" s="100">
        <v>62.76</v>
      </c>
      <c r="L74" s="100">
        <v>27.74</v>
      </c>
      <c r="M74" s="100">
        <v>84.78</v>
      </c>
      <c r="N74" s="100">
        <v>15</v>
      </c>
      <c r="O74" s="100">
        <v>4.8</v>
      </c>
      <c r="P74" s="100">
        <v>0.24</v>
      </c>
      <c r="Q74" s="100">
        <v>10</v>
      </c>
      <c r="R74" s="6"/>
      <c r="S74" s="6"/>
      <c r="T74" s="156"/>
      <c r="U74" s="6"/>
    </row>
    <row r="75" spans="1:21" customFormat="1">
      <c r="A75" s="201" t="s">
        <v>403</v>
      </c>
      <c r="B75" s="100">
        <v>2.0699999999999998</v>
      </c>
      <c r="C75" s="100">
        <v>12.62</v>
      </c>
      <c r="D75" s="100">
        <v>8.25</v>
      </c>
      <c r="E75" s="100">
        <v>3.44</v>
      </c>
      <c r="F75" s="100">
        <v>19.079999999999998</v>
      </c>
      <c r="G75" s="100">
        <v>42.01</v>
      </c>
      <c r="H75" s="100">
        <v>17.68</v>
      </c>
      <c r="I75" s="100">
        <v>3.39</v>
      </c>
      <c r="J75" s="100">
        <v>0.2</v>
      </c>
      <c r="K75" s="100">
        <v>125.02</v>
      </c>
      <c r="L75" s="100">
        <v>25.72</v>
      </c>
      <c r="M75" s="100">
        <v>91.62</v>
      </c>
      <c r="N75" s="100">
        <v>11.2</v>
      </c>
      <c r="O75" s="100">
        <v>1.4</v>
      </c>
      <c r="P75" s="100">
        <v>0.19</v>
      </c>
      <c r="Q75" s="100">
        <v>10</v>
      </c>
      <c r="R75" s="6"/>
      <c r="S75" s="6"/>
      <c r="T75" s="156"/>
      <c r="U75" s="6"/>
    </row>
    <row r="76" spans="1:21" customFormat="1">
      <c r="A76" s="201" t="s">
        <v>404</v>
      </c>
      <c r="B76" s="100">
        <v>1.56</v>
      </c>
      <c r="C76" s="100">
        <v>11.89</v>
      </c>
      <c r="D76" s="100">
        <v>7.47</v>
      </c>
      <c r="E76" s="100">
        <v>2.9</v>
      </c>
      <c r="F76" s="100">
        <v>16.48</v>
      </c>
      <c r="G76" s="100">
        <v>42.01</v>
      </c>
      <c r="H76" s="100">
        <v>17.68</v>
      </c>
      <c r="I76" s="100">
        <v>3.96</v>
      </c>
      <c r="J76" s="100">
        <v>0.23</v>
      </c>
      <c r="K76" s="100">
        <v>139.61000000000001</v>
      </c>
      <c r="L76" s="100">
        <v>24.99</v>
      </c>
      <c r="M76" s="100">
        <v>92.2</v>
      </c>
      <c r="N76" s="100">
        <v>11.9</v>
      </c>
      <c r="O76" s="100">
        <v>0.4</v>
      </c>
      <c r="P76" s="100">
        <v>0.16</v>
      </c>
      <c r="Q76" s="100">
        <v>10</v>
      </c>
      <c r="R76" s="6"/>
      <c r="S76" s="6"/>
      <c r="T76" s="156"/>
      <c r="U76" s="6"/>
    </row>
    <row r="77" spans="1:21" customFormat="1">
      <c r="A77" s="201" t="s">
        <v>405</v>
      </c>
      <c r="B77" s="100">
        <v>1.48</v>
      </c>
      <c r="C77" s="100">
        <v>11.56</v>
      </c>
      <c r="D77" s="100">
        <v>7.23</v>
      </c>
      <c r="E77" s="100">
        <v>2.41</v>
      </c>
      <c r="F77" s="100">
        <v>12.9</v>
      </c>
      <c r="G77" s="100">
        <v>38.96</v>
      </c>
      <c r="H77" s="100">
        <v>17.62</v>
      </c>
      <c r="I77" s="100">
        <v>3.89</v>
      </c>
      <c r="J77" s="100">
        <v>0.17</v>
      </c>
      <c r="K77" s="100">
        <v>177.88</v>
      </c>
      <c r="L77" s="100">
        <v>24.89</v>
      </c>
      <c r="M77" s="100">
        <v>92.23</v>
      </c>
      <c r="N77" s="100">
        <v>11.8</v>
      </c>
      <c r="O77" s="100">
        <v>0</v>
      </c>
      <c r="P77" s="100">
        <v>0.16</v>
      </c>
      <c r="Q77" s="100">
        <v>10</v>
      </c>
      <c r="R77" s="6"/>
      <c r="S77" s="6"/>
      <c r="T77" s="156"/>
      <c r="U77" s="6"/>
    </row>
    <row r="78" spans="1:21" customFormat="1">
      <c r="A78" s="201" t="s">
        <v>406</v>
      </c>
      <c r="B78" s="100">
        <v>1.48</v>
      </c>
      <c r="C78" s="100">
        <v>11.15</v>
      </c>
      <c r="D78" s="100">
        <v>7.01</v>
      </c>
      <c r="E78" s="100">
        <v>2.13</v>
      </c>
      <c r="F78" s="100">
        <v>11.67</v>
      </c>
      <c r="G78" s="100">
        <v>19.14</v>
      </c>
      <c r="H78" s="100">
        <v>17.27</v>
      </c>
      <c r="I78" s="100">
        <v>3.67</v>
      </c>
      <c r="J78" s="100">
        <v>0.14000000000000001</v>
      </c>
      <c r="K78" s="100">
        <v>170.98</v>
      </c>
      <c r="L78" s="100">
        <v>24.97</v>
      </c>
      <c r="M78" s="100">
        <v>92.02</v>
      </c>
      <c r="N78" s="100">
        <v>17.100000000000001</v>
      </c>
      <c r="O78" s="100">
        <v>0</v>
      </c>
      <c r="P78" s="100">
        <v>0.15</v>
      </c>
      <c r="Q78" s="100">
        <v>10</v>
      </c>
      <c r="R78" s="6"/>
      <c r="S78" s="6"/>
      <c r="T78" s="156"/>
      <c r="U78" s="6"/>
    </row>
    <row r="79" spans="1:21" customFormat="1">
      <c r="A79" s="201" t="s">
        <v>407</v>
      </c>
      <c r="B79" s="100">
        <v>1.5</v>
      </c>
      <c r="C79" s="100">
        <v>10.92</v>
      </c>
      <c r="D79" s="100">
        <v>6.9</v>
      </c>
      <c r="E79" s="100">
        <v>1.97</v>
      </c>
      <c r="F79" s="100">
        <v>11.14</v>
      </c>
      <c r="G79" s="100">
        <v>19.14</v>
      </c>
      <c r="H79" s="100">
        <v>17.27</v>
      </c>
      <c r="I79" s="100">
        <v>3.55</v>
      </c>
      <c r="J79" s="100">
        <v>0.11</v>
      </c>
      <c r="K79" s="100">
        <v>209.37</v>
      </c>
      <c r="L79" s="100">
        <v>25.02</v>
      </c>
      <c r="M79" s="100">
        <v>92.04</v>
      </c>
      <c r="N79" s="100">
        <v>15.4</v>
      </c>
      <c r="O79" s="100">
        <v>0</v>
      </c>
      <c r="P79" s="100">
        <v>0.14000000000000001</v>
      </c>
      <c r="Q79" s="100">
        <v>10</v>
      </c>
      <c r="R79" s="6"/>
      <c r="S79" s="6"/>
      <c r="T79" s="156"/>
      <c r="U79" s="6"/>
    </row>
    <row r="80" spans="1:21" customFormat="1">
      <c r="A80" s="201" t="s">
        <v>408</v>
      </c>
      <c r="B80" s="100">
        <v>1.49</v>
      </c>
      <c r="C80" s="100">
        <v>10.81</v>
      </c>
      <c r="D80" s="100">
        <v>6.84</v>
      </c>
      <c r="E80" s="100">
        <v>1.63</v>
      </c>
      <c r="F80" s="100">
        <v>9.6999999999999993</v>
      </c>
      <c r="G80" s="100">
        <v>19.14</v>
      </c>
      <c r="H80" s="100">
        <v>17.27</v>
      </c>
      <c r="I80" s="100">
        <v>3.5</v>
      </c>
      <c r="J80" s="100">
        <v>0.13</v>
      </c>
      <c r="K80" s="100">
        <v>219.52</v>
      </c>
      <c r="L80" s="100">
        <v>24.95</v>
      </c>
      <c r="M80" s="100">
        <v>91.66</v>
      </c>
      <c r="N80" s="100">
        <v>8.1999999999999993</v>
      </c>
      <c r="O80" s="100">
        <v>0</v>
      </c>
      <c r="P80" s="100">
        <v>0.14000000000000001</v>
      </c>
      <c r="Q80" s="100">
        <v>10</v>
      </c>
      <c r="R80" s="6"/>
      <c r="S80" s="6"/>
      <c r="T80" s="156"/>
      <c r="U80" s="6"/>
    </row>
    <row r="81" spans="1:21" customFormat="1">
      <c r="A81" s="201" t="s">
        <v>409</v>
      </c>
      <c r="B81" s="100">
        <v>1.53</v>
      </c>
      <c r="C81" s="100">
        <v>11.1</v>
      </c>
      <c r="D81" s="100">
        <v>7.02</v>
      </c>
      <c r="E81" s="100">
        <v>2.52</v>
      </c>
      <c r="F81" s="100">
        <v>5.31</v>
      </c>
      <c r="G81" s="100">
        <v>19.34</v>
      </c>
      <c r="H81" s="100">
        <v>16.63</v>
      </c>
      <c r="I81" s="100">
        <v>3.5</v>
      </c>
      <c r="J81" s="100">
        <v>0.13</v>
      </c>
      <c r="K81" s="100">
        <v>180.94</v>
      </c>
      <c r="L81" s="100">
        <v>25.12</v>
      </c>
      <c r="M81" s="100">
        <v>92.15</v>
      </c>
      <c r="N81" s="100">
        <v>4.8</v>
      </c>
      <c r="O81" s="100">
        <v>0</v>
      </c>
      <c r="P81" s="100">
        <v>0.14000000000000001</v>
      </c>
      <c r="Q81" s="100">
        <v>10</v>
      </c>
      <c r="R81" s="6"/>
      <c r="S81" s="6"/>
      <c r="T81" s="156"/>
      <c r="U81" s="6"/>
    </row>
    <row r="82" spans="1:21" customFormat="1">
      <c r="A82" s="201" t="s">
        <v>410</v>
      </c>
      <c r="B82" s="100">
        <v>1.7</v>
      </c>
      <c r="C82" s="100">
        <v>11.73</v>
      </c>
      <c r="D82" s="100">
        <v>7.5</v>
      </c>
      <c r="E82" s="100">
        <v>3.09</v>
      </c>
      <c r="F82" s="100">
        <v>3.34</v>
      </c>
      <c r="G82" s="100">
        <v>20.63</v>
      </c>
      <c r="H82" s="100">
        <v>13.46</v>
      </c>
      <c r="I82" s="100">
        <v>3.59</v>
      </c>
      <c r="J82" s="100">
        <v>0.17</v>
      </c>
      <c r="K82" s="100">
        <v>186.14</v>
      </c>
      <c r="L82" s="100">
        <v>25.2</v>
      </c>
      <c r="M82" s="100">
        <v>92.18</v>
      </c>
      <c r="N82" s="100">
        <v>2.4</v>
      </c>
      <c r="O82" s="100">
        <v>0</v>
      </c>
      <c r="P82" s="100">
        <v>0.15</v>
      </c>
      <c r="Q82" s="100">
        <v>10</v>
      </c>
      <c r="R82" s="6"/>
      <c r="S82" s="6"/>
      <c r="T82" s="156"/>
      <c r="U82" s="6"/>
    </row>
    <row r="83" spans="1:21" customFormat="1">
      <c r="A83" s="201" t="s">
        <v>411</v>
      </c>
      <c r="B83" s="100">
        <v>1.93</v>
      </c>
      <c r="C83" s="100">
        <v>12.1</v>
      </c>
      <c r="D83" s="100">
        <v>7.87</v>
      </c>
      <c r="E83" s="100">
        <v>3.57</v>
      </c>
      <c r="F83" s="100">
        <v>2.0099999999999998</v>
      </c>
      <c r="G83" s="100">
        <v>20.63</v>
      </c>
      <c r="H83" s="100">
        <v>13.46</v>
      </c>
      <c r="I83" s="100">
        <v>2.91</v>
      </c>
      <c r="J83" s="100">
        <v>0.18</v>
      </c>
      <c r="K83" s="100">
        <v>185.24</v>
      </c>
      <c r="L83" s="100">
        <v>25.29</v>
      </c>
      <c r="M83" s="100">
        <v>92.91</v>
      </c>
      <c r="N83" s="100">
        <v>2.2000000000000002</v>
      </c>
      <c r="O83" s="100">
        <v>0</v>
      </c>
      <c r="P83" s="100">
        <v>0.17</v>
      </c>
      <c r="Q83" s="100">
        <v>10</v>
      </c>
      <c r="R83" s="6"/>
      <c r="S83" s="6"/>
      <c r="T83" s="156"/>
      <c r="U83" s="6"/>
    </row>
    <row r="84" spans="1:21" customFormat="1">
      <c r="A84" s="201" t="s">
        <v>412</v>
      </c>
      <c r="B84" s="100">
        <v>2.13</v>
      </c>
      <c r="C84" s="100">
        <v>12.08</v>
      </c>
      <c r="D84" s="100">
        <v>8.02</v>
      </c>
      <c r="E84" s="100">
        <v>3.75</v>
      </c>
      <c r="F84" s="100">
        <v>2.0499999999999998</v>
      </c>
      <c r="G84" s="100">
        <v>20.63</v>
      </c>
      <c r="H84" s="100">
        <v>13.46</v>
      </c>
      <c r="I84" s="100">
        <v>2.52</v>
      </c>
      <c r="J84" s="100">
        <v>0.11</v>
      </c>
      <c r="K84" s="100">
        <v>170.9</v>
      </c>
      <c r="L84" s="100">
        <v>25.45</v>
      </c>
      <c r="M84" s="100">
        <v>92.97</v>
      </c>
      <c r="N84" s="100">
        <v>2</v>
      </c>
      <c r="O84" s="100">
        <v>0</v>
      </c>
      <c r="P84" s="100">
        <v>0.18</v>
      </c>
      <c r="Q84" s="100">
        <v>10</v>
      </c>
      <c r="R84" s="6"/>
      <c r="S84" s="6"/>
      <c r="T84" s="156"/>
      <c r="U84" s="6"/>
    </row>
    <row r="85" spans="1:21" customFormat="1">
      <c r="A85" s="201" t="s">
        <v>413</v>
      </c>
      <c r="B85" s="100">
        <v>2.37</v>
      </c>
      <c r="C85" s="100">
        <v>12.13</v>
      </c>
      <c r="D85" s="100">
        <v>8.24</v>
      </c>
      <c r="E85" s="100">
        <v>4.01</v>
      </c>
      <c r="F85" s="100">
        <v>2</v>
      </c>
      <c r="G85" s="100">
        <v>21.73</v>
      </c>
      <c r="H85" s="100">
        <v>13.83</v>
      </c>
      <c r="I85" s="100">
        <v>3.13</v>
      </c>
      <c r="J85" s="100">
        <v>0.11</v>
      </c>
      <c r="K85" s="100">
        <v>170.42</v>
      </c>
      <c r="L85" s="100">
        <v>25.56</v>
      </c>
      <c r="M85" s="100">
        <v>92.85</v>
      </c>
      <c r="N85" s="100">
        <v>2.2000000000000002</v>
      </c>
      <c r="O85" s="100">
        <v>0</v>
      </c>
      <c r="P85" s="100">
        <v>0.19</v>
      </c>
      <c r="Q85" s="100">
        <v>10</v>
      </c>
      <c r="R85" s="6"/>
      <c r="S85" s="6"/>
      <c r="T85" s="156"/>
      <c r="U85" s="6"/>
    </row>
    <row r="86" spans="1:21" customFormat="1">
      <c r="A86" s="201" t="s">
        <v>414</v>
      </c>
      <c r="B86" s="100">
        <v>2.64</v>
      </c>
      <c r="C86" s="100">
        <v>12.2</v>
      </c>
      <c r="D86" s="100">
        <v>8.49</v>
      </c>
      <c r="E86" s="100">
        <v>4.34</v>
      </c>
      <c r="F86" s="100">
        <v>2</v>
      </c>
      <c r="G86" s="100">
        <v>28.9</v>
      </c>
      <c r="H86" s="100">
        <v>15.67</v>
      </c>
      <c r="I86" s="100">
        <v>3.53</v>
      </c>
      <c r="J86" s="100">
        <v>0.09</v>
      </c>
      <c r="K86" s="100">
        <v>113.17</v>
      </c>
      <c r="L86" s="100">
        <v>25.71</v>
      </c>
      <c r="M86" s="100">
        <v>92.91</v>
      </c>
      <c r="N86" s="100">
        <v>2.2999999999999998</v>
      </c>
      <c r="O86" s="100">
        <v>0</v>
      </c>
      <c r="P86" s="100">
        <v>0.2</v>
      </c>
      <c r="Q86" s="100">
        <v>10</v>
      </c>
      <c r="R86" s="6"/>
      <c r="S86" s="6"/>
      <c r="T86" s="156"/>
      <c r="U86" s="6"/>
    </row>
    <row r="87" spans="1:21" customFormat="1">
      <c r="A87" s="201" t="s">
        <v>415</v>
      </c>
      <c r="B87" s="100">
        <v>3.01</v>
      </c>
      <c r="C87" s="100">
        <v>12.31</v>
      </c>
      <c r="D87" s="100">
        <v>8.85</v>
      </c>
      <c r="E87" s="100">
        <v>4.6399999999999997</v>
      </c>
      <c r="F87" s="100">
        <v>2</v>
      </c>
      <c r="G87" s="100">
        <v>28.9</v>
      </c>
      <c r="H87" s="100">
        <v>15.67</v>
      </c>
      <c r="I87" s="100">
        <v>3.73</v>
      </c>
      <c r="J87" s="100">
        <v>0.08</v>
      </c>
      <c r="K87" s="100">
        <v>214.05</v>
      </c>
      <c r="L87" s="100">
        <v>25.81</v>
      </c>
      <c r="M87" s="100">
        <v>92.88</v>
      </c>
      <c r="N87" s="100">
        <v>2.4</v>
      </c>
      <c r="O87" s="100">
        <v>0</v>
      </c>
      <c r="P87" s="100">
        <v>0.22</v>
      </c>
      <c r="Q87" s="100">
        <v>10</v>
      </c>
      <c r="R87" s="6"/>
      <c r="S87" s="6"/>
      <c r="T87" s="156"/>
      <c r="U87" s="6"/>
    </row>
    <row r="88" spans="1:21" customFormat="1">
      <c r="A88" s="201" t="s">
        <v>416</v>
      </c>
      <c r="B88" s="100">
        <v>3.39</v>
      </c>
      <c r="C88" s="100">
        <v>12.44</v>
      </c>
      <c r="D88" s="100">
        <v>9.2100000000000009</v>
      </c>
      <c r="E88" s="100">
        <v>4.71</v>
      </c>
      <c r="F88" s="100">
        <v>2</v>
      </c>
      <c r="G88" s="100">
        <v>28.9</v>
      </c>
      <c r="H88" s="100">
        <v>15.67</v>
      </c>
      <c r="I88" s="100">
        <v>3.92</v>
      </c>
      <c r="J88" s="100">
        <v>0.21</v>
      </c>
      <c r="K88" s="100">
        <v>104.04</v>
      </c>
      <c r="L88" s="100">
        <v>26.07</v>
      </c>
      <c r="M88" s="100">
        <v>92.86</v>
      </c>
      <c r="N88" s="100">
        <v>2.6</v>
      </c>
      <c r="O88" s="100">
        <v>0</v>
      </c>
      <c r="P88" s="100">
        <v>0.25</v>
      </c>
      <c r="Q88" s="100">
        <v>10</v>
      </c>
      <c r="R88" s="6"/>
      <c r="S88" s="6"/>
      <c r="T88" s="156"/>
      <c r="U88" s="6"/>
    </row>
    <row r="89" spans="1:21" customFormat="1">
      <c r="A89" s="201" t="s">
        <v>417</v>
      </c>
      <c r="B89" s="100">
        <v>3.7</v>
      </c>
      <c r="C89" s="100">
        <v>12.58</v>
      </c>
      <c r="D89" s="100">
        <v>9.5399999999999991</v>
      </c>
      <c r="E89" s="100">
        <v>4.8600000000000003</v>
      </c>
      <c r="F89" s="100">
        <v>2</v>
      </c>
      <c r="G89" s="100">
        <v>28.8</v>
      </c>
      <c r="H89" s="100">
        <v>15.65</v>
      </c>
      <c r="I89" s="100">
        <v>4.17</v>
      </c>
      <c r="J89" s="100">
        <v>0.18</v>
      </c>
      <c r="K89" s="100">
        <v>67.459999999999994</v>
      </c>
      <c r="L89" s="100">
        <v>26.03</v>
      </c>
      <c r="M89" s="100">
        <v>92.84</v>
      </c>
      <c r="N89" s="100">
        <v>3.2</v>
      </c>
      <c r="O89" s="100">
        <v>0</v>
      </c>
      <c r="P89" s="100">
        <v>0.27</v>
      </c>
      <c r="Q89" s="100">
        <v>10</v>
      </c>
      <c r="R89" s="6"/>
      <c r="S89" s="6"/>
      <c r="T89" s="156"/>
      <c r="U89" s="6"/>
    </row>
    <row r="90" spans="1:21" customFormat="1">
      <c r="A90" s="201" t="s">
        <v>418</v>
      </c>
      <c r="B90" s="100">
        <v>3.91</v>
      </c>
      <c r="C90" s="100">
        <v>12.72</v>
      </c>
      <c r="D90" s="100">
        <v>9.7799999999999994</v>
      </c>
      <c r="E90" s="100">
        <v>5.03</v>
      </c>
      <c r="F90" s="100">
        <v>2.36</v>
      </c>
      <c r="G90" s="100">
        <v>28.15</v>
      </c>
      <c r="H90" s="100">
        <v>15.58</v>
      </c>
      <c r="I90" s="100">
        <v>4.42</v>
      </c>
      <c r="J90" s="100">
        <v>1.29</v>
      </c>
      <c r="K90" s="100">
        <v>39.61</v>
      </c>
      <c r="L90" s="100">
        <v>24.68</v>
      </c>
      <c r="M90" s="100">
        <v>91.78</v>
      </c>
      <c r="N90" s="100">
        <v>8</v>
      </c>
      <c r="O90" s="100">
        <v>0.4</v>
      </c>
      <c r="P90" s="100">
        <v>0.27</v>
      </c>
      <c r="Q90" s="100">
        <v>10</v>
      </c>
      <c r="R90" s="6"/>
      <c r="S90" s="6"/>
      <c r="T90" s="156"/>
      <c r="U90" s="6"/>
    </row>
    <row r="91" spans="1:21" customFormat="1">
      <c r="A91" s="201" t="s">
        <v>419</v>
      </c>
      <c r="B91" s="100">
        <v>3.96</v>
      </c>
      <c r="C91" s="100">
        <v>12.68</v>
      </c>
      <c r="D91" s="100">
        <v>9.8000000000000007</v>
      </c>
      <c r="E91" s="100">
        <v>5.07</v>
      </c>
      <c r="F91" s="100">
        <v>2.72</v>
      </c>
      <c r="G91" s="100">
        <v>28.15</v>
      </c>
      <c r="H91" s="100">
        <v>15.58</v>
      </c>
      <c r="I91" s="100">
        <v>4.66</v>
      </c>
      <c r="J91" s="100">
        <v>1.6</v>
      </c>
      <c r="K91" s="100">
        <v>41.57</v>
      </c>
      <c r="L91" s="100">
        <v>23.28</v>
      </c>
      <c r="M91" s="100">
        <v>94.7</v>
      </c>
      <c r="N91" s="100">
        <v>3</v>
      </c>
      <c r="O91" s="100">
        <v>1.6</v>
      </c>
      <c r="P91" s="100">
        <v>0.26</v>
      </c>
      <c r="Q91" s="100">
        <v>10</v>
      </c>
      <c r="R91" s="6"/>
      <c r="S91" s="6"/>
      <c r="T91" s="156"/>
      <c r="U91" s="6"/>
    </row>
    <row r="92" spans="1:21" customFormat="1">
      <c r="A92" s="201" t="s">
        <v>420</v>
      </c>
      <c r="B92" s="100">
        <v>3.84</v>
      </c>
      <c r="C92" s="100">
        <v>12.68</v>
      </c>
      <c r="D92" s="100">
        <v>9.7100000000000009</v>
      </c>
      <c r="E92" s="100">
        <v>5.3</v>
      </c>
      <c r="F92" s="100">
        <v>2.48</v>
      </c>
      <c r="G92" s="100">
        <v>28.15</v>
      </c>
      <c r="H92" s="100">
        <v>15.58</v>
      </c>
      <c r="I92" s="100">
        <v>4.6399999999999997</v>
      </c>
      <c r="J92" s="100">
        <v>0.59</v>
      </c>
      <c r="K92" s="100">
        <v>36.03</v>
      </c>
      <c r="L92" s="100">
        <v>22.92</v>
      </c>
      <c r="M92" s="100">
        <v>94.99</v>
      </c>
      <c r="N92" s="100">
        <v>2.8</v>
      </c>
      <c r="O92" s="100">
        <v>2</v>
      </c>
      <c r="P92" s="100">
        <v>0.25</v>
      </c>
      <c r="Q92" s="100">
        <v>10</v>
      </c>
      <c r="R92" s="6"/>
      <c r="S92" s="6"/>
      <c r="T92" s="156"/>
      <c r="U92" s="6"/>
    </row>
    <row r="93" spans="1:21" customFormat="1">
      <c r="A93" s="201" t="s">
        <v>421</v>
      </c>
      <c r="B93" s="100">
        <v>3.72</v>
      </c>
      <c r="C93" s="100">
        <v>12.76</v>
      </c>
      <c r="D93" s="100">
        <v>9.65</v>
      </c>
      <c r="E93" s="100">
        <v>5.0599999999999996</v>
      </c>
      <c r="F93" s="100">
        <v>2.04</v>
      </c>
      <c r="G93" s="100">
        <v>26.64</v>
      </c>
      <c r="H93" s="100">
        <v>14.86</v>
      </c>
      <c r="I93" s="100">
        <v>4.46</v>
      </c>
      <c r="J93" s="100">
        <v>0.11</v>
      </c>
      <c r="K93" s="100">
        <v>130.72999999999999</v>
      </c>
      <c r="L93" s="100">
        <v>23.18</v>
      </c>
      <c r="M93" s="100">
        <v>94.88</v>
      </c>
      <c r="N93" s="100">
        <v>1.8</v>
      </c>
      <c r="O93" s="100">
        <v>0.4</v>
      </c>
      <c r="P93" s="100">
        <v>0.25</v>
      </c>
      <c r="Q93" s="100">
        <v>10</v>
      </c>
      <c r="R93" s="6"/>
      <c r="S93" s="6"/>
      <c r="T93" s="156"/>
      <c r="U93" s="6"/>
    </row>
    <row r="94" spans="1:21" customFormat="1">
      <c r="A94" s="201" t="s">
        <v>422</v>
      </c>
      <c r="B94" s="100">
        <v>3.65</v>
      </c>
      <c r="C94" s="100">
        <v>12.76</v>
      </c>
      <c r="D94" s="100">
        <v>9.6</v>
      </c>
      <c r="E94" s="100">
        <v>5.41</v>
      </c>
      <c r="F94" s="100">
        <v>2.04</v>
      </c>
      <c r="G94" s="100">
        <v>16.86</v>
      </c>
      <c r="H94" s="100">
        <v>10.9</v>
      </c>
      <c r="I94" s="100">
        <v>4.3499999999999996</v>
      </c>
      <c r="J94" s="100">
        <v>0.28000000000000003</v>
      </c>
      <c r="K94" s="100">
        <v>227.49</v>
      </c>
      <c r="L94" s="100">
        <v>23.48</v>
      </c>
      <c r="M94" s="100">
        <v>94.14</v>
      </c>
      <c r="N94" s="100">
        <v>1.8</v>
      </c>
      <c r="O94" s="100">
        <v>0.4</v>
      </c>
      <c r="P94" s="100">
        <v>0.24</v>
      </c>
      <c r="Q94" s="100">
        <v>10</v>
      </c>
      <c r="R94" s="6"/>
      <c r="S94" s="6"/>
      <c r="T94" s="156"/>
      <c r="U94" s="6"/>
    </row>
    <row r="95" spans="1:21" customFormat="1">
      <c r="A95" s="201" t="s">
        <v>423</v>
      </c>
      <c r="B95" s="100">
        <v>3.64</v>
      </c>
      <c r="C95" s="100">
        <v>12.61</v>
      </c>
      <c r="D95" s="100">
        <v>9.51</v>
      </c>
      <c r="E95" s="100">
        <v>5.28</v>
      </c>
      <c r="F95" s="100">
        <v>2</v>
      </c>
      <c r="G95" s="100">
        <v>16.86</v>
      </c>
      <c r="H95" s="100">
        <v>10.9</v>
      </c>
      <c r="I95" s="100">
        <v>4.2699999999999996</v>
      </c>
      <c r="J95" s="100">
        <v>0.38</v>
      </c>
      <c r="K95" s="100">
        <v>232.01</v>
      </c>
      <c r="L95" s="100">
        <v>23.57</v>
      </c>
      <c r="M95" s="100">
        <v>94.29</v>
      </c>
      <c r="N95" s="100">
        <v>2.2999999999999998</v>
      </c>
      <c r="O95" s="100">
        <v>0.6</v>
      </c>
      <c r="P95" s="100">
        <v>0.24</v>
      </c>
      <c r="Q95" s="100">
        <v>10</v>
      </c>
      <c r="R95" s="6"/>
      <c r="S95" s="6"/>
      <c r="T95" s="156"/>
      <c r="U95" s="6"/>
    </row>
    <row r="96" spans="1:21" customFormat="1">
      <c r="A96" s="201" t="s">
        <v>424</v>
      </c>
      <c r="B96" s="100">
        <v>3.69</v>
      </c>
      <c r="C96" s="100">
        <v>12.63</v>
      </c>
      <c r="D96" s="100">
        <v>9.56</v>
      </c>
      <c r="E96" s="100">
        <v>5.27</v>
      </c>
      <c r="F96" s="100">
        <v>2.0099999999999998</v>
      </c>
      <c r="G96" s="100">
        <v>16.86</v>
      </c>
      <c r="H96" s="100">
        <v>10.9</v>
      </c>
      <c r="I96" s="100">
        <v>4.1900000000000004</v>
      </c>
      <c r="J96" s="100">
        <v>0.12</v>
      </c>
      <c r="K96" s="100">
        <v>231.33</v>
      </c>
      <c r="L96" s="100">
        <v>23.58</v>
      </c>
      <c r="M96" s="100">
        <v>94.3</v>
      </c>
      <c r="N96" s="100">
        <v>2.1</v>
      </c>
      <c r="O96" s="100">
        <v>1</v>
      </c>
      <c r="P96" s="100">
        <v>0.24</v>
      </c>
      <c r="Q96" s="100">
        <v>10</v>
      </c>
      <c r="R96" s="6"/>
      <c r="S96" s="6"/>
      <c r="T96" s="156"/>
      <c r="U96" s="6"/>
    </row>
    <row r="97" spans="1:28" customFormat="1">
      <c r="A97" s="201" t="s">
        <v>425</v>
      </c>
      <c r="B97" s="100">
        <v>3.99</v>
      </c>
      <c r="C97" s="100">
        <v>12.95</v>
      </c>
      <c r="D97" s="100">
        <v>9.9700000000000006</v>
      </c>
      <c r="E97" s="100">
        <v>5.43</v>
      </c>
      <c r="F97" s="100">
        <v>2</v>
      </c>
      <c r="G97" s="100">
        <v>17.23</v>
      </c>
      <c r="H97" s="100">
        <v>10.37</v>
      </c>
      <c r="I97" s="100">
        <v>4.1500000000000004</v>
      </c>
      <c r="J97" s="100">
        <v>0.03</v>
      </c>
      <c r="K97" s="100">
        <v>128.05000000000001</v>
      </c>
      <c r="L97" s="100">
        <v>23.68</v>
      </c>
      <c r="M97" s="100">
        <v>93.96</v>
      </c>
      <c r="N97" s="100">
        <v>2.2000000000000002</v>
      </c>
      <c r="O97" s="100">
        <v>0.6</v>
      </c>
      <c r="P97" s="100">
        <v>0.25</v>
      </c>
      <c r="Q97" s="100">
        <v>10</v>
      </c>
      <c r="R97" s="6"/>
      <c r="S97" s="6"/>
      <c r="T97" s="156"/>
      <c r="U97" s="6"/>
    </row>
    <row r="98" spans="1:28" customFormat="1">
      <c r="A98" s="201" t="s">
        <v>426</v>
      </c>
      <c r="B98" s="100">
        <v>4.38</v>
      </c>
      <c r="C98" s="100">
        <v>13.04</v>
      </c>
      <c r="D98" s="100">
        <v>10.33</v>
      </c>
      <c r="E98" s="100">
        <v>5.65</v>
      </c>
      <c r="F98" s="100">
        <v>2</v>
      </c>
      <c r="G98" s="100">
        <v>19.61</v>
      </c>
      <c r="H98" s="100">
        <v>7.73</v>
      </c>
      <c r="I98" s="100">
        <v>4.32</v>
      </c>
      <c r="J98" s="100">
        <v>0.06</v>
      </c>
      <c r="K98" s="100">
        <v>169.77</v>
      </c>
      <c r="L98" s="100">
        <v>23.81</v>
      </c>
      <c r="M98" s="100">
        <v>93.83</v>
      </c>
      <c r="N98" s="100">
        <v>2.1</v>
      </c>
      <c r="O98" s="100">
        <v>0.6</v>
      </c>
      <c r="P98" s="100">
        <v>0.25</v>
      </c>
      <c r="Q98" s="100">
        <v>10</v>
      </c>
      <c r="R98" s="6"/>
      <c r="S98" s="6"/>
      <c r="T98" s="156"/>
      <c r="U98" s="6"/>
    </row>
    <row r="99" spans="1:28" customFormat="1">
      <c r="A99" s="201" t="s">
        <v>427</v>
      </c>
      <c r="B99" s="100">
        <v>4.74</v>
      </c>
      <c r="C99" s="100">
        <v>13.04</v>
      </c>
      <c r="D99" s="100">
        <v>10.62</v>
      </c>
      <c r="E99" s="100">
        <v>4.5199999999999996</v>
      </c>
      <c r="F99" s="100">
        <v>2.0099999999999998</v>
      </c>
      <c r="G99" s="100">
        <v>19.61</v>
      </c>
      <c r="H99" s="100">
        <v>7.73</v>
      </c>
      <c r="I99" s="100">
        <v>4.75</v>
      </c>
      <c r="J99" s="100">
        <v>0.04</v>
      </c>
      <c r="K99" s="100">
        <v>240.21</v>
      </c>
      <c r="L99" s="100">
        <v>23.77</v>
      </c>
      <c r="M99" s="100">
        <v>93.77</v>
      </c>
      <c r="N99" s="100">
        <v>2.4</v>
      </c>
      <c r="O99" s="100">
        <v>0.8</v>
      </c>
      <c r="P99" s="100">
        <v>0.25</v>
      </c>
      <c r="Q99" s="100">
        <v>10</v>
      </c>
      <c r="R99" s="6"/>
      <c r="S99" s="6"/>
      <c r="T99" s="156"/>
      <c r="U99" s="6"/>
    </row>
    <row r="100" spans="1:28" customFormat="1">
      <c r="A100" s="201" t="s">
        <v>428</v>
      </c>
      <c r="B100" s="100">
        <v>5.14</v>
      </c>
      <c r="C100" s="100">
        <v>13.08</v>
      </c>
      <c r="D100" s="100">
        <v>10.96</v>
      </c>
      <c r="E100" s="100">
        <v>5.18</v>
      </c>
      <c r="F100" s="100">
        <v>2</v>
      </c>
      <c r="G100" s="100">
        <v>19.61</v>
      </c>
      <c r="H100" s="100">
        <v>7.73</v>
      </c>
      <c r="I100" s="100">
        <v>4.91</v>
      </c>
      <c r="J100" s="100">
        <v>0.12</v>
      </c>
      <c r="K100" s="100">
        <v>227.36</v>
      </c>
      <c r="L100" s="100">
        <v>23.76</v>
      </c>
      <c r="M100" s="100">
        <v>93.78</v>
      </c>
      <c r="N100" s="100">
        <v>2.2000000000000002</v>
      </c>
      <c r="O100" s="100">
        <v>0.4</v>
      </c>
      <c r="P100" s="100">
        <v>0.25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429</v>
      </c>
      <c r="B101" s="100">
        <v>5.5</v>
      </c>
      <c r="C101" s="100">
        <v>13.15</v>
      </c>
      <c r="D101" s="100">
        <v>11.28</v>
      </c>
      <c r="E101" s="100">
        <v>5.34</v>
      </c>
      <c r="F101" s="100">
        <v>2.02</v>
      </c>
      <c r="G101" s="100">
        <v>17.61</v>
      </c>
      <c r="H101" s="100">
        <v>7.37</v>
      </c>
      <c r="I101" s="100">
        <v>4.8499999999999996</v>
      </c>
      <c r="J101" s="100">
        <v>0.16</v>
      </c>
      <c r="K101" s="100">
        <v>224.82</v>
      </c>
      <c r="L101" s="100">
        <v>23.77</v>
      </c>
      <c r="M101" s="100">
        <v>93.76</v>
      </c>
      <c r="N101" s="100">
        <v>2.2000000000000002</v>
      </c>
      <c r="O101" s="100">
        <v>0.4</v>
      </c>
      <c r="P101" s="100">
        <v>0.25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430</v>
      </c>
      <c r="B102" s="100">
        <v>5.79</v>
      </c>
      <c r="C102" s="100">
        <v>13.15</v>
      </c>
      <c r="D102" s="100">
        <v>11.52</v>
      </c>
      <c r="E102" s="100">
        <v>5.85</v>
      </c>
      <c r="F102" s="100">
        <v>2</v>
      </c>
      <c r="G102" s="100">
        <v>4.59</v>
      </c>
      <c r="H102" s="100">
        <v>5.53</v>
      </c>
      <c r="I102" s="100">
        <v>4.78</v>
      </c>
      <c r="J102" s="100">
        <v>0.24</v>
      </c>
      <c r="K102" s="100">
        <v>230.69</v>
      </c>
      <c r="L102" s="100">
        <v>23.8</v>
      </c>
      <c r="M102" s="100">
        <v>93.58</v>
      </c>
      <c r="N102" s="100">
        <v>2.2000000000000002</v>
      </c>
      <c r="O102" s="100">
        <v>0.4</v>
      </c>
      <c r="P102" s="100">
        <v>0.25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431</v>
      </c>
      <c r="B103" s="100">
        <v>6.11</v>
      </c>
      <c r="C103" s="100">
        <v>12.95</v>
      </c>
      <c r="D103" s="100">
        <v>11.66</v>
      </c>
      <c r="E103" s="100">
        <v>6.02</v>
      </c>
      <c r="F103" s="100">
        <v>2</v>
      </c>
      <c r="G103" s="100">
        <v>4.59</v>
      </c>
      <c r="H103" s="100">
        <v>5.53</v>
      </c>
      <c r="I103" s="100">
        <v>4.72</v>
      </c>
      <c r="J103" s="100">
        <v>0.09</v>
      </c>
      <c r="K103" s="100">
        <v>228.94</v>
      </c>
      <c r="L103" s="100">
        <v>23.75</v>
      </c>
      <c r="M103" s="100">
        <v>93.83</v>
      </c>
      <c r="N103" s="100">
        <v>2.4</v>
      </c>
      <c r="O103" s="100">
        <v>0.4</v>
      </c>
      <c r="P103" s="100">
        <v>0.22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432</v>
      </c>
      <c r="B104" s="100">
        <v>6.4</v>
      </c>
      <c r="C104" s="100">
        <v>13</v>
      </c>
      <c r="D104" s="100">
        <v>11.92</v>
      </c>
      <c r="E104" s="100">
        <v>5.41</v>
      </c>
      <c r="F104" s="100">
        <v>2</v>
      </c>
      <c r="G104" s="100">
        <v>4.59</v>
      </c>
      <c r="H104" s="100">
        <v>5.53</v>
      </c>
      <c r="I104" s="100">
        <v>4.7</v>
      </c>
      <c r="J104" s="100">
        <v>0.17</v>
      </c>
      <c r="K104" s="100">
        <v>232</v>
      </c>
      <c r="L104" s="100">
        <v>23.72</v>
      </c>
      <c r="M104" s="100">
        <v>94.32</v>
      </c>
      <c r="N104" s="100">
        <v>2.2999999999999998</v>
      </c>
      <c r="O104" s="100">
        <v>0.4</v>
      </c>
      <c r="P104" s="100">
        <v>0.2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1.48</v>
      </c>
      <c r="C106" s="158">
        <f>MIN(C9:C104)</f>
        <v>10.81</v>
      </c>
      <c r="D106" s="158">
        <f t="shared" ref="D106:Q106" si="0">MIN(D9:D104)</f>
        <v>6.84</v>
      </c>
      <c r="E106" s="158">
        <f t="shared" si="0"/>
        <v>1.63</v>
      </c>
      <c r="F106" s="158">
        <f t="shared" si="0"/>
        <v>0.01</v>
      </c>
      <c r="G106" s="158">
        <f t="shared" si="0"/>
        <v>4.59</v>
      </c>
      <c r="H106" s="158">
        <f t="shared" si="0"/>
        <v>4.05</v>
      </c>
      <c r="I106" s="158">
        <f t="shared" si="0"/>
        <v>2.52</v>
      </c>
      <c r="J106" s="158">
        <f t="shared" si="0"/>
        <v>0.02</v>
      </c>
      <c r="K106" s="158">
        <f t="shared" si="0"/>
        <v>29.43</v>
      </c>
      <c r="L106" s="158">
        <f t="shared" si="0"/>
        <v>22.92</v>
      </c>
      <c r="M106" s="158">
        <f t="shared" si="0"/>
        <v>69.77</v>
      </c>
      <c r="N106" s="158">
        <f t="shared" si="0"/>
        <v>1.8</v>
      </c>
      <c r="O106" s="158">
        <f t="shared" si="0"/>
        <v>0</v>
      </c>
      <c r="P106" s="158">
        <f t="shared" si="0"/>
        <v>0.14000000000000001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9.33</v>
      </c>
      <c r="C107" s="157">
        <f t="shared" ref="C107:Q107" si="1">MAX(C9:C104)</f>
        <v>14.89</v>
      </c>
      <c r="D107" s="157">
        <f t="shared" si="1"/>
        <v>14.49</v>
      </c>
      <c r="E107" s="157">
        <f t="shared" si="1"/>
        <v>7.66</v>
      </c>
      <c r="F107" s="157">
        <f t="shared" si="1"/>
        <v>19.86</v>
      </c>
      <c r="G107" s="157">
        <f t="shared" si="1"/>
        <v>185.86</v>
      </c>
      <c r="H107" s="157">
        <f t="shared" si="1"/>
        <v>17.68</v>
      </c>
      <c r="I107" s="157">
        <f t="shared" si="1"/>
        <v>6.38</v>
      </c>
      <c r="J107" s="157">
        <f t="shared" si="1"/>
        <v>1.6</v>
      </c>
      <c r="K107" s="157">
        <f t="shared" si="1"/>
        <v>240.21</v>
      </c>
      <c r="L107" s="157">
        <f t="shared" si="1"/>
        <v>30.68</v>
      </c>
      <c r="M107" s="157">
        <f t="shared" si="1"/>
        <v>94.99</v>
      </c>
      <c r="N107" s="157">
        <f t="shared" si="1"/>
        <v>406</v>
      </c>
      <c r="O107" s="157">
        <f t="shared" si="1"/>
        <v>4.8</v>
      </c>
      <c r="P107" s="157">
        <f t="shared" si="1"/>
        <v>0.42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5.0029166666666649</v>
      </c>
      <c r="C108" s="158">
        <f t="shared" ref="C108:Q108" si="2">AVERAGE(C9:C104)</f>
        <v>12.629062500000005</v>
      </c>
      <c r="D108" s="158">
        <f t="shared" si="2"/>
        <v>10.610624999999999</v>
      </c>
      <c r="E108" s="158">
        <f t="shared" si="2"/>
        <v>4.8226041666666637</v>
      </c>
      <c r="F108" s="158">
        <f t="shared" si="2"/>
        <v>3.1116666666666668</v>
      </c>
      <c r="G108" s="158">
        <f t="shared" si="2"/>
        <v>34.629166666666698</v>
      </c>
      <c r="H108" s="158">
        <f t="shared" si="2"/>
        <v>10.770520833333334</v>
      </c>
      <c r="I108" s="158">
        <f t="shared" si="2"/>
        <v>4.7939583333333342</v>
      </c>
      <c r="J108" s="158">
        <f t="shared" si="2"/>
        <v>0.30635416666666665</v>
      </c>
      <c r="K108" s="158">
        <f t="shared" si="2"/>
        <v>192.2845833333333</v>
      </c>
      <c r="L108" s="158">
        <f t="shared" si="2"/>
        <v>26.42947916666667</v>
      </c>
      <c r="M108" s="158">
        <f t="shared" si="2"/>
        <v>87.851458333333355</v>
      </c>
      <c r="N108" s="158">
        <f t="shared" si="2"/>
        <v>64.890624999999986</v>
      </c>
      <c r="O108" s="158">
        <f t="shared" si="2"/>
        <v>0.17708333333333329</v>
      </c>
      <c r="P108" s="158">
        <f t="shared" si="2"/>
        <v>0.24729166666666666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2.1858111425457651</v>
      </c>
      <c r="C109" s="158">
        <f t="shared" ref="C109:Q109" si="3">STDEV(C9:C104)</f>
        <v>0.98266563154567099</v>
      </c>
      <c r="D109" s="158">
        <f t="shared" si="3"/>
        <v>1.9042615988466884</v>
      </c>
      <c r="E109" s="158">
        <f t="shared" si="3"/>
        <v>1.0071975134701086</v>
      </c>
      <c r="F109" s="158">
        <f t="shared" si="3"/>
        <v>4.6967963699047974</v>
      </c>
      <c r="G109" s="158">
        <f t="shared" si="3"/>
        <v>35.771197518811448</v>
      </c>
      <c r="H109" s="158">
        <f t="shared" si="3"/>
        <v>4.8545770849009671</v>
      </c>
      <c r="I109" s="158">
        <f t="shared" si="3"/>
        <v>0.91706681059109219</v>
      </c>
      <c r="J109" s="158">
        <f t="shared" si="3"/>
        <v>0.23225720675087635</v>
      </c>
      <c r="K109" s="158">
        <f t="shared" si="3"/>
        <v>64.340602060509028</v>
      </c>
      <c r="L109" s="158">
        <f t="shared" si="3"/>
        <v>2.2242384242662601</v>
      </c>
      <c r="M109" s="158">
        <f t="shared" si="3"/>
        <v>7.092056190469159</v>
      </c>
      <c r="N109" s="158">
        <f t="shared" si="3"/>
        <v>99.744588644275836</v>
      </c>
      <c r="O109" s="158">
        <f t="shared" si="3"/>
        <v>0.58678054118108902</v>
      </c>
      <c r="P109" s="158">
        <f t="shared" si="3"/>
        <v>6.4014458344915856E-2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G13" sqref="G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433</v>
      </c>
      <c r="B9" s="100">
        <v>6.97</v>
      </c>
      <c r="C9" s="100">
        <v>12.87</v>
      </c>
      <c r="D9" s="100">
        <v>12.32</v>
      </c>
      <c r="E9" s="100">
        <v>5.05</v>
      </c>
      <c r="F9" s="100">
        <v>2</v>
      </c>
      <c r="G9" s="100">
        <v>6.05</v>
      </c>
      <c r="H9" s="100">
        <v>5.38</v>
      </c>
      <c r="I9" s="100">
        <v>4.75</v>
      </c>
      <c r="J9" s="100">
        <v>0.03</v>
      </c>
      <c r="K9" s="100">
        <v>179.75</v>
      </c>
      <c r="L9" s="100">
        <v>23.75</v>
      </c>
      <c r="M9" s="100">
        <v>94.32</v>
      </c>
      <c r="N9" s="100">
        <v>2.2999999999999998</v>
      </c>
      <c r="O9" s="100">
        <v>0.2</v>
      </c>
      <c r="P9" s="100">
        <v>0.2</v>
      </c>
      <c r="Q9" s="100">
        <v>10</v>
      </c>
      <c r="R9" s="6"/>
      <c r="S9" s="6"/>
      <c r="T9" s="156"/>
      <c r="U9" s="6"/>
    </row>
    <row r="10" spans="1:21" customFormat="1">
      <c r="A10" s="201" t="s">
        <v>434</v>
      </c>
      <c r="B10" s="100">
        <v>7.14</v>
      </c>
      <c r="C10" s="100">
        <v>13.01</v>
      </c>
      <c r="D10" s="100">
        <v>12.52</v>
      </c>
      <c r="E10" s="100">
        <v>4.8600000000000003</v>
      </c>
      <c r="F10" s="100">
        <v>2.0299999999999998</v>
      </c>
      <c r="G10" s="100">
        <v>15.55</v>
      </c>
      <c r="H10" s="100">
        <v>4.6100000000000003</v>
      </c>
      <c r="I10" s="100">
        <v>4.76</v>
      </c>
      <c r="J10" s="100">
        <v>0.12</v>
      </c>
      <c r="K10" s="100">
        <v>220.65</v>
      </c>
      <c r="L10" s="100">
        <v>23.8</v>
      </c>
      <c r="M10" s="100">
        <v>94.12</v>
      </c>
      <c r="N10" s="100">
        <v>2.2000000000000002</v>
      </c>
      <c r="O10" s="100">
        <v>0.4</v>
      </c>
      <c r="P10" s="100">
        <v>0.21</v>
      </c>
      <c r="Q10" s="100">
        <v>10</v>
      </c>
      <c r="R10" s="6"/>
      <c r="S10" s="6"/>
      <c r="T10" s="156"/>
      <c r="U10" s="6"/>
    </row>
    <row r="11" spans="1:21" customFormat="1">
      <c r="A11" s="201" t="s">
        <v>435</v>
      </c>
      <c r="B11" s="100">
        <v>7.31</v>
      </c>
      <c r="C11" s="100">
        <v>12.82</v>
      </c>
      <c r="D11" s="100">
        <v>12.56</v>
      </c>
      <c r="E11" s="100">
        <v>5.48</v>
      </c>
      <c r="F11" s="100">
        <v>2.02</v>
      </c>
      <c r="G11" s="100">
        <v>15.55</v>
      </c>
      <c r="H11" s="100">
        <v>4.6100000000000003</v>
      </c>
      <c r="I11" s="100">
        <v>4.68</v>
      </c>
      <c r="J11" s="100">
        <v>0.14000000000000001</v>
      </c>
      <c r="K11" s="100">
        <v>230.78</v>
      </c>
      <c r="L11" s="100">
        <v>23.78</v>
      </c>
      <c r="M11" s="100">
        <v>93.78</v>
      </c>
      <c r="N11" s="100">
        <v>2.2000000000000002</v>
      </c>
      <c r="O11" s="100">
        <v>0.2</v>
      </c>
      <c r="P11" s="100">
        <v>0.23</v>
      </c>
      <c r="Q11" s="100">
        <v>10</v>
      </c>
      <c r="R11" s="6"/>
      <c r="S11" s="6"/>
      <c r="T11" s="156"/>
      <c r="U11" s="6"/>
    </row>
    <row r="12" spans="1:21" customFormat="1">
      <c r="A12" s="201" t="s">
        <v>436</v>
      </c>
      <c r="B12" s="100">
        <v>7.49</v>
      </c>
      <c r="C12" s="100">
        <v>12.44</v>
      </c>
      <c r="D12" s="100">
        <v>12.51</v>
      </c>
      <c r="E12" s="100">
        <v>5.38</v>
      </c>
      <c r="F12" s="100">
        <v>2</v>
      </c>
      <c r="G12" s="100">
        <v>15.55</v>
      </c>
      <c r="H12" s="100">
        <v>4.6100000000000003</v>
      </c>
      <c r="I12" s="100">
        <v>4.6900000000000004</v>
      </c>
      <c r="J12" s="100">
        <v>0.09</v>
      </c>
      <c r="K12" s="100">
        <v>194.85</v>
      </c>
      <c r="L12" s="100">
        <v>23.77</v>
      </c>
      <c r="M12" s="100">
        <v>94.06</v>
      </c>
      <c r="N12" s="100">
        <v>2.2999999999999998</v>
      </c>
      <c r="O12" s="100">
        <v>0.4</v>
      </c>
      <c r="P12" s="100">
        <v>0.21</v>
      </c>
      <c r="Q12" s="100">
        <v>10</v>
      </c>
      <c r="R12" s="6"/>
      <c r="S12" s="6"/>
      <c r="T12" s="156"/>
      <c r="U12" s="6"/>
    </row>
    <row r="13" spans="1:21" customFormat="1">
      <c r="A13" s="201" t="s">
        <v>437</v>
      </c>
      <c r="B13" s="100">
        <v>7.62</v>
      </c>
      <c r="C13" s="100">
        <v>12.36</v>
      </c>
      <c r="D13" s="100">
        <v>12.57</v>
      </c>
      <c r="E13" s="100">
        <v>5.03</v>
      </c>
      <c r="F13" s="100">
        <v>2</v>
      </c>
      <c r="G13" s="100">
        <v>14.31</v>
      </c>
      <c r="H13" s="100">
        <v>4.4400000000000004</v>
      </c>
      <c r="I13" s="100">
        <v>4.76</v>
      </c>
      <c r="J13" s="100">
        <v>0.17</v>
      </c>
      <c r="K13" s="100">
        <v>157.75</v>
      </c>
      <c r="L13" s="100">
        <v>23.79</v>
      </c>
      <c r="M13" s="100">
        <v>93.48</v>
      </c>
      <c r="N13" s="100">
        <v>2.2999999999999998</v>
      </c>
      <c r="O13" s="100">
        <v>0</v>
      </c>
      <c r="P13" s="100">
        <v>0.21</v>
      </c>
      <c r="Q13" s="100">
        <v>10</v>
      </c>
      <c r="R13" s="6"/>
      <c r="S13" s="6"/>
      <c r="T13" s="156"/>
      <c r="U13" s="6"/>
    </row>
    <row r="14" spans="1:21" customFormat="1">
      <c r="A14" s="201" t="s">
        <v>438</v>
      </c>
      <c r="B14" s="100">
        <v>7.81</v>
      </c>
      <c r="C14" s="100">
        <v>12.31</v>
      </c>
      <c r="D14" s="100">
        <v>12.7</v>
      </c>
      <c r="E14" s="100">
        <v>5.55</v>
      </c>
      <c r="F14" s="100">
        <v>2</v>
      </c>
      <c r="G14" s="100">
        <v>6.2</v>
      </c>
      <c r="H14" s="100">
        <v>3.48</v>
      </c>
      <c r="I14" s="100">
        <v>4.68</v>
      </c>
      <c r="J14" s="100">
        <v>0.11</v>
      </c>
      <c r="K14" s="100">
        <v>174.77</v>
      </c>
      <c r="L14" s="100">
        <v>23.76</v>
      </c>
      <c r="M14" s="100">
        <v>92.23</v>
      </c>
      <c r="N14" s="100">
        <v>2.2000000000000002</v>
      </c>
      <c r="O14" s="100">
        <v>0.2</v>
      </c>
      <c r="P14" s="100">
        <v>0.23</v>
      </c>
      <c r="Q14" s="100">
        <v>10</v>
      </c>
      <c r="R14" s="6"/>
      <c r="S14" s="6"/>
      <c r="T14" s="156"/>
      <c r="U14" s="6"/>
    </row>
    <row r="15" spans="1:21" customFormat="1">
      <c r="A15" s="201" t="s">
        <v>439</v>
      </c>
      <c r="B15" s="100">
        <v>8.01</v>
      </c>
      <c r="C15" s="100">
        <v>11.99</v>
      </c>
      <c r="D15" s="100">
        <v>12.68</v>
      </c>
      <c r="E15" s="100">
        <v>5.5</v>
      </c>
      <c r="F15" s="100">
        <v>2</v>
      </c>
      <c r="G15" s="100">
        <v>6.2</v>
      </c>
      <c r="H15" s="100">
        <v>3.48</v>
      </c>
      <c r="I15" s="100">
        <v>4.6399999999999997</v>
      </c>
      <c r="J15" s="100">
        <v>0.1</v>
      </c>
      <c r="K15" s="100">
        <v>170.12</v>
      </c>
      <c r="L15" s="100">
        <v>23.78</v>
      </c>
      <c r="M15" s="100">
        <v>92.2</v>
      </c>
      <c r="N15" s="100">
        <v>2.1</v>
      </c>
      <c r="O15" s="100">
        <v>0</v>
      </c>
      <c r="P15" s="100">
        <v>0.21</v>
      </c>
      <c r="Q15" s="100">
        <v>10</v>
      </c>
      <c r="R15" s="6"/>
      <c r="S15" s="6"/>
      <c r="T15" s="156"/>
      <c r="U15" s="6"/>
    </row>
    <row r="16" spans="1:21" customFormat="1">
      <c r="A16" s="201" t="s">
        <v>440</v>
      </c>
      <c r="B16" s="100">
        <v>8.1</v>
      </c>
      <c r="C16" s="100">
        <v>11.97</v>
      </c>
      <c r="D16" s="100">
        <v>12.75</v>
      </c>
      <c r="E16" s="100">
        <v>5.54</v>
      </c>
      <c r="F16" s="100">
        <v>2</v>
      </c>
      <c r="G16" s="100">
        <v>6.2</v>
      </c>
      <c r="H16" s="100">
        <v>3.48</v>
      </c>
      <c r="I16" s="100">
        <v>4.68</v>
      </c>
      <c r="J16" s="100">
        <v>0.08</v>
      </c>
      <c r="K16" s="100">
        <v>154.16999999999999</v>
      </c>
      <c r="L16" s="100">
        <v>23.84</v>
      </c>
      <c r="M16" s="100">
        <v>91.84</v>
      </c>
      <c r="N16" s="100">
        <v>2.1</v>
      </c>
      <c r="O16" s="100">
        <v>0</v>
      </c>
      <c r="P16" s="100">
        <v>0.21</v>
      </c>
      <c r="Q16" s="100">
        <v>10</v>
      </c>
      <c r="R16" s="6"/>
      <c r="S16" s="6"/>
      <c r="T16" s="156"/>
      <c r="U16" s="6"/>
    </row>
    <row r="17" spans="1:21" customFormat="1">
      <c r="A17" s="201" t="s">
        <v>441</v>
      </c>
      <c r="B17" s="100">
        <v>8.17</v>
      </c>
      <c r="C17" s="100">
        <v>12.09</v>
      </c>
      <c r="D17" s="100">
        <v>12.87</v>
      </c>
      <c r="E17" s="100">
        <v>4.1500000000000004</v>
      </c>
      <c r="F17" s="100">
        <v>2</v>
      </c>
      <c r="G17" s="100">
        <v>5.95</v>
      </c>
      <c r="H17" s="100">
        <v>3.6</v>
      </c>
      <c r="I17" s="100">
        <v>4.66</v>
      </c>
      <c r="J17" s="100">
        <v>0.15</v>
      </c>
      <c r="K17" s="100">
        <v>223.24</v>
      </c>
      <c r="L17" s="100">
        <v>23.89</v>
      </c>
      <c r="M17" s="100">
        <v>91.81</v>
      </c>
      <c r="N17" s="100">
        <v>2.1</v>
      </c>
      <c r="O17" s="100">
        <v>0</v>
      </c>
      <c r="P17" s="100">
        <v>0.23</v>
      </c>
      <c r="Q17" s="100">
        <v>10</v>
      </c>
      <c r="R17" s="6"/>
      <c r="S17" s="6"/>
      <c r="T17" s="156"/>
      <c r="U17" s="6"/>
    </row>
    <row r="18" spans="1:21" customFormat="1">
      <c r="A18" s="201" t="s">
        <v>442</v>
      </c>
      <c r="B18" s="100">
        <v>8.32</v>
      </c>
      <c r="C18" s="100">
        <v>11.93</v>
      </c>
      <c r="D18" s="100">
        <v>12.91</v>
      </c>
      <c r="E18" s="100">
        <v>4.93</v>
      </c>
      <c r="F18" s="100">
        <v>2</v>
      </c>
      <c r="G18" s="100">
        <v>4.1500000000000004</v>
      </c>
      <c r="H18" s="100">
        <v>4.21</v>
      </c>
      <c r="I18" s="100">
        <v>4.6399999999999997</v>
      </c>
      <c r="J18" s="100">
        <v>0.19</v>
      </c>
      <c r="K18" s="100">
        <v>228.01</v>
      </c>
      <c r="L18" s="100">
        <v>23.87</v>
      </c>
      <c r="M18" s="100">
        <v>92.26</v>
      </c>
      <c r="N18" s="100">
        <v>2.2000000000000002</v>
      </c>
      <c r="O18" s="100">
        <v>0</v>
      </c>
      <c r="P18" s="100">
        <v>0.21</v>
      </c>
      <c r="Q18" s="100">
        <v>10</v>
      </c>
      <c r="R18" s="6"/>
      <c r="S18" s="6"/>
      <c r="T18" s="156"/>
      <c r="U18" s="6"/>
    </row>
    <row r="19" spans="1:21" customFormat="1">
      <c r="A19" s="201" t="s">
        <v>443</v>
      </c>
      <c r="B19" s="100">
        <v>8.39</v>
      </c>
      <c r="C19" s="100">
        <v>11.92</v>
      </c>
      <c r="D19" s="100">
        <v>12.96</v>
      </c>
      <c r="E19" s="100">
        <v>4.7699999999999996</v>
      </c>
      <c r="F19" s="100">
        <v>2</v>
      </c>
      <c r="G19" s="100">
        <v>4.1500000000000004</v>
      </c>
      <c r="H19" s="100">
        <v>4.21</v>
      </c>
      <c r="I19" s="100">
        <v>4.74</v>
      </c>
      <c r="J19" s="100">
        <v>0.17</v>
      </c>
      <c r="K19" s="100">
        <v>227.17</v>
      </c>
      <c r="L19" s="100">
        <v>23.83</v>
      </c>
      <c r="M19" s="100">
        <v>92</v>
      </c>
      <c r="N19" s="100">
        <v>2.2999999999999998</v>
      </c>
      <c r="O19" s="100">
        <v>0</v>
      </c>
      <c r="P19" s="100">
        <v>0.22</v>
      </c>
      <c r="Q19" s="100">
        <v>10</v>
      </c>
      <c r="R19" s="6"/>
      <c r="S19" s="6"/>
      <c r="T19" s="156"/>
      <c r="U19" s="6"/>
    </row>
    <row r="20" spans="1:21" customFormat="1">
      <c r="A20" s="201" t="s">
        <v>444</v>
      </c>
      <c r="B20" s="100">
        <v>8.4700000000000006</v>
      </c>
      <c r="C20" s="100">
        <v>11.94</v>
      </c>
      <c r="D20" s="100">
        <v>13.03</v>
      </c>
      <c r="E20" s="100">
        <v>4.84</v>
      </c>
      <c r="F20" s="100">
        <v>2</v>
      </c>
      <c r="G20" s="100">
        <v>4.1500000000000004</v>
      </c>
      <c r="H20" s="100">
        <v>4.21</v>
      </c>
      <c r="I20" s="100">
        <v>4.6500000000000004</v>
      </c>
      <c r="J20" s="100">
        <v>0.15</v>
      </c>
      <c r="K20" s="100">
        <v>202.1</v>
      </c>
      <c r="L20" s="100">
        <v>23.98</v>
      </c>
      <c r="M20" s="100">
        <v>92.15</v>
      </c>
      <c r="N20" s="100">
        <v>2.1</v>
      </c>
      <c r="O20" s="100">
        <v>0</v>
      </c>
      <c r="P20" s="100">
        <v>0.22</v>
      </c>
      <c r="Q20" s="100">
        <v>10</v>
      </c>
      <c r="R20" s="6"/>
      <c r="S20" s="6"/>
      <c r="T20" s="156"/>
      <c r="U20" s="6"/>
    </row>
    <row r="21" spans="1:21" customFormat="1">
      <c r="A21" s="201" t="s">
        <v>445</v>
      </c>
      <c r="B21" s="100">
        <v>8.56</v>
      </c>
      <c r="C21" s="100">
        <v>11.86</v>
      </c>
      <c r="D21" s="100">
        <v>13.06</v>
      </c>
      <c r="E21" s="100">
        <v>4.84</v>
      </c>
      <c r="F21" s="100">
        <v>2</v>
      </c>
      <c r="G21" s="100">
        <v>3.83</v>
      </c>
      <c r="H21" s="100">
        <v>4.05</v>
      </c>
      <c r="I21" s="100">
        <v>4.6399999999999997</v>
      </c>
      <c r="J21" s="100">
        <v>0.13</v>
      </c>
      <c r="K21" s="100">
        <v>172.33</v>
      </c>
      <c r="L21" s="100">
        <v>24</v>
      </c>
      <c r="M21" s="100">
        <v>92.42</v>
      </c>
      <c r="N21" s="100">
        <v>2.2999999999999998</v>
      </c>
      <c r="O21" s="100">
        <v>0</v>
      </c>
      <c r="P21" s="100">
        <v>0.21</v>
      </c>
      <c r="Q21" s="100">
        <v>10</v>
      </c>
      <c r="R21" s="6"/>
      <c r="S21" s="6"/>
      <c r="T21" s="156"/>
      <c r="U21" s="6"/>
    </row>
    <row r="22" spans="1:21" customFormat="1">
      <c r="A22" s="201" t="s">
        <v>446</v>
      </c>
      <c r="B22" s="100">
        <v>8.6199999999999992</v>
      </c>
      <c r="C22" s="100">
        <v>11.99</v>
      </c>
      <c r="D22" s="100">
        <v>13.18</v>
      </c>
      <c r="E22" s="100">
        <v>4.87</v>
      </c>
      <c r="F22" s="100">
        <v>2</v>
      </c>
      <c r="G22" s="100">
        <v>1.54</v>
      </c>
      <c r="H22" s="100">
        <v>3.22</v>
      </c>
      <c r="I22" s="100">
        <v>4.6900000000000004</v>
      </c>
      <c r="J22" s="100">
        <v>0.08</v>
      </c>
      <c r="K22" s="100">
        <v>126.14</v>
      </c>
      <c r="L22" s="100">
        <v>23.97</v>
      </c>
      <c r="M22" s="100">
        <v>91.87</v>
      </c>
      <c r="N22" s="100">
        <v>2.4</v>
      </c>
      <c r="O22" s="100">
        <v>0.2</v>
      </c>
      <c r="P22" s="100">
        <v>0.22</v>
      </c>
      <c r="Q22" s="100">
        <v>10</v>
      </c>
      <c r="R22" s="6"/>
      <c r="S22" s="6"/>
      <c r="T22" s="156"/>
      <c r="U22" s="6"/>
    </row>
    <row r="23" spans="1:21" customFormat="1">
      <c r="A23" s="201" t="s">
        <v>447</v>
      </c>
      <c r="B23" s="100">
        <v>8.7100000000000009</v>
      </c>
      <c r="C23" s="100">
        <v>11.99</v>
      </c>
      <c r="D23" s="100">
        <v>13.25</v>
      </c>
      <c r="E23" s="100">
        <v>5.19</v>
      </c>
      <c r="F23" s="100">
        <v>2</v>
      </c>
      <c r="G23" s="100">
        <v>1.54</v>
      </c>
      <c r="H23" s="100">
        <v>3.22</v>
      </c>
      <c r="I23" s="100">
        <v>4.62</v>
      </c>
      <c r="J23" s="100">
        <v>0.15</v>
      </c>
      <c r="K23" s="100">
        <v>227.08</v>
      </c>
      <c r="L23" s="100">
        <v>23.96</v>
      </c>
      <c r="M23" s="100">
        <v>91.62</v>
      </c>
      <c r="N23" s="100">
        <v>2.2999999999999998</v>
      </c>
      <c r="O23" s="100">
        <v>0</v>
      </c>
      <c r="P23" s="100">
        <v>0.22</v>
      </c>
      <c r="Q23" s="100">
        <v>10</v>
      </c>
      <c r="R23" s="6"/>
      <c r="S23" s="6"/>
      <c r="T23" s="156"/>
      <c r="U23" s="6"/>
    </row>
    <row r="24" spans="1:21" customFormat="1">
      <c r="A24" s="201" t="s">
        <v>448</v>
      </c>
      <c r="B24" s="100">
        <v>8.9600000000000009</v>
      </c>
      <c r="C24" s="100">
        <v>11.88</v>
      </c>
      <c r="D24" s="100">
        <v>13.39</v>
      </c>
      <c r="E24" s="100">
        <v>5.0599999999999996</v>
      </c>
      <c r="F24" s="100">
        <v>2</v>
      </c>
      <c r="G24" s="100">
        <v>1.54</v>
      </c>
      <c r="H24" s="100">
        <v>3.22</v>
      </c>
      <c r="I24" s="100">
        <v>4.63</v>
      </c>
      <c r="J24" s="100">
        <v>0.17</v>
      </c>
      <c r="K24" s="100">
        <v>178.88</v>
      </c>
      <c r="L24" s="100">
        <v>23.99</v>
      </c>
      <c r="M24" s="100">
        <v>91.79</v>
      </c>
      <c r="N24" s="100">
        <v>2.2000000000000002</v>
      </c>
      <c r="O24" s="100">
        <v>0</v>
      </c>
      <c r="P24" s="100">
        <v>0.2</v>
      </c>
      <c r="Q24" s="100">
        <v>10</v>
      </c>
      <c r="R24" s="6"/>
      <c r="S24" s="6"/>
      <c r="T24" s="156"/>
      <c r="U24" s="6"/>
    </row>
    <row r="25" spans="1:21" customFormat="1">
      <c r="A25" s="201" t="s">
        <v>449</v>
      </c>
      <c r="B25" s="100">
        <v>8.98</v>
      </c>
      <c r="C25" s="100">
        <v>12.03</v>
      </c>
      <c r="D25" s="100">
        <v>13.49</v>
      </c>
      <c r="E25" s="100">
        <v>4.74</v>
      </c>
      <c r="F25" s="100">
        <v>2</v>
      </c>
      <c r="G25" s="100">
        <v>2.19</v>
      </c>
      <c r="H25" s="100">
        <v>3.1</v>
      </c>
      <c r="I25" s="100">
        <v>4.6900000000000004</v>
      </c>
      <c r="J25" s="100">
        <v>0.13</v>
      </c>
      <c r="K25" s="100">
        <v>181.85</v>
      </c>
      <c r="L25" s="100">
        <v>24.02</v>
      </c>
      <c r="M25" s="100">
        <v>90.71</v>
      </c>
      <c r="N25" s="100">
        <v>2.2000000000000002</v>
      </c>
      <c r="O25" s="100">
        <v>0</v>
      </c>
      <c r="P25" s="100">
        <v>0.23</v>
      </c>
      <c r="Q25" s="100">
        <v>10</v>
      </c>
      <c r="R25" s="6"/>
      <c r="S25" s="6"/>
      <c r="T25" s="156"/>
      <c r="U25" s="6"/>
    </row>
    <row r="26" spans="1:21" customFormat="1">
      <c r="A26" s="201" t="s">
        <v>450</v>
      </c>
      <c r="B26" s="100">
        <v>8.8000000000000007</v>
      </c>
      <c r="C26" s="100">
        <v>12.24</v>
      </c>
      <c r="D26" s="100">
        <v>13.45</v>
      </c>
      <c r="E26" s="100">
        <v>5.2</v>
      </c>
      <c r="F26" s="100">
        <v>2</v>
      </c>
      <c r="G26" s="100">
        <v>6.89</v>
      </c>
      <c r="H26" s="100">
        <v>2.5299999999999998</v>
      </c>
      <c r="I26" s="100">
        <v>4.63</v>
      </c>
      <c r="J26" s="100">
        <v>0.13</v>
      </c>
      <c r="K26" s="100">
        <v>198.42</v>
      </c>
      <c r="L26" s="100">
        <v>24.09</v>
      </c>
      <c r="M26" s="100">
        <v>90.23</v>
      </c>
      <c r="N26" s="100">
        <v>2.2999999999999998</v>
      </c>
      <c r="O26" s="100">
        <v>0.2</v>
      </c>
      <c r="P26" s="100">
        <v>0.23</v>
      </c>
      <c r="Q26" s="100">
        <v>10</v>
      </c>
      <c r="R26" s="6"/>
      <c r="S26" s="6"/>
      <c r="T26" s="156"/>
      <c r="U26" s="6"/>
    </row>
    <row r="27" spans="1:21" customFormat="1">
      <c r="A27" s="201" t="s">
        <v>451</v>
      </c>
      <c r="B27" s="100">
        <v>8.57</v>
      </c>
      <c r="C27" s="100">
        <v>12.08</v>
      </c>
      <c r="D27" s="100">
        <v>13.19</v>
      </c>
      <c r="E27" s="100">
        <v>5.42</v>
      </c>
      <c r="F27" s="100">
        <v>2</v>
      </c>
      <c r="G27" s="100">
        <v>6.89</v>
      </c>
      <c r="H27" s="100">
        <v>2.5299999999999998</v>
      </c>
      <c r="I27" s="100">
        <v>4.57</v>
      </c>
      <c r="J27" s="100">
        <v>0.17</v>
      </c>
      <c r="K27" s="100">
        <v>210.15</v>
      </c>
      <c r="L27" s="100">
        <v>24.12</v>
      </c>
      <c r="M27" s="100">
        <v>89.91</v>
      </c>
      <c r="N27" s="100">
        <v>2.2000000000000002</v>
      </c>
      <c r="O27" s="100">
        <v>0</v>
      </c>
      <c r="P27" s="100">
        <v>0.24</v>
      </c>
      <c r="Q27" s="100">
        <v>10</v>
      </c>
      <c r="R27" s="6"/>
      <c r="S27" s="6"/>
      <c r="T27" s="156"/>
      <c r="U27" s="6"/>
    </row>
    <row r="28" spans="1:21" customFormat="1">
      <c r="A28" s="201" t="s">
        <v>452</v>
      </c>
      <c r="B28" s="100">
        <v>8.3699999999999992</v>
      </c>
      <c r="C28" s="100">
        <v>12.06</v>
      </c>
      <c r="D28" s="100">
        <v>13.01</v>
      </c>
      <c r="E28" s="100">
        <v>5.49</v>
      </c>
      <c r="F28" s="100">
        <v>2</v>
      </c>
      <c r="G28" s="100">
        <v>6.89</v>
      </c>
      <c r="H28" s="100">
        <v>2.5299999999999998</v>
      </c>
      <c r="I28" s="100">
        <v>4.49</v>
      </c>
      <c r="J28" s="100">
        <v>0.15</v>
      </c>
      <c r="K28" s="100">
        <v>221.1</v>
      </c>
      <c r="L28" s="100">
        <v>24.07</v>
      </c>
      <c r="M28" s="100">
        <v>90.2</v>
      </c>
      <c r="N28" s="100">
        <v>2.4</v>
      </c>
      <c r="O28" s="100">
        <v>0</v>
      </c>
      <c r="P28" s="100">
        <v>0.24</v>
      </c>
      <c r="Q28" s="100">
        <v>10</v>
      </c>
      <c r="R28" s="6"/>
      <c r="S28" s="6"/>
      <c r="T28" s="156"/>
      <c r="U28" s="6"/>
    </row>
    <row r="29" spans="1:21" customFormat="1">
      <c r="A29" s="201" t="s">
        <v>453</v>
      </c>
      <c r="B29" s="100">
        <v>8.19</v>
      </c>
      <c r="C29" s="100">
        <v>12.03</v>
      </c>
      <c r="D29" s="100">
        <v>12.85</v>
      </c>
      <c r="E29" s="100">
        <v>5.09</v>
      </c>
      <c r="F29" s="100">
        <v>2</v>
      </c>
      <c r="G29" s="100">
        <v>7.5</v>
      </c>
      <c r="H29" s="100">
        <v>2.4700000000000002</v>
      </c>
      <c r="I29" s="100">
        <v>4.45</v>
      </c>
      <c r="J29" s="100">
        <v>0.2</v>
      </c>
      <c r="K29" s="100">
        <v>215.58</v>
      </c>
      <c r="L29" s="100">
        <v>24.1</v>
      </c>
      <c r="M29" s="100">
        <v>90.49</v>
      </c>
      <c r="N29" s="100">
        <v>2.2999999999999998</v>
      </c>
      <c r="O29" s="100">
        <v>0</v>
      </c>
      <c r="P29" s="100">
        <v>0.25</v>
      </c>
      <c r="Q29" s="100">
        <v>10</v>
      </c>
      <c r="R29" s="6"/>
      <c r="S29" s="6"/>
      <c r="T29" s="156"/>
      <c r="U29" s="6"/>
    </row>
    <row r="30" spans="1:21" customFormat="1">
      <c r="A30" s="201" t="s">
        <v>454</v>
      </c>
      <c r="B30" s="100">
        <v>8.0500000000000007</v>
      </c>
      <c r="C30" s="100">
        <v>11.97</v>
      </c>
      <c r="D30" s="100">
        <v>12.7</v>
      </c>
      <c r="E30" s="100">
        <v>5.36</v>
      </c>
      <c r="F30" s="100">
        <v>2</v>
      </c>
      <c r="G30" s="100">
        <v>11.41</v>
      </c>
      <c r="H30" s="100">
        <v>2.1800000000000002</v>
      </c>
      <c r="I30" s="100">
        <v>4.4800000000000004</v>
      </c>
      <c r="J30" s="100">
        <v>0.15</v>
      </c>
      <c r="K30" s="100">
        <v>206.54</v>
      </c>
      <c r="L30" s="100">
        <v>24.13</v>
      </c>
      <c r="M30" s="100">
        <v>90.34</v>
      </c>
      <c r="N30" s="100">
        <v>2.4</v>
      </c>
      <c r="O30" s="100">
        <v>0</v>
      </c>
      <c r="P30" s="100">
        <v>0.25</v>
      </c>
      <c r="Q30" s="100">
        <v>10</v>
      </c>
      <c r="R30" s="6"/>
      <c r="S30" s="6"/>
      <c r="T30" s="156"/>
      <c r="U30" s="6"/>
    </row>
    <row r="31" spans="1:21" customFormat="1">
      <c r="A31" s="201" t="s">
        <v>455</v>
      </c>
      <c r="B31" s="100">
        <v>7.89</v>
      </c>
      <c r="C31" s="100">
        <v>11.9</v>
      </c>
      <c r="D31" s="100">
        <v>12.55</v>
      </c>
      <c r="E31" s="100">
        <v>5.78</v>
      </c>
      <c r="F31" s="100">
        <v>2</v>
      </c>
      <c r="G31" s="100">
        <v>11.41</v>
      </c>
      <c r="H31" s="100">
        <v>2.1800000000000002</v>
      </c>
      <c r="I31" s="100">
        <v>4.51</v>
      </c>
      <c r="J31" s="100">
        <v>7.0000000000000007E-2</v>
      </c>
      <c r="K31" s="100">
        <v>205.76</v>
      </c>
      <c r="L31" s="100">
        <v>24.05</v>
      </c>
      <c r="M31" s="100">
        <v>89.57</v>
      </c>
      <c r="N31" s="100">
        <v>2.4</v>
      </c>
      <c r="O31" s="100">
        <v>0</v>
      </c>
      <c r="P31" s="100">
        <v>0.25</v>
      </c>
      <c r="Q31" s="100">
        <v>10</v>
      </c>
      <c r="R31" s="6"/>
      <c r="S31" s="6"/>
      <c r="T31" s="156"/>
      <c r="U31" s="6"/>
    </row>
    <row r="32" spans="1:21" customFormat="1">
      <c r="A32" s="201" t="s">
        <v>456</v>
      </c>
      <c r="B32" s="100">
        <v>7.74</v>
      </c>
      <c r="C32" s="100">
        <v>11.91</v>
      </c>
      <c r="D32" s="100">
        <v>12.43</v>
      </c>
      <c r="E32" s="100">
        <v>5.62</v>
      </c>
      <c r="F32" s="100">
        <v>2</v>
      </c>
      <c r="G32" s="100">
        <v>11.41</v>
      </c>
      <c r="H32" s="100">
        <v>2.1800000000000002</v>
      </c>
      <c r="I32" s="100">
        <v>4.49</v>
      </c>
      <c r="J32" s="100">
        <v>0.1</v>
      </c>
      <c r="K32" s="100">
        <v>217.15</v>
      </c>
      <c r="L32" s="100">
        <v>24.05</v>
      </c>
      <c r="M32" s="100">
        <v>90.43</v>
      </c>
      <c r="N32" s="100">
        <v>2.9</v>
      </c>
      <c r="O32" s="100">
        <v>0</v>
      </c>
      <c r="P32" s="100">
        <v>0.25</v>
      </c>
      <c r="Q32" s="100">
        <v>10</v>
      </c>
      <c r="R32" s="6"/>
      <c r="S32" s="6"/>
      <c r="T32" s="156"/>
      <c r="U32" s="6"/>
    </row>
    <row r="33" spans="1:21" customFormat="1">
      <c r="A33" s="201" t="s">
        <v>457</v>
      </c>
      <c r="B33" s="100">
        <v>7.62</v>
      </c>
      <c r="C33" s="100">
        <v>11.82</v>
      </c>
      <c r="D33" s="100">
        <v>12.29</v>
      </c>
      <c r="E33" s="100">
        <v>5.57</v>
      </c>
      <c r="F33" s="100">
        <v>2</v>
      </c>
      <c r="G33" s="100">
        <v>12.28</v>
      </c>
      <c r="H33" s="100">
        <v>2.15</v>
      </c>
      <c r="I33" s="100">
        <v>4.47</v>
      </c>
      <c r="J33" s="100">
        <v>7.0000000000000007E-2</v>
      </c>
      <c r="K33" s="100">
        <v>168.58</v>
      </c>
      <c r="L33" s="100">
        <v>24.08</v>
      </c>
      <c r="M33" s="100">
        <v>90.71</v>
      </c>
      <c r="N33" s="100">
        <v>3.5</v>
      </c>
      <c r="O33" s="100">
        <v>0</v>
      </c>
      <c r="P33" s="100">
        <v>0.25</v>
      </c>
      <c r="Q33" s="100">
        <v>10</v>
      </c>
      <c r="R33" s="6"/>
      <c r="S33" s="6"/>
      <c r="T33" s="156"/>
      <c r="U33" s="6"/>
    </row>
    <row r="34" spans="1:21" customFormat="1">
      <c r="A34" s="201" t="s">
        <v>458</v>
      </c>
      <c r="B34" s="100">
        <v>7.52</v>
      </c>
      <c r="C34" s="100">
        <v>11.83</v>
      </c>
      <c r="D34" s="100">
        <v>12.21</v>
      </c>
      <c r="E34" s="100">
        <v>5.59</v>
      </c>
      <c r="F34" s="100">
        <v>2</v>
      </c>
      <c r="G34" s="100">
        <v>17.899999999999999</v>
      </c>
      <c r="H34" s="100">
        <v>1.98</v>
      </c>
      <c r="I34" s="100">
        <v>4.4800000000000004</v>
      </c>
      <c r="J34" s="100">
        <v>0.12</v>
      </c>
      <c r="K34" s="100">
        <v>213.38</v>
      </c>
      <c r="L34" s="100">
        <v>24.13</v>
      </c>
      <c r="M34" s="100">
        <v>90.4</v>
      </c>
      <c r="N34" s="100">
        <v>6.3</v>
      </c>
      <c r="O34" s="100">
        <v>0</v>
      </c>
      <c r="P34" s="100">
        <v>0.25</v>
      </c>
      <c r="Q34" s="100">
        <v>10</v>
      </c>
      <c r="R34" s="6"/>
      <c r="S34" s="6"/>
      <c r="T34" s="156"/>
      <c r="U34" s="6"/>
    </row>
    <row r="35" spans="1:21" customFormat="1">
      <c r="A35" s="201" t="s">
        <v>459</v>
      </c>
      <c r="B35" s="100">
        <v>7.4</v>
      </c>
      <c r="C35" s="100">
        <v>11.78</v>
      </c>
      <c r="D35" s="100">
        <v>12.09</v>
      </c>
      <c r="E35" s="100">
        <v>5.87</v>
      </c>
      <c r="F35" s="100">
        <v>2</v>
      </c>
      <c r="G35" s="100">
        <v>17.899999999999999</v>
      </c>
      <c r="H35" s="100">
        <v>1.98</v>
      </c>
      <c r="I35" s="100">
        <v>4.4800000000000004</v>
      </c>
      <c r="J35" s="100">
        <v>0.14000000000000001</v>
      </c>
      <c r="K35" s="100">
        <v>89.39</v>
      </c>
      <c r="L35" s="100">
        <v>24.2</v>
      </c>
      <c r="M35" s="100">
        <v>90.26</v>
      </c>
      <c r="N35" s="100">
        <v>8.5</v>
      </c>
      <c r="O35" s="100">
        <v>0.2</v>
      </c>
      <c r="P35" s="100">
        <v>0.25</v>
      </c>
      <c r="Q35" s="100">
        <v>10</v>
      </c>
      <c r="R35" s="6"/>
      <c r="S35" s="6"/>
      <c r="T35" s="156"/>
      <c r="U35" s="6"/>
    </row>
    <row r="36" spans="1:21" customFormat="1">
      <c r="A36" s="201" t="s">
        <v>460</v>
      </c>
      <c r="B36" s="100">
        <v>7.37</v>
      </c>
      <c r="C36" s="100">
        <v>11.67</v>
      </c>
      <c r="D36" s="100">
        <v>12</v>
      </c>
      <c r="E36" s="100">
        <v>5.6</v>
      </c>
      <c r="F36" s="100">
        <v>2</v>
      </c>
      <c r="G36" s="100">
        <v>17.899999999999999</v>
      </c>
      <c r="H36" s="100">
        <v>1.98</v>
      </c>
      <c r="I36" s="100">
        <v>4.42</v>
      </c>
      <c r="J36" s="100">
        <v>7.0000000000000007E-2</v>
      </c>
      <c r="K36" s="100">
        <v>101.72</v>
      </c>
      <c r="L36" s="100">
        <v>24.21</v>
      </c>
      <c r="M36" s="100">
        <v>90.15</v>
      </c>
      <c r="N36" s="100">
        <v>16.8</v>
      </c>
      <c r="O36" s="100">
        <v>0</v>
      </c>
      <c r="P36" s="100">
        <v>0.25</v>
      </c>
      <c r="Q36" s="100">
        <v>10</v>
      </c>
      <c r="R36" s="6"/>
      <c r="S36" s="6"/>
      <c r="T36" s="156"/>
      <c r="U36" s="6"/>
    </row>
    <row r="37" spans="1:21" customFormat="1">
      <c r="A37" s="201" t="s">
        <v>461</v>
      </c>
      <c r="B37" s="100">
        <v>7.3</v>
      </c>
      <c r="C37" s="100">
        <v>11.66</v>
      </c>
      <c r="D37" s="100">
        <v>11.95</v>
      </c>
      <c r="E37" s="100">
        <v>5.87</v>
      </c>
      <c r="F37" s="100">
        <v>2</v>
      </c>
      <c r="G37" s="100">
        <v>16.510000000000002</v>
      </c>
      <c r="H37" s="100">
        <v>2.25</v>
      </c>
      <c r="I37" s="100">
        <v>4.34</v>
      </c>
      <c r="J37" s="100">
        <v>0.1</v>
      </c>
      <c r="K37" s="100">
        <v>136.4</v>
      </c>
      <c r="L37" s="100">
        <v>24.31</v>
      </c>
      <c r="M37" s="100">
        <v>90.01</v>
      </c>
      <c r="N37" s="100">
        <v>21.9</v>
      </c>
      <c r="O37" s="100">
        <v>0</v>
      </c>
      <c r="P37" s="100">
        <v>0.24</v>
      </c>
      <c r="Q37" s="100">
        <v>10</v>
      </c>
      <c r="R37" s="6"/>
      <c r="S37" s="6"/>
      <c r="T37" s="156"/>
      <c r="U37" s="6"/>
    </row>
    <row r="38" spans="1:21" customFormat="1">
      <c r="A38" s="201" t="s">
        <v>462</v>
      </c>
      <c r="B38" s="100">
        <v>7.22</v>
      </c>
      <c r="C38" s="100">
        <v>11.69</v>
      </c>
      <c r="D38" s="100">
        <v>11.9</v>
      </c>
      <c r="E38" s="100">
        <v>5.66</v>
      </c>
      <c r="F38" s="100">
        <v>2</v>
      </c>
      <c r="G38" s="100">
        <v>7.52</v>
      </c>
      <c r="H38" s="100">
        <v>3.6</v>
      </c>
      <c r="I38" s="100">
        <v>4.29</v>
      </c>
      <c r="J38" s="100">
        <v>0.1</v>
      </c>
      <c r="K38" s="100">
        <v>136.91</v>
      </c>
      <c r="L38" s="100">
        <v>24.5</v>
      </c>
      <c r="M38" s="100">
        <v>90.04</v>
      </c>
      <c r="N38" s="100">
        <v>26.3</v>
      </c>
      <c r="O38" s="100">
        <v>0</v>
      </c>
      <c r="P38" s="100">
        <v>0.25</v>
      </c>
      <c r="Q38" s="100">
        <v>10</v>
      </c>
      <c r="R38" s="6"/>
      <c r="S38" s="6"/>
      <c r="T38" s="156"/>
      <c r="U38" s="6"/>
    </row>
    <row r="39" spans="1:21" customFormat="1">
      <c r="A39" s="201" t="s">
        <v>463</v>
      </c>
      <c r="B39" s="100">
        <v>7.16</v>
      </c>
      <c r="C39" s="100">
        <v>11.62</v>
      </c>
      <c r="D39" s="100">
        <v>11.81</v>
      </c>
      <c r="E39" s="100">
        <v>6.01</v>
      </c>
      <c r="F39" s="100">
        <v>2</v>
      </c>
      <c r="G39" s="100">
        <v>7.52</v>
      </c>
      <c r="H39" s="100">
        <v>3.6</v>
      </c>
      <c r="I39" s="100">
        <v>4.25</v>
      </c>
      <c r="J39" s="100">
        <v>0.15</v>
      </c>
      <c r="K39" s="100">
        <v>91.77</v>
      </c>
      <c r="L39" s="100">
        <v>24.56</v>
      </c>
      <c r="M39" s="100">
        <v>89.04</v>
      </c>
      <c r="N39" s="100">
        <v>23.4</v>
      </c>
      <c r="O39" s="100">
        <v>0</v>
      </c>
      <c r="P39" s="100">
        <v>0.24</v>
      </c>
      <c r="Q39" s="100">
        <v>10</v>
      </c>
      <c r="R39" s="6"/>
      <c r="S39" s="6"/>
      <c r="T39" s="156"/>
      <c r="U39" s="6"/>
    </row>
    <row r="40" spans="1:21" customFormat="1">
      <c r="A40" s="201" t="s">
        <v>464</v>
      </c>
      <c r="B40" s="100">
        <v>7.08</v>
      </c>
      <c r="C40" s="100">
        <v>11.54</v>
      </c>
      <c r="D40" s="100">
        <v>11.71</v>
      </c>
      <c r="E40" s="100">
        <v>5.79</v>
      </c>
      <c r="F40" s="100">
        <v>2</v>
      </c>
      <c r="G40" s="100">
        <v>7.52</v>
      </c>
      <c r="H40" s="100">
        <v>3.6</v>
      </c>
      <c r="I40" s="100">
        <v>4.22</v>
      </c>
      <c r="J40" s="100">
        <v>0.1</v>
      </c>
      <c r="K40" s="100">
        <v>99.78</v>
      </c>
      <c r="L40" s="100">
        <v>24.64</v>
      </c>
      <c r="M40" s="100">
        <v>88.77</v>
      </c>
      <c r="N40" s="100">
        <v>45.6</v>
      </c>
      <c r="O40" s="100">
        <v>0</v>
      </c>
      <c r="P40" s="100">
        <v>0.24</v>
      </c>
      <c r="Q40" s="100">
        <v>10</v>
      </c>
      <c r="R40" s="6"/>
      <c r="S40" s="6"/>
      <c r="T40" s="156"/>
      <c r="U40" s="6"/>
    </row>
    <row r="41" spans="1:21" customFormat="1">
      <c r="A41" s="201" t="s">
        <v>465</v>
      </c>
      <c r="B41" s="100">
        <v>7.04</v>
      </c>
      <c r="C41" s="100">
        <v>11.51</v>
      </c>
      <c r="D41" s="100">
        <v>11.66</v>
      </c>
      <c r="E41" s="100">
        <v>5.55</v>
      </c>
      <c r="F41" s="100">
        <v>2</v>
      </c>
      <c r="G41" s="100">
        <v>7.06</v>
      </c>
      <c r="H41" s="100">
        <v>3.75</v>
      </c>
      <c r="I41" s="100">
        <v>4.18</v>
      </c>
      <c r="J41" s="100">
        <v>0.12</v>
      </c>
      <c r="K41" s="100">
        <v>180.25</v>
      </c>
      <c r="L41" s="100">
        <v>24.85</v>
      </c>
      <c r="M41" s="100">
        <v>89.92</v>
      </c>
      <c r="N41" s="100">
        <v>69.3</v>
      </c>
      <c r="O41" s="100">
        <v>0</v>
      </c>
      <c r="P41" s="100">
        <v>0.24</v>
      </c>
      <c r="Q41" s="100">
        <v>10</v>
      </c>
      <c r="R41" s="6"/>
      <c r="S41" s="6"/>
      <c r="T41" s="156"/>
      <c r="U41" s="6"/>
    </row>
    <row r="42" spans="1:21" customFormat="1">
      <c r="A42" s="201" t="s">
        <v>466</v>
      </c>
      <c r="B42" s="100">
        <v>6.94</v>
      </c>
      <c r="C42" s="100">
        <v>11.54</v>
      </c>
      <c r="D42" s="100">
        <v>11.6</v>
      </c>
      <c r="E42" s="100">
        <v>5.66</v>
      </c>
      <c r="F42" s="100">
        <v>2</v>
      </c>
      <c r="G42" s="100">
        <v>3.73</v>
      </c>
      <c r="H42" s="100">
        <v>4.51</v>
      </c>
      <c r="I42" s="100">
        <v>4.1500000000000004</v>
      </c>
      <c r="J42" s="100">
        <v>0.16</v>
      </c>
      <c r="K42" s="100">
        <v>157.72999999999999</v>
      </c>
      <c r="L42" s="100">
        <v>25.19</v>
      </c>
      <c r="M42" s="100">
        <v>89.45</v>
      </c>
      <c r="N42" s="100">
        <v>105.2</v>
      </c>
      <c r="O42" s="100">
        <v>0</v>
      </c>
      <c r="P42" s="100">
        <v>0.24</v>
      </c>
      <c r="Q42" s="100">
        <v>10</v>
      </c>
      <c r="R42" s="6"/>
      <c r="S42" s="6"/>
      <c r="T42" s="156"/>
      <c r="U42" s="6"/>
    </row>
    <row r="43" spans="1:21" customFormat="1">
      <c r="A43" s="201" t="s">
        <v>467</v>
      </c>
      <c r="B43" s="100">
        <v>6.8</v>
      </c>
      <c r="C43" s="100">
        <v>11.57</v>
      </c>
      <c r="D43" s="100">
        <v>11.49</v>
      </c>
      <c r="E43" s="100">
        <v>5.8</v>
      </c>
      <c r="F43" s="100">
        <v>2.02</v>
      </c>
      <c r="G43" s="100">
        <v>3.73</v>
      </c>
      <c r="H43" s="100">
        <v>4.51</v>
      </c>
      <c r="I43" s="100">
        <v>4.1900000000000004</v>
      </c>
      <c r="J43" s="100">
        <v>0.15</v>
      </c>
      <c r="K43" s="100">
        <v>79.209999999999994</v>
      </c>
      <c r="L43" s="100">
        <v>25.45</v>
      </c>
      <c r="M43" s="100">
        <v>88.9</v>
      </c>
      <c r="N43" s="100">
        <v>96.8</v>
      </c>
      <c r="O43" s="100">
        <v>0</v>
      </c>
      <c r="P43" s="100">
        <v>0.24</v>
      </c>
      <c r="Q43" s="100">
        <v>10</v>
      </c>
      <c r="R43" s="6"/>
      <c r="S43" s="6"/>
      <c r="T43" s="156"/>
      <c r="U43" s="6"/>
    </row>
    <row r="44" spans="1:21" customFormat="1">
      <c r="A44" s="201" t="s">
        <v>468</v>
      </c>
      <c r="B44" s="100">
        <v>6.69</v>
      </c>
      <c r="C44" s="100">
        <v>11.49</v>
      </c>
      <c r="D44" s="100">
        <v>11.37</v>
      </c>
      <c r="E44" s="100">
        <v>6.02</v>
      </c>
      <c r="F44" s="100">
        <v>2.02</v>
      </c>
      <c r="G44" s="100">
        <v>3.73</v>
      </c>
      <c r="H44" s="100">
        <v>4.51</v>
      </c>
      <c r="I44" s="100">
        <v>4.1500000000000004</v>
      </c>
      <c r="J44" s="100">
        <v>0.12</v>
      </c>
      <c r="K44" s="100">
        <v>79.05</v>
      </c>
      <c r="L44" s="100">
        <v>25.45</v>
      </c>
      <c r="M44" s="100">
        <v>88.9</v>
      </c>
      <c r="N44" s="100">
        <v>84</v>
      </c>
      <c r="O44" s="100">
        <v>0</v>
      </c>
      <c r="P44" s="100">
        <v>0.24</v>
      </c>
      <c r="Q44" s="100">
        <v>10</v>
      </c>
      <c r="R44" s="6"/>
      <c r="S44" s="6"/>
      <c r="T44" s="156"/>
      <c r="U44" s="6"/>
    </row>
    <row r="45" spans="1:21" customFormat="1">
      <c r="A45" s="201" t="s">
        <v>469</v>
      </c>
      <c r="B45" s="100">
        <v>6.6</v>
      </c>
      <c r="C45" s="100">
        <v>11.57</v>
      </c>
      <c r="D45" s="100">
        <v>11.34</v>
      </c>
      <c r="E45" s="100">
        <v>5.92</v>
      </c>
      <c r="F45" s="100">
        <v>2</v>
      </c>
      <c r="G45" s="100">
        <v>5.0199999999999996</v>
      </c>
      <c r="H45" s="100">
        <v>4.71</v>
      </c>
      <c r="I45" s="100">
        <v>4.0999999999999996</v>
      </c>
      <c r="J45" s="100">
        <v>0.19</v>
      </c>
      <c r="K45" s="100">
        <v>62.79</v>
      </c>
      <c r="L45" s="100">
        <v>25.55</v>
      </c>
      <c r="M45" s="100">
        <v>89.31</v>
      </c>
      <c r="N45" s="100">
        <v>101</v>
      </c>
      <c r="O45" s="100">
        <v>0</v>
      </c>
      <c r="P45" s="100">
        <v>0.23</v>
      </c>
      <c r="Q45" s="100">
        <v>10</v>
      </c>
      <c r="R45" s="6"/>
      <c r="S45" s="6"/>
      <c r="T45" s="156"/>
      <c r="U45" s="6"/>
    </row>
    <row r="46" spans="1:21" customFormat="1">
      <c r="A46" s="201" t="s">
        <v>470</v>
      </c>
      <c r="B46" s="100">
        <v>6.78</v>
      </c>
      <c r="C46" s="100">
        <v>11.66</v>
      </c>
      <c r="D46" s="100">
        <v>11.52</v>
      </c>
      <c r="E46" s="100">
        <v>5.93</v>
      </c>
      <c r="F46" s="100">
        <v>2</v>
      </c>
      <c r="G46" s="100">
        <v>13.43</v>
      </c>
      <c r="H46" s="100">
        <v>5.76</v>
      </c>
      <c r="I46" s="100">
        <v>4.1399999999999997</v>
      </c>
      <c r="J46" s="100">
        <v>0.11</v>
      </c>
      <c r="K46" s="100">
        <v>128.62</v>
      </c>
      <c r="L46" s="100">
        <v>25.89</v>
      </c>
      <c r="M46" s="100">
        <v>88.6</v>
      </c>
      <c r="N46" s="100">
        <v>84.1</v>
      </c>
      <c r="O46" s="100">
        <v>0</v>
      </c>
      <c r="P46" s="100">
        <v>0.22</v>
      </c>
      <c r="Q46" s="100">
        <v>10</v>
      </c>
      <c r="R46" s="6"/>
      <c r="S46" s="6"/>
      <c r="T46" s="156"/>
      <c r="U46" s="6"/>
    </row>
    <row r="47" spans="1:21" customFormat="1">
      <c r="A47" s="201" t="s">
        <v>471</v>
      </c>
      <c r="B47" s="100">
        <v>7.1</v>
      </c>
      <c r="C47" s="100">
        <v>11.68</v>
      </c>
      <c r="D47" s="100">
        <v>11.79</v>
      </c>
      <c r="E47" s="100">
        <v>5.91</v>
      </c>
      <c r="F47" s="100">
        <v>2</v>
      </c>
      <c r="G47" s="100">
        <v>13.43</v>
      </c>
      <c r="H47" s="100">
        <v>5.76</v>
      </c>
      <c r="I47" s="100">
        <v>4.18</v>
      </c>
      <c r="J47" s="100">
        <v>0.25</v>
      </c>
      <c r="K47" s="100">
        <v>61.42</v>
      </c>
      <c r="L47" s="100">
        <v>26.04</v>
      </c>
      <c r="M47" s="100">
        <v>88.98</v>
      </c>
      <c r="N47" s="100">
        <v>86.3</v>
      </c>
      <c r="O47" s="100">
        <v>0</v>
      </c>
      <c r="P47" s="100">
        <v>0.21</v>
      </c>
      <c r="Q47" s="100">
        <v>10</v>
      </c>
      <c r="R47" s="6"/>
      <c r="S47" s="6"/>
      <c r="T47" s="156"/>
      <c r="U47" s="6"/>
    </row>
    <row r="48" spans="1:21" customFormat="1">
      <c r="A48" s="201" t="s">
        <v>472</v>
      </c>
      <c r="B48" s="100">
        <v>7.6</v>
      </c>
      <c r="C48" s="100">
        <v>11.96</v>
      </c>
      <c r="D48" s="100">
        <v>12.35</v>
      </c>
      <c r="E48" s="100">
        <v>5.31</v>
      </c>
      <c r="F48" s="100">
        <v>2</v>
      </c>
      <c r="G48" s="100">
        <v>13.43</v>
      </c>
      <c r="H48" s="100">
        <v>5.76</v>
      </c>
      <c r="I48" s="100">
        <v>4.22</v>
      </c>
      <c r="J48" s="100">
        <v>0.12</v>
      </c>
      <c r="K48" s="100">
        <v>97.37</v>
      </c>
      <c r="L48" s="100">
        <v>26.22</v>
      </c>
      <c r="M48" s="100">
        <v>89.4</v>
      </c>
      <c r="N48" s="100">
        <v>106.2</v>
      </c>
      <c r="O48" s="100">
        <v>0</v>
      </c>
      <c r="P48" s="100">
        <v>0.2</v>
      </c>
      <c r="Q48" s="100">
        <v>10</v>
      </c>
      <c r="R48" s="6"/>
      <c r="S48" s="6"/>
      <c r="T48" s="156"/>
      <c r="U48" s="6"/>
    </row>
    <row r="49" spans="1:21" customFormat="1">
      <c r="A49" s="201" t="s">
        <v>473</v>
      </c>
      <c r="B49" s="100">
        <v>7.9</v>
      </c>
      <c r="C49" s="100">
        <v>12.03</v>
      </c>
      <c r="D49" s="100">
        <v>12.62</v>
      </c>
      <c r="E49" s="100">
        <v>4.5999999999999996</v>
      </c>
      <c r="F49" s="100">
        <v>2.0099999999999998</v>
      </c>
      <c r="G49" s="100">
        <v>16.91</v>
      </c>
      <c r="H49" s="100">
        <v>5.51</v>
      </c>
      <c r="I49" s="100">
        <v>4.3</v>
      </c>
      <c r="J49" s="100">
        <v>0.28999999999999998</v>
      </c>
      <c r="K49" s="100">
        <v>186.63</v>
      </c>
      <c r="L49" s="100">
        <v>26.63</v>
      </c>
      <c r="M49" s="100">
        <v>87.34</v>
      </c>
      <c r="N49" s="100">
        <v>267.8</v>
      </c>
      <c r="O49" s="100">
        <v>0</v>
      </c>
      <c r="P49" s="100">
        <v>0.21</v>
      </c>
      <c r="Q49" s="100">
        <v>10</v>
      </c>
      <c r="R49" s="6"/>
      <c r="S49" s="6"/>
      <c r="T49" s="156"/>
      <c r="U49" s="6"/>
    </row>
    <row r="50" spans="1:21" customFormat="1">
      <c r="A50" s="201" t="s">
        <v>474</v>
      </c>
      <c r="B50" s="100">
        <v>8.08</v>
      </c>
      <c r="C50" s="100">
        <v>12.01</v>
      </c>
      <c r="D50" s="100">
        <v>12.75</v>
      </c>
      <c r="E50" s="100">
        <v>5.75</v>
      </c>
      <c r="F50" s="100">
        <v>2</v>
      </c>
      <c r="G50" s="100">
        <v>39.53</v>
      </c>
      <c r="H50" s="100">
        <v>4.26</v>
      </c>
      <c r="I50" s="100">
        <v>4.24</v>
      </c>
      <c r="J50" s="100">
        <v>0.06</v>
      </c>
      <c r="K50" s="100">
        <v>144.72999999999999</v>
      </c>
      <c r="L50" s="100">
        <v>27.57</v>
      </c>
      <c r="M50" s="100">
        <v>86.24</v>
      </c>
      <c r="N50" s="100">
        <v>339.7</v>
      </c>
      <c r="O50" s="100">
        <v>0</v>
      </c>
      <c r="P50" s="100">
        <v>0.23</v>
      </c>
      <c r="Q50" s="100">
        <v>10</v>
      </c>
      <c r="R50" s="6"/>
      <c r="S50" s="6"/>
      <c r="T50" s="156"/>
      <c r="U50" s="6"/>
    </row>
    <row r="51" spans="1:21" customFormat="1">
      <c r="A51" s="201" t="s">
        <v>475</v>
      </c>
      <c r="B51" s="100">
        <v>8.23</v>
      </c>
      <c r="C51" s="100">
        <v>11.79</v>
      </c>
      <c r="D51" s="100">
        <v>12.76</v>
      </c>
      <c r="E51" s="100">
        <v>5.67</v>
      </c>
      <c r="F51" s="100">
        <v>2</v>
      </c>
      <c r="G51" s="100">
        <v>39.53</v>
      </c>
      <c r="H51" s="100">
        <v>4.26</v>
      </c>
      <c r="I51" s="100">
        <v>4.33</v>
      </c>
      <c r="J51" s="100">
        <v>0.22</v>
      </c>
      <c r="K51" s="100">
        <v>194.8</v>
      </c>
      <c r="L51" s="100">
        <v>28.23</v>
      </c>
      <c r="M51" s="100">
        <v>83.56</v>
      </c>
      <c r="N51" s="100">
        <v>332.7</v>
      </c>
      <c r="O51" s="100">
        <v>0</v>
      </c>
      <c r="P51" s="100">
        <v>0.22</v>
      </c>
      <c r="Q51" s="100">
        <v>10</v>
      </c>
      <c r="R51" s="6"/>
      <c r="S51" s="6"/>
      <c r="T51" s="156"/>
      <c r="U51" s="6"/>
    </row>
    <row r="52" spans="1:21" customFormat="1">
      <c r="A52" s="201" t="s">
        <v>476</v>
      </c>
      <c r="B52" s="100">
        <v>8.2100000000000009</v>
      </c>
      <c r="C52" s="100">
        <v>11.75</v>
      </c>
      <c r="D52" s="100">
        <v>12.72</v>
      </c>
      <c r="E52" s="100">
        <v>5.37</v>
      </c>
      <c r="F52" s="100">
        <v>2.73</v>
      </c>
      <c r="G52" s="100">
        <v>39.53</v>
      </c>
      <c r="H52" s="100">
        <v>4.26</v>
      </c>
      <c r="I52" s="100">
        <v>4.4000000000000004</v>
      </c>
      <c r="J52" s="100">
        <v>0.28999999999999998</v>
      </c>
      <c r="K52" s="100">
        <v>214.92</v>
      </c>
      <c r="L52" s="100">
        <v>27.96</v>
      </c>
      <c r="M52" s="100">
        <v>82.76</v>
      </c>
      <c r="N52" s="100">
        <v>229.7</v>
      </c>
      <c r="O52" s="100">
        <v>0</v>
      </c>
      <c r="P52" s="100">
        <v>0.2</v>
      </c>
      <c r="Q52" s="100">
        <v>10</v>
      </c>
      <c r="R52" s="6"/>
      <c r="S52" s="6"/>
      <c r="T52" s="156"/>
      <c r="U52" s="6"/>
    </row>
    <row r="53" spans="1:21" customFormat="1">
      <c r="A53" s="201" t="s">
        <v>477</v>
      </c>
      <c r="B53" s="100">
        <v>7.24</v>
      </c>
      <c r="C53" s="100">
        <v>11.74</v>
      </c>
      <c r="D53" s="100">
        <v>11.95</v>
      </c>
      <c r="E53" s="100">
        <v>4.9400000000000004</v>
      </c>
      <c r="F53" s="100">
        <v>3.93</v>
      </c>
      <c r="G53" s="100">
        <v>37.01</v>
      </c>
      <c r="H53" s="100">
        <v>4.0999999999999996</v>
      </c>
      <c r="I53" s="100">
        <v>4.37</v>
      </c>
      <c r="J53" s="100">
        <v>0.15</v>
      </c>
      <c r="K53" s="100">
        <v>177.1</v>
      </c>
      <c r="L53" s="100">
        <v>28.05</v>
      </c>
      <c r="M53" s="100">
        <v>82.59</v>
      </c>
      <c r="N53" s="100">
        <v>194.5</v>
      </c>
      <c r="O53" s="100">
        <v>0</v>
      </c>
      <c r="P53" s="100">
        <v>0.18</v>
      </c>
      <c r="Q53" s="100">
        <v>10</v>
      </c>
      <c r="R53" s="6"/>
      <c r="S53" s="6"/>
      <c r="T53" s="156"/>
      <c r="U53" s="6"/>
    </row>
    <row r="54" spans="1:21" customFormat="1">
      <c r="A54" s="201" t="s">
        <v>478</v>
      </c>
      <c r="B54" s="100">
        <v>5.77</v>
      </c>
      <c r="C54" s="100">
        <v>12.04</v>
      </c>
      <c r="D54" s="100">
        <v>10.92</v>
      </c>
      <c r="E54" s="100">
        <v>4.42</v>
      </c>
      <c r="F54" s="100">
        <v>3.49</v>
      </c>
      <c r="G54" s="100">
        <v>18.98</v>
      </c>
      <c r="H54" s="100">
        <v>3.28</v>
      </c>
      <c r="I54" s="100">
        <v>4.1399999999999997</v>
      </c>
      <c r="J54" s="100">
        <v>0.1</v>
      </c>
      <c r="K54" s="100">
        <v>84.99</v>
      </c>
      <c r="L54" s="100">
        <v>28.15</v>
      </c>
      <c r="M54" s="100">
        <v>80.709999999999994</v>
      </c>
      <c r="N54" s="100">
        <v>230.1</v>
      </c>
      <c r="O54" s="100">
        <v>0</v>
      </c>
      <c r="P54" s="100">
        <v>0.17</v>
      </c>
      <c r="Q54" s="100">
        <v>10</v>
      </c>
      <c r="R54" s="6"/>
      <c r="S54" s="6"/>
      <c r="T54" s="156"/>
      <c r="U54" s="6"/>
    </row>
    <row r="55" spans="1:21" customFormat="1">
      <c r="A55" s="201" t="s">
        <v>479</v>
      </c>
      <c r="B55" s="100">
        <v>4.66</v>
      </c>
      <c r="C55" s="100">
        <v>12.68</v>
      </c>
      <c r="D55" s="100">
        <v>10.36</v>
      </c>
      <c r="E55" s="100">
        <v>3.88</v>
      </c>
      <c r="F55" s="100">
        <v>2.44</v>
      </c>
      <c r="G55" s="100">
        <v>18.98</v>
      </c>
      <c r="H55" s="100">
        <v>3.28</v>
      </c>
      <c r="I55" s="100">
        <v>3.87</v>
      </c>
      <c r="J55" s="100">
        <v>0.14000000000000001</v>
      </c>
      <c r="K55" s="100">
        <v>102.22</v>
      </c>
      <c r="L55" s="100">
        <v>28.41</v>
      </c>
      <c r="M55" s="100">
        <v>81.19</v>
      </c>
      <c r="N55" s="100">
        <v>166.8</v>
      </c>
      <c r="O55" s="100">
        <v>0</v>
      </c>
      <c r="P55" s="100">
        <v>0.16</v>
      </c>
      <c r="Q55" s="100">
        <v>10</v>
      </c>
      <c r="R55" s="6"/>
      <c r="S55" s="6"/>
      <c r="T55" s="156"/>
      <c r="U55" s="6"/>
    </row>
    <row r="56" spans="1:21" customFormat="1">
      <c r="A56" s="201" t="s">
        <v>480</v>
      </c>
      <c r="B56" s="100">
        <v>4.42</v>
      </c>
      <c r="C56" s="100">
        <v>12.95</v>
      </c>
      <c r="D56" s="100">
        <v>10.31</v>
      </c>
      <c r="E56" s="100">
        <v>3.62</v>
      </c>
      <c r="F56" s="100">
        <v>2.11</v>
      </c>
      <c r="G56" s="100">
        <v>18.98</v>
      </c>
      <c r="H56" s="100">
        <v>3.28</v>
      </c>
      <c r="I56" s="100">
        <v>3.73</v>
      </c>
      <c r="J56" s="100">
        <v>0.23</v>
      </c>
      <c r="K56" s="100">
        <v>124.23</v>
      </c>
      <c r="L56" s="100">
        <v>28.78</v>
      </c>
      <c r="M56" s="100">
        <v>79.349999999999994</v>
      </c>
      <c r="N56" s="100">
        <v>235.2</v>
      </c>
      <c r="O56" s="100">
        <v>0</v>
      </c>
      <c r="P56" s="100">
        <v>0.17</v>
      </c>
      <c r="Q56" s="100">
        <v>10</v>
      </c>
      <c r="R56" s="6"/>
      <c r="S56" s="6"/>
      <c r="T56" s="156"/>
      <c r="U56" s="6"/>
    </row>
    <row r="57" spans="1:21" customFormat="1">
      <c r="A57" s="201" t="s">
        <v>481</v>
      </c>
      <c r="B57" s="100">
        <v>4.62</v>
      </c>
      <c r="C57" s="100">
        <v>12.83</v>
      </c>
      <c r="D57" s="100">
        <v>10.41</v>
      </c>
      <c r="E57" s="100">
        <v>3.85</v>
      </c>
      <c r="F57" s="100">
        <v>2</v>
      </c>
      <c r="G57" s="100">
        <v>21.85</v>
      </c>
      <c r="H57" s="100">
        <v>3.88</v>
      </c>
      <c r="I57" s="100">
        <v>3.67</v>
      </c>
      <c r="J57" s="100">
        <v>0.22</v>
      </c>
      <c r="K57" s="100">
        <v>64.37</v>
      </c>
      <c r="L57" s="100">
        <v>29.15</v>
      </c>
      <c r="M57" s="100">
        <v>78.5</v>
      </c>
      <c r="N57" s="100">
        <v>266.5</v>
      </c>
      <c r="O57" s="100">
        <v>0</v>
      </c>
      <c r="P57" s="100">
        <v>0.18</v>
      </c>
      <c r="Q57" s="100">
        <v>10</v>
      </c>
      <c r="R57" s="6"/>
      <c r="S57" s="6"/>
      <c r="T57" s="156"/>
      <c r="U57" s="6"/>
    </row>
    <row r="58" spans="1:21" customFormat="1">
      <c r="A58" s="201" t="s">
        <v>482</v>
      </c>
      <c r="B58" s="100">
        <v>4.91</v>
      </c>
      <c r="C58" s="100">
        <v>12.64</v>
      </c>
      <c r="D58" s="100">
        <v>10.54</v>
      </c>
      <c r="E58" s="100">
        <v>4.17</v>
      </c>
      <c r="F58" s="100">
        <v>2.0699999999999998</v>
      </c>
      <c r="G58" s="100">
        <v>40.49</v>
      </c>
      <c r="H58" s="100">
        <v>6.89</v>
      </c>
      <c r="I58" s="100">
        <v>3.7</v>
      </c>
      <c r="J58" s="100">
        <v>0.27</v>
      </c>
      <c r="K58" s="100">
        <v>64.77</v>
      </c>
      <c r="L58" s="100">
        <v>28.95</v>
      </c>
      <c r="M58" s="100">
        <v>78.760000000000005</v>
      </c>
      <c r="N58" s="100">
        <v>255.6</v>
      </c>
      <c r="O58" s="100">
        <v>0</v>
      </c>
      <c r="P58" s="100">
        <v>0.17</v>
      </c>
      <c r="Q58" s="100">
        <v>10</v>
      </c>
      <c r="R58" s="6"/>
      <c r="S58" s="6"/>
      <c r="T58" s="156"/>
      <c r="U58" s="6"/>
    </row>
    <row r="59" spans="1:21" customFormat="1">
      <c r="A59" s="201" t="s">
        <v>483</v>
      </c>
      <c r="B59" s="100">
        <v>5</v>
      </c>
      <c r="C59" s="100">
        <v>12.62</v>
      </c>
      <c r="D59" s="100">
        <v>10.6</v>
      </c>
      <c r="E59" s="100">
        <v>4.0599999999999996</v>
      </c>
      <c r="F59" s="100">
        <v>2</v>
      </c>
      <c r="G59" s="100">
        <v>40.49</v>
      </c>
      <c r="H59" s="100">
        <v>6.89</v>
      </c>
      <c r="I59" s="100">
        <v>3.74</v>
      </c>
      <c r="J59" s="100">
        <v>0.22</v>
      </c>
      <c r="K59" s="100">
        <v>159.55000000000001</v>
      </c>
      <c r="L59" s="100">
        <v>29.22</v>
      </c>
      <c r="M59" s="100">
        <v>76.239999999999995</v>
      </c>
      <c r="N59" s="100">
        <v>261.8</v>
      </c>
      <c r="O59" s="100">
        <v>0</v>
      </c>
      <c r="P59" s="100">
        <v>0.16</v>
      </c>
      <c r="Q59" s="100">
        <v>10</v>
      </c>
      <c r="R59" s="6"/>
      <c r="S59" s="6"/>
      <c r="T59" s="156"/>
      <c r="U59" s="6"/>
    </row>
    <row r="60" spans="1:21" customFormat="1">
      <c r="A60" s="201" t="s">
        <v>484</v>
      </c>
      <c r="B60" s="100">
        <v>5.0599999999999996</v>
      </c>
      <c r="C60" s="100">
        <v>12.71</v>
      </c>
      <c r="D60" s="100">
        <v>10.7</v>
      </c>
      <c r="E60" s="100">
        <v>3.8</v>
      </c>
      <c r="F60" s="100">
        <v>2.19</v>
      </c>
      <c r="G60" s="100">
        <v>40.49</v>
      </c>
      <c r="H60" s="100">
        <v>6.89</v>
      </c>
      <c r="I60" s="100">
        <v>3.8</v>
      </c>
      <c r="J60" s="100">
        <v>0.13</v>
      </c>
      <c r="K60" s="100">
        <v>149.34</v>
      </c>
      <c r="L60" s="100">
        <v>29.06</v>
      </c>
      <c r="M60" s="100">
        <v>78.13</v>
      </c>
      <c r="N60" s="100">
        <v>172.3</v>
      </c>
      <c r="O60" s="100">
        <v>0</v>
      </c>
      <c r="P60" s="100">
        <v>0.15</v>
      </c>
      <c r="Q60" s="100">
        <v>10</v>
      </c>
      <c r="R60" s="6"/>
      <c r="S60" s="6"/>
      <c r="T60" s="156"/>
      <c r="U60" s="6"/>
    </row>
    <row r="61" spans="1:21" customFormat="1">
      <c r="A61" s="201" t="s">
        <v>485</v>
      </c>
      <c r="B61" s="100">
        <v>5.0599999999999996</v>
      </c>
      <c r="C61" s="100">
        <v>12.71</v>
      </c>
      <c r="D61" s="100">
        <v>10.7</v>
      </c>
      <c r="E61" s="100">
        <v>3.84</v>
      </c>
      <c r="F61" s="100">
        <v>2.19</v>
      </c>
      <c r="G61" s="100">
        <v>37.840000000000003</v>
      </c>
      <c r="H61" s="100">
        <v>6.9</v>
      </c>
      <c r="I61" s="100">
        <v>3.85</v>
      </c>
      <c r="J61" s="100">
        <v>0.17</v>
      </c>
      <c r="K61" s="100">
        <v>140.27000000000001</v>
      </c>
      <c r="L61" s="100">
        <v>29.1</v>
      </c>
      <c r="M61" s="100">
        <v>76.02</v>
      </c>
      <c r="N61" s="100">
        <v>176.7</v>
      </c>
      <c r="O61" s="100">
        <v>0</v>
      </c>
      <c r="P61" s="100">
        <v>0.16</v>
      </c>
      <c r="Q61" s="100">
        <v>10</v>
      </c>
      <c r="R61" s="6"/>
      <c r="S61" s="6"/>
      <c r="T61" s="156"/>
      <c r="U61" s="6"/>
    </row>
    <row r="62" spans="1:21" customFormat="1">
      <c r="A62" s="201" t="s">
        <v>486</v>
      </c>
      <c r="B62" s="100">
        <v>5.13</v>
      </c>
      <c r="C62" s="100">
        <v>12.68</v>
      </c>
      <c r="D62" s="100">
        <v>10.74</v>
      </c>
      <c r="E62" s="100">
        <v>4.0199999999999996</v>
      </c>
      <c r="F62" s="100">
        <v>2.16</v>
      </c>
      <c r="G62" s="100">
        <v>20.63</v>
      </c>
      <c r="H62" s="100">
        <v>6.91</v>
      </c>
      <c r="I62" s="100">
        <v>3.77</v>
      </c>
      <c r="J62" s="100">
        <v>0.19</v>
      </c>
      <c r="K62" s="100">
        <v>113.69</v>
      </c>
      <c r="L62" s="100">
        <v>29.34</v>
      </c>
      <c r="M62" s="100">
        <v>76.61</v>
      </c>
      <c r="N62" s="100">
        <v>201.3</v>
      </c>
      <c r="O62" s="100">
        <v>0</v>
      </c>
      <c r="P62" s="100">
        <v>0.18</v>
      </c>
      <c r="Q62" s="100">
        <v>10</v>
      </c>
      <c r="R62" s="6"/>
      <c r="S62" s="6"/>
      <c r="T62" s="156"/>
      <c r="U62" s="6"/>
    </row>
    <row r="63" spans="1:21" customFormat="1">
      <c r="A63" s="201" t="s">
        <v>487</v>
      </c>
      <c r="B63" s="100">
        <v>5.15</v>
      </c>
      <c r="C63" s="100">
        <v>12.47</v>
      </c>
      <c r="D63" s="100">
        <v>10.65</v>
      </c>
      <c r="E63" s="100">
        <v>4.3899999999999997</v>
      </c>
      <c r="F63" s="100">
        <v>2</v>
      </c>
      <c r="G63" s="100">
        <v>20.63</v>
      </c>
      <c r="H63" s="100">
        <v>6.91</v>
      </c>
      <c r="I63" s="100">
        <v>3.75</v>
      </c>
      <c r="J63" s="100">
        <v>0.01</v>
      </c>
      <c r="K63" s="100">
        <v>211.49</v>
      </c>
      <c r="L63" s="100">
        <v>29.72</v>
      </c>
      <c r="M63" s="100">
        <v>74.47</v>
      </c>
      <c r="N63" s="100">
        <v>186</v>
      </c>
      <c r="O63" s="100">
        <v>0</v>
      </c>
      <c r="P63" s="100">
        <v>0.17</v>
      </c>
      <c r="Q63" s="100">
        <v>10</v>
      </c>
      <c r="R63" s="6"/>
      <c r="S63" s="6"/>
      <c r="T63" s="156"/>
      <c r="U63" s="6"/>
    </row>
    <row r="64" spans="1:21" customFormat="1">
      <c r="A64" s="201" t="s">
        <v>488</v>
      </c>
      <c r="B64" s="100">
        <v>5.13</v>
      </c>
      <c r="C64" s="100">
        <v>12.42</v>
      </c>
      <c r="D64" s="100">
        <v>10.61</v>
      </c>
      <c r="E64" s="100">
        <v>4.04</v>
      </c>
      <c r="F64" s="100">
        <v>2.4700000000000002</v>
      </c>
      <c r="G64" s="100">
        <v>20.63</v>
      </c>
      <c r="H64" s="100">
        <v>6.91</v>
      </c>
      <c r="I64" s="100">
        <v>3.83</v>
      </c>
      <c r="J64" s="100">
        <v>0.22</v>
      </c>
      <c r="K64" s="100">
        <v>203.51</v>
      </c>
      <c r="L64" s="100">
        <v>29.52</v>
      </c>
      <c r="M64" s="100">
        <v>77.3</v>
      </c>
      <c r="N64" s="100">
        <v>183.6</v>
      </c>
      <c r="O64" s="100">
        <v>0</v>
      </c>
      <c r="P64" s="100">
        <v>0.16</v>
      </c>
      <c r="Q64" s="100">
        <v>10</v>
      </c>
      <c r="R64" s="6"/>
      <c r="S64" s="6"/>
      <c r="T64" s="156"/>
      <c r="U64" s="6"/>
    </row>
    <row r="65" spans="1:21" customFormat="1">
      <c r="A65" s="201" t="s">
        <v>489</v>
      </c>
      <c r="B65" s="100">
        <v>4.99</v>
      </c>
      <c r="C65" s="100">
        <v>12.58</v>
      </c>
      <c r="D65" s="100">
        <v>10.57</v>
      </c>
      <c r="E65" s="100">
        <v>4.07</v>
      </c>
      <c r="F65" s="100">
        <v>2.13</v>
      </c>
      <c r="G65" s="100">
        <v>21.25</v>
      </c>
      <c r="H65" s="100">
        <v>6.86</v>
      </c>
      <c r="I65" s="100">
        <v>3.88</v>
      </c>
      <c r="J65" s="100">
        <v>0.22</v>
      </c>
      <c r="K65" s="100">
        <v>135.87</v>
      </c>
      <c r="L65" s="100">
        <v>29.84</v>
      </c>
      <c r="M65" s="100">
        <v>74.25</v>
      </c>
      <c r="N65" s="100">
        <v>269.8</v>
      </c>
      <c r="O65" s="100">
        <v>0</v>
      </c>
      <c r="P65" s="100">
        <v>0.17</v>
      </c>
      <c r="Q65" s="100">
        <v>10</v>
      </c>
      <c r="R65" s="6"/>
      <c r="S65" s="6"/>
      <c r="T65" s="156"/>
      <c r="U65" s="6"/>
    </row>
    <row r="66" spans="1:21" customFormat="1">
      <c r="A66" s="201" t="s">
        <v>490</v>
      </c>
      <c r="B66" s="100">
        <v>4.7300000000000004</v>
      </c>
      <c r="C66" s="100">
        <v>12.82</v>
      </c>
      <c r="D66" s="100">
        <v>10.49</v>
      </c>
      <c r="E66" s="100">
        <v>4.25</v>
      </c>
      <c r="F66" s="100">
        <v>3.09</v>
      </c>
      <c r="G66" s="100">
        <v>25.28</v>
      </c>
      <c r="H66" s="100">
        <v>6.62</v>
      </c>
      <c r="I66" s="100">
        <v>3.77</v>
      </c>
      <c r="J66" s="100">
        <v>0.22</v>
      </c>
      <c r="K66" s="100">
        <v>78.180000000000007</v>
      </c>
      <c r="L66" s="100">
        <v>29.85</v>
      </c>
      <c r="M66" s="100">
        <v>70.92</v>
      </c>
      <c r="N66" s="100">
        <v>149.19999999999999</v>
      </c>
      <c r="O66" s="100">
        <v>0</v>
      </c>
      <c r="P66" s="100">
        <v>0.19</v>
      </c>
      <c r="Q66" s="100">
        <v>10</v>
      </c>
      <c r="R66" s="6"/>
      <c r="S66" s="6"/>
      <c r="T66" s="156"/>
      <c r="U66" s="6"/>
    </row>
    <row r="67" spans="1:21" customFormat="1">
      <c r="A67" s="201" t="s">
        <v>491</v>
      </c>
      <c r="B67" s="100">
        <v>4.54</v>
      </c>
      <c r="C67" s="100">
        <v>13.01</v>
      </c>
      <c r="D67" s="100">
        <v>10.44</v>
      </c>
      <c r="E67" s="100">
        <v>4.53</v>
      </c>
      <c r="F67" s="100">
        <v>2.4</v>
      </c>
      <c r="G67" s="100">
        <v>25.28</v>
      </c>
      <c r="H67" s="100">
        <v>6.62</v>
      </c>
      <c r="I67" s="100">
        <v>3.66</v>
      </c>
      <c r="J67" s="100">
        <v>0.13</v>
      </c>
      <c r="K67" s="100">
        <v>192.94</v>
      </c>
      <c r="L67" s="100">
        <v>29.97</v>
      </c>
      <c r="M67" s="100">
        <v>70.94</v>
      </c>
      <c r="N67" s="100">
        <v>130.4</v>
      </c>
      <c r="O67" s="100">
        <v>0</v>
      </c>
      <c r="P67" s="100">
        <v>0.19</v>
      </c>
      <c r="Q67" s="100">
        <v>10</v>
      </c>
      <c r="R67" s="6"/>
      <c r="S67" s="6"/>
      <c r="T67" s="156"/>
      <c r="U67" s="6"/>
    </row>
    <row r="68" spans="1:21" customFormat="1">
      <c r="A68" s="201" t="s">
        <v>492</v>
      </c>
      <c r="B68" s="100">
        <v>4.3600000000000003</v>
      </c>
      <c r="C68" s="100">
        <v>13.11</v>
      </c>
      <c r="D68" s="100">
        <v>10.35</v>
      </c>
      <c r="E68" s="100">
        <v>4.63</v>
      </c>
      <c r="F68" s="100">
        <v>2.04</v>
      </c>
      <c r="G68" s="100">
        <v>25.28</v>
      </c>
      <c r="H68" s="100">
        <v>6.62</v>
      </c>
      <c r="I68" s="100">
        <v>3.61</v>
      </c>
      <c r="J68" s="100">
        <v>0.22</v>
      </c>
      <c r="K68" s="100">
        <v>152.57</v>
      </c>
      <c r="L68" s="100">
        <v>29.7</v>
      </c>
      <c r="M68" s="100">
        <v>73.44</v>
      </c>
      <c r="N68" s="100">
        <v>67.8</v>
      </c>
      <c r="O68" s="100">
        <v>0</v>
      </c>
      <c r="P68" s="100">
        <v>0.19</v>
      </c>
      <c r="Q68" s="100">
        <v>10</v>
      </c>
      <c r="R68" s="6"/>
      <c r="S68" s="6"/>
      <c r="T68" s="156"/>
      <c r="U68" s="6"/>
    </row>
    <row r="69" spans="1:21" customFormat="1">
      <c r="A69" s="201" t="s">
        <v>493</v>
      </c>
      <c r="B69" s="100">
        <v>4.17</v>
      </c>
      <c r="C69" s="100">
        <v>13.04</v>
      </c>
      <c r="D69" s="100">
        <v>10.16</v>
      </c>
      <c r="E69" s="100">
        <v>4.5199999999999996</v>
      </c>
      <c r="F69" s="100">
        <v>2</v>
      </c>
      <c r="G69" s="100">
        <v>24.42</v>
      </c>
      <c r="H69" s="100">
        <v>7.03</v>
      </c>
      <c r="I69" s="100">
        <v>3.57</v>
      </c>
      <c r="J69" s="100">
        <v>0.23</v>
      </c>
      <c r="K69" s="100">
        <v>182.8</v>
      </c>
      <c r="L69" s="100">
        <v>29.32</v>
      </c>
      <c r="M69" s="100">
        <v>72.64</v>
      </c>
      <c r="N69" s="100">
        <v>65.599999999999994</v>
      </c>
      <c r="O69" s="100">
        <v>0</v>
      </c>
      <c r="P69" s="100">
        <v>0.19</v>
      </c>
      <c r="Q69" s="100">
        <v>10</v>
      </c>
      <c r="R69" s="6"/>
      <c r="S69" s="6"/>
      <c r="T69" s="156"/>
      <c r="U69" s="6"/>
    </row>
    <row r="70" spans="1:21" customFormat="1">
      <c r="A70" s="201" t="s">
        <v>494</v>
      </c>
      <c r="B70" s="100">
        <v>4.0199999999999996</v>
      </c>
      <c r="C70" s="100">
        <v>12.99</v>
      </c>
      <c r="D70" s="100">
        <v>10.01</v>
      </c>
      <c r="E70" s="100">
        <v>4.67</v>
      </c>
      <c r="F70" s="100">
        <v>2.04</v>
      </c>
      <c r="G70" s="100">
        <v>18.78</v>
      </c>
      <c r="H70" s="100">
        <v>9.11</v>
      </c>
      <c r="I70" s="100">
        <v>3.52</v>
      </c>
      <c r="J70" s="100">
        <v>0.16</v>
      </c>
      <c r="K70" s="100">
        <v>170.11</v>
      </c>
      <c r="L70" s="100">
        <v>28.92</v>
      </c>
      <c r="M70" s="100">
        <v>77.95</v>
      </c>
      <c r="N70" s="100">
        <v>72.8</v>
      </c>
      <c r="O70" s="100">
        <v>0</v>
      </c>
      <c r="P70" s="100">
        <v>0.19</v>
      </c>
      <c r="Q70" s="100">
        <v>10</v>
      </c>
      <c r="R70" s="6"/>
      <c r="S70" s="6"/>
      <c r="T70" s="156"/>
      <c r="U70" s="6"/>
    </row>
    <row r="71" spans="1:21" customFormat="1">
      <c r="A71" s="201" t="s">
        <v>495</v>
      </c>
      <c r="B71" s="100">
        <v>3.92</v>
      </c>
      <c r="C71" s="100">
        <v>12.81</v>
      </c>
      <c r="D71" s="100">
        <v>9.84</v>
      </c>
      <c r="E71" s="100">
        <v>4.78</v>
      </c>
      <c r="F71" s="100">
        <v>2.0099999999999998</v>
      </c>
      <c r="G71" s="100">
        <v>18.78</v>
      </c>
      <c r="H71" s="100">
        <v>9.11</v>
      </c>
      <c r="I71" s="100">
        <v>3.48</v>
      </c>
      <c r="J71" s="100">
        <v>0.17</v>
      </c>
      <c r="K71" s="100">
        <v>151.54</v>
      </c>
      <c r="L71" s="100">
        <v>29.29</v>
      </c>
      <c r="M71" s="100">
        <v>75.98</v>
      </c>
      <c r="N71" s="100">
        <v>101.7</v>
      </c>
      <c r="O71" s="100">
        <v>0</v>
      </c>
      <c r="P71" s="100">
        <v>0.18</v>
      </c>
      <c r="Q71" s="100">
        <v>10</v>
      </c>
      <c r="R71" s="6"/>
      <c r="S71" s="6"/>
      <c r="T71" s="156"/>
      <c r="U71" s="6"/>
    </row>
    <row r="72" spans="1:21" customFormat="1">
      <c r="A72" s="201" t="s">
        <v>496</v>
      </c>
      <c r="B72" s="100">
        <v>3.82</v>
      </c>
      <c r="C72" s="100">
        <v>12.72</v>
      </c>
      <c r="D72" s="100">
        <v>9.7100000000000009</v>
      </c>
      <c r="E72" s="100">
        <v>5.04</v>
      </c>
      <c r="F72" s="100">
        <v>2</v>
      </c>
      <c r="G72" s="100">
        <v>18.78</v>
      </c>
      <c r="H72" s="100">
        <v>9.11</v>
      </c>
      <c r="I72" s="100">
        <v>3.43</v>
      </c>
      <c r="J72" s="100">
        <v>0.27</v>
      </c>
      <c r="K72" s="100">
        <v>166.07</v>
      </c>
      <c r="L72" s="100">
        <v>29.11</v>
      </c>
      <c r="M72" s="100">
        <v>76.52</v>
      </c>
      <c r="N72" s="100">
        <v>47</v>
      </c>
      <c r="O72" s="100">
        <v>0</v>
      </c>
      <c r="P72" s="100">
        <v>0.18</v>
      </c>
      <c r="Q72" s="100">
        <v>10</v>
      </c>
      <c r="R72" s="6"/>
      <c r="S72" s="6"/>
      <c r="T72" s="156"/>
      <c r="U72" s="6"/>
    </row>
    <row r="73" spans="1:21" customFormat="1">
      <c r="A73" s="201" t="s">
        <v>497</v>
      </c>
      <c r="B73" s="100">
        <v>3.73</v>
      </c>
      <c r="C73" s="100">
        <v>12.53</v>
      </c>
      <c r="D73" s="100">
        <v>9.5399999999999991</v>
      </c>
      <c r="E73" s="100">
        <v>5.17</v>
      </c>
      <c r="F73" s="100">
        <v>2.2000000000000002</v>
      </c>
      <c r="G73" s="100">
        <v>18.809999999999999</v>
      </c>
      <c r="H73" s="100">
        <v>8.7200000000000006</v>
      </c>
      <c r="I73" s="100">
        <v>3.39</v>
      </c>
      <c r="J73" s="100">
        <v>0.22</v>
      </c>
      <c r="K73" s="100">
        <v>164.21</v>
      </c>
      <c r="L73" s="100">
        <v>28.77</v>
      </c>
      <c r="M73" s="100">
        <v>78.47</v>
      </c>
      <c r="N73" s="100">
        <v>45.4</v>
      </c>
      <c r="O73" s="100">
        <v>0</v>
      </c>
      <c r="P73" s="100">
        <v>0.18</v>
      </c>
      <c r="Q73" s="100">
        <v>10</v>
      </c>
      <c r="R73" s="6"/>
      <c r="S73" s="6"/>
      <c r="T73" s="156"/>
      <c r="U73" s="6"/>
    </row>
    <row r="74" spans="1:21" customFormat="1">
      <c r="A74" s="201" t="s">
        <v>498</v>
      </c>
      <c r="B74" s="100">
        <v>3.69</v>
      </c>
      <c r="C74" s="100">
        <v>12.44</v>
      </c>
      <c r="D74" s="100">
        <v>9.4600000000000009</v>
      </c>
      <c r="E74" s="100">
        <v>5.1100000000000003</v>
      </c>
      <c r="F74" s="100">
        <v>2.14</v>
      </c>
      <c r="G74" s="100">
        <v>19.03</v>
      </c>
      <c r="H74" s="100">
        <v>6.78</v>
      </c>
      <c r="I74" s="100">
        <v>3.35</v>
      </c>
      <c r="J74" s="100">
        <v>0.27</v>
      </c>
      <c r="K74" s="100">
        <v>161.27000000000001</v>
      </c>
      <c r="L74" s="100">
        <v>28.84</v>
      </c>
      <c r="M74" s="100">
        <v>79.84</v>
      </c>
      <c r="N74" s="100">
        <v>46.2</v>
      </c>
      <c r="O74" s="100">
        <v>0</v>
      </c>
      <c r="P74" s="100">
        <v>0.18</v>
      </c>
      <c r="Q74" s="100">
        <v>10</v>
      </c>
      <c r="R74" s="6"/>
      <c r="S74" s="6"/>
      <c r="T74" s="156"/>
      <c r="U74" s="6"/>
    </row>
    <row r="75" spans="1:21" customFormat="1">
      <c r="A75" s="201" t="s">
        <v>499</v>
      </c>
      <c r="B75" s="100">
        <v>3.67</v>
      </c>
      <c r="C75" s="100">
        <v>12.31</v>
      </c>
      <c r="D75" s="100">
        <v>9.3800000000000008</v>
      </c>
      <c r="E75" s="100">
        <v>5.33</v>
      </c>
      <c r="F75" s="100">
        <v>2.08</v>
      </c>
      <c r="G75" s="100">
        <v>19.03</v>
      </c>
      <c r="H75" s="100">
        <v>6.78</v>
      </c>
      <c r="I75" s="100">
        <v>3.29</v>
      </c>
      <c r="J75" s="100">
        <v>0.32</v>
      </c>
      <c r="K75" s="100">
        <v>168.63</v>
      </c>
      <c r="L75" s="100">
        <v>29.2</v>
      </c>
      <c r="M75" s="100">
        <v>75.63</v>
      </c>
      <c r="N75" s="100">
        <v>42.7</v>
      </c>
      <c r="O75" s="100">
        <v>0</v>
      </c>
      <c r="P75" s="100">
        <v>0.18</v>
      </c>
      <c r="Q75" s="100">
        <v>10</v>
      </c>
      <c r="R75" s="6"/>
      <c r="S75" s="6"/>
      <c r="T75" s="156"/>
      <c r="U75" s="6"/>
    </row>
    <row r="76" spans="1:21" customFormat="1">
      <c r="A76" s="201" t="s">
        <v>500</v>
      </c>
      <c r="B76" s="100">
        <v>3.59</v>
      </c>
      <c r="C76" s="100">
        <v>12.28</v>
      </c>
      <c r="D76" s="100">
        <v>9.2899999999999991</v>
      </c>
      <c r="E76" s="100">
        <v>5.25</v>
      </c>
      <c r="F76" s="100">
        <v>2.06</v>
      </c>
      <c r="G76" s="100">
        <v>19.03</v>
      </c>
      <c r="H76" s="100">
        <v>6.78</v>
      </c>
      <c r="I76" s="100">
        <v>3.24</v>
      </c>
      <c r="J76" s="100">
        <v>0.18</v>
      </c>
      <c r="K76" s="100">
        <v>179.51</v>
      </c>
      <c r="L76" s="100">
        <v>28.95</v>
      </c>
      <c r="M76" s="100">
        <v>78.58</v>
      </c>
      <c r="N76" s="100">
        <v>37.200000000000003</v>
      </c>
      <c r="O76" s="100">
        <v>0</v>
      </c>
      <c r="P76" s="100">
        <v>0.18</v>
      </c>
      <c r="Q76" s="100">
        <v>10</v>
      </c>
      <c r="R76" s="6"/>
      <c r="S76" s="6"/>
      <c r="T76" s="156"/>
      <c r="U76" s="6"/>
    </row>
    <row r="77" spans="1:21" customFormat="1">
      <c r="A77" s="201" t="s">
        <v>501</v>
      </c>
      <c r="B77" s="100">
        <v>3.51</v>
      </c>
      <c r="C77" s="100">
        <v>12.14</v>
      </c>
      <c r="D77" s="100">
        <v>9.16</v>
      </c>
      <c r="E77" s="100">
        <v>5.4</v>
      </c>
      <c r="F77" s="100">
        <v>2.77</v>
      </c>
      <c r="G77" s="100">
        <v>19.2</v>
      </c>
      <c r="H77" s="100">
        <v>6.89</v>
      </c>
      <c r="I77" s="100">
        <v>3.2</v>
      </c>
      <c r="J77" s="100">
        <v>0.18</v>
      </c>
      <c r="K77" s="100">
        <v>175.46</v>
      </c>
      <c r="L77" s="100">
        <v>28.67</v>
      </c>
      <c r="M77" s="100">
        <v>80.47</v>
      </c>
      <c r="N77" s="100">
        <v>29.6</v>
      </c>
      <c r="O77" s="100">
        <v>0</v>
      </c>
      <c r="P77" s="100">
        <v>0.17</v>
      </c>
      <c r="Q77" s="100">
        <v>10</v>
      </c>
      <c r="R77" s="6"/>
      <c r="S77" s="6"/>
      <c r="T77" s="156"/>
      <c r="U77" s="6"/>
    </row>
    <row r="78" spans="1:21" customFormat="1">
      <c r="A78" s="201" t="s">
        <v>502</v>
      </c>
      <c r="B78" s="100">
        <v>3.52</v>
      </c>
      <c r="C78" s="100">
        <v>12.05</v>
      </c>
      <c r="D78" s="100">
        <v>9.1199999999999992</v>
      </c>
      <c r="E78" s="100">
        <v>5.3</v>
      </c>
      <c r="F78" s="100">
        <v>2.69</v>
      </c>
      <c r="G78" s="100">
        <v>20.27</v>
      </c>
      <c r="H78" s="100">
        <v>7.48</v>
      </c>
      <c r="I78" s="100">
        <v>3.18</v>
      </c>
      <c r="J78" s="100">
        <v>0.16</v>
      </c>
      <c r="K78" s="100">
        <v>164.93</v>
      </c>
      <c r="L78" s="100">
        <v>28.52</v>
      </c>
      <c r="M78" s="100">
        <v>80.209999999999994</v>
      </c>
      <c r="N78" s="100">
        <v>24.8</v>
      </c>
      <c r="O78" s="100">
        <v>0</v>
      </c>
      <c r="P78" s="100">
        <v>0.17</v>
      </c>
      <c r="Q78" s="100">
        <v>10</v>
      </c>
      <c r="R78" s="6"/>
      <c r="S78" s="6"/>
      <c r="T78" s="156"/>
      <c r="U78" s="6"/>
    </row>
    <row r="79" spans="1:21" customFormat="1">
      <c r="A79" s="201" t="s">
        <v>503</v>
      </c>
      <c r="B79" s="100">
        <v>3.51</v>
      </c>
      <c r="C79" s="100">
        <v>12.01</v>
      </c>
      <c r="D79" s="100">
        <v>9.09</v>
      </c>
      <c r="E79" s="100">
        <v>4.63</v>
      </c>
      <c r="F79" s="100">
        <v>2.08</v>
      </c>
      <c r="G79" s="100">
        <v>20.27</v>
      </c>
      <c r="H79" s="100">
        <v>7.48</v>
      </c>
      <c r="I79" s="100">
        <v>3.13</v>
      </c>
      <c r="J79" s="100">
        <v>0.22</v>
      </c>
      <c r="K79" s="100">
        <v>163.29</v>
      </c>
      <c r="L79" s="100">
        <v>28.44</v>
      </c>
      <c r="M79" s="100">
        <v>80.489999999999995</v>
      </c>
      <c r="N79" s="100">
        <v>19</v>
      </c>
      <c r="O79" s="100">
        <v>0</v>
      </c>
      <c r="P79" s="100">
        <v>0.17</v>
      </c>
      <c r="Q79" s="100">
        <v>10</v>
      </c>
      <c r="R79" s="6"/>
      <c r="S79" s="6"/>
      <c r="T79" s="156"/>
      <c r="U79" s="6"/>
    </row>
    <row r="80" spans="1:21" customFormat="1">
      <c r="A80" s="201" t="s">
        <v>504</v>
      </c>
      <c r="B80" s="100">
        <v>3.47</v>
      </c>
      <c r="C80" s="100">
        <v>11.97</v>
      </c>
      <c r="D80" s="100">
        <v>9.0399999999999991</v>
      </c>
      <c r="E80" s="100">
        <v>5.48</v>
      </c>
      <c r="F80" s="100">
        <v>2.11</v>
      </c>
      <c r="G80" s="100">
        <v>20.27</v>
      </c>
      <c r="H80" s="100">
        <v>7.48</v>
      </c>
      <c r="I80" s="100">
        <v>3.12</v>
      </c>
      <c r="J80" s="100">
        <v>0.18</v>
      </c>
      <c r="K80" s="100">
        <v>168.34</v>
      </c>
      <c r="L80" s="100">
        <v>28.08</v>
      </c>
      <c r="M80" s="100">
        <v>81.73</v>
      </c>
      <c r="N80" s="100">
        <v>12.7</v>
      </c>
      <c r="O80" s="100">
        <v>0</v>
      </c>
      <c r="P80" s="100">
        <v>0.18</v>
      </c>
      <c r="Q80" s="100">
        <v>10</v>
      </c>
      <c r="R80" s="6"/>
      <c r="S80" s="6"/>
      <c r="T80" s="156"/>
      <c r="U80" s="6"/>
    </row>
    <row r="81" spans="1:21" customFormat="1">
      <c r="A81" s="201" t="s">
        <v>505</v>
      </c>
      <c r="B81" s="100">
        <v>3.42</v>
      </c>
      <c r="C81" s="100">
        <v>11.88</v>
      </c>
      <c r="D81" s="100">
        <v>8.9499999999999993</v>
      </c>
      <c r="E81" s="100">
        <v>3.93</v>
      </c>
      <c r="F81" s="100">
        <v>2.5099999999999998</v>
      </c>
      <c r="G81" s="100">
        <v>20.21</v>
      </c>
      <c r="H81" s="100">
        <v>7.16</v>
      </c>
      <c r="I81" s="100">
        <v>3.12</v>
      </c>
      <c r="J81" s="100">
        <v>0.14000000000000001</v>
      </c>
      <c r="K81" s="100">
        <v>167</v>
      </c>
      <c r="L81" s="100">
        <v>27.71</v>
      </c>
      <c r="M81" s="100">
        <v>83.23</v>
      </c>
      <c r="N81" s="100">
        <v>6.7</v>
      </c>
      <c r="O81" s="100">
        <v>0</v>
      </c>
      <c r="P81" s="100">
        <v>0.17</v>
      </c>
      <c r="Q81" s="100">
        <v>10</v>
      </c>
      <c r="R81" s="6"/>
      <c r="S81" s="6"/>
      <c r="T81" s="156"/>
      <c r="U81" s="6"/>
    </row>
    <row r="82" spans="1:21" customFormat="1">
      <c r="A82" s="201" t="s">
        <v>506</v>
      </c>
      <c r="B82" s="100">
        <v>3.38</v>
      </c>
      <c r="C82" s="100">
        <v>11.83</v>
      </c>
      <c r="D82" s="100">
        <v>8.89</v>
      </c>
      <c r="E82" s="100">
        <v>5.01</v>
      </c>
      <c r="F82" s="100">
        <v>2.79</v>
      </c>
      <c r="G82" s="100">
        <v>19.84</v>
      </c>
      <c r="H82" s="100">
        <v>5.52</v>
      </c>
      <c r="I82" s="100">
        <v>3.12</v>
      </c>
      <c r="J82" s="100">
        <v>0.14000000000000001</v>
      </c>
      <c r="K82" s="100">
        <v>169.1</v>
      </c>
      <c r="L82" s="100">
        <v>27.5</v>
      </c>
      <c r="M82" s="100">
        <v>82.64</v>
      </c>
      <c r="N82" s="100">
        <v>3.1</v>
      </c>
      <c r="O82" s="100">
        <v>0</v>
      </c>
      <c r="P82" s="100">
        <v>0.17</v>
      </c>
      <c r="Q82" s="100">
        <v>10</v>
      </c>
      <c r="R82" s="6"/>
      <c r="S82" s="6"/>
      <c r="T82" s="156"/>
      <c r="U82" s="6"/>
    </row>
    <row r="83" spans="1:21" customFormat="1">
      <c r="A83" s="201" t="s">
        <v>507</v>
      </c>
      <c r="B83" s="100">
        <v>3.45</v>
      </c>
      <c r="C83" s="100">
        <v>11.82</v>
      </c>
      <c r="D83" s="100">
        <v>8.94</v>
      </c>
      <c r="E83" s="100">
        <v>5.03</v>
      </c>
      <c r="F83" s="100">
        <v>2.0299999999999998</v>
      </c>
      <c r="G83" s="100">
        <v>19.84</v>
      </c>
      <c r="H83" s="100">
        <v>5.52</v>
      </c>
      <c r="I83" s="100">
        <v>3.13</v>
      </c>
      <c r="J83" s="100">
        <v>0.12</v>
      </c>
      <c r="K83" s="100">
        <v>191.07</v>
      </c>
      <c r="L83" s="100">
        <v>27.39</v>
      </c>
      <c r="M83" s="100">
        <v>84.52</v>
      </c>
      <c r="N83" s="100">
        <v>2.2000000000000002</v>
      </c>
      <c r="O83" s="100">
        <v>0</v>
      </c>
      <c r="P83" s="100">
        <v>0.18</v>
      </c>
      <c r="Q83" s="100">
        <v>10</v>
      </c>
      <c r="R83" s="6"/>
      <c r="S83" s="6"/>
      <c r="T83" s="156"/>
      <c r="U83" s="6"/>
    </row>
    <row r="84" spans="1:21" customFormat="1">
      <c r="A84" s="201" t="s">
        <v>508</v>
      </c>
      <c r="B84" s="100">
        <v>3.64</v>
      </c>
      <c r="C84" s="100">
        <v>12.24</v>
      </c>
      <c r="D84" s="100">
        <v>9.32</v>
      </c>
      <c r="E84" s="100">
        <v>5.24</v>
      </c>
      <c r="F84" s="100">
        <v>2</v>
      </c>
      <c r="G84" s="100">
        <v>19.84</v>
      </c>
      <c r="H84" s="100">
        <v>5.52</v>
      </c>
      <c r="I84" s="100">
        <v>3.16</v>
      </c>
      <c r="J84" s="100">
        <v>0.18</v>
      </c>
      <c r="K84" s="100">
        <v>176.58</v>
      </c>
      <c r="L84" s="100">
        <v>27.49</v>
      </c>
      <c r="M84" s="100">
        <v>85.01</v>
      </c>
      <c r="N84" s="100">
        <v>2</v>
      </c>
      <c r="O84" s="100">
        <v>0</v>
      </c>
      <c r="P84" s="100">
        <v>0.19</v>
      </c>
      <c r="Q84" s="100">
        <v>10</v>
      </c>
      <c r="R84" s="6"/>
      <c r="S84" s="6"/>
      <c r="T84" s="156"/>
      <c r="U84" s="6"/>
    </row>
    <row r="85" spans="1:21" customFormat="1">
      <c r="A85" s="201" t="s">
        <v>509</v>
      </c>
      <c r="B85" s="100">
        <v>4.9400000000000004</v>
      </c>
      <c r="C85" s="100">
        <v>13.39</v>
      </c>
      <c r="D85" s="100">
        <v>10.96</v>
      </c>
      <c r="E85" s="100">
        <v>5.07</v>
      </c>
      <c r="F85" s="100">
        <v>2</v>
      </c>
      <c r="G85" s="100">
        <v>21.38</v>
      </c>
      <c r="H85" s="100">
        <v>5.97</v>
      </c>
      <c r="I85" s="100">
        <v>3.23</v>
      </c>
      <c r="J85" s="100">
        <v>0.12</v>
      </c>
      <c r="K85" s="100">
        <v>91.45</v>
      </c>
      <c r="L85" s="100">
        <v>27.33</v>
      </c>
      <c r="M85" s="100">
        <v>85.92</v>
      </c>
      <c r="N85" s="100">
        <v>2.2000000000000002</v>
      </c>
      <c r="O85" s="100">
        <v>0.2</v>
      </c>
      <c r="P85" s="100">
        <v>0.28000000000000003</v>
      </c>
      <c r="Q85" s="100">
        <v>10</v>
      </c>
      <c r="R85" s="6"/>
      <c r="S85" s="6"/>
      <c r="T85" s="156"/>
      <c r="U85" s="6"/>
    </row>
    <row r="86" spans="1:21" customFormat="1">
      <c r="A86" s="201" t="s">
        <v>510</v>
      </c>
      <c r="B86" s="100">
        <v>6.34</v>
      </c>
      <c r="C86" s="100">
        <v>14.5</v>
      </c>
      <c r="D86" s="100">
        <v>12.66</v>
      </c>
      <c r="E86" s="100">
        <v>5.07</v>
      </c>
      <c r="F86" s="100">
        <v>2</v>
      </c>
      <c r="G86" s="100">
        <v>31.41</v>
      </c>
      <c r="H86" s="100">
        <v>8.25</v>
      </c>
      <c r="I86" s="100">
        <v>3.45</v>
      </c>
      <c r="J86" s="100">
        <v>0.11</v>
      </c>
      <c r="K86" s="100">
        <v>62.87</v>
      </c>
      <c r="L86" s="100">
        <v>27.3</v>
      </c>
      <c r="M86" s="100">
        <v>85.97</v>
      </c>
      <c r="N86" s="100">
        <v>2.1</v>
      </c>
      <c r="O86" s="100">
        <v>0</v>
      </c>
      <c r="P86" s="100">
        <v>0.28000000000000003</v>
      </c>
      <c r="Q86" s="100">
        <v>10</v>
      </c>
      <c r="R86" s="6"/>
      <c r="S86" s="6"/>
      <c r="T86" s="156"/>
      <c r="U86" s="6"/>
    </row>
    <row r="87" spans="1:21" customFormat="1">
      <c r="A87" s="201" t="s">
        <v>511</v>
      </c>
      <c r="B87" s="100">
        <v>6.43</v>
      </c>
      <c r="C87" s="100">
        <v>14.44</v>
      </c>
      <c r="D87" s="100">
        <v>12.7</v>
      </c>
      <c r="E87" s="100">
        <v>4.6900000000000004</v>
      </c>
      <c r="F87" s="100">
        <v>2.0699999999999998</v>
      </c>
      <c r="G87" s="100">
        <v>31.41</v>
      </c>
      <c r="H87" s="100">
        <v>8.25</v>
      </c>
      <c r="I87" s="100">
        <v>4.26</v>
      </c>
      <c r="J87" s="100">
        <v>0.08</v>
      </c>
      <c r="K87" s="100">
        <v>119.04</v>
      </c>
      <c r="L87" s="100">
        <v>27.32</v>
      </c>
      <c r="M87" s="100">
        <v>87.41</v>
      </c>
      <c r="N87" s="100">
        <v>2.2000000000000002</v>
      </c>
      <c r="O87" s="100">
        <v>0</v>
      </c>
      <c r="P87" s="100">
        <v>0.28999999999999998</v>
      </c>
      <c r="Q87" s="100">
        <v>10</v>
      </c>
      <c r="R87" s="6"/>
      <c r="S87" s="6"/>
      <c r="T87" s="156"/>
      <c r="U87" s="6"/>
    </row>
    <row r="88" spans="1:21" customFormat="1">
      <c r="A88" s="201" t="s">
        <v>512</v>
      </c>
      <c r="B88" s="100">
        <v>6.42</v>
      </c>
      <c r="C88" s="100">
        <v>13.82</v>
      </c>
      <c r="D88" s="100">
        <v>12.36</v>
      </c>
      <c r="E88" s="100">
        <v>4.76</v>
      </c>
      <c r="F88" s="100">
        <v>2.0299999999999998</v>
      </c>
      <c r="G88" s="100">
        <v>31.41</v>
      </c>
      <c r="H88" s="100">
        <v>8.25</v>
      </c>
      <c r="I88" s="100">
        <v>4.9000000000000004</v>
      </c>
      <c r="J88" s="100">
        <v>0.22</v>
      </c>
      <c r="K88" s="100">
        <v>55.47</v>
      </c>
      <c r="L88" s="100">
        <v>27.36</v>
      </c>
      <c r="M88" s="100">
        <v>87.01</v>
      </c>
      <c r="N88" s="100">
        <v>2.1</v>
      </c>
      <c r="O88" s="100">
        <v>0</v>
      </c>
      <c r="P88" s="100">
        <v>0.24</v>
      </c>
      <c r="Q88" s="100">
        <v>10</v>
      </c>
      <c r="R88" s="6"/>
      <c r="S88" s="6"/>
      <c r="T88" s="156"/>
      <c r="U88" s="6"/>
    </row>
    <row r="89" spans="1:21" customFormat="1">
      <c r="A89" s="201" t="s">
        <v>513</v>
      </c>
      <c r="B89" s="100">
        <v>6.6</v>
      </c>
      <c r="C89" s="100">
        <v>13.83</v>
      </c>
      <c r="D89" s="100">
        <v>12.52</v>
      </c>
      <c r="E89" s="100">
        <v>4.9000000000000004</v>
      </c>
      <c r="F89" s="100">
        <v>2.08</v>
      </c>
      <c r="G89" s="100">
        <v>35.49</v>
      </c>
      <c r="H89" s="100">
        <v>9.89</v>
      </c>
      <c r="I89" s="100">
        <v>4.96</v>
      </c>
      <c r="J89" s="100">
        <v>0.15</v>
      </c>
      <c r="K89" s="100">
        <v>177.91</v>
      </c>
      <c r="L89" s="100">
        <v>27.28</v>
      </c>
      <c r="M89" s="100">
        <v>84.57</v>
      </c>
      <c r="N89" s="100">
        <v>2.4</v>
      </c>
      <c r="O89" s="100">
        <v>0</v>
      </c>
      <c r="P89" s="100">
        <v>0.34</v>
      </c>
      <c r="Q89" s="100">
        <v>10</v>
      </c>
      <c r="R89" s="6"/>
      <c r="S89" s="6"/>
      <c r="T89" s="156"/>
      <c r="U89" s="6"/>
    </row>
    <row r="90" spans="1:21" customFormat="1">
      <c r="A90" s="201" t="s">
        <v>514</v>
      </c>
      <c r="B90" s="100">
        <v>6.64</v>
      </c>
      <c r="C90" s="100">
        <v>13.71</v>
      </c>
      <c r="D90" s="100">
        <v>12.49</v>
      </c>
      <c r="E90" s="100">
        <v>4.79</v>
      </c>
      <c r="F90" s="100">
        <v>2.1</v>
      </c>
      <c r="G90" s="100">
        <v>62.03</v>
      </c>
      <c r="H90" s="100">
        <v>18.13</v>
      </c>
      <c r="I90" s="100">
        <v>4.8899999999999997</v>
      </c>
      <c r="J90" s="100">
        <v>0.11</v>
      </c>
      <c r="K90" s="100">
        <v>118.28</v>
      </c>
      <c r="L90" s="100">
        <v>26.97</v>
      </c>
      <c r="M90" s="100">
        <v>84.95</v>
      </c>
      <c r="N90" s="100">
        <v>2.2999999999999998</v>
      </c>
      <c r="O90" s="100">
        <v>0</v>
      </c>
      <c r="P90" s="100">
        <v>0.31</v>
      </c>
      <c r="Q90" s="100">
        <v>10</v>
      </c>
      <c r="R90" s="6"/>
      <c r="S90" s="6"/>
      <c r="T90" s="156"/>
      <c r="U90" s="6"/>
    </row>
    <row r="91" spans="1:21" customFormat="1">
      <c r="A91" s="201" t="s">
        <v>515</v>
      </c>
      <c r="B91" s="100">
        <v>7.35</v>
      </c>
      <c r="C91" s="100">
        <v>13.8</v>
      </c>
      <c r="D91" s="100">
        <v>13.11</v>
      </c>
      <c r="E91" s="100">
        <v>4.76</v>
      </c>
      <c r="F91" s="100">
        <v>2.14</v>
      </c>
      <c r="G91" s="100">
        <v>62.03</v>
      </c>
      <c r="H91" s="100">
        <v>18.13</v>
      </c>
      <c r="I91" s="100">
        <v>5.29</v>
      </c>
      <c r="J91" s="100">
        <v>0.14000000000000001</v>
      </c>
      <c r="K91" s="100">
        <v>56.26</v>
      </c>
      <c r="L91" s="100">
        <v>27.22</v>
      </c>
      <c r="M91" s="100">
        <v>86.87</v>
      </c>
      <c r="N91" s="100">
        <v>2.1</v>
      </c>
      <c r="O91" s="100">
        <v>0</v>
      </c>
      <c r="P91" s="100">
        <v>0.31</v>
      </c>
      <c r="Q91" s="100">
        <v>10</v>
      </c>
      <c r="R91" s="6"/>
      <c r="S91" s="6"/>
      <c r="T91" s="156"/>
      <c r="U91" s="6"/>
    </row>
    <row r="92" spans="1:21" customFormat="1">
      <c r="A92" s="201" t="s">
        <v>516</v>
      </c>
      <c r="B92" s="100">
        <v>7.66</v>
      </c>
      <c r="C92" s="100">
        <v>13.43</v>
      </c>
      <c r="D92" s="100">
        <v>13.16</v>
      </c>
      <c r="E92" s="100">
        <v>5.12</v>
      </c>
      <c r="F92" s="100">
        <v>2.0499999999999998</v>
      </c>
      <c r="G92" s="100">
        <v>62.03</v>
      </c>
      <c r="H92" s="100">
        <v>18.13</v>
      </c>
      <c r="I92" s="100">
        <v>5.8</v>
      </c>
      <c r="J92" s="100">
        <v>0.13</v>
      </c>
      <c r="K92" s="100">
        <v>69.33</v>
      </c>
      <c r="L92" s="100">
        <v>27.33</v>
      </c>
      <c r="M92" s="100">
        <v>85.14</v>
      </c>
      <c r="N92" s="100">
        <v>2.1</v>
      </c>
      <c r="O92" s="100">
        <v>0</v>
      </c>
      <c r="P92" s="100">
        <v>0.36</v>
      </c>
      <c r="Q92" s="100">
        <v>10</v>
      </c>
      <c r="R92" s="6"/>
      <c r="S92" s="6"/>
      <c r="T92" s="156"/>
      <c r="U92" s="6"/>
    </row>
    <row r="93" spans="1:21" customFormat="1">
      <c r="A93" s="201" t="s">
        <v>517</v>
      </c>
      <c r="B93" s="100">
        <v>8.48</v>
      </c>
      <c r="C93" s="100">
        <v>13.88</v>
      </c>
      <c r="D93" s="100">
        <v>14.05</v>
      </c>
      <c r="E93" s="100">
        <v>4.82</v>
      </c>
      <c r="F93" s="100">
        <v>2.56</v>
      </c>
      <c r="G93" s="100">
        <v>64.09</v>
      </c>
      <c r="H93" s="100">
        <v>18.66</v>
      </c>
      <c r="I93" s="100">
        <v>5.64</v>
      </c>
      <c r="J93" s="100">
        <v>0.04</v>
      </c>
      <c r="K93" s="100">
        <v>202.65</v>
      </c>
      <c r="L93" s="100">
        <v>27.29</v>
      </c>
      <c r="M93" s="100">
        <v>84.23</v>
      </c>
      <c r="N93" s="100">
        <v>2.2000000000000002</v>
      </c>
      <c r="O93" s="100">
        <v>0</v>
      </c>
      <c r="P93" s="100">
        <v>0.4</v>
      </c>
      <c r="Q93" s="100">
        <v>10</v>
      </c>
      <c r="R93" s="6"/>
      <c r="S93" s="6"/>
      <c r="T93" s="156"/>
      <c r="U93" s="6"/>
    </row>
    <row r="94" spans="1:21" customFormat="1">
      <c r="A94" s="201" t="s">
        <v>518</v>
      </c>
      <c r="B94" s="100">
        <v>8.56</v>
      </c>
      <c r="C94" s="100">
        <v>14.59</v>
      </c>
      <c r="D94" s="100">
        <v>14.48</v>
      </c>
      <c r="E94" s="100">
        <v>4.9000000000000004</v>
      </c>
      <c r="F94" s="100">
        <v>2.5</v>
      </c>
      <c r="G94" s="100">
        <v>77.47</v>
      </c>
      <c r="H94" s="100">
        <v>21.54</v>
      </c>
      <c r="I94" s="100">
        <v>5.94</v>
      </c>
      <c r="J94" s="100">
        <v>0.1</v>
      </c>
      <c r="K94" s="100">
        <v>185.82</v>
      </c>
      <c r="L94" s="100">
        <v>27.22</v>
      </c>
      <c r="M94" s="100">
        <v>84.37</v>
      </c>
      <c r="N94" s="100">
        <v>2.4</v>
      </c>
      <c r="O94" s="100">
        <v>0</v>
      </c>
      <c r="P94" s="100">
        <v>0.36</v>
      </c>
      <c r="Q94" s="100">
        <v>10</v>
      </c>
      <c r="R94" s="6"/>
      <c r="S94" s="6"/>
      <c r="T94" s="156"/>
      <c r="U94" s="6"/>
    </row>
    <row r="95" spans="1:21" customFormat="1">
      <c r="A95" s="201" t="s">
        <v>519</v>
      </c>
      <c r="B95" s="100">
        <v>8.65</v>
      </c>
      <c r="C95" s="100">
        <v>13.35</v>
      </c>
      <c r="D95" s="100">
        <v>13.91</v>
      </c>
      <c r="E95" s="100">
        <v>5.1100000000000003</v>
      </c>
      <c r="F95" s="100">
        <v>2.0099999999999998</v>
      </c>
      <c r="G95" s="100">
        <v>77.47</v>
      </c>
      <c r="H95" s="100">
        <v>21.54</v>
      </c>
      <c r="I95" s="100">
        <v>7.18</v>
      </c>
      <c r="J95" s="100">
        <v>0.8</v>
      </c>
      <c r="K95" s="100">
        <v>217.77</v>
      </c>
      <c r="L95" s="100">
        <v>26.69</v>
      </c>
      <c r="M95" s="100">
        <v>83.7</v>
      </c>
      <c r="N95" s="100">
        <v>2.9</v>
      </c>
      <c r="O95" s="100">
        <v>0</v>
      </c>
      <c r="P95" s="100">
        <v>0.38</v>
      </c>
      <c r="Q95" s="100">
        <v>10</v>
      </c>
      <c r="R95" s="6"/>
      <c r="S95" s="6"/>
      <c r="T95" s="156"/>
      <c r="U95" s="6"/>
    </row>
    <row r="96" spans="1:21" customFormat="1">
      <c r="A96" s="201" t="s">
        <v>520</v>
      </c>
      <c r="B96" s="100">
        <v>8.58</v>
      </c>
      <c r="C96" s="100">
        <v>12.82</v>
      </c>
      <c r="D96" s="100">
        <v>13.58</v>
      </c>
      <c r="E96" s="100">
        <v>4.87</v>
      </c>
      <c r="F96" s="100">
        <v>2</v>
      </c>
      <c r="G96" s="100">
        <v>77.47</v>
      </c>
      <c r="H96" s="100">
        <v>21.54</v>
      </c>
      <c r="I96" s="100">
        <v>6.65</v>
      </c>
      <c r="J96" s="100">
        <v>0.81</v>
      </c>
      <c r="K96" s="100">
        <v>218.89</v>
      </c>
      <c r="L96" s="100">
        <v>25.71</v>
      </c>
      <c r="M96" s="100">
        <v>84.55</v>
      </c>
      <c r="N96" s="100">
        <v>3.3</v>
      </c>
      <c r="O96" s="100">
        <v>0</v>
      </c>
      <c r="P96" s="100">
        <v>0.35</v>
      </c>
      <c r="Q96" s="100">
        <v>10</v>
      </c>
      <c r="R96" s="6"/>
      <c r="S96" s="6"/>
      <c r="T96" s="156"/>
      <c r="U96" s="6"/>
    </row>
    <row r="97" spans="1:28" customFormat="1">
      <c r="A97" s="201" t="s">
        <v>521</v>
      </c>
      <c r="B97" s="100">
        <v>8.2799999999999994</v>
      </c>
      <c r="C97" s="100">
        <v>12.56</v>
      </c>
      <c r="D97" s="100">
        <v>13.2</v>
      </c>
      <c r="E97" s="100">
        <v>4.76</v>
      </c>
      <c r="F97" s="100">
        <v>2.54</v>
      </c>
      <c r="G97" s="100">
        <v>74.22</v>
      </c>
      <c r="H97" s="100">
        <v>20.52</v>
      </c>
      <c r="I97" s="100">
        <v>6.17</v>
      </c>
      <c r="J97" s="100">
        <v>0.78</v>
      </c>
      <c r="K97" s="100">
        <v>229.07</v>
      </c>
      <c r="L97" s="100">
        <v>25.19</v>
      </c>
      <c r="M97" s="100">
        <v>87.72</v>
      </c>
      <c r="N97" s="100">
        <v>3.4</v>
      </c>
      <c r="O97" s="100">
        <v>0</v>
      </c>
      <c r="P97" s="100">
        <v>0.33</v>
      </c>
      <c r="Q97" s="100">
        <v>10</v>
      </c>
      <c r="R97" s="6"/>
      <c r="S97" s="6"/>
      <c r="T97" s="156"/>
      <c r="U97" s="6"/>
    </row>
    <row r="98" spans="1:28" customFormat="1">
      <c r="A98" s="201" t="s">
        <v>522</v>
      </c>
      <c r="B98" s="100">
        <v>8.15</v>
      </c>
      <c r="C98" s="100">
        <v>12.64</v>
      </c>
      <c r="D98" s="100">
        <v>13.14</v>
      </c>
      <c r="E98" s="100">
        <v>4.9000000000000004</v>
      </c>
      <c r="F98" s="100">
        <v>2.02</v>
      </c>
      <c r="G98" s="100">
        <v>53.08</v>
      </c>
      <c r="H98" s="100">
        <v>15.41</v>
      </c>
      <c r="I98" s="100">
        <v>6.09</v>
      </c>
      <c r="J98" s="100">
        <v>0.59</v>
      </c>
      <c r="K98" s="100">
        <v>227.45</v>
      </c>
      <c r="L98" s="100">
        <v>24.51</v>
      </c>
      <c r="M98" s="100">
        <v>89.19</v>
      </c>
      <c r="N98" s="100">
        <v>2.8</v>
      </c>
      <c r="O98" s="100">
        <v>0.2</v>
      </c>
      <c r="P98" s="100">
        <v>0.35</v>
      </c>
      <c r="Q98" s="100">
        <v>10</v>
      </c>
      <c r="R98" s="6"/>
      <c r="S98" s="6"/>
      <c r="T98" s="156"/>
      <c r="U98" s="6"/>
    </row>
    <row r="99" spans="1:28" customFormat="1">
      <c r="A99" s="201" t="s">
        <v>523</v>
      </c>
      <c r="B99" s="100">
        <v>7.99</v>
      </c>
      <c r="C99" s="100">
        <v>12.46</v>
      </c>
      <c r="D99" s="100">
        <v>12.92</v>
      </c>
      <c r="E99" s="100">
        <v>5.21</v>
      </c>
      <c r="F99" s="100">
        <v>2.0099999999999998</v>
      </c>
      <c r="G99" s="100">
        <v>53.08</v>
      </c>
      <c r="H99" s="100">
        <v>15.41</v>
      </c>
      <c r="I99" s="100">
        <v>5.98</v>
      </c>
      <c r="J99" s="100">
        <v>0.76</v>
      </c>
      <c r="K99" s="100">
        <v>227.62</v>
      </c>
      <c r="L99" s="100">
        <v>24.33</v>
      </c>
      <c r="M99" s="100">
        <v>89.29</v>
      </c>
      <c r="N99" s="100">
        <v>2.5</v>
      </c>
      <c r="O99" s="100">
        <v>0</v>
      </c>
      <c r="P99" s="100">
        <v>0.33</v>
      </c>
      <c r="Q99" s="100">
        <v>10</v>
      </c>
      <c r="R99" s="6"/>
      <c r="S99" s="6"/>
      <c r="T99" s="156"/>
      <c r="U99" s="6"/>
    </row>
    <row r="100" spans="1:28" customFormat="1">
      <c r="A100" s="201" t="s">
        <v>524</v>
      </c>
      <c r="B100" s="100">
        <v>7.76</v>
      </c>
      <c r="C100" s="100">
        <v>12.53</v>
      </c>
      <c r="D100" s="100">
        <v>12.77</v>
      </c>
      <c r="E100" s="100">
        <v>4.7699999999999996</v>
      </c>
      <c r="F100" s="100">
        <v>2.1</v>
      </c>
      <c r="G100" s="100">
        <v>53.08</v>
      </c>
      <c r="H100" s="100">
        <v>15.41</v>
      </c>
      <c r="I100" s="100">
        <v>5.93</v>
      </c>
      <c r="J100" s="100">
        <v>0.42</v>
      </c>
      <c r="K100" s="100">
        <v>225.7</v>
      </c>
      <c r="L100" s="100">
        <v>24.33</v>
      </c>
      <c r="M100" s="100">
        <v>89.22</v>
      </c>
      <c r="N100" s="100">
        <v>2.1</v>
      </c>
      <c r="O100" s="100">
        <v>0.8</v>
      </c>
      <c r="P100" s="100">
        <v>0.33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525</v>
      </c>
      <c r="B101" s="100">
        <v>7.66</v>
      </c>
      <c r="C101" s="100">
        <v>12.56</v>
      </c>
      <c r="D101" s="100">
        <v>12.71</v>
      </c>
      <c r="E101" s="100">
        <v>5.01</v>
      </c>
      <c r="F101" s="100">
        <v>2.0299999999999998</v>
      </c>
      <c r="G101" s="100">
        <v>49.96</v>
      </c>
      <c r="H101" s="100">
        <v>14.69</v>
      </c>
      <c r="I101" s="100">
        <v>5.79</v>
      </c>
      <c r="J101" s="100">
        <v>0.36</v>
      </c>
      <c r="K101" s="100">
        <v>228.3</v>
      </c>
      <c r="L101" s="100">
        <v>24.26</v>
      </c>
      <c r="M101" s="100">
        <v>89.24</v>
      </c>
      <c r="N101" s="100">
        <v>2.4</v>
      </c>
      <c r="O101" s="100">
        <v>0.4</v>
      </c>
      <c r="P101" s="100">
        <v>0.34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526</v>
      </c>
      <c r="B102" s="100">
        <v>7.66</v>
      </c>
      <c r="C102" s="100">
        <v>12.39</v>
      </c>
      <c r="D102" s="100">
        <v>12.62</v>
      </c>
      <c r="E102" s="100">
        <v>4.9400000000000004</v>
      </c>
      <c r="F102" s="100">
        <v>2</v>
      </c>
      <c r="G102" s="100">
        <v>29.69</v>
      </c>
      <c r="H102" s="100">
        <v>11.12</v>
      </c>
      <c r="I102" s="100">
        <v>5.72</v>
      </c>
      <c r="J102" s="100">
        <v>0.42</v>
      </c>
      <c r="K102" s="100">
        <v>229.56</v>
      </c>
      <c r="L102" s="100">
        <v>24.29</v>
      </c>
      <c r="M102" s="100">
        <v>89.56</v>
      </c>
      <c r="N102" s="100">
        <v>2.2000000000000002</v>
      </c>
      <c r="O102" s="100">
        <v>0</v>
      </c>
      <c r="P102" s="100">
        <v>0.31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527</v>
      </c>
      <c r="B103" s="100">
        <v>7.63</v>
      </c>
      <c r="C103" s="100">
        <v>12.43</v>
      </c>
      <c r="D103" s="100">
        <v>12.61</v>
      </c>
      <c r="E103" s="100">
        <v>4.91</v>
      </c>
      <c r="F103" s="100">
        <v>2</v>
      </c>
      <c r="G103" s="100">
        <v>29.69</v>
      </c>
      <c r="H103" s="100">
        <v>11.12</v>
      </c>
      <c r="I103" s="100">
        <v>5.67</v>
      </c>
      <c r="J103" s="100">
        <v>0.44</v>
      </c>
      <c r="K103" s="100">
        <v>226.07</v>
      </c>
      <c r="L103" s="100">
        <v>24.48</v>
      </c>
      <c r="M103" s="100">
        <v>89.02</v>
      </c>
      <c r="N103" s="100">
        <v>2.1</v>
      </c>
      <c r="O103" s="100">
        <v>0.2</v>
      </c>
      <c r="P103" s="100">
        <v>0.32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528</v>
      </c>
      <c r="B104" s="100">
        <v>7.57</v>
      </c>
      <c r="C104" s="100">
        <v>12.49</v>
      </c>
      <c r="D104" s="100">
        <v>12.6</v>
      </c>
      <c r="E104" s="100">
        <v>5.19</v>
      </c>
      <c r="F104" s="100">
        <v>2</v>
      </c>
      <c r="G104" s="100">
        <v>29.69</v>
      </c>
      <c r="H104" s="100">
        <v>11.12</v>
      </c>
      <c r="I104" s="100">
        <v>5.56</v>
      </c>
      <c r="J104" s="100">
        <v>0.17</v>
      </c>
      <c r="K104" s="100">
        <v>217.76</v>
      </c>
      <c r="L104" s="100">
        <v>24.52</v>
      </c>
      <c r="M104" s="100">
        <v>89.28</v>
      </c>
      <c r="N104" s="100">
        <v>2.2999999999999998</v>
      </c>
      <c r="O104" s="100">
        <v>1</v>
      </c>
      <c r="P104" s="100">
        <v>0.33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3.38</v>
      </c>
      <c r="C106" s="158">
        <f>MIN(C9:C104)</f>
        <v>11.49</v>
      </c>
      <c r="D106" s="158">
        <f t="shared" ref="D106:Q106" si="0">MIN(D9:D104)</f>
        <v>8.89</v>
      </c>
      <c r="E106" s="158">
        <f t="shared" si="0"/>
        <v>3.62</v>
      </c>
      <c r="F106" s="158">
        <f t="shared" si="0"/>
        <v>2</v>
      </c>
      <c r="G106" s="158">
        <f t="shared" si="0"/>
        <v>1.54</v>
      </c>
      <c r="H106" s="158">
        <f t="shared" si="0"/>
        <v>1.98</v>
      </c>
      <c r="I106" s="158">
        <f t="shared" si="0"/>
        <v>3.12</v>
      </c>
      <c r="J106" s="158">
        <f t="shared" si="0"/>
        <v>0.01</v>
      </c>
      <c r="K106" s="158">
        <f t="shared" si="0"/>
        <v>55.47</v>
      </c>
      <c r="L106" s="158">
        <f t="shared" si="0"/>
        <v>23.75</v>
      </c>
      <c r="M106" s="158">
        <f t="shared" si="0"/>
        <v>70.92</v>
      </c>
      <c r="N106" s="158">
        <f t="shared" si="0"/>
        <v>2</v>
      </c>
      <c r="O106" s="158">
        <f t="shared" si="0"/>
        <v>0</v>
      </c>
      <c r="P106" s="158">
        <f t="shared" si="0"/>
        <v>0.15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8.98</v>
      </c>
      <c r="C107" s="157">
        <f t="shared" ref="C107:Q107" si="1">MAX(C9:C104)</f>
        <v>14.59</v>
      </c>
      <c r="D107" s="157">
        <f t="shared" si="1"/>
        <v>14.48</v>
      </c>
      <c r="E107" s="157">
        <f t="shared" si="1"/>
        <v>6.02</v>
      </c>
      <c r="F107" s="157">
        <f t="shared" si="1"/>
        <v>3.93</v>
      </c>
      <c r="G107" s="157">
        <f t="shared" si="1"/>
        <v>77.47</v>
      </c>
      <c r="H107" s="157">
        <f t="shared" si="1"/>
        <v>21.54</v>
      </c>
      <c r="I107" s="157">
        <f t="shared" si="1"/>
        <v>7.18</v>
      </c>
      <c r="J107" s="157">
        <f t="shared" si="1"/>
        <v>0.81</v>
      </c>
      <c r="K107" s="157">
        <f t="shared" si="1"/>
        <v>230.78</v>
      </c>
      <c r="L107" s="157">
        <f t="shared" si="1"/>
        <v>29.97</v>
      </c>
      <c r="M107" s="157">
        <f t="shared" si="1"/>
        <v>94.32</v>
      </c>
      <c r="N107" s="157">
        <f t="shared" si="1"/>
        <v>339.7</v>
      </c>
      <c r="O107" s="157">
        <f t="shared" si="1"/>
        <v>1</v>
      </c>
      <c r="P107" s="157">
        <f t="shared" si="1"/>
        <v>0.4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6.5678125000000014</v>
      </c>
      <c r="C108" s="158">
        <f t="shared" ref="C108:Q108" si="2">AVERAGE(C9:C104)</f>
        <v>12.400520833333337</v>
      </c>
      <c r="D108" s="158">
        <f t="shared" si="2"/>
        <v>11.746354166666668</v>
      </c>
      <c r="E108" s="158">
        <f t="shared" si="2"/>
        <v>5.022291666666665</v>
      </c>
      <c r="F108" s="158">
        <f t="shared" si="2"/>
        <v>2.1384374999999998</v>
      </c>
      <c r="G108" s="158">
        <f t="shared" si="2"/>
        <v>23.310729166666665</v>
      </c>
      <c r="H108" s="158">
        <f t="shared" si="2"/>
        <v>6.925208333333333</v>
      </c>
      <c r="I108" s="158">
        <f t="shared" si="2"/>
        <v>4.3689583333333344</v>
      </c>
      <c r="J108" s="158">
        <f t="shared" si="2"/>
        <v>0.19572916666666676</v>
      </c>
      <c r="K108" s="158">
        <f t="shared" si="2"/>
        <v>162.62562500000004</v>
      </c>
      <c r="L108" s="158">
        <f t="shared" si="2"/>
        <v>26.333229166666669</v>
      </c>
      <c r="M108" s="158">
        <f t="shared" si="2"/>
        <v>85.594895833333354</v>
      </c>
      <c r="N108" s="158">
        <f t="shared" si="2"/>
        <v>61.085416666666674</v>
      </c>
      <c r="O108" s="158">
        <f t="shared" si="2"/>
        <v>5.000000000000001E-2</v>
      </c>
      <c r="P108" s="158">
        <f t="shared" si="2"/>
        <v>0.23104166666666651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1.7666901572834115</v>
      </c>
      <c r="C109" s="158">
        <f t="shared" ref="C109:Q109" si="3">STDEV(C9:C104)</f>
        <v>0.69394125307499799</v>
      </c>
      <c r="D109" s="158">
        <f t="shared" si="3"/>
        <v>1.4174135969520489</v>
      </c>
      <c r="E109" s="158">
        <f t="shared" si="3"/>
        <v>0.57069206217063939</v>
      </c>
      <c r="F109" s="158">
        <f t="shared" si="3"/>
        <v>0.31607903117317032</v>
      </c>
      <c r="G109" s="158">
        <f t="shared" si="3"/>
        <v>18.763857545532449</v>
      </c>
      <c r="H109" s="158">
        <f t="shared" si="3"/>
        <v>4.8987942617850617</v>
      </c>
      <c r="I109" s="158">
        <f t="shared" si="3"/>
        <v>0.8489454500690653</v>
      </c>
      <c r="J109" s="158">
        <f t="shared" si="3"/>
        <v>0.15272779219504184</v>
      </c>
      <c r="K109" s="158">
        <f t="shared" si="3"/>
        <v>51.611485335655793</v>
      </c>
      <c r="L109" s="158">
        <f t="shared" si="3"/>
        <v>2.1509153472743523</v>
      </c>
      <c r="M109" s="158">
        <f t="shared" si="3"/>
        <v>6.0819117484020504</v>
      </c>
      <c r="N109" s="158">
        <f t="shared" si="3"/>
        <v>89.556041824061097</v>
      </c>
      <c r="O109" s="158">
        <f t="shared" si="3"/>
        <v>0.15355437918998291</v>
      </c>
      <c r="P109" s="158">
        <f t="shared" si="3"/>
        <v>5.8534365374749084E-2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J16" sqref="J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529</v>
      </c>
      <c r="B9" s="100">
        <v>7.23</v>
      </c>
      <c r="C9" s="100">
        <v>12.68</v>
      </c>
      <c r="D9" s="100">
        <v>12.43</v>
      </c>
      <c r="E9" s="100">
        <v>5.03</v>
      </c>
      <c r="F9" s="100">
        <v>2</v>
      </c>
      <c r="G9" s="100">
        <v>28.37</v>
      </c>
      <c r="H9" s="100">
        <v>11.03</v>
      </c>
      <c r="I9" s="100">
        <v>5.51</v>
      </c>
      <c r="J9" s="100">
        <v>0.27</v>
      </c>
      <c r="K9" s="100">
        <v>223.02</v>
      </c>
      <c r="L9" s="100">
        <v>24.53</v>
      </c>
      <c r="M9" s="100">
        <v>87.08</v>
      </c>
      <c r="N9" s="100">
        <v>2.2000000000000002</v>
      </c>
      <c r="O9" s="100">
        <v>0.4</v>
      </c>
      <c r="P9" s="100">
        <v>0.34</v>
      </c>
      <c r="Q9" s="100">
        <v>10</v>
      </c>
      <c r="R9" s="6"/>
      <c r="S9" s="6"/>
      <c r="T9" s="156"/>
      <c r="U9" s="6"/>
    </row>
    <row r="10" spans="1:21" customFormat="1">
      <c r="A10" s="201" t="s">
        <v>530</v>
      </c>
      <c r="B10" s="100">
        <v>7.24</v>
      </c>
      <c r="C10" s="100">
        <v>12.94</v>
      </c>
      <c r="D10" s="100">
        <v>12.57</v>
      </c>
      <c r="E10" s="100">
        <v>5.07</v>
      </c>
      <c r="F10" s="100">
        <v>2</v>
      </c>
      <c r="G10" s="100">
        <v>19.75</v>
      </c>
      <c r="H10" s="100">
        <v>10.57</v>
      </c>
      <c r="I10" s="100">
        <v>5.54</v>
      </c>
      <c r="J10" s="100">
        <v>0.24</v>
      </c>
      <c r="K10" s="100">
        <v>222.42</v>
      </c>
      <c r="L10" s="100">
        <v>24.49</v>
      </c>
      <c r="M10" s="100">
        <v>86.66</v>
      </c>
      <c r="N10" s="100">
        <v>2.2000000000000002</v>
      </c>
      <c r="O10" s="100">
        <v>0.4</v>
      </c>
      <c r="P10" s="100">
        <v>0.35</v>
      </c>
      <c r="Q10" s="100">
        <v>10</v>
      </c>
      <c r="R10" s="6"/>
      <c r="S10" s="6"/>
      <c r="T10" s="156"/>
      <c r="U10" s="6"/>
    </row>
    <row r="11" spans="1:21" customFormat="1">
      <c r="A11" s="201" t="s">
        <v>531</v>
      </c>
      <c r="B11" s="100">
        <v>7.21</v>
      </c>
      <c r="C11" s="100">
        <v>13.06</v>
      </c>
      <c r="D11" s="100">
        <v>12.61</v>
      </c>
      <c r="E11" s="100">
        <v>5.15</v>
      </c>
      <c r="F11" s="100">
        <v>2</v>
      </c>
      <c r="G11" s="100">
        <v>19.75</v>
      </c>
      <c r="H11" s="100">
        <v>10.57</v>
      </c>
      <c r="I11" s="100">
        <v>5.67</v>
      </c>
      <c r="J11" s="100">
        <v>0.15</v>
      </c>
      <c r="K11" s="100">
        <v>206.99</v>
      </c>
      <c r="L11" s="100">
        <v>24.63</v>
      </c>
      <c r="M11" s="100">
        <v>86.44</v>
      </c>
      <c r="N11" s="100">
        <v>2.1</v>
      </c>
      <c r="O11" s="100">
        <v>0</v>
      </c>
      <c r="P11" s="100">
        <v>0.36</v>
      </c>
      <c r="Q11" s="100">
        <v>10</v>
      </c>
      <c r="R11" s="6"/>
      <c r="S11" s="6"/>
      <c r="T11" s="156"/>
      <c r="U11" s="6"/>
    </row>
    <row r="12" spans="1:21" customFormat="1">
      <c r="A12" s="201" t="s">
        <v>532</v>
      </c>
      <c r="B12" s="100">
        <v>7.13</v>
      </c>
      <c r="C12" s="100">
        <v>12.93</v>
      </c>
      <c r="D12" s="100">
        <v>12.47</v>
      </c>
      <c r="E12" s="100">
        <v>5.04</v>
      </c>
      <c r="F12" s="100">
        <v>2</v>
      </c>
      <c r="G12" s="100">
        <v>19.75</v>
      </c>
      <c r="H12" s="100">
        <v>10.57</v>
      </c>
      <c r="I12" s="100">
        <v>5.87</v>
      </c>
      <c r="J12" s="100">
        <v>0.17</v>
      </c>
      <c r="K12" s="100">
        <v>201.24</v>
      </c>
      <c r="L12" s="100">
        <v>24.67</v>
      </c>
      <c r="M12" s="100">
        <v>86.94</v>
      </c>
      <c r="N12" s="100">
        <v>2.2000000000000002</v>
      </c>
      <c r="O12" s="100">
        <v>0.2</v>
      </c>
      <c r="P12" s="100">
        <v>0.36</v>
      </c>
      <c r="Q12" s="100">
        <v>10</v>
      </c>
      <c r="R12" s="6"/>
      <c r="S12" s="6"/>
      <c r="T12" s="156"/>
      <c r="U12" s="6"/>
    </row>
    <row r="13" spans="1:21" customFormat="1">
      <c r="A13" s="201" t="s">
        <v>533</v>
      </c>
      <c r="B13" s="100">
        <v>6.99</v>
      </c>
      <c r="C13" s="100">
        <v>12.85</v>
      </c>
      <c r="D13" s="100">
        <v>12.32</v>
      </c>
      <c r="E13" s="100">
        <v>5.44</v>
      </c>
      <c r="F13" s="100">
        <v>2</v>
      </c>
      <c r="G13" s="100">
        <v>19.75</v>
      </c>
      <c r="H13" s="100">
        <v>10.19</v>
      </c>
      <c r="I13" s="100">
        <v>6.08</v>
      </c>
      <c r="J13" s="100">
        <v>0.22</v>
      </c>
      <c r="K13" s="100">
        <v>219.77</v>
      </c>
      <c r="L13" s="100">
        <v>24.74</v>
      </c>
      <c r="M13" s="100">
        <v>87.23</v>
      </c>
      <c r="N13" s="100">
        <v>2.1</v>
      </c>
      <c r="O13" s="100">
        <v>0</v>
      </c>
      <c r="P13" s="100">
        <v>0.36</v>
      </c>
      <c r="Q13" s="100">
        <v>10</v>
      </c>
      <c r="R13" s="6"/>
      <c r="S13" s="6"/>
      <c r="T13" s="156"/>
      <c r="U13" s="6"/>
    </row>
    <row r="14" spans="1:21" customFormat="1">
      <c r="A14" s="201" t="s">
        <v>534</v>
      </c>
      <c r="B14" s="100">
        <v>6.91</v>
      </c>
      <c r="C14" s="100">
        <v>12.66</v>
      </c>
      <c r="D14" s="100">
        <v>12.15</v>
      </c>
      <c r="E14" s="100">
        <v>5.44</v>
      </c>
      <c r="F14" s="100">
        <v>2</v>
      </c>
      <c r="G14" s="100">
        <v>19.75</v>
      </c>
      <c r="H14" s="100">
        <v>8.02</v>
      </c>
      <c r="I14" s="100">
        <v>6.2</v>
      </c>
      <c r="J14" s="100">
        <v>0.17</v>
      </c>
      <c r="K14" s="100">
        <v>222.5</v>
      </c>
      <c r="L14" s="100">
        <v>24.8</v>
      </c>
      <c r="M14" s="100">
        <v>88.11</v>
      </c>
      <c r="N14" s="100">
        <v>2.2000000000000002</v>
      </c>
      <c r="O14" s="100">
        <v>0.2</v>
      </c>
      <c r="P14" s="100">
        <v>0.36</v>
      </c>
      <c r="Q14" s="100">
        <v>10</v>
      </c>
      <c r="R14" s="6"/>
      <c r="S14" s="6"/>
      <c r="T14" s="156"/>
      <c r="U14" s="6"/>
    </row>
    <row r="15" spans="1:21" customFormat="1">
      <c r="A15" s="201" t="s">
        <v>535</v>
      </c>
      <c r="B15" s="100">
        <v>6.84</v>
      </c>
      <c r="C15" s="100">
        <v>12.46</v>
      </c>
      <c r="D15" s="100">
        <v>11.99</v>
      </c>
      <c r="E15" s="100">
        <v>5.62</v>
      </c>
      <c r="F15" s="100">
        <v>2</v>
      </c>
      <c r="G15" s="100">
        <v>19.75</v>
      </c>
      <c r="H15" s="100">
        <v>8.02</v>
      </c>
      <c r="I15" s="100">
        <v>6.3</v>
      </c>
      <c r="J15" s="100">
        <v>0.16</v>
      </c>
      <c r="K15" s="100">
        <v>218.92</v>
      </c>
      <c r="L15" s="100">
        <v>24.84</v>
      </c>
      <c r="M15" s="100">
        <v>88.5</v>
      </c>
      <c r="N15" s="100">
        <v>2.2000000000000002</v>
      </c>
      <c r="O15" s="100">
        <v>0.2</v>
      </c>
      <c r="P15" s="100">
        <v>0.37</v>
      </c>
      <c r="Q15" s="100">
        <v>10</v>
      </c>
      <c r="R15" s="6"/>
      <c r="S15" s="6"/>
      <c r="T15" s="156"/>
      <c r="U15" s="6"/>
    </row>
    <row r="16" spans="1:21" customFormat="1">
      <c r="A16" s="201" t="s">
        <v>536</v>
      </c>
      <c r="B16" s="100">
        <v>6.68</v>
      </c>
      <c r="C16" s="100">
        <v>12.36</v>
      </c>
      <c r="D16" s="100">
        <v>11.81</v>
      </c>
      <c r="E16" s="100">
        <v>5.71</v>
      </c>
      <c r="F16" s="100">
        <v>2</v>
      </c>
      <c r="G16" s="100">
        <v>19.75</v>
      </c>
      <c r="H16" s="100">
        <v>8.02</v>
      </c>
      <c r="I16" s="100">
        <v>6.43</v>
      </c>
      <c r="J16" s="100">
        <v>0.17</v>
      </c>
      <c r="K16" s="100">
        <v>221.23</v>
      </c>
      <c r="L16" s="100">
        <v>24.88</v>
      </c>
      <c r="M16" s="100">
        <v>85.98</v>
      </c>
      <c r="N16" s="100">
        <v>2.1</v>
      </c>
      <c r="O16" s="100">
        <v>0.2</v>
      </c>
      <c r="P16" s="100">
        <v>0.36</v>
      </c>
      <c r="Q16" s="100">
        <v>10</v>
      </c>
      <c r="R16" s="6"/>
      <c r="S16" s="6"/>
      <c r="T16" s="156"/>
      <c r="U16" s="6"/>
    </row>
    <row r="17" spans="1:21" customFormat="1">
      <c r="A17" s="201" t="s">
        <v>537</v>
      </c>
      <c r="B17" s="100">
        <v>6.51</v>
      </c>
      <c r="C17" s="100">
        <v>12.21</v>
      </c>
      <c r="D17" s="100">
        <v>11.6</v>
      </c>
      <c r="E17" s="100">
        <v>4.8</v>
      </c>
      <c r="F17" s="100">
        <v>2.02</v>
      </c>
      <c r="G17" s="100">
        <v>19.05</v>
      </c>
      <c r="H17" s="100">
        <v>7.93</v>
      </c>
      <c r="I17" s="100">
        <v>6.51</v>
      </c>
      <c r="J17" s="100">
        <v>0.22</v>
      </c>
      <c r="K17" s="100">
        <v>222.6</v>
      </c>
      <c r="L17" s="100">
        <v>24.93</v>
      </c>
      <c r="M17" s="100">
        <v>85.84</v>
      </c>
      <c r="N17" s="100">
        <v>2.2000000000000002</v>
      </c>
      <c r="O17" s="100">
        <v>0.2</v>
      </c>
      <c r="P17" s="100">
        <v>0.35</v>
      </c>
      <c r="Q17" s="100">
        <v>10</v>
      </c>
      <c r="R17" s="6"/>
      <c r="S17" s="6"/>
      <c r="T17" s="156"/>
      <c r="U17" s="6"/>
    </row>
    <row r="18" spans="1:21" customFormat="1">
      <c r="A18" s="201" t="s">
        <v>538</v>
      </c>
      <c r="B18" s="100">
        <v>6.38</v>
      </c>
      <c r="C18" s="100">
        <v>12.05</v>
      </c>
      <c r="D18" s="100">
        <v>11.41</v>
      </c>
      <c r="E18" s="100">
        <v>5.88</v>
      </c>
      <c r="F18" s="100">
        <v>2</v>
      </c>
      <c r="G18" s="100">
        <v>14.54</v>
      </c>
      <c r="H18" s="100">
        <v>7.42</v>
      </c>
      <c r="I18" s="100">
        <v>6.47</v>
      </c>
      <c r="J18" s="100">
        <v>0.27</v>
      </c>
      <c r="K18" s="100">
        <v>221.07</v>
      </c>
      <c r="L18" s="100">
        <v>24.99</v>
      </c>
      <c r="M18" s="100">
        <v>86.32</v>
      </c>
      <c r="N18" s="100">
        <v>2.4</v>
      </c>
      <c r="O18" s="100">
        <v>0</v>
      </c>
      <c r="P18" s="100">
        <v>0.34</v>
      </c>
      <c r="Q18" s="100">
        <v>10</v>
      </c>
      <c r="R18" s="6"/>
      <c r="S18" s="6"/>
      <c r="T18" s="156"/>
      <c r="U18" s="6"/>
    </row>
    <row r="19" spans="1:21" customFormat="1">
      <c r="A19" s="201" t="s">
        <v>539</v>
      </c>
      <c r="B19" s="100">
        <v>6.23</v>
      </c>
      <c r="C19" s="100">
        <v>11.96</v>
      </c>
      <c r="D19" s="100">
        <v>11.24</v>
      </c>
      <c r="E19" s="100">
        <v>5.66</v>
      </c>
      <c r="F19" s="100">
        <v>2</v>
      </c>
      <c r="G19" s="100">
        <v>14.54</v>
      </c>
      <c r="H19" s="100">
        <v>7.42</v>
      </c>
      <c r="I19" s="100">
        <v>6.32</v>
      </c>
      <c r="J19" s="100">
        <v>0.43</v>
      </c>
      <c r="K19" s="100">
        <v>224.14</v>
      </c>
      <c r="L19" s="100">
        <v>24.95</v>
      </c>
      <c r="M19" s="100">
        <v>86.52</v>
      </c>
      <c r="N19" s="100">
        <v>2.5</v>
      </c>
      <c r="O19" s="100">
        <v>0.2</v>
      </c>
      <c r="P19" s="100">
        <v>0.33</v>
      </c>
      <c r="Q19" s="100">
        <v>10</v>
      </c>
      <c r="R19" s="6"/>
      <c r="S19" s="6"/>
      <c r="T19" s="156"/>
      <c r="U19" s="6"/>
    </row>
    <row r="20" spans="1:21" customFormat="1">
      <c r="A20" s="201" t="s">
        <v>540</v>
      </c>
      <c r="B20" s="100">
        <v>6.03</v>
      </c>
      <c r="C20" s="100">
        <v>11.85</v>
      </c>
      <c r="D20" s="100">
        <v>11.03</v>
      </c>
      <c r="E20" s="100">
        <v>5.62</v>
      </c>
      <c r="F20" s="100">
        <v>2</v>
      </c>
      <c r="G20" s="100">
        <v>14.54</v>
      </c>
      <c r="H20" s="100">
        <v>7.42</v>
      </c>
      <c r="I20" s="100">
        <v>6.16</v>
      </c>
      <c r="J20" s="100">
        <v>0.32</v>
      </c>
      <c r="K20" s="100">
        <v>224.77</v>
      </c>
      <c r="L20" s="100">
        <v>24.95</v>
      </c>
      <c r="M20" s="100">
        <v>87.64</v>
      </c>
      <c r="N20" s="100">
        <v>2.2999999999999998</v>
      </c>
      <c r="O20" s="100">
        <v>0</v>
      </c>
      <c r="P20" s="100">
        <v>0.32</v>
      </c>
      <c r="Q20" s="100">
        <v>10</v>
      </c>
      <c r="R20" s="6"/>
      <c r="S20" s="6"/>
      <c r="T20" s="156"/>
      <c r="U20" s="6"/>
    </row>
    <row r="21" spans="1:21" customFormat="1">
      <c r="A21" s="201" t="s">
        <v>541</v>
      </c>
      <c r="B21" s="100">
        <v>5.87</v>
      </c>
      <c r="C21" s="100">
        <v>11.77</v>
      </c>
      <c r="D21" s="100">
        <v>10.86</v>
      </c>
      <c r="E21" s="100">
        <v>5.79</v>
      </c>
      <c r="F21" s="100">
        <v>2</v>
      </c>
      <c r="G21" s="100">
        <v>13.76</v>
      </c>
      <c r="H21" s="100">
        <v>7.08</v>
      </c>
      <c r="I21" s="100">
        <v>5.99</v>
      </c>
      <c r="J21" s="100">
        <v>0.39</v>
      </c>
      <c r="K21" s="100">
        <v>231.24</v>
      </c>
      <c r="L21" s="100">
        <v>24.9</v>
      </c>
      <c r="M21" s="100">
        <v>88.71</v>
      </c>
      <c r="N21" s="100">
        <v>2.4</v>
      </c>
      <c r="O21" s="100">
        <v>0.2</v>
      </c>
      <c r="P21" s="100">
        <v>0.31</v>
      </c>
      <c r="Q21" s="100">
        <v>10</v>
      </c>
      <c r="R21" s="6"/>
      <c r="S21" s="6"/>
      <c r="T21" s="156"/>
      <c r="U21" s="6"/>
    </row>
    <row r="22" spans="1:21" customFormat="1">
      <c r="A22" s="201" t="s">
        <v>542</v>
      </c>
      <c r="B22" s="100">
        <v>5.75</v>
      </c>
      <c r="C22" s="100">
        <v>11.71</v>
      </c>
      <c r="D22" s="100">
        <v>10.73</v>
      </c>
      <c r="E22" s="100">
        <v>5.77</v>
      </c>
      <c r="F22" s="100">
        <v>2</v>
      </c>
      <c r="G22" s="100">
        <v>8.66</v>
      </c>
      <c r="H22" s="100">
        <v>5.33</v>
      </c>
      <c r="I22" s="100">
        <v>5.79</v>
      </c>
      <c r="J22" s="100">
        <v>0.22</v>
      </c>
      <c r="K22" s="100">
        <v>227.99</v>
      </c>
      <c r="L22" s="100">
        <v>24.86</v>
      </c>
      <c r="M22" s="100">
        <v>88.79</v>
      </c>
      <c r="N22" s="100">
        <v>2.2999999999999998</v>
      </c>
      <c r="O22" s="100">
        <v>0.2</v>
      </c>
      <c r="P22" s="100">
        <v>0.3</v>
      </c>
      <c r="Q22" s="100">
        <v>10</v>
      </c>
      <c r="R22" s="6"/>
      <c r="S22" s="6"/>
      <c r="T22" s="156"/>
      <c r="U22" s="6"/>
    </row>
    <row r="23" spans="1:21" customFormat="1">
      <c r="A23" s="201" t="s">
        <v>543</v>
      </c>
      <c r="B23" s="100">
        <v>5.63</v>
      </c>
      <c r="C23" s="100">
        <v>11.65</v>
      </c>
      <c r="D23" s="100">
        <v>10.6</v>
      </c>
      <c r="E23" s="100">
        <v>5.72</v>
      </c>
      <c r="F23" s="100">
        <v>2</v>
      </c>
      <c r="G23" s="100">
        <v>8.66</v>
      </c>
      <c r="H23" s="100">
        <v>5.33</v>
      </c>
      <c r="I23" s="100">
        <v>5.61</v>
      </c>
      <c r="J23" s="100">
        <v>0.32</v>
      </c>
      <c r="K23" s="100">
        <v>230.16</v>
      </c>
      <c r="L23" s="100">
        <v>24.87</v>
      </c>
      <c r="M23" s="100">
        <v>88.84</v>
      </c>
      <c r="N23" s="100">
        <v>2.2000000000000002</v>
      </c>
      <c r="O23" s="100">
        <v>0.2</v>
      </c>
      <c r="P23" s="100">
        <v>0.28999999999999998</v>
      </c>
      <c r="Q23" s="100">
        <v>10</v>
      </c>
      <c r="R23" s="6"/>
      <c r="S23" s="6"/>
      <c r="T23" s="156"/>
      <c r="U23" s="6"/>
    </row>
    <row r="24" spans="1:21" customFormat="1">
      <c r="A24" s="201" t="s">
        <v>544</v>
      </c>
      <c r="B24" s="100">
        <v>5.53</v>
      </c>
      <c r="C24" s="100">
        <v>11.53</v>
      </c>
      <c r="D24" s="100">
        <v>10.46</v>
      </c>
      <c r="E24" s="100">
        <v>5.72</v>
      </c>
      <c r="F24" s="100">
        <v>2</v>
      </c>
      <c r="G24" s="100">
        <v>8.66</v>
      </c>
      <c r="H24" s="100">
        <v>5.33</v>
      </c>
      <c r="I24" s="100">
        <v>5.46</v>
      </c>
      <c r="J24" s="100">
        <v>0.36</v>
      </c>
      <c r="K24" s="100">
        <v>229.24</v>
      </c>
      <c r="L24" s="100">
        <v>24.89</v>
      </c>
      <c r="M24" s="100">
        <v>88.13</v>
      </c>
      <c r="N24" s="100">
        <v>2.4</v>
      </c>
      <c r="O24" s="100">
        <v>0.2</v>
      </c>
      <c r="P24" s="100">
        <v>0.28000000000000003</v>
      </c>
      <c r="Q24" s="100">
        <v>10</v>
      </c>
      <c r="R24" s="6"/>
      <c r="S24" s="6"/>
      <c r="T24" s="156"/>
      <c r="U24" s="6"/>
    </row>
    <row r="25" spans="1:21" customFormat="1">
      <c r="A25" s="201" t="s">
        <v>545</v>
      </c>
      <c r="B25" s="100">
        <v>5.41</v>
      </c>
      <c r="C25" s="100">
        <v>11.53</v>
      </c>
      <c r="D25" s="100">
        <v>10.36</v>
      </c>
      <c r="E25" s="100">
        <v>5.72</v>
      </c>
      <c r="F25" s="100">
        <v>2.0099999999999998</v>
      </c>
      <c r="G25" s="100">
        <v>8.39</v>
      </c>
      <c r="H25" s="100">
        <v>5.79</v>
      </c>
      <c r="I25" s="100">
        <v>5.3</v>
      </c>
      <c r="J25" s="100">
        <v>0.26</v>
      </c>
      <c r="K25" s="100">
        <v>226.82</v>
      </c>
      <c r="L25" s="100">
        <v>24.93</v>
      </c>
      <c r="M25" s="100">
        <v>88.77</v>
      </c>
      <c r="N25" s="100">
        <v>2.2999999999999998</v>
      </c>
      <c r="O25" s="100">
        <v>0</v>
      </c>
      <c r="P25" s="100">
        <v>0.27</v>
      </c>
      <c r="Q25" s="100">
        <v>10</v>
      </c>
      <c r="R25" s="6"/>
      <c r="S25" s="6"/>
      <c r="T25" s="156"/>
      <c r="U25" s="6"/>
    </row>
    <row r="26" spans="1:21" customFormat="1">
      <c r="A26" s="201" t="s">
        <v>546</v>
      </c>
      <c r="B26" s="100">
        <v>5.37</v>
      </c>
      <c r="C26" s="100">
        <v>11.49</v>
      </c>
      <c r="D26" s="100">
        <v>10.31</v>
      </c>
      <c r="E26" s="100">
        <v>5.57</v>
      </c>
      <c r="F26" s="100">
        <v>2</v>
      </c>
      <c r="G26" s="100">
        <v>6.43</v>
      </c>
      <c r="H26" s="100">
        <v>8.0399999999999991</v>
      </c>
      <c r="I26" s="100">
        <v>5.16</v>
      </c>
      <c r="J26" s="100">
        <v>0.31</v>
      </c>
      <c r="K26" s="100">
        <v>230</v>
      </c>
      <c r="L26" s="100">
        <v>24.93</v>
      </c>
      <c r="M26" s="100">
        <v>88.72</v>
      </c>
      <c r="N26" s="100">
        <v>2.2999999999999998</v>
      </c>
      <c r="O26" s="100">
        <v>0</v>
      </c>
      <c r="P26" s="100">
        <v>0.26</v>
      </c>
      <c r="Q26" s="100">
        <v>10</v>
      </c>
      <c r="R26" s="6"/>
      <c r="S26" s="6"/>
      <c r="T26" s="156"/>
      <c r="U26" s="6"/>
    </row>
    <row r="27" spans="1:21" customFormat="1">
      <c r="A27" s="201" t="s">
        <v>547</v>
      </c>
      <c r="B27" s="100">
        <v>5.33</v>
      </c>
      <c r="C27" s="100">
        <v>11.36</v>
      </c>
      <c r="D27" s="100">
        <v>10.199999999999999</v>
      </c>
      <c r="E27" s="100">
        <v>5.5</v>
      </c>
      <c r="F27" s="100">
        <v>2</v>
      </c>
      <c r="G27" s="100">
        <v>6.43</v>
      </c>
      <c r="H27" s="100">
        <v>8.0399999999999991</v>
      </c>
      <c r="I27" s="100">
        <v>5.03</v>
      </c>
      <c r="J27" s="100">
        <v>0.24</v>
      </c>
      <c r="K27" s="100">
        <v>220.62</v>
      </c>
      <c r="L27" s="100">
        <v>24.91</v>
      </c>
      <c r="M27" s="100">
        <v>86.5</v>
      </c>
      <c r="N27" s="100">
        <v>2.4</v>
      </c>
      <c r="O27" s="100">
        <v>0.2</v>
      </c>
      <c r="P27" s="100">
        <v>0.26</v>
      </c>
      <c r="Q27" s="100">
        <v>10</v>
      </c>
      <c r="R27" s="6"/>
      <c r="S27" s="6"/>
      <c r="T27" s="156"/>
      <c r="U27" s="6"/>
    </row>
    <row r="28" spans="1:21" customFormat="1">
      <c r="A28" s="201" t="s">
        <v>548</v>
      </c>
      <c r="B28" s="100">
        <v>5.31</v>
      </c>
      <c r="C28" s="100">
        <v>11.33</v>
      </c>
      <c r="D28" s="100">
        <v>10.18</v>
      </c>
      <c r="E28" s="100">
        <v>5.84</v>
      </c>
      <c r="F28" s="100">
        <v>2</v>
      </c>
      <c r="G28" s="100">
        <v>6.43</v>
      </c>
      <c r="H28" s="100">
        <v>8.0399999999999991</v>
      </c>
      <c r="I28" s="100">
        <v>4.91</v>
      </c>
      <c r="J28" s="100">
        <v>0.31</v>
      </c>
      <c r="K28" s="100">
        <v>230.44</v>
      </c>
      <c r="L28" s="100">
        <v>24.89</v>
      </c>
      <c r="M28" s="100">
        <v>89.01</v>
      </c>
      <c r="N28" s="100">
        <v>2.4</v>
      </c>
      <c r="O28" s="100">
        <v>0</v>
      </c>
      <c r="P28" s="100">
        <v>0.24</v>
      </c>
      <c r="Q28" s="100">
        <v>10</v>
      </c>
      <c r="R28" s="6"/>
      <c r="S28" s="6"/>
      <c r="T28" s="156"/>
      <c r="U28" s="6"/>
    </row>
    <row r="29" spans="1:21" customFormat="1">
      <c r="A29" s="201" t="s">
        <v>549</v>
      </c>
      <c r="B29" s="100">
        <v>5.38</v>
      </c>
      <c r="C29" s="100">
        <v>11.29</v>
      </c>
      <c r="D29" s="100">
        <v>10.210000000000001</v>
      </c>
      <c r="E29" s="100">
        <v>5.75</v>
      </c>
      <c r="F29" s="100">
        <v>2</v>
      </c>
      <c r="G29" s="100">
        <v>6.95</v>
      </c>
      <c r="H29" s="100">
        <v>7.7</v>
      </c>
      <c r="I29" s="100">
        <v>4.8</v>
      </c>
      <c r="J29" s="100">
        <v>0.37</v>
      </c>
      <c r="K29" s="100">
        <v>231.65</v>
      </c>
      <c r="L29" s="100">
        <v>24.88</v>
      </c>
      <c r="M29" s="100">
        <v>89.73</v>
      </c>
      <c r="N29" s="100">
        <v>2.4</v>
      </c>
      <c r="O29" s="100">
        <v>0</v>
      </c>
      <c r="P29" s="100">
        <v>0.22</v>
      </c>
      <c r="Q29" s="100">
        <v>10</v>
      </c>
      <c r="R29" s="6"/>
      <c r="S29" s="6"/>
      <c r="T29" s="156"/>
      <c r="U29" s="6"/>
    </row>
    <row r="30" spans="1:21" customFormat="1">
      <c r="A30" s="201" t="s">
        <v>550</v>
      </c>
      <c r="B30" s="100">
        <v>5.52</v>
      </c>
      <c r="C30" s="100">
        <v>11.26</v>
      </c>
      <c r="D30" s="100">
        <v>10.31</v>
      </c>
      <c r="E30" s="100">
        <v>5.12</v>
      </c>
      <c r="F30" s="100">
        <v>2</v>
      </c>
      <c r="G30" s="100">
        <v>10.66</v>
      </c>
      <c r="H30" s="100">
        <v>5.81</v>
      </c>
      <c r="I30" s="100">
        <v>4.83</v>
      </c>
      <c r="J30" s="100">
        <v>0.41</v>
      </c>
      <c r="K30" s="100">
        <v>231.54</v>
      </c>
      <c r="L30" s="100">
        <v>24.86</v>
      </c>
      <c r="M30" s="100">
        <v>89.76</v>
      </c>
      <c r="N30" s="100">
        <v>2.4</v>
      </c>
      <c r="O30" s="100">
        <v>0</v>
      </c>
      <c r="P30" s="100">
        <v>0.19</v>
      </c>
      <c r="Q30" s="100">
        <v>10</v>
      </c>
      <c r="R30" s="6"/>
      <c r="S30" s="6"/>
      <c r="T30" s="156"/>
      <c r="U30" s="6"/>
    </row>
    <row r="31" spans="1:21" customFormat="1">
      <c r="A31" s="201" t="s">
        <v>551</v>
      </c>
      <c r="B31" s="100">
        <v>5.7</v>
      </c>
      <c r="C31" s="100">
        <v>11.45</v>
      </c>
      <c r="D31" s="100">
        <v>10.55</v>
      </c>
      <c r="E31" s="100">
        <v>4.82</v>
      </c>
      <c r="F31" s="100">
        <v>2</v>
      </c>
      <c r="G31" s="100">
        <v>10.66</v>
      </c>
      <c r="H31" s="100">
        <v>5.81</v>
      </c>
      <c r="I31" s="100">
        <v>4.7300000000000004</v>
      </c>
      <c r="J31" s="100">
        <v>0.37</v>
      </c>
      <c r="K31" s="100">
        <v>227.32</v>
      </c>
      <c r="L31" s="100">
        <v>24.88</v>
      </c>
      <c r="M31" s="100">
        <v>89.32</v>
      </c>
      <c r="N31" s="100">
        <v>2.4</v>
      </c>
      <c r="O31" s="100">
        <v>0</v>
      </c>
      <c r="P31" s="100">
        <v>0.21</v>
      </c>
      <c r="Q31" s="100">
        <v>10</v>
      </c>
      <c r="R31" s="6"/>
      <c r="S31" s="6"/>
      <c r="T31" s="156"/>
      <c r="U31" s="6"/>
    </row>
    <row r="32" spans="1:21" customFormat="1">
      <c r="A32" s="201" t="s">
        <v>552</v>
      </c>
      <c r="B32" s="100">
        <v>5.86</v>
      </c>
      <c r="C32" s="100">
        <v>11.48</v>
      </c>
      <c r="D32" s="100">
        <v>10.7</v>
      </c>
      <c r="E32" s="100">
        <v>5.15</v>
      </c>
      <c r="F32" s="100">
        <v>2</v>
      </c>
      <c r="G32" s="100">
        <v>10.66</v>
      </c>
      <c r="H32" s="100">
        <v>5.81</v>
      </c>
      <c r="I32" s="100">
        <v>4.6100000000000003</v>
      </c>
      <c r="J32" s="100">
        <v>0.38</v>
      </c>
      <c r="K32" s="100">
        <v>229.26</v>
      </c>
      <c r="L32" s="100">
        <v>24.9</v>
      </c>
      <c r="M32" s="100">
        <v>89.45</v>
      </c>
      <c r="N32" s="100">
        <v>3.1</v>
      </c>
      <c r="O32" s="100">
        <v>0</v>
      </c>
      <c r="P32" s="100">
        <v>0.21</v>
      </c>
      <c r="Q32" s="100">
        <v>10</v>
      </c>
      <c r="R32" s="6"/>
      <c r="S32" s="6"/>
      <c r="T32" s="156"/>
      <c r="U32" s="6"/>
    </row>
    <row r="33" spans="1:21" customFormat="1">
      <c r="A33" s="201" t="s">
        <v>553</v>
      </c>
      <c r="B33" s="100">
        <v>5.89</v>
      </c>
      <c r="C33" s="100">
        <v>11.33</v>
      </c>
      <c r="D33" s="100">
        <v>10.64</v>
      </c>
      <c r="E33" s="100">
        <v>5.12</v>
      </c>
      <c r="F33" s="100">
        <v>2.2999999999999998</v>
      </c>
      <c r="G33" s="100">
        <v>10.3</v>
      </c>
      <c r="H33" s="100">
        <v>5.6</v>
      </c>
      <c r="I33" s="100">
        <v>4.7</v>
      </c>
      <c r="J33" s="100">
        <v>0.45</v>
      </c>
      <c r="K33" s="100">
        <v>229.44</v>
      </c>
      <c r="L33" s="100">
        <v>24.87</v>
      </c>
      <c r="M33" s="100">
        <v>89.74</v>
      </c>
      <c r="N33" s="100">
        <v>5.3</v>
      </c>
      <c r="O33" s="100">
        <v>0.2</v>
      </c>
      <c r="P33" s="100">
        <v>0.19</v>
      </c>
      <c r="Q33" s="100">
        <v>10</v>
      </c>
      <c r="R33" s="6"/>
      <c r="S33" s="6"/>
      <c r="T33" s="156"/>
      <c r="U33" s="6"/>
    </row>
    <row r="34" spans="1:21" customFormat="1">
      <c r="A34" s="201" t="s">
        <v>554</v>
      </c>
      <c r="B34" s="100">
        <v>5.97</v>
      </c>
      <c r="C34" s="100">
        <v>11.37</v>
      </c>
      <c r="D34" s="100">
        <v>10.73</v>
      </c>
      <c r="E34" s="100">
        <v>4.76</v>
      </c>
      <c r="F34" s="100">
        <v>2</v>
      </c>
      <c r="G34" s="100">
        <v>7.95</v>
      </c>
      <c r="H34" s="100">
        <v>4.54</v>
      </c>
      <c r="I34" s="100">
        <v>4.74</v>
      </c>
      <c r="J34" s="100">
        <v>0.45</v>
      </c>
      <c r="K34" s="100">
        <v>228.83</v>
      </c>
      <c r="L34" s="100">
        <v>24.87</v>
      </c>
      <c r="M34" s="100">
        <v>89.48</v>
      </c>
      <c r="N34" s="100">
        <v>8.3000000000000007</v>
      </c>
      <c r="O34" s="100">
        <v>0</v>
      </c>
      <c r="P34" s="100">
        <v>0.19</v>
      </c>
      <c r="Q34" s="100">
        <v>10</v>
      </c>
      <c r="R34" s="6"/>
      <c r="S34" s="6"/>
      <c r="T34" s="156"/>
      <c r="U34" s="6"/>
    </row>
    <row r="35" spans="1:21" customFormat="1">
      <c r="A35" s="201" t="s">
        <v>555</v>
      </c>
      <c r="B35" s="100">
        <v>6.16</v>
      </c>
      <c r="C35" s="100">
        <v>11.49</v>
      </c>
      <c r="D35" s="100">
        <v>10.95</v>
      </c>
      <c r="E35" s="100">
        <v>5.3</v>
      </c>
      <c r="F35" s="100">
        <v>2</v>
      </c>
      <c r="G35" s="100">
        <v>7.95</v>
      </c>
      <c r="H35" s="100">
        <v>4.54</v>
      </c>
      <c r="I35" s="100">
        <v>4.55</v>
      </c>
      <c r="J35" s="100">
        <v>0.45</v>
      </c>
      <c r="K35" s="100">
        <v>229.53</v>
      </c>
      <c r="L35" s="100">
        <v>24.89</v>
      </c>
      <c r="M35" s="100">
        <v>89.31</v>
      </c>
      <c r="N35" s="100">
        <v>11.6</v>
      </c>
      <c r="O35" s="100">
        <v>0</v>
      </c>
      <c r="P35" s="100">
        <v>0.2</v>
      </c>
      <c r="Q35" s="100">
        <v>10</v>
      </c>
      <c r="R35" s="6"/>
      <c r="S35" s="6"/>
      <c r="T35" s="156"/>
      <c r="U35" s="6"/>
    </row>
    <row r="36" spans="1:21" customFormat="1">
      <c r="A36" s="201" t="s">
        <v>556</v>
      </c>
      <c r="B36" s="100">
        <v>6.26</v>
      </c>
      <c r="C36" s="100">
        <v>11.28</v>
      </c>
      <c r="D36" s="100">
        <v>10.91</v>
      </c>
      <c r="E36" s="100">
        <v>5.17</v>
      </c>
      <c r="F36" s="100">
        <v>2</v>
      </c>
      <c r="G36" s="100">
        <v>7.95</v>
      </c>
      <c r="H36" s="100">
        <v>4.54</v>
      </c>
      <c r="I36" s="100">
        <v>4.62</v>
      </c>
      <c r="J36" s="100">
        <v>0.33</v>
      </c>
      <c r="K36" s="100">
        <v>226.62</v>
      </c>
      <c r="L36" s="100">
        <v>24.96</v>
      </c>
      <c r="M36" s="100">
        <v>88.36</v>
      </c>
      <c r="N36" s="100">
        <v>17</v>
      </c>
      <c r="O36" s="100">
        <v>0</v>
      </c>
      <c r="P36" s="100">
        <v>0.18</v>
      </c>
      <c r="Q36" s="100">
        <v>10</v>
      </c>
      <c r="R36" s="6"/>
      <c r="S36" s="6"/>
      <c r="T36" s="156"/>
      <c r="U36" s="6"/>
    </row>
    <row r="37" spans="1:21" customFormat="1">
      <c r="A37" s="201" t="s">
        <v>557</v>
      </c>
      <c r="B37" s="100">
        <v>6.32</v>
      </c>
      <c r="C37" s="100">
        <v>11.36</v>
      </c>
      <c r="D37" s="100">
        <v>11</v>
      </c>
      <c r="E37" s="100">
        <v>4.78</v>
      </c>
      <c r="F37" s="100">
        <v>2</v>
      </c>
      <c r="G37" s="100">
        <v>8.2200000000000006</v>
      </c>
      <c r="H37" s="100">
        <v>4.76</v>
      </c>
      <c r="I37" s="100">
        <v>4.68</v>
      </c>
      <c r="J37" s="100">
        <v>0.37</v>
      </c>
      <c r="K37" s="100">
        <v>222.81</v>
      </c>
      <c r="L37" s="100">
        <v>25.05</v>
      </c>
      <c r="M37" s="100">
        <v>87.86</v>
      </c>
      <c r="N37" s="100">
        <v>24.6</v>
      </c>
      <c r="O37" s="100">
        <v>0</v>
      </c>
      <c r="P37" s="100">
        <v>0.19</v>
      </c>
      <c r="Q37" s="100">
        <v>10</v>
      </c>
      <c r="R37" s="6"/>
      <c r="S37" s="6"/>
      <c r="T37" s="156"/>
      <c r="U37" s="6"/>
    </row>
    <row r="38" spans="1:21" customFormat="1">
      <c r="A38" s="201" t="s">
        <v>558</v>
      </c>
      <c r="B38" s="100">
        <v>6.45</v>
      </c>
      <c r="C38" s="100">
        <v>11.41</v>
      </c>
      <c r="D38" s="100">
        <v>11.13</v>
      </c>
      <c r="E38" s="100">
        <v>5.28</v>
      </c>
      <c r="F38" s="100">
        <v>2</v>
      </c>
      <c r="G38" s="100">
        <v>10.15</v>
      </c>
      <c r="H38" s="100">
        <v>5.85</v>
      </c>
      <c r="I38" s="100">
        <v>4.51</v>
      </c>
      <c r="J38" s="100">
        <v>0.45</v>
      </c>
      <c r="K38" s="100">
        <v>221.84</v>
      </c>
      <c r="L38" s="100">
        <v>25.15</v>
      </c>
      <c r="M38" s="100">
        <v>87.13</v>
      </c>
      <c r="N38" s="100">
        <v>34.5</v>
      </c>
      <c r="O38" s="100">
        <v>0</v>
      </c>
      <c r="P38" s="100">
        <v>0.19</v>
      </c>
      <c r="Q38" s="100">
        <v>10</v>
      </c>
      <c r="R38" s="6"/>
      <c r="S38" s="6"/>
      <c r="T38" s="156"/>
      <c r="U38" s="6"/>
    </row>
    <row r="39" spans="1:21" customFormat="1">
      <c r="A39" s="201" t="s">
        <v>559</v>
      </c>
      <c r="B39" s="100">
        <v>6.54</v>
      </c>
      <c r="C39" s="100">
        <v>11.27</v>
      </c>
      <c r="D39" s="100">
        <v>11.14</v>
      </c>
      <c r="E39" s="100">
        <v>5.03</v>
      </c>
      <c r="F39" s="100">
        <v>2</v>
      </c>
      <c r="G39" s="100">
        <v>10.15</v>
      </c>
      <c r="H39" s="100">
        <v>5.85</v>
      </c>
      <c r="I39" s="100">
        <v>4.5599999999999996</v>
      </c>
      <c r="J39" s="100">
        <v>0.57999999999999996</v>
      </c>
      <c r="K39" s="100">
        <v>221.49</v>
      </c>
      <c r="L39" s="100">
        <v>25.2</v>
      </c>
      <c r="M39" s="100">
        <v>86.78</v>
      </c>
      <c r="N39" s="100">
        <v>38.799999999999997</v>
      </c>
      <c r="O39" s="100">
        <v>0.2</v>
      </c>
      <c r="P39" s="100">
        <v>0.18</v>
      </c>
      <c r="Q39" s="100">
        <v>10</v>
      </c>
      <c r="R39" s="6"/>
      <c r="S39" s="6"/>
      <c r="T39" s="156"/>
      <c r="U39" s="6"/>
    </row>
    <row r="40" spans="1:21" customFormat="1">
      <c r="A40" s="201" t="s">
        <v>560</v>
      </c>
      <c r="B40" s="100">
        <v>6.64</v>
      </c>
      <c r="C40" s="100">
        <v>11.32</v>
      </c>
      <c r="D40" s="100">
        <v>11.24</v>
      </c>
      <c r="E40" s="100">
        <v>5.27</v>
      </c>
      <c r="F40" s="100">
        <v>2.02</v>
      </c>
      <c r="G40" s="100">
        <v>10.15</v>
      </c>
      <c r="H40" s="100">
        <v>5.85</v>
      </c>
      <c r="I40" s="100">
        <v>4.6399999999999997</v>
      </c>
      <c r="J40" s="100">
        <v>0.48</v>
      </c>
      <c r="K40" s="100">
        <v>218.07</v>
      </c>
      <c r="L40" s="100">
        <v>25.3</v>
      </c>
      <c r="M40" s="100">
        <v>85.1</v>
      </c>
      <c r="N40" s="100">
        <v>55</v>
      </c>
      <c r="O40" s="100">
        <v>0</v>
      </c>
      <c r="P40" s="100">
        <v>0.2</v>
      </c>
      <c r="Q40" s="100">
        <v>10</v>
      </c>
      <c r="R40" s="6"/>
      <c r="S40" s="6"/>
      <c r="T40" s="156"/>
      <c r="U40" s="6"/>
    </row>
    <row r="41" spans="1:21" customFormat="1">
      <c r="A41" s="201" t="s">
        <v>561</v>
      </c>
      <c r="B41" s="100">
        <v>6.67</v>
      </c>
      <c r="C41" s="100">
        <v>11.24</v>
      </c>
      <c r="D41" s="100">
        <v>11.22</v>
      </c>
      <c r="E41" s="100">
        <v>4.95</v>
      </c>
      <c r="F41" s="100">
        <v>2.0099999999999998</v>
      </c>
      <c r="G41" s="100">
        <v>9.82</v>
      </c>
      <c r="H41" s="100">
        <v>5.75</v>
      </c>
      <c r="I41" s="100">
        <v>4.6399999999999997</v>
      </c>
      <c r="J41" s="100">
        <v>0.49</v>
      </c>
      <c r="K41" s="100">
        <v>209.39</v>
      </c>
      <c r="L41" s="100">
        <v>25.43</v>
      </c>
      <c r="M41" s="100">
        <v>81.77</v>
      </c>
      <c r="N41" s="100">
        <v>44.4</v>
      </c>
      <c r="O41" s="100">
        <v>0</v>
      </c>
      <c r="P41" s="100">
        <v>0.18</v>
      </c>
      <c r="Q41" s="100">
        <v>10</v>
      </c>
      <c r="R41" s="6"/>
      <c r="S41" s="6"/>
      <c r="T41" s="156"/>
      <c r="U41" s="6"/>
    </row>
    <row r="42" spans="1:21" customFormat="1">
      <c r="A42" s="201" t="s">
        <v>562</v>
      </c>
      <c r="B42" s="100">
        <v>6.71</v>
      </c>
      <c r="C42" s="100">
        <v>11.33</v>
      </c>
      <c r="D42" s="100">
        <v>11.3</v>
      </c>
      <c r="E42" s="100">
        <v>4.72</v>
      </c>
      <c r="F42" s="100">
        <v>2.06</v>
      </c>
      <c r="G42" s="100">
        <v>7.45</v>
      </c>
      <c r="H42" s="100">
        <v>5.21</v>
      </c>
      <c r="I42" s="100">
        <v>4.5599999999999996</v>
      </c>
      <c r="J42" s="100">
        <v>0.41</v>
      </c>
      <c r="K42" s="100">
        <v>207.4</v>
      </c>
      <c r="L42" s="100">
        <v>25.46</v>
      </c>
      <c r="M42" s="100">
        <v>81.25</v>
      </c>
      <c r="N42" s="100">
        <v>49.5</v>
      </c>
      <c r="O42" s="100">
        <v>0</v>
      </c>
      <c r="P42" s="100">
        <v>0.18</v>
      </c>
      <c r="Q42" s="100">
        <v>10</v>
      </c>
      <c r="R42" s="6"/>
      <c r="S42" s="6"/>
      <c r="T42" s="156"/>
      <c r="U42" s="6"/>
    </row>
    <row r="43" spans="1:21" customFormat="1">
      <c r="A43" s="201" t="s">
        <v>563</v>
      </c>
      <c r="B43" s="100">
        <v>6.85</v>
      </c>
      <c r="C43" s="100">
        <v>11.4</v>
      </c>
      <c r="D43" s="100">
        <v>11.45</v>
      </c>
      <c r="E43" s="100">
        <v>4.99</v>
      </c>
      <c r="F43" s="100">
        <v>2</v>
      </c>
      <c r="G43" s="100">
        <v>7.45</v>
      </c>
      <c r="H43" s="100">
        <v>5.21</v>
      </c>
      <c r="I43" s="100">
        <v>4.4400000000000004</v>
      </c>
      <c r="J43" s="100">
        <v>0.52</v>
      </c>
      <c r="K43" s="100">
        <v>212.18</v>
      </c>
      <c r="L43" s="100">
        <v>25.59</v>
      </c>
      <c r="M43" s="100">
        <v>82.16</v>
      </c>
      <c r="N43" s="100">
        <v>62.1</v>
      </c>
      <c r="O43" s="100">
        <v>0</v>
      </c>
      <c r="P43" s="100">
        <v>0.18</v>
      </c>
      <c r="Q43" s="100">
        <v>10</v>
      </c>
      <c r="R43" s="6"/>
      <c r="S43" s="6"/>
      <c r="T43" s="156"/>
      <c r="U43" s="6"/>
    </row>
    <row r="44" spans="1:21" customFormat="1">
      <c r="A44" s="201" t="s">
        <v>564</v>
      </c>
      <c r="B44" s="100">
        <v>6.87</v>
      </c>
      <c r="C44" s="100">
        <v>11.3</v>
      </c>
      <c r="D44" s="100">
        <v>11.42</v>
      </c>
      <c r="E44" s="100">
        <v>4.7699999999999996</v>
      </c>
      <c r="F44" s="100">
        <v>2.0099999999999998</v>
      </c>
      <c r="G44" s="100">
        <v>7.45</v>
      </c>
      <c r="H44" s="100">
        <v>5.21</v>
      </c>
      <c r="I44" s="100">
        <v>4.55</v>
      </c>
      <c r="J44" s="100">
        <v>0.55000000000000004</v>
      </c>
      <c r="K44" s="100">
        <v>209.65</v>
      </c>
      <c r="L44" s="100">
        <v>25.61</v>
      </c>
      <c r="M44" s="100">
        <v>81.069999999999993</v>
      </c>
      <c r="N44" s="100">
        <v>51.7</v>
      </c>
      <c r="O44" s="100">
        <v>0</v>
      </c>
      <c r="P44" s="100">
        <v>0.16</v>
      </c>
      <c r="Q44" s="100">
        <v>10</v>
      </c>
      <c r="R44" s="6"/>
      <c r="S44" s="6"/>
      <c r="T44" s="156"/>
      <c r="U44" s="6"/>
    </row>
    <row r="45" spans="1:21" customFormat="1">
      <c r="A45" s="201" t="s">
        <v>565</v>
      </c>
      <c r="B45" s="100">
        <v>6.83</v>
      </c>
      <c r="C45" s="100">
        <v>11.42</v>
      </c>
      <c r="D45" s="100">
        <v>11.45</v>
      </c>
      <c r="E45" s="100">
        <v>4.83</v>
      </c>
      <c r="F45" s="100">
        <v>2</v>
      </c>
      <c r="G45" s="100">
        <v>7.4</v>
      </c>
      <c r="H45" s="100">
        <v>5.32</v>
      </c>
      <c r="I45" s="100">
        <v>4.53</v>
      </c>
      <c r="J45" s="100">
        <v>0.5</v>
      </c>
      <c r="K45" s="100">
        <v>208.21</v>
      </c>
      <c r="L45" s="100">
        <v>25.67</v>
      </c>
      <c r="M45" s="100">
        <v>81.7</v>
      </c>
      <c r="N45" s="100">
        <v>73.8</v>
      </c>
      <c r="O45" s="100">
        <v>0</v>
      </c>
      <c r="P45" s="100">
        <v>0.16</v>
      </c>
      <c r="Q45" s="100">
        <v>10</v>
      </c>
      <c r="R45" s="6"/>
      <c r="S45" s="6"/>
      <c r="T45" s="156"/>
      <c r="U45" s="6"/>
    </row>
    <row r="46" spans="1:21" customFormat="1">
      <c r="A46" s="201" t="s">
        <v>566</v>
      </c>
      <c r="B46" s="100">
        <v>6.92</v>
      </c>
      <c r="C46" s="100">
        <v>11.66</v>
      </c>
      <c r="D46" s="100">
        <v>11.64</v>
      </c>
      <c r="E46" s="100">
        <v>5.0999999999999996</v>
      </c>
      <c r="F46" s="100">
        <v>2.0299999999999998</v>
      </c>
      <c r="G46" s="100">
        <v>7.04</v>
      </c>
      <c r="H46" s="100">
        <v>5.91</v>
      </c>
      <c r="I46" s="100">
        <v>4.4000000000000004</v>
      </c>
      <c r="J46" s="100">
        <v>0.6</v>
      </c>
      <c r="K46" s="100">
        <v>207.67</v>
      </c>
      <c r="L46" s="100">
        <v>25.86</v>
      </c>
      <c r="M46" s="100">
        <v>81.12</v>
      </c>
      <c r="N46" s="100">
        <v>86.9</v>
      </c>
      <c r="O46" s="100">
        <v>0</v>
      </c>
      <c r="P46" s="100">
        <v>0.19</v>
      </c>
      <c r="Q46" s="100">
        <v>10</v>
      </c>
      <c r="R46" s="6"/>
      <c r="S46" s="6"/>
      <c r="T46" s="156"/>
      <c r="U46" s="6"/>
    </row>
    <row r="47" spans="1:21" customFormat="1">
      <c r="A47" s="201" t="s">
        <v>567</v>
      </c>
      <c r="B47" s="100">
        <v>6.92</v>
      </c>
      <c r="C47" s="100">
        <v>11.45</v>
      </c>
      <c r="D47" s="100">
        <v>11.53</v>
      </c>
      <c r="E47" s="100">
        <v>5.1100000000000003</v>
      </c>
      <c r="F47" s="100">
        <v>2</v>
      </c>
      <c r="G47" s="100">
        <v>7.04</v>
      </c>
      <c r="H47" s="100">
        <v>5.91</v>
      </c>
      <c r="I47" s="100">
        <v>4.41</v>
      </c>
      <c r="J47" s="100">
        <v>0.69</v>
      </c>
      <c r="K47" s="100">
        <v>211.27</v>
      </c>
      <c r="L47" s="100">
        <v>25.97</v>
      </c>
      <c r="M47" s="100">
        <v>81.34</v>
      </c>
      <c r="N47" s="100">
        <v>124.8</v>
      </c>
      <c r="O47" s="100">
        <v>0</v>
      </c>
      <c r="P47" s="100">
        <v>0.17</v>
      </c>
      <c r="Q47" s="100">
        <v>10</v>
      </c>
      <c r="R47" s="6"/>
      <c r="S47" s="6"/>
      <c r="T47" s="156"/>
      <c r="U47" s="6"/>
    </row>
    <row r="48" spans="1:21" customFormat="1">
      <c r="A48" s="201" t="s">
        <v>568</v>
      </c>
      <c r="B48" s="100">
        <v>6.67</v>
      </c>
      <c r="C48" s="100">
        <v>11.51</v>
      </c>
      <c r="D48" s="100">
        <v>11.36</v>
      </c>
      <c r="E48" s="100">
        <v>4.8600000000000003</v>
      </c>
      <c r="F48" s="100">
        <v>2.12</v>
      </c>
      <c r="G48" s="100">
        <v>7.04</v>
      </c>
      <c r="H48" s="100">
        <v>5.91</v>
      </c>
      <c r="I48" s="100">
        <v>4.4800000000000004</v>
      </c>
      <c r="J48" s="100">
        <v>0.57999999999999996</v>
      </c>
      <c r="K48" s="100">
        <v>214.36</v>
      </c>
      <c r="L48" s="100">
        <v>26.16</v>
      </c>
      <c r="M48" s="100">
        <v>82.65</v>
      </c>
      <c r="N48" s="100">
        <v>113.5</v>
      </c>
      <c r="O48" s="100">
        <v>0</v>
      </c>
      <c r="P48" s="100">
        <v>0.18</v>
      </c>
      <c r="Q48" s="100">
        <v>10</v>
      </c>
      <c r="R48" s="6"/>
      <c r="S48" s="6"/>
      <c r="T48" s="156"/>
      <c r="U48" s="6"/>
    </row>
    <row r="49" spans="1:21" customFormat="1">
      <c r="A49" s="201" t="s">
        <v>569</v>
      </c>
      <c r="B49" s="100">
        <v>6.36</v>
      </c>
      <c r="C49" s="100">
        <v>11.72</v>
      </c>
      <c r="D49" s="100">
        <v>11.22</v>
      </c>
      <c r="E49" s="100">
        <v>5.05</v>
      </c>
      <c r="F49" s="100">
        <v>2.0099999999999998</v>
      </c>
      <c r="G49" s="100">
        <v>7</v>
      </c>
      <c r="H49" s="100">
        <v>5.64</v>
      </c>
      <c r="I49" s="100">
        <v>4.37</v>
      </c>
      <c r="J49" s="100">
        <v>0.61</v>
      </c>
      <c r="K49" s="100">
        <v>212.74</v>
      </c>
      <c r="L49" s="100">
        <v>26.36</v>
      </c>
      <c r="M49" s="100">
        <v>81.34</v>
      </c>
      <c r="N49" s="100">
        <v>112</v>
      </c>
      <c r="O49" s="100">
        <v>0</v>
      </c>
      <c r="P49" s="100">
        <v>0.19</v>
      </c>
      <c r="Q49" s="100">
        <v>10</v>
      </c>
      <c r="R49" s="6"/>
      <c r="S49" s="6"/>
      <c r="T49" s="156"/>
      <c r="U49" s="6"/>
    </row>
    <row r="50" spans="1:21" customFormat="1">
      <c r="A50" s="201" t="s">
        <v>570</v>
      </c>
      <c r="B50" s="100">
        <v>6.12</v>
      </c>
      <c r="C50" s="100">
        <v>11.88</v>
      </c>
      <c r="D50" s="100">
        <v>11.11</v>
      </c>
      <c r="E50" s="100">
        <v>6.07</v>
      </c>
      <c r="F50" s="100">
        <v>2</v>
      </c>
      <c r="G50" s="100">
        <v>6.74</v>
      </c>
      <c r="H50" s="100">
        <v>4.2699999999999996</v>
      </c>
      <c r="I50" s="100">
        <v>4.29</v>
      </c>
      <c r="J50" s="100">
        <v>0.56000000000000005</v>
      </c>
      <c r="K50" s="100">
        <v>206.6</v>
      </c>
      <c r="L50" s="100">
        <v>26.63</v>
      </c>
      <c r="M50" s="100">
        <v>79.91</v>
      </c>
      <c r="N50" s="100">
        <v>214</v>
      </c>
      <c r="O50" s="100">
        <v>0</v>
      </c>
      <c r="P50" s="100">
        <v>0.18</v>
      </c>
      <c r="Q50" s="100">
        <v>10</v>
      </c>
      <c r="R50" s="6"/>
      <c r="S50" s="6"/>
      <c r="T50" s="156"/>
      <c r="U50" s="6"/>
    </row>
    <row r="51" spans="1:21" customFormat="1">
      <c r="A51" s="201" t="s">
        <v>571</v>
      </c>
      <c r="B51" s="100">
        <v>5.89</v>
      </c>
      <c r="C51" s="100">
        <v>11.99</v>
      </c>
      <c r="D51" s="100">
        <v>10.99</v>
      </c>
      <c r="E51" s="100">
        <v>5.96</v>
      </c>
      <c r="F51" s="100">
        <v>2</v>
      </c>
      <c r="G51" s="100">
        <v>6.74</v>
      </c>
      <c r="H51" s="100">
        <v>4.2699999999999996</v>
      </c>
      <c r="I51" s="100">
        <v>4.16</v>
      </c>
      <c r="J51" s="100">
        <v>0.71</v>
      </c>
      <c r="K51" s="100">
        <v>208.59</v>
      </c>
      <c r="L51" s="100">
        <v>27.33</v>
      </c>
      <c r="M51" s="100">
        <v>79.19</v>
      </c>
      <c r="N51" s="100">
        <v>265.60000000000002</v>
      </c>
      <c r="O51" s="100">
        <v>0</v>
      </c>
      <c r="P51" s="100">
        <v>0.18</v>
      </c>
      <c r="Q51" s="100">
        <v>10</v>
      </c>
      <c r="R51" s="6"/>
      <c r="S51" s="6"/>
      <c r="T51" s="156"/>
      <c r="U51" s="6"/>
    </row>
    <row r="52" spans="1:21" customFormat="1">
      <c r="A52" s="201" t="s">
        <v>572</v>
      </c>
      <c r="B52" s="100">
        <v>5.58</v>
      </c>
      <c r="C52" s="100">
        <v>12.08</v>
      </c>
      <c r="D52" s="100">
        <v>10.79</v>
      </c>
      <c r="E52" s="100">
        <v>5.88</v>
      </c>
      <c r="F52" s="100">
        <v>2.0299999999999998</v>
      </c>
      <c r="G52" s="100">
        <v>6.74</v>
      </c>
      <c r="H52" s="100">
        <v>4.2699999999999996</v>
      </c>
      <c r="I52" s="100">
        <v>4.0999999999999996</v>
      </c>
      <c r="J52" s="100">
        <v>0.56999999999999995</v>
      </c>
      <c r="K52" s="100">
        <v>214.62</v>
      </c>
      <c r="L52" s="100">
        <v>27.15</v>
      </c>
      <c r="M52" s="100">
        <v>80.42</v>
      </c>
      <c r="N52" s="100">
        <v>89.9</v>
      </c>
      <c r="O52" s="100">
        <v>0</v>
      </c>
      <c r="P52" s="100">
        <v>0.17</v>
      </c>
      <c r="Q52" s="100">
        <v>10</v>
      </c>
      <c r="R52" s="6"/>
      <c r="S52" s="6"/>
      <c r="T52" s="156"/>
      <c r="U52" s="6"/>
    </row>
    <row r="53" spans="1:21" customFormat="1">
      <c r="A53" s="201" t="s">
        <v>573</v>
      </c>
      <c r="B53" s="100">
        <v>5.36</v>
      </c>
      <c r="C53" s="100">
        <v>12.1</v>
      </c>
      <c r="D53" s="100">
        <v>10.62</v>
      </c>
      <c r="E53" s="100">
        <v>5.93</v>
      </c>
      <c r="F53" s="100">
        <v>2</v>
      </c>
      <c r="G53" s="100">
        <v>7.19</v>
      </c>
      <c r="H53" s="100">
        <v>4.0999999999999996</v>
      </c>
      <c r="I53" s="100">
        <v>4.08</v>
      </c>
      <c r="J53" s="100">
        <v>0.47</v>
      </c>
      <c r="K53" s="100">
        <v>206.52</v>
      </c>
      <c r="L53" s="100">
        <v>26.92</v>
      </c>
      <c r="M53" s="100">
        <v>79.78</v>
      </c>
      <c r="N53" s="100">
        <v>111.1</v>
      </c>
      <c r="O53" s="100">
        <v>0</v>
      </c>
      <c r="P53" s="100">
        <v>0.16</v>
      </c>
      <c r="Q53" s="100">
        <v>10</v>
      </c>
      <c r="R53" s="6"/>
      <c r="S53" s="6"/>
      <c r="T53" s="156"/>
      <c r="U53" s="6"/>
    </row>
    <row r="54" spans="1:21" customFormat="1">
      <c r="A54" s="201" t="s">
        <v>574</v>
      </c>
      <c r="B54" s="100">
        <v>5.21</v>
      </c>
      <c r="C54" s="100">
        <v>12.1</v>
      </c>
      <c r="D54" s="100">
        <v>10.5</v>
      </c>
      <c r="E54" s="100">
        <v>5.99</v>
      </c>
      <c r="F54" s="100">
        <v>2.0299999999999998</v>
      </c>
      <c r="G54" s="100">
        <v>10.07</v>
      </c>
      <c r="H54" s="100">
        <v>3.24</v>
      </c>
      <c r="I54" s="100">
        <v>3.95</v>
      </c>
      <c r="J54" s="100">
        <v>0.49</v>
      </c>
      <c r="K54" s="100">
        <v>210.95</v>
      </c>
      <c r="L54" s="100">
        <v>27.44</v>
      </c>
      <c r="M54" s="100">
        <v>80.150000000000006</v>
      </c>
      <c r="N54" s="100">
        <v>260.5</v>
      </c>
      <c r="O54" s="100">
        <v>0</v>
      </c>
      <c r="P54" s="100">
        <v>0.17</v>
      </c>
      <c r="Q54" s="100">
        <v>10</v>
      </c>
      <c r="R54" s="6"/>
      <c r="S54" s="6"/>
      <c r="T54" s="156"/>
      <c r="U54" s="6"/>
    </row>
    <row r="55" spans="1:21" customFormat="1">
      <c r="A55" s="201" t="s">
        <v>575</v>
      </c>
      <c r="B55" s="100">
        <v>5.05</v>
      </c>
      <c r="C55" s="100">
        <v>11.97</v>
      </c>
      <c r="D55" s="100">
        <v>10.3</v>
      </c>
      <c r="E55" s="100">
        <v>6.11</v>
      </c>
      <c r="F55" s="100">
        <v>2.06</v>
      </c>
      <c r="G55" s="100">
        <v>10.07</v>
      </c>
      <c r="H55" s="100">
        <v>3.24</v>
      </c>
      <c r="I55" s="100">
        <v>3.84</v>
      </c>
      <c r="J55" s="100">
        <v>0.61</v>
      </c>
      <c r="K55" s="100">
        <v>215.54</v>
      </c>
      <c r="L55" s="100">
        <v>27.93</v>
      </c>
      <c r="M55" s="100">
        <v>80.63</v>
      </c>
      <c r="N55" s="100">
        <v>217.9</v>
      </c>
      <c r="O55" s="100">
        <v>0</v>
      </c>
      <c r="P55" s="100">
        <v>0.17</v>
      </c>
      <c r="Q55" s="100">
        <v>10</v>
      </c>
      <c r="R55" s="6"/>
      <c r="S55" s="6"/>
      <c r="T55" s="156"/>
      <c r="U55" s="6"/>
    </row>
    <row r="56" spans="1:21" customFormat="1">
      <c r="A56" s="201" t="s">
        <v>576</v>
      </c>
      <c r="B56" s="100">
        <v>4.87</v>
      </c>
      <c r="C56" s="100">
        <v>11.97</v>
      </c>
      <c r="D56" s="100">
        <v>10.16</v>
      </c>
      <c r="E56" s="100">
        <v>6.05</v>
      </c>
      <c r="F56" s="100">
        <v>2.0299999999999998</v>
      </c>
      <c r="G56" s="100">
        <v>10.07</v>
      </c>
      <c r="H56" s="100">
        <v>3.24</v>
      </c>
      <c r="I56" s="100">
        <v>3.78</v>
      </c>
      <c r="J56" s="100">
        <v>0.69</v>
      </c>
      <c r="K56" s="100">
        <v>203.31</v>
      </c>
      <c r="L56" s="100">
        <v>27.98</v>
      </c>
      <c r="M56" s="100">
        <v>75.930000000000007</v>
      </c>
      <c r="N56" s="100">
        <v>231.4</v>
      </c>
      <c r="O56" s="100">
        <v>0</v>
      </c>
      <c r="P56" s="100">
        <v>0.16</v>
      </c>
      <c r="Q56" s="100">
        <v>10</v>
      </c>
      <c r="R56" s="6"/>
      <c r="S56" s="6"/>
      <c r="T56" s="156"/>
      <c r="U56" s="6"/>
    </row>
    <row r="57" spans="1:21" customFormat="1">
      <c r="A57" s="201" t="s">
        <v>577</v>
      </c>
      <c r="B57" s="100">
        <v>4.67</v>
      </c>
      <c r="C57" s="100">
        <v>11.93</v>
      </c>
      <c r="D57" s="100">
        <v>9.98</v>
      </c>
      <c r="E57" s="100">
        <v>6.14</v>
      </c>
      <c r="F57" s="100">
        <v>2.02</v>
      </c>
      <c r="G57" s="100">
        <v>9.9600000000000009</v>
      </c>
      <c r="H57" s="100">
        <v>3.36</v>
      </c>
      <c r="I57" s="100">
        <v>3.74</v>
      </c>
      <c r="J57" s="100">
        <v>0.74</v>
      </c>
      <c r="K57" s="100">
        <v>206.59</v>
      </c>
      <c r="L57" s="100">
        <v>28.08</v>
      </c>
      <c r="M57" s="100">
        <v>76.290000000000006</v>
      </c>
      <c r="N57" s="100">
        <v>196.3</v>
      </c>
      <c r="O57" s="100">
        <v>0</v>
      </c>
      <c r="P57" s="100">
        <v>0.17</v>
      </c>
      <c r="Q57" s="100">
        <v>10</v>
      </c>
      <c r="R57" s="6"/>
      <c r="S57" s="6"/>
      <c r="T57" s="156"/>
      <c r="U57" s="6"/>
    </row>
    <row r="58" spans="1:21" customFormat="1">
      <c r="A58" s="201" t="s">
        <v>578</v>
      </c>
      <c r="B58" s="100">
        <v>4.53</v>
      </c>
      <c r="C58" s="100">
        <v>11.94</v>
      </c>
      <c r="D58" s="100">
        <v>9.86</v>
      </c>
      <c r="E58" s="100">
        <v>5.84</v>
      </c>
      <c r="F58" s="100">
        <v>2.02</v>
      </c>
      <c r="G58" s="100">
        <v>9.27</v>
      </c>
      <c r="H58" s="100">
        <v>3.93</v>
      </c>
      <c r="I58" s="100">
        <v>3.75</v>
      </c>
      <c r="J58" s="100">
        <v>0.93</v>
      </c>
      <c r="K58" s="100">
        <v>214.27</v>
      </c>
      <c r="L58" s="100">
        <v>27.76</v>
      </c>
      <c r="M58" s="100">
        <v>79.78</v>
      </c>
      <c r="N58" s="100">
        <v>112.9</v>
      </c>
      <c r="O58" s="100">
        <v>0</v>
      </c>
      <c r="P58" s="100">
        <v>0.15</v>
      </c>
      <c r="Q58" s="100">
        <v>10</v>
      </c>
      <c r="R58" s="6"/>
      <c r="S58" s="6"/>
      <c r="T58" s="156"/>
      <c r="U58" s="6"/>
    </row>
    <row r="59" spans="1:21" customFormat="1">
      <c r="A59" s="201" t="s">
        <v>579</v>
      </c>
      <c r="B59" s="100">
        <v>4.3499999999999996</v>
      </c>
      <c r="C59" s="100">
        <v>11.95</v>
      </c>
      <c r="D59" s="100">
        <v>9.73</v>
      </c>
      <c r="E59" s="100">
        <v>4.9400000000000004</v>
      </c>
      <c r="F59" s="100">
        <v>2.02</v>
      </c>
      <c r="G59" s="100">
        <v>9.27</v>
      </c>
      <c r="H59" s="100">
        <v>3.93</v>
      </c>
      <c r="I59" s="100">
        <v>3.74</v>
      </c>
      <c r="J59" s="100">
        <v>0.7</v>
      </c>
      <c r="K59" s="100">
        <v>214.84</v>
      </c>
      <c r="L59" s="100">
        <v>26.52</v>
      </c>
      <c r="M59" s="100">
        <v>83.37</v>
      </c>
      <c r="N59" s="100">
        <v>143.4</v>
      </c>
      <c r="O59" s="100">
        <v>0</v>
      </c>
      <c r="P59" s="100">
        <v>0.16</v>
      </c>
      <c r="Q59" s="100">
        <v>10</v>
      </c>
      <c r="R59" s="6"/>
      <c r="S59" s="6"/>
      <c r="T59" s="156"/>
      <c r="U59" s="6"/>
    </row>
    <row r="60" spans="1:21" customFormat="1">
      <c r="A60" s="201" t="s">
        <v>580</v>
      </c>
      <c r="B60" s="100">
        <v>4.2699999999999996</v>
      </c>
      <c r="C60" s="100">
        <v>11.77</v>
      </c>
      <c r="D60" s="100">
        <v>9.57</v>
      </c>
      <c r="E60" s="100">
        <v>5.94</v>
      </c>
      <c r="F60" s="100">
        <v>2.14</v>
      </c>
      <c r="G60" s="100">
        <v>9.27</v>
      </c>
      <c r="H60" s="100">
        <v>3.93</v>
      </c>
      <c r="I60" s="100">
        <v>3.62</v>
      </c>
      <c r="J60" s="100">
        <v>0.76</v>
      </c>
      <c r="K60" s="100">
        <v>216.32</v>
      </c>
      <c r="L60" s="100">
        <v>27.2</v>
      </c>
      <c r="M60" s="100">
        <v>83.12</v>
      </c>
      <c r="N60" s="100">
        <v>291.8</v>
      </c>
      <c r="O60" s="100">
        <v>0</v>
      </c>
      <c r="P60" s="100">
        <v>0.16</v>
      </c>
      <c r="Q60" s="100">
        <v>10</v>
      </c>
      <c r="R60" s="6"/>
      <c r="S60" s="6"/>
      <c r="T60" s="156"/>
      <c r="U60" s="6"/>
    </row>
    <row r="61" spans="1:21" customFormat="1">
      <c r="A61" s="201" t="s">
        <v>581</v>
      </c>
      <c r="B61" s="100">
        <v>4.0999999999999996</v>
      </c>
      <c r="C61" s="100">
        <v>11.7</v>
      </c>
      <c r="D61" s="100">
        <v>9.4</v>
      </c>
      <c r="E61" s="100">
        <v>5.93</v>
      </c>
      <c r="F61" s="100">
        <v>2.2599999999999998</v>
      </c>
      <c r="G61" s="100">
        <v>9.4499999999999993</v>
      </c>
      <c r="H61" s="100">
        <v>4.13</v>
      </c>
      <c r="I61" s="100">
        <v>3.52</v>
      </c>
      <c r="J61" s="100">
        <v>0.93</v>
      </c>
      <c r="K61" s="100">
        <v>208.65</v>
      </c>
      <c r="L61" s="100">
        <v>27.87</v>
      </c>
      <c r="M61" s="100">
        <v>78.44</v>
      </c>
      <c r="N61" s="100">
        <v>243.4</v>
      </c>
      <c r="O61" s="100">
        <v>0</v>
      </c>
      <c r="P61" s="100">
        <v>0.16</v>
      </c>
      <c r="Q61" s="100">
        <v>10</v>
      </c>
      <c r="R61" s="6"/>
      <c r="S61" s="6"/>
      <c r="T61" s="156"/>
      <c r="U61" s="6"/>
    </row>
    <row r="62" spans="1:21" customFormat="1">
      <c r="A62" s="201" t="s">
        <v>582</v>
      </c>
      <c r="B62" s="100">
        <v>4.01</v>
      </c>
      <c r="C62" s="100">
        <v>11.69</v>
      </c>
      <c r="D62" s="100">
        <v>9.32</v>
      </c>
      <c r="E62" s="100">
        <v>6.12</v>
      </c>
      <c r="F62" s="100">
        <v>2.08</v>
      </c>
      <c r="G62" s="100">
        <v>10.6</v>
      </c>
      <c r="H62" s="100">
        <v>5.21</v>
      </c>
      <c r="I62" s="100">
        <v>3.46</v>
      </c>
      <c r="J62" s="100">
        <v>0.91</v>
      </c>
      <c r="K62" s="100">
        <v>206.24</v>
      </c>
      <c r="L62" s="100">
        <v>27.71</v>
      </c>
      <c r="M62" s="100">
        <v>76.930000000000007</v>
      </c>
      <c r="N62" s="100">
        <v>211.1</v>
      </c>
      <c r="O62" s="100">
        <v>0</v>
      </c>
      <c r="P62" s="100">
        <v>0.15</v>
      </c>
      <c r="Q62" s="100">
        <v>10</v>
      </c>
      <c r="R62" s="6"/>
      <c r="S62" s="6"/>
      <c r="T62" s="156"/>
      <c r="U62" s="6"/>
    </row>
    <row r="63" spans="1:21" customFormat="1">
      <c r="A63" s="201" t="s">
        <v>583</v>
      </c>
      <c r="B63" s="100">
        <v>3.89</v>
      </c>
      <c r="C63" s="100">
        <v>11.69</v>
      </c>
      <c r="D63" s="100">
        <v>9.23</v>
      </c>
      <c r="E63" s="100">
        <v>6.3</v>
      </c>
      <c r="F63" s="100">
        <v>2.52</v>
      </c>
      <c r="G63" s="100">
        <v>10.6</v>
      </c>
      <c r="H63" s="100">
        <v>5.21</v>
      </c>
      <c r="I63" s="100">
        <v>3.43</v>
      </c>
      <c r="J63" s="100">
        <v>0.81</v>
      </c>
      <c r="K63" s="100">
        <v>198.26</v>
      </c>
      <c r="L63" s="100">
        <v>27.52</v>
      </c>
      <c r="M63" s="100">
        <v>73.98</v>
      </c>
      <c r="N63" s="100">
        <v>118.9</v>
      </c>
      <c r="O63" s="100">
        <v>0</v>
      </c>
      <c r="P63" s="100">
        <v>0.15</v>
      </c>
      <c r="Q63" s="100">
        <v>10</v>
      </c>
      <c r="R63" s="6"/>
      <c r="S63" s="6"/>
      <c r="T63" s="156"/>
      <c r="U63" s="6"/>
    </row>
    <row r="64" spans="1:21" customFormat="1">
      <c r="A64" s="201" t="s">
        <v>584</v>
      </c>
      <c r="B64" s="100">
        <v>3.81</v>
      </c>
      <c r="C64" s="100">
        <v>11.71</v>
      </c>
      <c r="D64" s="100">
        <v>9.17</v>
      </c>
      <c r="E64" s="100">
        <v>6.08</v>
      </c>
      <c r="F64" s="100">
        <v>2.0699999999999998</v>
      </c>
      <c r="G64" s="100">
        <v>10.6</v>
      </c>
      <c r="H64" s="100">
        <v>5.21</v>
      </c>
      <c r="I64" s="100">
        <v>3.42</v>
      </c>
      <c r="J64" s="100">
        <v>0.92</v>
      </c>
      <c r="K64" s="100">
        <v>204.7</v>
      </c>
      <c r="L64" s="100">
        <v>27.44</v>
      </c>
      <c r="M64" s="100">
        <v>76.89</v>
      </c>
      <c r="N64" s="100">
        <v>154.1</v>
      </c>
      <c r="O64" s="100">
        <v>0</v>
      </c>
      <c r="P64" s="100">
        <v>0.15</v>
      </c>
      <c r="Q64" s="100">
        <v>10</v>
      </c>
      <c r="R64" s="6"/>
      <c r="S64" s="6"/>
      <c r="T64" s="156"/>
      <c r="U64" s="6"/>
    </row>
    <row r="65" spans="1:21" customFormat="1">
      <c r="A65" s="201" t="s">
        <v>585</v>
      </c>
      <c r="B65" s="100">
        <v>3.7</v>
      </c>
      <c r="C65" s="100">
        <v>11.72</v>
      </c>
      <c r="D65" s="100">
        <v>9.09</v>
      </c>
      <c r="E65" s="100">
        <v>6.2</v>
      </c>
      <c r="F65" s="100">
        <v>2.17</v>
      </c>
      <c r="G65" s="100">
        <v>10.54</v>
      </c>
      <c r="H65" s="100">
        <v>5.1100000000000003</v>
      </c>
      <c r="I65" s="100">
        <v>3.4</v>
      </c>
      <c r="J65" s="100">
        <v>0.66</v>
      </c>
      <c r="K65" s="100">
        <v>217.82</v>
      </c>
      <c r="L65" s="100">
        <v>27.13</v>
      </c>
      <c r="M65" s="100">
        <v>81.39</v>
      </c>
      <c r="N65" s="100">
        <v>136.9</v>
      </c>
      <c r="O65" s="100">
        <v>0</v>
      </c>
      <c r="P65" s="100">
        <v>0.14000000000000001</v>
      </c>
      <c r="Q65" s="100">
        <v>10</v>
      </c>
      <c r="R65" s="6"/>
      <c r="S65" s="6"/>
      <c r="T65" s="156"/>
      <c r="U65" s="6"/>
    </row>
    <row r="66" spans="1:21" customFormat="1">
      <c r="A66" s="201" t="s">
        <v>586</v>
      </c>
      <c r="B66" s="100">
        <v>3.6</v>
      </c>
      <c r="C66" s="100">
        <v>11.72</v>
      </c>
      <c r="D66" s="100">
        <v>9.01</v>
      </c>
      <c r="E66" s="100">
        <v>6.62</v>
      </c>
      <c r="F66" s="100">
        <v>2.14</v>
      </c>
      <c r="G66" s="100">
        <v>10.14</v>
      </c>
      <c r="H66" s="100">
        <v>4.6100000000000003</v>
      </c>
      <c r="I66" s="100">
        <v>3.38</v>
      </c>
      <c r="J66" s="100">
        <v>0.57999999999999996</v>
      </c>
      <c r="K66" s="100">
        <v>220.41</v>
      </c>
      <c r="L66" s="100">
        <v>27.91</v>
      </c>
      <c r="M66" s="100">
        <v>81.77</v>
      </c>
      <c r="N66" s="100">
        <v>210.3</v>
      </c>
      <c r="O66" s="100">
        <v>0</v>
      </c>
      <c r="P66" s="100">
        <v>0.15</v>
      </c>
      <c r="Q66" s="100">
        <v>10</v>
      </c>
      <c r="R66" s="6"/>
      <c r="S66" s="6"/>
      <c r="T66" s="156"/>
      <c r="U66" s="6"/>
    </row>
    <row r="67" spans="1:21" customFormat="1">
      <c r="A67" s="201" t="s">
        <v>587</v>
      </c>
      <c r="B67" s="100">
        <v>3.54</v>
      </c>
      <c r="C67" s="100">
        <v>11.7</v>
      </c>
      <c r="D67" s="100">
        <v>8.9499999999999993</v>
      </c>
      <c r="E67" s="100">
        <v>6.25</v>
      </c>
      <c r="F67" s="100">
        <v>2</v>
      </c>
      <c r="G67" s="100">
        <v>10.14</v>
      </c>
      <c r="H67" s="100">
        <v>4.6100000000000003</v>
      </c>
      <c r="I67" s="100">
        <v>3.35</v>
      </c>
      <c r="J67" s="100">
        <v>0.69</v>
      </c>
      <c r="K67" s="100">
        <v>224.78</v>
      </c>
      <c r="L67" s="100">
        <v>28.29</v>
      </c>
      <c r="M67" s="100">
        <v>80.290000000000006</v>
      </c>
      <c r="N67" s="100">
        <v>145.69999999999999</v>
      </c>
      <c r="O67" s="100">
        <v>0</v>
      </c>
      <c r="P67" s="100">
        <v>0.14000000000000001</v>
      </c>
      <c r="Q67" s="100">
        <v>10</v>
      </c>
      <c r="R67" s="6"/>
      <c r="S67" s="6"/>
      <c r="T67" s="156"/>
      <c r="U67" s="6"/>
    </row>
    <row r="68" spans="1:21" customFormat="1">
      <c r="A68" s="201" t="s">
        <v>588</v>
      </c>
      <c r="B68" s="100">
        <v>3.53</v>
      </c>
      <c r="C68" s="100">
        <v>11.6</v>
      </c>
      <c r="D68" s="100">
        <v>8.89</v>
      </c>
      <c r="E68" s="100">
        <v>5.97</v>
      </c>
      <c r="F68" s="100">
        <v>2</v>
      </c>
      <c r="G68" s="100">
        <v>10.14</v>
      </c>
      <c r="H68" s="100">
        <v>4.6100000000000003</v>
      </c>
      <c r="I68" s="100">
        <v>3.37</v>
      </c>
      <c r="J68" s="100">
        <v>0.65</v>
      </c>
      <c r="K68" s="100">
        <v>218.21</v>
      </c>
      <c r="L68" s="100">
        <v>27.86</v>
      </c>
      <c r="M68" s="100">
        <v>79.77</v>
      </c>
      <c r="N68" s="100">
        <v>149.5</v>
      </c>
      <c r="O68" s="100">
        <v>0</v>
      </c>
      <c r="P68" s="100">
        <v>0.14000000000000001</v>
      </c>
      <c r="Q68" s="100">
        <v>10</v>
      </c>
      <c r="R68" s="6"/>
      <c r="S68" s="6"/>
      <c r="T68" s="156"/>
      <c r="U68" s="6"/>
    </row>
    <row r="69" spans="1:21" customFormat="1">
      <c r="A69" s="201" t="s">
        <v>589</v>
      </c>
      <c r="B69" s="100">
        <v>3.59</v>
      </c>
      <c r="C69" s="100">
        <v>11.62</v>
      </c>
      <c r="D69" s="100">
        <v>8.9499999999999993</v>
      </c>
      <c r="E69" s="100">
        <v>5.97</v>
      </c>
      <c r="F69" s="100">
        <v>2.2599999999999998</v>
      </c>
      <c r="G69" s="100">
        <v>10.37</v>
      </c>
      <c r="H69" s="100">
        <v>4.92</v>
      </c>
      <c r="I69" s="100">
        <v>3.35</v>
      </c>
      <c r="J69" s="100">
        <v>0.64</v>
      </c>
      <c r="K69" s="100">
        <v>209.84</v>
      </c>
      <c r="L69" s="100">
        <v>27.97</v>
      </c>
      <c r="M69" s="100">
        <v>79.03</v>
      </c>
      <c r="N69" s="100">
        <v>154.69999999999999</v>
      </c>
      <c r="O69" s="100">
        <v>0</v>
      </c>
      <c r="P69" s="100">
        <v>0.12</v>
      </c>
      <c r="Q69" s="100">
        <v>10</v>
      </c>
      <c r="R69" s="6"/>
      <c r="S69" s="6"/>
      <c r="T69" s="156"/>
      <c r="U69" s="6"/>
    </row>
    <row r="70" spans="1:21" customFormat="1">
      <c r="A70" s="201" t="s">
        <v>590</v>
      </c>
      <c r="B70" s="100">
        <v>3.65</v>
      </c>
      <c r="C70" s="100">
        <v>11.64</v>
      </c>
      <c r="D70" s="100">
        <v>9.01</v>
      </c>
      <c r="E70" s="100">
        <v>5.61</v>
      </c>
      <c r="F70" s="100">
        <v>2.65</v>
      </c>
      <c r="G70" s="100">
        <v>11.85</v>
      </c>
      <c r="H70" s="100">
        <v>6.5</v>
      </c>
      <c r="I70" s="100">
        <v>3.35</v>
      </c>
      <c r="J70" s="100">
        <v>0.69</v>
      </c>
      <c r="K70" s="100">
        <v>209.57</v>
      </c>
      <c r="L70" s="100">
        <v>28.01</v>
      </c>
      <c r="M70" s="100">
        <v>79.260000000000005</v>
      </c>
      <c r="N70" s="100">
        <v>118.9</v>
      </c>
      <c r="O70" s="100">
        <v>0</v>
      </c>
      <c r="P70" s="100">
        <v>0.1</v>
      </c>
      <c r="Q70" s="100">
        <v>10</v>
      </c>
      <c r="R70" s="6"/>
      <c r="S70" s="6"/>
      <c r="T70" s="156"/>
      <c r="U70" s="6"/>
    </row>
    <row r="71" spans="1:21" customFormat="1">
      <c r="A71" s="201" t="s">
        <v>591</v>
      </c>
      <c r="B71" s="100">
        <v>3.71</v>
      </c>
      <c r="C71" s="100">
        <v>11.79</v>
      </c>
      <c r="D71" s="100">
        <v>9.14</v>
      </c>
      <c r="E71" s="100">
        <v>5.53</v>
      </c>
      <c r="F71" s="100">
        <v>2.4</v>
      </c>
      <c r="G71" s="100">
        <v>11.85</v>
      </c>
      <c r="H71" s="100">
        <v>6.5</v>
      </c>
      <c r="I71" s="100">
        <v>3.49</v>
      </c>
      <c r="J71" s="100">
        <v>0.56000000000000005</v>
      </c>
      <c r="K71" s="100">
        <v>213.09</v>
      </c>
      <c r="L71" s="100">
        <v>27.71</v>
      </c>
      <c r="M71" s="100">
        <v>80.680000000000007</v>
      </c>
      <c r="N71" s="100">
        <v>100.8</v>
      </c>
      <c r="O71" s="100">
        <v>0</v>
      </c>
      <c r="P71" s="100">
        <v>0.1</v>
      </c>
      <c r="Q71" s="100">
        <v>10</v>
      </c>
      <c r="R71" s="6"/>
      <c r="S71" s="6"/>
      <c r="T71" s="156"/>
      <c r="U71" s="6"/>
    </row>
    <row r="72" spans="1:21" customFormat="1">
      <c r="A72" s="201" t="s">
        <v>592</v>
      </c>
      <c r="B72" s="100">
        <v>3.77</v>
      </c>
      <c r="C72" s="100">
        <v>11.76</v>
      </c>
      <c r="D72" s="100">
        <v>9.17</v>
      </c>
      <c r="E72" s="100">
        <v>5.2</v>
      </c>
      <c r="F72" s="100">
        <v>2.9</v>
      </c>
      <c r="G72" s="100">
        <v>11.85</v>
      </c>
      <c r="H72" s="100">
        <v>6.5</v>
      </c>
      <c r="I72" s="100">
        <v>3.49</v>
      </c>
      <c r="J72" s="100">
        <v>0.57999999999999996</v>
      </c>
      <c r="K72" s="100">
        <v>223.67</v>
      </c>
      <c r="L72" s="100">
        <v>27.8</v>
      </c>
      <c r="M72" s="100">
        <v>82.06</v>
      </c>
      <c r="N72" s="100">
        <v>98.5</v>
      </c>
      <c r="O72" s="100">
        <v>0</v>
      </c>
      <c r="P72" s="100">
        <v>0.1</v>
      </c>
      <c r="Q72" s="100">
        <v>10</v>
      </c>
      <c r="R72" s="6"/>
      <c r="S72" s="6"/>
      <c r="T72" s="156"/>
      <c r="U72" s="6"/>
    </row>
    <row r="73" spans="1:21" customFormat="1">
      <c r="A73" s="201" t="s">
        <v>593</v>
      </c>
      <c r="B73" s="100">
        <v>3.84</v>
      </c>
      <c r="C73" s="100">
        <v>11.79</v>
      </c>
      <c r="D73" s="100">
        <v>9.24</v>
      </c>
      <c r="E73" s="100">
        <v>5.43</v>
      </c>
      <c r="F73" s="100">
        <v>2.4900000000000002</v>
      </c>
      <c r="G73" s="100">
        <v>11.98</v>
      </c>
      <c r="H73" s="100">
        <v>6.39</v>
      </c>
      <c r="I73" s="100">
        <v>3.44</v>
      </c>
      <c r="J73" s="100">
        <v>0.59</v>
      </c>
      <c r="K73" s="100">
        <v>227.21</v>
      </c>
      <c r="L73" s="100">
        <v>27.77</v>
      </c>
      <c r="M73" s="100">
        <v>81.569999999999993</v>
      </c>
      <c r="N73" s="100">
        <v>99.9</v>
      </c>
      <c r="O73" s="100">
        <v>0</v>
      </c>
      <c r="P73" s="100">
        <v>0.12</v>
      </c>
      <c r="Q73" s="100">
        <v>10</v>
      </c>
      <c r="R73" s="6"/>
      <c r="S73" s="6"/>
      <c r="T73" s="156"/>
      <c r="U73" s="6"/>
    </row>
    <row r="74" spans="1:21" customFormat="1">
      <c r="A74" s="201" t="s">
        <v>594</v>
      </c>
      <c r="B74" s="100">
        <v>3.84</v>
      </c>
      <c r="C74" s="100">
        <v>11.65</v>
      </c>
      <c r="D74" s="100">
        <v>9.17</v>
      </c>
      <c r="E74" s="100">
        <v>5.37</v>
      </c>
      <c r="F74" s="100">
        <v>3.12</v>
      </c>
      <c r="G74" s="100">
        <v>12.78</v>
      </c>
      <c r="H74" s="100">
        <v>5.87</v>
      </c>
      <c r="I74" s="100">
        <v>3.47</v>
      </c>
      <c r="J74" s="100">
        <v>0.6</v>
      </c>
      <c r="K74" s="100">
        <v>230.8</v>
      </c>
      <c r="L74" s="100">
        <v>28.02</v>
      </c>
      <c r="M74" s="100">
        <v>82.2</v>
      </c>
      <c r="N74" s="100">
        <v>90.2</v>
      </c>
      <c r="O74" s="100">
        <v>0</v>
      </c>
      <c r="P74" s="100">
        <v>0.11</v>
      </c>
      <c r="Q74" s="100">
        <v>10</v>
      </c>
      <c r="R74" s="6"/>
      <c r="S74" s="6"/>
      <c r="T74" s="156"/>
      <c r="U74" s="6"/>
    </row>
    <row r="75" spans="1:21" customFormat="1">
      <c r="A75" s="201" t="s">
        <v>595</v>
      </c>
      <c r="B75" s="100">
        <v>3.83</v>
      </c>
      <c r="C75" s="100">
        <v>11.68</v>
      </c>
      <c r="D75" s="100">
        <v>9.18</v>
      </c>
      <c r="E75" s="100">
        <v>5.31</v>
      </c>
      <c r="F75" s="100">
        <v>3.33</v>
      </c>
      <c r="G75" s="100">
        <v>12.78</v>
      </c>
      <c r="H75" s="100">
        <v>5.87</v>
      </c>
      <c r="I75" s="100">
        <v>3.45</v>
      </c>
      <c r="J75" s="100">
        <v>0.65</v>
      </c>
      <c r="K75" s="100">
        <v>232.33</v>
      </c>
      <c r="L75" s="100">
        <v>27.85</v>
      </c>
      <c r="M75" s="100">
        <v>81.84</v>
      </c>
      <c r="N75" s="100">
        <v>69</v>
      </c>
      <c r="O75" s="100">
        <v>0</v>
      </c>
      <c r="P75" s="100">
        <v>0.09</v>
      </c>
      <c r="Q75" s="100">
        <v>10</v>
      </c>
      <c r="R75" s="6"/>
      <c r="S75" s="6"/>
      <c r="T75" s="156"/>
      <c r="U75" s="6"/>
    </row>
    <row r="76" spans="1:21" customFormat="1">
      <c r="A76" s="201" t="s">
        <v>596</v>
      </c>
      <c r="B76" s="100">
        <v>3.88</v>
      </c>
      <c r="C76" s="100">
        <v>11.75</v>
      </c>
      <c r="D76" s="100">
        <v>9.25</v>
      </c>
      <c r="E76" s="100">
        <v>5.0599999999999996</v>
      </c>
      <c r="F76" s="100">
        <v>3.11</v>
      </c>
      <c r="G76" s="100">
        <v>12.78</v>
      </c>
      <c r="H76" s="100">
        <v>5.87</v>
      </c>
      <c r="I76" s="100">
        <v>3.51</v>
      </c>
      <c r="J76" s="100">
        <v>0.66</v>
      </c>
      <c r="K76" s="100">
        <v>215.91</v>
      </c>
      <c r="L76" s="100">
        <v>27.59</v>
      </c>
      <c r="M76" s="100">
        <v>80.39</v>
      </c>
      <c r="N76" s="100">
        <v>54.7</v>
      </c>
      <c r="O76" s="100">
        <v>0</v>
      </c>
      <c r="P76" s="100">
        <v>0.1</v>
      </c>
      <c r="Q76" s="100">
        <v>10</v>
      </c>
      <c r="R76" s="6"/>
      <c r="S76" s="6"/>
      <c r="T76" s="156"/>
      <c r="U76" s="6"/>
    </row>
    <row r="77" spans="1:21" customFormat="1">
      <c r="A77" s="201" t="s">
        <v>597</v>
      </c>
      <c r="B77" s="100">
        <v>3.92</v>
      </c>
      <c r="C77" s="100">
        <v>11.7</v>
      </c>
      <c r="D77" s="100">
        <v>9.26</v>
      </c>
      <c r="E77" s="100">
        <v>5.12</v>
      </c>
      <c r="F77" s="100">
        <v>2.96</v>
      </c>
      <c r="G77" s="100">
        <v>12.5</v>
      </c>
      <c r="H77" s="100">
        <v>6.4</v>
      </c>
      <c r="I77" s="100">
        <v>3.45</v>
      </c>
      <c r="J77" s="100">
        <v>0.59</v>
      </c>
      <c r="K77" s="100">
        <v>215.66</v>
      </c>
      <c r="L77" s="100">
        <v>27.43</v>
      </c>
      <c r="M77" s="100">
        <v>81.11</v>
      </c>
      <c r="N77" s="100">
        <v>43.2</v>
      </c>
      <c r="O77" s="100">
        <v>0</v>
      </c>
      <c r="P77" s="100">
        <v>0.12</v>
      </c>
      <c r="Q77" s="100">
        <v>10</v>
      </c>
      <c r="R77" s="6"/>
      <c r="S77" s="6"/>
      <c r="T77" s="156"/>
      <c r="U77" s="6"/>
    </row>
    <row r="78" spans="1:21" customFormat="1">
      <c r="A78" s="201" t="s">
        <v>598</v>
      </c>
      <c r="B78" s="100">
        <v>3.93</v>
      </c>
      <c r="C78" s="100">
        <v>11.49</v>
      </c>
      <c r="D78" s="100">
        <v>9.16</v>
      </c>
      <c r="E78" s="100">
        <v>5.2</v>
      </c>
      <c r="F78" s="100">
        <v>3.51</v>
      </c>
      <c r="G78" s="100">
        <v>10.66</v>
      </c>
      <c r="H78" s="100">
        <v>9.34</v>
      </c>
      <c r="I78" s="100">
        <v>3.46</v>
      </c>
      <c r="J78" s="100">
        <v>0.35</v>
      </c>
      <c r="K78" s="100">
        <v>222.71</v>
      </c>
      <c r="L78" s="100">
        <v>27.35</v>
      </c>
      <c r="M78" s="100">
        <v>84.37</v>
      </c>
      <c r="N78" s="100">
        <v>34.6</v>
      </c>
      <c r="O78" s="100">
        <v>0</v>
      </c>
      <c r="P78" s="100">
        <v>0.1</v>
      </c>
      <c r="Q78" s="100">
        <v>10</v>
      </c>
      <c r="R78" s="6"/>
      <c r="S78" s="6"/>
      <c r="T78" s="156"/>
      <c r="U78" s="6"/>
    </row>
    <row r="79" spans="1:21" customFormat="1">
      <c r="A79" s="201" t="s">
        <v>599</v>
      </c>
      <c r="B79" s="100">
        <v>4.05</v>
      </c>
      <c r="C79" s="100">
        <v>11.44</v>
      </c>
      <c r="D79" s="100">
        <v>9.2200000000000006</v>
      </c>
      <c r="E79" s="100">
        <v>5.08</v>
      </c>
      <c r="F79" s="100">
        <v>2.4</v>
      </c>
      <c r="G79" s="100">
        <v>10.66</v>
      </c>
      <c r="H79" s="100">
        <v>9.34</v>
      </c>
      <c r="I79" s="100">
        <v>3.52</v>
      </c>
      <c r="J79" s="100">
        <v>0.52</v>
      </c>
      <c r="K79" s="100">
        <v>214.27</v>
      </c>
      <c r="L79" s="100">
        <v>27.13</v>
      </c>
      <c r="M79" s="100">
        <v>80.959999999999994</v>
      </c>
      <c r="N79" s="100">
        <v>23.9</v>
      </c>
      <c r="O79" s="100">
        <v>0</v>
      </c>
      <c r="P79" s="100">
        <v>0.1</v>
      </c>
      <c r="Q79" s="100">
        <v>10</v>
      </c>
      <c r="R79" s="6"/>
      <c r="S79" s="6"/>
      <c r="T79" s="156"/>
      <c r="U79" s="6"/>
    </row>
    <row r="80" spans="1:21" customFormat="1">
      <c r="A80" s="201" t="s">
        <v>600</v>
      </c>
      <c r="B80" s="100">
        <v>4.1399999999999997</v>
      </c>
      <c r="C80" s="100">
        <v>11.71</v>
      </c>
      <c r="D80" s="100">
        <v>9.44</v>
      </c>
      <c r="E80" s="100">
        <v>5.27</v>
      </c>
      <c r="F80" s="100">
        <v>2.04</v>
      </c>
      <c r="G80" s="100">
        <v>10.66</v>
      </c>
      <c r="H80" s="100">
        <v>9.34</v>
      </c>
      <c r="I80" s="100">
        <v>3.45</v>
      </c>
      <c r="J80" s="100">
        <v>0.38</v>
      </c>
      <c r="K80" s="100">
        <v>210.56</v>
      </c>
      <c r="L80" s="100">
        <v>26.92</v>
      </c>
      <c r="M80" s="100">
        <v>81.09</v>
      </c>
      <c r="N80" s="100">
        <v>13.3</v>
      </c>
      <c r="O80" s="100">
        <v>0</v>
      </c>
      <c r="P80" s="100">
        <v>0.12</v>
      </c>
      <c r="Q80" s="100">
        <v>10</v>
      </c>
      <c r="R80" s="6"/>
      <c r="S80" s="6"/>
      <c r="T80" s="156"/>
      <c r="U80" s="6"/>
    </row>
    <row r="81" spans="1:21" customFormat="1">
      <c r="A81" s="201" t="s">
        <v>601</v>
      </c>
      <c r="B81" s="100">
        <v>4.1900000000000004</v>
      </c>
      <c r="C81" s="100">
        <v>11.46</v>
      </c>
      <c r="D81" s="100">
        <v>9.35</v>
      </c>
      <c r="E81" s="100">
        <v>4.21</v>
      </c>
      <c r="F81" s="100">
        <v>3.15</v>
      </c>
      <c r="G81" s="100">
        <v>11.04</v>
      </c>
      <c r="H81" s="100">
        <v>9.2899999999999991</v>
      </c>
      <c r="I81" s="100">
        <v>3.47</v>
      </c>
      <c r="J81" s="100">
        <v>0.31</v>
      </c>
      <c r="K81" s="100">
        <v>213.68</v>
      </c>
      <c r="L81" s="100">
        <v>26.71</v>
      </c>
      <c r="M81" s="100">
        <v>82.89</v>
      </c>
      <c r="N81" s="100">
        <v>5.7</v>
      </c>
      <c r="O81" s="100">
        <v>0</v>
      </c>
      <c r="P81" s="100">
        <v>0.11</v>
      </c>
      <c r="Q81" s="100">
        <v>10</v>
      </c>
      <c r="R81" s="6"/>
      <c r="S81" s="6"/>
      <c r="T81" s="156"/>
      <c r="U81" s="6"/>
    </row>
    <row r="82" spans="1:21" customFormat="1">
      <c r="A82" s="201" t="s">
        <v>602</v>
      </c>
      <c r="B82" s="100">
        <v>4.3099999999999996</v>
      </c>
      <c r="C82" s="100">
        <v>11.45</v>
      </c>
      <c r="D82" s="100">
        <v>9.44</v>
      </c>
      <c r="E82" s="100">
        <v>4.92</v>
      </c>
      <c r="F82" s="100">
        <v>3.11</v>
      </c>
      <c r="G82" s="100">
        <v>13.57</v>
      </c>
      <c r="H82" s="100">
        <v>9</v>
      </c>
      <c r="I82" s="100">
        <v>3.56</v>
      </c>
      <c r="J82" s="100">
        <v>0.28999999999999998</v>
      </c>
      <c r="K82" s="100">
        <v>210.65</v>
      </c>
      <c r="L82" s="100">
        <v>26.44</v>
      </c>
      <c r="M82" s="100">
        <v>83.84</v>
      </c>
      <c r="N82" s="100">
        <v>3</v>
      </c>
      <c r="O82" s="100">
        <v>0</v>
      </c>
      <c r="P82" s="100">
        <v>0.11</v>
      </c>
      <c r="Q82" s="100">
        <v>10</v>
      </c>
      <c r="R82" s="6"/>
      <c r="S82" s="6"/>
      <c r="T82" s="156"/>
      <c r="U82" s="6"/>
    </row>
    <row r="83" spans="1:21" customFormat="1">
      <c r="A83" s="201" t="s">
        <v>603</v>
      </c>
      <c r="B83" s="100">
        <v>4.53</v>
      </c>
      <c r="C83" s="100">
        <v>11.74</v>
      </c>
      <c r="D83" s="100">
        <v>9.77</v>
      </c>
      <c r="E83" s="100">
        <v>5.15</v>
      </c>
      <c r="F83" s="100">
        <v>2.02</v>
      </c>
      <c r="G83" s="100">
        <v>13.57</v>
      </c>
      <c r="H83" s="100">
        <v>9</v>
      </c>
      <c r="I83" s="100">
        <v>3.46</v>
      </c>
      <c r="J83" s="100">
        <v>0.25</v>
      </c>
      <c r="K83" s="100">
        <v>214.14</v>
      </c>
      <c r="L83" s="100">
        <v>26.41</v>
      </c>
      <c r="M83" s="100">
        <v>84.37</v>
      </c>
      <c r="N83" s="100">
        <v>2.2999999999999998</v>
      </c>
      <c r="O83" s="100">
        <v>0</v>
      </c>
      <c r="P83" s="100">
        <v>0.13</v>
      </c>
      <c r="Q83" s="100">
        <v>10</v>
      </c>
      <c r="R83" s="6"/>
      <c r="S83" s="6"/>
      <c r="T83" s="156"/>
      <c r="U83" s="6"/>
    </row>
    <row r="84" spans="1:21" customFormat="1">
      <c r="A84" s="201" t="s">
        <v>604</v>
      </c>
      <c r="B84" s="100">
        <v>4.67</v>
      </c>
      <c r="C84" s="100">
        <v>11.54</v>
      </c>
      <c r="D84" s="100">
        <v>9.7799999999999994</v>
      </c>
      <c r="E84" s="100">
        <v>4.95</v>
      </c>
      <c r="F84" s="100">
        <v>2</v>
      </c>
      <c r="G84" s="100">
        <v>13.57</v>
      </c>
      <c r="H84" s="100">
        <v>9</v>
      </c>
      <c r="I84" s="100">
        <v>3.48</v>
      </c>
      <c r="J84" s="100">
        <v>0.25</v>
      </c>
      <c r="K84" s="100">
        <v>213.5</v>
      </c>
      <c r="L84" s="100">
        <v>26.29</v>
      </c>
      <c r="M84" s="100">
        <v>85.17</v>
      </c>
      <c r="N84" s="100">
        <v>2.2999999999999998</v>
      </c>
      <c r="O84" s="100">
        <v>0</v>
      </c>
      <c r="P84" s="100">
        <v>0.11</v>
      </c>
      <c r="Q84" s="100">
        <v>10</v>
      </c>
      <c r="R84" s="6"/>
      <c r="S84" s="6"/>
      <c r="T84" s="156"/>
      <c r="U84" s="6"/>
    </row>
    <row r="85" spans="1:21" customFormat="1">
      <c r="A85" s="201" t="s">
        <v>605</v>
      </c>
      <c r="B85" s="100">
        <v>4.7300000000000004</v>
      </c>
      <c r="C85" s="100">
        <v>11.49</v>
      </c>
      <c r="D85" s="100">
        <v>9.7899999999999991</v>
      </c>
      <c r="E85" s="100">
        <v>4.5199999999999996</v>
      </c>
      <c r="F85" s="100">
        <v>2.4300000000000002</v>
      </c>
      <c r="G85" s="100">
        <v>13.66</v>
      </c>
      <c r="H85" s="100">
        <v>9.11</v>
      </c>
      <c r="I85" s="100">
        <v>3.53</v>
      </c>
      <c r="J85" s="100">
        <v>0.28999999999999998</v>
      </c>
      <c r="K85" s="100">
        <v>214.21</v>
      </c>
      <c r="L85" s="100">
        <v>26.18</v>
      </c>
      <c r="M85" s="100">
        <v>84.52</v>
      </c>
      <c r="N85" s="100">
        <v>2.2000000000000002</v>
      </c>
      <c r="O85" s="100">
        <v>0</v>
      </c>
      <c r="P85" s="100">
        <v>0.11</v>
      </c>
      <c r="Q85" s="100">
        <v>10</v>
      </c>
      <c r="R85" s="6"/>
      <c r="S85" s="6"/>
      <c r="T85" s="156"/>
      <c r="U85" s="6"/>
    </row>
    <row r="86" spans="1:21" customFormat="1">
      <c r="A86" s="201" t="s">
        <v>606</v>
      </c>
      <c r="B86" s="100">
        <v>4.93</v>
      </c>
      <c r="C86" s="100">
        <v>11.79</v>
      </c>
      <c r="D86" s="100">
        <v>10.11</v>
      </c>
      <c r="E86" s="100">
        <v>5.17</v>
      </c>
      <c r="F86" s="100">
        <v>2</v>
      </c>
      <c r="G86" s="100">
        <v>14.26</v>
      </c>
      <c r="H86" s="100">
        <v>9.65</v>
      </c>
      <c r="I86" s="100">
        <v>3.49</v>
      </c>
      <c r="J86" s="100">
        <v>0.12</v>
      </c>
      <c r="K86" s="100">
        <v>188.5</v>
      </c>
      <c r="L86" s="100">
        <v>25.97</v>
      </c>
      <c r="M86" s="100">
        <v>85.77</v>
      </c>
      <c r="N86" s="100">
        <v>2.2999999999999998</v>
      </c>
      <c r="O86" s="100">
        <v>0</v>
      </c>
      <c r="P86" s="100">
        <v>0.13</v>
      </c>
      <c r="Q86" s="100">
        <v>10</v>
      </c>
      <c r="R86" s="6"/>
      <c r="S86" s="6"/>
      <c r="T86" s="156"/>
      <c r="U86" s="6"/>
    </row>
    <row r="87" spans="1:21" customFormat="1">
      <c r="A87" s="201" t="s">
        <v>607</v>
      </c>
      <c r="B87" s="100">
        <v>5.03</v>
      </c>
      <c r="C87" s="100">
        <v>11.68</v>
      </c>
      <c r="D87" s="100">
        <v>10.14</v>
      </c>
      <c r="E87" s="100">
        <v>5.62</v>
      </c>
      <c r="F87" s="100">
        <v>2</v>
      </c>
      <c r="G87" s="100">
        <v>14.26</v>
      </c>
      <c r="H87" s="100">
        <v>9.65</v>
      </c>
      <c r="I87" s="100">
        <v>3.53</v>
      </c>
      <c r="J87" s="100">
        <v>0.09</v>
      </c>
      <c r="K87" s="100">
        <v>163.59</v>
      </c>
      <c r="L87" s="100">
        <v>25.8</v>
      </c>
      <c r="M87" s="100">
        <v>86.56</v>
      </c>
      <c r="N87" s="100">
        <v>2.2000000000000002</v>
      </c>
      <c r="O87" s="100">
        <v>0</v>
      </c>
      <c r="P87" s="100">
        <v>0.14000000000000001</v>
      </c>
      <c r="Q87" s="100">
        <v>10</v>
      </c>
      <c r="R87" s="6"/>
      <c r="S87" s="6"/>
      <c r="T87" s="156"/>
      <c r="U87" s="6"/>
    </row>
    <row r="88" spans="1:21" customFormat="1">
      <c r="A88" s="201" t="s">
        <v>608</v>
      </c>
      <c r="B88" s="100">
        <v>4.99</v>
      </c>
      <c r="C88" s="100">
        <v>11.67</v>
      </c>
      <c r="D88" s="100">
        <v>10.09</v>
      </c>
      <c r="E88" s="100">
        <v>5.4</v>
      </c>
      <c r="F88" s="100">
        <v>2</v>
      </c>
      <c r="G88" s="100">
        <v>14.26</v>
      </c>
      <c r="H88" s="100">
        <v>9.65</v>
      </c>
      <c r="I88" s="100">
        <v>3.55</v>
      </c>
      <c r="J88" s="100">
        <v>0.1</v>
      </c>
      <c r="K88" s="100">
        <v>161.94</v>
      </c>
      <c r="L88" s="100">
        <v>25.78</v>
      </c>
      <c r="M88" s="100">
        <v>84.43</v>
      </c>
      <c r="N88" s="100">
        <v>2.1</v>
      </c>
      <c r="O88" s="100">
        <v>0</v>
      </c>
      <c r="P88" s="100">
        <v>0.14000000000000001</v>
      </c>
      <c r="Q88" s="100">
        <v>10</v>
      </c>
      <c r="R88" s="6"/>
      <c r="S88" s="6"/>
      <c r="T88" s="156"/>
      <c r="U88" s="6"/>
    </row>
    <row r="89" spans="1:21" customFormat="1">
      <c r="A89" s="201" t="s">
        <v>609</v>
      </c>
      <c r="B89" s="100">
        <v>4.92</v>
      </c>
      <c r="C89" s="100">
        <v>11.62</v>
      </c>
      <c r="D89" s="100">
        <v>10.02</v>
      </c>
      <c r="E89" s="100">
        <v>5.3</v>
      </c>
      <c r="F89" s="100">
        <v>2</v>
      </c>
      <c r="G89" s="100">
        <v>13.77</v>
      </c>
      <c r="H89" s="100">
        <v>9.43</v>
      </c>
      <c r="I89" s="100">
        <v>3.52</v>
      </c>
      <c r="J89" s="100">
        <v>0.1</v>
      </c>
      <c r="K89" s="100">
        <v>169.53</v>
      </c>
      <c r="L89" s="100">
        <v>25.76</v>
      </c>
      <c r="M89" s="100">
        <v>83.67</v>
      </c>
      <c r="N89" s="100">
        <v>2.1</v>
      </c>
      <c r="O89" s="100">
        <v>0</v>
      </c>
      <c r="P89" s="100">
        <v>0.15</v>
      </c>
      <c r="Q89" s="100">
        <v>10</v>
      </c>
      <c r="R89" s="6"/>
      <c r="S89" s="6"/>
      <c r="T89" s="156"/>
      <c r="U89" s="6"/>
    </row>
    <row r="90" spans="1:21" customFormat="1">
      <c r="A90" s="201" t="s">
        <v>610</v>
      </c>
      <c r="B90" s="100">
        <v>4.8899999999999997</v>
      </c>
      <c r="C90" s="100">
        <v>11.64</v>
      </c>
      <c r="D90" s="100">
        <v>10</v>
      </c>
      <c r="E90" s="100">
        <v>5.55</v>
      </c>
      <c r="F90" s="100">
        <v>2</v>
      </c>
      <c r="G90" s="100">
        <v>10.59</v>
      </c>
      <c r="H90" s="100">
        <v>8.33</v>
      </c>
      <c r="I90" s="100">
        <v>3.5</v>
      </c>
      <c r="J90" s="100">
        <v>0.06</v>
      </c>
      <c r="K90" s="100">
        <v>149.5</v>
      </c>
      <c r="L90" s="100">
        <v>25.8</v>
      </c>
      <c r="M90" s="100">
        <v>83.03</v>
      </c>
      <c r="N90" s="100">
        <v>2.1</v>
      </c>
      <c r="O90" s="100">
        <v>0</v>
      </c>
      <c r="P90" s="100">
        <v>0.15</v>
      </c>
      <c r="Q90" s="100">
        <v>10</v>
      </c>
      <c r="R90" s="6"/>
      <c r="S90" s="6"/>
      <c r="T90" s="156"/>
      <c r="U90" s="6"/>
    </row>
    <row r="91" spans="1:21" customFormat="1">
      <c r="A91" s="201" t="s">
        <v>611</v>
      </c>
      <c r="B91" s="100">
        <v>4.87</v>
      </c>
      <c r="C91" s="100">
        <v>11.58</v>
      </c>
      <c r="D91" s="100">
        <v>9.9600000000000009</v>
      </c>
      <c r="E91" s="100">
        <v>5.64</v>
      </c>
      <c r="F91" s="100">
        <v>2</v>
      </c>
      <c r="G91" s="100">
        <v>10.59</v>
      </c>
      <c r="H91" s="100">
        <v>8.33</v>
      </c>
      <c r="I91" s="100">
        <v>3.47</v>
      </c>
      <c r="J91" s="100">
        <v>0.09</v>
      </c>
      <c r="K91" s="100">
        <v>194.39</v>
      </c>
      <c r="L91" s="100">
        <v>25.64</v>
      </c>
      <c r="M91" s="100">
        <v>83.21</v>
      </c>
      <c r="N91" s="100">
        <v>2.1</v>
      </c>
      <c r="O91" s="100">
        <v>0</v>
      </c>
      <c r="P91" s="100">
        <v>0.16</v>
      </c>
      <c r="Q91" s="100">
        <v>10</v>
      </c>
      <c r="R91" s="6"/>
      <c r="S91" s="6"/>
      <c r="T91" s="156"/>
      <c r="U91" s="6"/>
    </row>
    <row r="92" spans="1:21" customFormat="1">
      <c r="A92" s="201" t="s">
        <v>612</v>
      </c>
      <c r="B92" s="100">
        <v>4.8600000000000003</v>
      </c>
      <c r="C92" s="100">
        <v>11.54</v>
      </c>
      <c r="D92" s="100">
        <v>9.93</v>
      </c>
      <c r="E92" s="100">
        <v>5.77</v>
      </c>
      <c r="F92" s="100">
        <v>2.0099999999999998</v>
      </c>
      <c r="G92" s="100">
        <v>10.59</v>
      </c>
      <c r="H92" s="100">
        <v>8.33</v>
      </c>
      <c r="I92" s="100">
        <v>3.44</v>
      </c>
      <c r="J92" s="100">
        <v>0.22</v>
      </c>
      <c r="K92" s="100">
        <v>218.01</v>
      </c>
      <c r="L92" s="100">
        <v>25.5</v>
      </c>
      <c r="M92" s="100">
        <v>86.29</v>
      </c>
      <c r="N92" s="100">
        <v>2.1</v>
      </c>
      <c r="O92" s="100">
        <v>0</v>
      </c>
      <c r="P92" s="100">
        <v>0.15</v>
      </c>
      <c r="Q92" s="100">
        <v>10</v>
      </c>
      <c r="R92" s="6"/>
      <c r="S92" s="6"/>
      <c r="T92" s="156"/>
      <c r="U92" s="6"/>
    </row>
    <row r="93" spans="1:21" customFormat="1">
      <c r="A93" s="201" t="s">
        <v>613</v>
      </c>
      <c r="B93" s="100">
        <v>4.88</v>
      </c>
      <c r="C93" s="100">
        <v>11.47</v>
      </c>
      <c r="D93" s="100">
        <v>9.9</v>
      </c>
      <c r="E93" s="100">
        <v>5.71</v>
      </c>
      <c r="F93" s="100">
        <v>2</v>
      </c>
      <c r="G93" s="100">
        <v>10.81</v>
      </c>
      <c r="H93" s="100">
        <v>8.15</v>
      </c>
      <c r="I93" s="100">
        <v>3.44</v>
      </c>
      <c r="J93" s="100">
        <v>0.28000000000000003</v>
      </c>
      <c r="K93" s="100">
        <v>218.77</v>
      </c>
      <c r="L93" s="100">
        <v>25.46</v>
      </c>
      <c r="M93" s="100">
        <v>85.79</v>
      </c>
      <c r="N93" s="100">
        <v>2.1</v>
      </c>
      <c r="O93" s="100">
        <v>0</v>
      </c>
      <c r="P93" s="100">
        <v>0.16</v>
      </c>
      <c r="Q93" s="100">
        <v>10</v>
      </c>
      <c r="R93" s="6"/>
      <c r="S93" s="6"/>
      <c r="T93" s="156"/>
      <c r="U93" s="6"/>
    </row>
    <row r="94" spans="1:21" customFormat="1">
      <c r="A94" s="201" t="s">
        <v>614</v>
      </c>
      <c r="B94" s="100">
        <v>4.9000000000000004</v>
      </c>
      <c r="C94" s="100">
        <v>11.45</v>
      </c>
      <c r="D94" s="100">
        <v>9.91</v>
      </c>
      <c r="E94" s="100">
        <v>5.6</v>
      </c>
      <c r="F94" s="100">
        <v>2</v>
      </c>
      <c r="G94" s="100">
        <v>12.22</v>
      </c>
      <c r="H94" s="100">
        <v>7.18</v>
      </c>
      <c r="I94" s="100">
        <v>3.45</v>
      </c>
      <c r="J94" s="100">
        <v>0.22</v>
      </c>
      <c r="K94" s="100">
        <v>214.48</v>
      </c>
      <c r="L94" s="100">
        <v>25.42</v>
      </c>
      <c r="M94" s="100">
        <v>85.32</v>
      </c>
      <c r="N94" s="100">
        <v>2.1</v>
      </c>
      <c r="O94" s="100">
        <v>0</v>
      </c>
      <c r="P94" s="100">
        <v>0.16</v>
      </c>
      <c r="Q94" s="100">
        <v>10</v>
      </c>
      <c r="R94" s="6"/>
      <c r="S94" s="6"/>
      <c r="T94" s="156"/>
      <c r="U94" s="6"/>
    </row>
    <row r="95" spans="1:21" customFormat="1">
      <c r="A95" s="201" t="s">
        <v>615</v>
      </c>
      <c r="B95" s="100">
        <v>4.92</v>
      </c>
      <c r="C95" s="100">
        <v>11.44</v>
      </c>
      <c r="D95" s="100">
        <v>9.92</v>
      </c>
      <c r="E95" s="100">
        <v>5.99</v>
      </c>
      <c r="F95" s="100">
        <v>2</v>
      </c>
      <c r="G95" s="100">
        <v>12.22</v>
      </c>
      <c r="H95" s="100">
        <v>7.18</v>
      </c>
      <c r="I95" s="100">
        <v>3.44</v>
      </c>
      <c r="J95" s="100">
        <v>0.32</v>
      </c>
      <c r="K95" s="100">
        <v>214.89</v>
      </c>
      <c r="L95" s="100">
        <v>25.31</v>
      </c>
      <c r="M95" s="100">
        <v>84.66</v>
      </c>
      <c r="N95" s="100">
        <v>2.1</v>
      </c>
      <c r="O95" s="100">
        <v>0</v>
      </c>
      <c r="P95" s="100">
        <v>0.16</v>
      </c>
      <c r="Q95" s="100">
        <v>10</v>
      </c>
      <c r="R95" s="6"/>
      <c r="S95" s="6"/>
      <c r="T95" s="156"/>
      <c r="U95" s="6"/>
    </row>
    <row r="96" spans="1:21" customFormat="1">
      <c r="A96" s="201" t="s">
        <v>616</v>
      </c>
      <c r="B96" s="100">
        <v>4.9400000000000004</v>
      </c>
      <c r="C96" s="100">
        <v>11.4</v>
      </c>
      <c r="D96" s="100">
        <v>9.92</v>
      </c>
      <c r="E96" s="100">
        <v>5.93</v>
      </c>
      <c r="F96" s="100">
        <v>2.0299999999999998</v>
      </c>
      <c r="G96" s="100">
        <v>12.22</v>
      </c>
      <c r="H96" s="100">
        <v>7.18</v>
      </c>
      <c r="I96" s="100">
        <v>3.45</v>
      </c>
      <c r="J96" s="100">
        <v>0.27</v>
      </c>
      <c r="K96" s="100">
        <v>214.85</v>
      </c>
      <c r="L96" s="100">
        <v>25.27</v>
      </c>
      <c r="M96" s="100">
        <v>84.9</v>
      </c>
      <c r="N96" s="100">
        <v>2.1</v>
      </c>
      <c r="O96" s="100">
        <v>0</v>
      </c>
      <c r="P96" s="100">
        <v>0.16</v>
      </c>
      <c r="Q96" s="100">
        <v>10</v>
      </c>
      <c r="R96" s="6"/>
      <c r="S96" s="6"/>
      <c r="T96" s="156"/>
      <c r="U96" s="6"/>
    </row>
    <row r="97" spans="1:28" customFormat="1">
      <c r="A97" s="201" t="s">
        <v>617</v>
      </c>
      <c r="B97" s="100">
        <v>4.9000000000000004</v>
      </c>
      <c r="C97" s="100">
        <v>11.35</v>
      </c>
      <c r="D97" s="100">
        <v>9.86</v>
      </c>
      <c r="E97" s="100">
        <v>5.99</v>
      </c>
      <c r="F97" s="100">
        <v>2</v>
      </c>
      <c r="G97" s="100">
        <v>12.55</v>
      </c>
      <c r="H97" s="100">
        <v>6.86</v>
      </c>
      <c r="I97" s="100">
        <v>3.45</v>
      </c>
      <c r="J97" s="100">
        <v>0.31</v>
      </c>
      <c r="K97" s="100">
        <v>214.38</v>
      </c>
      <c r="L97" s="100">
        <v>25.23</v>
      </c>
      <c r="M97" s="100">
        <v>84.66</v>
      </c>
      <c r="N97" s="100">
        <v>2.1</v>
      </c>
      <c r="O97" s="100">
        <v>0</v>
      </c>
      <c r="P97" s="100">
        <v>0.17</v>
      </c>
      <c r="Q97" s="100">
        <v>10</v>
      </c>
      <c r="R97" s="6"/>
      <c r="S97" s="6"/>
      <c r="T97" s="156"/>
      <c r="U97" s="6"/>
    </row>
    <row r="98" spans="1:28" customFormat="1">
      <c r="A98" s="201" t="s">
        <v>618</v>
      </c>
      <c r="B98" s="100">
        <v>4.93</v>
      </c>
      <c r="C98" s="100">
        <v>11.29</v>
      </c>
      <c r="D98" s="100">
        <v>9.86</v>
      </c>
      <c r="E98" s="100">
        <v>5.85</v>
      </c>
      <c r="F98" s="100">
        <v>2</v>
      </c>
      <c r="G98" s="100">
        <v>14.7</v>
      </c>
      <c r="H98" s="100">
        <v>5.27</v>
      </c>
      <c r="I98" s="100">
        <v>3.51</v>
      </c>
      <c r="J98" s="100">
        <v>0.31</v>
      </c>
      <c r="K98" s="100">
        <v>216.09</v>
      </c>
      <c r="L98" s="100">
        <v>25.15</v>
      </c>
      <c r="M98" s="100">
        <v>84.83</v>
      </c>
      <c r="N98" s="100">
        <v>2.1</v>
      </c>
      <c r="O98" s="100">
        <v>0</v>
      </c>
      <c r="P98" s="100">
        <v>0.17</v>
      </c>
      <c r="Q98" s="100">
        <v>10</v>
      </c>
      <c r="R98" s="6"/>
      <c r="S98" s="6"/>
      <c r="T98" s="156"/>
      <c r="U98" s="6"/>
    </row>
    <row r="99" spans="1:28" customFormat="1">
      <c r="A99" s="201" t="s">
        <v>619</v>
      </c>
      <c r="B99" s="100">
        <v>4.9400000000000004</v>
      </c>
      <c r="C99" s="100">
        <v>11.21</v>
      </c>
      <c r="D99" s="100">
        <v>9.82</v>
      </c>
      <c r="E99" s="100">
        <v>6.01</v>
      </c>
      <c r="F99" s="100">
        <v>2</v>
      </c>
      <c r="G99" s="100">
        <v>14.7</v>
      </c>
      <c r="H99" s="100">
        <v>5.27</v>
      </c>
      <c r="I99" s="100">
        <v>3.55</v>
      </c>
      <c r="J99" s="100">
        <v>0.39</v>
      </c>
      <c r="K99" s="100">
        <v>212.52</v>
      </c>
      <c r="L99" s="100">
        <v>25.19</v>
      </c>
      <c r="M99" s="100">
        <v>83.65</v>
      </c>
      <c r="N99" s="100">
        <v>2.1</v>
      </c>
      <c r="O99" s="100">
        <v>0</v>
      </c>
      <c r="P99" s="100">
        <v>0.17</v>
      </c>
      <c r="Q99" s="100">
        <v>10</v>
      </c>
      <c r="R99" s="6"/>
      <c r="S99" s="6"/>
      <c r="T99" s="156"/>
      <c r="U99" s="6"/>
    </row>
    <row r="100" spans="1:28" customFormat="1">
      <c r="A100" s="201" t="s">
        <v>620</v>
      </c>
      <c r="B100" s="100">
        <v>4.9000000000000004</v>
      </c>
      <c r="C100" s="100">
        <v>11.29</v>
      </c>
      <c r="D100" s="100">
        <v>9.83</v>
      </c>
      <c r="E100" s="100">
        <v>5.87</v>
      </c>
      <c r="F100" s="100">
        <v>2.0299999999999998</v>
      </c>
      <c r="G100" s="100">
        <v>14.7</v>
      </c>
      <c r="H100" s="100">
        <v>5.27</v>
      </c>
      <c r="I100" s="100">
        <v>3.55</v>
      </c>
      <c r="J100" s="100">
        <v>0.39</v>
      </c>
      <c r="K100" s="100">
        <v>214.6</v>
      </c>
      <c r="L100" s="100">
        <v>25.19</v>
      </c>
      <c r="M100" s="100">
        <v>85.06</v>
      </c>
      <c r="N100" s="100">
        <v>2.1</v>
      </c>
      <c r="O100" s="100">
        <v>0</v>
      </c>
      <c r="P100" s="100">
        <v>0.17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621</v>
      </c>
      <c r="B101" s="100">
        <v>4.87</v>
      </c>
      <c r="C101" s="100">
        <v>11.23</v>
      </c>
      <c r="D101" s="100">
        <v>9.77</v>
      </c>
      <c r="E101" s="100">
        <v>5.82</v>
      </c>
      <c r="F101" s="100">
        <v>2.04</v>
      </c>
      <c r="G101" s="100">
        <v>14.34</v>
      </c>
      <c r="H101" s="100">
        <v>5.07</v>
      </c>
      <c r="I101" s="100">
        <v>3.49</v>
      </c>
      <c r="J101" s="100">
        <v>0.3</v>
      </c>
      <c r="K101" s="100">
        <v>216.15</v>
      </c>
      <c r="L101" s="100">
        <v>25.18</v>
      </c>
      <c r="M101" s="100">
        <v>85.61</v>
      </c>
      <c r="N101" s="100">
        <v>2.1</v>
      </c>
      <c r="O101" s="100">
        <v>0</v>
      </c>
      <c r="P101" s="100">
        <v>0.17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622</v>
      </c>
      <c r="B102" s="100">
        <v>4.8600000000000003</v>
      </c>
      <c r="C102" s="100">
        <v>11.21</v>
      </c>
      <c r="D102" s="100">
        <v>9.75</v>
      </c>
      <c r="E102" s="100">
        <v>5.99</v>
      </c>
      <c r="F102" s="100">
        <v>2</v>
      </c>
      <c r="G102" s="100">
        <v>12.04</v>
      </c>
      <c r="H102" s="100">
        <v>4.09</v>
      </c>
      <c r="I102" s="100">
        <v>3.49</v>
      </c>
      <c r="J102" s="100">
        <v>0.16</v>
      </c>
      <c r="K102" s="100">
        <v>202.81</v>
      </c>
      <c r="L102" s="100">
        <v>25.1</v>
      </c>
      <c r="M102" s="100">
        <v>82.99</v>
      </c>
      <c r="N102" s="100">
        <v>2.1</v>
      </c>
      <c r="O102" s="100">
        <v>0</v>
      </c>
      <c r="P102" s="100">
        <v>0.17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623</v>
      </c>
      <c r="B103" s="100">
        <v>4.84</v>
      </c>
      <c r="C103" s="100">
        <v>11.21</v>
      </c>
      <c r="D103" s="100">
        <v>9.74</v>
      </c>
      <c r="E103" s="100">
        <v>6.31</v>
      </c>
      <c r="F103" s="100">
        <v>2.02</v>
      </c>
      <c r="G103" s="100">
        <v>12.04</v>
      </c>
      <c r="H103" s="100">
        <v>4.09</v>
      </c>
      <c r="I103" s="100">
        <v>3.41</v>
      </c>
      <c r="J103" s="100">
        <v>0.14000000000000001</v>
      </c>
      <c r="K103" s="100">
        <v>208.38</v>
      </c>
      <c r="L103" s="100">
        <v>24.99</v>
      </c>
      <c r="M103" s="100">
        <v>85.15</v>
      </c>
      <c r="N103" s="100">
        <v>2.1</v>
      </c>
      <c r="O103" s="100">
        <v>0</v>
      </c>
      <c r="P103" s="100">
        <v>0.16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624</v>
      </c>
      <c r="B104" s="100">
        <v>4.87</v>
      </c>
      <c r="C104" s="100">
        <v>11.18</v>
      </c>
      <c r="D104" s="100">
        <v>9.74</v>
      </c>
      <c r="E104" s="100">
        <v>6.21</v>
      </c>
      <c r="F104" s="100">
        <v>2</v>
      </c>
      <c r="G104" s="100">
        <v>12.04</v>
      </c>
      <c r="H104" s="100">
        <v>4.09</v>
      </c>
      <c r="I104" s="100">
        <v>3.33</v>
      </c>
      <c r="J104" s="100">
        <v>0.18</v>
      </c>
      <c r="K104" s="100">
        <v>214.8</v>
      </c>
      <c r="L104" s="100">
        <v>24.94</v>
      </c>
      <c r="M104" s="100">
        <v>86.1</v>
      </c>
      <c r="N104" s="100">
        <v>2.1</v>
      </c>
      <c r="O104" s="100">
        <v>0</v>
      </c>
      <c r="P104" s="100">
        <v>0.16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3.53</v>
      </c>
      <c r="C106" s="158">
        <f>MIN(C9:C104)</f>
        <v>11.18</v>
      </c>
      <c r="D106" s="158">
        <f t="shared" ref="D106:Q106" si="0">MIN(D9:D104)</f>
        <v>8.89</v>
      </c>
      <c r="E106" s="158">
        <f t="shared" si="0"/>
        <v>4.21</v>
      </c>
      <c r="F106" s="158">
        <f t="shared" si="0"/>
        <v>2</v>
      </c>
      <c r="G106" s="158">
        <f t="shared" si="0"/>
        <v>6.43</v>
      </c>
      <c r="H106" s="158">
        <f t="shared" si="0"/>
        <v>3.24</v>
      </c>
      <c r="I106" s="158">
        <f t="shared" si="0"/>
        <v>3.33</v>
      </c>
      <c r="J106" s="158">
        <f t="shared" si="0"/>
        <v>0.06</v>
      </c>
      <c r="K106" s="158">
        <f t="shared" si="0"/>
        <v>149.5</v>
      </c>
      <c r="L106" s="158">
        <f t="shared" si="0"/>
        <v>24.49</v>
      </c>
      <c r="M106" s="158">
        <f t="shared" si="0"/>
        <v>73.98</v>
      </c>
      <c r="N106" s="158">
        <f t="shared" si="0"/>
        <v>2.1</v>
      </c>
      <c r="O106" s="158">
        <f t="shared" si="0"/>
        <v>0</v>
      </c>
      <c r="P106" s="158">
        <f t="shared" si="0"/>
        <v>0.09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7.24</v>
      </c>
      <c r="C107" s="157">
        <f t="shared" ref="C107:Q107" si="1">MAX(C9:C104)</f>
        <v>13.06</v>
      </c>
      <c r="D107" s="157">
        <f t="shared" si="1"/>
        <v>12.61</v>
      </c>
      <c r="E107" s="157">
        <f t="shared" si="1"/>
        <v>6.62</v>
      </c>
      <c r="F107" s="157">
        <f t="shared" si="1"/>
        <v>3.51</v>
      </c>
      <c r="G107" s="157">
        <f t="shared" si="1"/>
        <v>28.37</v>
      </c>
      <c r="H107" s="157">
        <f t="shared" si="1"/>
        <v>11.03</v>
      </c>
      <c r="I107" s="157">
        <f t="shared" si="1"/>
        <v>6.51</v>
      </c>
      <c r="J107" s="157">
        <f t="shared" si="1"/>
        <v>0.93</v>
      </c>
      <c r="K107" s="157">
        <f t="shared" si="1"/>
        <v>232.33</v>
      </c>
      <c r="L107" s="157">
        <f t="shared" si="1"/>
        <v>28.29</v>
      </c>
      <c r="M107" s="157">
        <f t="shared" si="1"/>
        <v>89.76</v>
      </c>
      <c r="N107" s="157">
        <f t="shared" si="1"/>
        <v>291.8</v>
      </c>
      <c r="O107" s="157">
        <f t="shared" si="1"/>
        <v>0.4</v>
      </c>
      <c r="P107" s="157">
        <f t="shared" si="1"/>
        <v>0.37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5.2809374999999976</v>
      </c>
      <c r="C108" s="158">
        <f t="shared" ref="C108:Q108" si="2">AVERAGE(C9:C104)</f>
        <v>11.686250000000006</v>
      </c>
      <c r="D108" s="158">
        <f t="shared" si="2"/>
        <v>10.340520833333334</v>
      </c>
      <c r="E108" s="158">
        <f t="shared" si="2"/>
        <v>5.4996875000000003</v>
      </c>
      <c r="F108" s="158">
        <f t="shared" si="2"/>
        <v>2.147812500000001</v>
      </c>
      <c r="G108" s="158">
        <f t="shared" si="2"/>
        <v>11.487291666666669</v>
      </c>
      <c r="H108" s="158">
        <f t="shared" si="2"/>
        <v>6.4445833333333331</v>
      </c>
      <c r="I108" s="158">
        <f t="shared" si="2"/>
        <v>4.2503125000000006</v>
      </c>
      <c r="J108" s="158">
        <f t="shared" si="2"/>
        <v>0.42572916666666677</v>
      </c>
      <c r="K108" s="158">
        <f t="shared" si="2"/>
        <v>214.41302083333326</v>
      </c>
      <c r="L108" s="158">
        <f t="shared" si="2"/>
        <v>26.014895833333341</v>
      </c>
      <c r="M108" s="158">
        <f t="shared" si="2"/>
        <v>83.981354166666691</v>
      </c>
      <c r="N108" s="158">
        <f t="shared" si="2"/>
        <v>56.57916666666673</v>
      </c>
      <c r="O108" s="158">
        <f t="shared" si="2"/>
        <v>3.5416666666666673E-2</v>
      </c>
      <c r="P108" s="158">
        <f t="shared" si="2"/>
        <v>0.18968750000000004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1.0875410004370478</v>
      </c>
      <c r="C109" s="158">
        <f t="shared" ref="C109:Q109" si="3">STDEV(C9:C104)</f>
        <v>0.40309917807956552</v>
      </c>
      <c r="D109" s="158">
        <f t="shared" si="3"/>
        <v>0.95651931478742436</v>
      </c>
      <c r="E109" s="158">
        <f t="shared" si="3"/>
        <v>0.47874936443547211</v>
      </c>
      <c r="F109" s="158">
        <f t="shared" si="3"/>
        <v>0.3324587924603703</v>
      </c>
      <c r="G109" s="158">
        <f t="shared" si="3"/>
        <v>3.8564975872351956</v>
      </c>
      <c r="H109" s="158">
        <f t="shared" si="3"/>
        <v>1.9966692879928898</v>
      </c>
      <c r="I109" s="158">
        <f t="shared" si="3"/>
        <v>0.94912087092823139</v>
      </c>
      <c r="J109" s="158">
        <f t="shared" si="3"/>
        <v>0.21276497926940105</v>
      </c>
      <c r="K109" s="158">
        <f t="shared" si="3"/>
        <v>14.314818462719463</v>
      </c>
      <c r="L109" s="158">
        <f t="shared" si="3"/>
        <v>1.178557543682925</v>
      </c>
      <c r="M109" s="158">
        <f t="shared" si="3"/>
        <v>3.6463621726726818</v>
      </c>
      <c r="N109" s="158">
        <f t="shared" si="3"/>
        <v>76.999358735083206</v>
      </c>
      <c r="O109" s="158">
        <f t="shared" si="3"/>
        <v>8.7031956220165338E-2</v>
      </c>
      <c r="P109" s="158">
        <f t="shared" si="3"/>
        <v>7.5064226885345933E-2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E15" sqref="E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625</v>
      </c>
      <c r="B9" s="100">
        <v>5.05</v>
      </c>
      <c r="C9" s="100">
        <v>10.93</v>
      </c>
      <c r="D9" s="100">
        <v>9.76</v>
      </c>
      <c r="E9" s="100">
        <v>6.12</v>
      </c>
      <c r="F9" s="100">
        <v>2.0099999999999998</v>
      </c>
      <c r="G9" s="100">
        <v>12.45</v>
      </c>
      <c r="H9" s="100">
        <v>3.9</v>
      </c>
      <c r="I9" s="100">
        <v>3.27</v>
      </c>
      <c r="J9" s="100">
        <v>0.28999999999999998</v>
      </c>
      <c r="K9" s="100">
        <v>210.53</v>
      </c>
      <c r="L9" s="100">
        <v>24.98</v>
      </c>
      <c r="M9" s="100">
        <v>84.55</v>
      </c>
      <c r="N9" s="100">
        <v>2.1</v>
      </c>
      <c r="O9" s="100">
        <v>0</v>
      </c>
      <c r="P9" s="100">
        <v>0.16</v>
      </c>
      <c r="Q9" s="100">
        <v>10</v>
      </c>
      <c r="R9" s="6"/>
      <c r="S9" s="6"/>
      <c r="T9" s="156"/>
      <c r="U9" s="6"/>
    </row>
    <row r="10" spans="1:21" customFormat="1">
      <c r="A10" s="201" t="s">
        <v>626</v>
      </c>
      <c r="B10" s="100">
        <v>5.0999999999999996</v>
      </c>
      <c r="C10" s="100">
        <v>11.03</v>
      </c>
      <c r="D10" s="100">
        <v>9.85</v>
      </c>
      <c r="E10" s="100">
        <v>6.12</v>
      </c>
      <c r="F10" s="100">
        <v>2</v>
      </c>
      <c r="G10" s="100">
        <v>15.11</v>
      </c>
      <c r="H10" s="100">
        <v>2.94</v>
      </c>
      <c r="I10" s="100">
        <v>3.23</v>
      </c>
      <c r="J10" s="100">
        <v>0.27</v>
      </c>
      <c r="K10" s="100">
        <v>212.93</v>
      </c>
      <c r="L10" s="100">
        <v>25.04</v>
      </c>
      <c r="M10" s="100">
        <v>85.27</v>
      </c>
      <c r="N10" s="100">
        <v>2</v>
      </c>
      <c r="O10" s="100">
        <v>0</v>
      </c>
      <c r="P10" s="100">
        <v>0.16</v>
      </c>
      <c r="Q10" s="100">
        <v>10</v>
      </c>
      <c r="R10" s="6"/>
      <c r="S10" s="6"/>
      <c r="T10" s="156"/>
      <c r="U10" s="6"/>
    </row>
    <row r="11" spans="1:21" customFormat="1">
      <c r="A11" s="201" t="s">
        <v>627</v>
      </c>
      <c r="B11" s="100">
        <v>5.14</v>
      </c>
      <c r="C11" s="100">
        <v>11.05</v>
      </c>
      <c r="D11" s="100">
        <v>9.9</v>
      </c>
      <c r="E11" s="100">
        <v>6.11</v>
      </c>
      <c r="F11" s="100">
        <v>2</v>
      </c>
      <c r="G11" s="100">
        <v>15.11</v>
      </c>
      <c r="H11" s="100">
        <v>2.94</v>
      </c>
      <c r="I11" s="100">
        <v>3.3</v>
      </c>
      <c r="J11" s="100">
        <v>0.27</v>
      </c>
      <c r="K11" s="100">
        <v>217.45</v>
      </c>
      <c r="L11" s="100">
        <v>25</v>
      </c>
      <c r="M11" s="100">
        <v>86.05</v>
      </c>
      <c r="N11" s="100">
        <v>2.1</v>
      </c>
      <c r="O11" s="100">
        <v>0</v>
      </c>
      <c r="P11" s="100">
        <v>0.15</v>
      </c>
      <c r="Q11" s="100">
        <v>10</v>
      </c>
      <c r="R11" s="6"/>
      <c r="S11" s="6"/>
      <c r="T11" s="156"/>
      <c r="U11" s="6"/>
    </row>
    <row r="12" spans="1:21" customFormat="1">
      <c r="A12" s="201" t="s">
        <v>628</v>
      </c>
      <c r="B12" s="100">
        <v>5.29</v>
      </c>
      <c r="C12" s="100">
        <v>11.07</v>
      </c>
      <c r="D12" s="100">
        <v>10.029999999999999</v>
      </c>
      <c r="E12" s="100">
        <v>5.93</v>
      </c>
      <c r="F12" s="100">
        <v>2</v>
      </c>
      <c r="G12" s="100">
        <v>15.11</v>
      </c>
      <c r="H12" s="100">
        <v>2.94</v>
      </c>
      <c r="I12" s="100">
        <v>3.25</v>
      </c>
      <c r="J12" s="100">
        <v>0.31</v>
      </c>
      <c r="K12" s="100">
        <v>210.86</v>
      </c>
      <c r="L12" s="100">
        <v>24.93</v>
      </c>
      <c r="M12" s="100">
        <v>83.86</v>
      </c>
      <c r="N12" s="100">
        <v>2.1</v>
      </c>
      <c r="O12" s="100">
        <v>0</v>
      </c>
      <c r="P12" s="100">
        <v>0.13</v>
      </c>
      <c r="Q12" s="100">
        <v>10</v>
      </c>
      <c r="R12" s="6"/>
      <c r="S12" s="6"/>
      <c r="T12" s="156"/>
      <c r="U12" s="6"/>
    </row>
    <row r="13" spans="1:21" customFormat="1">
      <c r="A13" s="201" t="s">
        <v>629</v>
      </c>
      <c r="B13" s="100">
        <v>5.4</v>
      </c>
      <c r="C13" s="100">
        <v>11.22</v>
      </c>
      <c r="D13" s="100">
        <v>10.19</v>
      </c>
      <c r="E13" s="100">
        <v>5.4</v>
      </c>
      <c r="F13" s="100">
        <v>2</v>
      </c>
      <c r="G13" s="100">
        <v>15.2</v>
      </c>
      <c r="H13" s="100">
        <v>3.56</v>
      </c>
      <c r="I13" s="100">
        <v>3.28</v>
      </c>
      <c r="J13" s="100">
        <v>0.25</v>
      </c>
      <c r="K13" s="100">
        <v>211.98</v>
      </c>
      <c r="L13" s="100">
        <v>24.93</v>
      </c>
      <c r="M13" s="100">
        <v>84.98</v>
      </c>
      <c r="N13" s="100">
        <v>2.1</v>
      </c>
      <c r="O13" s="100">
        <v>0</v>
      </c>
      <c r="P13" s="100">
        <v>0.11</v>
      </c>
      <c r="Q13" s="100">
        <v>10</v>
      </c>
      <c r="R13" s="6"/>
      <c r="S13" s="6"/>
      <c r="T13" s="156"/>
      <c r="U13" s="6"/>
    </row>
    <row r="14" spans="1:21" customFormat="1">
      <c r="A14" s="201" t="s">
        <v>630</v>
      </c>
      <c r="B14" s="100">
        <v>5.65</v>
      </c>
      <c r="C14" s="100">
        <v>11.42</v>
      </c>
      <c r="D14" s="100">
        <v>10.5</v>
      </c>
      <c r="E14" s="100">
        <v>5.53</v>
      </c>
      <c r="F14" s="100">
        <v>2</v>
      </c>
      <c r="G14" s="100">
        <v>15.8</v>
      </c>
      <c r="H14" s="100">
        <v>7.02</v>
      </c>
      <c r="I14" s="100">
        <v>3.38</v>
      </c>
      <c r="J14" s="100">
        <v>0.2</v>
      </c>
      <c r="K14" s="100">
        <v>201.72</v>
      </c>
      <c r="L14" s="100">
        <v>24.89</v>
      </c>
      <c r="M14" s="100">
        <v>84.21</v>
      </c>
      <c r="N14" s="100">
        <v>2.1</v>
      </c>
      <c r="O14" s="100">
        <v>0</v>
      </c>
      <c r="P14" s="100">
        <v>0.13</v>
      </c>
      <c r="Q14" s="100">
        <v>10</v>
      </c>
      <c r="R14" s="6"/>
      <c r="S14" s="6"/>
      <c r="T14" s="156"/>
      <c r="U14" s="6"/>
    </row>
    <row r="15" spans="1:21" customFormat="1">
      <c r="A15" s="201" t="s">
        <v>631</v>
      </c>
      <c r="B15" s="100">
        <v>5.88</v>
      </c>
      <c r="C15" s="100">
        <v>11.39</v>
      </c>
      <c r="D15" s="100">
        <v>10.66</v>
      </c>
      <c r="E15" s="100">
        <v>5.72</v>
      </c>
      <c r="F15" s="100">
        <v>2</v>
      </c>
      <c r="G15" s="100">
        <v>15.8</v>
      </c>
      <c r="H15" s="100">
        <v>7.02</v>
      </c>
      <c r="I15" s="100">
        <v>3.34</v>
      </c>
      <c r="J15" s="100">
        <v>0.22</v>
      </c>
      <c r="K15" s="100">
        <v>206.18</v>
      </c>
      <c r="L15" s="100">
        <v>24.87</v>
      </c>
      <c r="M15" s="100">
        <v>83.48</v>
      </c>
      <c r="N15" s="100">
        <v>2.1</v>
      </c>
      <c r="O15" s="100">
        <v>0</v>
      </c>
      <c r="P15" s="100">
        <v>0.12</v>
      </c>
      <c r="Q15" s="100">
        <v>10</v>
      </c>
      <c r="R15" s="6"/>
      <c r="S15" s="6"/>
      <c r="T15" s="156"/>
      <c r="U15" s="6"/>
    </row>
    <row r="16" spans="1:21" customFormat="1">
      <c r="A16" s="201" t="s">
        <v>632</v>
      </c>
      <c r="B16" s="100">
        <v>5.99</v>
      </c>
      <c r="C16" s="100">
        <v>11.27</v>
      </c>
      <c r="D16" s="100">
        <v>10.69</v>
      </c>
      <c r="E16" s="100">
        <v>5.53</v>
      </c>
      <c r="F16" s="100">
        <v>2</v>
      </c>
      <c r="G16" s="100">
        <v>15.8</v>
      </c>
      <c r="H16" s="100">
        <v>7.02</v>
      </c>
      <c r="I16" s="100">
        <v>3.39</v>
      </c>
      <c r="J16" s="100">
        <v>0.16</v>
      </c>
      <c r="K16" s="100">
        <v>194.51</v>
      </c>
      <c r="L16" s="100">
        <v>24.79</v>
      </c>
      <c r="M16" s="100">
        <v>83.52</v>
      </c>
      <c r="N16" s="100">
        <v>2.1</v>
      </c>
      <c r="O16" s="100">
        <v>0</v>
      </c>
      <c r="P16" s="100">
        <v>0.12</v>
      </c>
      <c r="Q16" s="100">
        <v>10</v>
      </c>
      <c r="R16" s="6"/>
      <c r="S16" s="6"/>
      <c r="T16" s="156"/>
      <c r="U16" s="6"/>
    </row>
    <row r="17" spans="1:21" customFormat="1">
      <c r="A17" s="201" t="s">
        <v>633</v>
      </c>
      <c r="B17" s="100">
        <v>6.13</v>
      </c>
      <c r="C17" s="100">
        <v>11.38</v>
      </c>
      <c r="D17" s="100">
        <v>10.86</v>
      </c>
      <c r="E17" s="100">
        <v>4.37</v>
      </c>
      <c r="F17" s="100">
        <v>2.0299999999999998</v>
      </c>
      <c r="G17" s="100">
        <v>15.76</v>
      </c>
      <c r="H17" s="100">
        <v>7.28</v>
      </c>
      <c r="I17" s="100">
        <v>3.42</v>
      </c>
      <c r="J17" s="100">
        <v>0.1</v>
      </c>
      <c r="K17" s="100">
        <v>202.03</v>
      </c>
      <c r="L17" s="100">
        <v>24.72</v>
      </c>
      <c r="M17" s="100">
        <v>84.82</v>
      </c>
      <c r="N17" s="100">
        <v>2.1</v>
      </c>
      <c r="O17" s="100">
        <v>0</v>
      </c>
      <c r="P17" s="100">
        <v>0.14000000000000001</v>
      </c>
      <c r="Q17" s="100">
        <v>10</v>
      </c>
      <c r="R17" s="6"/>
      <c r="S17" s="6"/>
      <c r="T17" s="156"/>
      <c r="U17" s="6"/>
    </row>
    <row r="18" spans="1:21" customFormat="1">
      <c r="A18" s="201" t="s">
        <v>634</v>
      </c>
      <c r="B18" s="100">
        <v>6.28</v>
      </c>
      <c r="C18" s="100">
        <v>11.3</v>
      </c>
      <c r="D18" s="100">
        <v>10.95</v>
      </c>
      <c r="E18" s="100">
        <v>5.39</v>
      </c>
      <c r="F18" s="100">
        <v>2</v>
      </c>
      <c r="G18" s="100">
        <v>15.48</v>
      </c>
      <c r="H18" s="100">
        <v>8.6300000000000008</v>
      </c>
      <c r="I18" s="100">
        <v>3.42</v>
      </c>
      <c r="J18" s="100">
        <v>0.11</v>
      </c>
      <c r="K18" s="100">
        <v>196.49</v>
      </c>
      <c r="L18" s="100">
        <v>24.63</v>
      </c>
      <c r="M18" s="100">
        <v>84.27</v>
      </c>
      <c r="N18" s="100">
        <v>2.1</v>
      </c>
      <c r="O18" s="100">
        <v>0</v>
      </c>
      <c r="P18" s="100">
        <v>0.12</v>
      </c>
      <c r="Q18" s="100">
        <v>10</v>
      </c>
      <c r="R18" s="6"/>
      <c r="S18" s="6"/>
      <c r="T18" s="156"/>
      <c r="U18" s="6"/>
    </row>
    <row r="19" spans="1:21" customFormat="1">
      <c r="A19" s="201" t="s">
        <v>635</v>
      </c>
      <c r="B19" s="100">
        <v>6.46</v>
      </c>
      <c r="C19" s="100">
        <v>11.28</v>
      </c>
      <c r="D19" s="100">
        <v>11.07</v>
      </c>
      <c r="E19" s="100">
        <v>5.42</v>
      </c>
      <c r="F19" s="100">
        <v>2</v>
      </c>
      <c r="G19" s="100">
        <v>15.48</v>
      </c>
      <c r="H19" s="100">
        <v>8.6300000000000008</v>
      </c>
      <c r="I19" s="100">
        <v>3.46</v>
      </c>
      <c r="J19" s="100">
        <v>0.24</v>
      </c>
      <c r="K19" s="100">
        <v>215.61</v>
      </c>
      <c r="L19" s="100">
        <v>24.62</v>
      </c>
      <c r="M19" s="100">
        <v>85.24</v>
      </c>
      <c r="N19" s="100">
        <v>2.1</v>
      </c>
      <c r="O19" s="100">
        <v>0</v>
      </c>
      <c r="P19" s="100">
        <v>0.13</v>
      </c>
      <c r="Q19" s="100">
        <v>10</v>
      </c>
      <c r="R19" s="6"/>
      <c r="S19" s="6"/>
      <c r="T19" s="156"/>
      <c r="U19" s="6"/>
    </row>
    <row r="20" spans="1:21" customFormat="1">
      <c r="A20" s="201" t="s">
        <v>636</v>
      </c>
      <c r="B20" s="100">
        <v>6.59</v>
      </c>
      <c r="C20" s="100">
        <v>11.32</v>
      </c>
      <c r="D20" s="100">
        <v>11.2</v>
      </c>
      <c r="E20" s="100">
        <v>5.51</v>
      </c>
      <c r="F20" s="100">
        <v>2</v>
      </c>
      <c r="G20" s="100">
        <v>15.48</v>
      </c>
      <c r="H20" s="100">
        <v>8.6300000000000008</v>
      </c>
      <c r="I20" s="100">
        <v>3.36</v>
      </c>
      <c r="J20" s="100">
        <v>0.27</v>
      </c>
      <c r="K20" s="100">
        <v>219.37</v>
      </c>
      <c r="L20" s="100">
        <v>24.65</v>
      </c>
      <c r="M20" s="100">
        <v>86.59</v>
      </c>
      <c r="N20" s="100">
        <v>2.1</v>
      </c>
      <c r="O20" s="100">
        <v>0</v>
      </c>
      <c r="P20" s="100">
        <v>0.13</v>
      </c>
      <c r="Q20" s="100">
        <v>10</v>
      </c>
      <c r="R20" s="6"/>
      <c r="S20" s="6"/>
      <c r="T20" s="156"/>
      <c r="U20" s="6"/>
    </row>
    <row r="21" spans="1:21" customFormat="1">
      <c r="A21" s="201" t="s">
        <v>637</v>
      </c>
      <c r="B21" s="100">
        <v>6.65</v>
      </c>
      <c r="C21" s="100">
        <v>11.31</v>
      </c>
      <c r="D21" s="100">
        <v>11.24</v>
      </c>
      <c r="E21" s="100">
        <v>5.24</v>
      </c>
      <c r="F21" s="100">
        <v>2</v>
      </c>
      <c r="G21" s="100">
        <v>14.98</v>
      </c>
      <c r="H21" s="100">
        <v>8.2799999999999994</v>
      </c>
      <c r="I21" s="100">
        <v>3.41</v>
      </c>
      <c r="J21" s="100">
        <v>0.25</v>
      </c>
      <c r="K21" s="100">
        <v>217.37</v>
      </c>
      <c r="L21" s="100">
        <v>24.65</v>
      </c>
      <c r="M21" s="100">
        <v>86.54</v>
      </c>
      <c r="N21" s="100">
        <v>2.1</v>
      </c>
      <c r="O21" s="100">
        <v>0</v>
      </c>
      <c r="P21" s="100">
        <v>0.12</v>
      </c>
      <c r="Q21" s="100">
        <v>10</v>
      </c>
      <c r="R21" s="6"/>
      <c r="S21" s="6"/>
      <c r="T21" s="156"/>
      <c r="U21" s="6"/>
    </row>
    <row r="22" spans="1:21" customFormat="1">
      <c r="A22" s="201" t="s">
        <v>638</v>
      </c>
      <c r="B22" s="100">
        <v>6.79</v>
      </c>
      <c r="C22" s="100">
        <v>11.48</v>
      </c>
      <c r="D22" s="100">
        <v>11.45</v>
      </c>
      <c r="E22" s="100">
        <v>5.48</v>
      </c>
      <c r="F22" s="100">
        <v>2</v>
      </c>
      <c r="G22" s="100">
        <v>11.71</v>
      </c>
      <c r="H22" s="100">
        <v>6.53</v>
      </c>
      <c r="I22" s="100">
        <v>3.49</v>
      </c>
      <c r="J22" s="100">
        <v>0.18</v>
      </c>
      <c r="K22" s="100">
        <v>211.81</v>
      </c>
      <c r="L22" s="100">
        <v>24.54</v>
      </c>
      <c r="M22" s="100">
        <v>85.08</v>
      </c>
      <c r="N22" s="100">
        <v>2.1</v>
      </c>
      <c r="O22" s="100">
        <v>0</v>
      </c>
      <c r="P22" s="100">
        <v>0.13</v>
      </c>
      <c r="Q22" s="100">
        <v>10</v>
      </c>
      <c r="R22" s="6"/>
      <c r="S22" s="6"/>
      <c r="T22" s="156"/>
      <c r="U22" s="6"/>
    </row>
    <row r="23" spans="1:21" customFormat="1">
      <c r="A23" s="201" t="s">
        <v>639</v>
      </c>
      <c r="B23" s="100">
        <v>6.94</v>
      </c>
      <c r="C23" s="100">
        <v>11.38</v>
      </c>
      <c r="D23" s="100">
        <v>11.51</v>
      </c>
      <c r="E23" s="100">
        <v>5.6</v>
      </c>
      <c r="F23" s="100">
        <v>2</v>
      </c>
      <c r="G23" s="100">
        <v>11.71</v>
      </c>
      <c r="H23" s="100">
        <v>6.53</v>
      </c>
      <c r="I23" s="100">
        <v>3.43</v>
      </c>
      <c r="J23" s="100">
        <v>0.15</v>
      </c>
      <c r="K23" s="100">
        <v>210.32</v>
      </c>
      <c r="L23" s="100">
        <v>24.24</v>
      </c>
      <c r="M23" s="100">
        <v>83.59</v>
      </c>
      <c r="N23" s="100">
        <v>2.1</v>
      </c>
      <c r="O23" s="100">
        <v>0</v>
      </c>
      <c r="P23" s="100">
        <v>0.12</v>
      </c>
      <c r="Q23" s="100">
        <v>10</v>
      </c>
      <c r="R23" s="6"/>
      <c r="S23" s="6"/>
      <c r="T23" s="156"/>
      <c r="U23" s="6"/>
    </row>
    <row r="24" spans="1:21" customFormat="1">
      <c r="A24" s="201" t="s">
        <v>640</v>
      </c>
      <c r="B24" s="100">
        <v>7</v>
      </c>
      <c r="C24" s="100">
        <v>11.33</v>
      </c>
      <c r="D24" s="100">
        <v>11.53</v>
      </c>
      <c r="E24" s="100">
        <v>5.82</v>
      </c>
      <c r="F24" s="100">
        <v>2</v>
      </c>
      <c r="G24" s="100">
        <v>11.71</v>
      </c>
      <c r="H24" s="100">
        <v>6.53</v>
      </c>
      <c r="I24" s="100">
        <v>3.45</v>
      </c>
      <c r="J24" s="100">
        <v>0.1</v>
      </c>
      <c r="K24" s="100">
        <v>203.5</v>
      </c>
      <c r="L24" s="100">
        <v>24.45</v>
      </c>
      <c r="M24" s="100">
        <v>83.04</v>
      </c>
      <c r="N24" s="100">
        <v>2.1</v>
      </c>
      <c r="O24" s="100">
        <v>0</v>
      </c>
      <c r="P24" s="100">
        <v>0.13</v>
      </c>
      <c r="Q24" s="100">
        <v>10</v>
      </c>
      <c r="R24" s="6"/>
      <c r="S24" s="6"/>
      <c r="T24" s="156"/>
      <c r="U24" s="6"/>
    </row>
    <row r="25" spans="1:21" customFormat="1">
      <c r="A25" s="201" t="s">
        <v>641</v>
      </c>
      <c r="B25" s="100">
        <v>7.14</v>
      </c>
      <c r="C25" s="100">
        <v>11.42</v>
      </c>
      <c r="D25" s="100">
        <v>11.69</v>
      </c>
      <c r="E25" s="100">
        <v>5.79</v>
      </c>
      <c r="F25" s="100">
        <v>2</v>
      </c>
      <c r="G25" s="100">
        <v>11.71</v>
      </c>
      <c r="H25" s="100">
        <v>6.52</v>
      </c>
      <c r="I25" s="100">
        <v>3.33</v>
      </c>
      <c r="J25" s="100">
        <v>0.18</v>
      </c>
      <c r="K25" s="100">
        <v>209.78</v>
      </c>
      <c r="L25" s="100">
        <v>24.05</v>
      </c>
      <c r="M25" s="100">
        <v>84.25</v>
      </c>
      <c r="N25" s="100">
        <v>2.1</v>
      </c>
      <c r="O25" s="100">
        <v>0</v>
      </c>
      <c r="P25" s="100">
        <v>0.13</v>
      </c>
      <c r="Q25" s="100">
        <v>10</v>
      </c>
      <c r="R25" s="6"/>
      <c r="S25" s="6"/>
      <c r="T25" s="156"/>
      <c r="U25" s="6"/>
    </row>
    <row r="26" spans="1:21" customFormat="1">
      <c r="A26" s="201" t="s">
        <v>642</v>
      </c>
      <c r="B26" s="100">
        <v>7.24</v>
      </c>
      <c r="C26" s="100">
        <v>11.34</v>
      </c>
      <c r="D26" s="100">
        <v>11.73</v>
      </c>
      <c r="E26" s="100">
        <v>5.6</v>
      </c>
      <c r="F26" s="100">
        <v>2</v>
      </c>
      <c r="G26" s="100">
        <v>11.68</v>
      </c>
      <c r="H26" s="100">
        <v>6.48</v>
      </c>
      <c r="I26" s="100">
        <v>3.37</v>
      </c>
      <c r="J26" s="100">
        <v>0.17</v>
      </c>
      <c r="K26" s="100">
        <v>211.21</v>
      </c>
      <c r="L26" s="100">
        <v>24.07</v>
      </c>
      <c r="M26" s="100">
        <v>83.85</v>
      </c>
      <c r="N26" s="100">
        <v>2.1</v>
      </c>
      <c r="O26" s="100">
        <v>0</v>
      </c>
      <c r="P26" s="100">
        <v>0.13</v>
      </c>
      <c r="Q26" s="100">
        <v>10</v>
      </c>
      <c r="R26" s="6"/>
      <c r="S26" s="6"/>
      <c r="T26" s="156"/>
      <c r="U26" s="6"/>
    </row>
    <row r="27" spans="1:21" customFormat="1">
      <c r="A27" s="201" t="s">
        <v>643</v>
      </c>
      <c r="B27" s="100">
        <v>7.32</v>
      </c>
      <c r="C27" s="100">
        <v>11.51</v>
      </c>
      <c r="D27" s="100">
        <v>11.88</v>
      </c>
      <c r="E27" s="100">
        <v>5.82</v>
      </c>
      <c r="F27" s="100">
        <v>2</v>
      </c>
      <c r="G27" s="100">
        <v>11.68</v>
      </c>
      <c r="H27" s="100">
        <v>6.48</v>
      </c>
      <c r="I27" s="100">
        <v>3.39</v>
      </c>
      <c r="J27" s="100">
        <v>0.21</v>
      </c>
      <c r="K27" s="100">
        <v>211.2</v>
      </c>
      <c r="L27" s="100">
        <v>24.36</v>
      </c>
      <c r="M27" s="100">
        <v>83.13</v>
      </c>
      <c r="N27" s="100">
        <v>2.1</v>
      </c>
      <c r="O27" s="100">
        <v>0</v>
      </c>
      <c r="P27" s="100">
        <v>0.13</v>
      </c>
      <c r="Q27" s="100">
        <v>10</v>
      </c>
      <c r="R27" s="6"/>
      <c r="S27" s="6"/>
      <c r="T27" s="156"/>
      <c r="U27" s="6"/>
    </row>
    <row r="28" spans="1:21" customFormat="1">
      <c r="A28" s="201" t="s">
        <v>644</v>
      </c>
      <c r="B28" s="100">
        <v>7.42</v>
      </c>
      <c r="C28" s="100">
        <v>11.35</v>
      </c>
      <c r="D28" s="100">
        <v>11.88</v>
      </c>
      <c r="E28" s="100">
        <v>5.74</v>
      </c>
      <c r="F28" s="100">
        <v>2</v>
      </c>
      <c r="G28" s="100">
        <v>11.68</v>
      </c>
      <c r="H28" s="100">
        <v>6.48</v>
      </c>
      <c r="I28" s="100">
        <v>3.41</v>
      </c>
      <c r="J28" s="100">
        <v>0.17</v>
      </c>
      <c r="K28" s="100">
        <v>213.67</v>
      </c>
      <c r="L28" s="100">
        <v>24.28</v>
      </c>
      <c r="M28" s="100">
        <v>83.77</v>
      </c>
      <c r="N28" s="100">
        <v>2.1</v>
      </c>
      <c r="O28" s="100">
        <v>0</v>
      </c>
      <c r="P28" s="100">
        <v>0.11</v>
      </c>
      <c r="Q28" s="100">
        <v>10</v>
      </c>
      <c r="R28" s="6"/>
      <c r="S28" s="6"/>
      <c r="T28" s="156"/>
      <c r="U28" s="6"/>
    </row>
    <row r="29" spans="1:21" customFormat="1">
      <c r="A29" s="201" t="s">
        <v>645</v>
      </c>
      <c r="B29" s="100">
        <v>7.45</v>
      </c>
      <c r="C29" s="100">
        <v>11.43</v>
      </c>
      <c r="D29" s="100">
        <v>11.94</v>
      </c>
      <c r="E29" s="100">
        <v>5.6</v>
      </c>
      <c r="F29" s="100">
        <v>2</v>
      </c>
      <c r="G29" s="100">
        <v>12.13</v>
      </c>
      <c r="H29" s="100">
        <v>6.24</v>
      </c>
      <c r="I29" s="100">
        <v>3.46</v>
      </c>
      <c r="J29" s="100">
        <v>7.0000000000000007E-2</v>
      </c>
      <c r="K29" s="100">
        <v>209.53</v>
      </c>
      <c r="L29" s="100">
        <v>24.15</v>
      </c>
      <c r="M29" s="100">
        <v>84.6</v>
      </c>
      <c r="N29" s="100">
        <v>2.1</v>
      </c>
      <c r="O29" s="100">
        <v>0</v>
      </c>
      <c r="P29" s="100">
        <v>0.14000000000000001</v>
      </c>
      <c r="Q29" s="100">
        <v>10</v>
      </c>
      <c r="R29" s="6"/>
      <c r="S29" s="6"/>
      <c r="T29" s="156"/>
      <c r="U29" s="6"/>
    </row>
    <row r="30" spans="1:21" customFormat="1">
      <c r="A30" s="201" t="s">
        <v>646</v>
      </c>
      <c r="B30" s="100">
        <v>7.56</v>
      </c>
      <c r="C30" s="100">
        <v>11.56</v>
      </c>
      <c r="D30" s="100">
        <v>12.1</v>
      </c>
      <c r="E30" s="100">
        <v>5.95</v>
      </c>
      <c r="F30" s="100">
        <v>2</v>
      </c>
      <c r="G30" s="100">
        <v>15.06</v>
      </c>
      <c r="H30" s="100">
        <v>4.8499999999999996</v>
      </c>
      <c r="I30" s="100">
        <v>3.31</v>
      </c>
      <c r="J30" s="100">
        <v>7.0000000000000007E-2</v>
      </c>
      <c r="K30" s="100">
        <v>208.88</v>
      </c>
      <c r="L30" s="100">
        <v>24.18</v>
      </c>
      <c r="M30" s="100">
        <v>83.34</v>
      </c>
      <c r="N30" s="100">
        <v>2.1</v>
      </c>
      <c r="O30" s="100">
        <v>0</v>
      </c>
      <c r="P30" s="100">
        <v>0.14000000000000001</v>
      </c>
      <c r="Q30" s="100">
        <v>10</v>
      </c>
      <c r="R30" s="6"/>
      <c r="S30" s="6"/>
      <c r="T30" s="156"/>
      <c r="U30" s="6"/>
    </row>
    <row r="31" spans="1:21" customFormat="1">
      <c r="A31" s="201" t="s">
        <v>647</v>
      </c>
      <c r="B31" s="100">
        <v>7.5</v>
      </c>
      <c r="C31" s="100">
        <v>11.48</v>
      </c>
      <c r="D31" s="100">
        <v>12.02</v>
      </c>
      <c r="E31" s="100">
        <v>5.87</v>
      </c>
      <c r="F31" s="100">
        <v>2</v>
      </c>
      <c r="G31" s="100">
        <v>15.06</v>
      </c>
      <c r="H31" s="100">
        <v>4.8499999999999996</v>
      </c>
      <c r="I31" s="100">
        <v>3.34</v>
      </c>
      <c r="J31" s="100">
        <v>7.0000000000000007E-2</v>
      </c>
      <c r="K31" s="100">
        <v>204.21</v>
      </c>
      <c r="L31" s="100">
        <v>24.58</v>
      </c>
      <c r="M31" s="100">
        <v>84.81</v>
      </c>
      <c r="N31" s="100">
        <v>2.2999999999999998</v>
      </c>
      <c r="O31" s="100">
        <v>0</v>
      </c>
      <c r="P31" s="100">
        <v>0.15</v>
      </c>
      <c r="Q31" s="100">
        <v>10</v>
      </c>
      <c r="R31" s="6"/>
      <c r="S31" s="6"/>
      <c r="T31" s="156"/>
      <c r="U31" s="6"/>
    </row>
    <row r="32" spans="1:21" customFormat="1">
      <c r="A32" s="201" t="s">
        <v>648</v>
      </c>
      <c r="B32" s="100">
        <v>7.37</v>
      </c>
      <c r="C32" s="100">
        <v>11.44</v>
      </c>
      <c r="D32" s="100">
        <v>11.89</v>
      </c>
      <c r="E32" s="100">
        <v>5.88</v>
      </c>
      <c r="F32" s="100">
        <v>2</v>
      </c>
      <c r="G32" s="100">
        <v>15.06</v>
      </c>
      <c r="H32" s="100">
        <v>4.8499999999999996</v>
      </c>
      <c r="I32" s="100">
        <v>3.37</v>
      </c>
      <c r="J32" s="100">
        <v>0.08</v>
      </c>
      <c r="K32" s="100">
        <v>154.82</v>
      </c>
      <c r="L32" s="100">
        <v>24.28</v>
      </c>
      <c r="M32" s="100">
        <v>83.29</v>
      </c>
      <c r="N32" s="100">
        <v>3.7</v>
      </c>
      <c r="O32" s="100">
        <v>0</v>
      </c>
      <c r="P32" s="100">
        <v>0.15</v>
      </c>
      <c r="Q32" s="100">
        <v>10</v>
      </c>
      <c r="R32" s="6"/>
      <c r="S32" s="6"/>
      <c r="T32" s="156"/>
      <c r="U32" s="6"/>
    </row>
    <row r="33" spans="1:21" customFormat="1">
      <c r="A33" s="201" t="s">
        <v>649</v>
      </c>
      <c r="B33" s="100">
        <v>7.27</v>
      </c>
      <c r="C33" s="100">
        <v>11.38</v>
      </c>
      <c r="D33" s="100">
        <v>11.77</v>
      </c>
      <c r="E33" s="100">
        <v>5.89</v>
      </c>
      <c r="F33" s="100">
        <v>2</v>
      </c>
      <c r="G33" s="100">
        <v>14.57</v>
      </c>
      <c r="H33" s="100">
        <v>4.6500000000000004</v>
      </c>
      <c r="I33" s="100">
        <v>3.31</v>
      </c>
      <c r="J33" s="100">
        <v>0.2</v>
      </c>
      <c r="K33" s="100">
        <v>212.35</v>
      </c>
      <c r="L33" s="100">
        <v>24.21</v>
      </c>
      <c r="M33" s="100">
        <v>84.91</v>
      </c>
      <c r="N33" s="100">
        <v>6.5</v>
      </c>
      <c r="O33" s="100">
        <v>0</v>
      </c>
      <c r="P33" s="100">
        <v>0.15</v>
      </c>
      <c r="Q33" s="100">
        <v>10</v>
      </c>
      <c r="R33" s="6"/>
      <c r="S33" s="6"/>
      <c r="T33" s="156"/>
      <c r="U33" s="6"/>
    </row>
    <row r="34" spans="1:21" customFormat="1">
      <c r="A34" s="201" t="s">
        <v>650</v>
      </c>
      <c r="B34" s="100">
        <v>7.17</v>
      </c>
      <c r="C34" s="100">
        <v>11.38</v>
      </c>
      <c r="D34" s="100">
        <v>11.69</v>
      </c>
      <c r="E34" s="100">
        <v>5.92</v>
      </c>
      <c r="F34" s="100">
        <v>2</v>
      </c>
      <c r="G34" s="100">
        <v>11.4</v>
      </c>
      <c r="H34" s="100">
        <v>3.6</v>
      </c>
      <c r="I34" s="100">
        <v>3.27</v>
      </c>
      <c r="J34" s="100">
        <v>0.23</v>
      </c>
      <c r="K34" s="100">
        <v>212.17</v>
      </c>
      <c r="L34" s="100">
        <v>24.27</v>
      </c>
      <c r="M34" s="100">
        <v>83.77</v>
      </c>
      <c r="N34" s="100">
        <v>18</v>
      </c>
      <c r="O34" s="100">
        <v>0</v>
      </c>
      <c r="P34" s="100">
        <v>0.14000000000000001</v>
      </c>
      <c r="Q34" s="100">
        <v>10</v>
      </c>
      <c r="R34" s="6"/>
      <c r="S34" s="6"/>
      <c r="T34" s="156"/>
      <c r="U34" s="6"/>
    </row>
    <row r="35" spans="1:21" customFormat="1">
      <c r="A35" s="201" t="s">
        <v>651</v>
      </c>
      <c r="B35" s="100">
        <v>7.06</v>
      </c>
      <c r="C35" s="100">
        <v>11.36</v>
      </c>
      <c r="D35" s="100">
        <v>11.6</v>
      </c>
      <c r="E35" s="100">
        <v>6.04</v>
      </c>
      <c r="F35" s="100">
        <v>2</v>
      </c>
      <c r="G35" s="100">
        <v>11.4</v>
      </c>
      <c r="H35" s="100">
        <v>3.6</v>
      </c>
      <c r="I35" s="100">
        <v>3.22</v>
      </c>
      <c r="J35" s="100">
        <v>0.12</v>
      </c>
      <c r="K35" s="100">
        <v>203.66</v>
      </c>
      <c r="L35" s="100">
        <v>24.88</v>
      </c>
      <c r="M35" s="100">
        <v>83.32</v>
      </c>
      <c r="N35" s="100">
        <v>32</v>
      </c>
      <c r="O35" s="100">
        <v>0</v>
      </c>
      <c r="P35" s="100">
        <v>0.15</v>
      </c>
      <c r="Q35" s="100">
        <v>10</v>
      </c>
      <c r="R35" s="6"/>
      <c r="S35" s="6"/>
      <c r="T35" s="156"/>
      <c r="U35" s="6"/>
    </row>
    <row r="36" spans="1:21" customFormat="1">
      <c r="A36" s="201" t="s">
        <v>652</v>
      </c>
      <c r="B36" s="100">
        <v>6.97</v>
      </c>
      <c r="C36" s="100">
        <v>11.32</v>
      </c>
      <c r="D36" s="100">
        <v>11.5</v>
      </c>
      <c r="E36" s="100">
        <v>5.95</v>
      </c>
      <c r="F36" s="100">
        <v>2.0099999999999998</v>
      </c>
      <c r="G36" s="100">
        <v>11.4</v>
      </c>
      <c r="H36" s="100">
        <v>3.6</v>
      </c>
      <c r="I36" s="100">
        <v>3.18</v>
      </c>
      <c r="J36" s="100">
        <v>0.21</v>
      </c>
      <c r="K36" s="100">
        <v>206.08</v>
      </c>
      <c r="L36" s="100">
        <v>24.77</v>
      </c>
      <c r="M36" s="100">
        <v>83.18</v>
      </c>
      <c r="N36" s="100">
        <v>27.2</v>
      </c>
      <c r="O36" s="100">
        <v>0</v>
      </c>
      <c r="P36" s="100">
        <v>0.15</v>
      </c>
      <c r="Q36" s="100">
        <v>10</v>
      </c>
      <c r="R36" s="6"/>
      <c r="S36" s="6"/>
      <c r="T36" s="156"/>
      <c r="U36" s="6"/>
    </row>
    <row r="37" spans="1:21" customFormat="1">
      <c r="A37" s="201" t="s">
        <v>653</v>
      </c>
      <c r="B37" s="100">
        <v>6.83</v>
      </c>
      <c r="C37" s="100">
        <v>11.26</v>
      </c>
      <c r="D37" s="100">
        <v>11.36</v>
      </c>
      <c r="E37" s="100">
        <v>5.93</v>
      </c>
      <c r="F37" s="100">
        <v>2</v>
      </c>
      <c r="G37" s="100">
        <v>11.96</v>
      </c>
      <c r="H37" s="100">
        <v>3.49</v>
      </c>
      <c r="I37" s="100">
        <v>3.15</v>
      </c>
      <c r="J37" s="100">
        <v>0.16</v>
      </c>
      <c r="K37" s="100">
        <v>188.97</v>
      </c>
      <c r="L37" s="100">
        <v>24.93</v>
      </c>
      <c r="M37" s="100">
        <v>84.41</v>
      </c>
      <c r="N37" s="100">
        <v>56.1</v>
      </c>
      <c r="O37" s="100">
        <v>0</v>
      </c>
      <c r="P37" s="100">
        <v>0.15</v>
      </c>
      <c r="Q37" s="100">
        <v>10</v>
      </c>
      <c r="R37" s="6"/>
      <c r="S37" s="6"/>
      <c r="T37" s="156"/>
      <c r="U37" s="6"/>
    </row>
    <row r="38" spans="1:21" customFormat="1">
      <c r="A38" s="201" t="s">
        <v>654</v>
      </c>
      <c r="B38" s="100">
        <v>6.68</v>
      </c>
      <c r="C38" s="100">
        <v>11.36</v>
      </c>
      <c r="D38" s="100">
        <v>11.29</v>
      </c>
      <c r="E38" s="100">
        <v>5.76</v>
      </c>
      <c r="F38" s="100">
        <v>2</v>
      </c>
      <c r="G38" s="100">
        <v>15.61</v>
      </c>
      <c r="H38" s="100">
        <v>2.93</v>
      </c>
      <c r="I38" s="100">
        <v>3.16</v>
      </c>
      <c r="J38" s="100">
        <v>0.3</v>
      </c>
      <c r="K38" s="100">
        <v>209.06</v>
      </c>
      <c r="L38" s="100">
        <v>25.19</v>
      </c>
      <c r="M38" s="100">
        <v>82.87</v>
      </c>
      <c r="N38" s="100">
        <v>79.900000000000006</v>
      </c>
      <c r="O38" s="100">
        <v>0</v>
      </c>
      <c r="P38" s="100">
        <v>0.15</v>
      </c>
      <c r="Q38" s="100">
        <v>10</v>
      </c>
      <c r="R38" s="6"/>
      <c r="S38" s="6"/>
      <c r="T38" s="156"/>
      <c r="U38" s="6"/>
    </row>
    <row r="39" spans="1:21" customFormat="1">
      <c r="A39" s="201" t="s">
        <v>655</v>
      </c>
      <c r="B39" s="100">
        <v>6.57</v>
      </c>
      <c r="C39" s="100">
        <v>11.34</v>
      </c>
      <c r="D39" s="100">
        <v>11.2</v>
      </c>
      <c r="E39" s="100">
        <v>4.67</v>
      </c>
      <c r="F39" s="100">
        <v>2</v>
      </c>
      <c r="G39" s="100">
        <v>15.61</v>
      </c>
      <c r="H39" s="100">
        <v>2.93</v>
      </c>
      <c r="I39" s="100">
        <v>3.16</v>
      </c>
      <c r="J39" s="100">
        <v>0.28999999999999998</v>
      </c>
      <c r="K39" s="100">
        <v>208.16</v>
      </c>
      <c r="L39" s="100">
        <v>25.76</v>
      </c>
      <c r="M39" s="100">
        <v>82.82</v>
      </c>
      <c r="N39" s="100">
        <v>61.7</v>
      </c>
      <c r="O39" s="100">
        <v>0</v>
      </c>
      <c r="P39" s="100">
        <v>0.15</v>
      </c>
      <c r="Q39" s="100">
        <v>10</v>
      </c>
      <c r="R39" s="6"/>
      <c r="S39" s="6"/>
      <c r="T39" s="156"/>
      <c r="U39" s="6"/>
    </row>
    <row r="40" spans="1:21" customFormat="1">
      <c r="A40" s="201" t="s">
        <v>656</v>
      </c>
      <c r="B40" s="100">
        <v>6.4</v>
      </c>
      <c r="C40" s="100">
        <v>11.34</v>
      </c>
      <c r="D40" s="100">
        <v>11.06</v>
      </c>
      <c r="E40" s="100">
        <v>5.91</v>
      </c>
      <c r="F40" s="100">
        <v>2.02</v>
      </c>
      <c r="G40" s="100">
        <v>15.61</v>
      </c>
      <c r="H40" s="100">
        <v>2.93</v>
      </c>
      <c r="I40" s="100">
        <v>3.1</v>
      </c>
      <c r="J40" s="100">
        <v>0.26</v>
      </c>
      <c r="K40" s="100">
        <v>203.99</v>
      </c>
      <c r="L40" s="100">
        <v>25.34</v>
      </c>
      <c r="M40" s="100">
        <v>83.01</v>
      </c>
      <c r="N40" s="100">
        <v>59.5</v>
      </c>
      <c r="O40" s="100">
        <v>0.4</v>
      </c>
      <c r="P40" s="100">
        <v>0.15</v>
      </c>
      <c r="Q40" s="100">
        <v>10</v>
      </c>
      <c r="R40" s="6"/>
      <c r="S40" s="6"/>
      <c r="T40" s="156"/>
      <c r="U40" s="6"/>
    </row>
    <row r="41" spans="1:21" customFormat="1">
      <c r="A41" s="201" t="s">
        <v>657</v>
      </c>
      <c r="B41" s="100">
        <v>6.17</v>
      </c>
      <c r="C41" s="100">
        <v>11.36</v>
      </c>
      <c r="D41" s="100">
        <v>10.88</v>
      </c>
      <c r="E41" s="100">
        <v>6.17</v>
      </c>
      <c r="F41" s="100">
        <v>2.0099999999999998</v>
      </c>
      <c r="G41" s="100">
        <v>15.35</v>
      </c>
      <c r="H41" s="100">
        <v>2.83</v>
      </c>
      <c r="I41" s="100">
        <v>3.07</v>
      </c>
      <c r="J41" s="100">
        <v>0.19</v>
      </c>
      <c r="K41" s="100">
        <v>194.69</v>
      </c>
      <c r="L41" s="100">
        <v>25.08</v>
      </c>
      <c r="M41" s="100">
        <v>83.67</v>
      </c>
      <c r="N41" s="100">
        <v>62.9</v>
      </c>
      <c r="O41" s="100">
        <v>0</v>
      </c>
      <c r="P41" s="100">
        <v>0.15</v>
      </c>
      <c r="Q41" s="100">
        <v>10</v>
      </c>
      <c r="R41" s="6"/>
      <c r="S41" s="6"/>
      <c r="T41" s="156"/>
      <c r="U41" s="6"/>
    </row>
    <row r="42" spans="1:21" customFormat="1">
      <c r="A42" s="201" t="s">
        <v>658</v>
      </c>
      <c r="B42" s="100">
        <v>6.04</v>
      </c>
      <c r="C42" s="100">
        <v>11.42</v>
      </c>
      <c r="D42" s="100">
        <v>10.81</v>
      </c>
      <c r="E42" s="100">
        <v>6.17</v>
      </c>
      <c r="F42" s="100">
        <v>2.02</v>
      </c>
      <c r="G42" s="100">
        <v>13.66</v>
      </c>
      <c r="H42" s="100">
        <v>2.34</v>
      </c>
      <c r="I42" s="100">
        <v>3.02</v>
      </c>
      <c r="J42" s="100">
        <v>0.23</v>
      </c>
      <c r="K42" s="100">
        <v>208.82</v>
      </c>
      <c r="L42" s="100">
        <v>25.17</v>
      </c>
      <c r="M42" s="100">
        <v>83.15</v>
      </c>
      <c r="N42" s="100">
        <v>104.3</v>
      </c>
      <c r="O42" s="100">
        <v>0</v>
      </c>
      <c r="P42" s="100">
        <v>0.15</v>
      </c>
      <c r="Q42" s="100">
        <v>10</v>
      </c>
      <c r="R42" s="6"/>
      <c r="S42" s="6"/>
      <c r="T42" s="156"/>
      <c r="U42" s="6"/>
    </row>
    <row r="43" spans="1:21" customFormat="1">
      <c r="A43" s="201" t="s">
        <v>659</v>
      </c>
      <c r="B43" s="100">
        <v>5.94</v>
      </c>
      <c r="C43" s="100">
        <v>11.41</v>
      </c>
      <c r="D43" s="100">
        <v>10.72</v>
      </c>
      <c r="E43" s="100">
        <v>6.34</v>
      </c>
      <c r="F43" s="100">
        <v>2</v>
      </c>
      <c r="G43" s="100">
        <v>13.66</v>
      </c>
      <c r="H43" s="100">
        <v>2.34</v>
      </c>
      <c r="I43" s="100">
        <v>3.01</v>
      </c>
      <c r="J43" s="100">
        <v>0.24</v>
      </c>
      <c r="K43" s="100">
        <v>201.67</v>
      </c>
      <c r="L43" s="100">
        <v>25.7</v>
      </c>
      <c r="M43" s="100">
        <v>82.88</v>
      </c>
      <c r="N43" s="100">
        <v>109.4</v>
      </c>
      <c r="O43" s="100">
        <v>0</v>
      </c>
      <c r="P43" s="100">
        <v>0.15</v>
      </c>
      <c r="Q43" s="100">
        <v>10</v>
      </c>
      <c r="R43" s="6"/>
      <c r="S43" s="6"/>
      <c r="T43" s="156"/>
      <c r="U43" s="6"/>
    </row>
    <row r="44" spans="1:21" customFormat="1">
      <c r="A44" s="201" t="s">
        <v>660</v>
      </c>
      <c r="B44" s="100">
        <v>5.77</v>
      </c>
      <c r="C44" s="100">
        <v>11.4</v>
      </c>
      <c r="D44" s="100">
        <v>10.58</v>
      </c>
      <c r="E44" s="100">
        <v>6.24</v>
      </c>
      <c r="F44" s="100">
        <v>2</v>
      </c>
      <c r="G44" s="100">
        <v>13.66</v>
      </c>
      <c r="H44" s="100">
        <v>2.34</v>
      </c>
      <c r="I44" s="100">
        <v>3.01</v>
      </c>
      <c r="J44" s="100">
        <v>0.2</v>
      </c>
      <c r="K44" s="100">
        <v>201.53</v>
      </c>
      <c r="L44" s="100">
        <v>25.58</v>
      </c>
      <c r="M44" s="100">
        <v>84.28</v>
      </c>
      <c r="N44" s="100">
        <v>64.900000000000006</v>
      </c>
      <c r="O44" s="100">
        <v>0</v>
      </c>
      <c r="P44" s="100">
        <v>0.15</v>
      </c>
      <c r="Q44" s="100">
        <v>10</v>
      </c>
      <c r="R44" s="6"/>
      <c r="S44" s="6"/>
      <c r="T44" s="156"/>
      <c r="U44" s="6"/>
    </row>
    <row r="45" spans="1:21" customFormat="1">
      <c r="A45" s="201" t="s">
        <v>661</v>
      </c>
      <c r="B45" s="100">
        <v>5.61</v>
      </c>
      <c r="C45" s="100">
        <v>11.44</v>
      </c>
      <c r="D45" s="100">
        <v>10.48</v>
      </c>
      <c r="E45" s="100">
        <v>6.19</v>
      </c>
      <c r="F45" s="100">
        <v>2.02</v>
      </c>
      <c r="G45" s="100">
        <v>13.21</v>
      </c>
      <c r="H45" s="100">
        <v>2.29</v>
      </c>
      <c r="I45" s="100">
        <v>3.06</v>
      </c>
      <c r="J45" s="100">
        <v>0.21</v>
      </c>
      <c r="K45" s="100">
        <v>207.15</v>
      </c>
      <c r="L45" s="100">
        <v>25.73</v>
      </c>
      <c r="M45" s="100">
        <v>83.86</v>
      </c>
      <c r="N45" s="100">
        <v>86.4</v>
      </c>
      <c r="O45" s="100">
        <v>0</v>
      </c>
      <c r="P45" s="100">
        <v>0.15</v>
      </c>
      <c r="Q45" s="100">
        <v>10</v>
      </c>
      <c r="R45" s="6"/>
      <c r="S45" s="6"/>
      <c r="T45" s="156"/>
      <c r="U45" s="6"/>
    </row>
    <row r="46" spans="1:21" customFormat="1">
      <c r="A46" s="201" t="s">
        <v>662</v>
      </c>
      <c r="B46" s="100">
        <v>5.51</v>
      </c>
      <c r="C46" s="100">
        <v>11.47</v>
      </c>
      <c r="D46" s="100">
        <v>10.41</v>
      </c>
      <c r="E46" s="100">
        <v>6.44</v>
      </c>
      <c r="F46" s="100">
        <v>2.04</v>
      </c>
      <c r="G46" s="100">
        <v>10.24</v>
      </c>
      <c r="H46" s="100">
        <v>2.04</v>
      </c>
      <c r="I46" s="100">
        <v>3.09</v>
      </c>
      <c r="J46" s="100">
        <v>0.39</v>
      </c>
      <c r="K46" s="100">
        <v>202.94</v>
      </c>
      <c r="L46" s="100">
        <v>26.21</v>
      </c>
      <c r="M46" s="100">
        <v>84.66</v>
      </c>
      <c r="N46" s="100">
        <v>124.1</v>
      </c>
      <c r="O46" s="100">
        <v>0</v>
      </c>
      <c r="P46" s="100">
        <v>0.14000000000000001</v>
      </c>
      <c r="Q46" s="100">
        <v>10</v>
      </c>
      <c r="R46" s="6"/>
      <c r="S46" s="6"/>
      <c r="T46" s="156"/>
      <c r="U46" s="6"/>
    </row>
    <row r="47" spans="1:21" customFormat="1">
      <c r="A47" s="201" t="s">
        <v>663</v>
      </c>
      <c r="B47" s="100">
        <v>5.37</v>
      </c>
      <c r="C47" s="100">
        <v>11.4</v>
      </c>
      <c r="D47" s="100">
        <v>10.26</v>
      </c>
      <c r="E47" s="100">
        <v>6.13</v>
      </c>
      <c r="F47" s="100">
        <v>2</v>
      </c>
      <c r="G47" s="100">
        <v>10.24</v>
      </c>
      <c r="H47" s="100">
        <v>2.04</v>
      </c>
      <c r="I47" s="100">
        <v>3.1</v>
      </c>
      <c r="J47" s="100">
        <v>0.35</v>
      </c>
      <c r="K47" s="100">
        <v>206.11</v>
      </c>
      <c r="L47" s="100">
        <v>26.58</v>
      </c>
      <c r="M47" s="100">
        <v>84.08</v>
      </c>
      <c r="N47" s="100">
        <v>188.8</v>
      </c>
      <c r="O47" s="100">
        <v>0</v>
      </c>
      <c r="P47" s="100">
        <v>0.14000000000000001</v>
      </c>
      <c r="Q47" s="100">
        <v>10</v>
      </c>
      <c r="R47" s="6"/>
      <c r="S47" s="6"/>
      <c r="T47" s="156"/>
      <c r="U47" s="6"/>
    </row>
    <row r="48" spans="1:21" customFormat="1">
      <c r="A48" s="201" t="s">
        <v>664</v>
      </c>
      <c r="B48" s="100">
        <v>5.19</v>
      </c>
      <c r="C48" s="100">
        <v>11.47</v>
      </c>
      <c r="D48" s="100">
        <v>10.16</v>
      </c>
      <c r="E48" s="100">
        <v>6.24</v>
      </c>
      <c r="F48" s="100">
        <v>2.0299999999999998</v>
      </c>
      <c r="G48" s="100">
        <v>10.24</v>
      </c>
      <c r="H48" s="100">
        <v>2.04</v>
      </c>
      <c r="I48" s="100">
        <v>3.11</v>
      </c>
      <c r="J48" s="100">
        <v>0.24</v>
      </c>
      <c r="K48" s="100">
        <v>174.48</v>
      </c>
      <c r="L48" s="100">
        <v>27.56</v>
      </c>
      <c r="M48" s="100">
        <v>83.21</v>
      </c>
      <c r="N48" s="100">
        <v>286.10000000000002</v>
      </c>
      <c r="O48" s="100">
        <v>0</v>
      </c>
      <c r="P48" s="100">
        <v>0.14000000000000001</v>
      </c>
      <c r="Q48" s="100">
        <v>10</v>
      </c>
      <c r="R48" s="6"/>
      <c r="S48" s="6"/>
      <c r="T48" s="156"/>
      <c r="U48" s="6"/>
    </row>
    <row r="49" spans="1:21" customFormat="1">
      <c r="A49" s="201" t="s">
        <v>665</v>
      </c>
      <c r="B49" s="100">
        <v>5.05</v>
      </c>
      <c r="C49" s="100">
        <v>11.45</v>
      </c>
      <c r="D49" s="100">
        <v>10.029999999999999</v>
      </c>
      <c r="E49" s="100">
        <v>3.85</v>
      </c>
      <c r="F49" s="100">
        <v>2.08</v>
      </c>
      <c r="G49" s="100">
        <v>10.199999999999999</v>
      </c>
      <c r="H49" s="100">
        <v>2.0099999999999998</v>
      </c>
      <c r="I49" s="100">
        <v>3.12</v>
      </c>
      <c r="J49" s="100">
        <v>0.3</v>
      </c>
      <c r="K49" s="100">
        <v>187</v>
      </c>
      <c r="L49" s="100">
        <v>28.4</v>
      </c>
      <c r="M49" s="100">
        <v>81.37</v>
      </c>
      <c r="N49" s="100">
        <v>393.7</v>
      </c>
      <c r="O49" s="100">
        <v>0</v>
      </c>
      <c r="P49" s="100">
        <v>0.14000000000000001</v>
      </c>
      <c r="Q49" s="100">
        <v>10</v>
      </c>
      <c r="R49" s="6"/>
      <c r="S49" s="6"/>
      <c r="T49" s="156"/>
      <c r="U49" s="6"/>
    </row>
    <row r="50" spans="1:21" customFormat="1">
      <c r="A50" s="201" t="s">
        <v>666</v>
      </c>
      <c r="B50" s="100">
        <v>4.95</v>
      </c>
      <c r="C50" s="100">
        <v>11.45</v>
      </c>
      <c r="D50" s="100">
        <v>9.9499999999999993</v>
      </c>
      <c r="E50" s="100">
        <v>4.68</v>
      </c>
      <c r="F50" s="100">
        <v>2.0299999999999998</v>
      </c>
      <c r="G50" s="100">
        <v>9.9499999999999993</v>
      </c>
      <c r="H50" s="100">
        <v>1.85</v>
      </c>
      <c r="I50" s="100">
        <v>3.1</v>
      </c>
      <c r="J50" s="100">
        <v>0.41</v>
      </c>
      <c r="K50" s="100">
        <v>192.66</v>
      </c>
      <c r="L50" s="100">
        <v>29.43</v>
      </c>
      <c r="M50" s="100">
        <v>77.61</v>
      </c>
      <c r="N50" s="100">
        <v>520.9</v>
      </c>
      <c r="O50" s="100">
        <v>0</v>
      </c>
      <c r="P50" s="100">
        <v>0.15</v>
      </c>
      <c r="Q50" s="100">
        <v>10</v>
      </c>
      <c r="R50" s="6"/>
      <c r="S50" s="6"/>
      <c r="T50" s="156"/>
      <c r="U50" s="6"/>
    </row>
    <row r="51" spans="1:21" customFormat="1">
      <c r="A51" s="201" t="s">
        <v>667</v>
      </c>
      <c r="B51" s="100">
        <v>4.91</v>
      </c>
      <c r="C51" s="100">
        <v>11.34</v>
      </c>
      <c r="D51" s="100">
        <v>9.86</v>
      </c>
      <c r="E51" s="100">
        <v>4.58</v>
      </c>
      <c r="F51" s="100">
        <v>2.0099999999999998</v>
      </c>
      <c r="G51" s="100">
        <v>9.9499999999999993</v>
      </c>
      <c r="H51" s="100">
        <v>1.85</v>
      </c>
      <c r="I51" s="100">
        <v>3.01</v>
      </c>
      <c r="J51" s="100">
        <v>0.56999999999999995</v>
      </c>
      <c r="K51" s="100">
        <v>209.21</v>
      </c>
      <c r="L51" s="100">
        <v>29.43</v>
      </c>
      <c r="M51" s="100">
        <v>77.36</v>
      </c>
      <c r="N51" s="100">
        <v>559.4</v>
      </c>
      <c r="O51" s="100">
        <v>0</v>
      </c>
      <c r="P51" s="100">
        <v>0.13</v>
      </c>
      <c r="Q51" s="100">
        <v>10</v>
      </c>
      <c r="R51" s="6"/>
      <c r="S51" s="6"/>
      <c r="T51" s="156"/>
      <c r="U51" s="6"/>
    </row>
    <row r="52" spans="1:21" customFormat="1">
      <c r="A52" s="201" t="s">
        <v>668</v>
      </c>
      <c r="B52" s="100">
        <v>4.83</v>
      </c>
      <c r="C52" s="100">
        <v>11.34</v>
      </c>
      <c r="D52" s="100">
        <v>9.8000000000000007</v>
      </c>
      <c r="E52" s="100">
        <v>4.3099999999999996</v>
      </c>
      <c r="F52" s="100">
        <v>2.23</v>
      </c>
      <c r="G52" s="100">
        <v>9.9499999999999993</v>
      </c>
      <c r="H52" s="100">
        <v>1.85</v>
      </c>
      <c r="I52" s="100">
        <v>3.05</v>
      </c>
      <c r="J52" s="100">
        <v>0.74</v>
      </c>
      <c r="K52" s="100">
        <v>209.49</v>
      </c>
      <c r="L52" s="100">
        <v>29.81</v>
      </c>
      <c r="M52" s="100">
        <v>75.39</v>
      </c>
      <c r="N52" s="100">
        <v>686.5</v>
      </c>
      <c r="O52" s="100">
        <v>0</v>
      </c>
      <c r="P52" s="100">
        <v>0.12</v>
      </c>
      <c r="Q52" s="100">
        <v>10</v>
      </c>
      <c r="R52" s="6"/>
      <c r="S52" s="6"/>
      <c r="T52" s="156"/>
      <c r="U52" s="6"/>
    </row>
    <row r="53" spans="1:21" customFormat="1">
      <c r="A53" s="201" t="s">
        <v>669</v>
      </c>
      <c r="B53" s="100">
        <v>4.43</v>
      </c>
      <c r="C53" s="100">
        <v>11.18</v>
      </c>
      <c r="D53" s="100">
        <v>9.4</v>
      </c>
      <c r="E53" s="100">
        <v>3.82</v>
      </c>
      <c r="F53" s="100">
        <v>7.39</v>
      </c>
      <c r="G53" s="100">
        <v>9.93</v>
      </c>
      <c r="H53" s="100">
        <v>1.93</v>
      </c>
      <c r="I53" s="100">
        <v>3.09</v>
      </c>
      <c r="J53" s="100">
        <v>0.71</v>
      </c>
      <c r="K53" s="100">
        <v>212.83</v>
      </c>
      <c r="L53" s="100">
        <v>29.66</v>
      </c>
      <c r="M53" s="100">
        <v>76.180000000000007</v>
      </c>
      <c r="N53" s="100">
        <v>409</v>
      </c>
      <c r="O53" s="100">
        <v>0</v>
      </c>
      <c r="P53" s="100">
        <v>0.12</v>
      </c>
      <c r="Q53" s="100">
        <v>10</v>
      </c>
      <c r="R53" s="6"/>
      <c r="S53" s="6"/>
      <c r="T53" s="156"/>
      <c r="U53" s="6"/>
    </row>
    <row r="54" spans="1:21" customFormat="1">
      <c r="A54" s="201" t="s">
        <v>670</v>
      </c>
      <c r="B54" s="100">
        <v>2.86</v>
      </c>
      <c r="C54" s="100">
        <v>10.56</v>
      </c>
      <c r="D54" s="100">
        <v>7.81</v>
      </c>
      <c r="E54" s="100">
        <v>2.87</v>
      </c>
      <c r="F54" s="100">
        <v>10.64</v>
      </c>
      <c r="G54" s="100">
        <v>9.84</v>
      </c>
      <c r="H54" s="100">
        <v>2.33</v>
      </c>
      <c r="I54" s="100">
        <v>3.02</v>
      </c>
      <c r="J54" s="100">
        <v>0.66</v>
      </c>
      <c r="K54" s="100">
        <v>214.36</v>
      </c>
      <c r="L54" s="100">
        <v>29.51</v>
      </c>
      <c r="M54" s="100">
        <v>76.53</v>
      </c>
      <c r="N54" s="100">
        <v>300.3</v>
      </c>
      <c r="O54" s="100">
        <v>0</v>
      </c>
      <c r="P54" s="100">
        <v>0.12</v>
      </c>
      <c r="Q54" s="100">
        <v>10</v>
      </c>
      <c r="R54" s="6"/>
      <c r="S54" s="6"/>
      <c r="T54" s="156"/>
      <c r="U54" s="6"/>
    </row>
    <row r="55" spans="1:21" customFormat="1">
      <c r="A55" s="201" t="s">
        <v>671</v>
      </c>
      <c r="B55" s="100">
        <v>2.14</v>
      </c>
      <c r="C55" s="100">
        <v>9.86</v>
      </c>
      <c r="D55" s="100">
        <v>6.87</v>
      </c>
      <c r="E55" s="100">
        <v>2.36</v>
      </c>
      <c r="F55" s="100">
        <v>12.32</v>
      </c>
      <c r="G55" s="100">
        <v>9.84</v>
      </c>
      <c r="H55" s="100">
        <v>2.33</v>
      </c>
      <c r="I55" s="100">
        <v>2.84</v>
      </c>
      <c r="J55" s="100">
        <v>0.6</v>
      </c>
      <c r="K55" s="100">
        <v>215.27</v>
      </c>
      <c r="L55" s="100">
        <v>29.38</v>
      </c>
      <c r="M55" s="100">
        <v>77.31</v>
      </c>
      <c r="N55" s="100">
        <v>322.8</v>
      </c>
      <c r="O55" s="100">
        <v>0</v>
      </c>
      <c r="P55" s="100">
        <v>0.13</v>
      </c>
      <c r="Q55" s="100">
        <v>10</v>
      </c>
      <c r="R55" s="6"/>
      <c r="S55" s="6"/>
      <c r="T55" s="156"/>
      <c r="U55" s="6"/>
    </row>
    <row r="56" spans="1:21" customFormat="1">
      <c r="A56" s="201" t="s">
        <v>672</v>
      </c>
      <c r="B56" s="100">
        <v>1.83</v>
      </c>
      <c r="C56" s="100">
        <v>8.42</v>
      </c>
      <c r="D56" s="100">
        <v>5.86</v>
      </c>
      <c r="E56" s="100">
        <v>1.42</v>
      </c>
      <c r="F56" s="100">
        <v>17.04</v>
      </c>
      <c r="G56" s="100">
        <v>9.84</v>
      </c>
      <c r="H56" s="100">
        <v>2.33</v>
      </c>
      <c r="I56" s="100">
        <v>2.64</v>
      </c>
      <c r="J56" s="100">
        <v>0.69</v>
      </c>
      <c r="K56" s="100">
        <v>211.42</v>
      </c>
      <c r="L56" s="100">
        <v>29.79</v>
      </c>
      <c r="M56" s="100">
        <v>74.86</v>
      </c>
      <c r="N56" s="100">
        <v>365.5</v>
      </c>
      <c r="O56" s="100">
        <v>0</v>
      </c>
      <c r="P56" s="100">
        <v>0.12</v>
      </c>
      <c r="Q56" s="100">
        <v>10</v>
      </c>
      <c r="R56" s="6"/>
      <c r="S56" s="6"/>
      <c r="T56" s="156"/>
      <c r="U56" s="6"/>
    </row>
    <row r="57" spans="1:21" customFormat="1">
      <c r="A57" s="201" t="s">
        <v>673</v>
      </c>
      <c r="B57" s="100">
        <v>1.77</v>
      </c>
      <c r="C57" s="100">
        <v>7.87</v>
      </c>
      <c r="D57" s="100">
        <v>5.53</v>
      </c>
      <c r="E57" s="100">
        <v>1.2</v>
      </c>
      <c r="F57" s="100">
        <v>18.420000000000002</v>
      </c>
      <c r="G57" s="100">
        <v>9.84</v>
      </c>
      <c r="H57" s="100">
        <v>2.33</v>
      </c>
      <c r="I57" s="100">
        <v>2.41</v>
      </c>
      <c r="J57" s="100">
        <v>0.56000000000000005</v>
      </c>
      <c r="K57" s="100">
        <v>207.12</v>
      </c>
      <c r="L57" s="100">
        <v>29.74</v>
      </c>
      <c r="M57" s="100">
        <v>74.290000000000006</v>
      </c>
      <c r="N57" s="100">
        <v>319.7</v>
      </c>
      <c r="O57" s="100">
        <v>0</v>
      </c>
      <c r="P57" s="100">
        <v>0.11</v>
      </c>
      <c r="Q57" s="100">
        <v>10</v>
      </c>
      <c r="R57" s="6"/>
      <c r="S57" s="6"/>
      <c r="T57" s="156"/>
      <c r="U57" s="6"/>
    </row>
    <row r="58" spans="1:21" customFormat="1">
      <c r="A58" s="201" t="s">
        <v>674</v>
      </c>
      <c r="B58" s="100">
        <v>1.76</v>
      </c>
      <c r="C58" s="100">
        <v>7.91</v>
      </c>
      <c r="D58" s="100">
        <v>5.54</v>
      </c>
      <c r="E58" s="100">
        <v>1.46</v>
      </c>
      <c r="F58" s="100">
        <v>19.149999999999999</v>
      </c>
      <c r="G58" s="100">
        <v>9.84</v>
      </c>
      <c r="H58" s="100">
        <v>2.33</v>
      </c>
      <c r="I58" s="100">
        <v>1.85</v>
      </c>
      <c r="J58" s="100">
        <v>0.42</v>
      </c>
      <c r="K58" s="100">
        <v>202.76</v>
      </c>
      <c r="L58" s="100">
        <v>30.23</v>
      </c>
      <c r="M58" s="100">
        <v>72.67</v>
      </c>
      <c r="N58" s="100">
        <v>338.5</v>
      </c>
      <c r="O58" s="100">
        <v>0</v>
      </c>
      <c r="P58" s="100">
        <v>0.09</v>
      </c>
      <c r="Q58" s="100">
        <v>10</v>
      </c>
      <c r="R58" s="6"/>
      <c r="S58" s="6"/>
      <c r="T58" s="156"/>
      <c r="U58" s="6"/>
    </row>
    <row r="59" spans="1:21" customFormat="1">
      <c r="A59" s="201" t="s">
        <v>675</v>
      </c>
      <c r="B59" s="100">
        <v>1.76</v>
      </c>
      <c r="C59" s="100">
        <v>8.0399999999999991</v>
      </c>
      <c r="D59" s="100">
        <v>5.61</v>
      </c>
      <c r="E59" s="100">
        <v>1.18</v>
      </c>
      <c r="F59" s="100">
        <v>21.43</v>
      </c>
      <c r="G59" s="100">
        <v>0</v>
      </c>
      <c r="H59" s="100">
        <v>0</v>
      </c>
      <c r="I59" s="100">
        <v>2.12</v>
      </c>
      <c r="J59" s="100">
        <v>0.55000000000000004</v>
      </c>
      <c r="K59" s="100">
        <v>215.46</v>
      </c>
      <c r="L59" s="100">
        <v>30.3</v>
      </c>
      <c r="M59" s="100">
        <v>71.91</v>
      </c>
      <c r="N59" s="100">
        <v>401.5</v>
      </c>
      <c r="O59" s="100">
        <v>0</v>
      </c>
      <c r="P59" s="100">
        <v>0.08</v>
      </c>
      <c r="Q59" s="100">
        <v>10</v>
      </c>
      <c r="R59" s="6"/>
      <c r="S59" s="6"/>
      <c r="T59" s="156"/>
      <c r="U59" s="6"/>
    </row>
    <row r="60" spans="1:21" customFormat="1">
      <c r="A60" s="201" t="s">
        <v>676</v>
      </c>
      <c r="B60" s="100">
        <v>1.77</v>
      </c>
      <c r="C60" s="100">
        <v>7.93</v>
      </c>
      <c r="D60" s="100">
        <v>5.56</v>
      </c>
      <c r="E60" s="100">
        <v>1.32</v>
      </c>
      <c r="F60" s="100">
        <v>18.46</v>
      </c>
      <c r="G60" s="100">
        <v>0</v>
      </c>
      <c r="H60" s="100">
        <v>0</v>
      </c>
      <c r="I60" s="100">
        <v>2.41</v>
      </c>
      <c r="J60" s="100">
        <v>0.61</v>
      </c>
      <c r="K60" s="100">
        <v>214.19</v>
      </c>
      <c r="L60" s="100">
        <v>30.44</v>
      </c>
      <c r="M60" s="100">
        <v>71.59</v>
      </c>
      <c r="N60" s="100">
        <v>412.2</v>
      </c>
      <c r="O60" s="100">
        <v>0</v>
      </c>
      <c r="P60" s="100">
        <v>7.0000000000000007E-2</v>
      </c>
      <c r="Q60" s="100">
        <v>10</v>
      </c>
      <c r="R60" s="6"/>
      <c r="S60" s="6"/>
      <c r="T60" s="156"/>
      <c r="U60" s="6"/>
    </row>
    <row r="61" spans="1:21" customFormat="1">
      <c r="A61" s="201" t="s">
        <v>677</v>
      </c>
      <c r="B61" s="100">
        <v>1.73</v>
      </c>
      <c r="C61" s="100">
        <v>7.94</v>
      </c>
      <c r="D61" s="100">
        <v>5.54</v>
      </c>
      <c r="E61" s="100">
        <v>1.36</v>
      </c>
      <c r="F61" s="100">
        <v>19.12</v>
      </c>
      <c r="G61" s="100">
        <v>0</v>
      </c>
      <c r="H61" s="100">
        <v>0</v>
      </c>
      <c r="I61" s="100">
        <v>2.36</v>
      </c>
      <c r="J61" s="100">
        <v>0.75</v>
      </c>
      <c r="K61" s="100">
        <v>215.38</v>
      </c>
      <c r="L61" s="100">
        <v>30.4</v>
      </c>
      <c r="M61" s="100">
        <v>70.599999999999994</v>
      </c>
      <c r="N61" s="100">
        <v>271</v>
      </c>
      <c r="O61" s="100">
        <v>0</v>
      </c>
      <c r="P61" s="100">
        <v>0.08</v>
      </c>
      <c r="Q61" s="100">
        <v>10</v>
      </c>
      <c r="R61" s="6"/>
      <c r="S61" s="6"/>
      <c r="T61" s="156"/>
      <c r="U61" s="6"/>
    </row>
    <row r="62" spans="1:21" customFormat="1">
      <c r="A62" s="201" t="s">
        <v>678</v>
      </c>
      <c r="B62" s="100">
        <v>1.71</v>
      </c>
      <c r="C62" s="100">
        <v>7.89</v>
      </c>
      <c r="D62" s="100">
        <v>5.49</v>
      </c>
      <c r="E62" s="100">
        <v>1.28</v>
      </c>
      <c r="F62" s="100">
        <v>17.850000000000001</v>
      </c>
      <c r="G62" s="100">
        <v>0</v>
      </c>
      <c r="H62" s="100">
        <v>0</v>
      </c>
      <c r="I62" s="100">
        <v>2.37</v>
      </c>
      <c r="J62" s="100">
        <v>0.48</v>
      </c>
      <c r="K62" s="100">
        <v>211.59</v>
      </c>
      <c r="L62" s="100">
        <v>30.38</v>
      </c>
      <c r="M62" s="100">
        <v>71.489999999999995</v>
      </c>
      <c r="N62" s="100">
        <v>256.10000000000002</v>
      </c>
      <c r="O62" s="100">
        <v>0</v>
      </c>
      <c r="P62" s="100">
        <v>0.08</v>
      </c>
      <c r="Q62" s="100">
        <v>10</v>
      </c>
      <c r="R62" s="6"/>
      <c r="S62" s="6"/>
      <c r="T62" s="156"/>
      <c r="U62" s="6"/>
    </row>
    <row r="63" spans="1:21" customFormat="1">
      <c r="A63" s="201" t="s">
        <v>679</v>
      </c>
      <c r="B63" s="100">
        <v>1.7</v>
      </c>
      <c r="C63" s="100">
        <v>7.81</v>
      </c>
      <c r="D63" s="100">
        <v>5.44</v>
      </c>
      <c r="E63" s="100">
        <v>1.36</v>
      </c>
      <c r="F63" s="100">
        <v>18.739999999999998</v>
      </c>
      <c r="G63" s="100">
        <v>14.24</v>
      </c>
      <c r="H63" s="100">
        <v>0.69</v>
      </c>
      <c r="I63" s="100">
        <v>2.3199999999999998</v>
      </c>
      <c r="J63" s="100">
        <v>0.56000000000000005</v>
      </c>
      <c r="K63" s="100">
        <v>212.19</v>
      </c>
      <c r="L63" s="100">
        <v>30.64</v>
      </c>
      <c r="M63" s="100">
        <v>69.87</v>
      </c>
      <c r="N63" s="100">
        <v>373.6</v>
      </c>
      <c r="O63" s="100">
        <v>0</v>
      </c>
      <c r="P63" s="100">
        <v>0.08</v>
      </c>
      <c r="Q63" s="100">
        <v>10</v>
      </c>
      <c r="R63" s="6"/>
      <c r="S63" s="6"/>
      <c r="T63" s="156"/>
      <c r="U63" s="6"/>
    </row>
    <row r="64" spans="1:21" customFormat="1">
      <c r="A64" s="201" t="s">
        <v>680</v>
      </c>
      <c r="B64" s="100">
        <v>1.71</v>
      </c>
      <c r="C64" s="100">
        <v>7.8</v>
      </c>
      <c r="D64" s="100">
        <v>5.44</v>
      </c>
      <c r="E64" s="100">
        <v>1.25</v>
      </c>
      <c r="F64" s="100">
        <v>18.23</v>
      </c>
      <c r="G64" s="100">
        <v>17.8</v>
      </c>
      <c r="H64" s="100">
        <v>0.69</v>
      </c>
      <c r="I64" s="100">
        <v>2.21</v>
      </c>
      <c r="J64" s="100">
        <v>0.45</v>
      </c>
      <c r="K64" s="100">
        <v>212.93</v>
      </c>
      <c r="L64" s="100">
        <v>30.7</v>
      </c>
      <c r="M64" s="100">
        <v>69.67</v>
      </c>
      <c r="N64" s="100">
        <v>370</v>
      </c>
      <c r="O64" s="100">
        <v>0</v>
      </c>
      <c r="P64" s="100">
        <v>7.0000000000000007E-2</v>
      </c>
      <c r="Q64" s="100">
        <v>10</v>
      </c>
      <c r="R64" s="6"/>
      <c r="S64" s="6"/>
      <c r="T64" s="156"/>
      <c r="U64" s="6"/>
    </row>
    <row r="65" spans="1:21" customFormat="1">
      <c r="A65" s="201" t="s">
        <v>681</v>
      </c>
      <c r="B65" s="100">
        <v>1.67</v>
      </c>
      <c r="C65" s="100">
        <v>7.52</v>
      </c>
      <c r="D65" s="100">
        <v>5.27</v>
      </c>
      <c r="E65" s="100">
        <v>1.26</v>
      </c>
      <c r="F65" s="100">
        <v>18.899999999999999</v>
      </c>
      <c r="G65" s="100">
        <v>17.8</v>
      </c>
      <c r="H65" s="100">
        <v>0.69</v>
      </c>
      <c r="I65" s="100">
        <v>2.16</v>
      </c>
      <c r="J65" s="100">
        <v>0.41</v>
      </c>
      <c r="K65" s="100">
        <v>213.58</v>
      </c>
      <c r="L65" s="100">
        <v>30.6</v>
      </c>
      <c r="M65" s="100">
        <v>70.510000000000005</v>
      </c>
      <c r="N65" s="100">
        <v>213.2</v>
      </c>
      <c r="O65" s="100">
        <v>0</v>
      </c>
      <c r="P65" s="100">
        <v>0.1</v>
      </c>
      <c r="Q65" s="100">
        <v>10</v>
      </c>
      <c r="R65" s="6"/>
      <c r="S65" s="6"/>
      <c r="T65" s="156"/>
      <c r="U65" s="6"/>
    </row>
    <row r="66" spans="1:21" customFormat="1">
      <c r="A66" s="201" t="s">
        <v>682</v>
      </c>
      <c r="B66" s="100">
        <v>1.7</v>
      </c>
      <c r="C66" s="100">
        <v>7.54</v>
      </c>
      <c r="D66" s="100">
        <v>5.31</v>
      </c>
      <c r="E66" s="100">
        <v>1.04</v>
      </c>
      <c r="F66" s="100">
        <v>17.850000000000001</v>
      </c>
      <c r="G66" s="100">
        <v>17.8</v>
      </c>
      <c r="H66" s="100">
        <v>0.69</v>
      </c>
      <c r="I66" s="100">
        <v>2.1</v>
      </c>
      <c r="J66" s="100">
        <v>0.62</v>
      </c>
      <c r="K66" s="100">
        <v>217.44</v>
      </c>
      <c r="L66" s="100">
        <v>30.63</v>
      </c>
      <c r="M66" s="100">
        <v>67.73</v>
      </c>
      <c r="N66" s="100">
        <v>245.4</v>
      </c>
      <c r="O66" s="100">
        <v>0</v>
      </c>
      <c r="P66" s="100">
        <v>0.12</v>
      </c>
      <c r="Q66" s="100">
        <v>10</v>
      </c>
      <c r="R66" s="6"/>
      <c r="S66" s="6"/>
      <c r="T66" s="156"/>
      <c r="U66" s="6"/>
    </row>
    <row r="67" spans="1:21" customFormat="1">
      <c r="A67" s="201" t="s">
        <v>683</v>
      </c>
      <c r="B67" s="100">
        <v>1.68</v>
      </c>
      <c r="C67" s="100">
        <v>8.2899999999999991</v>
      </c>
      <c r="D67" s="100">
        <v>5.68</v>
      </c>
      <c r="E67" s="100">
        <v>1.32</v>
      </c>
      <c r="F67" s="100">
        <v>6.27</v>
      </c>
      <c r="G67" s="100">
        <v>14.03</v>
      </c>
      <c r="H67" s="100">
        <v>1.17</v>
      </c>
      <c r="I67" s="100">
        <v>2.0099999999999998</v>
      </c>
      <c r="J67" s="100">
        <v>0.53</v>
      </c>
      <c r="K67" s="100">
        <v>216.94</v>
      </c>
      <c r="L67" s="100">
        <v>30.81</v>
      </c>
      <c r="M67" s="100">
        <v>67.86</v>
      </c>
      <c r="N67" s="100">
        <v>146.69999999999999</v>
      </c>
      <c r="O67" s="100">
        <v>0</v>
      </c>
      <c r="P67" s="100">
        <v>0.1</v>
      </c>
      <c r="Q67" s="100">
        <v>10</v>
      </c>
      <c r="R67" s="6"/>
      <c r="S67" s="6"/>
      <c r="T67" s="156"/>
      <c r="U67" s="6"/>
    </row>
    <row r="68" spans="1:21" customFormat="1">
      <c r="A68" s="201" t="s">
        <v>684</v>
      </c>
      <c r="B68" s="100">
        <v>1.79</v>
      </c>
      <c r="C68" s="100">
        <v>9.32</v>
      </c>
      <c r="D68" s="100">
        <v>6.3</v>
      </c>
      <c r="E68" s="100">
        <v>0.9</v>
      </c>
      <c r="F68" s="100">
        <v>3.65</v>
      </c>
      <c r="G68" s="100">
        <v>13.02</v>
      </c>
      <c r="H68" s="100">
        <v>1.17</v>
      </c>
      <c r="I68" s="100">
        <v>2.13</v>
      </c>
      <c r="J68" s="100">
        <v>0.42</v>
      </c>
      <c r="K68" s="100">
        <v>206.26</v>
      </c>
      <c r="L68" s="100">
        <v>30.96</v>
      </c>
      <c r="M68" s="100">
        <v>67.680000000000007</v>
      </c>
      <c r="N68" s="100">
        <v>189</v>
      </c>
      <c r="O68" s="100">
        <v>0</v>
      </c>
      <c r="P68" s="100">
        <v>0.09</v>
      </c>
      <c r="Q68" s="100">
        <v>10</v>
      </c>
      <c r="R68" s="6"/>
      <c r="S68" s="6"/>
      <c r="T68" s="156"/>
      <c r="U68" s="6"/>
    </row>
    <row r="69" spans="1:21" customFormat="1">
      <c r="A69" s="201" t="s">
        <v>685</v>
      </c>
      <c r="B69" s="100">
        <v>1.98</v>
      </c>
      <c r="C69" s="100">
        <v>10.02</v>
      </c>
      <c r="D69" s="100">
        <v>6.82</v>
      </c>
      <c r="E69" s="100">
        <v>0.99</v>
      </c>
      <c r="F69" s="100">
        <v>2.67</v>
      </c>
      <c r="G69" s="100">
        <v>13.02</v>
      </c>
      <c r="H69" s="100">
        <v>1.17</v>
      </c>
      <c r="I69" s="100">
        <v>2.36</v>
      </c>
      <c r="J69" s="100">
        <v>0.38</v>
      </c>
      <c r="K69" s="100">
        <v>209.52</v>
      </c>
      <c r="L69" s="100">
        <v>30.73</v>
      </c>
      <c r="M69" s="100">
        <v>67.62</v>
      </c>
      <c r="N69" s="100">
        <v>104.1</v>
      </c>
      <c r="O69" s="100">
        <v>0</v>
      </c>
      <c r="P69" s="100">
        <v>0.09</v>
      </c>
      <c r="Q69" s="100">
        <v>10</v>
      </c>
      <c r="R69" s="6"/>
      <c r="S69" s="6"/>
      <c r="T69" s="156"/>
      <c r="U69" s="6"/>
    </row>
    <row r="70" spans="1:21" customFormat="1">
      <c r="A70" s="201" t="s">
        <v>686</v>
      </c>
      <c r="B70" s="100">
        <v>2.15</v>
      </c>
      <c r="C70" s="100">
        <v>10.62</v>
      </c>
      <c r="D70" s="100">
        <v>7.27</v>
      </c>
      <c r="E70" s="100">
        <v>1.26</v>
      </c>
      <c r="F70" s="100">
        <v>3.18</v>
      </c>
      <c r="G70" s="100">
        <v>13.02</v>
      </c>
      <c r="H70" s="100">
        <v>1.17</v>
      </c>
      <c r="I70" s="100">
        <v>1.83</v>
      </c>
      <c r="J70" s="100">
        <v>0.46</v>
      </c>
      <c r="K70" s="100">
        <v>216.65</v>
      </c>
      <c r="L70" s="100">
        <v>30.71</v>
      </c>
      <c r="M70" s="100">
        <v>68.27</v>
      </c>
      <c r="N70" s="100">
        <v>103.5</v>
      </c>
      <c r="O70" s="100">
        <v>0</v>
      </c>
      <c r="P70" s="100">
        <v>0.11</v>
      </c>
      <c r="Q70" s="100">
        <v>10</v>
      </c>
      <c r="R70" s="6"/>
      <c r="S70" s="6"/>
      <c r="T70" s="156"/>
      <c r="U70" s="6"/>
    </row>
    <row r="71" spans="1:21" customFormat="1">
      <c r="A71" s="201" t="s">
        <v>687</v>
      </c>
      <c r="B71" s="100">
        <v>2.29</v>
      </c>
      <c r="C71" s="100">
        <v>11.08</v>
      </c>
      <c r="D71" s="100">
        <v>7.63</v>
      </c>
      <c r="E71" s="100">
        <v>1.48</v>
      </c>
      <c r="F71" s="100">
        <v>3.68</v>
      </c>
      <c r="G71" s="100">
        <v>14.72</v>
      </c>
      <c r="H71" s="100">
        <v>0.91</v>
      </c>
      <c r="I71" s="100">
        <v>1.5</v>
      </c>
      <c r="J71" s="100">
        <v>0.33</v>
      </c>
      <c r="K71" s="100">
        <v>191.22</v>
      </c>
      <c r="L71" s="100">
        <v>30.46</v>
      </c>
      <c r="M71" s="100">
        <v>70.36</v>
      </c>
      <c r="N71" s="100">
        <v>276</v>
      </c>
      <c r="O71" s="100">
        <v>0</v>
      </c>
      <c r="P71" s="100">
        <v>0.13</v>
      </c>
      <c r="Q71" s="100">
        <v>10</v>
      </c>
      <c r="R71" s="6"/>
      <c r="S71" s="6"/>
      <c r="T71" s="156"/>
      <c r="U71" s="6"/>
    </row>
    <row r="72" spans="1:21" customFormat="1">
      <c r="A72" s="201" t="s">
        <v>688</v>
      </c>
      <c r="B72" s="100">
        <v>2.4300000000000002</v>
      </c>
      <c r="C72" s="100">
        <v>11.23</v>
      </c>
      <c r="D72" s="100">
        <v>7.82</v>
      </c>
      <c r="E72" s="100">
        <v>1.59</v>
      </c>
      <c r="F72" s="100">
        <v>3.19</v>
      </c>
      <c r="G72" s="100">
        <v>15.15</v>
      </c>
      <c r="H72" s="100">
        <v>0.91</v>
      </c>
      <c r="I72" s="100">
        <v>1.99</v>
      </c>
      <c r="J72" s="100">
        <v>0.36</v>
      </c>
      <c r="K72" s="100">
        <v>207.39</v>
      </c>
      <c r="L72" s="100">
        <v>30.68</v>
      </c>
      <c r="M72" s="100">
        <v>68.97</v>
      </c>
      <c r="N72" s="100">
        <v>118.9</v>
      </c>
      <c r="O72" s="100">
        <v>0</v>
      </c>
      <c r="P72" s="100">
        <v>0.13</v>
      </c>
      <c r="Q72" s="100">
        <v>10</v>
      </c>
      <c r="R72" s="6"/>
      <c r="S72" s="6"/>
      <c r="T72" s="156"/>
      <c r="U72" s="6"/>
    </row>
    <row r="73" spans="1:21" customFormat="1">
      <c r="A73" s="201" t="s">
        <v>689</v>
      </c>
      <c r="B73" s="100">
        <v>2.5299999999999998</v>
      </c>
      <c r="C73" s="100">
        <v>11.34</v>
      </c>
      <c r="D73" s="100">
        <v>7.96</v>
      </c>
      <c r="E73" s="100">
        <v>2.12</v>
      </c>
      <c r="F73" s="100">
        <v>2.79</v>
      </c>
      <c r="G73" s="100">
        <v>15.15</v>
      </c>
      <c r="H73" s="100">
        <v>0.91</v>
      </c>
      <c r="I73" s="100">
        <v>2.2799999999999998</v>
      </c>
      <c r="J73" s="100">
        <v>0.33</v>
      </c>
      <c r="K73" s="100">
        <v>210.53</v>
      </c>
      <c r="L73" s="100">
        <v>30.29</v>
      </c>
      <c r="M73" s="100">
        <v>70.16</v>
      </c>
      <c r="N73" s="100">
        <v>66.599999999999994</v>
      </c>
      <c r="O73" s="100">
        <v>0</v>
      </c>
      <c r="P73" s="100">
        <v>0.14000000000000001</v>
      </c>
      <c r="Q73" s="100">
        <v>10</v>
      </c>
      <c r="R73" s="6"/>
      <c r="S73" s="6"/>
      <c r="T73" s="156"/>
      <c r="U73" s="6"/>
    </row>
    <row r="74" spans="1:21" customFormat="1">
      <c r="A74" s="201" t="s">
        <v>690</v>
      </c>
      <c r="B74" s="100">
        <v>2.61</v>
      </c>
      <c r="C74" s="100">
        <v>11.36</v>
      </c>
      <c r="D74" s="100">
        <v>8.0299999999999994</v>
      </c>
      <c r="E74" s="100">
        <v>2.39</v>
      </c>
      <c r="F74" s="100">
        <v>3.24</v>
      </c>
      <c r="G74" s="100">
        <v>15.15</v>
      </c>
      <c r="H74" s="100">
        <v>0.91</v>
      </c>
      <c r="I74" s="100">
        <v>2.29</v>
      </c>
      <c r="J74" s="100">
        <v>0.44</v>
      </c>
      <c r="K74" s="100">
        <v>216.31</v>
      </c>
      <c r="L74" s="100">
        <v>29.91</v>
      </c>
      <c r="M74" s="100">
        <v>70.819999999999993</v>
      </c>
      <c r="N74" s="100">
        <v>53.8</v>
      </c>
      <c r="O74" s="100">
        <v>0</v>
      </c>
      <c r="P74" s="100">
        <v>0.14000000000000001</v>
      </c>
      <c r="Q74" s="100">
        <v>10</v>
      </c>
      <c r="R74" s="6"/>
      <c r="S74" s="6"/>
      <c r="T74" s="156"/>
      <c r="U74" s="6"/>
    </row>
    <row r="75" spans="1:21" customFormat="1">
      <c r="A75" s="201" t="s">
        <v>691</v>
      </c>
      <c r="B75" s="100">
        <v>2.69</v>
      </c>
      <c r="C75" s="100">
        <v>11.37</v>
      </c>
      <c r="D75" s="100">
        <v>8.09</v>
      </c>
      <c r="E75" s="100">
        <v>2.36</v>
      </c>
      <c r="F75" s="100">
        <v>4.0599999999999996</v>
      </c>
      <c r="G75" s="100">
        <v>13.37</v>
      </c>
      <c r="H75" s="100">
        <v>3.86</v>
      </c>
      <c r="I75" s="100">
        <v>2.3199999999999998</v>
      </c>
      <c r="J75" s="100">
        <v>0.28999999999999998</v>
      </c>
      <c r="K75" s="100">
        <v>205.75</v>
      </c>
      <c r="L75" s="100">
        <v>29.81</v>
      </c>
      <c r="M75" s="100">
        <v>71.91</v>
      </c>
      <c r="N75" s="100">
        <v>46.8</v>
      </c>
      <c r="O75" s="100">
        <v>0</v>
      </c>
      <c r="P75" s="100">
        <v>0.13</v>
      </c>
      <c r="Q75" s="100">
        <v>10</v>
      </c>
      <c r="R75" s="6"/>
      <c r="S75" s="6"/>
      <c r="T75" s="156"/>
      <c r="U75" s="6"/>
    </row>
    <row r="76" spans="1:21" customFormat="1">
      <c r="A76" s="201" t="s">
        <v>692</v>
      </c>
      <c r="B76" s="100">
        <v>2.8</v>
      </c>
      <c r="C76" s="100">
        <v>11.36</v>
      </c>
      <c r="D76" s="100">
        <v>8.18</v>
      </c>
      <c r="E76" s="100">
        <v>2.54</v>
      </c>
      <c r="F76" s="100">
        <v>2.2200000000000002</v>
      </c>
      <c r="G76" s="100">
        <v>12.93</v>
      </c>
      <c r="H76" s="100">
        <v>3.92</v>
      </c>
      <c r="I76" s="100">
        <v>2.3199999999999998</v>
      </c>
      <c r="J76" s="100">
        <v>0.23</v>
      </c>
      <c r="K76" s="100">
        <v>197.42</v>
      </c>
      <c r="L76" s="100">
        <v>29.58</v>
      </c>
      <c r="M76" s="100">
        <v>74.53</v>
      </c>
      <c r="N76" s="100">
        <v>39.9</v>
      </c>
      <c r="O76" s="100">
        <v>0</v>
      </c>
      <c r="P76" s="100">
        <v>0.14000000000000001</v>
      </c>
      <c r="Q76" s="100">
        <v>10</v>
      </c>
      <c r="R76" s="6"/>
      <c r="S76" s="6"/>
      <c r="T76" s="156"/>
      <c r="U76" s="6"/>
    </row>
    <row r="77" spans="1:21" customFormat="1">
      <c r="A77" s="201" t="s">
        <v>693</v>
      </c>
      <c r="B77" s="100">
        <v>2.91</v>
      </c>
      <c r="C77" s="100">
        <v>11.46</v>
      </c>
      <c r="D77" s="100">
        <v>8.32</v>
      </c>
      <c r="E77" s="100">
        <v>2.78</v>
      </c>
      <c r="F77" s="100">
        <v>2.61</v>
      </c>
      <c r="G77" s="100">
        <v>12.93</v>
      </c>
      <c r="H77" s="100">
        <v>3.92</v>
      </c>
      <c r="I77" s="100">
        <v>2.34</v>
      </c>
      <c r="J77" s="100">
        <v>0.31</v>
      </c>
      <c r="K77" s="100">
        <v>217.06</v>
      </c>
      <c r="L77" s="100">
        <v>29.39</v>
      </c>
      <c r="M77" s="100">
        <v>73.84</v>
      </c>
      <c r="N77" s="100">
        <v>36.200000000000003</v>
      </c>
      <c r="O77" s="100">
        <v>0</v>
      </c>
      <c r="P77" s="100">
        <v>0.14000000000000001</v>
      </c>
      <c r="Q77" s="100">
        <v>10</v>
      </c>
      <c r="R77" s="6"/>
      <c r="S77" s="6"/>
      <c r="T77" s="156"/>
      <c r="U77" s="6"/>
    </row>
    <row r="78" spans="1:21" customFormat="1">
      <c r="A78" s="201" t="s">
        <v>694</v>
      </c>
      <c r="B78" s="100">
        <v>2.99</v>
      </c>
      <c r="C78" s="100">
        <v>11.45</v>
      </c>
      <c r="D78" s="100">
        <v>8.3800000000000008</v>
      </c>
      <c r="E78" s="100">
        <v>2.9</v>
      </c>
      <c r="F78" s="100">
        <v>2.2400000000000002</v>
      </c>
      <c r="G78" s="100">
        <v>12.93</v>
      </c>
      <c r="H78" s="100">
        <v>3.92</v>
      </c>
      <c r="I78" s="100">
        <v>2.36</v>
      </c>
      <c r="J78" s="100">
        <v>0.27</v>
      </c>
      <c r="K78" s="100">
        <v>214.81</v>
      </c>
      <c r="L78" s="100">
        <v>29.22</v>
      </c>
      <c r="M78" s="100">
        <v>76.69</v>
      </c>
      <c r="N78" s="100">
        <v>35.299999999999997</v>
      </c>
      <c r="O78" s="100">
        <v>0</v>
      </c>
      <c r="P78" s="100">
        <v>0.14000000000000001</v>
      </c>
      <c r="Q78" s="100">
        <v>10</v>
      </c>
      <c r="R78" s="6"/>
      <c r="S78" s="6"/>
      <c r="T78" s="156"/>
      <c r="U78" s="6"/>
    </row>
    <row r="79" spans="1:21" customFormat="1">
      <c r="A79" s="201" t="s">
        <v>695</v>
      </c>
      <c r="B79" s="100">
        <v>3.03</v>
      </c>
      <c r="C79" s="100">
        <v>11.39</v>
      </c>
      <c r="D79" s="100">
        <v>8.3800000000000008</v>
      </c>
      <c r="E79" s="100">
        <v>3.02</v>
      </c>
      <c r="F79" s="100">
        <v>2.52</v>
      </c>
      <c r="G79" s="100">
        <v>21.64</v>
      </c>
      <c r="H79" s="100">
        <v>10.94</v>
      </c>
      <c r="I79" s="100">
        <v>2.38</v>
      </c>
      <c r="J79" s="100">
        <v>0.35</v>
      </c>
      <c r="K79" s="100">
        <v>218.46</v>
      </c>
      <c r="L79" s="100">
        <v>28.92</v>
      </c>
      <c r="M79" s="100">
        <v>76.14</v>
      </c>
      <c r="N79" s="100">
        <v>24.9</v>
      </c>
      <c r="O79" s="100">
        <v>0</v>
      </c>
      <c r="P79" s="100">
        <v>0.14000000000000001</v>
      </c>
      <c r="Q79" s="100">
        <v>10</v>
      </c>
      <c r="R79" s="6"/>
      <c r="S79" s="6"/>
      <c r="T79" s="156"/>
      <c r="U79" s="6"/>
    </row>
    <row r="80" spans="1:21" customFormat="1">
      <c r="A80" s="201" t="s">
        <v>696</v>
      </c>
      <c r="B80" s="100">
        <v>3.08</v>
      </c>
      <c r="C80" s="100">
        <v>11.49</v>
      </c>
      <c r="D80" s="100">
        <v>8.48</v>
      </c>
      <c r="E80" s="100">
        <v>3.5</v>
      </c>
      <c r="F80" s="100">
        <v>2.12</v>
      </c>
      <c r="G80" s="100">
        <v>23.82</v>
      </c>
      <c r="H80" s="100">
        <v>10.94</v>
      </c>
      <c r="I80" s="100">
        <v>2.41</v>
      </c>
      <c r="J80" s="100">
        <v>0.21</v>
      </c>
      <c r="K80" s="100">
        <v>210.71</v>
      </c>
      <c r="L80" s="100">
        <v>28.65</v>
      </c>
      <c r="M80" s="100">
        <v>76.52</v>
      </c>
      <c r="N80" s="100">
        <v>16.399999999999999</v>
      </c>
      <c r="O80" s="100">
        <v>0</v>
      </c>
      <c r="P80" s="100">
        <v>0.15</v>
      </c>
      <c r="Q80" s="100">
        <v>10</v>
      </c>
      <c r="R80" s="6"/>
      <c r="S80" s="6"/>
      <c r="T80" s="156"/>
      <c r="U80" s="6"/>
    </row>
    <row r="81" spans="1:21" customFormat="1">
      <c r="A81" s="201" t="s">
        <v>697</v>
      </c>
      <c r="B81" s="100">
        <v>3.12</v>
      </c>
      <c r="C81" s="100">
        <v>11.54</v>
      </c>
      <c r="D81" s="100">
        <v>8.5299999999999994</v>
      </c>
      <c r="E81" s="100">
        <v>3.13</v>
      </c>
      <c r="F81" s="100">
        <v>2.11</v>
      </c>
      <c r="G81" s="100">
        <v>23.82</v>
      </c>
      <c r="H81" s="100">
        <v>10.94</v>
      </c>
      <c r="I81" s="100">
        <v>2.4300000000000002</v>
      </c>
      <c r="J81" s="100">
        <v>0.14000000000000001</v>
      </c>
      <c r="K81" s="100">
        <v>200.4</v>
      </c>
      <c r="L81" s="100">
        <v>28.39</v>
      </c>
      <c r="M81" s="100">
        <v>78.790000000000006</v>
      </c>
      <c r="N81" s="100">
        <v>6.3</v>
      </c>
      <c r="O81" s="100">
        <v>0</v>
      </c>
      <c r="P81" s="100">
        <v>0.16</v>
      </c>
      <c r="Q81" s="100">
        <v>10</v>
      </c>
      <c r="R81" s="6"/>
      <c r="S81" s="6"/>
      <c r="T81" s="156"/>
      <c r="U81" s="6"/>
    </row>
    <row r="82" spans="1:21" customFormat="1">
      <c r="A82" s="201" t="s">
        <v>698</v>
      </c>
      <c r="B82" s="100">
        <v>3.16</v>
      </c>
      <c r="C82" s="100">
        <v>11.57</v>
      </c>
      <c r="D82" s="100">
        <v>8.58</v>
      </c>
      <c r="E82" s="100">
        <v>3.85</v>
      </c>
      <c r="F82" s="100">
        <v>2.17</v>
      </c>
      <c r="G82" s="100">
        <v>23.82</v>
      </c>
      <c r="H82" s="100">
        <v>10.94</v>
      </c>
      <c r="I82" s="100">
        <v>2.48</v>
      </c>
      <c r="J82" s="100">
        <v>0.19</v>
      </c>
      <c r="K82" s="100">
        <v>188.15</v>
      </c>
      <c r="L82" s="100">
        <v>28.13</v>
      </c>
      <c r="M82" s="100">
        <v>79.930000000000007</v>
      </c>
      <c r="N82" s="100">
        <v>2.8</v>
      </c>
      <c r="O82" s="100">
        <v>0</v>
      </c>
      <c r="P82" s="100">
        <v>0.15</v>
      </c>
      <c r="Q82" s="100">
        <v>10</v>
      </c>
      <c r="R82" s="6"/>
      <c r="S82" s="6"/>
      <c r="T82" s="156"/>
      <c r="U82" s="6"/>
    </row>
    <row r="83" spans="1:21" customFormat="1">
      <c r="A83" s="201" t="s">
        <v>699</v>
      </c>
      <c r="B83" s="100">
        <v>3.24</v>
      </c>
      <c r="C83" s="100">
        <v>11.52</v>
      </c>
      <c r="D83" s="100">
        <v>8.6199999999999992</v>
      </c>
      <c r="E83" s="100">
        <v>4.13</v>
      </c>
      <c r="F83" s="100">
        <v>2.0699999999999998</v>
      </c>
      <c r="G83" s="100">
        <v>22.3</v>
      </c>
      <c r="H83" s="100">
        <v>9.26</v>
      </c>
      <c r="I83" s="100">
        <v>2.4900000000000002</v>
      </c>
      <c r="J83" s="100">
        <v>0.16</v>
      </c>
      <c r="K83" s="100">
        <v>158.02000000000001</v>
      </c>
      <c r="L83" s="100">
        <v>27.95</v>
      </c>
      <c r="M83" s="100">
        <v>80.77</v>
      </c>
      <c r="N83" s="100">
        <v>2.4</v>
      </c>
      <c r="O83" s="100">
        <v>0</v>
      </c>
      <c r="P83" s="100">
        <v>0.16</v>
      </c>
      <c r="Q83" s="100">
        <v>10</v>
      </c>
      <c r="R83" s="6"/>
      <c r="S83" s="6"/>
      <c r="T83" s="156"/>
      <c r="U83" s="6"/>
    </row>
    <row r="84" spans="1:21" customFormat="1">
      <c r="A84" s="201" t="s">
        <v>700</v>
      </c>
      <c r="B84" s="100">
        <v>3.34</v>
      </c>
      <c r="C84" s="100">
        <v>11.48</v>
      </c>
      <c r="D84" s="100">
        <v>8.68</v>
      </c>
      <c r="E84" s="100">
        <v>4.09</v>
      </c>
      <c r="F84" s="100">
        <v>2.0299999999999998</v>
      </c>
      <c r="G84" s="100">
        <v>21.92</v>
      </c>
      <c r="H84" s="100">
        <v>9.26</v>
      </c>
      <c r="I84" s="100">
        <v>2.5099999999999998</v>
      </c>
      <c r="J84" s="100">
        <v>0.13</v>
      </c>
      <c r="K84" s="100">
        <v>175.55</v>
      </c>
      <c r="L84" s="100">
        <v>27.76</v>
      </c>
      <c r="M84" s="100">
        <v>83.66</v>
      </c>
      <c r="N84" s="100">
        <v>2.2000000000000002</v>
      </c>
      <c r="O84" s="100">
        <v>0</v>
      </c>
      <c r="P84" s="100">
        <v>0.17</v>
      </c>
      <c r="Q84" s="100">
        <v>10</v>
      </c>
      <c r="R84" s="6"/>
      <c r="S84" s="6"/>
      <c r="T84" s="156"/>
      <c r="U84" s="6"/>
    </row>
    <row r="85" spans="1:21" customFormat="1">
      <c r="A85" s="201" t="s">
        <v>701</v>
      </c>
      <c r="B85" s="100">
        <v>3.4</v>
      </c>
      <c r="C85" s="100">
        <v>11.5</v>
      </c>
      <c r="D85" s="100">
        <v>8.73</v>
      </c>
      <c r="E85" s="100">
        <v>4.17</v>
      </c>
      <c r="F85" s="100">
        <v>2.1</v>
      </c>
      <c r="G85" s="100">
        <v>21.92</v>
      </c>
      <c r="H85" s="100">
        <v>9.26</v>
      </c>
      <c r="I85" s="100">
        <v>2.58</v>
      </c>
      <c r="J85" s="100">
        <v>0.3</v>
      </c>
      <c r="K85" s="100">
        <v>211.2</v>
      </c>
      <c r="L85" s="100">
        <v>27.59</v>
      </c>
      <c r="M85" s="100">
        <v>85.69</v>
      </c>
      <c r="N85" s="100">
        <v>2.2000000000000002</v>
      </c>
      <c r="O85" s="100">
        <v>0</v>
      </c>
      <c r="P85" s="100">
        <v>0.17</v>
      </c>
      <c r="Q85" s="100">
        <v>10</v>
      </c>
      <c r="R85" s="6"/>
      <c r="S85" s="6"/>
      <c r="T85" s="156"/>
      <c r="U85" s="6"/>
    </row>
    <row r="86" spans="1:21" customFormat="1">
      <c r="A86" s="201" t="s">
        <v>702</v>
      </c>
      <c r="B86" s="100">
        <v>3.5</v>
      </c>
      <c r="C86" s="100">
        <v>11.4</v>
      </c>
      <c r="D86" s="100">
        <v>8.76</v>
      </c>
      <c r="E86" s="100">
        <v>3.96</v>
      </c>
      <c r="F86" s="100">
        <v>2</v>
      </c>
      <c r="G86" s="100">
        <v>21.92</v>
      </c>
      <c r="H86" s="100">
        <v>9.26</v>
      </c>
      <c r="I86" s="100">
        <v>2.7</v>
      </c>
      <c r="J86" s="100">
        <v>0.36</v>
      </c>
      <c r="K86" s="100">
        <v>217.07</v>
      </c>
      <c r="L86" s="100">
        <v>27.55</v>
      </c>
      <c r="M86" s="100">
        <v>81.81</v>
      </c>
      <c r="N86" s="100">
        <v>2.2000000000000002</v>
      </c>
      <c r="O86" s="100">
        <v>0</v>
      </c>
      <c r="P86" s="100">
        <v>0.17</v>
      </c>
      <c r="Q86" s="100">
        <v>10</v>
      </c>
      <c r="R86" s="6"/>
      <c r="S86" s="6"/>
      <c r="T86" s="156"/>
      <c r="U86" s="6"/>
    </row>
    <row r="87" spans="1:21" customFormat="1">
      <c r="A87" s="201" t="s">
        <v>703</v>
      </c>
      <c r="B87" s="100">
        <v>3.57</v>
      </c>
      <c r="C87" s="100">
        <v>11.35</v>
      </c>
      <c r="D87" s="100">
        <v>8.7899999999999991</v>
      </c>
      <c r="E87" s="100">
        <v>4.41</v>
      </c>
      <c r="F87" s="100">
        <v>2.0099999999999998</v>
      </c>
      <c r="G87" s="100">
        <v>21.39</v>
      </c>
      <c r="H87" s="100">
        <v>7.13</v>
      </c>
      <c r="I87" s="100">
        <v>2.92</v>
      </c>
      <c r="J87" s="100">
        <v>0.17</v>
      </c>
      <c r="K87" s="100">
        <v>191.25</v>
      </c>
      <c r="L87" s="100">
        <v>27.23</v>
      </c>
      <c r="M87" s="100">
        <v>83.46</v>
      </c>
      <c r="N87" s="100">
        <v>2.4</v>
      </c>
      <c r="O87" s="100">
        <v>0</v>
      </c>
      <c r="P87" s="100">
        <v>0.18</v>
      </c>
      <c r="Q87" s="100">
        <v>10</v>
      </c>
      <c r="R87" s="6"/>
      <c r="S87" s="6"/>
      <c r="T87" s="156"/>
      <c r="U87" s="6"/>
    </row>
    <row r="88" spans="1:21" customFormat="1">
      <c r="A88" s="201" t="s">
        <v>704</v>
      </c>
      <c r="B88" s="100">
        <v>3.63</v>
      </c>
      <c r="C88" s="100">
        <v>11.4</v>
      </c>
      <c r="D88" s="100">
        <v>8.8699999999999992</v>
      </c>
      <c r="E88" s="100">
        <v>4.5599999999999996</v>
      </c>
      <c r="F88" s="100">
        <v>2.0299999999999998</v>
      </c>
      <c r="G88" s="100">
        <v>21.26</v>
      </c>
      <c r="H88" s="100">
        <v>7.13</v>
      </c>
      <c r="I88" s="100">
        <v>3.12</v>
      </c>
      <c r="J88" s="100">
        <v>0.13</v>
      </c>
      <c r="K88" s="100">
        <v>174.52</v>
      </c>
      <c r="L88" s="100">
        <v>26.91</v>
      </c>
      <c r="M88" s="100">
        <v>83.81</v>
      </c>
      <c r="N88" s="100">
        <v>2.4</v>
      </c>
      <c r="O88" s="100">
        <v>0</v>
      </c>
      <c r="P88" s="100">
        <v>0.18</v>
      </c>
      <c r="Q88" s="100">
        <v>10</v>
      </c>
      <c r="R88" s="6"/>
      <c r="S88" s="6"/>
      <c r="T88" s="156"/>
      <c r="U88" s="6"/>
    </row>
    <row r="89" spans="1:21" customFormat="1">
      <c r="A89" s="201" t="s">
        <v>705</v>
      </c>
      <c r="B89" s="100">
        <v>3.66</v>
      </c>
      <c r="C89" s="100">
        <v>11.36</v>
      </c>
      <c r="D89" s="100">
        <v>8.8699999999999992</v>
      </c>
      <c r="E89" s="100">
        <v>4.28</v>
      </c>
      <c r="F89" s="100">
        <v>2</v>
      </c>
      <c r="G89" s="100">
        <v>21.26</v>
      </c>
      <c r="H89" s="100">
        <v>7.13</v>
      </c>
      <c r="I89" s="100">
        <v>3.2</v>
      </c>
      <c r="J89" s="100">
        <v>0.1</v>
      </c>
      <c r="K89" s="100">
        <v>196.55</v>
      </c>
      <c r="L89" s="100">
        <v>26.59</v>
      </c>
      <c r="M89" s="100">
        <v>86.47</v>
      </c>
      <c r="N89" s="100">
        <v>2.2000000000000002</v>
      </c>
      <c r="O89" s="100">
        <v>0</v>
      </c>
      <c r="P89" s="100">
        <v>0.18</v>
      </c>
      <c r="Q89" s="100">
        <v>10</v>
      </c>
      <c r="R89" s="6"/>
      <c r="S89" s="6"/>
      <c r="T89" s="156"/>
      <c r="U89" s="6"/>
    </row>
    <row r="90" spans="1:21" customFormat="1">
      <c r="A90" s="201" t="s">
        <v>706</v>
      </c>
      <c r="B90" s="100">
        <v>3.81</v>
      </c>
      <c r="C90" s="100">
        <v>11.33</v>
      </c>
      <c r="D90" s="100">
        <v>8.98</v>
      </c>
      <c r="E90" s="100">
        <v>4.84</v>
      </c>
      <c r="F90" s="100">
        <v>2</v>
      </c>
      <c r="G90" s="100">
        <v>21.26</v>
      </c>
      <c r="H90" s="100">
        <v>7.13</v>
      </c>
      <c r="I90" s="100">
        <v>3.23</v>
      </c>
      <c r="J90" s="100">
        <v>0.12</v>
      </c>
      <c r="K90" s="100">
        <v>174.62</v>
      </c>
      <c r="L90" s="100">
        <v>26.27</v>
      </c>
      <c r="M90" s="100">
        <v>87.89</v>
      </c>
      <c r="N90" s="100">
        <v>2.1</v>
      </c>
      <c r="O90" s="100">
        <v>0</v>
      </c>
      <c r="P90" s="100">
        <v>0.18</v>
      </c>
      <c r="Q90" s="100">
        <v>10</v>
      </c>
      <c r="R90" s="6"/>
      <c r="S90" s="6"/>
      <c r="T90" s="156"/>
      <c r="U90" s="6"/>
    </row>
    <row r="91" spans="1:21" customFormat="1">
      <c r="A91" s="201" t="s">
        <v>707</v>
      </c>
      <c r="B91" s="100">
        <v>3.97</v>
      </c>
      <c r="C91" s="100">
        <v>11.15</v>
      </c>
      <c r="D91" s="100">
        <v>9.01</v>
      </c>
      <c r="E91" s="100">
        <v>4.42</v>
      </c>
      <c r="F91" s="100">
        <v>2.7</v>
      </c>
      <c r="G91" s="100">
        <v>22.44</v>
      </c>
      <c r="H91" s="100">
        <v>8.07</v>
      </c>
      <c r="I91" s="100">
        <v>3.26</v>
      </c>
      <c r="J91" s="100">
        <v>0.1</v>
      </c>
      <c r="K91" s="100">
        <v>191.16</v>
      </c>
      <c r="L91" s="100">
        <v>26.07</v>
      </c>
      <c r="M91" s="100">
        <v>88.95</v>
      </c>
      <c r="N91" s="100">
        <v>2.1</v>
      </c>
      <c r="O91" s="100">
        <v>0</v>
      </c>
      <c r="P91" s="100">
        <v>0.14000000000000001</v>
      </c>
      <c r="Q91" s="100">
        <v>10</v>
      </c>
      <c r="R91" s="6"/>
      <c r="S91" s="6"/>
      <c r="T91" s="156"/>
      <c r="U91" s="6"/>
    </row>
    <row r="92" spans="1:21" customFormat="1">
      <c r="A92" s="201" t="s">
        <v>708</v>
      </c>
      <c r="B92" s="100">
        <v>4.21</v>
      </c>
      <c r="C92" s="100">
        <v>11.33</v>
      </c>
      <c r="D92" s="100">
        <v>9.2899999999999991</v>
      </c>
      <c r="E92" s="100">
        <v>4.18</v>
      </c>
      <c r="F92" s="100">
        <v>3.16</v>
      </c>
      <c r="G92" s="100">
        <v>22.74</v>
      </c>
      <c r="H92" s="100">
        <v>8.07</v>
      </c>
      <c r="I92" s="100">
        <v>3.27</v>
      </c>
      <c r="J92" s="100">
        <v>0.08</v>
      </c>
      <c r="K92" s="100">
        <v>207.02</v>
      </c>
      <c r="L92" s="100">
        <v>25.9</v>
      </c>
      <c r="M92" s="100">
        <v>91.19</v>
      </c>
      <c r="N92" s="100">
        <v>2.1</v>
      </c>
      <c r="O92" s="100">
        <v>0</v>
      </c>
      <c r="P92" s="100">
        <v>0.15</v>
      </c>
      <c r="Q92" s="100">
        <v>10</v>
      </c>
      <c r="R92" s="6"/>
      <c r="S92" s="6"/>
      <c r="T92" s="156"/>
      <c r="U92" s="6"/>
    </row>
    <row r="93" spans="1:21" customFormat="1">
      <c r="A93" s="201" t="s">
        <v>709</v>
      </c>
      <c r="B93" s="100">
        <v>4.4800000000000004</v>
      </c>
      <c r="C93" s="100">
        <v>11.55</v>
      </c>
      <c r="D93" s="100">
        <v>9.6199999999999992</v>
      </c>
      <c r="E93" s="100">
        <v>4.17</v>
      </c>
      <c r="F93" s="100">
        <v>2</v>
      </c>
      <c r="G93" s="100">
        <v>22.74</v>
      </c>
      <c r="H93" s="100">
        <v>8.07</v>
      </c>
      <c r="I93" s="100">
        <v>3.26</v>
      </c>
      <c r="J93" s="100">
        <v>0.05</v>
      </c>
      <c r="K93" s="100">
        <v>218.71</v>
      </c>
      <c r="L93" s="100">
        <v>25.78</v>
      </c>
      <c r="M93" s="100">
        <v>92.85</v>
      </c>
      <c r="N93" s="100">
        <v>2.1</v>
      </c>
      <c r="O93" s="100">
        <v>0</v>
      </c>
      <c r="P93" s="100">
        <v>0.16</v>
      </c>
      <c r="Q93" s="100">
        <v>10</v>
      </c>
      <c r="R93" s="6"/>
      <c r="S93" s="6"/>
      <c r="T93" s="156"/>
      <c r="U93" s="6"/>
    </row>
    <row r="94" spans="1:21" customFormat="1">
      <c r="A94" s="201" t="s">
        <v>710</v>
      </c>
      <c r="B94" s="100">
        <v>4.66</v>
      </c>
      <c r="C94" s="100">
        <v>11.5</v>
      </c>
      <c r="D94" s="100">
        <v>9.75</v>
      </c>
      <c r="E94" s="100">
        <v>4.12</v>
      </c>
      <c r="F94" s="100">
        <v>2.65</v>
      </c>
      <c r="G94" s="100">
        <v>22.74</v>
      </c>
      <c r="H94" s="100">
        <v>8.07</v>
      </c>
      <c r="I94" s="100">
        <v>3.35</v>
      </c>
      <c r="J94" s="100">
        <v>0.08</v>
      </c>
      <c r="K94" s="100">
        <v>155.83000000000001</v>
      </c>
      <c r="L94" s="100">
        <v>25.67</v>
      </c>
      <c r="M94" s="100">
        <v>93.06</v>
      </c>
      <c r="N94" s="100">
        <v>2.1</v>
      </c>
      <c r="O94" s="100">
        <v>0</v>
      </c>
      <c r="P94" s="100">
        <v>0.14000000000000001</v>
      </c>
      <c r="Q94" s="100">
        <v>10</v>
      </c>
      <c r="R94" s="6"/>
      <c r="S94" s="6"/>
      <c r="T94" s="156"/>
      <c r="U94" s="6"/>
    </row>
    <row r="95" spans="1:21" customFormat="1">
      <c r="A95" s="201" t="s">
        <v>711</v>
      </c>
      <c r="B95" s="100">
        <v>4.7699999999999996</v>
      </c>
      <c r="C95" s="100">
        <v>11.37</v>
      </c>
      <c r="D95" s="100">
        <v>9.76</v>
      </c>
      <c r="E95" s="100">
        <v>3.72</v>
      </c>
      <c r="F95" s="100">
        <v>2.09</v>
      </c>
      <c r="G95" s="100">
        <v>25.85</v>
      </c>
      <c r="H95" s="100">
        <v>5.74</v>
      </c>
      <c r="I95" s="100">
        <v>3.45</v>
      </c>
      <c r="J95" s="100">
        <v>0.12</v>
      </c>
      <c r="K95" s="100">
        <v>168.8</v>
      </c>
      <c r="L95" s="100">
        <v>25.64</v>
      </c>
      <c r="M95" s="100">
        <v>93.09</v>
      </c>
      <c r="N95" s="100">
        <v>2.1</v>
      </c>
      <c r="O95" s="100">
        <v>0</v>
      </c>
      <c r="P95" s="100">
        <v>0.14000000000000001</v>
      </c>
      <c r="Q95" s="100">
        <v>10</v>
      </c>
      <c r="R95" s="6"/>
      <c r="S95" s="6"/>
      <c r="T95" s="156"/>
      <c r="U95" s="6"/>
    </row>
    <row r="96" spans="1:21" customFormat="1">
      <c r="A96" s="201" t="s">
        <v>712</v>
      </c>
      <c r="B96" s="100">
        <v>5.04</v>
      </c>
      <c r="C96" s="100">
        <v>11.58</v>
      </c>
      <c r="D96" s="100">
        <v>10.09</v>
      </c>
      <c r="E96" s="100">
        <v>3.92</v>
      </c>
      <c r="F96" s="100">
        <v>2</v>
      </c>
      <c r="G96" s="100">
        <v>26.63</v>
      </c>
      <c r="H96" s="100">
        <v>5.74</v>
      </c>
      <c r="I96" s="100">
        <v>3.43</v>
      </c>
      <c r="J96" s="100">
        <v>0.06</v>
      </c>
      <c r="K96" s="100">
        <v>208.06</v>
      </c>
      <c r="L96" s="100">
        <v>25.49</v>
      </c>
      <c r="M96" s="100">
        <v>94.58</v>
      </c>
      <c r="N96" s="100">
        <v>2.1</v>
      </c>
      <c r="O96" s="100">
        <v>0</v>
      </c>
      <c r="P96" s="100">
        <v>0.16</v>
      </c>
      <c r="Q96" s="100">
        <v>10</v>
      </c>
      <c r="R96" s="6"/>
      <c r="S96" s="6"/>
      <c r="T96" s="156"/>
      <c r="U96" s="6"/>
    </row>
    <row r="97" spans="1:28" customFormat="1">
      <c r="A97" s="201" t="s">
        <v>713</v>
      </c>
      <c r="B97" s="100">
        <v>5.2</v>
      </c>
      <c r="C97" s="100">
        <v>11.41</v>
      </c>
      <c r="D97" s="100">
        <v>10.130000000000001</v>
      </c>
      <c r="E97" s="100">
        <v>4.05</v>
      </c>
      <c r="F97" s="100">
        <v>2</v>
      </c>
      <c r="G97" s="100">
        <v>26.63</v>
      </c>
      <c r="H97" s="100">
        <v>5.74</v>
      </c>
      <c r="I97" s="100">
        <v>3.48</v>
      </c>
      <c r="J97" s="100">
        <v>0.05</v>
      </c>
      <c r="K97" s="100">
        <v>186.71</v>
      </c>
      <c r="L97" s="100">
        <v>25.31</v>
      </c>
      <c r="M97" s="100">
        <v>94.9</v>
      </c>
      <c r="N97" s="100">
        <v>2.1</v>
      </c>
      <c r="O97" s="100">
        <v>0</v>
      </c>
      <c r="P97" s="100">
        <v>0.14000000000000001</v>
      </c>
      <c r="Q97" s="100">
        <v>10</v>
      </c>
      <c r="R97" s="6"/>
      <c r="S97" s="6"/>
      <c r="T97" s="156"/>
      <c r="U97" s="6"/>
    </row>
    <row r="98" spans="1:28" customFormat="1">
      <c r="A98" s="201" t="s">
        <v>714</v>
      </c>
      <c r="B98" s="100">
        <v>5.39</v>
      </c>
      <c r="C98" s="100">
        <v>11.41</v>
      </c>
      <c r="D98" s="100">
        <v>10.28</v>
      </c>
      <c r="E98" s="100">
        <v>3.95</v>
      </c>
      <c r="F98" s="100">
        <v>2</v>
      </c>
      <c r="G98" s="100">
        <v>26.63</v>
      </c>
      <c r="H98" s="100">
        <v>5.74</v>
      </c>
      <c r="I98" s="100">
        <v>3.53</v>
      </c>
      <c r="J98" s="100">
        <v>0.09</v>
      </c>
      <c r="K98" s="100">
        <v>213.98</v>
      </c>
      <c r="L98" s="100">
        <v>25.24</v>
      </c>
      <c r="M98" s="100">
        <v>94.59</v>
      </c>
      <c r="N98" s="100">
        <v>2.1</v>
      </c>
      <c r="O98" s="100">
        <v>0</v>
      </c>
      <c r="P98" s="100">
        <v>0.16</v>
      </c>
      <c r="Q98" s="100">
        <v>10</v>
      </c>
      <c r="R98" s="6"/>
      <c r="S98" s="6"/>
      <c r="T98" s="156"/>
      <c r="U98" s="6"/>
    </row>
    <row r="99" spans="1:28" customFormat="1">
      <c r="A99" s="201" t="s">
        <v>715</v>
      </c>
      <c r="B99" s="100">
        <v>5.51</v>
      </c>
      <c r="C99" s="100">
        <v>11.33</v>
      </c>
      <c r="D99" s="100">
        <v>10.34</v>
      </c>
      <c r="E99" s="100">
        <v>4.58</v>
      </c>
      <c r="F99" s="100">
        <v>2</v>
      </c>
      <c r="G99" s="100">
        <v>21.17</v>
      </c>
      <c r="H99" s="100">
        <v>4.57</v>
      </c>
      <c r="I99" s="100">
        <v>3.49</v>
      </c>
      <c r="J99" s="100">
        <v>0.09</v>
      </c>
      <c r="K99" s="100">
        <v>196.94</v>
      </c>
      <c r="L99" s="100">
        <v>25.13</v>
      </c>
      <c r="M99" s="100">
        <v>95.67</v>
      </c>
      <c r="N99" s="100">
        <v>2</v>
      </c>
      <c r="O99" s="100">
        <v>0</v>
      </c>
      <c r="P99" s="100">
        <v>0.15</v>
      </c>
      <c r="Q99" s="100">
        <v>10</v>
      </c>
      <c r="R99" s="6"/>
      <c r="S99" s="6"/>
      <c r="T99" s="156"/>
      <c r="U99" s="6"/>
    </row>
    <row r="100" spans="1:28" customFormat="1">
      <c r="A100" s="201" t="s">
        <v>716</v>
      </c>
      <c r="B100" s="100">
        <v>5.65</v>
      </c>
      <c r="C100" s="100">
        <v>11.45</v>
      </c>
      <c r="D100" s="100">
        <v>10.52</v>
      </c>
      <c r="E100" s="100">
        <v>4.29</v>
      </c>
      <c r="F100" s="100">
        <v>2</v>
      </c>
      <c r="G100" s="100">
        <v>19.809999999999999</v>
      </c>
      <c r="H100" s="100">
        <v>4.57</v>
      </c>
      <c r="I100" s="100">
        <v>3.54</v>
      </c>
      <c r="J100" s="100">
        <v>0.03</v>
      </c>
      <c r="K100" s="100">
        <v>183</v>
      </c>
      <c r="L100" s="100">
        <v>25.13</v>
      </c>
      <c r="M100" s="100">
        <v>95.91</v>
      </c>
      <c r="N100" s="100">
        <v>2.1</v>
      </c>
      <c r="O100" s="100">
        <v>0</v>
      </c>
      <c r="P100" s="100">
        <v>0.16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717</v>
      </c>
      <c r="B101" s="100">
        <v>5.82</v>
      </c>
      <c r="C101" s="100">
        <v>11.43</v>
      </c>
      <c r="D101" s="100">
        <v>10.64</v>
      </c>
      <c r="E101" s="100">
        <v>4.3899999999999997</v>
      </c>
      <c r="F101" s="100">
        <v>2</v>
      </c>
      <c r="G101" s="100">
        <v>19.809999999999999</v>
      </c>
      <c r="H101" s="100">
        <v>4.57</v>
      </c>
      <c r="I101" s="100">
        <v>3.52</v>
      </c>
      <c r="J101" s="100">
        <v>0.05</v>
      </c>
      <c r="K101" s="100">
        <v>176.33</v>
      </c>
      <c r="L101" s="100">
        <v>25.1</v>
      </c>
      <c r="M101" s="100">
        <v>95.79</v>
      </c>
      <c r="N101" s="100">
        <v>2.1</v>
      </c>
      <c r="O101" s="100">
        <v>0</v>
      </c>
      <c r="P101" s="100">
        <v>0.17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718</v>
      </c>
      <c r="B102" s="100">
        <v>5.99</v>
      </c>
      <c r="C102" s="100">
        <v>11.36</v>
      </c>
      <c r="D102" s="100">
        <v>10.74</v>
      </c>
      <c r="E102" s="100">
        <v>4.1900000000000004</v>
      </c>
      <c r="F102" s="100">
        <v>2</v>
      </c>
      <c r="G102" s="100">
        <v>19.809999999999999</v>
      </c>
      <c r="H102" s="100">
        <v>4.57</v>
      </c>
      <c r="I102" s="100">
        <v>3.56</v>
      </c>
      <c r="J102" s="100">
        <v>7.0000000000000007E-2</v>
      </c>
      <c r="K102" s="100">
        <v>205.6</v>
      </c>
      <c r="L102" s="100">
        <v>25</v>
      </c>
      <c r="M102" s="100">
        <v>95.8</v>
      </c>
      <c r="N102" s="100">
        <v>2.1</v>
      </c>
      <c r="O102" s="100">
        <v>0</v>
      </c>
      <c r="P102" s="100">
        <v>0.16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719</v>
      </c>
      <c r="B103" s="100">
        <v>6.17</v>
      </c>
      <c r="C103" s="100">
        <v>11.4</v>
      </c>
      <c r="D103" s="100">
        <v>10.9</v>
      </c>
      <c r="E103" s="100">
        <v>4.34</v>
      </c>
      <c r="F103" s="100">
        <v>2</v>
      </c>
      <c r="G103" s="100">
        <v>23.65</v>
      </c>
      <c r="H103" s="100">
        <v>7.07</v>
      </c>
      <c r="I103" s="100">
        <v>3.57</v>
      </c>
      <c r="J103" s="100">
        <v>0.06</v>
      </c>
      <c r="K103" s="100">
        <v>186.17</v>
      </c>
      <c r="L103" s="100">
        <v>24.88</v>
      </c>
      <c r="M103" s="100">
        <v>95.36</v>
      </c>
      <c r="N103" s="100">
        <v>2.1</v>
      </c>
      <c r="O103" s="100">
        <v>0</v>
      </c>
      <c r="P103" s="100">
        <v>0.17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720</v>
      </c>
      <c r="B104" s="100">
        <v>6.32</v>
      </c>
      <c r="C104" s="100">
        <v>11.29</v>
      </c>
      <c r="D104" s="100">
        <v>10.97</v>
      </c>
      <c r="E104" s="100">
        <v>4.3600000000000003</v>
      </c>
      <c r="F104" s="100">
        <v>2</v>
      </c>
      <c r="G104" s="100">
        <v>24.61</v>
      </c>
      <c r="H104" s="100">
        <v>7.07</v>
      </c>
      <c r="I104" s="100">
        <v>3.63</v>
      </c>
      <c r="J104" s="100">
        <v>7.0000000000000007E-2</v>
      </c>
      <c r="K104" s="100">
        <v>164.86</v>
      </c>
      <c r="L104" s="100">
        <v>24.94</v>
      </c>
      <c r="M104" s="100">
        <v>95.72</v>
      </c>
      <c r="N104" s="100">
        <v>2.1</v>
      </c>
      <c r="O104" s="100">
        <v>0</v>
      </c>
      <c r="P104" s="100">
        <v>0.16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1.67</v>
      </c>
      <c r="C106" s="158">
        <f>MIN(C9:C104)</f>
        <v>7.52</v>
      </c>
      <c r="D106" s="158">
        <f t="shared" ref="D106:Q106" si="0">MIN(D9:D104)</f>
        <v>5.27</v>
      </c>
      <c r="E106" s="158">
        <f t="shared" si="0"/>
        <v>0.9</v>
      </c>
      <c r="F106" s="158">
        <f t="shared" si="0"/>
        <v>2</v>
      </c>
      <c r="G106" s="158">
        <f t="shared" si="0"/>
        <v>0</v>
      </c>
      <c r="H106" s="158">
        <f t="shared" si="0"/>
        <v>0</v>
      </c>
      <c r="I106" s="158">
        <f t="shared" si="0"/>
        <v>1.5</v>
      </c>
      <c r="J106" s="158">
        <f t="shared" si="0"/>
        <v>0.03</v>
      </c>
      <c r="K106" s="158">
        <f t="shared" si="0"/>
        <v>154.82</v>
      </c>
      <c r="L106" s="158">
        <f t="shared" si="0"/>
        <v>24.05</v>
      </c>
      <c r="M106" s="158">
        <f t="shared" si="0"/>
        <v>67.62</v>
      </c>
      <c r="N106" s="158">
        <f t="shared" si="0"/>
        <v>2</v>
      </c>
      <c r="O106" s="158">
        <f t="shared" si="0"/>
        <v>0</v>
      </c>
      <c r="P106" s="158">
        <f t="shared" si="0"/>
        <v>7.0000000000000007E-2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7.56</v>
      </c>
      <c r="C107" s="157">
        <f t="shared" ref="C107:Q107" si="1">MAX(C9:C104)</f>
        <v>11.58</v>
      </c>
      <c r="D107" s="157">
        <f t="shared" si="1"/>
        <v>12.1</v>
      </c>
      <c r="E107" s="157">
        <f t="shared" si="1"/>
        <v>6.44</v>
      </c>
      <c r="F107" s="157">
        <f t="shared" si="1"/>
        <v>21.43</v>
      </c>
      <c r="G107" s="157">
        <f t="shared" si="1"/>
        <v>26.63</v>
      </c>
      <c r="H107" s="157">
        <f t="shared" si="1"/>
        <v>10.94</v>
      </c>
      <c r="I107" s="157">
        <f t="shared" si="1"/>
        <v>3.63</v>
      </c>
      <c r="J107" s="157">
        <f t="shared" si="1"/>
        <v>0.75</v>
      </c>
      <c r="K107" s="157">
        <f t="shared" si="1"/>
        <v>219.37</v>
      </c>
      <c r="L107" s="157">
        <f t="shared" si="1"/>
        <v>30.96</v>
      </c>
      <c r="M107" s="157">
        <f t="shared" si="1"/>
        <v>95.91</v>
      </c>
      <c r="N107" s="157">
        <f t="shared" si="1"/>
        <v>686.5</v>
      </c>
      <c r="O107" s="157">
        <f t="shared" si="1"/>
        <v>0.4</v>
      </c>
      <c r="P107" s="157">
        <f t="shared" si="1"/>
        <v>0.18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4.6535416666666665</v>
      </c>
      <c r="C108" s="158">
        <f t="shared" ref="C108:Q108" si="2">AVERAGE(C9:C104)</f>
        <v>10.869166666666665</v>
      </c>
      <c r="D108" s="158">
        <f t="shared" si="2"/>
        <v>9.4103124999999999</v>
      </c>
      <c r="E108" s="158">
        <f t="shared" si="2"/>
        <v>4.1810416666666654</v>
      </c>
      <c r="F108" s="158">
        <f t="shared" si="2"/>
        <v>4.3712500000000007</v>
      </c>
      <c r="G108" s="158">
        <f t="shared" si="2"/>
        <v>15.295833333333336</v>
      </c>
      <c r="H108" s="158">
        <f t="shared" si="2"/>
        <v>4.5410416666666658</v>
      </c>
      <c r="I108" s="158">
        <f t="shared" si="2"/>
        <v>2.953958333333333</v>
      </c>
      <c r="J108" s="158">
        <f t="shared" si="2"/>
        <v>0.27093750000000011</v>
      </c>
      <c r="K108" s="158">
        <f t="shared" si="2"/>
        <v>202.83541666666659</v>
      </c>
      <c r="L108" s="158">
        <f t="shared" si="2"/>
        <v>26.93833333333335</v>
      </c>
      <c r="M108" s="158">
        <f t="shared" si="2"/>
        <v>81.690208333333345</v>
      </c>
      <c r="N108" s="158">
        <f t="shared" si="2"/>
        <v>98.893750000000026</v>
      </c>
      <c r="O108" s="158">
        <f t="shared" si="2"/>
        <v>4.1666666666666666E-3</v>
      </c>
      <c r="P108" s="158">
        <f t="shared" si="2"/>
        <v>0.13625000000000009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1.9028471626910559</v>
      </c>
      <c r="C109" s="158">
        <f t="shared" ref="C109:Q109" si="3">STDEV(C9:C104)</f>
        <v>1.1730945729961362</v>
      </c>
      <c r="D109" s="158">
        <f t="shared" si="3"/>
        <v>1.9805482776905827</v>
      </c>
      <c r="E109" s="158">
        <f t="shared" si="3"/>
        <v>1.7207112844871495</v>
      </c>
      <c r="F109" s="158">
        <f t="shared" si="3"/>
        <v>5.3999924463884765</v>
      </c>
      <c r="G109" s="158">
        <f t="shared" si="3"/>
        <v>5.702221666142453</v>
      </c>
      <c r="H109" s="158">
        <f t="shared" si="3"/>
        <v>2.9580802733375506</v>
      </c>
      <c r="I109" s="158">
        <f t="shared" si="3"/>
        <v>0.51092584520480944</v>
      </c>
      <c r="J109" s="158">
        <f t="shared" si="3"/>
        <v>0.18060179007680766</v>
      </c>
      <c r="K109" s="158">
        <f t="shared" si="3"/>
        <v>14.891326611340377</v>
      </c>
      <c r="L109" s="158">
        <f t="shared" si="3"/>
        <v>2.3776714246314135</v>
      </c>
      <c r="M109" s="158">
        <f t="shared" si="3"/>
        <v>7.6400779796470477</v>
      </c>
      <c r="N109" s="158">
        <f t="shared" si="3"/>
        <v>152.53363240006414</v>
      </c>
      <c r="O109" s="158">
        <f t="shared" si="3"/>
        <v>4.0824829046386304E-2</v>
      </c>
      <c r="P109" s="158">
        <f t="shared" si="3"/>
        <v>2.5015784490680777E-2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15" sqref="F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721</v>
      </c>
      <c r="B9" s="100">
        <v>6.33</v>
      </c>
      <c r="C9" s="100">
        <v>11.57</v>
      </c>
      <c r="D9" s="100">
        <v>11.12</v>
      </c>
      <c r="E9" s="100">
        <v>4.6100000000000003</v>
      </c>
      <c r="F9" s="100">
        <v>2</v>
      </c>
      <c r="G9" s="100">
        <v>24.61</v>
      </c>
      <c r="H9" s="100">
        <v>7.07</v>
      </c>
      <c r="I9" s="100">
        <v>3.74</v>
      </c>
      <c r="J9" s="100">
        <v>0.11</v>
      </c>
      <c r="K9" s="100">
        <v>158.54</v>
      </c>
      <c r="L9" s="100">
        <v>24.95</v>
      </c>
      <c r="M9" s="100">
        <v>94.3</v>
      </c>
      <c r="N9" s="100">
        <v>2</v>
      </c>
      <c r="O9" s="100">
        <v>0</v>
      </c>
      <c r="P9" s="100">
        <v>0.17</v>
      </c>
      <c r="Q9" s="100">
        <v>10</v>
      </c>
      <c r="R9" s="6"/>
      <c r="S9" s="6"/>
      <c r="T9" s="156"/>
      <c r="U9" s="6"/>
    </row>
    <row r="10" spans="1:21" customFormat="1">
      <c r="A10" s="201" t="s">
        <v>722</v>
      </c>
      <c r="B10" s="100">
        <v>6.48</v>
      </c>
      <c r="C10" s="100">
        <v>11.41</v>
      </c>
      <c r="D10" s="100">
        <v>11.16</v>
      </c>
      <c r="E10" s="100">
        <v>4.3099999999999996</v>
      </c>
      <c r="F10" s="100">
        <v>2</v>
      </c>
      <c r="G10" s="100">
        <v>24.61</v>
      </c>
      <c r="H10" s="100">
        <v>7.07</v>
      </c>
      <c r="I10" s="100">
        <v>3.7</v>
      </c>
      <c r="J10" s="100">
        <v>7.0000000000000007E-2</v>
      </c>
      <c r="K10" s="100">
        <v>187.47</v>
      </c>
      <c r="L10" s="100">
        <v>24.95</v>
      </c>
      <c r="M10" s="100">
        <v>94.52</v>
      </c>
      <c r="N10" s="100">
        <v>2.1</v>
      </c>
      <c r="O10" s="100">
        <v>0</v>
      </c>
      <c r="P10" s="100">
        <v>0.16</v>
      </c>
      <c r="Q10" s="100">
        <v>10</v>
      </c>
      <c r="R10" s="6"/>
      <c r="S10" s="6"/>
      <c r="T10" s="156"/>
      <c r="U10" s="6"/>
    </row>
    <row r="11" spans="1:21" customFormat="1">
      <c r="A11" s="201" t="s">
        <v>723</v>
      </c>
      <c r="B11" s="100">
        <v>6.63</v>
      </c>
      <c r="C11" s="100">
        <v>11.53</v>
      </c>
      <c r="D11" s="100">
        <v>11.34</v>
      </c>
      <c r="E11" s="100">
        <v>4.3499999999999996</v>
      </c>
      <c r="F11" s="100">
        <v>2</v>
      </c>
      <c r="G11" s="100">
        <v>23.97</v>
      </c>
      <c r="H11" s="100">
        <v>5.1100000000000003</v>
      </c>
      <c r="I11" s="100">
        <v>3.69</v>
      </c>
      <c r="J11" s="100">
        <v>0.08</v>
      </c>
      <c r="K11" s="100">
        <v>158.12</v>
      </c>
      <c r="L11" s="100">
        <v>24.86</v>
      </c>
      <c r="M11" s="100">
        <v>95.06</v>
      </c>
      <c r="N11" s="100">
        <v>2.1</v>
      </c>
      <c r="O11" s="100">
        <v>0</v>
      </c>
      <c r="P11" s="100">
        <v>0.18</v>
      </c>
      <c r="Q11" s="100">
        <v>10</v>
      </c>
      <c r="R11" s="6"/>
      <c r="S11" s="6"/>
      <c r="T11" s="156"/>
      <c r="U11" s="6"/>
    </row>
    <row r="12" spans="1:21" customFormat="1">
      <c r="A12" s="201" t="s">
        <v>724</v>
      </c>
      <c r="B12" s="100">
        <v>6.8</v>
      </c>
      <c r="C12" s="100">
        <v>11.45</v>
      </c>
      <c r="D12" s="100">
        <v>11.43</v>
      </c>
      <c r="E12" s="100">
        <v>4.67</v>
      </c>
      <c r="F12" s="100">
        <v>2</v>
      </c>
      <c r="G12" s="100">
        <v>23.81</v>
      </c>
      <c r="H12" s="100">
        <v>5.1100000000000003</v>
      </c>
      <c r="I12" s="100">
        <v>3.68</v>
      </c>
      <c r="J12" s="100">
        <v>0.09</v>
      </c>
      <c r="K12" s="100">
        <v>128.16999999999999</v>
      </c>
      <c r="L12" s="100">
        <v>24.8</v>
      </c>
      <c r="M12" s="100">
        <v>95.44</v>
      </c>
      <c r="N12" s="100">
        <v>2.1</v>
      </c>
      <c r="O12" s="100">
        <v>0</v>
      </c>
      <c r="P12" s="100">
        <v>0.16</v>
      </c>
      <c r="Q12" s="100">
        <v>10</v>
      </c>
      <c r="R12" s="6"/>
      <c r="S12" s="6"/>
      <c r="T12" s="156"/>
      <c r="U12" s="6"/>
    </row>
    <row r="13" spans="1:21" customFormat="1">
      <c r="A13" s="201" t="s">
        <v>725</v>
      </c>
      <c r="B13" s="100">
        <v>6.81</v>
      </c>
      <c r="C13" s="100">
        <v>11.42</v>
      </c>
      <c r="D13" s="100">
        <v>11.42</v>
      </c>
      <c r="E13" s="100">
        <v>4.6399999999999997</v>
      </c>
      <c r="F13" s="100">
        <v>2</v>
      </c>
      <c r="G13" s="100">
        <v>23.81</v>
      </c>
      <c r="H13" s="100">
        <v>5.1100000000000003</v>
      </c>
      <c r="I13" s="100">
        <v>3.69</v>
      </c>
      <c r="J13" s="100">
        <v>0.06</v>
      </c>
      <c r="K13" s="100">
        <v>182.22</v>
      </c>
      <c r="L13" s="100">
        <v>24.72</v>
      </c>
      <c r="M13" s="100">
        <v>95.71</v>
      </c>
      <c r="N13" s="100">
        <v>2.1</v>
      </c>
      <c r="O13" s="100">
        <v>0</v>
      </c>
      <c r="P13" s="100">
        <v>0.17</v>
      </c>
      <c r="Q13" s="100">
        <v>10</v>
      </c>
      <c r="R13" s="6"/>
      <c r="S13" s="6"/>
      <c r="T13" s="156"/>
      <c r="U13" s="6"/>
    </row>
    <row r="14" spans="1:21" customFormat="1">
      <c r="A14" s="201" t="s">
        <v>726</v>
      </c>
      <c r="B14" s="100">
        <v>6.7</v>
      </c>
      <c r="C14" s="100">
        <v>11.46</v>
      </c>
      <c r="D14" s="100">
        <v>11.36</v>
      </c>
      <c r="E14" s="100">
        <v>4.37</v>
      </c>
      <c r="F14" s="100">
        <v>2</v>
      </c>
      <c r="G14" s="100">
        <v>23.81</v>
      </c>
      <c r="H14" s="100">
        <v>5.1100000000000003</v>
      </c>
      <c r="I14" s="100">
        <v>3.69</v>
      </c>
      <c r="J14" s="100">
        <v>7.0000000000000007E-2</v>
      </c>
      <c r="K14" s="100">
        <v>201.03</v>
      </c>
      <c r="L14" s="100">
        <v>24.72</v>
      </c>
      <c r="M14" s="100">
        <v>95.97</v>
      </c>
      <c r="N14" s="100">
        <v>2.1</v>
      </c>
      <c r="O14" s="100">
        <v>0</v>
      </c>
      <c r="P14" s="100">
        <v>0.19</v>
      </c>
      <c r="Q14" s="100">
        <v>10</v>
      </c>
      <c r="R14" s="6"/>
      <c r="S14" s="6"/>
      <c r="T14" s="156"/>
      <c r="U14" s="6"/>
    </row>
    <row r="15" spans="1:21" customFormat="1">
      <c r="A15" s="201" t="s">
        <v>727</v>
      </c>
      <c r="B15" s="100">
        <v>6.57</v>
      </c>
      <c r="C15" s="100">
        <v>11.66</v>
      </c>
      <c r="D15" s="100">
        <v>11.37</v>
      </c>
      <c r="E15" s="100">
        <v>4.66</v>
      </c>
      <c r="F15" s="100">
        <v>2</v>
      </c>
      <c r="G15" s="100">
        <v>18.559999999999999</v>
      </c>
      <c r="H15" s="100">
        <v>3.84</v>
      </c>
      <c r="I15" s="100">
        <v>3.62</v>
      </c>
      <c r="J15" s="100">
        <v>0.08</v>
      </c>
      <c r="K15" s="100">
        <v>105.53</v>
      </c>
      <c r="L15" s="100">
        <v>24.69</v>
      </c>
      <c r="M15" s="100">
        <v>96.34</v>
      </c>
      <c r="N15" s="100">
        <v>2.1</v>
      </c>
      <c r="O15" s="100">
        <v>0</v>
      </c>
      <c r="P15" s="100">
        <v>0.19</v>
      </c>
      <c r="Q15" s="100">
        <v>10</v>
      </c>
      <c r="R15" s="6"/>
      <c r="S15" s="6"/>
      <c r="T15" s="156"/>
      <c r="U15" s="6"/>
    </row>
    <row r="16" spans="1:21" customFormat="1">
      <c r="A16" s="201" t="s">
        <v>728</v>
      </c>
      <c r="B16" s="100">
        <v>6.51</v>
      </c>
      <c r="C16" s="100">
        <v>11.69</v>
      </c>
      <c r="D16" s="100">
        <v>11.33</v>
      </c>
      <c r="E16" s="100">
        <v>4.47</v>
      </c>
      <c r="F16" s="100">
        <v>2</v>
      </c>
      <c r="G16" s="100">
        <v>17.239999999999998</v>
      </c>
      <c r="H16" s="100">
        <v>3.84</v>
      </c>
      <c r="I16" s="100">
        <v>3.56</v>
      </c>
      <c r="J16" s="100">
        <v>0.06</v>
      </c>
      <c r="K16" s="100">
        <v>147.81</v>
      </c>
      <c r="L16" s="100">
        <v>24.74</v>
      </c>
      <c r="M16" s="100">
        <v>96.38</v>
      </c>
      <c r="N16" s="100">
        <v>2.1</v>
      </c>
      <c r="O16" s="100">
        <v>0</v>
      </c>
      <c r="P16" s="100">
        <v>0.19</v>
      </c>
      <c r="Q16" s="100">
        <v>10</v>
      </c>
      <c r="R16" s="6"/>
      <c r="S16" s="6"/>
      <c r="T16" s="156"/>
      <c r="U16" s="6"/>
    </row>
    <row r="17" spans="1:21" customFormat="1">
      <c r="A17" s="201" t="s">
        <v>729</v>
      </c>
      <c r="B17" s="100">
        <v>6.42</v>
      </c>
      <c r="C17" s="100">
        <v>11.72</v>
      </c>
      <c r="D17" s="100">
        <v>11.27</v>
      </c>
      <c r="E17" s="100">
        <v>4.2300000000000004</v>
      </c>
      <c r="F17" s="100">
        <v>2</v>
      </c>
      <c r="G17" s="100">
        <v>17.239999999999998</v>
      </c>
      <c r="H17" s="100">
        <v>3.84</v>
      </c>
      <c r="I17" s="100">
        <v>3.52</v>
      </c>
      <c r="J17" s="100">
        <v>0.08</v>
      </c>
      <c r="K17" s="100">
        <v>205.32</v>
      </c>
      <c r="L17" s="100">
        <v>24.7</v>
      </c>
      <c r="M17" s="100">
        <v>96.7</v>
      </c>
      <c r="N17" s="100">
        <v>2</v>
      </c>
      <c r="O17" s="100">
        <v>0</v>
      </c>
      <c r="P17" s="100">
        <v>0.19</v>
      </c>
      <c r="Q17" s="100">
        <v>10</v>
      </c>
      <c r="R17" s="6"/>
      <c r="S17" s="6"/>
      <c r="T17" s="156"/>
      <c r="U17" s="6"/>
    </row>
    <row r="18" spans="1:21" customFormat="1">
      <c r="A18" s="201" t="s">
        <v>730</v>
      </c>
      <c r="B18" s="100">
        <v>6.37</v>
      </c>
      <c r="C18" s="100">
        <v>11.7</v>
      </c>
      <c r="D18" s="100">
        <v>11.23</v>
      </c>
      <c r="E18" s="100">
        <v>4.92</v>
      </c>
      <c r="F18" s="100">
        <v>2</v>
      </c>
      <c r="G18" s="100">
        <v>17.239999999999998</v>
      </c>
      <c r="H18" s="100">
        <v>3.84</v>
      </c>
      <c r="I18" s="100">
        <v>3.51</v>
      </c>
      <c r="J18" s="100">
        <v>0.06</v>
      </c>
      <c r="K18" s="100">
        <v>195.17</v>
      </c>
      <c r="L18" s="100">
        <v>24.77</v>
      </c>
      <c r="M18" s="100">
        <v>96.99</v>
      </c>
      <c r="N18" s="100">
        <v>2</v>
      </c>
      <c r="O18" s="100">
        <v>0</v>
      </c>
      <c r="P18" s="100">
        <v>0.19</v>
      </c>
      <c r="Q18" s="100">
        <v>10</v>
      </c>
      <c r="R18" s="6"/>
      <c r="S18" s="6"/>
      <c r="T18" s="156"/>
      <c r="U18" s="6"/>
    </row>
    <row r="19" spans="1:21" customFormat="1">
      <c r="A19" s="201" t="s">
        <v>731</v>
      </c>
      <c r="B19" s="100">
        <v>6.37</v>
      </c>
      <c r="C19" s="100">
        <v>11.75</v>
      </c>
      <c r="D19" s="100">
        <v>11.25</v>
      </c>
      <c r="E19" s="100">
        <v>3.99</v>
      </c>
      <c r="F19" s="100">
        <v>2</v>
      </c>
      <c r="G19" s="100">
        <v>21.05</v>
      </c>
      <c r="H19" s="100">
        <v>5.77</v>
      </c>
      <c r="I19" s="100">
        <v>3.51</v>
      </c>
      <c r="J19" s="100">
        <v>7.0000000000000007E-2</v>
      </c>
      <c r="K19" s="100">
        <v>170.12</v>
      </c>
      <c r="L19" s="100">
        <v>24.65</v>
      </c>
      <c r="M19" s="100">
        <v>97.07</v>
      </c>
      <c r="N19" s="100">
        <v>2.1</v>
      </c>
      <c r="O19" s="100">
        <v>0</v>
      </c>
      <c r="P19" s="100">
        <v>0.19</v>
      </c>
      <c r="Q19" s="100">
        <v>10</v>
      </c>
      <c r="R19" s="6"/>
      <c r="S19" s="6"/>
      <c r="T19" s="156"/>
      <c r="U19" s="6"/>
    </row>
    <row r="20" spans="1:21" customFormat="1">
      <c r="A20" s="201" t="s">
        <v>732</v>
      </c>
      <c r="B20" s="100">
        <v>6.4</v>
      </c>
      <c r="C20" s="100">
        <v>11.58</v>
      </c>
      <c r="D20" s="100">
        <v>11.19</v>
      </c>
      <c r="E20" s="100">
        <v>5.07</v>
      </c>
      <c r="F20" s="100">
        <v>2</v>
      </c>
      <c r="G20" s="100">
        <v>22</v>
      </c>
      <c r="H20" s="100">
        <v>5.77</v>
      </c>
      <c r="I20" s="100">
        <v>3.51</v>
      </c>
      <c r="J20" s="100">
        <v>0.06</v>
      </c>
      <c r="K20" s="100">
        <v>193.95</v>
      </c>
      <c r="L20" s="100">
        <v>24.64</v>
      </c>
      <c r="M20" s="100">
        <v>96.89</v>
      </c>
      <c r="N20" s="100">
        <v>2.1</v>
      </c>
      <c r="O20" s="100">
        <v>0</v>
      </c>
      <c r="P20" s="100">
        <v>0.18</v>
      </c>
      <c r="Q20" s="100">
        <v>10</v>
      </c>
      <c r="R20" s="6"/>
      <c r="S20" s="6"/>
      <c r="T20" s="156"/>
      <c r="U20" s="6"/>
    </row>
    <row r="21" spans="1:21" customFormat="1">
      <c r="A21" s="201" t="s">
        <v>733</v>
      </c>
      <c r="B21" s="100">
        <v>6.4</v>
      </c>
      <c r="C21" s="100">
        <v>11.58</v>
      </c>
      <c r="D21" s="100">
        <v>11.18</v>
      </c>
      <c r="E21" s="100">
        <v>5.18</v>
      </c>
      <c r="F21" s="100">
        <v>2</v>
      </c>
      <c r="G21" s="100">
        <v>22</v>
      </c>
      <c r="H21" s="100">
        <v>5.77</v>
      </c>
      <c r="I21" s="100">
        <v>3.52</v>
      </c>
      <c r="J21" s="100">
        <v>0.06</v>
      </c>
      <c r="K21" s="100">
        <v>166.73</v>
      </c>
      <c r="L21" s="100">
        <v>24.66</v>
      </c>
      <c r="M21" s="100">
        <v>96.65</v>
      </c>
      <c r="N21" s="100">
        <v>2.1</v>
      </c>
      <c r="O21" s="100">
        <v>0</v>
      </c>
      <c r="P21" s="100">
        <v>0.2</v>
      </c>
      <c r="Q21" s="100">
        <v>10</v>
      </c>
      <c r="R21" s="6"/>
      <c r="S21" s="6"/>
      <c r="T21" s="156"/>
      <c r="U21" s="6"/>
    </row>
    <row r="22" spans="1:21" customFormat="1">
      <c r="A22" s="201" t="s">
        <v>734</v>
      </c>
      <c r="B22" s="100">
        <v>6.39</v>
      </c>
      <c r="C22" s="100">
        <v>11.54</v>
      </c>
      <c r="D22" s="100">
        <v>11.15</v>
      </c>
      <c r="E22" s="100">
        <v>5.25</v>
      </c>
      <c r="F22" s="100">
        <v>2</v>
      </c>
      <c r="G22" s="100">
        <v>22</v>
      </c>
      <c r="H22" s="100">
        <v>5.77</v>
      </c>
      <c r="I22" s="100">
        <v>3.5</v>
      </c>
      <c r="J22" s="100">
        <v>0.08</v>
      </c>
      <c r="K22" s="100">
        <v>216.77</v>
      </c>
      <c r="L22" s="100">
        <v>24.68</v>
      </c>
      <c r="M22" s="100">
        <v>96.54</v>
      </c>
      <c r="N22" s="100">
        <v>2</v>
      </c>
      <c r="O22" s="100">
        <v>0</v>
      </c>
      <c r="P22" s="100">
        <v>0.2</v>
      </c>
      <c r="Q22" s="100">
        <v>10</v>
      </c>
      <c r="R22" s="6"/>
      <c r="S22" s="6"/>
      <c r="T22" s="156"/>
      <c r="U22" s="6"/>
    </row>
    <row r="23" spans="1:21" customFormat="1">
      <c r="A23" s="201" t="s">
        <v>735</v>
      </c>
      <c r="B23" s="100">
        <v>6.4</v>
      </c>
      <c r="C23" s="100">
        <v>11.52</v>
      </c>
      <c r="D23" s="100">
        <v>11.15</v>
      </c>
      <c r="E23" s="100">
        <v>5.53</v>
      </c>
      <c r="F23" s="100">
        <v>2</v>
      </c>
      <c r="G23" s="100">
        <v>20.14</v>
      </c>
      <c r="H23" s="100">
        <v>4.54</v>
      </c>
      <c r="I23" s="100">
        <v>3.49</v>
      </c>
      <c r="J23" s="100">
        <v>0.06</v>
      </c>
      <c r="K23" s="100">
        <v>198.68</v>
      </c>
      <c r="L23" s="100">
        <v>24.67</v>
      </c>
      <c r="M23" s="100">
        <v>96.41</v>
      </c>
      <c r="N23" s="100">
        <v>2.1</v>
      </c>
      <c r="O23" s="100">
        <v>0</v>
      </c>
      <c r="P23" s="100">
        <v>0.19</v>
      </c>
      <c r="Q23" s="100">
        <v>10</v>
      </c>
      <c r="R23" s="6"/>
      <c r="S23" s="6"/>
      <c r="T23" s="156"/>
      <c r="U23" s="6"/>
    </row>
    <row r="24" spans="1:21" customFormat="1">
      <c r="A24" s="201" t="s">
        <v>736</v>
      </c>
      <c r="B24" s="100">
        <v>6.44</v>
      </c>
      <c r="C24" s="100">
        <v>11.46</v>
      </c>
      <c r="D24" s="100">
        <v>11.15</v>
      </c>
      <c r="E24" s="100">
        <v>5.56</v>
      </c>
      <c r="F24" s="100">
        <v>2</v>
      </c>
      <c r="G24" s="100">
        <v>19.68</v>
      </c>
      <c r="H24" s="100">
        <v>4.54</v>
      </c>
      <c r="I24" s="100">
        <v>3.48</v>
      </c>
      <c r="J24" s="100">
        <v>0.1</v>
      </c>
      <c r="K24" s="100">
        <v>148.38999999999999</v>
      </c>
      <c r="L24" s="100">
        <v>24.81</v>
      </c>
      <c r="M24" s="100">
        <v>96.68</v>
      </c>
      <c r="N24" s="100">
        <v>2.1</v>
      </c>
      <c r="O24" s="100">
        <v>0</v>
      </c>
      <c r="P24" s="100">
        <v>0.19</v>
      </c>
      <c r="Q24" s="100">
        <v>10</v>
      </c>
      <c r="R24" s="6"/>
      <c r="S24" s="6"/>
      <c r="T24" s="156"/>
      <c r="U24" s="6"/>
    </row>
    <row r="25" spans="1:21" customFormat="1">
      <c r="A25" s="201" t="s">
        <v>737</v>
      </c>
      <c r="B25" s="100">
        <v>6.45</v>
      </c>
      <c r="C25" s="100">
        <v>11.35</v>
      </c>
      <c r="D25" s="100">
        <v>11.1</v>
      </c>
      <c r="E25" s="100">
        <v>5.44</v>
      </c>
      <c r="F25" s="100">
        <v>2</v>
      </c>
      <c r="G25" s="100">
        <v>19.68</v>
      </c>
      <c r="H25" s="100">
        <v>4.54</v>
      </c>
      <c r="I25" s="100">
        <v>3.48</v>
      </c>
      <c r="J25" s="100">
        <v>0.09</v>
      </c>
      <c r="K25" s="100">
        <v>159.87</v>
      </c>
      <c r="L25" s="100">
        <v>24.99</v>
      </c>
      <c r="M25" s="100">
        <v>96.89</v>
      </c>
      <c r="N25" s="100">
        <v>2.1</v>
      </c>
      <c r="O25" s="100">
        <v>0</v>
      </c>
      <c r="P25" s="100">
        <v>0.19</v>
      </c>
      <c r="Q25" s="100">
        <v>10</v>
      </c>
      <c r="R25" s="6"/>
      <c r="S25" s="6"/>
      <c r="T25" s="156"/>
      <c r="U25" s="6"/>
    </row>
    <row r="26" spans="1:21" customFormat="1">
      <c r="A26" s="201" t="s">
        <v>738</v>
      </c>
      <c r="B26" s="100">
        <v>6.46</v>
      </c>
      <c r="C26" s="100">
        <v>11.3</v>
      </c>
      <c r="D26" s="100">
        <v>11.08</v>
      </c>
      <c r="E26" s="100">
        <v>5.49</v>
      </c>
      <c r="F26" s="100">
        <v>2</v>
      </c>
      <c r="G26" s="100">
        <v>19.68</v>
      </c>
      <c r="H26" s="100">
        <v>4.54</v>
      </c>
      <c r="I26" s="100">
        <v>3.49</v>
      </c>
      <c r="J26" s="100">
        <v>0.08</v>
      </c>
      <c r="K26" s="100">
        <v>175.16</v>
      </c>
      <c r="L26" s="100">
        <v>25.05</v>
      </c>
      <c r="M26" s="100">
        <v>96.97</v>
      </c>
      <c r="N26" s="100">
        <v>2.1</v>
      </c>
      <c r="O26" s="100">
        <v>0</v>
      </c>
      <c r="P26" s="100">
        <v>0.19</v>
      </c>
      <c r="Q26" s="100">
        <v>10</v>
      </c>
      <c r="R26" s="6"/>
      <c r="S26" s="6"/>
      <c r="T26" s="156"/>
      <c r="U26" s="6"/>
    </row>
    <row r="27" spans="1:21" customFormat="1">
      <c r="A27" s="201" t="s">
        <v>739</v>
      </c>
      <c r="B27" s="100">
        <v>6.45</v>
      </c>
      <c r="C27" s="100">
        <v>11.34</v>
      </c>
      <c r="D27" s="100">
        <v>11.1</v>
      </c>
      <c r="E27" s="100">
        <v>5.6</v>
      </c>
      <c r="F27" s="100">
        <v>2</v>
      </c>
      <c r="G27" s="100">
        <v>22.68</v>
      </c>
      <c r="H27" s="100">
        <v>8.42</v>
      </c>
      <c r="I27" s="100">
        <v>3.48</v>
      </c>
      <c r="J27" s="100">
        <v>0.05</v>
      </c>
      <c r="K27" s="100">
        <v>175.57</v>
      </c>
      <c r="L27" s="100">
        <v>25.05</v>
      </c>
      <c r="M27" s="100">
        <v>96.86</v>
      </c>
      <c r="N27" s="100">
        <v>2.1</v>
      </c>
      <c r="O27" s="100">
        <v>0</v>
      </c>
      <c r="P27" s="100">
        <v>0.19</v>
      </c>
      <c r="Q27" s="100">
        <v>10</v>
      </c>
      <c r="R27" s="6"/>
      <c r="S27" s="6"/>
      <c r="T27" s="156"/>
      <c r="U27" s="6"/>
    </row>
    <row r="28" spans="1:21" customFormat="1">
      <c r="A28" s="201" t="s">
        <v>740</v>
      </c>
      <c r="B28" s="100">
        <v>6.5</v>
      </c>
      <c r="C28" s="100">
        <v>11.2</v>
      </c>
      <c r="D28" s="100">
        <v>11.06</v>
      </c>
      <c r="E28" s="100">
        <v>5.55</v>
      </c>
      <c r="F28" s="100">
        <v>2</v>
      </c>
      <c r="G28" s="100">
        <v>23.49</v>
      </c>
      <c r="H28" s="100">
        <v>8.42</v>
      </c>
      <c r="I28" s="100">
        <v>3.46</v>
      </c>
      <c r="J28" s="100">
        <v>7.0000000000000007E-2</v>
      </c>
      <c r="K28" s="100">
        <v>195.43</v>
      </c>
      <c r="L28" s="100">
        <v>25.12</v>
      </c>
      <c r="M28" s="100">
        <v>96.79</v>
      </c>
      <c r="N28" s="100">
        <v>2.1</v>
      </c>
      <c r="O28" s="100">
        <v>0</v>
      </c>
      <c r="P28" s="100">
        <v>0.2</v>
      </c>
      <c r="Q28" s="100">
        <v>10</v>
      </c>
      <c r="R28" s="6"/>
      <c r="S28" s="6"/>
      <c r="T28" s="156"/>
      <c r="U28" s="6"/>
    </row>
    <row r="29" spans="1:21" customFormat="1">
      <c r="A29" s="201" t="s">
        <v>741</v>
      </c>
      <c r="B29" s="100">
        <v>6.53</v>
      </c>
      <c r="C29" s="100">
        <v>11.11</v>
      </c>
      <c r="D29" s="100">
        <v>11.04</v>
      </c>
      <c r="E29" s="100">
        <v>5.71</v>
      </c>
      <c r="F29" s="100">
        <v>2.0099999999999998</v>
      </c>
      <c r="G29" s="100">
        <v>23.49</v>
      </c>
      <c r="H29" s="100">
        <v>8.42</v>
      </c>
      <c r="I29" s="100">
        <v>3.45</v>
      </c>
      <c r="J29" s="100">
        <v>0.06</v>
      </c>
      <c r="K29" s="100">
        <v>214.5</v>
      </c>
      <c r="L29" s="100">
        <v>25.2</v>
      </c>
      <c r="M29" s="100">
        <v>96.88</v>
      </c>
      <c r="N29" s="100">
        <v>2.1</v>
      </c>
      <c r="O29" s="100">
        <v>0</v>
      </c>
      <c r="P29" s="100">
        <v>0.19</v>
      </c>
      <c r="Q29" s="100">
        <v>10</v>
      </c>
      <c r="R29" s="6"/>
      <c r="S29" s="6"/>
      <c r="T29" s="156"/>
      <c r="U29" s="6"/>
    </row>
    <row r="30" spans="1:21" customFormat="1">
      <c r="A30" s="201" t="s">
        <v>742</v>
      </c>
      <c r="B30" s="100">
        <v>6.58</v>
      </c>
      <c r="C30" s="100">
        <v>10.99</v>
      </c>
      <c r="D30" s="100">
        <v>11.02</v>
      </c>
      <c r="E30" s="100">
        <v>5.68</v>
      </c>
      <c r="F30" s="100">
        <v>2</v>
      </c>
      <c r="G30" s="100">
        <v>23.49</v>
      </c>
      <c r="H30" s="100">
        <v>8.42</v>
      </c>
      <c r="I30" s="100">
        <v>3.44</v>
      </c>
      <c r="J30" s="100">
        <v>0.11</v>
      </c>
      <c r="K30" s="100">
        <v>150.94</v>
      </c>
      <c r="L30" s="100">
        <v>25.25</v>
      </c>
      <c r="M30" s="100">
        <v>96.84</v>
      </c>
      <c r="N30" s="100">
        <v>2.1</v>
      </c>
      <c r="O30" s="100">
        <v>0</v>
      </c>
      <c r="P30" s="100">
        <v>0.19</v>
      </c>
      <c r="Q30" s="100">
        <v>10</v>
      </c>
      <c r="R30" s="6"/>
      <c r="S30" s="6"/>
      <c r="T30" s="156"/>
      <c r="U30" s="6"/>
    </row>
    <row r="31" spans="1:21" customFormat="1">
      <c r="A31" s="201" t="s">
        <v>743</v>
      </c>
      <c r="B31" s="100">
        <v>6.6</v>
      </c>
      <c r="C31" s="100">
        <v>10.99</v>
      </c>
      <c r="D31" s="100">
        <v>11.03</v>
      </c>
      <c r="E31" s="100">
        <v>5.84</v>
      </c>
      <c r="F31" s="100">
        <v>2</v>
      </c>
      <c r="G31" s="100">
        <v>19.3</v>
      </c>
      <c r="H31" s="100">
        <v>6.04</v>
      </c>
      <c r="I31" s="100">
        <v>3.43</v>
      </c>
      <c r="J31" s="100">
        <v>0.12</v>
      </c>
      <c r="K31" s="100">
        <v>97.56</v>
      </c>
      <c r="L31" s="100">
        <v>25.32</v>
      </c>
      <c r="M31" s="100">
        <v>96.62</v>
      </c>
      <c r="N31" s="100">
        <v>2.2999999999999998</v>
      </c>
      <c r="O31" s="100">
        <v>0</v>
      </c>
      <c r="P31" s="100">
        <v>0.19</v>
      </c>
      <c r="Q31" s="100">
        <v>10</v>
      </c>
      <c r="R31" s="6"/>
      <c r="S31" s="6"/>
      <c r="T31" s="156"/>
      <c r="U31" s="6"/>
    </row>
    <row r="32" spans="1:21" customFormat="1">
      <c r="A32" s="201" t="s">
        <v>744</v>
      </c>
      <c r="B32" s="100">
        <v>6.67</v>
      </c>
      <c r="C32" s="100">
        <v>10.88</v>
      </c>
      <c r="D32" s="100">
        <v>11.04</v>
      </c>
      <c r="E32" s="100">
        <v>5.82</v>
      </c>
      <c r="F32" s="100">
        <v>2</v>
      </c>
      <c r="G32" s="100">
        <v>18.18</v>
      </c>
      <c r="H32" s="100">
        <v>6.04</v>
      </c>
      <c r="I32" s="100">
        <v>3.43</v>
      </c>
      <c r="J32" s="100">
        <v>0.1</v>
      </c>
      <c r="K32" s="100">
        <v>109.86</v>
      </c>
      <c r="L32" s="100">
        <v>25.47</v>
      </c>
      <c r="M32" s="100">
        <v>96.54</v>
      </c>
      <c r="N32" s="100">
        <v>3.1</v>
      </c>
      <c r="O32" s="100">
        <v>0</v>
      </c>
      <c r="P32" s="100">
        <v>0.19</v>
      </c>
      <c r="Q32" s="100">
        <v>10</v>
      </c>
      <c r="R32" s="6"/>
      <c r="S32" s="6"/>
      <c r="T32" s="156"/>
      <c r="U32" s="6"/>
    </row>
    <row r="33" spans="1:21" customFormat="1">
      <c r="A33" s="201" t="s">
        <v>745</v>
      </c>
      <c r="B33" s="100">
        <v>6.76</v>
      </c>
      <c r="C33" s="100">
        <v>10.89</v>
      </c>
      <c r="D33" s="100">
        <v>11.11</v>
      </c>
      <c r="E33" s="100">
        <v>5.88</v>
      </c>
      <c r="F33" s="100">
        <v>2</v>
      </c>
      <c r="G33" s="100">
        <v>18.18</v>
      </c>
      <c r="H33" s="100">
        <v>6.04</v>
      </c>
      <c r="I33" s="100">
        <v>3.43</v>
      </c>
      <c r="J33" s="100">
        <v>0.1</v>
      </c>
      <c r="K33" s="100">
        <v>118.66</v>
      </c>
      <c r="L33" s="100">
        <v>25.53</v>
      </c>
      <c r="M33" s="100">
        <v>96.27</v>
      </c>
      <c r="N33" s="100">
        <v>5.5</v>
      </c>
      <c r="O33" s="100">
        <v>0</v>
      </c>
      <c r="P33" s="100">
        <v>0.19</v>
      </c>
      <c r="Q33" s="100">
        <v>10</v>
      </c>
      <c r="R33" s="6"/>
      <c r="S33" s="6"/>
      <c r="T33" s="156"/>
      <c r="U33" s="6"/>
    </row>
    <row r="34" spans="1:21" customFormat="1">
      <c r="A34" s="201" t="s">
        <v>746</v>
      </c>
      <c r="B34" s="100">
        <v>6.94</v>
      </c>
      <c r="C34" s="100">
        <v>10.89</v>
      </c>
      <c r="D34" s="100">
        <v>11.26</v>
      </c>
      <c r="E34" s="100">
        <v>5.78</v>
      </c>
      <c r="F34" s="100">
        <v>2</v>
      </c>
      <c r="G34" s="100">
        <v>18.18</v>
      </c>
      <c r="H34" s="100">
        <v>6.04</v>
      </c>
      <c r="I34" s="100">
        <v>3.42</v>
      </c>
      <c r="J34" s="100">
        <v>0.12</v>
      </c>
      <c r="K34" s="100">
        <v>128.18</v>
      </c>
      <c r="L34" s="100">
        <v>25.54</v>
      </c>
      <c r="M34" s="100">
        <v>96.48</v>
      </c>
      <c r="N34" s="100">
        <v>10</v>
      </c>
      <c r="O34" s="100">
        <v>0</v>
      </c>
      <c r="P34" s="100">
        <v>0.16</v>
      </c>
      <c r="Q34" s="100">
        <v>10</v>
      </c>
      <c r="R34" s="6"/>
      <c r="S34" s="6"/>
      <c r="T34" s="156"/>
      <c r="U34" s="6"/>
    </row>
    <row r="35" spans="1:21" customFormat="1">
      <c r="A35" s="201" t="s">
        <v>747</v>
      </c>
      <c r="B35" s="100">
        <v>7.01</v>
      </c>
      <c r="C35" s="100">
        <v>10.87</v>
      </c>
      <c r="D35" s="100">
        <v>11.3</v>
      </c>
      <c r="E35" s="100">
        <v>5.08</v>
      </c>
      <c r="F35" s="100">
        <v>2</v>
      </c>
      <c r="G35" s="100">
        <v>21.88</v>
      </c>
      <c r="H35" s="100">
        <v>6.12</v>
      </c>
      <c r="I35" s="100">
        <v>3.42</v>
      </c>
      <c r="J35" s="100">
        <v>0.05</v>
      </c>
      <c r="K35" s="100">
        <v>134.69</v>
      </c>
      <c r="L35" s="100">
        <v>25.64</v>
      </c>
      <c r="M35" s="100">
        <v>95.96</v>
      </c>
      <c r="N35" s="100">
        <v>18.7</v>
      </c>
      <c r="O35" s="100">
        <v>0</v>
      </c>
      <c r="P35" s="100">
        <v>0.16</v>
      </c>
      <c r="Q35" s="100">
        <v>10</v>
      </c>
      <c r="R35" s="6"/>
      <c r="S35" s="6"/>
      <c r="T35" s="156"/>
      <c r="U35" s="6"/>
    </row>
    <row r="36" spans="1:21" customFormat="1">
      <c r="A36" s="201" t="s">
        <v>748</v>
      </c>
      <c r="B36" s="100">
        <v>7.33</v>
      </c>
      <c r="C36" s="100">
        <v>11.19</v>
      </c>
      <c r="D36" s="100">
        <v>11.73</v>
      </c>
      <c r="E36" s="100">
        <v>5.61</v>
      </c>
      <c r="F36" s="100">
        <v>2</v>
      </c>
      <c r="G36" s="100">
        <v>22.8</v>
      </c>
      <c r="H36" s="100">
        <v>6.12</v>
      </c>
      <c r="I36" s="100">
        <v>3.47</v>
      </c>
      <c r="J36" s="100">
        <v>0.06</v>
      </c>
      <c r="K36" s="100">
        <v>190.84</v>
      </c>
      <c r="L36" s="100">
        <v>25.8</v>
      </c>
      <c r="M36" s="100">
        <v>95.64</v>
      </c>
      <c r="N36" s="100">
        <v>32.200000000000003</v>
      </c>
      <c r="O36" s="100">
        <v>0</v>
      </c>
      <c r="P36" s="100">
        <v>0.16</v>
      </c>
      <c r="Q36" s="100">
        <v>10</v>
      </c>
      <c r="R36" s="6"/>
      <c r="S36" s="6"/>
      <c r="T36" s="156"/>
      <c r="U36" s="6"/>
    </row>
    <row r="37" spans="1:21" customFormat="1">
      <c r="A37" s="201" t="s">
        <v>749</v>
      </c>
      <c r="B37" s="100">
        <v>7.52</v>
      </c>
      <c r="C37" s="100">
        <v>11.17</v>
      </c>
      <c r="D37" s="100">
        <v>11.86</v>
      </c>
      <c r="E37" s="100">
        <v>5.66</v>
      </c>
      <c r="F37" s="100">
        <v>2</v>
      </c>
      <c r="G37" s="100">
        <v>22.8</v>
      </c>
      <c r="H37" s="100">
        <v>6.12</v>
      </c>
      <c r="I37" s="100">
        <v>3.51</v>
      </c>
      <c r="J37" s="100">
        <v>0.08</v>
      </c>
      <c r="K37" s="100">
        <v>174.4</v>
      </c>
      <c r="L37" s="100">
        <v>26.1</v>
      </c>
      <c r="M37" s="100">
        <v>94.96</v>
      </c>
      <c r="N37" s="100">
        <v>49.9</v>
      </c>
      <c r="O37" s="100">
        <v>0</v>
      </c>
      <c r="P37" s="100">
        <v>0.14000000000000001</v>
      </c>
      <c r="Q37" s="100">
        <v>10</v>
      </c>
      <c r="R37" s="6"/>
      <c r="S37" s="6"/>
      <c r="T37" s="156"/>
      <c r="U37" s="6"/>
    </row>
    <row r="38" spans="1:21" customFormat="1">
      <c r="A38" s="201" t="s">
        <v>750</v>
      </c>
      <c r="B38" s="100">
        <v>7.62</v>
      </c>
      <c r="C38" s="100">
        <v>11.27</v>
      </c>
      <c r="D38" s="100">
        <v>12</v>
      </c>
      <c r="E38" s="100">
        <v>5.47</v>
      </c>
      <c r="F38" s="100">
        <v>2</v>
      </c>
      <c r="G38" s="100">
        <v>22.8</v>
      </c>
      <c r="H38" s="100">
        <v>6.12</v>
      </c>
      <c r="I38" s="100">
        <v>3.59</v>
      </c>
      <c r="J38" s="100">
        <v>0.16</v>
      </c>
      <c r="K38" s="100">
        <v>211.45</v>
      </c>
      <c r="L38" s="100">
        <v>26.48</v>
      </c>
      <c r="M38" s="100">
        <v>93.03</v>
      </c>
      <c r="N38" s="100">
        <v>79.099999999999994</v>
      </c>
      <c r="O38" s="100">
        <v>0</v>
      </c>
      <c r="P38" s="100">
        <v>0.15</v>
      </c>
      <c r="Q38" s="100">
        <v>10</v>
      </c>
      <c r="R38" s="6"/>
      <c r="S38" s="6"/>
      <c r="T38" s="156"/>
      <c r="U38" s="6"/>
    </row>
    <row r="39" spans="1:21" customFormat="1">
      <c r="A39" s="201" t="s">
        <v>751</v>
      </c>
      <c r="B39" s="100">
        <v>7.66</v>
      </c>
      <c r="C39" s="100">
        <v>11.32</v>
      </c>
      <c r="D39" s="100">
        <v>12.05</v>
      </c>
      <c r="E39" s="100">
        <v>5.48</v>
      </c>
      <c r="F39" s="100">
        <v>2</v>
      </c>
      <c r="G39" s="100">
        <v>20.239999999999998</v>
      </c>
      <c r="H39" s="100">
        <v>5.74</v>
      </c>
      <c r="I39" s="100">
        <v>3.53</v>
      </c>
      <c r="J39" s="100">
        <v>0.17</v>
      </c>
      <c r="K39" s="100">
        <v>209.99</v>
      </c>
      <c r="L39" s="100">
        <v>26.94</v>
      </c>
      <c r="M39" s="100">
        <v>90.09</v>
      </c>
      <c r="N39" s="100">
        <v>93.8</v>
      </c>
      <c r="O39" s="100">
        <v>0</v>
      </c>
      <c r="P39" s="100">
        <v>0.15</v>
      </c>
      <c r="Q39" s="100">
        <v>10</v>
      </c>
      <c r="R39" s="6"/>
      <c r="S39" s="6"/>
      <c r="T39" s="156"/>
      <c r="U39" s="6"/>
    </row>
    <row r="40" spans="1:21" customFormat="1">
      <c r="A40" s="201" t="s">
        <v>752</v>
      </c>
      <c r="B40" s="100">
        <v>7.78</v>
      </c>
      <c r="C40" s="100">
        <v>11.17</v>
      </c>
      <c r="D40" s="100">
        <v>12.08</v>
      </c>
      <c r="E40" s="100">
        <v>5.58</v>
      </c>
      <c r="F40" s="100">
        <v>2</v>
      </c>
      <c r="G40" s="100">
        <v>19.600000000000001</v>
      </c>
      <c r="H40" s="100">
        <v>5.74</v>
      </c>
      <c r="I40" s="100">
        <v>3.6</v>
      </c>
      <c r="J40" s="100">
        <v>0.12</v>
      </c>
      <c r="K40" s="100">
        <v>198.88</v>
      </c>
      <c r="L40" s="100">
        <v>27.47</v>
      </c>
      <c r="M40" s="100">
        <v>87.79</v>
      </c>
      <c r="N40" s="100">
        <v>105.8</v>
      </c>
      <c r="O40" s="100">
        <v>0</v>
      </c>
      <c r="P40" s="100">
        <v>0.15</v>
      </c>
      <c r="Q40" s="100">
        <v>10</v>
      </c>
      <c r="R40" s="6"/>
      <c r="S40" s="6"/>
      <c r="T40" s="156"/>
      <c r="U40" s="6"/>
    </row>
    <row r="41" spans="1:21" customFormat="1">
      <c r="A41" s="201" t="s">
        <v>753</v>
      </c>
      <c r="B41" s="100">
        <v>7.84</v>
      </c>
      <c r="C41" s="100">
        <v>11.39</v>
      </c>
      <c r="D41" s="100">
        <v>12.24</v>
      </c>
      <c r="E41" s="100">
        <v>5.51</v>
      </c>
      <c r="F41" s="100">
        <v>2</v>
      </c>
      <c r="G41" s="100">
        <v>19.600000000000001</v>
      </c>
      <c r="H41" s="100">
        <v>5.74</v>
      </c>
      <c r="I41" s="100">
        <v>3.71</v>
      </c>
      <c r="J41" s="100">
        <v>0.24</v>
      </c>
      <c r="K41" s="100">
        <v>223.9</v>
      </c>
      <c r="L41" s="100">
        <v>28.09</v>
      </c>
      <c r="M41" s="100">
        <v>83.84</v>
      </c>
      <c r="N41" s="100">
        <v>288.2</v>
      </c>
      <c r="O41" s="100">
        <v>0</v>
      </c>
      <c r="P41" s="100">
        <v>0.17</v>
      </c>
      <c r="Q41" s="100">
        <v>10</v>
      </c>
      <c r="R41" s="6"/>
      <c r="S41" s="6"/>
      <c r="T41" s="156"/>
      <c r="U41" s="6"/>
    </row>
    <row r="42" spans="1:21" customFormat="1">
      <c r="A42" s="201" t="s">
        <v>754</v>
      </c>
      <c r="B42" s="100">
        <v>7.82</v>
      </c>
      <c r="C42" s="100">
        <v>11.33</v>
      </c>
      <c r="D42" s="100">
        <v>12.19</v>
      </c>
      <c r="E42" s="100">
        <v>5.43</v>
      </c>
      <c r="F42" s="100">
        <v>2</v>
      </c>
      <c r="G42" s="100">
        <v>19.600000000000001</v>
      </c>
      <c r="H42" s="100">
        <v>5.74</v>
      </c>
      <c r="I42" s="100">
        <v>3.64</v>
      </c>
      <c r="J42" s="100">
        <v>0.16</v>
      </c>
      <c r="K42" s="100">
        <v>220.23</v>
      </c>
      <c r="L42" s="100">
        <v>29.08</v>
      </c>
      <c r="M42" s="100">
        <v>79.37</v>
      </c>
      <c r="N42" s="100">
        <v>325.60000000000002</v>
      </c>
      <c r="O42" s="100">
        <v>0</v>
      </c>
      <c r="P42" s="100">
        <v>0.16</v>
      </c>
      <c r="Q42" s="100">
        <v>10</v>
      </c>
      <c r="R42" s="6"/>
      <c r="S42" s="6"/>
      <c r="T42" s="156"/>
      <c r="U42" s="6"/>
    </row>
    <row r="43" spans="1:21" customFormat="1">
      <c r="A43" s="201" t="s">
        <v>755</v>
      </c>
      <c r="B43" s="100">
        <v>7.64</v>
      </c>
      <c r="C43" s="100">
        <v>11.34</v>
      </c>
      <c r="D43" s="100">
        <v>12.05</v>
      </c>
      <c r="E43" s="100">
        <v>5.04</v>
      </c>
      <c r="F43" s="100">
        <v>2.2999999999999998</v>
      </c>
      <c r="G43" s="100">
        <v>20.97</v>
      </c>
      <c r="H43" s="100">
        <v>6.93</v>
      </c>
      <c r="I43" s="100">
        <v>3.69</v>
      </c>
      <c r="J43" s="100">
        <v>0.28999999999999998</v>
      </c>
      <c r="K43" s="100">
        <v>229.45</v>
      </c>
      <c r="L43" s="100">
        <v>29.73</v>
      </c>
      <c r="M43" s="100">
        <v>76.25</v>
      </c>
      <c r="N43" s="100">
        <v>328.9</v>
      </c>
      <c r="O43" s="100">
        <v>0</v>
      </c>
      <c r="P43" s="100">
        <v>0.14000000000000001</v>
      </c>
      <c r="Q43" s="100">
        <v>10</v>
      </c>
      <c r="R43" s="6"/>
      <c r="S43" s="6"/>
      <c r="T43" s="156"/>
      <c r="U43" s="6"/>
    </row>
    <row r="44" spans="1:21" customFormat="1">
      <c r="A44" s="201" t="s">
        <v>756</v>
      </c>
      <c r="B44" s="100">
        <v>7.66</v>
      </c>
      <c r="C44" s="100">
        <v>11.59</v>
      </c>
      <c r="D44" s="100">
        <v>12.19</v>
      </c>
      <c r="E44" s="100">
        <v>5.2</v>
      </c>
      <c r="F44" s="100">
        <v>2.0699999999999998</v>
      </c>
      <c r="G44" s="100">
        <v>21.31</v>
      </c>
      <c r="H44" s="100">
        <v>6.93</v>
      </c>
      <c r="I44" s="100">
        <v>3.7</v>
      </c>
      <c r="J44" s="100">
        <v>0.38</v>
      </c>
      <c r="K44" s="100">
        <v>237.7</v>
      </c>
      <c r="L44" s="100">
        <v>29.49</v>
      </c>
      <c r="M44" s="100">
        <v>77.760000000000005</v>
      </c>
      <c r="N44" s="100">
        <v>279</v>
      </c>
      <c r="O44" s="100">
        <v>0</v>
      </c>
      <c r="P44" s="100">
        <v>0.17</v>
      </c>
      <c r="Q44" s="100">
        <v>10</v>
      </c>
      <c r="R44" s="6"/>
      <c r="S44" s="6"/>
      <c r="T44" s="156"/>
      <c r="U44" s="6"/>
    </row>
    <row r="45" spans="1:21" customFormat="1">
      <c r="A45" s="201" t="s">
        <v>757</v>
      </c>
      <c r="B45" s="100">
        <v>7.52</v>
      </c>
      <c r="C45" s="100">
        <v>11.58</v>
      </c>
      <c r="D45" s="100">
        <v>12.08</v>
      </c>
      <c r="E45" s="100">
        <v>5.34</v>
      </c>
      <c r="F45" s="100">
        <v>2</v>
      </c>
      <c r="G45" s="100">
        <v>21.31</v>
      </c>
      <c r="H45" s="100">
        <v>6.93</v>
      </c>
      <c r="I45" s="100">
        <v>3.64</v>
      </c>
      <c r="J45" s="100">
        <v>0.42</v>
      </c>
      <c r="K45" s="100">
        <v>227.72</v>
      </c>
      <c r="L45" s="100">
        <v>29.62</v>
      </c>
      <c r="M45" s="100">
        <v>76.489999999999995</v>
      </c>
      <c r="N45" s="100">
        <v>263.2</v>
      </c>
      <c r="O45" s="100">
        <v>0</v>
      </c>
      <c r="P45" s="100">
        <v>0.15</v>
      </c>
      <c r="Q45" s="100">
        <v>10</v>
      </c>
      <c r="R45" s="6"/>
      <c r="S45" s="6"/>
      <c r="T45" s="156"/>
      <c r="U45" s="6"/>
    </row>
    <row r="46" spans="1:21" customFormat="1">
      <c r="A46" s="201" t="s">
        <v>758</v>
      </c>
      <c r="B46" s="100">
        <v>7.32</v>
      </c>
      <c r="C46" s="100">
        <v>11.56</v>
      </c>
      <c r="D46" s="100">
        <v>11.91</v>
      </c>
      <c r="E46" s="100">
        <v>4.91</v>
      </c>
      <c r="F46" s="100">
        <v>2.12</v>
      </c>
      <c r="G46" s="100">
        <v>21.31</v>
      </c>
      <c r="H46" s="100">
        <v>6.93</v>
      </c>
      <c r="I46" s="100">
        <v>3.68</v>
      </c>
      <c r="J46" s="100">
        <v>0.31</v>
      </c>
      <c r="K46" s="100">
        <v>209.64</v>
      </c>
      <c r="L46" s="100">
        <v>30.41</v>
      </c>
      <c r="M46" s="100">
        <v>72.33</v>
      </c>
      <c r="N46" s="100">
        <v>318.10000000000002</v>
      </c>
      <c r="O46" s="100">
        <v>0</v>
      </c>
      <c r="P46" s="100">
        <v>0.16</v>
      </c>
      <c r="Q46" s="100">
        <v>10</v>
      </c>
      <c r="R46" s="6"/>
      <c r="S46" s="6"/>
      <c r="T46" s="156"/>
      <c r="U46" s="6"/>
    </row>
    <row r="47" spans="1:21" customFormat="1">
      <c r="A47" s="201" t="s">
        <v>759</v>
      </c>
      <c r="B47" s="100">
        <v>7.06</v>
      </c>
      <c r="C47" s="100">
        <v>11.71</v>
      </c>
      <c r="D47" s="100">
        <v>11.78</v>
      </c>
      <c r="E47" s="100">
        <v>4.99</v>
      </c>
      <c r="F47" s="100">
        <v>2.11</v>
      </c>
      <c r="G47" s="100">
        <v>27.36</v>
      </c>
      <c r="H47" s="100">
        <v>8.9600000000000009</v>
      </c>
      <c r="I47" s="100">
        <v>3.71</v>
      </c>
      <c r="J47" s="100">
        <v>0.56999999999999995</v>
      </c>
      <c r="K47" s="100">
        <v>242.44</v>
      </c>
      <c r="L47" s="100">
        <v>30.51</v>
      </c>
      <c r="M47" s="100">
        <v>71.599999999999994</v>
      </c>
      <c r="N47" s="100">
        <v>635.4</v>
      </c>
      <c r="O47" s="100">
        <v>0</v>
      </c>
      <c r="P47" s="100">
        <v>0.15</v>
      </c>
      <c r="Q47" s="100">
        <v>10</v>
      </c>
      <c r="R47" s="6"/>
      <c r="S47" s="6"/>
      <c r="T47" s="156"/>
      <c r="U47" s="6"/>
    </row>
    <row r="48" spans="1:21" customFormat="1">
      <c r="A48" s="201" t="s">
        <v>760</v>
      </c>
      <c r="B48" s="100">
        <v>6.88</v>
      </c>
      <c r="C48" s="100">
        <v>11.85</v>
      </c>
      <c r="D48" s="100">
        <v>11.71</v>
      </c>
      <c r="E48" s="100">
        <v>4.8</v>
      </c>
      <c r="F48" s="100">
        <v>2</v>
      </c>
      <c r="G48" s="100">
        <v>28.87</v>
      </c>
      <c r="H48" s="100">
        <v>8.9600000000000009</v>
      </c>
      <c r="I48" s="100">
        <v>3.62</v>
      </c>
      <c r="J48" s="100">
        <v>0.35</v>
      </c>
      <c r="K48" s="100">
        <v>228.07</v>
      </c>
      <c r="L48" s="100">
        <v>30.76</v>
      </c>
      <c r="M48" s="100">
        <v>71.430000000000007</v>
      </c>
      <c r="N48" s="100">
        <v>537</v>
      </c>
      <c r="O48" s="100">
        <v>0</v>
      </c>
      <c r="P48" s="100">
        <v>0.15</v>
      </c>
      <c r="Q48" s="100">
        <v>10</v>
      </c>
      <c r="R48" s="6"/>
      <c r="S48" s="6"/>
      <c r="T48" s="156"/>
      <c r="U48" s="6"/>
    </row>
    <row r="49" spans="1:21" customFormat="1">
      <c r="A49" s="201" t="s">
        <v>761</v>
      </c>
      <c r="B49" s="100">
        <v>6.62</v>
      </c>
      <c r="C49" s="100">
        <v>11.96</v>
      </c>
      <c r="D49" s="100">
        <v>11.56</v>
      </c>
      <c r="E49" s="100">
        <v>4.22</v>
      </c>
      <c r="F49" s="100">
        <v>2.12</v>
      </c>
      <c r="G49" s="100">
        <v>28.87</v>
      </c>
      <c r="H49" s="100">
        <v>8.9600000000000009</v>
      </c>
      <c r="I49" s="100">
        <v>3.59</v>
      </c>
      <c r="J49" s="100">
        <v>0.56000000000000005</v>
      </c>
      <c r="K49" s="100">
        <v>240.87</v>
      </c>
      <c r="L49" s="100">
        <v>31.18</v>
      </c>
      <c r="M49" s="100">
        <v>68.91</v>
      </c>
      <c r="N49" s="100">
        <v>670</v>
      </c>
      <c r="O49" s="100">
        <v>0</v>
      </c>
      <c r="P49" s="100">
        <v>0.15</v>
      </c>
      <c r="Q49" s="100">
        <v>10</v>
      </c>
      <c r="R49" s="6"/>
      <c r="S49" s="6"/>
      <c r="T49" s="156"/>
      <c r="U49" s="6"/>
    </row>
    <row r="50" spans="1:21" customFormat="1">
      <c r="A50" s="201" t="s">
        <v>762</v>
      </c>
      <c r="B50" s="100">
        <v>6.38</v>
      </c>
      <c r="C50" s="100">
        <v>12</v>
      </c>
      <c r="D50" s="100">
        <v>11.39</v>
      </c>
      <c r="E50" s="100">
        <v>4.67</v>
      </c>
      <c r="F50" s="100">
        <v>2.42</v>
      </c>
      <c r="G50" s="100">
        <v>28.87</v>
      </c>
      <c r="H50" s="100">
        <v>8.9600000000000009</v>
      </c>
      <c r="I50" s="100">
        <v>3.64</v>
      </c>
      <c r="J50" s="100">
        <v>0.35</v>
      </c>
      <c r="K50" s="100">
        <v>226.89</v>
      </c>
      <c r="L50" s="100">
        <v>31.57</v>
      </c>
      <c r="M50" s="100">
        <v>67.64</v>
      </c>
      <c r="N50" s="100">
        <v>528.6</v>
      </c>
      <c r="O50" s="100">
        <v>0</v>
      </c>
      <c r="P50" s="100">
        <v>0.14000000000000001</v>
      </c>
      <c r="Q50" s="100">
        <v>10</v>
      </c>
      <c r="R50" s="6"/>
      <c r="S50" s="6"/>
      <c r="T50" s="156"/>
      <c r="U50" s="6"/>
    </row>
    <row r="51" spans="1:21" customFormat="1">
      <c r="A51" s="201" t="s">
        <v>763</v>
      </c>
      <c r="B51" s="100">
        <v>6.09</v>
      </c>
      <c r="C51" s="100">
        <v>11.9</v>
      </c>
      <c r="D51" s="100">
        <v>11.11</v>
      </c>
      <c r="E51" s="100">
        <v>4.88</v>
      </c>
      <c r="F51" s="100">
        <v>3.61</v>
      </c>
      <c r="G51" s="100">
        <v>26.64</v>
      </c>
      <c r="H51" s="100">
        <v>7.77</v>
      </c>
      <c r="I51" s="100">
        <v>3.59</v>
      </c>
      <c r="J51" s="100">
        <v>0.37</v>
      </c>
      <c r="K51" s="100">
        <v>221.74</v>
      </c>
      <c r="L51" s="100">
        <v>31.56</v>
      </c>
      <c r="M51" s="100">
        <v>67.27</v>
      </c>
      <c r="N51" s="100">
        <v>520.1</v>
      </c>
      <c r="O51" s="100">
        <v>0</v>
      </c>
      <c r="P51" s="100">
        <v>0.14000000000000001</v>
      </c>
      <c r="Q51" s="100">
        <v>10</v>
      </c>
      <c r="R51" s="6"/>
      <c r="S51" s="6"/>
      <c r="T51" s="156"/>
      <c r="U51" s="6"/>
    </row>
    <row r="52" spans="1:21" customFormat="1">
      <c r="A52" s="201" t="s">
        <v>764</v>
      </c>
      <c r="B52" s="100">
        <v>5.89</v>
      </c>
      <c r="C52" s="100">
        <v>11.98</v>
      </c>
      <c r="D52" s="100">
        <v>10.98</v>
      </c>
      <c r="E52" s="100">
        <v>4.79</v>
      </c>
      <c r="F52" s="100">
        <v>4.34</v>
      </c>
      <c r="G52" s="100">
        <v>26.08</v>
      </c>
      <c r="H52" s="100">
        <v>7.77</v>
      </c>
      <c r="I52" s="100">
        <v>3.56</v>
      </c>
      <c r="J52" s="100">
        <v>0.49</v>
      </c>
      <c r="K52" s="100">
        <v>232.02</v>
      </c>
      <c r="L52" s="100">
        <v>32.17</v>
      </c>
      <c r="M52" s="100">
        <v>66.510000000000005</v>
      </c>
      <c r="N52" s="100">
        <v>792.4</v>
      </c>
      <c r="O52" s="100">
        <v>0</v>
      </c>
      <c r="P52" s="100">
        <v>0.15</v>
      </c>
      <c r="Q52" s="100">
        <v>10</v>
      </c>
      <c r="R52" s="6"/>
      <c r="S52" s="6"/>
      <c r="T52" s="156"/>
      <c r="U52" s="6"/>
    </row>
    <row r="53" spans="1:21" customFormat="1">
      <c r="A53" s="201" t="s">
        <v>765</v>
      </c>
      <c r="B53" s="100">
        <v>5.46</v>
      </c>
      <c r="C53" s="100">
        <v>12.01</v>
      </c>
      <c r="D53" s="100">
        <v>10.65</v>
      </c>
      <c r="E53" s="100">
        <v>4.9800000000000004</v>
      </c>
      <c r="F53" s="100">
        <v>2.4</v>
      </c>
      <c r="G53" s="100">
        <v>26.08</v>
      </c>
      <c r="H53" s="100">
        <v>7.77</v>
      </c>
      <c r="I53" s="100">
        <v>3.52</v>
      </c>
      <c r="J53" s="100">
        <v>0.55000000000000004</v>
      </c>
      <c r="K53" s="100">
        <v>239.52</v>
      </c>
      <c r="L53" s="100">
        <v>32.25</v>
      </c>
      <c r="M53" s="100">
        <v>66.81</v>
      </c>
      <c r="N53" s="100">
        <v>480.6</v>
      </c>
      <c r="O53" s="100">
        <v>0</v>
      </c>
      <c r="P53" s="100">
        <v>0.16</v>
      </c>
      <c r="Q53" s="100">
        <v>10</v>
      </c>
      <c r="R53" s="6"/>
      <c r="S53" s="6"/>
      <c r="T53" s="156"/>
      <c r="U53" s="6"/>
    </row>
    <row r="54" spans="1:21" customFormat="1">
      <c r="A54" s="201" t="s">
        <v>766</v>
      </c>
      <c r="B54" s="100">
        <v>5.0999999999999996</v>
      </c>
      <c r="C54" s="100">
        <v>12.16</v>
      </c>
      <c r="D54" s="100">
        <v>10.44</v>
      </c>
      <c r="E54" s="100">
        <v>4.8499999999999996</v>
      </c>
      <c r="F54" s="100">
        <v>2.13</v>
      </c>
      <c r="G54" s="100">
        <v>26.08</v>
      </c>
      <c r="H54" s="100">
        <v>7.77</v>
      </c>
      <c r="I54" s="100">
        <v>3.44</v>
      </c>
      <c r="J54" s="100">
        <v>0.44</v>
      </c>
      <c r="K54" s="100">
        <v>235.68</v>
      </c>
      <c r="L54" s="100">
        <v>31.28</v>
      </c>
      <c r="M54" s="100">
        <v>71.180000000000007</v>
      </c>
      <c r="N54" s="100">
        <v>349.6</v>
      </c>
      <c r="O54" s="100">
        <v>0</v>
      </c>
      <c r="P54" s="100">
        <v>0.18</v>
      </c>
      <c r="Q54" s="100">
        <v>10</v>
      </c>
      <c r="R54" s="6"/>
      <c r="S54" s="6"/>
      <c r="T54" s="156"/>
      <c r="U54" s="6"/>
    </row>
    <row r="55" spans="1:21" customFormat="1">
      <c r="A55" s="201" t="s">
        <v>767</v>
      </c>
      <c r="B55" s="100">
        <v>4.8099999999999996</v>
      </c>
      <c r="C55" s="100">
        <v>12.08</v>
      </c>
      <c r="D55" s="100">
        <v>10.17</v>
      </c>
      <c r="E55" s="100">
        <v>4.95</v>
      </c>
      <c r="F55" s="100">
        <v>2.4300000000000002</v>
      </c>
      <c r="G55" s="100">
        <v>28.92</v>
      </c>
      <c r="H55" s="100">
        <v>9.6999999999999993</v>
      </c>
      <c r="I55" s="100">
        <v>3.4</v>
      </c>
      <c r="J55" s="100">
        <v>0.74</v>
      </c>
      <c r="K55" s="100">
        <v>240.71</v>
      </c>
      <c r="L55" s="100">
        <v>31.77</v>
      </c>
      <c r="M55" s="100">
        <v>68.53</v>
      </c>
      <c r="N55" s="100">
        <v>879.8</v>
      </c>
      <c r="O55" s="100">
        <v>0</v>
      </c>
      <c r="P55" s="100">
        <v>0.18</v>
      </c>
      <c r="Q55" s="100">
        <v>10</v>
      </c>
      <c r="R55" s="6"/>
      <c r="S55" s="6"/>
      <c r="T55" s="156"/>
      <c r="U55" s="6"/>
    </row>
    <row r="56" spans="1:21" customFormat="1">
      <c r="A56" s="201" t="s">
        <v>768</v>
      </c>
      <c r="B56" s="100">
        <v>4.4800000000000004</v>
      </c>
      <c r="C56" s="100">
        <v>12.21</v>
      </c>
      <c r="D56" s="100">
        <v>9.9700000000000006</v>
      </c>
      <c r="E56" s="100">
        <v>4.8899999999999997</v>
      </c>
      <c r="F56" s="100">
        <v>2.2400000000000002</v>
      </c>
      <c r="G56" s="100">
        <v>29.62</v>
      </c>
      <c r="H56" s="100">
        <v>9.6999999999999993</v>
      </c>
      <c r="I56" s="100">
        <v>3.39</v>
      </c>
      <c r="J56" s="100">
        <v>0.43</v>
      </c>
      <c r="K56" s="100">
        <v>217.15</v>
      </c>
      <c r="L56" s="100">
        <v>32.69</v>
      </c>
      <c r="M56" s="100">
        <v>63.75</v>
      </c>
      <c r="N56" s="100">
        <v>868.6</v>
      </c>
      <c r="O56" s="100">
        <v>0</v>
      </c>
      <c r="P56" s="100">
        <v>0.18</v>
      </c>
      <c r="Q56" s="100">
        <v>10</v>
      </c>
      <c r="R56" s="6"/>
      <c r="S56" s="6"/>
      <c r="T56" s="156"/>
      <c r="U56" s="6"/>
    </row>
    <row r="57" spans="1:21" customFormat="1">
      <c r="A57" s="201" t="s">
        <v>769</v>
      </c>
      <c r="B57" s="100">
        <v>4.2300000000000004</v>
      </c>
      <c r="C57" s="100">
        <v>12.26</v>
      </c>
      <c r="D57" s="100">
        <v>9.8000000000000007</v>
      </c>
      <c r="E57" s="100">
        <v>5.07</v>
      </c>
      <c r="F57" s="100">
        <v>2.21</v>
      </c>
      <c r="G57" s="100">
        <v>29.62</v>
      </c>
      <c r="H57" s="100">
        <v>9.6999999999999993</v>
      </c>
      <c r="I57" s="100">
        <v>3.36</v>
      </c>
      <c r="J57" s="100">
        <v>0.4</v>
      </c>
      <c r="K57" s="100">
        <v>229.98</v>
      </c>
      <c r="L57" s="100">
        <v>32.54</v>
      </c>
      <c r="M57" s="100">
        <v>63.04</v>
      </c>
      <c r="N57" s="100">
        <v>748.2</v>
      </c>
      <c r="O57" s="100">
        <v>0</v>
      </c>
      <c r="P57" s="100">
        <v>0.18</v>
      </c>
      <c r="Q57" s="100">
        <v>10</v>
      </c>
      <c r="R57" s="6"/>
      <c r="S57" s="6"/>
      <c r="T57" s="156"/>
      <c r="U57" s="6"/>
    </row>
    <row r="58" spans="1:21" customFormat="1">
      <c r="A58" s="201" t="s">
        <v>770</v>
      </c>
      <c r="B58" s="100">
        <v>3.99</v>
      </c>
      <c r="C58" s="100">
        <v>12.21</v>
      </c>
      <c r="D58" s="100">
        <v>9.58</v>
      </c>
      <c r="E58" s="100">
        <v>5.0199999999999996</v>
      </c>
      <c r="F58" s="100">
        <v>2.14</v>
      </c>
      <c r="G58" s="100">
        <v>29.62</v>
      </c>
      <c r="H58" s="100">
        <v>9.6999999999999993</v>
      </c>
      <c r="I58" s="100">
        <v>3.3</v>
      </c>
      <c r="J58" s="100">
        <v>0.36</v>
      </c>
      <c r="K58" s="100">
        <v>214.95</v>
      </c>
      <c r="L58" s="100">
        <v>33.159999999999997</v>
      </c>
      <c r="M58" s="100">
        <v>60.93</v>
      </c>
      <c r="N58" s="100">
        <v>739.3</v>
      </c>
      <c r="O58" s="100">
        <v>0</v>
      </c>
      <c r="P58" s="100">
        <v>0.17</v>
      </c>
      <c r="Q58" s="100">
        <v>10</v>
      </c>
      <c r="R58" s="6"/>
      <c r="S58" s="6"/>
      <c r="T58" s="156"/>
      <c r="U58" s="6"/>
    </row>
    <row r="59" spans="1:21" customFormat="1">
      <c r="A59" s="201" t="s">
        <v>771</v>
      </c>
      <c r="B59" s="100">
        <v>3.77</v>
      </c>
      <c r="C59" s="100">
        <v>12.03</v>
      </c>
      <c r="D59" s="100">
        <v>9.3000000000000007</v>
      </c>
      <c r="E59" s="100">
        <v>4.93</v>
      </c>
      <c r="F59" s="100">
        <v>2.65</v>
      </c>
      <c r="G59" s="100">
        <v>26.1</v>
      </c>
      <c r="H59" s="100">
        <v>9.85</v>
      </c>
      <c r="I59" s="100">
        <v>3.27</v>
      </c>
      <c r="J59" s="100">
        <v>0.49</v>
      </c>
      <c r="K59" s="100">
        <v>225.51</v>
      </c>
      <c r="L59" s="100">
        <v>32.700000000000003</v>
      </c>
      <c r="M59" s="100">
        <v>61.81</v>
      </c>
      <c r="N59" s="100">
        <v>819.4</v>
      </c>
      <c r="O59" s="100">
        <v>0</v>
      </c>
      <c r="P59" s="100">
        <v>0.18</v>
      </c>
      <c r="Q59" s="100">
        <v>10</v>
      </c>
      <c r="R59" s="6"/>
      <c r="S59" s="6"/>
      <c r="T59" s="156"/>
      <c r="U59" s="6"/>
    </row>
    <row r="60" spans="1:21" customFormat="1">
      <c r="A60" s="201" t="s">
        <v>772</v>
      </c>
      <c r="B60" s="100">
        <v>3.66</v>
      </c>
      <c r="C60" s="100">
        <v>12.01</v>
      </c>
      <c r="D60" s="100">
        <v>9.2100000000000009</v>
      </c>
      <c r="E60" s="100">
        <v>5.08</v>
      </c>
      <c r="F60" s="100">
        <v>2.29</v>
      </c>
      <c r="G60" s="100">
        <v>25.16</v>
      </c>
      <c r="H60" s="100">
        <v>9.85</v>
      </c>
      <c r="I60" s="100">
        <v>3.25</v>
      </c>
      <c r="J60" s="100">
        <v>0.39</v>
      </c>
      <c r="K60" s="100">
        <v>225.81</v>
      </c>
      <c r="L60" s="100">
        <v>32.99</v>
      </c>
      <c r="M60" s="100">
        <v>61.63</v>
      </c>
      <c r="N60" s="100">
        <v>727.5</v>
      </c>
      <c r="O60" s="100">
        <v>0</v>
      </c>
      <c r="P60" s="100">
        <v>0.18</v>
      </c>
      <c r="Q60" s="100">
        <v>10</v>
      </c>
      <c r="R60" s="6"/>
      <c r="S60" s="6"/>
      <c r="T60" s="156"/>
      <c r="U60" s="6"/>
    </row>
    <row r="61" spans="1:21" customFormat="1">
      <c r="A61" s="201" t="s">
        <v>773</v>
      </c>
      <c r="B61" s="100">
        <v>3.53</v>
      </c>
      <c r="C61" s="100">
        <v>11.89</v>
      </c>
      <c r="D61" s="100">
        <v>9.0399999999999991</v>
      </c>
      <c r="E61" s="100">
        <v>5.14</v>
      </c>
      <c r="F61" s="100">
        <v>2.06</v>
      </c>
      <c r="G61" s="100">
        <v>25.16</v>
      </c>
      <c r="H61" s="100">
        <v>9.85</v>
      </c>
      <c r="I61" s="100">
        <v>3.21</v>
      </c>
      <c r="J61" s="100">
        <v>0.42</v>
      </c>
      <c r="K61" s="100">
        <v>221.53</v>
      </c>
      <c r="L61" s="100">
        <v>33.29</v>
      </c>
      <c r="M61" s="100">
        <v>59.31</v>
      </c>
      <c r="N61" s="100">
        <v>266.39999999999998</v>
      </c>
      <c r="O61" s="100">
        <v>0</v>
      </c>
      <c r="P61" s="100">
        <v>0.17</v>
      </c>
      <c r="Q61" s="100">
        <v>10</v>
      </c>
      <c r="R61" s="6"/>
      <c r="S61" s="6"/>
      <c r="T61" s="156"/>
      <c r="U61" s="6"/>
    </row>
    <row r="62" spans="1:21" customFormat="1">
      <c r="A62" s="201" t="s">
        <v>774</v>
      </c>
      <c r="B62" s="100">
        <v>3.44</v>
      </c>
      <c r="C62" s="100">
        <v>11.86</v>
      </c>
      <c r="D62" s="100">
        <v>8.9499999999999993</v>
      </c>
      <c r="E62" s="100">
        <v>5.31</v>
      </c>
      <c r="F62" s="100">
        <v>2.15</v>
      </c>
      <c r="G62" s="100">
        <v>25.16</v>
      </c>
      <c r="H62" s="100">
        <v>9.85</v>
      </c>
      <c r="I62" s="100">
        <v>3.2</v>
      </c>
      <c r="J62" s="100">
        <v>0.36</v>
      </c>
      <c r="K62" s="100">
        <v>164.92</v>
      </c>
      <c r="L62" s="100">
        <v>34.090000000000003</v>
      </c>
      <c r="M62" s="100">
        <v>57.4</v>
      </c>
      <c r="N62" s="100">
        <v>282.5</v>
      </c>
      <c r="O62" s="100">
        <v>0</v>
      </c>
      <c r="P62" s="100">
        <v>0.18</v>
      </c>
      <c r="Q62" s="100">
        <v>10</v>
      </c>
      <c r="R62" s="6"/>
      <c r="S62" s="6"/>
      <c r="T62" s="156"/>
      <c r="U62" s="6"/>
    </row>
    <row r="63" spans="1:21" customFormat="1">
      <c r="A63" s="201" t="s">
        <v>775</v>
      </c>
      <c r="B63" s="100">
        <v>3.39</v>
      </c>
      <c r="C63" s="100">
        <v>11.71</v>
      </c>
      <c r="D63" s="100">
        <v>8.84</v>
      </c>
      <c r="E63" s="100">
        <v>5.12</v>
      </c>
      <c r="F63" s="100">
        <v>2.2000000000000002</v>
      </c>
      <c r="G63" s="100">
        <v>19.12</v>
      </c>
      <c r="H63" s="100">
        <v>7.11</v>
      </c>
      <c r="I63" s="100">
        <v>3.15</v>
      </c>
      <c r="J63" s="100">
        <v>0.35</v>
      </c>
      <c r="K63" s="100">
        <v>204.02</v>
      </c>
      <c r="L63" s="100">
        <v>33.78</v>
      </c>
      <c r="M63" s="100">
        <v>58.99</v>
      </c>
      <c r="N63" s="100">
        <v>613.70000000000005</v>
      </c>
      <c r="O63" s="100">
        <v>0</v>
      </c>
      <c r="P63" s="100">
        <v>0.18</v>
      </c>
      <c r="Q63" s="100">
        <v>10</v>
      </c>
      <c r="R63" s="6"/>
      <c r="S63" s="6"/>
      <c r="T63" s="156"/>
      <c r="U63" s="6"/>
    </row>
    <row r="64" spans="1:21" customFormat="1">
      <c r="A64" s="201" t="s">
        <v>776</v>
      </c>
      <c r="B64" s="100">
        <v>3.36</v>
      </c>
      <c r="C64" s="100">
        <v>11.62</v>
      </c>
      <c r="D64" s="100">
        <v>8.77</v>
      </c>
      <c r="E64" s="100">
        <v>5.18</v>
      </c>
      <c r="F64" s="100">
        <v>2.04</v>
      </c>
      <c r="G64" s="100">
        <v>17.61</v>
      </c>
      <c r="H64" s="100">
        <v>7.11</v>
      </c>
      <c r="I64" s="100">
        <v>3.1</v>
      </c>
      <c r="J64" s="100">
        <v>0.39</v>
      </c>
      <c r="K64" s="100">
        <v>161.68</v>
      </c>
      <c r="L64" s="100">
        <v>34.08</v>
      </c>
      <c r="M64" s="100">
        <v>55.68</v>
      </c>
      <c r="N64" s="100">
        <v>386.5</v>
      </c>
      <c r="O64" s="100">
        <v>0</v>
      </c>
      <c r="P64" s="100">
        <v>0.18</v>
      </c>
      <c r="Q64" s="100">
        <v>10</v>
      </c>
      <c r="R64" s="6"/>
      <c r="S64" s="6"/>
      <c r="T64" s="156"/>
      <c r="U64" s="6"/>
    </row>
    <row r="65" spans="1:21" customFormat="1">
      <c r="A65" s="201" t="s">
        <v>777</v>
      </c>
      <c r="B65" s="100">
        <v>3.28</v>
      </c>
      <c r="C65" s="100">
        <v>11.59</v>
      </c>
      <c r="D65" s="100">
        <v>8.69</v>
      </c>
      <c r="E65" s="100">
        <v>5.26</v>
      </c>
      <c r="F65" s="100">
        <v>2.16</v>
      </c>
      <c r="G65" s="100">
        <v>17.61</v>
      </c>
      <c r="H65" s="100">
        <v>7.11</v>
      </c>
      <c r="I65" s="100">
        <v>3.11</v>
      </c>
      <c r="J65" s="100">
        <v>0.28999999999999998</v>
      </c>
      <c r="K65" s="100">
        <v>173.5</v>
      </c>
      <c r="L65" s="100">
        <v>33.15</v>
      </c>
      <c r="M65" s="100">
        <v>58.54</v>
      </c>
      <c r="N65" s="100">
        <v>241.5</v>
      </c>
      <c r="O65" s="100">
        <v>0</v>
      </c>
      <c r="P65" s="100">
        <v>0.17</v>
      </c>
      <c r="Q65" s="100">
        <v>10</v>
      </c>
      <c r="R65" s="6"/>
      <c r="S65" s="6"/>
      <c r="T65" s="156"/>
      <c r="U65" s="6"/>
    </row>
    <row r="66" spans="1:21" customFormat="1">
      <c r="A66" s="201" t="s">
        <v>778</v>
      </c>
      <c r="B66" s="100">
        <v>3.24</v>
      </c>
      <c r="C66" s="100">
        <v>11.5</v>
      </c>
      <c r="D66" s="100">
        <v>8.6</v>
      </c>
      <c r="E66" s="100">
        <v>5.32</v>
      </c>
      <c r="F66" s="100">
        <v>2.17</v>
      </c>
      <c r="G66" s="100">
        <v>17.61</v>
      </c>
      <c r="H66" s="100">
        <v>7.11</v>
      </c>
      <c r="I66" s="100">
        <v>3.08</v>
      </c>
      <c r="J66" s="100">
        <v>0.41</v>
      </c>
      <c r="K66" s="100">
        <v>165.72</v>
      </c>
      <c r="L66" s="100">
        <v>32.82</v>
      </c>
      <c r="M66" s="100">
        <v>59.28</v>
      </c>
      <c r="N66" s="100">
        <v>223.5</v>
      </c>
      <c r="O66" s="100">
        <v>0</v>
      </c>
      <c r="P66" s="100">
        <v>0.18</v>
      </c>
      <c r="Q66" s="100">
        <v>10</v>
      </c>
      <c r="R66" s="6"/>
      <c r="S66" s="6"/>
      <c r="T66" s="156"/>
      <c r="U66" s="6"/>
    </row>
    <row r="67" spans="1:21" customFormat="1">
      <c r="A67" s="201" t="s">
        <v>779</v>
      </c>
      <c r="B67" s="100">
        <v>3.2</v>
      </c>
      <c r="C67" s="100">
        <v>11.35</v>
      </c>
      <c r="D67" s="100">
        <v>8.5</v>
      </c>
      <c r="E67" s="100">
        <v>5.5</v>
      </c>
      <c r="F67" s="100">
        <v>3.28</v>
      </c>
      <c r="G67" s="100">
        <v>26.15</v>
      </c>
      <c r="H67" s="100">
        <v>5.36</v>
      </c>
      <c r="I67" s="100">
        <v>3.02</v>
      </c>
      <c r="J67" s="100">
        <v>0.25</v>
      </c>
      <c r="K67" s="100">
        <v>200.28</v>
      </c>
      <c r="L67" s="100">
        <v>33.020000000000003</v>
      </c>
      <c r="M67" s="100">
        <v>59.21</v>
      </c>
      <c r="N67" s="100">
        <v>180.3</v>
      </c>
      <c r="O67" s="100">
        <v>0</v>
      </c>
      <c r="P67" s="100">
        <v>0.17</v>
      </c>
      <c r="Q67" s="100">
        <v>10</v>
      </c>
      <c r="R67" s="6"/>
      <c r="S67" s="6"/>
      <c r="T67" s="156"/>
      <c r="U67" s="6"/>
    </row>
    <row r="68" spans="1:21" customFormat="1">
      <c r="A68" s="201" t="s">
        <v>780</v>
      </c>
      <c r="B68" s="100">
        <v>3.23</v>
      </c>
      <c r="C68" s="100">
        <v>11.42</v>
      </c>
      <c r="D68" s="100">
        <v>8.5500000000000007</v>
      </c>
      <c r="E68" s="100">
        <v>5.5</v>
      </c>
      <c r="F68" s="100">
        <v>2.09</v>
      </c>
      <c r="G68" s="100">
        <v>28.28</v>
      </c>
      <c r="H68" s="100">
        <v>5.36</v>
      </c>
      <c r="I68" s="100">
        <v>2.99</v>
      </c>
      <c r="J68" s="100">
        <v>0.39</v>
      </c>
      <c r="K68" s="100">
        <v>181.26</v>
      </c>
      <c r="L68" s="100">
        <v>33.07</v>
      </c>
      <c r="M68" s="100">
        <v>58.48</v>
      </c>
      <c r="N68" s="100">
        <v>167.5</v>
      </c>
      <c r="O68" s="100">
        <v>0</v>
      </c>
      <c r="P68" s="100">
        <v>0.17</v>
      </c>
      <c r="Q68" s="100">
        <v>10</v>
      </c>
      <c r="R68" s="6"/>
      <c r="S68" s="6"/>
      <c r="T68" s="156"/>
      <c r="U68" s="6"/>
    </row>
    <row r="69" spans="1:21" customFormat="1">
      <c r="A69" s="201" t="s">
        <v>781</v>
      </c>
      <c r="B69" s="100">
        <v>3.17</v>
      </c>
      <c r="C69" s="100">
        <v>11.47</v>
      </c>
      <c r="D69" s="100">
        <v>8.5299999999999994</v>
      </c>
      <c r="E69" s="100">
        <v>5.5</v>
      </c>
      <c r="F69" s="100">
        <v>2.29</v>
      </c>
      <c r="G69" s="100">
        <v>28.28</v>
      </c>
      <c r="H69" s="100">
        <v>5.36</v>
      </c>
      <c r="I69" s="100">
        <v>3</v>
      </c>
      <c r="J69" s="100">
        <v>0.35</v>
      </c>
      <c r="K69" s="100">
        <v>174.92</v>
      </c>
      <c r="L69" s="100">
        <v>32.840000000000003</v>
      </c>
      <c r="M69" s="100">
        <v>59.09</v>
      </c>
      <c r="N69" s="100">
        <v>142</v>
      </c>
      <c r="O69" s="100">
        <v>0</v>
      </c>
      <c r="P69" s="100">
        <v>0.17</v>
      </c>
      <c r="Q69" s="100">
        <v>10</v>
      </c>
      <c r="R69" s="6"/>
      <c r="S69" s="6"/>
      <c r="T69" s="156"/>
      <c r="U69" s="6"/>
    </row>
    <row r="70" spans="1:21" customFormat="1">
      <c r="A70" s="201" t="s">
        <v>782</v>
      </c>
      <c r="B70" s="100">
        <v>3.13</v>
      </c>
      <c r="C70" s="100">
        <v>11.46</v>
      </c>
      <c r="D70" s="100">
        <v>8.5</v>
      </c>
      <c r="E70" s="100">
        <v>5.61</v>
      </c>
      <c r="F70" s="100">
        <v>2.17</v>
      </c>
      <c r="G70" s="100">
        <v>28.28</v>
      </c>
      <c r="H70" s="100">
        <v>5.36</v>
      </c>
      <c r="I70" s="100">
        <v>2.94</v>
      </c>
      <c r="J70" s="100">
        <v>0.34</v>
      </c>
      <c r="K70" s="100">
        <v>163.06</v>
      </c>
      <c r="L70" s="100">
        <v>32.909999999999997</v>
      </c>
      <c r="M70" s="100">
        <v>58.33</v>
      </c>
      <c r="N70" s="100">
        <v>93</v>
      </c>
      <c r="O70" s="100">
        <v>0</v>
      </c>
      <c r="P70" s="100">
        <v>0.17</v>
      </c>
      <c r="Q70" s="100">
        <v>10</v>
      </c>
      <c r="R70" s="6"/>
      <c r="S70" s="6"/>
      <c r="T70" s="156"/>
      <c r="U70" s="6"/>
    </row>
    <row r="71" spans="1:21" customFormat="1">
      <c r="A71" s="201" t="s">
        <v>783</v>
      </c>
      <c r="B71" s="100">
        <v>3.13</v>
      </c>
      <c r="C71" s="100">
        <v>11.31</v>
      </c>
      <c r="D71" s="100">
        <v>8.42</v>
      </c>
      <c r="E71" s="100">
        <v>5.28</v>
      </c>
      <c r="F71" s="100">
        <v>2.09</v>
      </c>
      <c r="G71" s="100">
        <v>21.49</v>
      </c>
      <c r="H71" s="100">
        <v>5.77</v>
      </c>
      <c r="I71" s="100">
        <v>2.94</v>
      </c>
      <c r="J71" s="100">
        <v>0.23</v>
      </c>
      <c r="K71" s="100">
        <v>123.7</v>
      </c>
      <c r="L71" s="100">
        <v>33</v>
      </c>
      <c r="M71" s="100">
        <v>56.89</v>
      </c>
      <c r="N71" s="100">
        <v>281.7</v>
      </c>
      <c r="O71" s="100">
        <v>0</v>
      </c>
      <c r="P71" s="100">
        <v>0.17</v>
      </c>
      <c r="Q71" s="100">
        <v>10</v>
      </c>
      <c r="R71" s="6"/>
      <c r="S71" s="6"/>
      <c r="T71" s="156"/>
      <c r="U71" s="6"/>
    </row>
    <row r="72" spans="1:21" customFormat="1">
      <c r="A72" s="201" t="s">
        <v>784</v>
      </c>
      <c r="B72" s="100">
        <v>3.16</v>
      </c>
      <c r="C72" s="100">
        <v>11.22</v>
      </c>
      <c r="D72" s="100">
        <v>8.4</v>
      </c>
      <c r="E72" s="100">
        <v>5.52</v>
      </c>
      <c r="F72" s="100">
        <v>3.83</v>
      </c>
      <c r="G72" s="100">
        <v>19.8</v>
      </c>
      <c r="H72" s="100">
        <v>5.77</v>
      </c>
      <c r="I72" s="100">
        <v>2.93</v>
      </c>
      <c r="J72" s="100">
        <v>0.23</v>
      </c>
      <c r="K72" s="100">
        <v>138.68</v>
      </c>
      <c r="L72" s="100">
        <v>32.33</v>
      </c>
      <c r="M72" s="100">
        <v>60</v>
      </c>
      <c r="N72" s="100">
        <v>72.2</v>
      </c>
      <c r="O72" s="100">
        <v>0</v>
      </c>
      <c r="P72" s="100">
        <v>0.18</v>
      </c>
      <c r="Q72" s="100">
        <v>10</v>
      </c>
      <c r="R72" s="6"/>
      <c r="S72" s="6"/>
      <c r="T72" s="156"/>
      <c r="U72" s="6"/>
    </row>
    <row r="73" spans="1:21" customFormat="1">
      <c r="A73" s="201" t="s">
        <v>785</v>
      </c>
      <c r="B73" s="100">
        <v>3.25</v>
      </c>
      <c r="C73" s="100">
        <v>11.06</v>
      </c>
      <c r="D73" s="100">
        <v>8.3800000000000008</v>
      </c>
      <c r="E73" s="100">
        <v>5.44</v>
      </c>
      <c r="F73" s="100">
        <v>5.44</v>
      </c>
      <c r="G73" s="100">
        <v>19.8</v>
      </c>
      <c r="H73" s="100">
        <v>5.77</v>
      </c>
      <c r="I73" s="100">
        <v>2.89</v>
      </c>
      <c r="J73" s="100">
        <v>0.34</v>
      </c>
      <c r="K73" s="100">
        <v>48.35</v>
      </c>
      <c r="L73" s="100">
        <v>31.33</v>
      </c>
      <c r="M73" s="100">
        <v>66.069999999999993</v>
      </c>
      <c r="N73" s="100">
        <v>52.8</v>
      </c>
      <c r="O73" s="100">
        <v>0</v>
      </c>
      <c r="P73" s="100">
        <v>0.17</v>
      </c>
      <c r="Q73" s="100">
        <v>10</v>
      </c>
      <c r="R73" s="6"/>
      <c r="S73" s="6"/>
      <c r="T73" s="156"/>
      <c r="U73" s="6"/>
    </row>
    <row r="74" spans="1:21" customFormat="1">
      <c r="A74" s="201" t="s">
        <v>786</v>
      </c>
      <c r="B74" s="100">
        <v>3.46</v>
      </c>
      <c r="C74" s="100">
        <v>11.54</v>
      </c>
      <c r="D74" s="100">
        <v>8.81</v>
      </c>
      <c r="E74" s="100">
        <v>5.1100000000000003</v>
      </c>
      <c r="F74" s="100">
        <v>8.77</v>
      </c>
      <c r="G74" s="100">
        <v>19.8</v>
      </c>
      <c r="H74" s="100">
        <v>5.77</v>
      </c>
      <c r="I74" s="100">
        <v>2.84</v>
      </c>
      <c r="J74" s="100">
        <v>0.3</v>
      </c>
      <c r="K74" s="100">
        <v>50.31</v>
      </c>
      <c r="L74" s="100">
        <v>30.98</v>
      </c>
      <c r="M74" s="100">
        <v>68</v>
      </c>
      <c r="N74" s="100">
        <v>43.9</v>
      </c>
      <c r="O74" s="100">
        <v>0</v>
      </c>
      <c r="P74" s="100">
        <v>0.18</v>
      </c>
      <c r="Q74" s="100">
        <v>10</v>
      </c>
      <c r="R74" s="6"/>
      <c r="S74" s="6"/>
      <c r="T74" s="156"/>
      <c r="U74" s="6"/>
    </row>
    <row r="75" spans="1:21" customFormat="1">
      <c r="A75" s="201" t="s">
        <v>787</v>
      </c>
      <c r="B75" s="100">
        <v>3.83</v>
      </c>
      <c r="C75" s="100">
        <v>12.09</v>
      </c>
      <c r="D75" s="100">
        <v>9.39</v>
      </c>
      <c r="E75" s="100">
        <v>5.23</v>
      </c>
      <c r="F75" s="100">
        <v>7.53</v>
      </c>
      <c r="G75" s="100">
        <v>34.4</v>
      </c>
      <c r="H75" s="100">
        <v>11.54</v>
      </c>
      <c r="I75" s="100">
        <v>2.92</v>
      </c>
      <c r="J75" s="100">
        <v>0.8</v>
      </c>
      <c r="K75" s="100">
        <v>242.63</v>
      </c>
      <c r="L75" s="100">
        <v>30.29</v>
      </c>
      <c r="M75" s="100">
        <v>70.02</v>
      </c>
      <c r="N75" s="100">
        <v>24.1</v>
      </c>
      <c r="O75" s="100">
        <v>0</v>
      </c>
      <c r="P75" s="100">
        <v>0.19</v>
      </c>
      <c r="Q75" s="100">
        <v>10</v>
      </c>
      <c r="R75" s="6"/>
      <c r="S75" s="6"/>
      <c r="T75" s="156"/>
      <c r="U75" s="6"/>
    </row>
    <row r="76" spans="1:21" customFormat="1">
      <c r="A76" s="201" t="s">
        <v>788</v>
      </c>
      <c r="B76" s="100">
        <v>3.95</v>
      </c>
      <c r="C76" s="100">
        <v>12.62</v>
      </c>
      <c r="D76" s="100">
        <v>9.76</v>
      </c>
      <c r="E76" s="100">
        <v>6.18</v>
      </c>
      <c r="F76" s="100">
        <v>6.45</v>
      </c>
      <c r="G76" s="100">
        <v>38.049999999999997</v>
      </c>
      <c r="H76" s="100">
        <v>11.54</v>
      </c>
      <c r="I76" s="100">
        <v>3.23</v>
      </c>
      <c r="J76" s="100">
        <v>0.28000000000000003</v>
      </c>
      <c r="K76" s="100">
        <v>242.28</v>
      </c>
      <c r="L76" s="100">
        <v>29.35</v>
      </c>
      <c r="M76" s="100">
        <v>71.64</v>
      </c>
      <c r="N76" s="100">
        <v>33.700000000000003</v>
      </c>
      <c r="O76" s="100">
        <v>0</v>
      </c>
      <c r="P76" s="100">
        <v>0.19</v>
      </c>
      <c r="Q76" s="100">
        <v>10</v>
      </c>
      <c r="R76" s="6"/>
      <c r="S76" s="6"/>
      <c r="T76" s="156"/>
      <c r="U76" s="6"/>
    </row>
    <row r="77" spans="1:21" customFormat="1">
      <c r="A77" s="201" t="s">
        <v>789</v>
      </c>
      <c r="B77" s="100">
        <v>4.12</v>
      </c>
      <c r="C77" s="100">
        <v>13.29</v>
      </c>
      <c r="D77" s="100">
        <v>10.25</v>
      </c>
      <c r="E77" s="100">
        <v>6.51</v>
      </c>
      <c r="F77" s="100">
        <v>6.56</v>
      </c>
      <c r="G77" s="100">
        <v>38.049999999999997</v>
      </c>
      <c r="H77" s="100">
        <v>11.54</v>
      </c>
      <c r="I77" s="100">
        <v>3.29</v>
      </c>
      <c r="J77" s="100">
        <v>0.06</v>
      </c>
      <c r="K77" s="100">
        <v>15.11</v>
      </c>
      <c r="L77" s="100">
        <v>29.53</v>
      </c>
      <c r="M77" s="100">
        <v>73.180000000000007</v>
      </c>
      <c r="N77" s="100">
        <v>46.3</v>
      </c>
      <c r="O77" s="100">
        <v>0</v>
      </c>
      <c r="P77" s="100">
        <v>0.19</v>
      </c>
      <c r="Q77" s="100">
        <v>10</v>
      </c>
      <c r="R77" s="6"/>
      <c r="S77" s="6"/>
      <c r="T77" s="156"/>
      <c r="U77" s="6"/>
    </row>
    <row r="78" spans="1:21" customFormat="1">
      <c r="A78" s="201" t="s">
        <v>790</v>
      </c>
      <c r="B78" s="100">
        <v>4.34</v>
      </c>
      <c r="C78" s="100">
        <v>13.35</v>
      </c>
      <c r="D78" s="100">
        <v>10.46</v>
      </c>
      <c r="E78" s="100">
        <v>5.88</v>
      </c>
      <c r="F78" s="100">
        <v>11.2</v>
      </c>
      <c r="G78" s="100">
        <v>38.049999999999997</v>
      </c>
      <c r="H78" s="100">
        <v>11.54</v>
      </c>
      <c r="I78" s="100">
        <v>3.45</v>
      </c>
      <c r="J78" s="100">
        <v>0.27</v>
      </c>
      <c r="K78" s="100">
        <v>32.200000000000003</v>
      </c>
      <c r="L78" s="100">
        <v>29.94</v>
      </c>
      <c r="M78" s="100">
        <v>71.790000000000006</v>
      </c>
      <c r="N78" s="100">
        <v>39.5</v>
      </c>
      <c r="O78" s="100">
        <v>0</v>
      </c>
      <c r="P78" s="100">
        <v>0.2</v>
      </c>
      <c r="Q78" s="100">
        <v>10</v>
      </c>
      <c r="R78" s="6"/>
      <c r="S78" s="6"/>
      <c r="T78" s="156"/>
      <c r="U78" s="6"/>
    </row>
    <row r="79" spans="1:21" customFormat="1">
      <c r="A79" s="201" t="s">
        <v>791</v>
      </c>
      <c r="B79" s="100">
        <v>4.6100000000000003</v>
      </c>
      <c r="C79" s="100">
        <v>13.94</v>
      </c>
      <c r="D79" s="100">
        <v>10.98</v>
      </c>
      <c r="E79" s="100">
        <v>6.48</v>
      </c>
      <c r="F79" s="100">
        <v>13.07</v>
      </c>
      <c r="G79" s="100">
        <v>45.93</v>
      </c>
      <c r="H79" s="100">
        <v>15.29</v>
      </c>
      <c r="I79" s="100">
        <v>3.71</v>
      </c>
      <c r="J79" s="100">
        <v>0.38</v>
      </c>
      <c r="K79" s="100">
        <v>37.74</v>
      </c>
      <c r="L79" s="100">
        <v>30.02</v>
      </c>
      <c r="M79" s="100">
        <v>71.87</v>
      </c>
      <c r="N79" s="100">
        <v>20.8</v>
      </c>
      <c r="O79" s="100">
        <v>0</v>
      </c>
      <c r="P79" s="100">
        <v>0.24</v>
      </c>
      <c r="Q79" s="100">
        <v>10</v>
      </c>
      <c r="R79" s="6"/>
      <c r="S79" s="6"/>
      <c r="T79" s="156"/>
      <c r="U79" s="6"/>
    </row>
    <row r="80" spans="1:21" customFormat="1">
      <c r="A80" s="201" t="s">
        <v>792</v>
      </c>
      <c r="B80" s="100">
        <v>4.8499999999999996</v>
      </c>
      <c r="C80" s="100">
        <v>14.32</v>
      </c>
      <c r="D80" s="100">
        <v>11.37</v>
      </c>
      <c r="E80" s="100">
        <v>7.3</v>
      </c>
      <c r="F80" s="100">
        <v>11.1</v>
      </c>
      <c r="G80" s="100">
        <v>47.9</v>
      </c>
      <c r="H80" s="100">
        <v>15.29</v>
      </c>
      <c r="I80" s="100">
        <v>3.74</v>
      </c>
      <c r="J80" s="100">
        <v>0.27</v>
      </c>
      <c r="K80" s="100">
        <v>52.83</v>
      </c>
      <c r="L80" s="100">
        <v>29.79</v>
      </c>
      <c r="M80" s="100">
        <v>73.87</v>
      </c>
      <c r="N80" s="100">
        <v>7.3</v>
      </c>
      <c r="O80" s="100">
        <v>0</v>
      </c>
      <c r="P80" s="100">
        <v>0.24</v>
      </c>
      <c r="Q80" s="100">
        <v>10</v>
      </c>
      <c r="R80" s="6"/>
      <c r="S80" s="6"/>
      <c r="T80" s="156"/>
      <c r="U80" s="6"/>
    </row>
    <row r="81" spans="1:21" customFormat="1">
      <c r="A81" s="201" t="s">
        <v>793</v>
      </c>
      <c r="B81" s="100">
        <v>4.58</v>
      </c>
      <c r="C81" s="100">
        <v>13.6</v>
      </c>
      <c r="D81" s="100">
        <v>10.77</v>
      </c>
      <c r="E81" s="100">
        <v>4.95</v>
      </c>
      <c r="F81" s="100">
        <v>3.99</v>
      </c>
      <c r="G81" s="100">
        <v>47.9</v>
      </c>
      <c r="H81" s="100">
        <v>15.29</v>
      </c>
      <c r="I81" s="100">
        <v>3.96</v>
      </c>
      <c r="J81" s="100">
        <v>0.16</v>
      </c>
      <c r="K81" s="100">
        <v>122.11</v>
      </c>
      <c r="L81" s="100">
        <v>29.54</v>
      </c>
      <c r="M81" s="100">
        <v>76.52</v>
      </c>
      <c r="N81" s="100">
        <v>4.0999999999999996</v>
      </c>
      <c r="O81" s="100">
        <v>0</v>
      </c>
      <c r="P81" s="100">
        <v>0.21</v>
      </c>
      <c r="Q81" s="100">
        <v>10</v>
      </c>
      <c r="R81" s="6"/>
      <c r="S81" s="6"/>
      <c r="T81" s="156"/>
      <c r="U81" s="6"/>
    </row>
    <row r="82" spans="1:21" customFormat="1">
      <c r="A82" s="201" t="s">
        <v>794</v>
      </c>
      <c r="B82" s="100">
        <v>4.63</v>
      </c>
      <c r="C82" s="100">
        <v>13.64</v>
      </c>
      <c r="D82" s="100">
        <v>10.84</v>
      </c>
      <c r="E82" s="100">
        <v>5.75</v>
      </c>
      <c r="F82" s="100">
        <v>7.13</v>
      </c>
      <c r="G82" s="100">
        <v>47.9</v>
      </c>
      <c r="H82" s="100">
        <v>15.29</v>
      </c>
      <c r="I82" s="100">
        <v>4.13</v>
      </c>
      <c r="J82" s="100">
        <v>0.17</v>
      </c>
      <c r="K82" s="100">
        <v>115.13</v>
      </c>
      <c r="L82" s="100">
        <v>29.23</v>
      </c>
      <c r="M82" s="100">
        <v>78.459999999999994</v>
      </c>
      <c r="N82" s="100">
        <v>2.6</v>
      </c>
      <c r="O82" s="100">
        <v>0</v>
      </c>
      <c r="P82" s="100">
        <v>0.27</v>
      </c>
      <c r="Q82" s="100">
        <v>10</v>
      </c>
      <c r="R82" s="6"/>
      <c r="S82" s="6"/>
      <c r="T82" s="156"/>
      <c r="U82" s="6"/>
    </row>
    <row r="83" spans="1:21" customFormat="1">
      <c r="A83" s="201" t="s">
        <v>795</v>
      </c>
      <c r="B83" s="100">
        <v>4.18</v>
      </c>
      <c r="C83" s="100">
        <v>13.39</v>
      </c>
      <c r="D83" s="100">
        <v>10.35</v>
      </c>
      <c r="E83" s="100">
        <v>5.88</v>
      </c>
      <c r="F83" s="100">
        <v>10.4</v>
      </c>
      <c r="G83" s="100">
        <v>54.85</v>
      </c>
      <c r="H83" s="100">
        <v>21.31</v>
      </c>
      <c r="I83" s="100">
        <v>4.0599999999999996</v>
      </c>
      <c r="J83" s="100">
        <v>0.17</v>
      </c>
      <c r="K83" s="100">
        <v>171.73</v>
      </c>
      <c r="L83" s="100">
        <v>28.8</v>
      </c>
      <c r="M83" s="100">
        <v>81.95</v>
      </c>
      <c r="N83" s="100">
        <v>2.5</v>
      </c>
      <c r="O83" s="100">
        <v>0</v>
      </c>
      <c r="P83" s="100">
        <v>0.28000000000000003</v>
      </c>
      <c r="Q83" s="100">
        <v>10</v>
      </c>
      <c r="R83" s="6"/>
      <c r="S83" s="6"/>
      <c r="T83" s="156"/>
      <c r="U83" s="6"/>
    </row>
    <row r="84" spans="1:21" customFormat="1">
      <c r="A84" s="201" t="s">
        <v>796</v>
      </c>
      <c r="B84" s="100">
        <v>4.51</v>
      </c>
      <c r="C84" s="100">
        <v>12.83</v>
      </c>
      <c r="D84" s="100">
        <v>10.32</v>
      </c>
      <c r="E84" s="100">
        <v>5.17</v>
      </c>
      <c r="F84" s="100">
        <v>3.65</v>
      </c>
      <c r="G84" s="100">
        <v>56.58</v>
      </c>
      <c r="H84" s="100">
        <v>21.31</v>
      </c>
      <c r="I84" s="100">
        <v>4.28</v>
      </c>
      <c r="J84" s="100">
        <v>0.18</v>
      </c>
      <c r="K84" s="100">
        <v>155.27000000000001</v>
      </c>
      <c r="L84" s="100">
        <v>28.66</v>
      </c>
      <c r="M84" s="100">
        <v>83.43</v>
      </c>
      <c r="N84" s="100">
        <v>2.2000000000000002</v>
      </c>
      <c r="O84" s="100">
        <v>0</v>
      </c>
      <c r="P84" s="100">
        <v>0.23</v>
      </c>
      <c r="Q84" s="100">
        <v>10</v>
      </c>
      <c r="R84" s="6"/>
      <c r="S84" s="6"/>
      <c r="T84" s="156"/>
      <c r="U84" s="6"/>
    </row>
    <row r="85" spans="1:21" customFormat="1">
      <c r="A85" s="201" t="s">
        <v>797</v>
      </c>
      <c r="B85" s="100">
        <v>4.55</v>
      </c>
      <c r="C85" s="100">
        <v>12.66</v>
      </c>
      <c r="D85" s="100">
        <v>10.26</v>
      </c>
      <c r="E85" s="100">
        <v>4.88</v>
      </c>
      <c r="F85" s="100">
        <v>4.66</v>
      </c>
      <c r="G85" s="100">
        <v>56.58</v>
      </c>
      <c r="H85" s="100">
        <v>21.31</v>
      </c>
      <c r="I85" s="100">
        <v>4.41</v>
      </c>
      <c r="J85" s="100">
        <v>0.14000000000000001</v>
      </c>
      <c r="K85" s="100">
        <v>168.52</v>
      </c>
      <c r="L85" s="100">
        <v>28.53</v>
      </c>
      <c r="M85" s="100">
        <v>84.59</v>
      </c>
      <c r="N85" s="100">
        <v>2.2000000000000002</v>
      </c>
      <c r="O85" s="100">
        <v>0</v>
      </c>
      <c r="P85" s="100">
        <v>0.27</v>
      </c>
      <c r="Q85" s="100">
        <v>10</v>
      </c>
      <c r="R85" s="6"/>
      <c r="S85" s="6"/>
      <c r="T85" s="156"/>
      <c r="U85" s="6"/>
    </row>
    <row r="86" spans="1:21" customFormat="1">
      <c r="A86" s="201" t="s">
        <v>798</v>
      </c>
      <c r="B86" s="100">
        <v>4.47</v>
      </c>
      <c r="C86" s="100">
        <v>12.53</v>
      </c>
      <c r="D86" s="100">
        <v>10.130000000000001</v>
      </c>
      <c r="E86" s="100">
        <v>4.7</v>
      </c>
      <c r="F86" s="100">
        <v>5.42</v>
      </c>
      <c r="G86" s="100">
        <v>56.58</v>
      </c>
      <c r="H86" s="100">
        <v>21.31</v>
      </c>
      <c r="I86" s="100">
        <v>4.3099999999999996</v>
      </c>
      <c r="J86" s="100">
        <v>0.1</v>
      </c>
      <c r="K86" s="100">
        <v>141.09</v>
      </c>
      <c r="L86" s="100">
        <v>28.35</v>
      </c>
      <c r="M86" s="100">
        <v>87.62</v>
      </c>
      <c r="N86" s="100">
        <v>2.1</v>
      </c>
      <c r="O86" s="100">
        <v>0</v>
      </c>
      <c r="P86" s="100">
        <v>0.27</v>
      </c>
      <c r="Q86" s="100">
        <v>10</v>
      </c>
      <c r="R86" s="6"/>
      <c r="S86" s="6"/>
      <c r="T86" s="156"/>
      <c r="U86" s="6"/>
    </row>
    <row r="87" spans="1:21" customFormat="1">
      <c r="A87" s="201" t="s">
        <v>799</v>
      </c>
      <c r="B87" s="100">
        <v>4.83</v>
      </c>
      <c r="C87" s="100">
        <v>12.49</v>
      </c>
      <c r="D87" s="100">
        <v>10.4</v>
      </c>
      <c r="E87" s="100">
        <v>4.9000000000000004</v>
      </c>
      <c r="F87" s="100">
        <v>3.46</v>
      </c>
      <c r="G87" s="100">
        <v>59.56</v>
      </c>
      <c r="H87" s="100">
        <v>22.18</v>
      </c>
      <c r="I87" s="100">
        <v>4.4000000000000004</v>
      </c>
      <c r="J87" s="100">
        <v>0.14000000000000001</v>
      </c>
      <c r="K87" s="100">
        <v>145.94999999999999</v>
      </c>
      <c r="L87" s="100">
        <v>28.39</v>
      </c>
      <c r="M87" s="100">
        <v>87.64</v>
      </c>
      <c r="N87" s="100">
        <v>2</v>
      </c>
      <c r="O87" s="100">
        <v>0</v>
      </c>
      <c r="P87" s="100">
        <v>0.27</v>
      </c>
      <c r="Q87" s="100">
        <v>10</v>
      </c>
      <c r="R87" s="6"/>
      <c r="S87" s="6"/>
      <c r="T87" s="156"/>
      <c r="U87" s="6"/>
    </row>
    <row r="88" spans="1:21" customFormat="1">
      <c r="A88" s="201" t="s">
        <v>800</v>
      </c>
      <c r="B88" s="100">
        <v>4.9400000000000004</v>
      </c>
      <c r="C88" s="100">
        <v>12.13</v>
      </c>
      <c r="D88" s="100">
        <v>10.3</v>
      </c>
      <c r="E88" s="100">
        <v>4.72</v>
      </c>
      <c r="F88" s="100">
        <v>3.65</v>
      </c>
      <c r="G88" s="100">
        <v>60.31</v>
      </c>
      <c r="H88" s="100">
        <v>22.18</v>
      </c>
      <c r="I88" s="100">
        <v>4.45</v>
      </c>
      <c r="J88" s="100">
        <v>0.28000000000000003</v>
      </c>
      <c r="K88" s="100">
        <v>154.41999999999999</v>
      </c>
      <c r="L88" s="100">
        <v>28.37</v>
      </c>
      <c r="M88" s="100">
        <v>87.55</v>
      </c>
      <c r="N88" s="100">
        <v>2</v>
      </c>
      <c r="O88" s="100">
        <v>0</v>
      </c>
      <c r="P88" s="100">
        <v>0.26</v>
      </c>
      <c r="Q88" s="100">
        <v>10</v>
      </c>
      <c r="R88" s="6"/>
      <c r="S88" s="6"/>
      <c r="T88" s="156"/>
      <c r="U88" s="6"/>
    </row>
    <row r="89" spans="1:21" customFormat="1">
      <c r="A89" s="201" t="s">
        <v>801</v>
      </c>
      <c r="B89" s="100">
        <v>4.92</v>
      </c>
      <c r="C89" s="100">
        <v>11.48</v>
      </c>
      <c r="D89" s="100">
        <v>9.94</v>
      </c>
      <c r="E89" s="100">
        <v>4.1399999999999997</v>
      </c>
      <c r="F89" s="100">
        <v>5</v>
      </c>
      <c r="G89" s="100">
        <v>60.31</v>
      </c>
      <c r="H89" s="100">
        <v>22.18</v>
      </c>
      <c r="I89" s="100">
        <v>4.42</v>
      </c>
      <c r="J89" s="100">
        <v>0.09</v>
      </c>
      <c r="K89" s="100">
        <v>116.01</v>
      </c>
      <c r="L89" s="100">
        <v>28.19</v>
      </c>
      <c r="M89" s="100">
        <v>88.06</v>
      </c>
      <c r="N89" s="100">
        <v>2.2000000000000002</v>
      </c>
      <c r="O89" s="100">
        <v>0</v>
      </c>
      <c r="P89" s="100">
        <v>0.24</v>
      </c>
      <c r="Q89" s="100">
        <v>10</v>
      </c>
      <c r="R89" s="6"/>
      <c r="S89" s="6"/>
      <c r="T89" s="156"/>
      <c r="U89" s="6"/>
    </row>
    <row r="90" spans="1:21" customFormat="1">
      <c r="A90" s="201" t="s">
        <v>802</v>
      </c>
      <c r="B90" s="100">
        <v>5.21</v>
      </c>
      <c r="C90" s="100">
        <v>11.66</v>
      </c>
      <c r="D90" s="100">
        <v>10.26</v>
      </c>
      <c r="E90" s="100">
        <v>4.53</v>
      </c>
      <c r="F90" s="100">
        <v>2.74</v>
      </c>
      <c r="G90" s="100">
        <v>60.31</v>
      </c>
      <c r="H90" s="100">
        <v>22.18</v>
      </c>
      <c r="I90" s="100">
        <v>4.34</v>
      </c>
      <c r="J90" s="100">
        <v>0.41</v>
      </c>
      <c r="K90" s="100">
        <v>238.92</v>
      </c>
      <c r="L90" s="100">
        <v>28.19</v>
      </c>
      <c r="M90" s="100">
        <v>86.81</v>
      </c>
      <c r="N90" s="100">
        <v>2.1</v>
      </c>
      <c r="O90" s="100">
        <v>0</v>
      </c>
      <c r="P90" s="100">
        <v>0.24</v>
      </c>
      <c r="Q90" s="100">
        <v>10</v>
      </c>
      <c r="R90" s="6"/>
      <c r="S90" s="6"/>
      <c r="T90" s="156"/>
      <c r="U90" s="6"/>
    </row>
    <row r="91" spans="1:21" customFormat="1">
      <c r="A91" s="201" t="s">
        <v>803</v>
      </c>
      <c r="B91" s="100">
        <v>5.36</v>
      </c>
      <c r="C91" s="100">
        <v>11.83</v>
      </c>
      <c r="D91" s="100">
        <v>10.48</v>
      </c>
      <c r="E91" s="100">
        <v>4.47</v>
      </c>
      <c r="F91" s="100">
        <v>3.58</v>
      </c>
      <c r="G91" s="100">
        <v>58.62</v>
      </c>
      <c r="H91" s="100">
        <v>17.02</v>
      </c>
      <c r="I91" s="100">
        <v>4.24</v>
      </c>
      <c r="J91" s="100">
        <v>0.38</v>
      </c>
      <c r="K91" s="100">
        <v>240.57</v>
      </c>
      <c r="L91" s="100">
        <v>28.23</v>
      </c>
      <c r="M91" s="100">
        <v>81.99</v>
      </c>
      <c r="N91" s="100">
        <v>2.4</v>
      </c>
      <c r="O91" s="100">
        <v>0</v>
      </c>
      <c r="P91" s="100">
        <v>0.27</v>
      </c>
      <c r="Q91" s="100">
        <v>10</v>
      </c>
      <c r="R91" s="6"/>
      <c r="S91" s="6"/>
      <c r="T91" s="156"/>
      <c r="U91" s="6"/>
    </row>
    <row r="92" spans="1:21" customFormat="1">
      <c r="A92" s="201" t="s">
        <v>804</v>
      </c>
      <c r="B92" s="100">
        <v>5.57</v>
      </c>
      <c r="C92" s="100">
        <v>12.19</v>
      </c>
      <c r="D92" s="100">
        <v>10.83</v>
      </c>
      <c r="E92" s="100">
        <v>4.9000000000000004</v>
      </c>
      <c r="F92" s="100">
        <v>2</v>
      </c>
      <c r="G92" s="100">
        <v>58.19</v>
      </c>
      <c r="H92" s="100">
        <v>17.02</v>
      </c>
      <c r="I92" s="100">
        <v>4.26</v>
      </c>
      <c r="J92" s="100">
        <v>0.17</v>
      </c>
      <c r="K92" s="100">
        <v>245.19</v>
      </c>
      <c r="L92" s="100">
        <v>27.24</v>
      </c>
      <c r="M92" s="100">
        <v>85.22</v>
      </c>
      <c r="N92" s="100">
        <v>3.3</v>
      </c>
      <c r="O92" s="100">
        <v>0</v>
      </c>
      <c r="P92" s="100">
        <v>0.28999999999999998</v>
      </c>
      <c r="Q92" s="100">
        <v>10</v>
      </c>
      <c r="R92" s="6"/>
      <c r="S92" s="6"/>
      <c r="T92" s="156"/>
      <c r="U92" s="6"/>
    </row>
    <row r="93" spans="1:21" customFormat="1">
      <c r="A93" s="201" t="s">
        <v>805</v>
      </c>
      <c r="B93" s="100">
        <v>5.6</v>
      </c>
      <c r="C93" s="100">
        <v>12.39</v>
      </c>
      <c r="D93" s="100">
        <v>10.96</v>
      </c>
      <c r="E93" s="100">
        <v>4.75</v>
      </c>
      <c r="F93" s="100">
        <v>2.04</v>
      </c>
      <c r="G93" s="100">
        <v>58.19</v>
      </c>
      <c r="H93" s="100">
        <v>17.02</v>
      </c>
      <c r="I93" s="100">
        <v>4.41</v>
      </c>
      <c r="J93" s="100">
        <v>0.15</v>
      </c>
      <c r="K93" s="100">
        <v>37.090000000000003</v>
      </c>
      <c r="L93" s="100">
        <v>26.63</v>
      </c>
      <c r="M93" s="100">
        <v>82.9</v>
      </c>
      <c r="N93" s="100">
        <v>2.7</v>
      </c>
      <c r="O93" s="100">
        <v>0</v>
      </c>
      <c r="P93" s="100">
        <v>0.28999999999999998</v>
      </c>
      <c r="Q93" s="100">
        <v>10</v>
      </c>
      <c r="R93" s="6"/>
      <c r="S93" s="6"/>
      <c r="T93" s="156"/>
      <c r="U93" s="6"/>
    </row>
    <row r="94" spans="1:21" customFormat="1">
      <c r="A94" s="201" t="s">
        <v>806</v>
      </c>
      <c r="B94" s="100">
        <v>5.54</v>
      </c>
      <c r="C94" s="100">
        <v>12.66</v>
      </c>
      <c r="D94" s="100">
        <v>11.05</v>
      </c>
      <c r="E94" s="100">
        <v>4.82</v>
      </c>
      <c r="F94" s="100">
        <v>2.14</v>
      </c>
      <c r="G94" s="100">
        <v>58.19</v>
      </c>
      <c r="H94" s="100">
        <v>17.02</v>
      </c>
      <c r="I94" s="100">
        <v>4.4400000000000004</v>
      </c>
      <c r="J94" s="100">
        <v>0.24</v>
      </c>
      <c r="K94" s="100">
        <v>40.24</v>
      </c>
      <c r="L94" s="100">
        <v>26.44</v>
      </c>
      <c r="M94" s="100">
        <v>83.57</v>
      </c>
      <c r="N94" s="100">
        <v>2.4</v>
      </c>
      <c r="O94" s="100">
        <v>0</v>
      </c>
      <c r="P94" s="100">
        <v>0.28999999999999998</v>
      </c>
      <c r="Q94" s="100">
        <v>10</v>
      </c>
      <c r="R94" s="6"/>
      <c r="S94" s="6"/>
      <c r="T94" s="156"/>
      <c r="U94" s="6"/>
    </row>
    <row r="95" spans="1:21" customFormat="1">
      <c r="A95" s="201" t="s">
        <v>807</v>
      </c>
      <c r="B95" s="100">
        <v>5.62</v>
      </c>
      <c r="C95" s="100">
        <v>12.87</v>
      </c>
      <c r="D95" s="100">
        <v>11.24</v>
      </c>
      <c r="E95" s="100">
        <v>3.57</v>
      </c>
      <c r="F95" s="100">
        <v>2</v>
      </c>
      <c r="G95" s="100">
        <v>48.84</v>
      </c>
      <c r="H95" s="100">
        <v>15.19</v>
      </c>
      <c r="I95" s="100">
        <v>4.41</v>
      </c>
      <c r="J95" s="100">
        <v>0.2</v>
      </c>
      <c r="K95" s="100">
        <v>238.69</v>
      </c>
      <c r="L95" s="100">
        <v>26.37</v>
      </c>
      <c r="M95" s="100">
        <v>84.97</v>
      </c>
      <c r="N95" s="100">
        <v>2.1</v>
      </c>
      <c r="O95" s="100">
        <v>0</v>
      </c>
      <c r="P95" s="100">
        <v>0.28999999999999998</v>
      </c>
      <c r="Q95" s="100">
        <v>10</v>
      </c>
      <c r="R95" s="6"/>
      <c r="S95" s="6"/>
      <c r="T95" s="156"/>
      <c r="U95" s="6"/>
    </row>
    <row r="96" spans="1:21" customFormat="1">
      <c r="A96" s="201" t="s">
        <v>808</v>
      </c>
      <c r="B96" s="100">
        <v>5.78</v>
      </c>
      <c r="C96" s="100">
        <v>13.03</v>
      </c>
      <c r="D96" s="100">
        <v>11.44</v>
      </c>
      <c r="E96" s="100">
        <v>4.8</v>
      </c>
      <c r="F96" s="100">
        <v>2</v>
      </c>
      <c r="G96" s="100">
        <v>46.5</v>
      </c>
      <c r="H96" s="100">
        <v>15.19</v>
      </c>
      <c r="I96" s="100">
        <v>4.38</v>
      </c>
      <c r="J96" s="100">
        <v>0.24</v>
      </c>
      <c r="K96" s="100">
        <v>220.94</v>
      </c>
      <c r="L96" s="100">
        <v>26.45</v>
      </c>
      <c r="M96" s="100">
        <v>86.89</v>
      </c>
      <c r="N96" s="100">
        <v>2.1</v>
      </c>
      <c r="O96" s="100">
        <v>0</v>
      </c>
      <c r="P96" s="100">
        <v>0.28000000000000003</v>
      </c>
      <c r="Q96" s="100">
        <v>10</v>
      </c>
      <c r="R96" s="6"/>
      <c r="S96" s="6"/>
      <c r="T96" s="156"/>
      <c r="U96" s="6"/>
    </row>
    <row r="97" spans="1:28" customFormat="1">
      <c r="A97" s="201" t="s">
        <v>809</v>
      </c>
      <c r="B97" s="100">
        <v>5.81</v>
      </c>
      <c r="C97" s="100">
        <v>12.93</v>
      </c>
      <c r="D97" s="100">
        <v>11.42</v>
      </c>
      <c r="E97" s="100">
        <v>4.97</v>
      </c>
      <c r="F97" s="100">
        <v>2</v>
      </c>
      <c r="G97" s="100">
        <v>46.5</v>
      </c>
      <c r="H97" s="100">
        <v>15.19</v>
      </c>
      <c r="I97" s="100">
        <v>4.34</v>
      </c>
      <c r="J97" s="100">
        <v>0.22</v>
      </c>
      <c r="K97" s="100">
        <v>230.85</v>
      </c>
      <c r="L97" s="100">
        <v>26.39</v>
      </c>
      <c r="M97" s="100">
        <v>88.55</v>
      </c>
      <c r="N97" s="100">
        <v>2.1</v>
      </c>
      <c r="O97" s="100">
        <v>0</v>
      </c>
      <c r="P97" s="100">
        <v>0.28000000000000003</v>
      </c>
      <c r="Q97" s="100">
        <v>10</v>
      </c>
      <c r="R97" s="6"/>
      <c r="S97" s="6"/>
      <c r="T97" s="156"/>
      <c r="U97" s="6"/>
    </row>
    <row r="98" spans="1:28" customFormat="1">
      <c r="A98" s="201" t="s">
        <v>810</v>
      </c>
      <c r="B98" s="100">
        <v>5.72</v>
      </c>
      <c r="C98" s="100">
        <v>12.76</v>
      </c>
      <c r="D98" s="100">
        <v>11.25</v>
      </c>
      <c r="E98" s="100">
        <v>5.14</v>
      </c>
      <c r="F98" s="100">
        <v>2</v>
      </c>
      <c r="G98" s="100">
        <v>46.5</v>
      </c>
      <c r="H98" s="100">
        <v>15.19</v>
      </c>
      <c r="I98" s="100">
        <v>4.3099999999999996</v>
      </c>
      <c r="J98" s="100">
        <v>0.12</v>
      </c>
      <c r="K98" s="100">
        <v>195.52</v>
      </c>
      <c r="L98" s="100">
        <v>26.57</v>
      </c>
      <c r="M98" s="100">
        <v>88.11</v>
      </c>
      <c r="N98" s="100">
        <v>2.1</v>
      </c>
      <c r="O98" s="100">
        <v>0</v>
      </c>
      <c r="P98" s="100">
        <v>0.27</v>
      </c>
      <c r="Q98" s="100">
        <v>10</v>
      </c>
      <c r="R98" s="6"/>
      <c r="S98" s="6"/>
      <c r="T98" s="156"/>
      <c r="U98" s="6"/>
    </row>
    <row r="99" spans="1:28" customFormat="1">
      <c r="A99" s="201" t="s">
        <v>811</v>
      </c>
      <c r="B99" s="100">
        <v>5.6</v>
      </c>
      <c r="C99" s="100">
        <v>12.63</v>
      </c>
      <c r="D99" s="100">
        <v>11.09</v>
      </c>
      <c r="E99" s="100">
        <v>4.95</v>
      </c>
      <c r="F99" s="100">
        <v>2</v>
      </c>
      <c r="G99" s="100">
        <v>44.21</v>
      </c>
      <c r="H99" s="100">
        <v>15.01</v>
      </c>
      <c r="I99" s="100">
        <v>4.25</v>
      </c>
      <c r="J99" s="100">
        <v>0.13</v>
      </c>
      <c r="K99" s="100">
        <v>216.53</v>
      </c>
      <c r="L99" s="100">
        <v>26.58</v>
      </c>
      <c r="M99" s="100">
        <v>89.02</v>
      </c>
      <c r="N99" s="100">
        <v>2.1</v>
      </c>
      <c r="O99" s="100">
        <v>0</v>
      </c>
      <c r="P99" s="100">
        <v>0.27</v>
      </c>
      <c r="Q99" s="100">
        <v>10</v>
      </c>
      <c r="R99" s="6"/>
      <c r="S99" s="6"/>
      <c r="T99" s="156"/>
      <c r="U99" s="6"/>
    </row>
    <row r="100" spans="1:28" customFormat="1">
      <c r="A100" s="201" t="s">
        <v>812</v>
      </c>
      <c r="B100" s="100">
        <v>5.52</v>
      </c>
      <c r="C100" s="100">
        <v>12.44</v>
      </c>
      <c r="D100" s="100">
        <v>10.93</v>
      </c>
      <c r="E100" s="100">
        <v>4.9400000000000004</v>
      </c>
      <c r="F100" s="100">
        <v>2</v>
      </c>
      <c r="G100" s="100">
        <v>43.64</v>
      </c>
      <c r="H100" s="100">
        <v>15.01</v>
      </c>
      <c r="I100" s="100">
        <v>4.1900000000000004</v>
      </c>
      <c r="J100" s="100">
        <v>0.17</v>
      </c>
      <c r="K100" s="100">
        <v>231.2</v>
      </c>
      <c r="L100" s="100">
        <v>26.38</v>
      </c>
      <c r="M100" s="100">
        <v>91.08</v>
      </c>
      <c r="N100" s="100">
        <v>2.1</v>
      </c>
      <c r="O100" s="100">
        <v>0</v>
      </c>
      <c r="P100" s="100">
        <v>0.27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813</v>
      </c>
      <c r="B101" s="100">
        <v>5.44</v>
      </c>
      <c r="C101" s="100">
        <v>12.2</v>
      </c>
      <c r="D101" s="100">
        <v>10.74</v>
      </c>
      <c r="E101" s="100">
        <v>4.84</v>
      </c>
      <c r="F101" s="100">
        <v>2</v>
      </c>
      <c r="G101" s="100">
        <v>43.64</v>
      </c>
      <c r="H101" s="100">
        <v>15.01</v>
      </c>
      <c r="I101" s="100">
        <v>4.18</v>
      </c>
      <c r="J101" s="100">
        <v>0.25</v>
      </c>
      <c r="K101" s="100">
        <v>236.69</v>
      </c>
      <c r="L101" s="100">
        <v>26.33</v>
      </c>
      <c r="M101" s="100">
        <v>90.88</v>
      </c>
      <c r="N101" s="100">
        <v>2.1</v>
      </c>
      <c r="O101" s="100">
        <v>0</v>
      </c>
      <c r="P101" s="100">
        <v>0.27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814</v>
      </c>
      <c r="B102" s="100">
        <v>5.36</v>
      </c>
      <c r="C102" s="100">
        <v>12.03</v>
      </c>
      <c r="D102" s="100">
        <v>10.58</v>
      </c>
      <c r="E102" s="100">
        <v>4.84</v>
      </c>
      <c r="F102" s="100">
        <v>2</v>
      </c>
      <c r="G102" s="100">
        <v>43.64</v>
      </c>
      <c r="H102" s="100">
        <v>15.01</v>
      </c>
      <c r="I102" s="100">
        <v>4.08</v>
      </c>
      <c r="J102" s="100">
        <v>0.12</v>
      </c>
      <c r="K102" s="100">
        <v>210.69</v>
      </c>
      <c r="L102" s="100">
        <v>26.28</v>
      </c>
      <c r="M102" s="100">
        <v>91.48</v>
      </c>
      <c r="N102" s="100">
        <v>2.1</v>
      </c>
      <c r="O102" s="100">
        <v>0</v>
      </c>
      <c r="P102" s="100">
        <v>0.27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815</v>
      </c>
      <c r="B103" s="100">
        <v>5.27</v>
      </c>
      <c r="C103" s="100">
        <v>11.82</v>
      </c>
      <c r="D103" s="100">
        <v>10.41</v>
      </c>
      <c r="E103" s="100">
        <v>5</v>
      </c>
      <c r="F103" s="100">
        <v>2</v>
      </c>
      <c r="G103" s="100">
        <v>31.47</v>
      </c>
      <c r="H103" s="100">
        <v>10.92</v>
      </c>
      <c r="I103" s="100">
        <v>3.97</v>
      </c>
      <c r="J103" s="100">
        <v>0.1</v>
      </c>
      <c r="K103" s="100">
        <v>200.34</v>
      </c>
      <c r="L103" s="100">
        <v>26.33</v>
      </c>
      <c r="M103" s="100">
        <v>91.73</v>
      </c>
      <c r="N103" s="100">
        <v>2.1</v>
      </c>
      <c r="O103" s="100">
        <v>0</v>
      </c>
      <c r="P103" s="100">
        <v>0.25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816</v>
      </c>
      <c r="B104" s="100">
        <v>5.21</v>
      </c>
      <c r="C104" s="100">
        <v>11.71</v>
      </c>
      <c r="D104" s="100">
        <v>10.29</v>
      </c>
      <c r="E104" s="100">
        <v>4.97</v>
      </c>
      <c r="F104" s="100">
        <v>2</v>
      </c>
      <c r="G104" s="100">
        <v>28.42</v>
      </c>
      <c r="H104" s="100">
        <v>10.92</v>
      </c>
      <c r="I104" s="100">
        <v>3.87</v>
      </c>
      <c r="J104" s="100">
        <v>0.12</v>
      </c>
      <c r="K104" s="100">
        <v>205.11</v>
      </c>
      <c r="L104" s="100">
        <v>26.31</v>
      </c>
      <c r="M104" s="100">
        <v>91.14</v>
      </c>
      <c r="N104" s="100">
        <v>2.1</v>
      </c>
      <c r="O104" s="100">
        <v>0</v>
      </c>
      <c r="P104" s="100">
        <v>0.25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3.13</v>
      </c>
      <c r="C106" s="158">
        <f>MIN(C9:C104)</f>
        <v>10.87</v>
      </c>
      <c r="D106" s="158">
        <f t="shared" ref="D106:Q106" si="0">MIN(D9:D104)</f>
        <v>8.3800000000000008</v>
      </c>
      <c r="E106" s="158">
        <f t="shared" si="0"/>
        <v>3.57</v>
      </c>
      <c r="F106" s="158">
        <f t="shared" si="0"/>
        <v>2</v>
      </c>
      <c r="G106" s="158">
        <f t="shared" si="0"/>
        <v>17.239999999999998</v>
      </c>
      <c r="H106" s="158">
        <f t="shared" si="0"/>
        <v>3.84</v>
      </c>
      <c r="I106" s="158">
        <f t="shared" si="0"/>
        <v>2.84</v>
      </c>
      <c r="J106" s="158">
        <f t="shared" si="0"/>
        <v>0.05</v>
      </c>
      <c r="K106" s="158">
        <f t="shared" si="0"/>
        <v>15.11</v>
      </c>
      <c r="L106" s="158">
        <f t="shared" si="0"/>
        <v>24.64</v>
      </c>
      <c r="M106" s="158">
        <f t="shared" si="0"/>
        <v>55.68</v>
      </c>
      <c r="N106" s="158">
        <f t="shared" si="0"/>
        <v>2</v>
      </c>
      <c r="O106" s="158">
        <f t="shared" si="0"/>
        <v>0</v>
      </c>
      <c r="P106" s="158">
        <f t="shared" si="0"/>
        <v>0.14000000000000001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7.84</v>
      </c>
      <c r="C107" s="157">
        <f t="shared" ref="C107:Q107" si="1">MAX(C9:C104)</f>
        <v>14.32</v>
      </c>
      <c r="D107" s="157">
        <f t="shared" si="1"/>
        <v>12.24</v>
      </c>
      <c r="E107" s="157">
        <f t="shared" si="1"/>
        <v>7.3</v>
      </c>
      <c r="F107" s="157">
        <f t="shared" si="1"/>
        <v>13.07</v>
      </c>
      <c r="G107" s="157">
        <f t="shared" si="1"/>
        <v>60.31</v>
      </c>
      <c r="H107" s="157">
        <f t="shared" si="1"/>
        <v>22.18</v>
      </c>
      <c r="I107" s="157">
        <f t="shared" si="1"/>
        <v>4.45</v>
      </c>
      <c r="J107" s="157">
        <f t="shared" si="1"/>
        <v>0.8</v>
      </c>
      <c r="K107" s="157">
        <f t="shared" si="1"/>
        <v>245.19</v>
      </c>
      <c r="L107" s="157">
        <f t="shared" si="1"/>
        <v>34.090000000000003</v>
      </c>
      <c r="M107" s="157">
        <f t="shared" si="1"/>
        <v>97.07</v>
      </c>
      <c r="N107" s="157">
        <f t="shared" si="1"/>
        <v>879.8</v>
      </c>
      <c r="O107" s="157">
        <f t="shared" si="1"/>
        <v>0</v>
      </c>
      <c r="P107" s="157">
        <f t="shared" si="1"/>
        <v>0.28999999999999998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5.5311458333333343</v>
      </c>
      <c r="C108" s="158">
        <f t="shared" ref="C108:Q108" si="2">AVERAGE(C9:C104)</f>
        <v>11.881666666666669</v>
      </c>
      <c r="D108" s="158">
        <f t="shared" si="2"/>
        <v>10.643125000000001</v>
      </c>
      <c r="E108" s="158">
        <f t="shared" si="2"/>
        <v>5.1456249999999981</v>
      </c>
      <c r="F108" s="158">
        <f t="shared" si="2"/>
        <v>3.0218750000000001</v>
      </c>
      <c r="G108" s="158">
        <f t="shared" si="2"/>
        <v>30.876979166666654</v>
      </c>
      <c r="H108" s="158">
        <f t="shared" si="2"/>
        <v>9.7318749999999969</v>
      </c>
      <c r="I108" s="158">
        <f t="shared" si="2"/>
        <v>3.6309375000000004</v>
      </c>
      <c r="J108" s="158">
        <f t="shared" si="2"/>
        <v>0.2310416666666667</v>
      </c>
      <c r="K108" s="158">
        <f t="shared" si="2"/>
        <v>177.64062500000003</v>
      </c>
      <c r="L108" s="158">
        <f t="shared" si="2"/>
        <v>28.426041666666663</v>
      </c>
      <c r="M108" s="158">
        <f t="shared" si="2"/>
        <v>81.22020833333336</v>
      </c>
      <c r="N108" s="158">
        <f t="shared" si="2"/>
        <v>154.38229166666673</v>
      </c>
      <c r="O108" s="158">
        <f t="shared" si="2"/>
        <v>0</v>
      </c>
      <c r="P108" s="158">
        <f t="shared" si="2"/>
        <v>0.19833333333333328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1.3971933293432921</v>
      </c>
      <c r="C109" s="158">
        <f t="shared" ref="C109:Q109" si="3">STDEV(C9:C104)</f>
        <v>0.71024038431278447</v>
      </c>
      <c r="D109" s="158">
        <f t="shared" si="3"/>
        <v>1.0503205651008098</v>
      </c>
      <c r="E109" s="158">
        <f t="shared" si="3"/>
        <v>0.55560647281290532</v>
      </c>
      <c r="F109" s="158">
        <f t="shared" si="3"/>
        <v>2.2300617468439841</v>
      </c>
      <c r="G109" s="158">
        <f t="shared" si="3"/>
        <v>13.449713682712018</v>
      </c>
      <c r="H109" s="158">
        <f t="shared" si="3"/>
        <v>5.1717441448702814</v>
      </c>
      <c r="I109" s="158">
        <f t="shared" si="3"/>
        <v>0.42645929805168331</v>
      </c>
      <c r="J109" s="158">
        <f t="shared" si="3"/>
        <v>0.16157435418352914</v>
      </c>
      <c r="K109" s="158">
        <f t="shared" si="3"/>
        <v>56.988978025995145</v>
      </c>
      <c r="L109" s="158">
        <f t="shared" si="3"/>
        <v>3.0615010006846886</v>
      </c>
      <c r="M109" s="158">
        <f t="shared" si="3"/>
        <v>13.894749404317039</v>
      </c>
      <c r="N109" s="158">
        <f t="shared" si="3"/>
        <v>246.34590229563563</v>
      </c>
      <c r="O109" s="158">
        <f t="shared" si="3"/>
        <v>0</v>
      </c>
      <c r="P109" s="158">
        <f t="shared" si="3"/>
        <v>4.3857824523451196E-2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16" sqref="I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817</v>
      </c>
      <c r="B9" s="100">
        <v>4.97</v>
      </c>
      <c r="C9" s="100">
        <v>11.34</v>
      </c>
      <c r="D9" s="100">
        <v>9.91</v>
      </c>
      <c r="E9" s="100">
        <v>5.18</v>
      </c>
      <c r="F9" s="100">
        <v>2</v>
      </c>
      <c r="G9" s="100">
        <v>28.42</v>
      </c>
      <c r="H9" s="100">
        <v>10.92</v>
      </c>
      <c r="I9" s="100">
        <v>3.8</v>
      </c>
      <c r="J9" s="100">
        <v>0.33</v>
      </c>
      <c r="K9" s="100">
        <v>234.37</v>
      </c>
      <c r="L9" s="100">
        <v>26.29</v>
      </c>
      <c r="M9" s="100">
        <v>90.73</v>
      </c>
      <c r="N9" s="100">
        <v>2.1</v>
      </c>
      <c r="O9" s="100">
        <v>0</v>
      </c>
      <c r="P9" s="100">
        <v>0.25</v>
      </c>
      <c r="Q9" s="100">
        <v>10</v>
      </c>
      <c r="R9" s="6"/>
      <c r="S9" s="6"/>
      <c r="T9" s="156"/>
      <c r="U9" s="6"/>
    </row>
    <row r="10" spans="1:21" customFormat="1">
      <c r="A10" s="201" t="s">
        <v>818</v>
      </c>
      <c r="B10" s="100">
        <v>4.9000000000000004</v>
      </c>
      <c r="C10" s="100">
        <v>11.44</v>
      </c>
      <c r="D10" s="100">
        <v>9.91</v>
      </c>
      <c r="E10" s="100">
        <v>4.92</v>
      </c>
      <c r="F10" s="100">
        <v>2.04</v>
      </c>
      <c r="G10" s="100">
        <v>28.42</v>
      </c>
      <c r="H10" s="100">
        <v>10.92</v>
      </c>
      <c r="I10" s="100">
        <v>3.75</v>
      </c>
      <c r="J10" s="100">
        <v>0.14000000000000001</v>
      </c>
      <c r="K10" s="100">
        <v>190.06</v>
      </c>
      <c r="L10" s="100">
        <v>26.26</v>
      </c>
      <c r="M10" s="100">
        <v>91.13</v>
      </c>
      <c r="N10" s="100">
        <v>2.1</v>
      </c>
      <c r="O10" s="100">
        <v>0</v>
      </c>
      <c r="P10" s="100">
        <v>0.24</v>
      </c>
      <c r="Q10" s="100">
        <v>10</v>
      </c>
      <c r="R10" s="6"/>
      <c r="S10" s="6"/>
      <c r="T10" s="156"/>
      <c r="U10" s="6"/>
    </row>
    <row r="11" spans="1:21" customFormat="1">
      <c r="A11" s="201" t="s">
        <v>819</v>
      </c>
      <c r="B11" s="100">
        <v>4.8499999999999996</v>
      </c>
      <c r="C11" s="100">
        <v>11.47</v>
      </c>
      <c r="D11" s="100">
        <v>9.8800000000000008</v>
      </c>
      <c r="E11" s="100">
        <v>4.9800000000000004</v>
      </c>
      <c r="F11" s="100">
        <v>2.0499999999999998</v>
      </c>
      <c r="G11" s="100">
        <v>24.71</v>
      </c>
      <c r="H11" s="100">
        <v>9.6199999999999992</v>
      </c>
      <c r="I11" s="100">
        <v>3.7</v>
      </c>
      <c r="J11" s="100">
        <v>0.1</v>
      </c>
      <c r="K11" s="100">
        <v>152.05000000000001</v>
      </c>
      <c r="L11" s="100">
        <v>26.26</v>
      </c>
      <c r="M11" s="100">
        <v>91.13</v>
      </c>
      <c r="N11" s="100">
        <v>2.1</v>
      </c>
      <c r="O11" s="100">
        <v>0</v>
      </c>
      <c r="P11" s="100">
        <v>0.23</v>
      </c>
      <c r="Q11" s="100">
        <v>10</v>
      </c>
      <c r="R11" s="6"/>
      <c r="S11" s="6"/>
      <c r="T11" s="156"/>
      <c r="U11" s="6"/>
    </row>
    <row r="12" spans="1:21" customFormat="1">
      <c r="A12" s="201" t="s">
        <v>820</v>
      </c>
      <c r="B12" s="100">
        <v>4.8499999999999996</v>
      </c>
      <c r="C12" s="100">
        <v>11.36</v>
      </c>
      <c r="D12" s="100">
        <v>9.82</v>
      </c>
      <c r="E12" s="100">
        <v>5.17</v>
      </c>
      <c r="F12" s="100">
        <v>2.0099999999999998</v>
      </c>
      <c r="G12" s="100">
        <v>23.78</v>
      </c>
      <c r="H12" s="100">
        <v>9.6199999999999992</v>
      </c>
      <c r="I12" s="100">
        <v>3.64</v>
      </c>
      <c r="J12" s="100">
        <v>0.13</v>
      </c>
      <c r="K12" s="100">
        <v>130.34</v>
      </c>
      <c r="L12" s="100">
        <v>26.3</v>
      </c>
      <c r="M12" s="100">
        <v>91.34</v>
      </c>
      <c r="N12" s="100">
        <v>2.1</v>
      </c>
      <c r="O12" s="100">
        <v>0</v>
      </c>
      <c r="P12" s="100">
        <v>0.23</v>
      </c>
      <c r="Q12" s="100">
        <v>10</v>
      </c>
      <c r="R12" s="6"/>
      <c r="S12" s="6"/>
      <c r="T12" s="156"/>
      <c r="U12" s="6"/>
    </row>
    <row r="13" spans="1:21" customFormat="1">
      <c r="A13" s="201" t="s">
        <v>821</v>
      </c>
      <c r="B13" s="100">
        <v>4.8</v>
      </c>
      <c r="C13" s="100">
        <v>11.4</v>
      </c>
      <c r="D13" s="100">
        <v>9.8000000000000007</v>
      </c>
      <c r="E13" s="100">
        <v>4.9800000000000004</v>
      </c>
      <c r="F13" s="100">
        <v>2.0699999999999998</v>
      </c>
      <c r="G13" s="100">
        <v>23.78</v>
      </c>
      <c r="H13" s="100">
        <v>9.6199999999999992</v>
      </c>
      <c r="I13" s="100">
        <v>3.6</v>
      </c>
      <c r="J13" s="100">
        <v>0.15</v>
      </c>
      <c r="K13" s="100">
        <v>227.49</v>
      </c>
      <c r="L13" s="100">
        <v>26.03</v>
      </c>
      <c r="M13" s="100">
        <v>93.01</v>
      </c>
      <c r="N13" s="100">
        <v>2.1</v>
      </c>
      <c r="O13" s="100">
        <v>0</v>
      </c>
      <c r="P13" s="100">
        <v>0.23</v>
      </c>
      <c r="Q13" s="100">
        <v>10</v>
      </c>
      <c r="R13" s="6"/>
      <c r="S13" s="6"/>
      <c r="T13" s="156"/>
      <c r="U13" s="6"/>
    </row>
    <row r="14" spans="1:21" customFormat="1">
      <c r="A14" s="201" t="s">
        <v>822</v>
      </c>
      <c r="B14" s="100">
        <v>4.75</v>
      </c>
      <c r="C14" s="100">
        <v>11.32</v>
      </c>
      <c r="D14" s="100">
        <v>9.7200000000000006</v>
      </c>
      <c r="E14" s="100">
        <v>5.23</v>
      </c>
      <c r="F14" s="100">
        <v>2</v>
      </c>
      <c r="G14" s="100">
        <v>23.78</v>
      </c>
      <c r="H14" s="100">
        <v>9.6199999999999992</v>
      </c>
      <c r="I14" s="100">
        <v>3.64</v>
      </c>
      <c r="J14" s="100">
        <v>0.13</v>
      </c>
      <c r="K14" s="100">
        <v>172.05</v>
      </c>
      <c r="L14" s="100">
        <v>26.03</v>
      </c>
      <c r="M14" s="100">
        <v>92.99</v>
      </c>
      <c r="N14" s="100">
        <v>2.1</v>
      </c>
      <c r="O14" s="100">
        <v>0</v>
      </c>
      <c r="P14" s="100">
        <v>0.22</v>
      </c>
      <c r="Q14" s="100">
        <v>10</v>
      </c>
      <c r="R14" s="6"/>
      <c r="S14" s="6"/>
      <c r="T14" s="156"/>
      <c r="U14" s="6"/>
    </row>
    <row r="15" spans="1:21" customFormat="1">
      <c r="A15" s="201" t="s">
        <v>823</v>
      </c>
      <c r="B15" s="100">
        <v>4.7699999999999996</v>
      </c>
      <c r="C15" s="100">
        <v>11.23</v>
      </c>
      <c r="D15" s="100">
        <v>9.69</v>
      </c>
      <c r="E15" s="100">
        <v>5.23</v>
      </c>
      <c r="F15" s="100">
        <v>2.0299999999999998</v>
      </c>
      <c r="G15" s="100">
        <v>18.62</v>
      </c>
      <c r="H15" s="100">
        <v>7.2</v>
      </c>
      <c r="I15" s="100">
        <v>3.55</v>
      </c>
      <c r="J15" s="100">
        <v>0.12</v>
      </c>
      <c r="K15" s="100">
        <v>148.06</v>
      </c>
      <c r="L15" s="100">
        <v>25.95</v>
      </c>
      <c r="M15" s="100">
        <v>93.3</v>
      </c>
      <c r="N15" s="100">
        <v>2.1</v>
      </c>
      <c r="O15" s="100">
        <v>0</v>
      </c>
      <c r="P15" s="100">
        <v>0.22</v>
      </c>
      <c r="Q15" s="100">
        <v>10</v>
      </c>
      <c r="R15" s="6"/>
      <c r="S15" s="6"/>
      <c r="T15" s="156"/>
      <c r="U15" s="6"/>
    </row>
    <row r="16" spans="1:21" customFormat="1">
      <c r="A16" s="201" t="s">
        <v>824</v>
      </c>
      <c r="B16" s="100">
        <v>4.93</v>
      </c>
      <c r="C16" s="100">
        <v>11.13</v>
      </c>
      <c r="D16" s="100">
        <v>9.77</v>
      </c>
      <c r="E16" s="100">
        <v>5.32</v>
      </c>
      <c r="F16" s="100">
        <v>2</v>
      </c>
      <c r="G16" s="100">
        <v>17.32</v>
      </c>
      <c r="H16" s="100">
        <v>7.2</v>
      </c>
      <c r="I16" s="100">
        <v>3.44</v>
      </c>
      <c r="J16" s="100">
        <v>0.15</v>
      </c>
      <c r="K16" s="100">
        <v>221.67</v>
      </c>
      <c r="L16" s="100">
        <v>25.81</v>
      </c>
      <c r="M16" s="100">
        <v>94.32</v>
      </c>
      <c r="N16" s="100">
        <v>2.1</v>
      </c>
      <c r="O16" s="100">
        <v>0</v>
      </c>
      <c r="P16" s="100">
        <v>0.2</v>
      </c>
      <c r="Q16" s="100">
        <v>10</v>
      </c>
      <c r="R16" s="6"/>
      <c r="S16" s="6"/>
      <c r="T16" s="156"/>
      <c r="U16" s="6"/>
    </row>
    <row r="17" spans="1:21" customFormat="1">
      <c r="A17" s="201" t="s">
        <v>825</v>
      </c>
      <c r="B17" s="100">
        <v>5.07</v>
      </c>
      <c r="C17" s="100">
        <v>11.16</v>
      </c>
      <c r="D17" s="100">
        <v>9.9</v>
      </c>
      <c r="E17" s="100">
        <v>4.28</v>
      </c>
      <c r="F17" s="100">
        <v>2.1800000000000002</v>
      </c>
      <c r="G17" s="100">
        <v>17.32</v>
      </c>
      <c r="H17" s="100">
        <v>7.2</v>
      </c>
      <c r="I17" s="100">
        <v>3.47</v>
      </c>
      <c r="J17" s="100">
        <v>0.22</v>
      </c>
      <c r="K17" s="100">
        <v>234.6</v>
      </c>
      <c r="L17" s="100">
        <v>25.75</v>
      </c>
      <c r="M17" s="100">
        <v>94.57</v>
      </c>
      <c r="N17" s="100">
        <v>2.1</v>
      </c>
      <c r="O17" s="100">
        <v>0</v>
      </c>
      <c r="P17" s="100">
        <v>0.17</v>
      </c>
      <c r="Q17" s="100">
        <v>10</v>
      </c>
      <c r="R17" s="6"/>
      <c r="S17" s="6"/>
      <c r="T17" s="156"/>
      <c r="U17" s="6"/>
    </row>
    <row r="18" spans="1:21" customFormat="1">
      <c r="A18" s="201" t="s">
        <v>826</v>
      </c>
      <c r="B18" s="100">
        <v>5.22</v>
      </c>
      <c r="C18" s="100">
        <v>11.27</v>
      </c>
      <c r="D18" s="100">
        <v>10.08</v>
      </c>
      <c r="E18" s="100">
        <v>5.01</v>
      </c>
      <c r="F18" s="100">
        <v>2.12</v>
      </c>
      <c r="G18" s="100">
        <v>17.32</v>
      </c>
      <c r="H18" s="100">
        <v>7.2</v>
      </c>
      <c r="I18" s="100">
        <v>3.44</v>
      </c>
      <c r="J18" s="100">
        <v>0.24</v>
      </c>
      <c r="K18" s="100">
        <v>233.44</v>
      </c>
      <c r="L18" s="100">
        <v>25.76</v>
      </c>
      <c r="M18" s="100">
        <v>94.45</v>
      </c>
      <c r="N18" s="100">
        <v>2.1</v>
      </c>
      <c r="O18" s="100">
        <v>0</v>
      </c>
      <c r="P18" s="100">
        <v>0.18</v>
      </c>
      <c r="Q18" s="100">
        <v>10</v>
      </c>
      <c r="R18" s="6"/>
      <c r="S18" s="6"/>
      <c r="T18" s="156"/>
      <c r="U18" s="6"/>
    </row>
    <row r="19" spans="1:21" customFormat="1">
      <c r="A19" s="201" t="s">
        <v>827</v>
      </c>
      <c r="B19" s="100">
        <v>5.43</v>
      </c>
      <c r="C19" s="100">
        <v>11.3</v>
      </c>
      <c r="D19" s="100">
        <v>10.26</v>
      </c>
      <c r="E19" s="100">
        <v>5.28</v>
      </c>
      <c r="F19" s="100">
        <v>2</v>
      </c>
      <c r="G19" s="100">
        <v>13.74</v>
      </c>
      <c r="H19" s="100">
        <v>5.49</v>
      </c>
      <c r="I19" s="100">
        <v>3.37</v>
      </c>
      <c r="J19" s="100">
        <v>0.16</v>
      </c>
      <c r="K19" s="100">
        <v>155.1</v>
      </c>
      <c r="L19" s="100">
        <v>25.83</v>
      </c>
      <c r="M19" s="100">
        <v>94.44</v>
      </c>
      <c r="N19" s="100">
        <v>2</v>
      </c>
      <c r="O19" s="100">
        <v>0</v>
      </c>
      <c r="P19" s="100">
        <v>0.18</v>
      </c>
      <c r="Q19" s="100">
        <v>10</v>
      </c>
      <c r="R19" s="6"/>
      <c r="S19" s="6"/>
      <c r="T19" s="156"/>
      <c r="U19" s="6"/>
    </row>
    <row r="20" spans="1:21" customFormat="1">
      <c r="A20" s="201" t="s">
        <v>828</v>
      </c>
      <c r="B20" s="100">
        <v>5.63</v>
      </c>
      <c r="C20" s="100">
        <v>11.37</v>
      </c>
      <c r="D20" s="100">
        <v>10.45</v>
      </c>
      <c r="E20" s="100">
        <v>5.12</v>
      </c>
      <c r="F20" s="100">
        <v>2</v>
      </c>
      <c r="G20" s="100">
        <v>12.78</v>
      </c>
      <c r="H20" s="100">
        <v>5.49</v>
      </c>
      <c r="I20" s="100">
        <v>3.49</v>
      </c>
      <c r="J20" s="100">
        <v>0.08</v>
      </c>
      <c r="K20" s="100">
        <v>207.18</v>
      </c>
      <c r="L20" s="100">
        <v>25.73</v>
      </c>
      <c r="M20" s="100">
        <v>93.96</v>
      </c>
      <c r="N20" s="100">
        <v>2.1</v>
      </c>
      <c r="O20" s="100">
        <v>0</v>
      </c>
      <c r="P20" s="100">
        <v>0.16</v>
      </c>
      <c r="Q20" s="100">
        <v>10</v>
      </c>
      <c r="R20" s="6"/>
      <c r="S20" s="6"/>
      <c r="T20" s="156"/>
      <c r="U20" s="6"/>
    </row>
    <row r="21" spans="1:21" customFormat="1">
      <c r="A21" s="201" t="s">
        <v>829</v>
      </c>
      <c r="B21" s="100">
        <v>5.82</v>
      </c>
      <c r="C21" s="100">
        <v>11.38</v>
      </c>
      <c r="D21" s="100">
        <v>10.61</v>
      </c>
      <c r="E21" s="100">
        <v>5.0599999999999996</v>
      </c>
      <c r="F21" s="100">
        <v>2</v>
      </c>
      <c r="G21" s="100">
        <v>12.78</v>
      </c>
      <c r="H21" s="100">
        <v>5.49</v>
      </c>
      <c r="I21" s="100">
        <v>3.57</v>
      </c>
      <c r="J21" s="100">
        <v>0.16</v>
      </c>
      <c r="K21" s="100">
        <v>228.83</v>
      </c>
      <c r="L21" s="100">
        <v>25.62</v>
      </c>
      <c r="M21" s="100">
        <v>94.02</v>
      </c>
      <c r="N21" s="100">
        <v>2.1</v>
      </c>
      <c r="O21" s="100">
        <v>0</v>
      </c>
      <c r="P21" s="100">
        <v>0.18</v>
      </c>
      <c r="Q21" s="100">
        <v>10</v>
      </c>
      <c r="R21" s="6"/>
      <c r="S21" s="6"/>
      <c r="T21" s="156"/>
      <c r="U21" s="6"/>
    </row>
    <row r="22" spans="1:21" customFormat="1">
      <c r="A22" s="201" t="s">
        <v>830</v>
      </c>
      <c r="B22" s="100">
        <v>5.97</v>
      </c>
      <c r="C22" s="100">
        <v>11.33</v>
      </c>
      <c r="D22" s="100">
        <v>10.71</v>
      </c>
      <c r="E22" s="100">
        <v>5.19</v>
      </c>
      <c r="F22" s="100">
        <v>2</v>
      </c>
      <c r="G22" s="100">
        <v>12.78</v>
      </c>
      <c r="H22" s="100">
        <v>5.49</v>
      </c>
      <c r="I22" s="100">
        <v>3.53</v>
      </c>
      <c r="J22" s="100">
        <v>0.1</v>
      </c>
      <c r="K22" s="100">
        <v>203.12</v>
      </c>
      <c r="L22" s="100">
        <v>25.56</v>
      </c>
      <c r="M22" s="100">
        <v>94.34</v>
      </c>
      <c r="N22" s="100">
        <v>2.1</v>
      </c>
      <c r="O22" s="100">
        <v>0</v>
      </c>
      <c r="P22" s="100">
        <v>0.17</v>
      </c>
      <c r="Q22" s="100">
        <v>10</v>
      </c>
      <c r="R22" s="6"/>
      <c r="S22" s="6"/>
      <c r="T22" s="156"/>
      <c r="U22" s="6"/>
    </row>
    <row r="23" spans="1:21" customFormat="1">
      <c r="A23" s="201" t="s">
        <v>831</v>
      </c>
      <c r="B23" s="100">
        <v>6.07</v>
      </c>
      <c r="C23" s="100">
        <v>11.16</v>
      </c>
      <c r="D23" s="100">
        <v>10.7</v>
      </c>
      <c r="E23" s="100">
        <v>4.91</v>
      </c>
      <c r="F23" s="100">
        <v>2.0299999999999998</v>
      </c>
      <c r="G23" s="100">
        <v>13.86</v>
      </c>
      <c r="H23" s="100">
        <v>3.89</v>
      </c>
      <c r="I23" s="100">
        <v>3.57</v>
      </c>
      <c r="J23" s="100">
        <v>0.1</v>
      </c>
      <c r="K23" s="100">
        <v>207.19</v>
      </c>
      <c r="L23" s="100">
        <v>25.61</v>
      </c>
      <c r="M23" s="100">
        <v>94.21</v>
      </c>
      <c r="N23" s="100">
        <v>2.1</v>
      </c>
      <c r="O23" s="100">
        <v>0</v>
      </c>
      <c r="P23" s="100">
        <v>0.17</v>
      </c>
      <c r="Q23" s="100">
        <v>10</v>
      </c>
      <c r="R23" s="6"/>
      <c r="S23" s="6"/>
      <c r="T23" s="156"/>
      <c r="U23" s="6"/>
    </row>
    <row r="24" spans="1:21" customFormat="1">
      <c r="A24" s="201" t="s">
        <v>832</v>
      </c>
      <c r="B24" s="100">
        <v>6.29</v>
      </c>
      <c r="C24" s="100">
        <v>11.34</v>
      </c>
      <c r="D24" s="100">
        <v>10.97</v>
      </c>
      <c r="E24" s="100">
        <v>5.27</v>
      </c>
      <c r="F24" s="100">
        <v>2.02</v>
      </c>
      <c r="G24" s="100">
        <v>14.13</v>
      </c>
      <c r="H24" s="100">
        <v>3.89</v>
      </c>
      <c r="I24" s="100">
        <v>3.54</v>
      </c>
      <c r="J24" s="100">
        <v>0.08</v>
      </c>
      <c r="K24" s="100">
        <v>164.32</v>
      </c>
      <c r="L24" s="100">
        <v>25.5</v>
      </c>
      <c r="M24" s="100">
        <v>94.77</v>
      </c>
      <c r="N24" s="100">
        <v>2.1</v>
      </c>
      <c r="O24" s="100">
        <v>0</v>
      </c>
      <c r="P24" s="100">
        <v>0.18</v>
      </c>
      <c r="Q24" s="100">
        <v>10</v>
      </c>
      <c r="R24" s="6"/>
      <c r="S24" s="6"/>
      <c r="T24" s="156"/>
      <c r="U24" s="6"/>
    </row>
    <row r="25" spans="1:21" customFormat="1">
      <c r="A25" s="201" t="s">
        <v>833</v>
      </c>
      <c r="B25" s="100">
        <v>6.45</v>
      </c>
      <c r="C25" s="100">
        <v>11.21</v>
      </c>
      <c r="D25" s="100">
        <v>11.03</v>
      </c>
      <c r="E25" s="100">
        <v>5.07</v>
      </c>
      <c r="F25" s="100">
        <v>2</v>
      </c>
      <c r="G25" s="100">
        <v>14.13</v>
      </c>
      <c r="H25" s="100">
        <v>3.89</v>
      </c>
      <c r="I25" s="100">
        <v>3.5</v>
      </c>
      <c r="J25" s="100">
        <v>0.09</v>
      </c>
      <c r="K25" s="100">
        <v>182.38</v>
      </c>
      <c r="L25" s="100">
        <v>25.41</v>
      </c>
      <c r="M25" s="100">
        <v>95.19</v>
      </c>
      <c r="N25" s="100">
        <v>2.1</v>
      </c>
      <c r="O25" s="100">
        <v>0</v>
      </c>
      <c r="P25" s="100">
        <v>0.16</v>
      </c>
      <c r="Q25" s="100">
        <v>10</v>
      </c>
      <c r="R25" s="6"/>
      <c r="S25" s="6"/>
      <c r="T25" s="156"/>
      <c r="U25" s="6"/>
    </row>
    <row r="26" spans="1:21" customFormat="1">
      <c r="A26" s="201" t="s">
        <v>834</v>
      </c>
      <c r="B26" s="100">
        <v>6.54</v>
      </c>
      <c r="C26" s="100">
        <v>11.27</v>
      </c>
      <c r="D26" s="100">
        <v>11.14</v>
      </c>
      <c r="E26" s="100">
        <v>4.97</v>
      </c>
      <c r="F26" s="100">
        <v>2.02</v>
      </c>
      <c r="G26" s="100">
        <v>14.13</v>
      </c>
      <c r="H26" s="100">
        <v>3.89</v>
      </c>
      <c r="I26" s="100">
        <v>3.56</v>
      </c>
      <c r="J26" s="100">
        <v>0.16</v>
      </c>
      <c r="K26" s="100">
        <v>154.28</v>
      </c>
      <c r="L26" s="100">
        <v>25.42</v>
      </c>
      <c r="M26" s="100">
        <v>95.02</v>
      </c>
      <c r="N26" s="100">
        <v>2</v>
      </c>
      <c r="O26" s="100">
        <v>0</v>
      </c>
      <c r="P26" s="100">
        <v>0.17</v>
      </c>
      <c r="Q26" s="100">
        <v>10</v>
      </c>
      <c r="R26" s="6"/>
      <c r="S26" s="6"/>
      <c r="T26" s="156"/>
      <c r="U26" s="6"/>
    </row>
    <row r="27" spans="1:21" customFormat="1">
      <c r="A27" s="201" t="s">
        <v>835</v>
      </c>
      <c r="B27" s="100">
        <v>6.67</v>
      </c>
      <c r="C27" s="100">
        <v>11.34</v>
      </c>
      <c r="D27" s="100">
        <v>11.27</v>
      </c>
      <c r="E27" s="100">
        <v>5.38</v>
      </c>
      <c r="F27" s="100">
        <v>2</v>
      </c>
      <c r="G27" s="100">
        <v>13.08</v>
      </c>
      <c r="H27" s="100">
        <v>3.3</v>
      </c>
      <c r="I27" s="100">
        <v>3.46</v>
      </c>
      <c r="J27" s="100">
        <v>0.18</v>
      </c>
      <c r="K27" s="100">
        <v>174.27</v>
      </c>
      <c r="L27" s="100">
        <v>25.42</v>
      </c>
      <c r="M27" s="100">
        <v>95.34</v>
      </c>
      <c r="N27" s="100">
        <v>2</v>
      </c>
      <c r="O27" s="100">
        <v>0</v>
      </c>
      <c r="P27" s="100">
        <v>0.17</v>
      </c>
      <c r="Q27" s="100">
        <v>10</v>
      </c>
      <c r="R27" s="6"/>
      <c r="S27" s="6"/>
      <c r="T27" s="156"/>
      <c r="U27" s="6"/>
    </row>
    <row r="28" spans="1:21" customFormat="1">
      <c r="A28" s="201" t="s">
        <v>836</v>
      </c>
      <c r="B28" s="100">
        <v>6.81</v>
      </c>
      <c r="C28" s="100">
        <v>11.21</v>
      </c>
      <c r="D28" s="100">
        <v>11.32</v>
      </c>
      <c r="E28" s="100">
        <v>5.35</v>
      </c>
      <c r="F28" s="100">
        <v>2</v>
      </c>
      <c r="G28" s="100">
        <v>12.8</v>
      </c>
      <c r="H28" s="100">
        <v>3.3</v>
      </c>
      <c r="I28" s="100">
        <v>3.43</v>
      </c>
      <c r="J28" s="100">
        <v>0.16</v>
      </c>
      <c r="K28" s="100">
        <v>164.22</v>
      </c>
      <c r="L28" s="100">
        <v>25.49</v>
      </c>
      <c r="M28" s="100">
        <v>95.33</v>
      </c>
      <c r="N28" s="100">
        <v>2.1</v>
      </c>
      <c r="O28" s="100">
        <v>0</v>
      </c>
      <c r="P28" s="100">
        <v>0.17</v>
      </c>
      <c r="Q28" s="100">
        <v>10</v>
      </c>
      <c r="R28" s="6"/>
      <c r="S28" s="6"/>
      <c r="T28" s="156"/>
      <c r="U28" s="6"/>
    </row>
    <row r="29" spans="1:21" customFormat="1">
      <c r="A29" s="201" t="s">
        <v>837</v>
      </c>
      <c r="B29" s="100">
        <v>6.95</v>
      </c>
      <c r="C29" s="100">
        <v>11.25</v>
      </c>
      <c r="D29" s="100">
        <v>11.45</v>
      </c>
      <c r="E29" s="100">
        <v>5.46</v>
      </c>
      <c r="F29" s="100">
        <v>2</v>
      </c>
      <c r="G29" s="100">
        <v>12.8</v>
      </c>
      <c r="H29" s="100">
        <v>3.3</v>
      </c>
      <c r="I29" s="100">
        <v>3.53</v>
      </c>
      <c r="J29" s="100">
        <v>0.06</v>
      </c>
      <c r="K29" s="100">
        <v>181.39</v>
      </c>
      <c r="L29" s="100">
        <v>25.54</v>
      </c>
      <c r="M29" s="100">
        <v>95.27</v>
      </c>
      <c r="N29" s="100">
        <v>2.1</v>
      </c>
      <c r="O29" s="100">
        <v>0</v>
      </c>
      <c r="P29" s="100">
        <v>0.17</v>
      </c>
      <c r="Q29" s="100">
        <v>10</v>
      </c>
      <c r="R29" s="6"/>
      <c r="S29" s="6"/>
      <c r="T29" s="156"/>
      <c r="U29" s="6"/>
    </row>
    <row r="30" spans="1:21" customFormat="1">
      <c r="A30" s="201" t="s">
        <v>838</v>
      </c>
      <c r="B30" s="100">
        <v>7.09</v>
      </c>
      <c r="C30" s="100">
        <v>11.13</v>
      </c>
      <c r="D30" s="100">
        <v>11.5</v>
      </c>
      <c r="E30" s="100">
        <v>5.28</v>
      </c>
      <c r="F30" s="100">
        <v>2</v>
      </c>
      <c r="G30" s="100">
        <v>12.8</v>
      </c>
      <c r="H30" s="100">
        <v>3.3</v>
      </c>
      <c r="I30" s="100">
        <v>3.59</v>
      </c>
      <c r="J30" s="100">
        <v>7.0000000000000007E-2</v>
      </c>
      <c r="K30" s="100">
        <v>167.33</v>
      </c>
      <c r="L30" s="100">
        <v>25.49</v>
      </c>
      <c r="M30" s="100">
        <v>95.4</v>
      </c>
      <c r="N30" s="100">
        <v>2.1</v>
      </c>
      <c r="O30" s="100">
        <v>0</v>
      </c>
      <c r="P30" s="100">
        <v>0.16</v>
      </c>
      <c r="Q30" s="100">
        <v>10</v>
      </c>
      <c r="R30" s="6"/>
      <c r="S30" s="6"/>
      <c r="T30" s="156"/>
      <c r="U30" s="6"/>
    </row>
    <row r="31" spans="1:21" customFormat="1">
      <c r="A31" s="201" t="s">
        <v>839</v>
      </c>
      <c r="B31" s="100">
        <v>7.23</v>
      </c>
      <c r="C31" s="100">
        <v>11.29</v>
      </c>
      <c r="D31" s="100">
        <v>11.7</v>
      </c>
      <c r="E31" s="100">
        <v>5.35</v>
      </c>
      <c r="F31" s="100">
        <v>2</v>
      </c>
      <c r="G31" s="100">
        <v>16.96</v>
      </c>
      <c r="H31" s="100">
        <v>4.41</v>
      </c>
      <c r="I31" s="100">
        <v>3.57</v>
      </c>
      <c r="J31" s="100">
        <v>0.14000000000000001</v>
      </c>
      <c r="K31" s="100">
        <v>156.01</v>
      </c>
      <c r="L31" s="100">
        <v>25.4</v>
      </c>
      <c r="M31" s="100">
        <v>95.3</v>
      </c>
      <c r="N31" s="100">
        <v>2.2999999999999998</v>
      </c>
      <c r="O31" s="100">
        <v>0</v>
      </c>
      <c r="P31" s="100">
        <v>0.18</v>
      </c>
      <c r="Q31" s="100">
        <v>10</v>
      </c>
      <c r="R31" s="6"/>
      <c r="S31" s="6"/>
      <c r="T31" s="156"/>
      <c r="U31" s="6"/>
    </row>
    <row r="32" spans="1:21" customFormat="1">
      <c r="A32" s="201" t="s">
        <v>840</v>
      </c>
      <c r="B32" s="100">
        <v>7.35</v>
      </c>
      <c r="C32" s="100">
        <v>11.21</v>
      </c>
      <c r="D32" s="100">
        <v>11.75</v>
      </c>
      <c r="E32" s="100">
        <v>5.45</v>
      </c>
      <c r="F32" s="100">
        <v>2</v>
      </c>
      <c r="G32" s="100">
        <v>18</v>
      </c>
      <c r="H32" s="100">
        <v>4.41</v>
      </c>
      <c r="I32" s="100">
        <v>3.55</v>
      </c>
      <c r="J32" s="100">
        <v>0.08</v>
      </c>
      <c r="K32" s="100">
        <v>195.69</v>
      </c>
      <c r="L32" s="100">
        <v>25.31</v>
      </c>
      <c r="M32" s="100">
        <v>95.41</v>
      </c>
      <c r="N32" s="100">
        <v>4.4000000000000004</v>
      </c>
      <c r="O32" s="100">
        <v>0</v>
      </c>
      <c r="P32" s="100">
        <v>0.16</v>
      </c>
      <c r="Q32" s="100">
        <v>10</v>
      </c>
      <c r="R32" s="6"/>
      <c r="S32" s="6"/>
      <c r="T32" s="156"/>
      <c r="U32" s="6"/>
    </row>
    <row r="33" spans="1:21" customFormat="1">
      <c r="A33" s="201" t="s">
        <v>841</v>
      </c>
      <c r="B33" s="100">
        <v>7.46</v>
      </c>
      <c r="C33" s="100">
        <v>11.28</v>
      </c>
      <c r="D33" s="100">
        <v>11.88</v>
      </c>
      <c r="E33" s="100">
        <v>4.92</v>
      </c>
      <c r="F33" s="100">
        <v>2</v>
      </c>
      <c r="G33" s="100">
        <v>18</v>
      </c>
      <c r="H33" s="100">
        <v>4.41</v>
      </c>
      <c r="I33" s="100">
        <v>3.59</v>
      </c>
      <c r="J33" s="100">
        <v>0.09</v>
      </c>
      <c r="K33" s="100">
        <v>204.95</v>
      </c>
      <c r="L33" s="100">
        <v>25.38</v>
      </c>
      <c r="M33" s="100">
        <v>94.94</v>
      </c>
      <c r="N33" s="100">
        <v>9.6999999999999993</v>
      </c>
      <c r="O33" s="100">
        <v>0</v>
      </c>
      <c r="P33" s="100">
        <v>0.17</v>
      </c>
      <c r="Q33" s="100">
        <v>10</v>
      </c>
      <c r="R33" s="6"/>
      <c r="S33" s="6"/>
      <c r="T33" s="156"/>
      <c r="U33" s="6"/>
    </row>
    <row r="34" spans="1:21" customFormat="1">
      <c r="A34" s="201" t="s">
        <v>842</v>
      </c>
      <c r="B34" s="100">
        <v>7.56</v>
      </c>
      <c r="C34" s="100">
        <v>11.31</v>
      </c>
      <c r="D34" s="100">
        <v>11.97</v>
      </c>
      <c r="E34" s="100">
        <v>5.55</v>
      </c>
      <c r="F34" s="100">
        <v>2</v>
      </c>
      <c r="G34" s="100">
        <v>18</v>
      </c>
      <c r="H34" s="100">
        <v>4.41</v>
      </c>
      <c r="I34" s="100">
        <v>3.53</v>
      </c>
      <c r="J34" s="100">
        <v>0.09</v>
      </c>
      <c r="K34" s="100">
        <v>160.81</v>
      </c>
      <c r="L34" s="100">
        <v>25.58</v>
      </c>
      <c r="M34" s="100">
        <v>94.89</v>
      </c>
      <c r="N34" s="100">
        <v>22</v>
      </c>
      <c r="O34" s="100">
        <v>0</v>
      </c>
      <c r="P34" s="100">
        <v>0.18</v>
      </c>
      <c r="Q34" s="100">
        <v>10</v>
      </c>
      <c r="R34" s="6"/>
      <c r="S34" s="6"/>
      <c r="T34" s="156"/>
      <c r="U34" s="6"/>
    </row>
    <row r="35" spans="1:21" customFormat="1">
      <c r="A35" s="201" t="s">
        <v>843</v>
      </c>
      <c r="B35" s="100">
        <v>7.51</v>
      </c>
      <c r="C35" s="100">
        <v>11.25</v>
      </c>
      <c r="D35" s="100">
        <v>11.9</v>
      </c>
      <c r="E35" s="100">
        <v>5.38</v>
      </c>
      <c r="F35" s="100">
        <v>2</v>
      </c>
      <c r="G35" s="100">
        <v>14.18</v>
      </c>
      <c r="H35" s="100">
        <v>3.25</v>
      </c>
      <c r="I35" s="100">
        <v>3.56</v>
      </c>
      <c r="J35" s="100">
        <v>0.15</v>
      </c>
      <c r="K35" s="100">
        <v>229.58</v>
      </c>
      <c r="L35" s="100">
        <v>25.92</v>
      </c>
      <c r="M35" s="100">
        <v>94.76</v>
      </c>
      <c r="N35" s="100">
        <v>40.5</v>
      </c>
      <c r="O35" s="100">
        <v>0</v>
      </c>
      <c r="P35" s="100">
        <v>0.18</v>
      </c>
      <c r="Q35" s="100">
        <v>10</v>
      </c>
      <c r="R35" s="6"/>
      <c r="S35" s="6"/>
      <c r="T35" s="156"/>
      <c r="U35" s="6"/>
    </row>
    <row r="36" spans="1:21" customFormat="1">
      <c r="A36" s="201" t="s">
        <v>844</v>
      </c>
      <c r="B36" s="100">
        <v>7.43</v>
      </c>
      <c r="C36" s="100">
        <v>11.34</v>
      </c>
      <c r="D36" s="100">
        <v>11.88</v>
      </c>
      <c r="E36" s="100">
        <v>5.3</v>
      </c>
      <c r="F36" s="100">
        <v>2</v>
      </c>
      <c r="G36" s="100">
        <v>13.23</v>
      </c>
      <c r="H36" s="100">
        <v>3.25</v>
      </c>
      <c r="I36" s="100">
        <v>3.56</v>
      </c>
      <c r="J36" s="100">
        <v>0.3</v>
      </c>
      <c r="K36" s="100">
        <v>230.89</v>
      </c>
      <c r="L36" s="100">
        <v>26.39</v>
      </c>
      <c r="M36" s="100">
        <v>93.98</v>
      </c>
      <c r="N36" s="100">
        <v>61.6</v>
      </c>
      <c r="O36" s="100">
        <v>0</v>
      </c>
      <c r="P36" s="100">
        <v>0.2</v>
      </c>
      <c r="Q36" s="100">
        <v>10</v>
      </c>
      <c r="R36" s="6"/>
      <c r="S36" s="6"/>
      <c r="T36" s="156"/>
      <c r="U36" s="6"/>
    </row>
    <row r="37" spans="1:21" customFormat="1">
      <c r="A37" s="201" t="s">
        <v>845</v>
      </c>
      <c r="B37" s="100">
        <v>7.28</v>
      </c>
      <c r="C37" s="100">
        <v>11.41</v>
      </c>
      <c r="D37" s="100">
        <v>11.8</v>
      </c>
      <c r="E37" s="100">
        <v>5.41</v>
      </c>
      <c r="F37" s="100">
        <v>2</v>
      </c>
      <c r="G37" s="100">
        <v>13.23</v>
      </c>
      <c r="H37" s="100">
        <v>3.25</v>
      </c>
      <c r="I37" s="100">
        <v>3.5</v>
      </c>
      <c r="J37" s="100">
        <v>0.45</v>
      </c>
      <c r="K37" s="100">
        <v>235.47</v>
      </c>
      <c r="L37" s="100">
        <v>26.71</v>
      </c>
      <c r="M37" s="100">
        <v>92.54</v>
      </c>
      <c r="N37" s="100">
        <v>66.900000000000006</v>
      </c>
      <c r="O37" s="100">
        <v>0</v>
      </c>
      <c r="P37" s="100">
        <v>0.2</v>
      </c>
      <c r="Q37" s="100">
        <v>10</v>
      </c>
      <c r="R37" s="6"/>
      <c r="S37" s="6"/>
      <c r="T37" s="156"/>
      <c r="U37" s="6"/>
    </row>
    <row r="38" spans="1:21" customFormat="1">
      <c r="A38" s="201" t="s">
        <v>846</v>
      </c>
      <c r="B38" s="100">
        <v>7.13</v>
      </c>
      <c r="C38" s="100">
        <v>11.47</v>
      </c>
      <c r="D38" s="100">
        <v>11.71</v>
      </c>
      <c r="E38" s="100">
        <v>5.25</v>
      </c>
      <c r="F38" s="100">
        <v>2</v>
      </c>
      <c r="G38" s="100">
        <v>13.23</v>
      </c>
      <c r="H38" s="100">
        <v>3.25</v>
      </c>
      <c r="I38" s="100">
        <v>3.53</v>
      </c>
      <c r="J38" s="100">
        <v>0.22</v>
      </c>
      <c r="K38" s="100">
        <v>225.23</v>
      </c>
      <c r="L38" s="100">
        <v>26.97</v>
      </c>
      <c r="M38" s="100">
        <v>91.14</v>
      </c>
      <c r="N38" s="100">
        <v>70.7</v>
      </c>
      <c r="O38" s="100">
        <v>0</v>
      </c>
      <c r="P38" s="100">
        <v>0.21</v>
      </c>
      <c r="Q38" s="100">
        <v>10</v>
      </c>
      <c r="R38" s="6"/>
      <c r="S38" s="6"/>
      <c r="T38" s="156"/>
      <c r="U38" s="6"/>
    </row>
    <row r="39" spans="1:21" customFormat="1">
      <c r="A39" s="201" t="s">
        <v>847</v>
      </c>
      <c r="B39" s="100">
        <v>6.98</v>
      </c>
      <c r="C39" s="100">
        <v>11.57</v>
      </c>
      <c r="D39" s="100">
        <v>11.65</v>
      </c>
      <c r="E39" s="100">
        <v>5.38</v>
      </c>
      <c r="F39" s="100">
        <v>2</v>
      </c>
      <c r="G39" s="100">
        <v>14.97</v>
      </c>
      <c r="H39" s="100">
        <v>2.63</v>
      </c>
      <c r="I39" s="100">
        <v>3.59</v>
      </c>
      <c r="J39" s="100">
        <v>0.35</v>
      </c>
      <c r="K39" s="100">
        <v>232.62</v>
      </c>
      <c r="L39" s="100">
        <v>27.42</v>
      </c>
      <c r="M39" s="100">
        <v>88.24</v>
      </c>
      <c r="N39" s="100">
        <v>86.7</v>
      </c>
      <c r="O39" s="100">
        <v>0</v>
      </c>
      <c r="P39" s="100">
        <v>0.21</v>
      </c>
      <c r="Q39" s="100">
        <v>10</v>
      </c>
      <c r="R39" s="6"/>
      <c r="S39" s="6"/>
      <c r="T39" s="156"/>
      <c r="U39" s="6"/>
    </row>
    <row r="40" spans="1:21" customFormat="1">
      <c r="A40" s="201" t="s">
        <v>848</v>
      </c>
      <c r="B40" s="100">
        <v>6.82</v>
      </c>
      <c r="C40" s="100">
        <v>11.68</v>
      </c>
      <c r="D40" s="100">
        <v>11.58</v>
      </c>
      <c r="E40" s="100">
        <v>5.48</v>
      </c>
      <c r="F40" s="100">
        <v>2</v>
      </c>
      <c r="G40" s="100">
        <v>15.41</v>
      </c>
      <c r="H40" s="100">
        <v>2.63</v>
      </c>
      <c r="I40" s="100">
        <v>3.71</v>
      </c>
      <c r="J40" s="100">
        <v>0.38</v>
      </c>
      <c r="K40" s="100">
        <v>236.87</v>
      </c>
      <c r="L40" s="100">
        <v>27.8</v>
      </c>
      <c r="M40" s="100">
        <v>86.35</v>
      </c>
      <c r="N40" s="100">
        <v>127.9</v>
      </c>
      <c r="O40" s="100">
        <v>0</v>
      </c>
      <c r="P40" s="100">
        <v>0.22</v>
      </c>
      <c r="Q40" s="100">
        <v>10</v>
      </c>
      <c r="R40" s="6"/>
      <c r="S40" s="6"/>
      <c r="T40" s="156"/>
      <c r="U40" s="6"/>
    </row>
    <row r="41" spans="1:21" customFormat="1">
      <c r="A41" s="201" t="s">
        <v>849</v>
      </c>
      <c r="B41" s="100">
        <v>6.71</v>
      </c>
      <c r="C41" s="100">
        <v>11.79</v>
      </c>
      <c r="D41" s="100">
        <v>11.54</v>
      </c>
      <c r="E41" s="100">
        <v>5.0599999999999996</v>
      </c>
      <c r="F41" s="100">
        <v>2</v>
      </c>
      <c r="G41" s="100">
        <v>15.41</v>
      </c>
      <c r="H41" s="100">
        <v>2.63</v>
      </c>
      <c r="I41" s="100">
        <v>3.75</v>
      </c>
      <c r="J41" s="100">
        <v>0.28000000000000003</v>
      </c>
      <c r="K41" s="100">
        <v>233.18</v>
      </c>
      <c r="L41" s="100">
        <v>28.02</v>
      </c>
      <c r="M41" s="100">
        <v>85.01</v>
      </c>
      <c r="N41" s="100">
        <v>102.7</v>
      </c>
      <c r="O41" s="100">
        <v>0</v>
      </c>
      <c r="P41" s="100">
        <v>0.24</v>
      </c>
      <c r="Q41" s="100">
        <v>10</v>
      </c>
      <c r="R41" s="6"/>
      <c r="S41" s="6"/>
      <c r="T41" s="156"/>
      <c r="U41" s="6"/>
    </row>
    <row r="42" spans="1:21" customFormat="1">
      <c r="A42" s="201" t="s">
        <v>850</v>
      </c>
      <c r="B42" s="100">
        <v>6.61</v>
      </c>
      <c r="C42" s="100">
        <v>11.84</v>
      </c>
      <c r="D42" s="100">
        <v>11.49</v>
      </c>
      <c r="E42" s="100">
        <v>5.19</v>
      </c>
      <c r="F42" s="100">
        <v>2</v>
      </c>
      <c r="G42" s="100">
        <v>15.41</v>
      </c>
      <c r="H42" s="100">
        <v>2.63</v>
      </c>
      <c r="I42" s="100">
        <v>3.87</v>
      </c>
      <c r="J42" s="100">
        <v>0.26</v>
      </c>
      <c r="K42" s="100">
        <v>220.99</v>
      </c>
      <c r="L42" s="100">
        <v>28.13</v>
      </c>
      <c r="M42" s="100">
        <v>84.27</v>
      </c>
      <c r="N42" s="100">
        <v>150.30000000000001</v>
      </c>
      <c r="O42" s="100">
        <v>0</v>
      </c>
      <c r="P42" s="100">
        <v>0.26</v>
      </c>
      <c r="Q42" s="100">
        <v>10</v>
      </c>
      <c r="R42" s="6"/>
      <c r="S42" s="6"/>
      <c r="T42" s="156"/>
      <c r="U42" s="6"/>
    </row>
    <row r="43" spans="1:21" customFormat="1">
      <c r="A43" s="201" t="s">
        <v>851</v>
      </c>
      <c r="B43" s="100">
        <v>6.57</v>
      </c>
      <c r="C43" s="100">
        <v>11.82</v>
      </c>
      <c r="D43" s="100">
        <v>11.45</v>
      </c>
      <c r="E43" s="100">
        <v>5.22</v>
      </c>
      <c r="F43" s="100">
        <v>2.0099999999999998</v>
      </c>
      <c r="G43" s="100">
        <v>17.97</v>
      </c>
      <c r="H43" s="100">
        <v>10.31</v>
      </c>
      <c r="I43" s="100">
        <v>3.96</v>
      </c>
      <c r="J43" s="100">
        <v>0.24</v>
      </c>
      <c r="K43" s="100">
        <v>219.59</v>
      </c>
      <c r="L43" s="100">
        <v>28.66</v>
      </c>
      <c r="M43" s="100">
        <v>81.66</v>
      </c>
      <c r="N43" s="100">
        <v>242.2</v>
      </c>
      <c r="O43" s="100">
        <v>0</v>
      </c>
      <c r="P43" s="100">
        <v>0.28000000000000003</v>
      </c>
      <c r="Q43" s="100">
        <v>10</v>
      </c>
      <c r="R43" s="6"/>
      <c r="S43" s="6"/>
      <c r="T43" s="156"/>
      <c r="U43" s="6"/>
    </row>
    <row r="44" spans="1:21" customFormat="1">
      <c r="A44" s="201" t="s">
        <v>852</v>
      </c>
      <c r="B44" s="100">
        <v>6.49</v>
      </c>
      <c r="C44" s="100">
        <v>11.93</v>
      </c>
      <c r="D44" s="100">
        <v>11.43</v>
      </c>
      <c r="E44" s="100">
        <v>5.39</v>
      </c>
      <c r="F44" s="100">
        <v>2</v>
      </c>
      <c r="G44" s="100">
        <v>18.649999999999999</v>
      </c>
      <c r="H44" s="100">
        <v>10.31</v>
      </c>
      <c r="I44" s="100">
        <v>4.09</v>
      </c>
      <c r="J44" s="100">
        <v>0.2</v>
      </c>
      <c r="K44" s="100">
        <v>222.37</v>
      </c>
      <c r="L44" s="100">
        <v>28.55</v>
      </c>
      <c r="M44" s="100">
        <v>81.569999999999993</v>
      </c>
      <c r="N44" s="100">
        <v>104.7</v>
      </c>
      <c r="O44" s="100">
        <v>0</v>
      </c>
      <c r="P44" s="100">
        <v>0.3</v>
      </c>
      <c r="Q44" s="100">
        <v>10</v>
      </c>
      <c r="R44" s="6"/>
      <c r="S44" s="6"/>
      <c r="T44" s="156"/>
      <c r="U44" s="6"/>
    </row>
    <row r="45" spans="1:21" customFormat="1">
      <c r="A45" s="201" t="s">
        <v>853</v>
      </c>
      <c r="B45" s="100">
        <v>6.36</v>
      </c>
      <c r="C45" s="100">
        <v>11.94</v>
      </c>
      <c r="D45" s="100">
        <v>11.34</v>
      </c>
      <c r="E45" s="100">
        <v>5.09</v>
      </c>
      <c r="F45" s="100">
        <v>2</v>
      </c>
      <c r="G45" s="100">
        <v>18.649999999999999</v>
      </c>
      <c r="H45" s="100">
        <v>10.31</v>
      </c>
      <c r="I45" s="100">
        <v>4.2699999999999996</v>
      </c>
      <c r="J45" s="100">
        <v>0.19</v>
      </c>
      <c r="K45" s="100">
        <v>197.41</v>
      </c>
      <c r="L45" s="100">
        <v>28.53</v>
      </c>
      <c r="M45" s="100">
        <v>81.61</v>
      </c>
      <c r="N45" s="100">
        <v>163.5</v>
      </c>
      <c r="O45" s="100">
        <v>0</v>
      </c>
      <c r="P45" s="100">
        <v>0.32</v>
      </c>
      <c r="Q45" s="100">
        <v>10</v>
      </c>
      <c r="R45" s="6"/>
      <c r="S45" s="6"/>
      <c r="T45" s="156"/>
      <c r="U45" s="6"/>
    </row>
    <row r="46" spans="1:21" customFormat="1">
      <c r="A46" s="201" t="s">
        <v>854</v>
      </c>
      <c r="B46" s="100">
        <v>6.2</v>
      </c>
      <c r="C46" s="100">
        <v>11.96</v>
      </c>
      <c r="D46" s="100">
        <v>11.22</v>
      </c>
      <c r="E46" s="100">
        <v>5.24</v>
      </c>
      <c r="F46" s="100">
        <v>2.15</v>
      </c>
      <c r="G46" s="100">
        <v>18.649999999999999</v>
      </c>
      <c r="H46" s="100">
        <v>10.31</v>
      </c>
      <c r="I46" s="100">
        <v>4.54</v>
      </c>
      <c r="J46" s="100">
        <v>0.35</v>
      </c>
      <c r="K46" s="100">
        <v>234.4</v>
      </c>
      <c r="L46" s="100">
        <v>29.54</v>
      </c>
      <c r="M46" s="100">
        <v>75.88</v>
      </c>
      <c r="N46" s="100">
        <v>346.9</v>
      </c>
      <c r="O46" s="100">
        <v>0</v>
      </c>
      <c r="P46" s="100">
        <v>0.33</v>
      </c>
      <c r="Q46" s="100">
        <v>10</v>
      </c>
      <c r="R46" s="6"/>
      <c r="S46" s="6"/>
      <c r="T46" s="156"/>
      <c r="U46" s="6"/>
    </row>
    <row r="47" spans="1:21" customFormat="1">
      <c r="A47" s="201" t="s">
        <v>855</v>
      </c>
      <c r="B47" s="100">
        <v>5.98</v>
      </c>
      <c r="C47" s="100">
        <v>12.06</v>
      </c>
      <c r="D47" s="100">
        <v>11.09</v>
      </c>
      <c r="E47" s="100">
        <v>5.34</v>
      </c>
      <c r="F47" s="100">
        <v>2.11</v>
      </c>
      <c r="G47" s="100">
        <v>27.3</v>
      </c>
      <c r="H47" s="100">
        <v>7.71</v>
      </c>
      <c r="I47" s="100">
        <v>4.8600000000000003</v>
      </c>
      <c r="J47" s="100">
        <v>0.37</v>
      </c>
      <c r="K47" s="100">
        <v>235.5</v>
      </c>
      <c r="L47" s="100">
        <v>30.15</v>
      </c>
      <c r="M47" s="100">
        <v>71.430000000000007</v>
      </c>
      <c r="N47" s="100">
        <v>360.2</v>
      </c>
      <c r="O47" s="100">
        <v>0</v>
      </c>
      <c r="P47" s="100">
        <v>0.34</v>
      </c>
      <c r="Q47" s="100">
        <v>10</v>
      </c>
      <c r="R47" s="6"/>
      <c r="S47" s="6"/>
      <c r="T47" s="156"/>
      <c r="U47" s="6"/>
    </row>
    <row r="48" spans="1:21" customFormat="1">
      <c r="A48" s="201" t="s">
        <v>856</v>
      </c>
      <c r="B48" s="100">
        <v>5.73</v>
      </c>
      <c r="C48" s="100">
        <v>12.16</v>
      </c>
      <c r="D48" s="100">
        <v>10.95</v>
      </c>
      <c r="E48" s="100">
        <v>5.43</v>
      </c>
      <c r="F48" s="100">
        <v>2.08</v>
      </c>
      <c r="G48" s="100">
        <v>29.62</v>
      </c>
      <c r="H48" s="100">
        <v>7.71</v>
      </c>
      <c r="I48" s="100">
        <v>5.19</v>
      </c>
      <c r="J48" s="100">
        <v>0.21</v>
      </c>
      <c r="K48" s="100">
        <v>174.13</v>
      </c>
      <c r="L48" s="100">
        <v>30.78</v>
      </c>
      <c r="M48" s="100">
        <v>69.650000000000006</v>
      </c>
      <c r="N48" s="100">
        <v>513.20000000000005</v>
      </c>
      <c r="O48" s="100">
        <v>0</v>
      </c>
      <c r="P48" s="100">
        <v>0.35</v>
      </c>
      <c r="Q48" s="100">
        <v>10</v>
      </c>
      <c r="R48" s="6"/>
      <c r="S48" s="6"/>
      <c r="T48" s="156"/>
      <c r="U48" s="6"/>
    </row>
    <row r="49" spans="1:21" customFormat="1">
      <c r="A49" s="201" t="s">
        <v>857</v>
      </c>
      <c r="B49" s="100">
        <v>5.34</v>
      </c>
      <c r="C49" s="100">
        <v>12.4</v>
      </c>
      <c r="D49" s="100">
        <v>10.76</v>
      </c>
      <c r="E49" s="100">
        <v>5.18</v>
      </c>
      <c r="F49" s="100">
        <v>2.0299999999999998</v>
      </c>
      <c r="G49" s="100">
        <v>29.62</v>
      </c>
      <c r="H49" s="100">
        <v>7.71</v>
      </c>
      <c r="I49" s="100">
        <v>5.46</v>
      </c>
      <c r="J49" s="100">
        <v>0.24</v>
      </c>
      <c r="K49" s="100">
        <v>210.42</v>
      </c>
      <c r="L49" s="100">
        <v>31.05</v>
      </c>
      <c r="M49" s="100">
        <v>69.430000000000007</v>
      </c>
      <c r="N49" s="100">
        <v>354.7</v>
      </c>
      <c r="O49" s="100">
        <v>0</v>
      </c>
      <c r="P49" s="100">
        <v>0.36</v>
      </c>
      <c r="Q49" s="100">
        <v>10</v>
      </c>
      <c r="R49" s="6"/>
      <c r="S49" s="6"/>
      <c r="T49" s="156"/>
      <c r="U49" s="6"/>
    </row>
    <row r="50" spans="1:21" customFormat="1">
      <c r="A50" s="201" t="s">
        <v>858</v>
      </c>
      <c r="B50" s="100">
        <v>4.9800000000000004</v>
      </c>
      <c r="C50" s="100">
        <v>12.48</v>
      </c>
      <c r="D50" s="100">
        <v>10.52</v>
      </c>
      <c r="E50" s="100">
        <v>6.08</v>
      </c>
      <c r="F50" s="100">
        <v>2.0499999999999998</v>
      </c>
      <c r="G50" s="100">
        <v>29.62</v>
      </c>
      <c r="H50" s="100">
        <v>7.71</v>
      </c>
      <c r="I50" s="100">
        <v>5.75</v>
      </c>
      <c r="J50" s="100">
        <v>0.34</v>
      </c>
      <c r="K50" s="100">
        <v>206.47</v>
      </c>
      <c r="L50" s="100">
        <v>30.93</v>
      </c>
      <c r="M50" s="100">
        <v>69.87</v>
      </c>
      <c r="N50" s="100">
        <v>331.8</v>
      </c>
      <c r="O50" s="100">
        <v>0</v>
      </c>
      <c r="P50" s="100">
        <v>0.35</v>
      </c>
      <c r="Q50" s="100">
        <v>10</v>
      </c>
      <c r="R50" s="6"/>
      <c r="S50" s="6"/>
      <c r="T50" s="156"/>
      <c r="U50" s="6"/>
    </row>
    <row r="51" spans="1:21" customFormat="1">
      <c r="A51" s="201" t="s">
        <v>859</v>
      </c>
      <c r="B51" s="100">
        <v>4.6500000000000004</v>
      </c>
      <c r="C51" s="100">
        <v>12.51</v>
      </c>
      <c r="D51" s="100">
        <v>10.26</v>
      </c>
      <c r="E51" s="100">
        <v>5.89</v>
      </c>
      <c r="F51" s="100">
        <v>2.2599999999999998</v>
      </c>
      <c r="G51" s="100">
        <v>31.21</v>
      </c>
      <c r="H51" s="100">
        <v>8.75</v>
      </c>
      <c r="I51" s="100">
        <v>5.93</v>
      </c>
      <c r="J51" s="100">
        <v>0.43</v>
      </c>
      <c r="K51" s="100">
        <v>231.45</v>
      </c>
      <c r="L51" s="100">
        <v>31.19</v>
      </c>
      <c r="M51" s="100">
        <v>68.17</v>
      </c>
      <c r="N51" s="100">
        <v>599.79999999999995</v>
      </c>
      <c r="O51" s="100">
        <v>0</v>
      </c>
      <c r="P51" s="100">
        <v>0.36</v>
      </c>
      <c r="Q51" s="100">
        <v>10</v>
      </c>
      <c r="R51" s="6"/>
      <c r="S51" s="6"/>
      <c r="T51" s="156"/>
      <c r="U51" s="6"/>
    </row>
    <row r="52" spans="1:21" customFormat="1">
      <c r="A52" s="201" t="s">
        <v>860</v>
      </c>
      <c r="B52" s="100">
        <v>4.29</v>
      </c>
      <c r="C52" s="100">
        <v>12.57</v>
      </c>
      <c r="D52" s="100">
        <v>10</v>
      </c>
      <c r="E52" s="100">
        <v>5.89</v>
      </c>
      <c r="F52" s="100">
        <v>2.2200000000000002</v>
      </c>
      <c r="G52" s="100">
        <v>31.63</v>
      </c>
      <c r="H52" s="100">
        <v>8.75</v>
      </c>
      <c r="I52" s="100">
        <v>5.98</v>
      </c>
      <c r="J52" s="100">
        <v>0.3</v>
      </c>
      <c r="K52" s="100">
        <v>239.93</v>
      </c>
      <c r="L52" s="100">
        <v>31</v>
      </c>
      <c r="M52" s="100">
        <v>68.739999999999995</v>
      </c>
      <c r="N52" s="100">
        <v>296</v>
      </c>
      <c r="O52" s="100">
        <v>0</v>
      </c>
      <c r="P52" s="100">
        <v>0.37</v>
      </c>
      <c r="Q52" s="100">
        <v>10</v>
      </c>
      <c r="R52" s="6"/>
      <c r="S52" s="6"/>
      <c r="T52" s="156"/>
      <c r="U52" s="6"/>
    </row>
    <row r="53" spans="1:21" customFormat="1">
      <c r="A53" s="201" t="s">
        <v>861</v>
      </c>
      <c r="B53" s="100">
        <v>4</v>
      </c>
      <c r="C53" s="100">
        <v>12.66</v>
      </c>
      <c r="D53" s="100">
        <v>9.82</v>
      </c>
      <c r="E53" s="100">
        <v>6.06</v>
      </c>
      <c r="F53" s="100">
        <v>2.0099999999999998</v>
      </c>
      <c r="G53" s="100">
        <v>31.63</v>
      </c>
      <c r="H53" s="100">
        <v>8.75</v>
      </c>
      <c r="I53" s="100">
        <v>5.92</v>
      </c>
      <c r="J53" s="100">
        <v>0.42</v>
      </c>
      <c r="K53" s="100">
        <v>238.77</v>
      </c>
      <c r="L53" s="100">
        <v>30.96</v>
      </c>
      <c r="M53" s="100">
        <v>67.92</v>
      </c>
      <c r="N53" s="100">
        <v>290.89999999999998</v>
      </c>
      <c r="O53" s="100">
        <v>0</v>
      </c>
      <c r="P53" s="100">
        <v>0.37</v>
      </c>
      <c r="Q53" s="100">
        <v>10</v>
      </c>
      <c r="R53" s="6"/>
      <c r="S53" s="6"/>
      <c r="T53" s="156"/>
      <c r="U53" s="6"/>
    </row>
    <row r="54" spans="1:21" customFormat="1">
      <c r="A54" s="201" t="s">
        <v>862</v>
      </c>
      <c r="B54" s="100">
        <v>3.82</v>
      </c>
      <c r="C54" s="100">
        <v>12.88</v>
      </c>
      <c r="D54" s="100">
        <v>9.7899999999999991</v>
      </c>
      <c r="E54" s="100">
        <v>5.98</v>
      </c>
      <c r="F54" s="100">
        <v>2.76</v>
      </c>
      <c r="G54" s="100">
        <v>31.63</v>
      </c>
      <c r="H54" s="100">
        <v>8.75</v>
      </c>
      <c r="I54" s="100">
        <v>6.03</v>
      </c>
      <c r="J54" s="100">
        <v>0.15</v>
      </c>
      <c r="K54" s="100">
        <v>243.92</v>
      </c>
      <c r="L54" s="100">
        <v>30.45</v>
      </c>
      <c r="M54" s="100">
        <v>69.17</v>
      </c>
      <c r="N54" s="100">
        <v>133.9</v>
      </c>
      <c r="O54" s="100">
        <v>0</v>
      </c>
      <c r="P54" s="100">
        <v>0.38</v>
      </c>
      <c r="Q54" s="100">
        <v>10</v>
      </c>
      <c r="R54" s="6"/>
      <c r="S54" s="6"/>
      <c r="T54" s="156"/>
      <c r="U54" s="6"/>
    </row>
    <row r="55" spans="1:21" customFormat="1">
      <c r="A55" s="201" t="s">
        <v>863</v>
      </c>
      <c r="B55" s="100">
        <v>3.71</v>
      </c>
      <c r="C55" s="100">
        <v>12.99</v>
      </c>
      <c r="D55" s="100">
        <v>9.76</v>
      </c>
      <c r="E55" s="100">
        <v>5.53</v>
      </c>
      <c r="F55" s="100">
        <v>2.17</v>
      </c>
      <c r="G55" s="100">
        <v>39.29</v>
      </c>
      <c r="H55" s="100">
        <v>14.92</v>
      </c>
      <c r="I55" s="100">
        <v>6.16</v>
      </c>
      <c r="J55" s="100">
        <v>0.5</v>
      </c>
      <c r="K55" s="100">
        <v>237.66</v>
      </c>
      <c r="L55" s="100">
        <v>29.87</v>
      </c>
      <c r="M55" s="100">
        <v>70.77</v>
      </c>
      <c r="N55" s="100">
        <v>79.900000000000006</v>
      </c>
      <c r="O55" s="100">
        <v>0</v>
      </c>
      <c r="P55" s="100">
        <v>0.39</v>
      </c>
      <c r="Q55" s="100">
        <v>10</v>
      </c>
      <c r="R55" s="6"/>
      <c r="S55" s="6"/>
      <c r="T55" s="156"/>
      <c r="U55" s="6"/>
    </row>
    <row r="56" spans="1:21" customFormat="1">
      <c r="A56" s="201" t="s">
        <v>864</v>
      </c>
      <c r="B56" s="100">
        <v>3.78</v>
      </c>
      <c r="C56" s="100">
        <v>12.91</v>
      </c>
      <c r="D56" s="100">
        <v>9.7799999999999994</v>
      </c>
      <c r="E56" s="100">
        <v>5.51</v>
      </c>
      <c r="F56" s="100">
        <v>2.02</v>
      </c>
      <c r="G56" s="100">
        <v>41.21</v>
      </c>
      <c r="H56" s="100">
        <v>14.92</v>
      </c>
      <c r="I56" s="100">
        <v>6.27</v>
      </c>
      <c r="J56" s="100">
        <v>0.57999999999999996</v>
      </c>
      <c r="K56" s="100">
        <v>238.17</v>
      </c>
      <c r="L56" s="100">
        <v>29.29</v>
      </c>
      <c r="M56" s="100">
        <v>74.06</v>
      </c>
      <c r="N56" s="100">
        <v>74.599999999999994</v>
      </c>
      <c r="O56" s="100">
        <v>0</v>
      </c>
      <c r="P56" s="100">
        <v>0.37</v>
      </c>
      <c r="Q56" s="100">
        <v>10</v>
      </c>
      <c r="R56" s="6"/>
      <c r="S56" s="6"/>
      <c r="T56" s="156"/>
      <c r="U56" s="6"/>
    </row>
    <row r="57" spans="1:21" customFormat="1">
      <c r="A57" s="201" t="s">
        <v>865</v>
      </c>
      <c r="B57" s="100">
        <v>3.73</v>
      </c>
      <c r="C57" s="100">
        <v>12.95</v>
      </c>
      <c r="D57" s="100">
        <v>9.76</v>
      </c>
      <c r="E57" s="100">
        <v>5.45</v>
      </c>
      <c r="F57" s="100">
        <v>2.5499999999999998</v>
      </c>
      <c r="G57" s="100">
        <v>41.21</v>
      </c>
      <c r="H57" s="100">
        <v>14.92</v>
      </c>
      <c r="I57" s="100">
        <v>6.32</v>
      </c>
      <c r="J57" s="100">
        <v>0.34</v>
      </c>
      <c r="K57" s="100">
        <v>236.54</v>
      </c>
      <c r="L57" s="100">
        <v>29.4</v>
      </c>
      <c r="M57" s="100">
        <v>74.959999999999994</v>
      </c>
      <c r="N57" s="100">
        <v>146.30000000000001</v>
      </c>
      <c r="O57" s="100">
        <v>0</v>
      </c>
      <c r="P57" s="100">
        <v>0.37</v>
      </c>
      <c r="Q57" s="100">
        <v>10</v>
      </c>
      <c r="R57" s="6"/>
      <c r="S57" s="6"/>
      <c r="T57" s="156"/>
      <c r="U57" s="6"/>
    </row>
    <row r="58" spans="1:21" customFormat="1">
      <c r="A58" s="201" t="s">
        <v>866</v>
      </c>
      <c r="B58" s="100">
        <v>3.7</v>
      </c>
      <c r="C58" s="100">
        <v>12.97</v>
      </c>
      <c r="D58" s="100">
        <v>9.74</v>
      </c>
      <c r="E58" s="100">
        <v>5.49</v>
      </c>
      <c r="F58" s="100">
        <v>5.79</v>
      </c>
      <c r="G58" s="100">
        <v>41.21</v>
      </c>
      <c r="H58" s="100">
        <v>14.92</v>
      </c>
      <c r="I58" s="100">
        <v>6.51</v>
      </c>
      <c r="J58" s="100">
        <v>0.39</v>
      </c>
      <c r="K58" s="100">
        <v>229.5</v>
      </c>
      <c r="L58" s="100">
        <v>30.68</v>
      </c>
      <c r="M58" s="100">
        <v>67.89</v>
      </c>
      <c r="N58" s="100">
        <v>576.79999999999995</v>
      </c>
      <c r="O58" s="100">
        <v>0</v>
      </c>
      <c r="P58" s="100">
        <v>0.36</v>
      </c>
      <c r="Q58" s="100">
        <v>10</v>
      </c>
      <c r="R58" s="6"/>
      <c r="S58" s="6"/>
      <c r="T58" s="156"/>
      <c r="U58" s="6"/>
    </row>
    <row r="59" spans="1:21" customFormat="1">
      <c r="A59" s="201" t="s">
        <v>867</v>
      </c>
      <c r="B59" s="100">
        <v>3.69</v>
      </c>
      <c r="C59" s="100">
        <v>13.09</v>
      </c>
      <c r="D59" s="100">
        <v>9.8000000000000007</v>
      </c>
      <c r="E59" s="100">
        <v>6.03</v>
      </c>
      <c r="F59" s="100">
        <v>10.11</v>
      </c>
      <c r="G59" s="100">
        <v>44.1</v>
      </c>
      <c r="H59" s="100">
        <v>19.39</v>
      </c>
      <c r="I59" s="100">
        <v>6.7</v>
      </c>
      <c r="J59" s="100">
        <v>0.11</v>
      </c>
      <c r="K59" s="100">
        <v>280.01</v>
      </c>
      <c r="L59" s="100">
        <v>31.47</v>
      </c>
      <c r="M59" s="100">
        <v>64.91</v>
      </c>
      <c r="N59" s="100">
        <v>329.7</v>
      </c>
      <c r="O59" s="100">
        <v>0</v>
      </c>
      <c r="P59" s="100">
        <v>0.36</v>
      </c>
      <c r="Q59" s="100">
        <v>10</v>
      </c>
      <c r="R59" s="6"/>
      <c r="S59" s="6"/>
      <c r="T59" s="156"/>
      <c r="U59" s="6"/>
    </row>
    <row r="60" spans="1:21" customFormat="1">
      <c r="A60" s="201" t="s">
        <v>868</v>
      </c>
      <c r="B60" s="100">
        <v>3.76</v>
      </c>
      <c r="C60" s="100">
        <v>13.29</v>
      </c>
      <c r="D60" s="100">
        <v>9.9600000000000009</v>
      </c>
      <c r="E60" s="100">
        <v>5.66</v>
      </c>
      <c r="F60" s="100">
        <v>5.45</v>
      </c>
      <c r="G60" s="100">
        <v>44.82</v>
      </c>
      <c r="H60" s="100">
        <v>19.39</v>
      </c>
      <c r="I60" s="100">
        <v>6.7</v>
      </c>
      <c r="J60" s="100">
        <v>0.23</v>
      </c>
      <c r="K60" s="100">
        <v>245.95</v>
      </c>
      <c r="L60" s="100">
        <v>30.57</v>
      </c>
      <c r="M60" s="100">
        <v>67.69</v>
      </c>
      <c r="N60" s="100">
        <v>72.7</v>
      </c>
      <c r="O60" s="100">
        <v>0</v>
      </c>
      <c r="P60" s="100">
        <v>0.35</v>
      </c>
      <c r="Q60" s="100">
        <v>10</v>
      </c>
      <c r="R60" s="6"/>
      <c r="S60" s="6"/>
      <c r="T60" s="156"/>
      <c r="U60" s="6"/>
    </row>
    <row r="61" spans="1:21" customFormat="1">
      <c r="A61" s="201" t="s">
        <v>869</v>
      </c>
      <c r="B61" s="100">
        <v>3.87</v>
      </c>
      <c r="C61" s="100">
        <v>13.37</v>
      </c>
      <c r="D61" s="100">
        <v>10.09</v>
      </c>
      <c r="E61" s="100">
        <v>5.43</v>
      </c>
      <c r="F61" s="100">
        <v>5.16</v>
      </c>
      <c r="G61" s="100">
        <v>44.82</v>
      </c>
      <c r="H61" s="100">
        <v>19.39</v>
      </c>
      <c r="I61" s="100">
        <v>6.66</v>
      </c>
      <c r="J61" s="100">
        <v>0.3</v>
      </c>
      <c r="K61" s="100">
        <v>244.24</v>
      </c>
      <c r="L61" s="100">
        <v>30.23</v>
      </c>
      <c r="M61" s="100">
        <v>66.95</v>
      </c>
      <c r="N61" s="100">
        <v>60.1</v>
      </c>
      <c r="O61" s="100">
        <v>0</v>
      </c>
      <c r="P61" s="100">
        <v>0.33</v>
      </c>
      <c r="Q61" s="100">
        <v>10</v>
      </c>
      <c r="R61" s="6"/>
      <c r="S61" s="6"/>
      <c r="T61" s="156"/>
      <c r="U61" s="6"/>
    </row>
    <row r="62" spans="1:21" customFormat="1">
      <c r="A62" s="201" t="s">
        <v>870</v>
      </c>
      <c r="B62" s="100">
        <v>3.99</v>
      </c>
      <c r="C62" s="100">
        <v>13.48</v>
      </c>
      <c r="D62" s="100">
        <v>10.25</v>
      </c>
      <c r="E62" s="100">
        <v>5.07</v>
      </c>
      <c r="F62" s="100">
        <v>5.35</v>
      </c>
      <c r="G62" s="100">
        <v>44.82</v>
      </c>
      <c r="H62" s="100">
        <v>19.39</v>
      </c>
      <c r="I62" s="100">
        <v>6.63</v>
      </c>
      <c r="J62" s="100">
        <v>0.05</v>
      </c>
      <c r="K62" s="100">
        <v>253.73</v>
      </c>
      <c r="L62" s="100">
        <v>30.01</v>
      </c>
      <c r="M62" s="100">
        <v>70.25</v>
      </c>
      <c r="N62" s="100">
        <v>52.9</v>
      </c>
      <c r="O62" s="100">
        <v>0.8</v>
      </c>
      <c r="P62" s="100">
        <v>0.33</v>
      </c>
      <c r="Q62" s="100">
        <v>10</v>
      </c>
      <c r="R62" s="6"/>
      <c r="S62" s="6"/>
      <c r="T62" s="156"/>
      <c r="U62" s="6"/>
    </row>
    <row r="63" spans="1:21" customFormat="1">
      <c r="A63" s="201" t="s">
        <v>871</v>
      </c>
      <c r="B63" s="100">
        <v>3.98</v>
      </c>
      <c r="C63" s="100">
        <v>13.32</v>
      </c>
      <c r="D63" s="100">
        <v>10.15</v>
      </c>
      <c r="E63" s="100">
        <v>4.8</v>
      </c>
      <c r="F63" s="100">
        <v>6.57</v>
      </c>
      <c r="G63" s="100">
        <v>41.59</v>
      </c>
      <c r="H63" s="100">
        <v>16.05</v>
      </c>
      <c r="I63" s="100">
        <v>6.5</v>
      </c>
      <c r="J63" s="100">
        <v>0.25</v>
      </c>
      <c r="K63" s="100">
        <v>120.04</v>
      </c>
      <c r="L63" s="100">
        <v>28.58</v>
      </c>
      <c r="M63" s="100">
        <v>87.22</v>
      </c>
      <c r="N63" s="100">
        <v>61.4</v>
      </c>
      <c r="O63" s="100">
        <v>1.2</v>
      </c>
      <c r="P63" s="100">
        <v>0.33</v>
      </c>
      <c r="Q63" s="100">
        <v>10</v>
      </c>
      <c r="R63" s="6"/>
      <c r="S63" s="6"/>
      <c r="T63" s="156"/>
      <c r="U63" s="6"/>
    </row>
    <row r="64" spans="1:21" customFormat="1">
      <c r="A64" s="201" t="s">
        <v>872</v>
      </c>
      <c r="B64" s="100">
        <v>4.24</v>
      </c>
      <c r="C64" s="100">
        <v>12.91</v>
      </c>
      <c r="D64" s="100">
        <v>10.14</v>
      </c>
      <c r="E64" s="100">
        <v>5.44</v>
      </c>
      <c r="F64" s="100">
        <v>2.02</v>
      </c>
      <c r="G64" s="100">
        <v>40.79</v>
      </c>
      <c r="H64" s="100">
        <v>16.05</v>
      </c>
      <c r="I64" s="100">
        <v>6.23</v>
      </c>
      <c r="J64" s="100">
        <v>0.26</v>
      </c>
      <c r="K64" s="100">
        <v>162.71</v>
      </c>
      <c r="L64" s="100">
        <v>28.05</v>
      </c>
      <c r="M64" s="100">
        <v>92.35</v>
      </c>
      <c r="N64" s="100">
        <v>71.3</v>
      </c>
      <c r="O64" s="100">
        <v>0</v>
      </c>
      <c r="P64" s="100">
        <v>0.36</v>
      </c>
      <c r="Q64" s="100">
        <v>10</v>
      </c>
      <c r="R64" s="6"/>
      <c r="S64" s="6"/>
      <c r="T64" s="156"/>
      <c r="U64" s="6"/>
    </row>
    <row r="65" spans="1:21" customFormat="1">
      <c r="A65" s="201" t="s">
        <v>873</v>
      </c>
      <c r="B65" s="100">
        <v>4.3499999999999996</v>
      </c>
      <c r="C65" s="100">
        <v>12.5</v>
      </c>
      <c r="D65" s="100">
        <v>10.02</v>
      </c>
      <c r="E65" s="100">
        <v>5.12</v>
      </c>
      <c r="F65" s="100">
        <v>2.4</v>
      </c>
      <c r="G65" s="100">
        <v>40.79</v>
      </c>
      <c r="H65" s="100">
        <v>16.05</v>
      </c>
      <c r="I65" s="100">
        <v>6.33</v>
      </c>
      <c r="J65" s="100">
        <v>0.2</v>
      </c>
      <c r="K65" s="100">
        <v>174.1</v>
      </c>
      <c r="L65" s="100">
        <v>27.81</v>
      </c>
      <c r="M65" s="100">
        <v>92.63</v>
      </c>
      <c r="N65" s="100">
        <v>55.8</v>
      </c>
      <c r="O65" s="100">
        <v>0</v>
      </c>
      <c r="P65" s="100">
        <v>0.32</v>
      </c>
      <c r="Q65" s="100">
        <v>10</v>
      </c>
      <c r="R65" s="6"/>
      <c r="S65" s="6"/>
      <c r="T65" s="156"/>
      <c r="U65" s="6"/>
    </row>
    <row r="66" spans="1:21" customFormat="1">
      <c r="A66" s="201" t="s">
        <v>874</v>
      </c>
      <c r="B66" s="100">
        <v>4.12</v>
      </c>
      <c r="C66" s="100">
        <v>11.83</v>
      </c>
      <c r="D66" s="100">
        <v>9.48</v>
      </c>
      <c r="E66" s="100">
        <v>5.08</v>
      </c>
      <c r="F66" s="100">
        <v>7.17</v>
      </c>
      <c r="G66" s="100">
        <v>40.79</v>
      </c>
      <c r="H66" s="100">
        <v>16.05</v>
      </c>
      <c r="I66" s="100">
        <v>6.42</v>
      </c>
      <c r="J66" s="100">
        <v>0.19</v>
      </c>
      <c r="K66" s="100">
        <v>170.85</v>
      </c>
      <c r="L66" s="100">
        <v>28.5</v>
      </c>
      <c r="M66" s="100">
        <v>91.51</v>
      </c>
      <c r="N66" s="100">
        <v>69.8</v>
      </c>
      <c r="O66" s="100">
        <v>0</v>
      </c>
      <c r="P66" s="100">
        <v>0.31</v>
      </c>
      <c r="Q66" s="100">
        <v>10</v>
      </c>
      <c r="R66" s="6"/>
      <c r="S66" s="6"/>
      <c r="T66" s="156"/>
      <c r="U66" s="6"/>
    </row>
    <row r="67" spans="1:21" customFormat="1">
      <c r="A67" s="201" t="s">
        <v>875</v>
      </c>
      <c r="B67" s="100">
        <v>4.1500000000000004</v>
      </c>
      <c r="C67" s="100">
        <v>11.65</v>
      </c>
      <c r="D67" s="100">
        <v>9.41</v>
      </c>
      <c r="E67" s="100">
        <v>5.2</v>
      </c>
      <c r="F67" s="100">
        <v>4.88</v>
      </c>
      <c r="G67" s="100">
        <v>47.93</v>
      </c>
      <c r="H67" s="100">
        <v>20.3</v>
      </c>
      <c r="I67" s="100">
        <v>6.15</v>
      </c>
      <c r="J67" s="100">
        <v>0.23</v>
      </c>
      <c r="K67" s="100">
        <v>156.12</v>
      </c>
      <c r="L67" s="100">
        <v>28.89</v>
      </c>
      <c r="M67" s="100">
        <v>91.13</v>
      </c>
      <c r="N67" s="100">
        <v>93.1</v>
      </c>
      <c r="O67" s="100">
        <v>0</v>
      </c>
      <c r="P67" s="100">
        <v>0.31</v>
      </c>
      <c r="Q67" s="100">
        <v>10</v>
      </c>
      <c r="R67" s="6"/>
      <c r="S67" s="6"/>
      <c r="T67" s="156"/>
      <c r="U67" s="6"/>
    </row>
    <row r="68" spans="1:21" customFormat="1">
      <c r="A68" s="201" t="s">
        <v>876</v>
      </c>
      <c r="B68" s="100">
        <v>4.46</v>
      </c>
      <c r="C68" s="100">
        <v>11.97</v>
      </c>
      <c r="D68" s="100">
        <v>9.83</v>
      </c>
      <c r="E68" s="100">
        <v>5.46</v>
      </c>
      <c r="F68" s="100">
        <v>2.54</v>
      </c>
      <c r="G68" s="100">
        <v>49.85</v>
      </c>
      <c r="H68" s="100">
        <v>20.3</v>
      </c>
      <c r="I68" s="100">
        <v>5.77</v>
      </c>
      <c r="J68" s="100">
        <v>0.23</v>
      </c>
      <c r="K68" s="100">
        <v>160.93</v>
      </c>
      <c r="L68" s="100">
        <v>29.26</v>
      </c>
      <c r="M68" s="100">
        <v>87.31</v>
      </c>
      <c r="N68" s="100">
        <v>99.9</v>
      </c>
      <c r="O68" s="100">
        <v>0</v>
      </c>
      <c r="P68" s="100">
        <v>0.33</v>
      </c>
      <c r="Q68" s="100">
        <v>10</v>
      </c>
      <c r="R68" s="6"/>
      <c r="S68" s="6"/>
      <c r="T68" s="156"/>
      <c r="U68" s="6"/>
    </row>
    <row r="69" spans="1:21" customFormat="1">
      <c r="A69" s="201" t="s">
        <v>877</v>
      </c>
      <c r="B69" s="100">
        <v>4.5</v>
      </c>
      <c r="C69" s="100">
        <v>11.79</v>
      </c>
      <c r="D69" s="100">
        <v>9.77</v>
      </c>
      <c r="E69" s="100">
        <v>5.44</v>
      </c>
      <c r="F69" s="100">
        <v>3.41</v>
      </c>
      <c r="G69" s="100">
        <v>49.85</v>
      </c>
      <c r="H69" s="100">
        <v>20.3</v>
      </c>
      <c r="I69" s="100">
        <v>5.93</v>
      </c>
      <c r="J69" s="100">
        <v>0.17</v>
      </c>
      <c r="K69" s="100">
        <v>141.82</v>
      </c>
      <c r="L69" s="100">
        <v>29.47</v>
      </c>
      <c r="M69" s="100">
        <v>86.91</v>
      </c>
      <c r="N69" s="100">
        <v>101.1</v>
      </c>
      <c r="O69" s="100">
        <v>0</v>
      </c>
      <c r="P69" s="100">
        <v>0.32</v>
      </c>
      <c r="Q69" s="100">
        <v>10</v>
      </c>
      <c r="R69" s="6"/>
      <c r="S69" s="6"/>
      <c r="T69" s="156"/>
      <c r="U69" s="6"/>
    </row>
    <row r="70" spans="1:21" customFormat="1">
      <c r="A70" s="201" t="s">
        <v>878</v>
      </c>
      <c r="B70" s="100">
        <v>4.3899999999999997</v>
      </c>
      <c r="C70" s="100">
        <v>11.39</v>
      </c>
      <c r="D70" s="100">
        <v>9.4700000000000006</v>
      </c>
      <c r="E70" s="100">
        <v>5.05</v>
      </c>
      <c r="F70" s="100">
        <v>5.26</v>
      </c>
      <c r="G70" s="100">
        <v>49.85</v>
      </c>
      <c r="H70" s="100">
        <v>20.3</v>
      </c>
      <c r="I70" s="100">
        <v>6.01</v>
      </c>
      <c r="J70" s="100">
        <v>0.18</v>
      </c>
      <c r="K70" s="100">
        <v>138.81</v>
      </c>
      <c r="L70" s="100">
        <v>29.91</v>
      </c>
      <c r="M70" s="100">
        <v>83.24</v>
      </c>
      <c r="N70" s="100">
        <v>111.3</v>
      </c>
      <c r="O70" s="100">
        <v>0</v>
      </c>
      <c r="P70" s="100">
        <v>0.28999999999999998</v>
      </c>
      <c r="Q70" s="100">
        <v>10</v>
      </c>
      <c r="R70" s="6"/>
      <c r="S70" s="6"/>
      <c r="T70" s="156"/>
      <c r="U70" s="6"/>
    </row>
    <row r="71" spans="1:21" customFormat="1">
      <c r="A71" s="201" t="s">
        <v>879</v>
      </c>
      <c r="B71" s="100">
        <v>4.42</v>
      </c>
      <c r="C71" s="100">
        <v>11.46</v>
      </c>
      <c r="D71" s="100">
        <v>9.5299999999999994</v>
      </c>
      <c r="E71" s="100">
        <v>5.25</v>
      </c>
      <c r="F71" s="100">
        <v>5.4</v>
      </c>
      <c r="G71" s="100">
        <v>44.51</v>
      </c>
      <c r="H71" s="100">
        <v>23.31</v>
      </c>
      <c r="I71" s="100">
        <v>5.76</v>
      </c>
      <c r="J71" s="100">
        <v>0.19</v>
      </c>
      <c r="K71" s="100">
        <v>165.91</v>
      </c>
      <c r="L71" s="100">
        <v>30.18</v>
      </c>
      <c r="M71" s="100">
        <v>79.69</v>
      </c>
      <c r="N71" s="100">
        <v>223.3</v>
      </c>
      <c r="O71" s="100">
        <v>0</v>
      </c>
      <c r="P71" s="100">
        <v>0.31</v>
      </c>
      <c r="Q71" s="100">
        <v>10</v>
      </c>
      <c r="R71" s="6"/>
      <c r="S71" s="6"/>
      <c r="T71" s="156"/>
      <c r="U71" s="6"/>
    </row>
    <row r="72" spans="1:21" customFormat="1">
      <c r="A72" s="201" t="s">
        <v>880</v>
      </c>
      <c r="B72" s="100">
        <v>4.59</v>
      </c>
      <c r="C72" s="100">
        <v>11.61</v>
      </c>
      <c r="D72" s="100">
        <v>9.74</v>
      </c>
      <c r="E72" s="100">
        <v>5.41</v>
      </c>
      <c r="F72" s="100">
        <v>3.26</v>
      </c>
      <c r="G72" s="100">
        <v>43.17</v>
      </c>
      <c r="H72" s="100">
        <v>23.31</v>
      </c>
      <c r="I72" s="100">
        <v>5.59</v>
      </c>
      <c r="J72" s="100">
        <v>0.2</v>
      </c>
      <c r="K72" s="100">
        <v>191.76</v>
      </c>
      <c r="L72" s="100">
        <v>30.13</v>
      </c>
      <c r="M72" s="100">
        <v>75.44</v>
      </c>
      <c r="N72" s="100">
        <v>91.7</v>
      </c>
      <c r="O72" s="100">
        <v>0</v>
      </c>
      <c r="P72" s="100">
        <v>0.31</v>
      </c>
      <c r="Q72" s="100">
        <v>10</v>
      </c>
      <c r="R72" s="6"/>
      <c r="S72" s="6"/>
      <c r="T72" s="156"/>
      <c r="U72" s="6"/>
    </row>
    <row r="73" spans="1:21" customFormat="1">
      <c r="A73" s="201" t="s">
        <v>881</v>
      </c>
      <c r="B73" s="100">
        <v>4.5999999999999996</v>
      </c>
      <c r="C73" s="100">
        <v>11.51</v>
      </c>
      <c r="D73" s="100">
        <v>9.6999999999999993</v>
      </c>
      <c r="E73" s="100">
        <v>5.38</v>
      </c>
      <c r="F73" s="100">
        <v>4.12</v>
      </c>
      <c r="G73" s="100">
        <v>43.17</v>
      </c>
      <c r="H73" s="100">
        <v>23.31</v>
      </c>
      <c r="I73" s="100">
        <v>5.7</v>
      </c>
      <c r="J73" s="100">
        <v>0.21</v>
      </c>
      <c r="K73" s="100">
        <v>178.65</v>
      </c>
      <c r="L73" s="100">
        <v>30.04</v>
      </c>
      <c r="M73" s="100">
        <v>71.87</v>
      </c>
      <c r="N73" s="100">
        <v>67.2</v>
      </c>
      <c r="O73" s="100">
        <v>0</v>
      </c>
      <c r="P73" s="100">
        <v>0.3</v>
      </c>
      <c r="Q73" s="100">
        <v>10</v>
      </c>
      <c r="R73" s="6"/>
      <c r="S73" s="6"/>
      <c r="T73" s="156"/>
      <c r="U73" s="6"/>
    </row>
    <row r="74" spans="1:21" customFormat="1">
      <c r="A74" s="201" t="s">
        <v>882</v>
      </c>
      <c r="B74" s="100">
        <v>4.7</v>
      </c>
      <c r="C74" s="100">
        <v>11.82</v>
      </c>
      <c r="D74" s="100">
        <v>9.94</v>
      </c>
      <c r="E74" s="100">
        <v>5.65</v>
      </c>
      <c r="F74" s="100">
        <v>3.57</v>
      </c>
      <c r="G74" s="100">
        <v>43.17</v>
      </c>
      <c r="H74" s="100">
        <v>23.31</v>
      </c>
      <c r="I74" s="100">
        <v>5.6</v>
      </c>
      <c r="J74" s="100">
        <v>0.24</v>
      </c>
      <c r="K74" s="100">
        <v>169.17</v>
      </c>
      <c r="L74" s="100">
        <v>29.91</v>
      </c>
      <c r="M74" s="100">
        <v>77.58</v>
      </c>
      <c r="N74" s="100">
        <v>61.7</v>
      </c>
      <c r="O74" s="100">
        <v>0</v>
      </c>
      <c r="P74" s="100">
        <v>0.33</v>
      </c>
      <c r="Q74" s="100">
        <v>10</v>
      </c>
      <c r="R74" s="6"/>
      <c r="S74" s="6"/>
      <c r="T74" s="156"/>
      <c r="U74" s="6"/>
    </row>
    <row r="75" spans="1:21" customFormat="1">
      <c r="A75" s="201" t="s">
        <v>883</v>
      </c>
      <c r="B75" s="100">
        <v>4.46</v>
      </c>
      <c r="C75" s="100">
        <v>11.91</v>
      </c>
      <c r="D75" s="100">
        <v>9.8000000000000007</v>
      </c>
      <c r="E75" s="100">
        <v>4.6500000000000004</v>
      </c>
      <c r="F75" s="100">
        <v>4.4800000000000004</v>
      </c>
      <c r="G75" s="100">
        <v>34.25</v>
      </c>
      <c r="H75" s="100">
        <v>16.57</v>
      </c>
      <c r="I75" s="100">
        <v>5.57</v>
      </c>
      <c r="J75" s="100">
        <v>0.18</v>
      </c>
      <c r="K75" s="100">
        <v>203</v>
      </c>
      <c r="L75" s="100">
        <v>30.01</v>
      </c>
      <c r="M75" s="100">
        <v>78.25</v>
      </c>
      <c r="N75" s="100">
        <v>66.099999999999994</v>
      </c>
      <c r="O75" s="100">
        <v>0</v>
      </c>
      <c r="P75" s="100">
        <v>0.32</v>
      </c>
      <c r="Q75" s="100">
        <v>10</v>
      </c>
      <c r="R75" s="6"/>
      <c r="S75" s="6"/>
      <c r="T75" s="156"/>
      <c r="U75" s="6"/>
    </row>
    <row r="76" spans="1:21" customFormat="1">
      <c r="A76" s="201" t="s">
        <v>884</v>
      </c>
      <c r="B76" s="100">
        <v>4.3899999999999997</v>
      </c>
      <c r="C76" s="100">
        <v>12.17</v>
      </c>
      <c r="D76" s="100">
        <v>9.8800000000000008</v>
      </c>
      <c r="E76" s="100">
        <v>5.59</v>
      </c>
      <c r="F76" s="100">
        <v>2.11</v>
      </c>
      <c r="G76" s="100">
        <v>32.020000000000003</v>
      </c>
      <c r="H76" s="100">
        <v>16.57</v>
      </c>
      <c r="I76" s="100">
        <v>5.5</v>
      </c>
      <c r="J76" s="100">
        <v>0.18</v>
      </c>
      <c r="K76" s="100">
        <v>176.32</v>
      </c>
      <c r="L76" s="100">
        <v>29.96</v>
      </c>
      <c r="M76" s="100">
        <v>77.709999999999994</v>
      </c>
      <c r="N76" s="100">
        <v>59.3</v>
      </c>
      <c r="O76" s="100">
        <v>0</v>
      </c>
      <c r="P76" s="100">
        <v>0.33</v>
      </c>
      <c r="Q76" s="100">
        <v>10</v>
      </c>
      <c r="R76" s="6"/>
      <c r="S76" s="6"/>
      <c r="T76" s="156"/>
      <c r="U76" s="6"/>
    </row>
    <row r="77" spans="1:21" customFormat="1">
      <c r="A77" s="201" t="s">
        <v>885</v>
      </c>
      <c r="B77" s="100">
        <v>4.29</v>
      </c>
      <c r="C77" s="100">
        <v>12.2</v>
      </c>
      <c r="D77" s="100">
        <v>9.81</v>
      </c>
      <c r="E77" s="100">
        <v>6.07</v>
      </c>
      <c r="F77" s="100">
        <v>2.0499999999999998</v>
      </c>
      <c r="G77" s="100">
        <v>32.020000000000003</v>
      </c>
      <c r="H77" s="100">
        <v>16.57</v>
      </c>
      <c r="I77" s="100">
        <v>5.46</v>
      </c>
      <c r="J77" s="100">
        <v>0.21</v>
      </c>
      <c r="K77" s="100">
        <v>219.27</v>
      </c>
      <c r="L77" s="100">
        <v>29.73</v>
      </c>
      <c r="M77" s="100">
        <v>78.62</v>
      </c>
      <c r="N77" s="100">
        <v>47.2</v>
      </c>
      <c r="O77" s="100">
        <v>0</v>
      </c>
      <c r="P77" s="100">
        <v>0.33</v>
      </c>
      <c r="Q77" s="100">
        <v>10</v>
      </c>
      <c r="R77" s="6"/>
      <c r="S77" s="6"/>
      <c r="T77" s="156"/>
      <c r="U77" s="6"/>
    </row>
    <row r="78" spans="1:21" customFormat="1">
      <c r="A78" s="201" t="s">
        <v>886</v>
      </c>
      <c r="B78" s="100">
        <v>4.17</v>
      </c>
      <c r="C78" s="100">
        <v>12.21</v>
      </c>
      <c r="D78" s="100">
        <v>9.7200000000000006</v>
      </c>
      <c r="E78" s="100">
        <v>5.79</v>
      </c>
      <c r="F78" s="100">
        <v>2.0699999999999998</v>
      </c>
      <c r="G78" s="100">
        <v>32.020000000000003</v>
      </c>
      <c r="H78" s="100">
        <v>16.57</v>
      </c>
      <c r="I78" s="100">
        <v>5.44</v>
      </c>
      <c r="J78" s="100">
        <v>0.13</v>
      </c>
      <c r="K78" s="100">
        <v>178.83</v>
      </c>
      <c r="L78" s="100">
        <v>29.65</v>
      </c>
      <c r="M78" s="100">
        <v>78.22</v>
      </c>
      <c r="N78" s="100">
        <v>32.200000000000003</v>
      </c>
      <c r="O78" s="100">
        <v>0</v>
      </c>
      <c r="P78" s="100">
        <v>0.33</v>
      </c>
      <c r="Q78" s="100">
        <v>10</v>
      </c>
      <c r="R78" s="6"/>
      <c r="S78" s="6"/>
      <c r="T78" s="156"/>
      <c r="U78" s="6"/>
    </row>
    <row r="79" spans="1:21" customFormat="1">
      <c r="A79" s="201" t="s">
        <v>887</v>
      </c>
      <c r="B79" s="100">
        <v>4.0599999999999996</v>
      </c>
      <c r="C79" s="100">
        <v>12.16</v>
      </c>
      <c r="D79" s="100">
        <v>9.61</v>
      </c>
      <c r="E79" s="100">
        <v>5.73</v>
      </c>
      <c r="F79" s="100">
        <v>2.2200000000000002</v>
      </c>
      <c r="G79" s="100">
        <v>36.590000000000003</v>
      </c>
      <c r="H79" s="100">
        <v>15.44</v>
      </c>
      <c r="I79" s="100">
        <v>5.43</v>
      </c>
      <c r="J79" s="100">
        <v>0.22</v>
      </c>
      <c r="K79" s="100">
        <v>157.08000000000001</v>
      </c>
      <c r="L79" s="100">
        <v>29.63</v>
      </c>
      <c r="M79" s="100">
        <v>78.28</v>
      </c>
      <c r="N79" s="100">
        <v>18.5</v>
      </c>
      <c r="O79" s="100">
        <v>0</v>
      </c>
      <c r="P79" s="100">
        <v>0.32</v>
      </c>
      <c r="Q79" s="100">
        <v>10</v>
      </c>
      <c r="R79" s="6"/>
      <c r="S79" s="6"/>
      <c r="T79" s="156"/>
      <c r="U79" s="6"/>
    </row>
    <row r="80" spans="1:21" customFormat="1">
      <c r="A80" s="201" t="s">
        <v>888</v>
      </c>
      <c r="B80" s="100">
        <v>3.97</v>
      </c>
      <c r="C80" s="100">
        <v>12.14</v>
      </c>
      <c r="D80" s="100">
        <v>9.5299999999999994</v>
      </c>
      <c r="E80" s="100">
        <v>5.95</v>
      </c>
      <c r="F80" s="100">
        <v>2.19</v>
      </c>
      <c r="G80" s="100">
        <v>37.729999999999997</v>
      </c>
      <c r="H80" s="100">
        <v>15.44</v>
      </c>
      <c r="I80" s="100">
        <v>5.44</v>
      </c>
      <c r="J80" s="100">
        <v>0.16</v>
      </c>
      <c r="K80" s="100">
        <v>168.12</v>
      </c>
      <c r="L80" s="100">
        <v>29.25</v>
      </c>
      <c r="M80" s="100">
        <v>81.150000000000006</v>
      </c>
      <c r="N80" s="100">
        <v>8.4</v>
      </c>
      <c r="O80" s="100">
        <v>0</v>
      </c>
      <c r="P80" s="100">
        <v>0.32</v>
      </c>
      <c r="Q80" s="100">
        <v>10</v>
      </c>
      <c r="R80" s="6"/>
      <c r="S80" s="6"/>
      <c r="T80" s="156"/>
      <c r="U80" s="6"/>
    </row>
    <row r="81" spans="1:21" customFormat="1">
      <c r="A81" s="201" t="s">
        <v>889</v>
      </c>
      <c r="B81" s="100">
        <v>3.91</v>
      </c>
      <c r="C81" s="100">
        <v>12.06</v>
      </c>
      <c r="D81" s="100">
        <v>9.44</v>
      </c>
      <c r="E81" s="100">
        <v>4.93</v>
      </c>
      <c r="F81" s="100">
        <v>2.1800000000000002</v>
      </c>
      <c r="G81" s="100">
        <v>37.729999999999997</v>
      </c>
      <c r="H81" s="100">
        <v>15.44</v>
      </c>
      <c r="I81" s="100">
        <v>5.49</v>
      </c>
      <c r="J81" s="100">
        <v>0.08</v>
      </c>
      <c r="K81" s="100">
        <v>210.44</v>
      </c>
      <c r="L81" s="100">
        <v>28.69</v>
      </c>
      <c r="M81" s="100">
        <v>84.47</v>
      </c>
      <c r="N81" s="100">
        <v>4.8</v>
      </c>
      <c r="O81" s="100">
        <v>0</v>
      </c>
      <c r="P81" s="100">
        <v>0.32</v>
      </c>
      <c r="Q81" s="100">
        <v>10</v>
      </c>
      <c r="R81" s="6"/>
      <c r="S81" s="6"/>
      <c r="T81" s="156"/>
      <c r="U81" s="6"/>
    </row>
    <row r="82" spans="1:21" customFormat="1">
      <c r="A82" s="201" t="s">
        <v>890</v>
      </c>
      <c r="B82" s="100">
        <v>3.88</v>
      </c>
      <c r="C82" s="100">
        <v>11.93</v>
      </c>
      <c r="D82" s="100">
        <v>9.34</v>
      </c>
      <c r="E82" s="100">
        <v>5.63</v>
      </c>
      <c r="F82" s="100">
        <v>2.04</v>
      </c>
      <c r="G82" s="100">
        <v>37.729999999999997</v>
      </c>
      <c r="H82" s="100">
        <v>15.44</v>
      </c>
      <c r="I82" s="100">
        <v>5.5</v>
      </c>
      <c r="J82" s="100">
        <v>0.1</v>
      </c>
      <c r="K82" s="100">
        <v>220</v>
      </c>
      <c r="L82" s="100">
        <v>28.22</v>
      </c>
      <c r="M82" s="100">
        <v>86.55</v>
      </c>
      <c r="N82" s="100">
        <v>3</v>
      </c>
      <c r="O82" s="100">
        <v>0</v>
      </c>
      <c r="P82" s="100">
        <v>0.31</v>
      </c>
      <c r="Q82" s="100">
        <v>10</v>
      </c>
      <c r="R82" s="6"/>
      <c r="S82" s="6"/>
      <c r="T82" s="156"/>
      <c r="U82" s="6"/>
    </row>
    <row r="83" spans="1:21" customFormat="1">
      <c r="A83" s="201" t="s">
        <v>891</v>
      </c>
      <c r="B83" s="100">
        <v>3.86</v>
      </c>
      <c r="C83" s="100">
        <v>11.77</v>
      </c>
      <c r="D83" s="100">
        <v>9.25</v>
      </c>
      <c r="E83" s="100">
        <v>5.47</v>
      </c>
      <c r="F83" s="100">
        <v>2.11</v>
      </c>
      <c r="G83" s="100">
        <v>36.03</v>
      </c>
      <c r="H83" s="100">
        <v>13.43</v>
      </c>
      <c r="I83" s="100">
        <v>5.42</v>
      </c>
      <c r="J83" s="100">
        <v>0.82</v>
      </c>
      <c r="K83" s="100">
        <v>232.83</v>
      </c>
      <c r="L83" s="100">
        <v>27.68</v>
      </c>
      <c r="M83" s="100">
        <v>86.08</v>
      </c>
      <c r="N83" s="100">
        <v>3.4</v>
      </c>
      <c r="O83" s="100">
        <v>0</v>
      </c>
      <c r="P83" s="100">
        <v>0.31</v>
      </c>
      <c r="Q83" s="100">
        <v>10</v>
      </c>
      <c r="R83" s="6"/>
      <c r="S83" s="6"/>
      <c r="T83" s="156"/>
      <c r="U83" s="6"/>
    </row>
    <row r="84" spans="1:21" customFormat="1">
      <c r="A84" s="201" t="s">
        <v>892</v>
      </c>
      <c r="B84" s="100">
        <v>3.81</v>
      </c>
      <c r="C84" s="100">
        <v>11.72</v>
      </c>
      <c r="D84" s="100">
        <v>9.18</v>
      </c>
      <c r="E84" s="100">
        <v>5.78</v>
      </c>
      <c r="F84" s="100">
        <v>2.2400000000000002</v>
      </c>
      <c r="G84" s="100">
        <v>35.61</v>
      </c>
      <c r="H84" s="100">
        <v>13.43</v>
      </c>
      <c r="I84" s="100">
        <v>5.27</v>
      </c>
      <c r="J84" s="100">
        <v>1.1100000000000001</v>
      </c>
      <c r="K84" s="100">
        <v>233.53</v>
      </c>
      <c r="L84" s="100">
        <v>25.98</v>
      </c>
      <c r="M84" s="100">
        <v>89.12</v>
      </c>
      <c r="N84" s="100">
        <v>4.2</v>
      </c>
      <c r="O84" s="100">
        <v>0</v>
      </c>
      <c r="P84" s="100">
        <v>0.3</v>
      </c>
      <c r="Q84" s="100">
        <v>10</v>
      </c>
      <c r="R84" s="6"/>
      <c r="S84" s="6"/>
      <c r="T84" s="156"/>
      <c r="U84" s="6"/>
    </row>
    <row r="85" spans="1:21" customFormat="1">
      <c r="A85" s="201" t="s">
        <v>893</v>
      </c>
      <c r="B85" s="100">
        <v>3.63</v>
      </c>
      <c r="C85" s="100">
        <v>11.85</v>
      </c>
      <c r="D85" s="100">
        <v>9.1</v>
      </c>
      <c r="E85" s="100">
        <v>5.63</v>
      </c>
      <c r="F85" s="100">
        <v>2.29</v>
      </c>
      <c r="G85" s="100">
        <v>35.61</v>
      </c>
      <c r="H85" s="100">
        <v>13.43</v>
      </c>
      <c r="I85" s="100">
        <v>5.17</v>
      </c>
      <c r="J85" s="100">
        <v>1.02</v>
      </c>
      <c r="K85" s="100">
        <v>232.34</v>
      </c>
      <c r="L85" s="100">
        <v>25.04</v>
      </c>
      <c r="M85" s="100">
        <v>90.08</v>
      </c>
      <c r="N85" s="100">
        <v>4.5</v>
      </c>
      <c r="O85" s="100">
        <v>0.4</v>
      </c>
      <c r="P85" s="100">
        <v>0.3</v>
      </c>
      <c r="Q85" s="100">
        <v>10</v>
      </c>
      <c r="R85" s="6"/>
      <c r="S85" s="6"/>
      <c r="T85" s="156"/>
      <c r="U85" s="6"/>
    </row>
    <row r="86" spans="1:21" customFormat="1">
      <c r="A86" s="201" t="s">
        <v>894</v>
      </c>
      <c r="B86" s="100">
        <v>3.47</v>
      </c>
      <c r="C86" s="100">
        <v>11.87</v>
      </c>
      <c r="D86" s="100">
        <v>8.98</v>
      </c>
      <c r="E86" s="100">
        <v>5.69</v>
      </c>
      <c r="F86" s="100">
        <v>2.38</v>
      </c>
      <c r="G86" s="100">
        <v>35.61</v>
      </c>
      <c r="H86" s="100">
        <v>13.43</v>
      </c>
      <c r="I86" s="100">
        <v>5.12</v>
      </c>
      <c r="J86" s="100">
        <v>1.07</v>
      </c>
      <c r="K86" s="100">
        <v>231.9</v>
      </c>
      <c r="L86" s="100">
        <v>24.32</v>
      </c>
      <c r="M86" s="100">
        <v>93.33</v>
      </c>
      <c r="N86" s="100">
        <v>3.3</v>
      </c>
      <c r="O86" s="100">
        <v>0</v>
      </c>
      <c r="P86" s="100">
        <v>0.28999999999999998</v>
      </c>
      <c r="Q86" s="100">
        <v>10</v>
      </c>
      <c r="R86" s="6"/>
      <c r="S86" s="6"/>
      <c r="T86" s="156"/>
      <c r="U86" s="6"/>
    </row>
    <row r="87" spans="1:21" customFormat="1">
      <c r="A87" s="201" t="s">
        <v>895</v>
      </c>
      <c r="B87" s="100">
        <v>3.33</v>
      </c>
      <c r="C87" s="100">
        <v>12.05</v>
      </c>
      <c r="D87" s="100">
        <v>8.9700000000000006</v>
      </c>
      <c r="E87" s="100">
        <v>5.68</v>
      </c>
      <c r="F87" s="100">
        <v>2.0699999999999998</v>
      </c>
      <c r="G87" s="100">
        <v>27.38</v>
      </c>
      <c r="H87" s="100">
        <v>11.31</v>
      </c>
      <c r="I87" s="100">
        <v>5.0599999999999996</v>
      </c>
      <c r="J87" s="100">
        <v>0.3</v>
      </c>
      <c r="K87" s="100">
        <v>211.23</v>
      </c>
      <c r="L87" s="100">
        <v>24.29</v>
      </c>
      <c r="M87" s="100">
        <v>94.03</v>
      </c>
      <c r="N87" s="100">
        <v>2</v>
      </c>
      <c r="O87" s="100">
        <v>0</v>
      </c>
      <c r="P87" s="100">
        <v>0.28999999999999998</v>
      </c>
      <c r="Q87" s="100">
        <v>10</v>
      </c>
      <c r="R87" s="6"/>
      <c r="S87" s="6"/>
      <c r="T87" s="156"/>
      <c r="U87" s="6"/>
    </row>
    <row r="88" spans="1:21" customFormat="1">
      <c r="A88" s="201" t="s">
        <v>896</v>
      </c>
      <c r="B88" s="100">
        <v>3.37</v>
      </c>
      <c r="C88" s="100">
        <v>12.12</v>
      </c>
      <c r="D88" s="100">
        <v>9.0399999999999991</v>
      </c>
      <c r="E88" s="100">
        <v>5.87</v>
      </c>
      <c r="F88" s="100">
        <v>2</v>
      </c>
      <c r="G88" s="100">
        <v>25.32</v>
      </c>
      <c r="H88" s="100">
        <v>11.31</v>
      </c>
      <c r="I88" s="100">
        <v>4.95</v>
      </c>
      <c r="J88" s="100">
        <v>0.21</v>
      </c>
      <c r="K88" s="100">
        <v>200.48</v>
      </c>
      <c r="L88" s="100">
        <v>24.29</v>
      </c>
      <c r="M88" s="100">
        <v>93.69</v>
      </c>
      <c r="N88" s="100">
        <v>2.6</v>
      </c>
      <c r="O88" s="100">
        <v>0</v>
      </c>
      <c r="P88" s="100">
        <v>0.28999999999999998</v>
      </c>
      <c r="Q88" s="100">
        <v>10</v>
      </c>
      <c r="R88" s="6"/>
      <c r="S88" s="6"/>
      <c r="T88" s="156"/>
      <c r="U88" s="6"/>
    </row>
    <row r="89" spans="1:21" customFormat="1">
      <c r="A89" s="201" t="s">
        <v>897</v>
      </c>
      <c r="B89" s="100">
        <v>3.37</v>
      </c>
      <c r="C89" s="100">
        <v>12.12</v>
      </c>
      <c r="D89" s="100">
        <v>9.0299999999999994</v>
      </c>
      <c r="E89" s="100">
        <v>5.61</v>
      </c>
      <c r="F89" s="100">
        <v>2.0099999999999998</v>
      </c>
      <c r="G89" s="100">
        <v>25.32</v>
      </c>
      <c r="H89" s="100">
        <v>11.31</v>
      </c>
      <c r="I89" s="100">
        <v>4.87</v>
      </c>
      <c r="J89" s="100">
        <v>0.2</v>
      </c>
      <c r="K89" s="100">
        <v>169.29</v>
      </c>
      <c r="L89" s="100">
        <v>24.19</v>
      </c>
      <c r="M89" s="100">
        <v>93.76</v>
      </c>
      <c r="N89" s="100">
        <v>2.8</v>
      </c>
      <c r="O89" s="100">
        <v>0.2</v>
      </c>
      <c r="P89" s="100">
        <v>0.28000000000000003</v>
      </c>
      <c r="Q89" s="100">
        <v>10</v>
      </c>
      <c r="R89" s="6"/>
      <c r="S89" s="6"/>
      <c r="T89" s="156"/>
      <c r="U89" s="6"/>
    </row>
    <row r="90" spans="1:21" customFormat="1">
      <c r="A90" s="201" t="s">
        <v>898</v>
      </c>
      <c r="B90" s="100">
        <v>3.42</v>
      </c>
      <c r="C90" s="100">
        <v>12.01</v>
      </c>
      <c r="D90" s="100">
        <v>9.02</v>
      </c>
      <c r="E90" s="100">
        <v>5.82</v>
      </c>
      <c r="F90" s="100">
        <v>2.02</v>
      </c>
      <c r="G90" s="100">
        <v>25.32</v>
      </c>
      <c r="H90" s="100">
        <v>11.31</v>
      </c>
      <c r="I90" s="100">
        <v>4.8</v>
      </c>
      <c r="J90" s="100">
        <v>0.02</v>
      </c>
      <c r="K90" s="100">
        <v>56.91</v>
      </c>
      <c r="L90" s="100">
        <v>24.09</v>
      </c>
      <c r="M90" s="100">
        <v>94.16</v>
      </c>
      <c r="N90" s="100">
        <v>2.4</v>
      </c>
      <c r="O90" s="100">
        <v>0</v>
      </c>
      <c r="P90" s="100">
        <v>0.27</v>
      </c>
      <c r="Q90" s="100">
        <v>10</v>
      </c>
      <c r="R90" s="6"/>
      <c r="S90" s="6"/>
      <c r="T90" s="156"/>
      <c r="U90" s="6"/>
    </row>
    <row r="91" spans="1:21" customFormat="1">
      <c r="A91" s="201" t="s">
        <v>899</v>
      </c>
      <c r="B91" s="100">
        <v>3.59</v>
      </c>
      <c r="C91" s="100">
        <v>12.04</v>
      </c>
      <c r="D91" s="100">
        <v>9.17</v>
      </c>
      <c r="E91" s="100">
        <v>5.93</v>
      </c>
      <c r="F91" s="100">
        <v>2</v>
      </c>
      <c r="G91" s="100">
        <v>24.75</v>
      </c>
      <c r="H91" s="100">
        <v>8.6999999999999993</v>
      </c>
      <c r="I91" s="100">
        <v>4.71</v>
      </c>
      <c r="J91" s="100">
        <v>0.14000000000000001</v>
      </c>
      <c r="K91" s="100">
        <v>182.64</v>
      </c>
      <c r="L91" s="100">
        <v>24.19</v>
      </c>
      <c r="M91" s="100">
        <v>93.91</v>
      </c>
      <c r="N91" s="100">
        <v>2.1</v>
      </c>
      <c r="O91" s="100">
        <v>0</v>
      </c>
      <c r="P91" s="100">
        <v>0.28000000000000003</v>
      </c>
      <c r="Q91" s="100">
        <v>10</v>
      </c>
      <c r="R91" s="6"/>
      <c r="S91" s="6"/>
      <c r="T91" s="156"/>
      <c r="U91" s="6"/>
    </row>
    <row r="92" spans="1:21" customFormat="1">
      <c r="A92" s="201" t="s">
        <v>900</v>
      </c>
      <c r="B92" s="100">
        <v>3.72</v>
      </c>
      <c r="C92" s="100">
        <v>11.98</v>
      </c>
      <c r="D92" s="100">
        <v>9.25</v>
      </c>
      <c r="E92" s="100">
        <v>5.98</v>
      </c>
      <c r="F92" s="100">
        <v>2</v>
      </c>
      <c r="G92" s="100">
        <v>24.6</v>
      </c>
      <c r="H92" s="100">
        <v>8.6999999999999993</v>
      </c>
      <c r="I92" s="100">
        <v>4.6399999999999997</v>
      </c>
      <c r="J92" s="100">
        <v>0.2</v>
      </c>
      <c r="K92" s="100">
        <v>170.79</v>
      </c>
      <c r="L92" s="100">
        <v>24.35</v>
      </c>
      <c r="M92" s="100">
        <v>93.71</v>
      </c>
      <c r="N92" s="100">
        <v>2.2000000000000002</v>
      </c>
      <c r="O92" s="100">
        <v>0</v>
      </c>
      <c r="P92" s="100">
        <v>0.28000000000000003</v>
      </c>
      <c r="Q92" s="100">
        <v>10</v>
      </c>
      <c r="R92" s="6"/>
      <c r="S92" s="6"/>
      <c r="T92" s="156"/>
      <c r="U92" s="6"/>
    </row>
    <row r="93" spans="1:21" customFormat="1">
      <c r="A93" s="201" t="s">
        <v>901</v>
      </c>
      <c r="B93" s="100">
        <v>3.79</v>
      </c>
      <c r="C93" s="100">
        <v>11.84</v>
      </c>
      <c r="D93" s="100">
        <v>9.2200000000000006</v>
      </c>
      <c r="E93" s="100">
        <v>6.03</v>
      </c>
      <c r="F93" s="100">
        <v>2</v>
      </c>
      <c r="G93" s="100">
        <v>24.6</v>
      </c>
      <c r="H93" s="100">
        <v>8.6999999999999993</v>
      </c>
      <c r="I93" s="100">
        <v>4.59</v>
      </c>
      <c r="J93" s="100">
        <v>0.1</v>
      </c>
      <c r="K93" s="100">
        <v>177.53</v>
      </c>
      <c r="L93" s="100">
        <v>24.36</v>
      </c>
      <c r="M93" s="100">
        <v>93.68</v>
      </c>
      <c r="N93" s="100">
        <v>2.1</v>
      </c>
      <c r="O93" s="100">
        <v>0</v>
      </c>
      <c r="P93" s="100">
        <v>0.28000000000000003</v>
      </c>
      <c r="Q93" s="100">
        <v>10</v>
      </c>
      <c r="R93" s="6"/>
      <c r="S93" s="6"/>
      <c r="T93" s="156"/>
      <c r="U93" s="6"/>
    </row>
    <row r="94" spans="1:21" customFormat="1">
      <c r="A94" s="201" t="s">
        <v>902</v>
      </c>
      <c r="B94" s="100">
        <v>3.87</v>
      </c>
      <c r="C94" s="100">
        <v>11.7</v>
      </c>
      <c r="D94" s="100">
        <v>9.2200000000000006</v>
      </c>
      <c r="E94" s="100">
        <v>6.09</v>
      </c>
      <c r="F94" s="100">
        <v>2</v>
      </c>
      <c r="G94" s="100">
        <v>24.6</v>
      </c>
      <c r="H94" s="100">
        <v>8.6999999999999993</v>
      </c>
      <c r="I94" s="100">
        <v>4.54</v>
      </c>
      <c r="J94" s="100">
        <v>0.14000000000000001</v>
      </c>
      <c r="K94" s="100">
        <v>200.65</v>
      </c>
      <c r="L94" s="100">
        <v>24.25</v>
      </c>
      <c r="M94" s="100">
        <v>93.53</v>
      </c>
      <c r="N94" s="100">
        <v>2.2999999999999998</v>
      </c>
      <c r="O94" s="100">
        <v>0</v>
      </c>
      <c r="P94" s="100">
        <v>0.27</v>
      </c>
      <c r="Q94" s="100">
        <v>10</v>
      </c>
      <c r="R94" s="6"/>
      <c r="S94" s="6"/>
      <c r="T94" s="156"/>
      <c r="U94" s="6"/>
    </row>
    <row r="95" spans="1:21" customFormat="1">
      <c r="A95" s="201" t="s">
        <v>903</v>
      </c>
      <c r="B95" s="100">
        <v>4.08</v>
      </c>
      <c r="C95" s="100">
        <v>11.61</v>
      </c>
      <c r="D95" s="100">
        <v>9.34</v>
      </c>
      <c r="E95" s="100">
        <v>5.87</v>
      </c>
      <c r="F95" s="100">
        <v>2</v>
      </c>
      <c r="G95" s="100">
        <v>21.6</v>
      </c>
      <c r="H95" s="100">
        <v>6.37</v>
      </c>
      <c r="I95" s="100">
        <v>4.46</v>
      </c>
      <c r="J95" s="100">
        <v>0.1</v>
      </c>
      <c r="K95" s="100">
        <v>212.36</v>
      </c>
      <c r="L95" s="100">
        <v>24.35</v>
      </c>
      <c r="M95" s="100">
        <v>93.61</v>
      </c>
      <c r="N95" s="100">
        <v>2</v>
      </c>
      <c r="O95" s="100">
        <v>0.2</v>
      </c>
      <c r="P95" s="100">
        <v>0.23</v>
      </c>
      <c r="Q95" s="100">
        <v>10</v>
      </c>
      <c r="R95" s="6"/>
      <c r="S95" s="6"/>
      <c r="T95" s="156"/>
      <c r="U95" s="6"/>
    </row>
    <row r="96" spans="1:21" customFormat="1">
      <c r="A96" s="201" t="s">
        <v>904</v>
      </c>
      <c r="B96" s="100">
        <v>4.37</v>
      </c>
      <c r="C96" s="100">
        <v>11.68</v>
      </c>
      <c r="D96" s="100">
        <v>9.61</v>
      </c>
      <c r="E96" s="100">
        <v>5.46</v>
      </c>
      <c r="F96" s="100">
        <v>2</v>
      </c>
      <c r="G96" s="100">
        <v>20.85</v>
      </c>
      <c r="H96" s="100">
        <v>6.37</v>
      </c>
      <c r="I96" s="100">
        <v>4.49</v>
      </c>
      <c r="J96" s="100">
        <v>0.14000000000000001</v>
      </c>
      <c r="K96" s="100">
        <v>13.08</v>
      </c>
      <c r="L96" s="100">
        <v>24.31</v>
      </c>
      <c r="M96" s="100">
        <v>93.27</v>
      </c>
      <c r="N96" s="100">
        <v>2.5</v>
      </c>
      <c r="O96" s="100">
        <v>0.6</v>
      </c>
      <c r="P96" s="100">
        <v>0.23</v>
      </c>
      <c r="Q96" s="100">
        <v>10</v>
      </c>
      <c r="R96" s="6"/>
      <c r="S96" s="6"/>
      <c r="T96" s="156"/>
      <c r="U96" s="6"/>
    </row>
    <row r="97" spans="1:28" customFormat="1">
      <c r="A97" s="201" t="s">
        <v>905</v>
      </c>
      <c r="B97" s="100">
        <v>4.79</v>
      </c>
      <c r="C97" s="100">
        <v>11.82</v>
      </c>
      <c r="D97" s="100">
        <v>10.02</v>
      </c>
      <c r="E97" s="100">
        <v>5.69</v>
      </c>
      <c r="F97" s="100">
        <v>2</v>
      </c>
      <c r="G97" s="100">
        <v>20.85</v>
      </c>
      <c r="H97" s="100">
        <v>6.37</v>
      </c>
      <c r="I97" s="100">
        <v>4.51</v>
      </c>
      <c r="J97" s="100">
        <v>0.3</v>
      </c>
      <c r="K97" s="100">
        <v>50.85</v>
      </c>
      <c r="L97" s="100">
        <v>24.26</v>
      </c>
      <c r="M97" s="100">
        <v>93.31</v>
      </c>
      <c r="N97" s="100">
        <v>2.4</v>
      </c>
      <c r="O97" s="100">
        <v>0.2</v>
      </c>
      <c r="P97" s="100">
        <v>0.24</v>
      </c>
      <c r="Q97" s="100">
        <v>10</v>
      </c>
      <c r="R97" s="6"/>
      <c r="S97" s="6"/>
      <c r="T97" s="156"/>
      <c r="U97" s="6"/>
    </row>
    <row r="98" spans="1:28" customFormat="1">
      <c r="A98" s="201" t="s">
        <v>906</v>
      </c>
      <c r="B98" s="100">
        <v>5.13</v>
      </c>
      <c r="C98" s="100">
        <v>11.98</v>
      </c>
      <c r="D98" s="100">
        <v>10.37</v>
      </c>
      <c r="E98" s="100">
        <v>5.56</v>
      </c>
      <c r="F98" s="100">
        <v>2</v>
      </c>
      <c r="G98" s="100">
        <v>20.85</v>
      </c>
      <c r="H98" s="100">
        <v>6.37</v>
      </c>
      <c r="I98" s="100">
        <v>4.5199999999999996</v>
      </c>
      <c r="J98" s="100">
        <v>0.12</v>
      </c>
      <c r="K98" s="100">
        <v>94.18</v>
      </c>
      <c r="L98" s="100">
        <v>24.46</v>
      </c>
      <c r="M98" s="100">
        <v>93.7</v>
      </c>
      <c r="N98" s="100">
        <v>2</v>
      </c>
      <c r="O98" s="100">
        <v>0.2</v>
      </c>
      <c r="P98" s="100">
        <v>0.22</v>
      </c>
      <c r="Q98" s="100">
        <v>10</v>
      </c>
      <c r="R98" s="6"/>
      <c r="S98" s="6"/>
      <c r="T98" s="156"/>
      <c r="U98" s="6"/>
    </row>
    <row r="99" spans="1:28" customFormat="1">
      <c r="A99" s="201" t="s">
        <v>907</v>
      </c>
      <c r="B99" s="100">
        <v>5.46</v>
      </c>
      <c r="C99" s="100">
        <v>12.06</v>
      </c>
      <c r="D99" s="100">
        <v>10.67</v>
      </c>
      <c r="E99" s="100">
        <v>5.55</v>
      </c>
      <c r="F99" s="100">
        <v>2</v>
      </c>
      <c r="G99" s="100">
        <v>16.14</v>
      </c>
      <c r="H99" s="100">
        <v>7.22</v>
      </c>
      <c r="I99" s="100">
        <v>4.54</v>
      </c>
      <c r="J99" s="100">
        <v>0.16</v>
      </c>
      <c r="K99" s="100">
        <v>137.52000000000001</v>
      </c>
      <c r="L99" s="100">
        <v>24.5</v>
      </c>
      <c r="M99" s="100">
        <v>93.44</v>
      </c>
      <c r="N99" s="100">
        <v>2.2999999999999998</v>
      </c>
      <c r="O99" s="100">
        <v>0.2</v>
      </c>
      <c r="P99" s="100">
        <v>0.24</v>
      </c>
      <c r="Q99" s="100">
        <v>10</v>
      </c>
      <c r="R99" s="6"/>
      <c r="S99" s="6"/>
      <c r="T99" s="156"/>
      <c r="U99" s="6"/>
    </row>
    <row r="100" spans="1:28" customFormat="1">
      <c r="A100" s="201" t="s">
        <v>908</v>
      </c>
      <c r="B100" s="100">
        <v>5.72</v>
      </c>
      <c r="C100" s="100">
        <v>11.97</v>
      </c>
      <c r="D100" s="100">
        <v>10.84</v>
      </c>
      <c r="E100" s="100">
        <v>5.67</v>
      </c>
      <c r="F100" s="100">
        <v>2</v>
      </c>
      <c r="G100" s="100">
        <v>14.97</v>
      </c>
      <c r="H100" s="100">
        <v>7.22</v>
      </c>
      <c r="I100" s="100">
        <v>4.49</v>
      </c>
      <c r="J100" s="100">
        <v>7.0000000000000007E-2</v>
      </c>
      <c r="K100" s="100">
        <v>190.68</v>
      </c>
      <c r="L100" s="100">
        <v>24.39</v>
      </c>
      <c r="M100" s="100">
        <v>93.08</v>
      </c>
      <c r="N100" s="100">
        <v>2.2000000000000002</v>
      </c>
      <c r="O100" s="100">
        <v>0.2</v>
      </c>
      <c r="P100" s="100">
        <v>0.23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909</v>
      </c>
      <c r="B101" s="100">
        <v>5.91</v>
      </c>
      <c r="C101" s="100">
        <v>11.99</v>
      </c>
      <c r="D101" s="100">
        <v>11</v>
      </c>
      <c r="E101" s="100">
        <v>5.4</v>
      </c>
      <c r="F101" s="100">
        <v>2</v>
      </c>
      <c r="G101" s="100">
        <v>14.97</v>
      </c>
      <c r="H101" s="100">
        <v>7.22</v>
      </c>
      <c r="I101" s="100">
        <v>4.57</v>
      </c>
      <c r="J101" s="100">
        <v>0.1</v>
      </c>
      <c r="K101" s="100">
        <v>192.49</v>
      </c>
      <c r="L101" s="100">
        <v>24.44</v>
      </c>
      <c r="M101" s="100">
        <v>93.16</v>
      </c>
      <c r="N101" s="100">
        <v>2.1</v>
      </c>
      <c r="O101" s="100">
        <v>0</v>
      </c>
      <c r="P101" s="100">
        <v>0.24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910</v>
      </c>
      <c r="B102" s="100">
        <v>6.08</v>
      </c>
      <c r="C102" s="100">
        <v>11.95</v>
      </c>
      <c r="D102" s="100">
        <v>11.12</v>
      </c>
      <c r="E102" s="100">
        <v>5.43</v>
      </c>
      <c r="F102" s="100">
        <v>2</v>
      </c>
      <c r="G102" s="100">
        <v>14.97</v>
      </c>
      <c r="H102" s="100">
        <v>7.22</v>
      </c>
      <c r="I102" s="100">
        <v>4.5</v>
      </c>
      <c r="J102" s="100">
        <v>0.21</v>
      </c>
      <c r="K102" s="100">
        <v>231.77</v>
      </c>
      <c r="L102" s="100">
        <v>24.42</v>
      </c>
      <c r="M102" s="100">
        <v>93.06</v>
      </c>
      <c r="N102" s="100">
        <v>2.1</v>
      </c>
      <c r="O102" s="100">
        <v>0</v>
      </c>
      <c r="P102" s="100">
        <v>0.22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911</v>
      </c>
      <c r="B103" s="100">
        <v>6.25</v>
      </c>
      <c r="C103" s="100">
        <v>11.9</v>
      </c>
      <c r="D103" s="100">
        <v>11.23</v>
      </c>
      <c r="E103" s="100">
        <v>5.65</v>
      </c>
      <c r="F103" s="100">
        <v>2</v>
      </c>
      <c r="G103" s="100">
        <v>18.809999999999999</v>
      </c>
      <c r="H103" s="100">
        <v>7.94</v>
      </c>
      <c r="I103" s="100">
        <v>4.58</v>
      </c>
      <c r="J103" s="100">
        <v>0.17</v>
      </c>
      <c r="K103" s="100">
        <v>207.38</v>
      </c>
      <c r="L103" s="100">
        <v>24.53</v>
      </c>
      <c r="M103" s="100">
        <v>93.07</v>
      </c>
      <c r="N103" s="100">
        <v>2.2000000000000002</v>
      </c>
      <c r="O103" s="100">
        <v>0</v>
      </c>
      <c r="P103" s="100">
        <v>0.23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912</v>
      </c>
      <c r="B104" s="100">
        <v>6.43</v>
      </c>
      <c r="C104" s="100">
        <v>11.92</v>
      </c>
      <c r="D104" s="100">
        <v>11.39</v>
      </c>
      <c r="E104" s="100">
        <v>5.4</v>
      </c>
      <c r="F104" s="100">
        <v>2</v>
      </c>
      <c r="G104" s="100">
        <v>19.77</v>
      </c>
      <c r="H104" s="100">
        <v>7.94</v>
      </c>
      <c r="I104" s="100">
        <v>4.59</v>
      </c>
      <c r="J104" s="100">
        <v>0.13</v>
      </c>
      <c r="K104" s="100">
        <v>218.5</v>
      </c>
      <c r="L104" s="100">
        <v>24.53</v>
      </c>
      <c r="M104" s="100">
        <v>92.2</v>
      </c>
      <c r="N104" s="100">
        <v>2.2000000000000002</v>
      </c>
      <c r="O104" s="100">
        <v>0</v>
      </c>
      <c r="P104" s="100">
        <v>0.25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3.33</v>
      </c>
      <c r="C106" s="158">
        <f>MIN(C9:C104)</f>
        <v>11.13</v>
      </c>
      <c r="D106" s="158">
        <f t="shared" ref="D106:Q106" si="0">MIN(D9:D104)</f>
        <v>8.9700000000000006</v>
      </c>
      <c r="E106" s="158">
        <f t="shared" si="0"/>
        <v>4.28</v>
      </c>
      <c r="F106" s="158">
        <f t="shared" si="0"/>
        <v>2</v>
      </c>
      <c r="G106" s="158">
        <f t="shared" si="0"/>
        <v>12.78</v>
      </c>
      <c r="H106" s="158">
        <f t="shared" si="0"/>
        <v>2.63</v>
      </c>
      <c r="I106" s="158">
        <f t="shared" si="0"/>
        <v>3.37</v>
      </c>
      <c r="J106" s="158">
        <f t="shared" si="0"/>
        <v>0.02</v>
      </c>
      <c r="K106" s="158">
        <f t="shared" si="0"/>
        <v>13.08</v>
      </c>
      <c r="L106" s="158">
        <f t="shared" si="0"/>
        <v>24.09</v>
      </c>
      <c r="M106" s="158">
        <f t="shared" si="0"/>
        <v>64.91</v>
      </c>
      <c r="N106" s="158">
        <f t="shared" si="0"/>
        <v>2</v>
      </c>
      <c r="O106" s="158">
        <f t="shared" si="0"/>
        <v>0</v>
      </c>
      <c r="P106" s="158">
        <f t="shared" si="0"/>
        <v>0.16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7.56</v>
      </c>
      <c r="C107" s="157">
        <f t="shared" ref="C107:Q107" si="1">MAX(C9:C104)</f>
        <v>13.48</v>
      </c>
      <c r="D107" s="157">
        <f t="shared" si="1"/>
        <v>11.97</v>
      </c>
      <c r="E107" s="157">
        <f t="shared" si="1"/>
        <v>6.09</v>
      </c>
      <c r="F107" s="157">
        <f t="shared" si="1"/>
        <v>10.11</v>
      </c>
      <c r="G107" s="157">
        <f t="shared" si="1"/>
        <v>49.85</v>
      </c>
      <c r="H107" s="157">
        <f t="shared" si="1"/>
        <v>23.31</v>
      </c>
      <c r="I107" s="157">
        <f t="shared" si="1"/>
        <v>6.7</v>
      </c>
      <c r="J107" s="157">
        <f t="shared" si="1"/>
        <v>1.1100000000000001</v>
      </c>
      <c r="K107" s="157">
        <f t="shared" si="1"/>
        <v>280.01</v>
      </c>
      <c r="L107" s="157">
        <f t="shared" si="1"/>
        <v>31.47</v>
      </c>
      <c r="M107" s="157">
        <f t="shared" si="1"/>
        <v>95.41</v>
      </c>
      <c r="N107" s="157">
        <f t="shared" si="1"/>
        <v>599.79999999999995</v>
      </c>
      <c r="O107" s="157">
        <f t="shared" si="1"/>
        <v>1.2</v>
      </c>
      <c r="P107" s="157">
        <f t="shared" si="1"/>
        <v>0.39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5.0897916666666676</v>
      </c>
      <c r="C108" s="158">
        <f t="shared" ref="C108:Q108" si="2">AVERAGE(C9:C104)</f>
        <v>11.882916666666668</v>
      </c>
      <c r="D108" s="158">
        <f t="shared" si="2"/>
        <v>10.290000000000001</v>
      </c>
      <c r="E108" s="158">
        <f t="shared" si="2"/>
        <v>5.4187499999999984</v>
      </c>
      <c r="F108" s="158">
        <f t="shared" si="2"/>
        <v>2.5823958333333334</v>
      </c>
      <c r="G108" s="158">
        <f t="shared" si="2"/>
        <v>26.781770833333322</v>
      </c>
      <c r="H108" s="158">
        <f t="shared" si="2"/>
        <v>10.375000000000002</v>
      </c>
      <c r="I108" s="158">
        <f t="shared" si="2"/>
        <v>4.7460416666666649</v>
      </c>
      <c r="J108" s="158">
        <f t="shared" si="2"/>
        <v>0.23416666666666677</v>
      </c>
      <c r="K108" s="158">
        <f t="shared" si="2"/>
        <v>194.05260416666678</v>
      </c>
      <c r="L108" s="158">
        <f t="shared" si="2"/>
        <v>27.25510416666668</v>
      </c>
      <c r="M108" s="158">
        <f t="shared" si="2"/>
        <v>86.403958333333335</v>
      </c>
      <c r="N108" s="158">
        <f t="shared" si="2"/>
        <v>76.306250000000006</v>
      </c>
      <c r="O108" s="158">
        <f t="shared" si="2"/>
        <v>4.3750000000000011E-2</v>
      </c>
      <c r="P108" s="158">
        <f t="shared" si="2"/>
        <v>0.26833333333333315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1.2506579145786634</v>
      </c>
      <c r="C109" s="158">
        <f t="shared" ref="C109:Q109" si="3">STDEV(C9:C104)</f>
        <v>0.57835868795222978</v>
      </c>
      <c r="D109" s="158">
        <f t="shared" si="3"/>
        <v>0.87042760211652093</v>
      </c>
      <c r="E109" s="158">
        <f t="shared" si="3"/>
        <v>0.34653852219979975</v>
      </c>
      <c r="F109" s="158">
        <f t="shared" si="3"/>
        <v>1.3668571286303917</v>
      </c>
      <c r="G109" s="158">
        <f t="shared" si="3"/>
        <v>11.356036836001154</v>
      </c>
      <c r="H109" s="158">
        <f t="shared" si="3"/>
        <v>5.7630719147635849</v>
      </c>
      <c r="I109" s="158">
        <f t="shared" si="3"/>
        <v>1.061432477131159</v>
      </c>
      <c r="J109" s="158">
        <f t="shared" si="3"/>
        <v>0.19350869240188584</v>
      </c>
      <c r="K109" s="158">
        <f t="shared" si="3"/>
        <v>44.791097076957222</v>
      </c>
      <c r="L109" s="158">
        <f t="shared" si="3"/>
        <v>2.3291688125715879</v>
      </c>
      <c r="M109" s="158">
        <f t="shared" si="3"/>
        <v>9.4811240149949523</v>
      </c>
      <c r="N109" s="158">
        <f t="shared" si="3"/>
        <v>126.99679052098749</v>
      </c>
      <c r="O109" s="158">
        <f t="shared" si="3"/>
        <v>0.16721401351498466</v>
      </c>
      <c r="P109" s="158">
        <f t="shared" si="3"/>
        <v>6.7444584140052985E-2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G15" sqref="G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913</v>
      </c>
      <c r="B9" s="100">
        <v>6.67</v>
      </c>
      <c r="C9" s="100">
        <v>11.41</v>
      </c>
      <c r="D9" s="100">
        <v>11.31</v>
      </c>
      <c r="E9" s="100">
        <v>5.61</v>
      </c>
      <c r="F9" s="100">
        <v>2</v>
      </c>
      <c r="G9" s="100">
        <v>19.77</v>
      </c>
      <c r="H9" s="100">
        <v>7.94</v>
      </c>
      <c r="I9" s="100">
        <v>4.62</v>
      </c>
      <c r="J9" s="100">
        <v>0.16</v>
      </c>
      <c r="K9" s="100">
        <v>169.31</v>
      </c>
      <c r="L9" s="100">
        <v>24.6</v>
      </c>
      <c r="M9" s="100">
        <v>92.44</v>
      </c>
      <c r="N9" s="100">
        <v>2.1</v>
      </c>
      <c r="O9" s="100">
        <v>0</v>
      </c>
      <c r="P9" s="100">
        <v>0.23</v>
      </c>
      <c r="Q9" s="100">
        <v>10</v>
      </c>
      <c r="R9" s="6"/>
      <c r="S9" s="6"/>
      <c r="T9" s="156"/>
      <c r="U9" s="6"/>
    </row>
    <row r="10" spans="1:21" customFormat="1">
      <c r="A10" s="201" t="s">
        <v>914</v>
      </c>
      <c r="B10" s="100">
        <v>6.72</v>
      </c>
      <c r="C10" s="100">
        <v>11.69</v>
      </c>
      <c r="D10" s="100">
        <v>11.49</v>
      </c>
      <c r="E10" s="100">
        <v>5.56</v>
      </c>
      <c r="F10" s="100">
        <v>2</v>
      </c>
      <c r="G10" s="100">
        <v>19.77</v>
      </c>
      <c r="H10" s="100">
        <v>7.94</v>
      </c>
      <c r="I10" s="100">
        <v>4.6399999999999997</v>
      </c>
      <c r="J10" s="100">
        <v>0.08</v>
      </c>
      <c r="K10" s="100">
        <v>118.11</v>
      </c>
      <c r="L10" s="100">
        <v>24.68</v>
      </c>
      <c r="M10" s="100">
        <v>92.89</v>
      </c>
      <c r="N10" s="100">
        <v>2.2000000000000002</v>
      </c>
      <c r="O10" s="100">
        <v>0</v>
      </c>
      <c r="P10" s="100">
        <v>0.24</v>
      </c>
      <c r="Q10" s="100">
        <v>10</v>
      </c>
      <c r="R10" s="6"/>
      <c r="S10" s="6"/>
      <c r="T10" s="156"/>
      <c r="U10" s="6"/>
    </row>
    <row r="11" spans="1:21" customFormat="1">
      <c r="A11" s="201" t="s">
        <v>915</v>
      </c>
      <c r="B11" s="100">
        <v>6.94</v>
      </c>
      <c r="C11" s="100">
        <v>11.76</v>
      </c>
      <c r="D11" s="100">
        <v>11.71</v>
      </c>
      <c r="E11" s="100">
        <v>5.68</v>
      </c>
      <c r="F11" s="100">
        <v>2</v>
      </c>
      <c r="G11" s="100">
        <v>18.170000000000002</v>
      </c>
      <c r="H11" s="100">
        <v>9.16</v>
      </c>
      <c r="I11" s="100">
        <v>4.54</v>
      </c>
      <c r="J11" s="100">
        <v>0.1</v>
      </c>
      <c r="K11" s="100">
        <v>196.14</v>
      </c>
      <c r="L11" s="100">
        <v>24.69</v>
      </c>
      <c r="M11" s="100">
        <v>92.34</v>
      </c>
      <c r="N11" s="100">
        <v>2.2999999999999998</v>
      </c>
      <c r="O11" s="100">
        <v>0</v>
      </c>
      <c r="P11" s="100">
        <v>0.24</v>
      </c>
      <c r="Q11" s="100">
        <v>10</v>
      </c>
      <c r="R11" s="6"/>
      <c r="S11" s="6"/>
      <c r="T11" s="156"/>
      <c r="U11" s="6"/>
    </row>
    <row r="12" spans="1:21" customFormat="1">
      <c r="A12" s="201" t="s">
        <v>916</v>
      </c>
      <c r="B12" s="100">
        <v>7.18</v>
      </c>
      <c r="C12" s="100">
        <v>11.81</v>
      </c>
      <c r="D12" s="100">
        <v>11.93</v>
      </c>
      <c r="E12" s="100">
        <v>5.63</v>
      </c>
      <c r="F12" s="100">
        <v>2</v>
      </c>
      <c r="G12" s="100">
        <v>17.77</v>
      </c>
      <c r="H12" s="100">
        <v>9.16</v>
      </c>
      <c r="I12" s="100">
        <v>4.5</v>
      </c>
      <c r="J12" s="100">
        <v>0.09</v>
      </c>
      <c r="K12" s="100">
        <v>191.05</v>
      </c>
      <c r="L12" s="100">
        <v>24.61</v>
      </c>
      <c r="M12" s="100">
        <v>91.77</v>
      </c>
      <c r="N12" s="100">
        <v>2.1</v>
      </c>
      <c r="O12" s="100">
        <v>0</v>
      </c>
      <c r="P12" s="100">
        <v>0.24</v>
      </c>
      <c r="Q12" s="100">
        <v>10</v>
      </c>
      <c r="R12" s="6"/>
      <c r="S12" s="6"/>
      <c r="T12" s="156"/>
      <c r="U12" s="6"/>
    </row>
    <row r="13" spans="1:21" customFormat="1">
      <c r="A13" s="201" t="s">
        <v>917</v>
      </c>
      <c r="B13" s="100">
        <v>7.33</v>
      </c>
      <c r="C13" s="100">
        <v>11.77</v>
      </c>
      <c r="D13" s="100">
        <v>12.03</v>
      </c>
      <c r="E13" s="100">
        <v>5.69</v>
      </c>
      <c r="F13" s="100">
        <v>2</v>
      </c>
      <c r="G13" s="100">
        <v>17.77</v>
      </c>
      <c r="H13" s="100">
        <v>9.16</v>
      </c>
      <c r="I13" s="100">
        <v>4.5</v>
      </c>
      <c r="J13" s="100">
        <v>0.16</v>
      </c>
      <c r="K13" s="100">
        <v>141.25</v>
      </c>
      <c r="L13" s="100">
        <v>24.74</v>
      </c>
      <c r="M13" s="100">
        <v>91.99</v>
      </c>
      <c r="N13" s="100">
        <v>2.1</v>
      </c>
      <c r="O13" s="100">
        <v>0</v>
      </c>
      <c r="P13" s="100">
        <v>0.22</v>
      </c>
      <c r="Q13" s="100">
        <v>10</v>
      </c>
      <c r="R13" s="6"/>
      <c r="S13" s="6"/>
      <c r="T13" s="156"/>
      <c r="U13" s="6"/>
    </row>
    <row r="14" spans="1:21" customFormat="1">
      <c r="A14" s="201" t="s">
        <v>918</v>
      </c>
      <c r="B14" s="100">
        <v>7.43</v>
      </c>
      <c r="C14" s="100">
        <v>11.83</v>
      </c>
      <c r="D14" s="100">
        <v>12.14</v>
      </c>
      <c r="E14" s="100">
        <v>5.88</v>
      </c>
      <c r="F14" s="100">
        <v>2</v>
      </c>
      <c r="G14" s="100">
        <v>17.77</v>
      </c>
      <c r="H14" s="100">
        <v>9.16</v>
      </c>
      <c r="I14" s="100">
        <v>4.5999999999999996</v>
      </c>
      <c r="J14" s="100">
        <v>0.1</v>
      </c>
      <c r="K14" s="100">
        <v>177.31</v>
      </c>
      <c r="L14" s="100">
        <v>24.75</v>
      </c>
      <c r="M14" s="100">
        <v>91.68</v>
      </c>
      <c r="N14" s="100">
        <v>2.1</v>
      </c>
      <c r="O14" s="100">
        <v>0</v>
      </c>
      <c r="P14" s="100">
        <v>0.24</v>
      </c>
      <c r="Q14" s="100">
        <v>10</v>
      </c>
      <c r="R14" s="6"/>
      <c r="S14" s="6"/>
      <c r="T14" s="156"/>
      <c r="U14" s="6"/>
    </row>
    <row r="15" spans="1:21" customFormat="1">
      <c r="A15" s="201" t="s">
        <v>919</v>
      </c>
      <c r="B15" s="100">
        <v>7.51</v>
      </c>
      <c r="C15" s="100">
        <v>11.91</v>
      </c>
      <c r="D15" s="100">
        <v>12.24</v>
      </c>
      <c r="E15" s="100">
        <v>5.67</v>
      </c>
      <c r="F15" s="100">
        <v>2</v>
      </c>
      <c r="G15" s="100">
        <v>14.3</v>
      </c>
      <c r="H15" s="100">
        <v>6.67</v>
      </c>
      <c r="I15" s="100">
        <v>4.55</v>
      </c>
      <c r="J15" s="100">
        <v>7.0000000000000007E-2</v>
      </c>
      <c r="K15" s="100">
        <v>202.8</v>
      </c>
      <c r="L15" s="100">
        <v>24.71</v>
      </c>
      <c r="M15" s="100">
        <v>92.08</v>
      </c>
      <c r="N15" s="100">
        <v>2.1</v>
      </c>
      <c r="O15" s="100">
        <v>0</v>
      </c>
      <c r="P15" s="100">
        <v>0.23</v>
      </c>
      <c r="Q15" s="100">
        <v>10</v>
      </c>
      <c r="R15" s="6"/>
      <c r="S15" s="6"/>
      <c r="T15" s="156"/>
      <c r="U15" s="6"/>
    </row>
    <row r="16" spans="1:21" customFormat="1">
      <c r="A16" s="201" t="s">
        <v>920</v>
      </c>
      <c r="B16" s="100">
        <v>7.59</v>
      </c>
      <c r="C16" s="100">
        <v>11.8</v>
      </c>
      <c r="D16" s="100">
        <v>12.25</v>
      </c>
      <c r="E16" s="100">
        <v>5.58</v>
      </c>
      <c r="F16" s="100">
        <v>2.02</v>
      </c>
      <c r="G16" s="100">
        <v>13.43</v>
      </c>
      <c r="H16" s="100">
        <v>6.67</v>
      </c>
      <c r="I16" s="100">
        <v>4.5999999999999996</v>
      </c>
      <c r="J16" s="100">
        <v>7.0000000000000007E-2</v>
      </c>
      <c r="K16" s="100">
        <v>220.14</v>
      </c>
      <c r="L16" s="100">
        <v>24.72</v>
      </c>
      <c r="M16" s="100">
        <v>91.34</v>
      </c>
      <c r="N16" s="100">
        <v>2.1</v>
      </c>
      <c r="O16" s="100">
        <v>0</v>
      </c>
      <c r="P16" s="100">
        <v>0.24</v>
      </c>
      <c r="Q16" s="100">
        <v>10</v>
      </c>
      <c r="R16" s="6"/>
      <c r="S16" s="6"/>
      <c r="T16" s="156"/>
      <c r="U16" s="6"/>
    </row>
    <row r="17" spans="1:21" customFormat="1">
      <c r="A17" s="201" t="s">
        <v>921</v>
      </c>
      <c r="B17" s="100">
        <v>7.58</v>
      </c>
      <c r="C17" s="100">
        <v>11.9</v>
      </c>
      <c r="D17" s="100">
        <v>12.3</v>
      </c>
      <c r="E17" s="100">
        <v>4.8899999999999997</v>
      </c>
      <c r="F17" s="100">
        <v>2</v>
      </c>
      <c r="G17" s="100">
        <v>13.43</v>
      </c>
      <c r="H17" s="100">
        <v>6.67</v>
      </c>
      <c r="I17" s="100">
        <v>4.5599999999999996</v>
      </c>
      <c r="J17" s="100">
        <v>0.16</v>
      </c>
      <c r="K17" s="100">
        <v>231.91</v>
      </c>
      <c r="L17" s="100">
        <v>24.83</v>
      </c>
      <c r="M17" s="100">
        <v>91.1</v>
      </c>
      <c r="N17" s="100">
        <v>2.1</v>
      </c>
      <c r="O17" s="100">
        <v>0</v>
      </c>
      <c r="P17" s="100">
        <v>0.26</v>
      </c>
      <c r="Q17" s="100">
        <v>10</v>
      </c>
      <c r="R17" s="6"/>
      <c r="S17" s="6"/>
      <c r="T17" s="156"/>
      <c r="U17" s="6"/>
    </row>
    <row r="18" spans="1:21" customFormat="1">
      <c r="A18" s="201" t="s">
        <v>922</v>
      </c>
      <c r="B18" s="100">
        <v>7.46</v>
      </c>
      <c r="C18" s="100">
        <v>11.7</v>
      </c>
      <c r="D18" s="100">
        <v>12.09</v>
      </c>
      <c r="E18" s="100">
        <v>6.18</v>
      </c>
      <c r="F18" s="100">
        <v>2</v>
      </c>
      <c r="G18" s="100">
        <v>13.43</v>
      </c>
      <c r="H18" s="100">
        <v>6.67</v>
      </c>
      <c r="I18" s="100">
        <v>4.5999999999999996</v>
      </c>
      <c r="J18" s="100">
        <v>0.09</v>
      </c>
      <c r="K18" s="100">
        <v>178.36</v>
      </c>
      <c r="L18" s="100">
        <v>24.84</v>
      </c>
      <c r="M18" s="100">
        <v>91.01</v>
      </c>
      <c r="N18" s="100">
        <v>2.2999999999999998</v>
      </c>
      <c r="O18" s="100">
        <v>0.2</v>
      </c>
      <c r="P18" s="100">
        <v>0.26</v>
      </c>
      <c r="Q18" s="100">
        <v>10</v>
      </c>
      <c r="R18" s="6"/>
      <c r="S18" s="6"/>
      <c r="T18" s="156"/>
      <c r="U18" s="6"/>
    </row>
    <row r="19" spans="1:21" customFormat="1">
      <c r="A19" s="201" t="s">
        <v>923</v>
      </c>
      <c r="B19" s="100">
        <v>7.32</v>
      </c>
      <c r="C19" s="100">
        <v>11.56</v>
      </c>
      <c r="D19" s="100">
        <v>11.91</v>
      </c>
      <c r="E19" s="100">
        <v>6.23</v>
      </c>
      <c r="F19" s="100">
        <v>2</v>
      </c>
      <c r="G19" s="100">
        <v>10.75</v>
      </c>
      <c r="H19" s="100">
        <v>6.33</v>
      </c>
      <c r="I19" s="100">
        <v>4.5999999999999996</v>
      </c>
      <c r="J19" s="100">
        <v>0.08</v>
      </c>
      <c r="K19" s="100">
        <v>180.35</v>
      </c>
      <c r="L19" s="100">
        <v>24.84</v>
      </c>
      <c r="M19" s="100">
        <v>90.25</v>
      </c>
      <c r="N19" s="100">
        <v>2.1</v>
      </c>
      <c r="O19" s="100">
        <v>0</v>
      </c>
      <c r="P19" s="100">
        <v>0.26</v>
      </c>
      <c r="Q19" s="100">
        <v>10</v>
      </c>
      <c r="R19" s="6"/>
      <c r="S19" s="6"/>
      <c r="T19" s="156"/>
      <c r="U19" s="6"/>
    </row>
    <row r="20" spans="1:21" customFormat="1">
      <c r="A20" s="201" t="s">
        <v>924</v>
      </c>
      <c r="B20" s="100">
        <v>7.13</v>
      </c>
      <c r="C20" s="100">
        <v>11.46</v>
      </c>
      <c r="D20" s="100">
        <v>11.71</v>
      </c>
      <c r="E20" s="100">
        <v>6.05</v>
      </c>
      <c r="F20" s="100">
        <v>2</v>
      </c>
      <c r="G20" s="100">
        <v>10.08</v>
      </c>
      <c r="H20" s="100">
        <v>6.33</v>
      </c>
      <c r="I20" s="100">
        <v>4.43</v>
      </c>
      <c r="J20" s="100">
        <v>0.13</v>
      </c>
      <c r="K20" s="100">
        <v>199.7</v>
      </c>
      <c r="L20" s="100">
        <v>24.94</v>
      </c>
      <c r="M20" s="100">
        <v>90.32</v>
      </c>
      <c r="N20" s="100">
        <v>2.1</v>
      </c>
      <c r="O20" s="100">
        <v>0</v>
      </c>
      <c r="P20" s="100">
        <v>0.25</v>
      </c>
      <c r="Q20" s="100">
        <v>10</v>
      </c>
      <c r="R20" s="6"/>
      <c r="S20" s="6"/>
      <c r="T20" s="156"/>
      <c r="U20" s="6"/>
    </row>
    <row r="21" spans="1:21" customFormat="1">
      <c r="A21" s="201" t="s">
        <v>925</v>
      </c>
      <c r="B21" s="100">
        <v>6.99</v>
      </c>
      <c r="C21" s="100">
        <v>11.39</v>
      </c>
      <c r="D21" s="100">
        <v>11.56</v>
      </c>
      <c r="E21" s="100">
        <v>6.3</v>
      </c>
      <c r="F21" s="100">
        <v>2</v>
      </c>
      <c r="G21" s="100">
        <v>10.08</v>
      </c>
      <c r="H21" s="100">
        <v>6.33</v>
      </c>
      <c r="I21" s="100">
        <v>4.28</v>
      </c>
      <c r="J21" s="100">
        <v>0.13</v>
      </c>
      <c r="K21" s="100">
        <v>226.91</v>
      </c>
      <c r="L21" s="100">
        <v>25.03</v>
      </c>
      <c r="M21" s="100">
        <v>89.66</v>
      </c>
      <c r="N21" s="100">
        <v>2.1</v>
      </c>
      <c r="O21" s="100">
        <v>0</v>
      </c>
      <c r="P21" s="100">
        <v>0.25</v>
      </c>
      <c r="Q21" s="100">
        <v>10</v>
      </c>
      <c r="R21" s="6"/>
      <c r="S21" s="6"/>
      <c r="T21" s="156"/>
      <c r="U21" s="6"/>
    </row>
    <row r="22" spans="1:21" customFormat="1">
      <c r="A22" s="201" t="s">
        <v>926</v>
      </c>
      <c r="B22" s="100">
        <v>6.86</v>
      </c>
      <c r="C22" s="100">
        <v>11.35</v>
      </c>
      <c r="D22" s="100">
        <v>11.43</v>
      </c>
      <c r="E22" s="100">
        <v>5.97</v>
      </c>
      <c r="F22" s="100">
        <v>2</v>
      </c>
      <c r="G22" s="100">
        <v>10.08</v>
      </c>
      <c r="H22" s="100">
        <v>6.33</v>
      </c>
      <c r="I22" s="100">
        <v>4.18</v>
      </c>
      <c r="J22" s="100">
        <v>0.2</v>
      </c>
      <c r="K22" s="100">
        <v>224.14</v>
      </c>
      <c r="L22" s="100">
        <v>25.02</v>
      </c>
      <c r="M22" s="100">
        <v>89.74</v>
      </c>
      <c r="N22" s="100">
        <v>2.4</v>
      </c>
      <c r="O22" s="100">
        <v>0</v>
      </c>
      <c r="P22" s="100">
        <v>0.25</v>
      </c>
      <c r="Q22" s="100">
        <v>10</v>
      </c>
      <c r="R22" s="6"/>
      <c r="S22" s="6"/>
      <c r="T22" s="156"/>
      <c r="U22" s="6"/>
    </row>
    <row r="23" spans="1:21" customFormat="1">
      <c r="A23" s="201" t="s">
        <v>927</v>
      </c>
      <c r="B23" s="100">
        <v>6.76</v>
      </c>
      <c r="C23" s="100">
        <v>11.25</v>
      </c>
      <c r="D23" s="100">
        <v>11.3</v>
      </c>
      <c r="E23" s="100">
        <v>5.89</v>
      </c>
      <c r="F23" s="100">
        <v>2</v>
      </c>
      <c r="G23" s="100">
        <v>7.99</v>
      </c>
      <c r="H23" s="100">
        <v>8.24</v>
      </c>
      <c r="I23" s="100">
        <v>4.18</v>
      </c>
      <c r="J23" s="100">
        <v>0.09</v>
      </c>
      <c r="K23" s="100">
        <v>192.5</v>
      </c>
      <c r="L23" s="100">
        <v>24.91</v>
      </c>
      <c r="M23" s="100">
        <v>89.81</v>
      </c>
      <c r="N23" s="100">
        <v>2.4</v>
      </c>
      <c r="O23" s="100">
        <v>0</v>
      </c>
      <c r="P23" s="100">
        <v>0.25</v>
      </c>
      <c r="Q23" s="100">
        <v>10</v>
      </c>
      <c r="R23" s="6"/>
      <c r="S23" s="6"/>
      <c r="T23" s="156"/>
      <c r="U23" s="6"/>
    </row>
    <row r="24" spans="1:21" customFormat="1">
      <c r="A24" s="201" t="s">
        <v>928</v>
      </c>
      <c r="B24" s="100">
        <v>6.68</v>
      </c>
      <c r="C24" s="100">
        <v>11.26</v>
      </c>
      <c r="D24" s="100">
        <v>11.24</v>
      </c>
      <c r="E24" s="100">
        <v>6.15</v>
      </c>
      <c r="F24" s="100">
        <v>2</v>
      </c>
      <c r="G24" s="100">
        <v>7.43</v>
      </c>
      <c r="H24" s="100">
        <v>8.24</v>
      </c>
      <c r="I24" s="100">
        <v>4.05</v>
      </c>
      <c r="J24" s="100">
        <v>0.1</v>
      </c>
      <c r="K24" s="100">
        <v>177.29</v>
      </c>
      <c r="L24" s="100">
        <v>24.83</v>
      </c>
      <c r="M24" s="100">
        <v>89.88</v>
      </c>
      <c r="N24" s="100">
        <v>2.2999999999999998</v>
      </c>
      <c r="O24" s="100">
        <v>0</v>
      </c>
      <c r="P24" s="100">
        <v>0.24</v>
      </c>
      <c r="Q24" s="100">
        <v>10</v>
      </c>
      <c r="R24" s="6"/>
      <c r="S24" s="6"/>
      <c r="T24" s="156"/>
      <c r="U24" s="6"/>
    </row>
    <row r="25" spans="1:21" customFormat="1">
      <c r="A25" s="201" t="s">
        <v>929</v>
      </c>
      <c r="B25" s="100">
        <v>6.57</v>
      </c>
      <c r="C25" s="100">
        <v>11.31</v>
      </c>
      <c r="D25" s="100">
        <v>11.18</v>
      </c>
      <c r="E25" s="100">
        <v>6.17</v>
      </c>
      <c r="F25" s="100">
        <v>2.0299999999999998</v>
      </c>
      <c r="G25" s="100">
        <v>7.43</v>
      </c>
      <c r="H25" s="100">
        <v>8.24</v>
      </c>
      <c r="I25" s="100">
        <v>3.95</v>
      </c>
      <c r="J25" s="100">
        <v>0.08</v>
      </c>
      <c r="K25" s="100">
        <v>180.67</v>
      </c>
      <c r="L25" s="100">
        <v>24.81</v>
      </c>
      <c r="M25" s="100">
        <v>89.87</v>
      </c>
      <c r="N25" s="100">
        <v>2.1</v>
      </c>
      <c r="O25" s="100">
        <v>0</v>
      </c>
      <c r="P25" s="100">
        <v>0.24</v>
      </c>
      <c r="Q25" s="100">
        <v>10</v>
      </c>
      <c r="R25" s="6"/>
      <c r="S25" s="6"/>
      <c r="T25" s="156"/>
      <c r="U25" s="6"/>
    </row>
    <row r="26" spans="1:21" customFormat="1">
      <c r="A26" s="201" t="s">
        <v>930</v>
      </c>
      <c r="B26" s="100">
        <v>6.48</v>
      </c>
      <c r="C26" s="100">
        <v>11.25</v>
      </c>
      <c r="D26" s="100">
        <v>11.08</v>
      </c>
      <c r="E26" s="100">
        <v>6.18</v>
      </c>
      <c r="F26" s="100">
        <v>2</v>
      </c>
      <c r="G26" s="100">
        <v>7.43</v>
      </c>
      <c r="H26" s="100">
        <v>8.24</v>
      </c>
      <c r="I26" s="100">
        <v>3.97</v>
      </c>
      <c r="J26" s="100">
        <v>0.09</v>
      </c>
      <c r="K26" s="100">
        <v>190.58</v>
      </c>
      <c r="L26" s="100">
        <v>24.78</v>
      </c>
      <c r="M26" s="100">
        <v>89.92</v>
      </c>
      <c r="N26" s="100">
        <v>2.1</v>
      </c>
      <c r="O26" s="100">
        <v>0</v>
      </c>
      <c r="P26" s="100">
        <v>0.24</v>
      </c>
      <c r="Q26" s="100">
        <v>10</v>
      </c>
      <c r="R26" s="6"/>
      <c r="S26" s="6"/>
      <c r="T26" s="156"/>
      <c r="U26" s="6"/>
    </row>
    <row r="27" spans="1:21" customFormat="1">
      <c r="A27" s="201" t="s">
        <v>931</v>
      </c>
      <c r="B27" s="100">
        <v>6.44</v>
      </c>
      <c r="C27" s="100">
        <v>11.25</v>
      </c>
      <c r="D27" s="100">
        <v>11.04</v>
      </c>
      <c r="E27" s="100">
        <v>6.42</v>
      </c>
      <c r="F27" s="100">
        <v>2</v>
      </c>
      <c r="G27" s="100">
        <v>9.94</v>
      </c>
      <c r="H27" s="100">
        <v>5.89</v>
      </c>
      <c r="I27" s="100">
        <v>3.92</v>
      </c>
      <c r="J27" s="100">
        <v>0.13</v>
      </c>
      <c r="K27" s="100">
        <v>166.45</v>
      </c>
      <c r="L27" s="100">
        <v>24.83</v>
      </c>
      <c r="M27" s="100">
        <v>89.67</v>
      </c>
      <c r="N27" s="100">
        <v>2.1</v>
      </c>
      <c r="O27" s="100">
        <v>0</v>
      </c>
      <c r="P27" s="100">
        <v>0.25</v>
      </c>
      <c r="Q27" s="100">
        <v>10</v>
      </c>
      <c r="R27" s="6"/>
      <c r="S27" s="6"/>
      <c r="T27" s="156"/>
      <c r="U27" s="6"/>
    </row>
    <row r="28" spans="1:21" customFormat="1">
      <c r="A28" s="201" t="s">
        <v>932</v>
      </c>
      <c r="B28" s="100">
        <v>6.45</v>
      </c>
      <c r="C28" s="100">
        <v>11.2</v>
      </c>
      <c r="D28" s="100">
        <v>11.03</v>
      </c>
      <c r="E28" s="100">
        <v>6.34</v>
      </c>
      <c r="F28" s="100">
        <v>2</v>
      </c>
      <c r="G28" s="100">
        <v>10.57</v>
      </c>
      <c r="H28" s="100">
        <v>5.89</v>
      </c>
      <c r="I28" s="100">
        <v>3.86</v>
      </c>
      <c r="J28" s="100">
        <v>0.06</v>
      </c>
      <c r="K28" s="100">
        <v>186.54</v>
      </c>
      <c r="L28" s="100">
        <v>24.84</v>
      </c>
      <c r="M28" s="100">
        <v>89.73</v>
      </c>
      <c r="N28" s="100">
        <v>2.1</v>
      </c>
      <c r="O28" s="100">
        <v>0</v>
      </c>
      <c r="P28" s="100">
        <v>0.24</v>
      </c>
      <c r="Q28" s="100">
        <v>10</v>
      </c>
      <c r="R28" s="6"/>
      <c r="S28" s="6"/>
      <c r="T28" s="156"/>
      <c r="U28" s="6"/>
    </row>
    <row r="29" spans="1:21" customFormat="1">
      <c r="A29" s="201" t="s">
        <v>933</v>
      </c>
      <c r="B29" s="100">
        <v>6.43</v>
      </c>
      <c r="C29" s="100">
        <v>11.13</v>
      </c>
      <c r="D29" s="100">
        <v>10.97</v>
      </c>
      <c r="E29" s="100">
        <v>6.34</v>
      </c>
      <c r="F29" s="100">
        <v>2</v>
      </c>
      <c r="G29" s="100">
        <v>10.57</v>
      </c>
      <c r="H29" s="100">
        <v>5.89</v>
      </c>
      <c r="I29" s="100">
        <v>3.92</v>
      </c>
      <c r="J29" s="100">
        <v>0.1</v>
      </c>
      <c r="K29" s="100">
        <v>160.05000000000001</v>
      </c>
      <c r="L29" s="100">
        <v>24.84</v>
      </c>
      <c r="M29" s="100">
        <v>89.7</v>
      </c>
      <c r="N29" s="100">
        <v>2.1</v>
      </c>
      <c r="O29" s="100">
        <v>0</v>
      </c>
      <c r="P29" s="100">
        <v>0.24</v>
      </c>
      <c r="Q29" s="100">
        <v>10</v>
      </c>
      <c r="R29" s="6"/>
      <c r="S29" s="6"/>
      <c r="T29" s="156"/>
      <c r="U29" s="6"/>
    </row>
    <row r="30" spans="1:21" customFormat="1">
      <c r="A30" s="201" t="s">
        <v>934</v>
      </c>
      <c r="B30" s="100">
        <v>6.39</v>
      </c>
      <c r="C30" s="100">
        <v>11.07</v>
      </c>
      <c r="D30" s="100">
        <v>10.91</v>
      </c>
      <c r="E30" s="100">
        <v>6.19</v>
      </c>
      <c r="F30" s="100">
        <v>2</v>
      </c>
      <c r="G30" s="100">
        <v>10.57</v>
      </c>
      <c r="H30" s="100">
        <v>5.89</v>
      </c>
      <c r="I30" s="100">
        <v>3.95</v>
      </c>
      <c r="J30" s="100">
        <v>0.08</v>
      </c>
      <c r="K30" s="100">
        <v>177.84</v>
      </c>
      <c r="L30" s="100">
        <v>24.88</v>
      </c>
      <c r="M30" s="100">
        <v>89.8</v>
      </c>
      <c r="N30" s="100">
        <v>2.1</v>
      </c>
      <c r="O30" s="100">
        <v>0</v>
      </c>
      <c r="P30" s="100">
        <v>0.23</v>
      </c>
      <c r="Q30" s="100">
        <v>10</v>
      </c>
      <c r="R30" s="6"/>
      <c r="S30" s="6"/>
      <c r="T30" s="156"/>
      <c r="U30" s="6"/>
    </row>
    <row r="31" spans="1:21" customFormat="1">
      <c r="A31" s="201" t="s">
        <v>935</v>
      </c>
      <c r="B31" s="100">
        <v>6.37</v>
      </c>
      <c r="C31" s="100">
        <v>10.99</v>
      </c>
      <c r="D31" s="100">
        <v>10.85</v>
      </c>
      <c r="E31" s="100">
        <v>6.21</v>
      </c>
      <c r="F31" s="100">
        <v>2</v>
      </c>
      <c r="G31" s="100">
        <v>12.94</v>
      </c>
      <c r="H31" s="100">
        <v>5.87</v>
      </c>
      <c r="I31" s="100">
        <v>3.96</v>
      </c>
      <c r="J31" s="100">
        <v>0.09</v>
      </c>
      <c r="K31" s="100">
        <v>173.84</v>
      </c>
      <c r="L31" s="100">
        <v>24.9</v>
      </c>
      <c r="M31" s="100">
        <v>90.16</v>
      </c>
      <c r="N31" s="100">
        <v>3.1</v>
      </c>
      <c r="O31" s="100">
        <v>0</v>
      </c>
      <c r="P31" s="100">
        <v>0.23</v>
      </c>
      <c r="Q31" s="100">
        <v>10</v>
      </c>
      <c r="R31" s="6"/>
      <c r="S31" s="6"/>
      <c r="T31" s="156"/>
      <c r="U31" s="6"/>
    </row>
    <row r="32" spans="1:21" customFormat="1">
      <c r="A32" s="201" t="s">
        <v>936</v>
      </c>
      <c r="B32" s="100">
        <v>6.38</v>
      </c>
      <c r="C32" s="100">
        <v>10.96</v>
      </c>
      <c r="D32" s="100">
        <v>10.84</v>
      </c>
      <c r="E32" s="100">
        <v>6.24</v>
      </c>
      <c r="F32" s="100">
        <v>2</v>
      </c>
      <c r="G32" s="100">
        <v>13.58</v>
      </c>
      <c r="H32" s="100">
        <v>5.87</v>
      </c>
      <c r="I32" s="100">
        <v>3.95</v>
      </c>
      <c r="J32" s="100">
        <v>0.09</v>
      </c>
      <c r="K32" s="100">
        <v>185.26</v>
      </c>
      <c r="L32" s="100">
        <v>24.94</v>
      </c>
      <c r="M32" s="100">
        <v>89.98</v>
      </c>
      <c r="N32" s="100">
        <v>5.6</v>
      </c>
      <c r="O32" s="100">
        <v>0</v>
      </c>
      <c r="P32" s="100">
        <v>0.23</v>
      </c>
      <c r="Q32" s="100">
        <v>10</v>
      </c>
      <c r="R32" s="6"/>
      <c r="S32" s="6"/>
      <c r="T32" s="156"/>
      <c r="U32" s="6"/>
    </row>
    <row r="33" spans="1:21" customFormat="1">
      <c r="A33" s="201" t="s">
        <v>937</v>
      </c>
      <c r="B33" s="100">
        <v>6.4</v>
      </c>
      <c r="C33" s="100">
        <v>10.91</v>
      </c>
      <c r="D33" s="100">
        <v>10.83</v>
      </c>
      <c r="E33" s="100">
        <v>6.22</v>
      </c>
      <c r="F33" s="100">
        <v>2.06</v>
      </c>
      <c r="G33" s="100">
        <v>13.58</v>
      </c>
      <c r="H33" s="100">
        <v>5.87</v>
      </c>
      <c r="I33" s="100">
        <v>3.94</v>
      </c>
      <c r="J33" s="100">
        <v>0.1</v>
      </c>
      <c r="K33" s="100">
        <v>213.17</v>
      </c>
      <c r="L33" s="100">
        <v>25.03</v>
      </c>
      <c r="M33" s="100">
        <v>89.57</v>
      </c>
      <c r="N33" s="100">
        <v>11.4</v>
      </c>
      <c r="O33" s="100">
        <v>0</v>
      </c>
      <c r="P33" s="100">
        <v>0.24</v>
      </c>
      <c r="Q33" s="100">
        <v>10</v>
      </c>
      <c r="R33" s="6"/>
      <c r="S33" s="6"/>
      <c r="T33" s="156"/>
      <c r="U33" s="6"/>
    </row>
    <row r="34" spans="1:21" customFormat="1">
      <c r="A34" s="201" t="s">
        <v>938</v>
      </c>
      <c r="B34" s="100">
        <v>6.42</v>
      </c>
      <c r="C34" s="100">
        <v>10.82</v>
      </c>
      <c r="D34" s="100">
        <v>10.8</v>
      </c>
      <c r="E34" s="100">
        <v>6.31</v>
      </c>
      <c r="F34" s="100">
        <v>2</v>
      </c>
      <c r="G34" s="100">
        <v>13.58</v>
      </c>
      <c r="H34" s="100">
        <v>5.87</v>
      </c>
      <c r="I34" s="100">
        <v>3.87</v>
      </c>
      <c r="J34" s="100">
        <v>0.08</v>
      </c>
      <c r="K34" s="100">
        <v>173.21</v>
      </c>
      <c r="L34" s="100">
        <v>25.13</v>
      </c>
      <c r="M34" s="100">
        <v>89.32</v>
      </c>
      <c r="N34" s="100">
        <v>15.9</v>
      </c>
      <c r="O34" s="100">
        <v>0</v>
      </c>
      <c r="P34" s="100">
        <v>0.23</v>
      </c>
      <c r="Q34" s="100">
        <v>10</v>
      </c>
      <c r="R34" s="6"/>
      <c r="S34" s="6"/>
      <c r="T34" s="156"/>
      <c r="U34" s="6"/>
    </row>
    <row r="35" spans="1:21" customFormat="1">
      <c r="A35" s="201" t="s">
        <v>939</v>
      </c>
      <c r="B35" s="100">
        <v>6.48</v>
      </c>
      <c r="C35" s="100">
        <v>10.8</v>
      </c>
      <c r="D35" s="100">
        <v>10.84</v>
      </c>
      <c r="E35" s="100">
        <v>6.18</v>
      </c>
      <c r="F35" s="100">
        <v>2</v>
      </c>
      <c r="G35" s="100">
        <v>11.94</v>
      </c>
      <c r="H35" s="100">
        <v>5.62</v>
      </c>
      <c r="I35" s="100">
        <v>3.82</v>
      </c>
      <c r="J35" s="100">
        <v>0.14000000000000001</v>
      </c>
      <c r="K35" s="100">
        <v>221.95</v>
      </c>
      <c r="L35" s="100">
        <v>25.25</v>
      </c>
      <c r="M35" s="100">
        <v>89.38</v>
      </c>
      <c r="N35" s="100">
        <v>22.6</v>
      </c>
      <c r="O35" s="100">
        <v>0</v>
      </c>
      <c r="P35" s="100">
        <v>0.23</v>
      </c>
      <c r="Q35" s="100">
        <v>10</v>
      </c>
      <c r="R35" s="6"/>
      <c r="S35" s="6"/>
      <c r="T35" s="156"/>
      <c r="U35" s="6"/>
    </row>
    <row r="36" spans="1:21" customFormat="1">
      <c r="A36" s="201" t="s">
        <v>940</v>
      </c>
      <c r="B36" s="100">
        <v>6.53</v>
      </c>
      <c r="C36" s="100">
        <v>10.79</v>
      </c>
      <c r="D36" s="100">
        <v>10.87</v>
      </c>
      <c r="E36" s="100">
        <v>6.06</v>
      </c>
      <c r="F36" s="100">
        <v>2.02</v>
      </c>
      <c r="G36" s="100">
        <v>11.53</v>
      </c>
      <c r="H36" s="100">
        <v>5.62</v>
      </c>
      <c r="I36" s="100">
        <v>3.88</v>
      </c>
      <c r="J36" s="100">
        <v>0.1</v>
      </c>
      <c r="K36" s="100">
        <v>216.36</v>
      </c>
      <c r="L36" s="100">
        <v>25.4</v>
      </c>
      <c r="M36" s="100">
        <v>89.39</v>
      </c>
      <c r="N36" s="100">
        <v>39.1</v>
      </c>
      <c r="O36" s="100">
        <v>0</v>
      </c>
      <c r="P36" s="100">
        <v>0.23</v>
      </c>
      <c r="Q36" s="100">
        <v>10</v>
      </c>
      <c r="R36" s="6"/>
      <c r="S36" s="6"/>
      <c r="T36" s="156"/>
      <c r="U36" s="6"/>
    </row>
    <row r="37" spans="1:21" customFormat="1">
      <c r="A37" s="201" t="s">
        <v>941</v>
      </c>
      <c r="B37" s="100">
        <v>6.65</v>
      </c>
      <c r="C37" s="100">
        <v>10.71</v>
      </c>
      <c r="D37" s="100">
        <v>10.93</v>
      </c>
      <c r="E37" s="100">
        <v>6.32</v>
      </c>
      <c r="F37" s="100">
        <v>2</v>
      </c>
      <c r="G37" s="100">
        <v>11.53</v>
      </c>
      <c r="H37" s="100">
        <v>5.62</v>
      </c>
      <c r="I37" s="100">
        <v>3.95</v>
      </c>
      <c r="J37" s="100">
        <v>0.24</v>
      </c>
      <c r="K37" s="100">
        <v>227.74</v>
      </c>
      <c r="L37" s="100">
        <v>25.65</v>
      </c>
      <c r="M37" s="100">
        <v>89.11</v>
      </c>
      <c r="N37" s="100">
        <v>49.9</v>
      </c>
      <c r="O37" s="100">
        <v>0</v>
      </c>
      <c r="P37" s="100">
        <v>0.23</v>
      </c>
      <c r="Q37" s="100">
        <v>10</v>
      </c>
      <c r="R37" s="6"/>
      <c r="S37" s="6"/>
      <c r="T37" s="156"/>
      <c r="U37" s="6"/>
    </row>
    <row r="38" spans="1:21" customFormat="1">
      <c r="A38" s="201" t="s">
        <v>942</v>
      </c>
      <c r="B38" s="100">
        <v>6.81</v>
      </c>
      <c r="C38" s="100">
        <v>10.71</v>
      </c>
      <c r="D38" s="100">
        <v>11.06</v>
      </c>
      <c r="E38" s="100">
        <v>6.26</v>
      </c>
      <c r="F38" s="100">
        <v>2</v>
      </c>
      <c r="G38" s="100">
        <v>11.53</v>
      </c>
      <c r="H38" s="100">
        <v>5.62</v>
      </c>
      <c r="I38" s="100">
        <v>3.97</v>
      </c>
      <c r="J38" s="100">
        <v>0.24</v>
      </c>
      <c r="K38" s="100">
        <v>228.45</v>
      </c>
      <c r="L38" s="100">
        <v>25.92</v>
      </c>
      <c r="M38" s="100">
        <v>89.14</v>
      </c>
      <c r="N38" s="100">
        <v>65.900000000000006</v>
      </c>
      <c r="O38" s="100">
        <v>0</v>
      </c>
      <c r="P38" s="100">
        <v>0.2</v>
      </c>
      <c r="Q38" s="100">
        <v>10</v>
      </c>
      <c r="R38" s="6"/>
      <c r="S38" s="6"/>
      <c r="T38" s="156"/>
      <c r="U38" s="6"/>
    </row>
    <row r="39" spans="1:21" customFormat="1">
      <c r="A39" s="201" t="s">
        <v>943</v>
      </c>
      <c r="B39" s="100">
        <v>6.9</v>
      </c>
      <c r="C39" s="100">
        <v>10.75</v>
      </c>
      <c r="D39" s="100">
        <v>11.15</v>
      </c>
      <c r="E39" s="100">
        <v>5.83</v>
      </c>
      <c r="F39" s="100">
        <v>2.0099999999999998</v>
      </c>
      <c r="G39" s="100">
        <v>8.9600000000000009</v>
      </c>
      <c r="H39" s="100">
        <v>7.47</v>
      </c>
      <c r="I39" s="100">
        <v>4.0199999999999996</v>
      </c>
      <c r="J39" s="100">
        <v>0.37</v>
      </c>
      <c r="K39" s="100">
        <v>231.46</v>
      </c>
      <c r="L39" s="100">
        <v>26.16</v>
      </c>
      <c r="M39" s="100">
        <v>89.3</v>
      </c>
      <c r="N39" s="100">
        <v>76.8</v>
      </c>
      <c r="O39" s="100">
        <v>0</v>
      </c>
      <c r="P39" s="100">
        <v>0.19</v>
      </c>
      <c r="Q39" s="100">
        <v>10</v>
      </c>
      <c r="R39" s="6"/>
      <c r="S39" s="6"/>
      <c r="T39" s="156"/>
      <c r="U39" s="6"/>
    </row>
    <row r="40" spans="1:21" customFormat="1">
      <c r="A40" s="201" t="s">
        <v>944</v>
      </c>
      <c r="B40" s="100">
        <v>7.1</v>
      </c>
      <c r="C40" s="100">
        <v>10.95</v>
      </c>
      <c r="D40" s="100">
        <v>11.41</v>
      </c>
      <c r="E40" s="100">
        <v>5.88</v>
      </c>
      <c r="F40" s="100">
        <v>2.0299999999999998</v>
      </c>
      <c r="G40" s="100">
        <v>8.31</v>
      </c>
      <c r="H40" s="100">
        <v>7.47</v>
      </c>
      <c r="I40" s="100">
        <v>4.0999999999999996</v>
      </c>
      <c r="J40" s="100">
        <v>0.35</v>
      </c>
      <c r="K40" s="100">
        <v>230.2</v>
      </c>
      <c r="L40" s="100">
        <v>26.41</v>
      </c>
      <c r="M40" s="100">
        <v>89.07</v>
      </c>
      <c r="N40" s="100">
        <v>110.5</v>
      </c>
      <c r="O40" s="100">
        <v>0</v>
      </c>
      <c r="P40" s="100">
        <v>0.21</v>
      </c>
      <c r="Q40" s="100">
        <v>10</v>
      </c>
      <c r="R40" s="6"/>
      <c r="S40" s="6"/>
      <c r="T40" s="156"/>
      <c r="U40" s="6"/>
    </row>
    <row r="41" spans="1:21" customFormat="1">
      <c r="A41" s="201" t="s">
        <v>945</v>
      </c>
      <c r="B41" s="100">
        <v>7.22</v>
      </c>
      <c r="C41" s="100">
        <v>11.05</v>
      </c>
      <c r="D41" s="100">
        <v>11.56</v>
      </c>
      <c r="E41" s="100">
        <v>5.94</v>
      </c>
      <c r="F41" s="100">
        <v>2</v>
      </c>
      <c r="G41" s="100">
        <v>8.31</v>
      </c>
      <c r="H41" s="100">
        <v>7.47</v>
      </c>
      <c r="I41" s="100">
        <v>4.1500000000000004</v>
      </c>
      <c r="J41" s="100">
        <v>0.35</v>
      </c>
      <c r="K41" s="100">
        <v>229.99</v>
      </c>
      <c r="L41" s="100">
        <v>26.98</v>
      </c>
      <c r="M41" s="100">
        <v>88.93</v>
      </c>
      <c r="N41" s="100">
        <v>177.3</v>
      </c>
      <c r="O41" s="100">
        <v>0</v>
      </c>
      <c r="P41" s="100">
        <v>0.21</v>
      </c>
      <c r="Q41" s="100">
        <v>10</v>
      </c>
      <c r="R41" s="6"/>
      <c r="S41" s="6"/>
      <c r="T41" s="156"/>
      <c r="U41" s="6"/>
    </row>
    <row r="42" spans="1:21" customFormat="1">
      <c r="A42" s="201" t="s">
        <v>946</v>
      </c>
      <c r="B42" s="100">
        <v>7.28</v>
      </c>
      <c r="C42" s="100">
        <v>11</v>
      </c>
      <c r="D42" s="100">
        <v>11.58</v>
      </c>
      <c r="E42" s="100">
        <v>5.68</v>
      </c>
      <c r="F42" s="100">
        <v>2.16</v>
      </c>
      <c r="G42" s="100">
        <v>8.31</v>
      </c>
      <c r="H42" s="100">
        <v>7.47</v>
      </c>
      <c r="I42" s="100">
        <v>4.25</v>
      </c>
      <c r="J42" s="100">
        <v>0.41</v>
      </c>
      <c r="K42" s="100">
        <v>231.66</v>
      </c>
      <c r="L42" s="100">
        <v>27.67</v>
      </c>
      <c r="M42" s="100">
        <v>88.32</v>
      </c>
      <c r="N42" s="100">
        <v>281.3</v>
      </c>
      <c r="O42" s="100">
        <v>0</v>
      </c>
      <c r="P42" s="100">
        <v>0.2</v>
      </c>
      <c r="Q42" s="100">
        <v>10</v>
      </c>
      <c r="R42" s="6"/>
      <c r="S42" s="6"/>
      <c r="T42" s="156"/>
      <c r="U42" s="6"/>
    </row>
    <row r="43" spans="1:21" customFormat="1">
      <c r="A43" s="201" t="s">
        <v>947</v>
      </c>
      <c r="B43" s="100">
        <v>7.29</v>
      </c>
      <c r="C43" s="100">
        <v>11.24</v>
      </c>
      <c r="D43" s="100">
        <v>11.72</v>
      </c>
      <c r="E43" s="100">
        <v>5.77</v>
      </c>
      <c r="F43" s="100">
        <v>2.2999999999999998</v>
      </c>
      <c r="G43" s="100">
        <v>9.48</v>
      </c>
      <c r="H43" s="100">
        <v>10.01</v>
      </c>
      <c r="I43" s="100">
        <v>4.34</v>
      </c>
      <c r="J43" s="100">
        <v>0.46</v>
      </c>
      <c r="K43" s="100">
        <v>227.75</v>
      </c>
      <c r="L43" s="100">
        <v>28.38</v>
      </c>
      <c r="M43" s="100">
        <v>85.77</v>
      </c>
      <c r="N43" s="100">
        <v>358.8</v>
      </c>
      <c r="O43" s="100">
        <v>0</v>
      </c>
      <c r="P43" s="100">
        <v>0.22</v>
      </c>
      <c r="Q43" s="100">
        <v>10</v>
      </c>
      <c r="R43" s="6"/>
      <c r="S43" s="6"/>
      <c r="T43" s="156"/>
      <c r="U43" s="6"/>
    </row>
    <row r="44" spans="1:21" customFormat="1">
      <c r="A44" s="201" t="s">
        <v>948</v>
      </c>
      <c r="B44" s="100">
        <v>7.33</v>
      </c>
      <c r="C44" s="100">
        <v>11.27</v>
      </c>
      <c r="D44" s="100">
        <v>11.77</v>
      </c>
      <c r="E44" s="100">
        <v>5.72</v>
      </c>
      <c r="F44" s="100">
        <v>2</v>
      </c>
      <c r="G44" s="100">
        <v>9.77</v>
      </c>
      <c r="H44" s="100">
        <v>10.01</v>
      </c>
      <c r="I44" s="100">
        <v>4.32</v>
      </c>
      <c r="J44" s="100">
        <v>0.42</v>
      </c>
      <c r="K44" s="100">
        <v>228.23</v>
      </c>
      <c r="L44" s="100">
        <v>28.91</v>
      </c>
      <c r="M44" s="100">
        <v>84.13</v>
      </c>
      <c r="N44" s="100">
        <v>335.6</v>
      </c>
      <c r="O44" s="100">
        <v>0</v>
      </c>
      <c r="P44" s="100">
        <v>0.21</v>
      </c>
      <c r="Q44" s="100">
        <v>10</v>
      </c>
      <c r="R44" s="6"/>
      <c r="S44" s="6"/>
      <c r="T44" s="156"/>
      <c r="U44" s="6"/>
    </row>
    <row r="45" spans="1:21" customFormat="1">
      <c r="A45" s="201" t="s">
        <v>949</v>
      </c>
      <c r="B45" s="100">
        <v>7.3</v>
      </c>
      <c r="C45" s="100">
        <v>11.31</v>
      </c>
      <c r="D45" s="100">
        <v>11.77</v>
      </c>
      <c r="E45" s="100">
        <v>5.71</v>
      </c>
      <c r="F45" s="100">
        <v>2</v>
      </c>
      <c r="G45" s="100">
        <v>9.77</v>
      </c>
      <c r="H45" s="100">
        <v>10.01</v>
      </c>
      <c r="I45" s="100">
        <v>4.4400000000000004</v>
      </c>
      <c r="J45" s="100">
        <v>0.52</v>
      </c>
      <c r="K45" s="100">
        <v>232.3</v>
      </c>
      <c r="L45" s="100">
        <v>29.01</v>
      </c>
      <c r="M45" s="100">
        <v>83.75</v>
      </c>
      <c r="N45" s="100">
        <v>226</v>
      </c>
      <c r="O45" s="100">
        <v>0</v>
      </c>
      <c r="P45" s="100">
        <v>0.22</v>
      </c>
      <c r="Q45" s="100">
        <v>10</v>
      </c>
      <c r="R45" s="6"/>
      <c r="S45" s="6"/>
      <c r="T45" s="156"/>
      <c r="U45" s="6"/>
    </row>
    <row r="46" spans="1:21" customFormat="1">
      <c r="A46" s="201" t="s">
        <v>950</v>
      </c>
      <c r="B46" s="100">
        <v>7.26</v>
      </c>
      <c r="C46" s="100">
        <v>11.47</v>
      </c>
      <c r="D46" s="100">
        <v>11.82</v>
      </c>
      <c r="E46" s="100">
        <v>5.58</v>
      </c>
      <c r="F46" s="100">
        <v>2</v>
      </c>
      <c r="G46" s="100">
        <v>9.77</v>
      </c>
      <c r="H46" s="100">
        <v>10.01</v>
      </c>
      <c r="I46" s="100">
        <v>4.58</v>
      </c>
      <c r="J46" s="100">
        <v>0.42</v>
      </c>
      <c r="K46" s="100">
        <v>222.03</v>
      </c>
      <c r="L46" s="100">
        <v>29.47</v>
      </c>
      <c r="M46" s="100">
        <v>82.46</v>
      </c>
      <c r="N46" s="100">
        <v>321.89999999999998</v>
      </c>
      <c r="O46" s="100">
        <v>0</v>
      </c>
      <c r="P46" s="100">
        <v>0.23</v>
      </c>
      <c r="Q46" s="100">
        <v>10</v>
      </c>
      <c r="R46" s="6"/>
      <c r="S46" s="6"/>
      <c r="T46" s="156"/>
      <c r="U46" s="6"/>
    </row>
    <row r="47" spans="1:21" customFormat="1">
      <c r="A47" s="201" t="s">
        <v>951</v>
      </c>
      <c r="B47" s="100">
        <v>7.05</v>
      </c>
      <c r="C47" s="100">
        <v>11.66</v>
      </c>
      <c r="D47" s="100">
        <v>11.75</v>
      </c>
      <c r="E47" s="100">
        <v>5.71</v>
      </c>
      <c r="F47" s="100">
        <v>3.54</v>
      </c>
      <c r="G47" s="100">
        <v>17.37</v>
      </c>
      <c r="H47" s="100">
        <v>9.93</v>
      </c>
      <c r="I47" s="100">
        <v>4.84</v>
      </c>
      <c r="J47" s="100">
        <v>0.59</v>
      </c>
      <c r="K47" s="100">
        <v>230.68</v>
      </c>
      <c r="L47" s="100">
        <v>29.9</v>
      </c>
      <c r="M47" s="100">
        <v>80.489999999999995</v>
      </c>
      <c r="N47" s="100">
        <v>477.7</v>
      </c>
      <c r="O47" s="100">
        <v>0</v>
      </c>
      <c r="P47" s="100">
        <v>0.25</v>
      </c>
      <c r="Q47" s="100">
        <v>10</v>
      </c>
      <c r="R47" s="6"/>
      <c r="S47" s="6"/>
      <c r="T47" s="156"/>
      <c r="U47" s="6"/>
    </row>
    <row r="48" spans="1:21" customFormat="1">
      <c r="A48" s="201" t="s">
        <v>952</v>
      </c>
      <c r="B48" s="100">
        <v>6.97</v>
      </c>
      <c r="C48" s="100">
        <v>11.85</v>
      </c>
      <c r="D48" s="100">
        <v>11.78</v>
      </c>
      <c r="E48" s="100">
        <v>5.32</v>
      </c>
      <c r="F48" s="100">
        <v>2.29</v>
      </c>
      <c r="G48" s="100">
        <v>19.27</v>
      </c>
      <c r="H48" s="100">
        <v>9.93</v>
      </c>
      <c r="I48" s="100">
        <v>5.24</v>
      </c>
      <c r="J48" s="100">
        <v>0.56999999999999995</v>
      </c>
      <c r="K48" s="100">
        <v>232.29</v>
      </c>
      <c r="L48" s="100">
        <v>29.65</v>
      </c>
      <c r="M48" s="100">
        <v>81.13</v>
      </c>
      <c r="N48" s="100">
        <v>190.2</v>
      </c>
      <c r="O48" s="100">
        <v>0</v>
      </c>
      <c r="P48" s="100">
        <v>0.25</v>
      </c>
      <c r="Q48" s="100">
        <v>10</v>
      </c>
      <c r="R48" s="6"/>
      <c r="S48" s="6"/>
      <c r="T48" s="156"/>
      <c r="U48" s="6"/>
    </row>
    <row r="49" spans="1:21" customFormat="1">
      <c r="A49" s="201" t="s">
        <v>953</v>
      </c>
      <c r="B49" s="100">
        <v>6.9</v>
      </c>
      <c r="C49" s="100">
        <v>11.97</v>
      </c>
      <c r="D49" s="100">
        <v>11.79</v>
      </c>
      <c r="E49" s="100">
        <v>4.33</v>
      </c>
      <c r="F49" s="100">
        <v>2</v>
      </c>
      <c r="G49" s="100">
        <v>19.27</v>
      </c>
      <c r="H49" s="100">
        <v>9.93</v>
      </c>
      <c r="I49" s="100">
        <v>5.52</v>
      </c>
      <c r="J49" s="100">
        <v>0.46</v>
      </c>
      <c r="K49" s="100">
        <v>231.54</v>
      </c>
      <c r="L49" s="100">
        <v>29.51</v>
      </c>
      <c r="M49" s="100">
        <v>80.88</v>
      </c>
      <c r="N49" s="100">
        <v>319.7</v>
      </c>
      <c r="O49" s="100">
        <v>0</v>
      </c>
      <c r="P49" s="100">
        <v>0.26</v>
      </c>
      <c r="Q49" s="100">
        <v>10</v>
      </c>
      <c r="R49" s="6"/>
      <c r="S49" s="6"/>
      <c r="T49" s="156"/>
      <c r="U49" s="6"/>
    </row>
    <row r="50" spans="1:21" customFormat="1">
      <c r="A50" s="201" t="s">
        <v>954</v>
      </c>
      <c r="B50" s="100">
        <v>6.76</v>
      </c>
      <c r="C50" s="100">
        <v>12.1</v>
      </c>
      <c r="D50" s="100">
        <v>11.74</v>
      </c>
      <c r="E50" s="100">
        <v>5.41</v>
      </c>
      <c r="F50" s="100">
        <v>2.0499999999999998</v>
      </c>
      <c r="G50" s="100">
        <v>19.27</v>
      </c>
      <c r="H50" s="100">
        <v>9.93</v>
      </c>
      <c r="I50" s="100">
        <v>5.75</v>
      </c>
      <c r="J50" s="100">
        <v>0.56000000000000005</v>
      </c>
      <c r="K50" s="100">
        <v>233.45</v>
      </c>
      <c r="L50" s="100">
        <v>30.38</v>
      </c>
      <c r="M50" s="100">
        <v>77.66</v>
      </c>
      <c r="N50" s="100">
        <v>498.6</v>
      </c>
      <c r="O50" s="100">
        <v>0</v>
      </c>
      <c r="P50" s="100">
        <v>0.28999999999999998</v>
      </c>
      <c r="Q50" s="100">
        <v>10</v>
      </c>
      <c r="R50" s="6"/>
      <c r="S50" s="6"/>
      <c r="T50" s="156"/>
      <c r="U50" s="6"/>
    </row>
    <row r="51" spans="1:21" customFormat="1">
      <c r="A51" s="201" t="s">
        <v>955</v>
      </c>
      <c r="B51" s="100">
        <v>6.44</v>
      </c>
      <c r="C51" s="100">
        <v>12.09</v>
      </c>
      <c r="D51" s="100">
        <v>11.48</v>
      </c>
      <c r="E51" s="100">
        <v>5.59</v>
      </c>
      <c r="F51" s="100">
        <v>3.84</v>
      </c>
      <c r="G51" s="100">
        <v>31.38</v>
      </c>
      <c r="H51" s="100">
        <v>17.28</v>
      </c>
      <c r="I51" s="100">
        <v>5.85</v>
      </c>
      <c r="J51" s="100">
        <v>0.5</v>
      </c>
      <c r="K51" s="100">
        <v>227.68</v>
      </c>
      <c r="L51" s="100">
        <v>31.23</v>
      </c>
      <c r="M51" s="100">
        <v>75.09</v>
      </c>
      <c r="N51" s="100">
        <v>648.79999999999995</v>
      </c>
      <c r="O51" s="100">
        <v>0</v>
      </c>
      <c r="P51" s="100">
        <v>0.3</v>
      </c>
      <c r="Q51" s="100">
        <v>10</v>
      </c>
      <c r="R51" s="6"/>
      <c r="S51" s="6"/>
      <c r="T51" s="156"/>
      <c r="U51" s="6"/>
    </row>
    <row r="52" spans="1:21" customFormat="1">
      <c r="A52" s="201" t="s">
        <v>956</v>
      </c>
      <c r="B52" s="100">
        <v>6.19</v>
      </c>
      <c r="C52" s="100">
        <v>12.21</v>
      </c>
      <c r="D52" s="100">
        <v>11.34</v>
      </c>
      <c r="E52" s="100">
        <v>5.72</v>
      </c>
      <c r="F52" s="100">
        <v>2.46</v>
      </c>
      <c r="G52" s="100">
        <v>34.409999999999997</v>
      </c>
      <c r="H52" s="100">
        <v>17.28</v>
      </c>
      <c r="I52" s="100">
        <v>6.09</v>
      </c>
      <c r="J52" s="100">
        <v>0.49</v>
      </c>
      <c r="K52" s="100">
        <v>229.41</v>
      </c>
      <c r="L52" s="100">
        <v>31.65</v>
      </c>
      <c r="M52" s="100">
        <v>73.150000000000006</v>
      </c>
      <c r="N52" s="100">
        <v>701.5</v>
      </c>
      <c r="O52" s="100">
        <v>0</v>
      </c>
      <c r="P52" s="100">
        <v>0.3</v>
      </c>
      <c r="Q52" s="100">
        <v>10</v>
      </c>
      <c r="R52" s="6"/>
      <c r="S52" s="6"/>
      <c r="T52" s="156"/>
      <c r="U52" s="6"/>
    </row>
    <row r="53" spans="1:21" customFormat="1">
      <c r="A53" s="201" t="s">
        <v>957</v>
      </c>
      <c r="B53" s="100">
        <v>5.89</v>
      </c>
      <c r="C53" s="100">
        <v>12.46</v>
      </c>
      <c r="D53" s="100">
        <v>11.23</v>
      </c>
      <c r="E53" s="100">
        <v>5.55</v>
      </c>
      <c r="F53" s="100">
        <v>2.4500000000000002</v>
      </c>
      <c r="G53" s="100">
        <v>34.409999999999997</v>
      </c>
      <c r="H53" s="100">
        <v>17.28</v>
      </c>
      <c r="I53" s="100">
        <v>6.32</v>
      </c>
      <c r="J53" s="100">
        <v>0.47</v>
      </c>
      <c r="K53" s="100">
        <v>223.57</v>
      </c>
      <c r="L53" s="100">
        <v>31.98</v>
      </c>
      <c r="M53" s="100">
        <v>70.08</v>
      </c>
      <c r="N53" s="100">
        <v>644.4</v>
      </c>
      <c r="O53" s="100">
        <v>0</v>
      </c>
      <c r="P53" s="100">
        <v>0.3</v>
      </c>
      <c r="Q53" s="100">
        <v>10</v>
      </c>
      <c r="R53" s="6"/>
      <c r="S53" s="6"/>
      <c r="T53" s="156"/>
      <c r="U53" s="6"/>
    </row>
    <row r="54" spans="1:21" customFormat="1">
      <c r="A54" s="201" t="s">
        <v>958</v>
      </c>
      <c r="B54" s="100">
        <v>5.52</v>
      </c>
      <c r="C54" s="100">
        <v>12.6</v>
      </c>
      <c r="D54" s="100">
        <v>11.01</v>
      </c>
      <c r="E54" s="100">
        <v>5.0199999999999996</v>
      </c>
      <c r="F54" s="100">
        <v>2.59</v>
      </c>
      <c r="G54" s="100">
        <v>34.409999999999997</v>
      </c>
      <c r="H54" s="100">
        <v>17.28</v>
      </c>
      <c r="I54" s="100">
        <v>6.49</v>
      </c>
      <c r="J54" s="100">
        <v>0.45</v>
      </c>
      <c r="K54" s="100">
        <v>228.79</v>
      </c>
      <c r="L54" s="100">
        <v>31.78</v>
      </c>
      <c r="M54" s="100">
        <v>71.77</v>
      </c>
      <c r="N54" s="100">
        <v>403.1</v>
      </c>
      <c r="O54" s="100">
        <v>0</v>
      </c>
      <c r="P54" s="100">
        <v>0.31</v>
      </c>
      <c r="Q54" s="100">
        <v>10</v>
      </c>
      <c r="R54" s="6"/>
      <c r="S54" s="6"/>
      <c r="T54" s="156"/>
      <c r="U54" s="6"/>
    </row>
    <row r="55" spans="1:21" customFormat="1">
      <c r="A55" s="201" t="s">
        <v>959</v>
      </c>
      <c r="B55" s="100">
        <v>5.16</v>
      </c>
      <c r="C55" s="100">
        <v>12.64</v>
      </c>
      <c r="D55" s="100">
        <v>10.75</v>
      </c>
      <c r="E55" s="100">
        <v>3.87</v>
      </c>
      <c r="F55" s="100">
        <v>3.73</v>
      </c>
      <c r="G55" s="100">
        <v>31.94</v>
      </c>
      <c r="H55" s="100">
        <v>17.18</v>
      </c>
      <c r="I55" s="100">
        <v>6.67</v>
      </c>
      <c r="J55" s="100">
        <v>0.6</v>
      </c>
      <c r="K55" s="100">
        <v>236.11</v>
      </c>
      <c r="L55" s="100">
        <v>30.71</v>
      </c>
      <c r="M55" s="100">
        <v>74.13</v>
      </c>
      <c r="N55" s="100">
        <v>173.9</v>
      </c>
      <c r="O55" s="100">
        <v>0</v>
      </c>
      <c r="P55" s="100">
        <v>0.32</v>
      </c>
      <c r="Q55" s="100">
        <v>10</v>
      </c>
      <c r="R55" s="6"/>
      <c r="S55" s="6"/>
      <c r="T55" s="156"/>
      <c r="U55" s="6"/>
    </row>
    <row r="56" spans="1:21" customFormat="1">
      <c r="A56" s="201" t="s">
        <v>960</v>
      </c>
      <c r="B56" s="100">
        <v>4.9400000000000004</v>
      </c>
      <c r="C56" s="100">
        <v>13.01</v>
      </c>
      <c r="D56" s="100">
        <v>10.76</v>
      </c>
      <c r="E56" s="100">
        <v>4.99</v>
      </c>
      <c r="F56" s="100">
        <v>2.75</v>
      </c>
      <c r="G56" s="100">
        <v>31.32</v>
      </c>
      <c r="H56" s="100">
        <v>17.18</v>
      </c>
      <c r="I56" s="100">
        <v>6.83</v>
      </c>
      <c r="J56" s="100">
        <v>7.0000000000000007E-2</v>
      </c>
      <c r="K56" s="100">
        <v>327.43</v>
      </c>
      <c r="L56" s="100">
        <v>29.97</v>
      </c>
      <c r="M56" s="100">
        <v>76.260000000000005</v>
      </c>
      <c r="N56" s="100">
        <v>55.1</v>
      </c>
      <c r="O56" s="100">
        <v>0</v>
      </c>
      <c r="P56" s="100">
        <v>0.33</v>
      </c>
      <c r="Q56" s="100">
        <v>10</v>
      </c>
      <c r="R56" s="6"/>
      <c r="S56" s="6"/>
      <c r="T56" s="156"/>
      <c r="U56" s="6"/>
    </row>
    <row r="57" spans="1:21" customFormat="1">
      <c r="A57" s="201" t="s">
        <v>961</v>
      </c>
      <c r="B57" s="100">
        <v>4.7699999999999996</v>
      </c>
      <c r="C57" s="100">
        <v>13.42</v>
      </c>
      <c r="D57" s="100">
        <v>10.84</v>
      </c>
      <c r="E57" s="100">
        <v>5.29</v>
      </c>
      <c r="F57" s="100">
        <v>2.23</v>
      </c>
      <c r="G57" s="100">
        <v>31.32</v>
      </c>
      <c r="H57" s="100">
        <v>17.18</v>
      </c>
      <c r="I57" s="100">
        <v>6.91</v>
      </c>
      <c r="J57" s="100">
        <v>0.11</v>
      </c>
      <c r="K57" s="100">
        <v>263.38</v>
      </c>
      <c r="L57" s="100">
        <v>28.12</v>
      </c>
      <c r="M57" s="100">
        <v>82.55</v>
      </c>
      <c r="N57" s="100">
        <v>20.8</v>
      </c>
      <c r="O57" s="100">
        <v>0</v>
      </c>
      <c r="P57" s="100">
        <v>0.35</v>
      </c>
      <c r="Q57" s="100">
        <v>10</v>
      </c>
      <c r="R57" s="6"/>
      <c r="S57" s="6"/>
      <c r="T57" s="156"/>
      <c r="U57" s="6"/>
    </row>
    <row r="58" spans="1:21" customFormat="1">
      <c r="A58" s="201" t="s">
        <v>962</v>
      </c>
      <c r="B58" s="100">
        <v>4.74</v>
      </c>
      <c r="C58" s="100">
        <v>13.42</v>
      </c>
      <c r="D58" s="100">
        <v>10.81</v>
      </c>
      <c r="E58" s="100">
        <v>5.24</v>
      </c>
      <c r="F58" s="100">
        <v>2.0299999999999998</v>
      </c>
      <c r="G58" s="100">
        <v>31.32</v>
      </c>
      <c r="H58" s="100">
        <v>17.18</v>
      </c>
      <c r="I58" s="100">
        <v>6.99</v>
      </c>
      <c r="J58" s="100">
        <v>0.6</v>
      </c>
      <c r="K58" s="100">
        <v>234.14</v>
      </c>
      <c r="L58" s="100">
        <v>26.94</v>
      </c>
      <c r="M58" s="100">
        <v>87.25</v>
      </c>
      <c r="N58" s="100">
        <v>25.7</v>
      </c>
      <c r="O58" s="100">
        <v>3.6</v>
      </c>
      <c r="P58" s="100">
        <v>0.35</v>
      </c>
      <c r="Q58" s="100">
        <v>10</v>
      </c>
      <c r="R58" s="6"/>
      <c r="S58" s="6"/>
      <c r="T58" s="156"/>
      <c r="U58" s="6"/>
    </row>
    <row r="59" spans="1:21" customFormat="1">
      <c r="A59" s="201" t="s">
        <v>963</v>
      </c>
      <c r="B59" s="100">
        <v>4.6399999999999997</v>
      </c>
      <c r="C59" s="100">
        <v>13.34</v>
      </c>
      <c r="D59" s="100">
        <v>10.69</v>
      </c>
      <c r="E59" s="100">
        <v>5.35</v>
      </c>
      <c r="F59" s="100">
        <v>2.4900000000000002</v>
      </c>
      <c r="G59" s="100">
        <v>36.340000000000003</v>
      </c>
      <c r="H59" s="100">
        <v>13.56</v>
      </c>
      <c r="I59" s="100">
        <v>6.87</v>
      </c>
      <c r="J59" s="100">
        <v>1.0900000000000001</v>
      </c>
      <c r="K59" s="100">
        <v>232.17</v>
      </c>
      <c r="L59" s="100">
        <v>25.62</v>
      </c>
      <c r="M59" s="100">
        <v>90.05</v>
      </c>
      <c r="N59" s="100">
        <v>33.200000000000003</v>
      </c>
      <c r="O59" s="100">
        <v>9.6</v>
      </c>
      <c r="P59" s="100">
        <v>0.34</v>
      </c>
      <c r="Q59" s="100">
        <v>10</v>
      </c>
      <c r="R59" s="6"/>
      <c r="S59" s="6"/>
      <c r="T59" s="156"/>
      <c r="U59" s="6"/>
    </row>
    <row r="60" spans="1:21" customFormat="1">
      <c r="A60" s="201" t="s">
        <v>964</v>
      </c>
      <c r="B60" s="100">
        <v>4.57</v>
      </c>
      <c r="C60" s="100">
        <v>13.32</v>
      </c>
      <c r="D60" s="100">
        <v>10.62</v>
      </c>
      <c r="E60" s="100">
        <v>5.47</v>
      </c>
      <c r="F60" s="100">
        <v>2</v>
      </c>
      <c r="G60" s="100">
        <v>37.6</v>
      </c>
      <c r="H60" s="100">
        <v>13.56</v>
      </c>
      <c r="I60" s="100">
        <v>6.64</v>
      </c>
      <c r="J60" s="100">
        <v>0.34</v>
      </c>
      <c r="K60" s="100">
        <v>228.78</v>
      </c>
      <c r="L60" s="100">
        <v>25.05</v>
      </c>
      <c r="M60" s="100">
        <v>90.23</v>
      </c>
      <c r="N60" s="100">
        <v>44</v>
      </c>
      <c r="O60" s="100">
        <v>0.4</v>
      </c>
      <c r="P60" s="100">
        <v>0.33</v>
      </c>
      <c r="Q60" s="100">
        <v>10</v>
      </c>
      <c r="R60" s="6"/>
      <c r="S60" s="6"/>
      <c r="T60" s="156"/>
      <c r="U60" s="6"/>
    </row>
    <row r="61" spans="1:21" customFormat="1">
      <c r="A61" s="201" t="s">
        <v>965</v>
      </c>
      <c r="B61" s="100">
        <v>4.47</v>
      </c>
      <c r="C61" s="100">
        <v>13.35</v>
      </c>
      <c r="D61" s="100">
        <v>10.56</v>
      </c>
      <c r="E61" s="100">
        <v>5.55</v>
      </c>
      <c r="F61" s="100">
        <v>2</v>
      </c>
      <c r="G61" s="100">
        <v>37.6</v>
      </c>
      <c r="H61" s="100">
        <v>13.56</v>
      </c>
      <c r="I61" s="100">
        <v>6.52</v>
      </c>
      <c r="J61" s="100">
        <v>0.32</v>
      </c>
      <c r="K61" s="100">
        <v>227.31</v>
      </c>
      <c r="L61" s="100">
        <v>25.5</v>
      </c>
      <c r="M61" s="100">
        <v>89.97</v>
      </c>
      <c r="N61" s="100">
        <v>51.2</v>
      </c>
      <c r="O61" s="100">
        <v>0.2</v>
      </c>
      <c r="P61" s="100">
        <v>0.35</v>
      </c>
      <c r="Q61" s="100">
        <v>10</v>
      </c>
      <c r="R61" s="6"/>
      <c r="S61" s="6"/>
      <c r="T61" s="156"/>
      <c r="U61" s="6"/>
    </row>
    <row r="62" spans="1:21" customFormat="1">
      <c r="A62" s="201" t="s">
        <v>966</v>
      </c>
      <c r="B62" s="100">
        <v>4.37</v>
      </c>
      <c r="C62" s="100">
        <v>13.33</v>
      </c>
      <c r="D62" s="100">
        <v>10.47</v>
      </c>
      <c r="E62" s="100">
        <v>5.4</v>
      </c>
      <c r="F62" s="100">
        <v>2</v>
      </c>
      <c r="G62" s="100">
        <v>37.6</v>
      </c>
      <c r="H62" s="100">
        <v>13.56</v>
      </c>
      <c r="I62" s="100">
        <v>6.4</v>
      </c>
      <c r="J62" s="100">
        <v>0.15</v>
      </c>
      <c r="K62" s="100">
        <v>216.75</v>
      </c>
      <c r="L62" s="100">
        <v>25.77</v>
      </c>
      <c r="M62" s="100">
        <v>89.1</v>
      </c>
      <c r="N62" s="100">
        <v>63.2</v>
      </c>
      <c r="O62" s="100">
        <v>0</v>
      </c>
      <c r="P62" s="100">
        <v>0.34</v>
      </c>
      <c r="Q62" s="100">
        <v>10</v>
      </c>
      <c r="R62" s="6"/>
      <c r="S62" s="6"/>
      <c r="T62" s="156"/>
      <c r="U62" s="6"/>
    </row>
    <row r="63" spans="1:21" customFormat="1">
      <c r="A63" s="201" t="s">
        <v>967</v>
      </c>
      <c r="B63" s="100">
        <v>4.51</v>
      </c>
      <c r="C63" s="100">
        <v>13.36</v>
      </c>
      <c r="D63" s="100">
        <v>10.6</v>
      </c>
      <c r="E63" s="100">
        <v>5.53</v>
      </c>
      <c r="F63" s="100">
        <v>2</v>
      </c>
      <c r="G63" s="100">
        <v>40.22</v>
      </c>
      <c r="H63" s="100">
        <v>13.32</v>
      </c>
      <c r="I63" s="100">
        <v>6.3</v>
      </c>
      <c r="J63" s="100">
        <v>0.46</v>
      </c>
      <c r="K63" s="100">
        <v>230.34</v>
      </c>
      <c r="L63" s="100">
        <v>25.92</v>
      </c>
      <c r="M63" s="100">
        <v>88.96</v>
      </c>
      <c r="N63" s="100">
        <v>78.3</v>
      </c>
      <c r="O63" s="100">
        <v>0.6</v>
      </c>
      <c r="P63" s="100">
        <v>0.34</v>
      </c>
      <c r="Q63" s="100">
        <v>10</v>
      </c>
      <c r="R63" s="6"/>
      <c r="S63" s="6"/>
      <c r="T63" s="156"/>
      <c r="U63" s="6"/>
    </row>
    <row r="64" spans="1:21" customFormat="1">
      <c r="A64" s="201" t="s">
        <v>968</v>
      </c>
      <c r="B64" s="100">
        <v>4.74</v>
      </c>
      <c r="C64" s="100">
        <v>13.39</v>
      </c>
      <c r="D64" s="100">
        <v>10.8</v>
      </c>
      <c r="E64" s="100">
        <v>5.73</v>
      </c>
      <c r="F64" s="100">
        <v>2.04</v>
      </c>
      <c r="G64" s="100">
        <v>40.880000000000003</v>
      </c>
      <c r="H64" s="100">
        <v>13.32</v>
      </c>
      <c r="I64" s="100">
        <v>6.23</v>
      </c>
      <c r="J64" s="100">
        <v>0.14000000000000001</v>
      </c>
      <c r="K64" s="100">
        <v>239.63</v>
      </c>
      <c r="L64" s="100">
        <v>25.98</v>
      </c>
      <c r="M64" s="100">
        <v>89.04</v>
      </c>
      <c r="N64" s="100">
        <v>104.1</v>
      </c>
      <c r="O64" s="100">
        <v>0</v>
      </c>
      <c r="P64" s="100">
        <v>0.35</v>
      </c>
      <c r="Q64" s="100">
        <v>10</v>
      </c>
      <c r="R64" s="6"/>
      <c r="S64" s="6"/>
      <c r="T64" s="156"/>
      <c r="U64" s="6"/>
    </row>
    <row r="65" spans="1:21" customFormat="1">
      <c r="A65" s="201" t="s">
        <v>969</v>
      </c>
      <c r="B65" s="100">
        <v>4.9400000000000004</v>
      </c>
      <c r="C65" s="100">
        <v>13.44</v>
      </c>
      <c r="D65" s="100">
        <v>10.98</v>
      </c>
      <c r="E65" s="100">
        <v>5.7</v>
      </c>
      <c r="F65" s="100">
        <v>2</v>
      </c>
      <c r="G65" s="100">
        <v>40.880000000000003</v>
      </c>
      <c r="H65" s="100">
        <v>13.32</v>
      </c>
      <c r="I65" s="100">
        <v>6.16</v>
      </c>
      <c r="J65" s="100">
        <v>0.21</v>
      </c>
      <c r="K65" s="100">
        <v>234.36</v>
      </c>
      <c r="L65" s="100">
        <v>26.38</v>
      </c>
      <c r="M65" s="100">
        <v>89.36</v>
      </c>
      <c r="N65" s="100">
        <v>129.5</v>
      </c>
      <c r="O65" s="100">
        <v>0</v>
      </c>
      <c r="P65" s="100">
        <v>0.34</v>
      </c>
      <c r="Q65" s="100">
        <v>10</v>
      </c>
      <c r="R65" s="6"/>
      <c r="S65" s="6"/>
      <c r="T65" s="156"/>
      <c r="U65" s="6"/>
    </row>
    <row r="66" spans="1:21" customFormat="1">
      <c r="A66" s="201" t="s">
        <v>970</v>
      </c>
      <c r="B66" s="100">
        <v>5.16</v>
      </c>
      <c r="C66" s="100">
        <v>13.56</v>
      </c>
      <c r="D66" s="100">
        <v>11.23</v>
      </c>
      <c r="E66" s="100">
        <v>5.86</v>
      </c>
      <c r="F66" s="100">
        <v>2.0299999999999998</v>
      </c>
      <c r="G66" s="100">
        <v>40.880000000000003</v>
      </c>
      <c r="H66" s="100">
        <v>13.32</v>
      </c>
      <c r="I66" s="100">
        <v>6.11</v>
      </c>
      <c r="J66" s="100">
        <v>0.5</v>
      </c>
      <c r="K66" s="100">
        <v>232.36</v>
      </c>
      <c r="L66" s="100">
        <v>26.9</v>
      </c>
      <c r="M66" s="100">
        <v>88.91</v>
      </c>
      <c r="N66" s="100">
        <v>151.69999999999999</v>
      </c>
      <c r="O66" s="100">
        <v>0</v>
      </c>
      <c r="P66" s="100">
        <v>0.36</v>
      </c>
      <c r="Q66" s="100">
        <v>10</v>
      </c>
      <c r="R66" s="6"/>
      <c r="S66" s="6"/>
      <c r="T66" s="156"/>
      <c r="U66" s="6"/>
    </row>
    <row r="67" spans="1:21" customFormat="1">
      <c r="A67" s="201" t="s">
        <v>971</v>
      </c>
      <c r="B67" s="100">
        <v>5.41</v>
      </c>
      <c r="C67" s="100">
        <v>13.67</v>
      </c>
      <c r="D67" s="100">
        <v>11.48</v>
      </c>
      <c r="E67" s="100">
        <v>5.81</v>
      </c>
      <c r="F67" s="100">
        <v>2</v>
      </c>
      <c r="G67" s="100">
        <v>42.09</v>
      </c>
      <c r="H67" s="100">
        <v>14.23</v>
      </c>
      <c r="I67" s="100">
        <v>6.14</v>
      </c>
      <c r="J67" s="100">
        <v>0.6</v>
      </c>
      <c r="K67" s="100">
        <v>233.15</v>
      </c>
      <c r="L67" s="100">
        <v>27.27</v>
      </c>
      <c r="M67" s="100">
        <v>87.95</v>
      </c>
      <c r="N67" s="100">
        <v>119.5</v>
      </c>
      <c r="O67" s="100">
        <v>0.2</v>
      </c>
      <c r="P67" s="100">
        <v>0.38</v>
      </c>
      <c r="Q67" s="100">
        <v>10</v>
      </c>
      <c r="R67" s="6"/>
      <c r="S67" s="6"/>
      <c r="T67" s="156"/>
      <c r="U67" s="6"/>
    </row>
    <row r="68" spans="1:21" customFormat="1">
      <c r="A68" s="201" t="s">
        <v>972</v>
      </c>
      <c r="B68" s="100">
        <v>5.72</v>
      </c>
      <c r="C68" s="100">
        <v>13.73</v>
      </c>
      <c r="D68" s="100">
        <v>11.76</v>
      </c>
      <c r="E68" s="100">
        <v>5.72</v>
      </c>
      <c r="F68" s="100">
        <v>2</v>
      </c>
      <c r="G68" s="100">
        <v>42.39</v>
      </c>
      <c r="H68" s="100">
        <v>14.23</v>
      </c>
      <c r="I68" s="100">
        <v>6.29</v>
      </c>
      <c r="J68" s="100">
        <v>0.22</v>
      </c>
      <c r="K68" s="100">
        <v>225.64</v>
      </c>
      <c r="L68" s="100">
        <v>27.48</v>
      </c>
      <c r="M68" s="100">
        <v>87.63</v>
      </c>
      <c r="N68" s="100">
        <v>112.3</v>
      </c>
      <c r="O68" s="100">
        <v>0</v>
      </c>
      <c r="P68" s="100">
        <v>0.39</v>
      </c>
      <c r="Q68" s="100">
        <v>10</v>
      </c>
      <c r="R68" s="6"/>
      <c r="S68" s="6"/>
      <c r="T68" s="156"/>
      <c r="U68" s="6"/>
    </row>
    <row r="69" spans="1:21" customFormat="1">
      <c r="A69" s="201" t="s">
        <v>973</v>
      </c>
      <c r="B69" s="100">
        <v>5.95</v>
      </c>
      <c r="C69" s="100">
        <v>13.81</v>
      </c>
      <c r="D69" s="100">
        <v>11.98</v>
      </c>
      <c r="E69" s="100">
        <v>5.9</v>
      </c>
      <c r="F69" s="100">
        <v>2</v>
      </c>
      <c r="G69" s="100">
        <v>42.39</v>
      </c>
      <c r="H69" s="100">
        <v>14.23</v>
      </c>
      <c r="I69" s="100">
        <v>6.36</v>
      </c>
      <c r="J69" s="100">
        <v>0.13</v>
      </c>
      <c r="K69" s="100">
        <v>246.69</v>
      </c>
      <c r="L69" s="100">
        <v>28.05</v>
      </c>
      <c r="M69" s="100">
        <v>85</v>
      </c>
      <c r="N69" s="100">
        <v>133.5</v>
      </c>
      <c r="O69" s="100">
        <v>0</v>
      </c>
      <c r="P69" s="100">
        <v>0.41</v>
      </c>
      <c r="Q69" s="100">
        <v>10</v>
      </c>
      <c r="R69" s="6"/>
      <c r="S69" s="6"/>
      <c r="T69" s="156"/>
      <c r="U69" s="6"/>
    </row>
    <row r="70" spans="1:21" customFormat="1">
      <c r="A70" s="201" t="s">
        <v>974</v>
      </c>
      <c r="B70" s="100">
        <v>6.22</v>
      </c>
      <c r="C70" s="100">
        <v>14</v>
      </c>
      <c r="D70" s="100">
        <v>12.3</v>
      </c>
      <c r="E70" s="100">
        <v>5.83</v>
      </c>
      <c r="F70" s="100">
        <v>2.0299999999999998</v>
      </c>
      <c r="G70" s="100">
        <v>42.39</v>
      </c>
      <c r="H70" s="100">
        <v>14.23</v>
      </c>
      <c r="I70" s="100">
        <v>6.35</v>
      </c>
      <c r="J70" s="100">
        <v>0.28000000000000003</v>
      </c>
      <c r="K70" s="100">
        <v>238.41</v>
      </c>
      <c r="L70" s="100">
        <v>28.27</v>
      </c>
      <c r="M70" s="100">
        <v>83.72</v>
      </c>
      <c r="N70" s="100">
        <v>100.4</v>
      </c>
      <c r="O70" s="100">
        <v>0</v>
      </c>
      <c r="P70" s="100">
        <v>0.44</v>
      </c>
      <c r="Q70" s="100">
        <v>10</v>
      </c>
      <c r="R70" s="6"/>
      <c r="S70" s="6"/>
      <c r="T70" s="156"/>
      <c r="U70" s="6"/>
    </row>
    <row r="71" spans="1:21" customFormat="1">
      <c r="A71" s="201" t="s">
        <v>975</v>
      </c>
      <c r="B71" s="100">
        <v>6.47</v>
      </c>
      <c r="C71" s="100">
        <v>14</v>
      </c>
      <c r="D71" s="100">
        <v>12.5</v>
      </c>
      <c r="E71" s="100">
        <v>5.83</v>
      </c>
      <c r="F71" s="100">
        <v>2.0099999999999998</v>
      </c>
      <c r="G71" s="100">
        <v>75.69</v>
      </c>
      <c r="H71" s="100">
        <v>34.72</v>
      </c>
      <c r="I71" s="100">
        <v>6.43</v>
      </c>
      <c r="J71" s="100">
        <v>0.5</v>
      </c>
      <c r="K71" s="100">
        <v>234.7</v>
      </c>
      <c r="L71" s="100">
        <v>28.43</v>
      </c>
      <c r="M71" s="100">
        <v>84.06</v>
      </c>
      <c r="N71" s="100">
        <v>148.1</v>
      </c>
      <c r="O71" s="100">
        <v>0</v>
      </c>
      <c r="P71" s="100">
        <v>0.45</v>
      </c>
      <c r="Q71" s="100">
        <v>10</v>
      </c>
      <c r="R71" s="6"/>
      <c r="S71" s="6"/>
      <c r="T71" s="156"/>
      <c r="U71" s="6"/>
    </row>
    <row r="72" spans="1:21" customFormat="1">
      <c r="A72" s="201" t="s">
        <v>976</v>
      </c>
      <c r="B72" s="100">
        <v>6.7</v>
      </c>
      <c r="C72" s="100">
        <v>13.93</v>
      </c>
      <c r="D72" s="100">
        <v>12.65</v>
      </c>
      <c r="E72" s="100">
        <v>5.88</v>
      </c>
      <c r="F72" s="100">
        <v>2.02</v>
      </c>
      <c r="G72" s="100">
        <v>84.01</v>
      </c>
      <c r="H72" s="100">
        <v>34.72</v>
      </c>
      <c r="I72" s="100">
        <v>6.61</v>
      </c>
      <c r="J72" s="100">
        <v>0.61</v>
      </c>
      <c r="K72" s="100">
        <v>233.79</v>
      </c>
      <c r="L72" s="100">
        <v>28.61</v>
      </c>
      <c r="M72" s="100">
        <v>83.84</v>
      </c>
      <c r="N72" s="100">
        <v>96.9</v>
      </c>
      <c r="O72" s="100">
        <v>0</v>
      </c>
      <c r="P72" s="100">
        <v>0.46</v>
      </c>
      <c r="Q72" s="100">
        <v>10</v>
      </c>
      <c r="R72" s="6"/>
      <c r="S72" s="6"/>
      <c r="T72" s="156"/>
      <c r="U72" s="6"/>
    </row>
    <row r="73" spans="1:21" customFormat="1">
      <c r="A73" s="201" t="s">
        <v>977</v>
      </c>
      <c r="B73" s="100">
        <v>6.95</v>
      </c>
      <c r="C73" s="100">
        <v>14.04</v>
      </c>
      <c r="D73" s="100">
        <v>12.91</v>
      </c>
      <c r="E73" s="100">
        <v>5.7</v>
      </c>
      <c r="F73" s="100">
        <v>2</v>
      </c>
      <c r="G73" s="100">
        <v>84.01</v>
      </c>
      <c r="H73" s="100">
        <v>34.72</v>
      </c>
      <c r="I73" s="100">
        <v>6.64</v>
      </c>
      <c r="J73" s="100">
        <v>0.61</v>
      </c>
      <c r="K73" s="100">
        <v>234.3</v>
      </c>
      <c r="L73" s="100">
        <v>28.87</v>
      </c>
      <c r="M73" s="100">
        <v>83.48</v>
      </c>
      <c r="N73" s="100">
        <v>113.4</v>
      </c>
      <c r="O73" s="100">
        <v>0</v>
      </c>
      <c r="P73" s="100">
        <v>0.46</v>
      </c>
      <c r="Q73" s="100">
        <v>10</v>
      </c>
      <c r="R73" s="6"/>
      <c r="S73" s="6"/>
      <c r="T73" s="156"/>
      <c r="U73" s="6"/>
    </row>
    <row r="74" spans="1:21" customFormat="1">
      <c r="A74" s="201" t="s">
        <v>978</v>
      </c>
      <c r="B74" s="100">
        <v>7.04</v>
      </c>
      <c r="C74" s="100">
        <v>13.93</v>
      </c>
      <c r="D74" s="100">
        <v>12.93</v>
      </c>
      <c r="E74" s="100">
        <v>5.93</v>
      </c>
      <c r="F74" s="100">
        <v>2.04</v>
      </c>
      <c r="G74" s="100">
        <v>84.01</v>
      </c>
      <c r="H74" s="100">
        <v>34.72</v>
      </c>
      <c r="I74" s="100">
        <v>6.58</v>
      </c>
      <c r="J74" s="100">
        <v>0.54</v>
      </c>
      <c r="K74" s="100">
        <v>234.26</v>
      </c>
      <c r="L74" s="100">
        <v>29.05</v>
      </c>
      <c r="M74" s="100">
        <v>82.28</v>
      </c>
      <c r="N74" s="100">
        <v>97.2</v>
      </c>
      <c r="O74" s="100">
        <v>0</v>
      </c>
      <c r="P74" s="100">
        <v>0.46</v>
      </c>
      <c r="Q74" s="100">
        <v>10</v>
      </c>
      <c r="R74" s="6"/>
      <c r="S74" s="6"/>
      <c r="T74" s="156"/>
      <c r="U74" s="6"/>
    </row>
    <row r="75" spans="1:21" customFormat="1">
      <c r="A75" s="201" t="s">
        <v>979</v>
      </c>
      <c r="B75" s="100">
        <v>7.15</v>
      </c>
      <c r="C75" s="100">
        <v>13.89</v>
      </c>
      <c r="D75" s="100">
        <v>12.99</v>
      </c>
      <c r="E75" s="100">
        <v>5.87</v>
      </c>
      <c r="F75" s="100">
        <v>2.02</v>
      </c>
      <c r="G75" s="100">
        <v>86.17</v>
      </c>
      <c r="H75" s="100">
        <v>37.29</v>
      </c>
      <c r="I75" s="100">
        <v>6.55</v>
      </c>
      <c r="J75" s="100">
        <v>0.32</v>
      </c>
      <c r="K75" s="100">
        <v>234.53</v>
      </c>
      <c r="L75" s="100">
        <v>28.87</v>
      </c>
      <c r="M75" s="100">
        <v>82.73</v>
      </c>
      <c r="N75" s="100">
        <v>33.9</v>
      </c>
      <c r="O75" s="100">
        <v>0</v>
      </c>
      <c r="P75" s="100">
        <v>0.46</v>
      </c>
      <c r="Q75" s="100">
        <v>10</v>
      </c>
      <c r="R75" s="6"/>
      <c r="S75" s="6"/>
      <c r="T75" s="156"/>
      <c r="U75" s="6"/>
    </row>
    <row r="76" spans="1:21" customFormat="1">
      <c r="A76" s="201" t="s">
        <v>980</v>
      </c>
      <c r="B76" s="100">
        <v>7.34</v>
      </c>
      <c r="C76" s="100">
        <v>13.79</v>
      </c>
      <c r="D76" s="100">
        <v>13.09</v>
      </c>
      <c r="E76" s="100">
        <v>6.01</v>
      </c>
      <c r="F76" s="100">
        <v>2.06</v>
      </c>
      <c r="G76" s="100">
        <v>86.7</v>
      </c>
      <c r="H76" s="100">
        <v>37.29</v>
      </c>
      <c r="I76" s="100">
        <v>6.44</v>
      </c>
      <c r="J76" s="100">
        <v>0.18</v>
      </c>
      <c r="K76" s="100">
        <v>221.05</v>
      </c>
      <c r="L76" s="100">
        <v>28.47</v>
      </c>
      <c r="M76" s="100">
        <v>83.51</v>
      </c>
      <c r="N76" s="100">
        <v>15.8</v>
      </c>
      <c r="O76" s="100">
        <v>0</v>
      </c>
      <c r="P76" s="100">
        <v>0.46</v>
      </c>
      <c r="Q76" s="100">
        <v>10</v>
      </c>
      <c r="R76" s="6"/>
      <c r="S76" s="6"/>
      <c r="T76" s="156"/>
      <c r="U76" s="6"/>
    </row>
    <row r="77" spans="1:21" customFormat="1">
      <c r="A77" s="201" t="s">
        <v>981</v>
      </c>
      <c r="B77" s="100">
        <v>7.46</v>
      </c>
      <c r="C77" s="100">
        <v>13.56</v>
      </c>
      <c r="D77" s="100">
        <v>13.07</v>
      </c>
      <c r="E77" s="100">
        <v>5.91</v>
      </c>
      <c r="F77" s="100">
        <v>2</v>
      </c>
      <c r="G77" s="100">
        <v>86.7</v>
      </c>
      <c r="H77" s="100">
        <v>37.29</v>
      </c>
      <c r="I77" s="100">
        <v>6.37</v>
      </c>
      <c r="J77" s="100">
        <v>0.12</v>
      </c>
      <c r="K77" s="100">
        <v>159.71</v>
      </c>
      <c r="L77" s="100">
        <v>28.12</v>
      </c>
      <c r="M77" s="100">
        <v>85.57</v>
      </c>
      <c r="N77" s="100">
        <v>11.5</v>
      </c>
      <c r="O77" s="100">
        <v>0</v>
      </c>
      <c r="P77" s="100">
        <v>0.45</v>
      </c>
      <c r="Q77" s="100">
        <v>10</v>
      </c>
      <c r="R77" s="6"/>
      <c r="S77" s="6"/>
      <c r="T77" s="156"/>
      <c r="U77" s="6"/>
    </row>
    <row r="78" spans="1:21" customFormat="1">
      <c r="A78" s="201" t="s">
        <v>982</v>
      </c>
      <c r="B78" s="100">
        <v>7.98</v>
      </c>
      <c r="C78" s="100">
        <v>13.81</v>
      </c>
      <c r="D78" s="100">
        <v>13.61</v>
      </c>
      <c r="E78" s="100">
        <v>5.78</v>
      </c>
      <c r="F78" s="100">
        <v>2.54</v>
      </c>
      <c r="G78" s="100">
        <v>86.7</v>
      </c>
      <c r="H78" s="100">
        <v>37.29</v>
      </c>
      <c r="I78" s="100">
        <v>6.28</v>
      </c>
      <c r="J78" s="100">
        <v>0.06</v>
      </c>
      <c r="K78" s="100">
        <v>58.36</v>
      </c>
      <c r="L78" s="100">
        <v>28.06</v>
      </c>
      <c r="M78" s="100">
        <v>84.2</v>
      </c>
      <c r="N78" s="100">
        <v>8</v>
      </c>
      <c r="O78" s="100">
        <v>0</v>
      </c>
      <c r="P78" s="100">
        <v>0.46</v>
      </c>
      <c r="Q78" s="100">
        <v>10</v>
      </c>
      <c r="R78" s="6"/>
      <c r="S78" s="6"/>
      <c r="T78" s="156"/>
      <c r="U78" s="6"/>
    </row>
    <row r="79" spans="1:21" customFormat="1">
      <c r="A79" s="201" t="s">
        <v>983</v>
      </c>
      <c r="B79" s="100">
        <v>7.69</v>
      </c>
      <c r="C79" s="100">
        <v>13.87</v>
      </c>
      <c r="D79" s="100">
        <v>13.41</v>
      </c>
      <c r="E79" s="100">
        <v>5.79</v>
      </c>
      <c r="F79" s="100">
        <v>3.23</v>
      </c>
      <c r="G79" s="100">
        <v>89.57</v>
      </c>
      <c r="H79" s="100">
        <v>32.83</v>
      </c>
      <c r="I79" s="100">
        <v>6.23</v>
      </c>
      <c r="J79" s="100">
        <v>0.21</v>
      </c>
      <c r="K79" s="100">
        <v>164.6</v>
      </c>
      <c r="L79" s="100">
        <v>27.82</v>
      </c>
      <c r="M79" s="100">
        <v>86.07</v>
      </c>
      <c r="N79" s="100">
        <v>6</v>
      </c>
      <c r="O79" s="100">
        <v>0</v>
      </c>
      <c r="P79" s="100">
        <v>0.44</v>
      </c>
      <c r="Q79" s="100">
        <v>10</v>
      </c>
      <c r="R79" s="6"/>
      <c r="S79" s="6"/>
      <c r="T79" s="156"/>
      <c r="U79" s="6"/>
    </row>
    <row r="80" spans="1:21" customFormat="1">
      <c r="A80" s="201" t="s">
        <v>984</v>
      </c>
      <c r="B80" s="100">
        <v>7.94</v>
      </c>
      <c r="C80" s="100">
        <v>13.54</v>
      </c>
      <c r="D80" s="100">
        <v>13.44</v>
      </c>
      <c r="E80" s="100">
        <v>5.88</v>
      </c>
      <c r="F80" s="100">
        <v>2.25</v>
      </c>
      <c r="G80" s="100">
        <v>90.34</v>
      </c>
      <c r="H80" s="100">
        <v>32.83</v>
      </c>
      <c r="I80" s="100">
        <v>6.3</v>
      </c>
      <c r="J80" s="100">
        <v>0.2</v>
      </c>
      <c r="K80" s="100">
        <v>212.36</v>
      </c>
      <c r="L80" s="100">
        <v>27.52</v>
      </c>
      <c r="M80" s="100">
        <v>87.78</v>
      </c>
      <c r="N80" s="100">
        <v>4.0999999999999996</v>
      </c>
      <c r="O80" s="100">
        <v>0</v>
      </c>
      <c r="P80" s="100">
        <v>0.44</v>
      </c>
      <c r="Q80" s="100">
        <v>10</v>
      </c>
      <c r="R80" s="6"/>
      <c r="S80" s="6"/>
      <c r="T80" s="156"/>
      <c r="U80" s="6"/>
    </row>
    <row r="81" spans="1:21" customFormat="1">
      <c r="A81" s="201" t="s">
        <v>985</v>
      </c>
      <c r="B81" s="100">
        <v>8.2200000000000006</v>
      </c>
      <c r="C81" s="100">
        <v>13.58</v>
      </c>
      <c r="D81" s="100">
        <v>13.69</v>
      </c>
      <c r="E81" s="100">
        <v>4.42</v>
      </c>
      <c r="F81" s="100">
        <v>2</v>
      </c>
      <c r="G81" s="100">
        <v>90.34</v>
      </c>
      <c r="H81" s="100">
        <v>32.83</v>
      </c>
      <c r="I81" s="100">
        <v>6.31</v>
      </c>
      <c r="J81" s="100">
        <v>0.2</v>
      </c>
      <c r="K81" s="100">
        <v>172.79</v>
      </c>
      <c r="L81" s="100">
        <v>27.46</v>
      </c>
      <c r="M81" s="100">
        <v>87.42</v>
      </c>
      <c r="N81" s="100">
        <v>3.6</v>
      </c>
      <c r="O81" s="100">
        <v>0</v>
      </c>
      <c r="P81" s="100">
        <v>0.45</v>
      </c>
      <c r="Q81" s="100">
        <v>10</v>
      </c>
      <c r="R81" s="6"/>
      <c r="S81" s="6"/>
      <c r="T81" s="156"/>
      <c r="U81" s="6"/>
    </row>
    <row r="82" spans="1:21" customFormat="1">
      <c r="A82" s="201" t="s">
        <v>986</v>
      </c>
      <c r="B82" s="100">
        <v>8.1</v>
      </c>
      <c r="C82" s="100">
        <v>13.71</v>
      </c>
      <c r="D82" s="100">
        <v>13.66</v>
      </c>
      <c r="E82" s="100">
        <v>4.96</v>
      </c>
      <c r="F82" s="100">
        <v>2.2000000000000002</v>
      </c>
      <c r="G82" s="100">
        <v>90.34</v>
      </c>
      <c r="H82" s="100">
        <v>32.83</v>
      </c>
      <c r="I82" s="100">
        <v>6.42</v>
      </c>
      <c r="J82" s="100">
        <v>0.19</v>
      </c>
      <c r="K82" s="100">
        <v>167.86</v>
      </c>
      <c r="L82" s="100">
        <v>27.43</v>
      </c>
      <c r="M82" s="100">
        <v>87.97</v>
      </c>
      <c r="N82" s="100">
        <v>2.6</v>
      </c>
      <c r="O82" s="100">
        <v>0</v>
      </c>
      <c r="P82" s="100">
        <v>0.46</v>
      </c>
      <c r="Q82" s="100">
        <v>10</v>
      </c>
      <c r="R82" s="6"/>
      <c r="S82" s="6"/>
      <c r="T82" s="156"/>
      <c r="U82" s="6"/>
    </row>
    <row r="83" spans="1:21" customFormat="1">
      <c r="A83" s="201" t="s">
        <v>987</v>
      </c>
      <c r="B83" s="100">
        <v>8.35</v>
      </c>
      <c r="C83" s="100">
        <v>13.51</v>
      </c>
      <c r="D83" s="100">
        <v>13.75</v>
      </c>
      <c r="E83" s="100">
        <v>5.15</v>
      </c>
      <c r="F83" s="100">
        <v>2.14</v>
      </c>
      <c r="G83" s="100">
        <v>90.51</v>
      </c>
      <c r="H83" s="100">
        <v>29.56</v>
      </c>
      <c r="I83" s="100">
        <v>6.55</v>
      </c>
      <c r="J83" s="100">
        <v>0.18</v>
      </c>
      <c r="K83" s="100">
        <v>176.07</v>
      </c>
      <c r="L83" s="100">
        <v>27.47</v>
      </c>
      <c r="M83" s="100">
        <v>87.32</v>
      </c>
      <c r="N83" s="100">
        <v>2.5</v>
      </c>
      <c r="O83" s="100">
        <v>0</v>
      </c>
      <c r="P83" s="100">
        <v>0.46</v>
      </c>
      <c r="Q83" s="100">
        <v>10</v>
      </c>
      <c r="R83" s="6"/>
      <c r="S83" s="6"/>
      <c r="T83" s="156"/>
      <c r="U83" s="6"/>
    </row>
    <row r="84" spans="1:21" customFormat="1">
      <c r="A84" s="201" t="s">
        <v>988</v>
      </c>
      <c r="B84" s="100">
        <v>8.58</v>
      </c>
      <c r="C84" s="100">
        <v>13.08</v>
      </c>
      <c r="D84" s="100">
        <v>13.71</v>
      </c>
      <c r="E84" s="100">
        <v>5.17</v>
      </c>
      <c r="F84" s="100">
        <v>2</v>
      </c>
      <c r="G84" s="100">
        <v>90.55</v>
      </c>
      <c r="H84" s="100">
        <v>29.56</v>
      </c>
      <c r="I84" s="100">
        <v>6.63</v>
      </c>
      <c r="J84" s="100">
        <v>0.25</v>
      </c>
      <c r="K84" s="100">
        <v>165.21</v>
      </c>
      <c r="L84" s="100">
        <v>27.34</v>
      </c>
      <c r="M84" s="100">
        <v>89.38</v>
      </c>
      <c r="N84" s="100">
        <v>2.2999999999999998</v>
      </c>
      <c r="O84" s="100">
        <v>0</v>
      </c>
      <c r="P84" s="100">
        <v>0.45</v>
      </c>
      <c r="Q84" s="100">
        <v>10</v>
      </c>
      <c r="R84" s="6"/>
      <c r="S84" s="6"/>
      <c r="T84" s="156"/>
      <c r="U84" s="6"/>
    </row>
    <row r="85" spans="1:21" customFormat="1">
      <c r="A85" s="201" t="s">
        <v>989</v>
      </c>
      <c r="B85" s="100">
        <v>8.2899999999999991</v>
      </c>
      <c r="C85" s="100">
        <v>12.65</v>
      </c>
      <c r="D85" s="100">
        <v>13.26</v>
      </c>
      <c r="E85" s="100">
        <v>5.05</v>
      </c>
      <c r="F85" s="100">
        <v>2.29</v>
      </c>
      <c r="G85" s="100">
        <v>90.55</v>
      </c>
      <c r="H85" s="100">
        <v>29.56</v>
      </c>
      <c r="I85" s="100">
        <v>6.69</v>
      </c>
      <c r="J85" s="100">
        <v>0.12</v>
      </c>
      <c r="K85" s="100">
        <v>175.08</v>
      </c>
      <c r="L85" s="100">
        <v>27.23</v>
      </c>
      <c r="M85" s="100">
        <v>89.82</v>
      </c>
      <c r="N85" s="100">
        <v>2.4</v>
      </c>
      <c r="O85" s="100">
        <v>0</v>
      </c>
      <c r="P85" s="100">
        <v>0.46</v>
      </c>
      <c r="Q85" s="100">
        <v>10</v>
      </c>
      <c r="R85" s="6"/>
      <c r="S85" s="6"/>
      <c r="T85" s="156"/>
      <c r="U85" s="6"/>
    </row>
    <row r="86" spans="1:21" customFormat="1">
      <c r="A86" s="201" t="s">
        <v>990</v>
      </c>
      <c r="B86" s="100">
        <v>8.6</v>
      </c>
      <c r="C86" s="100">
        <v>12.46</v>
      </c>
      <c r="D86" s="100">
        <v>13.4</v>
      </c>
      <c r="E86" s="100">
        <v>4.8</v>
      </c>
      <c r="F86" s="100">
        <v>2.2400000000000002</v>
      </c>
      <c r="G86" s="100">
        <v>90.55</v>
      </c>
      <c r="H86" s="100">
        <v>29.56</v>
      </c>
      <c r="I86" s="100">
        <v>6.63</v>
      </c>
      <c r="J86" s="100">
        <v>0.11</v>
      </c>
      <c r="K86" s="100">
        <v>198.59</v>
      </c>
      <c r="L86" s="100">
        <v>26.99</v>
      </c>
      <c r="M86" s="100">
        <v>89.8</v>
      </c>
      <c r="N86" s="100">
        <v>2.4</v>
      </c>
      <c r="O86" s="100">
        <v>0</v>
      </c>
      <c r="P86" s="100">
        <v>0.46</v>
      </c>
      <c r="Q86" s="100">
        <v>10</v>
      </c>
      <c r="R86" s="6"/>
      <c r="S86" s="6"/>
      <c r="T86" s="156"/>
      <c r="U86" s="6"/>
    </row>
    <row r="87" spans="1:21" customFormat="1">
      <c r="A87" s="201" t="s">
        <v>991</v>
      </c>
      <c r="B87" s="100">
        <v>8.2899999999999991</v>
      </c>
      <c r="C87" s="100">
        <v>12.49</v>
      </c>
      <c r="D87" s="100">
        <v>13.18</v>
      </c>
      <c r="E87" s="100">
        <v>4.41</v>
      </c>
      <c r="F87" s="100">
        <v>2.17</v>
      </c>
      <c r="G87" s="100">
        <v>82</v>
      </c>
      <c r="H87" s="100">
        <v>31.9</v>
      </c>
      <c r="I87" s="100">
        <v>6.65</v>
      </c>
      <c r="J87" s="100">
        <v>0.16</v>
      </c>
      <c r="K87" s="100">
        <v>224.9</v>
      </c>
      <c r="L87" s="100">
        <v>26.93</v>
      </c>
      <c r="M87" s="100">
        <v>89.58</v>
      </c>
      <c r="N87" s="100">
        <v>2.2999999999999998</v>
      </c>
      <c r="O87" s="100">
        <v>0</v>
      </c>
      <c r="P87" s="100">
        <v>0.49</v>
      </c>
      <c r="Q87" s="100">
        <v>10</v>
      </c>
      <c r="R87" s="6"/>
      <c r="S87" s="6"/>
      <c r="T87" s="156"/>
      <c r="U87" s="6"/>
    </row>
    <row r="88" spans="1:21" customFormat="1">
      <c r="A88" s="201" t="s">
        <v>992</v>
      </c>
      <c r="B88" s="100">
        <v>8.68</v>
      </c>
      <c r="C88" s="100">
        <v>12.64</v>
      </c>
      <c r="D88" s="100">
        <v>13.57</v>
      </c>
      <c r="E88" s="100">
        <v>4.6900000000000004</v>
      </c>
      <c r="F88" s="100">
        <v>2.2999999999999998</v>
      </c>
      <c r="G88" s="100">
        <v>79.86</v>
      </c>
      <c r="H88" s="100">
        <v>31.9</v>
      </c>
      <c r="I88" s="100">
        <v>6.83</v>
      </c>
      <c r="J88" s="100">
        <v>0.35</v>
      </c>
      <c r="K88" s="100">
        <v>233.73</v>
      </c>
      <c r="L88" s="100">
        <v>27.1</v>
      </c>
      <c r="M88" s="100">
        <v>89.5</v>
      </c>
      <c r="N88" s="100">
        <v>2.1</v>
      </c>
      <c r="O88" s="100">
        <v>0</v>
      </c>
      <c r="P88" s="100">
        <v>0.48</v>
      </c>
      <c r="Q88" s="100">
        <v>10</v>
      </c>
      <c r="R88" s="6"/>
      <c r="S88" s="6"/>
      <c r="T88" s="156"/>
      <c r="U88" s="6"/>
    </row>
    <row r="89" spans="1:21" customFormat="1">
      <c r="A89" s="201" t="s">
        <v>993</v>
      </c>
      <c r="B89" s="100">
        <v>9.16</v>
      </c>
      <c r="C89" s="100">
        <v>12.82</v>
      </c>
      <c r="D89" s="100">
        <v>14.05</v>
      </c>
      <c r="E89" s="100">
        <v>4.8099999999999996</v>
      </c>
      <c r="F89" s="100">
        <v>2.0299999999999998</v>
      </c>
      <c r="G89" s="100">
        <v>79.86</v>
      </c>
      <c r="H89" s="100">
        <v>31.9</v>
      </c>
      <c r="I89" s="100">
        <v>7.04</v>
      </c>
      <c r="J89" s="100">
        <v>0.32</v>
      </c>
      <c r="K89" s="100">
        <v>233.62</v>
      </c>
      <c r="L89" s="100">
        <v>27.18</v>
      </c>
      <c r="M89" s="100">
        <v>88.65</v>
      </c>
      <c r="N89" s="100">
        <v>2.1</v>
      </c>
      <c r="O89" s="100">
        <v>0</v>
      </c>
      <c r="P89" s="100">
        <v>0.48</v>
      </c>
      <c r="Q89" s="100">
        <v>10</v>
      </c>
      <c r="R89" s="6"/>
      <c r="S89" s="6"/>
      <c r="T89" s="156"/>
      <c r="U89" s="6"/>
    </row>
    <row r="90" spans="1:21" customFormat="1">
      <c r="A90" s="201" t="s">
        <v>994</v>
      </c>
      <c r="B90" s="100">
        <v>9.65</v>
      </c>
      <c r="C90" s="100">
        <v>12.82</v>
      </c>
      <c r="D90" s="100">
        <v>14.43</v>
      </c>
      <c r="E90" s="100">
        <v>5.12</v>
      </c>
      <c r="F90" s="100">
        <v>2.09</v>
      </c>
      <c r="G90" s="100">
        <v>79.86</v>
      </c>
      <c r="H90" s="100">
        <v>31.9</v>
      </c>
      <c r="I90" s="100">
        <v>7.14</v>
      </c>
      <c r="J90" s="100">
        <v>0.16</v>
      </c>
      <c r="K90" s="100">
        <v>192.79</v>
      </c>
      <c r="L90" s="100">
        <v>27.2</v>
      </c>
      <c r="M90" s="100">
        <v>88.21</v>
      </c>
      <c r="N90" s="100">
        <v>2.2999999999999998</v>
      </c>
      <c r="O90" s="100">
        <v>0</v>
      </c>
      <c r="P90" s="100">
        <v>0.5</v>
      </c>
      <c r="Q90" s="100">
        <v>10</v>
      </c>
      <c r="R90" s="6"/>
      <c r="S90" s="6"/>
      <c r="T90" s="156"/>
      <c r="U90" s="6"/>
    </row>
    <row r="91" spans="1:21" customFormat="1">
      <c r="A91" s="201" t="s">
        <v>995</v>
      </c>
      <c r="B91" s="100">
        <v>9.61</v>
      </c>
      <c r="C91" s="100">
        <v>12.92</v>
      </c>
      <c r="D91" s="100">
        <v>14.46</v>
      </c>
      <c r="E91" s="100">
        <v>4.8099999999999996</v>
      </c>
      <c r="F91" s="100">
        <v>2.1800000000000002</v>
      </c>
      <c r="G91" s="100">
        <v>78.069999999999993</v>
      </c>
      <c r="H91" s="100">
        <v>31.27</v>
      </c>
      <c r="I91" s="100">
        <v>7.16</v>
      </c>
      <c r="J91" s="100">
        <v>0.11</v>
      </c>
      <c r="K91" s="100">
        <v>181.69</v>
      </c>
      <c r="L91" s="100">
        <v>26.87</v>
      </c>
      <c r="M91" s="100">
        <v>89.33</v>
      </c>
      <c r="N91" s="100">
        <v>2.5</v>
      </c>
      <c r="O91" s="100">
        <v>0</v>
      </c>
      <c r="P91" s="100">
        <v>0.5</v>
      </c>
      <c r="Q91" s="100">
        <v>10</v>
      </c>
      <c r="R91" s="6"/>
      <c r="S91" s="6"/>
      <c r="T91" s="156"/>
      <c r="U91" s="6"/>
    </row>
    <row r="92" spans="1:21" customFormat="1">
      <c r="A92" s="201" t="s">
        <v>996</v>
      </c>
      <c r="B92" s="100">
        <v>10.17</v>
      </c>
      <c r="C92" s="100">
        <v>12.64</v>
      </c>
      <c r="D92" s="100">
        <v>14.76</v>
      </c>
      <c r="E92" s="100">
        <v>5.07</v>
      </c>
      <c r="F92" s="100">
        <v>2</v>
      </c>
      <c r="G92" s="100">
        <v>77.62</v>
      </c>
      <c r="H92" s="100">
        <v>31.27</v>
      </c>
      <c r="I92" s="100">
        <v>7.07</v>
      </c>
      <c r="J92" s="100">
        <v>0.09</v>
      </c>
      <c r="K92" s="100">
        <v>141.71</v>
      </c>
      <c r="L92" s="100">
        <v>26.66</v>
      </c>
      <c r="M92" s="100">
        <v>89.61</v>
      </c>
      <c r="N92" s="100">
        <v>2.2999999999999998</v>
      </c>
      <c r="O92" s="100">
        <v>0</v>
      </c>
      <c r="P92" s="100">
        <v>0.51</v>
      </c>
      <c r="Q92" s="100">
        <v>10</v>
      </c>
      <c r="R92" s="6"/>
      <c r="S92" s="6"/>
      <c r="T92" s="156"/>
      <c r="U92" s="6"/>
    </row>
    <row r="93" spans="1:21" customFormat="1">
      <c r="A93" s="201" t="s">
        <v>997</v>
      </c>
      <c r="B93" s="100">
        <v>10.58</v>
      </c>
      <c r="C93" s="100">
        <v>12.58</v>
      </c>
      <c r="D93" s="100">
        <v>15.05</v>
      </c>
      <c r="E93" s="100">
        <v>4.75</v>
      </c>
      <c r="F93" s="100">
        <v>2</v>
      </c>
      <c r="G93" s="100">
        <v>77.62</v>
      </c>
      <c r="H93" s="100">
        <v>31.27</v>
      </c>
      <c r="I93" s="100">
        <v>7.04</v>
      </c>
      <c r="J93" s="100">
        <v>0.14000000000000001</v>
      </c>
      <c r="K93" s="100">
        <v>191.18</v>
      </c>
      <c r="L93" s="100">
        <v>26.52</v>
      </c>
      <c r="M93" s="100">
        <v>90.3</v>
      </c>
      <c r="N93" s="100">
        <v>2.2999999999999998</v>
      </c>
      <c r="O93" s="100">
        <v>0</v>
      </c>
      <c r="P93" s="100">
        <v>0.51</v>
      </c>
      <c r="Q93" s="100">
        <v>10</v>
      </c>
      <c r="R93" s="6"/>
      <c r="S93" s="6"/>
      <c r="T93" s="156"/>
      <c r="U93" s="6"/>
    </row>
    <row r="94" spans="1:21" customFormat="1">
      <c r="A94" s="201" t="s">
        <v>998</v>
      </c>
      <c r="B94" s="100">
        <v>10.74</v>
      </c>
      <c r="C94" s="100">
        <v>12.6</v>
      </c>
      <c r="D94" s="100">
        <v>15.2</v>
      </c>
      <c r="E94" s="100">
        <v>4.78</v>
      </c>
      <c r="F94" s="100">
        <v>2</v>
      </c>
      <c r="G94" s="100">
        <v>77.62</v>
      </c>
      <c r="H94" s="100">
        <v>31.27</v>
      </c>
      <c r="I94" s="100">
        <v>7.11</v>
      </c>
      <c r="J94" s="100">
        <v>0.15</v>
      </c>
      <c r="K94" s="100">
        <v>191.78</v>
      </c>
      <c r="L94" s="100">
        <v>26.36</v>
      </c>
      <c r="M94" s="100">
        <v>89.9</v>
      </c>
      <c r="N94" s="100">
        <v>2.1</v>
      </c>
      <c r="O94" s="100">
        <v>0</v>
      </c>
      <c r="P94" s="100">
        <v>0.51</v>
      </c>
      <c r="Q94" s="100">
        <v>10</v>
      </c>
      <c r="R94" s="6"/>
      <c r="S94" s="6"/>
      <c r="T94" s="156"/>
      <c r="U94" s="6"/>
    </row>
    <row r="95" spans="1:21" customFormat="1">
      <c r="A95" s="201" t="s">
        <v>999</v>
      </c>
      <c r="B95" s="100">
        <v>10.52</v>
      </c>
      <c r="C95" s="100">
        <v>12.5</v>
      </c>
      <c r="D95" s="100">
        <v>14.97</v>
      </c>
      <c r="E95" s="100">
        <v>4.96</v>
      </c>
      <c r="F95" s="100">
        <v>2</v>
      </c>
      <c r="G95" s="100">
        <v>81.44</v>
      </c>
      <c r="H95" s="100">
        <v>23.54</v>
      </c>
      <c r="I95" s="100">
        <v>7.12</v>
      </c>
      <c r="J95" s="100">
        <v>0.12</v>
      </c>
      <c r="K95" s="100">
        <v>117.54</v>
      </c>
      <c r="L95" s="100">
        <v>26.29</v>
      </c>
      <c r="M95" s="100">
        <v>89.77</v>
      </c>
      <c r="N95" s="100">
        <v>2.1</v>
      </c>
      <c r="O95" s="100">
        <v>0</v>
      </c>
      <c r="P95" s="100">
        <v>0.53</v>
      </c>
      <c r="Q95" s="100">
        <v>10</v>
      </c>
      <c r="R95" s="6"/>
      <c r="S95" s="6"/>
      <c r="T95" s="156"/>
      <c r="U95" s="6"/>
    </row>
    <row r="96" spans="1:21" customFormat="1">
      <c r="A96" s="201" t="s">
        <v>1000</v>
      </c>
      <c r="B96" s="100">
        <v>10.71</v>
      </c>
      <c r="C96" s="100">
        <v>12.44</v>
      </c>
      <c r="D96" s="100">
        <v>15.09</v>
      </c>
      <c r="E96" s="100">
        <v>5.09</v>
      </c>
      <c r="F96" s="100">
        <v>2</v>
      </c>
      <c r="G96" s="100">
        <v>82.4</v>
      </c>
      <c r="H96" s="100">
        <v>23.54</v>
      </c>
      <c r="I96" s="100">
        <v>7.16</v>
      </c>
      <c r="J96" s="100">
        <v>0.12</v>
      </c>
      <c r="K96" s="100">
        <v>171.87</v>
      </c>
      <c r="L96" s="100">
        <v>26.27</v>
      </c>
      <c r="M96" s="100">
        <v>89.61</v>
      </c>
      <c r="N96" s="100">
        <v>2.1</v>
      </c>
      <c r="O96" s="100">
        <v>0</v>
      </c>
      <c r="P96" s="100">
        <v>0.55000000000000004</v>
      </c>
      <c r="Q96" s="100">
        <v>10</v>
      </c>
      <c r="R96" s="6"/>
      <c r="S96" s="6"/>
      <c r="T96" s="156"/>
      <c r="U96" s="6"/>
    </row>
    <row r="97" spans="1:28" customFormat="1">
      <c r="A97" s="201" t="s">
        <v>1001</v>
      </c>
      <c r="B97" s="100">
        <v>10.53</v>
      </c>
      <c r="C97" s="100">
        <v>12.5</v>
      </c>
      <c r="D97" s="100">
        <v>14.98</v>
      </c>
      <c r="E97" s="100">
        <v>5.0999999999999996</v>
      </c>
      <c r="F97" s="100">
        <v>2</v>
      </c>
      <c r="G97" s="100">
        <v>82.4</v>
      </c>
      <c r="H97" s="100">
        <v>23.54</v>
      </c>
      <c r="I97" s="100">
        <v>7.2</v>
      </c>
      <c r="J97" s="100">
        <v>0.14000000000000001</v>
      </c>
      <c r="K97" s="100">
        <v>227.56</v>
      </c>
      <c r="L97" s="100">
        <v>26.17</v>
      </c>
      <c r="M97" s="100">
        <v>89.71</v>
      </c>
      <c r="N97" s="100">
        <v>2.1</v>
      </c>
      <c r="O97" s="100">
        <v>0</v>
      </c>
      <c r="P97" s="100">
        <v>0.56000000000000005</v>
      </c>
      <c r="Q97" s="100">
        <v>10</v>
      </c>
      <c r="R97" s="6"/>
      <c r="S97" s="6"/>
      <c r="T97" s="156"/>
      <c r="U97" s="6"/>
    </row>
    <row r="98" spans="1:28" customFormat="1">
      <c r="A98" s="201" t="s">
        <v>1002</v>
      </c>
      <c r="B98" s="100">
        <v>10.35</v>
      </c>
      <c r="C98" s="100">
        <v>12.43</v>
      </c>
      <c r="D98" s="100">
        <v>14.79</v>
      </c>
      <c r="E98" s="100">
        <v>4.87</v>
      </c>
      <c r="F98" s="100">
        <v>2</v>
      </c>
      <c r="G98" s="100">
        <v>82.4</v>
      </c>
      <c r="H98" s="100">
        <v>23.54</v>
      </c>
      <c r="I98" s="100">
        <v>7.25</v>
      </c>
      <c r="J98" s="100">
        <v>0.09</v>
      </c>
      <c r="K98" s="100">
        <v>206.77</v>
      </c>
      <c r="L98" s="100">
        <v>26.17</v>
      </c>
      <c r="M98" s="100">
        <v>89.61</v>
      </c>
      <c r="N98" s="100">
        <v>2.1</v>
      </c>
      <c r="O98" s="100">
        <v>0</v>
      </c>
      <c r="P98" s="100">
        <v>0.56999999999999995</v>
      </c>
      <c r="Q98" s="100">
        <v>10</v>
      </c>
      <c r="R98" s="6"/>
      <c r="S98" s="6"/>
      <c r="T98" s="156"/>
      <c r="U98" s="6"/>
    </row>
    <row r="99" spans="1:28" customFormat="1">
      <c r="A99" s="201" t="s">
        <v>1003</v>
      </c>
      <c r="B99" s="100">
        <v>10.14</v>
      </c>
      <c r="C99" s="100">
        <v>12.26</v>
      </c>
      <c r="D99" s="100">
        <v>14.54</v>
      </c>
      <c r="E99" s="100">
        <v>5</v>
      </c>
      <c r="F99" s="100">
        <v>2</v>
      </c>
      <c r="G99" s="100">
        <v>73.400000000000006</v>
      </c>
      <c r="H99" s="100">
        <v>28.08</v>
      </c>
      <c r="I99" s="100">
        <v>7.35</v>
      </c>
      <c r="J99" s="100">
        <v>0.06</v>
      </c>
      <c r="K99" s="100">
        <v>219.44</v>
      </c>
      <c r="L99" s="100">
        <v>26.26</v>
      </c>
      <c r="M99" s="100">
        <v>89.71</v>
      </c>
      <c r="N99" s="100">
        <v>2</v>
      </c>
      <c r="O99" s="100">
        <v>0</v>
      </c>
      <c r="P99" s="100">
        <v>0.56999999999999995</v>
      </c>
      <c r="Q99" s="100">
        <v>10</v>
      </c>
      <c r="R99" s="6"/>
      <c r="S99" s="6"/>
      <c r="T99" s="156"/>
      <c r="U99" s="6"/>
    </row>
    <row r="100" spans="1:28" customFormat="1">
      <c r="A100" s="201" t="s">
        <v>1004</v>
      </c>
      <c r="B100" s="100">
        <v>9.93</v>
      </c>
      <c r="C100" s="100">
        <v>12.24</v>
      </c>
      <c r="D100" s="100">
        <v>14.36</v>
      </c>
      <c r="E100" s="100">
        <v>4.96</v>
      </c>
      <c r="F100" s="100">
        <v>2</v>
      </c>
      <c r="G100" s="100">
        <v>71.150000000000006</v>
      </c>
      <c r="H100" s="100">
        <v>28.08</v>
      </c>
      <c r="I100" s="100">
        <v>7.43</v>
      </c>
      <c r="J100" s="100">
        <v>0.08</v>
      </c>
      <c r="K100" s="100">
        <v>185.58</v>
      </c>
      <c r="L100" s="100">
        <v>26.25</v>
      </c>
      <c r="M100" s="100">
        <v>89.79</v>
      </c>
      <c r="N100" s="100">
        <v>2</v>
      </c>
      <c r="O100" s="100">
        <v>0</v>
      </c>
      <c r="P100" s="100">
        <v>0.55000000000000004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1005</v>
      </c>
      <c r="B101" s="100">
        <v>9.74</v>
      </c>
      <c r="C101" s="100">
        <v>12.19</v>
      </c>
      <c r="D101" s="100">
        <v>14.18</v>
      </c>
      <c r="E101" s="100">
        <v>5.19</v>
      </c>
      <c r="F101" s="100">
        <v>2</v>
      </c>
      <c r="G101" s="100">
        <v>71.150000000000006</v>
      </c>
      <c r="H101" s="100">
        <v>28.08</v>
      </c>
      <c r="I101" s="100">
        <v>7.44</v>
      </c>
      <c r="J101" s="100">
        <v>0.23</v>
      </c>
      <c r="K101" s="100">
        <v>228.59</v>
      </c>
      <c r="L101" s="100">
        <v>26.25</v>
      </c>
      <c r="M101" s="100">
        <v>89.8</v>
      </c>
      <c r="N101" s="100">
        <v>2</v>
      </c>
      <c r="O101" s="100">
        <v>0</v>
      </c>
      <c r="P101" s="100">
        <v>0.54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1006</v>
      </c>
      <c r="B102" s="100">
        <v>9.5399999999999991</v>
      </c>
      <c r="C102" s="100">
        <v>11.99</v>
      </c>
      <c r="D102" s="100">
        <v>13.91</v>
      </c>
      <c r="E102" s="100">
        <v>5.46</v>
      </c>
      <c r="F102" s="100">
        <v>2</v>
      </c>
      <c r="G102" s="100">
        <v>71.150000000000006</v>
      </c>
      <c r="H102" s="100">
        <v>28.08</v>
      </c>
      <c r="I102" s="100">
        <v>7.33</v>
      </c>
      <c r="J102" s="100">
        <v>0.16</v>
      </c>
      <c r="K102" s="100">
        <v>221.61</v>
      </c>
      <c r="L102" s="100">
        <v>26.08</v>
      </c>
      <c r="M102" s="100">
        <v>89.95</v>
      </c>
      <c r="N102" s="100">
        <v>2.1</v>
      </c>
      <c r="O102" s="100">
        <v>0</v>
      </c>
      <c r="P102" s="100">
        <v>0.53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1007</v>
      </c>
      <c r="B103" s="100">
        <v>9.3000000000000007</v>
      </c>
      <c r="C103" s="100">
        <v>11.85</v>
      </c>
      <c r="D103" s="100">
        <v>13.65</v>
      </c>
      <c r="E103" s="100">
        <v>5.39</v>
      </c>
      <c r="F103" s="100">
        <v>2</v>
      </c>
      <c r="G103" s="100">
        <v>58.72</v>
      </c>
      <c r="H103" s="100">
        <v>20.27</v>
      </c>
      <c r="I103" s="100">
        <v>7.17</v>
      </c>
      <c r="J103" s="100">
        <v>0.16</v>
      </c>
      <c r="K103" s="100">
        <v>226.83</v>
      </c>
      <c r="L103" s="100">
        <v>25.84</v>
      </c>
      <c r="M103" s="100">
        <v>90.13</v>
      </c>
      <c r="N103" s="100">
        <v>2.2999999999999998</v>
      </c>
      <c r="O103" s="100">
        <v>0</v>
      </c>
      <c r="P103" s="100">
        <v>0.51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1008</v>
      </c>
      <c r="B104" s="100">
        <v>9.07</v>
      </c>
      <c r="C104" s="100">
        <v>11.75</v>
      </c>
      <c r="D104" s="100">
        <v>13.42</v>
      </c>
      <c r="E104" s="100">
        <v>5.47</v>
      </c>
      <c r="F104" s="100">
        <v>2</v>
      </c>
      <c r="G104" s="100">
        <v>55.61</v>
      </c>
      <c r="H104" s="100">
        <v>20.27</v>
      </c>
      <c r="I104" s="100">
        <v>7</v>
      </c>
      <c r="J104" s="100">
        <v>0.11</v>
      </c>
      <c r="K104" s="100">
        <v>213.67</v>
      </c>
      <c r="L104" s="100">
        <v>25.58</v>
      </c>
      <c r="M104" s="100">
        <v>90.12</v>
      </c>
      <c r="N104" s="100">
        <v>2.2000000000000002</v>
      </c>
      <c r="O104" s="100">
        <v>0</v>
      </c>
      <c r="P104" s="100">
        <v>0.49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4.37</v>
      </c>
      <c r="C106" s="158">
        <f>MIN(C9:C104)</f>
        <v>10.71</v>
      </c>
      <c r="D106" s="158">
        <f t="shared" ref="D106:Q106" si="0">MIN(D9:D104)</f>
        <v>10.47</v>
      </c>
      <c r="E106" s="158">
        <f t="shared" si="0"/>
        <v>3.87</v>
      </c>
      <c r="F106" s="158">
        <f t="shared" si="0"/>
        <v>2</v>
      </c>
      <c r="G106" s="158">
        <f t="shared" si="0"/>
        <v>7.43</v>
      </c>
      <c r="H106" s="158">
        <f t="shared" si="0"/>
        <v>5.62</v>
      </c>
      <c r="I106" s="158">
        <f t="shared" si="0"/>
        <v>3.82</v>
      </c>
      <c r="J106" s="158">
        <f t="shared" si="0"/>
        <v>0.06</v>
      </c>
      <c r="K106" s="158">
        <f t="shared" si="0"/>
        <v>58.36</v>
      </c>
      <c r="L106" s="158">
        <f t="shared" si="0"/>
        <v>24.6</v>
      </c>
      <c r="M106" s="158">
        <f t="shared" si="0"/>
        <v>70.08</v>
      </c>
      <c r="N106" s="158">
        <f t="shared" si="0"/>
        <v>2</v>
      </c>
      <c r="O106" s="158">
        <f t="shared" si="0"/>
        <v>0</v>
      </c>
      <c r="P106" s="158">
        <f t="shared" si="0"/>
        <v>0.19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10.74</v>
      </c>
      <c r="C107" s="157">
        <f t="shared" ref="C107:Q107" si="1">MAX(C9:C104)</f>
        <v>14.04</v>
      </c>
      <c r="D107" s="157">
        <f t="shared" si="1"/>
        <v>15.2</v>
      </c>
      <c r="E107" s="157">
        <f t="shared" si="1"/>
        <v>6.42</v>
      </c>
      <c r="F107" s="157">
        <f t="shared" si="1"/>
        <v>3.84</v>
      </c>
      <c r="G107" s="157">
        <f t="shared" si="1"/>
        <v>90.55</v>
      </c>
      <c r="H107" s="157">
        <f t="shared" si="1"/>
        <v>37.29</v>
      </c>
      <c r="I107" s="157">
        <f t="shared" si="1"/>
        <v>7.44</v>
      </c>
      <c r="J107" s="157">
        <f t="shared" si="1"/>
        <v>1.0900000000000001</v>
      </c>
      <c r="K107" s="157">
        <f t="shared" si="1"/>
        <v>327.43</v>
      </c>
      <c r="L107" s="157">
        <f t="shared" si="1"/>
        <v>31.98</v>
      </c>
      <c r="M107" s="157">
        <f t="shared" si="1"/>
        <v>92.89</v>
      </c>
      <c r="N107" s="157">
        <f t="shared" si="1"/>
        <v>701.5</v>
      </c>
      <c r="O107" s="157">
        <f t="shared" si="1"/>
        <v>9.6</v>
      </c>
      <c r="P107" s="157">
        <f t="shared" si="1"/>
        <v>0.56999999999999995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7.231562499999999</v>
      </c>
      <c r="C108" s="158">
        <f t="shared" ref="C108:Q108" si="2">AVERAGE(C9:C104)</f>
        <v>12.307604166666664</v>
      </c>
      <c r="D108" s="158">
        <f t="shared" si="2"/>
        <v>12.229791666666666</v>
      </c>
      <c r="E108" s="158">
        <f t="shared" si="2"/>
        <v>5.5672916666666694</v>
      </c>
      <c r="F108" s="158">
        <f t="shared" si="2"/>
        <v>2.1353124999999999</v>
      </c>
      <c r="G108" s="158">
        <f t="shared" si="2"/>
        <v>41.952500000000029</v>
      </c>
      <c r="H108" s="158">
        <f t="shared" si="2"/>
        <v>17.252291666666665</v>
      </c>
      <c r="I108" s="158">
        <f t="shared" si="2"/>
        <v>5.6516666666666699</v>
      </c>
      <c r="J108" s="158">
        <f t="shared" si="2"/>
        <v>0.24781250000000002</v>
      </c>
      <c r="K108" s="158">
        <f t="shared" si="2"/>
        <v>207.30395833333333</v>
      </c>
      <c r="L108" s="158">
        <f t="shared" si="2"/>
        <v>26.81937499999999</v>
      </c>
      <c r="M108" s="158">
        <f t="shared" si="2"/>
        <v>87.329583333333332</v>
      </c>
      <c r="N108" s="158">
        <f t="shared" si="2"/>
        <v>83.534375000000026</v>
      </c>
      <c r="O108" s="158">
        <f t="shared" si="2"/>
        <v>0.15416666666666665</v>
      </c>
      <c r="P108" s="158">
        <f t="shared" si="2"/>
        <v>0.34885416666666691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1.5859244875665337</v>
      </c>
      <c r="C109" s="158">
        <f t="shared" ref="C109:Q109" si="3">STDEV(C9:C104)</f>
        <v>1.0184443707947473</v>
      </c>
      <c r="D109" s="158">
        <f t="shared" si="3"/>
        <v>1.344726134643407</v>
      </c>
      <c r="E109" s="158">
        <f t="shared" si="3"/>
        <v>0.52866958971338562</v>
      </c>
      <c r="F109" s="158">
        <f t="shared" si="3"/>
        <v>0.34116812686632109</v>
      </c>
      <c r="G109" s="158">
        <f t="shared" si="3"/>
        <v>31.194109464178581</v>
      </c>
      <c r="H109" s="158">
        <f t="shared" si="3"/>
        <v>10.71833947068165</v>
      </c>
      <c r="I109" s="158">
        <f t="shared" si="3"/>
        <v>1.2429562948379009</v>
      </c>
      <c r="J109" s="158">
        <f t="shared" si="3"/>
        <v>0.19175753947985585</v>
      </c>
      <c r="K109" s="158">
        <f t="shared" si="3"/>
        <v>35.552941472184308</v>
      </c>
      <c r="L109" s="158">
        <f t="shared" si="3"/>
        <v>1.8790870193569511</v>
      </c>
      <c r="M109" s="158">
        <f t="shared" si="3"/>
        <v>4.704171030874547</v>
      </c>
      <c r="N109" s="158">
        <f t="shared" si="3"/>
        <v>151.52518694793045</v>
      </c>
      <c r="O109" s="158">
        <f t="shared" si="3"/>
        <v>1.0436693030050697</v>
      </c>
      <c r="P109" s="158">
        <f t="shared" si="3"/>
        <v>0.11733774725050909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L16" sqref="L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1009</v>
      </c>
      <c r="B9" s="100">
        <v>8.67</v>
      </c>
      <c r="C9" s="100">
        <v>11.45</v>
      </c>
      <c r="D9" s="100">
        <v>12.93</v>
      </c>
      <c r="E9" s="100">
        <v>5.29</v>
      </c>
      <c r="F9" s="100">
        <v>2</v>
      </c>
      <c r="G9" s="100">
        <v>55.61</v>
      </c>
      <c r="H9" s="100">
        <v>20.27</v>
      </c>
      <c r="I9" s="100">
        <v>6.81</v>
      </c>
      <c r="J9" s="100">
        <v>0.09</v>
      </c>
      <c r="K9" s="100">
        <v>147.83000000000001</v>
      </c>
      <c r="L9" s="100">
        <v>25.52</v>
      </c>
      <c r="M9" s="100">
        <v>90.3</v>
      </c>
      <c r="N9" s="100">
        <v>2.2000000000000002</v>
      </c>
      <c r="O9" s="100">
        <v>0</v>
      </c>
      <c r="P9" s="100">
        <v>0.48</v>
      </c>
      <c r="Q9" s="100">
        <v>10</v>
      </c>
      <c r="R9" s="6"/>
      <c r="S9" s="6"/>
      <c r="T9" s="156"/>
      <c r="U9" s="6"/>
    </row>
    <row r="10" spans="1:21" customFormat="1">
      <c r="A10" s="201" t="s">
        <v>1010</v>
      </c>
      <c r="B10" s="100">
        <v>8.6</v>
      </c>
      <c r="C10" s="100">
        <v>11.56</v>
      </c>
      <c r="D10" s="100">
        <v>12.93</v>
      </c>
      <c r="E10" s="100">
        <v>5.38</v>
      </c>
      <c r="F10" s="100">
        <v>2.02</v>
      </c>
      <c r="G10" s="100">
        <v>55.61</v>
      </c>
      <c r="H10" s="100">
        <v>20.27</v>
      </c>
      <c r="I10" s="100">
        <v>6.63</v>
      </c>
      <c r="J10" s="100">
        <v>0.13</v>
      </c>
      <c r="K10" s="100">
        <v>150.77000000000001</v>
      </c>
      <c r="L10" s="100">
        <v>25.45</v>
      </c>
      <c r="M10" s="100">
        <v>90.2</v>
      </c>
      <c r="N10" s="100">
        <v>2.1</v>
      </c>
      <c r="O10" s="100">
        <v>0</v>
      </c>
      <c r="P10" s="100">
        <v>0.46</v>
      </c>
      <c r="Q10" s="100">
        <v>10</v>
      </c>
      <c r="R10" s="6"/>
      <c r="S10" s="6"/>
      <c r="T10" s="156"/>
      <c r="U10" s="6"/>
    </row>
    <row r="11" spans="1:21" customFormat="1">
      <c r="A11" s="201" t="s">
        <v>1011</v>
      </c>
      <c r="B11" s="100">
        <v>8.49</v>
      </c>
      <c r="C11" s="100">
        <v>11.58</v>
      </c>
      <c r="D11" s="100">
        <v>12.86</v>
      </c>
      <c r="E11" s="100">
        <v>5.38</v>
      </c>
      <c r="F11" s="100">
        <v>2</v>
      </c>
      <c r="G11" s="100">
        <v>44.24</v>
      </c>
      <c r="H11" s="100">
        <v>15.09</v>
      </c>
      <c r="I11" s="100">
        <v>6.43</v>
      </c>
      <c r="J11" s="100">
        <v>0.09</v>
      </c>
      <c r="K11" s="100">
        <v>174.14</v>
      </c>
      <c r="L11" s="100">
        <v>25.48</v>
      </c>
      <c r="M11" s="100">
        <v>90.19</v>
      </c>
      <c r="N11" s="100">
        <v>2.1</v>
      </c>
      <c r="O11" s="100">
        <v>0</v>
      </c>
      <c r="P11" s="100">
        <v>0.45</v>
      </c>
      <c r="Q11" s="100">
        <v>10</v>
      </c>
      <c r="R11" s="6"/>
      <c r="S11" s="6"/>
      <c r="T11" s="156"/>
      <c r="U11" s="6"/>
    </row>
    <row r="12" spans="1:21" customFormat="1">
      <c r="A12" s="201" t="s">
        <v>1012</v>
      </c>
      <c r="B12" s="100">
        <v>8.4499999999999993</v>
      </c>
      <c r="C12" s="100">
        <v>11.65</v>
      </c>
      <c r="D12" s="100">
        <v>12.87</v>
      </c>
      <c r="E12" s="100">
        <v>5.61</v>
      </c>
      <c r="F12" s="100">
        <v>2</v>
      </c>
      <c r="G12" s="100">
        <v>41.4</v>
      </c>
      <c r="H12" s="100">
        <v>15.09</v>
      </c>
      <c r="I12" s="100">
        <v>6.24</v>
      </c>
      <c r="J12" s="100">
        <v>0.1</v>
      </c>
      <c r="K12" s="100">
        <v>151.82</v>
      </c>
      <c r="L12" s="100">
        <v>25.46</v>
      </c>
      <c r="M12" s="100">
        <v>90.28</v>
      </c>
      <c r="N12" s="100">
        <v>2.1</v>
      </c>
      <c r="O12" s="100">
        <v>0</v>
      </c>
      <c r="P12" s="100">
        <v>0.44</v>
      </c>
      <c r="Q12" s="100">
        <v>10</v>
      </c>
      <c r="R12" s="6"/>
      <c r="S12" s="6"/>
      <c r="T12" s="156"/>
      <c r="U12" s="6"/>
    </row>
    <row r="13" spans="1:21" customFormat="1">
      <c r="A13" s="201" t="s">
        <v>1013</v>
      </c>
      <c r="B13" s="100">
        <v>8.4499999999999993</v>
      </c>
      <c r="C13" s="100">
        <v>11.69</v>
      </c>
      <c r="D13" s="100">
        <v>12.88</v>
      </c>
      <c r="E13" s="100">
        <v>5.53</v>
      </c>
      <c r="F13" s="100">
        <v>2</v>
      </c>
      <c r="G13" s="100">
        <v>41.4</v>
      </c>
      <c r="H13" s="100">
        <v>15.09</v>
      </c>
      <c r="I13" s="100">
        <v>6.12</v>
      </c>
      <c r="J13" s="100">
        <v>0.14000000000000001</v>
      </c>
      <c r="K13" s="100">
        <v>170.44</v>
      </c>
      <c r="L13" s="100">
        <v>25.53</v>
      </c>
      <c r="M13" s="100">
        <v>90.07</v>
      </c>
      <c r="N13" s="100">
        <v>2.1</v>
      </c>
      <c r="O13" s="100">
        <v>0</v>
      </c>
      <c r="P13" s="100">
        <v>0.43</v>
      </c>
      <c r="Q13" s="100">
        <v>10</v>
      </c>
      <c r="R13" s="6"/>
      <c r="S13" s="6"/>
      <c r="T13" s="156"/>
      <c r="U13" s="6"/>
    </row>
    <row r="14" spans="1:21" customFormat="1">
      <c r="A14" s="201" t="s">
        <v>1014</v>
      </c>
      <c r="B14" s="100">
        <v>8.5500000000000007</v>
      </c>
      <c r="C14" s="100">
        <v>11.68</v>
      </c>
      <c r="D14" s="100">
        <v>12.96</v>
      </c>
      <c r="E14" s="100">
        <v>5.64</v>
      </c>
      <c r="F14" s="100">
        <v>2.0099999999999998</v>
      </c>
      <c r="G14" s="100">
        <v>41.4</v>
      </c>
      <c r="H14" s="100">
        <v>15.09</v>
      </c>
      <c r="I14" s="100">
        <v>6.04</v>
      </c>
      <c r="J14" s="100">
        <v>0.17</v>
      </c>
      <c r="K14" s="100">
        <v>195.52</v>
      </c>
      <c r="L14" s="100">
        <v>25.58</v>
      </c>
      <c r="M14" s="100">
        <v>89.66</v>
      </c>
      <c r="N14" s="100">
        <v>2.2000000000000002</v>
      </c>
      <c r="O14" s="100">
        <v>0</v>
      </c>
      <c r="P14" s="100">
        <v>0.41</v>
      </c>
      <c r="Q14" s="100">
        <v>10</v>
      </c>
      <c r="R14" s="6"/>
      <c r="S14" s="6"/>
      <c r="T14" s="156"/>
      <c r="U14" s="6"/>
    </row>
    <row r="15" spans="1:21" customFormat="1">
      <c r="A15" s="201" t="s">
        <v>1015</v>
      </c>
      <c r="B15" s="100">
        <v>8.5399999999999991</v>
      </c>
      <c r="C15" s="100">
        <v>11.58</v>
      </c>
      <c r="D15" s="100">
        <v>12.9</v>
      </c>
      <c r="E15" s="100">
        <v>5.82</v>
      </c>
      <c r="F15" s="100">
        <v>2</v>
      </c>
      <c r="G15" s="100">
        <v>32.85</v>
      </c>
      <c r="H15" s="100">
        <v>16.399999999999999</v>
      </c>
      <c r="I15" s="100">
        <v>5.93</v>
      </c>
      <c r="J15" s="100">
        <v>0.1</v>
      </c>
      <c r="K15" s="100">
        <v>177.94</v>
      </c>
      <c r="L15" s="100">
        <v>25.51</v>
      </c>
      <c r="M15" s="100">
        <v>89.88</v>
      </c>
      <c r="N15" s="100">
        <v>2.1</v>
      </c>
      <c r="O15" s="100">
        <v>0</v>
      </c>
      <c r="P15" s="100">
        <v>0.41</v>
      </c>
      <c r="Q15" s="100">
        <v>10</v>
      </c>
      <c r="R15" s="6"/>
      <c r="S15" s="6"/>
      <c r="T15" s="156"/>
      <c r="U15" s="6"/>
    </row>
    <row r="16" spans="1:21" customFormat="1">
      <c r="A16" s="201" t="s">
        <v>1016</v>
      </c>
      <c r="B16" s="100">
        <v>8.4700000000000006</v>
      </c>
      <c r="C16" s="100">
        <v>11.43</v>
      </c>
      <c r="D16" s="100">
        <v>12.76</v>
      </c>
      <c r="E16" s="100">
        <v>5.91</v>
      </c>
      <c r="F16" s="100">
        <v>2</v>
      </c>
      <c r="G16" s="100">
        <v>30.71</v>
      </c>
      <c r="H16" s="100">
        <v>16.399999999999999</v>
      </c>
      <c r="I16" s="100">
        <v>5.81</v>
      </c>
      <c r="J16" s="100">
        <v>0.1</v>
      </c>
      <c r="K16" s="100">
        <v>182.71</v>
      </c>
      <c r="L16" s="100">
        <v>25.49</v>
      </c>
      <c r="M16" s="100">
        <v>89.88</v>
      </c>
      <c r="N16" s="100">
        <v>2.1</v>
      </c>
      <c r="O16" s="100">
        <v>0</v>
      </c>
      <c r="P16" s="100">
        <v>0.39</v>
      </c>
      <c r="Q16" s="100">
        <v>10</v>
      </c>
      <c r="R16" s="6"/>
      <c r="S16" s="6"/>
      <c r="T16" s="156"/>
      <c r="U16" s="6"/>
    </row>
    <row r="17" spans="1:21" customFormat="1">
      <c r="A17" s="201" t="s">
        <v>1017</v>
      </c>
      <c r="B17" s="100">
        <v>8.36</v>
      </c>
      <c r="C17" s="100">
        <v>11.27</v>
      </c>
      <c r="D17" s="100">
        <v>12.59</v>
      </c>
      <c r="E17" s="100">
        <v>3.81</v>
      </c>
      <c r="F17" s="100">
        <v>2</v>
      </c>
      <c r="G17" s="100">
        <v>30.71</v>
      </c>
      <c r="H17" s="100">
        <v>16.399999999999999</v>
      </c>
      <c r="I17" s="100">
        <v>5.67</v>
      </c>
      <c r="J17" s="100">
        <v>0.08</v>
      </c>
      <c r="K17" s="100">
        <v>200.62</v>
      </c>
      <c r="L17" s="100">
        <v>25.41</v>
      </c>
      <c r="M17" s="100">
        <v>89.81</v>
      </c>
      <c r="N17" s="100">
        <v>2.1</v>
      </c>
      <c r="O17" s="100">
        <v>0</v>
      </c>
      <c r="P17" s="100">
        <v>0.38</v>
      </c>
      <c r="Q17" s="100">
        <v>10</v>
      </c>
      <c r="R17" s="6"/>
      <c r="S17" s="6"/>
      <c r="T17" s="156"/>
      <c r="U17" s="6"/>
    </row>
    <row r="18" spans="1:21" customFormat="1">
      <c r="A18" s="201" t="s">
        <v>1018</v>
      </c>
      <c r="B18" s="100">
        <v>8.24</v>
      </c>
      <c r="C18" s="100">
        <v>11.22</v>
      </c>
      <c r="D18" s="100">
        <v>12.47</v>
      </c>
      <c r="E18" s="100">
        <v>4.45</v>
      </c>
      <c r="F18" s="100">
        <v>2</v>
      </c>
      <c r="G18" s="100">
        <v>30.71</v>
      </c>
      <c r="H18" s="100">
        <v>16.399999999999999</v>
      </c>
      <c r="I18" s="100">
        <v>5.61</v>
      </c>
      <c r="J18" s="100">
        <v>0.08</v>
      </c>
      <c r="K18" s="100">
        <v>218.43</v>
      </c>
      <c r="L18" s="100">
        <v>25.31</v>
      </c>
      <c r="M18" s="100">
        <v>89.65</v>
      </c>
      <c r="N18" s="100">
        <v>2.1</v>
      </c>
      <c r="O18" s="100">
        <v>0</v>
      </c>
      <c r="P18" s="100">
        <v>0.37</v>
      </c>
      <c r="Q18" s="100">
        <v>10</v>
      </c>
      <c r="R18" s="6"/>
      <c r="S18" s="6"/>
      <c r="T18" s="156"/>
      <c r="U18" s="6"/>
    </row>
    <row r="19" spans="1:21" customFormat="1">
      <c r="A19" s="201" t="s">
        <v>1019</v>
      </c>
      <c r="B19" s="100">
        <v>8.17</v>
      </c>
      <c r="C19" s="100">
        <v>11.18</v>
      </c>
      <c r="D19" s="100">
        <v>12.39</v>
      </c>
      <c r="E19" s="100">
        <v>4.5999999999999996</v>
      </c>
      <c r="F19" s="100">
        <v>2</v>
      </c>
      <c r="G19" s="100">
        <v>29.92</v>
      </c>
      <c r="H19" s="100">
        <v>11.52</v>
      </c>
      <c r="I19" s="100">
        <v>5.47</v>
      </c>
      <c r="J19" s="100">
        <v>0.1</v>
      </c>
      <c r="K19" s="100">
        <v>175.74</v>
      </c>
      <c r="L19" s="100">
        <v>25.34</v>
      </c>
      <c r="M19" s="100">
        <v>89.46</v>
      </c>
      <c r="N19" s="100">
        <v>2.1</v>
      </c>
      <c r="O19" s="100">
        <v>0</v>
      </c>
      <c r="P19" s="100">
        <v>0.36</v>
      </c>
      <c r="Q19" s="100">
        <v>10</v>
      </c>
      <c r="R19" s="6"/>
      <c r="S19" s="6"/>
      <c r="T19" s="156"/>
      <c r="U19" s="6"/>
    </row>
    <row r="20" spans="1:21" customFormat="1">
      <c r="A20" s="201" t="s">
        <v>1020</v>
      </c>
      <c r="B20" s="100">
        <v>8.25</v>
      </c>
      <c r="C20" s="100">
        <v>11.12</v>
      </c>
      <c r="D20" s="100">
        <v>12.43</v>
      </c>
      <c r="E20" s="100">
        <v>4.76</v>
      </c>
      <c r="F20" s="100">
        <v>2</v>
      </c>
      <c r="G20" s="100">
        <v>29.73</v>
      </c>
      <c r="H20" s="100">
        <v>11.52</v>
      </c>
      <c r="I20" s="100">
        <v>5.33</v>
      </c>
      <c r="J20" s="100">
        <v>0.09</v>
      </c>
      <c r="K20" s="100">
        <v>185.85</v>
      </c>
      <c r="L20" s="100">
        <v>25.27</v>
      </c>
      <c r="M20" s="100">
        <v>89.93</v>
      </c>
      <c r="N20" s="100">
        <v>2.1</v>
      </c>
      <c r="O20" s="100">
        <v>0</v>
      </c>
      <c r="P20" s="100">
        <v>0.34</v>
      </c>
      <c r="Q20" s="100">
        <v>10</v>
      </c>
      <c r="R20" s="6"/>
      <c r="S20" s="6"/>
      <c r="T20" s="156"/>
      <c r="U20" s="6"/>
    </row>
    <row r="21" spans="1:21" customFormat="1">
      <c r="A21" s="201" t="s">
        <v>1021</v>
      </c>
      <c r="B21" s="100">
        <v>8.4600000000000009</v>
      </c>
      <c r="C21" s="100">
        <v>11.06</v>
      </c>
      <c r="D21" s="100">
        <v>12.56</v>
      </c>
      <c r="E21" s="100">
        <v>4.49</v>
      </c>
      <c r="F21" s="100">
        <v>2</v>
      </c>
      <c r="G21" s="100">
        <v>29.73</v>
      </c>
      <c r="H21" s="100">
        <v>11.52</v>
      </c>
      <c r="I21" s="100">
        <v>5.23</v>
      </c>
      <c r="J21" s="100">
        <v>0.1</v>
      </c>
      <c r="K21" s="100">
        <v>189.94</v>
      </c>
      <c r="L21" s="100">
        <v>25.22</v>
      </c>
      <c r="M21" s="100">
        <v>90.01</v>
      </c>
      <c r="N21" s="100">
        <v>2.1</v>
      </c>
      <c r="O21" s="100">
        <v>0</v>
      </c>
      <c r="P21" s="100">
        <v>0.31</v>
      </c>
      <c r="Q21" s="100">
        <v>10</v>
      </c>
      <c r="R21" s="6"/>
      <c r="S21" s="6"/>
      <c r="T21" s="156"/>
      <c r="U21" s="6"/>
    </row>
    <row r="22" spans="1:21" customFormat="1">
      <c r="A22" s="201" t="s">
        <v>1022</v>
      </c>
      <c r="B22" s="100">
        <v>8.4600000000000009</v>
      </c>
      <c r="C22" s="100">
        <v>11.19</v>
      </c>
      <c r="D22" s="100">
        <v>12.63</v>
      </c>
      <c r="E22" s="100">
        <v>4</v>
      </c>
      <c r="F22" s="100">
        <v>2</v>
      </c>
      <c r="G22" s="100">
        <v>29.73</v>
      </c>
      <c r="H22" s="100">
        <v>11.52</v>
      </c>
      <c r="I22" s="100">
        <v>5.24</v>
      </c>
      <c r="J22" s="100">
        <v>0.13</v>
      </c>
      <c r="K22" s="100">
        <v>173.2</v>
      </c>
      <c r="L22" s="100">
        <v>25.28</v>
      </c>
      <c r="M22" s="100">
        <v>90.09</v>
      </c>
      <c r="N22" s="100">
        <v>2</v>
      </c>
      <c r="O22" s="100">
        <v>0</v>
      </c>
      <c r="P22" s="100">
        <v>0.3</v>
      </c>
      <c r="Q22" s="100">
        <v>10</v>
      </c>
      <c r="R22" s="6"/>
      <c r="S22" s="6"/>
      <c r="T22" s="156"/>
      <c r="U22" s="6"/>
    </row>
    <row r="23" spans="1:21" customFormat="1">
      <c r="A23" s="201" t="s">
        <v>1023</v>
      </c>
      <c r="B23" s="100">
        <v>8.6</v>
      </c>
      <c r="C23" s="100">
        <v>11.35</v>
      </c>
      <c r="D23" s="100">
        <v>12.83</v>
      </c>
      <c r="E23" s="100">
        <v>4.0999999999999996</v>
      </c>
      <c r="F23" s="100">
        <v>2</v>
      </c>
      <c r="G23" s="100">
        <v>26.62</v>
      </c>
      <c r="H23" s="100">
        <v>8.69</v>
      </c>
      <c r="I23" s="100">
        <v>5.16</v>
      </c>
      <c r="J23" s="100">
        <v>0.09</v>
      </c>
      <c r="K23" s="100">
        <v>195.56</v>
      </c>
      <c r="L23" s="100">
        <v>25.14</v>
      </c>
      <c r="M23" s="100">
        <v>90.26</v>
      </c>
      <c r="N23" s="100">
        <v>2.1</v>
      </c>
      <c r="O23" s="100">
        <v>0</v>
      </c>
      <c r="P23" s="100">
        <v>0.31</v>
      </c>
      <c r="Q23" s="100">
        <v>10</v>
      </c>
      <c r="R23" s="6"/>
      <c r="S23" s="6"/>
      <c r="T23" s="156"/>
      <c r="U23" s="6"/>
    </row>
    <row r="24" spans="1:21" customFormat="1">
      <c r="A24" s="201" t="s">
        <v>1024</v>
      </c>
      <c r="B24" s="100">
        <v>8.81</v>
      </c>
      <c r="C24" s="100">
        <v>11.29</v>
      </c>
      <c r="D24" s="100">
        <v>12.96</v>
      </c>
      <c r="E24" s="100">
        <v>4.1399999999999997</v>
      </c>
      <c r="F24" s="100">
        <v>2</v>
      </c>
      <c r="G24" s="100">
        <v>25.79</v>
      </c>
      <c r="H24" s="100">
        <v>8.69</v>
      </c>
      <c r="I24" s="100">
        <v>5.16</v>
      </c>
      <c r="J24" s="100">
        <v>0.11</v>
      </c>
      <c r="K24" s="100">
        <v>181.16</v>
      </c>
      <c r="L24" s="100">
        <v>25.02</v>
      </c>
      <c r="M24" s="100">
        <v>90.26</v>
      </c>
      <c r="N24" s="100">
        <v>2.1</v>
      </c>
      <c r="O24" s="100">
        <v>0</v>
      </c>
      <c r="P24" s="100">
        <v>0.28999999999999998</v>
      </c>
      <c r="Q24" s="100">
        <v>10</v>
      </c>
      <c r="R24" s="6"/>
      <c r="S24" s="6"/>
      <c r="T24" s="156"/>
      <c r="U24" s="6"/>
    </row>
    <row r="25" spans="1:21" customFormat="1">
      <c r="A25" s="201" t="s">
        <v>1025</v>
      </c>
      <c r="B25" s="100">
        <v>8.86</v>
      </c>
      <c r="C25" s="100">
        <v>11.47</v>
      </c>
      <c r="D25" s="100">
        <v>13.1</v>
      </c>
      <c r="E25" s="100">
        <v>4.4000000000000004</v>
      </c>
      <c r="F25" s="100">
        <v>2</v>
      </c>
      <c r="G25" s="100">
        <v>25.79</v>
      </c>
      <c r="H25" s="100">
        <v>8.69</v>
      </c>
      <c r="I25" s="100">
        <v>5.21</v>
      </c>
      <c r="J25" s="100">
        <v>0.11</v>
      </c>
      <c r="K25" s="100">
        <v>210.12</v>
      </c>
      <c r="L25" s="100">
        <v>24.99</v>
      </c>
      <c r="M25" s="100">
        <v>90.16</v>
      </c>
      <c r="N25" s="100">
        <v>2.1</v>
      </c>
      <c r="O25" s="100">
        <v>0</v>
      </c>
      <c r="P25" s="100">
        <v>0.3</v>
      </c>
      <c r="Q25" s="100">
        <v>10</v>
      </c>
      <c r="R25" s="6"/>
      <c r="S25" s="6"/>
      <c r="T25" s="156"/>
      <c r="U25" s="6"/>
    </row>
    <row r="26" spans="1:21" customFormat="1">
      <c r="A26" s="201" t="s">
        <v>1026</v>
      </c>
      <c r="B26" s="100">
        <v>8.9600000000000009</v>
      </c>
      <c r="C26" s="100">
        <v>11.3</v>
      </c>
      <c r="D26" s="100">
        <v>13.09</v>
      </c>
      <c r="E26" s="100">
        <v>4.38</v>
      </c>
      <c r="F26" s="100">
        <v>2</v>
      </c>
      <c r="G26" s="100">
        <v>25.79</v>
      </c>
      <c r="H26" s="100">
        <v>8.69</v>
      </c>
      <c r="I26" s="100">
        <v>5.12</v>
      </c>
      <c r="J26" s="100">
        <v>0.08</v>
      </c>
      <c r="K26" s="100">
        <v>207.76</v>
      </c>
      <c r="L26" s="100">
        <v>24.95</v>
      </c>
      <c r="M26" s="100">
        <v>90.24</v>
      </c>
      <c r="N26" s="100">
        <v>2.1</v>
      </c>
      <c r="O26" s="100">
        <v>0</v>
      </c>
      <c r="P26" s="100">
        <v>0.28999999999999998</v>
      </c>
      <c r="Q26" s="100">
        <v>10</v>
      </c>
      <c r="R26" s="6"/>
      <c r="S26" s="6"/>
      <c r="T26" s="156"/>
      <c r="U26" s="6"/>
    </row>
    <row r="27" spans="1:21" customFormat="1">
      <c r="A27" s="201" t="s">
        <v>1027</v>
      </c>
      <c r="B27" s="100">
        <v>9.01</v>
      </c>
      <c r="C27" s="100">
        <v>11.44</v>
      </c>
      <c r="D27" s="100">
        <v>13.2</v>
      </c>
      <c r="E27" s="100">
        <v>3.94</v>
      </c>
      <c r="F27" s="100">
        <v>2</v>
      </c>
      <c r="G27" s="100">
        <v>23.27</v>
      </c>
      <c r="H27" s="100">
        <v>6.71</v>
      </c>
      <c r="I27" s="100">
        <v>5.1100000000000003</v>
      </c>
      <c r="J27" s="100">
        <v>7.0000000000000007E-2</v>
      </c>
      <c r="K27" s="100">
        <v>167.32</v>
      </c>
      <c r="L27" s="100">
        <v>24.91</v>
      </c>
      <c r="M27" s="100">
        <v>90.11</v>
      </c>
      <c r="N27" s="100">
        <v>2.1</v>
      </c>
      <c r="O27" s="100">
        <v>0</v>
      </c>
      <c r="P27" s="100">
        <v>0.28000000000000003</v>
      </c>
      <c r="Q27" s="100">
        <v>10</v>
      </c>
      <c r="R27" s="6"/>
      <c r="S27" s="6"/>
      <c r="T27" s="156"/>
      <c r="U27" s="6"/>
    </row>
    <row r="28" spans="1:21" customFormat="1">
      <c r="A28" s="201" t="s">
        <v>1028</v>
      </c>
      <c r="B28" s="100">
        <v>9.15</v>
      </c>
      <c r="C28" s="100">
        <v>11.51</v>
      </c>
      <c r="D28" s="100">
        <v>13.36</v>
      </c>
      <c r="E28" s="100">
        <v>4.41</v>
      </c>
      <c r="F28" s="100">
        <v>2</v>
      </c>
      <c r="G28" s="100">
        <v>22.64</v>
      </c>
      <c r="H28" s="100">
        <v>6.71</v>
      </c>
      <c r="I28" s="100">
        <v>5.08</v>
      </c>
      <c r="J28" s="100">
        <v>0.11</v>
      </c>
      <c r="K28" s="100">
        <v>160.36000000000001</v>
      </c>
      <c r="L28" s="100">
        <v>24.87</v>
      </c>
      <c r="M28" s="100">
        <v>89.74</v>
      </c>
      <c r="N28" s="100">
        <v>2.1</v>
      </c>
      <c r="O28" s="100">
        <v>0</v>
      </c>
      <c r="P28" s="100">
        <v>0.28999999999999998</v>
      </c>
      <c r="Q28" s="100">
        <v>10</v>
      </c>
      <c r="R28" s="6"/>
      <c r="S28" s="6"/>
      <c r="T28" s="156"/>
      <c r="U28" s="6"/>
    </row>
    <row r="29" spans="1:21" customFormat="1">
      <c r="A29" s="201" t="s">
        <v>1029</v>
      </c>
      <c r="B29" s="100">
        <v>9.26</v>
      </c>
      <c r="C29" s="100">
        <v>11.31</v>
      </c>
      <c r="D29" s="100">
        <v>13.33</v>
      </c>
      <c r="E29" s="100">
        <v>4.04</v>
      </c>
      <c r="F29" s="100">
        <v>2</v>
      </c>
      <c r="G29" s="100">
        <v>22.64</v>
      </c>
      <c r="H29" s="100">
        <v>6.71</v>
      </c>
      <c r="I29" s="100">
        <v>5</v>
      </c>
      <c r="J29" s="100">
        <v>0.08</v>
      </c>
      <c r="K29" s="100">
        <v>166.83</v>
      </c>
      <c r="L29" s="100">
        <v>24.8</v>
      </c>
      <c r="M29" s="100">
        <v>89.92</v>
      </c>
      <c r="N29" s="100">
        <v>2.1</v>
      </c>
      <c r="O29" s="100">
        <v>0</v>
      </c>
      <c r="P29" s="100">
        <v>0.28000000000000003</v>
      </c>
      <c r="Q29" s="100">
        <v>10</v>
      </c>
      <c r="R29" s="6"/>
      <c r="S29" s="6"/>
      <c r="T29" s="156"/>
      <c r="U29" s="6"/>
    </row>
    <row r="30" spans="1:21" customFormat="1">
      <c r="A30" s="201" t="s">
        <v>1030</v>
      </c>
      <c r="B30" s="100">
        <v>9.32</v>
      </c>
      <c r="C30" s="100">
        <v>11.34</v>
      </c>
      <c r="D30" s="100">
        <v>13.4</v>
      </c>
      <c r="E30" s="100">
        <v>4.07</v>
      </c>
      <c r="F30" s="100">
        <v>2</v>
      </c>
      <c r="G30" s="100">
        <v>22.64</v>
      </c>
      <c r="H30" s="100">
        <v>6.71</v>
      </c>
      <c r="I30" s="100">
        <v>5.01</v>
      </c>
      <c r="J30" s="100">
        <v>7.0000000000000007E-2</v>
      </c>
      <c r="K30" s="100">
        <v>183.96</v>
      </c>
      <c r="L30" s="100">
        <v>24.84</v>
      </c>
      <c r="M30" s="100">
        <v>90.35</v>
      </c>
      <c r="N30" s="100">
        <v>2.1</v>
      </c>
      <c r="O30" s="100">
        <v>0</v>
      </c>
      <c r="P30" s="100">
        <v>0.28999999999999998</v>
      </c>
      <c r="Q30" s="100">
        <v>10</v>
      </c>
      <c r="R30" s="6"/>
      <c r="S30" s="6"/>
      <c r="T30" s="156"/>
      <c r="U30" s="6"/>
    </row>
    <row r="31" spans="1:21" customFormat="1">
      <c r="A31" s="201" t="s">
        <v>1031</v>
      </c>
      <c r="B31" s="100">
        <v>9.36</v>
      </c>
      <c r="C31" s="100">
        <v>11.26</v>
      </c>
      <c r="D31" s="100">
        <v>13.39</v>
      </c>
      <c r="E31" s="100">
        <v>4.0999999999999996</v>
      </c>
      <c r="F31" s="100">
        <v>2</v>
      </c>
      <c r="G31" s="100">
        <v>21.74</v>
      </c>
      <c r="H31" s="100">
        <v>6.26</v>
      </c>
      <c r="I31" s="100">
        <v>4.93</v>
      </c>
      <c r="J31" s="100">
        <v>0.04</v>
      </c>
      <c r="K31" s="100">
        <v>174.7</v>
      </c>
      <c r="L31" s="100">
        <v>24.82</v>
      </c>
      <c r="M31" s="100">
        <v>90.64</v>
      </c>
      <c r="N31" s="100">
        <v>2.2999999999999998</v>
      </c>
      <c r="O31" s="100">
        <v>0</v>
      </c>
      <c r="P31" s="100">
        <v>0.27</v>
      </c>
      <c r="Q31" s="100">
        <v>10</v>
      </c>
      <c r="R31" s="6"/>
      <c r="S31" s="6"/>
      <c r="T31" s="156"/>
      <c r="U31" s="6"/>
    </row>
    <row r="32" spans="1:21" customFormat="1">
      <c r="A32" s="201" t="s">
        <v>1032</v>
      </c>
      <c r="B32" s="100">
        <v>9.48</v>
      </c>
      <c r="C32" s="100">
        <v>11.41</v>
      </c>
      <c r="D32" s="100">
        <v>13.56</v>
      </c>
      <c r="E32" s="100">
        <v>4.07</v>
      </c>
      <c r="F32" s="100">
        <v>2</v>
      </c>
      <c r="G32" s="100">
        <v>21.52</v>
      </c>
      <c r="H32" s="100">
        <v>6.26</v>
      </c>
      <c r="I32" s="100">
        <v>4.8899999999999997</v>
      </c>
      <c r="J32" s="100">
        <v>0.14000000000000001</v>
      </c>
      <c r="K32" s="100">
        <v>225.42</v>
      </c>
      <c r="L32" s="100">
        <v>24.8</v>
      </c>
      <c r="M32" s="100">
        <v>90.63</v>
      </c>
      <c r="N32" s="100">
        <v>5.6</v>
      </c>
      <c r="O32" s="100">
        <v>0</v>
      </c>
      <c r="P32" s="100">
        <v>0.28000000000000003</v>
      </c>
      <c r="Q32" s="100">
        <v>10</v>
      </c>
      <c r="R32" s="6"/>
      <c r="S32" s="6"/>
      <c r="T32" s="156"/>
      <c r="U32" s="6"/>
    </row>
    <row r="33" spans="1:21" customFormat="1">
      <c r="A33" s="201" t="s">
        <v>1033</v>
      </c>
      <c r="B33" s="100">
        <v>9.6300000000000008</v>
      </c>
      <c r="C33" s="100">
        <v>11.31</v>
      </c>
      <c r="D33" s="100">
        <v>13.63</v>
      </c>
      <c r="E33" s="100">
        <v>3.76</v>
      </c>
      <c r="F33" s="100">
        <v>2</v>
      </c>
      <c r="G33" s="100">
        <v>21.52</v>
      </c>
      <c r="H33" s="100">
        <v>6.26</v>
      </c>
      <c r="I33" s="100">
        <v>4.88</v>
      </c>
      <c r="J33" s="100">
        <v>0.17</v>
      </c>
      <c r="K33" s="100">
        <v>231.14</v>
      </c>
      <c r="L33" s="100">
        <v>24.86</v>
      </c>
      <c r="M33" s="100">
        <v>90.9</v>
      </c>
      <c r="N33" s="100">
        <v>12</v>
      </c>
      <c r="O33" s="100">
        <v>0</v>
      </c>
      <c r="P33" s="100">
        <v>0.26</v>
      </c>
      <c r="Q33" s="100">
        <v>10</v>
      </c>
      <c r="R33" s="6"/>
      <c r="S33" s="6"/>
      <c r="T33" s="156"/>
      <c r="U33" s="6"/>
    </row>
    <row r="34" spans="1:21" customFormat="1">
      <c r="A34" s="201" t="s">
        <v>1034</v>
      </c>
      <c r="B34" s="100">
        <v>9.66</v>
      </c>
      <c r="C34" s="100">
        <v>11.43</v>
      </c>
      <c r="D34" s="100">
        <v>13.72</v>
      </c>
      <c r="E34" s="100">
        <v>4.0599999999999996</v>
      </c>
      <c r="F34" s="100">
        <v>2</v>
      </c>
      <c r="G34" s="100">
        <v>21.52</v>
      </c>
      <c r="H34" s="100">
        <v>6.26</v>
      </c>
      <c r="I34" s="100">
        <v>4.88</v>
      </c>
      <c r="J34" s="100">
        <v>0.14000000000000001</v>
      </c>
      <c r="K34" s="100">
        <v>228.24</v>
      </c>
      <c r="L34" s="100">
        <v>25.02</v>
      </c>
      <c r="M34" s="100">
        <v>90.68</v>
      </c>
      <c r="N34" s="100">
        <v>22.4</v>
      </c>
      <c r="O34" s="100">
        <v>0</v>
      </c>
      <c r="P34" s="100">
        <v>0.27</v>
      </c>
      <c r="Q34" s="100">
        <v>10</v>
      </c>
      <c r="R34" s="6"/>
      <c r="S34" s="6"/>
      <c r="T34" s="156"/>
      <c r="U34" s="6"/>
    </row>
    <row r="35" spans="1:21" customFormat="1">
      <c r="A35" s="201" t="s">
        <v>1035</v>
      </c>
      <c r="B35" s="100">
        <v>9.67</v>
      </c>
      <c r="C35" s="100">
        <v>11.3</v>
      </c>
      <c r="D35" s="100">
        <v>13.66</v>
      </c>
      <c r="E35" s="100">
        <v>2.73</v>
      </c>
      <c r="F35" s="100">
        <v>2</v>
      </c>
      <c r="G35" s="100">
        <v>16.91</v>
      </c>
      <c r="H35" s="100">
        <v>4.74</v>
      </c>
      <c r="I35" s="100">
        <v>4.8499999999999996</v>
      </c>
      <c r="J35" s="100">
        <v>0.15</v>
      </c>
      <c r="K35" s="100">
        <v>228</v>
      </c>
      <c r="L35" s="100">
        <v>25.23</v>
      </c>
      <c r="M35" s="100">
        <v>89.64</v>
      </c>
      <c r="N35" s="100">
        <v>35.1</v>
      </c>
      <c r="O35" s="100">
        <v>0</v>
      </c>
      <c r="P35" s="100">
        <v>0.26</v>
      </c>
      <c r="Q35" s="100">
        <v>10</v>
      </c>
      <c r="R35" s="6"/>
      <c r="S35" s="6"/>
      <c r="T35" s="156"/>
      <c r="U35" s="6"/>
    </row>
    <row r="36" spans="1:21" customFormat="1">
      <c r="A36" s="201" t="s">
        <v>1036</v>
      </c>
      <c r="B36" s="100">
        <v>9.7200000000000006</v>
      </c>
      <c r="C36" s="100">
        <v>11.49</v>
      </c>
      <c r="D36" s="100">
        <v>13.8</v>
      </c>
      <c r="E36" s="100">
        <v>3.85</v>
      </c>
      <c r="F36" s="100">
        <v>2</v>
      </c>
      <c r="G36" s="100">
        <v>15.68</v>
      </c>
      <c r="H36" s="100">
        <v>4.74</v>
      </c>
      <c r="I36" s="100">
        <v>4.8499999999999996</v>
      </c>
      <c r="J36" s="100">
        <v>0.17</v>
      </c>
      <c r="K36" s="100">
        <v>216.44</v>
      </c>
      <c r="L36" s="100">
        <v>25.23</v>
      </c>
      <c r="M36" s="100">
        <v>89.43</v>
      </c>
      <c r="N36" s="100">
        <v>50</v>
      </c>
      <c r="O36" s="100">
        <v>0</v>
      </c>
      <c r="P36" s="100">
        <v>0.27</v>
      </c>
      <c r="Q36" s="100">
        <v>10</v>
      </c>
      <c r="R36" s="6"/>
      <c r="S36" s="6"/>
      <c r="T36" s="156"/>
      <c r="U36" s="6"/>
    </row>
    <row r="37" spans="1:21" customFormat="1">
      <c r="A37" s="201" t="s">
        <v>1037</v>
      </c>
      <c r="B37" s="100">
        <v>9.8000000000000007</v>
      </c>
      <c r="C37" s="100">
        <v>11.51</v>
      </c>
      <c r="D37" s="100">
        <v>13.87</v>
      </c>
      <c r="E37" s="100">
        <v>4.07</v>
      </c>
      <c r="F37" s="100">
        <v>2</v>
      </c>
      <c r="G37" s="100">
        <v>15.68</v>
      </c>
      <c r="H37" s="100">
        <v>4.74</v>
      </c>
      <c r="I37" s="100">
        <v>4.7300000000000004</v>
      </c>
      <c r="J37" s="100">
        <v>0.16</v>
      </c>
      <c r="K37" s="100">
        <v>217.97</v>
      </c>
      <c r="L37" s="100">
        <v>25.58</v>
      </c>
      <c r="M37" s="100">
        <v>88.86</v>
      </c>
      <c r="N37" s="100">
        <v>66</v>
      </c>
      <c r="O37" s="100">
        <v>0</v>
      </c>
      <c r="P37" s="100">
        <v>0.25</v>
      </c>
      <c r="Q37" s="100">
        <v>10</v>
      </c>
      <c r="R37" s="6"/>
      <c r="S37" s="6"/>
      <c r="T37" s="156"/>
      <c r="U37" s="6"/>
    </row>
    <row r="38" spans="1:21" customFormat="1">
      <c r="A38" s="201" t="s">
        <v>1038</v>
      </c>
      <c r="B38" s="100">
        <v>9.82</v>
      </c>
      <c r="C38" s="100">
        <v>11.41</v>
      </c>
      <c r="D38" s="100">
        <v>13.83</v>
      </c>
      <c r="E38" s="100">
        <v>4.0599999999999996</v>
      </c>
      <c r="F38" s="100">
        <v>2</v>
      </c>
      <c r="G38" s="100">
        <v>15.68</v>
      </c>
      <c r="H38" s="100">
        <v>4.74</v>
      </c>
      <c r="I38" s="100">
        <v>4.76</v>
      </c>
      <c r="J38" s="100">
        <v>0.16</v>
      </c>
      <c r="K38" s="100">
        <v>195.38</v>
      </c>
      <c r="L38" s="100">
        <v>26.25</v>
      </c>
      <c r="M38" s="100">
        <v>88.33</v>
      </c>
      <c r="N38" s="100">
        <v>73.900000000000006</v>
      </c>
      <c r="O38" s="100">
        <v>0</v>
      </c>
      <c r="P38" s="100">
        <v>0.25</v>
      </c>
      <c r="Q38" s="100">
        <v>10</v>
      </c>
      <c r="R38" s="6"/>
      <c r="S38" s="6"/>
      <c r="T38" s="156"/>
      <c r="U38" s="6"/>
    </row>
    <row r="39" spans="1:21" customFormat="1">
      <c r="A39" s="201" t="s">
        <v>1039</v>
      </c>
      <c r="B39" s="100">
        <v>9.5500000000000007</v>
      </c>
      <c r="C39" s="100">
        <v>11.56</v>
      </c>
      <c r="D39" s="100">
        <v>13.7</v>
      </c>
      <c r="E39" s="100">
        <v>3.98</v>
      </c>
      <c r="F39" s="100">
        <v>2</v>
      </c>
      <c r="G39" s="100">
        <v>23.81</v>
      </c>
      <c r="H39" s="100">
        <v>5.6</v>
      </c>
      <c r="I39" s="100">
        <v>4.71</v>
      </c>
      <c r="J39" s="100">
        <v>0.31</v>
      </c>
      <c r="K39" s="100">
        <v>228.07</v>
      </c>
      <c r="L39" s="100">
        <v>26.15</v>
      </c>
      <c r="M39" s="100">
        <v>87.92</v>
      </c>
      <c r="N39" s="100">
        <v>90.7</v>
      </c>
      <c r="O39" s="100">
        <v>0</v>
      </c>
      <c r="P39" s="100">
        <v>0.28000000000000003</v>
      </c>
      <c r="Q39" s="100">
        <v>10</v>
      </c>
      <c r="R39" s="6"/>
      <c r="S39" s="6"/>
      <c r="T39" s="156"/>
      <c r="U39" s="6"/>
    </row>
    <row r="40" spans="1:21" customFormat="1">
      <c r="A40" s="201" t="s">
        <v>1040</v>
      </c>
      <c r="B40" s="100">
        <v>9.32</v>
      </c>
      <c r="C40" s="100">
        <v>11.66</v>
      </c>
      <c r="D40" s="100">
        <v>13.56</v>
      </c>
      <c r="E40" s="100">
        <v>4.26</v>
      </c>
      <c r="F40" s="100">
        <v>2</v>
      </c>
      <c r="G40" s="100">
        <v>25.99</v>
      </c>
      <c r="H40" s="100">
        <v>5.6</v>
      </c>
      <c r="I40" s="100">
        <v>4.8099999999999996</v>
      </c>
      <c r="J40" s="100">
        <v>0.2</v>
      </c>
      <c r="K40" s="100">
        <v>228.34</v>
      </c>
      <c r="L40" s="100">
        <v>26.41</v>
      </c>
      <c r="M40" s="100">
        <v>89.12</v>
      </c>
      <c r="N40" s="100">
        <v>107.3</v>
      </c>
      <c r="O40" s="100">
        <v>0</v>
      </c>
      <c r="P40" s="100">
        <v>0.28999999999999998</v>
      </c>
      <c r="Q40" s="100">
        <v>10</v>
      </c>
      <c r="R40" s="6"/>
      <c r="S40" s="6"/>
      <c r="T40" s="156"/>
      <c r="U40" s="6"/>
    </row>
    <row r="41" spans="1:21" customFormat="1">
      <c r="A41" s="201" t="s">
        <v>1041</v>
      </c>
      <c r="B41" s="100">
        <v>9.08</v>
      </c>
      <c r="C41" s="100">
        <v>11.68</v>
      </c>
      <c r="D41" s="100">
        <v>13.39</v>
      </c>
      <c r="E41" s="100">
        <v>4.0999999999999996</v>
      </c>
      <c r="F41" s="100">
        <v>2</v>
      </c>
      <c r="G41" s="100">
        <v>25.99</v>
      </c>
      <c r="H41" s="100">
        <v>5.6</v>
      </c>
      <c r="I41" s="100">
        <v>4.96</v>
      </c>
      <c r="J41" s="100">
        <v>0.22</v>
      </c>
      <c r="K41" s="100">
        <v>221.11</v>
      </c>
      <c r="L41" s="100">
        <v>27.04</v>
      </c>
      <c r="M41" s="100">
        <v>88.09</v>
      </c>
      <c r="N41" s="100">
        <v>165.7</v>
      </c>
      <c r="O41" s="100">
        <v>0</v>
      </c>
      <c r="P41" s="100">
        <v>0.31</v>
      </c>
      <c r="Q41" s="100">
        <v>10</v>
      </c>
      <c r="R41" s="6"/>
      <c r="S41" s="6"/>
      <c r="T41" s="156"/>
      <c r="U41" s="6"/>
    </row>
    <row r="42" spans="1:21" customFormat="1">
      <c r="A42" s="201" t="s">
        <v>1042</v>
      </c>
      <c r="B42" s="100">
        <v>8.85</v>
      </c>
      <c r="C42" s="100">
        <v>11.67</v>
      </c>
      <c r="D42" s="100">
        <v>13.2</v>
      </c>
      <c r="E42" s="100">
        <v>4.12</v>
      </c>
      <c r="F42" s="100">
        <v>2</v>
      </c>
      <c r="G42" s="100">
        <v>25.99</v>
      </c>
      <c r="H42" s="100">
        <v>5.6</v>
      </c>
      <c r="I42" s="100">
        <v>5.21</v>
      </c>
      <c r="J42" s="100">
        <v>0.33</v>
      </c>
      <c r="K42" s="100">
        <v>225.05</v>
      </c>
      <c r="L42" s="100">
        <v>27.95</v>
      </c>
      <c r="M42" s="100">
        <v>86.61</v>
      </c>
      <c r="N42" s="100">
        <v>260.8</v>
      </c>
      <c r="O42" s="100">
        <v>0</v>
      </c>
      <c r="P42" s="100">
        <v>0.32</v>
      </c>
      <c r="Q42" s="100">
        <v>10</v>
      </c>
      <c r="R42" s="6"/>
      <c r="S42" s="6"/>
      <c r="T42" s="156"/>
      <c r="U42" s="6"/>
    </row>
    <row r="43" spans="1:21" customFormat="1">
      <c r="A43" s="201" t="s">
        <v>1043</v>
      </c>
      <c r="B43" s="100">
        <v>8.56</v>
      </c>
      <c r="C43" s="100">
        <v>11.79</v>
      </c>
      <c r="D43" s="100">
        <v>13.03</v>
      </c>
      <c r="E43" s="100">
        <v>4.28</v>
      </c>
      <c r="F43" s="100">
        <v>2</v>
      </c>
      <c r="G43" s="100">
        <v>29.13</v>
      </c>
      <c r="H43" s="100">
        <v>10.33</v>
      </c>
      <c r="I43" s="100">
        <v>5.62</v>
      </c>
      <c r="J43" s="100">
        <v>0.21</v>
      </c>
      <c r="K43" s="100">
        <v>173.94</v>
      </c>
      <c r="L43" s="100">
        <v>28.48</v>
      </c>
      <c r="M43" s="100">
        <v>83.05</v>
      </c>
      <c r="N43" s="100">
        <v>324.10000000000002</v>
      </c>
      <c r="O43" s="100">
        <v>0</v>
      </c>
      <c r="P43" s="100">
        <v>0.32</v>
      </c>
      <c r="Q43" s="100">
        <v>10</v>
      </c>
      <c r="R43" s="6"/>
      <c r="S43" s="6"/>
      <c r="T43" s="156"/>
      <c r="U43" s="6"/>
    </row>
    <row r="44" spans="1:21" customFormat="1">
      <c r="A44" s="201" t="s">
        <v>1044</v>
      </c>
      <c r="B44" s="100">
        <v>8.36</v>
      </c>
      <c r="C44" s="100">
        <v>11.86</v>
      </c>
      <c r="D44" s="100">
        <v>12.9</v>
      </c>
      <c r="E44" s="100">
        <v>4.32</v>
      </c>
      <c r="F44" s="100">
        <v>2</v>
      </c>
      <c r="G44" s="100">
        <v>29.91</v>
      </c>
      <c r="H44" s="100">
        <v>10.33</v>
      </c>
      <c r="I44" s="100">
        <v>6.01</v>
      </c>
      <c r="J44" s="100">
        <v>0.03</v>
      </c>
      <c r="K44" s="100">
        <v>130.71</v>
      </c>
      <c r="L44" s="100">
        <v>29.2</v>
      </c>
      <c r="M44" s="100">
        <v>79.569999999999993</v>
      </c>
      <c r="N44" s="100">
        <v>259.39999999999998</v>
      </c>
      <c r="O44" s="100">
        <v>0</v>
      </c>
      <c r="P44" s="100">
        <v>0.33</v>
      </c>
      <c r="Q44" s="100">
        <v>10</v>
      </c>
      <c r="R44" s="6"/>
      <c r="S44" s="6"/>
      <c r="T44" s="156"/>
      <c r="U44" s="6"/>
    </row>
    <row r="45" spans="1:21" customFormat="1">
      <c r="A45" s="201" t="s">
        <v>1045</v>
      </c>
      <c r="B45" s="100">
        <v>8.18</v>
      </c>
      <c r="C45" s="100">
        <v>12.02</v>
      </c>
      <c r="D45" s="100">
        <v>12.84</v>
      </c>
      <c r="E45" s="100">
        <v>4.45</v>
      </c>
      <c r="F45" s="100">
        <v>2.0099999999999998</v>
      </c>
      <c r="G45" s="100">
        <v>29.91</v>
      </c>
      <c r="H45" s="100">
        <v>10.33</v>
      </c>
      <c r="I45" s="100">
        <v>6.25</v>
      </c>
      <c r="J45" s="100">
        <v>0.28999999999999998</v>
      </c>
      <c r="K45" s="100">
        <v>196.38</v>
      </c>
      <c r="L45" s="100">
        <v>29.58</v>
      </c>
      <c r="M45" s="100">
        <v>76.69</v>
      </c>
      <c r="N45" s="100">
        <v>274.7</v>
      </c>
      <c r="O45" s="100">
        <v>0</v>
      </c>
      <c r="P45" s="100">
        <v>0.34</v>
      </c>
      <c r="Q45" s="100">
        <v>10</v>
      </c>
      <c r="R45" s="6"/>
      <c r="S45" s="6"/>
      <c r="T45" s="156"/>
      <c r="U45" s="6"/>
    </row>
    <row r="46" spans="1:21" customFormat="1">
      <c r="A46" s="201" t="s">
        <v>1046</v>
      </c>
      <c r="B46" s="100">
        <v>7.88</v>
      </c>
      <c r="C46" s="100">
        <v>12.14</v>
      </c>
      <c r="D46" s="100">
        <v>12.66</v>
      </c>
      <c r="E46" s="100">
        <v>4.29</v>
      </c>
      <c r="F46" s="100">
        <v>2</v>
      </c>
      <c r="G46" s="100">
        <v>29.91</v>
      </c>
      <c r="H46" s="100">
        <v>10.33</v>
      </c>
      <c r="I46" s="100">
        <v>6.4</v>
      </c>
      <c r="J46" s="100">
        <v>0.28999999999999998</v>
      </c>
      <c r="K46" s="100">
        <v>67.989999999999995</v>
      </c>
      <c r="L46" s="100">
        <v>30.66</v>
      </c>
      <c r="M46" s="100">
        <v>72.92</v>
      </c>
      <c r="N46" s="100">
        <v>375.5</v>
      </c>
      <c r="O46" s="100">
        <v>0</v>
      </c>
      <c r="P46" s="100">
        <v>0.33</v>
      </c>
      <c r="Q46" s="100">
        <v>10</v>
      </c>
      <c r="R46" s="6"/>
      <c r="S46" s="6"/>
      <c r="T46" s="156"/>
      <c r="U46" s="6"/>
    </row>
    <row r="47" spans="1:21" customFormat="1">
      <c r="A47" s="201" t="s">
        <v>1047</v>
      </c>
      <c r="B47" s="100">
        <v>7.71</v>
      </c>
      <c r="C47" s="100">
        <v>12.35</v>
      </c>
      <c r="D47" s="100">
        <v>12.64</v>
      </c>
      <c r="E47" s="100">
        <v>4.3899999999999997</v>
      </c>
      <c r="F47" s="100">
        <v>2.0299999999999998</v>
      </c>
      <c r="G47" s="100">
        <v>36.18</v>
      </c>
      <c r="H47" s="100">
        <v>13.44</v>
      </c>
      <c r="I47" s="100">
        <v>6.52</v>
      </c>
      <c r="J47" s="100">
        <v>0.16</v>
      </c>
      <c r="K47" s="100">
        <v>49.5</v>
      </c>
      <c r="L47" s="100">
        <v>30.38</v>
      </c>
      <c r="M47" s="100">
        <v>71.28</v>
      </c>
      <c r="N47" s="100">
        <v>358.3</v>
      </c>
      <c r="O47" s="100">
        <v>0</v>
      </c>
      <c r="P47" s="100">
        <v>0.34</v>
      </c>
      <c r="Q47" s="100">
        <v>10</v>
      </c>
      <c r="R47" s="6"/>
      <c r="S47" s="6"/>
      <c r="T47" s="156"/>
      <c r="U47" s="6"/>
    </row>
    <row r="48" spans="1:21" customFormat="1">
      <c r="A48" s="201" t="s">
        <v>1048</v>
      </c>
      <c r="B48" s="100">
        <v>7.71</v>
      </c>
      <c r="C48" s="100">
        <v>12.64</v>
      </c>
      <c r="D48" s="100">
        <v>12.79</v>
      </c>
      <c r="E48" s="100">
        <v>4.3899999999999997</v>
      </c>
      <c r="F48" s="100">
        <v>2</v>
      </c>
      <c r="G48" s="100">
        <v>37.74</v>
      </c>
      <c r="H48" s="100">
        <v>13.44</v>
      </c>
      <c r="I48" s="100">
        <v>6.61</v>
      </c>
      <c r="J48" s="100">
        <v>0.12</v>
      </c>
      <c r="K48" s="100">
        <v>138.94999999999999</v>
      </c>
      <c r="L48" s="100">
        <v>29.99</v>
      </c>
      <c r="M48" s="100">
        <v>72.81</v>
      </c>
      <c r="N48" s="100">
        <v>359.5</v>
      </c>
      <c r="O48" s="100">
        <v>0</v>
      </c>
      <c r="P48" s="100">
        <v>0.35</v>
      </c>
      <c r="Q48" s="100">
        <v>10</v>
      </c>
      <c r="R48" s="6"/>
      <c r="S48" s="6"/>
      <c r="T48" s="156"/>
      <c r="U48" s="6"/>
    </row>
    <row r="49" spans="1:21" customFormat="1">
      <c r="A49" s="201" t="s">
        <v>1049</v>
      </c>
      <c r="B49" s="100">
        <v>7.62</v>
      </c>
      <c r="C49" s="100">
        <v>12.86</v>
      </c>
      <c r="D49" s="100">
        <v>12.83</v>
      </c>
      <c r="E49" s="100">
        <v>3.74</v>
      </c>
      <c r="F49" s="100">
        <v>2</v>
      </c>
      <c r="G49" s="100">
        <v>37.74</v>
      </c>
      <c r="H49" s="100">
        <v>13.44</v>
      </c>
      <c r="I49" s="100">
        <v>6.67</v>
      </c>
      <c r="J49" s="100">
        <v>0.06</v>
      </c>
      <c r="K49" s="100">
        <v>13.55</v>
      </c>
      <c r="L49" s="100">
        <v>30.51</v>
      </c>
      <c r="M49" s="100">
        <v>70.42</v>
      </c>
      <c r="N49" s="100">
        <v>413.2</v>
      </c>
      <c r="O49" s="100">
        <v>0</v>
      </c>
      <c r="P49" s="100">
        <v>0.35</v>
      </c>
      <c r="Q49" s="100">
        <v>10</v>
      </c>
      <c r="R49" s="6"/>
      <c r="S49" s="6"/>
      <c r="T49" s="156"/>
      <c r="U49" s="6"/>
    </row>
    <row r="50" spans="1:21" customFormat="1">
      <c r="A50" s="201" t="s">
        <v>1050</v>
      </c>
      <c r="B50" s="100">
        <v>7.65</v>
      </c>
      <c r="C50" s="100">
        <v>13.05</v>
      </c>
      <c r="D50" s="100">
        <v>12.95</v>
      </c>
      <c r="E50" s="100">
        <v>4.87</v>
      </c>
      <c r="F50" s="100">
        <v>2.02</v>
      </c>
      <c r="G50" s="100">
        <v>37.74</v>
      </c>
      <c r="H50" s="100">
        <v>13.44</v>
      </c>
      <c r="I50" s="100">
        <v>6.68</v>
      </c>
      <c r="J50" s="100">
        <v>0.12</v>
      </c>
      <c r="K50" s="100">
        <v>50.02</v>
      </c>
      <c r="L50" s="100">
        <v>30.47</v>
      </c>
      <c r="M50" s="100">
        <v>72</v>
      </c>
      <c r="N50" s="100">
        <v>178.5</v>
      </c>
      <c r="O50" s="100">
        <v>0</v>
      </c>
      <c r="P50" s="100">
        <v>0.36</v>
      </c>
      <c r="Q50" s="100">
        <v>10</v>
      </c>
      <c r="R50" s="6"/>
      <c r="S50" s="6"/>
      <c r="T50" s="156"/>
      <c r="U50" s="6"/>
    </row>
    <row r="51" spans="1:21" customFormat="1">
      <c r="A51" s="201" t="s">
        <v>1051</v>
      </c>
      <c r="B51" s="100">
        <v>7.64</v>
      </c>
      <c r="C51" s="100">
        <v>13.3</v>
      </c>
      <c r="D51" s="100">
        <v>13.08</v>
      </c>
      <c r="E51" s="100">
        <v>5.0599999999999996</v>
      </c>
      <c r="F51" s="100">
        <v>2</v>
      </c>
      <c r="G51" s="100">
        <v>46.71</v>
      </c>
      <c r="H51" s="100">
        <v>17.87</v>
      </c>
      <c r="I51" s="100">
        <v>6.72</v>
      </c>
      <c r="J51" s="100">
        <v>0.24</v>
      </c>
      <c r="K51" s="100">
        <v>114.04</v>
      </c>
      <c r="L51" s="100">
        <v>30.85</v>
      </c>
      <c r="M51" s="100">
        <v>69.11</v>
      </c>
      <c r="N51" s="100">
        <v>329.5</v>
      </c>
      <c r="O51" s="100">
        <v>0</v>
      </c>
      <c r="P51" s="100">
        <v>0.37</v>
      </c>
      <c r="Q51" s="100">
        <v>10</v>
      </c>
      <c r="R51" s="6"/>
      <c r="S51" s="6"/>
      <c r="T51" s="156"/>
      <c r="U51" s="6"/>
    </row>
    <row r="52" spans="1:21" customFormat="1">
      <c r="A52" s="201" t="s">
        <v>1052</v>
      </c>
      <c r="B52" s="100">
        <v>7.51</v>
      </c>
      <c r="C52" s="100">
        <v>13.39</v>
      </c>
      <c r="D52" s="100">
        <v>13.01</v>
      </c>
      <c r="E52" s="100">
        <v>5.01</v>
      </c>
      <c r="F52" s="100">
        <v>2</v>
      </c>
      <c r="G52" s="100">
        <v>49.11</v>
      </c>
      <c r="H52" s="100">
        <v>17.87</v>
      </c>
      <c r="I52" s="100">
        <v>6.77</v>
      </c>
      <c r="J52" s="100">
        <v>0.18</v>
      </c>
      <c r="K52" s="100">
        <v>65.36</v>
      </c>
      <c r="L52" s="100">
        <v>30.74</v>
      </c>
      <c r="M52" s="100">
        <v>70.77</v>
      </c>
      <c r="N52" s="100">
        <v>420.7</v>
      </c>
      <c r="O52" s="100">
        <v>0</v>
      </c>
      <c r="P52" s="100">
        <v>0.37</v>
      </c>
      <c r="Q52" s="100">
        <v>10</v>
      </c>
      <c r="R52" s="6"/>
      <c r="S52" s="6"/>
      <c r="T52" s="156"/>
      <c r="U52" s="6"/>
    </row>
    <row r="53" spans="1:21" customFormat="1">
      <c r="A53" s="201" t="s">
        <v>1053</v>
      </c>
      <c r="B53" s="100">
        <v>7.29</v>
      </c>
      <c r="C53" s="100">
        <v>13.45</v>
      </c>
      <c r="D53" s="100">
        <v>12.87</v>
      </c>
      <c r="E53" s="100">
        <v>4.75</v>
      </c>
      <c r="F53" s="100">
        <v>2.02</v>
      </c>
      <c r="G53" s="100">
        <v>49.11</v>
      </c>
      <c r="H53" s="100">
        <v>17.87</v>
      </c>
      <c r="I53" s="100">
        <v>6.76</v>
      </c>
      <c r="J53" s="100">
        <v>0.44</v>
      </c>
      <c r="K53" s="100">
        <v>50.28</v>
      </c>
      <c r="L53" s="100">
        <v>30.81</v>
      </c>
      <c r="M53" s="100">
        <v>68.959999999999994</v>
      </c>
      <c r="N53" s="100">
        <v>335.8</v>
      </c>
      <c r="O53" s="100">
        <v>0</v>
      </c>
      <c r="P53" s="100">
        <v>0.38</v>
      </c>
      <c r="Q53" s="100">
        <v>10</v>
      </c>
      <c r="R53" s="6"/>
      <c r="S53" s="6"/>
      <c r="T53" s="156"/>
      <c r="U53" s="6"/>
    </row>
    <row r="54" spans="1:21" customFormat="1">
      <c r="A54" s="201" t="s">
        <v>1054</v>
      </c>
      <c r="B54" s="100">
        <v>7.03</v>
      </c>
      <c r="C54" s="100">
        <v>13.6</v>
      </c>
      <c r="D54" s="100">
        <v>12.74</v>
      </c>
      <c r="E54" s="100">
        <v>5.01</v>
      </c>
      <c r="F54" s="100">
        <v>2.15</v>
      </c>
      <c r="G54" s="100">
        <v>49.11</v>
      </c>
      <c r="H54" s="100">
        <v>17.87</v>
      </c>
      <c r="I54" s="100">
        <v>6.68</v>
      </c>
      <c r="J54" s="100">
        <v>0.31</v>
      </c>
      <c r="K54" s="100">
        <v>61.53</v>
      </c>
      <c r="L54" s="100">
        <v>30.56</v>
      </c>
      <c r="M54" s="100">
        <v>72.099999999999994</v>
      </c>
      <c r="N54" s="100">
        <v>226.1</v>
      </c>
      <c r="O54" s="100">
        <v>0</v>
      </c>
      <c r="P54" s="100">
        <v>0.38</v>
      </c>
      <c r="Q54" s="100">
        <v>10</v>
      </c>
      <c r="R54" s="6"/>
      <c r="S54" s="6"/>
      <c r="T54" s="156"/>
      <c r="U54" s="6"/>
    </row>
    <row r="55" spans="1:21" customFormat="1">
      <c r="A55" s="201" t="s">
        <v>1055</v>
      </c>
      <c r="B55" s="100">
        <v>6.72</v>
      </c>
      <c r="C55" s="100">
        <v>13.68</v>
      </c>
      <c r="D55" s="100">
        <v>12.53</v>
      </c>
      <c r="E55" s="100">
        <v>5.13</v>
      </c>
      <c r="F55" s="100">
        <v>2.68</v>
      </c>
      <c r="G55" s="100">
        <v>71.819999999999993</v>
      </c>
      <c r="H55" s="100">
        <v>26.12</v>
      </c>
      <c r="I55" s="100">
        <v>6.7</v>
      </c>
      <c r="J55" s="100">
        <v>0.13</v>
      </c>
      <c r="K55" s="100">
        <v>124.49</v>
      </c>
      <c r="L55" s="100">
        <v>30.45</v>
      </c>
      <c r="M55" s="100">
        <v>73.64</v>
      </c>
      <c r="N55" s="100">
        <v>101</v>
      </c>
      <c r="O55" s="100">
        <v>0</v>
      </c>
      <c r="P55" s="100">
        <v>0.38</v>
      </c>
      <c r="Q55" s="100">
        <v>10</v>
      </c>
      <c r="R55" s="6"/>
      <c r="S55" s="6"/>
      <c r="T55" s="156"/>
      <c r="U55" s="6"/>
    </row>
    <row r="56" spans="1:21" customFormat="1">
      <c r="A56" s="201" t="s">
        <v>1056</v>
      </c>
      <c r="B56" s="100">
        <v>6.45</v>
      </c>
      <c r="C56" s="100">
        <v>13.46</v>
      </c>
      <c r="D56" s="100">
        <v>12.21</v>
      </c>
      <c r="E56" s="100">
        <v>4.92</v>
      </c>
      <c r="F56" s="100">
        <v>2.2000000000000002</v>
      </c>
      <c r="G56" s="100">
        <v>77.489999999999995</v>
      </c>
      <c r="H56" s="100">
        <v>26.12</v>
      </c>
      <c r="I56" s="100">
        <v>6.74</v>
      </c>
      <c r="J56" s="100">
        <v>0.22</v>
      </c>
      <c r="K56" s="100">
        <v>161.38</v>
      </c>
      <c r="L56" s="100">
        <v>30.74</v>
      </c>
      <c r="M56" s="100">
        <v>72.260000000000005</v>
      </c>
      <c r="N56" s="100">
        <v>494.6</v>
      </c>
      <c r="O56" s="100">
        <v>0</v>
      </c>
      <c r="P56" s="100">
        <v>0.38</v>
      </c>
      <c r="Q56" s="100">
        <v>10</v>
      </c>
      <c r="R56" s="6"/>
      <c r="S56" s="6"/>
      <c r="T56" s="156"/>
      <c r="U56" s="6"/>
    </row>
    <row r="57" spans="1:21" customFormat="1">
      <c r="A57" s="201" t="s">
        <v>1057</v>
      </c>
      <c r="B57" s="100">
        <v>5.47</v>
      </c>
      <c r="C57" s="100">
        <v>13.24</v>
      </c>
      <c r="D57" s="100">
        <v>11.3</v>
      </c>
      <c r="E57" s="100">
        <v>5.35</v>
      </c>
      <c r="F57" s="100">
        <v>16.329999999999998</v>
      </c>
      <c r="G57" s="100">
        <v>77.489999999999995</v>
      </c>
      <c r="H57" s="100">
        <v>26.12</v>
      </c>
      <c r="I57" s="100">
        <v>6.82</v>
      </c>
      <c r="J57" s="100">
        <v>0.31</v>
      </c>
      <c r="K57" s="100">
        <v>146.52000000000001</v>
      </c>
      <c r="L57" s="100">
        <v>32.25</v>
      </c>
      <c r="M57" s="100">
        <v>66.77</v>
      </c>
      <c r="N57" s="100">
        <v>586.1</v>
      </c>
      <c r="O57" s="100">
        <v>0</v>
      </c>
      <c r="P57" s="100">
        <v>0.38</v>
      </c>
      <c r="Q57" s="100">
        <v>10</v>
      </c>
      <c r="R57" s="6"/>
      <c r="S57" s="6"/>
      <c r="T57" s="156"/>
      <c r="U57" s="6"/>
    </row>
    <row r="58" spans="1:21" customFormat="1">
      <c r="A58" s="201" t="s">
        <v>1058</v>
      </c>
      <c r="B58" s="100">
        <v>3.24</v>
      </c>
      <c r="C58" s="100">
        <v>13.33</v>
      </c>
      <c r="D58" s="100">
        <v>9.57</v>
      </c>
      <c r="E58" s="100">
        <v>7.52</v>
      </c>
      <c r="F58" s="100">
        <v>16.059999999999999</v>
      </c>
      <c r="G58" s="100">
        <v>77.489999999999995</v>
      </c>
      <c r="H58" s="100">
        <v>26.12</v>
      </c>
      <c r="I58" s="100">
        <v>6.76</v>
      </c>
      <c r="J58" s="100">
        <v>0.15</v>
      </c>
      <c r="K58" s="100">
        <v>100.96</v>
      </c>
      <c r="L58" s="100">
        <v>32.57</v>
      </c>
      <c r="M58" s="100">
        <v>65.62</v>
      </c>
      <c r="N58" s="100">
        <v>514.1</v>
      </c>
      <c r="O58" s="100">
        <v>0</v>
      </c>
      <c r="P58" s="100">
        <v>0.38</v>
      </c>
      <c r="Q58" s="100">
        <v>10</v>
      </c>
      <c r="R58" s="6"/>
      <c r="S58" s="6"/>
      <c r="T58" s="156"/>
      <c r="U58" s="6"/>
    </row>
    <row r="59" spans="1:21" customFormat="1">
      <c r="A59" s="201" t="s">
        <v>1059</v>
      </c>
      <c r="B59" s="100">
        <v>2.38</v>
      </c>
      <c r="C59" s="100">
        <v>13.31</v>
      </c>
      <c r="D59" s="100">
        <v>8.86</v>
      </c>
      <c r="E59" s="100">
        <v>7.53</v>
      </c>
      <c r="F59" s="100">
        <v>21.04</v>
      </c>
      <c r="G59" s="100">
        <v>82.88</v>
      </c>
      <c r="H59" s="100">
        <v>41.24</v>
      </c>
      <c r="I59" s="100">
        <v>6.27</v>
      </c>
      <c r="J59" s="100">
        <v>0.19</v>
      </c>
      <c r="K59" s="100">
        <v>98.54</v>
      </c>
      <c r="L59" s="100">
        <v>32.35</v>
      </c>
      <c r="M59" s="100">
        <v>66.37</v>
      </c>
      <c r="N59" s="100">
        <v>407.4</v>
      </c>
      <c r="O59" s="100">
        <v>0</v>
      </c>
      <c r="P59" s="100">
        <v>0.38</v>
      </c>
      <c r="Q59" s="100">
        <v>10</v>
      </c>
      <c r="R59" s="6"/>
      <c r="S59" s="6"/>
      <c r="T59" s="156"/>
      <c r="U59" s="6"/>
    </row>
    <row r="60" spans="1:21" customFormat="1">
      <c r="A60" s="201" t="s">
        <v>1060</v>
      </c>
      <c r="B60" s="100">
        <v>2.0499999999999998</v>
      </c>
      <c r="C60" s="100">
        <v>12.91</v>
      </c>
      <c r="D60" s="100">
        <v>8.39</v>
      </c>
      <c r="E60" s="100">
        <v>7.85</v>
      </c>
      <c r="F60" s="100">
        <v>20.74</v>
      </c>
      <c r="G60" s="100">
        <v>84.23</v>
      </c>
      <c r="H60" s="100">
        <v>41.24</v>
      </c>
      <c r="I60" s="100">
        <v>6.03</v>
      </c>
      <c r="J60" s="100">
        <v>0.15</v>
      </c>
      <c r="K60" s="100">
        <v>102.65</v>
      </c>
      <c r="L60" s="100">
        <v>32</v>
      </c>
      <c r="M60" s="100">
        <v>67.2</v>
      </c>
      <c r="N60" s="100">
        <v>327.7</v>
      </c>
      <c r="O60" s="100">
        <v>0</v>
      </c>
      <c r="P60" s="100">
        <v>0.38</v>
      </c>
      <c r="Q60" s="100">
        <v>10</v>
      </c>
      <c r="R60" s="6"/>
      <c r="S60" s="6"/>
      <c r="T60" s="156"/>
      <c r="U60" s="6"/>
    </row>
    <row r="61" spans="1:21" customFormat="1">
      <c r="A61" s="201" t="s">
        <v>1061</v>
      </c>
      <c r="B61" s="100">
        <v>2.0099999999999998</v>
      </c>
      <c r="C61" s="100">
        <v>12.6</v>
      </c>
      <c r="D61" s="100">
        <v>8.19</v>
      </c>
      <c r="E61" s="100">
        <v>7.66</v>
      </c>
      <c r="F61" s="100">
        <v>21.11</v>
      </c>
      <c r="G61" s="100">
        <v>84.23</v>
      </c>
      <c r="H61" s="100">
        <v>41.24</v>
      </c>
      <c r="I61" s="100">
        <v>5.94</v>
      </c>
      <c r="J61" s="100">
        <v>0.28999999999999998</v>
      </c>
      <c r="K61" s="100">
        <v>151</v>
      </c>
      <c r="L61" s="100">
        <v>32.619999999999997</v>
      </c>
      <c r="M61" s="100">
        <v>65.14</v>
      </c>
      <c r="N61" s="100">
        <v>307.39999999999998</v>
      </c>
      <c r="O61" s="100">
        <v>0</v>
      </c>
      <c r="P61" s="100">
        <v>0.37</v>
      </c>
      <c r="Q61" s="100">
        <v>10</v>
      </c>
      <c r="R61" s="6"/>
      <c r="S61" s="6"/>
      <c r="T61" s="156"/>
      <c r="U61" s="6"/>
    </row>
    <row r="62" spans="1:21" customFormat="1">
      <c r="A62" s="201" t="s">
        <v>1062</v>
      </c>
      <c r="B62" s="100">
        <v>1.94</v>
      </c>
      <c r="C62" s="100">
        <v>12.6</v>
      </c>
      <c r="D62" s="100">
        <v>8.1300000000000008</v>
      </c>
      <c r="E62" s="100">
        <v>7.7</v>
      </c>
      <c r="F62" s="100">
        <v>18.88</v>
      </c>
      <c r="G62" s="100">
        <v>84.23</v>
      </c>
      <c r="H62" s="100">
        <v>41.24</v>
      </c>
      <c r="I62" s="100">
        <v>5.83</v>
      </c>
      <c r="J62" s="100">
        <v>0.38</v>
      </c>
      <c r="K62" s="100">
        <v>51.74</v>
      </c>
      <c r="L62" s="100">
        <v>32.46</v>
      </c>
      <c r="M62" s="100">
        <v>64.28</v>
      </c>
      <c r="N62" s="100">
        <v>258.89999999999998</v>
      </c>
      <c r="O62" s="100">
        <v>0</v>
      </c>
      <c r="P62" s="100">
        <v>0.37</v>
      </c>
      <c r="Q62" s="100">
        <v>10</v>
      </c>
      <c r="R62" s="6"/>
      <c r="S62" s="6"/>
      <c r="T62" s="156"/>
      <c r="U62" s="6"/>
    </row>
    <row r="63" spans="1:21" customFormat="1">
      <c r="A63" s="201" t="s">
        <v>1063</v>
      </c>
      <c r="B63" s="100">
        <v>2</v>
      </c>
      <c r="C63" s="100">
        <v>12.64</v>
      </c>
      <c r="D63" s="100">
        <v>8.2100000000000009</v>
      </c>
      <c r="E63" s="100">
        <v>6.47</v>
      </c>
      <c r="F63" s="100">
        <v>25.49</v>
      </c>
      <c r="G63" s="100">
        <v>85.03</v>
      </c>
      <c r="H63" s="100">
        <v>46.18</v>
      </c>
      <c r="I63" s="100">
        <v>5.61</v>
      </c>
      <c r="J63" s="100">
        <v>0.39</v>
      </c>
      <c r="K63" s="100">
        <v>46.36</v>
      </c>
      <c r="L63" s="100">
        <v>32.409999999999997</v>
      </c>
      <c r="M63" s="100">
        <v>62.75</v>
      </c>
      <c r="N63" s="100">
        <v>301.3</v>
      </c>
      <c r="O63" s="100">
        <v>0</v>
      </c>
      <c r="P63" s="100">
        <v>0.35</v>
      </c>
      <c r="Q63" s="100">
        <v>10</v>
      </c>
      <c r="R63" s="6"/>
      <c r="S63" s="6"/>
      <c r="T63" s="156"/>
      <c r="U63" s="6"/>
    </row>
    <row r="64" spans="1:21" customFormat="1">
      <c r="A64" s="201" t="s">
        <v>1064</v>
      </c>
      <c r="B64" s="100">
        <v>1.97</v>
      </c>
      <c r="C64" s="100">
        <v>12.86</v>
      </c>
      <c r="D64" s="100">
        <v>8.3000000000000007</v>
      </c>
      <c r="E64" s="100">
        <v>6.1</v>
      </c>
      <c r="F64" s="100">
        <v>15.56</v>
      </c>
      <c r="G64" s="100">
        <v>85.23</v>
      </c>
      <c r="H64" s="100">
        <v>46.18</v>
      </c>
      <c r="I64" s="100">
        <v>5.39</v>
      </c>
      <c r="J64" s="100">
        <v>0.37</v>
      </c>
      <c r="K64" s="100">
        <v>70.42</v>
      </c>
      <c r="L64" s="100">
        <v>32.43</v>
      </c>
      <c r="M64" s="100">
        <v>62.01</v>
      </c>
      <c r="N64" s="100">
        <v>442.6</v>
      </c>
      <c r="O64" s="100">
        <v>0</v>
      </c>
      <c r="P64" s="100">
        <v>0.33</v>
      </c>
      <c r="Q64" s="100">
        <v>10</v>
      </c>
      <c r="R64" s="6"/>
      <c r="S64" s="6"/>
      <c r="T64" s="156"/>
      <c r="U64" s="6"/>
    </row>
    <row r="65" spans="1:21" customFormat="1">
      <c r="A65" s="201" t="s">
        <v>1065</v>
      </c>
      <c r="B65" s="100">
        <v>1.87</v>
      </c>
      <c r="C65" s="100">
        <v>13.12</v>
      </c>
      <c r="D65" s="100">
        <v>8.35</v>
      </c>
      <c r="E65" s="100">
        <v>3.93</v>
      </c>
      <c r="F65" s="100">
        <v>11.08</v>
      </c>
      <c r="G65" s="100">
        <v>85.23</v>
      </c>
      <c r="H65" s="100">
        <v>46.18</v>
      </c>
      <c r="I65" s="100">
        <v>5.17</v>
      </c>
      <c r="J65" s="100">
        <v>0.22</v>
      </c>
      <c r="K65" s="100">
        <v>81.93</v>
      </c>
      <c r="L65" s="100">
        <v>32.56</v>
      </c>
      <c r="M65" s="100">
        <v>62.78</v>
      </c>
      <c r="N65" s="100">
        <v>448.8</v>
      </c>
      <c r="O65" s="100">
        <v>0</v>
      </c>
      <c r="P65" s="100">
        <v>0.23</v>
      </c>
      <c r="Q65" s="100">
        <v>10</v>
      </c>
      <c r="R65" s="6"/>
      <c r="S65" s="6"/>
      <c r="T65" s="156"/>
      <c r="U65" s="6"/>
    </row>
    <row r="66" spans="1:21" customFormat="1">
      <c r="A66" s="201" t="s">
        <v>1066</v>
      </c>
      <c r="B66" s="100">
        <v>1.83</v>
      </c>
      <c r="C66" s="100">
        <v>13.77</v>
      </c>
      <c r="D66" s="100">
        <v>8.66</v>
      </c>
      <c r="E66" s="100">
        <v>4.1500000000000004</v>
      </c>
      <c r="F66" s="100">
        <v>13.76</v>
      </c>
      <c r="G66" s="100">
        <v>85.23</v>
      </c>
      <c r="H66" s="100">
        <v>46.18</v>
      </c>
      <c r="I66" s="100">
        <v>5.0599999999999996</v>
      </c>
      <c r="J66" s="100">
        <v>0.15</v>
      </c>
      <c r="K66" s="100">
        <v>89.56</v>
      </c>
      <c r="L66" s="100">
        <v>32.6</v>
      </c>
      <c r="M66" s="100">
        <v>62.45</v>
      </c>
      <c r="N66" s="100">
        <v>274.39999999999998</v>
      </c>
      <c r="O66" s="100">
        <v>0</v>
      </c>
      <c r="P66" s="100">
        <v>0.24</v>
      </c>
      <c r="Q66" s="100">
        <v>10</v>
      </c>
      <c r="R66" s="6"/>
      <c r="S66" s="6"/>
      <c r="T66" s="156"/>
      <c r="U66" s="6"/>
    </row>
    <row r="67" spans="1:21" customFormat="1">
      <c r="A67" s="201" t="s">
        <v>1067</v>
      </c>
      <c r="B67" s="100">
        <v>1.84</v>
      </c>
      <c r="C67" s="100">
        <v>13.87</v>
      </c>
      <c r="D67" s="100">
        <v>8.7200000000000006</v>
      </c>
      <c r="E67" s="100">
        <v>3.78</v>
      </c>
      <c r="F67" s="100">
        <v>10.64</v>
      </c>
      <c r="G67" s="100">
        <v>87.29</v>
      </c>
      <c r="H67" s="100">
        <v>53.79</v>
      </c>
      <c r="I67" s="100">
        <v>4.8899999999999997</v>
      </c>
      <c r="J67" s="100">
        <v>0.24</v>
      </c>
      <c r="K67" s="100">
        <v>71.12</v>
      </c>
      <c r="L67" s="100">
        <v>32.5</v>
      </c>
      <c r="M67" s="100">
        <v>62.87</v>
      </c>
      <c r="N67" s="100">
        <v>157.30000000000001</v>
      </c>
      <c r="O67" s="100">
        <v>0</v>
      </c>
      <c r="P67" s="100">
        <v>0.23</v>
      </c>
      <c r="Q67" s="100">
        <v>10</v>
      </c>
      <c r="R67" s="6"/>
      <c r="S67" s="6"/>
      <c r="T67" s="156"/>
      <c r="U67" s="6"/>
    </row>
    <row r="68" spans="1:21" customFormat="1">
      <c r="A68" s="201" t="s">
        <v>1068</v>
      </c>
      <c r="B68" s="100">
        <v>1.99</v>
      </c>
      <c r="C68" s="100">
        <v>13.57</v>
      </c>
      <c r="D68" s="100">
        <v>8.69</v>
      </c>
      <c r="E68" s="100">
        <v>3.39</v>
      </c>
      <c r="F68" s="100">
        <v>8.4</v>
      </c>
      <c r="G68" s="100">
        <v>87.8</v>
      </c>
      <c r="H68" s="100">
        <v>53.79</v>
      </c>
      <c r="I68" s="100">
        <v>4.66</v>
      </c>
      <c r="J68" s="100">
        <v>0.26</v>
      </c>
      <c r="K68" s="100">
        <v>161.25</v>
      </c>
      <c r="L68" s="100">
        <v>32.32</v>
      </c>
      <c r="M68" s="100">
        <v>64.38</v>
      </c>
      <c r="N68" s="100">
        <v>154.19999999999999</v>
      </c>
      <c r="O68" s="100">
        <v>0</v>
      </c>
      <c r="P68" s="100">
        <v>0.22</v>
      </c>
      <c r="Q68" s="100">
        <v>10</v>
      </c>
      <c r="R68" s="6"/>
      <c r="S68" s="6"/>
      <c r="T68" s="156"/>
      <c r="U68" s="6"/>
    </row>
    <row r="69" spans="1:21" customFormat="1">
      <c r="A69" s="201" t="s">
        <v>1069</v>
      </c>
      <c r="B69" s="100">
        <v>2.16</v>
      </c>
      <c r="C69" s="100">
        <v>13.28</v>
      </c>
      <c r="D69" s="100">
        <v>8.67</v>
      </c>
      <c r="E69" s="100">
        <v>3.75</v>
      </c>
      <c r="F69" s="100">
        <v>10.25</v>
      </c>
      <c r="G69" s="100">
        <v>87.8</v>
      </c>
      <c r="H69" s="100">
        <v>53.79</v>
      </c>
      <c r="I69" s="100">
        <v>4.62</v>
      </c>
      <c r="J69" s="100">
        <v>0.15</v>
      </c>
      <c r="K69" s="100">
        <v>77.92</v>
      </c>
      <c r="L69" s="100">
        <v>32.22</v>
      </c>
      <c r="M69" s="100">
        <v>64.5</v>
      </c>
      <c r="N69" s="100">
        <v>116.7</v>
      </c>
      <c r="O69" s="100">
        <v>0</v>
      </c>
      <c r="P69" s="100">
        <v>0.22</v>
      </c>
      <c r="Q69" s="100">
        <v>10</v>
      </c>
      <c r="R69" s="6"/>
      <c r="S69" s="6"/>
      <c r="T69" s="156"/>
      <c r="U69" s="6"/>
    </row>
    <row r="70" spans="1:21" customFormat="1">
      <c r="A70" s="201" t="s">
        <v>1070</v>
      </c>
      <c r="B70" s="100">
        <v>2.2799999999999998</v>
      </c>
      <c r="C70" s="100">
        <v>13</v>
      </c>
      <c r="D70" s="100">
        <v>8.6199999999999992</v>
      </c>
      <c r="E70" s="100">
        <v>3.97</v>
      </c>
      <c r="F70" s="100">
        <v>12.32</v>
      </c>
      <c r="G70" s="100">
        <v>87.8</v>
      </c>
      <c r="H70" s="100">
        <v>53.79</v>
      </c>
      <c r="I70" s="100">
        <v>4.62</v>
      </c>
      <c r="J70" s="100">
        <v>0.22</v>
      </c>
      <c r="K70" s="100">
        <v>142.31</v>
      </c>
      <c r="L70" s="100">
        <v>32</v>
      </c>
      <c r="M70" s="100">
        <v>65.58</v>
      </c>
      <c r="N70" s="100">
        <v>113.5</v>
      </c>
      <c r="O70" s="100">
        <v>0</v>
      </c>
      <c r="P70" s="100">
        <v>0.21</v>
      </c>
      <c r="Q70" s="100">
        <v>10</v>
      </c>
      <c r="R70" s="6"/>
      <c r="S70" s="6"/>
      <c r="T70" s="156"/>
      <c r="U70" s="6"/>
    </row>
    <row r="71" spans="1:21" customFormat="1">
      <c r="A71" s="201" t="s">
        <v>1071</v>
      </c>
      <c r="B71" s="100">
        <v>2.15</v>
      </c>
      <c r="C71" s="100">
        <v>12.86</v>
      </c>
      <c r="D71" s="100">
        <v>8.4499999999999993</v>
      </c>
      <c r="E71" s="100">
        <v>5.0999999999999996</v>
      </c>
      <c r="F71" s="100">
        <v>18.57</v>
      </c>
      <c r="G71" s="100">
        <v>83.96</v>
      </c>
      <c r="H71" s="100">
        <v>59.3</v>
      </c>
      <c r="I71" s="100">
        <v>4.58</v>
      </c>
      <c r="J71" s="100">
        <v>0.16</v>
      </c>
      <c r="K71" s="100">
        <v>83.93</v>
      </c>
      <c r="L71" s="100">
        <v>31.86</v>
      </c>
      <c r="M71" s="100">
        <v>63.71</v>
      </c>
      <c r="N71" s="100">
        <v>129.5</v>
      </c>
      <c r="O71" s="100">
        <v>0</v>
      </c>
      <c r="P71" s="100">
        <v>0.21</v>
      </c>
      <c r="Q71" s="100">
        <v>10</v>
      </c>
      <c r="R71" s="6"/>
      <c r="S71" s="6"/>
      <c r="T71" s="156"/>
      <c r="U71" s="6"/>
    </row>
    <row r="72" spans="1:21" customFormat="1">
      <c r="A72" s="201" t="s">
        <v>1072</v>
      </c>
      <c r="B72" s="100">
        <v>2.0699999999999998</v>
      </c>
      <c r="C72" s="100">
        <v>13.33</v>
      </c>
      <c r="D72" s="100">
        <v>8.6199999999999992</v>
      </c>
      <c r="E72" s="100">
        <v>5.52</v>
      </c>
      <c r="F72" s="100">
        <v>19.420000000000002</v>
      </c>
      <c r="G72" s="100">
        <v>83</v>
      </c>
      <c r="H72" s="100">
        <v>59.3</v>
      </c>
      <c r="I72" s="100">
        <v>4.3899999999999997</v>
      </c>
      <c r="J72" s="100">
        <v>0.15</v>
      </c>
      <c r="K72" s="100">
        <v>65.38</v>
      </c>
      <c r="L72" s="100">
        <v>31.83</v>
      </c>
      <c r="M72" s="100">
        <v>62.94</v>
      </c>
      <c r="N72" s="100">
        <v>89.1</v>
      </c>
      <c r="O72" s="100">
        <v>0</v>
      </c>
      <c r="P72" s="100">
        <v>0.2</v>
      </c>
      <c r="Q72" s="100">
        <v>10</v>
      </c>
      <c r="R72" s="6"/>
      <c r="S72" s="6"/>
      <c r="T72" s="156"/>
      <c r="U72" s="6"/>
    </row>
    <row r="73" spans="1:21" customFormat="1">
      <c r="A73" s="201" t="s">
        <v>1073</v>
      </c>
      <c r="B73" s="100">
        <v>2.04</v>
      </c>
      <c r="C73" s="100">
        <v>12.57</v>
      </c>
      <c r="D73" s="100">
        <v>8.1999999999999993</v>
      </c>
      <c r="E73" s="100">
        <v>5.99</v>
      </c>
      <c r="F73" s="100">
        <v>22.29</v>
      </c>
      <c r="G73" s="100">
        <v>83</v>
      </c>
      <c r="H73" s="100">
        <v>59.3</v>
      </c>
      <c r="I73" s="100">
        <v>4.25</v>
      </c>
      <c r="J73" s="100">
        <v>0.19</v>
      </c>
      <c r="K73" s="100">
        <v>154.75</v>
      </c>
      <c r="L73" s="100">
        <v>31.76</v>
      </c>
      <c r="M73" s="100">
        <v>64.25</v>
      </c>
      <c r="N73" s="100">
        <v>73.8</v>
      </c>
      <c r="O73" s="100">
        <v>0</v>
      </c>
      <c r="P73" s="100">
        <v>0.2</v>
      </c>
      <c r="Q73" s="100">
        <v>10</v>
      </c>
      <c r="R73" s="6"/>
      <c r="S73" s="6"/>
      <c r="T73" s="156"/>
      <c r="U73" s="6"/>
    </row>
    <row r="74" spans="1:21" customFormat="1">
      <c r="A74" s="201" t="s">
        <v>1074</v>
      </c>
      <c r="B74" s="100">
        <v>2.1</v>
      </c>
      <c r="C74" s="100">
        <v>12.07</v>
      </c>
      <c r="D74" s="100">
        <v>7.99</v>
      </c>
      <c r="E74" s="100">
        <v>6.19</v>
      </c>
      <c r="F74" s="100">
        <v>26.32</v>
      </c>
      <c r="G74" s="100">
        <v>83</v>
      </c>
      <c r="H74" s="100">
        <v>59.3</v>
      </c>
      <c r="I74" s="100">
        <v>4.05</v>
      </c>
      <c r="J74" s="100">
        <v>0.23</v>
      </c>
      <c r="K74" s="100">
        <v>169.73</v>
      </c>
      <c r="L74" s="100">
        <v>31.52</v>
      </c>
      <c r="M74" s="100">
        <v>63.59</v>
      </c>
      <c r="N74" s="100">
        <v>60.3</v>
      </c>
      <c r="O74" s="100">
        <v>0</v>
      </c>
      <c r="P74" s="100">
        <v>0.18</v>
      </c>
      <c r="Q74" s="100">
        <v>10</v>
      </c>
      <c r="R74" s="6"/>
      <c r="S74" s="6"/>
      <c r="T74" s="156"/>
      <c r="U74" s="6"/>
    </row>
    <row r="75" spans="1:21" customFormat="1">
      <c r="A75" s="201" t="s">
        <v>1075</v>
      </c>
      <c r="B75" s="100">
        <v>2.1</v>
      </c>
      <c r="C75" s="100">
        <v>11.46</v>
      </c>
      <c r="D75" s="100">
        <v>7.67</v>
      </c>
      <c r="E75" s="100">
        <v>7.37</v>
      </c>
      <c r="F75" s="100">
        <v>32.56</v>
      </c>
      <c r="G75" s="100">
        <v>89.44</v>
      </c>
      <c r="H75" s="100">
        <v>62.48</v>
      </c>
      <c r="I75" s="100">
        <v>4.0199999999999996</v>
      </c>
      <c r="J75" s="100">
        <v>0.31</v>
      </c>
      <c r="K75" s="100">
        <v>166.38</v>
      </c>
      <c r="L75" s="100">
        <v>31.21</v>
      </c>
      <c r="M75" s="100">
        <v>66.44</v>
      </c>
      <c r="N75" s="100">
        <v>51.6</v>
      </c>
      <c r="O75" s="100">
        <v>0</v>
      </c>
      <c r="P75" s="100">
        <v>0.18</v>
      </c>
      <c r="Q75" s="100">
        <v>10</v>
      </c>
      <c r="R75" s="6"/>
      <c r="S75" s="6"/>
      <c r="T75" s="156"/>
      <c r="U75" s="6"/>
    </row>
    <row r="76" spans="1:21" customFormat="1">
      <c r="A76" s="201" t="s">
        <v>1076</v>
      </c>
      <c r="B76" s="100">
        <v>2.37</v>
      </c>
      <c r="C76" s="100">
        <v>11.97</v>
      </c>
      <c r="D76" s="100">
        <v>8.16</v>
      </c>
      <c r="E76" s="100">
        <v>6.94</v>
      </c>
      <c r="F76" s="100">
        <v>27.08</v>
      </c>
      <c r="G76" s="100">
        <v>91.05</v>
      </c>
      <c r="H76" s="100">
        <v>62.48</v>
      </c>
      <c r="I76" s="100">
        <v>3.89</v>
      </c>
      <c r="J76" s="100">
        <v>0.25</v>
      </c>
      <c r="K76" s="100">
        <v>155.51</v>
      </c>
      <c r="L76" s="100">
        <v>31.05</v>
      </c>
      <c r="M76" s="100">
        <v>66.62</v>
      </c>
      <c r="N76" s="100">
        <v>41.8</v>
      </c>
      <c r="O76" s="100">
        <v>0</v>
      </c>
      <c r="P76" s="100">
        <v>0.18</v>
      </c>
      <c r="Q76" s="100">
        <v>10</v>
      </c>
      <c r="R76" s="6"/>
      <c r="S76" s="6"/>
      <c r="T76" s="156"/>
      <c r="U76" s="6"/>
    </row>
    <row r="77" spans="1:21" customFormat="1">
      <c r="A77" s="201" t="s">
        <v>1077</v>
      </c>
      <c r="B77" s="100">
        <v>2.35</v>
      </c>
      <c r="C77" s="100">
        <v>12.08</v>
      </c>
      <c r="D77" s="100">
        <v>8.19</v>
      </c>
      <c r="E77" s="100">
        <v>6.18</v>
      </c>
      <c r="F77" s="100">
        <v>43.86</v>
      </c>
      <c r="G77" s="100">
        <v>91.05</v>
      </c>
      <c r="H77" s="100">
        <v>62.48</v>
      </c>
      <c r="I77" s="100">
        <v>3.77</v>
      </c>
      <c r="J77" s="100">
        <v>0.22</v>
      </c>
      <c r="K77" s="100">
        <v>158.81</v>
      </c>
      <c r="L77" s="100">
        <v>30.91</v>
      </c>
      <c r="M77" s="100">
        <v>69.180000000000007</v>
      </c>
      <c r="N77" s="100">
        <v>31.3</v>
      </c>
      <c r="O77" s="100">
        <v>0</v>
      </c>
      <c r="P77" s="100">
        <v>0.17</v>
      </c>
      <c r="Q77" s="100">
        <v>10</v>
      </c>
      <c r="R77" s="6"/>
      <c r="S77" s="6"/>
      <c r="T77" s="156"/>
      <c r="U77" s="6"/>
    </row>
    <row r="78" spans="1:21" customFormat="1">
      <c r="A78" s="201" t="s">
        <v>1078</v>
      </c>
      <c r="B78" s="100">
        <v>2</v>
      </c>
      <c r="C78" s="100">
        <v>13.01</v>
      </c>
      <c r="D78" s="100">
        <v>8.41</v>
      </c>
      <c r="E78" s="100">
        <v>4.8499999999999996</v>
      </c>
      <c r="F78" s="100">
        <v>41.82</v>
      </c>
      <c r="G78" s="100">
        <v>91.05</v>
      </c>
      <c r="H78" s="100">
        <v>62.48</v>
      </c>
      <c r="I78" s="100">
        <v>3.75</v>
      </c>
      <c r="J78" s="100">
        <v>0.18</v>
      </c>
      <c r="K78" s="100">
        <v>114.2</v>
      </c>
      <c r="L78" s="100">
        <v>30.97</v>
      </c>
      <c r="M78" s="100">
        <v>68.22</v>
      </c>
      <c r="N78" s="100">
        <v>21.4</v>
      </c>
      <c r="O78" s="100">
        <v>0</v>
      </c>
      <c r="P78" s="100">
        <v>0.26</v>
      </c>
      <c r="Q78" s="100">
        <v>10</v>
      </c>
      <c r="R78" s="6"/>
      <c r="S78" s="6"/>
      <c r="T78" s="156"/>
      <c r="U78" s="6"/>
    </row>
    <row r="79" spans="1:21" customFormat="1">
      <c r="A79" s="201" t="s">
        <v>1079</v>
      </c>
      <c r="B79" s="100">
        <v>2</v>
      </c>
      <c r="C79" s="100">
        <v>13.6</v>
      </c>
      <c r="D79" s="100">
        <v>8.7100000000000009</v>
      </c>
      <c r="E79" s="100">
        <v>3.86</v>
      </c>
      <c r="F79" s="100">
        <v>34.590000000000003</v>
      </c>
      <c r="G79" s="100">
        <v>94.44</v>
      </c>
      <c r="H79" s="100">
        <v>60.3</v>
      </c>
      <c r="I79" s="100">
        <v>3.85</v>
      </c>
      <c r="J79" s="100">
        <v>0.1</v>
      </c>
      <c r="K79" s="100">
        <v>107.62</v>
      </c>
      <c r="L79" s="100">
        <v>30.8</v>
      </c>
      <c r="M79" s="100">
        <v>69.06</v>
      </c>
      <c r="N79" s="100">
        <v>14.4</v>
      </c>
      <c r="O79" s="100">
        <v>0</v>
      </c>
      <c r="P79" s="100">
        <v>0.25</v>
      </c>
      <c r="Q79" s="100">
        <v>10</v>
      </c>
      <c r="R79" s="6"/>
      <c r="S79" s="6"/>
      <c r="T79" s="156"/>
      <c r="U79" s="6"/>
    </row>
    <row r="80" spans="1:21" customFormat="1">
      <c r="A80" s="201" t="s">
        <v>1080</v>
      </c>
      <c r="B80" s="100">
        <v>1.95</v>
      </c>
      <c r="C80" s="100">
        <v>14.12</v>
      </c>
      <c r="D80" s="100">
        <v>8.9499999999999993</v>
      </c>
      <c r="E80" s="100">
        <v>3.71</v>
      </c>
      <c r="F80" s="100">
        <v>30.2</v>
      </c>
      <c r="G80" s="100">
        <v>95.29</v>
      </c>
      <c r="H80" s="100">
        <v>60.3</v>
      </c>
      <c r="I80" s="100">
        <v>4.45</v>
      </c>
      <c r="J80" s="100">
        <v>0.15</v>
      </c>
      <c r="K80" s="100">
        <v>147.77000000000001</v>
      </c>
      <c r="L80" s="100">
        <v>30.54</v>
      </c>
      <c r="M80" s="100">
        <v>70.989999999999995</v>
      </c>
      <c r="N80" s="100">
        <v>8.5</v>
      </c>
      <c r="O80" s="100">
        <v>0</v>
      </c>
      <c r="P80" s="100">
        <v>0.28000000000000003</v>
      </c>
      <c r="Q80" s="100">
        <v>10</v>
      </c>
      <c r="R80" s="6"/>
      <c r="S80" s="6"/>
      <c r="T80" s="156"/>
      <c r="U80" s="6"/>
    </row>
    <row r="81" spans="1:21" customFormat="1">
      <c r="A81" s="201" t="s">
        <v>1081</v>
      </c>
      <c r="B81" s="100">
        <v>1.66</v>
      </c>
      <c r="C81" s="100">
        <v>11.49</v>
      </c>
      <c r="D81" s="100">
        <v>7.34</v>
      </c>
      <c r="E81" s="100">
        <v>3.52</v>
      </c>
      <c r="F81" s="100">
        <v>25.09</v>
      </c>
      <c r="G81" s="100">
        <v>95.29</v>
      </c>
      <c r="H81" s="100">
        <v>60.3</v>
      </c>
      <c r="I81" s="100">
        <v>4.58</v>
      </c>
      <c r="J81" s="100">
        <v>0.22</v>
      </c>
      <c r="K81" s="100">
        <v>161.46</v>
      </c>
      <c r="L81" s="100">
        <v>29.8</v>
      </c>
      <c r="M81" s="100">
        <v>76.61</v>
      </c>
      <c r="N81" s="100">
        <v>4.3</v>
      </c>
      <c r="O81" s="100">
        <v>0</v>
      </c>
      <c r="P81" s="100">
        <v>0.22</v>
      </c>
      <c r="Q81" s="100">
        <v>10</v>
      </c>
      <c r="R81" s="6"/>
      <c r="S81" s="6"/>
      <c r="T81" s="156"/>
      <c r="U81" s="6"/>
    </row>
    <row r="82" spans="1:21" customFormat="1">
      <c r="A82" s="201" t="s">
        <v>1082</v>
      </c>
      <c r="B82" s="100">
        <v>1.6</v>
      </c>
      <c r="C82" s="100">
        <v>10.66</v>
      </c>
      <c r="D82" s="100">
        <v>6.85</v>
      </c>
      <c r="E82" s="100">
        <v>3.15</v>
      </c>
      <c r="F82" s="100">
        <v>9.98</v>
      </c>
      <c r="G82" s="100">
        <v>95.29</v>
      </c>
      <c r="H82" s="100">
        <v>60.3</v>
      </c>
      <c r="I82" s="100">
        <v>4.1399999999999997</v>
      </c>
      <c r="J82" s="100">
        <v>0.17</v>
      </c>
      <c r="K82" s="100">
        <v>172.49</v>
      </c>
      <c r="L82" s="100">
        <v>29.36</v>
      </c>
      <c r="M82" s="100">
        <v>80.400000000000006</v>
      </c>
      <c r="N82" s="100">
        <v>2.7</v>
      </c>
      <c r="O82" s="100">
        <v>0</v>
      </c>
      <c r="P82" s="100">
        <v>0.23</v>
      </c>
      <c r="Q82" s="100">
        <v>10</v>
      </c>
      <c r="R82" s="6"/>
      <c r="S82" s="6"/>
      <c r="T82" s="156"/>
      <c r="U82" s="6"/>
    </row>
    <row r="83" spans="1:21" customFormat="1">
      <c r="A83" s="201" t="s">
        <v>1083</v>
      </c>
      <c r="B83" s="100">
        <v>1.68</v>
      </c>
      <c r="C83" s="100">
        <v>10.66</v>
      </c>
      <c r="D83" s="100">
        <v>6.92</v>
      </c>
      <c r="E83" s="100">
        <v>3.49</v>
      </c>
      <c r="F83" s="100">
        <v>5.29</v>
      </c>
      <c r="G83" s="100">
        <v>92.68</v>
      </c>
      <c r="H83" s="100">
        <v>66.06</v>
      </c>
      <c r="I83" s="100">
        <v>3.83</v>
      </c>
      <c r="J83" s="100">
        <v>0.24</v>
      </c>
      <c r="K83" s="100">
        <v>154.9</v>
      </c>
      <c r="L83" s="100">
        <v>29.28</v>
      </c>
      <c r="M83" s="100">
        <v>82.89</v>
      </c>
      <c r="N83" s="100">
        <v>2.1</v>
      </c>
      <c r="O83" s="100">
        <v>0</v>
      </c>
      <c r="P83" s="100">
        <v>0.23</v>
      </c>
      <c r="Q83" s="100">
        <v>10</v>
      </c>
      <c r="R83" s="6"/>
      <c r="S83" s="6"/>
      <c r="T83" s="156"/>
      <c r="U83" s="6"/>
    </row>
    <row r="84" spans="1:21" customFormat="1">
      <c r="A84" s="201" t="s">
        <v>1084</v>
      </c>
      <c r="B84" s="100">
        <v>1.88</v>
      </c>
      <c r="C84" s="100">
        <v>11.21</v>
      </c>
      <c r="D84" s="100">
        <v>7.36</v>
      </c>
      <c r="E84" s="100">
        <v>3.46</v>
      </c>
      <c r="F84" s="100">
        <v>2.4700000000000002</v>
      </c>
      <c r="G84" s="100">
        <v>92.03</v>
      </c>
      <c r="H84" s="100">
        <v>66.06</v>
      </c>
      <c r="I84" s="100">
        <v>3.11</v>
      </c>
      <c r="J84" s="100">
        <v>0.24</v>
      </c>
      <c r="K84" s="100">
        <v>162.58000000000001</v>
      </c>
      <c r="L84" s="100">
        <v>29.23</v>
      </c>
      <c r="M84" s="100">
        <v>83.55</v>
      </c>
      <c r="N84" s="100">
        <v>2.4</v>
      </c>
      <c r="O84" s="100">
        <v>0</v>
      </c>
      <c r="P84" s="100">
        <v>0.24</v>
      </c>
      <c r="Q84" s="100">
        <v>10</v>
      </c>
      <c r="R84" s="6"/>
      <c r="S84" s="6"/>
      <c r="T84" s="156"/>
      <c r="U84" s="6"/>
    </row>
    <row r="85" spans="1:21" customFormat="1">
      <c r="A85" s="201" t="s">
        <v>1085</v>
      </c>
      <c r="B85" s="100">
        <v>2.14</v>
      </c>
      <c r="C85" s="100">
        <v>11.67</v>
      </c>
      <c r="D85" s="100">
        <v>7.81</v>
      </c>
      <c r="E85" s="100">
        <v>3.31</v>
      </c>
      <c r="F85" s="100">
        <v>2.41</v>
      </c>
      <c r="G85" s="100">
        <v>92.03</v>
      </c>
      <c r="H85" s="100">
        <v>66.06</v>
      </c>
      <c r="I85" s="100">
        <v>3.35</v>
      </c>
      <c r="J85" s="100">
        <v>0.1</v>
      </c>
      <c r="K85" s="100">
        <v>154.99</v>
      </c>
      <c r="L85" s="100">
        <v>29.09</v>
      </c>
      <c r="M85" s="100">
        <v>82.76</v>
      </c>
      <c r="N85" s="100">
        <v>2.1</v>
      </c>
      <c r="O85" s="100">
        <v>0</v>
      </c>
      <c r="P85" s="100">
        <v>0.26</v>
      </c>
      <c r="Q85" s="100">
        <v>10</v>
      </c>
      <c r="R85" s="6"/>
      <c r="S85" s="6"/>
      <c r="T85" s="156"/>
      <c r="U85" s="6"/>
    </row>
    <row r="86" spans="1:21" customFormat="1">
      <c r="A86" s="201" t="s">
        <v>1086</v>
      </c>
      <c r="B86" s="100">
        <v>2.61</v>
      </c>
      <c r="C86" s="100">
        <v>12.26</v>
      </c>
      <c r="D86" s="100">
        <v>8.5</v>
      </c>
      <c r="E86" s="100">
        <v>3.52</v>
      </c>
      <c r="F86" s="100">
        <v>2.21</v>
      </c>
      <c r="G86" s="100">
        <v>92.03</v>
      </c>
      <c r="H86" s="100">
        <v>66.06</v>
      </c>
      <c r="I86" s="100">
        <v>3.88</v>
      </c>
      <c r="J86" s="100">
        <v>0.12</v>
      </c>
      <c r="K86" s="100">
        <v>99.67</v>
      </c>
      <c r="L86" s="100">
        <v>29.14</v>
      </c>
      <c r="M86" s="100">
        <v>83</v>
      </c>
      <c r="N86" s="100">
        <v>2.1</v>
      </c>
      <c r="O86" s="100">
        <v>0</v>
      </c>
      <c r="P86" s="100">
        <v>0.3</v>
      </c>
      <c r="Q86" s="100">
        <v>10</v>
      </c>
      <c r="R86" s="6"/>
      <c r="S86" s="6"/>
      <c r="T86" s="156"/>
      <c r="U86" s="6"/>
    </row>
    <row r="87" spans="1:21" customFormat="1">
      <c r="A87" s="201" t="s">
        <v>1087</v>
      </c>
      <c r="B87" s="100">
        <v>2.96</v>
      </c>
      <c r="C87" s="100">
        <v>12.51</v>
      </c>
      <c r="D87" s="100">
        <v>8.91</v>
      </c>
      <c r="E87" s="100">
        <v>3.36</v>
      </c>
      <c r="F87" s="100">
        <v>2.09</v>
      </c>
      <c r="G87" s="100">
        <v>100.72</v>
      </c>
      <c r="H87" s="100">
        <v>65.55</v>
      </c>
      <c r="I87" s="100">
        <v>4.0999999999999996</v>
      </c>
      <c r="J87" s="100">
        <v>0.16</v>
      </c>
      <c r="K87" s="100">
        <v>179.6</v>
      </c>
      <c r="L87" s="100">
        <v>29.08</v>
      </c>
      <c r="M87" s="100">
        <v>83.78</v>
      </c>
      <c r="N87" s="100">
        <v>2.2999999999999998</v>
      </c>
      <c r="O87" s="100">
        <v>0</v>
      </c>
      <c r="P87" s="100">
        <v>0.28999999999999998</v>
      </c>
      <c r="Q87" s="100">
        <v>10</v>
      </c>
      <c r="R87" s="6"/>
      <c r="S87" s="6"/>
      <c r="T87" s="156"/>
      <c r="U87" s="6"/>
    </row>
    <row r="88" spans="1:21" customFormat="1">
      <c r="A88" s="201" t="s">
        <v>1088</v>
      </c>
      <c r="B88" s="100">
        <v>3.13</v>
      </c>
      <c r="C88" s="100">
        <v>12.39</v>
      </c>
      <c r="D88" s="100">
        <v>8.99</v>
      </c>
      <c r="E88" s="100">
        <v>3.56</v>
      </c>
      <c r="F88" s="100">
        <v>2.06</v>
      </c>
      <c r="G88" s="100">
        <v>102.89</v>
      </c>
      <c r="H88" s="100">
        <v>65.55</v>
      </c>
      <c r="I88" s="100">
        <v>4.55</v>
      </c>
      <c r="J88" s="100">
        <v>0.17</v>
      </c>
      <c r="K88" s="100">
        <v>185.46</v>
      </c>
      <c r="L88" s="100">
        <v>28.65</v>
      </c>
      <c r="M88" s="100">
        <v>87</v>
      </c>
      <c r="N88" s="100">
        <v>2.4</v>
      </c>
      <c r="O88" s="100">
        <v>0</v>
      </c>
      <c r="P88" s="100">
        <v>0.3</v>
      </c>
      <c r="Q88" s="100">
        <v>10</v>
      </c>
      <c r="R88" s="6"/>
      <c r="S88" s="6"/>
      <c r="T88" s="156"/>
      <c r="U88" s="6"/>
    </row>
    <row r="89" spans="1:21" customFormat="1">
      <c r="A89" s="201" t="s">
        <v>1089</v>
      </c>
      <c r="B89" s="100">
        <v>3.3</v>
      </c>
      <c r="C89" s="100">
        <v>12.19</v>
      </c>
      <c r="D89" s="100">
        <v>9.02</v>
      </c>
      <c r="E89" s="100">
        <v>3.61</v>
      </c>
      <c r="F89" s="100">
        <v>2.19</v>
      </c>
      <c r="G89" s="100">
        <v>102.89</v>
      </c>
      <c r="H89" s="100">
        <v>65.55</v>
      </c>
      <c r="I89" s="100">
        <v>4.78</v>
      </c>
      <c r="J89" s="100">
        <v>0.15</v>
      </c>
      <c r="K89" s="100">
        <v>180.36</v>
      </c>
      <c r="L89" s="100">
        <v>28.41</v>
      </c>
      <c r="M89" s="100">
        <v>90.1</v>
      </c>
      <c r="N89" s="100">
        <v>2.2000000000000002</v>
      </c>
      <c r="O89" s="100">
        <v>0</v>
      </c>
      <c r="P89" s="100">
        <v>0.31</v>
      </c>
      <c r="Q89" s="100">
        <v>10</v>
      </c>
      <c r="R89" s="6"/>
      <c r="S89" s="6"/>
      <c r="T89" s="156"/>
      <c r="U89" s="6"/>
    </row>
    <row r="90" spans="1:21" customFormat="1">
      <c r="A90" s="201" t="s">
        <v>1090</v>
      </c>
      <c r="B90" s="100">
        <v>3.44</v>
      </c>
      <c r="C90" s="100">
        <v>12.07</v>
      </c>
      <c r="D90" s="100">
        <v>9.06</v>
      </c>
      <c r="E90" s="100">
        <v>3.48</v>
      </c>
      <c r="F90" s="100">
        <v>2.0299999999999998</v>
      </c>
      <c r="G90" s="100">
        <v>102.89</v>
      </c>
      <c r="H90" s="100">
        <v>65.55</v>
      </c>
      <c r="I90" s="100">
        <v>4.91</v>
      </c>
      <c r="J90" s="100">
        <v>0.28000000000000003</v>
      </c>
      <c r="K90" s="100">
        <v>175.55</v>
      </c>
      <c r="L90" s="100">
        <v>28.57</v>
      </c>
      <c r="M90" s="100">
        <v>90.49</v>
      </c>
      <c r="N90" s="100">
        <v>1.9</v>
      </c>
      <c r="O90" s="100">
        <v>0</v>
      </c>
      <c r="P90" s="100">
        <v>0.32</v>
      </c>
      <c r="Q90" s="100">
        <v>10</v>
      </c>
      <c r="R90" s="6"/>
      <c r="S90" s="6"/>
      <c r="T90" s="156"/>
      <c r="U90" s="6"/>
    </row>
    <row r="91" spans="1:21" customFormat="1">
      <c r="A91" s="201" t="s">
        <v>1091</v>
      </c>
      <c r="B91" s="100">
        <v>3.54</v>
      </c>
      <c r="C91" s="100">
        <v>11.87</v>
      </c>
      <c r="D91" s="100">
        <v>9.0399999999999991</v>
      </c>
      <c r="E91" s="100">
        <v>3.64</v>
      </c>
      <c r="F91" s="100">
        <v>2.27</v>
      </c>
      <c r="G91" s="100">
        <v>104.15</v>
      </c>
      <c r="H91" s="100">
        <v>72.12</v>
      </c>
      <c r="I91" s="100">
        <v>5.0199999999999996</v>
      </c>
      <c r="J91" s="100">
        <v>0.14000000000000001</v>
      </c>
      <c r="K91" s="100">
        <v>170.4</v>
      </c>
      <c r="L91" s="100">
        <v>28.46</v>
      </c>
      <c r="M91" s="100">
        <v>90.72</v>
      </c>
      <c r="N91" s="100">
        <v>2.2999999999999998</v>
      </c>
      <c r="O91" s="100">
        <v>0</v>
      </c>
      <c r="P91" s="100">
        <v>0.32</v>
      </c>
      <c r="Q91" s="100">
        <v>10</v>
      </c>
      <c r="R91" s="6"/>
      <c r="S91" s="6"/>
      <c r="T91" s="156"/>
      <c r="U91" s="6"/>
    </row>
    <row r="92" spans="1:21" customFormat="1">
      <c r="A92" s="201" t="s">
        <v>1092</v>
      </c>
      <c r="B92" s="100">
        <v>3.74</v>
      </c>
      <c r="C92" s="100">
        <v>11.64</v>
      </c>
      <c r="D92" s="100">
        <v>9.08</v>
      </c>
      <c r="E92" s="100">
        <v>3.74</v>
      </c>
      <c r="F92" s="100">
        <v>2.0299999999999998</v>
      </c>
      <c r="G92" s="100">
        <v>104.47</v>
      </c>
      <c r="H92" s="100">
        <v>72.12</v>
      </c>
      <c r="I92" s="100">
        <v>5.0599999999999996</v>
      </c>
      <c r="J92" s="100">
        <v>0.18</v>
      </c>
      <c r="K92" s="100">
        <v>163.21</v>
      </c>
      <c r="L92" s="100">
        <v>28.29</v>
      </c>
      <c r="M92" s="100">
        <v>90.09</v>
      </c>
      <c r="N92" s="100">
        <v>2.2000000000000002</v>
      </c>
      <c r="O92" s="100">
        <v>0</v>
      </c>
      <c r="P92" s="100">
        <v>0.33</v>
      </c>
      <c r="Q92" s="100">
        <v>10</v>
      </c>
      <c r="R92" s="6"/>
      <c r="S92" s="6"/>
      <c r="T92" s="156"/>
      <c r="U92" s="6"/>
    </row>
    <row r="93" spans="1:21" customFormat="1">
      <c r="A93" s="201" t="s">
        <v>1093</v>
      </c>
      <c r="B93" s="100">
        <v>3.88</v>
      </c>
      <c r="C93" s="100">
        <v>11.53</v>
      </c>
      <c r="D93" s="100">
        <v>9.1300000000000008</v>
      </c>
      <c r="E93" s="100">
        <v>3.63</v>
      </c>
      <c r="F93" s="100">
        <v>2.14</v>
      </c>
      <c r="G93" s="100">
        <v>104.47</v>
      </c>
      <c r="H93" s="100">
        <v>72.12</v>
      </c>
      <c r="I93" s="100">
        <v>5.14</v>
      </c>
      <c r="J93" s="100">
        <v>0.15</v>
      </c>
      <c r="K93" s="100">
        <v>181.05</v>
      </c>
      <c r="L93" s="100">
        <v>28.04</v>
      </c>
      <c r="M93" s="100">
        <v>90.75</v>
      </c>
      <c r="N93" s="100">
        <v>2.2000000000000002</v>
      </c>
      <c r="O93" s="100">
        <v>0</v>
      </c>
      <c r="P93" s="100">
        <v>0.33</v>
      </c>
      <c r="Q93" s="100">
        <v>10</v>
      </c>
      <c r="R93" s="6"/>
      <c r="S93" s="6"/>
      <c r="T93" s="156"/>
      <c r="U93" s="6"/>
    </row>
    <row r="94" spans="1:21" customFormat="1">
      <c r="A94" s="201" t="s">
        <v>1094</v>
      </c>
      <c r="B94" s="100">
        <v>3.98</v>
      </c>
      <c r="C94" s="100">
        <v>11.48</v>
      </c>
      <c r="D94" s="100">
        <v>9.19</v>
      </c>
      <c r="E94" s="100">
        <v>3.87</v>
      </c>
      <c r="F94" s="100">
        <v>2.0699999999999998</v>
      </c>
      <c r="G94" s="100">
        <v>104.47</v>
      </c>
      <c r="H94" s="100">
        <v>72.12</v>
      </c>
      <c r="I94" s="100">
        <v>5.2</v>
      </c>
      <c r="J94" s="100">
        <v>0.11</v>
      </c>
      <c r="K94" s="100">
        <v>181.95</v>
      </c>
      <c r="L94" s="100">
        <v>27.85</v>
      </c>
      <c r="M94" s="100">
        <v>90.68</v>
      </c>
      <c r="N94" s="100">
        <v>2.1</v>
      </c>
      <c r="O94" s="100">
        <v>0</v>
      </c>
      <c r="P94" s="100">
        <v>0.33</v>
      </c>
      <c r="Q94" s="100">
        <v>10</v>
      </c>
      <c r="R94" s="6"/>
      <c r="S94" s="6"/>
      <c r="T94" s="156"/>
      <c r="U94" s="6"/>
    </row>
    <row r="95" spans="1:21" customFormat="1">
      <c r="A95" s="201" t="s">
        <v>1095</v>
      </c>
      <c r="B95" s="100">
        <v>4.09</v>
      </c>
      <c r="C95" s="100">
        <v>11.51</v>
      </c>
      <c r="D95" s="100">
        <v>9.2899999999999991</v>
      </c>
      <c r="E95" s="100">
        <v>3.82</v>
      </c>
      <c r="F95" s="100">
        <v>2.1</v>
      </c>
      <c r="G95" s="100">
        <v>107.58</v>
      </c>
      <c r="H95" s="100">
        <v>67.25</v>
      </c>
      <c r="I95" s="100">
        <v>5.3</v>
      </c>
      <c r="J95" s="100">
        <v>0.1</v>
      </c>
      <c r="K95" s="100">
        <v>195.95</v>
      </c>
      <c r="L95" s="100">
        <v>27.77</v>
      </c>
      <c r="M95" s="100">
        <v>90.69</v>
      </c>
      <c r="N95" s="100">
        <v>2.1</v>
      </c>
      <c r="O95" s="100">
        <v>0</v>
      </c>
      <c r="P95" s="100">
        <v>0.34</v>
      </c>
      <c r="Q95" s="100">
        <v>10</v>
      </c>
      <c r="R95" s="6"/>
      <c r="S95" s="6"/>
      <c r="T95" s="156"/>
      <c r="U95" s="6"/>
    </row>
    <row r="96" spans="1:21" customFormat="1">
      <c r="A96" s="201" t="s">
        <v>1096</v>
      </c>
      <c r="B96" s="100">
        <v>4.25</v>
      </c>
      <c r="C96" s="100">
        <v>11.47</v>
      </c>
      <c r="D96" s="100">
        <v>9.4</v>
      </c>
      <c r="E96" s="100">
        <v>4.04</v>
      </c>
      <c r="F96" s="100">
        <v>2.02</v>
      </c>
      <c r="G96" s="100">
        <v>108.36</v>
      </c>
      <c r="H96" s="100">
        <v>67.25</v>
      </c>
      <c r="I96" s="100">
        <v>5.47</v>
      </c>
      <c r="J96" s="100">
        <v>0.16</v>
      </c>
      <c r="K96" s="100">
        <v>217.22</v>
      </c>
      <c r="L96" s="100">
        <v>27.92</v>
      </c>
      <c r="M96" s="100">
        <v>90.17</v>
      </c>
      <c r="N96" s="100">
        <v>2.1</v>
      </c>
      <c r="O96" s="100">
        <v>0</v>
      </c>
      <c r="P96" s="100">
        <v>0.35</v>
      </c>
      <c r="Q96" s="100">
        <v>10</v>
      </c>
      <c r="R96" s="6"/>
      <c r="S96" s="6"/>
      <c r="T96" s="156"/>
      <c r="U96" s="6"/>
    </row>
    <row r="97" spans="1:28" customFormat="1">
      <c r="A97" s="201" t="s">
        <v>1097</v>
      </c>
      <c r="B97" s="100">
        <v>4.4000000000000004</v>
      </c>
      <c r="C97" s="100">
        <v>11.6</v>
      </c>
      <c r="D97" s="100">
        <v>9.59</v>
      </c>
      <c r="E97" s="100">
        <v>4.12</v>
      </c>
      <c r="F97" s="100">
        <v>2.0299999999999998</v>
      </c>
      <c r="G97" s="100">
        <v>108.36</v>
      </c>
      <c r="H97" s="100">
        <v>67.25</v>
      </c>
      <c r="I97" s="100">
        <v>5.69</v>
      </c>
      <c r="J97" s="100">
        <v>0.3</v>
      </c>
      <c r="K97" s="100">
        <v>225.68</v>
      </c>
      <c r="L97" s="100">
        <v>28.03</v>
      </c>
      <c r="M97" s="100">
        <v>87.4</v>
      </c>
      <c r="N97" s="100">
        <v>2.2999999999999998</v>
      </c>
      <c r="O97" s="100">
        <v>0</v>
      </c>
      <c r="P97" s="100">
        <v>0.36</v>
      </c>
      <c r="Q97" s="100">
        <v>10</v>
      </c>
      <c r="R97" s="6"/>
      <c r="S97" s="6"/>
      <c r="T97" s="156"/>
      <c r="U97" s="6"/>
    </row>
    <row r="98" spans="1:28" customFormat="1">
      <c r="A98" s="201" t="s">
        <v>1098</v>
      </c>
      <c r="B98" s="100">
        <v>4.42</v>
      </c>
      <c r="C98" s="100">
        <v>11.6</v>
      </c>
      <c r="D98" s="100">
        <v>9.61</v>
      </c>
      <c r="E98" s="100">
        <v>4.32</v>
      </c>
      <c r="F98" s="100">
        <v>2.46</v>
      </c>
      <c r="G98" s="100">
        <v>108.36</v>
      </c>
      <c r="H98" s="100">
        <v>67.25</v>
      </c>
      <c r="I98" s="100">
        <v>5.95</v>
      </c>
      <c r="J98" s="100">
        <v>0.19</v>
      </c>
      <c r="K98" s="100">
        <v>173.23</v>
      </c>
      <c r="L98" s="100">
        <v>27.59</v>
      </c>
      <c r="M98" s="100">
        <v>85.26</v>
      </c>
      <c r="N98" s="100">
        <v>2.5</v>
      </c>
      <c r="O98" s="100">
        <v>0</v>
      </c>
      <c r="P98" s="100">
        <v>0.36</v>
      </c>
      <c r="Q98" s="100">
        <v>10</v>
      </c>
      <c r="R98" s="6"/>
      <c r="S98" s="6"/>
      <c r="T98" s="156"/>
      <c r="U98" s="6"/>
    </row>
    <row r="99" spans="1:28" customFormat="1">
      <c r="A99" s="201" t="s">
        <v>1099</v>
      </c>
      <c r="B99" s="100">
        <v>4.34</v>
      </c>
      <c r="C99" s="100">
        <v>11.47</v>
      </c>
      <c r="D99" s="100">
        <v>9.4700000000000006</v>
      </c>
      <c r="E99" s="100">
        <v>4.26</v>
      </c>
      <c r="F99" s="100">
        <v>4.78</v>
      </c>
      <c r="G99" s="100">
        <v>96.66</v>
      </c>
      <c r="H99" s="100">
        <v>62.83</v>
      </c>
      <c r="I99" s="100">
        <v>6.08</v>
      </c>
      <c r="J99" s="100">
        <v>0.16</v>
      </c>
      <c r="K99" s="100">
        <v>169.4</v>
      </c>
      <c r="L99" s="100">
        <v>27.18</v>
      </c>
      <c r="M99" s="100">
        <v>86.94</v>
      </c>
      <c r="N99" s="100">
        <v>2.4</v>
      </c>
      <c r="O99" s="100">
        <v>0</v>
      </c>
      <c r="P99" s="100">
        <v>0.34</v>
      </c>
      <c r="Q99" s="100">
        <v>10</v>
      </c>
      <c r="R99" s="6"/>
      <c r="S99" s="6"/>
      <c r="T99" s="156"/>
      <c r="U99" s="6"/>
    </row>
    <row r="100" spans="1:28" customFormat="1">
      <c r="A100" s="201" t="s">
        <v>1100</v>
      </c>
      <c r="B100" s="100">
        <v>4.41</v>
      </c>
      <c r="C100" s="100">
        <v>11.7</v>
      </c>
      <c r="D100" s="100">
        <v>9.65</v>
      </c>
      <c r="E100" s="100">
        <v>3.91</v>
      </c>
      <c r="F100" s="100">
        <v>3.4</v>
      </c>
      <c r="G100" s="100">
        <v>93.73</v>
      </c>
      <c r="H100" s="100">
        <v>62.83</v>
      </c>
      <c r="I100" s="100">
        <v>6.09</v>
      </c>
      <c r="J100" s="100">
        <v>0.24</v>
      </c>
      <c r="K100" s="100">
        <v>224.35</v>
      </c>
      <c r="L100" s="100">
        <v>26.86</v>
      </c>
      <c r="M100" s="100">
        <v>89.52</v>
      </c>
      <c r="N100" s="100">
        <v>2.2999999999999998</v>
      </c>
      <c r="O100" s="100">
        <v>0</v>
      </c>
      <c r="P100" s="100">
        <v>0.31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1101</v>
      </c>
      <c r="B101" s="100">
        <v>4.45</v>
      </c>
      <c r="C101" s="100">
        <v>11.82</v>
      </c>
      <c r="D101" s="100">
        <v>9.74</v>
      </c>
      <c r="E101" s="100">
        <v>3.74</v>
      </c>
      <c r="F101" s="100">
        <v>3.84</v>
      </c>
      <c r="G101" s="100">
        <v>93.73</v>
      </c>
      <c r="H101" s="100">
        <v>62.83</v>
      </c>
      <c r="I101" s="100">
        <v>6.14</v>
      </c>
      <c r="J101" s="100">
        <v>0.1</v>
      </c>
      <c r="K101" s="100">
        <v>186.28</v>
      </c>
      <c r="L101" s="100">
        <v>26.8</v>
      </c>
      <c r="M101" s="100">
        <v>91.37</v>
      </c>
      <c r="N101" s="100">
        <v>2.1</v>
      </c>
      <c r="O101" s="100">
        <v>0</v>
      </c>
      <c r="P101" s="100">
        <v>0.31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1102</v>
      </c>
      <c r="B102" s="100">
        <v>4.68</v>
      </c>
      <c r="C102" s="100">
        <v>11.85</v>
      </c>
      <c r="D102" s="100">
        <v>9.9499999999999993</v>
      </c>
      <c r="E102" s="100">
        <v>3.73</v>
      </c>
      <c r="F102" s="100">
        <v>2.36</v>
      </c>
      <c r="G102" s="100">
        <v>93.73</v>
      </c>
      <c r="H102" s="100">
        <v>62.83</v>
      </c>
      <c r="I102" s="100">
        <v>6.2</v>
      </c>
      <c r="J102" s="100">
        <v>7.0000000000000007E-2</v>
      </c>
      <c r="K102" s="100">
        <v>168.49</v>
      </c>
      <c r="L102" s="100">
        <v>26.71</v>
      </c>
      <c r="M102" s="100">
        <v>90.56</v>
      </c>
      <c r="N102" s="100">
        <v>2.1</v>
      </c>
      <c r="O102" s="100">
        <v>0</v>
      </c>
      <c r="P102" s="100">
        <v>0.32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1103</v>
      </c>
      <c r="B103" s="100">
        <v>4.95</v>
      </c>
      <c r="C103" s="100">
        <v>12.58</v>
      </c>
      <c r="D103" s="100">
        <v>10.54</v>
      </c>
      <c r="E103" s="100">
        <v>4.25</v>
      </c>
      <c r="F103" s="100">
        <v>2.1800000000000002</v>
      </c>
      <c r="G103" s="100">
        <v>86.72</v>
      </c>
      <c r="H103" s="100">
        <v>59.97</v>
      </c>
      <c r="I103" s="100">
        <v>6.25</v>
      </c>
      <c r="J103" s="100">
        <v>0.13</v>
      </c>
      <c r="K103" s="100">
        <v>158.22999999999999</v>
      </c>
      <c r="L103" s="100">
        <v>26.95</v>
      </c>
      <c r="M103" s="100">
        <v>89.58</v>
      </c>
      <c r="N103" s="100">
        <v>2</v>
      </c>
      <c r="O103" s="100">
        <v>0</v>
      </c>
      <c r="P103" s="100">
        <v>0.36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1104</v>
      </c>
      <c r="B104" s="100">
        <v>5.26</v>
      </c>
      <c r="C104" s="100">
        <v>12.5</v>
      </c>
      <c r="D104" s="100">
        <v>10.75</v>
      </c>
      <c r="E104" s="100">
        <v>4.07</v>
      </c>
      <c r="F104" s="100">
        <v>2</v>
      </c>
      <c r="G104" s="100">
        <v>84.96</v>
      </c>
      <c r="H104" s="100">
        <v>59.97</v>
      </c>
      <c r="I104" s="100">
        <v>6.38</v>
      </c>
      <c r="J104" s="100">
        <v>0.13</v>
      </c>
      <c r="K104" s="100">
        <v>209.7</v>
      </c>
      <c r="L104" s="100">
        <v>26.85</v>
      </c>
      <c r="M104" s="100">
        <v>90.54</v>
      </c>
      <c r="N104" s="100">
        <v>2.1</v>
      </c>
      <c r="O104" s="100">
        <v>0</v>
      </c>
      <c r="P104" s="100">
        <v>0.34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</v>
      </c>
      <c r="C106" s="158">
        <f>MIN(C9:C104)</f>
        <v>10.66</v>
      </c>
      <c r="D106" s="158">
        <f t="shared" ref="D106:Q106" si="0">MIN(D9:D104)</f>
        <v>6.85</v>
      </c>
      <c r="E106" s="158">
        <f t="shared" si="0"/>
        <v>2.73</v>
      </c>
      <c r="F106" s="158">
        <f t="shared" si="0"/>
        <v>2</v>
      </c>
      <c r="G106" s="158">
        <f t="shared" si="0"/>
        <v>15.68</v>
      </c>
      <c r="H106" s="158">
        <f t="shared" si="0"/>
        <v>4.74</v>
      </c>
      <c r="I106" s="158">
        <f t="shared" si="0"/>
        <v>3.11</v>
      </c>
      <c r="J106" s="158">
        <f t="shared" si="0"/>
        <v>0.03</v>
      </c>
      <c r="K106" s="158">
        <f t="shared" si="0"/>
        <v>13.55</v>
      </c>
      <c r="L106" s="158">
        <f t="shared" si="0"/>
        <v>24.8</v>
      </c>
      <c r="M106" s="158">
        <f t="shared" si="0"/>
        <v>62.01</v>
      </c>
      <c r="N106" s="158">
        <f t="shared" si="0"/>
        <v>1.9</v>
      </c>
      <c r="O106" s="158">
        <f t="shared" si="0"/>
        <v>0</v>
      </c>
      <c r="P106" s="158">
        <f t="shared" si="0"/>
        <v>0.17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9.82</v>
      </c>
      <c r="C107" s="157">
        <f t="shared" ref="C107:Q107" si="1">MAX(C9:C104)</f>
        <v>14.12</v>
      </c>
      <c r="D107" s="157">
        <f t="shared" si="1"/>
        <v>13.87</v>
      </c>
      <c r="E107" s="157">
        <f t="shared" si="1"/>
        <v>7.85</v>
      </c>
      <c r="F107" s="157">
        <f t="shared" si="1"/>
        <v>43.86</v>
      </c>
      <c r="G107" s="157">
        <f t="shared" si="1"/>
        <v>108.36</v>
      </c>
      <c r="H107" s="157">
        <f t="shared" si="1"/>
        <v>72.12</v>
      </c>
      <c r="I107" s="157">
        <f t="shared" si="1"/>
        <v>6.82</v>
      </c>
      <c r="J107" s="157">
        <f t="shared" si="1"/>
        <v>0.44</v>
      </c>
      <c r="K107" s="157">
        <f t="shared" si="1"/>
        <v>231.14</v>
      </c>
      <c r="L107" s="157">
        <f t="shared" si="1"/>
        <v>32.619999999999997</v>
      </c>
      <c r="M107" s="157">
        <f t="shared" si="1"/>
        <v>91.37</v>
      </c>
      <c r="N107" s="157">
        <f t="shared" si="1"/>
        <v>586.1</v>
      </c>
      <c r="O107" s="157">
        <f t="shared" si="1"/>
        <v>0</v>
      </c>
      <c r="P107" s="157">
        <f t="shared" si="1"/>
        <v>0.48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5.7221875000000004</v>
      </c>
      <c r="C108" s="158">
        <f t="shared" ref="C108:Q108" si="2">AVERAGE(C9:C104)</f>
        <v>12.092187500000001</v>
      </c>
      <c r="D108" s="158">
        <f t="shared" si="2"/>
        <v>10.906458333333335</v>
      </c>
      <c r="E108" s="158">
        <f t="shared" si="2"/>
        <v>4.5872916666666663</v>
      </c>
      <c r="F108" s="158">
        <f t="shared" si="2"/>
        <v>7.3646875000000014</v>
      </c>
      <c r="G108" s="158">
        <f t="shared" si="2"/>
        <v>62.690625000000004</v>
      </c>
      <c r="H108" s="158">
        <f t="shared" si="2"/>
        <v>34.999583333333327</v>
      </c>
      <c r="I108" s="158">
        <f t="shared" si="2"/>
        <v>5.3423958333333319</v>
      </c>
      <c r="J108" s="158">
        <f t="shared" si="2"/>
        <v>0.17322916666666668</v>
      </c>
      <c r="K108" s="158">
        <f t="shared" si="2"/>
        <v>155.77666666666661</v>
      </c>
      <c r="L108" s="158">
        <f t="shared" si="2"/>
        <v>28.435208333333335</v>
      </c>
      <c r="M108" s="158">
        <f t="shared" si="2"/>
        <v>80.619062499999998</v>
      </c>
      <c r="N108" s="158">
        <f t="shared" si="2"/>
        <v>108.08749999999998</v>
      </c>
      <c r="O108" s="158">
        <f t="shared" si="2"/>
        <v>0</v>
      </c>
      <c r="P108" s="158">
        <f t="shared" si="2"/>
        <v>0.31197916666666653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3.0071151425017204</v>
      </c>
      <c r="C109" s="158">
        <f t="shared" ref="C109:Q109" si="3">STDEV(C9:C104)</f>
        <v>0.83814859017391785</v>
      </c>
      <c r="D109" s="158">
        <f t="shared" si="3"/>
        <v>2.2518343302466008</v>
      </c>
      <c r="E109" s="158">
        <f t="shared" si="3"/>
        <v>1.1220896663360924</v>
      </c>
      <c r="F109" s="158">
        <f t="shared" si="3"/>
        <v>9.8473183048001758</v>
      </c>
      <c r="G109" s="158">
        <f t="shared" si="3"/>
        <v>31.922449049054425</v>
      </c>
      <c r="H109" s="158">
        <f t="shared" si="3"/>
        <v>25.006458951603801</v>
      </c>
      <c r="I109" s="158">
        <f t="shared" si="3"/>
        <v>0.91200963151847669</v>
      </c>
      <c r="J109" s="158">
        <f t="shared" si="3"/>
        <v>8.3394999113813456E-2</v>
      </c>
      <c r="K109" s="158">
        <f t="shared" si="3"/>
        <v>52.589905408521211</v>
      </c>
      <c r="L109" s="158">
        <f t="shared" si="3"/>
        <v>2.7036201769855746</v>
      </c>
      <c r="M109" s="158">
        <f t="shared" si="3"/>
        <v>10.76908060173103</v>
      </c>
      <c r="N109" s="158">
        <f t="shared" si="3"/>
        <v>155.00166603518886</v>
      </c>
      <c r="O109" s="158">
        <f t="shared" si="3"/>
        <v>0</v>
      </c>
      <c r="P109" s="158">
        <f t="shared" si="3"/>
        <v>6.6863880449552132E-2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E18" sqref="E1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1105</v>
      </c>
      <c r="B9" s="100">
        <v>5.71</v>
      </c>
      <c r="C9" s="100">
        <v>12.03</v>
      </c>
      <c r="D9" s="100">
        <v>10.87</v>
      </c>
      <c r="E9" s="100">
        <v>4.04</v>
      </c>
      <c r="F9" s="100">
        <v>2.5299999999999998</v>
      </c>
      <c r="G9" s="100">
        <v>84.96</v>
      </c>
      <c r="H9" s="100">
        <v>59.97</v>
      </c>
      <c r="I9" s="100">
        <v>6.44</v>
      </c>
      <c r="J9" s="100">
        <v>7.0000000000000007E-2</v>
      </c>
      <c r="K9" s="100">
        <v>218.86</v>
      </c>
      <c r="L9" s="100">
        <v>26.86</v>
      </c>
      <c r="M9" s="100">
        <v>90.59</v>
      </c>
      <c r="N9" s="100">
        <v>2</v>
      </c>
      <c r="O9" s="100">
        <v>0</v>
      </c>
      <c r="P9" s="100">
        <v>0.35</v>
      </c>
      <c r="Q9" s="100">
        <v>10</v>
      </c>
      <c r="R9" s="6"/>
      <c r="S9" s="6"/>
      <c r="T9" s="156"/>
      <c r="U9" s="6"/>
    </row>
    <row r="10" spans="1:21" customFormat="1">
      <c r="A10" s="201" t="s">
        <v>1106</v>
      </c>
      <c r="B10" s="100">
        <v>6.11</v>
      </c>
      <c r="C10" s="100">
        <v>12.19</v>
      </c>
      <c r="D10" s="100">
        <v>11.27</v>
      </c>
      <c r="E10" s="100">
        <v>4.51</v>
      </c>
      <c r="F10" s="100">
        <v>2.16</v>
      </c>
      <c r="G10" s="100">
        <v>84.96</v>
      </c>
      <c r="H10" s="100">
        <v>59.97</v>
      </c>
      <c r="I10" s="100">
        <v>6.55</v>
      </c>
      <c r="J10" s="100">
        <v>7.0000000000000007E-2</v>
      </c>
      <c r="K10" s="100">
        <v>221.09</v>
      </c>
      <c r="L10" s="100">
        <v>27.01</v>
      </c>
      <c r="M10" s="100">
        <v>90.29</v>
      </c>
      <c r="N10" s="100">
        <v>2.1</v>
      </c>
      <c r="O10" s="100">
        <v>0</v>
      </c>
      <c r="P10" s="100">
        <v>0.39</v>
      </c>
      <c r="Q10" s="100">
        <v>10</v>
      </c>
      <c r="R10" s="6"/>
      <c r="S10" s="6"/>
      <c r="T10" s="156"/>
      <c r="U10" s="6"/>
    </row>
    <row r="11" spans="1:21" customFormat="1">
      <c r="A11" s="201" t="s">
        <v>1107</v>
      </c>
      <c r="B11" s="100">
        <v>6.24</v>
      </c>
      <c r="C11" s="100">
        <v>13.27</v>
      </c>
      <c r="D11" s="100">
        <v>11.93</v>
      </c>
      <c r="E11" s="100">
        <v>4.8</v>
      </c>
      <c r="F11" s="100">
        <v>3.33</v>
      </c>
      <c r="G11" s="100">
        <v>101.33</v>
      </c>
      <c r="H11" s="100">
        <v>62.02</v>
      </c>
      <c r="I11" s="100">
        <v>6.61</v>
      </c>
      <c r="J11" s="100">
        <v>0.04</v>
      </c>
      <c r="K11" s="100">
        <v>92.59</v>
      </c>
      <c r="L11" s="100">
        <v>26.87</v>
      </c>
      <c r="M11" s="100">
        <v>90.92</v>
      </c>
      <c r="N11" s="100">
        <v>2.1</v>
      </c>
      <c r="O11" s="100">
        <v>0</v>
      </c>
      <c r="P11" s="100">
        <v>0.45</v>
      </c>
      <c r="Q11" s="100">
        <v>10</v>
      </c>
      <c r="R11" s="6"/>
      <c r="S11" s="6"/>
      <c r="T11" s="156"/>
      <c r="U11" s="6"/>
    </row>
    <row r="12" spans="1:21" customFormat="1">
      <c r="A12" s="201" t="s">
        <v>1108</v>
      </c>
      <c r="B12" s="100">
        <v>6.59</v>
      </c>
      <c r="C12" s="100">
        <v>12.58</v>
      </c>
      <c r="D12" s="100">
        <v>11.86</v>
      </c>
      <c r="E12" s="100">
        <v>4.51</v>
      </c>
      <c r="F12" s="100">
        <v>2.04</v>
      </c>
      <c r="G12" s="100">
        <v>105.43</v>
      </c>
      <c r="H12" s="100">
        <v>62.02</v>
      </c>
      <c r="I12" s="100">
        <v>7.02</v>
      </c>
      <c r="J12" s="100">
        <v>0.18</v>
      </c>
      <c r="K12" s="100">
        <v>48.66</v>
      </c>
      <c r="L12" s="100">
        <v>26.8</v>
      </c>
      <c r="M12" s="100">
        <v>90.61</v>
      </c>
      <c r="N12" s="100">
        <v>2.1</v>
      </c>
      <c r="O12" s="100">
        <v>0</v>
      </c>
      <c r="P12" s="100">
        <v>0.38</v>
      </c>
      <c r="Q12" s="100">
        <v>10</v>
      </c>
      <c r="R12" s="6"/>
      <c r="S12" s="6"/>
      <c r="T12" s="156"/>
      <c r="U12" s="6"/>
    </row>
    <row r="13" spans="1:21" customFormat="1">
      <c r="A13" s="201" t="s">
        <v>1109</v>
      </c>
      <c r="B13" s="100">
        <v>6.92</v>
      </c>
      <c r="C13" s="100">
        <v>12.27</v>
      </c>
      <c r="D13" s="100">
        <v>11.96</v>
      </c>
      <c r="E13" s="100">
        <v>4.82</v>
      </c>
      <c r="F13" s="100">
        <v>2</v>
      </c>
      <c r="G13" s="100">
        <v>105.43</v>
      </c>
      <c r="H13" s="100">
        <v>62.02</v>
      </c>
      <c r="I13" s="100">
        <v>7.29</v>
      </c>
      <c r="J13" s="100">
        <v>0.1</v>
      </c>
      <c r="K13" s="100">
        <v>56.01</v>
      </c>
      <c r="L13" s="100">
        <v>26.8</v>
      </c>
      <c r="M13" s="100">
        <v>89.79</v>
      </c>
      <c r="N13" s="100">
        <v>2.1</v>
      </c>
      <c r="O13" s="100">
        <v>0</v>
      </c>
      <c r="P13" s="100">
        <v>0.39</v>
      </c>
      <c r="Q13" s="100">
        <v>10</v>
      </c>
      <c r="R13" s="6"/>
      <c r="S13" s="6"/>
      <c r="T13" s="156"/>
      <c r="U13" s="6"/>
    </row>
    <row r="14" spans="1:21" customFormat="1">
      <c r="A14" s="201" t="s">
        <v>1110</v>
      </c>
      <c r="B14" s="100">
        <v>7.23</v>
      </c>
      <c r="C14" s="100">
        <v>12.4</v>
      </c>
      <c r="D14" s="100">
        <v>12.27</v>
      </c>
      <c r="E14" s="100">
        <v>4.3</v>
      </c>
      <c r="F14" s="100">
        <v>2.57</v>
      </c>
      <c r="G14" s="100">
        <v>105.43</v>
      </c>
      <c r="H14" s="100">
        <v>62.02</v>
      </c>
      <c r="I14" s="100">
        <v>7.1</v>
      </c>
      <c r="J14" s="100">
        <v>0.21</v>
      </c>
      <c r="K14" s="100">
        <v>53.12</v>
      </c>
      <c r="L14" s="100">
        <v>26.78</v>
      </c>
      <c r="M14" s="100">
        <v>89.6</v>
      </c>
      <c r="N14" s="100">
        <v>2.1</v>
      </c>
      <c r="O14" s="100">
        <v>0</v>
      </c>
      <c r="P14" s="100">
        <v>0.36</v>
      </c>
      <c r="Q14" s="100">
        <v>10</v>
      </c>
      <c r="R14" s="6"/>
      <c r="S14" s="6"/>
      <c r="T14" s="156"/>
      <c r="U14" s="6"/>
    </row>
    <row r="15" spans="1:21" customFormat="1">
      <c r="A15" s="201" t="s">
        <v>1111</v>
      </c>
      <c r="B15" s="100">
        <v>7.52</v>
      </c>
      <c r="C15" s="100">
        <v>12.84</v>
      </c>
      <c r="D15" s="100">
        <v>12.74</v>
      </c>
      <c r="E15" s="100">
        <v>3.1</v>
      </c>
      <c r="F15" s="100">
        <v>2.97</v>
      </c>
      <c r="G15" s="100">
        <v>111.06</v>
      </c>
      <c r="H15" s="100">
        <v>66.66</v>
      </c>
      <c r="I15" s="100">
        <v>6.95</v>
      </c>
      <c r="J15" s="100">
        <v>0.03</v>
      </c>
      <c r="K15" s="100">
        <v>210.28</v>
      </c>
      <c r="L15" s="100">
        <v>26.8</v>
      </c>
      <c r="M15" s="100">
        <v>90.04</v>
      </c>
      <c r="N15" s="100">
        <v>2.1</v>
      </c>
      <c r="O15" s="100">
        <v>0</v>
      </c>
      <c r="P15" s="100">
        <v>0.37</v>
      </c>
      <c r="Q15" s="100">
        <v>10</v>
      </c>
      <c r="R15" s="6"/>
      <c r="S15" s="6"/>
      <c r="T15" s="156"/>
      <c r="U15" s="6"/>
    </row>
    <row r="16" spans="1:21" customFormat="1">
      <c r="A16" s="201" t="s">
        <v>1112</v>
      </c>
      <c r="B16" s="100">
        <v>7.66</v>
      </c>
      <c r="C16" s="100">
        <v>12.27</v>
      </c>
      <c r="D16" s="100">
        <v>12.56</v>
      </c>
      <c r="E16" s="100">
        <v>4.2300000000000004</v>
      </c>
      <c r="F16" s="100">
        <v>2.13</v>
      </c>
      <c r="G16" s="100">
        <v>112.56</v>
      </c>
      <c r="H16" s="100">
        <v>66.66</v>
      </c>
      <c r="I16" s="100">
        <v>6.89</v>
      </c>
      <c r="J16" s="100">
        <v>0.14000000000000001</v>
      </c>
      <c r="K16" s="100">
        <v>137.94999999999999</v>
      </c>
      <c r="L16" s="100">
        <v>26.8</v>
      </c>
      <c r="M16" s="100">
        <v>90.97</v>
      </c>
      <c r="N16" s="100">
        <v>2.1</v>
      </c>
      <c r="O16" s="100">
        <v>0</v>
      </c>
      <c r="P16" s="100">
        <v>0.39</v>
      </c>
      <c r="Q16" s="100">
        <v>10</v>
      </c>
      <c r="R16" s="6"/>
      <c r="S16" s="6"/>
      <c r="T16" s="156"/>
      <c r="U16" s="6"/>
    </row>
    <row r="17" spans="1:21" customFormat="1">
      <c r="A17" s="201" t="s">
        <v>1113</v>
      </c>
      <c r="B17" s="100">
        <v>7.84</v>
      </c>
      <c r="C17" s="100">
        <v>12.06</v>
      </c>
      <c r="D17" s="100">
        <v>12.59</v>
      </c>
      <c r="E17" s="100">
        <v>3.92</v>
      </c>
      <c r="F17" s="100">
        <v>2</v>
      </c>
      <c r="G17" s="100">
        <v>112.56</v>
      </c>
      <c r="H17" s="100">
        <v>66.66</v>
      </c>
      <c r="I17" s="100">
        <v>6.93</v>
      </c>
      <c r="J17" s="100">
        <v>0.16</v>
      </c>
      <c r="K17" s="100">
        <v>218.61</v>
      </c>
      <c r="L17" s="100">
        <v>26.61</v>
      </c>
      <c r="M17" s="100">
        <v>91.13</v>
      </c>
      <c r="N17" s="100">
        <v>2.1</v>
      </c>
      <c r="O17" s="100">
        <v>0</v>
      </c>
      <c r="P17" s="100">
        <v>0.37</v>
      </c>
      <c r="Q17" s="100">
        <v>10</v>
      </c>
      <c r="R17" s="6"/>
      <c r="S17" s="6"/>
      <c r="T17" s="156"/>
      <c r="U17" s="6"/>
    </row>
    <row r="18" spans="1:21" customFormat="1">
      <c r="A18" s="201" t="s">
        <v>1114</v>
      </c>
      <c r="B18" s="100">
        <v>8.07</v>
      </c>
      <c r="C18" s="100">
        <v>12.25</v>
      </c>
      <c r="D18" s="100">
        <v>12.87</v>
      </c>
      <c r="E18" s="100">
        <v>4.63</v>
      </c>
      <c r="F18" s="100">
        <v>2.1</v>
      </c>
      <c r="G18" s="100">
        <v>112.56</v>
      </c>
      <c r="H18" s="100">
        <v>66.66</v>
      </c>
      <c r="I18" s="100">
        <v>6.91</v>
      </c>
      <c r="J18" s="100">
        <v>0.09</v>
      </c>
      <c r="K18" s="100">
        <v>186.73</v>
      </c>
      <c r="L18" s="100">
        <v>26.52</v>
      </c>
      <c r="M18" s="100">
        <v>91.18</v>
      </c>
      <c r="N18" s="100">
        <v>2.1</v>
      </c>
      <c r="O18" s="100">
        <v>0</v>
      </c>
      <c r="P18" s="100">
        <v>0.35</v>
      </c>
      <c r="Q18" s="100">
        <v>10</v>
      </c>
      <c r="R18" s="6"/>
      <c r="S18" s="6"/>
      <c r="T18" s="156"/>
      <c r="U18" s="6"/>
    </row>
    <row r="19" spans="1:21" customFormat="1">
      <c r="A19" s="201" t="s">
        <v>1115</v>
      </c>
      <c r="B19" s="100">
        <v>8.25</v>
      </c>
      <c r="C19" s="100">
        <v>12.16</v>
      </c>
      <c r="D19" s="100">
        <v>12.97</v>
      </c>
      <c r="E19" s="100">
        <v>4.92</v>
      </c>
      <c r="F19" s="100">
        <v>2</v>
      </c>
      <c r="G19" s="100">
        <v>104.47</v>
      </c>
      <c r="H19" s="100">
        <v>57.78</v>
      </c>
      <c r="I19" s="100">
        <v>6.81</v>
      </c>
      <c r="J19" s="100">
        <v>0.13</v>
      </c>
      <c r="K19" s="100">
        <v>186.4</v>
      </c>
      <c r="L19" s="100">
        <v>26.39</v>
      </c>
      <c r="M19" s="100">
        <v>90.9</v>
      </c>
      <c r="N19" s="100">
        <v>2.1</v>
      </c>
      <c r="O19" s="100">
        <v>0</v>
      </c>
      <c r="P19" s="100">
        <v>0.37</v>
      </c>
      <c r="Q19" s="100">
        <v>10</v>
      </c>
      <c r="R19" s="6"/>
      <c r="S19" s="6"/>
      <c r="T19" s="156"/>
      <c r="U19" s="6"/>
    </row>
    <row r="20" spans="1:21" customFormat="1">
      <c r="A20" s="201" t="s">
        <v>1116</v>
      </c>
      <c r="B20" s="100">
        <v>8.4</v>
      </c>
      <c r="C20" s="100">
        <v>11.99</v>
      </c>
      <c r="D20" s="100">
        <v>13</v>
      </c>
      <c r="E20" s="100">
        <v>4.6399999999999997</v>
      </c>
      <c r="F20" s="100">
        <v>2</v>
      </c>
      <c r="G20" s="100">
        <v>102.44</v>
      </c>
      <c r="H20" s="100">
        <v>57.78</v>
      </c>
      <c r="I20" s="100">
        <v>6.82</v>
      </c>
      <c r="J20" s="100">
        <v>0.12</v>
      </c>
      <c r="K20" s="100">
        <v>191.32</v>
      </c>
      <c r="L20" s="100">
        <v>26.31</v>
      </c>
      <c r="M20" s="100">
        <v>91.12</v>
      </c>
      <c r="N20" s="100">
        <v>2.1</v>
      </c>
      <c r="O20" s="100">
        <v>0</v>
      </c>
      <c r="P20" s="100">
        <v>0.36</v>
      </c>
      <c r="Q20" s="100">
        <v>10</v>
      </c>
      <c r="R20" s="6"/>
      <c r="S20" s="6"/>
      <c r="T20" s="156"/>
      <c r="U20" s="6"/>
    </row>
    <row r="21" spans="1:21" customFormat="1">
      <c r="A21" s="201" t="s">
        <v>1117</v>
      </c>
      <c r="B21" s="100">
        <v>8.43</v>
      </c>
      <c r="C21" s="100">
        <v>11.97</v>
      </c>
      <c r="D21" s="100">
        <v>13.02</v>
      </c>
      <c r="E21" s="100">
        <v>4.84</v>
      </c>
      <c r="F21" s="100">
        <v>2</v>
      </c>
      <c r="G21" s="100">
        <v>102.44</v>
      </c>
      <c r="H21" s="100">
        <v>57.78</v>
      </c>
      <c r="I21" s="100">
        <v>6.88</v>
      </c>
      <c r="J21" s="100">
        <v>0.14000000000000001</v>
      </c>
      <c r="K21" s="100">
        <v>161.21</v>
      </c>
      <c r="L21" s="100">
        <v>26.45</v>
      </c>
      <c r="M21" s="100">
        <v>91.06</v>
      </c>
      <c r="N21" s="100">
        <v>2.2000000000000002</v>
      </c>
      <c r="O21" s="100">
        <v>0</v>
      </c>
      <c r="P21" s="100">
        <v>0.36</v>
      </c>
      <c r="Q21" s="100">
        <v>10</v>
      </c>
      <c r="R21" s="6"/>
      <c r="S21" s="6"/>
      <c r="T21" s="156"/>
      <c r="U21" s="6"/>
    </row>
    <row r="22" spans="1:21" customFormat="1">
      <c r="A22" s="201" t="s">
        <v>1118</v>
      </c>
      <c r="B22" s="100">
        <v>8.42</v>
      </c>
      <c r="C22" s="100">
        <v>12.07</v>
      </c>
      <c r="D22" s="100">
        <v>13.06</v>
      </c>
      <c r="E22" s="100">
        <v>4.78</v>
      </c>
      <c r="F22" s="100">
        <v>2</v>
      </c>
      <c r="G22" s="100">
        <v>102.44</v>
      </c>
      <c r="H22" s="100">
        <v>57.78</v>
      </c>
      <c r="I22" s="100">
        <v>6.91</v>
      </c>
      <c r="J22" s="100">
        <v>0.12</v>
      </c>
      <c r="K22" s="100">
        <v>198.22</v>
      </c>
      <c r="L22" s="100">
        <v>26.45</v>
      </c>
      <c r="M22" s="100">
        <v>90.76</v>
      </c>
      <c r="N22" s="100">
        <v>2.1</v>
      </c>
      <c r="O22" s="100">
        <v>0</v>
      </c>
      <c r="P22" s="100">
        <v>0.39</v>
      </c>
      <c r="Q22" s="100">
        <v>10</v>
      </c>
      <c r="R22" s="6"/>
      <c r="S22" s="6"/>
      <c r="T22" s="156"/>
      <c r="U22" s="6"/>
    </row>
    <row r="23" spans="1:21" customFormat="1">
      <c r="A23" s="201" t="s">
        <v>1119</v>
      </c>
      <c r="B23" s="100">
        <v>8.3800000000000008</v>
      </c>
      <c r="C23" s="100">
        <v>12.03</v>
      </c>
      <c r="D23" s="100">
        <v>13</v>
      </c>
      <c r="E23" s="100">
        <v>5.03</v>
      </c>
      <c r="F23" s="100">
        <v>2.0099999999999998</v>
      </c>
      <c r="G23" s="100">
        <v>96.36</v>
      </c>
      <c r="H23" s="100">
        <v>51.95</v>
      </c>
      <c r="I23" s="100">
        <v>6.9</v>
      </c>
      <c r="J23" s="100">
        <v>0.12</v>
      </c>
      <c r="K23" s="100">
        <v>140.43</v>
      </c>
      <c r="L23" s="100">
        <v>26.71</v>
      </c>
      <c r="M23" s="100">
        <v>90.64</v>
      </c>
      <c r="N23" s="100">
        <v>1.9</v>
      </c>
      <c r="O23" s="100">
        <v>0</v>
      </c>
      <c r="P23" s="100">
        <v>0.39</v>
      </c>
      <c r="Q23" s="100">
        <v>10</v>
      </c>
      <c r="R23" s="6"/>
      <c r="S23" s="6"/>
      <c r="T23" s="156"/>
      <c r="U23" s="6"/>
    </row>
    <row r="24" spans="1:21" customFormat="1">
      <c r="A24" s="201" t="s">
        <v>1120</v>
      </c>
      <c r="B24" s="100">
        <v>8.5500000000000007</v>
      </c>
      <c r="C24" s="100">
        <v>11.95</v>
      </c>
      <c r="D24" s="100">
        <v>13.11</v>
      </c>
      <c r="E24" s="100">
        <v>5.0199999999999996</v>
      </c>
      <c r="F24" s="100">
        <v>2</v>
      </c>
      <c r="G24" s="100">
        <v>94.84</v>
      </c>
      <c r="H24" s="100">
        <v>51.95</v>
      </c>
      <c r="I24" s="100">
        <v>6.86</v>
      </c>
      <c r="J24" s="100">
        <v>0.14000000000000001</v>
      </c>
      <c r="K24" s="100">
        <v>187.3</v>
      </c>
      <c r="L24" s="100">
        <v>26.6</v>
      </c>
      <c r="M24" s="100">
        <v>90.28</v>
      </c>
      <c r="N24" s="100">
        <v>2.1</v>
      </c>
      <c r="O24" s="100">
        <v>0</v>
      </c>
      <c r="P24" s="100">
        <v>0.39</v>
      </c>
      <c r="Q24" s="100">
        <v>10</v>
      </c>
      <c r="R24" s="6"/>
      <c r="S24" s="6"/>
      <c r="T24" s="156"/>
      <c r="U24" s="6"/>
    </row>
    <row r="25" spans="1:21" customFormat="1">
      <c r="A25" s="201" t="s">
        <v>1121</v>
      </c>
      <c r="B25" s="100">
        <v>8.6199999999999992</v>
      </c>
      <c r="C25" s="100">
        <v>11.83</v>
      </c>
      <c r="D25" s="100">
        <v>13.1</v>
      </c>
      <c r="E25" s="100">
        <v>4.9400000000000004</v>
      </c>
      <c r="F25" s="100">
        <v>2</v>
      </c>
      <c r="G25" s="100">
        <v>94.84</v>
      </c>
      <c r="H25" s="100">
        <v>51.95</v>
      </c>
      <c r="I25" s="100">
        <v>6.84</v>
      </c>
      <c r="J25" s="100">
        <v>0.14000000000000001</v>
      </c>
      <c r="K25" s="100">
        <v>193.64</v>
      </c>
      <c r="L25" s="100">
        <v>26.28</v>
      </c>
      <c r="M25" s="100">
        <v>89.84</v>
      </c>
      <c r="N25" s="100">
        <v>2.1</v>
      </c>
      <c r="O25" s="100">
        <v>0</v>
      </c>
      <c r="P25" s="100">
        <v>0.39</v>
      </c>
      <c r="Q25" s="100">
        <v>10</v>
      </c>
      <c r="R25" s="6"/>
      <c r="S25" s="6"/>
      <c r="T25" s="156"/>
      <c r="U25" s="6"/>
    </row>
    <row r="26" spans="1:21" customFormat="1">
      <c r="A26" s="201" t="s">
        <v>1122</v>
      </c>
      <c r="B26" s="100">
        <v>8.7200000000000006</v>
      </c>
      <c r="C26" s="100">
        <v>11.64</v>
      </c>
      <c r="D26" s="100">
        <v>13.08</v>
      </c>
      <c r="E26" s="100">
        <v>4.71</v>
      </c>
      <c r="F26" s="100">
        <v>2</v>
      </c>
      <c r="G26" s="100">
        <v>94.84</v>
      </c>
      <c r="H26" s="100">
        <v>51.95</v>
      </c>
      <c r="I26" s="100">
        <v>6.86</v>
      </c>
      <c r="J26" s="100">
        <v>0.03</v>
      </c>
      <c r="K26" s="100">
        <v>-0.01</v>
      </c>
      <c r="L26" s="100">
        <v>26.23</v>
      </c>
      <c r="M26" s="100">
        <v>89.39</v>
      </c>
      <c r="N26" s="100">
        <v>2.1</v>
      </c>
      <c r="O26" s="100">
        <v>0</v>
      </c>
      <c r="P26" s="100">
        <v>0.39</v>
      </c>
      <c r="Q26" s="100">
        <v>10</v>
      </c>
      <c r="R26" s="6"/>
      <c r="S26" s="6"/>
      <c r="T26" s="156"/>
      <c r="U26" s="6"/>
    </row>
    <row r="27" spans="1:21" customFormat="1">
      <c r="A27" s="201" t="s">
        <v>1123</v>
      </c>
      <c r="B27" s="100">
        <v>8.9</v>
      </c>
      <c r="C27" s="100">
        <v>11.67</v>
      </c>
      <c r="D27" s="100">
        <v>13.23</v>
      </c>
      <c r="E27" s="100">
        <v>5.27</v>
      </c>
      <c r="F27" s="100">
        <v>2</v>
      </c>
      <c r="G27" s="100">
        <v>96.4</v>
      </c>
      <c r="H27" s="100">
        <v>51.83</v>
      </c>
      <c r="I27" s="100">
        <v>6.86</v>
      </c>
      <c r="J27" s="100">
        <v>0.02</v>
      </c>
      <c r="K27" s="100">
        <v>100.72</v>
      </c>
      <c r="L27" s="100">
        <v>26.22</v>
      </c>
      <c r="M27" s="100">
        <v>89.34</v>
      </c>
      <c r="N27" s="100">
        <v>2.1</v>
      </c>
      <c r="O27" s="100">
        <v>0</v>
      </c>
      <c r="P27" s="100">
        <v>0.39</v>
      </c>
      <c r="Q27" s="100">
        <v>10</v>
      </c>
      <c r="R27" s="6"/>
      <c r="S27" s="6"/>
      <c r="T27" s="156"/>
      <c r="U27" s="6"/>
    </row>
    <row r="28" spans="1:21" customFormat="1">
      <c r="A28" s="201" t="s">
        <v>1124</v>
      </c>
      <c r="B28" s="100">
        <v>9</v>
      </c>
      <c r="C28" s="100">
        <v>11.64</v>
      </c>
      <c r="D28" s="100">
        <v>13.3</v>
      </c>
      <c r="E28" s="100">
        <v>5.23</v>
      </c>
      <c r="F28" s="100">
        <v>2</v>
      </c>
      <c r="G28" s="100">
        <v>96.57</v>
      </c>
      <c r="H28" s="100">
        <v>51.83</v>
      </c>
      <c r="I28" s="100">
        <v>6.94</v>
      </c>
      <c r="J28" s="100">
        <v>0.14000000000000001</v>
      </c>
      <c r="K28" s="100">
        <v>193.72</v>
      </c>
      <c r="L28" s="100">
        <v>26.35</v>
      </c>
      <c r="M28" s="100">
        <v>89.23</v>
      </c>
      <c r="N28" s="100">
        <v>2.1</v>
      </c>
      <c r="O28" s="100">
        <v>0</v>
      </c>
      <c r="P28" s="100">
        <v>0.39</v>
      </c>
      <c r="Q28" s="100">
        <v>10</v>
      </c>
      <c r="R28" s="6"/>
      <c r="S28" s="6"/>
      <c r="T28" s="156"/>
      <c r="U28" s="6"/>
    </row>
    <row r="29" spans="1:21" customFormat="1">
      <c r="A29" s="201" t="s">
        <v>1125</v>
      </c>
      <c r="B29" s="100">
        <v>9.02</v>
      </c>
      <c r="C29" s="100">
        <v>11.61</v>
      </c>
      <c r="D29" s="100">
        <v>13.3</v>
      </c>
      <c r="E29" s="100">
        <v>5.21</v>
      </c>
      <c r="F29" s="100">
        <v>2</v>
      </c>
      <c r="G29" s="100">
        <v>96.57</v>
      </c>
      <c r="H29" s="100">
        <v>51.83</v>
      </c>
      <c r="I29" s="100">
        <v>7.03</v>
      </c>
      <c r="J29" s="100">
        <v>0.16</v>
      </c>
      <c r="K29" s="100">
        <v>187.07</v>
      </c>
      <c r="L29" s="100">
        <v>26.32</v>
      </c>
      <c r="M29" s="100">
        <v>89.31</v>
      </c>
      <c r="N29" s="100">
        <v>2.1</v>
      </c>
      <c r="O29" s="100">
        <v>0</v>
      </c>
      <c r="P29" s="100">
        <v>0.38</v>
      </c>
      <c r="Q29" s="100">
        <v>10</v>
      </c>
      <c r="R29" s="6"/>
      <c r="S29" s="6"/>
      <c r="T29" s="156"/>
      <c r="U29" s="6"/>
    </row>
    <row r="30" spans="1:21" customFormat="1">
      <c r="A30" s="201" t="s">
        <v>1126</v>
      </c>
      <c r="B30" s="100">
        <v>9.0299999999999994</v>
      </c>
      <c r="C30" s="100">
        <v>11.6</v>
      </c>
      <c r="D30" s="100">
        <v>13.3</v>
      </c>
      <c r="E30" s="100">
        <v>4.99</v>
      </c>
      <c r="F30" s="100">
        <v>2</v>
      </c>
      <c r="G30" s="100">
        <v>96.57</v>
      </c>
      <c r="H30" s="100">
        <v>51.83</v>
      </c>
      <c r="I30" s="100">
        <v>7.16</v>
      </c>
      <c r="J30" s="100">
        <v>0.11</v>
      </c>
      <c r="K30" s="100">
        <v>118.38</v>
      </c>
      <c r="L30" s="100">
        <v>26.32</v>
      </c>
      <c r="M30" s="100">
        <v>89.29</v>
      </c>
      <c r="N30" s="100">
        <v>2.2000000000000002</v>
      </c>
      <c r="O30" s="100">
        <v>0</v>
      </c>
      <c r="P30" s="100">
        <v>0.37</v>
      </c>
      <c r="Q30" s="100">
        <v>10</v>
      </c>
      <c r="R30" s="6"/>
      <c r="S30" s="6"/>
      <c r="T30" s="156"/>
      <c r="U30" s="6"/>
    </row>
    <row r="31" spans="1:21" customFormat="1">
      <c r="A31" s="201" t="s">
        <v>1127</v>
      </c>
      <c r="B31" s="100">
        <v>9.25</v>
      </c>
      <c r="C31" s="100">
        <v>11.65</v>
      </c>
      <c r="D31" s="100">
        <v>13.5</v>
      </c>
      <c r="E31" s="100">
        <v>5.15</v>
      </c>
      <c r="F31" s="100">
        <v>2</v>
      </c>
      <c r="G31" s="100">
        <v>96.72</v>
      </c>
      <c r="H31" s="100">
        <v>54.64</v>
      </c>
      <c r="I31" s="100">
        <v>7.32</v>
      </c>
      <c r="J31" s="100">
        <v>0.08</v>
      </c>
      <c r="K31" s="100">
        <v>195.38</v>
      </c>
      <c r="L31" s="100">
        <v>26.26</v>
      </c>
      <c r="M31" s="100">
        <v>89.27</v>
      </c>
      <c r="N31" s="100">
        <v>2.2999999999999998</v>
      </c>
      <c r="O31" s="100">
        <v>0</v>
      </c>
      <c r="P31" s="100">
        <v>0.38</v>
      </c>
      <c r="Q31" s="100">
        <v>10</v>
      </c>
      <c r="R31" s="6"/>
      <c r="S31" s="6"/>
      <c r="T31" s="156"/>
      <c r="U31" s="6"/>
    </row>
    <row r="32" spans="1:21" customFormat="1">
      <c r="A32" s="201" t="s">
        <v>1128</v>
      </c>
      <c r="B32" s="100">
        <v>9.61</v>
      </c>
      <c r="C32" s="100">
        <v>11.69</v>
      </c>
      <c r="D32" s="100">
        <v>13.82</v>
      </c>
      <c r="E32" s="100">
        <v>5.53</v>
      </c>
      <c r="F32" s="100">
        <v>2</v>
      </c>
      <c r="G32" s="100">
        <v>96.75</v>
      </c>
      <c r="H32" s="100">
        <v>54.64</v>
      </c>
      <c r="I32" s="100">
        <v>7.49</v>
      </c>
      <c r="J32" s="100">
        <v>0.05</v>
      </c>
      <c r="K32" s="100">
        <v>208.75</v>
      </c>
      <c r="L32" s="100">
        <v>26.31</v>
      </c>
      <c r="M32" s="100">
        <v>89.49</v>
      </c>
      <c r="N32" s="100">
        <v>4.0999999999999996</v>
      </c>
      <c r="O32" s="100">
        <v>0</v>
      </c>
      <c r="P32" s="100">
        <v>0.38</v>
      </c>
      <c r="Q32" s="100">
        <v>10</v>
      </c>
      <c r="R32" s="6"/>
      <c r="S32" s="6"/>
      <c r="T32" s="156"/>
      <c r="U32" s="6"/>
    </row>
    <row r="33" spans="1:21" customFormat="1">
      <c r="A33" s="201" t="s">
        <v>1129</v>
      </c>
      <c r="B33" s="100">
        <v>9.8699999999999992</v>
      </c>
      <c r="C33" s="100">
        <v>11.73</v>
      </c>
      <c r="D33" s="100">
        <v>14.04</v>
      </c>
      <c r="E33" s="100">
        <v>5.41</v>
      </c>
      <c r="F33" s="100">
        <v>2</v>
      </c>
      <c r="G33" s="100">
        <v>96.75</v>
      </c>
      <c r="H33" s="100">
        <v>54.64</v>
      </c>
      <c r="I33" s="100">
        <v>7.67</v>
      </c>
      <c r="J33" s="100">
        <v>7.0000000000000007E-2</v>
      </c>
      <c r="K33" s="100">
        <v>151.27000000000001</v>
      </c>
      <c r="L33" s="100">
        <v>26.33</v>
      </c>
      <c r="M33" s="100">
        <v>89.56</v>
      </c>
      <c r="N33" s="100">
        <v>8.3000000000000007</v>
      </c>
      <c r="O33" s="100">
        <v>0</v>
      </c>
      <c r="P33" s="100">
        <v>0.38</v>
      </c>
      <c r="Q33" s="100">
        <v>10</v>
      </c>
      <c r="R33" s="6"/>
      <c r="S33" s="6"/>
      <c r="T33" s="156"/>
      <c r="U33" s="6"/>
    </row>
    <row r="34" spans="1:21" customFormat="1">
      <c r="A34" s="201" t="s">
        <v>1130</v>
      </c>
      <c r="B34" s="100">
        <v>10</v>
      </c>
      <c r="C34" s="100">
        <v>11.74</v>
      </c>
      <c r="D34" s="100">
        <v>14.15</v>
      </c>
      <c r="E34" s="100">
        <v>5.55</v>
      </c>
      <c r="F34" s="100">
        <v>2</v>
      </c>
      <c r="G34" s="100">
        <v>96.75</v>
      </c>
      <c r="H34" s="100">
        <v>54.64</v>
      </c>
      <c r="I34" s="100">
        <v>7.92</v>
      </c>
      <c r="J34" s="100">
        <v>0.06</v>
      </c>
      <c r="K34" s="100">
        <v>109.62</v>
      </c>
      <c r="L34" s="100">
        <v>26.35</v>
      </c>
      <c r="M34" s="100">
        <v>89.47</v>
      </c>
      <c r="N34" s="100">
        <v>15.6</v>
      </c>
      <c r="O34" s="100">
        <v>0</v>
      </c>
      <c r="P34" s="100">
        <v>0.38</v>
      </c>
      <c r="Q34" s="100">
        <v>10</v>
      </c>
      <c r="R34" s="6"/>
      <c r="S34" s="6"/>
      <c r="T34" s="156"/>
      <c r="U34" s="6"/>
    </row>
    <row r="35" spans="1:21" customFormat="1">
      <c r="A35" s="201" t="s">
        <v>1131</v>
      </c>
      <c r="B35" s="100">
        <v>10.18</v>
      </c>
      <c r="C35" s="100">
        <v>11.71</v>
      </c>
      <c r="D35" s="100">
        <v>14.28</v>
      </c>
      <c r="E35" s="100">
        <v>5.17</v>
      </c>
      <c r="F35" s="100">
        <v>2</v>
      </c>
      <c r="G35" s="100">
        <v>94.58</v>
      </c>
      <c r="H35" s="100">
        <v>57.34</v>
      </c>
      <c r="I35" s="100">
        <v>8.14</v>
      </c>
      <c r="J35" s="100">
        <v>0.18</v>
      </c>
      <c r="K35" s="100">
        <v>202.64</v>
      </c>
      <c r="L35" s="100">
        <v>26.42</v>
      </c>
      <c r="M35" s="100">
        <v>89.4</v>
      </c>
      <c r="N35" s="100">
        <v>23.7</v>
      </c>
      <c r="O35" s="100">
        <v>0</v>
      </c>
      <c r="P35" s="100">
        <v>0.38</v>
      </c>
      <c r="Q35" s="100">
        <v>10</v>
      </c>
      <c r="R35" s="6"/>
      <c r="S35" s="6"/>
      <c r="T35" s="156"/>
      <c r="U35" s="6"/>
    </row>
    <row r="36" spans="1:21" customFormat="1">
      <c r="A36" s="201" t="s">
        <v>1132</v>
      </c>
      <c r="B36" s="100">
        <v>10.199999999999999</v>
      </c>
      <c r="C36" s="100">
        <v>11.61</v>
      </c>
      <c r="D36" s="100">
        <v>14.24</v>
      </c>
      <c r="E36" s="100">
        <v>5.38</v>
      </c>
      <c r="F36" s="100">
        <v>2.0099999999999998</v>
      </c>
      <c r="G36" s="100">
        <v>94.03</v>
      </c>
      <c r="H36" s="100">
        <v>57.34</v>
      </c>
      <c r="I36" s="100">
        <v>8.34</v>
      </c>
      <c r="J36" s="100">
        <v>0.16</v>
      </c>
      <c r="K36" s="100">
        <v>221.13</v>
      </c>
      <c r="L36" s="100">
        <v>26.48</v>
      </c>
      <c r="M36" s="100">
        <v>89.55</v>
      </c>
      <c r="N36" s="100">
        <v>32.6</v>
      </c>
      <c r="O36" s="100">
        <v>0</v>
      </c>
      <c r="P36" s="100">
        <v>0.38</v>
      </c>
      <c r="Q36" s="100">
        <v>10</v>
      </c>
      <c r="R36" s="6"/>
      <c r="S36" s="6"/>
      <c r="T36" s="156"/>
      <c r="U36" s="6"/>
    </row>
    <row r="37" spans="1:21" customFormat="1">
      <c r="A37" s="201" t="s">
        <v>1133</v>
      </c>
      <c r="B37" s="100">
        <v>10.36</v>
      </c>
      <c r="C37" s="100">
        <v>11.47</v>
      </c>
      <c r="D37" s="100">
        <v>14.3</v>
      </c>
      <c r="E37" s="100">
        <v>5.62</v>
      </c>
      <c r="F37" s="100">
        <v>2</v>
      </c>
      <c r="G37" s="100">
        <v>94.03</v>
      </c>
      <c r="H37" s="100">
        <v>57.34</v>
      </c>
      <c r="I37" s="100">
        <v>8.51</v>
      </c>
      <c r="J37" s="100">
        <v>0.12</v>
      </c>
      <c r="K37" s="100">
        <v>51.45</v>
      </c>
      <c r="L37" s="100">
        <v>26.7</v>
      </c>
      <c r="M37" s="100">
        <v>89.41</v>
      </c>
      <c r="N37" s="100">
        <v>33.799999999999997</v>
      </c>
      <c r="O37" s="100">
        <v>0</v>
      </c>
      <c r="P37" s="100">
        <v>0.38</v>
      </c>
      <c r="Q37" s="100">
        <v>10</v>
      </c>
      <c r="R37" s="6"/>
      <c r="S37" s="6"/>
      <c r="T37" s="156"/>
      <c r="U37" s="6"/>
    </row>
    <row r="38" spans="1:21" customFormat="1">
      <c r="A38" s="201" t="s">
        <v>1134</v>
      </c>
      <c r="B38" s="100">
        <v>10.92</v>
      </c>
      <c r="C38" s="100">
        <v>11.72</v>
      </c>
      <c r="D38" s="100">
        <v>14.88</v>
      </c>
      <c r="E38" s="100">
        <v>5.27</v>
      </c>
      <c r="F38" s="100">
        <v>2</v>
      </c>
      <c r="G38" s="100">
        <v>94.03</v>
      </c>
      <c r="H38" s="100">
        <v>57.34</v>
      </c>
      <c r="I38" s="100">
        <v>8.68</v>
      </c>
      <c r="J38" s="100">
        <v>0.12</v>
      </c>
      <c r="K38" s="100">
        <v>79.62</v>
      </c>
      <c r="L38" s="100">
        <v>27.11</v>
      </c>
      <c r="M38" s="100">
        <v>88.92</v>
      </c>
      <c r="N38" s="100">
        <v>43.1</v>
      </c>
      <c r="O38" s="100">
        <v>0</v>
      </c>
      <c r="P38" s="100">
        <v>0.39</v>
      </c>
      <c r="Q38" s="100">
        <v>10</v>
      </c>
      <c r="R38" s="6"/>
      <c r="S38" s="6"/>
      <c r="T38" s="156"/>
      <c r="U38" s="6"/>
    </row>
    <row r="39" spans="1:21" customFormat="1">
      <c r="A39" s="201" t="s">
        <v>1135</v>
      </c>
      <c r="B39" s="100">
        <v>11.29</v>
      </c>
      <c r="C39" s="100">
        <v>11.8</v>
      </c>
      <c r="D39" s="100">
        <v>15.22</v>
      </c>
      <c r="E39" s="100">
        <v>5.74</v>
      </c>
      <c r="F39" s="100">
        <v>2</v>
      </c>
      <c r="G39" s="100">
        <v>103.09</v>
      </c>
      <c r="H39" s="100">
        <v>50.29</v>
      </c>
      <c r="I39" s="100">
        <v>8.9</v>
      </c>
      <c r="J39" s="100">
        <v>0.17</v>
      </c>
      <c r="K39" s="100">
        <v>227.17</v>
      </c>
      <c r="L39" s="100">
        <v>27.19</v>
      </c>
      <c r="M39" s="100">
        <v>88.13</v>
      </c>
      <c r="N39" s="100">
        <v>81.5</v>
      </c>
      <c r="O39" s="100">
        <v>0</v>
      </c>
      <c r="P39" s="100">
        <v>0.39</v>
      </c>
      <c r="Q39" s="100">
        <v>10</v>
      </c>
      <c r="R39" s="6"/>
      <c r="S39" s="6"/>
      <c r="T39" s="156"/>
      <c r="U39" s="6"/>
    </row>
    <row r="40" spans="1:21" customFormat="1">
      <c r="A40" s="201" t="s">
        <v>1136</v>
      </c>
      <c r="B40" s="100">
        <v>11.32</v>
      </c>
      <c r="C40" s="100">
        <v>11.7</v>
      </c>
      <c r="D40" s="100">
        <v>15.19</v>
      </c>
      <c r="E40" s="100">
        <v>5.6</v>
      </c>
      <c r="F40" s="100">
        <v>2</v>
      </c>
      <c r="G40" s="100">
        <v>105.52</v>
      </c>
      <c r="H40" s="100">
        <v>50.29</v>
      </c>
      <c r="I40" s="100">
        <v>9.19</v>
      </c>
      <c r="J40" s="100">
        <v>0.21</v>
      </c>
      <c r="K40" s="100">
        <v>216.79</v>
      </c>
      <c r="L40" s="100">
        <v>27.61</v>
      </c>
      <c r="M40" s="100">
        <v>87.83</v>
      </c>
      <c r="N40" s="100">
        <v>84.6</v>
      </c>
      <c r="O40" s="100">
        <v>0</v>
      </c>
      <c r="P40" s="100">
        <v>0.39</v>
      </c>
      <c r="Q40" s="100">
        <v>10</v>
      </c>
      <c r="R40" s="6"/>
      <c r="S40" s="6"/>
      <c r="T40" s="156"/>
      <c r="U40" s="6"/>
    </row>
    <row r="41" spans="1:21" customFormat="1">
      <c r="A41" s="201" t="s">
        <v>1137</v>
      </c>
      <c r="B41" s="100">
        <v>11.17</v>
      </c>
      <c r="C41" s="100">
        <v>11.73</v>
      </c>
      <c r="D41" s="100">
        <v>15.08</v>
      </c>
      <c r="E41" s="100">
        <v>5.33</v>
      </c>
      <c r="F41" s="100">
        <v>2</v>
      </c>
      <c r="G41" s="100">
        <v>105.52</v>
      </c>
      <c r="H41" s="100">
        <v>50.29</v>
      </c>
      <c r="I41" s="100">
        <v>9.4</v>
      </c>
      <c r="J41" s="100">
        <v>0.15</v>
      </c>
      <c r="K41" s="100">
        <v>217.04</v>
      </c>
      <c r="L41" s="100">
        <v>28.09</v>
      </c>
      <c r="M41" s="100">
        <v>85.32</v>
      </c>
      <c r="N41" s="100">
        <v>143</v>
      </c>
      <c r="O41" s="100">
        <v>0</v>
      </c>
      <c r="P41" s="100">
        <v>0.4</v>
      </c>
      <c r="Q41" s="100">
        <v>10</v>
      </c>
      <c r="R41" s="6"/>
      <c r="S41" s="6"/>
      <c r="T41" s="156"/>
      <c r="U41" s="6"/>
    </row>
    <row r="42" spans="1:21" customFormat="1">
      <c r="A42" s="201" t="s">
        <v>1138</v>
      </c>
      <c r="B42" s="100">
        <v>11.37</v>
      </c>
      <c r="C42" s="100">
        <v>11.67</v>
      </c>
      <c r="D42" s="100">
        <v>15.22</v>
      </c>
      <c r="E42" s="100">
        <v>5.88</v>
      </c>
      <c r="F42" s="100">
        <v>2</v>
      </c>
      <c r="G42" s="100">
        <v>105.52</v>
      </c>
      <c r="H42" s="100">
        <v>50.29</v>
      </c>
      <c r="I42" s="100">
        <v>9.48</v>
      </c>
      <c r="J42" s="100">
        <v>0.13</v>
      </c>
      <c r="K42" s="100">
        <v>79.12</v>
      </c>
      <c r="L42" s="100">
        <v>28.53</v>
      </c>
      <c r="M42" s="100">
        <v>82.71</v>
      </c>
      <c r="N42" s="100">
        <v>166.1</v>
      </c>
      <c r="O42" s="100">
        <v>0</v>
      </c>
      <c r="P42" s="100">
        <v>0.38</v>
      </c>
      <c r="Q42" s="100">
        <v>10</v>
      </c>
      <c r="R42" s="6"/>
      <c r="S42" s="6"/>
      <c r="T42" s="156"/>
      <c r="U42" s="6"/>
    </row>
    <row r="43" spans="1:21" customFormat="1">
      <c r="A43" s="201" t="s">
        <v>1139</v>
      </c>
      <c r="B43" s="100">
        <v>11.62</v>
      </c>
      <c r="C43" s="100">
        <v>12.09</v>
      </c>
      <c r="D43" s="100">
        <v>15.64</v>
      </c>
      <c r="E43" s="100">
        <v>6.05</v>
      </c>
      <c r="F43" s="100">
        <v>2.09</v>
      </c>
      <c r="G43" s="100">
        <v>111.09</v>
      </c>
      <c r="H43" s="100">
        <v>58.74</v>
      </c>
      <c r="I43" s="100">
        <v>9.5399999999999991</v>
      </c>
      <c r="J43" s="100">
        <v>0.06</v>
      </c>
      <c r="K43" s="100">
        <v>202.5</v>
      </c>
      <c r="L43" s="100">
        <v>28.85</v>
      </c>
      <c r="M43" s="100">
        <v>80.31</v>
      </c>
      <c r="N43" s="100">
        <v>218.1</v>
      </c>
      <c r="O43" s="100">
        <v>0</v>
      </c>
      <c r="P43" s="100">
        <v>0.4</v>
      </c>
      <c r="Q43" s="100">
        <v>10</v>
      </c>
      <c r="R43" s="6"/>
      <c r="S43" s="6"/>
      <c r="T43" s="156"/>
      <c r="U43" s="6"/>
    </row>
    <row r="44" spans="1:21" customFormat="1">
      <c r="A44" s="201" t="s">
        <v>1140</v>
      </c>
      <c r="B44" s="100">
        <v>11.86</v>
      </c>
      <c r="C44" s="100">
        <v>12.34</v>
      </c>
      <c r="D44" s="100">
        <v>15.96</v>
      </c>
      <c r="E44" s="100">
        <v>6.11</v>
      </c>
      <c r="F44" s="100">
        <v>2</v>
      </c>
      <c r="G44" s="100">
        <v>112.58</v>
      </c>
      <c r="H44" s="100">
        <v>58.74</v>
      </c>
      <c r="I44" s="100">
        <v>9.58</v>
      </c>
      <c r="J44" s="100">
        <v>0.12</v>
      </c>
      <c r="K44" s="100">
        <v>55.92</v>
      </c>
      <c r="L44" s="100">
        <v>29.33</v>
      </c>
      <c r="M44" s="100">
        <v>76.95</v>
      </c>
      <c r="N44" s="100">
        <v>192.5</v>
      </c>
      <c r="O44" s="100">
        <v>0</v>
      </c>
      <c r="P44" s="100">
        <v>0.37</v>
      </c>
      <c r="Q44" s="100">
        <v>10</v>
      </c>
      <c r="R44" s="6"/>
      <c r="S44" s="6"/>
      <c r="T44" s="156"/>
      <c r="U44" s="6"/>
    </row>
    <row r="45" spans="1:21" customFormat="1">
      <c r="A45" s="201" t="s">
        <v>1141</v>
      </c>
      <c r="B45" s="100">
        <v>11.92</v>
      </c>
      <c r="C45" s="100">
        <v>12.66</v>
      </c>
      <c r="D45" s="100">
        <v>16.18</v>
      </c>
      <c r="E45" s="100">
        <v>6.45</v>
      </c>
      <c r="F45" s="100">
        <v>2.2400000000000002</v>
      </c>
      <c r="G45" s="100">
        <v>112.58</v>
      </c>
      <c r="H45" s="100">
        <v>58.74</v>
      </c>
      <c r="I45" s="100">
        <v>9.68</v>
      </c>
      <c r="J45" s="100">
        <v>0.06</v>
      </c>
      <c r="K45" s="100">
        <v>253.78</v>
      </c>
      <c r="L45" s="100">
        <v>29.52</v>
      </c>
      <c r="M45" s="100">
        <v>75.92</v>
      </c>
      <c r="N45" s="100">
        <v>232</v>
      </c>
      <c r="O45" s="100">
        <v>0</v>
      </c>
      <c r="P45" s="100">
        <v>0.37</v>
      </c>
      <c r="Q45" s="100">
        <v>10</v>
      </c>
      <c r="R45" s="6"/>
      <c r="S45" s="6"/>
      <c r="T45" s="156"/>
      <c r="U45" s="6"/>
    </row>
    <row r="46" spans="1:21" customFormat="1">
      <c r="A46" s="201" t="s">
        <v>1142</v>
      </c>
      <c r="B46" s="100">
        <v>11.96</v>
      </c>
      <c r="C46" s="100">
        <v>12.8</v>
      </c>
      <c r="D46" s="100">
        <v>16.28</v>
      </c>
      <c r="E46" s="100">
        <v>6.2</v>
      </c>
      <c r="F46" s="100">
        <v>2.08</v>
      </c>
      <c r="G46" s="100">
        <v>112.58</v>
      </c>
      <c r="H46" s="100">
        <v>58.74</v>
      </c>
      <c r="I46" s="100">
        <v>9.68</v>
      </c>
      <c r="J46" s="100">
        <v>0.18</v>
      </c>
      <c r="K46" s="100">
        <v>219.97</v>
      </c>
      <c r="L46" s="100">
        <v>29.88</v>
      </c>
      <c r="M46" s="100">
        <v>74.95</v>
      </c>
      <c r="N46" s="100">
        <v>270.60000000000002</v>
      </c>
      <c r="O46" s="100">
        <v>0</v>
      </c>
      <c r="P46" s="100">
        <v>0.39</v>
      </c>
      <c r="Q46" s="100">
        <v>10</v>
      </c>
      <c r="R46" s="6"/>
      <c r="S46" s="6"/>
      <c r="T46" s="156"/>
      <c r="U46" s="6"/>
    </row>
    <row r="47" spans="1:21" customFormat="1">
      <c r="A47" s="201" t="s">
        <v>1143</v>
      </c>
      <c r="B47" s="100">
        <v>12.12</v>
      </c>
      <c r="C47" s="100">
        <v>13.34</v>
      </c>
      <c r="D47" s="100">
        <v>16.690000000000001</v>
      </c>
      <c r="E47" s="100">
        <v>8.74</v>
      </c>
      <c r="F47" s="100">
        <v>2.67</v>
      </c>
      <c r="G47" s="100">
        <v>125.3</v>
      </c>
      <c r="H47" s="100">
        <v>64.150000000000006</v>
      </c>
      <c r="I47" s="100">
        <v>9.52</v>
      </c>
      <c r="J47" s="100">
        <v>0.25</v>
      </c>
      <c r="K47" s="100">
        <v>52.66</v>
      </c>
      <c r="L47" s="100">
        <v>30.29</v>
      </c>
      <c r="M47" s="100">
        <v>73.61</v>
      </c>
      <c r="N47" s="100">
        <v>284.89999999999998</v>
      </c>
      <c r="O47" s="100">
        <v>0</v>
      </c>
      <c r="P47" s="100">
        <v>0.42</v>
      </c>
      <c r="Q47" s="100">
        <v>10</v>
      </c>
      <c r="R47" s="6"/>
      <c r="S47" s="6"/>
      <c r="T47" s="156"/>
      <c r="U47" s="6"/>
    </row>
    <row r="48" spans="1:21" customFormat="1">
      <c r="A48" s="201" t="s">
        <v>1144</v>
      </c>
      <c r="B48" s="100">
        <v>12.63</v>
      </c>
      <c r="C48" s="100">
        <v>13.4</v>
      </c>
      <c r="D48" s="100">
        <v>17.13</v>
      </c>
      <c r="E48" s="100">
        <v>8.7200000000000006</v>
      </c>
      <c r="F48" s="100">
        <v>2.57</v>
      </c>
      <c r="G48" s="100">
        <v>128.47999999999999</v>
      </c>
      <c r="H48" s="100">
        <v>64.150000000000006</v>
      </c>
      <c r="I48" s="100">
        <v>9.52</v>
      </c>
      <c r="J48" s="100">
        <v>0.28000000000000003</v>
      </c>
      <c r="K48" s="100">
        <v>227</v>
      </c>
      <c r="L48" s="100">
        <v>30.85</v>
      </c>
      <c r="M48" s="100">
        <v>72.13</v>
      </c>
      <c r="N48" s="100">
        <v>367.6</v>
      </c>
      <c r="O48" s="100">
        <v>0</v>
      </c>
      <c r="P48" s="100">
        <v>0.41</v>
      </c>
      <c r="Q48" s="100">
        <v>10</v>
      </c>
      <c r="R48" s="6"/>
      <c r="S48" s="6"/>
      <c r="T48" s="156"/>
      <c r="U48" s="6"/>
    </row>
    <row r="49" spans="1:21" customFormat="1">
      <c r="A49" s="201" t="s">
        <v>1145</v>
      </c>
      <c r="B49" s="100">
        <v>12.66</v>
      </c>
      <c r="C49" s="100">
        <v>13.48</v>
      </c>
      <c r="D49" s="100">
        <v>17.190000000000001</v>
      </c>
      <c r="E49" s="100">
        <v>6.57</v>
      </c>
      <c r="F49" s="100">
        <v>3</v>
      </c>
      <c r="G49" s="100">
        <v>128.47999999999999</v>
      </c>
      <c r="H49" s="100">
        <v>64.150000000000006</v>
      </c>
      <c r="I49" s="100">
        <v>9.5500000000000007</v>
      </c>
      <c r="J49" s="100">
        <v>0.03</v>
      </c>
      <c r="K49" s="100">
        <v>213.26</v>
      </c>
      <c r="L49" s="100">
        <v>31.12</v>
      </c>
      <c r="M49" s="100">
        <v>71</v>
      </c>
      <c r="N49" s="100">
        <v>292.60000000000002</v>
      </c>
      <c r="O49" s="100">
        <v>0</v>
      </c>
      <c r="P49" s="100">
        <v>0.41</v>
      </c>
      <c r="Q49" s="100">
        <v>10</v>
      </c>
      <c r="R49" s="6"/>
      <c r="S49" s="6"/>
      <c r="T49" s="156"/>
      <c r="U49" s="6"/>
    </row>
    <row r="50" spans="1:21" customFormat="1">
      <c r="A50" s="201" t="s">
        <v>1146</v>
      </c>
      <c r="B50" s="100">
        <v>12.59</v>
      </c>
      <c r="C50" s="100">
        <v>13.65</v>
      </c>
      <c r="D50" s="100">
        <v>17.23</v>
      </c>
      <c r="E50" s="100">
        <v>8.34</v>
      </c>
      <c r="F50" s="100">
        <v>3.32</v>
      </c>
      <c r="G50" s="100">
        <v>128.47999999999999</v>
      </c>
      <c r="H50" s="100">
        <v>64.150000000000006</v>
      </c>
      <c r="I50" s="100">
        <v>9.64</v>
      </c>
      <c r="J50" s="100">
        <v>0.09</v>
      </c>
      <c r="K50" s="100">
        <v>228.6</v>
      </c>
      <c r="L50" s="100">
        <v>31.56</v>
      </c>
      <c r="M50" s="100">
        <v>70.010000000000005</v>
      </c>
      <c r="N50" s="100">
        <v>379.8</v>
      </c>
      <c r="O50" s="100">
        <v>0</v>
      </c>
      <c r="P50" s="100">
        <v>0.41</v>
      </c>
      <c r="Q50" s="100">
        <v>10</v>
      </c>
      <c r="R50" s="6"/>
      <c r="S50" s="6"/>
      <c r="T50" s="156"/>
      <c r="U50" s="6"/>
    </row>
    <row r="51" spans="1:21" customFormat="1">
      <c r="A51" s="201" t="s">
        <v>1147</v>
      </c>
      <c r="B51" s="100">
        <v>12.15</v>
      </c>
      <c r="C51" s="100">
        <v>13.87</v>
      </c>
      <c r="D51" s="100">
        <v>16.989999999999998</v>
      </c>
      <c r="E51" s="100">
        <v>10.050000000000001</v>
      </c>
      <c r="F51" s="100">
        <v>4</v>
      </c>
      <c r="G51" s="100">
        <v>133.51</v>
      </c>
      <c r="H51" s="100">
        <v>60.83</v>
      </c>
      <c r="I51" s="100">
        <v>9.61</v>
      </c>
      <c r="J51" s="100">
        <v>0.15</v>
      </c>
      <c r="K51" s="100">
        <v>46.05</v>
      </c>
      <c r="L51" s="100">
        <v>31.63</v>
      </c>
      <c r="M51" s="100">
        <v>69.510000000000005</v>
      </c>
      <c r="N51" s="100">
        <v>448.2</v>
      </c>
      <c r="O51" s="100">
        <v>0</v>
      </c>
      <c r="P51" s="100">
        <v>0.4</v>
      </c>
      <c r="Q51" s="100">
        <v>10</v>
      </c>
      <c r="R51" s="6"/>
      <c r="S51" s="6"/>
      <c r="T51" s="156"/>
      <c r="U51" s="6"/>
    </row>
    <row r="52" spans="1:21" customFormat="1">
      <c r="A52" s="201" t="s">
        <v>1148</v>
      </c>
      <c r="B52" s="100">
        <v>12</v>
      </c>
      <c r="C52" s="100">
        <v>13.92</v>
      </c>
      <c r="D52" s="100">
        <v>16.899999999999999</v>
      </c>
      <c r="E52" s="100">
        <v>9.7799999999999994</v>
      </c>
      <c r="F52" s="100">
        <v>3.97</v>
      </c>
      <c r="G52" s="100">
        <v>134.86000000000001</v>
      </c>
      <c r="H52" s="100">
        <v>60.83</v>
      </c>
      <c r="I52" s="100">
        <v>9.44</v>
      </c>
      <c r="J52" s="100">
        <v>0.26</v>
      </c>
      <c r="K52" s="100">
        <v>90.97</v>
      </c>
      <c r="L52" s="100">
        <v>32.25</v>
      </c>
      <c r="M52" s="100">
        <v>67.56</v>
      </c>
      <c r="N52" s="100">
        <v>472.6</v>
      </c>
      <c r="O52" s="100">
        <v>0</v>
      </c>
      <c r="P52" s="100">
        <v>0.39</v>
      </c>
      <c r="Q52" s="100">
        <v>10</v>
      </c>
      <c r="R52" s="6"/>
      <c r="S52" s="6"/>
      <c r="T52" s="156"/>
      <c r="U52" s="6"/>
    </row>
    <row r="53" spans="1:21" customFormat="1">
      <c r="A53" s="201" t="s">
        <v>1149</v>
      </c>
      <c r="B53" s="100">
        <v>11.66</v>
      </c>
      <c r="C53" s="100">
        <v>13.89</v>
      </c>
      <c r="D53" s="100">
        <v>16.600000000000001</v>
      </c>
      <c r="E53" s="100">
        <v>9.17</v>
      </c>
      <c r="F53" s="100">
        <v>4.18</v>
      </c>
      <c r="G53" s="100">
        <v>134.86000000000001</v>
      </c>
      <c r="H53" s="100">
        <v>60.83</v>
      </c>
      <c r="I53" s="100">
        <v>9.34</v>
      </c>
      <c r="J53" s="100">
        <v>0.12</v>
      </c>
      <c r="K53" s="100">
        <v>55.77</v>
      </c>
      <c r="L53" s="100">
        <v>32.590000000000003</v>
      </c>
      <c r="M53" s="100">
        <v>65.78</v>
      </c>
      <c r="N53" s="100">
        <v>448.9</v>
      </c>
      <c r="O53" s="100">
        <v>0</v>
      </c>
      <c r="P53" s="100">
        <v>0.4</v>
      </c>
      <c r="Q53" s="100">
        <v>10</v>
      </c>
      <c r="R53" s="6"/>
      <c r="S53" s="6"/>
      <c r="T53" s="156"/>
      <c r="U53" s="6"/>
    </row>
    <row r="54" spans="1:21" customFormat="1">
      <c r="A54" s="201" t="s">
        <v>1150</v>
      </c>
      <c r="B54" s="100">
        <v>11.21</v>
      </c>
      <c r="C54" s="100">
        <v>13.99</v>
      </c>
      <c r="D54" s="100">
        <v>16.3</v>
      </c>
      <c r="E54" s="100">
        <v>10.08</v>
      </c>
      <c r="F54" s="100">
        <v>4.3099999999999996</v>
      </c>
      <c r="G54" s="100">
        <v>134.86000000000001</v>
      </c>
      <c r="H54" s="100">
        <v>60.83</v>
      </c>
      <c r="I54" s="100">
        <v>9.2799999999999994</v>
      </c>
      <c r="J54" s="100">
        <v>0.05</v>
      </c>
      <c r="K54" s="100">
        <v>116.35</v>
      </c>
      <c r="L54" s="100">
        <v>32.4</v>
      </c>
      <c r="M54" s="100">
        <v>66.41</v>
      </c>
      <c r="N54" s="100">
        <v>484.8</v>
      </c>
      <c r="O54" s="100">
        <v>0</v>
      </c>
      <c r="P54" s="100">
        <v>0.41</v>
      </c>
      <c r="Q54" s="100">
        <v>10</v>
      </c>
      <c r="R54" s="6"/>
      <c r="S54" s="6"/>
      <c r="T54" s="156"/>
      <c r="U54" s="6"/>
    </row>
    <row r="55" spans="1:21" customFormat="1">
      <c r="A55" s="201" t="s">
        <v>1151</v>
      </c>
      <c r="B55" s="100">
        <v>10.75</v>
      </c>
      <c r="C55" s="100">
        <v>14.33</v>
      </c>
      <c r="D55" s="100">
        <v>16.11</v>
      </c>
      <c r="E55" s="100">
        <v>11.72</v>
      </c>
      <c r="F55" s="100">
        <v>5.38</v>
      </c>
      <c r="G55" s="100">
        <v>53.19</v>
      </c>
      <c r="H55" s="100">
        <v>8.6199999999999992</v>
      </c>
      <c r="I55" s="100">
        <v>9.2200000000000006</v>
      </c>
      <c r="J55" s="100">
        <v>0.27</v>
      </c>
      <c r="K55" s="100">
        <v>56.04</v>
      </c>
      <c r="L55" s="100">
        <v>32.68</v>
      </c>
      <c r="M55" s="100">
        <v>65.489999999999995</v>
      </c>
      <c r="N55" s="100">
        <v>499.2</v>
      </c>
      <c r="O55" s="100">
        <v>0</v>
      </c>
      <c r="P55" s="100">
        <v>0.42</v>
      </c>
      <c r="Q55" s="100">
        <v>10</v>
      </c>
      <c r="R55" s="6"/>
      <c r="S55" s="6"/>
      <c r="T55" s="156"/>
      <c r="U55" s="6"/>
    </row>
    <row r="56" spans="1:21" customFormat="1">
      <c r="A56" s="201" t="s">
        <v>1152</v>
      </c>
      <c r="B56" s="100">
        <v>10.57</v>
      </c>
      <c r="C56" s="100">
        <v>14.26</v>
      </c>
      <c r="D56" s="100">
        <v>15.93</v>
      </c>
      <c r="E56" s="100">
        <v>9.25</v>
      </c>
      <c r="F56" s="100">
        <v>5.49</v>
      </c>
      <c r="G56" s="100">
        <v>32.78</v>
      </c>
      <c r="H56" s="100">
        <v>8.6199999999999992</v>
      </c>
      <c r="I56" s="100">
        <v>9.09</v>
      </c>
      <c r="J56" s="100">
        <v>0.41</v>
      </c>
      <c r="K56" s="100">
        <v>53.32</v>
      </c>
      <c r="L56" s="100">
        <v>32.380000000000003</v>
      </c>
      <c r="M56" s="100">
        <v>65.180000000000007</v>
      </c>
      <c r="N56" s="100">
        <v>308.10000000000002</v>
      </c>
      <c r="O56" s="100">
        <v>0</v>
      </c>
      <c r="P56" s="100">
        <v>0.41</v>
      </c>
      <c r="Q56" s="100">
        <v>10</v>
      </c>
      <c r="R56" s="6"/>
      <c r="S56" s="6"/>
      <c r="T56" s="156"/>
      <c r="U56" s="6"/>
    </row>
    <row r="57" spans="1:21" customFormat="1">
      <c r="A57" s="201" t="s">
        <v>1153</v>
      </c>
      <c r="B57" s="100">
        <v>9.98</v>
      </c>
      <c r="C57" s="100">
        <v>14.44</v>
      </c>
      <c r="D57" s="100">
        <v>15.54</v>
      </c>
      <c r="E57" s="100">
        <v>12.29</v>
      </c>
      <c r="F57" s="100">
        <v>8.8800000000000008</v>
      </c>
      <c r="G57" s="100">
        <v>32.78</v>
      </c>
      <c r="H57" s="100">
        <v>8.6199999999999992</v>
      </c>
      <c r="I57" s="100">
        <v>9.07</v>
      </c>
      <c r="J57" s="100">
        <v>0.05</v>
      </c>
      <c r="K57" s="100">
        <v>327.67</v>
      </c>
      <c r="L57" s="100">
        <v>32.85</v>
      </c>
      <c r="M57" s="100">
        <v>64.09</v>
      </c>
      <c r="N57" s="100">
        <v>541.9</v>
      </c>
      <c r="O57" s="100">
        <v>0</v>
      </c>
      <c r="P57" s="100">
        <v>0.41</v>
      </c>
      <c r="Q57" s="100">
        <v>10</v>
      </c>
      <c r="R57" s="6"/>
      <c r="S57" s="6"/>
      <c r="T57" s="156"/>
      <c r="U57" s="6"/>
    </row>
    <row r="58" spans="1:21" customFormat="1">
      <c r="A58" s="201" t="s">
        <v>1154</v>
      </c>
      <c r="B58" s="100">
        <v>9.8000000000000007</v>
      </c>
      <c r="C58" s="100">
        <v>14.49</v>
      </c>
      <c r="D58" s="100">
        <v>15.42</v>
      </c>
      <c r="E58" s="100">
        <v>10.34</v>
      </c>
      <c r="F58" s="100">
        <v>6.59</v>
      </c>
      <c r="G58" s="100">
        <v>32.78</v>
      </c>
      <c r="H58" s="100">
        <v>8.6199999999999992</v>
      </c>
      <c r="I58" s="100">
        <v>8.84</v>
      </c>
      <c r="J58" s="100">
        <v>0.15</v>
      </c>
      <c r="K58" s="100">
        <v>21.46</v>
      </c>
      <c r="L58" s="100">
        <v>32.94</v>
      </c>
      <c r="M58" s="100">
        <v>62.99</v>
      </c>
      <c r="N58" s="100">
        <v>458.6</v>
      </c>
      <c r="O58" s="100">
        <v>0</v>
      </c>
      <c r="P58" s="100">
        <v>0.4</v>
      </c>
      <c r="Q58" s="100">
        <v>10</v>
      </c>
      <c r="R58" s="6"/>
      <c r="S58" s="6"/>
      <c r="T58" s="156"/>
      <c r="U58" s="6"/>
    </row>
    <row r="59" spans="1:21" customFormat="1">
      <c r="A59" s="201" t="s">
        <v>1155</v>
      </c>
      <c r="B59" s="100">
        <v>9.26</v>
      </c>
      <c r="C59" s="100">
        <v>14.74</v>
      </c>
      <c r="D59" s="100">
        <v>15.12</v>
      </c>
      <c r="E59" s="100">
        <v>13.06</v>
      </c>
      <c r="F59" s="100">
        <v>7.05</v>
      </c>
      <c r="G59" s="100">
        <v>32.479999999999997</v>
      </c>
      <c r="H59" s="100">
        <v>9.56</v>
      </c>
      <c r="I59" s="100">
        <v>8.64</v>
      </c>
      <c r="J59" s="100">
        <v>0.4</v>
      </c>
      <c r="K59" s="100">
        <v>53.67</v>
      </c>
      <c r="L59" s="100">
        <v>32.81</v>
      </c>
      <c r="M59" s="100">
        <v>66.09</v>
      </c>
      <c r="N59" s="100">
        <v>307.5</v>
      </c>
      <c r="O59" s="100">
        <v>0</v>
      </c>
      <c r="P59" s="100">
        <v>0.41</v>
      </c>
      <c r="Q59" s="100">
        <v>10</v>
      </c>
      <c r="R59" s="6"/>
      <c r="S59" s="6"/>
      <c r="T59" s="156"/>
      <c r="U59" s="6"/>
    </row>
    <row r="60" spans="1:21" customFormat="1">
      <c r="A60" s="201" t="s">
        <v>1156</v>
      </c>
      <c r="B60" s="100">
        <v>9.34</v>
      </c>
      <c r="C60" s="100">
        <v>14.8</v>
      </c>
      <c r="D60" s="100">
        <v>15.22</v>
      </c>
      <c r="E60" s="100">
        <v>10.51</v>
      </c>
      <c r="F60" s="100">
        <v>4.75</v>
      </c>
      <c r="G60" s="100">
        <v>32.409999999999997</v>
      </c>
      <c r="H60" s="100">
        <v>9.56</v>
      </c>
      <c r="I60" s="100">
        <v>8.4499999999999993</v>
      </c>
      <c r="J60" s="100">
        <v>0.25</v>
      </c>
      <c r="K60" s="100">
        <v>91.99</v>
      </c>
      <c r="L60" s="100">
        <v>32.93</v>
      </c>
      <c r="M60" s="100">
        <v>64.8</v>
      </c>
      <c r="N60" s="100">
        <v>408.4</v>
      </c>
      <c r="O60" s="100">
        <v>0</v>
      </c>
      <c r="P60" s="100">
        <v>0.41</v>
      </c>
      <c r="Q60" s="100">
        <v>10</v>
      </c>
      <c r="R60" s="6"/>
      <c r="S60" s="6"/>
      <c r="T60" s="156"/>
      <c r="U60" s="6"/>
    </row>
    <row r="61" spans="1:21" customFormat="1">
      <c r="A61" s="201" t="s">
        <v>1157</v>
      </c>
      <c r="B61" s="100">
        <v>9.0399999999999991</v>
      </c>
      <c r="C61" s="100">
        <v>14.61</v>
      </c>
      <c r="D61" s="100">
        <v>14.88</v>
      </c>
      <c r="E61" s="100">
        <v>7.05</v>
      </c>
      <c r="F61" s="100">
        <v>2.88</v>
      </c>
      <c r="G61" s="100">
        <v>32.409999999999997</v>
      </c>
      <c r="H61" s="100">
        <v>9.56</v>
      </c>
      <c r="I61" s="100">
        <v>8.3699999999999992</v>
      </c>
      <c r="J61" s="100">
        <v>0.49</v>
      </c>
      <c r="K61" s="100">
        <v>209.18</v>
      </c>
      <c r="L61" s="100">
        <v>32.72</v>
      </c>
      <c r="M61" s="100">
        <v>64.849999999999994</v>
      </c>
      <c r="N61" s="100">
        <v>239.9</v>
      </c>
      <c r="O61" s="100">
        <v>0</v>
      </c>
      <c r="P61" s="100">
        <v>0.42</v>
      </c>
      <c r="Q61" s="100">
        <v>10</v>
      </c>
      <c r="R61" s="6"/>
      <c r="S61" s="6"/>
      <c r="T61" s="156"/>
      <c r="U61" s="6"/>
    </row>
    <row r="62" spans="1:21" customFormat="1">
      <c r="A62" s="201" t="s">
        <v>1158</v>
      </c>
      <c r="B62" s="100">
        <v>8.1999999999999993</v>
      </c>
      <c r="C62" s="100">
        <v>14.57</v>
      </c>
      <c r="D62" s="100">
        <v>14.19</v>
      </c>
      <c r="E62" s="100">
        <v>5.89</v>
      </c>
      <c r="F62" s="100">
        <v>2.31</v>
      </c>
      <c r="G62" s="100">
        <v>32.409999999999997</v>
      </c>
      <c r="H62" s="100">
        <v>9.56</v>
      </c>
      <c r="I62" s="100">
        <v>8.3800000000000008</v>
      </c>
      <c r="J62" s="100">
        <v>0.45</v>
      </c>
      <c r="K62" s="100">
        <v>221.34</v>
      </c>
      <c r="L62" s="100">
        <v>30.91</v>
      </c>
      <c r="M62" s="100">
        <v>69.72</v>
      </c>
      <c r="N62" s="100">
        <v>164.4</v>
      </c>
      <c r="O62" s="100">
        <v>0</v>
      </c>
      <c r="P62" s="100">
        <v>0.41</v>
      </c>
      <c r="Q62" s="100">
        <v>10</v>
      </c>
      <c r="R62" s="6"/>
      <c r="S62" s="6"/>
      <c r="T62" s="156"/>
      <c r="U62" s="6"/>
    </row>
    <row r="63" spans="1:21" customFormat="1">
      <c r="A63" s="201" t="s">
        <v>1159</v>
      </c>
      <c r="B63" s="100">
        <v>7.31</v>
      </c>
      <c r="C63" s="100">
        <v>14.47</v>
      </c>
      <c r="D63" s="100">
        <v>13.42</v>
      </c>
      <c r="E63" s="100">
        <v>5.64</v>
      </c>
      <c r="F63" s="100">
        <v>2.67</v>
      </c>
      <c r="G63" s="100">
        <v>28.31</v>
      </c>
      <c r="H63" s="100">
        <v>8.3699999999999992</v>
      </c>
      <c r="I63" s="100">
        <v>8.27</v>
      </c>
      <c r="J63" s="100">
        <v>0.49</v>
      </c>
      <c r="K63" s="100">
        <v>221.2</v>
      </c>
      <c r="L63" s="100">
        <v>30.66</v>
      </c>
      <c r="M63" s="100">
        <v>69.58</v>
      </c>
      <c r="N63" s="100">
        <v>201.1</v>
      </c>
      <c r="O63" s="100">
        <v>0</v>
      </c>
      <c r="P63" s="100">
        <v>0.4</v>
      </c>
      <c r="Q63" s="100">
        <v>10</v>
      </c>
      <c r="R63" s="6"/>
      <c r="S63" s="6"/>
      <c r="T63" s="156"/>
      <c r="U63" s="6"/>
    </row>
    <row r="64" spans="1:21" customFormat="1">
      <c r="A64" s="201" t="s">
        <v>1160</v>
      </c>
      <c r="B64" s="100">
        <v>6.69</v>
      </c>
      <c r="C64" s="100">
        <v>14.37</v>
      </c>
      <c r="D64" s="100">
        <v>12.87</v>
      </c>
      <c r="E64" s="100">
        <v>5.52</v>
      </c>
      <c r="F64" s="100">
        <v>2.1</v>
      </c>
      <c r="G64" s="100">
        <v>27.29</v>
      </c>
      <c r="H64" s="100">
        <v>8.3699999999999992</v>
      </c>
      <c r="I64" s="100">
        <v>7.93</v>
      </c>
      <c r="J64" s="100">
        <v>0.3</v>
      </c>
      <c r="K64" s="100">
        <v>202.56</v>
      </c>
      <c r="L64" s="100">
        <v>30.44</v>
      </c>
      <c r="M64" s="100">
        <v>70.83</v>
      </c>
      <c r="N64" s="100">
        <v>155.4</v>
      </c>
      <c r="O64" s="100">
        <v>0</v>
      </c>
      <c r="P64" s="100">
        <v>0.39</v>
      </c>
      <c r="Q64" s="100">
        <v>10</v>
      </c>
      <c r="R64" s="6"/>
      <c r="S64" s="6"/>
      <c r="T64" s="156"/>
      <c r="U64" s="6"/>
    </row>
    <row r="65" spans="1:21" customFormat="1">
      <c r="A65" s="201" t="s">
        <v>1161</v>
      </c>
      <c r="B65" s="100">
        <v>6.12</v>
      </c>
      <c r="C65" s="100">
        <v>14.19</v>
      </c>
      <c r="D65" s="100">
        <v>12.32</v>
      </c>
      <c r="E65" s="100">
        <v>5.56</v>
      </c>
      <c r="F65" s="100">
        <v>2.0699999999999998</v>
      </c>
      <c r="G65" s="100">
        <v>27.29</v>
      </c>
      <c r="H65" s="100">
        <v>8.3699999999999992</v>
      </c>
      <c r="I65" s="100">
        <v>7.71</v>
      </c>
      <c r="J65" s="100">
        <v>0.39</v>
      </c>
      <c r="K65" s="100">
        <v>208.8</v>
      </c>
      <c r="L65" s="100">
        <v>30.36</v>
      </c>
      <c r="M65" s="100">
        <v>69.94</v>
      </c>
      <c r="N65" s="100">
        <v>145.9</v>
      </c>
      <c r="O65" s="100">
        <v>0</v>
      </c>
      <c r="P65" s="100">
        <v>0.35</v>
      </c>
      <c r="Q65" s="100">
        <v>10</v>
      </c>
      <c r="R65" s="6"/>
      <c r="S65" s="6"/>
      <c r="T65" s="156"/>
      <c r="U65" s="6"/>
    </row>
    <row r="66" spans="1:21" customFormat="1">
      <c r="A66" s="201" t="s">
        <v>1162</v>
      </c>
      <c r="B66" s="100">
        <v>5.59</v>
      </c>
      <c r="C66" s="100">
        <v>13.93</v>
      </c>
      <c r="D66" s="100">
        <v>11.76</v>
      </c>
      <c r="E66" s="100">
        <v>5.53</v>
      </c>
      <c r="F66" s="100">
        <v>2.2000000000000002</v>
      </c>
      <c r="G66" s="100">
        <v>27.29</v>
      </c>
      <c r="H66" s="100">
        <v>8.3699999999999992</v>
      </c>
      <c r="I66" s="100">
        <v>7.52</v>
      </c>
      <c r="J66" s="100">
        <v>0.24</v>
      </c>
      <c r="K66" s="100">
        <v>183.02</v>
      </c>
      <c r="L66" s="100">
        <v>30.54</v>
      </c>
      <c r="M66" s="100">
        <v>70.77</v>
      </c>
      <c r="N66" s="100">
        <v>141.4</v>
      </c>
      <c r="O66" s="100">
        <v>0</v>
      </c>
      <c r="P66" s="100">
        <v>0.36</v>
      </c>
      <c r="Q66" s="100">
        <v>10</v>
      </c>
      <c r="R66" s="6"/>
      <c r="S66" s="6"/>
      <c r="T66" s="156"/>
      <c r="U66" s="6"/>
    </row>
    <row r="67" spans="1:21" customFormat="1">
      <c r="A67" s="201" t="s">
        <v>1163</v>
      </c>
      <c r="B67" s="100">
        <v>5.09</v>
      </c>
      <c r="C67" s="100">
        <v>13.7</v>
      </c>
      <c r="D67" s="100">
        <v>11.24</v>
      </c>
      <c r="E67" s="100">
        <v>5.62</v>
      </c>
      <c r="F67" s="100">
        <v>2.2400000000000002</v>
      </c>
      <c r="G67" s="100">
        <v>21.6</v>
      </c>
      <c r="H67" s="100">
        <v>7.89</v>
      </c>
      <c r="I67" s="100">
        <v>7.26</v>
      </c>
      <c r="J67" s="100">
        <v>0.34</v>
      </c>
      <c r="K67" s="100">
        <v>191.65</v>
      </c>
      <c r="L67" s="100">
        <v>30.72</v>
      </c>
      <c r="M67" s="100">
        <v>69.34</v>
      </c>
      <c r="N67" s="100">
        <v>111.1</v>
      </c>
      <c r="O67" s="100">
        <v>0</v>
      </c>
      <c r="P67" s="100">
        <v>0.36</v>
      </c>
      <c r="Q67" s="100">
        <v>10</v>
      </c>
      <c r="R67" s="6"/>
      <c r="S67" s="6"/>
      <c r="T67" s="156"/>
      <c r="U67" s="6"/>
    </row>
    <row r="68" spans="1:21" customFormat="1">
      <c r="A68" s="201" t="s">
        <v>1164</v>
      </c>
      <c r="B68" s="100">
        <v>4.76</v>
      </c>
      <c r="C68" s="100">
        <v>13.5</v>
      </c>
      <c r="D68" s="100">
        <v>10.87</v>
      </c>
      <c r="E68" s="100">
        <v>5.34</v>
      </c>
      <c r="F68" s="100">
        <v>2.23</v>
      </c>
      <c r="G68" s="100">
        <v>20.18</v>
      </c>
      <c r="H68" s="100">
        <v>7.89</v>
      </c>
      <c r="I68" s="100">
        <v>7.03</v>
      </c>
      <c r="J68" s="100">
        <v>0.35</v>
      </c>
      <c r="K68" s="100">
        <v>186.33</v>
      </c>
      <c r="L68" s="100">
        <v>30.8</v>
      </c>
      <c r="M68" s="100">
        <v>68.430000000000007</v>
      </c>
      <c r="N68" s="100">
        <v>128.9</v>
      </c>
      <c r="O68" s="100">
        <v>0</v>
      </c>
      <c r="P68" s="100">
        <v>0.35</v>
      </c>
      <c r="Q68" s="100">
        <v>10</v>
      </c>
      <c r="R68" s="6"/>
      <c r="S68" s="6"/>
      <c r="T68" s="156"/>
      <c r="U68" s="6"/>
    </row>
    <row r="69" spans="1:21" customFormat="1">
      <c r="A69" s="201" t="s">
        <v>1165</v>
      </c>
      <c r="B69" s="100">
        <v>4.4000000000000004</v>
      </c>
      <c r="C69" s="100">
        <v>13.39</v>
      </c>
      <c r="D69" s="100">
        <v>10.52</v>
      </c>
      <c r="E69" s="100">
        <v>5.71</v>
      </c>
      <c r="F69" s="100">
        <v>2.1800000000000002</v>
      </c>
      <c r="G69" s="100">
        <v>20.18</v>
      </c>
      <c r="H69" s="100">
        <v>7.89</v>
      </c>
      <c r="I69" s="100">
        <v>6.87</v>
      </c>
      <c r="J69" s="100">
        <v>0.39</v>
      </c>
      <c r="K69" s="100">
        <v>199.23</v>
      </c>
      <c r="L69" s="100">
        <v>30.87</v>
      </c>
      <c r="M69" s="100">
        <v>68.900000000000006</v>
      </c>
      <c r="N69" s="100">
        <v>120.6</v>
      </c>
      <c r="O69" s="100">
        <v>0</v>
      </c>
      <c r="P69" s="100">
        <v>0.32</v>
      </c>
      <c r="Q69" s="100">
        <v>10</v>
      </c>
      <c r="R69" s="6"/>
      <c r="S69" s="6"/>
      <c r="T69" s="156"/>
      <c r="U69" s="6"/>
    </row>
    <row r="70" spans="1:21" customFormat="1">
      <c r="A70" s="201" t="s">
        <v>1166</v>
      </c>
      <c r="B70" s="100">
        <v>4.0599999999999996</v>
      </c>
      <c r="C70" s="100">
        <v>13.26</v>
      </c>
      <c r="D70" s="100">
        <v>10.18</v>
      </c>
      <c r="E70" s="100">
        <v>5.61</v>
      </c>
      <c r="F70" s="100">
        <v>2.1</v>
      </c>
      <c r="G70" s="100">
        <v>20.18</v>
      </c>
      <c r="H70" s="100">
        <v>7.89</v>
      </c>
      <c r="I70" s="100">
        <v>6.72</v>
      </c>
      <c r="J70" s="100">
        <v>0.2</v>
      </c>
      <c r="K70" s="100">
        <v>173</v>
      </c>
      <c r="L70" s="100">
        <v>31.11</v>
      </c>
      <c r="M70" s="100">
        <v>71.47</v>
      </c>
      <c r="N70" s="100">
        <v>104.3</v>
      </c>
      <c r="O70" s="100">
        <v>0</v>
      </c>
      <c r="P70" s="100">
        <v>0.32</v>
      </c>
      <c r="Q70" s="100">
        <v>10</v>
      </c>
      <c r="R70" s="6"/>
      <c r="S70" s="6"/>
      <c r="T70" s="156"/>
      <c r="U70" s="6"/>
    </row>
    <row r="71" spans="1:21" customFormat="1">
      <c r="A71" s="201" t="s">
        <v>1167</v>
      </c>
      <c r="B71" s="100">
        <v>3.84</v>
      </c>
      <c r="C71" s="100">
        <v>13.12</v>
      </c>
      <c r="D71" s="100">
        <v>9.93</v>
      </c>
      <c r="E71" s="100">
        <v>5.66</v>
      </c>
      <c r="F71" s="100">
        <v>2.36</v>
      </c>
      <c r="G71" s="100">
        <v>19.16</v>
      </c>
      <c r="H71" s="100">
        <v>7.13</v>
      </c>
      <c r="I71" s="100">
        <v>6.54</v>
      </c>
      <c r="J71" s="100">
        <v>0.13</v>
      </c>
      <c r="K71" s="100">
        <v>117.34</v>
      </c>
      <c r="L71" s="100">
        <v>31.33</v>
      </c>
      <c r="M71" s="100">
        <v>70.23</v>
      </c>
      <c r="N71" s="100">
        <v>113.5</v>
      </c>
      <c r="O71" s="100">
        <v>0</v>
      </c>
      <c r="P71" s="100">
        <v>0.31</v>
      </c>
      <c r="Q71" s="100">
        <v>10</v>
      </c>
      <c r="R71" s="6"/>
      <c r="S71" s="6"/>
      <c r="T71" s="156"/>
      <c r="U71" s="6"/>
    </row>
    <row r="72" spans="1:21" customFormat="1">
      <c r="A72" s="201" t="s">
        <v>1168</v>
      </c>
      <c r="B72" s="100">
        <v>3.73</v>
      </c>
      <c r="C72" s="100">
        <v>13.08</v>
      </c>
      <c r="D72" s="100">
        <v>9.82</v>
      </c>
      <c r="E72" s="100">
        <v>5.63</v>
      </c>
      <c r="F72" s="100">
        <v>2.35</v>
      </c>
      <c r="G72" s="100">
        <v>18.899999999999999</v>
      </c>
      <c r="H72" s="100">
        <v>7.13</v>
      </c>
      <c r="I72" s="100">
        <v>6.33</v>
      </c>
      <c r="J72" s="100">
        <v>0.17</v>
      </c>
      <c r="K72" s="100">
        <v>204.51</v>
      </c>
      <c r="L72" s="100">
        <v>31.46</v>
      </c>
      <c r="M72" s="100">
        <v>71.48</v>
      </c>
      <c r="N72" s="100">
        <v>74.900000000000006</v>
      </c>
      <c r="O72" s="100">
        <v>0</v>
      </c>
      <c r="P72" s="100">
        <v>0.31</v>
      </c>
      <c r="Q72" s="100">
        <v>10</v>
      </c>
      <c r="R72" s="6"/>
      <c r="S72" s="6"/>
      <c r="T72" s="156"/>
      <c r="U72" s="6"/>
    </row>
    <row r="73" spans="1:21" customFormat="1">
      <c r="A73" s="201" t="s">
        <v>1169</v>
      </c>
      <c r="B73" s="100">
        <v>3.56</v>
      </c>
      <c r="C73" s="100">
        <v>13.05</v>
      </c>
      <c r="D73" s="100">
        <v>9.68</v>
      </c>
      <c r="E73" s="100">
        <v>5.59</v>
      </c>
      <c r="F73" s="100">
        <v>2.39</v>
      </c>
      <c r="G73" s="100">
        <v>18.899999999999999</v>
      </c>
      <c r="H73" s="100">
        <v>7.13</v>
      </c>
      <c r="I73" s="100">
        <v>6.18</v>
      </c>
      <c r="J73" s="100">
        <v>0.28999999999999998</v>
      </c>
      <c r="K73" s="100">
        <v>156.36000000000001</v>
      </c>
      <c r="L73" s="100">
        <v>31.18</v>
      </c>
      <c r="M73" s="100">
        <v>73.569999999999993</v>
      </c>
      <c r="N73" s="100">
        <v>57.6</v>
      </c>
      <c r="O73" s="100">
        <v>0</v>
      </c>
      <c r="P73" s="100">
        <v>0.31</v>
      </c>
      <c r="Q73" s="100">
        <v>10</v>
      </c>
      <c r="R73" s="6"/>
      <c r="S73" s="6"/>
      <c r="T73" s="156"/>
      <c r="U73" s="6"/>
    </row>
    <row r="74" spans="1:21" customFormat="1">
      <c r="A74" s="201" t="s">
        <v>1170</v>
      </c>
      <c r="B74" s="100">
        <v>3.4</v>
      </c>
      <c r="C74" s="100">
        <v>12.91</v>
      </c>
      <c r="D74" s="100">
        <v>9.4700000000000006</v>
      </c>
      <c r="E74" s="100">
        <v>5.66</v>
      </c>
      <c r="F74" s="100">
        <v>3.05</v>
      </c>
      <c r="G74" s="100">
        <v>18.899999999999999</v>
      </c>
      <c r="H74" s="100">
        <v>7.13</v>
      </c>
      <c r="I74" s="100">
        <v>6.06</v>
      </c>
      <c r="J74" s="100">
        <v>0.14000000000000001</v>
      </c>
      <c r="K74" s="100">
        <v>176.81</v>
      </c>
      <c r="L74" s="100">
        <v>30.82</v>
      </c>
      <c r="M74" s="100">
        <v>75.040000000000006</v>
      </c>
      <c r="N74" s="100">
        <v>42</v>
      </c>
      <c r="O74" s="100">
        <v>0</v>
      </c>
      <c r="P74" s="100">
        <v>0.3</v>
      </c>
      <c r="Q74" s="100">
        <v>10</v>
      </c>
      <c r="R74" s="6"/>
      <c r="S74" s="6"/>
      <c r="T74" s="156"/>
      <c r="U74" s="6"/>
    </row>
    <row r="75" spans="1:21" customFormat="1">
      <c r="A75" s="201" t="s">
        <v>1171</v>
      </c>
      <c r="B75" s="100">
        <v>3.23</v>
      </c>
      <c r="C75" s="100">
        <v>12.59</v>
      </c>
      <c r="D75" s="100">
        <v>9.17</v>
      </c>
      <c r="E75" s="100">
        <v>5.63</v>
      </c>
      <c r="F75" s="100">
        <v>6.52</v>
      </c>
      <c r="G75" s="100">
        <v>18.62</v>
      </c>
      <c r="H75" s="100">
        <v>6.75</v>
      </c>
      <c r="I75" s="100">
        <v>6</v>
      </c>
      <c r="J75" s="100">
        <v>0.17</v>
      </c>
      <c r="K75" s="100">
        <v>173.81</v>
      </c>
      <c r="L75" s="100">
        <v>30.13</v>
      </c>
      <c r="M75" s="100">
        <v>79.25</v>
      </c>
      <c r="N75" s="100">
        <v>23.4</v>
      </c>
      <c r="O75" s="100">
        <v>0</v>
      </c>
      <c r="P75" s="100">
        <v>0.28999999999999998</v>
      </c>
      <c r="Q75" s="100">
        <v>10</v>
      </c>
      <c r="R75" s="6"/>
      <c r="S75" s="6"/>
      <c r="T75" s="156"/>
      <c r="U75" s="6"/>
    </row>
    <row r="76" spans="1:21" customFormat="1">
      <c r="A76" s="201" t="s">
        <v>1172</v>
      </c>
      <c r="B76" s="100">
        <v>3.23</v>
      </c>
      <c r="C76" s="100">
        <v>12.49</v>
      </c>
      <c r="D76" s="100">
        <v>9.11</v>
      </c>
      <c r="E76" s="100">
        <v>5.84</v>
      </c>
      <c r="F76" s="100">
        <v>2.76</v>
      </c>
      <c r="G76" s="100">
        <v>18.55</v>
      </c>
      <c r="H76" s="100">
        <v>6.75</v>
      </c>
      <c r="I76" s="100">
        <v>5.9</v>
      </c>
      <c r="J76" s="100">
        <v>0.01</v>
      </c>
      <c r="K76" s="100">
        <v>-0.14000000000000001</v>
      </c>
      <c r="L76" s="100">
        <v>29.83</v>
      </c>
      <c r="M76" s="100">
        <v>81.97</v>
      </c>
      <c r="N76" s="100">
        <v>17.100000000000001</v>
      </c>
      <c r="O76" s="100">
        <v>0</v>
      </c>
      <c r="P76" s="100">
        <v>0.28999999999999998</v>
      </c>
      <c r="Q76" s="100">
        <v>10</v>
      </c>
      <c r="R76" s="6"/>
      <c r="S76" s="6"/>
      <c r="T76" s="156"/>
      <c r="U76" s="6"/>
    </row>
    <row r="77" spans="1:21" customFormat="1">
      <c r="A77" s="201" t="s">
        <v>1173</v>
      </c>
      <c r="B77" s="100">
        <v>0</v>
      </c>
      <c r="C77" s="100">
        <v>0</v>
      </c>
      <c r="D77" s="100">
        <v>0</v>
      </c>
      <c r="E77" s="100">
        <v>0</v>
      </c>
      <c r="F77" s="100">
        <v>5.54</v>
      </c>
      <c r="G77" s="100">
        <v>18.55</v>
      </c>
      <c r="H77" s="100">
        <v>6.75</v>
      </c>
      <c r="I77" s="100">
        <v>0</v>
      </c>
      <c r="J77" s="100">
        <v>1.54</v>
      </c>
      <c r="K77" s="100">
        <v>222.37</v>
      </c>
      <c r="L77" s="100">
        <v>29.07</v>
      </c>
      <c r="M77" s="100">
        <v>78.34</v>
      </c>
      <c r="N77" s="100">
        <v>5.8</v>
      </c>
      <c r="O77" s="100">
        <v>0</v>
      </c>
      <c r="P77" s="100">
        <v>0</v>
      </c>
      <c r="Q77" s="100">
        <v>0</v>
      </c>
      <c r="R77" s="6"/>
      <c r="S77" s="6"/>
      <c r="T77" s="156"/>
      <c r="U77" s="6"/>
    </row>
    <row r="78" spans="1:21" customFormat="1">
      <c r="A78" s="201" t="s">
        <v>1174</v>
      </c>
      <c r="B78" s="100">
        <v>3.74</v>
      </c>
      <c r="C78" s="100">
        <v>7.68</v>
      </c>
      <c r="D78" s="100">
        <v>7.01</v>
      </c>
      <c r="E78" s="100">
        <v>4.6900000000000004</v>
      </c>
      <c r="F78" s="100">
        <v>4.5599999999999996</v>
      </c>
      <c r="G78" s="100">
        <v>18.55</v>
      </c>
      <c r="H78" s="100">
        <v>6.75</v>
      </c>
      <c r="I78" s="100">
        <v>0</v>
      </c>
      <c r="J78" s="100">
        <v>0.85</v>
      </c>
      <c r="K78" s="100">
        <v>223.06</v>
      </c>
      <c r="L78" s="100">
        <v>28.47</v>
      </c>
      <c r="M78" s="100">
        <v>81.819999999999993</v>
      </c>
      <c r="N78" s="100">
        <v>8.8000000000000007</v>
      </c>
      <c r="O78" s="100">
        <v>0</v>
      </c>
      <c r="P78" s="100">
        <v>0.38</v>
      </c>
      <c r="Q78" s="100">
        <v>0</v>
      </c>
      <c r="R78" s="6"/>
      <c r="S78" s="6"/>
      <c r="T78" s="156"/>
      <c r="U78" s="6"/>
    </row>
    <row r="79" spans="1:21" customFormat="1">
      <c r="A79" s="201" t="s">
        <v>1175</v>
      </c>
      <c r="B79" s="100">
        <v>2.99</v>
      </c>
      <c r="C79" s="100">
        <v>12.19</v>
      </c>
      <c r="D79" s="100">
        <v>8.77</v>
      </c>
      <c r="E79" s="100">
        <v>3.72</v>
      </c>
      <c r="F79" s="100">
        <v>2.97</v>
      </c>
      <c r="G79" s="100">
        <v>16.38</v>
      </c>
      <c r="H79" s="100">
        <v>4.8499999999999996</v>
      </c>
      <c r="I79" s="100">
        <v>2.21</v>
      </c>
      <c r="J79" s="100">
        <v>0.37</v>
      </c>
      <c r="K79" s="100">
        <v>201.8</v>
      </c>
      <c r="L79" s="100">
        <v>26.9</v>
      </c>
      <c r="M79" s="100">
        <v>86.03</v>
      </c>
      <c r="N79" s="100">
        <v>9.6</v>
      </c>
      <c r="O79" s="100">
        <v>0</v>
      </c>
      <c r="P79" s="100">
        <v>0.41</v>
      </c>
      <c r="Q79" s="100">
        <v>0</v>
      </c>
      <c r="R79" s="6"/>
      <c r="S79" s="6"/>
      <c r="T79" s="156"/>
      <c r="U79" s="6"/>
    </row>
    <row r="80" spans="1:21" customFormat="1">
      <c r="A80" s="201" t="s">
        <v>1176</v>
      </c>
      <c r="B80" s="100">
        <v>2.56</v>
      </c>
      <c r="C80" s="100">
        <v>13.93</v>
      </c>
      <c r="D80" s="100">
        <v>9.33</v>
      </c>
      <c r="E80" s="100">
        <v>2.2200000000000002</v>
      </c>
      <c r="F80" s="100">
        <v>2.6</v>
      </c>
      <c r="G80" s="100">
        <v>15.81</v>
      </c>
      <c r="H80" s="100">
        <v>4.8499999999999996</v>
      </c>
      <c r="I80" s="100">
        <v>5.79</v>
      </c>
      <c r="J80" s="100">
        <v>0.17</v>
      </c>
      <c r="K80" s="100">
        <v>164.98</v>
      </c>
      <c r="L80" s="100">
        <v>26.5</v>
      </c>
      <c r="M80" s="100">
        <v>87.16</v>
      </c>
      <c r="N80" s="100">
        <v>6.6</v>
      </c>
      <c r="O80" s="100">
        <v>0</v>
      </c>
      <c r="P80" s="100">
        <v>0.39</v>
      </c>
      <c r="Q80" s="100">
        <v>0</v>
      </c>
      <c r="R80" s="6"/>
      <c r="S80" s="6"/>
      <c r="T80" s="156"/>
      <c r="U80" s="6"/>
    </row>
    <row r="81" spans="1:21" customFormat="1">
      <c r="A81" s="201" t="s">
        <v>1177</v>
      </c>
      <c r="B81" s="100">
        <v>2.42</v>
      </c>
      <c r="C81" s="100">
        <v>14.44</v>
      </c>
      <c r="D81" s="100">
        <v>9.49</v>
      </c>
      <c r="E81" s="100">
        <v>4.03</v>
      </c>
      <c r="F81" s="100">
        <v>2.15</v>
      </c>
      <c r="G81" s="100">
        <v>15.81</v>
      </c>
      <c r="H81" s="100">
        <v>4.8499999999999996</v>
      </c>
      <c r="I81" s="100">
        <v>5.74</v>
      </c>
      <c r="J81" s="100">
        <v>0.12</v>
      </c>
      <c r="K81" s="100">
        <v>140.22999999999999</v>
      </c>
      <c r="L81" s="100">
        <v>26.28</v>
      </c>
      <c r="M81" s="100">
        <v>87.8</v>
      </c>
      <c r="N81" s="100">
        <v>3</v>
      </c>
      <c r="O81" s="100">
        <v>0</v>
      </c>
      <c r="P81" s="100">
        <v>0.36</v>
      </c>
      <c r="Q81" s="100">
        <v>0</v>
      </c>
      <c r="R81" s="6"/>
      <c r="S81" s="6"/>
      <c r="T81" s="156"/>
      <c r="U81" s="6"/>
    </row>
    <row r="82" spans="1:21" customFormat="1">
      <c r="A82" s="201" t="s">
        <v>1178</v>
      </c>
      <c r="B82" s="100">
        <v>2.56</v>
      </c>
      <c r="C82" s="100">
        <v>14.48</v>
      </c>
      <c r="D82" s="100">
        <v>9.6199999999999992</v>
      </c>
      <c r="E82" s="100">
        <v>4.96</v>
      </c>
      <c r="F82" s="100">
        <v>2.4700000000000002</v>
      </c>
      <c r="G82" s="100">
        <v>15.81</v>
      </c>
      <c r="H82" s="100">
        <v>4.8499999999999996</v>
      </c>
      <c r="I82" s="100">
        <v>5.68</v>
      </c>
      <c r="J82" s="100">
        <v>0.14000000000000001</v>
      </c>
      <c r="K82" s="100">
        <v>94.45</v>
      </c>
      <c r="L82" s="100">
        <v>25.81</v>
      </c>
      <c r="M82" s="100">
        <v>87.81</v>
      </c>
      <c r="N82" s="100">
        <v>3</v>
      </c>
      <c r="O82" s="100">
        <v>0</v>
      </c>
      <c r="P82" s="100">
        <v>0.36</v>
      </c>
      <c r="Q82" s="100">
        <v>0</v>
      </c>
      <c r="R82" s="6"/>
      <c r="S82" s="6"/>
      <c r="T82" s="156"/>
      <c r="U82" s="6"/>
    </row>
    <row r="83" spans="1:21" customFormat="1">
      <c r="A83" s="201" t="s">
        <v>1179</v>
      </c>
      <c r="B83" s="100">
        <v>2.86</v>
      </c>
      <c r="C83" s="100">
        <v>14.57</v>
      </c>
      <c r="D83" s="100">
        <v>9.91</v>
      </c>
      <c r="E83" s="100">
        <v>5.0199999999999996</v>
      </c>
      <c r="F83" s="100">
        <v>2.0299999999999998</v>
      </c>
      <c r="G83" s="100">
        <v>14.27</v>
      </c>
      <c r="H83" s="100">
        <v>3.92</v>
      </c>
      <c r="I83" s="100">
        <v>5.6</v>
      </c>
      <c r="J83" s="100">
        <v>0.11</v>
      </c>
      <c r="K83" s="100">
        <v>190.4</v>
      </c>
      <c r="L83" s="100">
        <v>25.56</v>
      </c>
      <c r="M83" s="100">
        <v>87.39</v>
      </c>
      <c r="N83" s="100">
        <v>2.1</v>
      </c>
      <c r="O83" s="100">
        <v>0</v>
      </c>
      <c r="P83" s="100">
        <v>0.38</v>
      </c>
      <c r="Q83" s="100">
        <v>0</v>
      </c>
      <c r="R83" s="6"/>
      <c r="S83" s="6"/>
      <c r="T83" s="156"/>
      <c r="U83" s="6"/>
    </row>
    <row r="84" spans="1:21" customFormat="1">
      <c r="A84" s="201" t="s">
        <v>1180</v>
      </c>
      <c r="B84" s="100">
        <v>3.14</v>
      </c>
      <c r="C84" s="100">
        <v>14.46</v>
      </c>
      <c r="D84" s="100">
        <v>10.07</v>
      </c>
      <c r="E84" s="100">
        <v>4.5199999999999996</v>
      </c>
      <c r="F84" s="100">
        <v>2</v>
      </c>
      <c r="G84" s="100">
        <v>13.89</v>
      </c>
      <c r="H84" s="100">
        <v>3.92</v>
      </c>
      <c r="I84" s="100">
        <v>5.63</v>
      </c>
      <c r="J84" s="100">
        <v>0.28000000000000003</v>
      </c>
      <c r="K84" s="100">
        <v>213.35</v>
      </c>
      <c r="L84" s="100">
        <v>25.52</v>
      </c>
      <c r="M84" s="100">
        <v>87.82</v>
      </c>
      <c r="N84" s="100">
        <v>2.4</v>
      </c>
      <c r="O84" s="100">
        <v>0</v>
      </c>
      <c r="P84" s="100">
        <v>0.35</v>
      </c>
      <c r="Q84" s="100">
        <v>0</v>
      </c>
      <c r="R84" s="6"/>
      <c r="S84" s="6"/>
      <c r="T84" s="156"/>
      <c r="U84" s="6"/>
    </row>
    <row r="85" spans="1:21" customFormat="1">
      <c r="A85" s="201" t="s">
        <v>1181</v>
      </c>
      <c r="B85" s="100">
        <v>3.36</v>
      </c>
      <c r="C85" s="100">
        <v>14.37</v>
      </c>
      <c r="D85" s="100">
        <v>10.199999999999999</v>
      </c>
      <c r="E85" s="100">
        <v>4.59</v>
      </c>
      <c r="F85" s="100">
        <v>2</v>
      </c>
      <c r="G85" s="100">
        <v>13.89</v>
      </c>
      <c r="H85" s="100">
        <v>3.92</v>
      </c>
      <c r="I85" s="100">
        <v>5.59</v>
      </c>
      <c r="J85" s="100">
        <v>0.23</v>
      </c>
      <c r="K85" s="100">
        <v>208.21</v>
      </c>
      <c r="L85" s="100">
        <v>25.64</v>
      </c>
      <c r="M85" s="100">
        <v>87.36</v>
      </c>
      <c r="N85" s="100">
        <v>2.2999999999999998</v>
      </c>
      <c r="O85" s="100">
        <v>0</v>
      </c>
      <c r="P85" s="100">
        <v>0.37</v>
      </c>
      <c r="Q85" s="100">
        <v>0</v>
      </c>
      <c r="R85" s="6"/>
      <c r="S85" s="6"/>
      <c r="T85" s="156"/>
      <c r="U85" s="6"/>
    </row>
    <row r="86" spans="1:21" customFormat="1">
      <c r="A86" s="201" t="s">
        <v>1182</v>
      </c>
      <c r="B86" s="100">
        <v>3.57</v>
      </c>
      <c r="C86" s="100">
        <v>14.28</v>
      </c>
      <c r="D86" s="100">
        <v>10.33</v>
      </c>
      <c r="E86" s="100">
        <v>4.63</v>
      </c>
      <c r="F86" s="100">
        <v>2</v>
      </c>
      <c r="G86" s="100">
        <v>13.89</v>
      </c>
      <c r="H86" s="100">
        <v>3.92</v>
      </c>
      <c r="I86" s="100">
        <v>5.49</v>
      </c>
      <c r="J86" s="100">
        <v>0.1</v>
      </c>
      <c r="K86" s="100">
        <v>120.02</v>
      </c>
      <c r="L86" s="100">
        <v>25.82</v>
      </c>
      <c r="M86" s="100">
        <v>87.47</v>
      </c>
      <c r="N86" s="100">
        <v>2.1</v>
      </c>
      <c r="O86" s="100">
        <v>0</v>
      </c>
      <c r="P86" s="100">
        <v>0.37</v>
      </c>
      <c r="Q86" s="100">
        <v>0</v>
      </c>
      <c r="R86" s="6"/>
      <c r="S86" s="6"/>
      <c r="T86" s="156"/>
      <c r="U86" s="6"/>
    </row>
    <row r="87" spans="1:21" customFormat="1">
      <c r="A87" s="201" t="s">
        <v>1183</v>
      </c>
      <c r="B87" s="100">
        <v>3.69</v>
      </c>
      <c r="C87" s="100">
        <v>14.2</v>
      </c>
      <c r="D87" s="100">
        <v>10.38</v>
      </c>
      <c r="E87" s="100">
        <v>4.62</v>
      </c>
      <c r="F87" s="100">
        <v>2.12</v>
      </c>
      <c r="G87" s="100">
        <v>10.97</v>
      </c>
      <c r="H87" s="100">
        <v>3.72</v>
      </c>
      <c r="I87" s="100">
        <v>5.56</v>
      </c>
      <c r="J87" s="100">
        <v>0.14000000000000001</v>
      </c>
      <c r="K87" s="100">
        <v>182.38</v>
      </c>
      <c r="L87" s="100">
        <v>25.92</v>
      </c>
      <c r="M87" s="100">
        <v>87</v>
      </c>
      <c r="N87" s="100">
        <v>2.2000000000000002</v>
      </c>
      <c r="O87" s="100">
        <v>0</v>
      </c>
      <c r="P87" s="100">
        <v>0.36</v>
      </c>
      <c r="Q87" s="100">
        <v>0</v>
      </c>
      <c r="R87" s="6"/>
      <c r="S87" s="6"/>
      <c r="T87" s="156"/>
      <c r="U87" s="6"/>
    </row>
    <row r="88" spans="1:21" customFormat="1">
      <c r="A88" s="201" t="s">
        <v>1184</v>
      </c>
      <c r="B88" s="100">
        <v>4.12</v>
      </c>
      <c r="C88" s="100">
        <v>14.34</v>
      </c>
      <c r="D88" s="100">
        <v>10.8</v>
      </c>
      <c r="E88" s="100">
        <v>4.68</v>
      </c>
      <c r="F88" s="100">
        <v>2</v>
      </c>
      <c r="G88" s="100">
        <v>10.24</v>
      </c>
      <c r="H88" s="100">
        <v>3.72</v>
      </c>
      <c r="I88" s="100">
        <v>5.52</v>
      </c>
      <c r="J88" s="100">
        <v>0.15</v>
      </c>
      <c r="K88" s="100">
        <v>179.32</v>
      </c>
      <c r="L88" s="100">
        <v>25.69</v>
      </c>
      <c r="M88" s="100">
        <v>87.68</v>
      </c>
      <c r="N88" s="100">
        <v>2.2999999999999998</v>
      </c>
      <c r="O88" s="100">
        <v>0</v>
      </c>
      <c r="P88" s="100">
        <v>0.37</v>
      </c>
      <c r="Q88" s="100">
        <v>0</v>
      </c>
      <c r="R88" s="6"/>
      <c r="S88" s="6"/>
      <c r="T88" s="156"/>
      <c r="U88" s="6"/>
    </row>
    <row r="89" spans="1:21" customFormat="1">
      <c r="A89" s="201" t="s">
        <v>1185</v>
      </c>
      <c r="B89" s="100">
        <v>4.3099999999999996</v>
      </c>
      <c r="C89" s="100">
        <v>14.17</v>
      </c>
      <c r="D89" s="100">
        <v>10.86</v>
      </c>
      <c r="E89" s="100">
        <v>4.4800000000000004</v>
      </c>
      <c r="F89" s="100">
        <v>2</v>
      </c>
      <c r="G89" s="100">
        <v>10.24</v>
      </c>
      <c r="H89" s="100">
        <v>3.72</v>
      </c>
      <c r="I89" s="100">
        <v>5.49</v>
      </c>
      <c r="J89" s="100">
        <v>0.08</v>
      </c>
      <c r="K89" s="100">
        <v>159.41</v>
      </c>
      <c r="L89" s="100">
        <v>25.94</v>
      </c>
      <c r="M89" s="100">
        <v>88.32</v>
      </c>
      <c r="N89" s="100">
        <v>2.2000000000000002</v>
      </c>
      <c r="O89" s="100">
        <v>0</v>
      </c>
      <c r="P89" s="100">
        <v>0.35</v>
      </c>
      <c r="Q89" s="100">
        <v>0</v>
      </c>
      <c r="R89" s="6"/>
      <c r="S89" s="6"/>
      <c r="T89" s="156"/>
      <c r="U89" s="6"/>
    </row>
    <row r="90" spans="1:21" customFormat="1">
      <c r="A90" s="201" t="s">
        <v>1186</v>
      </c>
      <c r="B90" s="100">
        <v>4.51</v>
      </c>
      <c r="C90" s="100">
        <v>14.26</v>
      </c>
      <c r="D90" s="100">
        <v>11.06</v>
      </c>
      <c r="E90" s="100">
        <v>3.94</v>
      </c>
      <c r="F90" s="100">
        <v>2.0099999999999998</v>
      </c>
      <c r="G90" s="100">
        <v>10.24</v>
      </c>
      <c r="H90" s="100">
        <v>3.72</v>
      </c>
      <c r="I90" s="100">
        <v>5.55</v>
      </c>
      <c r="J90" s="100">
        <v>0.19</v>
      </c>
      <c r="K90" s="100">
        <v>64.89</v>
      </c>
      <c r="L90" s="100">
        <v>25.95</v>
      </c>
      <c r="M90" s="100">
        <v>88.29</v>
      </c>
      <c r="N90" s="100">
        <v>2.7</v>
      </c>
      <c r="O90" s="100">
        <v>0</v>
      </c>
      <c r="P90" s="100">
        <v>0.37</v>
      </c>
      <c r="Q90" s="100">
        <v>0</v>
      </c>
      <c r="R90" s="6"/>
      <c r="S90" s="6"/>
      <c r="T90" s="156"/>
      <c r="U90" s="6"/>
    </row>
    <row r="91" spans="1:21" customFormat="1">
      <c r="A91" s="201" t="s">
        <v>1187</v>
      </c>
      <c r="B91" s="100">
        <v>4.74</v>
      </c>
      <c r="C91" s="100">
        <v>14.55</v>
      </c>
      <c r="D91" s="100">
        <v>11.4</v>
      </c>
      <c r="E91" s="100">
        <v>2.99</v>
      </c>
      <c r="F91" s="100">
        <v>2.04</v>
      </c>
      <c r="G91" s="100">
        <v>11.49</v>
      </c>
      <c r="H91" s="100">
        <v>3.59</v>
      </c>
      <c r="I91" s="100">
        <v>5.56</v>
      </c>
      <c r="J91" s="100">
        <v>0.14000000000000001</v>
      </c>
      <c r="K91" s="100">
        <v>106.35</v>
      </c>
      <c r="L91" s="100">
        <v>26.07</v>
      </c>
      <c r="M91" s="100">
        <v>87.79</v>
      </c>
      <c r="N91" s="100">
        <v>2.8</v>
      </c>
      <c r="O91" s="100">
        <v>0</v>
      </c>
      <c r="P91" s="100">
        <v>0.38</v>
      </c>
      <c r="Q91" s="100">
        <v>0</v>
      </c>
      <c r="R91" s="6"/>
      <c r="S91" s="6"/>
      <c r="T91" s="156"/>
      <c r="U91" s="6"/>
    </row>
    <row r="92" spans="1:21" customFormat="1">
      <c r="A92" s="201" t="s">
        <v>1188</v>
      </c>
      <c r="B92" s="100">
        <v>5.1100000000000003</v>
      </c>
      <c r="C92" s="100">
        <v>14.22</v>
      </c>
      <c r="D92" s="100">
        <v>11.53</v>
      </c>
      <c r="E92" s="100">
        <v>4.25</v>
      </c>
      <c r="F92" s="100">
        <v>2</v>
      </c>
      <c r="G92" s="100">
        <v>11.81</v>
      </c>
      <c r="H92" s="100">
        <v>3.59</v>
      </c>
      <c r="I92" s="100">
        <v>5.6</v>
      </c>
      <c r="J92" s="100">
        <v>0.21</v>
      </c>
      <c r="K92" s="100">
        <v>168.61</v>
      </c>
      <c r="L92" s="100">
        <v>25.99</v>
      </c>
      <c r="M92" s="100">
        <v>87.88</v>
      </c>
      <c r="N92" s="100">
        <v>2.7</v>
      </c>
      <c r="O92" s="100">
        <v>0</v>
      </c>
      <c r="P92" s="100">
        <v>0.36</v>
      </c>
      <c r="Q92" s="100">
        <v>0</v>
      </c>
      <c r="R92" s="6"/>
      <c r="S92" s="6"/>
      <c r="T92" s="156"/>
      <c r="U92" s="6"/>
    </row>
    <row r="93" spans="1:21" customFormat="1">
      <c r="A93" s="201" t="s">
        <v>1189</v>
      </c>
      <c r="B93" s="100">
        <v>5.37</v>
      </c>
      <c r="C93" s="100">
        <v>14.29</v>
      </c>
      <c r="D93" s="100">
        <v>11.77</v>
      </c>
      <c r="E93" s="100">
        <v>4.6399999999999997</v>
      </c>
      <c r="F93" s="100">
        <v>2.0099999999999998</v>
      </c>
      <c r="G93" s="100">
        <v>11.81</v>
      </c>
      <c r="H93" s="100">
        <v>3.59</v>
      </c>
      <c r="I93" s="100">
        <v>5.62</v>
      </c>
      <c r="J93" s="100">
        <v>0.2</v>
      </c>
      <c r="K93" s="100">
        <v>216.64</v>
      </c>
      <c r="L93" s="100">
        <v>26.07</v>
      </c>
      <c r="M93" s="100">
        <v>87.99</v>
      </c>
      <c r="N93" s="100">
        <v>2.2999999999999998</v>
      </c>
      <c r="O93" s="100">
        <v>0</v>
      </c>
      <c r="P93" s="100">
        <v>0.38</v>
      </c>
      <c r="Q93" s="100">
        <v>0</v>
      </c>
      <c r="R93" s="6"/>
      <c r="S93" s="6"/>
      <c r="T93" s="156"/>
      <c r="U93" s="6"/>
    </row>
    <row r="94" spans="1:21" customFormat="1">
      <c r="A94" s="201" t="s">
        <v>1190</v>
      </c>
      <c r="B94" s="100">
        <v>5.57</v>
      </c>
      <c r="C94" s="100">
        <v>14.12</v>
      </c>
      <c r="D94" s="100">
        <v>11.84</v>
      </c>
      <c r="E94" s="100">
        <v>4.72</v>
      </c>
      <c r="F94" s="100">
        <v>2</v>
      </c>
      <c r="G94" s="100">
        <v>11.81</v>
      </c>
      <c r="H94" s="100">
        <v>3.59</v>
      </c>
      <c r="I94" s="100">
        <v>5.57</v>
      </c>
      <c r="J94" s="100">
        <v>0.15</v>
      </c>
      <c r="K94" s="100">
        <v>197.24</v>
      </c>
      <c r="L94" s="100">
        <v>25.82</v>
      </c>
      <c r="M94" s="100">
        <v>88.59</v>
      </c>
      <c r="N94" s="100">
        <v>2.4</v>
      </c>
      <c r="O94" s="100">
        <v>0</v>
      </c>
      <c r="P94" s="100">
        <v>0.37</v>
      </c>
      <c r="Q94" s="100">
        <v>0</v>
      </c>
      <c r="R94" s="6"/>
      <c r="S94" s="6"/>
      <c r="T94" s="156"/>
      <c r="U94" s="6"/>
    </row>
    <row r="95" spans="1:21" customFormat="1">
      <c r="A95" s="201" t="s">
        <v>1191</v>
      </c>
      <c r="B95" s="100">
        <v>5.73</v>
      </c>
      <c r="C95" s="100">
        <v>13.97</v>
      </c>
      <c r="D95" s="100">
        <v>11.89</v>
      </c>
      <c r="E95" s="100">
        <v>4.57</v>
      </c>
      <c r="F95" s="100">
        <v>2</v>
      </c>
      <c r="G95" s="100">
        <v>11.87</v>
      </c>
      <c r="H95" s="100">
        <v>2.77</v>
      </c>
      <c r="I95" s="100">
        <v>5.65</v>
      </c>
      <c r="J95" s="100">
        <v>0.11</v>
      </c>
      <c r="K95" s="100">
        <v>182.89</v>
      </c>
      <c r="L95" s="100">
        <v>26.01</v>
      </c>
      <c r="M95" s="100">
        <v>87.99</v>
      </c>
      <c r="N95" s="100">
        <v>2.4</v>
      </c>
      <c r="O95" s="100">
        <v>0</v>
      </c>
      <c r="P95" s="100">
        <v>0.37</v>
      </c>
      <c r="Q95" s="100">
        <v>0</v>
      </c>
      <c r="R95" s="6"/>
      <c r="S95" s="6"/>
      <c r="T95" s="156"/>
      <c r="U95" s="6"/>
    </row>
    <row r="96" spans="1:21" customFormat="1">
      <c r="A96" s="201" t="s">
        <v>1192</v>
      </c>
      <c r="B96" s="100">
        <v>5.93</v>
      </c>
      <c r="C96" s="100">
        <v>14.15</v>
      </c>
      <c r="D96" s="100">
        <v>12.15</v>
      </c>
      <c r="E96" s="100">
        <v>4.67</v>
      </c>
      <c r="F96" s="100">
        <v>2</v>
      </c>
      <c r="G96" s="100">
        <v>11.88</v>
      </c>
      <c r="H96" s="100">
        <v>2.77</v>
      </c>
      <c r="I96" s="100">
        <v>5.59</v>
      </c>
      <c r="J96" s="100">
        <v>0.1</v>
      </c>
      <c r="K96" s="100">
        <v>175.67</v>
      </c>
      <c r="L96" s="100">
        <v>25.78</v>
      </c>
      <c r="M96" s="100">
        <v>87.94</v>
      </c>
      <c r="N96" s="100">
        <v>2.5</v>
      </c>
      <c r="O96" s="100">
        <v>0</v>
      </c>
      <c r="P96" s="100">
        <v>0.37</v>
      </c>
      <c r="Q96" s="100">
        <v>0</v>
      </c>
      <c r="R96" s="6"/>
      <c r="S96" s="6"/>
      <c r="T96" s="156"/>
      <c r="U96" s="6"/>
    </row>
    <row r="97" spans="1:28" customFormat="1">
      <c r="A97" s="201" t="s">
        <v>1193</v>
      </c>
      <c r="B97" s="100">
        <v>5.96</v>
      </c>
      <c r="C97" s="100">
        <v>14.1</v>
      </c>
      <c r="D97" s="100">
        <v>12.15</v>
      </c>
      <c r="E97" s="100">
        <v>4.47</v>
      </c>
      <c r="F97" s="100">
        <v>2</v>
      </c>
      <c r="G97" s="100">
        <v>11.88</v>
      </c>
      <c r="H97" s="100">
        <v>2.77</v>
      </c>
      <c r="I97" s="100">
        <v>5.58</v>
      </c>
      <c r="J97" s="100">
        <v>0.13</v>
      </c>
      <c r="K97" s="100">
        <v>167.07</v>
      </c>
      <c r="L97" s="100">
        <v>25.94</v>
      </c>
      <c r="M97" s="100">
        <v>88.06</v>
      </c>
      <c r="N97" s="100">
        <v>2.6</v>
      </c>
      <c r="O97" s="100">
        <v>0</v>
      </c>
      <c r="P97" s="100">
        <v>0.39</v>
      </c>
      <c r="Q97" s="100">
        <v>0</v>
      </c>
      <c r="R97" s="6"/>
      <c r="S97" s="6"/>
      <c r="T97" s="156"/>
      <c r="U97" s="6"/>
    </row>
    <row r="98" spans="1:28" customFormat="1">
      <c r="A98" s="201" t="s">
        <v>1194</v>
      </c>
      <c r="B98" s="100">
        <v>5.81</v>
      </c>
      <c r="C98" s="100">
        <v>14.31</v>
      </c>
      <c r="D98" s="100">
        <v>12.14</v>
      </c>
      <c r="E98" s="100">
        <v>4.67</v>
      </c>
      <c r="F98" s="100">
        <v>2</v>
      </c>
      <c r="G98" s="100">
        <v>11.88</v>
      </c>
      <c r="H98" s="100">
        <v>2.77</v>
      </c>
      <c r="I98" s="100">
        <v>5.57</v>
      </c>
      <c r="J98" s="100">
        <v>7.0000000000000007E-2</v>
      </c>
      <c r="K98" s="100">
        <v>153.5</v>
      </c>
      <c r="L98" s="100">
        <v>25.5</v>
      </c>
      <c r="M98" s="100">
        <v>89.23</v>
      </c>
      <c r="N98" s="100">
        <v>2.5</v>
      </c>
      <c r="O98" s="100">
        <v>0</v>
      </c>
      <c r="P98" s="100">
        <v>0.4</v>
      </c>
      <c r="Q98" s="100">
        <v>0</v>
      </c>
      <c r="R98" s="6"/>
      <c r="S98" s="6"/>
      <c r="T98" s="156"/>
      <c r="U98" s="6"/>
    </row>
    <row r="99" spans="1:28" customFormat="1">
      <c r="A99" s="201" t="s">
        <v>1195</v>
      </c>
      <c r="B99" s="100">
        <v>5.72</v>
      </c>
      <c r="C99" s="100">
        <v>14.44</v>
      </c>
      <c r="D99" s="100">
        <v>12.13</v>
      </c>
      <c r="E99" s="100">
        <v>4.5599999999999996</v>
      </c>
      <c r="F99" s="100">
        <v>2</v>
      </c>
      <c r="G99" s="100">
        <v>9.59</v>
      </c>
      <c r="H99" s="100">
        <v>2.88</v>
      </c>
      <c r="I99" s="100">
        <v>5.52</v>
      </c>
      <c r="J99" s="100">
        <v>0.08</v>
      </c>
      <c r="K99" s="100">
        <v>186.56</v>
      </c>
      <c r="L99" s="100">
        <v>25.59</v>
      </c>
      <c r="M99" s="100">
        <v>88.76</v>
      </c>
      <c r="N99" s="100">
        <v>2.7</v>
      </c>
      <c r="O99" s="100">
        <v>0</v>
      </c>
      <c r="P99" s="100">
        <v>0.4</v>
      </c>
      <c r="Q99" s="100">
        <v>0</v>
      </c>
      <c r="R99" s="6"/>
      <c r="S99" s="6"/>
      <c r="T99" s="156"/>
      <c r="U99" s="6"/>
    </row>
    <row r="100" spans="1:28" customFormat="1">
      <c r="A100" s="201" t="s">
        <v>1196</v>
      </c>
      <c r="B100" s="100">
        <v>5.56</v>
      </c>
      <c r="C100" s="100">
        <v>14.62</v>
      </c>
      <c r="D100" s="100">
        <v>12.1</v>
      </c>
      <c r="E100" s="100">
        <v>4.6500000000000004</v>
      </c>
      <c r="F100" s="100">
        <v>2</v>
      </c>
      <c r="G100" s="100">
        <v>9.02</v>
      </c>
      <c r="H100" s="100">
        <v>2.88</v>
      </c>
      <c r="I100" s="100">
        <v>5.45</v>
      </c>
      <c r="J100" s="100">
        <v>0.13</v>
      </c>
      <c r="K100" s="100">
        <v>217.88</v>
      </c>
      <c r="L100" s="100">
        <v>25.66</v>
      </c>
      <c r="M100" s="100">
        <v>88.46</v>
      </c>
      <c r="N100" s="100">
        <v>2.2000000000000002</v>
      </c>
      <c r="O100" s="100">
        <v>0</v>
      </c>
      <c r="P100" s="100">
        <v>0.39</v>
      </c>
      <c r="Q100" s="100">
        <v>0</v>
      </c>
      <c r="R100" s="6"/>
      <c r="S100" s="6"/>
      <c r="T100" s="156"/>
      <c r="U100" s="6"/>
      <c r="AB100" s="161"/>
    </row>
    <row r="101" spans="1:28" customFormat="1">
      <c r="A101" s="201" t="s">
        <v>1197</v>
      </c>
      <c r="B101" s="100">
        <v>5.46</v>
      </c>
      <c r="C101" s="100">
        <v>14.57</v>
      </c>
      <c r="D101" s="100">
        <v>11.99</v>
      </c>
      <c r="E101" s="100">
        <v>4.6500000000000004</v>
      </c>
      <c r="F101" s="100">
        <v>2</v>
      </c>
      <c r="G101" s="100">
        <v>9.02</v>
      </c>
      <c r="H101" s="100">
        <v>2.88</v>
      </c>
      <c r="I101" s="100">
        <v>5.37</v>
      </c>
      <c r="J101" s="100">
        <v>0.11</v>
      </c>
      <c r="K101" s="100">
        <v>199.18</v>
      </c>
      <c r="L101" s="100">
        <v>25.74</v>
      </c>
      <c r="M101" s="100">
        <v>88.89</v>
      </c>
      <c r="N101" s="100">
        <v>2.2999999999999998</v>
      </c>
      <c r="O101" s="100">
        <v>0</v>
      </c>
      <c r="P101" s="100">
        <v>0.39</v>
      </c>
      <c r="Q101" s="100">
        <v>0</v>
      </c>
      <c r="R101" s="6"/>
      <c r="S101" s="6"/>
      <c r="T101" s="156"/>
      <c r="U101" s="6"/>
    </row>
    <row r="102" spans="1:28" customFormat="1">
      <c r="A102" s="201" t="s">
        <v>1198</v>
      </c>
      <c r="B102" s="100">
        <v>5.44</v>
      </c>
      <c r="C102" s="100">
        <v>14.64</v>
      </c>
      <c r="D102" s="100">
        <v>12.01</v>
      </c>
      <c r="E102" s="100">
        <v>4.57</v>
      </c>
      <c r="F102" s="100">
        <v>2</v>
      </c>
      <c r="G102" s="100">
        <v>9.02</v>
      </c>
      <c r="H102" s="100">
        <v>2.88</v>
      </c>
      <c r="I102" s="100">
        <v>5.33</v>
      </c>
      <c r="J102" s="100">
        <v>0.14000000000000001</v>
      </c>
      <c r="K102" s="100">
        <v>189.8</v>
      </c>
      <c r="L102" s="100">
        <v>25.64</v>
      </c>
      <c r="M102" s="100">
        <v>89.33</v>
      </c>
      <c r="N102" s="100">
        <v>2.4</v>
      </c>
      <c r="O102" s="100">
        <v>0</v>
      </c>
      <c r="P102" s="100">
        <v>0.39</v>
      </c>
      <c r="Q102" s="100">
        <v>0</v>
      </c>
      <c r="R102" s="6"/>
      <c r="S102" s="6"/>
      <c r="T102" s="156"/>
      <c r="U102" s="6"/>
    </row>
    <row r="103" spans="1:28" customFormat="1">
      <c r="A103" s="201" t="s">
        <v>1199</v>
      </c>
      <c r="B103" s="100">
        <v>5.43</v>
      </c>
      <c r="C103" s="100">
        <v>14.65</v>
      </c>
      <c r="D103" s="100">
        <v>12.01</v>
      </c>
      <c r="E103" s="100">
        <v>4.7699999999999996</v>
      </c>
      <c r="F103" s="100">
        <v>2</v>
      </c>
      <c r="G103" s="100">
        <v>9.67</v>
      </c>
      <c r="H103" s="100">
        <v>2.73</v>
      </c>
      <c r="I103" s="100">
        <v>5.25</v>
      </c>
      <c r="J103" s="100">
        <v>0.13</v>
      </c>
      <c r="K103" s="100">
        <v>217.24</v>
      </c>
      <c r="L103" s="100">
        <v>25.48</v>
      </c>
      <c r="M103" s="100">
        <v>88.77</v>
      </c>
      <c r="N103" s="100">
        <v>2.2000000000000002</v>
      </c>
      <c r="O103" s="100">
        <v>0</v>
      </c>
      <c r="P103" s="100">
        <v>0.4</v>
      </c>
      <c r="Q103" s="100">
        <v>0</v>
      </c>
      <c r="R103" s="6"/>
      <c r="S103" s="6"/>
      <c r="T103" s="156"/>
      <c r="U103" s="6"/>
    </row>
    <row r="104" spans="1:28" customFormat="1">
      <c r="A104" s="201" t="s">
        <v>1200</v>
      </c>
      <c r="B104" s="100">
        <v>5.46</v>
      </c>
      <c r="C104" s="100">
        <v>14.55</v>
      </c>
      <c r="D104" s="100">
        <v>11.98</v>
      </c>
      <c r="E104" s="100">
        <v>4.8</v>
      </c>
      <c r="F104" s="100">
        <v>2</v>
      </c>
      <c r="G104" s="100">
        <v>9.83</v>
      </c>
      <c r="H104" s="100">
        <v>2.73</v>
      </c>
      <c r="I104" s="100">
        <v>5.22</v>
      </c>
      <c r="J104" s="100">
        <v>0.09</v>
      </c>
      <c r="K104" s="100">
        <v>202.05</v>
      </c>
      <c r="L104" s="100">
        <v>25.69</v>
      </c>
      <c r="M104" s="100">
        <v>88.58</v>
      </c>
      <c r="N104" s="100">
        <v>2.4</v>
      </c>
      <c r="O104" s="100">
        <v>0</v>
      </c>
      <c r="P104" s="100">
        <v>0.4</v>
      </c>
      <c r="Q104" s="100">
        <v>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</v>
      </c>
      <c r="C106" s="158">
        <f>MIN(C9:C104)</f>
        <v>0</v>
      </c>
      <c r="D106" s="158">
        <f t="shared" ref="D106:Q106" si="0">MIN(D9:D104)</f>
        <v>0</v>
      </c>
      <c r="E106" s="158">
        <f t="shared" si="0"/>
        <v>0</v>
      </c>
      <c r="F106" s="158">
        <f t="shared" si="0"/>
        <v>2</v>
      </c>
      <c r="G106" s="158">
        <f t="shared" si="0"/>
        <v>9.02</v>
      </c>
      <c r="H106" s="158">
        <f t="shared" si="0"/>
        <v>2.73</v>
      </c>
      <c r="I106" s="158">
        <f t="shared" si="0"/>
        <v>0</v>
      </c>
      <c r="J106" s="158">
        <f t="shared" si="0"/>
        <v>0.01</v>
      </c>
      <c r="K106" s="158">
        <f t="shared" si="0"/>
        <v>-0.14000000000000001</v>
      </c>
      <c r="L106" s="158">
        <f t="shared" si="0"/>
        <v>25.48</v>
      </c>
      <c r="M106" s="158">
        <f t="shared" si="0"/>
        <v>62.99</v>
      </c>
      <c r="N106" s="158">
        <f t="shared" si="0"/>
        <v>1.9</v>
      </c>
      <c r="O106" s="158">
        <f t="shared" si="0"/>
        <v>0</v>
      </c>
      <c r="P106" s="158">
        <f t="shared" si="0"/>
        <v>0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12.66</v>
      </c>
      <c r="C107" s="157">
        <f t="shared" ref="C107:Q107" si="1">MAX(C9:C104)</f>
        <v>14.8</v>
      </c>
      <c r="D107" s="157">
        <f t="shared" si="1"/>
        <v>17.23</v>
      </c>
      <c r="E107" s="157">
        <f t="shared" si="1"/>
        <v>13.06</v>
      </c>
      <c r="F107" s="157">
        <f t="shared" si="1"/>
        <v>8.8800000000000008</v>
      </c>
      <c r="G107" s="157">
        <f t="shared" si="1"/>
        <v>134.86000000000001</v>
      </c>
      <c r="H107" s="157">
        <f t="shared" si="1"/>
        <v>66.66</v>
      </c>
      <c r="I107" s="157">
        <f t="shared" si="1"/>
        <v>9.68</v>
      </c>
      <c r="J107" s="157">
        <f t="shared" si="1"/>
        <v>1.54</v>
      </c>
      <c r="K107" s="157">
        <f t="shared" si="1"/>
        <v>327.67</v>
      </c>
      <c r="L107" s="157">
        <f t="shared" si="1"/>
        <v>32.94</v>
      </c>
      <c r="M107" s="157">
        <f t="shared" si="1"/>
        <v>91.18</v>
      </c>
      <c r="N107" s="157">
        <f t="shared" si="1"/>
        <v>541.9</v>
      </c>
      <c r="O107" s="157">
        <f t="shared" si="1"/>
        <v>0</v>
      </c>
      <c r="P107" s="157">
        <f t="shared" si="1"/>
        <v>0.45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7.3604166666666666</v>
      </c>
      <c r="C108" s="158">
        <f t="shared" ref="C108:Q108" si="2">AVERAGE(C9:C104)</f>
        <v>13.008437500000001</v>
      </c>
      <c r="D108" s="158">
        <f t="shared" si="2"/>
        <v>12.698854166666671</v>
      </c>
      <c r="E108" s="158">
        <f t="shared" si="2"/>
        <v>5.6464583333333316</v>
      </c>
      <c r="F108" s="158">
        <f t="shared" si="2"/>
        <v>2.6388541666666661</v>
      </c>
      <c r="G108" s="158">
        <f t="shared" si="2"/>
        <v>60.747083333333357</v>
      </c>
      <c r="H108" s="158">
        <f t="shared" si="2"/>
        <v>30.734583333333315</v>
      </c>
      <c r="I108" s="158">
        <f t="shared" si="2"/>
        <v>7.0217708333333322</v>
      </c>
      <c r="J108" s="158">
        <f t="shared" si="2"/>
        <v>0.18697916666666667</v>
      </c>
      <c r="K108" s="158">
        <f t="shared" si="2"/>
        <v>160.41468749999993</v>
      </c>
      <c r="L108" s="158">
        <f t="shared" si="2"/>
        <v>28.110937500000006</v>
      </c>
      <c r="M108" s="158">
        <f t="shared" si="2"/>
        <v>82.208749999999995</v>
      </c>
      <c r="N108" s="158">
        <f t="shared" si="2"/>
        <v>96.167708333333323</v>
      </c>
      <c r="O108" s="158">
        <f t="shared" si="2"/>
        <v>0</v>
      </c>
      <c r="P108" s="158">
        <f t="shared" si="2"/>
        <v>0.37416666666666659</v>
      </c>
      <c r="Q108" s="158">
        <f t="shared" si="2"/>
        <v>7.083333333333333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3.0791495465184116</v>
      </c>
      <c r="C109" s="158">
        <f t="shared" ref="C109:Q109" si="3">STDEV(C9:C104)</f>
        <v>1.8318563079277714</v>
      </c>
      <c r="D109" s="158">
        <f t="shared" si="3"/>
        <v>2.6427767971513005</v>
      </c>
      <c r="E109" s="158">
        <f t="shared" si="3"/>
        <v>2.0628197253512628</v>
      </c>
      <c r="F109" s="158">
        <f t="shared" si="3"/>
        <v>1.2794208145149275</v>
      </c>
      <c r="G109" s="158">
        <f t="shared" si="3"/>
        <v>45.497946186536559</v>
      </c>
      <c r="H109" s="158">
        <f t="shared" si="3"/>
        <v>26.508603882976651</v>
      </c>
      <c r="I109" s="158">
        <f t="shared" si="3"/>
        <v>1.8243816514336415</v>
      </c>
      <c r="J109" s="158">
        <f t="shared" si="3"/>
        <v>0.18813276270631005</v>
      </c>
      <c r="K109" s="158">
        <f t="shared" si="3"/>
        <v>65.179958850023866</v>
      </c>
      <c r="L109" s="158">
        <f t="shared" si="3"/>
        <v>2.4657780145636115</v>
      </c>
      <c r="M109" s="158">
        <f t="shared" si="3"/>
        <v>9.29452801666827</v>
      </c>
      <c r="N109" s="158">
        <f t="shared" si="3"/>
        <v>147.85314869102675</v>
      </c>
      <c r="O109" s="158">
        <f t="shared" si="3"/>
        <v>0</v>
      </c>
      <c r="P109" s="158">
        <f t="shared" si="3"/>
        <v>4.820278800992675E-2</v>
      </c>
      <c r="Q109" s="158">
        <f t="shared" si="3"/>
        <v>4.5691567036441345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1" sqref="H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1201</v>
      </c>
      <c r="B9" s="100">
        <v>8.06</v>
      </c>
      <c r="C9" s="100">
        <v>14.08</v>
      </c>
      <c r="D9" s="100">
        <v>13.82</v>
      </c>
      <c r="E9" s="100">
        <v>4.8</v>
      </c>
      <c r="F9" s="100">
        <v>2</v>
      </c>
      <c r="G9" s="100">
        <v>9.83</v>
      </c>
      <c r="H9" s="100">
        <v>2.73</v>
      </c>
      <c r="I9" s="100">
        <v>5.21</v>
      </c>
      <c r="J9" s="100">
        <v>0.11</v>
      </c>
      <c r="K9" s="100">
        <v>176.5</v>
      </c>
      <c r="L9" s="100">
        <v>25.36</v>
      </c>
      <c r="M9" s="100">
        <v>89.34</v>
      </c>
      <c r="N9" s="100">
        <v>2.5</v>
      </c>
      <c r="O9" s="100">
        <v>0</v>
      </c>
      <c r="P9" s="100">
        <v>0.4</v>
      </c>
      <c r="Q9" s="100">
        <v>0</v>
      </c>
      <c r="R9" s="6"/>
      <c r="S9" s="6"/>
      <c r="T9" s="156"/>
      <c r="U9" s="6"/>
    </row>
    <row r="10" spans="1:21" customFormat="1">
      <c r="A10" s="201" t="s">
        <v>1202</v>
      </c>
      <c r="B10" s="100">
        <v>8.0399999999999991</v>
      </c>
      <c r="C10" s="100">
        <v>14.43</v>
      </c>
      <c r="D10" s="100">
        <v>13.98</v>
      </c>
      <c r="E10" s="100">
        <v>4.8600000000000003</v>
      </c>
      <c r="F10" s="100">
        <v>2</v>
      </c>
      <c r="G10" s="100">
        <v>9.83</v>
      </c>
      <c r="H10" s="100">
        <v>2.73</v>
      </c>
      <c r="I10" s="100">
        <v>5.2</v>
      </c>
      <c r="J10" s="100">
        <v>0.14000000000000001</v>
      </c>
      <c r="K10" s="100">
        <v>154.01</v>
      </c>
      <c r="L10" s="100">
        <v>25.23</v>
      </c>
      <c r="M10" s="100">
        <v>89.31</v>
      </c>
      <c r="N10" s="100">
        <v>2.2999999999999998</v>
      </c>
      <c r="O10" s="100">
        <v>0</v>
      </c>
      <c r="P10" s="100">
        <v>0.39</v>
      </c>
      <c r="Q10" s="100">
        <v>0</v>
      </c>
      <c r="R10" s="6"/>
      <c r="S10" s="6"/>
      <c r="T10" s="156"/>
      <c r="U10" s="6"/>
    </row>
    <row r="11" spans="1:21" customFormat="1">
      <c r="A11" s="201" t="s">
        <v>1203</v>
      </c>
      <c r="B11" s="100">
        <v>7.99</v>
      </c>
      <c r="C11" s="100">
        <v>14.46</v>
      </c>
      <c r="D11" s="100">
        <v>13.96</v>
      </c>
      <c r="E11" s="100">
        <v>5.14</v>
      </c>
      <c r="F11" s="100">
        <v>2</v>
      </c>
      <c r="G11" s="100">
        <v>8.85</v>
      </c>
      <c r="H11" s="100">
        <v>2.63</v>
      </c>
      <c r="I11" s="100">
        <v>5.14</v>
      </c>
      <c r="J11" s="100">
        <v>0.12</v>
      </c>
      <c r="K11" s="100">
        <v>157.15</v>
      </c>
      <c r="L11" s="100">
        <v>25.33</v>
      </c>
      <c r="M11" s="100">
        <v>89.38</v>
      </c>
      <c r="N11" s="100">
        <v>2.2999999999999998</v>
      </c>
      <c r="O11" s="100">
        <v>0</v>
      </c>
      <c r="P11" s="100">
        <v>0.38</v>
      </c>
      <c r="Q11" s="100">
        <v>0</v>
      </c>
      <c r="R11" s="6"/>
      <c r="S11" s="6"/>
      <c r="T11" s="156"/>
      <c r="U11" s="6"/>
    </row>
    <row r="12" spans="1:21" customFormat="1">
      <c r="A12" s="201" t="s">
        <v>1204</v>
      </c>
      <c r="B12" s="100">
        <v>7.99</v>
      </c>
      <c r="C12" s="100">
        <v>14.34</v>
      </c>
      <c r="D12" s="100">
        <v>13.9</v>
      </c>
      <c r="E12" s="100">
        <v>4.95</v>
      </c>
      <c r="F12" s="100">
        <v>2.0499999999999998</v>
      </c>
      <c r="G12" s="100">
        <v>8.6</v>
      </c>
      <c r="H12" s="100">
        <v>2.63</v>
      </c>
      <c r="I12" s="100">
        <v>5.08</v>
      </c>
      <c r="J12" s="100">
        <v>0.12</v>
      </c>
      <c r="K12" s="100">
        <v>174.13</v>
      </c>
      <c r="L12" s="100">
        <v>25.33</v>
      </c>
      <c r="M12" s="100">
        <v>89.15</v>
      </c>
      <c r="N12" s="100">
        <v>2.5</v>
      </c>
      <c r="O12" s="100">
        <v>0</v>
      </c>
      <c r="P12" s="100">
        <v>0.38</v>
      </c>
      <c r="Q12" s="100">
        <v>0</v>
      </c>
      <c r="R12" s="6"/>
      <c r="S12" s="6"/>
      <c r="T12" s="156"/>
      <c r="U12" s="6"/>
    </row>
    <row r="13" spans="1:21" customFormat="1">
      <c r="A13" s="201" t="s">
        <v>1205</v>
      </c>
      <c r="B13" s="100">
        <v>7.98</v>
      </c>
      <c r="C13" s="100">
        <v>14.13</v>
      </c>
      <c r="D13" s="100">
        <v>13.78</v>
      </c>
      <c r="E13" s="100">
        <v>5.01</v>
      </c>
      <c r="F13" s="100">
        <v>2</v>
      </c>
      <c r="G13" s="100">
        <v>8.6</v>
      </c>
      <c r="H13" s="100">
        <v>2.63</v>
      </c>
      <c r="I13" s="100">
        <v>5.04</v>
      </c>
      <c r="J13" s="100">
        <v>0.11</v>
      </c>
      <c r="K13" s="100">
        <v>192.99</v>
      </c>
      <c r="L13" s="100">
        <v>25.3</v>
      </c>
      <c r="M13" s="100">
        <v>89.91</v>
      </c>
      <c r="N13" s="100">
        <v>2.1</v>
      </c>
      <c r="O13" s="100">
        <v>0</v>
      </c>
      <c r="P13" s="100">
        <v>0.38</v>
      </c>
      <c r="Q13" s="100">
        <v>0</v>
      </c>
      <c r="R13" s="6"/>
      <c r="S13" s="6"/>
      <c r="T13" s="156"/>
      <c r="U13" s="6"/>
    </row>
    <row r="14" spans="1:21" customFormat="1">
      <c r="A14" s="201" t="s">
        <v>1206</v>
      </c>
      <c r="B14" s="100">
        <v>7.94</v>
      </c>
      <c r="C14" s="100">
        <v>14.05</v>
      </c>
      <c r="D14" s="100">
        <v>13.71</v>
      </c>
      <c r="E14" s="100">
        <v>4.96</v>
      </c>
      <c r="F14" s="100">
        <v>2</v>
      </c>
      <c r="G14" s="100">
        <v>8.6</v>
      </c>
      <c r="H14" s="100">
        <v>2.63</v>
      </c>
      <c r="I14" s="100">
        <v>4.99</v>
      </c>
      <c r="J14" s="100">
        <v>0.16</v>
      </c>
      <c r="K14" s="100">
        <v>178.73</v>
      </c>
      <c r="L14" s="100">
        <v>25.12</v>
      </c>
      <c r="M14" s="100">
        <v>89.22</v>
      </c>
      <c r="N14" s="100">
        <v>2.1</v>
      </c>
      <c r="O14" s="100">
        <v>0</v>
      </c>
      <c r="P14" s="100">
        <v>0.37</v>
      </c>
      <c r="Q14" s="100">
        <v>0</v>
      </c>
      <c r="R14" s="6"/>
      <c r="S14" s="6"/>
      <c r="T14" s="156"/>
      <c r="U14" s="6"/>
    </row>
    <row r="15" spans="1:21" customFormat="1">
      <c r="A15" s="201" t="s">
        <v>1207</v>
      </c>
      <c r="B15" s="100">
        <v>7.91</v>
      </c>
      <c r="C15" s="100">
        <v>13.96</v>
      </c>
      <c r="D15" s="100">
        <v>13.64</v>
      </c>
      <c r="E15" s="100">
        <v>4.9000000000000004</v>
      </c>
      <c r="F15" s="100">
        <v>2</v>
      </c>
      <c r="G15" s="100">
        <v>6.68</v>
      </c>
      <c r="H15" s="100">
        <v>1.87</v>
      </c>
      <c r="I15" s="100">
        <v>4.8899999999999997</v>
      </c>
      <c r="J15" s="100">
        <v>0.16</v>
      </c>
      <c r="K15" s="100">
        <v>225.78</v>
      </c>
      <c r="L15" s="100">
        <v>25.24</v>
      </c>
      <c r="M15" s="100">
        <v>89.55</v>
      </c>
      <c r="N15" s="100">
        <v>2</v>
      </c>
      <c r="O15" s="100">
        <v>0</v>
      </c>
      <c r="P15" s="100">
        <v>0.37</v>
      </c>
      <c r="Q15" s="100">
        <v>0</v>
      </c>
      <c r="R15" s="6"/>
      <c r="S15" s="6"/>
      <c r="T15" s="156"/>
      <c r="U15" s="6"/>
    </row>
    <row r="16" spans="1:21" customFormat="1">
      <c r="A16" s="201" t="s">
        <v>1208</v>
      </c>
      <c r="B16" s="100">
        <v>8.02</v>
      </c>
      <c r="C16" s="100">
        <v>13.73</v>
      </c>
      <c r="D16" s="100">
        <v>13.6</v>
      </c>
      <c r="E16" s="100">
        <v>4.93</v>
      </c>
      <c r="F16" s="100">
        <v>2</v>
      </c>
      <c r="G16" s="100">
        <v>6.2</v>
      </c>
      <c r="H16" s="100">
        <v>1.87</v>
      </c>
      <c r="I16" s="100">
        <v>4.82</v>
      </c>
      <c r="J16" s="100">
        <v>0.25</v>
      </c>
      <c r="K16" s="100">
        <v>227.02</v>
      </c>
      <c r="L16" s="100">
        <v>25.38</v>
      </c>
      <c r="M16" s="100">
        <v>89.48</v>
      </c>
      <c r="N16" s="100">
        <v>2.2000000000000002</v>
      </c>
      <c r="O16" s="100">
        <v>0</v>
      </c>
      <c r="P16" s="100">
        <v>0.36</v>
      </c>
      <c r="Q16" s="100">
        <v>0</v>
      </c>
      <c r="R16" s="6"/>
      <c r="S16" s="6"/>
      <c r="T16" s="156"/>
      <c r="U16" s="6"/>
    </row>
    <row r="17" spans="1:21" customFormat="1">
      <c r="A17" s="201" t="s">
        <v>1209</v>
      </c>
      <c r="B17" s="100">
        <v>8.0500000000000007</v>
      </c>
      <c r="C17" s="100">
        <v>13.64</v>
      </c>
      <c r="D17" s="100">
        <v>13.59</v>
      </c>
      <c r="E17" s="100">
        <v>3.97</v>
      </c>
      <c r="F17" s="100">
        <v>2</v>
      </c>
      <c r="G17" s="100">
        <v>6.2</v>
      </c>
      <c r="H17" s="100">
        <v>1.87</v>
      </c>
      <c r="I17" s="100">
        <v>4.79</v>
      </c>
      <c r="J17" s="100">
        <v>0.13</v>
      </c>
      <c r="K17" s="100">
        <v>209.64</v>
      </c>
      <c r="L17" s="100">
        <v>25.52</v>
      </c>
      <c r="M17" s="100">
        <v>89.52</v>
      </c>
      <c r="N17" s="100">
        <v>2.2000000000000002</v>
      </c>
      <c r="O17" s="100">
        <v>0</v>
      </c>
      <c r="P17" s="100">
        <v>0.36</v>
      </c>
      <c r="Q17" s="100">
        <v>0</v>
      </c>
      <c r="R17" s="6"/>
      <c r="S17" s="6"/>
      <c r="T17" s="156"/>
      <c r="U17" s="6"/>
    </row>
    <row r="18" spans="1:21" customFormat="1">
      <c r="A18" s="201" t="s">
        <v>1210</v>
      </c>
      <c r="B18" s="100">
        <v>8.0500000000000007</v>
      </c>
      <c r="C18" s="100">
        <v>13.57</v>
      </c>
      <c r="D18" s="100">
        <v>13.55</v>
      </c>
      <c r="E18" s="100">
        <v>5</v>
      </c>
      <c r="F18" s="100">
        <v>2</v>
      </c>
      <c r="G18" s="100">
        <v>6.2</v>
      </c>
      <c r="H18" s="100">
        <v>1.87</v>
      </c>
      <c r="I18" s="100">
        <v>4.72</v>
      </c>
      <c r="J18" s="100">
        <v>0.09</v>
      </c>
      <c r="K18" s="100">
        <v>188.49</v>
      </c>
      <c r="L18" s="100">
        <v>25.44</v>
      </c>
      <c r="M18" s="100">
        <v>88.29</v>
      </c>
      <c r="N18" s="100">
        <v>2.2999999999999998</v>
      </c>
      <c r="O18" s="100">
        <v>0</v>
      </c>
      <c r="P18" s="100">
        <v>0.37</v>
      </c>
      <c r="Q18" s="100">
        <v>0</v>
      </c>
      <c r="R18" s="6"/>
      <c r="S18" s="6"/>
      <c r="T18" s="156"/>
      <c r="U18" s="6"/>
    </row>
    <row r="19" spans="1:21" customFormat="1">
      <c r="A19" s="201" t="s">
        <v>1211</v>
      </c>
      <c r="B19" s="100">
        <v>8.06</v>
      </c>
      <c r="C19" s="100">
        <v>13.56</v>
      </c>
      <c r="D19" s="100">
        <v>13.55</v>
      </c>
      <c r="E19" s="100">
        <v>4.92</v>
      </c>
      <c r="F19" s="100">
        <v>2</v>
      </c>
      <c r="G19" s="100">
        <v>7.13</v>
      </c>
      <c r="H19" s="100">
        <v>2.17</v>
      </c>
      <c r="I19" s="100">
        <v>4.66</v>
      </c>
      <c r="J19" s="100">
        <v>0.19</v>
      </c>
      <c r="K19" s="100">
        <v>204.51</v>
      </c>
      <c r="L19" s="100">
        <v>25.87</v>
      </c>
      <c r="M19" s="100">
        <v>84.76</v>
      </c>
      <c r="N19" s="100">
        <v>2.2000000000000002</v>
      </c>
      <c r="O19" s="100">
        <v>0</v>
      </c>
      <c r="P19" s="100">
        <v>0.37</v>
      </c>
      <c r="Q19" s="100">
        <v>0</v>
      </c>
      <c r="R19" s="6"/>
      <c r="S19" s="6"/>
      <c r="T19" s="156"/>
      <c r="U19" s="6"/>
    </row>
    <row r="20" spans="1:21" customFormat="1">
      <c r="A20" s="201" t="s">
        <v>1212</v>
      </c>
      <c r="B20" s="100">
        <v>8.1300000000000008</v>
      </c>
      <c r="C20" s="100">
        <v>13.41</v>
      </c>
      <c r="D20" s="100">
        <v>13.53</v>
      </c>
      <c r="E20" s="100">
        <v>5.07</v>
      </c>
      <c r="F20" s="100">
        <v>2.0099999999999998</v>
      </c>
      <c r="G20" s="100">
        <v>7.36</v>
      </c>
      <c r="H20" s="100">
        <v>2.17</v>
      </c>
      <c r="I20" s="100">
        <v>4.68</v>
      </c>
      <c r="J20" s="100">
        <v>0.12</v>
      </c>
      <c r="K20" s="100">
        <v>180.04</v>
      </c>
      <c r="L20" s="100">
        <v>25.65</v>
      </c>
      <c r="M20" s="100">
        <v>84.55</v>
      </c>
      <c r="N20" s="100">
        <v>2.4</v>
      </c>
      <c r="O20" s="100">
        <v>0</v>
      </c>
      <c r="P20" s="100">
        <v>0.36</v>
      </c>
      <c r="Q20" s="100">
        <v>0</v>
      </c>
      <c r="R20" s="6"/>
      <c r="S20" s="6"/>
      <c r="T20" s="156"/>
      <c r="U20" s="6"/>
    </row>
    <row r="21" spans="1:21" customFormat="1">
      <c r="A21" s="201" t="s">
        <v>1213</v>
      </c>
      <c r="B21" s="100">
        <v>8.23</v>
      </c>
      <c r="C21" s="100">
        <v>13.17</v>
      </c>
      <c r="D21" s="100">
        <v>13.48</v>
      </c>
      <c r="E21" s="100">
        <v>5.07</v>
      </c>
      <c r="F21" s="100">
        <v>2</v>
      </c>
      <c r="G21" s="100">
        <v>7.36</v>
      </c>
      <c r="H21" s="100">
        <v>2.17</v>
      </c>
      <c r="I21" s="100">
        <v>4.7300000000000004</v>
      </c>
      <c r="J21" s="100">
        <v>0.09</v>
      </c>
      <c r="K21" s="100">
        <v>207.86</v>
      </c>
      <c r="L21" s="100">
        <v>25.8</v>
      </c>
      <c r="M21" s="100">
        <v>85.62</v>
      </c>
      <c r="N21" s="100">
        <v>2.2000000000000002</v>
      </c>
      <c r="O21" s="100">
        <v>0</v>
      </c>
      <c r="P21" s="100">
        <v>0.36</v>
      </c>
      <c r="Q21" s="100">
        <v>0</v>
      </c>
      <c r="R21" s="6"/>
      <c r="S21" s="6"/>
      <c r="T21" s="156"/>
      <c r="U21" s="6"/>
    </row>
    <row r="22" spans="1:21" customFormat="1">
      <c r="A22" s="201" t="s">
        <v>1214</v>
      </c>
      <c r="B22" s="100">
        <v>8.48</v>
      </c>
      <c r="C22" s="100">
        <v>13.05</v>
      </c>
      <c r="D22" s="100">
        <v>13.62</v>
      </c>
      <c r="E22" s="100">
        <v>5.1100000000000003</v>
      </c>
      <c r="F22" s="100">
        <v>2</v>
      </c>
      <c r="G22" s="100">
        <v>7.36</v>
      </c>
      <c r="H22" s="100">
        <v>2.17</v>
      </c>
      <c r="I22" s="100">
        <v>4.87</v>
      </c>
      <c r="J22" s="100">
        <v>0.12</v>
      </c>
      <c r="K22" s="100">
        <v>180</v>
      </c>
      <c r="L22" s="100">
        <v>25.68</v>
      </c>
      <c r="M22" s="100">
        <v>85.64</v>
      </c>
      <c r="N22" s="100">
        <v>2.2999999999999998</v>
      </c>
      <c r="O22" s="100">
        <v>0</v>
      </c>
      <c r="P22" s="100">
        <v>0.33</v>
      </c>
      <c r="Q22" s="100">
        <v>0</v>
      </c>
      <c r="R22" s="6"/>
      <c r="S22" s="6"/>
      <c r="T22" s="156"/>
      <c r="U22" s="6"/>
    </row>
    <row r="23" spans="1:21" customFormat="1">
      <c r="A23" s="201" t="s">
        <v>1215</v>
      </c>
      <c r="B23" s="100">
        <v>8.6300000000000008</v>
      </c>
      <c r="C23" s="100">
        <v>13.17</v>
      </c>
      <c r="D23" s="100">
        <v>13.8</v>
      </c>
      <c r="E23" s="100">
        <v>4.82</v>
      </c>
      <c r="F23" s="100">
        <v>2</v>
      </c>
      <c r="G23" s="100">
        <v>7.62</v>
      </c>
      <c r="H23" s="100">
        <v>2.09</v>
      </c>
      <c r="I23" s="100">
        <v>4.93</v>
      </c>
      <c r="J23" s="100">
        <v>0.09</v>
      </c>
      <c r="K23" s="100">
        <v>169.3</v>
      </c>
      <c r="L23" s="100">
        <v>25.82</v>
      </c>
      <c r="M23" s="100">
        <v>86.16</v>
      </c>
      <c r="N23" s="100">
        <v>2.2000000000000002</v>
      </c>
      <c r="O23" s="100">
        <v>0</v>
      </c>
      <c r="P23" s="100">
        <v>0.32</v>
      </c>
      <c r="Q23" s="100">
        <v>0</v>
      </c>
      <c r="R23" s="6"/>
      <c r="S23" s="6"/>
      <c r="T23" s="156"/>
      <c r="U23" s="6"/>
    </row>
    <row r="24" spans="1:21" customFormat="1">
      <c r="A24" s="201" t="s">
        <v>1216</v>
      </c>
      <c r="B24" s="100">
        <v>8.99</v>
      </c>
      <c r="C24" s="100">
        <v>13.35</v>
      </c>
      <c r="D24" s="100">
        <v>14.19</v>
      </c>
      <c r="E24" s="100">
        <v>4.75</v>
      </c>
      <c r="F24" s="100">
        <v>2</v>
      </c>
      <c r="G24" s="100">
        <v>7.69</v>
      </c>
      <c r="H24" s="100">
        <v>2.09</v>
      </c>
      <c r="I24" s="100">
        <v>4.97</v>
      </c>
      <c r="J24" s="100">
        <v>0.12</v>
      </c>
      <c r="K24" s="100">
        <v>152.55000000000001</v>
      </c>
      <c r="L24" s="100">
        <v>25.45</v>
      </c>
      <c r="M24" s="100">
        <v>86.72</v>
      </c>
      <c r="N24" s="100">
        <v>2.2999999999999998</v>
      </c>
      <c r="O24" s="100">
        <v>0</v>
      </c>
      <c r="P24" s="100">
        <v>0.32</v>
      </c>
      <c r="Q24" s="100">
        <v>0</v>
      </c>
      <c r="R24" s="6"/>
      <c r="S24" s="6"/>
      <c r="T24" s="156"/>
      <c r="U24" s="6"/>
    </row>
    <row r="25" spans="1:21" customFormat="1">
      <c r="A25" s="201" t="s">
        <v>1217</v>
      </c>
      <c r="B25" s="100">
        <v>9.24</v>
      </c>
      <c r="C25" s="100">
        <v>13.2</v>
      </c>
      <c r="D25" s="100">
        <v>14.3</v>
      </c>
      <c r="E25" s="100">
        <v>4.88</v>
      </c>
      <c r="F25" s="100">
        <v>2</v>
      </c>
      <c r="G25" s="100">
        <v>7.69</v>
      </c>
      <c r="H25" s="100">
        <v>2.09</v>
      </c>
      <c r="I25" s="100">
        <v>5.0199999999999996</v>
      </c>
      <c r="J25" s="100">
        <v>0.14000000000000001</v>
      </c>
      <c r="K25" s="100">
        <v>166.77</v>
      </c>
      <c r="L25" s="100">
        <v>25.57</v>
      </c>
      <c r="M25" s="100">
        <v>87.55</v>
      </c>
      <c r="N25" s="100">
        <v>2.2999999999999998</v>
      </c>
      <c r="O25" s="100">
        <v>0</v>
      </c>
      <c r="P25" s="100">
        <v>0.31</v>
      </c>
      <c r="Q25" s="100">
        <v>0</v>
      </c>
      <c r="R25" s="6"/>
      <c r="S25" s="6"/>
      <c r="T25" s="156"/>
      <c r="U25" s="6"/>
    </row>
    <row r="26" spans="1:21" customFormat="1">
      <c r="A26" s="201" t="s">
        <v>1218</v>
      </c>
      <c r="B26" s="100">
        <v>9.43</v>
      </c>
      <c r="C26" s="100">
        <v>13.34</v>
      </c>
      <c r="D26" s="100">
        <v>14.53</v>
      </c>
      <c r="E26" s="100">
        <v>4.6399999999999997</v>
      </c>
      <c r="F26" s="100">
        <v>2</v>
      </c>
      <c r="G26" s="100">
        <v>7.69</v>
      </c>
      <c r="H26" s="100">
        <v>2.09</v>
      </c>
      <c r="I26" s="100">
        <v>5.1100000000000003</v>
      </c>
      <c r="J26" s="100">
        <v>0.12</v>
      </c>
      <c r="K26" s="100">
        <v>170.95</v>
      </c>
      <c r="L26" s="100">
        <v>25.72</v>
      </c>
      <c r="M26" s="100">
        <v>86.76</v>
      </c>
      <c r="N26" s="100">
        <v>2.4</v>
      </c>
      <c r="O26" s="100">
        <v>0</v>
      </c>
      <c r="P26" s="100">
        <v>0.33</v>
      </c>
      <c r="Q26" s="100">
        <v>0</v>
      </c>
      <c r="R26" s="6"/>
      <c r="S26" s="6"/>
      <c r="T26" s="156"/>
      <c r="U26" s="6"/>
    </row>
    <row r="27" spans="1:21" customFormat="1">
      <c r="A27" s="201" t="s">
        <v>1219</v>
      </c>
      <c r="B27" s="100">
        <v>9.42</v>
      </c>
      <c r="C27" s="100">
        <v>13.2</v>
      </c>
      <c r="D27" s="100">
        <v>14.45</v>
      </c>
      <c r="E27" s="100">
        <v>4.82</v>
      </c>
      <c r="F27" s="100">
        <v>2</v>
      </c>
      <c r="G27" s="100">
        <v>6.49</v>
      </c>
      <c r="H27" s="100">
        <v>1.8</v>
      </c>
      <c r="I27" s="100">
        <v>5.12</v>
      </c>
      <c r="J27" s="100">
        <v>7.0000000000000007E-2</v>
      </c>
      <c r="K27" s="100">
        <v>206.85</v>
      </c>
      <c r="L27" s="100">
        <v>25.75</v>
      </c>
      <c r="M27" s="100">
        <v>86.81</v>
      </c>
      <c r="N27" s="100">
        <v>2.2000000000000002</v>
      </c>
      <c r="O27" s="100">
        <v>0</v>
      </c>
      <c r="P27" s="100">
        <v>0.33</v>
      </c>
      <c r="Q27" s="100">
        <v>0</v>
      </c>
      <c r="R27" s="6"/>
      <c r="S27" s="6"/>
      <c r="T27" s="156"/>
      <c r="U27" s="6"/>
    </row>
    <row r="28" spans="1:21" customFormat="1">
      <c r="A28" s="201" t="s">
        <v>1220</v>
      </c>
      <c r="B28" s="100">
        <v>9.81</v>
      </c>
      <c r="C28" s="100">
        <v>13.06</v>
      </c>
      <c r="D28" s="100">
        <v>14.69</v>
      </c>
      <c r="E28" s="100">
        <v>4.74</v>
      </c>
      <c r="F28" s="100">
        <v>2</v>
      </c>
      <c r="G28" s="100">
        <v>6.18</v>
      </c>
      <c r="H28" s="100">
        <v>1.8</v>
      </c>
      <c r="I28" s="100">
        <v>5.23</v>
      </c>
      <c r="J28" s="100">
        <v>0.11</v>
      </c>
      <c r="K28" s="100">
        <v>150.34</v>
      </c>
      <c r="L28" s="100">
        <v>25.56</v>
      </c>
      <c r="M28" s="100">
        <v>87.42</v>
      </c>
      <c r="N28" s="100">
        <v>2.2000000000000002</v>
      </c>
      <c r="O28" s="100">
        <v>0</v>
      </c>
      <c r="P28" s="100">
        <v>0.32</v>
      </c>
      <c r="Q28" s="100">
        <v>0</v>
      </c>
      <c r="R28" s="6"/>
      <c r="S28" s="6"/>
      <c r="T28" s="156"/>
      <c r="U28" s="6"/>
    </row>
    <row r="29" spans="1:21" customFormat="1">
      <c r="A29" s="201" t="s">
        <v>1221</v>
      </c>
      <c r="B29" s="100">
        <v>10.029999999999999</v>
      </c>
      <c r="C29" s="100">
        <v>13.3</v>
      </c>
      <c r="D29" s="100">
        <v>15</v>
      </c>
      <c r="E29" s="100">
        <v>4.76</v>
      </c>
      <c r="F29" s="100">
        <v>2</v>
      </c>
      <c r="G29" s="100">
        <v>6.18</v>
      </c>
      <c r="H29" s="100">
        <v>1.8</v>
      </c>
      <c r="I29" s="100">
        <v>5.28</v>
      </c>
      <c r="J29" s="100">
        <v>0.09</v>
      </c>
      <c r="K29" s="100">
        <v>178.83</v>
      </c>
      <c r="L29" s="100">
        <v>25.49</v>
      </c>
      <c r="M29" s="100">
        <v>87.08</v>
      </c>
      <c r="N29" s="100">
        <v>2.2999999999999998</v>
      </c>
      <c r="O29" s="100">
        <v>0</v>
      </c>
      <c r="P29" s="100">
        <v>0.34</v>
      </c>
      <c r="Q29" s="100">
        <v>0</v>
      </c>
      <c r="R29" s="6"/>
      <c r="S29" s="6"/>
      <c r="T29" s="156"/>
      <c r="U29" s="6"/>
    </row>
    <row r="30" spans="1:21" customFormat="1">
      <c r="A30" s="201" t="s">
        <v>1222</v>
      </c>
      <c r="B30" s="100">
        <v>10.23</v>
      </c>
      <c r="C30" s="100">
        <v>13.04</v>
      </c>
      <c r="D30" s="100">
        <v>15.01</v>
      </c>
      <c r="E30" s="100">
        <v>4.88</v>
      </c>
      <c r="F30" s="100">
        <v>2</v>
      </c>
      <c r="G30" s="100">
        <v>6.18</v>
      </c>
      <c r="H30" s="100">
        <v>1.8</v>
      </c>
      <c r="I30" s="100">
        <v>5.15</v>
      </c>
      <c r="J30" s="100">
        <v>0.1</v>
      </c>
      <c r="K30" s="100">
        <v>162.63</v>
      </c>
      <c r="L30" s="100">
        <v>25.82</v>
      </c>
      <c r="M30" s="100">
        <v>87.08</v>
      </c>
      <c r="N30" s="100">
        <v>2.1</v>
      </c>
      <c r="O30" s="100">
        <v>0</v>
      </c>
      <c r="P30" s="100">
        <v>0.32</v>
      </c>
      <c r="Q30" s="100">
        <v>0</v>
      </c>
      <c r="R30" s="6"/>
      <c r="S30" s="6"/>
      <c r="T30" s="156"/>
      <c r="U30" s="6"/>
    </row>
    <row r="31" spans="1:21" customFormat="1">
      <c r="A31" s="201" t="s">
        <v>1223</v>
      </c>
      <c r="B31" s="100">
        <v>10.38</v>
      </c>
      <c r="C31" s="100">
        <v>13.14</v>
      </c>
      <c r="D31" s="100">
        <v>15.19</v>
      </c>
      <c r="E31" s="100">
        <v>4.6399999999999997</v>
      </c>
      <c r="F31" s="100">
        <v>2</v>
      </c>
      <c r="G31" s="100">
        <v>6.33</v>
      </c>
      <c r="H31" s="100">
        <v>1.34</v>
      </c>
      <c r="I31" s="100">
        <v>5.31</v>
      </c>
      <c r="J31" s="100">
        <v>0.12</v>
      </c>
      <c r="K31" s="100">
        <v>161.26</v>
      </c>
      <c r="L31" s="100">
        <v>25.83</v>
      </c>
      <c r="M31" s="100">
        <v>86.15</v>
      </c>
      <c r="N31" s="100">
        <v>2.7</v>
      </c>
      <c r="O31" s="100">
        <v>0</v>
      </c>
      <c r="P31" s="100">
        <v>0.34</v>
      </c>
      <c r="Q31" s="100">
        <v>0</v>
      </c>
      <c r="R31" s="6"/>
      <c r="S31" s="6"/>
      <c r="T31" s="156"/>
      <c r="U31" s="6"/>
    </row>
    <row r="32" spans="1:21" customFormat="1">
      <c r="A32" s="201" t="s">
        <v>1224</v>
      </c>
      <c r="B32" s="100">
        <v>10.61</v>
      </c>
      <c r="C32" s="100">
        <v>13.18</v>
      </c>
      <c r="D32" s="100">
        <v>15.4</v>
      </c>
      <c r="E32" s="100">
        <v>5.17</v>
      </c>
      <c r="F32" s="100">
        <v>2</v>
      </c>
      <c r="G32" s="100">
        <v>6.37</v>
      </c>
      <c r="H32" s="100">
        <v>1.34</v>
      </c>
      <c r="I32" s="100">
        <v>5.29</v>
      </c>
      <c r="J32" s="100">
        <v>0.11</v>
      </c>
      <c r="K32" s="100">
        <v>192.52</v>
      </c>
      <c r="L32" s="100">
        <v>25.72</v>
      </c>
      <c r="M32" s="100">
        <v>86.41</v>
      </c>
      <c r="N32" s="100">
        <v>5.9</v>
      </c>
      <c r="O32" s="100">
        <v>0</v>
      </c>
      <c r="P32" s="100">
        <v>0.34</v>
      </c>
      <c r="Q32" s="100">
        <v>0</v>
      </c>
      <c r="R32" s="6"/>
      <c r="S32" s="6"/>
      <c r="T32" s="156"/>
      <c r="U32" s="6"/>
    </row>
    <row r="33" spans="1:21" customFormat="1">
      <c r="A33" s="201" t="s">
        <v>1225</v>
      </c>
      <c r="B33" s="100">
        <v>10.75</v>
      </c>
      <c r="C33" s="100">
        <v>12.94</v>
      </c>
      <c r="D33" s="100">
        <v>15.38</v>
      </c>
      <c r="E33" s="100">
        <v>4.95</v>
      </c>
      <c r="F33" s="100">
        <v>2</v>
      </c>
      <c r="G33" s="100">
        <v>6.37</v>
      </c>
      <c r="H33" s="100">
        <v>1.34</v>
      </c>
      <c r="I33" s="100">
        <v>5.41</v>
      </c>
      <c r="J33" s="100">
        <v>0.13</v>
      </c>
      <c r="K33" s="100">
        <v>217.65</v>
      </c>
      <c r="L33" s="100">
        <v>25.73</v>
      </c>
      <c r="M33" s="100">
        <v>86.51</v>
      </c>
      <c r="N33" s="100">
        <v>14</v>
      </c>
      <c r="O33" s="100">
        <v>0</v>
      </c>
      <c r="P33" s="100">
        <v>0.32</v>
      </c>
      <c r="Q33" s="100">
        <v>0</v>
      </c>
      <c r="R33" s="6"/>
      <c r="S33" s="6"/>
      <c r="T33" s="156"/>
      <c r="U33" s="6"/>
    </row>
    <row r="34" spans="1:21" customFormat="1">
      <c r="A34" s="201" t="s">
        <v>1226</v>
      </c>
      <c r="B34" s="100">
        <v>10.81</v>
      </c>
      <c r="C34" s="100">
        <v>13.12</v>
      </c>
      <c r="D34" s="100">
        <v>15.53</v>
      </c>
      <c r="E34" s="100">
        <v>4.68</v>
      </c>
      <c r="F34" s="100">
        <v>2.0099999999999998</v>
      </c>
      <c r="G34" s="100">
        <v>6.37</v>
      </c>
      <c r="H34" s="100">
        <v>1.34</v>
      </c>
      <c r="I34" s="100">
        <v>5.48</v>
      </c>
      <c r="J34" s="100">
        <v>0.13</v>
      </c>
      <c r="K34" s="100">
        <v>214.48</v>
      </c>
      <c r="L34" s="100">
        <v>26.08</v>
      </c>
      <c r="M34" s="100">
        <v>86.98</v>
      </c>
      <c r="N34" s="100">
        <v>23.1</v>
      </c>
      <c r="O34" s="100">
        <v>0</v>
      </c>
      <c r="P34" s="100">
        <v>0.34</v>
      </c>
      <c r="Q34" s="100">
        <v>0</v>
      </c>
      <c r="R34" s="6"/>
      <c r="S34" s="6"/>
      <c r="T34" s="156"/>
      <c r="U34" s="6"/>
    </row>
    <row r="35" spans="1:21" customFormat="1">
      <c r="A35" s="201" t="s">
        <v>1227</v>
      </c>
      <c r="B35" s="100">
        <v>10.78</v>
      </c>
      <c r="C35" s="100">
        <v>13.2</v>
      </c>
      <c r="D35" s="100">
        <v>15.54</v>
      </c>
      <c r="E35" s="100">
        <v>4.49</v>
      </c>
      <c r="F35" s="100">
        <v>2</v>
      </c>
      <c r="G35" s="100">
        <v>7.24</v>
      </c>
      <c r="H35" s="100">
        <v>1.52</v>
      </c>
      <c r="I35" s="100">
        <v>5.39</v>
      </c>
      <c r="J35" s="100">
        <v>0.22</v>
      </c>
      <c r="K35" s="100">
        <v>219.85</v>
      </c>
      <c r="L35" s="100">
        <v>26.2</v>
      </c>
      <c r="M35" s="100">
        <v>89.97</v>
      </c>
      <c r="N35" s="100">
        <v>31</v>
      </c>
      <c r="O35" s="100">
        <v>0</v>
      </c>
      <c r="P35" s="100">
        <v>0.36</v>
      </c>
      <c r="Q35" s="100">
        <v>0</v>
      </c>
      <c r="R35" s="6"/>
      <c r="S35" s="6"/>
      <c r="T35" s="156"/>
      <c r="U35" s="6"/>
    </row>
    <row r="36" spans="1:21" customFormat="1">
      <c r="A36" s="201" t="s">
        <v>1228</v>
      </c>
      <c r="B36" s="100">
        <v>11.02</v>
      </c>
      <c r="C36" s="100">
        <v>12.88</v>
      </c>
      <c r="D36" s="100">
        <v>15.56</v>
      </c>
      <c r="E36" s="100">
        <v>4.71</v>
      </c>
      <c r="F36" s="100">
        <v>2</v>
      </c>
      <c r="G36" s="100">
        <v>7.45</v>
      </c>
      <c r="H36" s="100">
        <v>1.52</v>
      </c>
      <c r="I36" s="100">
        <v>5.51</v>
      </c>
      <c r="J36" s="100">
        <v>0.33</v>
      </c>
      <c r="K36" s="100">
        <v>228.21</v>
      </c>
      <c r="L36" s="100">
        <v>26.36</v>
      </c>
      <c r="M36" s="100">
        <v>90.83</v>
      </c>
      <c r="N36" s="100">
        <v>49.7</v>
      </c>
      <c r="O36" s="100">
        <v>0</v>
      </c>
      <c r="P36" s="100">
        <v>0.33</v>
      </c>
      <c r="Q36" s="100">
        <v>0</v>
      </c>
      <c r="R36" s="6"/>
      <c r="S36" s="6"/>
      <c r="T36" s="156"/>
      <c r="U36" s="6"/>
    </row>
    <row r="37" spans="1:21" customFormat="1">
      <c r="A37" s="201" t="s">
        <v>1229</v>
      </c>
      <c r="B37" s="100">
        <v>11.21</v>
      </c>
      <c r="C37" s="100">
        <v>13.17</v>
      </c>
      <c r="D37" s="100">
        <v>15.87</v>
      </c>
      <c r="E37" s="100">
        <v>4.6500000000000004</v>
      </c>
      <c r="F37" s="100">
        <v>2.0099999999999998</v>
      </c>
      <c r="G37" s="100">
        <v>7.45</v>
      </c>
      <c r="H37" s="100">
        <v>1.52</v>
      </c>
      <c r="I37" s="100">
        <v>5.78</v>
      </c>
      <c r="J37" s="100">
        <v>0.32</v>
      </c>
      <c r="K37" s="100">
        <v>224.61</v>
      </c>
      <c r="L37" s="100">
        <v>26.49</v>
      </c>
      <c r="M37" s="100">
        <v>89.81</v>
      </c>
      <c r="N37" s="100">
        <v>63.8</v>
      </c>
      <c r="O37" s="100">
        <v>0</v>
      </c>
      <c r="P37" s="100">
        <v>0.35</v>
      </c>
      <c r="Q37" s="100">
        <v>0</v>
      </c>
      <c r="R37" s="6"/>
      <c r="S37" s="6"/>
      <c r="T37" s="156"/>
      <c r="U37" s="6"/>
    </row>
    <row r="38" spans="1:21" customFormat="1">
      <c r="A38" s="201" t="s">
        <v>1230</v>
      </c>
      <c r="B38" s="100">
        <v>11.31</v>
      </c>
      <c r="C38" s="100">
        <v>13.14</v>
      </c>
      <c r="D38" s="100">
        <v>15.93</v>
      </c>
      <c r="E38" s="100">
        <v>4.55</v>
      </c>
      <c r="F38" s="100">
        <v>2</v>
      </c>
      <c r="G38" s="100">
        <v>7.45</v>
      </c>
      <c r="H38" s="100">
        <v>1.52</v>
      </c>
      <c r="I38" s="100">
        <v>5.65</v>
      </c>
      <c r="J38" s="100">
        <v>0.26</v>
      </c>
      <c r="K38" s="100">
        <v>224.64</v>
      </c>
      <c r="L38" s="100">
        <v>27.11</v>
      </c>
      <c r="M38" s="100">
        <v>90.21</v>
      </c>
      <c r="N38" s="100">
        <v>76.900000000000006</v>
      </c>
      <c r="O38" s="100">
        <v>0</v>
      </c>
      <c r="P38" s="100">
        <v>0.34</v>
      </c>
      <c r="Q38" s="100">
        <v>0</v>
      </c>
      <c r="R38" s="6"/>
      <c r="S38" s="6"/>
      <c r="T38" s="156"/>
      <c r="U38" s="6"/>
    </row>
    <row r="39" spans="1:21" customFormat="1">
      <c r="A39" s="201" t="s">
        <v>1231</v>
      </c>
      <c r="B39" s="100">
        <v>11.21</v>
      </c>
      <c r="C39" s="100">
        <v>12.88</v>
      </c>
      <c r="D39" s="100">
        <v>15.72</v>
      </c>
      <c r="E39" s="100">
        <v>4.5</v>
      </c>
      <c r="F39" s="100">
        <v>2</v>
      </c>
      <c r="G39" s="100">
        <v>9.69</v>
      </c>
      <c r="H39" s="100">
        <v>1.7</v>
      </c>
      <c r="I39" s="100">
        <v>5.74</v>
      </c>
      <c r="J39" s="100">
        <v>0.27</v>
      </c>
      <c r="K39" s="100">
        <v>227.7</v>
      </c>
      <c r="L39" s="100">
        <v>27.27</v>
      </c>
      <c r="M39" s="100">
        <v>90.53</v>
      </c>
      <c r="N39" s="100">
        <v>93.8</v>
      </c>
      <c r="O39" s="100">
        <v>0</v>
      </c>
      <c r="P39" s="100">
        <v>0.34</v>
      </c>
      <c r="Q39" s="100">
        <v>0</v>
      </c>
      <c r="R39" s="6"/>
      <c r="S39" s="6"/>
      <c r="T39" s="156"/>
      <c r="U39" s="6"/>
    </row>
    <row r="40" spans="1:21" customFormat="1">
      <c r="A40" s="201" t="s">
        <v>1232</v>
      </c>
      <c r="B40" s="100">
        <v>11.33</v>
      </c>
      <c r="C40" s="100">
        <v>13.32</v>
      </c>
      <c r="D40" s="100">
        <v>16.04</v>
      </c>
      <c r="E40" s="100">
        <v>4.84</v>
      </c>
      <c r="F40" s="100">
        <v>2</v>
      </c>
      <c r="G40" s="100">
        <v>10.25</v>
      </c>
      <c r="H40" s="100">
        <v>1.7</v>
      </c>
      <c r="I40" s="100">
        <v>5.9</v>
      </c>
      <c r="J40" s="100">
        <v>0.17</v>
      </c>
      <c r="K40" s="100">
        <v>216.39</v>
      </c>
      <c r="L40" s="100">
        <v>27.89</v>
      </c>
      <c r="M40" s="100">
        <v>89.78</v>
      </c>
      <c r="N40" s="100">
        <v>136.4</v>
      </c>
      <c r="O40" s="100">
        <v>0</v>
      </c>
      <c r="P40" s="100">
        <v>0.37</v>
      </c>
      <c r="Q40" s="100">
        <v>0</v>
      </c>
      <c r="R40" s="6"/>
      <c r="S40" s="6"/>
      <c r="T40" s="156"/>
      <c r="U40" s="6"/>
    </row>
    <row r="41" spans="1:21" customFormat="1">
      <c r="A41" s="201" t="s">
        <v>1233</v>
      </c>
      <c r="B41" s="100">
        <v>11.13</v>
      </c>
      <c r="C41" s="100">
        <v>13.52</v>
      </c>
      <c r="D41" s="100">
        <v>15.99</v>
      </c>
      <c r="E41" s="100">
        <v>4.8499999999999996</v>
      </c>
      <c r="F41" s="100">
        <v>2.0099999999999998</v>
      </c>
      <c r="G41" s="100">
        <v>10.25</v>
      </c>
      <c r="H41" s="100">
        <v>1.7</v>
      </c>
      <c r="I41" s="100">
        <v>5.79</v>
      </c>
      <c r="J41" s="100">
        <v>0.22</v>
      </c>
      <c r="K41" s="100">
        <v>224.21</v>
      </c>
      <c r="L41" s="100">
        <v>28.2</v>
      </c>
      <c r="M41" s="100">
        <v>88.95</v>
      </c>
      <c r="N41" s="100">
        <v>136.30000000000001</v>
      </c>
      <c r="O41" s="100">
        <v>0</v>
      </c>
      <c r="P41" s="100">
        <v>0.39</v>
      </c>
      <c r="Q41" s="100">
        <v>0</v>
      </c>
      <c r="R41" s="6"/>
      <c r="S41" s="6"/>
      <c r="T41" s="156"/>
      <c r="U41" s="6"/>
    </row>
    <row r="42" spans="1:21" customFormat="1">
      <c r="A42" s="201" t="s">
        <v>1234</v>
      </c>
      <c r="B42" s="100">
        <v>10.94</v>
      </c>
      <c r="C42" s="100">
        <v>13.53</v>
      </c>
      <c r="D42" s="100">
        <v>15.84</v>
      </c>
      <c r="E42" s="100">
        <v>4.92</v>
      </c>
      <c r="F42" s="100">
        <v>2</v>
      </c>
      <c r="G42" s="100">
        <v>10.25</v>
      </c>
      <c r="H42" s="100">
        <v>1.7</v>
      </c>
      <c r="I42" s="100">
        <v>5.88</v>
      </c>
      <c r="J42" s="100">
        <v>0.2</v>
      </c>
      <c r="K42" s="100">
        <v>207.09</v>
      </c>
      <c r="L42" s="100">
        <v>28.44</v>
      </c>
      <c r="M42" s="100">
        <v>88.82</v>
      </c>
      <c r="N42" s="100">
        <v>104.7</v>
      </c>
      <c r="O42" s="100">
        <v>0</v>
      </c>
      <c r="P42" s="100">
        <v>0.4</v>
      </c>
      <c r="Q42" s="100">
        <v>0</v>
      </c>
      <c r="R42" s="6"/>
      <c r="S42" s="6"/>
      <c r="T42" s="156"/>
      <c r="U42" s="6"/>
    </row>
    <row r="43" spans="1:21" customFormat="1">
      <c r="A43" s="201" t="s">
        <v>1235</v>
      </c>
      <c r="B43" s="100">
        <v>10.61</v>
      </c>
      <c r="C43" s="100">
        <v>13.64</v>
      </c>
      <c r="D43" s="100">
        <v>15.64</v>
      </c>
      <c r="E43" s="100">
        <v>4.76</v>
      </c>
      <c r="F43" s="100">
        <v>2.02</v>
      </c>
      <c r="G43" s="100">
        <v>8.9700000000000006</v>
      </c>
      <c r="H43" s="100">
        <v>2.17</v>
      </c>
      <c r="I43" s="100">
        <v>5.96</v>
      </c>
      <c r="J43" s="100">
        <v>0.22</v>
      </c>
      <c r="K43" s="100">
        <v>217.51</v>
      </c>
      <c r="L43" s="100">
        <v>28.67</v>
      </c>
      <c r="M43" s="100">
        <v>86.66</v>
      </c>
      <c r="N43" s="100">
        <v>182.2</v>
      </c>
      <c r="O43" s="100">
        <v>0</v>
      </c>
      <c r="P43" s="100">
        <v>0.4</v>
      </c>
      <c r="Q43" s="100">
        <v>0</v>
      </c>
      <c r="R43" s="6"/>
      <c r="S43" s="6"/>
      <c r="T43" s="156"/>
      <c r="U43" s="6"/>
    </row>
    <row r="44" spans="1:21" customFormat="1">
      <c r="A44" s="201" t="s">
        <v>1236</v>
      </c>
      <c r="B44" s="100">
        <v>10.34</v>
      </c>
      <c r="C44" s="100">
        <v>13.68</v>
      </c>
      <c r="D44" s="100">
        <v>15.44</v>
      </c>
      <c r="E44" s="100">
        <v>4.95</v>
      </c>
      <c r="F44" s="100">
        <v>2.11</v>
      </c>
      <c r="G44" s="100">
        <v>8.64</v>
      </c>
      <c r="H44" s="100">
        <v>2.17</v>
      </c>
      <c r="I44" s="100">
        <v>6.15</v>
      </c>
      <c r="J44" s="100">
        <v>0.33</v>
      </c>
      <c r="K44" s="100">
        <v>224.01</v>
      </c>
      <c r="L44" s="100">
        <v>29.02</v>
      </c>
      <c r="M44" s="100">
        <v>84.56</v>
      </c>
      <c r="N44" s="100">
        <v>226.2</v>
      </c>
      <c r="O44" s="100">
        <v>0</v>
      </c>
      <c r="P44" s="100">
        <v>0.4</v>
      </c>
      <c r="Q44" s="100">
        <v>0</v>
      </c>
      <c r="R44" s="6"/>
      <c r="S44" s="6"/>
      <c r="T44" s="156"/>
      <c r="U44" s="6"/>
    </row>
    <row r="45" spans="1:21" customFormat="1">
      <c r="A45" s="201" t="s">
        <v>1237</v>
      </c>
      <c r="B45" s="100">
        <v>9.94</v>
      </c>
      <c r="C45" s="100">
        <v>13.88</v>
      </c>
      <c r="D45" s="100">
        <v>15.23</v>
      </c>
      <c r="E45" s="100">
        <v>4.95</v>
      </c>
      <c r="F45" s="100">
        <v>2</v>
      </c>
      <c r="G45" s="100">
        <v>8.64</v>
      </c>
      <c r="H45" s="100">
        <v>2.17</v>
      </c>
      <c r="I45" s="100">
        <v>6.28</v>
      </c>
      <c r="J45" s="100">
        <v>0.16</v>
      </c>
      <c r="K45" s="100">
        <v>206.54</v>
      </c>
      <c r="L45" s="100">
        <v>29.85</v>
      </c>
      <c r="M45" s="100">
        <v>79.61</v>
      </c>
      <c r="N45" s="100">
        <v>242.4</v>
      </c>
      <c r="O45" s="100">
        <v>0</v>
      </c>
      <c r="P45" s="100">
        <v>0.4</v>
      </c>
      <c r="Q45" s="100">
        <v>0</v>
      </c>
      <c r="R45" s="6"/>
      <c r="S45" s="6"/>
      <c r="T45" s="156"/>
      <c r="U45" s="6"/>
    </row>
    <row r="46" spans="1:21" customFormat="1">
      <c r="A46" s="201" t="s">
        <v>1238</v>
      </c>
      <c r="B46" s="100">
        <v>9.59</v>
      </c>
      <c r="C46" s="100">
        <v>14.17</v>
      </c>
      <c r="D46" s="100">
        <v>15.09</v>
      </c>
      <c r="E46" s="100">
        <v>5.01</v>
      </c>
      <c r="F46" s="100">
        <v>2.0099999999999998</v>
      </c>
      <c r="G46" s="100">
        <v>8.64</v>
      </c>
      <c r="H46" s="100">
        <v>2.17</v>
      </c>
      <c r="I46" s="100">
        <v>6.32</v>
      </c>
      <c r="J46" s="100">
        <v>0.27</v>
      </c>
      <c r="K46" s="100">
        <v>218.69</v>
      </c>
      <c r="L46" s="100">
        <v>30.18</v>
      </c>
      <c r="M46" s="100">
        <v>78.739999999999995</v>
      </c>
      <c r="N46" s="100">
        <v>295.39999999999998</v>
      </c>
      <c r="O46" s="100">
        <v>0</v>
      </c>
      <c r="P46" s="100">
        <v>0.41</v>
      </c>
      <c r="Q46" s="100">
        <v>0</v>
      </c>
      <c r="R46" s="6"/>
      <c r="S46" s="6"/>
      <c r="T46" s="156"/>
      <c r="U46" s="6"/>
    </row>
    <row r="47" spans="1:21" customFormat="1">
      <c r="A47" s="201" t="s">
        <v>1239</v>
      </c>
      <c r="B47" s="100">
        <v>9.14</v>
      </c>
      <c r="C47" s="100">
        <v>14.52</v>
      </c>
      <c r="D47" s="100">
        <v>14.91</v>
      </c>
      <c r="E47" s="100">
        <v>5.33</v>
      </c>
      <c r="F47" s="100">
        <v>2.13</v>
      </c>
      <c r="G47" s="100">
        <v>11.71</v>
      </c>
      <c r="H47" s="100">
        <v>1.72</v>
      </c>
      <c r="I47" s="100">
        <v>6.33</v>
      </c>
      <c r="J47" s="100">
        <v>0.06</v>
      </c>
      <c r="K47" s="100">
        <v>24.8</v>
      </c>
      <c r="L47" s="100">
        <v>30.7</v>
      </c>
      <c r="M47" s="100">
        <v>72.59</v>
      </c>
      <c r="N47" s="100">
        <v>381</v>
      </c>
      <c r="O47" s="100">
        <v>0</v>
      </c>
      <c r="P47" s="100">
        <v>0.41</v>
      </c>
      <c r="Q47" s="100">
        <v>0</v>
      </c>
      <c r="R47" s="6"/>
      <c r="S47" s="6"/>
      <c r="T47" s="156"/>
      <c r="U47" s="6"/>
    </row>
    <row r="48" spans="1:21" customFormat="1">
      <c r="A48" s="201" t="s">
        <v>1240</v>
      </c>
      <c r="B48" s="100">
        <v>9.09</v>
      </c>
      <c r="C48" s="100">
        <v>14.91</v>
      </c>
      <c r="D48" s="100">
        <v>15.08</v>
      </c>
      <c r="E48" s="100">
        <v>5.08</v>
      </c>
      <c r="F48" s="100">
        <v>2.0699999999999998</v>
      </c>
      <c r="G48" s="100">
        <v>12.48</v>
      </c>
      <c r="H48" s="100">
        <v>1.72</v>
      </c>
      <c r="I48" s="100">
        <v>6.33</v>
      </c>
      <c r="J48" s="100">
        <v>0.12</v>
      </c>
      <c r="K48" s="100">
        <v>39.5</v>
      </c>
      <c r="L48" s="100">
        <v>30.53</v>
      </c>
      <c r="M48" s="100">
        <v>71.91</v>
      </c>
      <c r="N48" s="100">
        <v>146.30000000000001</v>
      </c>
      <c r="O48" s="100">
        <v>0</v>
      </c>
      <c r="P48" s="100">
        <v>0.42</v>
      </c>
      <c r="Q48" s="100">
        <v>0</v>
      </c>
      <c r="R48" s="6"/>
      <c r="S48" s="6"/>
      <c r="T48" s="156"/>
      <c r="U48" s="6"/>
    </row>
    <row r="49" spans="1:21" customFormat="1">
      <c r="A49" s="201" t="s">
        <v>1241</v>
      </c>
      <c r="B49" s="100">
        <v>9.17</v>
      </c>
      <c r="C49" s="100">
        <v>15.33</v>
      </c>
      <c r="D49" s="100">
        <v>15.37</v>
      </c>
      <c r="E49" s="100">
        <v>3.97</v>
      </c>
      <c r="F49" s="100">
        <v>2.12</v>
      </c>
      <c r="G49" s="100">
        <v>12.48</v>
      </c>
      <c r="H49" s="100">
        <v>1.72</v>
      </c>
      <c r="I49" s="100">
        <v>6.35</v>
      </c>
      <c r="J49" s="100">
        <v>0.48</v>
      </c>
      <c r="K49" s="100">
        <v>31.66</v>
      </c>
      <c r="L49" s="100">
        <v>29.61</v>
      </c>
      <c r="M49" s="100">
        <v>76.28</v>
      </c>
      <c r="N49" s="100">
        <v>90.9</v>
      </c>
      <c r="O49" s="100">
        <v>0</v>
      </c>
      <c r="P49" s="100">
        <v>0.43</v>
      </c>
      <c r="Q49" s="100">
        <v>0</v>
      </c>
      <c r="R49" s="6"/>
      <c r="S49" s="6"/>
      <c r="T49" s="156"/>
      <c r="U49" s="6"/>
    </row>
    <row r="50" spans="1:21" customFormat="1">
      <c r="A50" s="201" t="s">
        <v>1242</v>
      </c>
      <c r="B50" s="100">
        <v>9.1</v>
      </c>
      <c r="C50" s="100">
        <v>15.5</v>
      </c>
      <c r="D50" s="100">
        <v>15.4</v>
      </c>
      <c r="E50" s="100">
        <v>5.29</v>
      </c>
      <c r="F50" s="100">
        <v>2.36</v>
      </c>
      <c r="G50" s="100">
        <v>12.48</v>
      </c>
      <c r="H50" s="100">
        <v>1.72</v>
      </c>
      <c r="I50" s="100">
        <v>6.36</v>
      </c>
      <c r="J50" s="100">
        <v>1.1499999999999999</v>
      </c>
      <c r="K50" s="100">
        <v>32.97</v>
      </c>
      <c r="L50" s="100">
        <v>26.65</v>
      </c>
      <c r="M50" s="100">
        <v>86.02</v>
      </c>
      <c r="N50" s="100">
        <v>15.1</v>
      </c>
      <c r="O50" s="100">
        <v>0</v>
      </c>
      <c r="P50" s="100">
        <v>0.43</v>
      </c>
      <c r="Q50" s="100">
        <v>0</v>
      </c>
      <c r="R50" s="6"/>
      <c r="S50" s="6"/>
      <c r="T50" s="156"/>
      <c r="U50" s="6"/>
    </row>
    <row r="51" spans="1:21" customFormat="1">
      <c r="A51" s="201" t="s">
        <v>1243</v>
      </c>
      <c r="B51" s="100">
        <v>8.56</v>
      </c>
      <c r="C51" s="100">
        <v>15.3</v>
      </c>
      <c r="D51" s="100">
        <v>14.86</v>
      </c>
      <c r="E51" s="100">
        <v>4.96</v>
      </c>
      <c r="F51" s="100">
        <v>3.68</v>
      </c>
      <c r="G51" s="100">
        <v>13.6</v>
      </c>
      <c r="H51" s="100">
        <v>2.29</v>
      </c>
      <c r="I51" s="100">
        <v>6.59</v>
      </c>
      <c r="J51" s="100">
        <v>1.1000000000000001</v>
      </c>
      <c r="K51" s="100">
        <v>41.53</v>
      </c>
      <c r="L51" s="100">
        <v>25.13</v>
      </c>
      <c r="M51" s="100">
        <v>89.9</v>
      </c>
      <c r="N51" s="100">
        <v>26</v>
      </c>
      <c r="O51" s="100">
        <v>0</v>
      </c>
      <c r="P51" s="100">
        <v>0.41</v>
      </c>
      <c r="Q51" s="100">
        <v>0</v>
      </c>
      <c r="R51" s="6"/>
      <c r="S51" s="6"/>
      <c r="T51" s="156"/>
      <c r="U51" s="6"/>
    </row>
    <row r="52" spans="1:21" customFormat="1">
      <c r="A52" s="201" t="s">
        <v>1244</v>
      </c>
      <c r="B52" s="100">
        <v>7.12</v>
      </c>
      <c r="C52" s="100">
        <v>15.58</v>
      </c>
      <c r="D52" s="100">
        <v>13.85</v>
      </c>
      <c r="E52" s="100">
        <v>4.5599999999999996</v>
      </c>
      <c r="F52" s="100">
        <v>4.43</v>
      </c>
      <c r="G52" s="100">
        <v>13.88</v>
      </c>
      <c r="H52" s="100">
        <v>2.29</v>
      </c>
      <c r="I52" s="100">
        <v>6.43</v>
      </c>
      <c r="J52" s="100">
        <v>0.61</v>
      </c>
      <c r="K52" s="100">
        <v>43.42</v>
      </c>
      <c r="L52" s="100">
        <v>24.17</v>
      </c>
      <c r="M52" s="100">
        <v>90.82</v>
      </c>
      <c r="N52" s="100">
        <v>56.1</v>
      </c>
      <c r="O52" s="100">
        <v>0</v>
      </c>
      <c r="P52" s="100">
        <v>0.39</v>
      </c>
      <c r="Q52" s="100">
        <v>0</v>
      </c>
      <c r="R52" s="6"/>
      <c r="S52" s="6"/>
      <c r="T52" s="156"/>
      <c r="U52" s="6"/>
    </row>
    <row r="53" spans="1:21" customFormat="1">
      <c r="A53" s="201" t="s">
        <v>1245</v>
      </c>
      <c r="B53" s="100">
        <v>6.58</v>
      </c>
      <c r="C53" s="100">
        <v>15.55</v>
      </c>
      <c r="D53" s="100">
        <v>13.4</v>
      </c>
      <c r="E53" s="100">
        <v>4.29</v>
      </c>
      <c r="F53" s="100">
        <v>2.96</v>
      </c>
      <c r="G53" s="100">
        <v>13.88</v>
      </c>
      <c r="H53" s="100">
        <v>2.29</v>
      </c>
      <c r="I53" s="100">
        <v>6.01</v>
      </c>
      <c r="J53" s="100">
        <v>0.88</v>
      </c>
      <c r="K53" s="100">
        <v>37.42</v>
      </c>
      <c r="L53" s="100">
        <v>24.38</v>
      </c>
      <c r="M53" s="100">
        <v>90.68</v>
      </c>
      <c r="N53" s="100">
        <v>155.69999999999999</v>
      </c>
      <c r="O53" s="100">
        <v>0</v>
      </c>
      <c r="P53" s="100">
        <v>0.39</v>
      </c>
      <c r="Q53" s="100">
        <v>0</v>
      </c>
      <c r="R53" s="6"/>
      <c r="S53" s="6"/>
      <c r="T53" s="156"/>
      <c r="U53" s="6"/>
    </row>
    <row r="54" spans="1:21" customFormat="1">
      <c r="A54" s="201" t="s">
        <v>1246</v>
      </c>
      <c r="B54" s="100">
        <v>6.09</v>
      </c>
      <c r="C54" s="100">
        <v>15.09</v>
      </c>
      <c r="D54" s="100">
        <v>12.77</v>
      </c>
      <c r="E54" s="100">
        <v>4.13</v>
      </c>
      <c r="F54" s="100">
        <v>3.9</v>
      </c>
      <c r="G54" s="100">
        <v>13.88</v>
      </c>
      <c r="H54" s="100">
        <v>2.29</v>
      </c>
      <c r="I54" s="100">
        <v>5.61</v>
      </c>
      <c r="J54" s="100">
        <v>0.55000000000000004</v>
      </c>
      <c r="K54" s="100">
        <v>40.32</v>
      </c>
      <c r="L54" s="100">
        <v>25.14</v>
      </c>
      <c r="M54" s="100">
        <v>90.31</v>
      </c>
      <c r="N54" s="100">
        <v>305.7</v>
      </c>
      <c r="O54" s="100">
        <v>0</v>
      </c>
      <c r="P54" s="100">
        <v>0.39</v>
      </c>
      <c r="Q54" s="100">
        <v>0</v>
      </c>
      <c r="R54" s="6"/>
      <c r="S54" s="6"/>
      <c r="T54" s="156"/>
      <c r="U54" s="6"/>
    </row>
    <row r="55" spans="1:21" customFormat="1">
      <c r="A55" s="201" t="s">
        <v>1247</v>
      </c>
      <c r="B55" s="100">
        <v>5.85</v>
      </c>
      <c r="C55" s="100">
        <v>14.4</v>
      </c>
      <c r="D55" s="100">
        <v>12.22</v>
      </c>
      <c r="E55" s="100">
        <v>4.0999999999999996</v>
      </c>
      <c r="F55" s="100">
        <v>3.74</v>
      </c>
      <c r="G55" s="100">
        <v>10.71</v>
      </c>
      <c r="H55" s="100">
        <v>2.2200000000000002</v>
      </c>
      <c r="I55" s="100">
        <v>6.62</v>
      </c>
      <c r="J55" s="100">
        <v>0.62</v>
      </c>
      <c r="K55" s="100">
        <v>37.75</v>
      </c>
      <c r="L55" s="100">
        <v>25.47</v>
      </c>
      <c r="M55" s="100">
        <v>90.12</v>
      </c>
      <c r="N55" s="100">
        <v>141.19999999999999</v>
      </c>
      <c r="O55" s="100">
        <v>0</v>
      </c>
      <c r="P55" s="100">
        <v>0.39</v>
      </c>
      <c r="Q55" s="100">
        <v>0</v>
      </c>
      <c r="R55" s="6"/>
      <c r="S55" s="6"/>
      <c r="T55" s="156"/>
      <c r="U55" s="6"/>
    </row>
    <row r="56" spans="1:21" customFormat="1">
      <c r="A56" s="201" t="s">
        <v>1248</v>
      </c>
      <c r="B56" s="100">
        <v>5.78</v>
      </c>
      <c r="C56" s="100">
        <v>13.85</v>
      </c>
      <c r="D56" s="100">
        <v>11.88</v>
      </c>
      <c r="E56" s="100">
        <v>4.13</v>
      </c>
      <c r="F56" s="100">
        <v>4.62</v>
      </c>
      <c r="G56" s="100">
        <v>9.92</v>
      </c>
      <c r="H56" s="100">
        <v>2.2200000000000002</v>
      </c>
      <c r="I56" s="100">
        <v>6.88</v>
      </c>
      <c r="J56" s="100">
        <v>0.33</v>
      </c>
      <c r="K56" s="100">
        <v>40.72</v>
      </c>
      <c r="L56" s="100">
        <v>25.73</v>
      </c>
      <c r="M56" s="100">
        <v>90.2</v>
      </c>
      <c r="N56" s="100">
        <v>128.5</v>
      </c>
      <c r="O56" s="100">
        <v>0</v>
      </c>
      <c r="P56" s="100">
        <v>0.38</v>
      </c>
      <c r="Q56" s="100">
        <v>0</v>
      </c>
      <c r="R56" s="6"/>
      <c r="S56" s="6"/>
      <c r="T56" s="156"/>
      <c r="U56" s="6"/>
    </row>
    <row r="57" spans="1:21" customFormat="1">
      <c r="A57" s="201" t="s">
        <v>1249</v>
      </c>
      <c r="B57" s="100">
        <v>5.73</v>
      </c>
      <c r="C57" s="100">
        <v>13.34</v>
      </c>
      <c r="D57" s="100">
        <v>11.56</v>
      </c>
      <c r="E57" s="100">
        <v>3.92</v>
      </c>
      <c r="F57" s="100">
        <v>2.31</v>
      </c>
      <c r="G57" s="100">
        <v>9.92</v>
      </c>
      <c r="H57" s="100">
        <v>2.2200000000000002</v>
      </c>
      <c r="I57" s="100">
        <v>6.46</v>
      </c>
      <c r="J57" s="100">
        <v>0.34</v>
      </c>
      <c r="K57" s="100">
        <v>47.32</v>
      </c>
      <c r="L57" s="100">
        <v>26.11</v>
      </c>
      <c r="M57" s="100">
        <v>89.84</v>
      </c>
      <c r="N57" s="100">
        <v>126.6</v>
      </c>
      <c r="O57" s="100">
        <v>0</v>
      </c>
      <c r="P57" s="100">
        <v>0.37</v>
      </c>
      <c r="Q57" s="100">
        <v>0</v>
      </c>
      <c r="R57" s="6"/>
      <c r="S57" s="6"/>
      <c r="T57" s="156"/>
      <c r="U57" s="6"/>
    </row>
    <row r="58" spans="1:21" customFormat="1">
      <c r="A58" s="201" t="s">
        <v>1250</v>
      </c>
      <c r="B58" s="100">
        <v>5.69</v>
      </c>
      <c r="C58" s="100">
        <v>12.9</v>
      </c>
      <c r="D58" s="100">
        <v>11.3</v>
      </c>
      <c r="E58" s="100">
        <v>3.44</v>
      </c>
      <c r="F58" s="100">
        <v>2.64</v>
      </c>
      <c r="G58" s="100">
        <v>9.92</v>
      </c>
      <c r="H58" s="100">
        <v>2.2200000000000002</v>
      </c>
      <c r="I58" s="100">
        <v>6.09</v>
      </c>
      <c r="J58" s="100">
        <v>0.22</v>
      </c>
      <c r="K58" s="100">
        <v>63.75</v>
      </c>
      <c r="L58" s="100">
        <v>26.75</v>
      </c>
      <c r="M58" s="100">
        <v>89.39</v>
      </c>
      <c r="N58" s="100">
        <v>132</v>
      </c>
      <c r="O58" s="100">
        <v>0</v>
      </c>
      <c r="P58" s="100">
        <v>0.37</v>
      </c>
      <c r="Q58" s="100">
        <v>0</v>
      </c>
      <c r="R58" s="6"/>
      <c r="S58" s="6"/>
      <c r="T58" s="156"/>
      <c r="U58" s="6"/>
    </row>
    <row r="59" spans="1:21" customFormat="1">
      <c r="A59" s="201" t="s">
        <v>1251</v>
      </c>
      <c r="B59" s="100">
        <v>6.04</v>
      </c>
      <c r="C59" s="100">
        <v>12.98</v>
      </c>
      <c r="D59" s="100">
        <v>11.62</v>
      </c>
      <c r="E59" s="100">
        <v>3.24</v>
      </c>
      <c r="F59" s="100">
        <v>2.72</v>
      </c>
      <c r="G59" s="100">
        <v>16.190000000000001</v>
      </c>
      <c r="H59" s="100">
        <v>2.63</v>
      </c>
      <c r="I59" s="100">
        <v>5.84</v>
      </c>
      <c r="J59" s="100">
        <v>0.3</v>
      </c>
      <c r="K59" s="100">
        <v>50.53</v>
      </c>
      <c r="L59" s="100">
        <v>26.8</v>
      </c>
      <c r="M59" s="100">
        <v>88.15</v>
      </c>
      <c r="N59" s="100">
        <v>105.3</v>
      </c>
      <c r="O59" s="100">
        <v>0</v>
      </c>
      <c r="P59" s="100">
        <v>0.36</v>
      </c>
      <c r="Q59" s="100">
        <v>0</v>
      </c>
      <c r="R59" s="6"/>
      <c r="S59" s="6"/>
      <c r="T59" s="156"/>
      <c r="U59" s="6"/>
    </row>
    <row r="60" spans="1:21" customFormat="1">
      <c r="A60" s="201" t="s">
        <v>1252</v>
      </c>
      <c r="B60" s="100">
        <v>8.92</v>
      </c>
      <c r="C60" s="100">
        <v>14.5</v>
      </c>
      <c r="D60" s="100">
        <v>14.73</v>
      </c>
      <c r="E60" s="100">
        <v>3.02</v>
      </c>
      <c r="F60" s="100">
        <v>2.68</v>
      </c>
      <c r="G60" s="100">
        <v>17.760000000000002</v>
      </c>
      <c r="H60" s="100">
        <v>2.63</v>
      </c>
      <c r="I60" s="100">
        <v>5.5</v>
      </c>
      <c r="J60" s="100">
        <v>0.47</v>
      </c>
      <c r="K60" s="100">
        <v>46.44</v>
      </c>
      <c r="L60" s="100">
        <v>26.93</v>
      </c>
      <c r="M60" s="100">
        <v>86.36</v>
      </c>
      <c r="N60" s="100">
        <v>148.30000000000001</v>
      </c>
      <c r="O60" s="100">
        <v>0</v>
      </c>
      <c r="P60" s="100">
        <v>0.37</v>
      </c>
      <c r="Q60" s="100">
        <v>0</v>
      </c>
      <c r="R60" s="6"/>
      <c r="S60" s="6"/>
      <c r="T60" s="156"/>
      <c r="U60" s="6"/>
    </row>
    <row r="61" spans="1:21" customFormat="1">
      <c r="A61" s="201" t="s">
        <v>1253</v>
      </c>
      <c r="B61" s="100">
        <v>8.68</v>
      </c>
      <c r="C61" s="100">
        <v>19.95</v>
      </c>
      <c r="D61" s="100">
        <v>17.38</v>
      </c>
      <c r="E61" s="100">
        <v>1.94</v>
      </c>
      <c r="F61" s="100">
        <v>9.6999999999999993</v>
      </c>
      <c r="G61" s="100">
        <v>17.760000000000002</v>
      </c>
      <c r="H61" s="100">
        <v>2.63</v>
      </c>
      <c r="I61" s="100">
        <v>5.3</v>
      </c>
      <c r="J61" s="100">
        <v>0.46</v>
      </c>
      <c r="K61" s="100">
        <v>33.64</v>
      </c>
      <c r="L61" s="100">
        <v>27.58</v>
      </c>
      <c r="M61" s="100">
        <v>85.23</v>
      </c>
      <c r="N61" s="100">
        <v>281.5</v>
      </c>
      <c r="O61" s="100">
        <v>0</v>
      </c>
      <c r="P61" s="100">
        <v>0.36</v>
      </c>
      <c r="Q61" s="100">
        <v>0</v>
      </c>
      <c r="R61" s="6"/>
      <c r="S61" s="6"/>
      <c r="T61" s="156"/>
      <c r="U61" s="6"/>
    </row>
    <row r="62" spans="1:21" customFormat="1">
      <c r="A62" s="201" t="s">
        <v>1254</v>
      </c>
      <c r="B62" s="100">
        <v>5.22</v>
      </c>
      <c r="C62" s="100">
        <v>18.600000000000001</v>
      </c>
      <c r="D62" s="100">
        <v>13.9</v>
      </c>
      <c r="E62" s="100">
        <v>1.71</v>
      </c>
      <c r="F62" s="100">
        <v>21.01</v>
      </c>
      <c r="G62" s="100">
        <v>17.760000000000002</v>
      </c>
      <c r="H62" s="100">
        <v>2.63</v>
      </c>
      <c r="I62" s="100">
        <v>4.82</v>
      </c>
      <c r="J62" s="100">
        <v>0.52</v>
      </c>
      <c r="K62" s="100">
        <v>44.12</v>
      </c>
      <c r="L62" s="100">
        <v>28.58</v>
      </c>
      <c r="M62" s="100">
        <v>80.400000000000006</v>
      </c>
      <c r="N62" s="100">
        <v>296.89999999999998</v>
      </c>
      <c r="O62" s="100">
        <v>0</v>
      </c>
      <c r="P62" s="100">
        <v>0.3</v>
      </c>
      <c r="Q62" s="100">
        <v>0</v>
      </c>
      <c r="R62" s="6"/>
      <c r="S62" s="6"/>
      <c r="T62" s="156"/>
      <c r="U62" s="6"/>
    </row>
    <row r="63" spans="1:21" customFormat="1">
      <c r="A63" s="201" t="s">
        <v>1255</v>
      </c>
      <c r="B63" s="100">
        <v>3.33</v>
      </c>
      <c r="C63" s="100">
        <v>15.97</v>
      </c>
      <c r="D63" s="100">
        <v>11.02</v>
      </c>
      <c r="E63" s="100">
        <v>2.09</v>
      </c>
      <c r="F63" s="100">
        <v>27.92</v>
      </c>
      <c r="G63" s="100">
        <v>15.78</v>
      </c>
      <c r="H63" s="100">
        <v>2.06</v>
      </c>
      <c r="I63" s="100">
        <v>3.34</v>
      </c>
      <c r="J63" s="100">
        <v>0.73</v>
      </c>
      <c r="K63" s="100">
        <v>39.700000000000003</v>
      </c>
      <c r="L63" s="100">
        <v>29.39</v>
      </c>
      <c r="M63" s="100">
        <v>75.209999999999994</v>
      </c>
      <c r="N63" s="100">
        <v>240.2</v>
      </c>
      <c r="O63" s="100">
        <v>0</v>
      </c>
      <c r="P63" s="100">
        <v>0.28999999999999998</v>
      </c>
      <c r="Q63" s="100">
        <v>0</v>
      </c>
      <c r="R63" s="6"/>
      <c r="S63" s="6"/>
      <c r="T63" s="156"/>
      <c r="U63" s="6"/>
    </row>
    <row r="64" spans="1:21" customFormat="1">
      <c r="A64" s="201" t="s">
        <v>1256</v>
      </c>
      <c r="B64" s="100">
        <v>2.67</v>
      </c>
      <c r="C64" s="100">
        <v>14.31</v>
      </c>
      <c r="D64" s="100">
        <v>9.6199999999999992</v>
      </c>
      <c r="E64" s="100">
        <v>3.53</v>
      </c>
      <c r="F64" s="100">
        <v>25.5</v>
      </c>
      <c r="G64" s="100">
        <v>15.29</v>
      </c>
      <c r="H64" s="100">
        <v>2.06</v>
      </c>
      <c r="I64" s="100">
        <v>2.4700000000000002</v>
      </c>
      <c r="J64" s="100">
        <v>0.08</v>
      </c>
      <c r="K64" s="100">
        <v>41.57</v>
      </c>
      <c r="L64" s="100">
        <v>29.87</v>
      </c>
      <c r="M64" s="100">
        <v>74.569999999999993</v>
      </c>
      <c r="N64" s="100">
        <v>382.9</v>
      </c>
      <c r="O64" s="100">
        <v>0</v>
      </c>
      <c r="P64" s="100">
        <v>0.32</v>
      </c>
      <c r="Q64" s="100">
        <v>10</v>
      </c>
      <c r="R64" s="6"/>
      <c r="S64" s="6"/>
      <c r="T64" s="156"/>
      <c r="U64" s="6"/>
    </row>
    <row r="65" spans="1:21" customFormat="1">
      <c r="A65" s="201" t="s">
        <v>1257</v>
      </c>
      <c r="B65" s="100">
        <v>2.21</v>
      </c>
      <c r="C65" s="100">
        <v>13.88</v>
      </c>
      <c r="D65" s="100">
        <v>9.02</v>
      </c>
      <c r="E65" s="100">
        <v>2.02</v>
      </c>
      <c r="F65" s="100">
        <v>10.91</v>
      </c>
      <c r="G65" s="100">
        <v>15.29</v>
      </c>
      <c r="H65" s="100">
        <v>2.06</v>
      </c>
      <c r="I65" s="100">
        <v>2.29</v>
      </c>
      <c r="J65" s="100">
        <v>0.34</v>
      </c>
      <c r="K65" s="100">
        <v>32.03</v>
      </c>
      <c r="L65" s="100">
        <v>30.26</v>
      </c>
      <c r="M65" s="100">
        <v>72.62</v>
      </c>
      <c r="N65" s="100">
        <v>432.6</v>
      </c>
      <c r="O65" s="100">
        <v>0</v>
      </c>
      <c r="P65" s="100">
        <v>0.12</v>
      </c>
      <c r="Q65" s="100">
        <v>10</v>
      </c>
      <c r="R65" s="6"/>
      <c r="S65" s="6"/>
      <c r="T65" s="156"/>
      <c r="U65" s="6"/>
    </row>
    <row r="66" spans="1:21" customFormat="1">
      <c r="A66" s="201" t="s">
        <v>1258</v>
      </c>
      <c r="B66" s="100">
        <v>2.46</v>
      </c>
      <c r="C66" s="100">
        <v>13.08</v>
      </c>
      <c r="D66" s="100">
        <v>8.81</v>
      </c>
      <c r="E66" s="100">
        <v>1.57</v>
      </c>
      <c r="F66" s="100">
        <v>6.91</v>
      </c>
      <c r="G66" s="100">
        <v>15.29</v>
      </c>
      <c r="H66" s="100">
        <v>2.06</v>
      </c>
      <c r="I66" s="100">
        <v>2.63</v>
      </c>
      <c r="J66" s="100">
        <v>0.2</v>
      </c>
      <c r="K66" s="100">
        <v>21.16</v>
      </c>
      <c r="L66" s="100">
        <v>30.17</v>
      </c>
      <c r="M66" s="100">
        <v>73.44</v>
      </c>
      <c r="N66" s="100">
        <v>261.5</v>
      </c>
      <c r="O66" s="100">
        <v>0</v>
      </c>
      <c r="P66" s="100">
        <v>0.14000000000000001</v>
      </c>
      <c r="Q66" s="100">
        <v>10</v>
      </c>
      <c r="R66" s="6"/>
      <c r="S66" s="6"/>
      <c r="T66" s="156"/>
      <c r="U66" s="6"/>
    </row>
    <row r="67" spans="1:21" customFormat="1">
      <c r="A67" s="201" t="s">
        <v>1259</v>
      </c>
      <c r="B67" s="100">
        <v>3.17</v>
      </c>
      <c r="C67" s="100">
        <v>12.14</v>
      </c>
      <c r="D67" s="100">
        <v>8.8800000000000008</v>
      </c>
      <c r="E67" s="100">
        <v>2.04</v>
      </c>
      <c r="F67" s="100">
        <v>5.75</v>
      </c>
      <c r="G67" s="100">
        <v>14.62</v>
      </c>
      <c r="H67" s="100">
        <v>2.42</v>
      </c>
      <c r="I67" s="100">
        <v>2.81</v>
      </c>
      <c r="J67" s="100">
        <v>0.67</v>
      </c>
      <c r="K67" s="100">
        <v>41.46</v>
      </c>
      <c r="L67" s="100">
        <v>30.28</v>
      </c>
      <c r="M67" s="100">
        <v>72.37</v>
      </c>
      <c r="N67" s="100">
        <v>148.69999999999999</v>
      </c>
      <c r="O67" s="100">
        <v>0</v>
      </c>
      <c r="P67" s="100">
        <v>0.14000000000000001</v>
      </c>
      <c r="Q67" s="100">
        <v>10</v>
      </c>
      <c r="R67" s="6"/>
      <c r="S67" s="6"/>
      <c r="T67" s="156"/>
      <c r="U67" s="6"/>
    </row>
    <row r="68" spans="1:21" customFormat="1">
      <c r="A68" s="201" t="s">
        <v>1260</v>
      </c>
      <c r="B68" s="100">
        <v>3.96</v>
      </c>
      <c r="C68" s="100">
        <v>11.35</v>
      </c>
      <c r="D68" s="100">
        <v>9.11</v>
      </c>
      <c r="E68" s="100">
        <v>1.89</v>
      </c>
      <c r="F68" s="100">
        <v>5.21</v>
      </c>
      <c r="G68" s="100">
        <v>14.45</v>
      </c>
      <c r="H68" s="100">
        <v>2.42</v>
      </c>
      <c r="I68" s="100">
        <v>3.11</v>
      </c>
      <c r="J68" s="100">
        <v>0.65</v>
      </c>
      <c r="K68" s="100">
        <v>34.909999999999997</v>
      </c>
      <c r="L68" s="100">
        <v>30.13</v>
      </c>
      <c r="M68" s="100">
        <v>73.39</v>
      </c>
      <c r="N68" s="100">
        <v>114.5</v>
      </c>
      <c r="O68" s="100">
        <v>0</v>
      </c>
      <c r="P68" s="100">
        <v>0.14000000000000001</v>
      </c>
      <c r="Q68" s="100">
        <v>10</v>
      </c>
      <c r="R68" s="6"/>
      <c r="S68" s="6"/>
      <c r="T68" s="156"/>
      <c r="U68" s="6"/>
    </row>
    <row r="69" spans="1:21" customFormat="1">
      <c r="A69" s="201" t="s">
        <v>1261</v>
      </c>
      <c r="B69" s="100">
        <v>4.63</v>
      </c>
      <c r="C69" s="100">
        <v>10.84</v>
      </c>
      <c r="D69" s="100">
        <v>9.3800000000000008</v>
      </c>
      <c r="E69" s="100">
        <v>2.2200000000000002</v>
      </c>
      <c r="F69" s="100">
        <v>5.28</v>
      </c>
      <c r="G69" s="100">
        <v>14.45</v>
      </c>
      <c r="H69" s="100">
        <v>2.42</v>
      </c>
      <c r="I69" s="100">
        <v>3.39</v>
      </c>
      <c r="J69" s="100">
        <v>0.18</v>
      </c>
      <c r="K69" s="100">
        <v>9.08</v>
      </c>
      <c r="L69" s="100">
        <v>29.99</v>
      </c>
      <c r="M69" s="100">
        <v>75.48</v>
      </c>
      <c r="N69" s="100">
        <v>142.69999999999999</v>
      </c>
      <c r="O69" s="100">
        <v>0</v>
      </c>
      <c r="P69" s="100">
        <v>0.14000000000000001</v>
      </c>
      <c r="Q69" s="100">
        <v>10</v>
      </c>
      <c r="R69" s="6"/>
      <c r="S69" s="6"/>
      <c r="T69" s="156"/>
      <c r="U69" s="6"/>
    </row>
    <row r="70" spans="1:21" customFormat="1">
      <c r="A70" s="201" t="s">
        <v>1262</v>
      </c>
      <c r="B70" s="100">
        <v>5.27</v>
      </c>
      <c r="C70" s="100">
        <v>10.9</v>
      </c>
      <c r="D70" s="100">
        <v>9.92</v>
      </c>
      <c r="E70" s="100">
        <v>2.71</v>
      </c>
      <c r="F70" s="100">
        <v>8.4499999999999993</v>
      </c>
      <c r="G70" s="100">
        <v>14.45</v>
      </c>
      <c r="H70" s="100">
        <v>2.42</v>
      </c>
      <c r="I70" s="100">
        <v>2.2799999999999998</v>
      </c>
      <c r="J70" s="100">
        <v>0.4</v>
      </c>
      <c r="K70" s="100">
        <v>24.72</v>
      </c>
      <c r="L70" s="100">
        <v>29.72</v>
      </c>
      <c r="M70" s="100">
        <v>77.069999999999993</v>
      </c>
      <c r="N70" s="100">
        <v>103.6</v>
      </c>
      <c r="O70" s="100">
        <v>0</v>
      </c>
      <c r="P70" s="100">
        <v>0.14000000000000001</v>
      </c>
      <c r="Q70" s="100">
        <v>10</v>
      </c>
      <c r="R70" s="6"/>
      <c r="S70" s="6"/>
      <c r="T70" s="156"/>
      <c r="U70" s="6"/>
    </row>
    <row r="71" spans="1:21" customFormat="1">
      <c r="A71" s="201" t="s">
        <v>1263</v>
      </c>
      <c r="B71" s="100">
        <v>5.86</v>
      </c>
      <c r="C71" s="100">
        <v>10.82</v>
      </c>
      <c r="D71" s="100">
        <v>10.35</v>
      </c>
      <c r="E71" s="100">
        <v>1.73</v>
      </c>
      <c r="F71" s="100">
        <v>7.81</v>
      </c>
      <c r="G71" s="100">
        <v>16.32</v>
      </c>
      <c r="H71" s="100">
        <v>3.28</v>
      </c>
      <c r="I71" s="100">
        <v>3.14</v>
      </c>
      <c r="J71" s="100">
        <v>0.34</v>
      </c>
      <c r="K71" s="100">
        <v>35.119999999999997</v>
      </c>
      <c r="L71" s="100">
        <v>29.61</v>
      </c>
      <c r="M71" s="100">
        <v>79.099999999999994</v>
      </c>
      <c r="N71" s="100">
        <v>142.5</v>
      </c>
      <c r="O71" s="100">
        <v>0</v>
      </c>
      <c r="P71" s="100">
        <v>0.14000000000000001</v>
      </c>
      <c r="Q71" s="100">
        <v>10</v>
      </c>
      <c r="R71" s="6"/>
      <c r="S71" s="6"/>
      <c r="T71" s="156"/>
      <c r="U71" s="6"/>
    </row>
    <row r="72" spans="1:21" customFormat="1">
      <c r="A72" s="201" t="s">
        <v>1264</v>
      </c>
      <c r="B72" s="100">
        <v>6.39</v>
      </c>
      <c r="C72" s="100">
        <v>10.47</v>
      </c>
      <c r="D72" s="100">
        <v>10.59</v>
      </c>
      <c r="E72" s="100">
        <v>2.72</v>
      </c>
      <c r="F72" s="100">
        <v>5.9</v>
      </c>
      <c r="G72" s="100">
        <v>16.79</v>
      </c>
      <c r="H72" s="100">
        <v>3.28</v>
      </c>
      <c r="I72" s="100">
        <v>3.23</v>
      </c>
      <c r="J72" s="100">
        <v>0.67</v>
      </c>
      <c r="K72" s="100">
        <v>42.25</v>
      </c>
      <c r="L72" s="100">
        <v>29.5</v>
      </c>
      <c r="M72" s="100">
        <v>79.849999999999994</v>
      </c>
      <c r="N72" s="100">
        <v>85.7</v>
      </c>
      <c r="O72" s="100">
        <v>0</v>
      </c>
      <c r="P72" s="100">
        <v>0.13</v>
      </c>
      <c r="Q72" s="100">
        <v>10</v>
      </c>
      <c r="R72" s="6"/>
      <c r="S72" s="6"/>
      <c r="T72" s="156"/>
      <c r="U72" s="6"/>
    </row>
    <row r="73" spans="1:21" customFormat="1">
      <c r="A73" s="201" t="s">
        <v>1265</v>
      </c>
      <c r="B73" s="100">
        <v>7.06</v>
      </c>
      <c r="C73" s="100">
        <v>11.8</v>
      </c>
      <c r="D73" s="100">
        <v>11.83</v>
      </c>
      <c r="E73" s="100">
        <v>2.68</v>
      </c>
      <c r="F73" s="100">
        <v>7.37</v>
      </c>
      <c r="G73" s="100">
        <v>16.79</v>
      </c>
      <c r="H73" s="100">
        <v>3.28</v>
      </c>
      <c r="I73" s="100">
        <v>3.43</v>
      </c>
      <c r="J73" s="100">
        <v>0.31</v>
      </c>
      <c r="K73" s="100">
        <v>35.159999999999997</v>
      </c>
      <c r="L73" s="100">
        <v>29.72</v>
      </c>
      <c r="M73" s="100">
        <v>80.61</v>
      </c>
      <c r="N73" s="100">
        <v>78.7</v>
      </c>
      <c r="O73" s="100">
        <v>0</v>
      </c>
      <c r="P73" s="100">
        <v>0.14000000000000001</v>
      </c>
      <c r="Q73" s="100">
        <v>10</v>
      </c>
      <c r="R73" s="6"/>
      <c r="S73" s="6"/>
      <c r="T73" s="156"/>
      <c r="U73" s="6"/>
    </row>
    <row r="74" spans="1:21" customFormat="1">
      <c r="A74" s="201" t="s">
        <v>1266</v>
      </c>
      <c r="B74" s="100">
        <v>7.29</v>
      </c>
      <c r="C74" s="100">
        <v>11.44</v>
      </c>
      <c r="D74" s="100">
        <v>11.82</v>
      </c>
      <c r="E74" s="100">
        <v>2.95</v>
      </c>
      <c r="F74" s="100">
        <v>9.8000000000000007</v>
      </c>
      <c r="G74" s="100">
        <v>16.79</v>
      </c>
      <c r="H74" s="100">
        <v>3.28</v>
      </c>
      <c r="I74" s="100">
        <v>3.42</v>
      </c>
      <c r="J74" s="100">
        <v>0.57999999999999996</v>
      </c>
      <c r="K74" s="100">
        <v>39.51</v>
      </c>
      <c r="L74" s="100">
        <v>29.83</v>
      </c>
      <c r="M74" s="100">
        <v>79.86</v>
      </c>
      <c r="N74" s="100">
        <v>67.400000000000006</v>
      </c>
      <c r="O74" s="100">
        <v>0</v>
      </c>
      <c r="P74" s="100">
        <v>0.14000000000000001</v>
      </c>
      <c r="Q74" s="100">
        <v>10</v>
      </c>
      <c r="R74" s="6"/>
      <c r="S74" s="6"/>
      <c r="T74" s="156"/>
      <c r="U74" s="6"/>
    </row>
    <row r="75" spans="1:21" customFormat="1">
      <c r="A75" s="201" t="s">
        <v>1267</v>
      </c>
      <c r="B75" s="100">
        <v>7.3</v>
      </c>
      <c r="C75" s="100">
        <v>11.28</v>
      </c>
      <c r="D75" s="100">
        <v>11.75</v>
      </c>
      <c r="E75" s="100">
        <v>4.0199999999999996</v>
      </c>
      <c r="F75" s="100">
        <v>12.2</v>
      </c>
      <c r="G75" s="100">
        <v>17.29</v>
      </c>
      <c r="H75" s="100">
        <v>3.7</v>
      </c>
      <c r="I75" s="100">
        <v>3.56</v>
      </c>
      <c r="J75" s="100">
        <v>0.72</v>
      </c>
      <c r="K75" s="100">
        <v>39.08</v>
      </c>
      <c r="L75" s="100">
        <v>29.69</v>
      </c>
      <c r="M75" s="100">
        <v>79.38</v>
      </c>
      <c r="N75" s="100">
        <v>60.8</v>
      </c>
      <c r="O75" s="100">
        <v>0</v>
      </c>
      <c r="P75" s="100">
        <v>0.13</v>
      </c>
      <c r="Q75" s="100">
        <v>10</v>
      </c>
      <c r="R75" s="6"/>
      <c r="S75" s="6"/>
      <c r="T75" s="156"/>
      <c r="U75" s="6"/>
    </row>
    <row r="76" spans="1:21" customFormat="1">
      <c r="A76" s="201" t="s">
        <v>1268</v>
      </c>
      <c r="B76" s="100">
        <v>7.65</v>
      </c>
      <c r="C76" s="100">
        <v>10.119999999999999</v>
      </c>
      <c r="D76" s="100">
        <v>11.42</v>
      </c>
      <c r="E76" s="100">
        <v>3.3</v>
      </c>
      <c r="F76" s="100">
        <v>6.96</v>
      </c>
      <c r="G76" s="100">
        <v>17.420000000000002</v>
      </c>
      <c r="H76" s="100">
        <v>3.7</v>
      </c>
      <c r="I76" s="100">
        <v>3.73</v>
      </c>
      <c r="J76" s="100">
        <v>0.24</v>
      </c>
      <c r="K76" s="100">
        <v>17.079999999999998</v>
      </c>
      <c r="L76" s="100">
        <v>29.58</v>
      </c>
      <c r="M76" s="100">
        <v>80.11</v>
      </c>
      <c r="N76" s="100">
        <v>41.3</v>
      </c>
      <c r="O76" s="100">
        <v>0</v>
      </c>
      <c r="P76" s="100">
        <v>0.15</v>
      </c>
      <c r="Q76" s="100">
        <v>10</v>
      </c>
      <c r="R76" s="6"/>
      <c r="S76" s="6"/>
      <c r="T76" s="156"/>
      <c r="U76" s="6"/>
    </row>
    <row r="77" spans="1:21" customFormat="1">
      <c r="A77" s="201" t="s">
        <v>1269</v>
      </c>
      <c r="B77" s="100">
        <v>8.1300000000000008</v>
      </c>
      <c r="C77" s="100">
        <v>10.51</v>
      </c>
      <c r="D77" s="100">
        <v>12.01</v>
      </c>
      <c r="E77" s="100">
        <v>3.45</v>
      </c>
      <c r="F77" s="100">
        <v>9.4</v>
      </c>
      <c r="G77" s="100">
        <v>17.420000000000002</v>
      </c>
      <c r="H77" s="100">
        <v>3.7</v>
      </c>
      <c r="I77" s="100">
        <v>3.96</v>
      </c>
      <c r="J77" s="100">
        <v>0.63</v>
      </c>
      <c r="K77" s="100">
        <v>36.22</v>
      </c>
      <c r="L77" s="100">
        <v>29.44</v>
      </c>
      <c r="M77" s="100">
        <v>80.41</v>
      </c>
      <c r="N77" s="100">
        <v>46.9</v>
      </c>
      <c r="O77" s="100">
        <v>0</v>
      </c>
      <c r="P77" s="100">
        <v>0.18</v>
      </c>
      <c r="Q77" s="100">
        <v>10</v>
      </c>
      <c r="R77" s="6"/>
      <c r="S77" s="6"/>
      <c r="T77" s="156"/>
      <c r="U77" s="6"/>
    </row>
    <row r="78" spans="1:21" customFormat="1">
      <c r="A78" s="201" t="s">
        <v>1270</v>
      </c>
      <c r="B78" s="100">
        <v>8.32</v>
      </c>
      <c r="C78" s="100">
        <v>9.7799999999999994</v>
      </c>
      <c r="D78" s="100">
        <v>11.78</v>
      </c>
      <c r="E78" s="100">
        <v>3.58</v>
      </c>
      <c r="F78" s="100">
        <v>10.83</v>
      </c>
      <c r="G78" s="100">
        <v>17.420000000000002</v>
      </c>
      <c r="H78" s="100">
        <v>3.7</v>
      </c>
      <c r="I78" s="100">
        <v>4.03</v>
      </c>
      <c r="J78" s="100">
        <v>0.77</v>
      </c>
      <c r="K78" s="100">
        <v>33.83</v>
      </c>
      <c r="L78" s="100">
        <v>29.13</v>
      </c>
      <c r="M78" s="100">
        <v>80.569999999999993</v>
      </c>
      <c r="N78" s="100">
        <v>27.5</v>
      </c>
      <c r="O78" s="100">
        <v>0</v>
      </c>
      <c r="P78" s="100">
        <v>0.17</v>
      </c>
      <c r="Q78" s="100">
        <v>10</v>
      </c>
      <c r="R78" s="6"/>
      <c r="S78" s="6"/>
      <c r="T78" s="156"/>
      <c r="U78" s="6"/>
    </row>
    <row r="79" spans="1:21" customFormat="1">
      <c r="A79" s="201" t="s">
        <v>1271</v>
      </c>
      <c r="B79" s="100">
        <v>8.3000000000000007</v>
      </c>
      <c r="C79" s="100">
        <v>9.16</v>
      </c>
      <c r="D79" s="100">
        <v>11.44</v>
      </c>
      <c r="E79" s="100">
        <v>3.04</v>
      </c>
      <c r="F79" s="100">
        <v>4.3899999999999997</v>
      </c>
      <c r="G79" s="100">
        <v>17.78</v>
      </c>
      <c r="H79" s="100">
        <v>3.27</v>
      </c>
      <c r="I79" s="100">
        <v>4.0199999999999996</v>
      </c>
      <c r="J79" s="100">
        <v>0.73</v>
      </c>
      <c r="K79" s="100">
        <v>36.49</v>
      </c>
      <c r="L79" s="100">
        <v>28.68</v>
      </c>
      <c r="M79" s="100">
        <v>81.56</v>
      </c>
      <c r="N79" s="100">
        <v>13</v>
      </c>
      <c r="O79" s="100">
        <v>0</v>
      </c>
      <c r="P79" s="100">
        <v>0.18</v>
      </c>
      <c r="Q79" s="100">
        <v>10</v>
      </c>
      <c r="R79" s="6"/>
      <c r="S79" s="6"/>
      <c r="T79" s="156"/>
      <c r="U79" s="6"/>
    </row>
    <row r="80" spans="1:21" customFormat="1">
      <c r="A80" s="201" t="s">
        <v>1272</v>
      </c>
      <c r="B80" s="100">
        <v>8.2799999999999994</v>
      </c>
      <c r="C80" s="100">
        <v>9.6</v>
      </c>
      <c r="D80" s="100">
        <v>11.66</v>
      </c>
      <c r="E80" s="100">
        <v>2.98</v>
      </c>
      <c r="F80" s="100">
        <v>4.58</v>
      </c>
      <c r="G80" s="100">
        <v>17.87</v>
      </c>
      <c r="H80" s="100">
        <v>3.27</v>
      </c>
      <c r="I80" s="100">
        <v>3.98</v>
      </c>
      <c r="J80" s="100">
        <v>0.87</v>
      </c>
      <c r="K80" s="100">
        <v>33.92</v>
      </c>
      <c r="L80" s="100">
        <v>28.35</v>
      </c>
      <c r="M80" s="100">
        <v>81.02</v>
      </c>
      <c r="N80" s="100">
        <v>5.3</v>
      </c>
      <c r="O80" s="100">
        <v>0</v>
      </c>
      <c r="P80" s="100">
        <v>0.2</v>
      </c>
      <c r="Q80" s="100">
        <v>10</v>
      </c>
      <c r="R80" s="6"/>
      <c r="S80" s="6"/>
      <c r="T80" s="156"/>
      <c r="U80" s="6"/>
    </row>
    <row r="81" spans="1:21" customFormat="1">
      <c r="A81" s="201" t="s">
        <v>1273</v>
      </c>
      <c r="B81" s="100">
        <v>8.61</v>
      </c>
      <c r="C81" s="100">
        <v>10.01</v>
      </c>
      <c r="D81" s="100">
        <v>12.14</v>
      </c>
      <c r="E81" s="100">
        <v>3.74</v>
      </c>
      <c r="F81" s="100">
        <v>2.21</v>
      </c>
      <c r="G81" s="100">
        <v>17.87</v>
      </c>
      <c r="H81" s="100">
        <v>3.27</v>
      </c>
      <c r="I81" s="100">
        <v>3.97</v>
      </c>
      <c r="J81" s="100">
        <v>0.45</v>
      </c>
      <c r="K81" s="100">
        <v>30.55</v>
      </c>
      <c r="L81" s="100">
        <v>28.11</v>
      </c>
      <c r="M81" s="100">
        <v>81.94</v>
      </c>
      <c r="N81" s="100">
        <v>3</v>
      </c>
      <c r="O81" s="100">
        <v>0</v>
      </c>
      <c r="P81" s="100">
        <v>0.21</v>
      </c>
      <c r="Q81" s="100">
        <v>10</v>
      </c>
      <c r="R81" s="6"/>
      <c r="S81" s="6"/>
      <c r="T81" s="156"/>
      <c r="U81" s="6"/>
    </row>
    <row r="82" spans="1:21" customFormat="1">
      <c r="A82" s="201" t="s">
        <v>1274</v>
      </c>
      <c r="B82" s="100">
        <v>8.59</v>
      </c>
      <c r="C82" s="100">
        <v>10</v>
      </c>
      <c r="D82" s="100">
        <v>12.12</v>
      </c>
      <c r="E82" s="100">
        <v>4.62</v>
      </c>
      <c r="F82" s="100">
        <v>2.83</v>
      </c>
      <c r="G82" s="100">
        <v>17.87</v>
      </c>
      <c r="H82" s="100">
        <v>3.27</v>
      </c>
      <c r="I82" s="100">
        <v>3.97</v>
      </c>
      <c r="J82" s="100">
        <v>0.67</v>
      </c>
      <c r="K82" s="100">
        <v>41.94</v>
      </c>
      <c r="L82" s="100">
        <v>27.87</v>
      </c>
      <c r="M82" s="100">
        <v>82.33</v>
      </c>
      <c r="N82" s="100">
        <v>2.6</v>
      </c>
      <c r="O82" s="100">
        <v>0</v>
      </c>
      <c r="P82" s="100">
        <v>0.22</v>
      </c>
      <c r="Q82" s="100">
        <v>10</v>
      </c>
      <c r="R82" s="6"/>
      <c r="S82" s="6"/>
      <c r="T82" s="156"/>
      <c r="U82" s="6"/>
    </row>
    <row r="83" spans="1:21" customFormat="1">
      <c r="A83" s="201" t="s">
        <v>1275</v>
      </c>
      <c r="B83" s="100">
        <v>8.7100000000000009</v>
      </c>
      <c r="C83" s="100">
        <v>10.17</v>
      </c>
      <c r="D83" s="100">
        <v>12.3</v>
      </c>
      <c r="E83" s="100">
        <v>4.7300000000000004</v>
      </c>
      <c r="F83" s="100">
        <v>3.4</v>
      </c>
      <c r="G83" s="100">
        <v>17.72</v>
      </c>
      <c r="H83" s="100">
        <v>3.48</v>
      </c>
      <c r="I83" s="100">
        <v>4.1100000000000003</v>
      </c>
      <c r="J83" s="100">
        <v>0.56999999999999995</v>
      </c>
      <c r="K83" s="100">
        <v>36.69</v>
      </c>
      <c r="L83" s="100">
        <v>27.76</v>
      </c>
      <c r="M83" s="100">
        <v>83.27</v>
      </c>
      <c r="N83" s="100">
        <v>2.4</v>
      </c>
      <c r="O83" s="100">
        <v>0</v>
      </c>
      <c r="P83" s="100">
        <v>0.24</v>
      </c>
      <c r="Q83" s="100">
        <v>10</v>
      </c>
      <c r="R83" s="6"/>
      <c r="S83" s="6"/>
      <c r="T83" s="156"/>
      <c r="U83" s="6"/>
    </row>
    <row r="84" spans="1:21" customFormat="1">
      <c r="A84" s="201" t="s">
        <v>1276</v>
      </c>
      <c r="B84" s="100">
        <v>8.85</v>
      </c>
      <c r="C84" s="100">
        <v>9.9499999999999993</v>
      </c>
      <c r="D84" s="100">
        <v>12.29</v>
      </c>
      <c r="E84" s="100">
        <v>4.68</v>
      </c>
      <c r="F84" s="100">
        <v>2.1800000000000002</v>
      </c>
      <c r="G84" s="100">
        <v>17.68</v>
      </c>
      <c r="H84" s="100">
        <v>3.48</v>
      </c>
      <c r="I84" s="100">
        <v>4.1100000000000003</v>
      </c>
      <c r="J84" s="100">
        <v>0.32</v>
      </c>
      <c r="K84" s="100">
        <v>37</v>
      </c>
      <c r="L84" s="100">
        <v>27.6</v>
      </c>
      <c r="M84" s="100">
        <v>83.69</v>
      </c>
      <c r="N84" s="100">
        <v>2.4</v>
      </c>
      <c r="O84" s="100">
        <v>0</v>
      </c>
      <c r="P84" s="100">
        <v>0.25</v>
      </c>
      <c r="Q84" s="100">
        <v>10</v>
      </c>
      <c r="R84" s="6"/>
      <c r="S84" s="6"/>
      <c r="T84" s="156"/>
      <c r="U84" s="6"/>
    </row>
    <row r="85" spans="1:21" customFormat="1">
      <c r="A85" s="201" t="s">
        <v>1277</v>
      </c>
      <c r="B85" s="100">
        <v>8.92</v>
      </c>
      <c r="C85" s="100">
        <v>10.02</v>
      </c>
      <c r="D85" s="100">
        <v>12.39</v>
      </c>
      <c r="E85" s="100">
        <v>5.08</v>
      </c>
      <c r="F85" s="100">
        <v>2.0499999999999998</v>
      </c>
      <c r="G85" s="100">
        <v>17.68</v>
      </c>
      <c r="H85" s="100">
        <v>3.48</v>
      </c>
      <c r="I85" s="100">
        <v>4.3099999999999996</v>
      </c>
      <c r="J85" s="100">
        <v>0.56999999999999995</v>
      </c>
      <c r="K85" s="100">
        <v>43.47</v>
      </c>
      <c r="L85" s="100">
        <v>27.52</v>
      </c>
      <c r="M85" s="100">
        <v>81.27</v>
      </c>
      <c r="N85" s="100">
        <v>2.4</v>
      </c>
      <c r="O85" s="100">
        <v>0</v>
      </c>
      <c r="P85" s="100">
        <v>0.27</v>
      </c>
      <c r="Q85" s="100">
        <v>10</v>
      </c>
      <c r="R85" s="6"/>
      <c r="S85" s="6"/>
      <c r="T85" s="156"/>
      <c r="U85" s="6"/>
    </row>
    <row r="86" spans="1:21" customFormat="1">
      <c r="A86" s="201" t="s">
        <v>1278</v>
      </c>
      <c r="B86" s="100">
        <v>9.1199999999999992</v>
      </c>
      <c r="C86" s="100">
        <v>10.01</v>
      </c>
      <c r="D86" s="100">
        <v>12.54</v>
      </c>
      <c r="E86" s="100">
        <v>5.13</v>
      </c>
      <c r="F86" s="100">
        <v>2.0099999999999998</v>
      </c>
      <c r="G86" s="100">
        <v>17.68</v>
      </c>
      <c r="H86" s="100">
        <v>3.48</v>
      </c>
      <c r="I86" s="100">
        <v>4.3899999999999997</v>
      </c>
      <c r="J86" s="100">
        <v>0.42</v>
      </c>
      <c r="K86" s="100">
        <v>48.4</v>
      </c>
      <c r="L86" s="100">
        <v>27.44</v>
      </c>
      <c r="M86" s="100">
        <v>81.92</v>
      </c>
      <c r="N86" s="100">
        <v>2.4</v>
      </c>
      <c r="O86" s="100">
        <v>0</v>
      </c>
      <c r="P86" s="100">
        <v>0.28000000000000003</v>
      </c>
      <c r="Q86" s="100">
        <v>10</v>
      </c>
      <c r="R86" s="6"/>
      <c r="S86" s="6"/>
      <c r="T86" s="156"/>
      <c r="U86" s="6"/>
    </row>
    <row r="87" spans="1:21" customFormat="1">
      <c r="A87" s="201" t="s">
        <v>1279</v>
      </c>
      <c r="B87" s="100">
        <v>9.0500000000000007</v>
      </c>
      <c r="C87" s="100">
        <v>9.91</v>
      </c>
      <c r="D87" s="100">
        <v>12.44</v>
      </c>
      <c r="E87" s="100">
        <v>5.01</v>
      </c>
      <c r="F87" s="100">
        <v>2.17</v>
      </c>
      <c r="G87" s="100">
        <v>18.37</v>
      </c>
      <c r="H87" s="100">
        <v>3.61</v>
      </c>
      <c r="I87" s="100">
        <v>4.5599999999999996</v>
      </c>
      <c r="J87" s="100">
        <v>0.12</v>
      </c>
      <c r="K87" s="100">
        <v>67.08</v>
      </c>
      <c r="L87" s="100">
        <v>27.45</v>
      </c>
      <c r="M87" s="100">
        <v>81.89</v>
      </c>
      <c r="N87" s="100">
        <v>2.2999999999999998</v>
      </c>
      <c r="O87" s="100">
        <v>0</v>
      </c>
      <c r="P87" s="100">
        <v>0.28999999999999998</v>
      </c>
      <c r="Q87" s="100">
        <v>10</v>
      </c>
      <c r="R87" s="6"/>
      <c r="S87" s="6"/>
      <c r="T87" s="156"/>
      <c r="U87" s="6"/>
    </row>
    <row r="88" spans="1:21" customFormat="1">
      <c r="A88" s="201" t="s">
        <v>1280</v>
      </c>
      <c r="B88" s="100">
        <v>9.06</v>
      </c>
      <c r="C88" s="100">
        <v>9.65</v>
      </c>
      <c r="D88" s="100">
        <v>12.31</v>
      </c>
      <c r="E88" s="100">
        <v>4.96</v>
      </c>
      <c r="F88" s="100">
        <v>2.02</v>
      </c>
      <c r="G88" s="100">
        <v>18.54</v>
      </c>
      <c r="H88" s="100">
        <v>3.61</v>
      </c>
      <c r="I88" s="100">
        <v>4.6399999999999997</v>
      </c>
      <c r="J88" s="100">
        <v>0.25</v>
      </c>
      <c r="K88" s="100">
        <v>46.2</v>
      </c>
      <c r="L88" s="100">
        <v>27.4</v>
      </c>
      <c r="M88" s="100">
        <v>81.86</v>
      </c>
      <c r="N88" s="100">
        <v>2.2000000000000002</v>
      </c>
      <c r="O88" s="100">
        <v>0</v>
      </c>
      <c r="P88" s="100">
        <v>0.28999999999999998</v>
      </c>
      <c r="Q88" s="100">
        <v>10</v>
      </c>
      <c r="R88" s="6"/>
      <c r="S88" s="6"/>
      <c r="T88" s="156"/>
      <c r="U88" s="6"/>
    </row>
    <row r="89" spans="1:21" customFormat="1">
      <c r="A89" s="201" t="s">
        <v>1281</v>
      </c>
      <c r="B89" s="100">
        <v>9.36</v>
      </c>
      <c r="C89" s="100">
        <v>9.49</v>
      </c>
      <c r="D89" s="100">
        <v>12.46</v>
      </c>
      <c r="E89" s="100">
        <v>5.18</v>
      </c>
      <c r="F89" s="100">
        <v>2</v>
      </c>
      <c r="G89" s="100">
        <v>18.54</v>
      </c>
      <c r="H89" s="100">
        <v>3.61</v>
      </c>
      <c r="I89" s="100">
        <v>4.76</v>
      </c>
      <c r="J89" s="100">
        <v>0.19</v>
      </c>
      <c r="K89" s="100">
        <v>59.06</v>
      </c>
      <c r="L89" s="100">
        <v>27.34</v>
      </c>
      <c r="M89" s="100">
        <v>81.84</v>
      </c>
      <c r="N89" s="100">
        <v>2.4</v>
      </c>
      <c r="O89" s="100">
        <v>0</v>
      </c>
      <c r="P89" s="100">
        <v>0.3</v>
      </c>
      <c r="Q89" s="100">
        <v>10</v>
      </c>
      <c r="R89" s="6"/>
      <c r="S89" s="6"/>
      <c r="T89" s="156"/>
      <c r="U89" s="6"/>
    </row>
    <row r="90" spans="1:21" customFormat="1">
      <c r="A90" s="201" t="s">
        <v>1282</v>
      </c>
      <c r="B90" s="100">
        <v>9.7799999999999994</v>
      </c>
      <c r="C90" s="100">
        <v>9.59</v>
      </c>
      <c r="D90" s="100">
        <v>12.85</v>
      </c>
      <c r="E90" s="100">
        <v>5.29</v>
      </c>
      <c r="F90" s="100">
        <v>2</v>
      </c>
      <c r="G90" s="100">
        <v>18.54</v>
      </c>
      <c r="H90" s="100">
        <v>3.61</v>
      </c>
      <c r="I90" s="100">
        <v>4.79</v>
      </c>
      <c r="J90" s="100">
        <v>0.24</v>
      </c>
      <c r="K90" s="100">
        <v>44.72</v>
      </c>
      <c r="L90" s="100">
        <v>27.32</v>
      </c>
      <c r="M90" s="100">
        <v>81.8</v>
      </c>
      <c r="N90" s="100">
        <v>2.2999999999999998</v>
      </c>
      <c r="O90" s="100">
        <v>0</v>
      </c>
      <c r="P90" s="100">
        <v>0.31</v>
      </c>
      <c r="Q90" s="100">
        <v>10</v>
      </c>
      <c r="R90" s="6"/>
      <c r="S90" s="6"/>
      <c r="T90" s="156"/>
      <c r="U90" s="6"/>
    </row>
    <row r="91" spans="1:21" customFormat="1">
      <c r="A91" s="201" t="s">
        <v>1283</v>
      </c>
      <c r="B91" s="100">
        <v>10.32</v>
      </c>
      <c r="C91" s="100">
        <v>9.85</v>
      </c>
      <c r="D91" s="100">
        <v>13.42</v>
      </c>
      <c r="E91" s="100">
        <v>5.28</v>
      </c>
      <c r="F91" s="100">
        <v>2</v>
      </c>
      <c r="G91" s="100">
        <v>17.43</v>
      </c>
      <c r="H91" s="100">
        <v>3.03</v>
      </c>
      <c r="I91" s="100">
        <v>4.8899999999999997</v>
      </c>
      <c r="J91" s="100">
        <v>0.22</v>
      </c>
      <c r="K91" s="100">
        <v>59.2</v>
      </c>
      <c r="L91" s="100">
        <v>27.25</v>
      </c>
      <c r="M91" s="100">
        <v>81.53</v>
      </c>
      <c r="N91" s="100">
        <v>2.4</v>
      </c>
      <c r="O91" s="100">
        <v>0</v>
      </c>
      <c r="P91" s="100">
        <v>0.32</v>
      </c>
      <c r="Q91" s="100">
        <v>10</v>
      </c>
      <c r="R91" s="6"/>
      <c r="S91" s="6"/>
      <c r="T91" s="156"/>
      <c r="U91" s="6"/>
    </row>
    <row r="92" spans="1:21" customFormat="1">
      <c r="A92" s="201" t="s">
        <v>1284</v>
      </c>
      <c r="B92" s="100">
        <v>10.46</v>
      </c>
      <c r="C92" s="100">
        <v>9.33</v>
      </c>
      <c r="D92" s="100">
        <v>13.26</v>
      </c>
      <c r="E92" s="100">
        <v>5.25</v>
      </c>
      <c r="F92" s="100">
        <v>2</v>
      </c>
      <c r="G92" s="100">
        <v>17.149999999999999</v>
      </c>
      <c r="H92" s="100">
        <v>3.03</v>
      </c>
      <c r="I92" s="100">
        <v>5.4</v>
      </c>
      <c r="J92" s="100">
        <v>0.09</v>
      </c>
      <c r="K92" s="100">
        <v>133.02000000000001</v>
      </c>
      <c r="L92" s="100">
        <v>27.07</v>
      </c>
      <c r="M92" s="100">
        <v>81.52</v>
      </c>
      <c r="N92" s="100">
        <v>2.4</v>
      </c>
      <c r="O92" s="100">
        <v>0</v>
      </c>
      <c r="P92" s="100">
        <v>0.32</v>
      </c>
      <c r="Q92" s="100">
        <v>10</v>
      </c>
      <c r="R92" s="6"/>
      <c r="S92" s="6"/>
      <c r="T92" s="156"/>
      <c r="U92" s="6"/>
    </row>
    <row r="93" spans="1:21" customFormat="1">
      <c r="A93" s="201" t="s">
        <v>1285</v>
      </c>
      <c r="B93" s="100">
        <v>10.32</v>
      </c>
      <c r="C93" s="100">
        <v>9.15</v>
      </c>
      <c r="D93" s="100">
        <v>13.05</v>
      </c>
      <c r="E93" s="100">
        <v>5.35</v>
      </c>
      <c r="F93" s="100">
        <v>2</v>
      </c>
      <c r="G93" s="100">
        <v>17.149999999999999</v>
      </c>
      <c r="H93" s="100">
        <v>3.03</v>
      </c>
      <c r="I93" s="100">
        <v>5.77</v>
      </c>
      <c r="J93" s="100">
        <v>0.14000000000000001</v>
      </c>
      <c r="K93" s="100">
        <v>75.16</v>
      </c>
      <c r="L93" s="100">
        <v>27.08</v>
      </c>
      <c r="M93" s="100">
        <v>81.44</v>
      </c>
      <c r="N93" s="100">
        <v>2.2000000000000002</v>
      </c>
      <c r="O93" s="100">
        <v>0</v>
      </c>
      <c r="P93" s="100">
        <v>0.32</v>
      </c>
      <c r="Q93" s="100">
        <v>10</v>
      </c>
      <c r="R93" s="6"/>
      <c r="S93" s="6"/>
      <c r="T93" s="156"/>
      <c r="U93" s="6"/>
    </row>
    <row r="94" spans="1:21" customFormat="1">
      <c r="A94" s="201" t="s">
        <v>1286</v>
      </c>
      <c r="B94" s="100">
        <v>10.36</v>
      </c>
      <c r="C94" s="100">
        <v>9</v>
      </c>
      <c r="D94" s="100">
        <v>13.01</v>
      </c>
      <c r="E94" s="100">
        <v>5.47</v>
      </c>
      <c r="F94" s="100">
        <v>2</v>
      </c>
      <c r="G94" s="100">
        <v>17.149999999999999</v>
      </c>
      <c r="H94" s="100">
        <v>3.03</v>
      </c>
      <c r="I94" s="100">
        <v>5.91</v>
      </c>
      <c r="J94" s="100">
        <v>0.17</v>
      </c>
      <c r="K94" s="100">
        <v>63.09</v>
      </c>
      <c r="L94" s="100">
        <v>27.14</v>
      </c>
      <c r="M94" s="100">
        <v>81.19</v>
      </c>
      <c r="N94" s="100">
        <v>2.2999999999999998</v>
      </c>
      <c r="O94" s="100">
        <v>0</v>
      </c>
      <c r="P94" s="100">
        <v>0.32</v>
      </c>
      <c r="Q94" s="100">
        <v>10</v>
      </c>
      <c r="R94" s="6"/>
      <c r="S94" s="6"/>
      <c r="T94" s="156"/>
      <c r="U94" s="6"/>
    </row>
    <row r="95" spans="1:21" customFormat="1">
      <c r="A95" s="201" t="s">
        <v>1287</v>
      </c>
      <c r="B95" s="100">
        <v>10.47</v>
      </c>
      <c r="C95" s="100">
        <v>9.06</v>
      </c>
      <c r="D95" s="100">
        <v>13.13</v>
      </c>
      <c r="E95" s="100">
        <v>5.57</v>
      </c>
      <c r="F95" s="100">
        <v>2</v>
      </c>
      <c r="G95" s="100">
        <v>18.489999999999998</v>
      </c>
      <c r="H95" s="100">
        <v>2.14</v>
      </c>
      <c r="I95" s="100">
        <v>5.97</v>
      </c>
      <c r="J95" s="100">
        <v>0.17</v>
      </c>
      <c r="K95" s="100">
        <v>53.29</v>
      </c>
      <c r="L95" s="100">
        <v>27.06</v>
      </c>
      <c r="M95" s="100">
        <v>80.67</v>
      </c>
      <c r="N95" s="100">
        <v>2.2999999999999998</v>
      </c>
      <c r="O95" s="100">
        <v>0</v>
      </c>
      <c r="P95" s="100">
        <v>0.32</v>
      </c>
      <c r="Q95" s="100">
        <v>10</v>
      </c>
      <c r="R95" s="6"/>
      <c r="S95" s="6"/>
      <c r="T95" s="156"/>
      <c r="U95" s="6"/>
    </row>
    <row r="96" spans="1:21" customFormat="1">
      <c r="A96" s="201" t="s">
        <v>1288</v>
      </c>
      <c r="B96" s="100">
        <v>10.61</v>
      </c>
      <c r="C96" s="100">
        <v>9.02</v>
      </c>
      <c r="D96" s="100">
        <v>13.22</v>
      </c>
      <c r="E96" s="100">
        <v>5.5</v>
      </c>
      <c r="F96" s="100">
        <v>2</v>
      </c>
      <c r="G96" s="100">
        <v>18.829999999999998</v>
      </c>
      <c r="H96" s="100">
        <v>2.14</v>
      </c>
      <c r="I96" s="100">
        <v>5.96</v>
      </c>
      <c r="J96" s="100">
        <v>0.06</v>
      </c>
      <c r="K96" s="100">
        <v>140.58000000000001</v>
      </c>
      <c r="L96" s="100">
        <v>27.08</v>
      </c>
      <c r="M96" s="100">
        <v>81.14</v>
      </c>
      <c r="N96" s="100">
        <v>2.2999999999999998</v>
      </c>
      <c r="O96" s="100">
        <v>0</v>
      </c>
      <c r="P96" s="100">
        <v>0.32</v>
      </c>
      <c r="Q96" s="100">
        <v>0</v>
      </c>
      <c r="R96" s="6"/>
      <c r="S96" s="6"/>
      <c r="T96" s="156"/>
      <c r="U96" s="6"/>
    </row>
    <row r="97" spans="1:28" customFormat="1">
      <c r="A97" s="201" t="s">
        <v>1289</v>
      </c>
      <c r="B97" s="100">
        <v>10.61</v>
      </c>
      <c r="C97" s="100">
        <v>8.89</v>
      </c>
      <c r="D97" s="100">
        <v>13.16</v>
      </c>
      <c r="E97" s="100">
        <v>5.54</v>
      </c>
      <c r="F97" s="100">
        <v>2</v>
      </c>
      <c r="G97" s="100">
        <v>18.829999999999998</v>
      </c>
      <c r="H97" s="100">
        <v>2.14</v>
      </c>
      <c r="I97" s="100">
        <v>5.95</v>
      </c>
      <c r="J97" s="100">
        <v>0.13</v>
      </c>
      <c r="K97" s="100">
        <v>182.41</v>
      </c>
      <c r="L97" s="100">
        <v>26.83</v>
      </c>
      <c r="M97" s="100">
        <v>81.19</v>
      </c>
      <c r="N97" s="100">
        <v>2.4</v>
      </c>
      <c r="O97" s="100">
        <v>0</v>
      </c>
      <c r="P97" s="100">
        <v>0.33</v>
      </c>
      <c r="Q97" s="100">
        <v>0</v>
      </c>
      <c r="R97" s="6"/>
      <c r="S97" s="6"/>
      <c r="T97" s="156"/>
      <c r="U97" s="6"/>
    </row>
    <row r="98" spans="1:28" customFormat="1">
      <c r="A98" s="201" t="s">
        <v>1290</v>
      </c>
      <c r="B98" s="100">
        <v>10.37</v>
      </c>
      <c r="C98" s="100">
        <v>8.7200000000000006</v>
      </c>
      <c r="D98" s="100">
        <v>12.87</v>
      </c>
      <c r="E98" s="100">
        <v>5.68</v>
      </c>
      <c r="F98" s="100">
        <v>2</v>
      </c>
      <c r="G98" s="100">
        <v>18.829999999999998</v>
      </c>
      <c r="H98" s="100">
        <v>2.14</v>
      </c>
      <c r="I98" s="100">
        <v>5.95</v>
      </c>
      <c r="J98" s="100">
        <v>0.13</v>
      </c>
      <c r="K98" s="100">
        <v>161.33000000000001</v>
      </c>
      <c r="L98" s="100">
        <v>26.67</v>
      </c>
      <c r="M98" s="100">
        <v>81.37</v>
      </c>
      <c r="N98" s="100">
        <v>2.2999999999999998</v>
      </c>
      <c r="O98" s="100">
        <v>0</v>
      </c>
      <c r="P98" s="100">
        <v>0.32</v>
      </c>
      <c r="Q98" s="100">
        <v>0</v>
      </c>
      <c r="R98" s="6"/>
      <c r="S98" s="6"/>
      <c r="T98" s="156"/>
      <c r="U98" s="6"/>
    </row>
    <row r="99" spans="1:28" customFormat="1">
      <c r="A99" s="201" t="s">
        <v>1291</v>
      </c>
      <c r="B99" s="100">
        <v>10.119999999999999</v>
      </c>
      <c r="C99" s="100">
        <v>8.49</v>
      </c>
      <c r="D99" s="100">
        <v>12.55</v>
      </c>
      <c r="E99" s="100">
        <v>5.62</v>
      </c>
      <c r="F99" s="100">
        <v>2</v>
      </c>
      <c r="G99" s="100">
        <v>17.47</v>
      </c>
      <c r="H99" s="100">
        <v>2.3199999999999998</v>
      </c>
      <c r="I99" s="100">
        <v>5.88</v>
      </c>
      <c r="J99" s="100">
        <v>0.09</v>
      </c>
      <c r="K99" s="100">
        <v>172.34</v>
      </c>
      <c r="L99" s="100">
        <v>26.54</v>
      </c>
      <c r="M99" s="100">
        <v>81.27</v>
      </c>
      <c r="N99" s="100">
        <v>2.2000000000000002</v>
      </c>
      <c r="O99" s="100">
        <v>0</v>
      </c>
      <c r="P99" s="100">
        <v>0.31</v>
      </c>
      <c r="Q99" s="100">
        <v>0</v>
      </c>
      <c r="R99" s="6"/>
      <c r="S99" s="6"/>
      <c r="T99" s="156"/>
      <c r="U99" s="6"/>
    </row>
    <row r="100" spans="1:28" customFormat="1">
      <c r="A100" s="201" t="s">
        <v>1292</v>
      </c>
      <c r="B100" s="100">
        <v>10.210000000000001</v>
      </c>
      <c r="C100" s="100">
        <v>7.87</v>
      </c>
      <c r="D100" s="100">
        <v>12.3</v>
      </c>
      <c r="E100" s="100">
        <v>5.67</v>
      </c>
      <c r="F100" s="100">
        <v>2</v>
      </c>
      <c r="G100" s="100">
        <v>17.12</v>
      </c>
      <c r="H100" s="100">
        <v>2.3199999999999998</v>
      </c>
      <c r="I100" s="100">
        <v>5.82</v>
      </c>
      <c r="J100" s="100">
        <v>0.1</v>
      </c>
      <c r="K100" s="100">
        <v>192.25</v>
      </c>
      <c r="L100" s="100">
        <v>26.44</v>
      </c>
      <c r="M100" s="100">
        <v>82.03</v>
      </c>
      <c r="N100" s="100">
        <v>2.1</v>
      </c>
      <c r="O100" s="100">
        <v>0</v>
      </c>
      <c r="P100" s="100">
        <v>0.28000000000000003</v>
      </c>
      <c r="Q100" s="100">
        <v>0</v>
      </c>
      <c r="R100" s="6"/>
      <c r="S100" s="6"/>
      <c r="T100" s="156"/>
      <c r="U100" s="6"/>
      <c r="AB100" s="161"/>
    </row>
    <row r="101" spans="1:28" customFormat="1">
      <c r="A101" s="201" t="s">
        <v>1293</v>
      </c>
      <c r="B101" s="100">
        <v>10.23</v>
      </c>
      <c r="C101" s="100">
        <v>7.35</v>
      </c>
      <c r="D101" s="100">
        <v>12.04</v>
      </c>
      <c r="E101" s="100">
        <v>5.73</v>
      </c>
      <c r="F101" s="100">
        <v>2.0299999999999998</v>
      </c>
      <c r="G101" s="100">
        <v>17.12</v>
      </c>
      <c r="H101" s="100">
        <v>2.3199999999999998</v>
      </c>
      <c r="I101" s="100">
        <v>5.79</v>
      </c>
      <c r="J101" s="100">
        <v>0.11</v>
      </c>
      <c r="K101" s="100">
        <v>173.88</v>
      </c>
      <c r="L101" s="100">
        <v>26.4</v>
      </c>
      <c r="M101" s="100">
        <v>82.28</v>
      </c>
      <c r="N101" s="100">
        <v>2.2000000000000002</v>
      </c>
      <c r="O101" s="100">
        <v>0</v>
      </c>
      <c r="P101" s="100">
        <v>0.26</v>
      </c>
      <c r="Q101" s="100">
        <v>0</v>
      </c>
      <c r="R101" s="6"/>
      <c r="S101" s="6"/>
      <c r="T101" s="156"/>
      <c r="U101" s="6"/>
    </row>
    <row r="102" spans="1:28" customFormat="1">
      <c r="A102" s="201" t="s">
        <v>1294</v>
      </c>
      <c r="B102" s="100">
        <v>10.26</v>
      </c>
      <c r="C102" s="100">
        <v>7.45</v>
      </c>
      <c r="D102" s="100">
        <v>12.12</v>
      </c>
      <c r="E102" s="100">
        <v>5.2</v>
      </c>
      <c r="F102" s="100">
        <v>2</v>
      </c>
      <c r="G102" s="100">
        <v>17.12</v>
      </c>
      <c r="H102" s="100">
        <v>2.3199999999999998</v>
      </c>
      <c r="I102" s="100">
        <v>5.85</v>
      </c>
      <c r="J102" s="100">
        <v>0.1</v>
      </c>
      <c r="K102" s="100">
        <v>102.77</v>
      </c>
      <c r="L102" s="100">
        <v>26.4</v>
      </c>
      <c r="M102" s="100">
        <v>82.16</v>
      </c>
      <c r="N102" s="100">
        <v>2.1</v>
      </c>
      <c r="O102" s="100">
        <v>0</v>
      </c>
      <c r="P102" s="100">
        <v>0.25</v>
      </c>
      <c r="Q102" s="100">
        <v>0</v>
      </c>
      <c r="R102" s="6"/>
      <c r="S102" s="6"/>
      <c r="T102" s="156"/>
      <c r="U102" s="6"/>
    </row>
    <row r="103" spans="1:28" customFormat="1">
      <c r="A103" s="201" t="s">
        <v>1295</v>
      </c>
      <c r="B103" s="100">
        <v>10.64</v>
      </c>
      <c r="C103" s="100">
        <v>7.77</v>
      </c>
      <c r="D103" s="100">
        <v>12.6</v>
      </c>
      <c r="E103" s="100">
        <v>5.42</v>
      </c>
      <c r="F103" s="100">
        <v>2</v>
      </c>
      <c r="G103" s="100">
        <v>16.77</v>
      </c>
      <c r="H103" s="100">
        <v>2.4500000000000002</v>
      </c>
      <c r="I103" s="100">
        <v>5.88</v>
      </c>
      <c r="J103" s="100">
        <v>7.0000000000000007E-2</v>
      </c>
      <c r="K103" s="100">
        <v>148.44</v>
      </c>
      <c r="L103" s="100">
        <v>26.58</v>
      </c>
      <c r="M103" s="100">
        <v>83.89</v>
      </c>
      <c r="N103" s="100">
        <v>2.2000000000000002</v>
      </c>
      <c r="O103" s="100">
        <v>0</v>
      </c>
      <c r="P103" s="100">
        <v>0.27</v>
      </c>
      <c r="Q103" s="100">
        <v>0</v>
      </c>
      <c r="R103" s="6"/>
      <c r="S103" s="6"/>
      <c r="T103" s="156"/>
      <c r="U103" s="6"/>
    </row>
    <row r="104" spans="1:28" customFormat="1">
      <c r="A104" s="201" t="s">
        <v>1296</v>
      </c>
      <c r="B104" s="100">
        <v>11.3</v>
      </c>
      <c r="C104" s="100">
        <v>7.78</v>
      </c>
      <c r="D104" s="100">
        <v>13.13</v>
      </c>
      <c r="E104" s="100">
        <v>5.72</v>
      </c>
      <c r="F104" s="100">
        <v>2</v>
      </c>
      <c r="G104" s="100">
        <v>16.68</v>
      </c>
      <c r="H104" s="100">
        <v>2.4500000000000002</v>
      </c>
      <c r="I104" s="100">
        <v>5.77</v>
      </c>
      <c r="J104" s="100">
        <v>0.13</v>
      </c>
      <c r="K104" s="100">
        <v>47.63</v>
      </c>
      <c r="L104" s="100">
        <v>26.64</v>
      </c>
      <c r="M104" s="100">
        <v>86.35</v>
      </c>
      <c r="N104" s="100">
        <v>2.1</v>
      </c>
      <c r="O104" s="100">
        <v>0</v>
      </c>
      <c r="P104" s="100">
        <v>0.26</v>
      </c>
      <c r="Q104" s="100">
        <v>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2.21</v>
      </c>
      <c r="C106" s="158">
        <f>MIN(C9:C104)</f>
        <v>7.35</v>
      </c>
      <c r="D106" s="158">
        <f t="shared" ref="D106:Q106" si="0">MIN(D9:D104)</f>
        <v>8.81</v>
      </c>
      <c r="E106" s="158">
        <f t="shared" si="0"/>
        <v>1.57</v>
      </c>
      <c r="F106" s="158">
        <f t="shared" si="0"/>
        <v>2</v>
      </c>
      <c r="G106" s="158">
        <f t="shared" si="0"/>
        <v>6.18</v>
      </c>
      <c r="H106" s="158">
        <f t="shared" si="0"/>
        <v>1.34</v>
      </c>
      <c r="I106" s="158">
        <f t="shared" si="0"/>
        <v>2.2799999999999998</v>
      </c>
      <c r="J106" s="158">
        <f t="shared" si="0"/>
        <v>0.06</v>
      </c>
      <c r="K106" s="158">
        <f t="shared" si="0"/>
        <v>9.08</v>
      </c>
      <c r="L106" s="158">
        <f t="shared" si="0"/>
        <v>24.17</v>
      </c>
      <c r="M106" s="158">
        <f t="shared" si="0"/>
        <v>71.91</v>
      </c>
      <c r="N106" s="158">
        <f t="shared" si="0"/>
        <v>2</v>
      </c>
      <c r="O106" s="158">
        <f t="shared" si="0"/>
        <v>0</v>
      </c>
      <c r="P106" s="158">
        <f t="shared" si="0"/>
        <v>0.12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11.33</v>
      </c>
      <c r="C107" s="157">
        <f t="shared" ref="C107:Q107" si="1">MAX(C9:C104)</f>
        <v>19.95</v>
      </c>
      <c r="D107" s="157">
        <f t="shared" si="1"/>
        <v>17.38</v>
      </c>
      <c r="E107" s="157">
        <f t="shared" si="1"/>
        <v>5.73</v>
      </c>
      <c r="F107" s="157">
        <f t="shared" si="1"/>
        <v>27.92</v>
      </c>
      <c r="G107" s="157">
        <f t="shared" si="1"/>
        <v>18.829999999999998</v>
      </c>
      <c r="H107" s="157">
        <f t="shared" si="1"/>
        <v>3.7</v>
      </c>
      <c r="I107" s="157">
        <f t="shared" si="1"/>
        <v>6.88</v>
      </c>
      <c r="J107" s="157">
        <f t="shared" si="1"/>
        <v>1.1499999999999999</v>
      </c>
      <c r="K107" s="157">
        <f t="shared" si="1"/>
        <v>228.21</v>
      </c>
      <c r="L107" s="157">
        <f t="shared" si="1"/>
        <v>30.7</v>
      </c>
      <c r="M107" s="157">
        <f t="shared" si="1"/>
        <v>90.83</v>
      </c>
      <c r="N107" s="157">
        <f t="shared" si="1"/>
        <v>432.6</v>
      </c>
      <c r="O107" s="157">
        <f t="shared" si="1"/>
        <v>0</v>
      </c>
      <c r="P107" s="157">
        <f t="shared" si="1"/>
        <v>0.43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8.5004166666666645</v>
      </c>
      <c r="C108" s="158">
        <f t="shared" ref="C108:Q108" si="2">AVERAGE(C9:C104)</f>
        <v>12.301145833333331</v>
      </c>
      <c r="D108" s="158">
        <f t="shared" si="2"/>
        <v>13.243854166666663</v>
      </c>
      <c r="E108" s="158">
        <f t="shared" si="2"/>
        <v>4.3817708333333352</v>
      </c>
      <c r="F108" s="158">
        <f t="shared" si="2"/>
        <v>3.9101041666666649</v>
      </c>
      <c r="G108" s="158">
        <f t="shared" si="2"/>
        <v>12.784895833333325</v>
      </c>
      <c r="H108" s="158">
        <f t="shared" si="2"/>
        <v>2.4187499999999997</v>
      </c>
      <c r="I108" s="158">
        <f t="shared" si="2"/>
        <v>5.0230208333333328</v>
      </c>
      <c r="J108" s="158">
        <f t="shared" si="2"/>
        <v>0.30249999999999999</v>
      </c>
      <c r="K108" s="158">
        <f t="shared" si="2"/>
        <v>113.02197916666664</v>
      </c>
      <c r="L108" s="158">
        <f t="shared" si="2"/>
        <v>27.240208333333339</v>
      </c>
      <c r="M108" s="158">
        <f t="shared" si="2"/>
        <v>83.942499999999981</v>
      </c>
      <c r="N108" s="158">
        <f t="shared" si="2"/>
        <v>70.030208333333306</v>
      </c>
      <c r="O108" s="158">
        <f t="shared" si="2"/>
        <v>0</v>
      </c>
      <c r="P108" s="158">
        <f t="shared" si="2"/>
        <v>0.30854166666666671</v>
      </c>
      <c r="Q108" s="158">
        <f t="shared" si="2"/>
        <v>3.3333333333333335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2.160699163972859</v>
      </c>
      <c r="C109" s="158">
        <f t="shared" ref="C109:Q109" si="3">STDEV(C9:C104)</f>
        <v>2.4503051882063409</v>
      </c>
      <c r="D109" s="158">
        <f t="shared" si="3"/>
        <v>1.8387572289266092</v>
      </c>
      <c r="E109" s="158">
        <f t="shared" si="3"/>
        <v>1.0838838496635095</v>
      </c>
      <c r="F109" s="158">
        <f t="shared" si="3"/>
        <v>4.4893948706729478</v>
      </c>
      <c r="G109" s="158">
        <f t="shared" si="3"/>
        <v>4.5760253943884432</v>
      </c>
      <c r="H109" s="158">
        <f t="shared" si="3"/>
        <v>0.65948823859270445</v>
      </c>
      <c r="I109" s="158">
        <f t="shared" si="3"/>
        <v>1.0711372409897297</v>
      </c>
      <c r="J109" s="158">
        <f t="shared" si="3"/>
        <v>0.2449532715910484</v>
      </c>
      <c r="K109" s="158">
        <f t="shared" si="3"/>
        <v>77.479015843269991</v>
      </c>
      <c r="L109" s="158">
        <f t="shared" si="3"/>
        <v>1.7086553526194479</v>
      </c>
      <c r="M109" s="158">
        <f t="shared" si="3"/>
        <v>5.0728252275703039</v>
      </c>
      <c r="N109" s="158">
        <f t="shared" si="3"/>
        <v>101.09876475875272</v>
      </c>
      <c r="O109" s="158">
        <f t="shared" si="3"/>
        <v>0</v>
      </c>
      <c r="P109" s="158">
        <f t="shared" si="3"/>
        <v>8.526095134679948E-2</v>
      </c>
      <c r="Q109" s="158">
        <f t="shared" si="3"/>
        <v>4.7387910220727383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G11" sqref="G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1297</v>
      </c>
      <c r="B9" s="100">
        <v>12.36</v>
      </c>
      <c r="C9" s="100">
        <v>8.66</v>
      </c>
      <c r="D9" s="100">
        <v>14.44</v>
      </c>
      <c r="E9" s="100">
        <v>5.48</v>
      </c>
      <c r="F9" s="100">
        <v>2</v>
      </c>
      <c r="G9" s="100">
        <v>16.68</v>
      </c>
      <c r="H9" s="100">
        <v>2.4500000000000002</v>
      </c>
      <c r="I9" s="100">
        <v>5.94</v>
      </c>
      <c r="J9" s="100">
        <v>0.09</v>
      </c>
      <c r="K9" s="100">
        <v>47.21</v>
      </c>
      <c r="L9" s="100">
        <v>26.75</v>
      </c>
      <c r="M9" s="100">
        <v>86.16</v>
      </c>
      <c r="N9" s="100">
        <v>2.1</v>
      </c>
      <c r="O9" s="100">
        <v>0</v>
      </c>
      <c r="P9" s="100">
        <v>0.25</v>
      </c>
      <c r="Q9" s="100">
        <v>0</v>
      </c>
      <c r="R9" s="6"/>
      <c r="S9" s="6"/>
      <c r="T9" s="156"/>
      <c r="U9" s="6"/>
    </row>
    <row r="10" spans="1:21" customFormat="1">
      <c r="A10" s="201" t="s">
        <v>1298</v>
      </c>
      <c r="B10" s="100">
        <v>12.25</v>
      </c>
      <c r="C10" s="100">
        <v>8.0299999999999994</v>
      </c>
      <c r="D10" s="100">
        <v>14.02</v>
      </c>
      <c r="E10" s="100">
        <v>5.51</v>
      </c>
      <c r="F10" s="100">
        <v>2</v>
      </c>
      <c r="G10" s="100">
        <v>16.68</v>
      </c>
      <c r="H10" s="100">
        <v>2.4500000000000002</v>
      </c>
      <c r="I10" s="100">
        <v>5.83</v>
      </c>
      <c r="J10" s="100">
        <v>0.06</v>
      </c>
      <c r="K10" s="100">
        <v>23.48</v>
      </c>
      <c r="L10" s="100">
        <v>26.74</v>
      </c>
      <c r="M10" s="100">
        <v>86.07</v>
      </c>
      <c r="N10" s="100">
        <v>2.2000000000000002</v>
      </c>
      <c r="O10" s="100">
        <v>0</v>
      </c>
      <c r="P10" s="100">
        <v>0.27</v>
      </c>
      <c r="Q10" s="100">
        <v>0</v>
      </c>
      <c r="R10" s="6"/>
      <c r="S10" s="6"/>
      <c r="T10" s="156"/>
      <c r="U10" s="6"/>
    </row>
    <row r="11" spans="1:21" customFormat="1">
      <c r="A11" s="201" t="s">
        <v>1299</v>
      </c>
      <c r="B11" s="100">
        <v>12</v>
      </c>
      <c r="C11" s="100">
        <v>9.08</v>
      </c>
      <c r="D11" s="100">
        <v>14.37</v>
      </c>
      <c r="E11" s="100">
        <v>5.47</v>
      </c>
      <c r="F11" s="100">
        <v>2.06</v>
      </c>
      <c r="G11" s="100">
        <v>17.04</v>
      </c>
      <c r="H11" s="100">
        <v>2.54</v>
      </c>
      <c r="I11" s="100">
        <v>5.74</v>
      </c>
      <c r="J11" s="100">
        <v>0.02</v>
      </c>
      <c r="K11" s="100">
        <v>89.26</v>
      </c>
      <c r="L11" s="100">
        <v>26.72</v>
      </c>
      <c r="M11" s="100">
        <v>87.27</v>
      </c>
      <c r="N11" s="100">
        <v>2.4</v>
      </c>
      <c r="O11" s="100">
        <v>0</v>
      </c>
      <c r="P11" s="100">
        <v>0.27</v>
      </c>
      <c r="Q11" s="100">
        <v>0</v>
      </c>
      <c r="R11" s="6"/>
      <c r="S11" s="6"/>
      <c r="T11" s="156"/>
      <c r="U11" s="6"/>
    </row>
    <row r="12" spans="1:21" customFormat="1">
      <c r="A12" s="201" t="s">
        <v>1300</v>
      </c>
      <c r="B12" s="100">
        <v>12.63</v>
      </c>
      <c r="C12" s="100">
        <v>8.26</v>
      </c>
      <c r="D12" s="100">
        <v>14.44</v>
      </c>
      <c r="E12" s="100">
        <v>5.8</v>
      </c>
      <c r="F12" s="100">
        <v>2</v>
      </c>
      <c r="G12" s="100">
        <v>17.13</v>
      </c>
      <c r="H12" s="100">
        <v>2.54</v>
      </c>
      <c r="I12" s="100">
        <v>5.87</v>
      </c>
      <c r="J12" s="100">
        <v>0.12</v>
      </c>
      <c r="K12" s="100">
        <v>67.75</v>
      </c>
      <c r="L12" s="100">
        <v>26.69</v>
      </c>
      <c r="M12" s="100">
        <v>87.34</v>
      </c>
      <c r="N12" s="100">
        <v>2.2999999999999998</v>
      </c>
      <c r="O12" s="100">
        <v>0</v>
      </c>
      <c r="P12" s="100">
        <v>0.24</v>
      </c>
      <c r="Q12" s="100">
        <v>0</v>
      </c>
      <c r="R12" s="6"/>
      <c r="S12" s="6"/>
      <c r="T12" s="156"/>
      <c r="U12" s="6"/>
    </row>
    <row r="13" spans="1:21" customFormat="1">
      <c r="A13" s="201" t="s">
        <v>1301</v>
      </c>
      <c r="B13" s="100">
        <v>13.11</v>
      </c>
      <c r="C13" s="100">
        <v>7.75</v>
      </c>
      <c r="D13" s="100">
        <v>14.56</v>
      </c>
      <c r="E13" s="100">
        <v>5.45</v>
      </c>
      <c r="F13" s="100">
        <v>2</v>
      </c>
      <c r="G13" s="100">
        <v>17.13</v>
      </c>
      <c r="H13" s="100">
        <v>2.54</v>
      </c>
      <c r="I13" s="100">
        <v>5.91</v>
      </c>
      <c r="J13" s="100">
        <v>0.16</v>
      </c>
      <c r="K13" s="100">
        <v>60.83</v>
      </c>
      <c r="L13" s="100">
        <v>26.7</v>
      </c>
      <c r="M13" s="100">
        <v>87.21</v>
      </c>
      <c r="N13" s="100">
        <v>2.4</v>
      </c>
      <c r="O13" s="100">
        <v>0</v>
      </c>
      <c r="P13" s="100">
        <v>0.26</v>
      </c>
      <c r="Q13" s="100">
        <v>0</v>
      </c>
      <c r="R13" s="6"/>
      <c r="S13" s="6"/>
      <c r="T13" s="156"/>
      <c r="U13" s="6"/>
    </row>
    <row r="14" spans="1:21" customFormat="1">
      <c r="A14" s="201" t="s">
        <v>1302</v>
      </c>
      <c r="B14" s="100">
        <v>13.37</v>
      </c>
      <c r="C14" s="100">
        <v>7.7</v>
      </c>
      <c r="D14" s="100">
        <v>14.74</v>
      </c>
      <c r="E14" s="100">
        <v>5.93</v>
      </c>
      <c r="F14" s="100">
        <v>2.0099999999999998</v>
      </c>
      <c r="G14" s="100">
        <v>17.13</v>
      </c>
      <c r="H14" s="100">
        <v>2.54</v>
      </c>
      <c r="I14" s="100">
        <v>5.86</v>
      </c>
      <c r="J14" s="100">
        <v>0.34</v>
      </c>
      <c r="K14" s="100">
        <v>51.6</v>
      </c>
      <c r="L14" s="100">
        <v>26.67</v>
      </c>
      <c r="M14" s="100">
        <v>87.63</v>
      </c>
      <c r="N14" s="100">
        <v>2.5</v>
      </c>
      <c r="O14" s="100">
        <v>0</v>
      </c>
      <c r="P14" s="100">
        <v>0.27</v>
      </c>
      <c r="Q14" s="100">
        <v>0</v>
      </c>
      <c r="R14" s="6"/>
      <c r="S14" s="6"/>
      <c r="T14" s="156"/>
      <c r="U14" s="6"/>
    </row>
    <row r="15" spans="1:21" customFormat="1">
      <c r="A15" s="201" t="s">
        <v>1303</v>
      </c>
      <c r="B15" s="100">
        <v>13</v>
      </c>
      <c r="C15" s="100">
        <v>7.66</v>
      </c>
      <c r="D15" s="100">
        <v>14.42</v>
      </c>
      <c r="E15" s="100">
        <v>5.69</v>
      </c>
      <c r="F15" s="100">
        <v>2.23</v>
      </c>
      <c r="G15" s="100">
        <v>18.350000000000001</v>
      </c>
      <c r="H15" s="100">
        <v>3.11</v>
      </c>
      <c r="I15" s="100">
        <v>5.93</v>
      </c>
      <c r="J15" s="100">
        <v>0.2</v>
      </c>
      <c r="K15" s="100">
        <v>63.61</v>
      </c>
      <c r="L15" s="100">
        <v>26.14</v>
      </c>
      <c r="M15" s="100">
        <v>87.65</v>
      </c>
      <c r="N15" s="100">
        <v>3.3</v>
      </c>
      <c r="O15" s="100">
        <v>0</v>
      </c>
      <c r="P15" s="100">
        <v>0.26</v>
      </c>
      <c r="Q15" s="100">
        <v>0</v>
      </c>
      <c r="R15" s="6"/>
      <c r="S15" s="6"/>
      <c r="T15" s="156"/>
      <c r="U15" s="6"/>
    </row>
    <row r="16" spans="1:21" customFormat="1">
      <c r="A16" s="201" t="s">
        <v>1304</v>
      </c>
      <c r="B16" s="100">
        <v>13.3</v>
      </c>
      <c r="C16" s="100">
        <v>7.76</v>
      </c>
      <c r="D16" s="100">
        <v>14.72</v>
      </c>
      <c r="E16" s="100">
        <v>6.2</v>
      </c>
      <c r="F16" s="100">
        <v>2.1</v>
      </c>
      <c r="G16" s="100">
        <v>18.66</v>
      </c>
      <c r="H16" s="100">
        <v>3.11</v>
      </c>
      <c r="I16" s="100">
        <v>5.89</v>
      </c>
      <c r="J16" s="100">
        <v>0.17</v>
      </c>
      <c r="K16" s="100">
        <v>62.03</v>
      </c>
      <c r="L16" s="100">
        <v>25.39</v>
      </c>
      <c r="M16" s="100">
        <v>87.74</v>
      </c>
      <c r="N16" s="100">
        <v>3.2</v>
      </c>
      <c r="O16" s="100">
        <v>0</v>
      </c>
      <c r="P16" s="100">
        <v>0.28000000000000003</v>
      </c>
      <c r="Q16" s="100">
        <v>0</v>
      </c>
      <c r="R16" s="6"/>
      <c r="S16" s="6"/>
      <c r="T16" s="156"/>
      <c r="U16" s="6"/>
    </row>
    <row r="17" spans="1:21" customFormat="1">
      <c r="A17" s="201" t="s">
        <v>1305</v>
      </c>
      <c r="B17" s="100">
        <v>13.41</v>
      </c>
      <c r="C17" s="100">
        <v>7.52</v>
      </c>
      <c r="D17" s="100">
        <v>14.69</v>
      </c>
      <c r="E17" s="100">
        <v>4.47</v>
      </c>
      <c r="F17" s="100">
        <v>2</v>
      </c>
      <c r="G17" s="100">
        <v>18.66</v>
      </c>
      <c r="H17" s="100">
        <v>3.11</v>
      </c>
      <c r="I17" s="100">
        <v>5.86</v>
      </c>
      <c r="J17" s="100">
        <v>1.01</v>
      </c>
      <c r="K17" s="100">
        <v>37.17</v>
      </c>
      <c r="L17" s="100">
        <v>24.67</v>
      </c>
      <c r="M17" s="100">
        <v>88.91</v>
      </c>
      <c r="N17" s="100">
        <v>3.6</v>
      </c>
      <c r="O17" s="100">
        <v>0</v>
      </c>
      <c r="P17" s="100">
        <v>0.26</v>
      </c>
      <c r="Q17" s="100">
        <v>0</v>
      </c>
      <c r="R17" s="6"/>
      <c r="S17" s="6"/>
      <c r="T17" s="156"/>
      <c r="U17" s="6"/>
    </row>
    <row r="18" spans="1:21" customFormat="1">
      <c r="A18" s="201" t="s">
        <v>1306</v>
      </c>
      <c r="B18" s="100">
        <v>13.34</v>
      </c>
      <c r="C18" s="100">
        <v>7.5</v>
      </c>
      <c r="D18" s="100">
        <v>14.62</v>
      </c>
      <c r="E18" s="100">
        <v>5.01</v>
      </c>
      <c r="F18" s="100">
        <v>2.2400000000000002</v>
      </c>
      <c r="G18" s="100">
        <v>18.66</v>
      </c>
      <c r="H18" s="100">
        <v>3.11</v>
      </c>
      <c r="I18" s="100">
        <v>5.95</v>
      </c>
      <c r="J18" s="100">
        <v>0.08</v>
      </c>
      <c r="K18" s="100">
        <v>320.27</v>
      </c>
      <c r="L18" s="100">
        <v>24.14</v>
      </c>
      <c r="M18" s="100">
        <v>89.35</v>
      </c>
      <c r="N18" s="100">
        <v>3.3</v>
      </c>
      <c r="O18" s="100">
        <v>0</v>
      </c>
      <c r="P18" s="100">
        <v>0.24</v>
      </c>
      <c r="Q18" s="100">
        <v>0</v>
      </c>
      <c r="R18" s="6"/>
      <c r="S18" s="6"/>
      <c r="T18" s="156"/>
      <c r="U18" s="6"/>
    </row>
    <row r="19" spans="1:21" customFormat="1">
      <c r="A19" s="201" t="s">
        <v>1307</v>
      </c>
      <c r="B19" s="100">
        <v>13.23</v>
      </c>
      <c r="C19" s="100">
        <v>7.99</v>
      </c>
      <c r="D19" s="100">
        <v>14.78</v>
      </c>
      <c r="E19" s="100">
        <v>4.87</v>
      </c>
      <c r="F19" s="100">
        <v>2</v>
      </c>
      <c r="G19" s="100">
        <v>15.43</v>
      </c>
      <c r="H19" s="100">
        <v>2.7</v>
      </c>
      <c r="I19" s="100">
        <v>5.94</v>
      </c>
      <c r="J19" s="100">
        <v>0.34</v>
      </c>
      <c r="K19" s="100">
        <v>188.24</v>
      </c>
      <c r="L19" s="100">
        <v>23.94</v>
      </c>
      <c r="M19" s="100">
        <v>89.26</v>
      </c>
      <c r="N19" s="100">
        <v>2.2000000000000002</v>
      </c>
      <c r="O19" s="100">
        <v>0</v>
      </c>
      <c r="P19" s="100">
        <v>0.27</v>
      </c>
      <c r="Q19" s="100">
        <v>0</v>
      </c>
      <c r="R19" s="6"/>
      <c r="S19" s="6"/>
      <c r="T19" s="156"/>
      <c r="U19" s="6"/>
    </row>
    <row r="20" spans="1:21" customFormat="1">
      <c r="A20" s="201" t="s">
        <v>1308</v>
      </c>
      <c r="B20" s="100">
        <v>13.08</v>
      </c>
      <c r="C20" s="100">
        <v>7.93</v>
      </c>
      <c r="D20" s="100">
        <v>14.63</v>
      </c>
      <c r="E20" s="100">
        <v>5.3</v>
      </c>
      <c r="F20" s="100">
        <v>2</v>
      </c>
      <c r="G20" s="100">
        <v>14.57</v>
      </c>
      <c r="H20" s="100">
        <v>2.7</v>
      </c>
      <c r="I20" s="100">
        <v>5.78</v>
      </c>
      <c r="J20" s="100">
        <v>0.33</v>
      </c>
      <c r="K20" s="100">
        <v>219.45</v>
      </c>
      <c r="L20" s="100">
        <v>24.22</v>
      </c>
      <c r="M20" s="100">
        <v>89.48</v>
      </c>
      <c r="N20" s="100">
        <v>2</v>
      </c>
      <c r="O20" s="100">
        <v>0</v>
      </c>
      <c r="P20" s="100">
        <v>0.25</v>
      </c>
      <c r="Q20" s="100">
        <v>0</v>
      </c>
      <c r="R20" s="6"/>
      <c r="S20" s="6"/>
      <c r="T20" s="156"/>
      <c r="U20" s="6"/>
    </row>
    <row r="21" spans="1:21" customFormat="1">
      <c r="A21" s="201" t="s">
        <v>1309</v>
      </c>
      <c r="B21" s="100">
        <v>12.96</v>
      </c>
      <c r="C21" s="100">
        <v>7.78</v>
      </c>
      <c r="D21" s="100">
        <v>14.46</v>
      </c>
      <c r="E21" s="100">
        <v>5.08</v>
      </c>
      <c r="F21" s="100">
        <v>2</v>
      </c>
      <c r="G21" s="100">
        <v>14.57</v>
      </c>
      <c r="H21" s="100">
        <v>2.7</v>
      </c>
      <c r="I21" s="100">
        <v>5.92</v>
      </c>
      <c r="J21" s="100">
        <v>0.12</v>
      </c>
      <c r="K21" s="100">
        <v>197.06</v>
      </c>
      <c r="L21" s="100">
        <v>24.44</v>
      </c>
      <c r="M21" s="100">
        <v>89.52</v>
      </c>
      <c r="N21" s="100">
        <v>2.1</v>
      </c>
      <c r="O21" s="100">
        <v>0</v>
      </c>
      <c r="P21" s="100">
        <v>0.22</v>
      </c>
      <c r="Q21" s="100">
        <v>0</v>
      </c>
      <c r="R21" s="6"/>
      <c r="S21" s="6"/>
      <c r="T21" s="156"/>
      <c r="U21" s="6"/>
    </row>
    <row r="22" spans="1:21" customFormat="1">
      <c r="A22" s="201" t="s">
        <v>1310</v>
      </c>
      <c r="B22" s="100">
        <v>12.87</v>
      </c>
      <c r="C22" s="100">
        <v>8.4499999999999993</v>
      </c>
      <c r="D22" s="100">
        <v>14.73</v>
      </c>
      <c r="E22" s="100">
        <v>5.24</v>
      </c>
      <c r="F22" s="100">
        <v>2</v>
      </c>
      <c r="G22" s="100">
        <v>14.57</v>
      </c>
      <c r="H22" s="100">
        <v>2.7</v>
      </c>
      <c r="I22" s="100">
        <v>5.73</v>
      </c>
      <c r="J22" s="100">
        <v>0.21</v>
      </c>
      <c r="K22" s="100">
        <v>28.23</v>
      </c>
      <c r="L22" s="100">
        <v>24.44</v>
      </c>
      <c r="M22" s="100">
        <v>89.25</v>
      </c>
      <c r="N22" s="100">
        <v>2.5</v>
      </c>
      <c r="O22" s="100">
        <v>0</v>
      </c>
      <c r="P22" s="100">
        <v>0.25</v>
      </c>
      <c r="Q22" s="100">
        <v>0</v>
      </c>
      <c r="R22" s="6"/>
      <c r="S22" s="6"/>
      <c r="T22" s="156"/>
      <c r="U22" s="6"/>
    </row>
    <row r="23" spans="1:21" customFormat="1">
      <c r="A23" s="201" t="s">
        <v>1311</v>
      </c>
      <c r="B23" s="100">
        <v>12.94</v>
      </c>
      <c r="C23" s="100">
        <v>9.16</v>
      </c>
      <c r="D23" s="100">
        <v>15.16</v>
      </c>
      <c r="E23" s="100">
        <v>5.16</v>
      </c>
      <c r="F23" s="100">
        <v>2</v>
      </c>
      <c r="G23" s="100">
        <v>12.36</v>
      </c>
      <c r="H23" s="100">
        <v>2.4700000000000002</v>
      </c>
      <c r="I23" s="100">
        <v>5.57</v>
      </c>
      <c r="J23" s="100">
        <v>0.13</v>
      </c>
      <c r="K23" s="100">
        <v>225.17</v>
      </c>
      <c r="L23" s="100">
        <v>24.44</v>
      </c>
      <c r="M23" s="100">
        <v>89.21</v>
      </c>
      <c r="N23" s="100">
        <v>2.2999999999999998</v>
      </c>
      <c r="O23" s="100">
        <v>0</v>
      </c>
      <c r="P23" s="100">
        <v>0.27</v>
      </c>
      <c r="Q23" s="100">
        <v>0</v>
      </c>
      <c r="R23" s="6"/>
      <c r="S23" s="6"/>
      <c r="T23" s="156"/>
      <c r="U23" s="6"/>
    </row>
    <row r="24" spans="1:21" customFormat="1">
      <c r="A24" s="201" t="s">
        <v>1312</v>
      </c>
      <c r="B24" s="100">
        <v>13.22</v>
      </c>
      <c r="C24" s="100">
        <v>9.56</v>
      </c>
      <c r="D24" s="100">
        <v>15.6</v>
      </c>
      <c r="E24" s="100">
        <v>5.46</v>
      </c>
      <c r="F24" s="100">
        <v>2</v>
      </c>
      <c r="G24" s="100">
        <v>11.77</v>
      </c>
      <c r="H24" s="100">
        <v>2.4700000000000002</v>
      </c>
      <c r="I24" s="100">
        <v>5.59</v>
      </c>
      <c r="J24" s="100">
        <v>0.09</v>
      </c>
      <c r="K24" s="100">
        <v>46.06</v>
      </c>
      <c r="L24" s="100">
        <v>24.56</v>
      </c>
      <c r="M24" s="100">
        <v>89.07</v>
      </c>
      <c r="N24" s="100">
        <v>2.1</v>
      </c>
      <c r="O24" s="100">
        <v>0</v>
      </c>
      <c r="P24" s="100">
        <v>0.27</v>
      </c>
      <c r="Q24" s="100">
        <v>0</v>
      </c>
      <c r="R24" s="6"/>
      <c r="S24" s="6"/>
      <c r="T24" s="156"/>
      <c r="U24" s="6"/>
    </row>
    <row r="25" spans="1:21" customFormat="1">
      <c r="A25" s="201" t="s">
        <v>1313</v>
      </c>
      <c r="B25" s="100">
        <v>13.53</v>
      </c>
      <c r="C25" s="100">
        <v>9.81</v>
      </c>
      <c r="D25" s="100">
        <v>15.97</v>
      </c>
      <c r="E25" s="100">
        <v>5.53</v>
      </c>
      <c r="F25" s="100">
        <v>2.0099999999999998</v>
      </c>
      <c r="G25" s="100">
        <v>11.77</v>
      </c>
      <c r="H25" s="100">
        <v>2.4700000000000002</v>
      </c>
      <c r="I25" s="100">
        <v>5.44</v>
      </c>
      <c r="J25" s="100">
        <v>7.0000000000000007E-2</v>
      </c>
      <c r="K25" s="100">
        <v>168.05</v>
      </c>
      <c r="L25" s="100">
        <v>24.74</v>
      </c>
      <c r="M25" s="100">
        <v>88.84</v>
      </c>
      <c r="N25" s="100">
        <v>2.2000000000000002</v>
      </c>
      <c r="O25" s="100">
        <v>0</v>
      </c>
      <c r="P25" s="100">
        <v>0.27</v>
      </c>
      <c r="Q25" s="100">
        <v>0</v>
      </c>
      <c r="R25" s="6"/>
      <c r="S25" s="6"/>
      <c r="T25" s="156"/>
      <c r="U25" s="6"/>
    </row>
    <row r="26" spans="1:21" customFormat="1">
      <c r="A26" s="201" t="s">
        <v>1314</v>
      </c>
      <c r="B26" s="100">
        <v>13.68</v>
      </c>
      <c r="C26" s="100">
        <v>9.86</v>
      </c>
      <c r="D26" s="100">
        <v>16.13</v>
      </c>
      <c r="E26" s="100">
        <v>5.46</v>
      </c>
      <c r="F26" s="100">
        <v>2</v>
      </c>
      <c r="G26" s="100">
        <v>11.77</v>
      </c>
      <c r="H26" s="100">
        <v>2.4700000000000002</v>
      </c>
      <c r="I26" s="100">
        <v>5.29</v>
      </c>
      <c r="J26" s="100">
        <v>0.06</v>
      </c>
      <c r="K26" s="100">
        <v>204.39</v>
      </c>
      <c r="L26" s="100">
        <v>24.8</v>
      </c>
      <c r="M26" s="100">
        <v>88.86</v>
      </c>
      <c r="N26" s="100">
        <v>2.2999999999999998</v>
      </c>
      <c r="O26" s="100">
        <v>0</v>
      </c>
      <c r="P26" s="100">
        <v>0.26</v>
      </c>
      <c r="Q26" s="100">
        <v>0</v>
      </c>
      <c r="R26" s="6"/>
      <c r="S26" s="6"/>
      <c r="T26" s="156"/>
      <c r="U26" s="6"/>
    </row>
    <row r="27" spans="1:21" customFormat="1">
      <c r="A27" s="201" t="s">
        <v>1315</v>
      </c>
      <c r="B27" s="100">
        <v>13.97</v>
      </c>
      <c r="C27" s="100">
        <v>9.9</v>
      </c>
      <c r="D27" s="100">
        <v>16.37</v>
      </c>
      <c r="E27" s="100">
        <v>5.56</v>
      </c>
      <c r="F27" s="100">
        <v>2</v>
      </c>
      <c r="G27" s="100">
        <v>10.91</v>
      </c>
      <c r="H27" s="100">
        <v>2.62</v>
      </c>
      <c r="I27" s="100">
        <v>5.17</v>
      </c>
      <c r="J27" s="100">
        <v>0.08</v>
      </c>
      <c r="K27" s="100">
        <v>211.52</v>
      </c>
      <c r="L27" s="100">
        <v>24.82</v>
      </c>
      <c r="M27" s="100">
        <v>88.82</v>
      </c>
      <c r="N27" s="100">
        <v>2.2999999999999998</v>
      </c>
      <c r="O27" s="100">
        <v>0</v>
      </c>
      <c r="P27" s="100">
        <v>0.25</v>
      </c>
      <c r="Q27" s="100">
        <v>0</v>
      </c>
      <c r="R27" s="6"/>
      <c r="S27" s="6"/>
      <c r="T27" s="156"/>
      <c r="U27" s="6"/>
    </row>
    <row r="28" spans="1:21" customFormat="1">
      <c r="A28" s="201" t="s">
        <v>1316</v>
      </c>
      <c r="B28" s="100">
        <v>14.11</v>
      </c>
      <c r="C28" s="100">
        <v>9.8800000000000008</v>
      </c>
      <c r="D28" s="100">
        <v>16.48</v>
      </c>
      <c r="E28" s="100">
        <v>5.67</v>
      </c>
      <c r="F28" s="100">
        <v>2</v>
      </c>
      <c r="G28" s="100">
        <v>10.68</v>
      </c>
      <c r="H28" s="100">
        <v>2.62</v>
      </c>
      <c r="I28" s="100">
        <v>5.05</v>
      </c>
      <c r="J28" s="100">
        <v>0.05</v>
      </c>
      <c r="K28" s="100">
        <v>44.03</v>
      </c>
      <c r="L28" s="100">
        <v>24.81</v>
      </c>
      <c r="M28" s="100">
        <v>88.6</v>
      </c>
      <c r="N28" s="100">
        <v>2.2999999999999998</v>
      </c>
      <c r="O28" s="100">
        <v>0</v>
      </c>
      <c r="P28" s="100">
        <v>0.24</v>
      </c>
      <c r="Q28" s="100">
        <v>0</v>
      </c>
      <c r="R28" s="6"/>
      <c r="S28" s="6"/>
      <c r="T28" s="156"/>
      <c r="U28" s="6"/>
    </row>
    <row r="29" spans="1:21" customFormat="1">
      <c r="A29" s="201" t="s">
        <v>1317</v>
      </c>
      <c r="B29" s="100">
        <v>14.17</v>
      </c>
      <c r="C29" s="100">
        <v>9.66</v>
      </c>
      <c r="D29" s="100">
        <v>16.41</v>
      </c>
      <c r="E29" s="100">
        <v>5.82</v>
      </c>
      <c r="F29" s="100">
        <v>2</v>
      </c>
      <c r="G29" s="100">
        <v>10.68</v>
      </c>
      <c r="H29" s="100">
        <v>2.62</v>
      </c>
      <c r="I29" s="100">
        <v>4.93</v>
      </c>
      <c r="J29" s="100">
        <v>7.0000000000000007E-2</v>
      </c>
      <c r="K29" s="100">
        <v>26.34</v>
      </c>
      <c r="L29" s="100">
        <v>24.88</v>
      </c>
      <c r="M29" s="100">
        <v>88.56</v>
      </c>
      <c r="N29" s="100">
        <v>2.4</v>
      </c>
      <c r="O29" s="100">
        <v>0</v>
      </c>
      <c r="P29" s="100">
        <v>0.24</v>
      </c>
      <c r="Q29" s="100">
        <v>0</v>
      </c>
      <c r="R29" s="6"/>
      <c r="S29" s="6"/>
      <c r="T29" s="156"/>
      <c r="U29" s="6"/>
    </row>
    <row r="30" spans="1:21" customFormat="1">
      <c r="A30" s="201" t="s">
        <v>1318</v>
      </c>
      <c r="B30" s="100">
        <v>14.27</v>
      </c>
      <c r="C30" s="100">
        <v>9.57</v>
      </c>
      <c r="D30" s="100">
        <v>16.440000000000001</v>
      </c>
      <c r="E30" s="100">
        <v>5.89</v>
      </c>
      <c r="F30" s="100">
        <v>2</v>
      </c>
      <c r="G30" s="100">
        <v>10.68</v>
      </c>
      <c r="H30" s="100">
        <v>2.62</v>
      </c>
      <c r="I30" s="100">
        <v>4.8499999999999996</v>
      </c>
      <c r="J30" s="100">
        <v>0.33</v>
      </c>
      <c r="K30" s="100">
        <v>30.46</v>
      </c>
      <c r="L30" s="100">
        <v>24.9</v>
      </c>
      <c r="M30" s="100">
        <v>88</v>
      </c>
      <c r="N30" s="100">
        <v>2.8</v>
      </c>
      <c r="O30" s="100">
        <v>0</v>
      </c>
      <c r="P30" s="100">
        <v>0.24</v>
      </c>
      <c r="Q30" s="100">
        <v>0</v>
      </c>
      <c r="R30" s="6"/>
      <c r="S30" s="6"/>
      <c r="T30" s="156"/>
      <c r="U30" s="6"/>
    </row>
    <row r="31" spans="1:21" customFormat="1">
      <c r="A31" s="201" t="s">
        <v>1319</v>
      </c>
      <c r="B31" s="100">
        <v>14.22</v>
      </c>
      <c r="C31" s="100">
        <v>9.67</v>
      </c>
      <c r="D31" s="100">
        <v>16.45</v>
      </c>
      <c r="E31" s="100">
        <v>5.74</v>
      </c>
      <c r="F31" s="100">
        <v>2</v>
      </c>
      <c r="G31" s="100">
        <v>9.68</v>
      </c>
      <c r="H31" s="100">
        <v>2.09</v>
      </c>
      <c r="I31" s="100">
        <v>4.8099999999999996</v>
      </c>
      <c r="J31" s="100">
        <v>0.28000000000000003</v>
      </c>
      <c r="K31" s="100">
        <v>36.19</v>
      </c>
      <c r="L31" s="100">
        <v>24.71</v>
      </c>
      <c r="M31" s="100">
        <v>87.37</v>
      </c>
      <c r="N31" s="100">
        <v>2.8</v>
      </c>
      <c r="O31" s="100">
        <v>0</v>
      </c>
      <c r="P31" s="100">
        <v>0.24</v>
      </c>
      <c r="Q31" s="100">
        <v>0</v>
      </c>
      <c r="R31" s="6"/>
      <c r="S31" s="6"/>
      <c r="T31" s="156"/>
      <c r="U31" s="6"/>
    </row>
    <row r="32" spans="1:21" customFormat="1">
      <c r="A32" s="201" t="s">
        <v>1320</v>
      </c>
      <c r="B32" s="100">
        <v>14.21</v>
      </c>
      <c r="C32" s="100">
        <v>9.8000000000000007</v>
      </c>
      <c r="D32" s="100">
        <v>16.52</v>
      </c>
      <c r="E32" s="100">
        <v>5.86</v>
      </c>
      <c r="F32" s="100">
        <v>2</v>
      </c>
      <c r="G32" s="100">
        <v>9.43</v>
      </c>
      <c r="H32" s="100">
        <v>2.09</v>
      </c>
      <c r="I32" s="100">
        <v>4.76</v>
      </c>
      <c r="J32" s="100">
        <v>0.32</v>
      </c>
      <c r="K32" s="100">
        <v>42.98</v>
      </c>
      <c r="L32" s="100">
        <v>24.62</v>
      </c>
      <c r="M32" s="100">
        <v>87.3</v>
      </c>
      <c r="N32" s="100">
        <v>4.5999999999999996</v>
      </c>
      <c r="O32" s="100">
        <v>0</v>
      </c>
      <c r="P32" s="100">
        <v>0.24</v>
      </c>
      <c r="Q32" s="100">
        <v>0</v>
      </c>
      <c r="R32" s="6"/>
      <c r="S32" s="6"/>
      <c r="T32" s="156"/>
      <c r="U32" s="6"/>
    </row>
    <row r="33" spans="1:21" customFormat="1">
      <c r="A33" s="201" t="s">
        <v>1321</v>
      </c>
      <c r="B33" s="100">
        <v>14.13</v>
      </c>
      <c r="C33" s="100">
        <v>9.75</v>
      </c>
      <c r="D33" s="100">
        <v>16.420000000000002</v>
      </c>
      <c r="E33" s="100">
        <v>5.78</v>
      </c>
      <c r="F33" s="100">
        <v>2</v>
      </c>
      <c r="G33" s="100">
        <v>9.43</v>
      </c>
      <c r="H33" s="100">
        <v>2.09</v>
      </c>
      <c r="I33" s="100">
        <v>4.76</v>
      </c>
      <c r="J33" s="100">
        <v>0.11</v>
      </c>
      <c r="K33" s="100">
        <v>80.790000000000006</v>
      </c>
      <c r="L33" s="100">
        <v>24.77</v>
      </c>
      <c r="M33" s="100">
        <v>87.48</v>
      </c>
      <c r="N33" s="100">
        <v>11.7</v>
      </c>
      <c r="O33" s="100">
        <v>0</v>
      </c>
      <c r="P33" s="100">
        <v>0.25</v>
      </c>
      <c r="Q33" s="100">
        <v>0</v>
      </c>
      <c r="R33" s="6"/>
      <c r="S33" s="6"/>
      <c r="T33" s="156"/>
      <c r="U33" s="6"/>
    </row>
    <row r="34" spans="1:21" customFormat="1">
      <c r="A34" s="201" t="s">
        <v>1322</v>
      </c>
      <c r="B34" s="100">
        <v>14.15</v>
      </c>
      <c r="C34" s="100">
        <v>9.75</v>
      </c>
      <c r="D34" s="100">
        <v>16.440000000000001</v>
      </c>
      <c r="E34" s="100">
        <v>5.65</v>
      </c>
      <c r="F34" s="100">
        <v>2</v>
      </c>
      <c r="G34" s="100">
        <v>9.43</v>
      </c>
      <c r="H34" s="100">
        <v>2.09</v>
      </c>
      <c r="I34" s="100">
        <v>4.7699999999999996</v>
      </c>
      <c r="J34" s="100">
        <v>0.17</v>
      </c>
      <c r="K34" s="100">
        <v>43.24</v>
      </c>
      <c r="L34" s="100">
        <v>24.83</v>
      </c>
      <c r="M34" s="100">
        <v>87.22</v>
      </c>
      <c r="N34" s="100">
        <v>21.7</v>
      </c>
      <c r="O34" s="100">
        <v>0</v>
      </c>
      <c r="P34" s="100">
        <v>0.25</v>
      </c>
      <c r="Q34" s="100">
        <v>0</v>
      </c>
      <c r="R34" s="6"/>
      <c r="S34" s="6"/>
      <c r="T34" s="156"/>
      <c r="U34" s="6"/>
    </row>
    <row r="35" spans="1:21" customFormat="1">
      <c r="A35" s="201" t="s">
        <v>1323</v>
      </c>
      <c r="B35" s="100">
        <v>14.34</v>
      </c>
      <c r="C35" s="100">
        <v>9.73</v>
      </c>
      <c r="D35" s="100">
        <v>16.579999999999998</v>
      </c>
      <c r="E35" s="100">
        <v>5.8</v>
      </c>
      <c r="F35" s="100">
        <v>2</v>
      </c>
      <c r="G35" s="100">
        <v>10.62</v>
      </c>
      <c r="H35" s="100">
        <v>2.71</v>
      </c>
      <c r="I35" s="100">
        <v>4.87</v>
      </c>
      <c r="J35" s="100">
        <v>0</v>
      </c>
      <c r="K35" s="100">
        <v>204.16</v>
      </c>
      <c r="L35" s="100">
        <v>25.01</v>
      </c>
      <c r="M35" s="100">
        <v>87.56</v>
      </c>
      <c r="N35" s="100">
        <v>32.200000000000003</v>
      </c>
      <c r="O35" s="100">
        <v>0</v>
      </c>
      <c r="P35" s="100">
        <v>0.25</v>
      </c>
      <c r="Q35" s="100">
        <v>0</v>
      </c>
      <c r="R35" s="6"/>
      <c r="S35" s="6"/>
      <c r="T35" s="156"/>
      <c r="U35" s="6"/>
    </row>
    <row r="36" spans="1:21" customFormat="1">
      <c r="A36" s="201" t="s">
        <v>1324</v>
      </c>
      <c r="B36" s="100">
        <v>14.51</v>
      </c>
      <c r="C36" s="100">
        <v>9.57</v>
      </c>
      <c r="D36" s="100">
        <v>16.63</v>
      </c>
      <c r="E36" s="100">
        <v>5.64</v>
      </c>
      <c r="F36" s="100">
        <v>2</v>
      </c>
      <c r="G36" s="100">
        <v>10.94</v>
      </c>
      <c r="H36" s="100">
        <v>2.71</v>
      </c>
      <c r="I36" s="100">
        <v>4.9400000000000004</v>
      </c>
      <c r="J36" s="100">
        <v>0.04</v>
      </c>
      <c r="K36" s="100">
        <v>53.75</v>
      </c>
      <c r="L36" s="100">
        <v>25.19</v>
      </c>
      <c r="M36" s="100">
        <v>87.44</v>
      </c>
      <c r="N36" s="100">
        <v>37.9</v>
      </c>
      <c r="O36" s="100">
        <v>0</v>
      </c>
      <c r="P36" s="100">
        <v>0.26</v>
      </c>
      <c r="Q36" s="100">
        <v>0</v>
      </c>
      <c r="R36" s="6"/>
      <c r="S36" s="6"/>
      <c r="T36" s="156"/>
      <c r="U36" s="6"/>
    </row>
    <row r="37" spans="1:21" customFormat="1">
      <c r="A37" s="201" t="s">
        <v>1325</v>
      </c>
      <c r="B37" s="100">
        <v>14.62</v>
      </c>
      <c r="C37" s="100">
        <v>9.4</v>
      </c>
      <c r="D37" s="100">
        <v>16.63</v>
      </c>
      <c r="E37" s="100">
        <v>5.6</v>
      </c>
      <c r="F37" s="100">
        <v>2</v>
      </c>
      <c r="G37" s="100">
        <v>10.94</v>
      </c>
      <c r="H37" s="100">
        <v>2.71</v>
      </c>
      <c r="I37" s="100">
        <v>5.04</v>
      </c>
      <c r="J37" s="100">
        <v>0.28000000000000003</v>
      </c>
      <c r="K37" s="100">
        <v>46.22</v>
      </c>
      <c r="L37" s="100">
        <v>25.4</v>
      </c>
      <c r="M37" s="100">
        <v>87.16</v>
      </c>
      <c r="N37" s="100">
        <v>68.8</v>
      </c>
      <c r="O37" s="100">
        <v>0</v>
      </c>
      <c r="P37" s="100">
        <v>0.27</v>
      </c>
      <c r="Q37" s="100">
        <v>0</v>
      </c>
      <c r="R37" s="6"/>
      <c r="S37" s="6"/>
      <c r="T37" s="156"/>
      <c r="U37" s="6"/>
    </row>
    <row r="38" spans="1:21" customFormat="1">
      <c r="A38" s="201" t="s">
        <v>1326</v>
      </c>
      <c r="B38" s="100">
        <v>14.67</v>
      </c>
      <c r="C38" s="100">
        <v>9.2799999999999994</v>
      </c>
      <c r="D38" s="100">
        <v>16.61</v>
      </c>
      <c r="E38" s="100">
        <v>5.75</v>
      </c>
      <c r="F38" s="100">
        <v>2</v>
      </c>
      <c r="G38" s="100">
        <v>10.94</v>
      </c>
      <c r="H38" s="100">
        <v>2.71</v>
      </c>
      <c r="I38" s="100">
        <v>5.0599999999999996</v>
      </c>
      <c r="J38" s="100">
        <v>0.31</v>
      </c>
      <c r="K38" s="100">
        <v>48.47</v>
      </c>
      <c r="L38" s="100">
        <v>25.62</v>
      </c>
      <c r="M38" s="100">
        <v>87.29</v>
      </c>
      <c r="N38" s="100">
        <v>68.599999999999994</v>
      </c>
      <c r="O38" s="100">
        <v>0</v>
      </c>
      <c r="P38" s="100">
        <v>0.27</v>
      </c>
      <c r="Q38" s="100">
        <v>0</v>
      </c>
      <c r="R38" s="6"/>
      <c r="S38" s="6"/>
      <c r="T38" s="156"/>
      <c r="U38" s="6"/>
    </row>
    <row r="39" spans="1:21" customFormat="1">
      <c r="A39" s="201" t="s">
        <v>1327</v>
      </c>
      <c r="B39" s="100">
        <v>14.72</v>
      </c>
      <c r="C39" s="100">
        <v>9.25</v>
      </c>
      <c r="D39" s="100">
        <v>16.63</v>
      </c>
      <c r="E39" s="100">
        <v>5.62</v>
      </c>
      <c r="F39" s="100">
        <v>2</v>
      </c>
      <c r="G39" s="100">
        <v>15.47</v>
      </c>
      <c r="H39" s="100">
        <v>3.36</v>
      </c>
      <c r="I39" s="100">
        <v>5.14</v>
      </c>
      <c r="J39" s="100">
        <v>0.46</v>
      </c>
      <c r="K39" s="100">
        <v>41.12</v>
      </c>
      <c r="L39" s="100">
        <v>25.79</v>
      </c>
      <c r="M39" s="100">
        <v>87.35</v>
      </c>
      <c r="N39" s="100">
        <v>104.5</v>
      </c>
      <c r="O39" s="100">
        <v>0</v>
      </c>
      <c r="P39" s="100">
        <v>0.27</v>
      </c>
      <c r="Q39" s="100">
        <v>0</v>
      </c>
      <c r="R39" s="6"/>
      <c r="S39" s="6"/>
      <c r="T39" s="156"/>
      <c r="U39" s="6"/>
    </row>
    <row r="40" spans="1:21" customFormat="1">
      <c r="A40" s="201" t="s">
        <v>1328</v>
      </c>
      <c r="B40" s="100">
        <v>14.83</v>
      </c>
      <c r="C40" s="100">
        <v>9.2100000000000009</v>
      </c>
      <c r="D40" s="100">
        <v>16.7</v>
      </c>
      <c r="E40" s="100">
        <v>5.93</v>
      </c>
      <c r="F40" s="100">
        <v>2</v>
      </c>
      <c r="G40" s="100">
        <v>16.68</v>
      </c>
      <c r="H40" s="100">
        <v>3.36</v>
      </c>
      <c r="I40" s="100">
        <v>5.27</v>
      </c>
      <c r="J40" s="100">
        <v>0.51</v>
      </c>
      <c r="K40" s="100">
        <v>37.630000000000003</v>
      </c>
      <c r="L40" s="100">
        <v>26.28</v>
      </c>
      <c r="M40" s="100">
        <v>86.89</v>
      </c>
      <c r="N40" s="100">
        <v>175.6</v>
      </c>
      <c r="O40" s="100">
        <v>0</v>
      </c>
      <c r="P40" s="100">
        <v>0.28000000000000003</v>
      </c>
      <c r="Q40" s="100">
        <v>0</v>
      </c>
      <c r="R40" s="6"/>
      <c r="S40" s="6"/>
      <c r="T40" s="156"/>
      <c r="U40" s="6"/>
    </row>
    <row r="41" spans="1:21" customFormat="1">
      <c r="A41" s="201" t="s">
        <v>1329</v>
      </c>
      <c r="B41" s="100">
        <v>14.77</v>
      </c>
      <c r="C41" s="100">
        <v>9.2899999999999991</v>
      </c>
      <c r="D41" s="100">
        <v>16.690000000000001</v>
      </c>
      <c r="E41" s="100">
        <v>5.71</v>
      </c>
      <c r="F41" s="100">
        <v>2.0099999999999998</v>
      </c>
      <c r="G41" s="100">
        <v>16.68</v>
      </c>
      <c r="H41" s="100">
        <v>3.36</v>
      </c>
      <c r="I41" s="100">
        <v>5.25</v>
      </c>
      <c r="J41" s="100">
        <v>0.47</v>
      </c>
      <c r="K41" s="100">
        <v>47.06</v>
      </c>
      <c r="L41" s="100">
        <v>26.7</v>
      </c>
      <c r="M41" s="100">
        <v>86.47</v>
      </c>
      <c r="N41" s="100">
        <v>182.4</v>
      </c>
      <c r="O41" s="100">
        <v>0</v>
      </c>
      <c r="P41" s="100">
        <v>0.28000000000000003</v>
      </c>
      <c r="Q41" s="100">
        <v>0</v>
      </c>
      <c r="R41" s="6"/>
      <c r="S41" s="6"/>
      <c r="T41" s="156"/>
      <c r="U41" s="6"/>
    </row>
    <row r="42" spans="1:21" customFormat="1">
      <c r="A42" s="201" t="s">
        <v>1330</v>
      </c>
      <c r="B42" s="100">
        <v>14.81</v>
      </c>
      <c r="C42" s="100">
        <v>9.3800000000000008</v>
      </c>
      <c r="D42" s="100">
        <v>16.78</v>
      </c>
      <c r="E42" s="100">
        <v>5.74</v>
      </c>
      <c r="F42" s="100">
        <v>2</v>
      </c>
      <c r="G42" s="100">
        <v>16.68</v>
      </c>
      <c r="H42" s="100">
        <v>3.36</v>
      </c>
      <c r="I42" s="100">
        <v>5.4</v>
      </c>
      <c r="J42" s="100">
        <v>0.56999999999999995</v>
      </c>
      <c r="K42" s="100">
        <v>37.729999999999997</v>
      </c>
      <c r="L42" s="100">
        <v>27.2</v>
      </c>
      <c r="M42" s="100">
        <v>87.05</v>
      </c>
      <c r="N42" s="100">
        <v>239.2</v>
      </c>
      <c r="O42" s="100">
        <v>0</v>
      </c>
      <c r="P42" s="100">
        <v>0.28000000000000003</v>
      </c>
      <c r="Q42" s="100">
        <v>0</v>
      </c>
      <c r="R42" s="6"/>
      <c r="S42" s="6"/>
      <c r="T42" s="156"/>
      <c r="U42" s="6"/>
    </row>
    <row r="43" spans="1:21" customFormat="1">
      <c r="A43" s="201" t="s">
        <v>1331</v>
      </c>
      <c r="B43" s="100">
        <v>15.33</v>
      </c>
      <c r="C43" s="100">
        <v>9.65</v>
      </c>
      <c r="D43" s="100">
        <v>17.34</v>
      </c>
      <c r="E43" s="100">
        <v>5.95</v>
      </c>
      <c r="F43" s="100">
        <v>2</v>
      </c>
      <c r="G43" s="100">
        <v>17.82</v>
      </c>
      <c r="H43" s="100">
        <v>3.62</v>
      </c>
      <c r="I43" s="100">
        <v>5.28</v>
      </c>
      <c r="J43" s="100">
        <v>0.42</v>
      </c>
      <c r="K43" s="100">
        <v>39.9</v>
      </c>
      <c r="L43" s="100">
        <v>27.76</v>
      </c>
      <c r="M43" s="100">
        <v>86.4</v>
      </c>
      <c r="N43" s="100">
        <v>261.10000000000002</v>
      </c>
      <c r="O43" s="100">
        <v>0</v>
      </c>
      <c r="P43" s="100">
        <v>0.26</v>
      </c>
      <c r="Q43" s="100">
        <v>0</v>
      </c>
      <c r="R43" s="6"/>
      <c r="S43" s="6"/>
      <c r="T43" s="156"/>
      <c r="U43" s="6"/>
    </row>
    <row r="44" spans="1:21" customFormat="1">
      <c r="A44" s="201" t="s">
        <v>1332</v>
      </c>
      <c r="B44" s="100">
        <v>15.71</v>
      </c>
      <c r="C44" s="100">
        <v>9.1999999999999993</v>
      </c>
      <c r="D44" s="100">
        <v>17.399999999999999</v>
      </c>
      <c r="E44" s="100">
        <v>5.9</v>
      </c>
      <c r="F44" s="100">
        <v>2.23</v>
      </c>
      <c r="G44" s="100">
        <v>18.11</v>
      </c>
      <c r="H44" s="100">
        <v>3.62</v>
      </c>
      <c r="I44" s="100">
        <v>5.33</v>
      </c>
      <c r="J44" s="100">
        <v>0.43</v>
      </c>
      <c r="K44" s="100">
        <v>43.18</v>
      </c>
      <c r="L44" s="100">
        <v>28.14</v>
      </c>
      <c r="M44" s="100">
        <v>83.44</v>
      </c>
      <c r="N44" s="100">
        <v>241.7</v>
      </c>
      <c r="O44" s="100">
        <v>0</v>
      </c>
      <c r="P44" s="100">
        <v>0.23</v>
      </c>
      <c r="Q44" s="100">
        <v>0</v>
      </c>
      <c r="R44" s="6"/>
      <c r="S44" s="6"/>
      <c r="T44" s="156"/>
      <c r="U44" s="6"/>
    </row>
    <row r="45" spans="1:21" customFormat="1">
      <c r="A45" s="201" t="s">
        <v>1333</v>
      </c>
      <c r="B45" s="100">
        <v>15.65</v>
      </c>
      <c r="C45" s="100">
        <v>9.19</v>
      </c>
      <c r="D45" s="100">
        <v>17.350000000000001</v>
      </c>
      <c r="E45" s="100">
        <v>5.79</v>
      </c>
      <c r="F45" s="100">
        <v>2.6</v>
      </c>
      <c r="G45" s="100">
        <v>18.11</v>
      </c>
      <c r="H45" s="100">
        <v>3.62</v>
      </c>
      <c r="I45" s="100">
        <v>5.35</v>
      </c>
      <c r="J45" s="100">
        <v>0.31</v>
      </c>
      <c r="K45" s="100">
        <v>49.76</v>
      </c>
      <c r="L45" s="100">
        <v>28.72</v>
      </c>
      <c r="M45" s="100">
        <v>81.69</v>
      </c>
      <c r="N45" s="100">
        <v>291.2</v>
      </c>
      <c r="O45" s="100">
        <v>0</v>
      </c>
      <c r="P45" s="100">
        <v>0.22</v>
      </c>
      <c r="Q45" s="100">
        <v>0</v>
      </c>
      <c r="R45" s="6"/>
      <c r="S45" s="6"/>
      <c r="T45" s="156"/>
      <c r="U45" s="6"/>
    </row>
    <row r="46" spans="1:21" customFormat="1">
      <c r="A46" s="201" t="s">
        <v>1334</v>
      </c>
      <c r="B46" s="100">
        <v>15.53</v>
      </c>
      <c r="C46" s="100">
        <v>9.2100000000000009</v>
      </c>
      <c r="D46" s="100">
        <v>17.27</v>
      </c>
      <c r="E46" s="100">
        <v>5.28</v>
      </c>
      <c r="F46" s="100">
        <v>3.14</v>
      </c>
      <c r="G46" s="100">
        <v>18.11</v>
      </c>
      <c r="H46" s="100">
        <v>3.62</v>
      </c>
      <c r="I46" s="100">
        <v>5.35</v>
      </c>
      <c r="J46" s="100">
        <v>0.4</v>
      </c>
      <c r="K46" s="100">
        <v>30.37</v>
      </c>
      <c r="L46" s="100">
        <v>29.12</v>
      </c>
      <c r="M46" s="100">
        <v>79.959999999999994</v>
      </c>
      <c r="N46" s="100">
        <v>402.6</v>
      </c>
      <c r="O46" s="100">
        <v>0</v>
      </c>
      <c r="P46" s="100">
        <v>0.21</v>
      </c>
      <c r="Q46" s="100">
        <v>0</v>
      </c>
      <c r="R46" s="6"/>
      <c r="S46" s="6"/>
      <c r="T46" s="156"/>
      <c r="U46" s="6"/>
    </row>
    <row r="47" spans="1:21" customFormat="1">
      <c r="A47" s="201" t="s">
        <v>1335</v>
      </c>
      <c r="B47" s="100">
        <v>15.55</v>
      </c>
      <c r="C47" s="100">
        <v>9.4700000000000006</v>
      </c>
      <c r="D47" s="100">
        <v>17.420000000000002</v>
      </c>
      <c r="E47" s="100">
        <v>5.89</v>
      </c>
      <c r="F47" s="100">
        <v>2.71</v>
      </c>
      <c r="G47" s="100">
        <v>18.489999999999998</v>
      </c>
      <c r="H47" s="100">
        <v>2.59</v>
      </c>
      <c r="I47" s="100">
        <v>5.41</v>
      </c>
      <c r="J47" s="100">
        <v>0.61</v>
      </c>
      <c r="K47" s="100">
        <v>45.93</v>
      </c>
      <c r="L47" s="100">
        <v>29.04</v>
      </c>
      <c r="M47" s="100">
        <v>79.069999999999993</v>
      </c>
      <c r="N47" s="100">
        <v>314</v>
      </c>
      <c r="O47" s="100">
        <v>0</v>
      </c>
      <c r="P47" s="100">
        <v>0.22</v>
      </c>
      <c r="Q47" s="100">
        <v>0</v>
      </c>
      <c r="R47" s="6"/>
      <c r="S47" s="6"/>
      <c r="T47" s="156"/>
      <c r="U47" s="6"/>
    </row>
    <row r="48" spans="1:21" customFormat="1">
      <c r="A48" s="201" t="s">
        <v>1336</v>
      </c>
      <c r="B48" s="100">
        <v>15.88</v>
      </c>
      <c r="C48" s="100">
        <v>9.6300000000000008</v>
      </c>
      <c r="D48" s="100">
        <v>17.77</v>
      </c>
      <c r="E48" s="100">
        <v>6.27</v>
      </c>
      <c r="F48" s="100">
        <v>2.46</v>
      </c>
      <c r="G48" s="100">
        <v>18.579999999999998</v>
      </c>
      <c r="H48" s="100">
        <v>2.59</v>
      </c>
      <c r="I48" s="100">
        <v>5.35</v>
      </c>
      <c r="J48" s="100">
        <v>0.77</v>
      </c>
      <c r="K48" s="100">
        <v>37.99</v>
      </c>
      <c r="L48" s="100">
        <v>28.87</v>
      </c>
      <c r="M48" s="100">
        <v>78.83</v>
      </c>
      <c r="N48" s="100">
        <v>297.8</v>
      </c>
      <c r="O48" s="100">
        <v>0</v>
      </c>
      <c r="P48" s="100">
        <v>0.25</v>
      </c>
      <c r="Q48" s="100">
        <v>0</v>
      </c>
      <c r="R48" s="6"/>
      <c r="S48" s="6"/>
      <c r="T48" s="156"/>
      <c r="U48" s="6"/>
    </row>
    <row r="49" spans="1:21" customFormat="1">
      <c r="A49" s="201" t="s">
        <v>1337</v>
      </c>
      <c r="B49" s="100">
        <v>15.95</v>
      </c>
      <c r="C49" s="100">
        <v>9.61</v>
      </c>
      <c r="D49" s="100">
        <v>17.809999999999999</v>
      </c>
      <c r="E49" s="100">
        <v>6.53</v>
      </c>
      <c r="F49" s="100">
        <v>2.4900000000000002</v>
      </c>
      <c r="G49" s="100">
        <v>18.579999999999998</v>
      </c>
      <c r="H49" s="100">
        <v>2.59</v>
      </c>
      <c r="I49" s="100">
        <v>5.26</v>
      </c>
      <c r="J49" s="100">
        <v>0.55000000000000004</v>
      </c>
      <c r="K49" s="100">
        <v>51.42</v>
      </c>
      <c r="L49" s="100">
        <v>29.02</v>
      </c>
      <c r="M49" s="100">
        <v>79.349999999999994</v>
      </c>
      <c r="N49" s="100">
        <v>401.4</v>
      </c>
      <c r="O49" s="100">
        <v>0</v>
      </c>
      <c r="P49" s="100">
        <v>0.23</v>
      </c>
      <c r="Q49" s="100">
        <v>0</v>
      </c>
      <c r="R49" s="6"/>
      <c r="S49" s="6"/>
      <c r="T49" s="156"/>
      <c r="U49" s="6"/>
    </row>
    <row r="50" spans="1:21" customFormat="1">
      <c r="A50" s="201" t="s">
        <v>1338</v>
      </c>
      <c r="B50" s="100">
        <v>15.67</v>
      </c>
      <c r="C50" s="100">
        <v>9.49</v>
      </c>
      <c r="D50" s="100">
        <v>17.52</v>
      </c>
      <c r="E50" s="100">
        <v>7.46</v>
      </c>
      <c r="F50" s="100">
        <v>2.74</v>
      </c>
      <c r="G50" s="100">
        <v>18.579999999999998</v>
      </c>
      <c r="H50" s="100">
        <v>2.59</v>
      </c>
      <c r="I50" s="100">
        <v>5.42</v>
      </c>
      <c r="J50" s="100">
        <v>0.18</v>
      </c>
      <c r="K50" s="100">
        <v>77.62</v>
      </c>
      <c r="L50" s="100">
        <v>30.01</v>
      </c>
      <c r="M50" s="100">
        <v>75.66</v>
      </c>
      <c r="N50" s="100">
        <v>375.7</v>
      </c>
      <c r="O50" s="100">
        <v>0</v>
      </c>
      <c r="P50" s="100">
        <v>0.23</v>
      </c>
      <c r="Q50" s="100">
        <v>0</v>
      </c>
      <c r="R50" s="6"/>
      <c r="S50" s="6"/>
      <c r="T50" s="156"/>
      <c r="U50" s="6"/>
    </row>
    <row r="51" spans="1:21" customFormat="1">
      <c r="A51" s="201" t="s">
        <v>1339</v>
      </c>
      <c r="B51" s="100">
        <v>15.35</v>
      </c>
      <c r="C51" s="100">
        <v>9.52</v>
      </c>
      <c r="D51" s="100">
        <v>17.28</v>
      </c>
      <c r="E51" s="100">
        <v>5.64</v>
      </c>
      <c r="F51" s="100">
        <v>3.91</v>
      </c>
      <c r="G51" s="100">
        <v>17</v>
      </c>
      <c r="H51" s="100">
        <v>3.61</v>
      </c>
      <c r="I51" s="100">
        <v>5.25</v>
      </c>
      <c r="J51" s="100">
        <v>0.39</v>
      </c>
      <c r="K51" s="100">
        <v>46.52</v>
      </c>
      <c r="L51" s="100">
        <v>30.08</v>
      </c>
      <c r="M51" s="100">
        <v>73.959999999999994</v>
      </c>
      <c r="N51" s="100">
        <v>312.8</v>
      </c>
      <c r="O51" s="100">
        <v>0</v>
      </c>
      <c r="P51" s="100">
        <v>0.21</v>
      </c>
      <c r="Q51" s="100">
        <v>0</v>
      </c>
      <c r="R51" s="6"/>
      <c r="S51" s="6"/>
      <c r="T51" s="156"/>
      <c r="U51" s="6"/>
    </row>
    <row r="52" spans="1:21" customFormat="1">
      <c r="A52" s="201" t="s">
        <v>1340</v>
      </c>
      <c r="B52" s="100">
        <v>15.23</v>
      </c>
      <c r="C52" s="100">
        <v>9.6199999999999992</v>
      </c>
      <c r="D52" s="100">
        <v>17.239999999999998</v>
      </c>
      <c r="E52" s="100">
        <v>7.9</v>
      </c>
      <c r="F52" s="100">
        <v>2.76</v>
      </c>
      <c r="G52" s="100">
        <v>16.600000000000001</v>
      </c>
      <c r="H52" s="100">
        <v>3.61</v>
      </c>
      <c r="I52" s="100">
        <v>5.26</v>
      </c>
      <c r="J52" s="100">
        <v>0.49</v>
      </c>
      <c r="K52" s="100">
        <v>30.05</v>
      </c>
      <c r="L52" s="100">
        <v>30.04</v>
      </c>
      <c r="M52" s="100">
        <v>73.33</v>
      </c>
      <c r="N52" s="100">
        <v>412.4</v>
      </c>
      <c r="O52" s="100">
        <v>0</v>
      </c>
      <c r="P52" s="100">
        <v>0.21</v>
      </c>
      <c r="Q52" s="100">
        <v>0</v>
      </c>
      <c r="R52" s="6"/>
      <c r="S52" s="6"/>
      <c r="T52" s="156"/>
      <c r="U52" s="6"/>
    </row>
    <row r="53" spans="1:21" customFormat="1">
      <c r="A53" s="201" t="s">
        <v>1341</v>
      </c>
      <c r="B53" s="100">
        <v>15.06</v>
      </c>
      <c r="C53" s="100">
        <v>9.6999999999999993</v>
      </c>
      <c r="D53" s="100">
        <v>17.14</v>
      </c>
      <c r="E53" s="100">
        <v>7.08</v>
      </c>
      <c r="F53" s="100">
        <v>2.4500000000000002</v>
      </c>
      <c r="G53" s="100">
        <v>16.600000000000001</v>
      </c>
      <c r="H53" s="100">
        <v>3.61</v>
      </c>
      <c r="I53" s="100">
        <v>5.3</v>
      </c>
      <c r="J53" s="100">
        <v>0.33</v>
      </c>
      <c r="K53" s="100">
        <v>60.61</v>
      </c>
      <c r="L53" s="100">
        <v>30.5</v>
      </c>
      <c r="M53" s="100">
        <v>71.209999999999994</v>
      </c>
      <c r="N53" s="100">
        <v>516.1</v>
      </c>
      <c r="O53" s="100">
        <v>0</v>
      </c>
      <c r="P53" s="100">
        <v>0.24</v>
      </c>
      <c r="Q53" s="100">
        <v>0</v>
      </c>
      <c r="R53" s="6"/>
      <c r="S53" s="6"/>
      <c r="T53" s="156"/>
      <c r="U53" s="6"/>
    </row>
    <row r="54" spans="1:21" customFormat="1">
      <c r="A54" s="201" t="s">
        <v>1342</v>
      </c>
      <c r="B54" s="100">
        <v>14.75</v>
      </c>
      <c r="C54" s="100">
        <v>9.51</v>
      </c>
      <c r="D54" s="100">
        <v>16.79</v>
      </c>
      <c r="E54" s="100">
        <v>7.73</v>
      </c>
      <c r="F54" s="100">
        <v>2.86</v>
      </c>
      <c r="G54" s="100">
        <v>16.600000000000001</v>
      </c>
      <c r="H54" s="100">
        <v>3.61</v>
      </c>
      <c r="I54" s="100">
        <v>5.21</v>
      </c>
      <c r="J54" s="100">
        <v>0.23</v>
      </c>
      <c r="K54" s="100">
        <v>60</v>
      </c>
      <c r="L54" s="100">
        <v>31.01</v>
      </c>
      <c r="M54" s="100">
        <v>70.2</v>
      </c>
      <c r="N54" s="100">
        <v>383.4</v>
      </c>
      <c r="O54" s="100">
        <v>0</v>
      </c>
      <c r="P54" s="100">
        <v>0.24</v>
      </c>
      <c r="Q54" s="100">
        <v>0</v>
      </c>
      <c r="R54" s="6"/>
      <c r="S54" s="6"/>
      <c r="T54" s="156"/>
      <c r="U54" s="6"/>
    </row>
    <row r="55" spans="1:21" customFormat="1">
      <c r="A55" s="201" t="s">
        <v>1343</v>
      </c>
      <c r="B55" s="100">
        <v>14.18</v>
      </c>
      <c r="C55" s="100">
        <v>9.75</v>
      </c>
      <c r="D55" s="100">
        <v>16.46</v>
      </c>
      <c r="E55" s="100">
        <v>8.66</v>
      </c>
      <c r="F55" s="100">
        <v>3.26</v>
      </c>
      <c r="G55" s="100">
        <v>17.12</v>
      </c>
      <c r="H55" s="100">
        <v>3.48</v>
      </c>
      <c r="I55" s="100">
        <v>5.21</v>
      </c>
      <c r="J55" s="100">
        <v>0.28000000000000003</v>
      </c>
      <c r="K55" s="100">
        <v>53.7</v>
      </c>
      <c r="L55" s="100">
        <v>30.92</v>
      </c>
      <c r="M55" s="100">
        <v>71.08</v>
      </c>
      <c r="N55" s="100">
        <v>365.1</v>
      </c>
      <c r="O55" s="100">
        <v>0</v>
      </c>
      <c r="P55" s="100">
        <v>0.23</v>
      </c>
      <c r="Q55" s="100">
        <v>0</v>
      </c>
      <c r="R55" s="6"/>
      <c r="S55" s="6"/>
      <c r="T55" s="156"/>
      <c r="U55" s="6"/>
    </row>
    <row r="56" spans="1:21" customFormat="1">
      <c r="A56" s="201" t="s">
        <v>1344</v>
      </c>
      <c r="B56" s="100">
        <v>13.91</v>
      </c>
      <c r="C56" s="100">
        <v>9.89</v>
      </c>
      <c r="D56" s="100">
        <v>16.32</v>
      </c>
      <c r="E56" s="100">
        <v>9.6300000000000008</v>
      </c>
      <c r="F56" s="100">
        <v>3.24</v>
      </c>
      <c r="G56" s="100">
        <v>17.260000000000002</v>
      </c>
      <c r="H56" s="100">
        <v>3.48</v>
      </c>
      <c r="I56" s="100">
        <v>5.14</v>
      </c>
      <c r="J56" s="100">
        <v>0.45</v>
      </c>
      <c r="K56" s="100">
        <v>43.12</v>
      </c>
      <c r="L56" s="100">
        <v>30.61</v>
      </c>
      <c r="M56" s="100">
        <v>72.87</v>
      </c>
      <c r="N56" s="100">
        <v>290.89999999999998</v>
      </c>
      <c r="O56" s="100">
        <v>0</v>
      </c>
      <c r="P56" s="100">
        <v>0.21</v>
      </c>
      <c r="Q56" s="100">
        <v>0</v>
      </c>
      <c r="R56" s="6"/>
      <c r="S56" s="6"/>
      <c r="T56" s="156"/>
      <c r="U56" s="6"/>
    </row>
    <row r="57" spans="1:21" customFormat="1">
      <c r="A57" s="201" t="s">
        <v>1345</v>
      </c>
      <c r="B57" s="100">
        <v>13.65</v>
      </c>
      <c r="C57" s="100">
        <v>9.89</v>
      </c>
      <c r="D57" s="100">
        <v>16.11</v>
      </c>
      <c r="E57" s="100">
        <v>10.35</v>
      </c>
      <c r="F57" s="100">
        <v>3.97</v>
      </c>
      <c r="G57" s="100">
        <v>17.260000000000002</v>
      </c>
      <c r="H57" s="100">
        <v>3.48</v>
      </c>
      <c r="I57" s="100">
        <v>5.17</v>
      </c>
      <c r="J57" s="100">
        <v>0.28999999999999998</v>
      </c>
      <c r="K57" s="100">
        <v>58.73</v>
      </c>
      <c r="L57" s="100">
        <v>30.74</v>
      </c>
      <c r="M57" s="100">
        <v>71.67</v>
      </c>
      <c r="N57" s="100">
        <v>444.8</v>
      </c>
      <c r="O57" s="100">
        <v>0</v>
      </c>
      <c r="P57" s="100">
        <v>0.21</v>
      </c>
      <c r="Q57" s="100">
        <v>0</v>
      </c>
      <c r="R57" s="6"/>
      <c r="S57" s="6"/>
      <c r="T57" s="156"/>
      <c r="U57" s="6"/>
    </row>
    <row r="58" spans="1:21" customFormat="1">
      <c r="A58" s="201" t="s">
        <v>1346</v>
      </c>
      <c r="B58" s="100">
        <v>13.21</v>
      </c>
      <c r="C58" s="100">
        <v>9.8699999999999992</v>
      </c>
      <c r="D58" s="100">
        <v>15.75</v>
      </c>
      <c r="E58" s="100">
        <v>10.220000000000001</v>
      </c>
      <c r="F58" s="100">
        <v>4.38</v>
      </c>
      <c r="G58" s="100">
        <v>17.260000000000002</v>
      </c>
      <c r="H58" s="100">
        <v>3.48</v>
      </c>
      <c r="I58" s="100">
        <v>5.22</v>
      </c>
      <c r="J58" s="100">
        <v>0.21</v>
      </c>
      <c r="K58" s="100">
        <v>87.15</v>
      </c>
      <c r="L58" s="100">
        <v>31.11</v>
      </c>
      <c r="M58" s="100">
        <v>70.540000000000006</v>
      </c>
      <c r="N58" s="100">
        <v>534.9</v>
      </c>
      <c r="O58" s="100">
        <v>0</v>
      </c>
      <c r="P58" s="100">
        <v>0.2</v>
      </c>
      <c r="Q58" s="100">
        <v>0</v>
      </c>
      <c r="R58" s="6"/>
      <c r="S58" s="6"/>
      <c r="T58" s="156"/>
      <c r="U58" s="6"/>
    </row>
    <row r="59" spans="1:21" customFormat="1">
      <c r="A59" s="201" t="s">
        <v>1347</v>
      </c>
      <c r="B59" s="100">
        <v>12.8</v>
      </c>
      <c r="C59" s="100">
        <v>10.01</v>
      </c>
      <c r="D59" s="100">
        <v>15.49</v>
      </c>
      <c r="E59" s="100">
        <v>10.63</v>
      </c>
      <c r="F59" s="100">
        <v>4.4400000000000004</v>
      </c>
      <c r="G59" s="100">
        <v>17.989999999999998</v>
      </c>
      <c r="H59" s="100">
        <v>3.87</v>
      </c>
      <c r="I59" s="100">
        <v>5.09</v>
      </c>
      <c r="J59" s="100">
        <v>0.26</v>
      </c>
      <c r="K59" s="100">
        <v>124.73</v>
      </c>
      <c r="L59" s="100">
        <v>31.86</v>
      </c>
      <c r="M59" s="100">
        <v>69.3</v>
      </c>
      <c r="N59" s="100">
        <v>586.70000000000005</v>
      </c>
      <c r="O59" s="100">
        <v>0</v>
      </c>
      <c r="P59" s="100">
        <v>0.21</v>
      </c>
      <c r="Q59" s="100">
        <v>0</v>
      </c>
      <c r="R59" s="6"/>
      <c r="S59" s="6"/>
      <c r="T59" s="156"/>
      <c r="U59" s="6"/>
    </row>
    <row r="60" spans="1:21" customFormat="1">
      <c r="A60" s="201" t="s">
        <v>1348</v>
      </c>
      <c r="B60" s="100">
        <v>12.78</v>
      </c>
      <c r="C60" s="100">
        <v>10.35</v>
      </c>
      <c r="D60" s="100">
        <v>15.65</v>
      </c>
      <c r="E60" s="100">
        <v>7.99</v>
      </c>
      <c r="F60" s="100">
        <v>2.64</v>
      </c>
      <c r="G60" s="100">
        <v>18.170000000000002</v>
      </c>
      <c r="H60" s="100">
        <v>3.87</v>
      </c>
      <c r="I60" s="100">
        <v>4.93</v>
      </c>
      <c r="J60" s="100">
        <v>0.42</v>
      </c>
      <c r="K60" s="100">
        <v>44.28</v>
      </c>
      <c r="L60" s="100">
        <v>31.45</v>
      </c>
      <c r="M60" s="100">
        <v>69.37</v>
      </c>
      <c r="N60" s="100">
        <v>229.7</v>
      </c>
      <c r="O60" s="100">
        <v>0</v>
      </c>
      <c r="P60" s="100">
        <v>0.22</v>
      </c>
      <c r="Q60" s="100">
        <v>0</v>
      </c>
      <c r="R60" s="6"/>
      <c r="S60" s="6"/>
      <c r="T60" s="156"/>
      <c r="U60" s="6"/>
    </row>
    <row r="61" spans="1:21" customFormat="1">
      <c r="A61" s="201" t="s">
        <v>1349</v>
      </c>
      <c r="B61" s="100">
        <v>12.42</v>
      </c>
      <c r="C61" s="100">
        <v>9.81</v>
      </c>
      <c r="D61" s="100">
        <v>15.09</v>
      </c>
      <c r="E61" s="100">
        <v>7.35</v>
      </c>
      <c r="F61" s="100">
        <v>2.9</v>
      </c>
      <c r="G61" s="100">
        <v>18.170000000000002</v>
      </c>
      <c r="H61" s="100">
        <v>3.87</v>
      </c>
      <c r="I61" s="100">
        <v>4.95</v>
      </c>
      <c r="J61" s="100">
        <v>0.25</v>
      </c>
      <c r="K61" s="100">
        <v>97.93</v>
      </c>
      <c r="L61" s="100">
        <v>31.21</v>
      </c>
      <c r="M61" s="100">
        <v>70.209999999999994</v>
      </c>
      <c r="N61" s="100">
        <v>233.9</v>
      </c>
      <c r="O61" s="100">
        <v>0</v>
      </c>
      <c r="P61" s="100">
        <v>0.22</v>
      </c>
      <c r="Q61" s="100">
        <v>0</v>
      </c>
      <c r="R61" s="6"/>
      <c r="S61" s="6"/>
      <c r="T61" s="156"/>
      <c r="U61" s="6"/>
    </row>
    <row r="62" spans="1:21" customFormat="1">
      <c r="A62" s="201" t="s">
        <v>1350</v>
      </c>
      <c r="B62" s="100">
        <v>11.58</v>
      </c>
      <c r="C62" s="100">
        <v>10.16</v>
      </c>
      <c r="D62" s="100">
        <v>14.6</v>
      </c>
      <c r="E62" s="100">
        <v>7.13</v>
      </c>
      <c r="F62" s="100">
        <v>5.53</v>
      </c>
      <c r="G62" s="100">
        <v>18.170000000000002</v>
      </c>
      <c r="H62" s="100">
        <v>3.87</v>
      </c>
      <c r="I62" s="100">
        <v>5.01</v>
      </c>
      <c r="J62" s="100">
        <v>0.31</v>
      </c>
      <c r="K62" s="100">
        <v>68.06</v>
      </c>
      <c r="L62" s="100">
        <v>31.38</v>
      </c>
      <c r="M62" s="100">
        <v>69.38</v>
      </c>
      <c r="N62" s="100">
        <v>243.8</v>
      </c>
      <c r="O62" s="100">
        <v>0</v>
      </c>
      <c r="P62" s="100">
        <v>0.24</v>
      </c>
      <c r="Q62" s="100">
        <v>0</v>
      </c>
      <c r="R62" s="6"/>
      <c r="S62" s="6"/>
      <c r="T62" s="156"/>
      <c r="U62" s="6"/>
    </row>
    <row r="63" spans="1:21" customFormat="1">
      <c r="A63" s="201" t="s">
        <v>1351</v>
      </c>
      <c r="B63" s="100">
        <v>10.4</v>
      </c>
      <c r="C63" s="100">
        <v>10.66</v>
      </c>
      <c r="D63" s="100">
        <v>13.91</v>
      </c>
      <c r="E63" s="100">
        <v>7.21</v>
      </c>
      <c r="F63" s="100">
        <v>5.52</v>
      </c>
      <c r="G63" s="100">
        <v>17.21</v>
      </c>
      <c r="H63" s="100">
        <v>3.47</v>
      </c>
      <c r="I63" s="100">
        <v>4.95</v>
      </c>
      <c r="J63" s="100">
        <v>0.22</v>
      </c>
      <c r="K63" s="100">
        <v>73.83</v>
      </c>
      <c r="L63" s="100">
        <v>31.96</v>
      </c>
      <c r="M63" s="100">
        <v>68.02</v>
      </c>
      <c r="N63" s="100">
        <v>347</v>
      </c>
      <c r="O63" s="100">
        <v>0</v>
      </c>
      <c r="P63" s="100">
        <v>0.25</v>
      </c>
      <c r="Q63" s="100">
        <v>0</v>
      </c>
      <c r="R63" s="6"/>
      <c r="S63" s="6"/>
      <c r="T63" s="156"/>
      <c r="U63" s="6"/>
    </row>
    <row r="64" spans="1:21" customFormat="1">
      <c r="A64" s="201" t="s">
        <v>1352</v>
      </c>
      <c r="B64" s="100">
        <v>9.67</v>
      </c>
      <c r="C64" s="100">
        <v>10.81</v>
      </c>
      <c r="D64" s="100">
        <v>13.4</v>
      </c>
      <c r="E64" s="100">
        <v>6.57</v>
      </c>
      <c r="F64" s="100">
        <v>2.2000000000000002</v>
      </c>
      <c r="G64" s="100">
        <v>16.95</v>
      </c>
      <c r="H64" s="100">
        <v>3.47</v>
      </c>
      <c r="I64" s="100">
        <v>4.8499999999999996</v>
      </c>
      <c r="J64" s="100">
        <v>0.21</v>
      </c>
      <c r="K64" s="100">
        <v>81.569999999999993</v>
      </c>
      <c r="L64" s="100">
        <v>32.299999999999997</v>
      </c>
      <c r="M64" s="100">
        <v>66.510000000000005</v>
      </c>
      <c r="N64" s="100">
        <v>408.1</v>
      </c>
      <c r="O64" s="100">
        <v>0</v>
      </c>
      <c r="P64" s="100">
        <v>0.25</v>
      </c>
      <c r="Q64" s="100">
        <v>0</v>
      </c>
      <c r="R64" s="6"/>
      <c r="S64" s="6"/>
      <c r="T64" s="156"/>
      <c r="U64" s="6"/>
    </row>
    <row r="65" spans="1:21" customFormat="1">
      <c r="A65" s="201" t="s">
        <v>1353</v>
      </c>
      <c r="B65" s="100">
        <v>8.67</v>
      </c>
      <c r="C65" s="100">
        <v>10.98</v>
      </c>
      <c r="D65" s="100">
        <v>12.69</v>
      </c>
      <c r="E65" s="100">
        <v>6.22</v>
      </c>
      <c r="F65" s="100">
        <v>3</v>
      </c>
      <c r="G65" s="100">
        <v>16.95</v>
      </c>
      <c r="H65" s="100">
        <v>3.47</v>
      </c>
      <c r="I65" s="100">
        <v>4.75</v>
      </c>
      <c r="J65" s="100">
        <v>0.32</v>
      </c>
      <c r="K65" s="100">
        <v>69.400000000000006</v>
      </c>
      <c r="L65" s="100">
        <v>31.78</v>
      </c>
      <c r="M65" s="100">
        <v>67.84</v>
      </c>
      <c r="N65" s="100">
        <v>229.7</v>
      </c>
      <c r="O65" s="100">
        <v>0</v>
      </c>
      <c r="P65" s="100">
        <v>0.25</v>
      </c>
      <c r="Q65" s="100">
        <v>0</v>
      </c>
      <c r="R65" s="6"/>
      <c r="S65" s="6"/>
      <c r="T65" s="156"/>
      <c r="U65" s="6"/>
    </row>
    <row r="66" spans="1:21" customFormat="1">
      <c r="A66" s="201" t="s">
        <v>1354</v>
      </c>
      <c r="B66" s="100">
        <v>7.72</v>
      </c>
      <c r="C66" s="100">
        <v>11.03</v>
      </c>
      <c r="D66" s="100">
        <v>11.96</v>
      </c>
      <c r="E66" s="100">
        <v>5.97</v>
      </c>
      <c r="F66" s="100">
        <v>3.79</v>
      </c>
      <c r="G66" s="100">
        <v>16.95</v>
      </c>
      <c r="H66" s="100">
        <v>3.47</v>
      </c>
      <c r="I66" s="100">
        <v>4.71</v>
      </c>
      <c r="J66" s="100">
        <v>0.39</v>
      </c>
      <c r="K66" s="100">
        <v>62.05</v>
      </c>
      <c r="L66" s="100">
        <v>31.42</v>
      </c>
      <c r="M66" s="100">
        <v>66.959999999999994</v>
      </c>
      <c r="N66" s="100">
        <v>134.19999999999999</v>
      </c>
      <c r="O66" s="100">
        <v>0</v>
      </c>
      <c r="P66" s="100">
        <v>0.25</v>
      </c>
      <c r="Q66" s="100">
        <v>0</v>
      </c>
      <c r="R66" s="6"/>
      <c r="S66" s="6"/>
      <c r="T66" s="156"/>
      <c r="U66" s="6"/>
    </row>
    <row r="67" spans="1:21" customFormat="1">
      <c r="A67" s="201" t="s">
        <v>1355</v>
      </c>
      <c r="B67" s="100">
        <v>6.72</v>
      </c>
      <c r="C67" s="100">
        <v>11.06</v>
      </c>
      <c r="D67" s="100">
        <v>11.16</v>
      </c>
      <c r="E67" s="100">
        <v>5.88</v>
      </c>
      <c r="F67" s="100">
        <v>5.12</v>
      </c>
      <c r="G67" s="100">
        <v>16.57</v>
      </c>
      <c r="H67" s="100">
        <v>4.1100000000000003</v>
      </c>
      <c r="I67" s="100">
        <v>4.6399999999999997</v>
      </c>
      <c r="J67" s="100">
        <v>0.26</v>
      </c>
      <c r="K67" s="100">
        <v>117.24</v>
      </c>
      <c r="L67" s="100">
        <v>31.02</v>
      </c>
      <c r="M67" s="100">
        <v>68.97</v>
      </c>
      <c r="N67" s="100">
        <v>112.4</v>
      </c>
      <c r="O67" s="100">
        <v>0</v>
      </c>
      <c r="P67" s="100">
        <v>0.24</v>
      </c>
      <c r="Q67" s="100">
        <v>0</v>
      </c>
      <c r="R67" s="6"/>
      <c r="S67" s="6"/>
      <c r="T67" s="156"/>
      <c r="U67" s="6"/>
    </row>
    <row r="68" spans="1:21" customFormat="1">
      <c r="A68" s="201" t="s">
        <v>1356</v>
      </c>
      <c r="B68" s="100">
        <v>6.23</v>
      </c>
      <c r="C68" s="100">
        <v>10.71</v>
      </c>
      <c r="D68" s="100">
        <v>10.59</v>
      </c>
      <c r="E68" s="100">
        <v>5.92</v>
      </c>
      <c r="F68" s="100">
        <v>2.92</v>
      </c>
      <c r="G68" s="100">
        <v>16.48</v>
      </c>
      <c r="H68" s="100">
        <v>4.1100000000000003</v>
      </c>
      <c r="I68" s="100">
        <v>4.51</v>
      </c>
      <c r="J68" s="100">
        <v>0.32</v>
      </c>
      <c r="K68" s="100">
        <v>135.94999999999999</v>
      </c>
      <c r="L68" s="100">
        <v>30.85</v>
      </c>
      <c r="M68" s="100">
        <v>70.44</v>
      </c>
      <c r="N68" s="100">
        <v>107.1</v>
      </c>
      <c r="O68" s="100">
        <v>0</v>
      </c>
      <c r="P68" s="100">
        <v>0.24</v>
      </c>
      <c r="Q68" s="100">
        <v>0</v>
      </c>
      <c r="R68" s="6"/>
      <c r="S68" s="6"/>
      <c r="T68" s="156"/>
      <c r="U68" s="6"/>
    </row>
    <row r="69" spans="1:21" customFormat="1">
      <c r="A69" s="201" t="s">
        <v>1357</v>
      </c>
      <c r="B69" s="100">
        <v>5.66</v>
      </c>
      <c r="C69" s="100">
        <v>10.47</v>
      </c>
      <c r="D69" s="100">
        <v>10.01</v>
      </c>
      <c r="E69" s="100">
        <v>6</v>
      </c>
      <c r="F69" s="100">
        <v>2.42</v>
      </c>
      <c r="G69" s="100">
        <v>16.48</v>
      </c>
      <c r="H69" s="100">
        <v>4.1100000000000003</v>
      </c>
      <c r="I69" s="100">
        <v>4.42</v>
      </c>
      <c r="J69" s="100">
        <v>0.18</v>
      </c>
      <c r="K69" s="100">
        <v>129.62</v>
      </c>
      <c r="L69" s="100">
        <v>30.78</v>
      </c>
      <c r="M69" s="100">
        <v>71.8</v>
      </c>
      <c r="N69" s="100">
        <v>116.5</v>
      </c>
      <c r="O69" s="100">
        <v>0</v>
      </c>
      <c r="P69" s="100">
        <v>0.23</v>
      </c>
      <c r="Q69" s="100">
        <v>0</v>
      </c>
      <c r="R69" s="6"/>
      <c r="S69" s="6"/>
      <c r="T69" s="156"/>
      <c r="U69" s="6"/>
    </row>
    <row r="70" spans="1:21" customFormat="1">
      <c r="A70" s="201" t="s">
        <v>1358</v>
      </c>
      <c r="B70" s="100">
        <v>5.15</v>
      </c>
      <c r="C70" s="100">
        <v>10.26</v>
      </c>
      <c r="D70" s="100">
        <v>9.49</v>
      </c>
      <c r="E70" s="100">
        <v>5.74</v>
      </c>
      <c r="F70" s="100">
        <v>2.46</v>
      </c>
      <c r="G70" s="100">
        <v>16.48</v>
      </c>
      <c r="H70" s="100">
        <v>4.1100000000000003</v>
      </c>
      <c r="I70" s="100">
        <v>4.3499999999999996</v>
      </c>
      <c r="J70" s="100">
        <v>0.25</v>
      </c>
      <c r="K70" s="100">
        <v>148.96</v>
      </c>
      <c r="L70" s="100">
        <v>30.89</v>
      </c>
      <c r="M70" s="100">
        <v>71.33</v>
      </c>
      <c r="N70" s="100">
        <v>115.2</v>
      </c>
      <c r="O70" s="100">
        <v>0</v>
      </c>
      <c r="P70" s="100">
        <v>0.22</v>
      </c>
      <c r="Q70" s="100">
        <v>0</v>
      </c>
      <c r="R70" s="6"/>
      <c r="S70" s="6"/>
      <c r="T70" s="156"/>
      <c r="U70" s="6"/>
    </row>
    <row r="71" spans="1:21" customFormat="1">
      <c r="A71" s="201" t="s">
        <v>1359</v>
      </c>
      <c r="B71" s="100">
        <v>4.6500000000000004</v>
      </c>
      <c r="C71" s="100">
        <v>10.039999999999999</v>
      </c>
      <c r="D71" s="100">
        <v>8.98</v>
      </c>
      <c r="E71" s="100">
        <v>5.76</v>
      </c>
      <c r="F71" s="100">
        <v>3.93</v>
      </c>
      <c r="G71" s="100">
        <v>16.16</v>
      </c>
      <c r="H71" s="100">
        <v>4.84</v>
      </c>
      <c r="I71" s="100">
        <v>4.3</v>
      </c>
      <c r="J71" s="100">
        <v>0.32</v>
      </c>
      <c r="K71" s="100">
        <v>146.69999999999999</v>
      </c>
      <c r="L71" s="100">
        <v>31.09</v>
      </c>
      <c r="M71" s="100">
        <v>70.790000000000006</v>
      </c>
      <c r="N71" s="100">
        <v>111.3</v>
      </c>
      <c r="O71" s="100">
        <v>0</v>
      </c>
      <c r="P71" s="100">
        <v>0.23</v>
      </c>
      <c r="Q71" s="100">
        <v>0</v>
      </c>
      <c r="R71" s="6"/>
      <c r="S71" s="6"/>
      <c r="T71" s="156"/>
      <c r="U71" s="6"/>
    </row>
    <row r="72" spans="1:21" customFormat="1">
      <c r="A72" s="201" t="s">
        <v>1360</v>
      </c>
      <c r="B72" s="100">
        <v>4.34</v>
      </c>
      <c r="C72" s="100">
        <v>9.7799999999999994</v>
      </c>
      <c r="D72" s="100">
        <v>8.59</v>
      </c>
      <c r="E72" s="100">
        <v>5.94</v>
      </c>
      <c r="F72" s="100">
        <v>2.2999999999999998</v>
      </c>
      <c r="G72" s="100">
        <v>16.079999999999998</v>
      </c>
      <c r="H72" s="100">
        <v>4.84</v>
      </c>
      <c r="I72" s="100">
        <v>4.22</v>
      </c>
      <c r="J72" s="100">
        <v>0.21</v>
      </c>
      <c r="K72" s="100">
        <v>141.76</v>
      </c>
      <c r="L72" s="100">
        <v>30.98</v>
      </c>
      <c r="M72" s="100">
        <v>71.84</v>
      </c>
      <c r="N72" s="100">
        <v>84.4</v>
      </c>
      <c r="O72" s="100">
        <v>0</v>
      </c>
      <c r="P72" s="100">
        <v>0.22</v>
      </c>
      <c r="Q72" s="100">
        <v>0</v>
      </c>
      <c r="R72" s="6"/>
      <c r="S72" s="6"/>
      <c r="T72" s="156"/>
      <c r="U72" s="6"/>
    </row>
    <row r="73" spans="1:21" customFormat="1">
      <c r="A73" s="201" t="s">
        <v>1361</v>
      </c>
      <c r="B73" s="100">
        <v>4.05</v>
      </c>
      <c r="C73" s="100">
        <v>9.58</v>
      </c>
      <c r="D73" s="100">
        <v>8.26</v>
      </c>
      <c r="E73" s="100">
        <v>6.02</v>
      </c>
      <c r="F73" s="100">
        <v>3.11</v>
      </c>
      <c r="G73" s="100">
        <v>16.079999999999998</v>
      </c>
      <c r="H73" s="100">
        <v>4.84</v>
      </c>
      <c r="I73" s="100">
        <v>4.0999999999999996</v>
      </c>
      <c r="J73" s="100">
        <v>0.27</v>
      </c>
      <c r="K73" s="100">
        <v>141.08000000000001</v>
      </c>
      <c r="L73" s="100">
        <v>30.79</v>
      </c>
      <c r="M73" s="100">
        <v>72.42</v>
      </c>
      <c r="N73" s="100">
        <v>75.099999999999994</v>
      </c>
      <c r="O73" s="100">
        <v>0</v>
      </c>
      <c r="P73" s="100">
        <v>0.22</v>
      </c>
      <c r="Q73" s="100">
        <v>0</v>
      </c>
      <c r="R73" s="6"/>
      <c r="S73" s="6"/>
      <c r="T73" s="156"/>
      <c r="U73" s="6"/>
    </row>
    <row r="74" spans="1:21" customFormat="1">
      <c r="A74" s="201" t="s">
        <v>1362</v>
      </c>
      <c r="B74" s="100">
        <v>3.79</v>
      </c>
      <c r="C74" s="100">
        <v>9.41</v>
      </c>
      <c r="D74" s="100">
        <v>7.96</v>
      </c>
      <c r="E74" s="100">
        <v>6.12</v>
      </c>
      <c r="F74" s="100">
        <v>4.21</v>
      </c>
      <c r="G74" s="100">
        <v>16.079999999999998</v>
      </c>
      <c r="H74" s="100">
        <v>4.84</v>
      </c>
      <c r="I74" s="100">
        <v>4.0999999999999996</v>
      </c>
      <c r="J74" s="100">
        <v>0.2</v>
      </c>
      <c r="K74" s="100">
        <v>129.72999999999999</v>
      </c>
      <c r="L74" s="100">
        <v>30.65</v>
      </c>
      <c r="M74" s="100">
        <v>73.92</v>
      </c>
      <c r="N74" s="100">
        <v>58</v>
      </c>
      <c r="O74" s="100">
        <v>0</v>
      </c>
      <c r="P74" s="100">
        <v>0.22</v>
      </c>
      <c r="Q74" s="100">
        <v>0</v>
      </c>
      <c r="R74" s="6"/>
      <c r="S74" s="6"/>
      <c r="T74" s="156"/>
      <c r="U74" s="6"/>
    </row>
    <row r="75" spans="1:21" customFormat="1">
      <c r="A75" s="201" t="s">
        <v>1363</v>
      </c>
      <c r="B75" s="100">
        <v>3.62</v>
      </c>
      <c r="C75" s="100">
        <v>9.26</v>
      </c>
      <c r="D75" s="100">
        <v>7.74</v>
      </c>
      <c r="E75" s="100">
        <v>6.23</v>
      </c>
      <c r="F75" s="100">
        <v>3.67</v>
      </c>
      <c r="G75" s="100">
        <v>16.239999999999998</v>
      </c>
      <c r="H75" s="100">
        <v>4.88</v>
      </c>
      <c r="I75" s="100">
        <v>4.09</v>
      </c>
      <c r="J75" s="100">
        <v>0.18</v>
      </c>
      <c r="K75" s="100">
        <v>138.41</v>
      </c>
      <c r="L75" s="100">
        <v>30.4</v>
      </c>
      <c r="M75" s="100">
        <v>77.03</v>
      </c>
      <c r="N75" s="100">
        <v>47</v>
      </c>
      <c r="O75" s="100">
        <v>0</v>
      </c>
      <c r="P75" s="100">
        <v>0.22</v>
      </c>
      <c r="Q75" s="100">
        <v>0</v>
      </c>
      <c r="R75" s="6"/>
      <c r="S75" s="6"/>
      <c r="T75" s="156"/>
      <c r="U75" s="6"/>
    </row>
    <row r="76" spans="1:21" customFormat="1">
      <c r="A76" s="201" t="s">
        <v>1364</v>
      </c>
      <c r="B76" s="100">
        <v>3.56</v>
      </c>
      <c r="C76" s="100">
        <v>9.07</v>
      </c>
      <c r="D76" s="100">
        <v>7.59</v>
      </c>
      <c r="E76" s="100">
        <v>6</v>
      </c>
      <c r="F76" s="100">
        <v>2.83</v>
      </c>
      <c r="G76" s="100">
        <v>16.28</v>
      </c>
      <c r="H76" s="100">
        <v>4.88</v>
      </c>
      <c r="I76" s="100">
        <v>4.1100000000000003</v>
      </c>
      <c r="J76" s="100">
        <v>0.21</v>
      </c>
      <c r="K76" s="100">
        <v>131.36000000000001</v>
      </c>
      <c r="L76" s="100">
        <v>30.24</v>
      </c>
      <c r="M76" s="100">
        <v>77.650000000000006</v>
      </c>
      <c r="N76" s="100">
        <v>30.5</v>
      </c>
      <c r="O76" s="100">
        <v>0</v>
      </c>
      <c r="P76" s="100">
        <v>0.23</v>
      </c>
      <c r="Q76" s="100">
        <v>0</v>
      </c>
      <c r="R76" s="6"/>
      <c r="S76" s="6"/>
      <c r="T76" s="156"/>
      <c r="U76" s="6"/>
    </row>
    <row r="77" spans="1:21" customFormat="1">
      <c r="A77" s="201" t="s">
        <v>1365</v>
      </c>
      <c r="B77" s="100">
        <v>3.46</v>
      </c>
      <c r="C77" s="100">
        <v>8.84</v>
      </c>
      <c r="D77" s="100">
        <v>7.39</v>
      </c>
      <c r="E77" s="100">
        <v>6.14</v>
      </c>
      <c r="F77" s="100">
        <v>3.56</v>
      </c>
      <c r="G77" s="100">
        <v>16.28</v>
      </c>
      <c r="H77" s="100">
        <v>4.88</v>
      </c>
      <c r="I77" s="100">
        <v>4.17</v>
      </c>
      <c r="J77" s="100">
        <v>0.23</v>
      </c>
      <c r="K77" s="100">
        <v>115.33</v>
      </c>
      <c r="L77" s="100">
        <v>29.78</v>
      </c>
      <c r="M77" s="100">
        <v>79.41</v>
      </c>
      <c r="N77" s="100">
        <v>27.2</v>
      </c>
      <c r="O77" s="100">
        <v>0</v>
      </c>
      <c r="P77" s="100">
        <v>0.22</v>
      </c>
      <c r="Q77" s="100">
        <v>0</v>
      </c>
      <c r="R77" s="6"/>
      <c r="S77" s="6"/>
      <c r="T77" s="156"/>
      <c r="U77" s="6"/>
    </row>
    <row r="78" spans="1:21" customFormat="1">
      <c r="A78" s="201" t="s">
        <v>1366</v>
      </c>
      <c r="B78" s="100">
        <v>3.3</v>
      </c>
      <c r="C78" s="100">
        <v>8.76</v>
      </c>
      <c r="D78" s="100">
        <v>7.23</v>
      </c>
      <c r="E78" s="100">
        <v>6.05</v>
      </c>
      <c r="F78" s="100">
        <v>5.91</v>
      </c>
      <c r="G78" s="100">
        <v>16.28</v>
      </c>
      <c r="H78" s="100">
        <v>4.88</v>
      </c>
      <c r="I78" s="100">
        <v>4.18</v>
      </c>
      <c r="J78" s="100">
        <v>0.23</v>
      </c>
      <c r="K78" s="100">
        <v>151.21</v>
      </c>
      <c r="L78" s="100">
        <v>29.19</v>
      </c>
      <c r="M78" s="100">
        <v>78</v>
      </c>
      <c r="N78" s="100">
        <v>23.7</v>
      </c>
      <c r="O78" s="100">
        <v>0</v>
      </c>
      <c r="P78" s="100">
        <v>0.22</v>
      </c>
      <c r="Q78" s="100">
        <v>0</v>
      </c>
      <c r="R78" s="6"/>
      <c r="S78" s="6"/>
      <c r="T78" s="156"/>
      <c r="U78" s="6"/>
    </row>
    <row r="79" spans="1:21" customFormat="1">
      <c r="A79" s="201" t="s">
        <v>1367</v>
      </c>
      <c r="B79" s="100">
        <v>3.19</v>
      </c>
      <c r="C79" s="100">
        <v>8.74</v>
      </c>
      <c r="D79" s="100">
        <v>7.12</v>
      </c>
      <c r="E79" s="100">
        <v>6.14</v>
      </c>
      <c r="F79" s="100">
        <v>2.99</v>
      </c>
      <c r="G79" s="100">
        <v>14</v>
      </c>
      <c r="H79" s="100">
        <v>3.61</v>
      </c>
      <c r="I79" s="100">
        <v>4.13</v>
      </c>
      <c r="J79" s="100">
        <v>0.21</v>
      </c>
      <c r="K79" s="100">
        <v>162.13999999999999</v>
      </c>
      <c r="L79" s="100">
        <v>28.82</v>
      </c>
      <c r="M79" s="100">
        <v>79.64</v>
      </c>
      <c r="N79" s="100">
        <v>13.9</v>
      </c>
      <c r="O79" s="100">
        <v>0</v>
      </c>
      <c r="P79" s="100">
        <v>0.22</v>
      </c>
      <c r="Q79" s="100">
        <v>0</v>
      </c>
      <c r="R79" s="6"/>
      <c r="S79" s="6"/>
      <c r="T79" s="156"/>
      <c r="U79" s="6"/>
    </row>
    <row r="80" spans="1:21" customFormat="1">
      <c r="A80" s="201" t="s">
        <v>1368</v>
      </c>
      <c r="B80" s="100">
        <v>3.12</v>
      </c>
      <c r="C80" s="100">
        <v>8.6999999999999993</v>
      </c>
      <c r="D80" s="100">
        <v>7.04</v>
      </c>
      <c r="E80" s="100">
        <v>6.12</v>
      </c>
      <c r="F80" s="100">
        <v>2.36</v>
      </c>
      <c r="G80" s="100">
        <v>13.42</v>
      </c>
      <c r="H80" s="100">
        <v>3.61</v>
      </c>
      <c r="I80" s="100">
        <v>4.05</v>
      </c>
      <c r="J80" s="100">
        <v>0.23</v>
      </c>
      <c r="K80" s="100">
        <v>162.72999999999999</v>
      </c>
      <c r="L80" s="100">
        <v>28.89</v>
      </c>
      <c r="M80" s="100">
        <v>78.55</v>
      </c>
      <c r="N80" s="100">
        <v>6.8</v>
      </c>
      <c r="O80" s="100">
        <v>0</v>
      </c>
      <c r="P80" s="100">
        <v>0.21</v>
      </c>
      <c r="Q80" s="100">
        <v>0</v>
      </c>
      <c r="R80" s="6"/>
      <c r="S80" s="6"/>
      <c r="T80" s="156"/>
      <c r="U80" s="6"/>
    </row>
    <row r="81" spans="1:21" customFormat="1">
      <c r="A81" s="201" t="s">
        <v>1369</v>
      </c>
      <c r="B81" s="100">
        <v>3.11</v>
      </c>
      <c r="C81" s="100">
        <v>8.51</v>
      </c>
      <c r="D81" s="100">
        <v>6.93</v>
      </c>
      <c r="E81" s="100">
        <v>4.3099999999999996</v>
      </c>
      <c r="F81" s="100">
        <v>2.25</v>
      </c>
      <c r="G81" s="100">
        <v>13.42</v>
      </c>
      <c r="H81" s="100">
        <v>3.61</v>
      </c>
      <c r="I81" s="100">
        <v>4.05</v>
      </c>
      <c r="J81" s="100">
        <v>0.19</v>
      </c>
      <c r="K81" s="100">
        <v>139.19999999999999</v>
      </c>
      <c r="L81" s="100">
        <v>28.55</v>
      </c>
      <c r="M81" s="100">
        <v>79.37</v>
      </c>
      <c r="N81" s="100">
        <v>3.2</v>
      </c>
      <c r="O81" s="100">
        <v>0</v>
      </c>
      <c r="P81" s="100">
        <v>0.21</v>
      </c>
      <c r="Q81" s="100">
        <v>0</v>
      </c>
      <c r="R81" s="6"/>
      <c r="S81" s="6"/>
      <c r="T81" s="156"/>
      <c r="U81" s="6"/>
    </row>
    <row r="82" spans="1:21" customFormat="1">
      <c r="A82" s="201" t="s">
        <v>1370</v>
      </c>
      <c r="B82" s="100">
        <v>3.1</v>
      </c>
      <c r="C82" s="100">
        <v>8.15</v>
      </c>
      <c r="D82" s="100">
        <v>6.75</v>
      </c>
      <c r="E82" s="100">
        <v>4.79</v>
      </c>
      <c r="F82" s="100">
        <v>2.4900000000000002</v>
      </c>
      <c r="G82" s="100">
        <v>13.42</v>
      </c>
      <c r="H82" s="100">
        <v>3.61</v>
      </c>
      <c r="I82" s="100">
        <v>4.07</v>
      </c>
      <c r="J82" s="100">
        <v>0.17</v>
      </c>
      <c r="K82" s="100">
        <v>163.81</v>
      </c>
      <c r="L82" s="100">
        <v>28</v>
      </c>
      <c r="M82" s="100">
        <v>81.55</v>
      </c>
      <c r="N82" s="100">
        <v>2.6</v>
      </c>
      <c r="O82" s="100">
        <v>0</v>
      </c>
      <c r="P82" s="100">
        <v>0.2</v>
      </c>
      <c r="Q82" s="100">
        <v>0</v>
      </c>
      <c r="R82" s="6"/>
      <c r="S82" s="6"/>
      <c r="T82" s="156"/>
      <c r="U82" s="6"/>
    </row>
    <row r="83" spans="1:21" customFormat="1">
      <c r="A83" s="201" t="s">
        <v>1371</v>
      </c>
      <c r="B83" s="100">
        <v>3.41</v>
      </c>
      <c r="C83" s="100">
        <v>8.7100000000000009</v>
      </c>
      <c r="D83" s="100">
        <v>7.29</v>
      </c>
      <c r="E83" s="100">
        <v>4.7</v>
      </c>
      <c r="F83" s="100">
        <v>9.48</v>
      </c>
      <c r="G83" s="100">
        <v>13.16</v>
      </c>
      <c r="H83" s="100">
        <v>3.83</v>
      </c>
      <c r="I83" s="100">
        <v>4.03</v>
      </c>
      <c r="J83" s="100">
        <v>0.3</v>
      </c>
      <c r="K83" s="100">
        <v>57.1</v>
      </c>
      <c r="L83" s="100">
        <v>27.85</v>
      </c>
      <c r="M83" s="100">
        <v>82.8</v>
      </c>
      <c r="N83" s="100">
        <v>2.2999999999999998</v>
      </c>
      <c r="O83" s="100">
        <v>0</v>
      </c>
      <c r="P83" s="100">
        <v>0.21</v>
      </c>
      <c r="Q83" s="100">
        <v>0</v>
      </c>
      <c r="R83" s="6"/>
      <c r="S83" s="6"/>
      <c r="T83" s="156"/>
      <c r="U83" s="6"/>
    </row>
    <row r="84" spans="1:21" customFormat="1">
      <c r="A84" s="201" t="s">
        <v>1372</v>
      </c>
      <c r="B84" s="100">
        <v>3.67</v>
      </c>
      <c r="C84" s="100">
        <v>8.99</v>
      </c>
      <c r="D84" s="100">
        <v>7.64</v>
      </c>
      <c r="E84" s="100">
        <v>4.5599999999999996</v>
      </c>
      <c r="F84" s="100">
        <v>4.51</v>
      </c>
      <c r="G84" s="100">
        <v>13.09</v>
      </c>
      <c r="H84" s="100">
        <v>3.83</v>
      </c>
      <c r="I84" s="100">
        <v>4.01</v>
      </c>
      <c r="J84" s="100">
        <v>0.22</v>
      </c>
      <c r="K84" s="100">
        <v>52.11</v>
      </c>
      <c r="L84" s="100">
        <v>27.86</v>
      </c>
      <c r="M84" s="100">
        <v>84.17</v>
      </c>
      <c r="N84" s="100">
        <v>2.2000000000000002</v>
      </c>
      <c r="O84" s="100">
        <v>0</v>
      </c>
      <c r="P84" s="100">
        <v>0.18</v>
      </c>
      <c r="Q84" s="100">
        <v>0</v>
      </c>
      <c r="R84" s="6"/>
      <c r="S84" s="6"/>
      <c r="T84" s="156"/>
      <c r="U84" s="6"/>
    </row>
    <row r="85" spans="1:21" customFormat="1">
      <c r="A85" s="201" t="s">
        <v>1373</v>
      </c>
      <c r="B85" s="100">
        <v>3.85</v>
      </c>
      <c r="C85" s="100">
        <v>8.98</v>
      </c>
      <c r="D85" s="100">
        <v>7.77</v>
      </c>
      <c r="E85" s="100">
        <v>4.84</v>
      </c>
      <c r="F85" s="100">
        <v>2.4300000000000002</v>
      </c>
      <c r="G85" s="100">
        <v>13.09</v>
      </c>
      <c r="H85" s="100">
        <v>3.83</v>
      </c>
      <c r="I85" s="100">
        <v>4.34</v>
      </c>
      <c r="J85" s="100">
        <v>0.17</v>
      </c>
      <c r="K85" s="100">
        <v>65.569999999999993</v>
      </c>
      <c r="L85" s="100">
        <v>27.85</v>
      </c>
      <c r="M85" s="100">
        <v>84.68</v>
      </c>
      <c r="N85" s="100">
        <v>2.2000000000000002</v>
      </c>
      <c r="O85" s="100">
        <v>0</v>
      </c>
      <c r="P85" s="100">
        <v>0.2</v>
      </c>
      <c r="Q85" s="100">
        <v>0</v>
      </c>
      <c r="R85" s="6"/>
      <c r="S85" s="6"/>
      <c r="T85" s="156"/>
      <c r="U85" s="6"/>
    </row>
    <row r="86" spans="1:21" customFormat="1">
      <c r="A86" s="201" t="s">
        <v>1374</v>
      </c>
      <c r="B86" s="100">
        <v>4.0199999999999996</v>
      </c>
      <c r="C86" s="100">
        <v>9.09</v>
      </c>
      <c r="D86" s="100">
        <v>7.97</v>
      </c>
      <c r="E86" s="100">
        <v>4.67</v>
      </c>
      <c r="F86" s="100">
        <v>5.1100000000000003</v>
      </c>
      <c r="G86" s="100">
        <v>13.09</v>
      </c>
      <c r="H86" s="100">
        <v>3.83</v>
      </c>
      <c r="I86" s="100">
        <v>4.25</v>
      </c>
      <c r="J86" s="100">
        <v>0.12</v>
      </c>
      <c r="K86" s="100">
        <v>91.21</v>
      </c>
      <c r="L86" s="100">
        <v>27.78</v>
      </c>
      <c r="M86" s="100">
        <v>85.27</v>
      </c>
      <c r="N86" s="100">
        <v>2.2000000000000002</v>
      </c>
      <c r="O86" s="100">
        <v>0</v>
      </c>
      <c r="P86" s="100">
        <v>0.19</v>
      </c>
      <c r="Q86" s="100">
        <v>0</v>
      </c>
      <c r="R86" s="6"/>
      <c r="S86" s="6"/>
      <c r="T86" s="156"/>
      <c r="U86" s="6"/>
    </row>
    <row r="87" spans="1:21" customFormat="1">
      <c r="A87" s="201" t="s">
        <v>1375</v>
      </c>
      <c r="B87" s="100">
        <v>4.1900000000000004</v>
      </c>
      <c r="C87" s="100">
        <v>10.02</v>
      </c>
      <c r="D87" s="100">
        <v>8.59</v>
      </c>
      <c r="E87" s="100">
        <v>4.72</v>
      </c>
      <c r="F87" s="100">
        <v>6.28</v>
      </c>
      <c r="G87" s="100">
        <v>17.38</v>
      </c>
      <c r="H87" s="100">
        <v>4.41</v>
      </c>
      <c r="I87" s="100">
        <v>4.57</v>
      </c>
      <c r="J87" s="100">
        <v>0.08</v>
      </c>
      <c r="K87" s="100">
        <v>45.06</v>
      </c>
      <c r="L87" s="100">
        <v>27.78</v>
      </c>
      <c r="M87" s="100">
        <v>85.32</v>
      </c>
      <c r="N87" s="100">
        <v>2.1</v>
      </c>
      <c r="O87" s="100">
        <v>0</v>
      </c>
      <c r="P87" s="100">
        <v>0.21</v>
      </c>
      <c r="Q87" s="100">
        <v>0</v>
      </c>
      <c r="R87" s="6"/>
      <c r="S87" s="6"/>
      <c r="T87" s="156"/>
      <c r="U87" s="6"/>
    </row>
    <row r="88" spans="1:21" customFormat="1">
      <c r="A88" s="201" t="s">
        <v>1376</v>
      </c>
      <c r="B88" s="100">
        <v>4.76</v>
      </c>
      <c r="C88" s="100">
        <v>9.48</v>
      </c>
      <c r="D88" s="100">
        <v>8.77</v>
      </c>
      <c r="E88" s="100">
        <v>4.72</v>
      </c>
      <c r="F88" s="100">
        <v>2.15</v>
      </c>
      <c r="G88" s="100">
        <v>18.5</v>
      </c>
      <c r="H88" s="100">
        <v>4.41</v>
      </c>
      <c r="I88" s="100">
        <v>4.55</v>
      </c>
      <c r="J88" s="100">
        <v>0.09</v>
      </c>
      <c r="K88" s="100">
        <v>38.75</v>
      </c>
      <c r="L88" s="100">
        <v>27.68</v>
      </c>
      <c r="M88" s="100">
        <v>85.17</v>
      </c>
      <c r="N88" s="100">
        <v>2.2000000000000002</v>
      </c>
      <c r="O88" s="100">
        <v>0</v>
      </c>
      <c r="P88" s="100">
        <v>0.22</v>
      </c>
      <c r="Q88" s="100">
        <v>0</v>
      </c>
      <c r="R88" s="6"/>
      <c r="S88" s="6"/>
      <c r="T88" s="156"/>
      <c r="U88" s="6"/>
    </row>
    <row r="89" spans="1:21" customFormat="1">
      <c r="A89" s="201" t="s">
        <v>1377</v>
      </c>
      <c r="B89" s="100">
        <v>5.44</v>
      </c>
      <c r="C89" s="100">
        <v>10.33</v>
      </c>
      <c r="D89" s="100">
        <v>9.76</v>
      </c>
      <c r="E89" s="100">
        <v>4.7</v>
      </c>
      <c r="F89" s="100">
        <v>4.43</v>
      </c>
      <c r="G89" s="100">
        <v>18.5</v>
      </c>
      <c r="H89" s="100">
        <v>4.41</v>
      </c>
      <c r="I89" s="100">
        <v>4.59</v>
      </c>
      <c r="J89" s="100">
        <v>0.28000000000000003</v>
      </c>
      <c r="K89" s="100">
        <v>42.33</v>
      </c>
      <c r="L89" s="100">
        <v>27.69</v>
      </c>
      <c r="M89" s="100">
        <v>85.19</v>
      </c>
      <c r="N89" s="100">
        <v>2.1</v>
      </c>
      <c r="O89" s="100">
        <v>0</v>
      </c>
      <c r="P89" s="100">
        <v>0.24</v>
      </c>
      <c r="Q89" s="100">
        <v>0</v>
      </c>
      <c r="R89" s="6"/>
      <c r="S89" s="6"/>
      <c r="T89" s="156"/>
      <c r="U89" s="6"/>
    </row>
    <row r="90" spans="1:21" customFormat="1">
      <c r="A90" s="201" t="s">
        <v>1378</v>
      </c>
      <c r="B90" s="100">
        <v>6.29</v>
      </c>
      <c r="C90" s="100">
        <v>10.81</v>
      </c>
      <c r="D90" s="100">
        <v>10.69</v>
      </c>
      <c r="E90" s="100">
        <v>4.67</v>
      </c>
      <c r="F90" s="100">
        <v>4.2300000000000004</v>
      </c>
      <c r="G90" s="100">
        <v>18.5</v>
      </c>
      <c r="H90" s="100">
        <v>4.41</v>
      </c>
      <c r="I90" s="100">
        <v>4.8899999999999997</v>
      </c>
      <c r="J90" s="100">
        <v>0.27</v>
      </c>
      <c r="K90" s="100">
        <v>50.08</v>
      </c>
      <c r="L90" s="100">
        <v>27.81</v>
      </c>
      <c r="M90" s="100">
        <v>85</v>
      </c>
      <c r="N90" s="100">
        <v>2.1</v>
      </c>
      <c r="O90" s="100">
        <v>0</v>
      </c>
      <c r="P90" s="100">
        <v>0.22</v>
      </c>
      <c r="Q90" s="100">
        <v>0</v>
      </c>
      <c r="R90" s="6"/>
      <c r="S90" s="6"/>
      <c r="T90" s="156"/>
      <c r="U90" s="6"/>
    </row>
    <row r="91" spans="1:21" customFormat="1">
      <c r="A91" s="201" t="s">
        <v>1379</v>
      </c>
      <c r="B91" s="100">
        <v>5.92</v>
      </c>
      <c r="C91" s="100">
        <v>9.6300000000000008</v>
      </c>
      <c r="D91" s="100">
        <v>9.7799999999999994</v>
      </c>
      <c r="E91" s="100">
        <v>4.82</v>
      </c>
      <c r="F91" s="100">
        <v>2.63</v>
      </c>
      <c r="G91" s="100">
        <v>20.3</v>
      </c>
      <c r="H91" s="100">
        <v>5.18</v>
      </c>
      <c r="I91" s="100">
        <v>5</v>
      </c>
      <c r="J91" s="100">
        <v>0.15</v>
      </c>
      <c r="K91" s="100">
        <v>43.18</v>
      </c>
      <c r="L91" s="100">
        <v>27.74</v>
      </c>
      <c r="M91" s="100">
        <v>84.78</v>
      </c>
      <c r="N91" s="100">
        <v>2.1</v>
      </c>
      <c r="O91" s="100">
        <v>0</v>
      </c>
      <c r="P91" s="100">
        <v>0.24</v>
      </c>
      <c r="Q91" s="100">
        <v>0</v>
      </c>
      <c r="R91" s="6"/>
      <c r="S91" s="6"/>
      <c r="T91" s="156"/>
      <c r="U91" s="6"/>
    </row>
    <row r="92" spans="1:21" customFormat="1">
      <c r="A92" s="201" t="s">
        <v>1380</v>
      </c>
      <c r="B92" s="100">
        <v>6.17</v>
      </c>
      <c r="C92" s="100">
        <v>10.02</v>
      </c>
      <c r="D92" s="100">
        <v>10.18</v>
      </c>
      <c r="E92" s="100">
        <v>4.6900000000000004</v>
      </c>
      <c r="F92" s="100">
        <v>3.25</v>
      </c>
      <c r="G92" s="100">
        <v>20.75</v>
      </c>
      <c r="H92" s="100">
        <v>5.18</v>
      </c>
      <c r="I92" s="100">
        <v>4.9000000000000004</v>
      </c>
      <c r="J92" s="100">
        <v>0.11</v>
      </c>
      <c r="K92" s="100">
        <v>49.43</v>
      </c>
      <c r="L92" s="100">
        <v>27.65</v>
      </c>
      <c r="M92" s="100">
        <v>84.95</v>
      </c>
      <c r="N92" s="100">
        <v>2.2000000000000002</v>
      </c>
      <c r="O92" s="100">
        <v>0</v>
      </c>
      <c r="P92" s="100">
        <v>0.26</v>
      </c>
      <c r="Q92" s="100">
        <v>0</v>
      </c>
      <c r="R92" s="6"/>
      <c r="S92" s="6"/>
      <c r="T92" s="156"/>
      <c r="U92" s="6"/>
    </row>
    <row r="93" spans="1:21" customFormat="1">
      <c r="A93" s="201" t="s">
        <v>1381</v>
      </c>
      <c r="B93" s="100">
        <v>6.89</v>
      </c>
      <c r="C93" s="100">
        <v>10.58</v>
      </c>
      <c r="D93" s="100">
        <v>11.05</v>
      </c>
      <c r="E93" s="100">
        <v>4.6500000000000004</v>
      </c>
      <c r="F93" s="100">
        <v>4.55</v>
      </c>
      <c r="G93" s="100">
        <v>20.75</v>
      </c>
      <c r="H93" s="100">
        <v>5.18</v>
      </c>
      <c r="I93" s="100">
        <v>5</v>
      </c>
      <c r="J93" s="100">
        <v>0.17</v>
      </c>
      <c r="K93" s="100">
        <v>36.840000000000003</v>
      </c>
      <c r="L93" s="100">
        <v>27.64</v>
      </c>
      <c r="M93" s="100">
        <v>84.97</v>
      </c>
      <c r="N93" s="100">
        <v>2.1</v>
      </c>
      <c r="O93" s="100">
        <v>0</v>
      </c>
      <c r="P93" s="100">
        <v>0.28000000000000003</v>
      </c>
      <c r="Q93" s="100">
        <v>0</v>
      </c>
      <c r="R93" s="6"/>
      <c r="S93" s="6"/>
      <c r="T93" s="156"/>
      <c r="U93" s="6"/>
    </row>
    <row r="94" spans="1:21" customFormat="1">
      <c r="A94" s="201" t="s">
        <v>1382</v>
      </c>
      <c r="B94" s="100">
        <v>6.96</v>
      </c>
      <c r="C94" s="100">
        <v>9.56</v>
      </c>
      <c r="D94" s="100">
        <v>10.57</v>
      </c>
      <c r="E94" s="100">
        <v>5.01</v>
      </c>
      <c r="F94" s="100">
        <v>2.2200000000000002</v>
      </c>
      <c r="G94" s="100">
        <v>20.75</v>
      </c>
      <c r="H94" s="100">
        <v>5.18</v>
      </c>
      <c r="I94" s="100">
        <v>5.08</v>
      </c>
      <c r="J94" s="100">
        <v>0.12</v>
      </c>
      <c r="K94" s="100">
        <v>30.01</v>
      </c>
      <c r="L94" s="100">
        <v>27.6</v>
      </c>
      <c r="M94" s="100">
        <v>84.76</v>
      </c>
      <c r="N94" s="100">
        <v>2.2999999999999998</v>
      </c>
      <c r="O94" s="100">
        <v>0</v>
      </c>
      <c r="P94" s="100">
        <v>0.24</v>
      </c>
      <c r="Q94" s="100">
        <v>0</v>
      </c>
      <c r="R94" s="6"/>
      <c r="S94" s="6"/>
      <c r="T94" s="156"/>
      <c r="U94" s="6"/>
    </row>
    <row r="95" spans="1:21" customFormat="1">
      <c r="A95" s="201" t="s">
        <v>1383</v>
      </c>
      <c r="B95" s="100">
        <v>7.58</v>
      </c>
      <c r="C95" s="100">
        <v>10.31</v>
      </c>
      <c r="D95" s="100">
        <v>11.46</v>
      </c>
      <c r="E95" s="100">
        <v>4.82</v>
      </c>
      <c r="F95" s="100">
        <v>3.65</v>
      </c>
      <c r="G95" s="100">
        <v>23.22</v>
      </c>
      <c r="H95" s="100">
        <v>5.53</v>
      </c>
      <c r="I95" s="100">
        <v>5.48</v>
      </c>
      <c r="J95" s="100">
        <v>0.16</v>
      </c>
      <c r="K95" s="100">
        <v>24.27</v>
      </c>
      <c r="L95" s="100">
        <v>27.44</v>
      </c>
      <c r="M95" s="100">
        <v>85.09</v>
      </c>
      <c r="N95" s="100">
        <v>2.2999999999999998</v>
      </c>
      <c r="O95" s="100">
        <v>0</v>
      </c>
      <c r="P95" s="100">
        <v>0.28000000000000003</v>
      </c>
      <c r="Q95" s="100">
        <v>0</v>
      </c>
      <c r="R95" s="6"/>
      <c r="S95" s="6"/>
      <c r="T95" s="156"/>
      <c r="U95" s="6"/>
    </row>
    <row r="96" spans="1:21" customFormat="1">
      <c r="A96" s="201" t="s">
        <v>1384</v>
      </c>
      <c r="B96" s="100">
        <v>8.17</v>
      </c>
      <c r="C96" s="100">
        <v>9.8699999999999992</v>
      </c>
      <c r="D96" s="100">
        <v>11.71</v>
      </c>
      <c r="E96" s="100">
        <v>4.9800000000000004</v>
      </c>
      <c r="F96" s="100">
        <v>2.98</v>
      </c>
      <c r="G96" s="100">
        <v>23.75</v>
      </c>
      <c r="H96" s="100">
        <v>5.53</v>
      </c>
      <c r="I96" s="100">
        <v>5.12</v>
      </c>
      <c r="J96" s="100">
        <v>0.4</v>
      </c>
      <c r="K96" s="100">
        <v>47.26</v>
      </c>
      <c r="L96" s="100">
        <v>27.29</v>
      </c>
      <c r="M96" s="100">
        <v>85.39</v>
      </c>
      <c r="N96" s="100">
        <v>2.4</v>
      </c>
      <c r="O96" s="100">
        <v>0</v>
      </c>
      <c r="P96" s="100">
        <v>0.25</v>
      </c>
      <c r="Q96" s="100">
        <v>0</v>
      </c>
      <c r="R96" s="6"/>
      <c r="S96" s="6"/>
      <c r="T96" s="156"/>
      <c r="U96" s="6"/>
    </row>
    <row r="97" spans="1:28" customFormat="1">
      <c r="A97" s="201" t="s">
        <v>1385</v>
      </c>
      <c r="B97" s="100">
        <v>8.06</v>
      </c>
      <c r="C97" s="100">
        <v>8.94</v>
      </c>
      <c r="D97" s="100">
        <v>11.13</v>
      </c>
      <c r="E97" s="100">
        <v>4.8899999999999997</v>
      </c>
      <c r="F97" s="100">
        <v>2.48</v>
      </c>
      <c r="G97" s="100">
        <v>23.75</v>
      </c>
      <c r="H97" s="100">
        <v>5.53</v>
      </c>
      <c r="I97" s="100">
        <v>5.21</v>
      </c>
      <c r="J97" s="100">
        <v>0.23</v>
      </c>
      <c r="K97" s="100">
        <v>34.78</v>
      </c>
      <c r="L97" s="100">
        <v>27.03</v>
      </c>
      <c r="M97" s="100">
        <v>85.51</v>
      </c>
      <c r="N97" s="100">
        <v>2.4</v>
      </c>
      <c r="O97" s="100">
        <v>0</v>
      </c>
      <c r="P97" s="100">
        <v>0.25</v>
      </c>
      <c r="Q97" s="100">
        <v>0</v>
      </c>
      <c r="R97" s="6"/>
      <c r="S97" s="6"/>
      <c r="T97" s="156"/>
      <c r="U97" s="6"/>
    </row>
    <row r="98" spans="1:28" customFormat="1">
      <c r="A98" s="201" t="s">
        <v>1386</v>
      </c>
      <c r="B98" s="100">
        <v>8.31</v>
      </c>
      <c r="C98" s="100">
        <v>8.9600000000000009</v>
      </c>
      <c r="D98" s="100">
        <v>11.35</v>
      </c>
      <c r="E98" s="100">
        <v>5.39</v>
      </c>
      <c r="F98" s="100">
        <v>2.08</v>
      </c>
      <c r="G98" s="100">
        <v>23.75</v>
      </c>
      <c r="H98" s="100">
        <v>5.53</v>
      </c>
      <c r="I98" s="100">
        <v>5.15</v>
      </c>
      <c r="J98" s="100">
        <v>0.15</v>
      </c>
      <c r="K98" s="100">
        <v>37.94</v>
      </c>
      <c r="L98" s="100">
        <v>26.82</v>
      </c>
      <c r="M98" s="100">
        <v>85.57</v>
      </c>
      <c r="N98" s="100">
        <v>2.4</v>
      </c>
      <c r="O98" s="100">
        <v>0</v>
      </c>
      <c r="P98" s="100">
        <v>0.27</v>
      </c>
      <c r="Q98" s="100">
        <v>0</v>
      </c>
      <c r="R98" s="6"/>
      <c r="S98" s="6"/>
      <c r="T98" s="156"/>
      <c r="U98" s="6"/>
    </row>
    <row r="99" spans="1:28" customFormat="1">
      <c r="A99" s="201" t="s">
        <v>1387</v>
      </c>
      <c r="B99" s="100">
        <v>8.52</v>
      </c>
      <c r="C99" s="100">
        <v>9.52</v>
      </c>
      <c r="D99" s="100">
        <v>11.81</v>
      </c>
      <c r="E99" s="100">
        <v>5.2</v>
      </c>
      <c r="F99" s="100">
        <v>3.18</v>
      </c>
      <c r="G99" s="100">
        <v>21.5</v>
      </c>
      <c r="H99" s="100">
        <v>5.12</v>
      </c>
      <c r="I99" s="100">
        <v>5.2</v>
      </c>
      <c r="J99" s="100">
        <v>0.25</v>
      </c>
      <c r="K99" s="100">
        <v>38.880000000000003</v>
      </c>
      <c r="L99" s="100">
        <v>26.68</v>
      </c>
      <c r="M99" s="100">
        <v>85.7</v>
      </c>
      <c r="N99" s="100">
        <v>2.2999999999999998</v>
      </c>
      <c r="O99" s="100">
        <v>0</v>
      </c>
      <c r="P99" s="100">
        <v>0.26</v>
      </c>
      <c r="Q99" s="100">
        <v>0</v>
      </c>
      <c r="R99" s="6"/>
      <c r="S99" s="6"/>
      <c r="T99" s="156"/>
      <c r="U99" s="6"/>
    </row>
    <row r="100" spans="1:28" customFormat="1">
      <c r="A100" s="201" t="s">
        <v>1388</v>
      </c>
      <c r="B100" s="100">
        <v>8.8000000000000007</v>
      </c>
      <c r="C100" s="100">
        <v>8.91</v>
      </c>
      <c r="D100" s="100">
        <v>11.72</v>
      </c>
      <c r="E100" s="100">
        <v>5.42</v>
      </c>
      <c r="F100" s="100">
        <v>2.2200000000000002</v>
      </c>
      <c r="G100" s="100">
        <v>20.93</v>
      </c>
      <c r="H100" s="100">
        <v>5.12</v>
      </c>
      <c r="I100" s="100">
        <v>5.18</v>
      </c>
      <c r="J100" s="100">
        <v>0.09</v>
      </c>
      <c r="K100" s="100">
        <v>36.28</v>
      </c>
      <c r="L100" s="100">
        <v>26.53</v>
      </c>
      <c r="M100" s="100">
        <v>85.47</v>
      </c>
      <c r="N100" s="100">
        <v>2.2000000000000002</v>
      </c>
      <c r="O100" s="100">
        <v>0</v>
      </c>
      <c r="P100" s="100">
        <v>0.26</v>
      </c>
      <c r="Q100" s="100">
        <v>0</v>
      </c>
      <c r="R100" s="6"/>
      <c r="S100" s="6"/>
      <c r="T100" s="156"/>
      <c r="U100" s="6"/>
      <c r="AB100" s="161"/>
    </row>
    <row r="101" spans="1:28" customFormat="1">
      <c r="A101" s="201" t="s">
        <v>1389</v>
      </c>
      <c r="B101" s="100">
        <v>9.32</v>
      </c>
      <c r="C101" s="100">
        <v>9.11</v>
      </c>
      <c r="D101" s="100">
        <v>12.24</v>
      </c>
      <c r="E101" s="100">
        <v>5.31</v>
      </c>
      <c r="F101" s="100">
        <v>2.11</v>
      </c>
      <c r="G101" s="100">
        <v>20.93</v>
      </c>
      <c r="H101" s="100">
        <v>5.12</v>
      </c>
      <c r="I101" s="100">
        <v>5.0999999999999996</v>
      </c>
      <c r="J101" s="100">
        <v>7.0000000000000007E-2</v>
      </c>
      <c r="K101" s="100">
        <v>28.85</v>
      </c>
      <c r="L101" s="100">
        <v>26.48</v>
      </c>
      <c r="M101" s="100">
        <v>85.45</v>
      </c>
      <c r="N101" s="100">
        <v>2.1</v>
      </c>
      <c r="O101" s="100">
        <v>0</v>
      </c>
      <c r="P101" s="100">
        <v>0.28999999999999998</v>
      </c>
      <c r="Q101" s="100">
        <v>0</v>
      </c>
      <c r="R101" s="6"/>
      <c r="S101" s="6"/>
      <c r="T101" s="156"/>
      <c r="U101" s="6"/>
    </row>
    <row r="102" spans="1:28" customFormat="1">
      <c r="A102" s="201" t="s">
        <v>1390</v>
      </c>
      <c r="B102" s="100">
        <v>9.7899999999999991</v>
      </c>
      <c r="C102" s="100">
        <v>9.24</v>
      </c>
      <c r="D102" s="100">
        <v>12.68</v>
      </c>
      <c r="E102" s="100">
        <v>5.12</v>
      </c>
      <c r="F102" s="100">
        <v>2.04</v>
      </c>
      <c r="G102" s="100">
        <v>20.93</v>
      </c>
      <c r="H102" s="100">
        <v>5.12</v>
      </c>
      <c r="I102" s="100">
        <v>5.25</v>
      </c>
      <c r="J102" s="100">
        <v>0.41</v>
      </c>
      <c r="K102" s="100">
        <v>40.22</v>
      </c>
      <c r="L102" s="100">
        <v>26.37</v>
      </c>
      <c r="M102" s="100">
        <v>85.17</v>
      </c>
      <c r="N102" s="100">
        <v>2.1</v>
      </c>
      <c r="O102" s="100">
        <v>0</v>
      </c>
      <c r="P102" s="100">
        <v>0.31</v>
      </c>
      <c r="Q102" s="100">
        <v>0</v>
      </c>
      <c r="R102" s="6"/>
      <c r="S102" s="6"/>
      <c r="T102" s="156"/>
      <c r="U102" s="6"/>
    </row>
    <row r="103" spans="1:28" customFormat="1">
      <c r="A103" s="201" t="s">
        <v>1391</v>
      </c>
      <c r="B103" s="100">
        <v>10.07</v>
      </c>
      <c r="C103" s="100">
        <v>9.3800000000000008</v>
      </c>
      <c r="D103" s="100">
        <v>12.97</v>
      </c>
      <c r="E103" s="100">
        <v>5.3</v>
      </c>
      <c r="F103" s="100">
        <v>2.04</v>
      </c>
      <c r="G103" s="100">
        <v>24.99</v>
      </c>
      <c r="H103" s="100">
        <v>5.25</v>
      </c>
      <c r="I103" s="100">
        <v>5.2</v>
      </c>
      <c r="J103" s="100">
        <v>0.31</v>
      </c>
      <c r="K103" s="100">
        <v>40.58</v>
      </c>
      <c r="L103" s="100">
        <v>26.28</v>
      </c>
      <c r="M103" s="100">
        <v>85.15</v>
      </c>
      <c r="N103" s="100">
        <v>2.1</v>
      </c>
      <c r="O103" s="100">
        <v>0</v>
      </c>
      <c r="P103" s="100">
        <v>0.31</v>
      </c>
      <c r="Q103" s="100">
        <v>0</v>
      </c>
      <c r="R103" s="6"/>
      <c r="S103" s="6"/>
      <c r="T103" s="156"/>
      <c r="U103" s="6"/>
    </row>
    <row r="104" spans="1:28" customFormat="1">
      <c r="A104" s="201" t="s">
        <v>1392</v>
      </c>
      <c r="B104" s="100">
        <v>10.31</v>
      </c>
      <c r="C104" s="100">
        <v>9.4</v>
      </c>
      <c r="D104" s="100">
        <v>13.17</v>
      </c>
      <c r="E104" s="100">
        <v>5.27</v>
      </c>
      <c r="F104" s="100">
        <v>2.06</v>
      </c>
      <c r="G104" s="100">
        <v>25.96</v>
      </c>
      <c r="H104" s="100">
        <v>5.25</v>
      </c>
      <c r="I104" s="100">
        <v>5.16</v>
      </c>
      <c r="J104" s="100">
        <v>0.33</v>
      </c>
      <c r="K104" s="100">
        <v>42.21</v>
      </c>
      <c r="L104" s="100">
        <v>26.25</v>
      </c>
      <c r="M104" s="100">
        <v>85.01</v>
      </c>
      <c r="N104" s="100">
        <v>2.1</v>
      </c>
      <c r="O104" s="100">
        <v>0</v>
      </c>
      <c r="P104" s="100">
        <v>0.31</v>
      </c>
      <c r="Q104" s="100">
        <v>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3.1</v>
      </c>
      <c r="C106" s="158">
        <f>MIN(C9:C104)</f>
        <v>7.5</v>
      </c>
      <c r="D106" s="158">
        <f t="shared" ref="D106:Q106" si="0">MIN(D9:D104)</f>
        <v>6.75</v>
      </c>
      <c r="E106" s="158">
        <f t="shared" si="0"/>
        <v>4.3099999999999996</v>
      </c>
      <c r="F106" s="158">
        <f t="shared" si="0"/>
        <v>2</v>
      </c>
      <c r="G106" s="158">
        <f t="shared" si="0"/>
        <v>9.43</v>
      </c>
      <c r="H106" s="158">
        <f t="shared" si="0"/>
        <v>2.09</v>
      </c>
      <c r="I106" s="158">
        <f t="shared" si="0"/>
        <v>4.01</v>
      </c>
      <c r="J106" s="158">
        <f t="shared" si="0"/>
        <v>0</v>
      </c>
      <c r="K106" s="158">
        <f t="shared" si="0"/>
        <v>23.48</v>
      </c>
      <c r="L106" s="158">
        <f t="shared" si="0"/>
        <v>23.94</v>
      </c>
      <c r="M106" s="158">
        <f t="shared" si="0"/>
        <v>66.510000000000005</v>
      </c>
      <c r="N106" s="158">
        <f t="shared" si="0"/>
        <v>2</v>
      </c>
      <c r="O106" s="158">
        <f t="shared" si="0"/>
        <v>0</v>
      </c>
      <c r="P106" s="158">
        <f t="shared" si="0"/>
        <v>0.18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15.95</v>
      </c>
      <c r="C107" s="157">
        <f t="shared" ref="C107:Q107" si="1">MAX(C9:C104)</f>
        <v>11.06</v>
      </c>
      <c r="D107" s="157">
        <f t="shared" si="1"/>
        <v>17.809999999999999</v>
      </c>
      <c r="E107" s="157">
        <f t="shared" si="1"/>
        <v>10.63</v>
      </c>
      <c r="F107" s="157">
        <f t="shared" si="1"/>
        <v>9.48</v>
      </c>
      <c r="G107" s="157">
        <f t="shared" si="1"/>
        <v>25.96</v>
      </c>
      <c r="H107" s="157">
        <f t="shared" si="1"/>
        <v>5.53</v>
      </c>
      <c r="I107" s="157">
        <f t="shared" si="1"/>
        <v>5.95</v>
      </c>
      <c r="J107" s="157">
        <f t="shared" si="1"/>
        <v>1.01</v>
      </c>
      <c r="K107" s="157">
        <f t="shared" si="1"/>
        <v>320.27</v>
      </c>
      <c r="L107" s="157">
        <f t="shared" si="1"/>
        <v>32.299999999999997</v>
      </c>
      <c r="M107" s="157">
        <f t="shared" si="1"/>
        <v>89.52</v>
      </c>
      <c r="N107" s="157">
        <f t="shared" si="1"/>
        <v>586.70000000000005</v>
      </c>
      <c r="O107" s="157">
        <f t="shared" si="1"/>
        <v>0</v>
      </c>
      <c r="P107" s="157">
        <f t="shared" si="1"/>
        <v>0.31</v>
      </c>
      <c r="Q107" s="157">
        <f t="shared" si="1"/>
        <v>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10.510208333333326</v>
      </c>
      <c r="C108" s="158">
        <f t="shared" ref="C108:Q108" si="2">AVERAGE(C9:C104)</f>
        <v>9.3931249999999995</v>
      </c>
      <c r="D108" s="158">
        <f t="shared" si="2"/>
        <v>13.334895833333336</v>
      </c>
      <c r="E108" s="158">
        <f t="shared" si="2"/>
        <v>5.8940625000000013</v>
      </c>
      <c r="F108" s="158">
        <f t="shared" si="2"/>
        <v>2.8595833333333349</v>
      </c>
      <c r="G108" s="158">
        <f t="shared" si="2"/>
        <v>16.487083333333342</v>
      </c>
      <c r="H108" s="158">
        <f t="shared" si="2"/>
        <v>3.6500000000000017</v>
      </c>
      <c r="I108" s="158">
        <f t="shared" si="2"/>
        <v>5.0271874999999993</v>
      </c>
      <c r="J108" s="158">
        <f t="shared" si="2"/>
        <v>0.25531250000000005</v>
      </c>
      <c r="K108" s="158">
        <f t="shared" si="2"/>
        <v>81.225208333333327</v>
      </c>
      <c r="L108" s="158">
        <f t="shared" si="2"/>
        <v>27.831145833333338</v>
      </c>
      <c r="M108" s="158">
        <f t="shared" si="2"/>
        <v>81.557395833333331</v>
      </c>
      <c r="N108" s="158">
        <f t="shared" si="2"/>
        <v>106.74166666666673</v>
      </c>
      <c r="O108" s="158">
        <f t="shared" si="2"/>
        <v>0</v>
      </c>
      <c r="P108" s="158">
        <f t="shared" si="2"/>
        <v>0.2426041666666667</v>
      </c>
      <c r="Q108" s="158">
        <f t="shared" si="2"/>
        <v>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4.3358566152168203</v>
      </c>
      <c r="C109" s="158">
        <f t="shared" ref="C109:Q109" si="3">STDEV(C9:C104)</f>
        <v>0.81209710658659251</v>
      </c>
      <c r="D109" s="158">
        <f t="shared" si="3"/>
        <v>3.4600425901825349</v>
      </c>
      <c r="E109" s="158">
        <f t="shared" si="3"/>
        <v>1.2105332258097934</v>
      </c>
      <c r="F109" s="158">
        <f t="shared" si="3"/>
        <v>1.2364719901623871</v>
      </c>
      <c r="G109" s="158">
        <f t="shared" si="3"/>
        <v>3.5912094185272787</v>
      </c>
      <c r="H109" s="158">
        <f t="shared" si="3"/>
        <v>0.99058727929179724</v>
      </c>
      <c r="I109" s="158">
        <f t="shared" si="3"/>
        <v>0.54229668152172317</v>
      </c>
      <c r="J109" s="158">
        <f t="shared" si="3"/>
        <v>0.16201334009402149</v>
      </c>
      <c r="K109" s="158">
        <f t="shared" si="3"/>
        <v>58.751592408056972</v>
      </c>
      <c r="L109" s="158">
        <f t="shared" si="3"/>
        <v>2.3911128744809962</v>
      </c>
      <c r="M109" s="158">
        <f t="shared" si="3"/>
        <v>7.1251820652330933</v>
      </c>
      <c r="N109" s="158">
        <f t="shared" si="3"/>
        <v>153.91168873683552</v>
      </c>
      <c r="O109" s="158">
        <f t="shared" si="3"/>
        <v>0</v>
      </c>
      <c r="P109" s="158">
        <f t="shared" si="3"/>
        <v>2.668509505783313E-2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G11" sqref="G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1393</v>
      </c>
      <c r="B9" s="100">
        <v>10.33</v>
      </c>
      <c r="C9" s="100">
        <v>9.2200000000000006</v>
      </c>
      <c r="D9" s="100">
        <v>13.1</v>
      </c>
      <c r="E9" s="100">
        <v>5.54</v>
      </c>
      <c r="F9" s="100">
        <v>2.0299999999999998</v>
      </c>
      <c r="G9" s="100">
        <v>25.96</v>
      </c>
      <c r="H9" s="100">
        <v>5.25</v>
      </c>
      <c r="I9" s="100">
        <v>5.0999999999999996</v>
      </c>
      <c r="J9" s="100">
        <v>0.31</v>
      </c>
      <c r="K9" s="100">
        <v>43.28</v>
      </c>
      <c r="L9" s="100">
        <v>26.17</v>
      </c>
      <c r="M9" s="100">
        <v>85.09</v>
      </c>
      <c r="N9" s="100">
        <v>2.1</v>
      </c>
      <c r="O9" s="100">
        <v>0</v>
      </c>
      <c r="P9" s="100">
        <v>0.3</v>
      </c>
      <c r="Q9" s="100">
        <v>0</v>
      </c>
      <c r="R9" s="6"/>
      <c r="S9" s="6"/>
      <c r="T9" s="156"/>
      <c r="U9" s="6"/>
    </row>
    <row r="10" spans="1:21" customFormat="1">
      <c r="A10" s="201" t="s">
        <v>1394</v>
      </c>
      <c r="B10" s="100">
        <v>10.43</v>
      </c>
      <c r="C10" s="100">
        <v>9.4499999999999993</v>
      </c>
      <c r="D10" s="100">
        <v>13.3</v>
      </c>
      <c r="E10" s="100">
        <v>5.71</v>
      </c>
      <c r="F10" s="100">
        <v>2.02</v>
      </c>
      <c r="G10" s="100">
        <v>25.96</v>
      </c>
      <c r="H10" s="100">
        <v>5.25</v>
      </c>
      <c r="I10" s="100">
        <v>5.04</v>
      </c>
      <c r="J10" s="100">
        <v>0.54</v>
      </c>
      <c r="K10" s="100">
        <v>47.17</v>
      </c>
      <c r="L10" s="100">
        <v>26.13</v>
      </c>
      <c r="M10" s="100">
        <v>85.03</v>
      </c>
      <c r="N10" s="100">
        <v>2.1</v>
      </c>
      <c r="O10" s="100">
        <v>0</v>
      </c>
      <c r="P10" s="100">
        <v>0.3</v>
      </c>
      <c r="Q10" s="100">
        <v>0</v>
      </c>
      <c r="R10" s="6"/>
      <c r="S10" s="6"/>
      <c r="T10" s="156"/>
      <c r="U10" s="6"/>
    </row>
    <row r="11" spans="1:21" customFormat="1">
      <c r="A11" s="201" t="s">
        <v>1395</v>
      </c>
      <c r="B11" s="100">
        <v>10.47</v>
      </c>
      <c r="C11" s="100">
        <v>9.5299999999999994</v>
      </c>
      <c r="D11" s="100">
        <v>13.38</v>
      </c>
      <c r="E11" s="100">
        <v>5.43</v>
      </c>
      <c r="F11" s="100">
        <v>2</v>
      </c>
      <c r="G11" s="100">
        <v>23.86</v>
      </c>
      <c r="H11" s="100">
        <v>5.91</v>
      </c>
      <c r="I11" s="100">
        <v>5.04</v>
      </c>
      <c r="J11" s="100">
        <v>0.42</v>
      </c>
      <c r="K11" s="100">
        <v>46.99</v>
      </c>
      <c r="L11" s="100">
        <v>26.06</v>
      </c>
      <c r="M11" s="100">
        <v>85.22</v>
      </c>
      <c r="N11" s="100">
        <v>2.1</v>
      </c>
      <c r="O11" s="100">
        <v>0</v>
      </c>
      <c r="P11" s="100">
        <v>0.3</v>
      </c>
      <c r="Q11" s="100">
        <v>0</v>
      </c>
      <c r="R11" s="6"/>
      <c r="S11" s="6"/>
      <c r="T11" s="156"/>
      <c r="U11" s="6"/>
    </row>
    <row r="12" spans="1:21" customFormat="1">
      <c r="A12" s="201" t="s">
        <v>1396</v>
      </c>
      <c r="B12" s="100">
        <v>10.47</v>
      </c>
      <c r="C12" s="100">
        <v>9.52</v>
      </c>
      <c r="D12" s="100">
        <v>13.37</v>
      </c>
      <c r="E12" s="100">
        <v>5.82</v>
      </c>
      <c r="F12" s="100">
        <v>2.06</v>
      </c>
      <c r="G12" s="100">
        <v>23.33</v>
      </c>
      <c r="H12" s="100">
        <v>5.91</v>
      </c>
      <c r="I12" s="100">
        <v>5.04</v>
      </c>
      <c r="J12" s="100">
        <v>0.44</v>
      </c>
      <c r="K12" s="100">
        <v>43.96</v>
      </c>
      <c r="L12" s="100">
        <v>26.03</v>
      </c>
      <c r="M12" s="100">
        <v>85.04</v>
      </c>
      <c r="N12" s="100">
        <v>2.1</v>
      </c>
      <c r="O12" s="100">
        <v>0</v>
      </c>
      <c r="P12" s="100">
        <v>0.28999999999999998</v>
      </c>
      <c r="Q12" s="100">
        <v>0</v>
      </c>
      <c r="R12" s="6"/>
      <c r="S12" s="6"/>
      <c r="T12" s="156"/>
      <c r="U12" s="6"/>
    </row>
    <row r="13" spans="1:21" customFormat="1">
      <c r="A13" s="201" t="s">
        <v>1397</v>
      </c>
      <c r="B13" s="100">
        <v>10.41</v>
      </c>
      <c r="C13" s="100">
        <v>9.4700000000000006</v>
      </c>
      <c r="D13" s="100">
        <v>13.3</v>
      </c>
      <c r="E13" s="100">
        <v>5.85</v>
      </c>
      <c r="F13" s="100">
        <v>2.04</v>
      </c>
      <c r="G13" s="100">
        <v>23.33</v>
      </c>
      <c r="H13" s="100">
        <v>5.91</v>
      </c>
      <c r="I13" s="100">
        <v>5.0199999999999996</v>
      </c>
      <c r="J13" s="100">
        <v>0.34</v>
      </c>
      <c r="K13" s="100">
        <v>44.66</v>
      </c>
      <c r="L13" s="100">
        <v>25.99</v>
      </c>
      <c r="M13" s="100">
        <v>85.08</v>
      </c>
      <c r="N13" s="100">
        <v>2.1</v>
      </c>
      <c r="O13" s="100">
        <v>0</v>
      </c>
      <c r="P13" s="100">
        <v>0.28999999999999998</v>
      </c>
      <c r="Q13" s="100">
        <v>0</v>
      </c>
      <c r="R13" s="6"/>
      <c r="S13" s="6"/>
      <c r="T13" s="156"/>
      <c r="U13" s="6"/>
    </row>
    <row r="14" spans="1:21" customFormat="1">
      <c r="A14" s="201" t="s">
        <v>1398</v>
      </c>
      <c r="B14" s="100">
        <v>10.35</v>
      </c>
      <c r="C14" s="100">
        <v>9.43</v>
      </c>
      <c r="D14" s="100">
        <v>13.22</v>
      </c>
      <c r="E14" s="100">
        <v>5.51</v>
      </c>
      <c r="F14" s="100">
        <v>2</v>
      </c>
      <c r="G14" s="100">
        <v>23.33</v>
      </c>
      <c r="H14" s="100">
        <v>5.91</v>
      </c>
      <c r="I14" s="100">
        <v>5.03</v>
      </c>
      <c r="J14" s="100">
        <v>0.38</v>
      </c>
      <c r="K14" s="100">
        <v>35.56</v>
      </c>
      <c r="L14" s="100">
        <v>25.93</v>
      </c>
      <c r="M14" s="100">
        <v>85.14</v>
      </c>
      <c r="N14" s="100">
        <v>2.1</v>
      </c>
      <c r="O14" s="100">
        <v>0</v>
      </c>
      <c r="P14" s="100">
        <v>0.28000000000000003</v>
      </c>
      <c r="Q14" s="100">
        <v>0</v>
      </c>
      <c r="R14" s="6"/>
      <c r="S14" s="6"/>
      <c r="T14" s="156"/>
      <c r="U14" s="6"/>
    </row>
    <row r="15" spans="1:21" customFormat="1">
      <c r="A15" s="201" t="s">
        <v>1399</v>
      </c>
      <c r="B15" s="100">
        <v>10.33</v>
      </c>
      <c r="C15" s="100">
        <v>9.39</v>
      </c>
      <c r="D15" s="100">
        <v>13.19</v>
      </c>
      <c r="E15" s="100">
        <v>5.53</v>
      </c>
      <c r="F15" s="100">
        <v>2</v>
      </c>
      <c r="G15" s="100">
        <v>22.01</v>
      </c>
      <c r="H15" s="100">
        <v>5.38</v>
      </c>
      <c r="I15" s="100">
        <v>4.97</v>
      </c>
      <c r="J15" s="100">
        <v>0.28000000000000003</v>
      </c>
      <c r="K15" s="100">
        <v>54.13</v>
      </c>
      <c r="L15" s="100">
        <v>25.9</v>
      </c>
      <c r="M15" s="100">
        <v>85.11</v>
      </c>
      <c r="N15" s="100">
        <v>2.1</v>
      </c>
      <c r="O15" s="100">
        <v>0</v>
      </c>
      <c r="P15" s="100">
        <v>0.28000000000000003</v>
      </c>
      <c r="Q15" s="100">
        <v>0</v>
      </c>
      <c r="R15" s="6"/>
      <c r="S15" s="6"/>
      <c r="T15" s="156"/>
      <c r="U15" s="6"/>
    </row>
    <row r="16" spans="1:21" customFormat="1">
      <c r="A16" s="201" t="s">
        <v>1400</v>
      </c>
      <c r="B16" s="100">
        <v>10.44</v>
      </c>
      <c r="C16" s="100">
        <v>9.31</v>
      </c>
      <c r="D16" s="100">
        <v>13.23</v>
      </c>
      <c r="E16" s="100">
        <v>5.81</v>
      </c>
      <c r="F16" s="100">
        <v>2</v>
      </c>
      <c r="G16" s="100">
        <v>21.66</v>
      </c>
      <c r="H16" s="100">
        <v>5.38</v>
      </c>
      <c r="I16" s="100">
        <v>4.9400000000000004</v>
      </c>
      <c r="J16" s="100">
        <v>0.33</v>
      </c>
      <c r="K16" s="100">
        <v>42.6</v>
      </c>
      <c r="L16" s="100">
        <v>25.88</v>
      </c>
      <c r="M16" s="100">
        <v>84.69</v>
      </c>
      <c r="N16" s="100">
        <v>2.1</v>
      </c>
      <c r="O16" s="100">
        <v>0</v>
      </c>
      <c r="P16" s="100">
        <v>0.28000000000000003</v>
      </c>
      <c r="Q16" s="100">
        <v>0</v>
      </c>
      <c r="R16" s="6"/>
      <c r="S16" s="6"/>
      <c r="T16" s="156"/>
      <c r="U16" s="6"/>
    </row>
    <row r="17" spans="1:21" customFormat="1">
      <c r="A17" s="201" t="s">
        <v>1401</v>
      </c>
      <c r="B17" s="100">
        <v>10.58</v>
      </c>
      <c r="C17" s="100">
        <v>9.23</v>
      </c>
      <c r="D17" s="100">
        <v>13.3</v>
      </c>
      <c r="E17" s="100">
        <v>4.47</v>
      </c>
      <c r="F17" s="100">
        <v>2</v>
      </c>
      <c r="G17" s="100">
        <v>21.66</v>
      </c>
      <c r="H17" s="100">
        <v>5.38</v>
      </c>
      <c r="I17" s="100">
        <v>4.8899999999999997</v>
      </c>
      <c r="J17" s="100">
        <v>0.06</v>
      </c>
      <c r="K17" s="100">
        <v>133.77000000000001</v>
      </c>
      <c r="L17" s="100">
        <v>25.97</v>
      </c>
      <c r="M17" s="100">
        <v>84.37</v>
      </c>
      <c r="N17" s="100">
        <v>2.1</v>
      </c>
      <c r="O17" s="100">
        <v>0</v>
      </c>
      <c r="P17" s="100">
        <v>0.27</v>
      </c>
      <c r="Q17" s="100">
        <v>0</v>
      </c>
      <c r="R17" s="6"/>
      <c r="S17" s="6"/>
      <c r="T17" s="156"/>
      <c r="U17" s="6"/>
    </row>
    <row r="18" spans="1:21" customFormat="1">
      <c r="A18" s="201" t="s">
        <v>1402</v>
      </c>
      <c r="B18" s="100">
        <v>10.48</v>
      </c>
      <c r="C18" s="100">
        <v>9.17</v>
      </c>
      <c r="D18" s="100">
        <v>13.2</v>
      </c>
      <c r="E18" s="100">
        <v>5.49</v>
      </c>
      <c r="F18" s="100">
        <v>2</v>
      </c>
      <c r="G18" s="100">
        <v>21.66</v>
      </c>
      <c r="H18" s="100">
        <v>5.38</v>
      </c>
      <c r="I18" s="100">
        <v>4.87</v>
      </c>
      <c r="J18" s="100">
        <v>0.17</v>
      </c>
      <c r="K18" s="100">
        <v>58.23</v>
      </c>
      <c r="L18" s="100">
        <v>25.89</v>
      </c>
      <c r="M18" s="100">
        <v>84.36</v>
      </c>
      <c r="N18" s="100">
        <v>2.1</v>
      </c>
      <c r="O18" s="100">
        <v>0</v>
      </c>
      <c r="P18" s="100">
        <v>0.27</v>
      </c>
      <c r="Q18" s="100">
        <v>0</v>
      </c>
      <c r="R18" s="6"/>
      <c r="S18" s="6"/>
      <c r="T18" s="156"/>
      <c r="U18" s="6"/>
    </row>
    <row r="19" spans="1:21" customFormat="1">
      <c r="A19" s="201" t="s">
        <v>1403</v>
      </c>
      <c r="B19" s="100">
        <v>10.41</v>
      </c>
      <c r="C19" s="100">
        <v>9.14</v>
      </c>
      <c r="D19" s="100">
        <v>13.13</v>
      </c>
      <c r="E19" s="100">
        <v>5.41</v>
      </c>
      <c r="F19" s="100">
        <v>2</v>
      </c>
      <c r="G19" s="100">
        <v>21.09</v>
      </c>
      <c r="H19" s="100">
        <v>4.76</v>
      </c>
      <c r="I19" s="100">
        <v>4.8600000000000003</v>
      </c>
      <c r="J19" s="100">
        <v>0.11</v>
      </c>
      <c r="K19" s="100">
        <v>124.31</v>
      </c>
      <c r="L19" s="100">
        <v>26</v>
      </c>
      <c r="M19" s="100">
        <v>84.14</v>
      </c>
      <c r="N19" s="100">
        <v>2</v>
      </c>
      <c r="O19" s="100">
        <v>0</v>
      </c>
      <c r="P19" s="100">
        <v>0.27</v>
      </c>
      <c r="Q19" s="100">
        <v>0</v>
      </c>
      <c r="R19" s="6"/>
      <c r="S19" s="6"/>
      <c r="T19" s="156"/>
      <c r="U19" s="6"/>
    </row>
    <row r="20" spans="1:21" customFormat="1">
      <c r="A20" s="201" t="s">
        <v>1404</v>
      </c>
      <c r="B20" s="100">
        <v>10.29</v>
      </c>
      <c r="C20" s="100">
        <v>8.99</v>
      </c>
      <c r="D20" s="100">
        <v>12.95</v>
      </c>
      <c r="E20" s="100">
        <v>5.36</v>
      </c>
      <c r="F20" s="100">
        <v>2</v>
      </c>
      <c r="G20" s="100">
        <v>20.94</v>
      </c>
      <c r="H20" s="100">
        <v>4.76</v>
      </c>
      <c r="I20" s="100">
        <v>4.79</v>
      </c>
      <c r="J20" s="100">
        <v>0.16</v>
      </c>
      <c r="K20" s="100">
        <v>49.88</v>
      </c>
      <c r="L20" s="100">
        <v>25.87</v>
      </c>
      <c r="M20" s="100">
        <v>84.13</v>
      </c>
      <c r="N20" s="100">
        <v>2.1</v>
      </c>
      <c r="O20" s="100">
        <v>0</v>
      </c>
      <c r="P20" s="100">
        <v>0.26</v>
      </c>
      <c r="Q20" s="100">
        <v>0</v>
      </c>
      <c r="R20" s="6"/>
      <c r="S20" s="6"/>
      <c r="T20" s="156"/>
      <c r="U20" s="6"/>
    </row>
    <row r="21" spans="1:21" customFormat="1">
      <c r="A21" s="201" t="s">
        <v>1405</v>
      </c>
      <c r="B21" s="100">
        <v>10.19</v>
      </c>
      <c r="C21" s="100">
        <v>9.01</v>
      </c>
      <c r="D21" s="100">
        <v>12.88</v>
      </c>
      <c r="E21" s="100">
        <v>5.45</v>
      </c>
      <c r="F21" s="100">
        <v>2</v>
      </c>
      <c r="G21" s="100">
        <v>20.94</v>
      </c>
      <c r="H21" s="100">
        <v>4.76</v>
      </c>
      <c r="I21" s="100">
        <v>4.87</v>
      </c>
      <c r="J21" s="100">
        <v>0.14000000000000001</v>
      </c>
      <c r="K21" s="100">
        <v>93.96</v>
      </c>
      <c r="L21" s="100">
        <v>25.86</v>
      </c>
      <c r="M21" s="100">
        <v>83.92</v>
      </c>
      <c r="N21" s="100">
        <v>2</v>
      </c>
      <c r="O21" s="100">
        <v>0</v>
      </c>
      <c r="P21" s="100">
        <v>0.26</v>
      </c>
      <c r="Q21" s="100">
        <v>0</v>
      </c>
      <c r="R21" s="6"/>
      <c r="S21" s="6"/>
      <c r="T21" s="156"/>
      <c r="U21" s="6"/>
    </row>
    <row r="22" spans="1:21" customFormat="1">
      <c r="A22" s="201" t="s">
        <v>1406</v>
      </c>
      <c r="B22" s="100">
        <v>10.1</v>
      </c>
      <c r="C22" s="100">
        <v>8.8800000000000008</v>
      </c>
      <c r="D22" s="100">
        <v>12.74</v>
      </c>
      <c r="E22" s="100">
        <v>5.61</v>
      </c>
      <c r="F22" s="100">
        <v>2</v>
      </c>
      <c r="G22" s="100">
        <v>20.94</v>
      </c>
      <c r="H22" s="100">
        <v>4.76</v>
      </c>
      <c r="I22" s="100">
        <v>4.75</v>
      </c>
      <c r="J22" s="100">
        <v>0.17</v>
      </c>
      <c r="K22" s="100">
        <v>148.69999999999999</v>
      </c>
      <c r="L22" s="100">
        <v>25.97</v>
      </c>
      <c r="M22" s="100">
        <v>84.21</v>
      </c>
      <c r="N22" s="100">
        <v>2.1</v>
      </c>
      <c r="O22" s="100">
        <v>0</v>
      </c>
      <c r="P22" s="100">
        <v>0.26</v>
      </c>
      <c r="Q22" s="100">
        <v>0</v>
      </c>
      <c r="R22" s="6"/>
      <c r="S22" s="6"/>
      <c r="T22" s="156"/>
      <c r="U22" s="6"/>
    </row>
    <row r="23" spans="1:21" customFormat="1">
      <c r="A23" s="201" t="s">
        <v>1407</v>
      </c>
      <c r="B23" s="100">
        <v>9.86</v>
      </c>
      <c r="C23" s="100">
        <v>8.83</v>
      </c>
      <c r="D23" s="100">
        <v>12.52</v>
      </c>
      <c r="E23" s="100">
        <v>5.34</v>
      </c>
      <c r="F23" s="100">
        <v>2</v>
      </c>
      <c r="G23" s="100">
        <v>17.38</v>
      </c>
      <c r="H23" s="100">
        <v>4.42</v>
      </c>
      <c r="I23" s="100">
        <v>4.74</v>
      </c>
      <c r="J23" s="100">
        <v>0.14000000000000001</v>
      </c>
      <c r="K23" s="100">
        <v>165.88</v>
      </c>
      <c r="L23" s="100">
        <v>25.85</v>
      </c>
      <c r="M23" s="100">
        <v>83.66</v>
      </c>
      <c r="N23" s="100">
        <v>2.1</v>
      </c>
      <c r="O23" s="100">
        <v>0</v>
      </c>
      <c r="P23" s="100">
        <v>0.25</v>
      </c>
      <c r="Q23" s="100">
        <v>0</v>
      </c>
      <c r="R23" s="6"/>
      <c r="S23" s="6"/>
      <c r="T23" s="156"/>
      <c r="U23" s="6"/>
    </row>
    <row r="24" spans="1:21" customFormat="1">
      <c r="A24" s="201" t="s">
        <v>1408</v>
      </c>
      <c r="B24" s="100">
        <v>9.6199999999999992</v>
      </c>
      <c r="C24" s="100">
        <v>8.6999999999999993</v>
      </c>
      <c r="D24" s="100">
        <v>12.26</v>
      </c>
      <c r="E24" s="100">
        <v>5.47</v>
      </c>
      <c r="F24" s="100">
        <v>2</v>
      </c>
      <c r="G24" s="100">
        <v>16.45</v>
      </c>
      <c r="H24" s="100">
        <v>4.42</v>
      </c>
      <c r="I24" s="100">
        <v>4.66</v>
      </c>
      <c r="J24" s="100">
        <v>0.11</v>
      </c>
      <c r="K24" s="100">
        <v>107.61</v>
      </c>
      <c r="L24" s="100">
        <v>25.75</v>
      </c>
      <c r="M24" s="100">
        <v>83.67</v>
      </c>
      <c r="N24" s="100">
        <v>2.1</v>
      </c>
      <c r="O24" s="100">
        <v>0</v>
      </c>
      <c r="P24" s="100">
        <v>0.24</v>
      </c>
      <c r="Q24" s="100">
        <v>0</v>
      </c>
      <c r="R24" s="6"/>
      <c r="S24" s="6"/>
      <c r="T24" s="156"/>
      <c r="U24" s="6"/>
    </row>
    <row r="25" spans="1:21" customFormat="1">
      <c r="A25" s="201" t="s">
        <v>1409</v>
      </c>
      <c r="B25" s="100">
        <v>9.56</v>
      </c>
      <c r="C25" s="100">
        <v>8.75</v>
      </c>
      <c r="D25" s="100">
        <v>12.24</v>
      </c>
      <c r="E25" s="100">
        <v>5.21</v>
      </c>
      <c r="F25" s="100">
        <v>2</v>
      </c>
      <c r="G25" s="100">
        <v>16.45</v>
      </c>
      <c r="H25" s="100">
        <v>4.42</v>
      </c>
      <c r="I25" s="100">
        <v>4.62</v>
      </c>
      <c r="J25" s="100">
        <v>0.17</v>
      </c>
      <c r="K25" s="100">
        <v>66.33</v>
      </c>
      <c r="L25" s="100">
        <v>25.55</v>
      </c>
      <c r="M25" s="100">
        <v>83.93</v>
      </c>
      <c r="N25" s="100">
        <v>2.1</v>
      </c>
      <c r="O25" s="100">
        <v>0</v>
      </c>
      <c r="P25" s="100">
        <v>0.24</v>
      </c>
      <c r="Q25" s="100">
        <v>0</v>
      </c>
      <c r="R25" s="6"/>
      <c r="S25" s="6"/>
      <c r="T25" s="156"/>
      <c r="U25" s="6"/>
    </row>
    <row r="26" spans="1:21" customFormat="1">
      <c r="A26" s="201" t="s">
        <v>1410</v>
      </c>
      <c r="B26" s="100">
        <v>9.81</v>
      </c>
      <c r="C26" s="100">
        <v>8.08</v>
      </c>
      <c r="D26" s="100">
        <v>12.09</v>
      </c>
      <c r="E26" s="100">
        <v>5.28</v>
      </c>
      <c r="F26" s="100">
        <v>2</v>
      </c>
      <c r="G26" s="100">
        <v>16.45</v>
      </c>
      <c r="H26" s="100">
        <v>4.42</v>
      </c>
      <c r="I26" s="100">
        <v>4.59</v>
      </c>
      <c r="J26" s="100">
        <v>0.15</v>
      </c>
      <c r="K26" s="100">
        <v>143.36000000000001</v>
      </c>
      <c r="L26" s="100">
        <v>25.59</v>
      </c>
      <c r="M26" s="100">
        <v>84.08</v>
      </c>
      <c r="N26" s="100">
        <v>2</v>
      </c>
      <c r="O26" s="100">
        <v>0</v>
      </c>
      <c r="P26" s="100">
        <v>0.21</v>
      </c>
      <c r="Q26" s="100">
        <v>0</v>
      </c>
      <c r="R26" s="6"/>
      <c r="S26" s="6"/>
      <c r="T26" s="156"/>
      <c r="U26" s="6"/>
    </row>
    <row r="27" spans="1:21" customFormat="1">
      <c r="A27" s="201" t="s">
        <v>1411</v>
      </c>
      <c r="B27" s="100">
        <v>9.51</v>
      </c>
      <c r="C27" s="100">
        <v>7.78</v>
      </c>
      <c r="D27" s="100">
        <v>11.69</v>
      </c>
      <c r="E27" s="100">
        <v>4.8600000000000003</v>
      </c>
      <c r="F27" s="100">
        <v>2.2599999999999998</v>
      </c>
      <c r="G27" s="100">
        <v>16.36</v>
      </c>
      <c r="H27" s="100">
        <v>3.68</v>
      </c>
      <c r="I27" s="100">
        <v>4.7</v>
      </c>
      <c r="J27" s="100">
        <v>0.08</v>
      </c>
      <c r="K27" s="100">
        <v>136.88</v>
      </c>
      <c r="L27" s="100">
        <v>25.58</v>
      </c>
      <c r="M27" s="100">
        <v>84.39</v>
      </c>
      <c r="N27" s="100">
        <v>2.1</v>
      </c>
      <c r="O27" s="100">
        <v>0</v>
      </c>
      <c r="P27" s="100">
        <v>0.18</v>
      </c>
      <c r="Q27" s="100">
        <v>0</v>
      </c>
      <c r="R27" s="6"/>
      <c r="S27" s="6"/>
      <c r="T27" s="156"/>
      <c r="U27" s="6"/>
    </row>
    <row r="28" spans="1:21" customFormat="1">
      <c r="A28" s="201" t="s">
        <v>1412</v>
      </c>
      <c r="B28" s="100">
        <v>9.84</v>
      </c>
      <c r="C28" s="100">
        <v>7.93</v>
      </c>
      <c r="D28" s="100">
        <v>12.03</v>
      </c>
      <c r="E28" s="100">
        <v>4.96</v>
      </c>
      <c r="F28" s="100">
        <v>2</v>
      </c>
      <c r="G28" s="100">
        <v>16.34</v>
      </c>
      <c r="H28" s="100">
        <v>3.68</v>
      </c>
      <c r="I28" s="100">
        <v>4.7</v>
      </c>
      <c r="J28" s="100">
        <v>0.2</v>
      </c>
      <c r="K28" s="100">
        <v>140.97</v>
      </c>
      <c r="L28" s="100">
        <v>25.5</v>
      </c>
      <c r="M28" s="100">
        <v>84.32</v>
      </c>
      <c r="N28" s="100">
        <v>2.1</v>
      </c>
      <c r="O28" s="100">
        <v>0</v>
      </c>
      <c r="P28" s="100">
        <v>0.2</v>
      </c>
      <c r="Q28" s="100">
        <v>0</v>
      </c>
      <c r="R28" s="6"/>
      <c r="S28" s="6"/>
      <c r="T28" s="156"/>
      <c r="U28" s="6"/>
    </row>
    <row r="29" spans="1:21" customFormat="1">
      <c r="A29" s="201" t="s">
        <v>1413</v>
      </c>
      <c r="B29" s="100">
        <v>10.06</v>
      </c>
      <c r="C29" s="100">
        <v>7.92</v>
      </c>
      <c r="D29" s="100">
        <v>12.2</v>
      </c>
      <c r="E29" s="100">
        <v>5.1100000000000003</v>
      </c>
      <c r="F29" s="100">
        <v>2</v>
      </c>
      <c r="G29" s="100">
        <v>16.34</v>
      </c>
      <c r="H29" s="100">
        <v>3.68</v>
      </c>
      <c r="I29" s="100">
        <v>4.47</v>
      </c>
      <c r="J29" s="100">
        <v>0.32</v>
      </c>
      <c r="K29" s="100">
        <v>45.1</v>
      </c>
      <c r="L29" s="100">
        <v>25.43</v>
      </c>
      <c r="M29" s="100">
        <v>84.49</v>
      </c>
      <c r="N29" s="100">
        <v>2.1</v>
      </c>
      <c r="O29" s="100">
        <v>0</v>
      </c>
      <c r="P29" s="100">
        <v>0.19</v>
      </c>
      <c r="Q29" s="100">
        <v>0</v>
      </c>
      <c r="R29" s="6"/>
      <c r="S29" s="6"/>
      <c r="T29" s="156"/>
      <c r="U29" s="6"/>
    </row>
    <row r="30" spans="1:21" customFormat="1">
      <c r="A30" s="201" t="s">
        <v>1414</v>
      </c>
      <c r="B30" s="100">
        <v>10.26</v>
      </c>
      <c r="C30" s="100">
        <v>7.82</v>
      </c>
      <c r="D30" s="100">
        <v>12.31</v>
      </c>
      <c r="E30" s="100">
        <v>4.78</v>
      </c>
      <c r="F30" s="100">
        <v>2.2599999999999998</v>
      </c>
      <c r="G30" s="100">
        <v>16.34</v>
      </c>
      <c r="H30" s="100">
        <v>3.68</v>
      </c>
      <c r="I30" s="100">
        <v>4.79</v>
      </c>
      <c r="J30" s="100">
        <v>0.34</v>
      </c>
      <c r="K30" s="100">
        <v>40.56</v>
      </c>
      <c r="L30" s="100">
        <v>25.4</v>
      </c>
      <c r="M30" s="100">
        <v>85.18</v>
      </c>
      <c r="N30" s="100">
        <v>2.1</v>
      </c>
      <c r="O30" s="100">
        <v>0</v>
      </c>
      <c r="P30" s="100">
        <v>0.18</v>
      </c>
      <c r="Q30" s="100">
        <v>0</v>
      </c>
      <c r="R30" s="6"/>
      <c r="S30" s="6"/>
      <c r="T30" s="156"/>
      <c r="U30" s="6"/>
    </row>
    <row r="31" spans="1:21" customFormat="1">
      <c r="A31" s="201" t="s">
        <v>1415</v>
      </c>
      <c r="B31" s="100">
        <v>10.4</v>
      </c>
      <c r="C31" s="100">
        <v>7.96</v>
      </c>
      <c r="D31" s="100">
        <v>12.5</v>
      </c>
      <c r="E31" s="100">
        <v>3.69</v>
      </c>
      <c r="F31" s="100">
        <v>2</v>
      </c>
      <c r="G31" s="100">
        <v>14.29</v>
      </c>
      <c r="H31" s="100">
        <v>3.27</v>
      </c>
      <c r="I31" s="100">
        <v>4.76</v>
      </c>
      <c r="J31" s="100">
        <v>0.3</v>
      </c>
      <c r="K31" s="100">
        <v>40.590000000000003</v>
      </c>
      <c r="L31" s="100">
        <v>25.36</v>
      </c>
      <c r="M31" s="100">
        <v>84.75</v>
      </c>
      <c r="N31" s="100">
        <v>2.2999999999999998</v>
      </c>
      <c r="O31" s="100">
        <v>0</v>
      </c>
      <c r="P31" s="100">
        <v>0.19</v>
      </c>
      <c r="Q31" s="100">
        <v>0</v>
      </c>
      <c r="R31" s="6"/>
      <c r="S31" s="6"/>
      <c r="T31" s="156"/>
      <c r="U31" s="6"/>
    </row>
    <row r="32" spans="1:21" customFormat="1">
      <c r="A32" s="201" t="s">
        <v>1416</v>
      </c>
      <c r="B32" s="100">
        <v>10.72</v>
      </c>
      <c r="C32" s="100">
        <v>8.23</v>
      </c>
      <c r="D32" s="100">
        <v>12.9</v>
      </c>
      <c r="E32" s="100">
        <v>4.68</v>
      </c>
      <c r="F32" s="100">
        <v>2</v>
      </c>
      <c r="G32" s="100">
        <v>13.8</v>
      </c>
      <c r="H32" s="100">
        <v>3.27</v>
      </c>
      <c r="I32" s="100">
        <v>4.8</v>
      </c>
      <c r="J32" s="100">
        <v>0.48</v>
      </c>
      <c r="K32" s="100">
        <v>38.74</v>
      </c>
      <c r="L32" s="100">
        <v>25.37</v>
      </c>
      <c r="M32" s="100">
        <v>85</v>
      </c>
      <c r="N32" s="100">
        <v>4.4000000000000004</v>
      </c>
      <c r="O32" s="100">
        <v>0</v>
      </c>
      <c r="P32" s="100">
        <v>0.21</v>
      </c>
      <c r="Q32" s="100">
        <v>0</v>
      </c>
      <c r="R32" s="6"/>
      <c r="S32" s="6"/>
      <c r="T32" s="156"/>
      <c r="U32" s="6"/>
    </row>
    <row r="33" spans="1:21" customFormat="1">
      <c r="A33" s="201" t="s">
        <v>1417</v>
      </c>
      <c r="B33" s="100">
        <v>11.07</v>
      </c>
      <c r="C33" s="100">
        <v>7.75</v>
      </c>
      <c r="D33" s="100">
        <v>12.92</v>
      </c>
      <c r="E33" s="100">
        <v>4.82</v>
      </c>
      <c r="F33" s="100">
        <v>2</v>
      </c>
      <c r="G33" s="100">
        <v>13.8</v>
      </c>
      <c r="H33" s="100">
        <v>3.27</v>
      </c>
      <c r="I33" s="100">
        <v>4.83</v>
      </c>
      <c r="J33" s="100">
        <v>0.34</v>
      </c>
      <c r="K33" s="100">
        <v>43.39</v>
      </c>
      <c r="L33" s="100">
        <v>25.43</v>
      </c>
      <c r="M33" s="100">
        <v>85.28</v>
      </c>
      <c r="N33" s="100">
        <v>9.8000000000000007</v>
      </c>
      <c r="O33" s="100">
        <v>0</v>
      </c>
      <c r="P33" s="100">
        <v>0.19</v>
      </c>
      <c r="Q33" s="100">
        <v>0</v>
      </c>
      <c r="R33" s="6"/>
      <c r="S33" s="6"/>
      <c r="T33" s="156"/>
      <c r="U33" s="6"/>
    </row>
    <row r="34" spans="1:21" customFormat="1">
      <c r="A34" s="201" t="s">
        <v>1418</v>
      </c>
      <c r="B34" s="100">
        <v>11.28</v>
      </c>
      <c r="C34" s="100">
        <v>7.94</v>
      </c>
      <c r="D34" s="100">
        <v>13.19</v>
      </c>
      <c r="E34" s="100">
        <v>4.59</v>
      </c>
      <c r="F34" s="100">
        <v>2</v>
      </c>
      <c r="G34" s="100">
        <v>13.8</v>
      </c>
      <c r="H34" s="100">
        <v>3.27</v>
      </c>
      <c r="I34" s="100">
        <v>4.88</v>
      </c>
      <c r="J34" s="100">
        <v>0.36</v>
      </c>
      <c r="K34" s="100">
        <v>47.47</v>
      </c>
      <c r="L34" s="100">
        <v>25.52</v>
      </c>
      <c r="M34" s="100">
        <v>85.02</v>
      </c>
      <c r="N34" s="100">
        <v>15.1</v>
      </c>
      <c r="O34" s="100">
        <v>0</v>
      </c>
      <c r="P34" s="100">
        <v>0.21</v>
      </c>
      <c r="Q34" s="100">
        <v>0</v>
      </c>
      <c r="R34" s="6"/>
      <c r="S34" s="6"/>
      <c r="T34" s="156"/>
      <c r="U34" s="6"/>
    </row>
    <row r="35" spans="1:21" customFormat="1">
      <c r="A35" s="201" t="s">
        <v>1419</v>
      </c>
      <c r="B35" s="100">
        <v>11.47</v>
      </c>
      <c r="C35" s="100">
        <v>8.2799999999999994</v>
      </c>
      <c r="D35" s="100">
        <v>13.52</v>
      </c>
      <c r="E35" s="100">
        <v>4.92</v>
      </c>
      <c r="F35" s="100">
        <v>2</v>
      </c>
      <c r="G35" s="100">
        <v>13.92</v>
      </c>
      <c r="H35" s="100">
        <v>3.26</v>
      </c>
      <c r="I35" s="100">
        <v>4.7300000000000004</v>
      </c>
      <c r="J35" s="100">
        <v>0.44</v>
      </c>
      <c r="K35" s="100">
        <v>34.68</v>
      </c>
      <c r="L35" s="100">
        <v>25.62</v>
      </c>
      <c r="M35" s="100">
        <v>85.44</v>
      </c>
      <c r="N35" s="100">
        <v>21.3</v>
      </c>
      <c r="O35" s="100">
        <v>0</v>
      </c>
      <c r="P35" s="100">
        <v>0.22</v>
      </c>
      <c r="Q35" s="100">
        <v>0</v>
      </c>
      <c r="R35" s="6"/>
      <c r="S35" s="6"/>
      <c r="T35" s="156"/>
      <c r="U35" s="6"/>
    </row>
    <row r="36" spans="1:21" customFormat="1">
      <c r="A36" s="201" t="s">
        <v>1420</v>
      </c>
      <c r="B36" s="100">
        <v>11.88</v>
      </c>
      <c r="C36" s="100">
        <v>7.77</v>
      </c>
      <c r="D36" s="100">
        <v>13.59</v>
      </c>
      <c r="E36" s="100">
        <v>4.9000000000000004</v>
      </c>
      <c r="F36" s="100">
        <v>2</v>
      </c>
      <c r="G36" s="100">
        <v>13.96</v>
      </c>
      <c r="H36" s="100">
        <v>3.26</v>
      </c>
      <c r="I36" s="100">
        <v>4.84</v>
      </c>
      <c r="J36" s="100">
        <v>0.37</v>
      </c>
      <c r="K36" s="100">
        <v>37.840000000000003</v>
      </c>
      <c r="L36" s="100">
        <v>25.76</v>
      </c>
      <c r="M36" s="100">
        <v>85.48</v>
      </c>
      <c r="N36" s="100">
        <v>21.4</v>
      </c>
      <c r="O36" s="100">
        <v>0</v>
      </c>
      <c r="P36" s="100">
        <v>0.19</v>
      </c>
      <c r="Q36" s="100">
        <v>0</v>
      </c>
      <c r="R36" s="6"/>
      <c r="S36" s="6"/>
      <c r="T36" s="156"/>
      <c r="U36" s="6"/>
    </row>
    <row r="37" spans="1:21" customFormat="1">
      <c r="A37" s="201" t="s">
        <v>1421</v>
      </c>
      <c r="B37" s="100">
        <v>12.06</v>
      </c>
      <c r="C37" s="100">
        <v>8.1</v>
      </c>
      <c r="D37" s="100">
        <v>13.9</v>
      </c>
      <c r="E37" s="100">
        <v>5.0199999999999996</v>
      </c>
      <c r="F37" s="100">
        <v>2.04</v>
      </c>
      <c r="G37" s="100">
        <v>13.96</v>
      </c>
      <c r="H37" s="100">
        <v>3.26</v>
      </c>
      <c r="I37" s="100">
        <v>4.9400000000000004</v>
      </c>
      <c r="J37" s="100">
        <v>0.61</v>
      </c>
      <c r="K37" s="100">
        <v>39.56</v>
      </c>
      <c r="L37" s="100">
        <v>25.75</v>
      </c>
      <c r="M37" s="100">
        <v>85</v>
      </c>
      <c r="N37" s="100">
        <v>20.7</v>
      </c>
      <c r="O37" s="100">
        <v>0</v>
      </c>
      <c r="P37" s="100">
        <v>0.22</v>
      </c>
      <c r="Q37" s="100">
        <v>0</v>
      </c>
      <c r="R37" s="6"/>
      <c r="S37" s="6"/>
      <c r="T37" s="156"/>
      <c r="U37" s="6"/>
    </row>
    <row r="38" spans="1:21" customFormat="1">
      <c r="A38" s="201" t="s">
        <v>1422</v>
      </c>
      <c r="B38" s="100">
        <v>12.35</v>
      </c>
      <c r="C38" s="100">
        <v>8.07</v>
      </c>
      <c r="D38" s="100">
        <v>14.12</v>
      </c>
      <c r="E38" s="100">
        <v>5.01</v>
      </c>
      <c r="F38" s="100">
        <v>2</v>
      </c>
      <c r="G38" s="100">
        <v>13.96</v>
      </c>
      <c r="H38" s="100">
        <v>3.26</v>
      </c>
      <c r="I38" s="100">
        <v>4.84</v>
      </c>
      <c r="J38" s="100">
        <v>0.55000000000000004</v>
      </c>
      <c r="K38" s="100">
        <v>40.61</v>
      </c>
      <c r="L38" s="100">
        <v>25.84</v>
      </c>
      <c r="M38" s="100">
        <v>85.38</v>
      </c>
      <c r="N38" s="100">
        <v>49.2</v>
      </c>
      <c r="O38" s="100">
        <v>0</v>
      </c>
      <c r="P38" s="100">
        <v>0.21</v>
      </c>
      <c r="Q38" s="100">
        <v>0</v>
      </c>
      <c r="R38" s="6"/>
      <c r="S38" s="6"/>
      <c r="T38" s="156"/>
      <c r="U38" s="6"/>
    </row>
    <row r="39" spans="1:21" customFormat="1">
      <c r="A39" s="201" t="s">
        <v>1423</v>
      </c>
      <c r="B39" s="100">
        <v>12.41</v>
      </c>
      <c r="C39" s="100">
        <v>8</v>
      </c>
      <c r="D39" s="100">
        <v>14.13</v>
      </c>
      <c r="E39" s="100">
        <v>4.9000000000000004</v>
      </c>
      <c r="F39" s="100">
        <v>2.5099999999999998</v>
      </c>
      <c r="G39" s="100">
        <v>13.11</v>
      </c>
      <c r="H39" s="100">
        <v>3.11</v>
      </c>
      <c r="I39" s="100">
        <v>5.0599999999999996</v>
      </c>
      <c r="J39" s="100">
        <v>0.66</v>
      </c>
      <c r="K39" s="100">
        <v>35.54</v>
      </c>
      <c r="L39" s="100">
        <v>26.01</v>
      </c>
      <c r="M39" s="100">
        <v>84.92</v>
      </c>
      <c r="N39" s="100">
        <v>62.5</v>
      </c>
      <c r="O39" s="100">
        <v>0</v>
      </c>
      <c r="P39" s="100">
        <v>0.21</v>
      </c>
      <c r="Q39" s="100">
        <v>0</v>
      </c>
      <c r="R39" s="6"/>
      <c r="S39" s="6"/>
      <c r="T39" s="156"/>
      <c r="U39" s="6"/>
    </row>
    <row r="40" spans="1:21" customFormat="1">
      <c r="A40" s="201" t="s">
        <v>1424</v>
      </c>
      <c r="B40" s="100">
        <v>12.66</v>
      </c>
      <c r="C40" s="100">
        <v>8.3699999999999992</v>
      </c>
      <c r="D40" s="100">
        <v>14.53</v>
      </c>
      <c r="E40" s="100">
        <v>5</v>
      </c>
      <c r="F40" s="100">
        <v>2</v>
      </c>
      <c r="G40" s="100">
        <v>12.89</v>
      </c>
      <c r="H40" s="100">
        <v>3.11</v>
      </c>
      <c r="I40" s="100">
        <v>5.0599999999999996</v>
      </c>
      <c r="J40" s="100">
        <v>0.48</v>
      </c>
      <c r="K40" s="100">
        <v>35.619999999999997</v>
      </c>
      <c r="L40" s="100">
        <v>26.25</v>
      </c>
      <c r="M40" s="100">
        <v>84.3</v>
      </c>
      <c r="N40" s="100">
        <v>67.400000000000006</v>
      </c>
      <c r="O40" s="100">
        <v>0</v>
      </c>
      <c r="P40" s="100">
        <v>0.23</v>
      </c>
      <c r="Q40" s="100">
        <v>0</v>
      </c>
      <c r="R40" s="6"/>
      <c r="S40" s="6"/>
      <c r="T40" s="156"/>
      <c r="U40" s="6"/>
    </row>
    <row r="41" spans="1:21" customFormat="1">
      <c r="A41" s="201" t="s">
        <v>1425</v>
      </c>
      <c r="B41" s="100">
        <v>12.96</v>
      </c>
      <c r="C41" s="100">
        <v>8.15</v>
      </c>
      <c r="D41" s="100">
        <v>14.65</v>
      </c>
      <c r="E41" s="100">
        <v>5.14</v>
      </c>
      <c r="F41" s="100">
        <v>2</v>
      </c>
      <c r="G41" s="100">
        <v>12.89</v>
      </c>
      <c r="H41" s="100">
        <v>3.11</v>
      </c>
      <c r="I41" s="100">
        <v>4.91</v>
      </c>
      <c r="J41" s="100">
        <v>0.32</v>
      </c>
      <c r="K41" s="100">
        <v>45.62</v>
      </c>
      <c r="L41" s="100">
        <v>26.55</v>
      </c>
      <c r="M41" s="100">
        <v>84.93</v>
      </c>
      <c r="N41" s="100">
        <v>93.2</v>
      </c>
      <c r="O41" s="100">
        <v>0</v>
      </c>
      <c r="P41" s="100">
        <v>0.21</v>
      </c>
      <c r="Q41" s="100">
        <v>0</v>
      </c>
      <c r="R41" s="6"/>
      <c r="S41" s="6"/>
      <c r="T41" s="156"/>
      <c r="U41" s="6"/>
    </row>
    <row r="42" spans="1:21" customFormat="1">
      <c r="A42" s="201" t="s">
        <v>1426</v>
      </c>
      <c r="B42" s="100">
        <v>12.77</v>
      </c>
      <c r="C42" s="100">
        <v>8.1</v>
      </c>
      <c r="D42" s="100">
        <v>14.47</v>
      </c>
      <c r="E42" s="100">
        <v>5.0599999999999996</v>
      </c>
      <c r="F42" s="100">
        <v>2.66</v>
      </c>
      <c r="G42" s="100">
        <v>12.89</v>
      </c>
      <c r="H42" s="100">
        <v>3.11</v>
      </c>
      <c r="I42" s="100">
        <v>5.12</v>
      </c>
      <c r="J42" s="100">
        <v>0.42</v>
      </c>
      <c r="K42" s="100">
        <v>38.71</v>
      </c>
      <c r="L42" s="100">
        <v>27.35</v>
      </c>
      <c r="M42" s="100">
        <v>84.37</v>
      </c>
      <c r="N42" s="100">
        <v>206.3</v>
      </c>
      <c r="O42" s="100">
        <v>0</v>
      </c>
      <c r="P42" s="100">
        <v>0.2</v>
      </c>
      <c r="Q42" s="100">
        <v>0</v>
      </c>
      <c r="R42" s="6"/>
      <c r="S42" s="6"/>
      <c r="T42" s="156"/>
      <c r="U42" s="6"/>
    </row>
    <row r="43" spans="1:21" customFormat="1">
      <c r="A43" s="201" t="s">
        <v>1427</v>
      </c>
      <c r="B43" s="100">
        <v>12.86</v>
      </c>
      <c r="C43" s="100">
        <v>8.4499999999999993</v>
      </c>
      <c r="D43" s="100">
        <v>14.73</v>
      </c>
      <c r="E43" s="100">
        <v>4.92</v>
      </c>
      <c r="F43" s="100">
        <v>2.2200000000000002</v>
      </c>
      <c r="G43" s="100">
        <v>14.29</v>
      </c>
      <c r="H43" s="100">
        <v>3.99</v>
      </c>
      <c r="I43" s="100">
        <v>5.14</v>
      </c>
      <c r="J43" s="100">
        <v>0.22</v>
      </c>
      <c r="K43" s="100">
        <v>57.16</v>
      </c>
      <c r="L43" s="100">
        <v>28.06</v>
      </c>
      <c r="M43" s="100">
        <v>83.35</v>
      </c>
      <c r="N43" s="100">
        <v>220.8</v>
      </c>
      <c r="O43" s="100">
        <v>0</v>
      </c>
      <c r="P43" s="100">
        <v>0.22</v>
      </c>
      <c r="Q43" s="100">
        <v>0</v>
      </c>
      <c r="R43" s="6"/>
      <c r="S43" s="6"/>
      <c r="T43" s="156"/>
      <c r="U43" s="6"/>
    </row>
    <row r="44" spans="1:21" customFormat="1">
      <c r="A44" s="201" t="s">
        <v>1428</v>
      </c>
      <c r="B44" s="100">
        <v>12.79</v>
      </c>
      <c r="C44" s="100">
        <v>8.85</v>
      </c>
      <c r="D44" s="100">
        <v>14.88</v>
      </c>
      <c r="E44" s="100">
        <v>5.0599999999999996</v>
      </c>
      <c r="F44" s="100">
        <v>2.0099999999999998</v>
      </c>
      <c r="G44" s="100">
        <v>14.65</v>
      </c>
      <c r="H44" s="100">
        <v>3.99</v>
      </c>
      <c r="I44" s="100">
        <v>4.9400000000000004</v>
      </c>
      <c r="J44" s="100">
        <v>0.39</v>
      </c>
      <c r="K44" s="100">
        <v>42.43</v>
      </c>
      <c r="L44" s="100">
        <v>28.55</v>
      </c>
      <c r="M44" s="100">
        <v>81.260000000000005</v>
      </c>
      <c r="N44" s="100">
        <v>190.3</v>
      </c>
      <c r="O44" s="100">
        <v>0</v>
      </c>
      <c r="P44" s="100">
        <v>0.25</v>
      </c>
      <c r="Q44" s="100">
        <v>0</v>
      </c>
      <c r="R44" s="6"/>
      <c r="S44" s="6"/>
      <c r="T44" s="156"/>
      <c r="U44" s="6"/>
    </row>
    <row r="45" spans="1:21" customFormat="1">
      <c r="A45" s="201" t="s">
        <v>1429</v>
      </c>
      <c r="B45" s="100">
        <v>12.61</v>
      </c>
      <c r="C45" s="100">
        <v>8.9700000000000006</v>
      </c>
      <c r="D45" s="100">
        <v>14.8</v>
      </c>
      <c r="E45" s="100">
        <v>5.13</v>
      </c>
      <c r="F45" s="100">
        <v>2.0099999999999998</v>
      </c>
      <c r="G45" s="100">
        <v>14.65</v>
      </c>
      <c r="H45" s="100">
        <v>3.99</v>
      </c>
      <c r="I45" s="100">
        <v>5.19</v>
      </c>
      <c r="J45" s="100">
        <v>0.52</v>
      </c>
      <c r="K45" s="100">
        <v>40.46</v>
      </c>
      <c r="L45" s="100">
        <v>28.3</v>
      </c>
      <c r="M45" s="100">
        <v>82.1</v>
      </c>
      <c r="N45" s="100">
        <v>208.1</v>
      </c>
      <c r="O45" s="100">
        <v>0</v>
      </c>
      <c r="P45" s="100">
        <v>0.26</v>
      </c>
      <c r="Q45" s="100">
        <v>0</v>
      </c>
      <c r="R45" s="6"/>
      <c r="S45" s="6"/>
      <c r="T45" s="156"/>
      <c r="U45" s="6"/>
    </row>
    <row r="46" spans="1:21" customFormat="1">
      <c r="A46" s="201" t="s">
        <v>1430</v>
      </c>
      <c r="B46" s="100">
        <v>12.41</v>
      </c>
      <c r="C46" s="100">
        <v>9.1</v>
      </c>
      <c r="D46" s="100">
        <v>14.7</v>
      </c>
      <c r="E46" s="100">
        <v>5.41</v>
      </c>
      <c r="F46" s="100">
        <v>2.19</v>
      </c>
      <c r="G46" s="100">
        <v>14.65</v>
      </c>
      <c r="H46" s="100">
        <v>3.99</v>
      </c>
      <c r="I46" s="100">
        <v>5.0199999999999996</v>
      </c>
      <c r="J46" s="100">
        <v>0.24</v>
      </c>
      <c r="K46" s="100">
        <v>62.05</v>
      </c>
      <c r="L46" s="100">
        <v>28.84</v>
      </c>
      <c r="M46" s="100">
        <v>80.33</v>
      </c>
      <c r="N46" s="100">
        <v>284</v>
      </c>
      <c r="O46" s="100">
        <v>0</v>
      </c>
      <c r="P46" s="100">
        <v>0.28000000000000003</v>
      </c>
      <c r="Q46" s="100">
        <v>0</v>
      </c>
      <c r="R46" s="6"/>
      <c r="S46" s="6"/>
      <c r="T46" s="156"/>
      <c r="U46" s="6"/>
    </row>
    <row r="47" spans="1:21" customFormat="1">
      <c r="A47" s="201" t="s">
        <v>1431</v>
      </c>
      <c r="B47" s="100">
        <v>12.01</v>
      </c>
      <c r="C47" s="100">
        <v>9.3699999999999992</v>
      </c>
      <c r="D47" s="100">
        <v>14.52</v>
      </c>
      <c r="E47" s="100">
        <v>5.49</v>
      </c>
      <c r="F47" s="100">
        <v>2.08</v>
      </c>
      <c r="G47" s="100">
        <v>14.04</v>
      </c>
      <c r="H47" s="100">
        <v>3.24</v>
      </c>
      <c r="I47" s="100">
        <v>5.08</v>
      </c>
      <c r="J47" s="100">
        <v>0.25</v>
      </c>
      <c r="K47" s="100">
        <v>91.58</v>
      </c>
      <c r="L47" s="100">
        <v>29.7</v>
      </c>
      <c r="M47" s="100">
        <v>76.91</v>
      </c>
      <c r="N47" s="100">
        <v>474.3</v>
      </c>
      <c r="O47" s="100">
        <v>0</v>
      </c>
      <c r="P47" s="100">
        <v>0.27</v>
      </c>
      <c r="Q47" s="100">
        <v>0</v>
      </c>
      <c r="R47" s="6"/>
      <c r="S47" s="6"/>
      <c r="T47" s="156"/>
      <c r="U47" s="6"/>
    </row>
    <row r="48" spans="1:21" customFormat="1">
      <c r="A48" s="201" t="s">
        <v>1432</v>
      </c>
      <c r="B48" s="100">
        <v>11.5</v>
      </c>
      <c r="C48" s="100">
        <v>9.35</v>
      </c>
      <c r="D48" s="100">
        <v>14.11</v>
      </c>
      <c r="E48" s="100">
        <v>5.39</v>
      </c>
      <c r="F48" s="100">
        <v>2</v>
      </c>
      <c r="G48" s="100">
        <v>13.88</v>
      </c>
      <c r="H48" s="100">
        <v>3.24</v>
      </c>
      <c r="I48" s="100">
        <v>4.93</v>
      </c>
      <c r="J48" s="100">
        <v>0.51</v>
      </c>
      <c r="K48" s="100">
        <v>50.6</v>
      </c>
      <c r="L48" s="100">
        <v>30.21</v>
      </c>
      <c r="M48" s="100">
        <v>73.91</v>
      </c>
      <c r="N48" s="100">
        <v>472.6</v>
      </c>
      <c r="O48" s="100">
        <v>0</v>
      </c>
      <c r="P48" s="100">
        <v>0.28000000000000003</v>
      </c>
      <c r="Q48" s="100">
        <v>0</v>
      </c>
      <c r="R48" s="6"/>
      <c r="S48" s="6"/>
      <c r="T48" s="156"/>
      <c r="U48" s="6"/>
    </row>
    <row r="49" spans="1:21" customFormat="1">
      <c r="A49" s="201" t="s">
        <v>1433</v>
      </c>
      <c r="B49" s="100">
        <v>10.97</v>
      </c>
      <c r="C49" s="100">
        <v>9.5299999999999994</v>
      </c>
      <c r="D49" s="100">
        <v>13.78</v>
      </c>
      <c r="E49" s="100">
        <v>4.4400000000000004</v>
      </c>
      <c r="F49" s="100">
        <v>2</v>
      </c>
      <c r="G49" s="100">
        <v>13.88</v>
      </c>
      <c r="H49" s="100">
        <v>3.24</v>
      </c>
      <c r="I49" s="100">
        <v>4.9800000000000004</v>
      </c>
      <c r="J49" s="100">
        <v>0.46</v>
      </c>
      <c r="K49" s="100">
        <v>43.97</v>
      </c>
      <c r="L49" s="100">
        <v>30.24</v>
      </c>
      <c r="M49" s="100">
        <v>73.02</v>
      </c>
      <c r="N49" s="100">
        <v>591.6</v>
      </c>
      <c r="O49" s="100">
        <v>0</v>
      </c>
      <c r="P49" s="100">
        <v>0.28000000000000003</v>
      </c>
      <c r="Q49" s="100">
        <v>0</v>
      </c>
      <c r="R49" s="6"/>
      <c r="S49" s="6"/>
      <c r="T49" s="156"/>
      <c r="U49" s="6"/>
    </row>
    <row r="50" spans="1:21" customFormat="1">
      <c r="A50" s="201" t="s">
        <v>1434</v>
      </c>
      <c r="B50" s="100">
        <v>10.46</v>
      </c>
      <c r="C50" s="100">
        <v>9.5399999999999991</v>
      </c>
      <c r="D50" s="100">
        <v>13.37</v>
      </c>
      <c r="E50" s="100">
        <v>5.27</v>
      </c>
      <c r="F50" s="100">
        <v>2</v>
      </c>
      <c r="G50" s="100">
        <v>13.88</v>
      </c>
      <c r="H50" s="100">
        <v>3.24</v>
      </c>
      <c r="I50" s="100">
        <v>4.82</v>
      </c>
      <c r="J50" s="100">
        <v>0.31</v>
      </c>
      <c r="K50" s="100">
        <v>108.62</v>
      </c>
      <c r="L50" s="100">
        <v>31.05</v>
      </c>
      <c r="M50" s="100">
        <v>69.38</v>
      </c>
      <c r="N50" s="100">
        <v>412.3</v>
      </c>
      <c r="O50" s="100">
        <v>0</v>
      </c>
      <c r="P50" s="100">
        <v>0.27</v>
      </c>
      <c r="Q50" s="100">
        <v>0</v>
      </c>
      <c r="R50" s="6"/>
      <c r="S50" s="6"/>
      <c r="T50" s="156"/>
      <c r="U50" s="6"/>
    </row>
    <row r="51" spans="1:21" customFormat="1">
      <c r="A51" s="201" t="s">
        <v>1435</v>
      </c>
      <c r="B51" s="100">
        <v>9.91</v>
      </c>
      <c r="C51" s="100">
        <v>9.42</v>
      </c>
      <c r="D51" s="100">
        <v>12.87</v>
      </c>
      <c r="E51" s="100">
        <v>5.33</v>
      </c>
      <c r="F51" s="100">
        <v>2.0299999999999998</v>
      </c>
      <c r="G51" s="100">
        <v>12.81</v>
      </c>
      <c r="H51" s="100">
        <v>3.62</v>
      </c>
      <c r="I51" s="100">
        <v>4.7699999999999996</v>
      </c>
      <c r="J51" s="100">
        <v>0.22</v>
      </c>
      <c r="K51" s="100">
        <v>80.92</v>
      </c>
      <c r="L51" s="100">
        <v>30.45</v>
      </c>
      <c r="M51" s="100">
        <v>71.33</v>
      </c>
      <c r="N51" s="100">
        <v>492.2</v>
      </c>
      <c r="O51" s="100">
        <v>0</v>
      </c>
      <c r="P51" s="100">
        <v>0.26</v>
      </c>
      <c r="Q51" s="100">
        <v>0</v>
      </c>
      <c r="R51" s="6"/>
      <c r="S51" s="6"/>
      <c r="T51" s="156"/>
      <c r="U51" s="6"/>
    </row>
    <row r="52" spans="1:21" customFormat="1">
      <c r="A52" s="201" t="s">
        <v>1436</v>
      </c>
      <c r="B52" s="100">
        <v>9.33</v>
      </c>
      <c r="C52" s="100">
        <v>9.34</v>
      </c>
      <c r="D52" s="100">
        <v>12.36</v>
      </c>
      <c r="E52" s="100">
        <v>5.53</v>
      </c>
      <c r="F52" s="100">
        <v>2.06</v>
      </c>
      <c r="G52" s="100">
        <v>12.51</v>
      </c>
      <c r="H52" s="100">
        <v>3.62</v>
      </c>
      <c r="I52" s="100">
        <v>4.7300000000000004</v>
      </c>
      <c r="J52" s="100">
        <v>0.23</v>
      </c>
      <c r="K52" s="100">
        <v>101.88</v>
      </c>
      <c r="L52" s="100">
        <v>31.41</v>
      </c>
      <c r="M52" s="100">
        <v>68.88</v>
      </c>
      <c r="N52" s="100">
        <v>538.70000000000005</v>
      </c>
      <c r="O52" s="100">
        <v>0</v>
      </c>
      <c r="P52" s="100">
        <v>0.26</v>
      </c>
      <c r="Q52" s="100">
        <v>0</v>
      </c>
      <c r="R52" s="6"/>
      <c r="S52" s="6"/>
      <c r="T52" s="156"/>
      <c r="U52" s="6"/>
    </row>
    <row r="53" spans="1:21" customFormat="1">
      <c r="A53" s="201" t="s">
        <v>1437</v>
      </c>
      <c r="B53" s="100">
        <v>8.7899999999999991</v>
      </c>
      <c r="C53" s="100">
        <v>9.23</v>
      </c>
      <c r="D53" s="100">
        <v>11.87</v>
      </c>
      <c r="E53" s="100">
        <v>5.49</v>
      </c>
      <c r="F53" s="100">
        <v>2.02</v>
      </c>
      <c r="G53" s="100">
        <v>12.51</v>
      </c>
      <c r="H53" s="100">
        <v>3.62</v>
      </c>
      <c r="I53" s="100">
        <v>4.7</v>
      </c>
      <c r="J53" s="100">
        <v>0.25</v>
      </c>
      <c r="K53" s="100">
        <v>94.97</v>
      </c>
      <c r="L53" s="100">
        <v>31.51</v>
      </c>
      <c r="M53" s="100">
        <v>68.430000000000007</v>
      </c>
      <c r="N53" s="100">
        <v>655.29999999999995</v>
      </c>
      <c r="O53" s="100">
        <v>0</v>
      </c>
      <c r="P53" s="100">
        <v>0.26</v>
      </c>
      <c r="Q53" s="100">
        <v>0</v>
      </c>
      <c r="R53" s="6"/>
      <c r="S53" s="6"/>
      <c r="T53" s="156"/>
      <c r="U53" s="6"/>
    </row>
    <row r="54" spans="1:21" customFormat="1">
      <c r="A54" s="201" t="s">
        <v>1438</v>
      </c>
      <c r="B54" s="100">
        <v>8.34</v>
      </c>
      <c r="C54" s="100">
        <v>9.15</v>
      </c>
      <c r="D54" s="100">
        <v>11.47</v>
      </c>
      <c r="E54" s="100">
        <v>5.27</v>
      </c>
      <c r="F54" s="100">
        <v>2.38</v>
      </c>
      <c r="G54" s="100">
        <v>12.51</v>
      </c>
      <c r="H54" s="100">
        <v>3.62</v>
      </c>
      <c r="I54" s="100">
        <v>4.68</v>
      </c>
      <c r="J54" s="100">
        <v>0.31</v>
      </c>
      <c r="K54" s="100">
        <v>93.14</v>
      </c>
      <c r="L54" s="100">
        <v>31.96</v>
      </c>
      <c r="M54" s="100">
        <v>66.28</v>
      </c>
      <c r="N54" s="100">
        <v>749.2</v>
      </c>
      <c r="O54" s="100">
        <v>0</v>
      </c>
      <c r="P54" s="100">
        <v>0.25</v>
      </c>
      <c r="Q54" s="100">
        <v>0</v>
      </c>
      <c r="R54" s="6"/>
      <c r="S54" s="6"/>
      <c r="T54" s="156"/>
      <c r="U54" s="6"/>
    </row>
    <row r="55" spans="1:21" customFormat="1">
      <c r="A55" s="201" t="s">
        <v>1439</v>
      </c>
      <c r="B55" s="100">
        <v>7.86</v>
      </c>
      <c r="C55" s="100">
        <v>9.24</v>
      </c>
      <c r="D55" s="100">
        <v>11.13</v>
      </c>
      <c r="E55" s="100">
        <v>5.21</v>
      </c>
      <c r="F55" s="100">
        <v>2.4500000000000002</v>
      </c>
      <c r="G55" s="100">
        <v>12.78</v>
      </c>
      <c r="H55" s="100">
        <v>3.76</v>
      </c>
      <c r="I55" s="100">
        <v>4.66</v>
      </c>
      <c r="J55" s="100">
        <v>0.44</v>
      </c>
      <c r="K55" s="100">
        <v>56.26</v>
      </c>
      <c r="L55" s="100">
        <v>31.54</v>
      </c>
      <c r="M55" s="100">
        <v>67.91</v>
      </c>
      <c r="N55" s="100">
        <v>482.2</v>
      </c>
      <c r="O55" s="100">
        <v>0</v>
      </c>
      <c r="P55" s="100">
        <v>0.25</v>
      </c>
      <c r="Q55" s="100">
        <v>0</v>
      </c>
      <c r="R55" s="6"/>
      <c r="S55" s="6"/>
      <c r="T55" s="156"/>
      <c r="U55" s="6"/>
    </row>
    <row r="56" spans="1:21" customFormat="1">
      <c r="A56" s="201" t="s">
        <v>1440</v>
      </c>
      <c r="B56" s="100">
        <v>7.49</v>
      </c>
      <c r="C56" s="100">
        <v>9.2200000000000006</v>
      </c>
      <c r="D56" s="100">
        <v>10.82</v>
      </c>
      <c r="E56" s="100">
        <v>5.46</v>
      </c>
      <c r="F56" s="100">
        <v>2.61</v>
      </c>
      <c r="G56" s="100">
        <v>12.84</v>
      </c>
      <c r="H56" s="100">
        <v>3.76</v>
      </c>
      <c r="I56" s="100">
        <v>4.4800000000000004</v>
      </c>
      <c r="J56" s="100">
        <v>0.32</v>
      </c>
      <c r="K56" s="100">
        <v>82.35</v>
      </c>
      <c r="L56" s="100">
        <v>31.71</v>
      </c>
      <c r="M56" s="100">
        <v>67.099999999999994</v>
      </c>
      <c r="N56" s="100">
        <v>667.6</v>
      </c>
      <c r="O56" s="100">
        <v>0</v>
      </c>
      <c r="P56" s="100">
        <v>0.25</v>
      </c>
      <c r="Q56" s="100">
        <v>0</v>
      </c>
      <c r="R56" s="6"/>
      <c r="S56" s="6"/>
      <c r="T56" s="156"/>
      <c r="U56" s="6"/>
    </row>
    <row r="57" spans="1:21" customFormat="1">
      <c r="A57" s="201" t="s">
        <v>1441</v>
      </c>
      <c r="B57" s="100">
        <v>7.16</v>
      </c>
      <c r="C57" s="100">
        <v>9.1999999999999993</v>
      </c>
      <c r="D57" s="100">
        <v>10.55</v>
      </c>
      <c r="E57" s="100">
        <v>5.46</v>
      </c>
      <c r="F57" s="100">
        <v>2.2000000000000002</v>
      </c>
      <c r="G57" s="100">
        <v>12.84</v>
      </c>
      <c r="H57" s="100">
        <v>3.76</v>
      </c>
      <c r="I57" s="100">
        <v>4.4000000000000004</v>
      </c>
      <c r="J57" s="100">
        <v>0.32</v>
      </c>
      <c r="K57" s="100">
        <v>60.49</v>
      </c>
      <c r="L57" s="100">
        <v>31.44</v>
      </c>
      <c r="M57" s="100">
        <v>67.489999999999995</v>
      </c>
      <c r="N57" s="100">
        <v>423.2</v>
      </c>
      <c r="O57" s="100">
        <v>0</v>
      </c>
      <c r="P57" s="100">
        <v>0.25</v>
      </c>
      <c r="Q57" s="100">
        <v>0</v>
      </c>
      <c r="R57" s="6"/>
      <c r="S57" s="6"/>
      <c r="T57" s="156"/>
      <c r="U57" s="6"/>
    </row>
    <row r="58" spans="1:21" customFormat="1">
      <c r="A58" s="201" t="s">
        <v>1442</v>
      </c>
      <c r="B58" s="100">
        <v>6.79</v>
      </c>
      <c r="C58" s="100">
        <v>9.1999999999999993</v>
      </c>
      <c r="D58" s="100">
        <v>10.25</v>
      </c>
      <c r="E58" s="100">
        <v>5.31</v>
      </c>
      <c r="F58" s="100">
        <v>2.59</v>
      </c>
      <c r="G58" s="100">
        <v>12.84</v>
      </c>
      <c r="H58" s="100">
        <v>3.76</v>
      </c>
      <c r="I58" s="100">
        <v>4.42</v>
      </c>
      <c r="J58" s="100">
        <v>0.27</v>
      </c>
      <c r="K58" s="100">
        <v>126.64</v>
      </c>
      <c r="L58" s="100">
        <v>31.94</v>
      </c>
      <c r="M58" s="100">
        <v>66.290000000000006</v>
      </c>
      <c r="N58" s="100">
        <v>806.4</v>
      </c>
      <c r="O58" s="100">
        <v>0</v>
      </c>
      <c r="P58" s="100">
        <v>0.24</v>
      </c>
      <c r="Q58" s="100">
        <v>0</v>
      </c>
      <c r="R58" s="6"/>
      <c r="S58" s="6"/>
      <c r="T58" s="156"/>
      <c r="U58" s="6"/>
    </row>
    <row r="59" spans="1:21" customFormat="1">
      <c r="A59" s="201" t="s">
        <v>1443</v>
      </c>
      <c r="B59" s="100">
        <v>6.49</v>
      </c>
      <c r="C59" s="100">
        <v>9.17</v>
      </c>
      <c r="D59" s="100">
        <v>9.99</v>
      </c>
      <c r="E59" s="100">
        <v>5.16</v>
      </c>
      <c r="F59" s="100">
        <v>2.63</v>
      </c>
      <c r="G59" s="100">
        <v>12.02</v>
      </c>
      <c r="H59" s="100">
        <v>3.52</v>
      </c>
      <c r="I59" s="100">
        <v>4.3899999999999997</v>
      </c>
      <c r="J59" s="100">
        <v>0.16</v>
      </c>
      <c r="K59" s="100">
        <v>97.29</v>
      </c>
      <c r="L59" s="100">
        <v>32.57</v>
      </c>
      <c r="M59" s="100">
        <v>63.78</v>
      </c>
      <c r="N59" s="100">
        <v>841</v>
      </c>
      <c r="O59" s="100">
        <v>0</v>
      </c>
      <c r="P59" s="100">
        <v>0.24</v>
      </c>
      <c r="Q59" s="100">
        <v>0</v>
      </c>
      <c r="R59" s="6"/>
      <c r="S59" s="6"/>
      <c r="T59" s="156"/>
      <c r="U59" s="6"/>
    </row>
    <row r="60" spans="1:21" customFormat="1">
      <c r="A60" s="201" t="s">
        <v>1444</v>
      </c>
      <c r="B60" s="100">
        <v>6.29</v>
      </c>
      <c r="C60" s="100">
        <v>9.0500000000000007</v>
      </c>
      <c r="D60" s="100">
        <v>9.77</v>
      </c>
      <c r="E60" s="100">
        <v>5.24</v>
      </c>
      <c r="F60" s="100">
        <v>2.44</v>
      </c>
      <c r="G60" s="100">
        <v>11.81</v>
      </c>
      <c r="H60" s="100">
        <v>3.52</v>
      </c>
      <c r="I60" s="100">
        <v>4.24</v>
      </c>
      <c r="J60" s="100">
        <v>0.25</v>
      </c>
      <c r="K60" s="100">
        <v>136.29</v>
      </c>
      <c r="L60" s="100">
        <v>32.75</v>
      </c>
      <c r="M60" s="100">
        <v>62.4</v>
      </c>
      <c r="N60" s="100">
        <v>737.4</v>
      </c>
      <c r="O60" s="100">
        <v>0</v>
      </c>
      <c r="P60" s="100">
        <v>0.23</v>
      </c>
      <c r="Q60" s="100">
        <v>0</v>
      </c>
      <c r="R60" s="6"/>
      <c r="S60" s="6"/>
      <c r="T60" s="156"/>
      <c r="U60" s="6"/>
    </row>
    <row r="61" spans="1:21" customFormat="1">
      <c r="A61" s="201" t="s">
        <v>1445</v>
      </c>
      <c r="B61" s="100">
        <v>6.13</v>
      </c>
      <c r="C61" s="100">
        <v>8.85</v>
      </c>
      <c r="D61" s="100">
        <v>9.5399999999999991</v>
      </c>
      <c r="E61" s="100">
        <v>5.29</v>
      </c>
      <c r="F61" s="100">
        <v>2.34</v>
      </c>
      <c r="G61" s="100">
        <v>11.81</v>
      </c>
      <c r="H61" s="100">
        <v>3.52</v>
      </c>
      <c r="I61" s="100">
        <v>4.1900000000000004</v>
      </c>
      <c r="J61" s="100">
        <v>0.53</v>
      </c>
      <c r="K61" s="100">
        <v>44.27</v>
      </c>
      <c r="L61" s="100">
        <v>32.49</v>
      </c>
      <c r="M61" s="100">
        <v>61.73</v>
      </c>
      <c r="N61" s="100">
        <v>387.4</v>
      </c>
      <c r="O61" s="100">
        <v>0</v>
      </c>
      <c r="P61" s="100">
        <v>0.22</v>
      </c>
      <c r="Q61" s="100">
        <v>0</v>
      </c>
      <c r="R61" s="6"/>
      <c r="S61" s="6"/>
      <c r="T61" s="156"/>
      <c r="U61" s="6"/>
    </row>
    <row r="62" spans="1:21" customFormat="1">
      <c r="A62" s="201" t="s">
        <v>1446</v>
      </c>
      <c r="B62" s="100">
        <v>6</v>
      </c>
      <c r="C62" s="100">
        <v>8.94</v>
      </c>
      <c r="D62" s="100">
        <v>9.48</v>
      </c>
      <c r="E62" s="100">
        <v>5.0999999999999996</v>
      </c>
      <c r="F62" s="100">
        <v>2.0299999999999998</v>
      </c>
      <c r="G62" s="100">
        <v>11.81</v>
      </c>
      <c r="H62" s="100">
        <v>3.52</v>
      </c>
      <c r="I62" s="100">
        <v>4.33</v>
      </c>
      <c r="J62" s="100">
        <v>0.21</v>
      </c>
      <c r="K62" s="100">
        <v>82.32</v>
      </c>
      <c r="L62" s="100">
        <v>32.619999999999997</v>
      </c>
      <c r="M62" s="100">
        <v>61.66</v>
      </c>
      <c r="N62" s="100">
        <v>328.1</v>
      </c>
      <c r="O62" s="100">
        <v>0</v>
      </c>
      <c r="P62" s="100">
        <v>0.22</v>
      </c>
      <c r="Q62" s="100">
        <v>0</v>
      </c>
      <c r="R62" s="6"/>
      <c r="S62" s="6"/>
      <c r="T62" s="156"/>
      <c r="U62" s="6"/>
    </row>
    <row r="63" spans="1:21" customFormat="1">
      <c r="A63" s="201" t="s">
        <v>1447</v>
      </c>
      <c r="B63" s="100">
        <v>5.88</v>
      </c>
      <c r="C63" s="100">
        <v>8.85</v>
      </c>
      <c r="D63" s="100">
        <v>9.34</v>
      </c>
      <c r="E63" s="100">
        <v>5.21</v>
      </c>
      <c r="F63" s="100">
        <v>2.2799999999999998</v>
      </c>
      <c r="G63" s="100">
        <v>10.24</v>
      </c>
      <c r="H63" s="100">
        <v>2.5299999999999998</v>
      </c>
      <c r="I63" s="100">
        <v>4.16</v>
      </c>
      <c r="J63" s="100">
        <v>0.28000000000000003</v>
      </c>
      <c r="K63" s="100">
        <v>67.37</v>
      </c>
      <c r="L63" s="100">
        <v>32.479999999999997</v>
      </c>
      <c r="M63" s="100">
        <v>63.11</v>
      </c>
      <c r="N63" s="100">
        <v>269</v>
      </c>
      <c r="O63" s="100">
        <v>0</v>
      </c>
      <c r="P63" s="100">
        <v>0.22</v>
      </c>
      <c r="Q63" s="100">
        <v>0</v>
      </c>
      <c r="R63" s="6"/>
      <c r="S63" s="6"/>
      <c r="T63" s="156"/>
      <c r="U63" s="6"/>
    </row>
    <row r="64" spans="1:21" customFormat="1">
      <c r="A64" s="201" t="s">
        <v>1448</v>
      </c>
      <c r="B64" s="100">
        <v>5.87</v>
      </c>
      <c r="C64" s="100">
        <v>8.89</v>
      </c>
      <c r="D64" s="100">
        <v>9.35</v>
      </c>
      <c r="E64" s="100">
        <v>5.13</v>
      </c>
      <c r="F64" s="100">
        <v>2.58</v>
      </c>
      <c r="G64" s="100">
        <v>9.84</v>
      </c>
      <c r="H64" s="100">
        <v>2.5299999999999998</v>
      </c>
      <c r="I64" s="100">
        <v>4.07</v>
      </c>
      <c r="J64" s="100">
        <v>0.37</v>
      </c>
      <c r="K64" s="100">
        <v>74.41</v>
      </c>
      <c r="L64" s="100">
        <v>31.85</v>
      </c>
      <c r="M64" s="100">
        <v>64.98</v>
      </c>
      <c r="N64" s="100">
        <v>194.8</v>
      </c>
      <c r="O64" s="100">
        <v>0</v>
      </c>
      <c r="P64" s="100">
        <v>0.21</v>
      </c>
      <c r="Q64" s="100">
        <v>0</v>
      </c>
      <c r="R64" s="6"/>
      <c r="S64" s="6"/>
      <c r="T64" s="156"/>
      <c r="U64" s="6"/>
    </row>
    <row r="65" spans="1:21" customFormat="1">
      <c r="A65" s="201" t="s">
        <v>1449</v>
      </c>
      <c r="B65" s="100">
        <v>5.91</v>
      </c>
      <c r="C65" s="100">
        <v>8.49</v>
      </c>
      <c r="D65" s="100">
        <v>9.18</v>
      </c>
      <c r="E65" s="100">
        <v>5.32</v>
      </c>
      <c r="F65" s="100">
        <v>2.2999999999999998</v>
      </c>
      <c r="G65" s="100">
        <v>9.84</v>
      </c>
      <c r="H65" s="100">
        <v>2.5299999999999998</v>
      </c>
      <c r="I65" s="100">
        <v>4.12</v>
      </c>
      <c r="J65" s="100">
        <v>0.26</v>
      </c>
      <c r="K65" s="100">
        <v>102.57</v>
      </c>
      <c r="L65" s="100">
        <v>31.85</v>
      </c>
      <c r="M65" s="100">
        <v>65.27</v>
      </c>
      <c r="N65" s="100">
        <v>414.3</v>
      </c>
      <c r="O65" s="100">
        <v>0</v>
      </c>
      <c r="P65" s="100">
        <v>0.18</v>
      </c>
      <c r="Q65" s="100">
        <v>0</v>
      </c>
      <c r="R65" s="6"/>
      <c r="S65" s="6"/>
      <c r="T65" s="156"/>
      <c r="U65" s="6"/>
    </row>
    <row r="66" spans="1:21" customFormat="1">
      <c r="A66" s="201" t="s">
        <v>1450</v>
      </c>
      <c r="B66" s="100">
        <v>6.09</v>
      </c>
      <c r="C66" s="100">
        <v>8.4700000000000006</v>
      </c>
      <c r="D66" s="100">
        <v>9.31</v>
      </c>
      <c r="E66" s="100">
        <v>5.17</v>
      </c>
      <c r="F66" s="100">
        <v>3.65</v>
      </c>
      <c r="G66" s="100">
        <v>9.84</v>
      </c>
      <c r="H66" s="100">
        <v>2.5299999999999998</v>
      </c>
      <c r="I66" s="100">
        <v>4.03</v>
      </c>
      <c r="J66" s="100">
        <v>0.42</v>
      </c>
      <c r="K66" s="100">
        <v>47.4</v>
      </c>
      <c r="L66" s="100">
        <v>31.49</v>
      </c>
      <c r="M66" s="100">
        <v>66.8</v>
      </c>
      <c r="N66" s="100">
        <v>145.80000000000001</v>
      </c>
      <c r="O66" s="100">
        <v>0</v>
      </c>
      <c r="P66" s="100">
        <v>0.2</v>
      </c>
      <c r="Q66" s="100">
        <v>0</v>
      </c>
      <c r="R66" s="6"/>
      <c r="S66" s="6"/>
      <c r="T66" s="156"/>
      <c r="U66" s="6"/>
    </row>
    <row r="67" spans="1:21" customFormat="1">
      <c r="A67" s="201" t="s">
        <v>1451</v>
      </c>
      <c r="B67" s="100">
        <v>6.25</v>
      </c>
      <c r="C67" s="100">
        <v>8.4700000000000006</v>
      </c>
      <c r="D67" s="100">
        <v>9.44</v>
      </c>
      <c r="E67" s="100">
        <v>4.4800000000000004</v>
      </c>
      <c r="F67" s="100">
        <v>3.8</v>
      </c>
      <c r="G67" s="100">
        <v>10.74</v>
      </c>
      <c r="H67" s="100">
        <v>3.27</v>
      </c>
      <c r="I67" s="100">
        <v>4.08</v>
      </c>
      <c r="J67" s="100">
        <v>0.26</v>
      </c>
      <c r="K67" s="100">
        <v>87.61</v>
      </c>
      <c r="L67" s="100">
        <v>31.66</v>
      </c>
      <c r="M67" s="100">
        <v>65.36</v>
      </c>
      <c r="N67" s="100">
        <v>142.80000000000001</v>
      </c>
      <c r="O67" s="100">
        <v>0</v>
      </c>
      <c r="P67" s="100">
        <v>0.19</v>
      </c>
      <c r="Q67" s="100">
        <v>0</v>
      </c>
      <c r="R67" s="6"/>
      <c r="S67" s="6"/>
      <c r="T67" s="156"/>
      <c r="U67" s="6"/>
    </row>
    <row r="68" spans="1:21" customFormat="1">
      <c r="A68" s="201" t="s">
        <v>1452</v>
      </c>
      <c r="B68" s="100">
        <v>6.22</v>
      </c>
      <c r="C68" s="100">
        <v>8.2899999999999991</v>
      </c>
      <c r="D68" s="100">
        <v>9.31</v>
      </c>
      <c r="E68" s="100">
        <v>4.93</v>
      </c>
      <c r="F68" s="100">
        <v>3.19</v>
      </c>
      <c r="G68" s="100">
        <v>10.95</v>
      </c>
      <c r="H68" s="100">
        <v>3.27</v>
      </c>
      <c r="I68" s="100">
        <v>4.03</v>
      </c>
      <c r="J68" s="100">
        <v>0.28000000000000003</v>
      </c>
      <c r="K68" s="100">
        <v>160.22</v>
      </c>
      <c r="L68" s="100">
        <v>31.73</v>
      </c>
      <c r="M68" s="100">
        <v>65.569999999999993</v>
      </c>
      <c r="N68" s="100">
        <v>114.5</v>
      </c>
      <c r="O68" s="100">
        <v>0</v>
      </c>
      <c r="P68" s="100">
        <v>0.18</v>
      </c>
      <c r="Q68" s="100">
        <v>0</v>
      </c>
      <c r="R68" s="6"/>
      <c r="S68" s="6"/>
      <c r="T68" s="156"/>
      <c r="U68" s="6"/>
    </row>
    <row r="69" spans="1:21" customFormat="1">
      <c r="A69" s="201" t="s">
        <v>1453</v>
      </c>
      <c r="B69" s="100">
        <v>6.12</v>
      </c>
      <c r="C69" s="100">
        <v>8.16</v>
      </c>
      <c r="D69" s="100">
        <v>9.17</v>
      </c>
      <c r="E69" s="100">
        <v>4.87</v>
      </c>
      <c r="F69" s="100">
        <v>2.37</v>
      </c>
      <c r="G69" s="100">
        <v>10.95</v>
      </c>
      <c r="H69" s="100">
        <v>3.27</v>
      </c>
      <c r="I69" s="100">
        <v>4.0599999999999996</v>
      </c>
      <c r="J69" s="100">
        <v>0.34</v>
      </c>
      <c r="K69" s="100">
        <v>126.85</v>
      </c>
      <c r="L69" s="100">
        <v>31.69</v>
      </c>
      <c r="M69" s="100">
        <v>65.34</v>
      </c>
      <c r="N69" s="100">
        <v>110.1</v>
      </c>
      <c r="O69" s="100">
        <v>0</v>
      </c>
      <c r="P69" s="100">
        <v>0.17</v>
      </c>
      <c r="Q69" s="100">
        <v>0</v>
      </c>
      <c r="R69" s="6"/>
      <c r="S69" s="6"/>
      <c r="T69" s="156"/>
      <c r="U69" s="6"/>
    </row>
    <row r="70" spans="1:21" customFormat="1">
      <c r="A70" s="201" t="s">
        <v>1454</v>
      </c>
      <c r="B70" s="100">
        <v>6.19</v>
      </c>
      <c r="C70" s="100">
        <v>8.1</v>
      </c>
      <c r="D70" s="100">
        <v>9.1999999999999993</v>
      </c>
      <c r="E70" s="100">
        <v>4.62</v>
      </c>
      <c r="F70" s="100">
        <v>5.08</v>
      </c>
      <c r="G70" s="100">
        <v>10.95</v>
      </c>
      <c r="H70" s="100">
        <v>3.27</v>
      </c>
      <c r="I70" s="100">
        <v>4.09</v>
      </c>
      <c r="J70" s="100">
        <v>0.6</v>
      </c>
      <c r="K70" s="100">
        <v>39.26</v>
      </c>
      <c r="L70" s="100">
        <v>31.23</v>
      </c>
      <c r="M70" s="100">
        <v>66.45</v>
      </c>
      <c r="N70" s="100">
        <v>91.9</v>
      </c>
      <c r="O70" s="100">
        <v>0</v>
      </c>
      <c r="P70" s="100">
        <v>0.17</v>
      </c>
      <c r="Q70" s="100">
        <v>0</v>
      </c>
      <c r="R70" s="6"/>
      <c r="S70" s="6"/>
      <c r="T70" s="156"/>
      <c r="U70" s="6"/>
    </row>
    <row r="71" spans="1:21" customFormat="1">
      <c r="A71" s="201" t="s">
        <v>1455</v>
      </c>
      <c r="B71" s="100">
        <v>6.23</v>
      </c>
      <c r="C71" s="100">
        <v>8.57</v>
      </c>
      <c r="D71" s="100">
        <v>9.48</v>
      </c>
      <c r="E71" s="100">
        <v>4.22</v>
      </c>
      <c r="F71" s="100">
        <v>6.52</v>
      </c>
      <c r="G71" s="100">
        <v>10.46</v>
      </c>
      <c r="H71" s="100">
        <v>2.6</v>
      </c>
      <c r="I71" s="100">
        <v>4.1100000000000003</v>
      </c>
      <c r="J71" s="100">
        <v>0.31</v>
      </c>
      <c r="K71" s="100">
        <v>89.69</v>
      </c>
      <c r="L71" s="100">
        <v>31.36</v>
      </c>
      <c r="M71" s="100">
        <v>66.16</v>
      </c>
      <c r="N71" s="100">
        <v>132.5</v>
      </c>
      <c r="O71" s="100">
        <v>0</v>
      </c>
      <c r="P71" s="100">
        <v>0.17</v>
      </c>
      <c r="Q71" s="100">
        <v>0</v>
      </c>
      <c r="R71" s="6"/>
      <c r="S71" s="6"/>
      <c r="T71" s="156"/>
      <c r="U71" s="6"/>
    </row>
    <row r="72" spans="1:21" customFormat="1">
      <c r="A72" s="201" t="s">
        <v>1456</v>
      </c>
      <c r="B72" s="100">
        <v>6.16</v>
      </c>
      <c r="C72" s="100">
        <v>8.57</v>
      </c>
      <c r="D72" s="100">
        <v>9.42</v>
      </c>
      <c r="E72" s="100">
        <v>4.0199999999999996</v>
      </c>
      <c r="F72" s="100">
        <v>6.98</v>
      </c>
      <c r="G72" s="100">
        <v>10.34</v>
      </c>
      <c r="H72" s="100">
        <v>2.6</v>
      </c>
      <c r="I72" s="100">
        <v>4.3499999999999996</v>
      </c>
      <c r="J72" s="100">
        <v>0.38</v>
      </c>
      <c r="K72" s="100">
        <v>65.739999999999995</v>
      </c>
      <c r="L72" s="100">
        <v>31.16</v>
      </c>
      <c r="M72" s="100">
        <v>67.27</v>
      </c>
      <c r="N72" s="100">
        <v>96.4</v>
      </c>
      <c r="O72" s="100">
        <v>0</v>
      </c>
      <c r="P72" s="100">
        <v>0.15</v>
      </c>
      <c r="Q72" s="100">
        <v>0</v>
      </c>
      <c r="R72" s="6"/>
      <c r="S72" s="6"/>
      <c r="T72" s="156"/>
      <c r="U72" s="6"/>
    </row>
    <row r="73" spans="1:21" customFormat="1">
      <c r="A73" s="201" t="s">
        <v>1457</v>
      </c>
      <c r="B73" s="100">
        <v>5.97</v>
      </c>
      <c r="C73" s="100">
        <v>8.41</v>
      </c>
      <c r="D73" s="100">
        <v>9.18</v>
      </c>
      <c r="E73" s="100">
        <v>4.34</v>
      </c>
      <c r="F73" s="100">
        <v>5.79</v>
      </c>
      <c r="G73" s="100">
        <v>10.34</v>
      </c>
      <c r="H73" s="100">
        <v>2.6</v>
      </c>
      <c r="I73" s="100">
        <v>4.1500000000000004</v>
      </c>
      <c r="J73" s="100">
        <v>0.31</v>
      </c>
      <c r="K73" s="100">
        <v>60.2</v>
      </c>
      <c r="L73" s="100">
        <v>30.87</v>
      </c>
      <c r="M73" s="100">
        <v>70.33</v>
      </c>
      <c r="N73" s="100">
        <v>76.599999999999994</v>
      </c>
      <c r="O73" s="100">
        <v>0</v>
      </c>
      <c r="P73" s="100">
        <v>0.16</v>
      </c>
      <c r="Q73" s="100">
        <v>0</v>
      </c>
      <c r="R73" s="6"/>
      <c r="S73" s="6"/>
      <c r="T73" s="156"/>
      <c r="U73" s="6"/>
    </row>
    <row r="74" spans="1:21" customFormat="1">
      <c r="A74" s="201" t="s">
        <v>1458</v>
      </c>
      <c r="B74" s="100">
        <v>6.64</v>
      </c>
      <c r="C74" s="100">
        <v>9.94</v>
      </c>
      <c r="D74" s="100">
        <v>10.52</v>
      </c>
      <c r="E74" s="100">
        <v>3.95</v>
      </c>
      <c r="F74" s="100">
        <v>8.18</v>
      </c>
      <c r="G74" s="100">
        <v>10.34</v>
      </c>
      <c r="H74" s="100">
        <v>2.6</v>
      </c>
      <c r="I74" s="100">
        <v>4.1399999999999997</v>
      </c>
      <c r="J74" s="100">
        <v>0.33</v>
      </c>
      <c r="K74" s="100">
        <v>58.89</v>
      </c>
      <c r="L74" s="100">
        <v>30.76</v>
      </c>
      <c r="M74" s="100">
        <v>69.400000000000006</v>
      </c>
      <c r="N74" s="100">
        <v>67.8</v>
      </c>
      <c r="O74" s="100">
        <v>0</v>
      </c>
      <c r="P74" s="100">
        <v>0.15</v>
      </c>
      <c r="Q74" s="100">
        <v>0</v>
      </c>
      <c r="R74" s="6"/>
      <c r="S74" s="6"/>
      <c r="T74" s="156"/>
      <c r="U74" s="6"/>
    </row>
    <row r="75" spans="1:21" customFormat="1">
      <c r="A75" s="201" t="s">
        <v>1459</v>
      </c>
      <c r="B75" s="100">
        <v>6.42</v>
      </c>
      <c r="C75" s="100">
        <v>9.0399999999999991</v>
      </c>
      <c r="D75" s="100">
        <v>9.8699999999999992</v>
      </c>
      <c r="E75" s="100">
        <v>4.3499999999999996</v>
      </c>
      <c r="F75" s="100">
        <v>3.64</v>
      </c>
      <c r="G75" s="100">
        <v>9.81</v>
      </c>
      <c r="H75" s="100">
        <v>2.73</v>
      </c>
      <c r="I75" s="100">
        <v>4.29</v>
      </c>
      <c r="J75" s="100">
        <v>0.24</v>
      </c>
      <c r="K75" s="100">
        <v>105.25</v>
      </c>
      <c r="L75" s="100">
        <v>30.59</v>
      </c>
      <c r="M75" s="100">
        <v>69.010000000000005</v>
      </c>
      <c r="N75" s="100">
        <v>49.1</v>
      </c>
      <c r="O75" s="100">
        <v>0</v>
      </c>
      <c r="P75" s="100">
        <v>0.17</v>
      </c>
      <c r="Q75" s="100">
        <v>0</v>
      </c>
      <c r="R75" s="6"/>
      <c r="S75" s="6"/>
      <c r="T75" s="156"/>
      <c r="U75" s="6"/>
    </row>
    <row r="76" spans="1:21" customFormat="1">
      <c r="A76" s="201" t="s">
        <v>1460</v>
      </c>
      <c r="B76" s="100">
        <v>6.11</v>
      </c>
      <c r="C76" s="100">
        <v>8.5399999999999991</v>
      </c>
      <c r="D76" s="100">
        <v>9.36</v>
      </c>
      <c r="E76" s="100">
        <v>4.54</v>
      </c>
      <c r="F76" s="100">
        <v>4.67</v>
      </c>
      <c r="G76" s="100">
        <v>9.68</v>
      </c>
      <c r="H76" s="100">
        <v>2.73</v>
      </c>
      <c r="I76" s="100">
        <v>4.34</v>
      </c>
      <c r="J76" s="100">
        <v>0.24</v>
      </c>
      <c r="K76" s="100">
        <v>140.69999999999999</v>
      </c>
      <c r="L76" s="100">
        <v>30.38</v>
      </c>
      <c r="M76" s="100">
        <v>70.12</v>
      </c>
      <c r="N76" s="100">
        <v>36.200000000000003</v>
      </c>
      <c r="O76" s="100">
        <v>0</v>
      </c>
      <c r="P76" s="100">
        <v>0.18</v>
      </c>
      <c r="Q76" s="100">
        <v>0</v>
      </c>
      <c r="R76" s="6"/>
      <c r="S76" s="6"/>
      <c r="T76" s="156"/>
      <c r="U76" s="6"/>
    </row>
    <row r="77" spans="1:21" customFormat="1">
      <c r="A77" s="201" t="s">
        <v>1461</v>
      </c>
      <c r="B77" s="100">
        <v>5.69</v>
      </c>
      <c r="C77" s="100">
        <v>7.91</v>
      </c>
      <c r="D77" s="100">
        <v>8.6999999999999993</v>
      </c>
      <c r="E77" s="100">
        <v>4.1100000000000003</v>
      </c>
      <c r="F77" s="100">
        <v>7.81</v>
      </c>
      <c r="G77" s="100">
        <v>9.68</v>
      </c>
      <c r="H77" s="100">
        <v>2.73</v>
      </c>
      <c r="I77" s="100">
        <v>4.3600000000000003</v>
      </c>
      <c r="J77" s="100">
        <v>0.22</v>
      </c>
      <c r="K77" s="100">
        <v>151.63999999999999</v>
      </c>
      <c r="L77" s="100">
        <v>30.08</v>
      </c>
      <c r="M77" s="100">
        <v>73.94</v>
      </c>
      <c r="N77" s="100">
        <v>27.8</v>
      </c>
      <c r="O77" s="100">
        <v>0</v>
      </c>
      <c r="P77" s="100">
        <v>0.16</v>
      </c>
      <c r="Q77" s="100">
        <v>0</v>
      </c>
      <c r="R77" s="6"/>
      <c r="S77" s="6"/>
      <c r="T77" s="156"/>
      <c r="U77" s="6"/>
    </row>
    <row r="78" spans="1:21" customFormat="1">
      <c r="A78" s="201" t="s">
        <v>1462</v>
      </c>
      <c r="B78" s="100">
        <v>5.17</v>
      </c>
      <c r="C78" s="100">
        <v>7.58</v>
      </c>
      <c r="D78" s="100">
        <v>8.11</v>
      </c>
      <c r="E78" s="100">
        <v>3.83</v>
      </c>
      <c r="F78" s="100">
        <v>8.82</v>
      </c>
      <c r="G78" s="100">
        <v>9.68</v>
      </c>
      <c r="H78" s="100">
        <v>2.73</v>
      </c>
      <c r="I78" s="100">
        <v>4.33</v>
      </c>
      <c r="J78" s="100">
        <v>0.14000000000000001</v>
      </c>
      <c r="K78" s="100">
        <v>166.03</v>
      </c>
      <c r="L78" s="100">
        <v>29.76</v>
      </c>
      <c r="M78" s="100">
        <v>76.48</v>
      </c>
      <c r="N78" s="100">
        <v>20.9</v>
      </c>
      <c r="O78" s="100">
        <v>0</v>
      </c>
      <c r="P78" s="100">
        <v>0.14000000000000001</v>
      </c>
      <c r="Q78" s="100">
        <v>0</v>
      </c>
      <c r="R78" s="6"/>
      <c r="S78" s="6"/>
      <c r="T78" s="156"/>
      <c r="U78" s="6"/>
    </row>
    <row r="79" spans="1:21" customFormat="1">
      <c r="A79" s="201" t="s">
        <v>1463</v>
      </c>
      <c r="B79" s="100">
        <v>5.3</v>
      </c>
      <c r="C79" s="100">
        <v>7.92</v>
      </c>
      <c r="D79" s="100">
        <v>8.39</v>
      </c>
      <c r="E79" s="100">
        <v>4.09</v>
      </c>
      <c r="F79" s="100">
        <v>5.54</v>
      </c>
      <c r="G79" s="100">
        <v>9.1</v>
      </c>
      <c r="H79" s="100">
        <v>1.96</v>
      </c>
      <c r="I79" s="100">
        <v>4.08</v>
      </c>
      <c r="J79" s="100">
        <v>0.16</v>
      </c>
      <c r="K79" s="100">
        <v>117.98</v>
      </c>
      <c r="L79" s="100">
        <v>29.7</v>
      </c>
      <c r="M79" s="100">
        <v>77.66</v>
      </c>
      <c r="N79" s="100">
        <v>14.9</v>
      </c>
      <c r="O79" s="100">
        <v>0</v>
      </c>
      <c r="P79" s="100">
        <v>0.16</v>
      </c>
      <c r="Q79" s="100">
        <v>0</v>
      </c>
      <c r="R79" s="6"/>
      <c r="S79" s="6"/>
      <c r="T79" s="156"/>
      <c r="U79" s="6"/>
    </row>
    <row r="80" spans="1:21" customFormat="1">
      <c r="A80" s="201" t="s">
        <v>1464</v>
      </c>
      <c r="B80" s="100">
        <v>5.85</v>
      </c>
      <c r="C80" s="100">
        <v>8.4499999999999993</v>
      </c>
      <c r="D80" s="100">
        <v>9.1</v>
      </c>
      <c r="E80" s="100">
        <v>4.57</v>
      </c>
      <c r="F80" s="100">
        <v>7</v>
      </c>
      <c r="G80" s="100">
        <v>8.94</v>
      </c>
      <c r="H80" s="100">
        <v>1.96</v>
      </c>
      <c r="I80" s="100">
        <v>3.89</v>
      </c>
      <c r="J80" s="100">
        <v>0.18</v>
      </c>
      <c r="K80" s="100">
        <v>134.88</v>
      </c>
      <c r="L80" s="100">
        <v>29.75</v>
      </c>
      <c r="M80" s="100">
        <v>76</v>
      </c>
      <c r="N80" s="100">
        <v>7.6</v>
      </c>
      <c r="O80" s="100">
        <v>0</v>
      </c>
      <c r="P80" s="100">
        <v>0.18</v>
      </c>
      <c r="Q80" s="100">
        <v>0</v>
      </c>
      <c r="R80" s="6"/>
      <c r="S80" s="6"/>
      <c r="T80" s="156"/>
      <c r="U80" s="6"/>
    </row>
    <row r="81" spans="1:21" customFormat="1">
      <c r="A81" s="201" t="s">
        <v>1465</v>
      </c>
      <c r="B81" s="100">
        <v>5.72</v>
      </c>
      <c r="C81" s="100">
        <v>8.6199999999999992</v>
      </c>
      <c r="D81" s="100">
        <v>9.09</v>
      </c>
      <c r="E81" s="100">
        <v>4.0599999999999996</v>
      </c>
      <c r="F81" s="100">
        <v>6.31</v>
      </c>
      <c r="G81" s="100">
        <v>8.94</v>
      </c>
      <c r="H81" s="100">
        <v>1.96</v>
      </c>
      <c r="I81" s="100">
        <v>4.21</v>
      </c>
      <c r="J81" s="100">
        <v>0.26</v>
      </c>
      <c r="K81" s="100">
        <v>157.56</v>
      </c>
      <c r="L81" s="100">
        <v>29.6</v>
      </c>
      <c r="M81" s="100">
        <v>76.3</v>
      </c>
      <c r="N81" s="100">
        <v>3.2</v>
      </c>
      <c r="O81" s="100">
        <v>0</v>
      </c>
      <c r="P81" s="100">
        <v>0.17</v>
      </c>
      <c r="Q81" s="100">
        <v>0</v>
      </c>
      <c r="R81" s="6"/>
      <c r="S81" s="6"/>
      <c r="T81" s="156"/>
      <c r="U81" s="6"/>
    </row>
    <row r="82" spans="1:21" customFormat="1">
      <c r="A82" s="201" t="s">
        <v>1466</v>
      </c>
      <c r="B82" s="100">
        <v>5.48</v>
      </c>
      <c r="C82" s="100">
        <v>8.19</v>
      </c>
      <c r="D82" s="100">
        <v>8.67</v>
      </c>
      <c r="E82" s="100">
        <v>4.95</v>
      </c>
      <c r="F82" s="100">
        <v>5.17</v>
      </c>
      <c r="G82" s="100">
        <v>8.94</v>
      </c>
      <c r="H82" s="100">
        <v>1.96</v>
      </c>
      <c r="I82" s="100">
        <v>4.2300000000000004</v>
      </c>
      <c r="J82" s="100">
        <v>0.17</v>
      </c>
      <c r="K82" s="100">
        <v>170.81</v>
      </c>
      <c r="L82" s="100">
        <v>29.24</v>
      </c>
      <c r="M82" s="100">
        <v>79.33</v>
      </c>
      <c r="N82" s="100">
        <v>2.7</v>
      </c>
      <c r="O82" s="100">
        <v>0</v>
      </c>
      <c r="P82" s="100">
        <v>0.16</v>
      </c>
      <c r="Q82" s="100">
        <v>0</v>
      </c>
      <c r="R82" s="6"/>
      <c r="S82" s="6"/>
      <c r="T82" s="156"/>
      <c r="U82" s="6"/>
    </row>
    <row r="83" spans="1:21" customFormat="1">
      <c r="A83" s="201" t="s">
        <v>1467</v>
      </c>
      <c r="B83" s="100">
        <v>6.26</v>
      </c>
      <c r="C83" s="100">
        <v>7.99</v>
      </c>
      <c r="D83" s="100">
        <v>9.19</v>
      </c>
      <c r="E83" s="100">
        <v>5.68</v>
      </c>
      <c r="F83" s="100">
        <v>2.68</v>
      </c>
      <c r="G83" s="100">
        <v>8.4</v>
      </c>
      <c r="H83" s="100">
        <v>2.68</v>
      </c>
      <c r="I83" s="100">
        <v>4.2699999999999996</v>
      </c>
      <c r="J83" s="100">
        <v>0.19</v>
      </c>
      <c r="K83" s="100">
        <v>159.47999999999999</v>
      </c>
      <c r="L83" s="100">
        <v>28.86</v>
      </c>
      <c r="M83" s="100">
        <v>80.510000000000005</v>
      </c>
      <c r="N83" s="100">
        <v>2.2999999999999998</v>
      </c>
      <c r="O83" s="100">
        <v>0</v>
      </c>
      <c r="P83" s="100">
        <v>0.19</v>
      </c>
      <c r="Q83" s="100">
        <v>0</v>
      </c>
      <c r="R83" s="6"/>
      <c r="S83" s="6"/>
      <c r="T83" s="156"/>
      <c r="U83" s="6"/>
    </row>
    <row r="84" spans="1:21" customFormat="1">
      <c r="A84" s="201" t="s">
        <v>1468</v>
      </c>
      <c r="B84" s="100">
        <v>6.38</v>
      </c>
      <c r="C84" s="100">
        <v>8.35</v>
      </c>
      <c r="D84" s="100">
        <v>9.48</v>
      </c>
      <c r="E84" s="100">
        <v>5.99</v>
      </c>
      <c r="F84" s="100">
        <v>2.09</v>
      </c>
      <c r="G84" s="100">
        <v>8.26</v>
      </c>
      <c r="H84" s="100">
        <v>2.68</v>
      </c>
      <c r="I84" s="100">
        <v>4.22</v>
      </c>
      <c r="J84" s="100">
        <v>0.13</v>
      </c>
      <c r="K84" s="100">
        <v>158.93</v>
      </c>
      <c r="L84" s="100">
        <v>28.94</v>
      </c>
      <c r="M84" s="100">
        <v>80</v>
      </c>
      <c r="N84" s="100">
        <v>2.2999999999999998</v>
      </c>
      <c r="O84" s="100">
        <v>0</v>
      </c>
      <c r="P84" s="100">
        <v>0.21</v>
      </c>
      <c r="Q84" s="100">
        <v>0</v>
      </c>
      <c r="R84" s="6"/>
      <c r="S84" s="6"/>
      <c r="T84" s="156"/>
      <c r="U84" s="6"/>
    </row>
    <row r="85" spans="1:21" customFormat="1">
      <c r="A85" s="201" t="s">
        <v>1469</v>
      </c>
      <c r="B85" s="100">
        <v>6.45</v>
      </c>
      <c r="C85" s="100">
        <v>8.31</v>
      </c>
      <c r="D85" s="100">
        <v>9.52</v>
      </c>
      <c r="E85" s="100">
        <v>6.02</v>
      </c>
      <c r="F85" s="100">
        <v>2.0099999999999998</v>
      </c>
      <c r="G85" s="100">
        <v>8.26</v>
      </c>
      <c r="H85" s="100">
        <v>2.68</v>
      </c>
      <c r="I85" s="100">
        <v>4.45</v>
      </c>
      <c r="J85" s="100">
        <v>0.18</v>
      </c>
      <c r="K85" s="100">
        <v>157.18</v>
      </c>
      <c r="L85" s="100">
        <v>28.88</v>
      </c>
      <c r="M85" s="100">
        <v>79.28</v>
      </c>
      <c r="N85" s="100">
        <v>2.2999999999999998</v>
      </c>
      <c r="O85" s="100">
        <v>0</v>
      </c>
      <c r="P85" s="100">
        <v>0.23</v>
      </c>
      <c r="Q85" s="100">
        <v>0</v>
      </c>
      <c r="R85" s="6"/>
      <c r="S85" s="6"/>
      <c r="T85" s="156"/>
      <c r="U85" s="6"/>
    </row>
    <row r="86" spans="1:21" customFormat="1">
      <c r="A86" s="201" t="s">
        <v>1470</v>
      </c>
      <c r="B86" s="100">
        <v>6.48</v>
      </c>
      <c r="C86" s="100">
        <v>8.3800000000000008</v>
      </c>
      <c r="D86" s="100">
        <v>9.57</v>
      </c>
      <c r="E86" s="100">
        <v>5.95</v>
      </c>
      <c r="F86" s="100">
        <v>2</v>
      </c>
      <c r="G86" s="100">
        <v>8.26</v>
      </c>
      <c r="H86" s="100">
        <v>2.68</v>
      </c>
      <c r="I86" s="100">
        <v>4.66</v>
      </c>
      <c r="J86" s="100">
        <v>0.15</v>
      </c>
      <c r="K86" s="100">
        <v>137.68</v>
      </c>
      <c r="L86" s="100">
        <v>28.76</v>
      </c>
      <c r="M86" s="100">
        <v>79.58</v>
      </c>
      <c r="N86" s="100">
        <v>2.1</v>
      </c>
      <c r="O86" s="100">
        <v>0</v>
      </c>
      <c r="P86" s="100">
        <v>0.24</v>
      </c>
      <c r="Q86" s="100">
        <v>0</v>
      </c>
      <c r="R86" s="6"/>
      <c r="S86" s="6"/>
      <c r="T86" s="156"/>
      <c r="U86" s="6"/>
    </row>
    <row r="87" spans="1:21" customFormat="1">
      <c r="A87" s="201" t="s">
        <v>1471</v>
      </c>
      <c r="B87" s="100">
        <v>6.64</v>
      </c>
      <c r="C87" s="100">
        <v>8.48</v>
      </c>
      <c r="D87" s="100">
        <v>9.76</v>
      </c>
      <c r="E87" s="100">
        <v>5.77</v>
      </c>
      <c r="F87" s="100">
        <v>2.0099999999999998</v>
      </c>
      <c r="G87" s="100">
        <v>10.029999999999999</v>
      </c>
      <c r="H87" s="100">
        <v>3.39</v>
      </c>
      <c r="I87" s="100">
        <v>4.8</v>
      </c>
      <c r="J87" s="100">
        <v>0.17</v>
      </c>
      <c r="K87" s="100">
        <v>159.22</v>
      </c>
      <c r="L87" s="100">
        <v>28.75</v>
      </c>
      <c r="M87" s="100">
        <v>79.23</v>
      </c>
      <c r="N87" s="100">
        <v>2.2000000000000002</v>
      </c>
      <c r="O87" s="100">
        <v>0</v>
      </c>
      <c r="P87" s="100">
        <v>0.25</v>
      </c>
      <c r="Q87" s="100">
        <v>0</v>
      </c>
      <c r="R87" s="6"/>
      <c r="S87" s="6"/>
      <c r="T87" s="156"/>
      <c r="U87" s="6"/>
    </row>
    <row r="88" spans="1:21" customFormat="1">
      <c r="A88" s="201" t="s">
        <v>1472</v>
      </c>
      <c r="B88" s="100">
        <v>6.64</v>
      </c>
      <c r="C88" s="100">
        <v>8.4600000000000009</v>
      </c>
      <c r="D88" s="100">
        <v>9.74</v>
      </c>
      <c r="E88" s="100">
        <v>5.83</v>
      </c>
      <c r="F88" s="100">
        <v>2.02</v>
      </c>
      <c r="G88" s="100">
        <v>10.53</v>
      </c>
      <c r="H88" s="100">
        <v>3.39</v>
      </c>
      <c r="I88" s="100">
        <v>5.04</v>
      </c>
      <c r="J88" s="100">
        <v>0.14000000000000001</v>
      </c>
      <c r="K88" s="100">
        <v>138.21</v>
      </c>
      <c r="L88" s="100">
        <v>28.49</v>
      </c>
      <c r="M88" s="100">
        <v>79.75</v>
      </c>
      <c r="N88" s="100">
        <v>2.2000000000000002</v>
      </c>
      <c r="O88" s="100">
        <v>0</v>
      </c>
      <c r="P88" s="100">
        <v>0.26</v>
      </c>
      <c r="Q88" s="100">
        <v>0</v>
      </c>
      <c r="R88" s="6"/>
      <c r="S88" s="6"/>
      <c r="T88" s="156"/>
      <c r="U88" s="6"/>
    </row>
    <row r="89" spans="1:21" customFormat="1">
      <c r="A89" s="201" t="s">
        <v>1473</v>
      </c>
      <c r="B89" s="100">
        <v>6.62</v>
      </c>
      <c r="C89" s="100">
        <v>8.3000000000000007</v>
      </c>
      <c r="D89" s="100">
        <v>9.64</v>
      </c>
      <c r="E89" s="100">
        <v>5.93</v>
      </c>
      <c r="F89" s="100">
        <v>2</v>
      </c>
      <c r="G89" s="100">
        <v>10.53</v>
      </c>
      <c r="H89" s="100">
        <v>3.39</v>
      </c>
      <c r="I89" s="100">
        <v>5.26</v>
      </c>
      <c r="J89" s="100">
        <v>0.12</v>
      </c>
      <c r="K89" s="100">
        <v>119.71</v>
      </c>
      <c r="L89" s="100">
        <v>28.27</v>
      </c>
      <c r="M89" s="100">
        <v>80.2</v>
      </c>
      <c r="N89" s="100">
        <v>2.2000000000000002</v>
      </c>
      <c r="O89" s="100">
        <v>0</v>
      </c>
      <c r="P89" s="100">
        <v>0.26</v>
      </c>
      <c r="Q89" s="100">
        <v>0</v>
      </c>
      <c r="R89" s="6"/>
      <c r="S89" s="6"/>
      <c r="T89" s="156"/>
      <c r="U89" s="6"/>
    </row>
    <row r="90" spans="1:21" customFormat="1">
      <c r="A90" s="201" t="s">
        <v>1474</v>
      </c>
      <c r="B90" s="100">
        <v>6.66</v>
      </c>
      <c r="C90" s="100">
        <v>8.09</v>
      </c>
      <c r="D90" s="100">
        <v>9.57</v>
      </c>
      <c r="E90" s="100">
        <v>5.76</v>
      </c>
      <c r="F90" s="100">
        <v>2.0099999999999998</v>
      </c>
      <c r="G90" s="100">
        <v>10.53</v>
      </c>
      <c r="H90" s="100">
        <v>3.39</v>
      </c>
      <c r="I90" s="100">
        <v>5.39</v>
      </c>
      <c r="J90" s="100">
        <v>0.17</v>
      </c>
      <c r="K90" s="100">
        <v>135.54</v>
      </c>
      <c r="L90" s="100">
        <v>28.04</v>
      </c>
      <c r="M90" s="100">
        <v>80.56</v>
      </c>
      <c r="N90" s="100">
        <v>2.2000000000000002</v>
      </c>
      <c r="O90" s="100">
        <v>0</v>
      </c>
      <c r="P90" s="100">
        <v>0.26</v>
      </c>
      <c r="Q90" s="100">
        <v>0</v>
      </c>
      <c r="R90" s="6"/>
      <c r="S90" s="6"/>
      <c r="T90" s="156"/>
      <c r="U90" s="6"/>
    </row>
    <row r="91" spans="1:21" customFormat="1">
      <c r="A91" s="201" t="s">
        <v>1475</v>
      </c>
      <c r="B91" s="100">
        <v>6.54</v>
      </c>
      <c r="C91" s="100">
        <v>7.92</v>
      </c>
      <c r="D91" s="100">
        <v>9.39</v>
      </c>
      <c r="E91" s="100">
        <v>5.87</v>
      </c>
      <c r="F91" s="100">
        <v>2</v>
      </c>
      <c r="G91" s="100">
        <v>10.5</v>
      </c>
      <c r="H91" s="100">
        <v>3.37</v>
      </c>
      <c r="I91" s="100">
        <v>5.44</v>
      </c>
      <c r="J91" s="100">
        <v>0.12</v>
      </c>
      <c r="K91" s="100">
        <v>138.16</v>
      </c>
      <c r="L91" s="100">
        <v>27.82</v>
      </c>
      <c r="M91" s="100">
        <v>81.16</v>
      </c>
      <c r="N91" s="100">
        <v>2.2000000000000002</v>
      </c>
      <c r="O91" s="100">
        <v>0</v>
      </c>
      <c r="P91" s="100">
        <v>0.25</v>
      </c>
      <c r="Q91" s="100">
        <v>0</v>
      </c>
      <c r="R91" s="6"/>
      <c r="S91" s="6"/>
      <c r="T91" s="156"/>
      <c r="U91" s="6"/>
    </row>
    <row r="92" spans="1:21" customFormat="1">
      <c r="A92" s="201" t="s">
        <v>1476</v>
      </c>
      <c r="B92" s="100">
        <v>6.62</v>
      </c>
      <c r="C92" s="100">
        <v>7.86</v>
      </c>
      <c r="D92" s="100">
        <v>9.41</v>
      </c>
      <c r="E92" s="100">
        <v>5.98</v>
      </c>
      <c r="F92" s="100">
        <v>2.0299999999999998</v>
      </c>
      <c r="G92" s="100">
        <v>10.49</v>
      </c>
      <c r="H92" s="100">
        <v>3.37</v>
      </c>
      <c r="I92" s="100">
        <v>5.31</v>
      </c>
      <c r="J92" s="100">
        <v>0.18</v>
      </c>
      <c r="K92" s="100">
        <v>150.94999999999999</v>
      </c>
      <c r="L92" s="100">
        <v>27.73</v>
      </c>
      <c r="M92" s="100">
        <v>81.06</v>
      </c>
      <c r="N92" s="100">
        <v>2.1</v>
      </c>
      <c r="O92" s="100">
        <v>0</v>
      </c>
      <c r="P92" s="100">
        <v>0.25</v>
      </c>
      <c r="Q92" s="100">
        <v>0</v>
      </c>
      <c r="R92" s="6"/>
      <c r="S92" s="6"/>
      <c r="T92" s="156"/>
      <c r="U92" s="6"/>
    </row>
    <row r="93" spans="1:21" customFormat="1">
      <c r="A93" s="201" t="s">
        <v>1477</v>
      </c>
      <c r="B93" s="100">
        <v>6.55</v>
      </c>
      <c r="C93" s="100">
        <v>7.85</v>
      </c>
      <c r="D93" s="100">
        <v>9.35</v>
      </c>
      <c r="E93" s="100">
        <v>5.94</v>
      </c>
      <c r="F93" s="100">
        <v>2</v>
      </c>
      <c r="G93" s="100">
        <v>10.49</v>
      </c>
      <c r="H93" s="100">
        <v>3.37</v>
      </c>
      <c r="I93" s="100">
        <v>5.2</v>
      </c>
      <c r="J93" s="100">
        <v>0.1</v>
      </c>
      <c r="K93" s="100">
        <v>167.14</v>
      </c>
      <c r="L93" s="100">
        <v>27.52</v>
      </c>
      <c r="M93" s="100">
        <v>81.400000000000006</v>
      </c>
      <c r="N93" s="100">
        <v>2.2000000000000002</v>
      </c>
      <c r="O93" s="100">
        <v>0</v>
      </c>
      <c r="P93" s="100">
        <v>0.24</v>
      </c>
      <c r="Q93" s="100">
        <v>0</v>
      </c>
      <c r="R93" s="6"/>
      <c r="S93" s="6"/>
      <c r="T93" s="156"/>
      <c r="U93" s="6"/>
    </row>
    <row r="94" spans="1:21" customFormat="1">
      <c r="A94" s="201" t="s">
        <v>1478</v>
      </c>
      <c r="B94" s="100">
        <v>6.52</v>
      </c>
      <c r="C94" s="100">
        <v>7.71</v>
      </c>
      <c r="D94" s="100">
        <v>9.25</v>
      </c>
      <c r="E94" s="100">
        <v>5.95</v>
      </c>
      <c r="F94" s="100">
        <v>2</v>
      </c>
      <c r="G94" s="100">
        <v>10.49</v>
      </c>
      <c r="H94" s="100">
        <v>3.37</v>
      </c>
      <c r="I94" s="100">
        <v>5.07</v>
      </c>
      <c r="J94" s="100">
        <v>0.13</v>
      </c>
      <c r="K94" s="100">
        <v>110.3</v>
      </c>
      <c r="L94" s="100">
        <v>27.34</v>
      </c>
      <c r="M94" s="100">
        <v>80.959999999999994</v>
      </c>
      <c r="N94" s="100">
        <v>2.1</v>
      </c>
      <c r="O94" s="100">
        <v>0</v>
      </c>
      <c r="P94" s="100">
        <v>0.24</v>
      </c>
      <c r="Q94" s="100">
        <v>0</v>
      </c>
      <c r="R94" s="6"/>
      <c r="S94" s="6"/>
      <c r="T94" s="156"/>
      <c r="U94" s="6"/>
    </row>
    <row r="95" spans="1:21" customFormat="1">
      <c r="A95" s="201" t="s">
        <v>1479</v>
      </c>
      <c r="B95" s="100">
        <v>6.46</v>
      </c>
      <c r="C95" s="100">
        <v>7.68</v>
      </c>
      <c r="D95" s="100">
        <v>9.19</v>
      </c>
      <c r="E95" s="100">
        <v>6.14</v>
      </c>
      <c r="F95" s="100">
        <v>2</v>
      </c>
      <c r="G95" s="100">
        <v>8.69</v>
      </c>
      <c r="H95" s="100">
        <v>2.44</v>
      </c>
      <c r="I95" s="100">
        <v>4.97</v>
      </c>
      <c r="J95" s="100">
        <v>0.08</v>
      </c>
      <c r="K95" s="100">
        <v>112.44</v>
      </c>
      <c r="L95" s="100">
        <v>27.17</v>
      </c>
      <c r="M95" s="100">
        <v>81.06</v>
      </c>
      <c r="N95" s="100">
        <v>2.1</v>
      </c>
      <c r="O95" s="100">
        <v>0</v>
      </c>
      <c r="P95" s="100">
        <v>0.23</v>
      </c>
      <c r="Q95" s="100">
        <v>0</v>
      </c>
      <c r="R95" s="6"/>
      <c r="S95" s="6"/>
      <c r="T95" s="156"/>
      <c r="U95" s="6"/>
    </row>
    <row r="96" spans="1:21" customFormat="1">
      <c r="A96" s="201" t="s">
        <v>1480</v>
      </c>
      <c r="B96" s="100">
        <v>6.42</v>
      </c>
      <c r="C96" s="100">
        <v>7.64</v>
      </c>
      <c r="D96" s="100">
        <v>9.14</v>
      </c>
      <c r="E96" s="100">
        <v>5.99</v>
      </c>
      <c r="F96" s="100">
        <v>2</v>
      </c>
      <c r="G96" s="100">
        <v>8.23</v>
      </c>
      <c r="H96" s="100">
        <v>2.44</v>
      </c>
      <c r="I96" s="100">
        <v>4.84</v>
      </c>
      <c r="J96" s="100">
        <v>0.09</v>
      </c>
      <c r="K96" s="100">
        <v>185.27</v>
      </c>
      <c r="L96" s="100">
        <v>26.9</v>
      </c>
      <c r="M96" s="100">
        <v>80.760000000000005</v>
      </c>
      <c r="N96" s="100">
        <v>2.1</v>
      </c>
      <c r="O96" s="100">
        <v>0</v>
      </c>
      <c r="P96" s="100">
        <v>0.22</v>
      </c>
      <c r="Q96" s="100">
        <v>0</v>
      </c>
      <c r="R96" s="6"/>
      <c r="S96" s="6"/>
      <c r="T96" s="156"/>
      <c r="U96" s="6"/>
    </row>
    <row r="97" spans="1:28" customFormat="1">
      <c r="A97" s="201" t="s">
        <v>1481</v>
      </c>
      <c r="B97" s="100">
        <v>6.41</v>
      </c>
      <c r="C97" s="100">
        <v>7.53</v>
      </c>
      <c r="D97" s="100">
        <v>9.07</v>
      </c>
      <c r="E97" s="100">
        <v>5.94</v>
      </c>
      <c r="F97" s="100">
        <v>2</v>
      </c>
      <c r="G97" s="100">
        <v>8.23</v>
      </c>
      <c r="H97" s="100">
        <v>2.44</v>
      </c>
      <c r="I97" s="100">
        <v>4.79</v>
      </c>
      <c r="J97" s="100">
        <v>0.13</v>
      </c>
      <c r="K97" s="100">
        <v>158.97999999999999</v>
      </c>
      <c r="L97" s="100">
        <v>26.8</v>
      </c>
      <c r="M97" s="100">
        <v>80.78</v>
      </c>
      <c r="N97" s="100">
        <v>2.1</v>
      </c>
      <c r="O97" s="100">
        <v>0</v>
      </c>
      <c r="P97" s="100">
        <v>0.22</v>
      </c>
      <c r="Q97" s="100">
        <v>0</v>
      </c>
      <c r="R97" s="6"/>
      <c r="S97" s="6"/>
      <c r="T97" s="156"/>
      <c r="U97" s="6"/>
    </row>
    <row r="98" spans="1:28" customFormat="1">
      <c r="A98" s="201" t="s">
        <v>1482</v>
      </c>
      <c r="B98" s="100">
        <v>6.42</v>
      </c>
      <c r="C98" s="100">
        <v>7.47</v>
      </c>
      <c r="D98" s="100">
        <v>9.0500000000000007</v>
      </c>
      <c r="E98" s="100">
        <v>5.95</v>
      </c>
      <c r="F98" s="100">
        <v>2</v>
      </c>
      <c r="G98" s="100">
        <v>8.23</v>
      </c>
      <c r="H98" s="100">
        <v>2.44</v>
      </c>
      <c r="I98" s="100">
        <v>4.72</v>
      </c>
      <c r="J98" s="100">
        <v>0.1</v>
      </c>
      <c r="K98" s="100">
        <v>152.91999999999999</v>
      </c>
      <c r="L98" s="100">
        <v>26.78</v>
      </c>
      <c r="M98" s="100">
        <v>81.48</v>
      </c>
      <c r="N98" s="100">
        <v>2.1</v>
      </c>
      <c r="O98" s="100">
        <v>0</v>
      </c>
      <c r="P98" s="100">
        <v>0.21</v>
      </c>
      <c r="Q98" s="100">
        <v>0</v>
      </c>
      <c r="R98" s="6"/>
      <c r="S98" s="6"/>
      <c r="T98" s="156"/>
      <c r="U98" s="6"/>
    </row>
    <row r="99" spans="1:28" customFormat="1">
      <c r="A99" s="201" t="s">
        <v>1483</v>
      </c>
      <c r="B99" s="100">
        <v>6.37</v>
      </c>
      <c r="C99" s="100">
        <v>7.53</v>
      </c>
      <c r="D99" s="100">
        <v>9.0500000000000007</v>
      </c>
      <c r="E99" s="100">
        <v>6.01</v>
      </c>
      <c r="F99" s="100">
        <v>2</v>
      </c>
      <c r="G99" s="100">
        <v>6.24</v>
      </c>
      <c r="H99" s="100">
        <v>1.79</v>
      </c>
      <c r="I99" s="100">
        <v>4.74</v>
      </c>
      <c r="J99" s="100">
        <v>0.1</v>
      </c>
      <c r="K99" s="100">
        <v>143.09</v>
      </c>
      <c r="L99" s="100">
        <v>26.64</v>
      </c>
      <c r="M99" s="100">
        <v>81.7</v>
      </c>
      <c r="N99" s="100">
        <v>2.1</v>
      </c>
      <c r="O99" s="100">
        <v>0</v>
      </c>
      <c r="P99" s="100">
        <v>0.21</v>
      </c>
      <c r="Q99" s="100">
        <v>0</v>
      </c>
      <c r="R99" s="6"/>
      <c r="S99" s="6"/>
      <c r="T99" s="156"/>
      <c r="U99" s="6"/>
    </row>
    <row r="100" spans="1:28" customFormat="1">
      <c r="A100" s="201" t="s">
        <v>1484</v>
      </c>
      <c r="B100" s="100">
        <v>6.29</v>
      </c>
      <c r="C100" s="100">
        <v>7.5</v>
      </c>
      <c r="D100" s="100">
        <v>8.9600000000000009</v>
      </c>
      <c r="E100" s="100">
        <v>6.36</v>
      </c>
      <c r="F100" s="100">
        <v>2</v>
      </c>
      <c r="G100" s="100">
        <v>5.95</v>
      </c>
      <c r="H100" s="100">
        <v>1.79</v>
      </c>
      <c r="I100" s="100">
        <v>4.62</v>
      </c>
      <c r="J100" s="100">
        <v>0.14000000000000001</v>
      </c>
      <c r="K100" s="100">
        <v>125.01</v>
      </c>
      <c r="L100" s="100">
        <v>26.88</v>
      </c>
      <c r="M100" s="100">
        <v>81.06</v>
      </c>
      <c r="N100" s="100">
        <v>2</v>
      </c>
      <c r="O100" s="100">
        <v>0</v>
      </c>
      <c r="P100" s="100">
        <v>0.2</v>
      </c>
      <c r="Q100" s="100">
        <v>0</v>
      </c>
      <c r="R100" s="6"/>
      <c r="S100" s="6"/>
      <c r="T100" s="156"/>
      <c r="U100" s="6"/>
      <c r="AB100" s="161"/>
    </row>
    <row r="101" spans="1:28" customFormat="1">
      <c r="A101" s="201" t="s">
        <v>1485</v>
      </c>
      <c r="B101" s="100">
        <v>6.29</v>
      </c>
      <c r="C101" s="100">
        <v>7.44</v>
      </c>
      <c r="D101" s="100">
        <v>8.93</v>
      </c>
      <c r="E101" s="100">
        <v>6.37</v>
      </c>
      <c r="F101" s="100">
        <v>2</v>
      </c>
      <c r="G101" s="100">
        <v>5.95</v>
      </c>
      <c r="H101" s="100">
        <v>1.79</v>
      </c>
      <c r="I101" s="100">
        <v>4.51</v>
      </c>
      <c r="J101" s="100">
        <v>0.13</v>
      </c>
      <c r="K101" s="100">
        <v>126.3</v>
      </c>
      <c r="L101" s="100">
        <v>26.79</v>
      </c>
      <c r="M101" s="100">
        <v>82.03</v>
      </c>
      <c r="N101" s="100">
        <v>2</v>
      </c>
      <c r="O101" s="100">
        <v>0</v>
      </c>
      <c r="P101" s="100">
        <v>0.2</v>
      </c>
      <c r="Q101" s="100">
        <v>0</v>
      </c>
      <c r="R101" s="6"/>
      <c r="S101" s="6"/>
      <c r="T101" s="156"/>
      <c r="U101" s="6"/>
    </row>
    <row r="102" spans="1:28" customFormat="1">
      <c r="A102" s="201" t="s">
        <v>1486</v>
      </c>
      <c r="B102" s="100">
        <v>6.29</v>
      </c>
      <c r="C102" s="100">
        <v>7.43</v>
      </c>
      <c r="D102" s="100">
        <v>8.92</v>
      </c>
      <c r="E102" s="100">
        <v>6.21</v>
      </c>
      <c r="F102" s="100">
        <v>2</v>
      </c>
      <c r="G102" s="100">
        <v>5.95</v>
      </c>
      <c r="H102" s="100">
        <v>1.79</v>
      </c>
      <c r="I102" s="100">
        <v>4.41</v>
      </c>
      <c r="J102" s="100">
        <v>0.15</v>
      </c>
      <c r="K102" s="100">
        <v>145.61000000000001</v>
      </c>
      <c r="L102" s="100">
        <v>26.77</v>
      </c>
      <c r="M102" s="100">
        <v>80.89</v>
      </c>
      <c r="N102" s="100">
        <v>2</v>
      </c>
      <c r="O102" s="100">
        <v>0</v>
      </c>
      <c r="P102" s="100">
        <v>0.2</v>
      </c>
      <c r="Q102" s="100">
        <v>0</v>
      </c>
      <c r="R102" s="6"/>
      <c r="S102" s="6"/>
      <c r="T102" s="156"/>
      <c r="U102" s="6"/>
    </row>
    <row r="103" spans="1:28" customFormat="1">
      <c r="A103" s="201" t="s">
        <v>1487</v>
      </c>
      <c r="B103" s="100">
        <v>6.35</v>
      </c>
      <c r="C103" s="100">
        <v>7.64</v>
      </c>
      <c r="D103" s="100">
        <v>9.09</v>
      </c>
      <c r="E103" s="100">
        <v>6.4</v>
      </c>
      <c r="F103" s="100">
        <v>2</v>
      </c>
      <c r="G103" s="100">
        <v>5.18</v>
      </c>
      <c r="H103" s="100">
        <v>1.32</v>
      </c>
      <c r="I103" s="100">
        <v>4.32</v>
      </c>
      <c r="J103" s="100">
        <v>0.19</v>
      </c>
      <c r="K103" s="100">
        <v>159.05000000000001</v>
      </c>
      <c r="L103" s="100">
        <v>26.77</v>
      </c>
      <c r="M103" s="100">
        <v>80.31</v>
      </c>
      <c r="N103" s="100">
        <v>2.1</v>
      </c>
      <c r="O103" s="100">
        <v>0</v>
      </c>
      <c r="P103" s="100">
        <v>0.2</v>
      </c>
      <c r="Q103" s="100">
        <v>0</v>
      </c>
      <c r="R103" s="6"/>
      <c r="S103" s="6"/>
      <c r="T103" s="156"/>
      <c r="U103" s="6"/>
    </row>
    <row r="104" spans="1:28" customFormat="1">
      <c r="A104" s="201" t="s">
        <v>1488</v>
      </c>
      <c r="B104" s="100">
        <v>6.55</v>
      </c>
      <c r="C104" s="100">
        <v>7.4</v>
      </c>
      <c r="D104" s="100">
        <v>9.1199999999999992</v>
      </c>
      <c r="E104" s="100">
        <v>6.27</v>
      </c>
      <c r="F104" s="100">
        <v>2</v>
      </c>
      <c r="G104" s="100">
        <v>5.0199999999999996</v>
      </c>
      <c r="H104" s="100">
        <v>1.32</v>
      </c>
      <c r="I104" s="100">
        <v>4.2699999999999996</v>
      </c>
      <c r="J104" s="100">
        <v>0.12</v>
      </c>
      <c r="K104" s="100">
        <v>129.27000000000001</v>
      </c>
      <c r="L104" s="100">
        <v>26.7</v>
      </c>
      <c r="M104" s="100">
        <v>79.510000000000005</v>
      </c>
      <c r="N104" s="100">
        <v>2</v>
      </c>
      <c r="O104" s="100">
        <v>0</v>
      </c>
      <c r="P104" s="100">
        <v>0.17</v>
      </c>
      <c r="Q104" s="100">
        <v>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5.17</v>
      </c>
      <c r="C106" s="158">
        <f>MIN(C9:C104)</f>
        <v>7.4</v>
      </c>
      <c r="D106" s="158">
        <f t="shared" ref="D106:Q106" si="0">MIN(D9:D104)</f>
        <v>8.11</v>
      </c>
      <c r="E106" s="158">
        <f t="shared" si="0"/>
        <v>3.69</v>
      </c>
      <c r="F106" s="158">
        <f t="shared" si="0"/>
        <v>2</v>
      </c>
      <c r="G106" s="158">
        <f t="shared" si="0"/>
        <v>5.0199999999999996</v>
      </c>
      <c r="H106" s="158">
        <f t="shared" si="0"/>
        <v>1.32</v>
      </c>
      <c r="I106" s="158">
        <f t="shared" si="0"/>
        <v>3.89</v>
      </c>
      <c r="J106" s="158">
        <f t="shared" si="0"/>
        <v>0.06</v>
      </c>
      <c r="K106" s="158">
        <f t="shared" si="0"/>
        <v>34.68</v>
      </c>
      <c r="L106" s="158">
        <f t="shared" si="0"/>
        <v>25.36</v>
      </c>
      <c r="M106" s="158">
        <f t="shared" si="0"/>
        <v>61.66</v>
      </c>
      <c r="N106" s="158">
        <f t="shared" si="0"/>
        <v>2</v>
      </c>
      <c r="O106" s="158">
        <f t="shared" si="0"/>
        <v>0</v>
      </c>
      <c r="P106" s="158">
        <f t="shared" si="0"/>
        <v>0.14000000000000001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12.96</v>
      </c>
      <c r="C107" s="157">
        <f t="shared" ref="C107:Q107" si="1">MAX(C9:C104)</f>
        <v>9.94</v>
      </c>
      <c r="D107" s="157">
        <f t="shared" si="1"/>
        <v>14.88</v>
      </c>
      <c r="E107" s="157">
        <f t="shared" si="1"/>
        <v>6.4</v>
      </c>
      <c r="F107" s="157">
        <f t="shared" si="1"/>
        <v>8.82</v>
      </c>
      <c r="G107" s="157">
        <f t="shared" si="1"/>
        <v>25.96</v>
      </c>
      <c r="H107" s="157">
        <f t="shared" si="1"/>
        <v>5.91</v>
      </c>
      <c r="I107" s="157">
        <f t="shared" si="1"/>
        <v>5.44</v>
      </c>
      <c r="J107" s="157">
        <f t="shared" si="1"/>
        <v>0.66</v>
      </c>
      <c r="K107" s="157">
        <f t="shared" si="1"/>
        <v>185.27</v>
      </c>
      <c r="L107" s="157">
        <f t="shared" si="1"/>
        <v>32.75</v>
      </c>
      <c r="M107" s="157">
        <f t="shared" si="1"/>
        <v>85.48</v>
      </c>
      <c r="N107" s="157">
        <f t="shared" si="1"/>
        <v>841</v>
      </c>
      <c r="O107" s="157">
        <f t="shared" si="1"/>
        <v>0</v>
      </c>
      <c r="P107" s="157">
        <f t="shared" si="1"/>
        <v>0.3</v>
      </c>
      <c r="Q107" s="157">
        <f t="shared" si="1"/>
        <v>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8.4739583333333304</v>
      </c>
      <c r="C108" s="158">
        <f t="shared" ref="C108:Q108" si="2">AVERAGE(C9:C104)</f>
        <v>8.5193750000000019</v>
      </c>
      <c r="D108" s="158">
        <f t="shared" si="2"/>
        <v>11.246041666666668</v>
      </c>
      <c r="E108" s="158">
        <f t="shared" si="2"/>
        <v>5.2474999999999996</v>
      </c>
      <c r="F108" s="158">
        <f t="shared" si="2"/>
        <v>2.7156249999999993</v>
      </c>
      <c r="G108" s="158">
        <f t="shared" si="2"/>
        <v>13.115625000000003</v>
      </c>
      <c r="H108" s="158">
        <f t="shared" si="2"/>
        <v>3.4152083333333354</v>
      </c>
      <c r="I108" s="158">
        <f t="shared" si="2"/>
        <v>4.6641666666666657</v>
      </c>
      <c r="J108" s="158">
        <f t="shared" si="2"/>
        <v>0.2693750000000002</v>
      </c>
      <c r="K108" s="158">
        <f t="shared" si="2"/>
        <v>95.223437499999989</v>
      </c>
      <c r="L108" s="158">
        <f t="shared" si="2"/>
        <v>28.346666666666668</v>
      </c>
      <c r="M108" s="158">
        <f t="shared" si="2"/>
        <v>77.716770833333314</v>
      </c>
      <c r="N108" s="158">
        <f t="shared" si="2"/>
        <v>131.75104166666668</v>
      </c>
      <c r="O108" s="158">
        <f t="shared" si="2"/>
        <v>0</v>
      </c>
      <c r="P108" s="158">
        <f t="shared" si="2"/>
        <v>0.22437500000000002</v>
      </c>
      <c r="Q108" s="158">
        <f t="shared" si="2"/>
        <v>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2.4244081118867942</v>
      </c>
      <c r="C109" s="158">
        <f t="shared" ref="C109:Q109" si="3">STDEV(C9:C104)</f>
        <v>0.64892106810580519</v>
      </c>
      <c r="D109" s="158">
        <f t="shared" si="3"/>
        <v>2.067393211990018</v>
      </c>
      <c r="E109" s="158">
        <f t="shared" si="3"/>
        <v>0.61562804901730117</v>
      </c>
      <c r="F109" s="158">
        <f t="shared" si="3"/>
        <v>1.5410022797892919</v>
      </c>
      <c r="G109" s="158">
        <f t="shared" si="3"/>
        <v>4.8099151568181675</v>
      </c>
      <c r="H109" s="158">
        <f t="shared" si="3"/>
        <v>1.0405241383341999</v>
      </c>
      <c r="I109" s="158">
        <f t="shared" si="3"/>
        <v>0.36818950117015797</v>
      </c>
      <c r="J109" s="158">
        <f t="shared" si="3"/>
        <v>0.13849425220830211</v>
      </c>
      <c r="K109" s="158">
        <f t="shared" si="3"/>
        <v>46.224512836876727</v>
      </c>
      <c r="L109" s="158">
        <f t="shared" si="3"/>
        <v>2.4191267091840643</v>
      </c>
      <c r="M109" s="158">
        <f t="shared" si="3"/>
        <v>7.6134079090138806</v>
      </c>
      <c r="N109" s="158">
        <f t="shared" si="3"/>
        <v>217.98538772601569</v>
      </c>
      <c r="O109" s="158">
        <f t="shared" si="3"/>
        <v>0</v>
      </c>
      <c r="P109" s="158">
        <f t="shared" si="3"/>
        <v>4.0126444882986466E-2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G12" sqref="G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1489</v>
      </c>
      <c r="B9" s="100">
        <v>6.86</v>
      </c>
      <c r="C9" s="100">
        <v>6.95</v>
      </c>
      <c r="D9" s="100">
        <v>9.1300000000000008</v>
      </c>
      <c r="E9" s="100">
        <v>6.01</v>
      </c>
      <c r="F9" s="100">
        <v>2.08</v>
      </c>
      <c r="G9" s="100">
        <v>5.0199999999999996</v>
      </c>
      <c r="H9" s="100">
        <v>1.32</v>
      </c>
      <c r="I9" s="100">
        <v>4.28</v>
      </c>
      <c r="J9" s="100">
        <v>0.11</v>
      </c>
      <c r="K9" s="100">
        <v>78.03</v>
      </c>
      <c r="L9" s="100">
        <v>26.61</v>
      </c>
      <c r="M9" s="100">
        <v>79.78</v>
      </c>
      <c r="N9" s="100">
        <v>2.1</v>
      </c>
      <c r="O9" s="100">
        <v>0</v>
      </c>
      <c r="P9" s="100">
        <v>0.15</v>
      </c>
      <c r="Q9" s="100">
        <v>0</v>
      </c>
      <c r="R9" s="6"/>
      <c r="S9" s="6"/>
      <c r="T9" s="156"/>
      <c r="U9" s="6"/>
    </row>
    <row r="10" spans="1:21" customFormat="1">
      <c r="A10" s="201" t="s">
        <v>1490</v>
      </c>
      <c r="B10" s="100">
        <v>7.08</v>
      </c>
      <c r="C10" s="100">
        <v>7.21</v>
      </c>
      <c r="D10" s="100">
        <v>9.44</v>
      </c>
      <c r="E10" s="100">
        <v>5.39</v>
      </c>
      <c r="F10" s="100">
        <v>2</v>
      </c>
      <c r="G10" s="100">
        <v>5.0199999999999996</v>
      </c>
      <c r="H10" s="100">
        <v>1.32</v>
      </c>
      <c r="I10" s="100">
        <v>4.26</v>
      </c>
      <c r="J10" s="100">
        <v>0.08</v>
      </c>
      <c r="K10" s="100">
        <v>136.18</v>
      </c>
      <c r="L10" s="100">
        <v>26.47</v>
      </c>
      <c r="M10" s="100">
        <v>79.78</v>
      </c>
      <c r="N10" s="100">
        <v>2.1</v>
      </c>
      <c r="O10" s="100">
        <v>0</v>
      </c>
      <c r="P10" s="100">
        <v>0.13</v>
      </c>
      <c r="Q10" s="100">
        <v>0</v>
      </c>
      <c r="R10" s="6"/>
      <c r="S10" s="6"/>
      <c r="T10" s="156"/>
      <c r="U10" s="6"/>
    </row>
    <row r="11" spans="1:21" customFormat="1">
      <c r="A11" s="201" t="s">
        <v>1491</v>
      </c>
      <c r="B11" s="100">
        <v>7.37</v>
      </c>
      <c r="C11" s="100">
        <v>7.51</v>
      </c>
      <c r="D11" s="100">
        <v>9.83</v>
      </c>
      <c r="E11" s="100">
        <v>4.95</v>
      </c>
      <c r="F11" s="100">
        <v>2</v>
      </c>
      <c r="G11" s="100">
        <v>6.35</v>
      </c>
      <c r="H11" s="100">
        <v>0.99</v>
      </c>
      <c r="I11" s="100">
        <v>4.26</v>
      </c>
      <c r="J11" s="100">
        <v>0.11</v>
      </c>
      <c r="K11" s="100">
        <v>75.98</v>
      </c>
      <c r="L11" s="100">
        <v>26.39</v>
      </c>
      <c r="M11" s="100">
        <v>80.180000000000007</v>
      </c>
      <c r="N11" s="100">
        <v>2.1</v>
      </c>
      <c r="O11" s="100">
        <v>0</v>
      </c>
      <c r="P11" s="100">
        <v>0.16</v>
      </c>
      <c r="Q11" s="100">
        <v>0</v>
      </c>
      <c r="R11" s="6"/>
      <c r="S11" s="6"/>
      <c r="T11" s="156"/>
      <c r="U11" s="6"/>
    </row>
    <row r="12" spans="1:21" customFormat="1">
      <c r="A12" s="201" t="s">
        <v>1492</v>
      </c>
      <c r="B12" s="100">
        <v>7.79</v>
      </c>
      <c r="C12" s="100">
        <v>7.47</v>
      </c>
      <c r="D12" s="100">
        <v>10.15</v>
      </c>
      <c r="E12" s="100">
        <v>5.88</v>
      </c>
      <c r="F12" s="100">
        <v>2</v>
      </c>
      <c r="G12" s="100">
        <v>6.68</v>
      </c>
      <c r="H12" s="100">
        <v>0.99</v>
      </c>
      <c r="I12" s="100">
        <v>4.21</v>
      </c>
      <c r="J12" s="100">
        <v>0.14000000000000001</v>
      </c>
      <c r="K12" s="100">
        <v>145.53</v>
      </c>
      <c r="L12" s="100">
        <v>26.44</v>
      </c>
      <c r="M12" s="100">
        <v>79.98</v>
      </c>
      <c r="N12" s="100">
        <v>2.1</v>
      </c>
      <c r="O12" s="100">
        <v>0</v>
      </c>
      <c r="P12" s="100">
        <v>0.14000000000000001</v>
      </c>
      <c r="Q12" s="100">
        <v>0</v>
      </c>
      <c r="R12" s="6"/>
      <c r="S12" s="6"/>
      <c r="T12" s="156"/>
      <c r="U12" s="6"/>
    </row>
    <row r="13" spans="1:21" customFormat="1">
      <c r="A13" s="201" t="s">
        <v>1493</v>
      </c>
      <c r="B13" s="100">
        <v>8.07</v>
      </c>
      <c r="C13" s="100">
        <v>7.13</v>
      </c>
      <c r="D13" s="100">
        <v>10.19</v>
      </c>
      <c r="E13" s="100">
        <v>5.89</v>
      </c>
      <c r="F13" s="100">
        <v>2</v>
      </c>
      <c r="G13" s="100">
        <v>6.68</v>
      </c>
      <c r="H13" s="100">
        <v>0.99</v>
      </c>
      <c r="I13" s="100">
        <v>4.41</v>
      </c>
      <c r="J13" s="100">
        <v>0.21</v>
      </c>
      <c r="K13" s="100">
        <v>65.11</v>
      </c>
      <c r="L13" s="100">
        <v>26.24</v>
      </c>
      <c r="M13" s="100">
        <v>81.12</v>
      </c>
      <c r="N13" s="100">
        <v>2</v>
      </c>
      <c r="O13" s="100">
        <v>0</v>
      </c>
      <c r="P13" s="100">
        <v>0.13</v>
      </c>
      <c r="Q13" s="100">
        <v>0</v>
      </c>
      <c r="R13" s="6"/>
      <c r="S13" s="6"/>
      <c r="T13" s="156"/>
      <c r="U13" s="6"/>
    </row>
    <row r="14" spans="1:21" customFormat="1">
      <c r="A14" s="201" t="s">
        <v>1494</v>
      </c>
      <c r="B14" s="100">
        <v>8.34</v>
      </c>
      <c r="C14" s="100">
        <v>7.45</v>
      </c>
      <c r="D14" s="100">
        <v>10.58</v>
      </c>
      <c r="E14" s="100">
        <v>5.95</v>
      </c>
      <c r="F14" s="100">
        <v>2</v>
      </c>
      <c r="G14" s="100">
        <v>6.68</v>
      </c>
      <c r="H14" s="100">
        <v>0.99</v>
      </c>
      <c r="I14" s="100">
        <v>4.3899999999999997</v>
      </c>
      <c r="J14" s="100">
        <v>0.12</v>
      </c>
      <c r="K14" s="100">
        <v>72.44</v>
      </c>
      <c r="L14" s="100">
        <v>26.33</v>
      </c>
      <c r="M14" s="100">
        <v>80.099999999999994</v>
      </c>
      <c r="N14" s="100">
        <v>2.1</v>
      </c>
      <c r="O14" s="100">
        <v>0</v>
      </c>
      <c r="P14" s="100">
        <v>0.16</v>
      </c>
      <c r="Q14" s="100">
        <v>0</v>
      </c>
      <c r="R14" s="6"/>
      <c r="S14" s="6"/>
      <c r="T14" s="156"/>
      <c r="U14" s="6"/>
    </row>
    <row r="15" spans="1:21" customFormat="1">
      <c r="A15" s="201" t="s">
        <v>1495</v>
      </c>
      <c r="B15" s="100">
        <v>8.4499999999999993</v>
      </c>
      <c r="C15" s="100">
        <v>7.51</v>
      </c>
      <c r="D15" s="100">
        <v>10.7</v>
      </c>
      <c r="E15" s="100">
        <v>6.16</v>
      </c>
      <c r="F15" s="100">
        <v>2</v>
      </c>
      <c r="G15" s="100">
        <v>6.79</v>
      </c>
      <c r="H15" s="100">
        <v>0.77</v>
      </c>
      <c r="I15" s="100">
        <v>4.32</v>
      </c>
      <c r="J15" s="100">
        <v>0.13</v>
      </c>
      <c r="K15" s="100">
        <v>197.66</v>
      </c>
      <c r="L15" s="100">
        <v>26.16</v>
      </c>
      <c r="M15" s="100">
        <v>79.459999999999994</v>
      </c>
      <c r="N15" s="100">
        <v>2.1</v>
      </c>
      <c r="O15" s="100">
        <v>0</v>
      </c>
      <c r="P15" s="100">
        <v>0.15</v>
      </c>
      <c r="Q15" s="100">
        <v>0</v>
      </c>
      <c r="R15" s="6"/>
      <c r="S15" s="6"/>
      <c r="T15" s="156"/>
      <c r="U15" s="6"/>
    </row>
    <row r="16" spans="1:21" customFormat="1">
      <c r="A16" s="201" t="s">
        <v>1496</v>
      </c>
      <c r="B16" s="100">
        <v>8.75</v>
      </c>
      <c r="C16" s="100">
        <v>7.07</v>
      </c>
      <c r="D16" s="100">
        <v>10.71</v>
      </c>
      <c r="E16" s="100">
        <v>5.94</v>
      </c>
      <c r="F16" s="100">
        <v>2</v>
      </c>
      <c r="G16" s="100">
        <v>6.82</v>
      </c>
      <c r="H16" s="100">
        <v>0.77</v>
      </c>
      <c r="I16" s="100">
        <v>4.42</v>
      </c>
      <c r="J16" s="100">
        <v>0.12</v>
      </c>
      <c r="K16" s="100">
        <v>168.65</v>
      </c>
      <c r="L16" s="100">
        <v>25.98</v>
      </c>
      <c r="M16" s="100">
        <v>78.989999999999995</v>
      </c>
      <c r="N16" s="100">
        <v>2</v>
      </c>
      <c r="O16" s="100">
        <v>0</v>
      </c>
      <c r="P16" s="100">
        <v>0.13</v>
      </c>
      <c r="Q16" s="100">
        <v>0</v>
      </c>
      <c r="R16" s="6"/>
      <c r="S16" s="6"/>
      <c r="T16" s="156"/>
      <c r="U16" s="6"/>
    </row>
    <row r="17" spans="1:21" customFormat="1">
      <c r="A17" s="201" t="s">
        <v>1497</v>
      </c>
      <c r="B17" s="100">
        <v>8.86</v>
      </c>
      <c r="C17" s="100">
        <v>7.44</v>
      </c>
      <c r="D17" s="100">
        <v>10.99</v>
      </c>
      <c r="E17" s="100">
        <v>4.1399999999999997</v>
      </c>
      <c r="F17" s="100">
        <v>2</v>
      </c>
      <c r="G17" s="100">
        <v>6.82</v>
      </c>
      <c r="H17" s="100">
        <v>0.77</v>
      </c>
      <c r="I17" s="100">
        <v>4.34</v>
      </c>
      <c r="J17" s="100">
        <v>0.11</v>
      </c>
      <c r="K17" s="100">
        <v>177.32</v>
      </c>
      <c r="L17" s="100">
        <v>26.02</v>
      </c>
      <c r="M17" s="100">
        <v>79.77</v>
      </c>
      <c r="N17" s="100">
        <v>2.1</v>
      </c>
      <c r="O17" s="100">
        <v>0</v>
      </c>
      <c r="P17" s="100">
        <v>0.16</v>
      </c>
      <c r="Q17" s="100">
        <v>0</v>
      </c>
      <c r="R17" s="6"/>
      <c r="S17" s="6"/>
      <c r="T17" s="156"/>
      <c r="U17" s="6"/>
    </row>
    <row r="18" spans="1:21" customFormat="1">
      <c r="A18" s="201" t="s">
        <v>1498</v>
      </c>
      <c r="B18" s="100">
        <v>9.06</v>
      </c>
      <c r="C18" s="100">
        <v>7.3</v>
      </c>
      <c r="D18" s="100">
        <v>11.08</v>
      </c>
      <c r="E18" s="100">
        <v>5.6</v>
      </c>
      <c r="F18" s="100">
        <v>2</v>
      </c>
      <c r="G18" s="100">
        <v>6.82</v>
      </c>
      <c r="H18" s="100">
        <v>0.77</v>
      </c>
      <c r="I18" s="100">
        <v>4.2699999999999996</v>
      </c>
      <c r="J18" s="100">
        <v>0.16</v>
      </c>
      <c r="K18" s="100">
        <v>139.5</v>
      </c>
      <c r="L18" s="100">
        <v>26</v>
      </c>
      <c r="M18" s="100">
        <v>80.900000000000006</v>
      </c>
      <c r="N18" s="100">
        <v>2.1</v>
      </c>
      <c r="O18" s="100">
        <v>0</v>
      </c>
      <c r="P18" s="100">
        <v>0.15</v>
      </c>
      <c r="Q18" s="100">
        <v>0</v>
      </c>
      <c r="R18" s="6"/>
      <c r="S18" s="6"/>
      <c r="T18" s="156"/>
      <c r="U18" s="6"/>
    </row>
    <row r="19" spans="1:21" customFormat="1">
      <c r="A19" s="201" t="s">
        <v>1499</v>
      </c>
      <c r="B19" s="100">
        <v>8.82</v>
      </c>
      <c r="C19" s="100">
        <v>7.4</v>
      </c>
      <c r="D19" s="100">
        <v>10.94</v>
      </c>
      <c r="E19" s="100">
        <v>5.14</v>
      </c>
      <c r="F19" s="100">
        <v>2.0099999999999998</v>
      </c>
      <c r="G19" s="100">
        <v>6.39</v>
      </c>
      <c r="H19" s="100">
        <v>0.88</v>
      </c>
      <c r="I19" s="100">
        <v>4.3</v>
      </c>
      <c r="J19" s="100">
        <v>0.11</v>
      </c>
      <c r="K19" s="100">
        <v>94.9</v>
      </c>
      <c r="L19" s="100">
        <v>25.99</v>
      </c>
      <c r="M19" s="100">
        <v>81.55</v>
      </c>
      <c r="N19" s="100">
        <v>2</v>
      </c>
      <c r="O19" s="100">
        <v>0</v>
      </c>
      <c r="P19" s="100">
        <v>0.14000000000000001</v>
      </c>
      <c r="Q19" s="100">
        <v>0</v>
      </c>
      <c r="R19" s="6"/>
      <c r="S19" s="6"/>
      <c r="T19" s="156"/>
      <c r="U19" s="6"/>
    </row>
    <row r="20" spans="1:21" customFormat="1">
      <c r="A20" s="201" t="s">
        <v>1500</v>
      </c>
      <c r="B20" s="100">
        <v>9.2799999999999994</v>
      </c>
      <c r="C20" s="100">
        <v>7.57</v>
      </c>
      <c r="D20" s="100">
        <v>11.4</v>
      </c>
      <c r="E20" s="100">
        <v>5.4</v>
      </c>
      <c r="F20" s="100">
        <v>2.0099999999999998</v>
      </c>
      <c r="G20" s="100">
        <v>6.28</v>
      </c>
      <c r="H20" s="100">
        <v>0.88</v>
      </c>
      <c r="I20" s="100">
        <v>4.32</v>
      </c>
      <c r="J20" s="100">
        <v>0.13</v>
      </c>
      <c r="K20" s="100">
        <v>169.1</v>
      </c>
      <c r="L20" s="100">
        <v>26.01</v>
      </c>
      <c r="M20" s="100">
        <v>76.650000000000006</v>
      </c>
      <c r="N20" s="100">
        <v>2</v>
      </c>
      <c r="O20" s="100">
        <v>0</v>
      </c>
      <c r="P20" s="100">
        <v>0.15</v>
      </c>
      <c r="Q20" s="100">
        <v>0</v>
      </c>
      <c r="R20" s="6"/>
      <c r="S20" s="6"/>
      <c r="T20" s="156"/>
      <c r="U20" s="6"/>
    </row>
    <row r="21" spans="1:21" customFormat="1">
      <c r="A21" s="201" t="s">
        <v>1501</v>
      </c>
      <c r="B21" s="100">
        <v>9.5299999999999994</v>
      </c>
      <c r="C21" s="100">
        <v>7.19</v>
      </c>
      <c r="D21" s="100">
        <v>11.4</v>
      </c>
      <c r="E21" s="100">
        <v>5.62</v>
      </c>
      <c r="F21" s="100">
        <v>2</v>
      </c>
      <c r="G21" s="100">
        <v>6.28</v>
      </c>
      <c r="H21" s="100">
        <v>0.88</v>
      </c>
      <c r="I21" s="100">
        <v>4.1500000000000004</v>
      </c>
      <c r="J21" s="100">
        <v>0.08</v>
      </c>
      <c r="K21" s="100">
        <v>111.74</v>
      </c>
      <c r="L21" s="100">
        <v>25.92</v>
      </c>
      <c r="M21" s="100">
        <v>74.41</v>
      </c>
      <c r="N21" s="100">
        <v>2.1</v>
      </c>
      <c r="O21" s="100">
        <v>0</v>
      </c>
      <c r="P21" s="100">
        <v>0.14000000000000001</v>
      </c>
      <c r="Q21" s="100">
        <v>0</v>
      </c>
      <c r="R21" s="6"/>
      <c r="S21" s="6"/>
      <c r="T21" s="156"/>
      <c r="U21" s="6"/>
    </row>
    <row r="22" spans="1:21" customFormat="1">
      <c r="A22" s="201" t="s">
        <v>1502</v>
      </c>
      <c r="B22" s="100">
        <v>9.59</v>
      </c>
      <c r="C22" s="100">
        <v>7.09</v>
      </c>
      <c r="D22" s="100">
        <v>11.39</v>
      </c>
      <c r="E22" s="100">
        <v>5.3</v>
      </c>
      <c r="F22" s="100">
        <v>2</v>
      </c>
      <c r="G22" s="100">
        <v>6.28</v>
      </c>
      <c r="H22" s="100">
        <v>0.88</v>
      </c>
      <c r="I22" s="100">
        <v>4.38</v>
      </c>
      <c r="J22" s="100">
        <v>0.13</v>
      </c>
      <c r="K22" s="100">
        <v>137.28</v>
      </c>
      <c r="L22" s="100">
        <v>25.87</v>
      </c>
      <c r="M22" s="100">
        <v>74.569999999999993</v>
      </c>
      <c r="N22" s="100">
        <v>2</v>
      </c>
      <c r="O22" s="100">
        <v>0</v>
      </c>
      <c r="P22" s="100">
        <v>0.14000000000000001</v>
      </c>
      <c r="Q22" s="100">
        <v>0</v>
      </c>
      <c r="R22" s="6"/>
      <c r="S22" s="6"/>
      <c r="T22" s="156"/>
      <c r="U22" s="6"/>
    </row>
    <row r="23" spans="1:21" customFormat="1">
      <c r="A23" s="201" t="s">
        <v>1503</v>
      </c>
      <c r="B23" s="100">
        <v>9.7100000000000009</v>
      </c>
      <c r="C23" s="100">
        <v>7.6</v>
      </c>
      <c r="D23" s="100">
        <v>11.76</v>
      </c>
      <c r="E23" s="100">
        <v>5.28</v>
      </c>
      <c r="F23" s="100">
        <v>2</v>
      </c>
      <c r="G23" s="100">
        <v>7.62</v>
      </c>
      <c r="H23" s="100">
        <v>1.45</v>
      </c>
      <c r="I23" s="100">
        <v>4.3600000000000003</v>
      </c>
      <c r="J23" s="100">
        <v>0.08</v>
      </c>
      <c r="K23" s="100">
        <v>102.79</v>
      </c>
      <c r="L23" s="100">
        <v>25.65</v>
      </c>
      <c r="M23" s="100">
        <v>73.98</v>
      </c>
      <c r="N23" s="100">
        <v>2.1</v>
      </c>
      <c r="O23" s="100">
        <v>0</v>
      </c>
      <c r="P23" s="100">
        <v>0.15</v>
      </c>
      <c r="Q23" s="100">
        <v>0</v>
      </c>
      <c r="R23" s="6"/>
      <c r="S23" s="6"/>
      <c r="T23" s="156"/>
      <c r="U23" s="6"/>
    </row>
    <row r="24" spans="1:21" customFormat="1">
      <c r="A24" s="201" t="s">
        <v>1504</v>
      </c>
      <c r="B24" s="100">
        <v>9.9</v>
      </c>
      <c r="C24" s="100">
        <v>7.21</v>
      </c>
      <c r="D24" s="100">
        <v>11.71</v>
      </c>
      <c r="E24" s="100">
        <v>5.77</v>
      </c>
      <c r="F24" s="100">
        <v>2</v>
      </c>
      <c r="G24" s="100">
        <v>7.98</v>
      </c>
      <c r="H24" s="100">
        <v>1.45</v>
      </c>
      <c r="I24" s="100">
        <v>4.17</v>
      </c>
      <c r="J24" s="100">
        <v>0.1</v>
      </c>
      <c r="K24" s="100">
        <v>133.76</v>
      </c>
      <c r="L24" s="100">
        <v>25.61</v>
      </c>
      <c r="M24" s="100">
        <v>74.099999999999994</v>
      </c>
      <c r="N24" s="100">
        <v>2.1</v>
      </c>
      <c r="O24" s="100">
        <v>0</v>
      </c>
      <c r="P24" s="100">
        <v>0.14000000000000001</v>
      </c>
      <c r="Q24" s="100">
        <v>0</v>
      </c>
      <c r="R24" s="6"/>
      <c r="S24" s="6"/>
      <c r="T24" s="156"/>
      <c r="U24" s="6"/>
    </row>
    <row r="25" spans="1:21" customFormat="1">
      <c r="A25" s="201" t="s">
        <v>1505</v>
      </c>
      <c r="B25" s="100">
        <v>9.93</v>
      </c>
      <c r="C25" s="100">
        <v>6.93</v>
      </c>
      <c r="D25" s="100">
        <v>11.58</v>
      </c>
      <c r="E25" s="100">
        <v>5.29</v>
      </c>
      <c r="F25" s="100">
        <v>2</v>
      </c>
      <c r="G25" s="100">
        <v>7.98</v>
      </c>
      <c r="H25" s="100">
        <v>1.45</v>
      </c>
      <c r="I25" s="100">
        <v>4.3499999999999996</v>
      </c>
      <c r="J25" s="100">
        <v>0.08</v>
      </c>
      <c r="K25" s="100">
        <v>113.44</v>
      </c>
      <c r="L25" s="100">
        <v>25.59</v>
      </c>
      <c r="M25" s="100">
        <v>74.599999999999994</v>
      </c>
      <c r="N25" s="100">
        <v>2.1</v>
      </c>
      <c r="O25" s="100">
        <v>0</v>
      </c>
      <c r="P25" s="100">
        <v>0.13</v>
      </c>
      <c r="Q25" s="100">
        <v>0</v>
      </c>
      <c r="R25" s="6"/>
      <c r="S25" s="6"/>
      <c r="T25" s="156"/>
      <c r="U25" s="6"/>
    </row>
    <row r="26" spans="1:21" customFormat="1">
      <c r="A26" s="201" t="s">
        <v>1506</v>
      </c>
      <c r="B26" s="100">
        <v>9.92</v>
      </c>
      <c r="C26" s="100">
        <v>7.38</v>
      </c>
      <c r="D26" s="100">
        <v>11.82</v>
      </c>
      <c r="E26" s="100">
        <v>5.15</v>
      </c>
      <c r="F26" s="100">
        <v>2.16</v>
      </c>
      <c r="G26" s="100">
        <v>7.98</v>
      </c>
      <c r="H26" s="100">
        <v>1.45</v>
      </c>
      <c r="I26" s="100">
        <v>4.34</v>
      </c>
      <c r="J26" s="100">
        <v>0.12</v>
      </c>
      <c r="K26" s="100">
        <v>107.9</v>
      </c>
      <c r="L26" s="100">
        <v>25.54</v>
      </c>
      <c r="M26" s="100">
        <v>76.209999999999994</v>
      </c>
      <c r="N26" s="100">
        <v>2</v>
      </c>
      <c r="O26" s="100">
        <v>0</v>
      </c>
      <c r="P26" s="100">
        <v>0.15</v>
      </c>
      <c r="Q26" s="100">
        <v>0</v>
      </c>
      <c r="R26" s="6"/>
      <c r="S26" s="6"/>
      <c r="T26" s="156"/>
      <c r="U26" s="6"/>
    </row>
    <row r="27" spans="1:21" customFormat="1">
      <c r="A27" s="201" t="s">
        <v>1507</v>
      </c>
      <c r="B27" s="100">
        <v>9.91</v>
      </c>
      <c r="C27" s="100">
        <v>7.86</v>
      </c>
      <c r="D27" s="100">
        <v>12.05</v>
      </c>
      <c r="E27" s="100">
        <v>5.41</v>
      </c>
      <c r="F27" s="100">
        <v>2</v>
      </c>
      <c r="G27" s="100">
        <v>6.75</v>
      </c>
      <c r="H27" s="100">
        <v>1.51</v>
      </c>
      <c r="I27" s="100">
        <v>4.12</v>
      </c>
      <c r="J27" s="100">
        <v>0.15</v>
      </c>
      <c r="K27" s="100">
        <v>110.32</v>
      </c>
      <c r="L27" s="100">
        <v>25.72</v>
      </c>
      <c r="M27" s="100">
        <v>76.260000000000005</v>
      </c>
      <c r="N27" s="100">
        <v>2</v>
      </c>
      <c r="O27" s="100">
        <v>0</v>
      </c>
      <c r="P27" s="100">
        <v>0.17</v>
      </c>
      <c r="Q27" s="100">
        <v>0</v>
      </c>
      <c r="R27" s="6"/>
      <c r="S27" s="6"/>
      <c r="T27" s="156"/>
      <c r="U27" s="6"/>
    </row>
    <row r="28" spans="1:21" customFormat="1">
      <c r="A28" s="201" t="s">
        <v>1508</v>
      </c>
      <c r="B28" s="100">
        <v>10.050000000000001</v>
      </c>
      <c r="C28" s="100">
        <v>7.83</v>
      </c>
      <c r="D28" s="100">
        <v>12.15</v>
      </c>
      <c r="E28" s="100">
        <v>5.73</v>
      </c>
      <c r="F28" s="100">
        <v>2</v>
      </c>
      <c r="G28" s="100">
        <v>6.45</v>
      </c>
      <c r="H28" s="100">
        <v>1.51</v>
      </c>
      <c r="I28" s="100">
        <v>4.3</v>
      </c>
      <c r="J28" s="100">
        <v>0.1</v>
      </c>
      <c r="K28" s="100">
        <v>129.46</v>
      </c>
      <c r="L28" s="100">
        <v>25.78</v>
      </c>
      <c r="M28" s="100">
        <v>76.36</v>
      </c>
      <c r="N28" s="100">
        <v>2</v>
      </c>
      <c r="O28" s="100">
        <v>0</v>
      </c>
      <c r="P28" s="100">
        <v>0.18</v>
      </c>
      <c r="Q28" s="100">
        <v>0</v>
      </c>
      <c r="R28" s="6"/>
      <c r="S28" s="6"/>
      <c r="T28" s="156"/>
      <c r="U28" s="6"/>
    </row>
    <row r="29" spans="1:21" customFormat="1">
      <c r="A29" s="201" t="s">
        <v>1509</v>
      </c>
      <c r="B29" s="100">
        <v>9.9600000000000009</v>
      </c>
      <c r="C29" s="100">
        <v>7.85</v>
      </c>
      <c r="D29" s="100">
        <v>12.09</v>
      </c>
      <c r="E29" s="100">
        <v>5.86</v>
      </c>
      <c r="F29" s="100">
        <v>2</v>
      </c>
      <c r="G29" s="100">
        <v>6.45</v>
      </c>
      <c r="H29" s="100">
        <v>1.51</v>
      </c>
      <c r="I29" s="100">
        <v>4.21</v>
      </c>
      <c r="J29" s="100">
        <v>0.12</v>
      </c>
      <c r="K29" s="100">
        <v>147.72999999999999</v>
      </c>
      <c r="L29" s="100">
        <v>25.73</v>
      </c>
      <c r="M29" s="100">
        <v>83.95</v>
      </c>
      <c r="N29" s="100">
        <v>2</v>
      </c>
      <c r="O29" s="100">
        <v>0</v>
      </c>
      <c r="P29" s="100">
        <v>0.18</v>
      </c>
      <c r="Q29" s="100">
        <v>0</v>
      </c>
      <c r="R29" s="6"/>
      <c r="S29" s="6"/>
      <c r="T29" s="156"/>
      <c r="U29" s="6"/>
    </row>
    <row r="30" spans="1:21" customFormat="1">
      <c r="A30" s="201" t="s">
        <v>1510</v>
      </c>
      <c r="B30" s="100">
        <v>9.75</v>
      </c>
      <c r="C30" s="100">
        <v>7.86</v>
      </c>
      <c r="D30" s="100">
        <v>11.93</v>
      </c>
      <c r="E30" s="100">
        <v>6.13</v>
      </c>
      <c r="F30" s="100">
        <v>2</v>
      </c>
      <c r="G30" s="100">
        <v>6.45</v>
      </c>
      <c r="H30" s="100">
        <v>1.51</v>
      </c>
      <c r="I30" s="100">
        <v>4.3099999999999996</v>
      </c>
      <c r="J30" s="100">
        <v>0.09</v>
      </c>
      <c r="K30" s="100">
        <v>164.27</v>
      </c>
      <c r="L30" s="100">
        <v>25.59</v>
      </c>
      <c r="M30" s="100">
        <v>84.19</v>
      </c>
      <c r="N30" s="100">
        <v>2.1</v>
      </c>
      <c r="O30" s="100">
        <v>0</v>
      </c>
      <c r="P30" s="100">
        <v>0.17</v>
      </c>
      <c r="Q30" s="100">
        <v>0</v>
      </c>
      <c r="R30" s="6"/>
      <c r="S30" s="6"/>
      <c r="T30" s="156"/>
      <c r="U30" s="6"/>
    </row>
    <row r="31" spans="1:21" customFormat="1">
      <c r="A31" s="201" t="s">
        <v>1511</v>
      </c>
      <c r="B31" s="100">
        <v>9.5500000000000007</v>
      </c>
      <c r="C31" s="100">
        <v>8.01</v>
      </c>
      <c r="D31" s="100">
        <v>11.84</v>
      </c>
      <c r="E31" s="100">
        <v>6.02</v>
      </c>
      <c r="F31" s="100">
        <v>2</v>
      </c>
      <c r="G31" s="100">
        <v>6.82</v>
      </c>
      <c r="H31" s="100">
        <v>1.1000000000000001</v>
      </c>
      <c r="I31" s="100">
        <v>4.3099999999999996</v>
      </c>
      <c r="J31" s="100">
        <v>0.08</v>
      </c>
      <c r="K31" s="100">
        <v>187.5</v>
      </c>
      <c r="L31" s="100">
        <v>25.52</v>
      </c>
      <c r="M31" s="100">
        <v>84.06</v>
      </c>
      <c r="N31" s="100">
        <v>2.4</v>
      </c>
      <c r="O31" s="100">
        <v>0</v>
      </c>
      <c r="P31" s="100">
        <v>0.18</v>
      </c>
      <c r="Q31" s="100">
        <v>0</v>
      </c>
      <c r="R31" s="6"/>
      <c r="S31" s="6"/>
      <c r="T31" s="156"/>
      <c r="U31" s="6"/>
    </row>
    <row r="32" spans="1:21" customFormat="1">
      <c r="A32" s="201" t="s">
        <v>1512</v>
      </c>
      <c r="B32" s="100">
        <v>9.4</v>
      </c>
      <c r="C32" s="100">
        <v>7.98</v>
      </c>
      <c r="D32" s="100">
        <v>11.71</v>
      </c>
      <c r="E32" s="100">
        <v>6.08</v>
      </c>
      <c r="F32" s="100">
        <v>2</v>
      </c>
      <c r="G32" s="100">
        <v>6.92</v>
      </c>
      <c r="H32" s="100">
        <v>1.1000000000000001</v>
      </c>
      <c r="I32" s="100">
        <v>4.51</v>
      </c>
      <c r="J32" s="100">
        <v>0.14000000000000001</v>
      </c>
      <c r="K32" s="100">
        <v>124.22</v>
      </c>
      <c r="L32" s="100">
        <v>25.56</v>
      </c>
      <c r="M32" s="100">
        <v>85.53</v>
      </c>
      <c r="N32" s="100">
        <v>5.2</v>
      </c>
      <c r="O32" s="100">
        <v>0</v>
      </c>
      <c r="P32" s="100">
        <v>0.17</v>
      </c>
      <c r="Q32" s="100">
        <v>0</v>
      </c>
      <c r="R32" s="6"/>
      <c r="S32" s="6"/>
      <c r="T32" s="156"/>
      <c r="U32" s="6"/>
    </row>
    <row r="33" spans="1:21" customFormat="1">
      <c r="A33" s="201" t="s">
        <v>1513</v>
      </c>
      <c r="B33" s="100">
        <v>9.27</v>
      </c>
      <c r="C33" s="100">
        <v>7.85</v>
      </c>
      <c r="D33" s="100">
        <v>11.54</v>
      </c>
      <c r="E33" s="100">
        <v>5.9</v>
      </c>
      <c r="F33" s="100">
        <v>2</v>
      </c>
      <c r="G33" s="100">
        <v>6.92</v>
      </c>
      <c r="H33" s="100">
        <v>1.1000000000000001</v>
      </c>
      <c r="I33" s="100">
        <v>4.5199999999999996</v>
      </c>
      <c r="J33" s="100">
        <v>0.14000000000000001</v>
      </c>
      <c r="K33" s="100">
        <v>100.64</v>
      </c>
      <c r="L33" s="100">
        <v>25.65</v>
      </c>
      <c r="M33" s="100">
        <v>83.19</v>
      </c>
      <c r="N33" s="100">
        <v>12.2</v>
      </c>
      <c r="O33" s="100">
        <v>0</v>
      </c>
      <c r="P33" s="100">
        <v>0.17</v>
      </c>
      <c r="Q33" s="100">
        <v>0</v>
      </c>
      <c r="R33" s="6"/>
      <c r="S33" s="6"/>
      <c r="T33" s="156"/>
      <c r="U33" s="6"/>
    </row>
    <row r="34" spans="1:21" customFormat="1">
      <c r="A34" s="201" t="s">
        <v>1514</v>
      </c>
      <c r="B34" s="100">
        <v>9.14</v>
      </c>
      <c r="C34" s="100">
        <v>7.74</v>
      </c>
      <c r="D34" s="100">
        <v>11.37</v>
      </c>
      <c r="E34" s="100">
        <v>5.87</v>
      </c>
      <c r="F34" s="100">
        <v>2</v>
      </c>
      <c r="G34" s="100">
        <v>6.92</v>
      </c>
      <c r="H34" s="100">
        <v>1.1000000000000001</v>
      </c>
      <c r="I34" s="100">
        <v>4.55</v>
      </c>
      <c r="J34" s="100">
        <v>0.21</v>
      </c>
      <c r="K34" s="100">
        <v>93.69</v>
      </c>
      <c r="L34" s="100">
        <v>25.76</v>
      </c>
      <c r="M34" s="100">
        <v>84.42</v>
      </c>
      <c r="N34" s="100">
        <v>20.9</v>
      </c>
      <c r="O34" s="100">
        <v>0</v>
      </c>
      <c r="P34" s="100">
        <v>0.17</v>
      </c>
      <c r="Q34" s="100">
        <v>0</v>
      </c>
      <c r="R34" s="6"/>
      <c r="S34" s="6"/>
      <c r="T34" s="156"/>
      <c r="U34" s="6"/>
    </row>
    <row r="35" spans="1:21" customFormat="1">
      <c r="A35" s="201" t="s">
        <v>1515</v>
      </c>
      <c r="B35" s="100">
        <v>9.1199999999999992</v>
      </c>
      <c r="C35" s="100">
        <v>7.73</v>
      </c>
      <c r="D35" s="100">
        <v>11.35</v>
      </c>
      <c r="E35" s="100">
        <v>6</v>
      </c>
      <c r="F35" s="100">
        <v>2</v>
      </c>
      <c r="G35" s="100">
        <v>6.46</v>
      </c>
      <c r="H35" s="100">
        <v>1.04</v>
      </c>
      <c r="I35" s="100">
        <v>4.53</v>
      </c>
      <c r="J35" s="100">
        <v>0.17</v>
      </c>
      <c r="K35" s="100">
        <v>125.16</v>
      </c>
      <c r="L35" s="100">
        <v>26.23</v>
      </c>
      <c r="M35" s="100">
        <v>88.33</v>
      </c>
      <c r="N35" s="100">
        <v>46.7</v>
      </c>
      <c r="O35" s="100">
        <v>0</v>
      </c>
      <c r="P35" s="100">
        <v>0.17</v>
      </c>
      <c r="Q35" s="100">
        <v>0</v>
      </c>
      <c r="R35" s="6"/>
      <c r="S35" s="6"/>
      <c r="T35" s="156"/>
      <c r="U35" s="6"/>
    </row>
    <row r="36" spans="1:21" customFormat="1">
      <c r="A36" s="201" t="s">
        <v>1516</v>
      </c>
      <c r="B36" s="100">
        <v>9.06</v>
      </c>
      <c r="C36" s="100">
        <v>7.65</v>
      </c>
      <c r="D36" s="100">
        <v>11.26</v>
      </c>
      <c r="E36" s="100">
        <v>6.13</v>
      </c>
      <c r="F36" s="100">
        <v>2</v>
      </c>
      <c r="G36" s="100">
        <v>6.42</v>
      </c>
      <c r="H36" s="100">
        <v>1.04</v>
      </c>
      <c r="I36" s="100">
        <v>4.4800000000000004</v>
      </c>
      <c r="J36" s="100">
        <v>0.17</v>
      </c>
      <c r="K36" s="100">
        <v>135.38</v>
      </c>
      <c r="L36" s="100">
        <v>26.54</v>
      </c>
      <c r="M36" s="100">
        <v>85.17</v>
      </c>
      <c r="N36" s="100">
        <v>53</v>
      </c>
      <c r="O36" s="100">
        <v>0</v>
      </c>
      <c r="P36" s="100">
        <v>0.17</v>
      </c>
      <c r="Q36" s="100">
        <v>0</v>
      </c>
      <c r="R36" s="6"/>
      <c r="S36" s="6"/>
      <c r="T36" s="156"/>
      <c r="U36" s="6"/>
    </row>
    <row r="37" spans="1:21" customFormat="1">
      <c r="A37" s="201" t="s">
        <v>1517</v>
      </c>
      <c r="B37" s="100">
        <v>8.89</v>
      </c>
      <c r="C37" s="100">
        <v>7.58</v>
      </c>
      <c r="D37" s="100">
        <v>11.09</v>
      </c>
      <c r="E37" s="100">
        <v>6.16</v>
      </c>
      <c r="F37" s="100">
        <v>2.02</v>
      </c>
      <c r="G37" s="100">
        <v>6.42</v>
      </c>
      <c r="H37" s="100">
        <v>1.04</v>
      </c>
      <c r="I37" s="100">
        <v>4.45</v>
      </c>
      <c r="J37" s="100">
        <v>0.26</v>
      </c>
      <c r="K37" s="100">
        <v>123.59</v>
      </c>
      <c r="L37" s="100">
        <v>26.73</v>
      </c>
      <c r="M37" s="100">
        <v>85.5</v>
      </c>
      <c r="N37" s="100">
        <v>57.2</v>
      </c>
      <c r="O37" s="100">
        <v>0</v>
      </c>
      <c r="P37" s="100">
        <v>0.18</v>
      </c>
      <c r="Q37" s="100">
        <v>0</v>
      </c>
      <c r="R37" s="6"/>
      <c r="S37" s="6"/>
      <c r="T37" s="156"/>
      <c r="U37" s="6"/>
    </row>
    <row r="38" spans="1:21" customFormat="1">
      <c r="A38" s="201" t="s">
        <v>1518</v>
      </c>
      <c r="B38" s="100">
        <v>8.7200000000000006</v>
      </c>
      <c r="C38" s="100">
        <v>7.52</v>
      </c>
      <c r="D38" s="100">
        <v>10.92</v>
      </c>
      <c r="E38" s="100">
        <v>6.01</v>
      </c>
      <c r="F38" s="100">
        <v>2</v>
      </c>
      <c r="G38" s="100">
        <v>6.42</v>
      </c>
      <c r="H38" s="100">
        <v>1.04</v>
      </c>
      <c r="I38" s="100">
        <v>4.4800000000000004</v>
      </c>
      <c r="J38" s="100">
        <v>0.21</v>
      </c>
      <c r="K38" s="100">
        <v>101.72</v>
      </c>
      <c r="L38" s="100">
        <v>26.79</v>
      </c>
      <c r="M38" s="100">
        <v>85.74</v>
      </c>
      <c r="N38" s="100">
        <v>60.7</v>
      </c>
      <c r="O38" s="100">
        <v>0</v>
      </c>
      <c r="P38" s="100">
        <v>0.16</v>
      </c>
      <c r="Q38" s="100">
        <v>0</v>
      </c>
      <c r="R38" s="6"/>
      <c r="S38" s="6"/>
      <c r="T38" s="156"/>
      <c r="U38" s="6"/>
    </row>
    <row r="39" spans="1:21" customFormat="1">
      <c r="A39" s="201" t="s">
        <v>1519</v>
      </c>
      <c r="B39" s="100">
        <v>8.48</v>
      </c>
      <c r="C39" s="100">
        <v>7.56</v>
      </c>
      <c r="D39" s="100">
        <v>10.75</v>
      </c>
      <c r="E39" s="100">
        <v>6.13</v>
      </c>
      <c r="F39" s="100">
        <v>2</v>
      </c>
      <c r="G39" s="100">
        <v>4.93</v>
      </c>
      <c r="H39" s="100">
        <v>1.46</v>
      </c>
      <c r="I39" s="100">
        <v>4.4400000000000004</v>
      </c>
      <c r="J39" s="100">
        <v>0.26</v>
      </c>
      <c r="K39" s="100">
        <v>102.71</v>
      </c>
      <c r="L39" s="100">
        <v>26.99</v>
      </c>
      <c r="M39" s="100">
        <v>84.93</v>
      </c>
      <c r="N39" s="100">
        <v>74.400000000000006</v>
      </c>
      <c r="O39" s="100">
        <v>0</v>
      </c>
      <c r="P39" s="100">
        <v>0.16</v>
      </c>
      <c r="Q39" s="100">
        <v>0</v>
      </c>
      <c r="R39" s="6"/>
      <c r="S39" s="6"/>
      <c r="T39" s="156"/>
      <c r="U39" s="6"/>
    </row>
    <row r="40" spans="1:21" customFormat="1">
      <c r="A40" s="201" t="s">
        <v>1520</v>
      </c>
      <c r="B40" s="100">
        <v>8.35</v>
      </c>
      <c r="C40" s="100">
        <v>7.53</v>
      </c>
      <c r="D40" s="100">
        <v>10.63</v>
      </c>
      <c r="E40" s="100">
        <v>5.94</v>
      </c>
      <c r="F40" s="100">
        <v>2</v>
      </c>
      <c r="G40" s="100">
        <v>4.53</v>
      </c>
      <c r="H40" s="100">
        <v>1.46</v>
      </c>
      <c r="I40" s="100">
        <v>4.3499999999999996</v>
      </c>
      <c r="J40" s="100">
        <v>0.2</v>
      </c>
      <c r="K40" s="100">
        <v>116.23</v>
      </c>
      <c r="L40" s="100">
        <v>27.28</v>
      </c>
      <c r="M40" s="100">
        <v>84.67</v>
      </c>
      <c r="N40" s="100">
        <v>79.5</v>
      </c>
      <c r="O40" s="100">
        <v>0</v>
      </c>
      <c r="P40" s="100">
        <v>0.16</v>
      </c>
      <c r="Q40" s="100">
        <v>0</v>
      </c>
      <c r="R40" s="6"/>
      <c r="S40" s="6"/>
      <c r="T40" s="156"/>
      <c r="U40" s="6"/>
    </row>
    <row r="41" spans="1:21" customFormat="1">
      <c r="A41" s="201" t="s">
        <v>1521</v>
      </c>
      <c r="B41" s="100">
        <v>8.18</v>
      </c>
      <c r="C41" s="100">
        <v>7.52</v>
      </c>
      <c r="D41" s="100">
        <v>10.49</v>
      </c>
      <c r="E41" s="100">
        <v>6.28</v>
      </c>
      <c r="F41" s="100">
        <v>2</v>
      </c>
      <c r="G41" s="100">
        <v>4.53</v>
      </c>
      <c r="H41" s="100">
        <v>1.46</v>
      </c>
      <c r="I41" s="100">
        <v>4.26</v>
      </c>
      <c r="J41" s="100">
        <v>0.24</v>
      </c>
      <c r="K41" s="100">
        <v>157.6</v>
      </c>
      <c r="L41" s="100">
        <v>27.42</v>
      </c>
      <c r="M41" s="100">
        <v>84.09</v>
      </c>
      <c r="N41" s="100">
        <v>122.6</v>
      </c>
      <c r="O41" s="100">
        <v>0</v>
      </c>
      <c r="P41" s="100">
        <v>0.16</v>
      </c>
      <c r="Q41" s="100">
        <v>0</v>
      </c>
      <c r="R41" s="6"/>
      <c r="S41" s="6"/>
      <c r="T41" s="156"/>
      <c r="U41" s="6"/>
    </row>
    <row r="42" spans="1:21" customFormat="1">
      <c r="A42" s="201" t="s">
        <v>1522</v>
      </c>
      <c r="B42" s="100">
        <v>7.98</v>
      </c>
      <c r="C42" s="100">
        <v>7.62</v>
      </c>
      <c r="D42" s="100">
        <v>10.38</v>
      </c>
      <c r="E42" s="100">
        <v>5.99</v>
      </c>
      <c r="F42" s="100">
        <v>2</v>
      </c>
      <c r="G42" s="100">
        <v>4.53</v>
      </c>
      <c r="H42" s="100">
        <v>1.46</v>
      </c>
      <c r="I42" s="100">
        <v>4.1100000000000003</v>
      </c>
      <c r="J42" s="100">
        <v>0.25</v>
      </c>
      <c r="K42" s="100">
        <v>146.04</v>
      </c>
      <c r="L42" s="100">
        <v>28.92</v>
      </c>
      <c r="M42" s="100">
        <v>80.319999999999993</v>
      </c>
      <c r="N42" s="100">
        <v>373.1</v>
      </c>
      <c r="O42" s="100">
        <v>0</v>
      </c>
      <c r="P42" s="100">
        <v>0.16</v>
      </c>
      <c r="Q42" s="100">
        <v>0</v>
      </c>
      <c r="R42" s="6"/>
      <c r="S42" s="6"/>
      <c r="T42" s="156"/>
      <c r="U42" s="6"/>
    </row>
    <row r="43" spans="1:21" customFormat="1">
      <c r="A43" s="201" t="s">
        <v>1523</v>
      </c>
      <c r="B43" s="100">
        <v>7.82</v>
      </c>
      <c r="C43" s="100">
        <v>7.7</v>
      </c>
      <c r="D43" s="100">
        <v>10.29</v>
      </c>
      <c r="E43" s="100">
        <v>6.23</v>
      </c>
      <c r="F43" s="100">
        <v>2</v>
      </c>
      <c r="G43" s="100">
        <v>4.5599999999999996</v>
      </c>
      <c r="H43" s="100">
        <v>1.1399999999999999</v>
      </c>
      <c r="I43" s="100">
        <v>4.0999999999999996</v>
      </c>
      <c r="J43" s="100">
        <v>0.3</v>
      </c>
      <c r="K43" s="100">
        <v>138.84</v>
      </c>
      <c r="L43" s="100">
        <v>29.97</v>
      </c>
      <c r="M43" s="100">
        <v>74.19</v>
      </c>
      <c r="N43" s="100">
        <v>338.9</v>
      </c>
      <c r="O43" s="100">
        <v>0</v>
      </c>
      <c r="P43" s="100">
        <v>0.16</v>
      </c>
      <c r="Q43" s="100">
        <v>0</v>
      </c>
      <c r="R43" s="6"/>
      <c r="S43" s="6"/>
      <c r="T43" s="156"/>
      <c r="U43" s="6"/>
    </row>
    <row r="44" spans="1:21" customFormat="1">
      <c r="A44" s="201" t="s">
        <v>1524</v>
      </c>
      <c r="B44" s="100">
        <v>7.7</v>
      </c>
      <c r="C44" s="100">
        <v>7.71</v>
      </c>
      <c r="D44" s="100">
        <v>10.199999999999999</v>
      </c>
      <c r="E44" s="100">
        <v>6.12</v>
      </c>
      <c r="F44" s="100">
        <v>2</v>
      </c>
      <c r="G44" s="100">
        <v>4.57</v>
      </c>
      <c r="H44" s="100">
        <v>1.1399999999999999</v>
      </c>
      <c r="I44" s="100">
        <v>4.04</v>
      </c>
      <c r="J44" s="100">
        <v>0.2</v>
      </c>
      <c r="K44" s="100">
        <v>82.62</v>
      </c>
      <c r="L44" s="100">
        <v>29.83</v>
      </c>
      <c r="M44" s="100">
        <v>76.03</v>
      </c>
      <c r="N44" s="100">
        <v>217.8</v>
      </c>
      <c r="O44" s="100">
        <v>0</v>
      </c>
      <c r="P44" s="100">
        <v>0.16</v>
      </c>
      <c r="Q44" s="100">
        <v>0</v>
      </c>
      <c r="R44" s="6"/>
      <c r="S44" s="6"/>
      <c r="T44" s="156"/>
      <c r="U44" s="6"/>
    </row>
    <row r="45" spans="1:21" customFormat="1">
      <c r="A45" s="201" t="s">
        <v>1525</v>
      </c>
      <c r="B45" s="100">
        <v>7.46</v>
      </c>
      <c r="C45" s="100">
        <v>7.81</v>
      </c>
      <c r="D45" s="100">
        <v>10.07</v>
      </c>
      <c r="E45" s="100">
        <v>6.14</v>
      </c>
      <c r="F45" s="100">
        <v>2.0099999999999998</v>
      </c>
      <c r="G45" s="100">
        <v>4.57</v>
      </c>
      <c r="H45" s="100">
        <v>1.1399999999999999</v>
      </c>
      <c r="I45" s="100">
        <v>4</v>
      </c>
      <c r="J45" s="100">
        <v>0.33</v>
      </c>
      <c r="K45" s="100">
        <v>147.33000000000001</v>
      </c>
      <c r="L45" s="100">
        <v>30.18</v>
      </c>
      <c r="M45" s="100">
        <v>73.89</v>
      </c>
      <c r="N45" s="100">
        <v>358.2</v>
      </c>
      <c r="O45" s="100">
        <v>0</v>
      </c>
      <c r="P45" s="100">
        <v>0.16</v>
      </c>
      <c r="Q45" s="100">
        <v>0</v>
      </c>
      <c r="R45" s="6"/>
      <c r="S45" s="6"/>
      <c r="T45" s="156"/>
      <c r="U45" s="6"/>
    </row>
    <row r="46" spans="1:21" customFormat="1">
      <c r="A46" s="201" t="s">
        <v>1526</v>
      </c>
      <c r="B46" s="100">
        <v>7.23</v>
      </c>
      <c r="C46" s="100">
        <v>7.79</v>
      </c>
      <c r="D46" s="100">
        <v>9.8699999999999992</v>
      </c>
      <c r="E46" s="100">
        <v>5.91</v>
      </c>
      <c r="F46" s="100">
        <v>2.0099999999999998</v>
      </c>
      <c r="G46" s="100">
        <v>4.57</v>
      </c>
      <c r="H46" s="100">
        <v>1.1399999999999999</v>
      </c>
      <c r="I46" s="100">
        <v>4.01</v>
      </c>
      <c r="J46" s="100">
        <v>0.28999999999999998</v>
      </c>
      <c r="K46" s="100">
        <v>103.5</v>
      </c>
      <c r="L46" s="100">
        <v>30.71</v>
      </c>
      <c r="M46" s="100">
        <v>71.73</v>
      </c>
      <c r="N46" s="100">
        <v>509.6</v>
      </c>
      <c r="O46" s="100">
        <v>0</v>
      </c>
      <c r="P46" s="100">
        <v>0.15</v>
      </c>
      <c r="Q46" s="100">
        <v>0</v>
      </c>
      <c r="R46" s="6"/>
      <c r="S46" s="6"/>
      <c r="T46" s="156"/>
      <c r="U46" s="6"/>
    </row>
    <row r="47" spans="1:21" customFormat="1">
      <c r="A47" s="201" t="s">
        <v>1527</v>
      </c>
      <c r="B47" s="100">
        <v>7.08</v>
      </c>
      <c r="C47" s="100">
        <v>7.78</v>
      </c>
      <c r="D47" s="100">
        <v>9.74</v>
      </c>
      <c r="E47" s="100">
        <v>6</v>
      </c>
      <c r="F47" s="100">
        <v>2.0099999999999998</v>
      </c>
      <c r="G47" s="100">
        <v>4.24</v>
      </c>
      <c r="H47" s="100">
        <v>0.9</v>
      </c>
      <c r="I47" s="100">
        <v>3.97</v>
      </c>
      <c r="J47" s="100">
        <v>0.23</v>
      </c>
      <c r="K47" s="100">
        <v>158.01</v>
      </c>
      <c r="L47" s="100">
        <v>31.05</v>
      </c>
      <c r="M47" s="100">
        <v>71.03</v>
      </c>
      <c r="N47" s="100">
        <v>447.4</v>
      </c>
      <c r="O47" s="100">
        <v>0</v>
      </c>
      <c r="P47" s="100">
        <v>0.14000000000000001</v>
      </c>
      <c r="Q47" s="100">
        <v>0</v>
      </c>
      <c r="R47" s="6"/>
      <c r="S47" s="6"/>
      <c r="T47" s="156"/>
      <c r="U47" s="6"/>
    </row>
    <row r="48" spans="1:21" customFormat="1">
      <c r="A48" s="201" t="s">
        <v>1528</v>
      </c>
      <c r="B48" s="100">
        <v>7.06</v>
      </c>
      <c r="C48" s="100">
        <v>7.44</v>
      </c>
      <c r="D48" s="100">
        <v>9.5500000000000007</v>
      </c>
      <c r="E48" s="100">
        <v>5.7</v>
      </c>
      <c r="F48" s="100">
        <v>2</v>
      </c>
      <c r="G48" s="100">
        <v>4.16</v>
      </c>
      <c r="H48" s="100">
        <v>0.9</v>
      </c>
      <c r="I48" s="100">
        <v>3.89</v>
      </c>
      <c r="J48" s="100">
        <v>0.26</v>
      </c>
      <c r="K48" s="100">
        <v>90.31</v>
      </c>
      <c r="L48" s="100">
        <v>31.25</v>
      </c>
      <c r="M48" s="100">
        <v>70.709999999999994</v>
      </c>
      <c r="N48" s="100">
        <v>543.6</v>
      </c>
      <c r="O48" s="100">
        <v>0</v>
      </c>
      <c r="P48" s="100">
        <v>0.12</v>
      </c>
      <c r="Q48" s="100">
        <v>0</v>
      </c>
      <c r="R48" s="6"/>
      <c r="S48" s="6"/>
      <c r="T48" s="156"/>
      <c r="U48" s="6"/>
    </row>
    <row r="49" spans="1:21" customFormat="1">
      <c r="A49" s="201" t="s">
        <v>1529</v>
      </c>
      <c r="B49" s="100">
        <v>7.03</v>
      </c>
      <c r="C49" s="100">
        <v>7.41</v>
      </c>
      <c r="D49" s="100">
        <v>9.51</v>
      </c>
      <c r="E49" s="100">
        <v>5.14</v>
      </c>
      <c r="F49" s="100">
        <v>2.0299999999999998</v>
      </c>
      <c r="G49" s="100">
        <v>4.16</v>
      </c>
      <c r="H49" s="100">
        <v>0.9</v>
      </c>
      <c r="I49" s="100">
        <v>3.89</v>
      </c>
      <c r="J49" s="100">
        <v>0.15</v>
      </c>
      <c r="K49" s="100">
        <v>175.58</v>
      </c>
      <c r="L49" s="100">
        <v>31</v>
      </c>
      <c r="M49" s="100">
        <v>70.75</v>
      </c>
      <c r="N49" s="100">
        <v>392.7</v>
      </c>
      <c r="O49" s="100">
        <v>0</v>
      </c>
      <c r="P49" s="100">
        <v>0.12</v>
      </c>
      <c r="Q49" s="100">
        <v>0</v>
      </c>
      <c r="R49" s="6"/>
      <c r="S49" s="6"/>
      <c r="T49" s="156"/>
      <c r="U49" s="6"/>
    </row>
    <row r="50" spans="1:21" customFormat="1">
      <c r="A50" s="201" t="s">
        <v>1530</v>
      </c>
      <c r="B50" s="100">
        <v>7.01</v>
      </c>
      <c r="C50" s="100">
        <v>7.45</v>
      </c>
      <c r="D50" s="100">
        <v>9.51</v>
      </c>
      <c r="E50" s="100">
        <v>5.87</v>
      </c>
      <c r="F50" s="100">
        <v>2</v>
      </c>
      <c r="G50" s="100">
        <v>4.16</v>
      </c>
      <c r="H50" s="100">
        <v>0.9</v>
      </c>
      <c r="I50" s="100">
        <v>3.93</v>
      </c>
      <c r="J50" s="100">
        <v>0.22</v>
      </c>
      <c r="K50" s="100">
        <v>159.41</v>
      </c>
      <c r="L50" s="100">
        <v>30.77</v>
      </c>
      <c r="M50" s="100">
        <v>71.010000000000005</v>
      </c>
      <c r="N50" s="100">
        <v>311.60000000000002</v>
      </c>
      <c r="O50" s="100">
        <v>0</v>
      </c>
      <c r="P50" s="100">
        <v>0.11</v>
      </c>
      <c r="Q50" s="100">
        <v>0</v>
      </c>
      <c r="R50" s="6"/>
      <c r="S50" s="6"/>
      <c r="T50" s="156"/>
      <c r="U50" s="6"/>
    </row>
    <row r="51" spans="1:21" customFormat="1">
      <c r="A51" s="201" t="s">
        <v>1531</v>
      </c>
      <c r="B51" s="100">
        <v>6.94</v>
      </c>
      <c r="C51" s="100">
        <v>7.57</v>
      </c>
      <c r="D51" s="100">
        <v>9.52</v>
      </c>
      <c r="E51" s="100">
        <v>5.78</v>
      </c>
      <c r="F51" s="100">
        <v>2.5</v>
      </c>
      <c r="G51" s="100">
        <v>3.68</v>
      </c>
      <c r="H51" s="100">
        <v>0.71</v>
      </c>
      <c r="I51" s="100">
        <v>3.94</v>
      </c>
      <c r="J51" s="100">
        <v>0.1</v>
      </c>
      <c r="K51" s="100">
        <v>149.62</v>
      </c>
      <c r="L51" s="100">
        <v>31.19</v>
      </c>
      <c r="M51" s="100">
        <v>69.319999999999993</v>
      </c>
      <c r="N51" s="100">
        <v>394.4</v>
      </c>
      <c r="O51" s="100">
        <v>0</v>
      </c>
      <c r="P51" s="100">
        <v>0.11</v>
      </c>
      <c r="Q51" s="100">
        <v>0</v>
      </c>
      <c r="R51" s="6"/>
      <c r="S51" s="6"/>
      <c r="T51" s="156"/>
      <c r="U51" s="6"/>
    </row>
    <row r="52" spans="1:21" customFormat="1">
      <c r="A52" s="201" t="s">
        <v>1532</v>
      </c>
      <c r="B52" s="100">
        <v>6.86</v>
      </c>
      <c r="C52" s="100">
        <v>7.49</v>
      </c>
      <c r="D52" s="100">
        <v>9.42</v>
      </c>
      <c r="E52" s="100">
        <v>5.77</v>
      </c>
      <c r="F52" s="100">
        <v>2.58</v>
      </c>
      <c r="G52" s="100">
        <v>3.56</v>
      </c>
      <c r="H52" s="100">
        <v>0.71</v>
      </c>
      <c r="I52" s="100">
        <v>3.94</v>
      </c>
      <c r="J52" s="100">
        <v>0.36</v>
      </c>
      <c r="K52" s="100">
        <v>188.42</v>
      </c>
      <c r="L52" s="100">
        <v>31.28</v>
      </c>
      <c r="M52" s="100">
        <v>68.64</v>
      </c>
      <c r="N52" s="100">
        <v>630</v>
      </c>
      <c r="O52" s="100">
        <v>0</v>
      </c>
      <c r="P52" s="100">
        <v>0.1</v>
      </c>
      <c r="Q52" s="100">
        <v>0</v>
      </c>
      <c r="R52" s="6"/>
      <c r="S52" s="6"/>
      <c r="T52" s="156"/>
      <c r="U52" s="6"/>
    </row>
    <row r="53" spans="1:21" customFormat="1">
      <c r="A53" s="201" t="s">
        <v>1533</v>
      </c>
      <c r="B53" s="100">
        <v>6.64</v>
      </c>
      <c r="C53" s="100">
        <v>7.48</v>
      </c>
      <c r="D53" s="100">
        <v>9.23</v>
      </c>
      <c r="E53" s="100">
        <v>5.49</v>
      </c>
      <c r="F53" s="100">
        <v>2.76</v>
      </c>
      <c r="G53" s="100">
        <v>3.56</v>
      </c>
      <c r="H53" s="100">
        <v>0.71</v>
      </c>
      <c r="I53" s="100">
        <v>3.96</v>
      </c>
      <c r="J53" s="100">
        <v>0.3</v>
      </c>
      <c r="K53" s="100">
        <v>171.1</v>
      </c>
      <c r="L53" s="100">
        <v>31.69</v>
      </c>
      <c r="M53" s="100">
        <v>65.98</v>
      </c>
      <c r="N53" s="100">
        <v>299.60000000000002</v>
      </c>
      <c r="O53" s="100">
        <v>0</v>
      </c>
      <c r="P53" s="100">
        <v>0.1</v>
      </c>
      <c r="Q53" s="100">
        <v>0</v>
      </c>
      <c r="R53" s="6"/>
      <c r="S53" s="6"/>
      <c r="T53" s="156"/>
      <c r="U53" s="6"/>
    </row>
    <row r="54" spans="1:21" customFormat="1">
      <c r="A54" s="201" t="s">
        <v>1534</v>
      </c>
      <c r="B54" s="100">
        <v>6.49</v>
      </c>
      <c r="C54" s="100">
        <v>7.52</v>
      </c>
      <c r="D54" s="100">
        <v>9.1300000000000008</v>
      </c>
      <c r="E54" s="100">
        <v>5.78</v>
      </c>
      <c r="F54" s="100">
        <v>2.09</v>
      </c>
      <c r="G54" s="100">
        <v>3.56</v>
      </c>
      <c r="H54" s="100">
        <v>0.71</v>
      </c>
      <c r="I54" s="100">
        <v>3.92</v>
      </c>
      <c r="J54" s="100">
        <v>0.22</v>
      </c>
      <c r="K54" s="100">
        <v>175.25</v>
      </c>
      <c r="L54" s="100">
        <v>30.79</v>
      </c>
      <c r="M54" s="100">
        <v>70.099999999999994</v>
      </c>
      <c r="N54" s="100">
        <v>170</v>
      </c>
      <c r="O54" s="100">
        <v>0</v>
      </c>
      <c r="P54" s="100">
        <v>0.11</v>
      </c>
      <c r="Q54" s="100">
        <v>0</v>
      </c>
      <c r="R54" s="6"/>
      <c r="S54" s="6"/>
      <c r="T54" s="156"/>
      <c r="U54" s="6"/>
    </row>
    <row r="55" spans="1:21" customFormat="1">
      <c r="A55" s="201" t="s">
        <v>1535</v>
      </c>
      <c r="B55" s="100">
        <v>6.16</v>
      </c>
      <c r="C55" s="100">
        <v>7.47</v>
      </c>
      <c r="D55" s="100">
        <v>8.84</v>
      </c>
      <c r="E55" s="100">
        <v>5.47</v>
      </c>
      <c r="F55" s="100">
        <v>3.43</v>
      </c>
      <c r="G55" s="100">
        <v>3.84</v>
      </c>
      <c r="H55" s="100">
        <v>0.54</v>
      </c>
      <c r="I55" s="100">
        <v>3.94</v>
      </c>
      <c r="J55" s="100">
        <v>0.17</v>
      </c>
      <c r="K55" s="100">
        <v>173.56</v>
      </c>
      <c r="L55" s="100">
        <v>30.4</v>
      </c>
      <c r="M55" s="100">
        <v>71.72</v>
      </c>
      <c r="N55" s="100">
        <v>169.9</v>
      </c>
      <c r="O55" s="100">
        <v>0</v>
      </c>
      <c r="P55" s="100">
        <v>0.1</v>
      </c>
      <c r="Q55" s="100">
        <v>0</v>
      </c>
      <c r="R55" s="6"/>
      <c r="S55" s="6"/>
      <c r="T55" s="156"/>
      <c r="U55" s="6"/>
    </row>
    <row r="56" spans="1:21" customFormat="1">
      <c r="A56" s="201" t="s">
        <v>1536</v>
      </c>
      <c r="B56" s="100">
        <v>6</v>
      </c>
      <c r="C56" s="100">
        <v>7.5</v>
      </c>
      <c r="D56" s="100">
        <v>8.73</v>
      </c>
      <c r="E56" s="100">
        <v>5.21</v>
      </c>
      <c r="F56" s="100">
        <v>3.42</v>
      </c>
      <c r="G56" s="100">
        <v>3.92</v>
      </c>
      <c r="H56" s="100">
        <v>0.54</v>
      </c>
      <c r="I56" s="100">
        <v>3.93</v>
      </c>
      <c r="J56" s="100">
        <v>0.22</v>
      </c>
      <c r="K56" s="100">
        <v>162.69</v>
      </c>
      <c r="L56" s="100">
        <v>31.29</v>
      </c>
      <c r="M56" s="100">
        <v>66.28</v>
      </c>
      <c r="N56" s="100">
        <v>676</v>
      </c>
      <c r="O56" s="100">
        <v>0</v>
      </c>
      <c r="P56" s="100">
        <v>0.1</v>
      </c>
      <c r="Q56" s="100">
        <v>0</v>
      </c>
      <c r="R56" s="6"/>
      <c r="S56" s="6"/>
      <c r="T56" s="156"/>
      <c r="U56" s="6"/>
    </row>
    <row r="57" spans="1:21" customFormat="1">
      <c r="A57" s="201" t="s">
        <v>1537</v>
      </c>
      <c r="B57" s="100">
        <v>5.95</v>
      </c>
      <c r="C57" s="100">
        <v>7.59</v>
      </c>
      <c r="D57" s="100">
        <v>8.73</v>
      </c>
      <c r="E57" s="100">
        <v>5.35</v>
      </c>
      <c r="F57" s="100">
        <v>2.8</v>
      </c>
      <c r="G57" s="100">
        <v>3.92</v>
      </c>
      <c r="H57" s="100">
        <v>0.54</v>
      </c>
      <c r="I57" s="100">
        <v>3.85</v>
      </c>
      <c r="J57" s="100">
        <v>0.24</v>
      </c>
      <c r="K57" s="100">
        <v>169.95</v>
      </c>
      <c r="L57" s="100">
        <v>31.78</v>
      </c>
      <c r="M57" s="100">
        <v>65.91</v>
      </c>
      <c r="N57" s="100">
        <v>436</v>
      </c>
      <c r="O57" s="100">
        <v>0</v>
      </c>
      <c r="P57" s="100">
        <v>0.09</v>
      </c>
      <c r="Q57" s="100">
        <v>0</v>
      </c>
      <c r="R57" s="6"/>
      <c r="S57" s="6"/>
      <c r="T57" s="156"/>
      <c r="U57" s="6"/>
    </row>
    <row r="58" spans="1:21" customFormat="1">
      <c r="A58" s="201" t="s">
        <v>1538</v>
      </c>
      <c r="B58" s="100">
        <v>5.7</v>
      </c>
      <c r="C58" s="100">
        <v>7.55</v>
      </c>
      <c r="D58" s="100">
        <v>8.51</v>
      </c>
      <c r="E58" s="100">
        <v>4.99</v>
      </c>
      <c r="F58" s="100">
        <v>3.35</v>
      </c>
      <c r="G58" s="100">
        <v>3.92</v>
      </c>
      <c r="H58" s="100">
        <v>0.54</v>
      </c>
      <c r="I58" s="100">
        <v>3.69</v>
      </c>
      <c r="J58" s="100">
        <v>0.37</v>
      </c>
      <c r="K58" s="100">
        <v>183.23</v>
      </c>
      <c r="L58" s="100">
        <v>32.619999999999997</v>
      </c>
      <c r="M58" s="100">
        <v>63.25</v>
      </c>
      <c r="N58" s="100">
        <v>863.4</v>
      </c>
      <c r="O58" s="100">
        <v>0</v>
      </c>
      <c r="P58" s="100">
        <v>0.09</v>
      </c>
      <c r="Q58" s="100">
        <v>0</v>
      </c>
      <c r="R58" s="6"/>
      <c r="S58" s="6"/>
      <c r="T58" s="156"/>
      <c r="U58" s="6"/>
    </row>
    <row r="59" spans="1:21" customFormat="1">
      <c r="A59" s="201" t="s">
        <v>1539</v>
      </c>
      <c r="B59" s="100">
        <v>5.4</v>
      </c>
      <c r="C59" s="100">
        <v>7.61</v>
      </c>
      <c r="D59" s="100">
        <v>8.3000000000000007</v>
      </c>
      <c r="E59" s="100">
        <v>4.8</v>
      </c>
      <c r="F59" s="100">
        <v>6.09</v>
      </c>
      <c r="G59" s="100">
        <v>4.13</v>
      </c>
      <c r="H59" s="100">
        <v>0.67</v>
      </c>
      <c r="I59" s="100">
        <v>3.72</v>
      </c>
      <c r="J59" s="100">
        <v>0.22</v>
      </c>
      <c r="K59" s="100">
        <v>159.06</v>
      </c>
      <c r="L59" s="100">
        <v>33.14</v>
      </c>
      <c r="M59" s="100">
        <v>59.5</v>
      </c>
      <c r="N59" s="100">
        <v>689.1</v>
      </c>
      <c r="O59" s="100">
        <v>0</v>
      </c>
      <c r="P59" s="100">
        <v>0.1</v>
      </c>
      <c r="Q59" s="100">
        <v>0</v>
      </c>
      <c r="R59" s="6"/>
      <c r="S59" s="6"/>
      <c r="T59" s="156"/>
      <c r="U59" s="6"/>
    </row>
    <row r="60" spans="1:21" customFormat="1">
      <c r="A60" s="201" t="s">
        <v>1540</v>
      </c>
      <c r="B60" s="100">
        <v>5.52</v>
      </c>
      <c r="C60" s="100">
        <v>7.55</v>
      </c>
      <c r="D60" s="100">
        <v>8.3699999999999992</v>
      </c>
      <c r="E60" s="100">
        <v>5.26</v>
      </c>
      <c r="F60" s="100">
        <v>2.7</v>
      </c>
      <c r="G60" s="100">
        <v>4.18</v>
      </c>
      <c r="H60" s="100">
        <v>0.67</v>
      </c>
      <c r="I60" s="100">
        <v>3.66</v>
      </c>
      <c r="J60" s="100">
        <v>0.56999999999999995</v>
      </c>
      <c r="K60" s="100">
        <v>203.55</v>
      </c>
      <c r="L60" s="100">
        <v>32.71</v>
      </c>
      <c r="M60" s="100">
        <v>62.83</v>
      </c>
      <c r="N60" s="100">
        <v>549.5</v>
      </c>
      <c r="O60" s="100">
        <v>0</v>
      </c>
      <c r="P60" s="100">
        <v>0.09</v>
      </c>
      <c r="Q60" s="100">
        <v>0</v>
      </c>
      <c r="R60" s="6"/>
      <c r="S60" s="6"/>
      <c r="T60" s="156"/>
      <c r="U60" s="6"/>
    </row>
    <row r="61" spans="1:21" customFormat="1">
      <c r="A61" s="201" t="s">
        <v>1541</v>
      </c>
      <c r="B61" s="100">
        <v>5.37</v>
      </c>
      <c r="C61" s="100">
        <v>7.53</v>
      </c>
      <c r="D61" s="100">
        <v>8.24</v>
      </c>
      <c r="E61" s="100">
        <v>4.91</v>
      </c>
      <c r="F61" s="100">
        <v>2.96</v>
      </c>
      <c r="G61" s="100">
        <v>4.18</v>
      </c>
      <c r="H61" s="100">
        <v>0.67</v>
      </c>
      <c r="I61" s="100">
        <v>3.57</v>
      </c>
      <c r="J61" s="100">
        <v>0.37</v>
      </c>
      <c r="K61" s="100">
        <v>200.11</v>
      </c>
      <c r="L61" s="100">
        <v>32.29</v>
      </c>
      <c r="M61" s="100">
        <v>63.66</v>
      </c>
      <c r="N61" s="100">
        <v>181.1</v>
      </c>
      <c r="O61" s="100">
        <v>0</v>
      </c>
      <c r="P61" s="100">
        <v>0.1</v>
      </c>
      <c r="Q61" s="100">
        <v>0</v>
      </c>
      <c r="R61" s="6"/>
      <c r="S61" s="6"/>
      <c r="T61" s="156"/>
      <c r="U61" s="6"/>
    </row>
    <row r="62" spans="1:21" customFormat="1">
      <c r="A62" s="201" t="s">
        <v>1542</v>
      </c>
      <c r="B62" s="100">
        <v>5.18</v>
      </c>
      <c r="C62" s="100">
        <v>7.54</v>
      </c>
      <c r="D62" s="100">
        <v>8.1</v>
      </c>
      <c r="E62" s="100">
        <v>5.08</v>
      </c>
      <c r="F62" s="100">
        <v>2.9</v>
      </c>
      <c r="G62" s="100">
        <v>4.18</v>
      </c>
      <c r="H62" s="100">
        <v>0.67</v>
      </c>
      <c r="I62" s="100">
        <v>3.71</v>
      </c>
      <c r="J62" s="100">
        <v>0.27</v>
      </c>
      <c r="K62" s="100">
        <v>165.85</v>
      </c>
      <c r="L62" s="100">
        <v>32.630000000000003</v>
      </c>
      <c r="M62" s="100">
        <v>61.49</v>
      </c>
      <c r="N62" s="100">
        <v>416.2</v>
      </c>
      <c r="O62" s="100">
        <v>0</v>
      </c>
      <c r="P62" s="100">
        <v>0.09</v>
      </c>
      <c r="Q62" s="100">
        <v>0</v>
      </c>
      <c r="R62" s="6"/>
      <c r="S62" s="6"/>
      <c r="T62" s="156"/>
      <c r="U62" s="6"/>
    </row>
    <row r="63" spans="1:21" customFormat="1">
      <c r="A63" s="201" t="s">
        <v>1543</v>
      </c>
      <c r="B63" s="100">
        <v>5.0199999999999996</v>
      </c>
      <c r="C63" s="100">
        <v>7.49</v>
      </c>
      <c r="D63" s="100">
        <v>7.94</v>
      </c>
      <c r="E63" s="100">
        <v>4.68</v>
      </c>
      <c r="F63" s="100">
        <v>4.62</v>
      </c>
      <c r="G63" s="100">
        <v>3.22</v>
      </c>
      <c r="H63" s="100">
        <v>0.48</v>
      </c>
      <c r="I63" s="100">
        <v>3.73</v>
      </c>
      <c r="J63" s="100">
        <v>0.18</v>
      </c>
      <c r="K63" s="100">
        <v>161.78</v>
      </c>
      <c r="L63" s="100">
        <v>33.53</v>
      </c>
      <c r="M63" s="100">
        <v>57.27</v>
      </c>
      <c r="N63" s="100">
        <v>526.79999999999995</v>
      </c>
      <c r="O63" s="100">
        <v>0</v>
      </c>
      <c r="P63" s="100">
        <v>0.09</v>
      </c>
      <c r="Q63" s="100">
        <v>0</v>
      </c>
      <c r="R63" s="6"/>
      <c r="S63" s="6"/>
      <c r="T63" s="156"/>
      <c r="U63" s="6"/>
    </row>
    <row r="64" spans="1:21" customFormat="1">
      <c r="A64" s="201" t="s">
        <v>1544</v>
      </c>
      <c r="B64" s="100">
        <v>5.04</v>
      </c>
      <c r="C64" s="100">
        <v>7.61</v>
      </c>
      <c r="D64" s="100">
        <v>8.02</v>
      </c>
      <c r="E64" s="100">
        <v>4.66</v>
      </c>
      <c r="F64" s="100">
        <v>3</v>
      </c>
      <c r="G64" s="100">
        <v>2.97</v>
      </c>
      <c r="H64" s="100">
        <v>0.48</v>
      </c>
      <c r="I64" s="100">
        <v>3.62</v>
      </c>
      <c r="J64" s="100">
        <v>0.24</v>
      </c>
      <c r="K64" s="100">
        <v>166.09</v>
      </c>
      <c r="L64" s="100">
        <v>33.51</v>
      </c>
      <c r="M64" s="100">
        <v>57.92</v>
      </c>
      <c r="N64" s="100">
        <v>533.6</v>
      </c>
      <c r="O64" s="100">
        <v>0</v>
      </c>
      <c r="P64" s="100">
        <v>0.09</v>
      </c>
      <c r="Q64" s="100">
        <v>0</v>
      </c>
      <c r="R64" s="6"/>
      <c r="S64" s="6"/>
      <c r="T64" s="156"/>
      <c r="U64" s="6"/>
    </row>
    <row r="65" spans="1:21" customFormat="1">
      <c r="A65" s="201" t="s">
        <v>1545</v>
      </c>
      <c r="B65" s="100">
        <v>4.9800000000000004</v>
      </c>
      <c r="C65" s="100">
        <v>7.62</v>
      </c>
      <c r="D65" s="100">
        <v>7.97</v>
      </c>
      <c r="E65" s="100">
        <v>4.96</v>
      </c>
      <c r="F65" s="100">
        <v>2.19</v>
      </c>
      <c r="G65" s="100">
        <v>2.97</v>
      </c>
      <c r="H65" s="100">
        <v>0.48</v>
      </c>
      <c r="I65" s="100">
        <v>3.6</v>
      </c>
      <c r="J65" s="100">
        <v>0.23</v>
      </c>
      <c r="K65" s="100">
        <v>174.3</v>
      </c>
      <c r="L65" s="100">
        <v>33.92</v>
      </c>
      <c r="M65" s="100">
        <v>55.72</v>
      </c>
      <c r="N65" s="100">
        <v>675.4</v>
      </c>
      <c r="O65" s="100">
        <v>0</v>
      </c>
      <c r="P65" s="100">
        <v>0.13</v>
      </c>
      <c r="Q65" s="100">
        <v>0</v>
      </c>
      <c r="R65" s="6"/>
      <c r="S65" s="6"/>
      <c r="T65" s="156"/>
      <c r="U65" s="6"/>
    </row>
    <row r="66" spans="1:21" customFormat="1">
      <c r="A66" s="201" t="s">
        <v>1546</v>
      </c>
      <c r="B66" s="100">
        <v>4.84</v>
      </c>
      <c r="C66" s="100">
        <v>7.92</v>
      </c>
      <c r="D66" s="100">
        <v>8.02</v>
      </c>
      <c r="E66" s="100">
        <v>4.96</v>
      </c>
      <c r="F66" s="100">
        <v>2.17</v>
      </c>
      <c r="G66" s="100">
        <v>2.97</v>
      </c>
      <c r="H66" s="100">
        <v>0.48</v>
      </c>
      <c r="I66" s="100">
        <v>3.63</v>
      </c>
      <c r="J66" s="100">
        <v>0.43</v>
      </c>
      <c r="K66" s="100">
        <v>169.43</v>
      </c>
      <c r="L66" s="100">
        <v>34.1</v>
      </c>
      <c r="M66" s="100">
        <v>54.9</v>
      </c>
      <c r="N66" s="100">
        <v>292.10000000000002</v>
      </c>
      <c r="O66" s="100">
        <v>0</v>
      </c>
      <c r="P66" s="100">
        <v>0.17</v>
      </c>
      <c r="Q66" s="100">
        <v>0</v>
      </c>
      <c r="R66" s="6"/>
      <c r="S66" s="6"/>
      <c r="T66" s="156"/>
      <c r="U66" s="6"/>
    </row>
    <row r="67" spans="1:21" customFormat="1">
      <c r="A67" s="201" t="s">
        <v>1547</v>
      </c>
      <c r="B67" s="100">
        <v>4.58</v>
      </c>
      <c r="C67" s="100">
        <v>8.09</v>
      </c>
      <c r="D67" s="100">
        <v>7.9</v>
      </c>
      <c r="E67" s="100">
        <v>4.9400000000000004</v>
      </c>
      <c r="F67" s="100">
        <v>2.77</v>
      </c>
      <c r="G67" s="100">
        <v>2.2599999999999998</v>
      </c>
      <c r="H67" s="100">
        <v>0.38</v>
      </c>
      <c r="I67" s="100">
        <v>3.65</v>
      </c>
      <c r="J67" s="100">
        <v>0.28999999999999998</v>
      </c>
      <c r="K67" s="100">
        <v>154.63999999999999</v>
      </c>
      <c r="L67" s="100">
        <v>33.25</v>
      </c>
      <c r="M67" s="100">
        <v>61.03</v>
      </c>
      <c r="N67" s="100">
        <v>118.9</v>
      </c>
      <c r="O67" s="100">
        <v>0</v>
      </c>
      <c r="P67" s="100">
        <v>0.18</v>
      </c>
      <c r="Q67" s="100">
        <v>0</v>
      </c>
      <c r="R67" s="6"/>
      <c r="S67" s="6"/>
      <c r="T67" s="156"/>
      <c r="U67" s="6"/>
    </row>
    <row r="68" spans="1:21" customFormat="1">
      <c r="A68" s="201" t="s">
        <v>1548</v>
      </c>
      <c r="B68" s="100">
        <v>4.38</v>
      </c>
      <c r="C68" s="100">
        <v>8.18</v>
      </c>
      <c r="D68" s="100">
        <v>7.79</v>
      </c>
      <c r="E68" s="100">
        <v>5.2</v>
      </c>
      <c r="F68" s="100">
        <v>2.65</v>
      </c>
      <c r="G68" s="100">
        <v>2.08</v>
      </c>
      <c r="H68" s="100">
        <v>0.38</v>
      </c>
      <c r="I68" s="100">
        <v>3.53</v>
      </c>
      <c r="J68" s="100">
        <v>0.38</v>
      </c>
      <c r="K68" s="100">
        <v>162.57</v>
      </c>
      <c r="L68" s="100">
        <v>32.82</v>
      </c>
      <c r="M68" s="100">
        <v>62.5</v>
      </c>
      <c r="N68" s="100">
        <v>125.3</v>
      </c>
      <c r="O68" s="100">
        <v>0</v>
      </c>
      <c r="P68" s="100">
        <v>0.18</v>
      </c>
      <c r="Q68" s="100">
        <v>0</v>
      </c>
      <c r="R68" s="6"/>
      <c r="S68" s="6"/>
      <c r="T68" s="156"/>
      <c r="U68" s="6"/>
    </row>
    <row r="69" spans="1:21" customFormat="1">
      <c r="A69" s="201" t="s">
        <v>1549</v>
      </c>
      <c r="B69" s="100">
        <v>4.17</v>
      </c>
      <c r="C69" s="100">
        <v>8.32</v>
      </c>
      <c r="D69" s="100">
        <v>7.69</v>
      </c>
      <c r="E69" s="100">
        <v>5.68</v>
      </c>
      <c r="F69" s="100">
        <v>2.23</v>
      </c>
      <c r="G69" s="100">
        <v>2.08</v>
      </c>
      <c r="H69" s="100">
        <v>0.38</v>
      </c>
      <c r="I69" s="100">
        <v>3.41</v>
      </c>
      <c r="J69" s="100">
        <v>0.31</v>
      </c>
      <c r="K69" s="100">
        <v>70.150000000000006</v>
      </c>
      <c r="L69" s="100">
        <v>32.880000000000003</v>
      </c>
      <c r="M69" s="100">
        <v>61.26</v>
      </c>
      <c r="N69" s="100">
        <v>108.3</v>
      </c>
      <c r="O69" s="100">
        <v>0</v>
      </c>
      <c r="P69" s="100">
        <v>0.18</v>
      </c>
      <c r="Q69" s="100">
        <v>0</v>
      </c>
      <c r="R69" s="6"/>
      <c r="S69" s="6"/>
      <c r="T69" s="156"/>
      <c r="U69" s="6"/>
    </row>
    <row r="70" spans="1:21" customFormat="1">
      <c r="A70" s="201" t="s">
        <v>1550</v>
      </c>
      <c r="B70" s="100">
        <v>4.1100000000000003</v>
      </c>
      <c r="C70" s="100">
        <v>8.66</v>
      </c>
      <c r="D70" s="100">
        <v>7.82</v>
      </c>
      <c r="E70" s="100">
        <v>5.64</v>
      </c>
      <c r="F70" s="100">
        <v>2.17</v>
      </c>
      <c r="G70" s="100">
        <v>2.08</v>
      </c>
      <c r="H70" s="100">
        <v>0.38</v>
      </c>
      <c r="I70" s="100">
        <v>3.43</v>
      </c>
      <c r="J70" s="100">
        <v>0.25</v>
      </c>
      <c r="K70" s="100">
        <v>52.9</v>
      </c>
      <c r="L70" s="100">
        <v>32.19</v>
      </c>
      <c r="M70" s="100">
        <v>62.8</v>
      </c>
      <c r="N70" s="100">
        <v>147.69999999999999</v>
      </c>
      <c r="O70" s="100">
        <v>0</v>
      </c>
      <c r="P70" s="100">
        <v>0.18</v>
      </c>
      <c r="Q70" s="100">
        <v>0</v>
      </c>
      <c r="R70" s="6"/>
      <c r="S70" s="6"/>
      <c r="T70" s="156"/>
      <c r="U70" s="6"/>
    </row>
    <row r="71" spans="1:21" customFormat="1">
      <c r="A71" s="201" t="s">
        <v>1551</v>
      </c>
      <c r="B71" s="100">
        <v>4.21</v>
      </c>
      <c r="C71" s="100">
        <v>9.07</v>
      </c>
      <c r="D71" s="100">
        <v>8.1199999999999992</v>
      </c>
      <c r="E71" s="100">
        <v>5.57</v>
      </c>
      <c r="F71" s="100">
        <v>2.2999999999999998</v>
      </c>
      <c r="G71" s="100">
        <v>3.15</v>
      </c>
      <c r="H71" s="100">
        <v>0.67</v>
      </c>
      <c r="I71" s="100">
        <v>3.41</v>
      </c>
      <c r="J71" s="100">
        <v>0.26</v>
      </c>
      <c r="K71" s="100">
        <v>48.23</v>
      </c>
      <c r="L71" s="100">
        <v>31.82</v>
      </c>
      <c r="M71" s="100">
        <v>64.319999999999993</v>
      </c>
      <c r="N71" s="100">
        <v>58.1</v>
      </c>
      <c r="O71" s="100">
        <v>0</v>
      </c>
      <c r="P71" s="100">
        <v>0.2</v>
      </c>
      <c r="Q71" s="100">
        <v>0</v>
      </c>
      <c r="R71" s="6"/>
      <c r="S71" s="6"/>
      <c r="T71" s="156"/>
      <c r="U71" s="6"/>
    </row>
    <row r="72" spans="1:21" customFormat="1">
      <c r="A72" s="201" t="s">
        <v>1552</v>
      </c>
      <c r="B72" s="100">
        <v>4.2</v>
      </c>
      <c r="C72" s="100">
        <v>9.23</v>
      </c>
      <c r="D72" s="100">
        <v>8.19</v>
      </c>
      <c r="E72" s="100">
        <v>5.63</v>
      </c>
      <c r="F72" s="100">
        <v>2.5</v>
      </c>
      <c r="G72" s="100">
        <v>3.42</v>
      </c>
      <c r="H72" s="100">
        <v>0.67</v>
      </c>
      <c r="I72" s="100">
        <v>3.42</v>
      </c>
      <c r="J72" s="100">
        <v>0.17</v>
      </c>
      <c r="K72" s="100">
        <v>133.58000000000001</v>
      </c>
      <c r="L72" s="100">
        <v>31.57</v>
      </c>
      <c r="M72" s="100">
        <v>66.47</v>
      </c>
      <c r="N72" s="100">
        <v>48</v>
      </c>
      <c r="O72" s="100">
        <v>0</v>
      </c>
      <c r="P72" s="100">
        <v>0.19</v>
      </c>
      <c r="Q72" s="100">
        <v>0</v>
      </c>
      <c r="R72" s="6"/>
      <c r="S72" s="6"/>
      <c r="T72" s="156"/>
      <c r="U72" s="6"/>
    </row>
    <row r="73" spans="1:21" customFormat="1">
      <c r="A73" s="201" t="s">
        <v>1553</v>
      </c>
      <c r="B73" s="100">
        <v>4.12</v>
      </c>
      <c r="C73" s="100">
        <v>8.94</v>
      </c>
      <c r="D73" s="100">
        <v>7.98</v>
      </c>
      <c r="E73" s="100">
        <v>5.46</v>
      </c>
      <c r="F73" s="100">
        <v>2.4300000000000002</v>
      </c>
      <c r="G73" s="100">
        <v>3.42</v>
      </c>
      <c r="H73" s="100">
        <v>0.67</v>
      </c>
      <c r="I73" s="100">
        <v>3.52</v>
      </c>
      <c r="J73" s="100">
        <v>0.26</v>
      </c>
      <c r="K73" s="100">
        <v>59.32</v>
      </c>
      <c r="L73" s="100">
        <v>31.22</v>
      </c>
      <c r="M73" s="100">
        <v>66.510000000000005</v>
      </c>
      <c r="N73" s="100">
        <v>49.3</v>
      </c>
      <c r="O73" s="100">
        <v>0</v>
      </c>
      <c r="P73" s="100">
        <v>0.2</v>
      </c>
      <c r="Q73" s="100">
        <v>0</v>
      </c>
      <c r="R73" s="6"/>
      <c r="S73" s="6"/>
      <c r="T73" s="156"/>
      <c r="U73" s="6"/>
    </row>
    <row r="74" spans="1:21" customFormat="1">
      <c r="A74" s="201" t="s">
        <v>1554</v>
      </c>
      <c r="B74" s="100">
        <v>4.2</v>
      </c>
      <c r="C74" s="100">
        <v>9.2200000000000006</v>
      </c>
      <c r="D74" s="100">
        <v>8.19</v>
      </c>
      <c r="E74" s="100">
        <v>5.76</v>
      </c>
      <c r="F74" s="100">
        <v>5.36</v>
      </c>
      <c r="G74" s="100">
        <v>3.42</v>
      </c>
      <c r="H74" s="100">
        <v>0.67</v>
      </c>
      <c r="I74" s="100">
        <v>3.54</v>
      </c>
      <c r="J74" s="100">
        <v>0.22</v>
      </c>
      <c r="K74" s="100">
        <v>73.739999999999995</v>
      </c>
      <c r="L74" s="100">
        <v>31.62</v>
      </c>
      <c r="M74" s="100">
        <v>63.9</v>
      </c>
      <c r="N74" s="100">
        <v>39.299999999999997</v>
      </c>
      <c r="O74" s="100">
        <v>0</v>
      </c>
      <c r="P74" s="100">
        <v>0.21</v>
      </c>
      <c r="Q74" s="100">
        <v>0</v>
      </c>
      <c r="R74" s="6"/>
      <c r="S74" s="6"/>
      <c r="T74" s="156"/>
      <c r="U74" s="6"/>
    </row>
    <row r="75" spans="1:21" customFormat="1">
      <c r="A75" s="201" t="s">
        <v>1555</v>
      </c>
      <c r="B75" s="100">
        <v>3.94</v>
      </c>
      <c r="C75" s="100">
        <v>9</v>
      </c>
      <c r="D75" s="100">
        <v>7.86</v>
      </c>
      <c r="E75" s="100">
        <v>6.09</v>
      </c>
      <c r="F75" s="100">
        <v>5.72</v>
      </c>
      <c r="G75" s="100">
        <v>4.4000000000000004</v>
      </c>
      <c r="H75" s="100">
        <v>0.74</v>
      </c>
      <c r="I75" s="100">
        <v>3.55</v>
      </c>
      <c r="J75" s="100">
        <v>0.28999999999999998</v>
      </c>
      <c r="K75" s="100">
        <v>160.01</v>
      </c>
      <c r="L75" s="100">
        <v>31.79</v>
      </c>
      <c r="M75" s="100">
        <v>64.430000000000007</v>
      </c>
      <c r="N75" s="100">
        <v>36.1</v>
      </c>
      <c r="O75" s="100">
        <v>0</v>
      </c>
      <c r="P75" s="100">
        <v>0.2</v>
      </c>
      <c r="Q75" s="100">
        <v>0</v>
      </c>
      <c r="R75" s="6"/>
      <c r="S75" s="6"/>
      <c r="T75" s="156"/>
      <c r="U75" s="6"/>
    </row>
    <row r="76" spans="1:21" customFormat="1">
      <c r="A76" s="201" t="s">
        <v>1556</v>
      </c>
      <c r="B76" s="100">
        <v>3.99</v>
      </c>
      <c r="C76" s="100">
        <v>8.6999999999999993</v>
      </c>
      <c r="D76" s="100">
        <v>7.75</v>
      </c>
      <c r="E76" s="100">
        <v>6.21</v>
      </c>
      <c r="F76" s="100">
        <v>2.41</v>
      </c>
      <c r="G76" s="100">
        <v>4.67</v>
      </c>
      <c r="H76" s="100">
        <v>0.74</v>
      </c>
      <c r="I76" s="100">
        <v>3.57</v>
      </c>
      <c r="J76" s="100">
        <v>0.24</v>
      </c>
      <c r="K76" s="100">
        <v>155.83000000000001</v>
      </c>
      <c r="L76" s="100">
        <v>31.52</v>
      </c>
      <c r="M76" s="100">
        <v>66.2</v>
      </c>
      <c r="N76" s="100">
        <v>33.200000000000003</v>
      </c>
      <c r="O76" s="100">
        <v>0</v>
      </c>
      <c r="P76" s="100">
        <v>0.2</v>
      </c>
      <c r="Q76" s="100">
        <v>0</v>
      </c>
      <c r="R76" s="6"/>
      <c r="S76" s="6"/>
      <c r="T76" s="156"/>
      <c r="U76" s="6"/>
    </row>
    <row r="77" spans="1:21" customFormat="1">
      <c r="A77" s="201" t="s">
        <v>1557</v>
      </c>
      <c r="B77" s="100">
        <v>3.94</v>
      </c>
      <c r="C77" s="100">
        <v>8.6999999999999993</v>
      </c>
      <c r="D77" s="100">
        <v>7.7</v>
      </c>
      <c r="E77" s="100">
        <v>5.9</v>
      </c>
      <c r="F77" s="100">
        <v>3.2</v>
      </c>
      <c r="G77" s="100">
        <v>4.67</v>
      </c>
      <c r="H77" s="100">
        <v>0.74</v>
      </c>
      <c r="I77" s="100">
        <v>3.56</v>
      </c>
      <c r="J77" s="100">
        <v>0.2</v>
      </c>
      <c r="K77" s="100">
        <v>89.6</v>
      </c>
      <c r="L77" s="100">
        <v>31.31</v>
      </c>
      <c r="M77" s="100">
        <v>65.91</v>
      </c>
      <c r="N77" s="100">
        <v>32.200000000000003</v>
      </c>
      <c r="O77" s="100">
        <v>0</v>
      </c>
      <c r="P77" s="100">
        <v>0.21</v>
      </c>
      <c r="Q77" s="100">
        <v>0</v>
      </c>
      <c r="R77" s="6"/>
      <c r="S77" s="6"/>
      <c r="T77" s="156"/>
      <c r="U77" s="6"/>
    </row>
    <row r="78" spans="1:21" customFormat="1">
      <c r="A78" s="201" t="s">
        <v>1558</v>
      </c>
      <c r="B78" s="100">
        <v>3.93</v>
      </c>
      <c r="C78" s="100">
        <v>8.66</v>
      </c>
      <c r="D78" s="100">
        <v>7.68</v>
      </c>
      <c r="E78" s="100">
        <v>6.06</v>
      </c>
      <c r="F78" s="100">
        <v>2.78</v>
      </c>
      <c r="G78" s="100">
        <v>4.67</v>
      </c>
      <c r="H78" s="100">
        <v>0.74</v>
      </c>
      <c r="I78" s="100">
        <v>3.54</v>
      </c>
      <c r="J78" s="100">
        <v>0.2</v>
      </c>
      <c r="K78" s="100">
        <v>156.41</v>
      </c>
      <c r="L78" s="100">
        <v>31.14</v>
      </c>
      <c r="M78" s="100">
        <v>68.400000000000006</v>
      </c>
      <c r="N78" s="100">
        <v>21.9</v>
      </c>
      <c r="O78" s="100">
        <v>0</v>
      </c>
      <c r="P78" s="100">
        <v>0.21</v>
      </c>
      <c r="Q78" s="100">
        <v>0</v>
      </c>
      <c r="R78" s="6"/>
      <c r="S78" s="6"/>
      <c r="T78" s="156"/>
      <c r="U78" s="6"/>
    </row>
    <row r="79" spans="1:21" customFormat="1">
      <c r="A79" s="201" t="s">
        <v>1559</v>
      </c>
      <c r="B79" s="100">
        <v>3.84</v>
      </c>
      <c r="C79" s="100">
        <v>8.5</v>
      </c>
      <c r="D79" s="100">
        <v>7.52</v>
      </c>
      <c r="E79" s="100">
        <v>5.96</v>
      </c>
      <c r="F79" s="100">
        <v>3.14</v>
      </c>
      <c r="G79" s="100">
        <v>4.78</v>
      </c>
      <c r="H79" s="100">
        <v>0.65</v>
      </c>
      <c r="I79" s="100">
        <v>3.46</v>
      </c>
      <c r="J79" s="100">
        <v>0.23</v>
      </c>
      <c r="K79" s="100">
        <v>158.38</v>
      </c>
      <c r="L79" s="100">
        <v>30.65</v>
      </c>
      <c r="M79" s="100">
        <v>70.53</v>
      </c>
      <c r="N79" s="100">
        <v>14.7</v>
      </c>
      <c r="O79" s="100">
        <v>0</v>
      </c>
      <c r="P79" s="100">
        <v>0.21</v>
      </c>
      <c r="Q79" s="100">
        <v>0</v>
      </c>
      <c r="R79" s="6"/>
      <c r="S79" s="6"/>
      <c r="T79" s="156"/>
      <c r="U79" s="6"/>
    </row>
    <row r="80" spans="1:21" customFormat="1">
      <c r="A80" s="201" t="s">
        <v>1560</v>
      </c>
      <c r="B80" s="100">
        <v>3.82</v>
      </c>
      <c r="C80" s="100">
        <v>8.35</v>
      </c>
      <c r="D80" s="100">
        <v>7.43</v>
      </c>
      <c r="E80" s="100">
        <v>5.89</v>
      </c>
      <c r="F80" s="100">
        <v>2.79</v>
      </c>
      <c r="G80" s="100">
        <v>4.8099999999999996</v>
      </c>
      <c r="H80" s="100">
        <v>0.65</v>
      </c>
      <c r="I80" s="100">
        <v>3.44</v>
      </c>
      <c r="J80" s="100">
        <v>0.28999999999999998</v>
      </c>
      <c r="K80" s="100">
        <v>153.84</v>
      </c>
      <c r="L80" s="100">
        <v>30.31</v>
      </c>
      <c r="M80" s="100">
        <v>71.61</v>
      </c>
      <c r="N80" s="100">
        <v>8.5</v>
      </c>
      <c r="O80" s="100">
        <v>0</v>
      </c>
      <c r="P80" s="100">
        <v>0.2</v>
      </c>
      <c r="Q80" s="100">
        <v>0</v>
      </c>
      <c r="R80" s="6"/>
      <c r="S80" s="6"/>
      <c r="T80" s="156"/>
      <c r="U80" s="6"/>
    </row>
    <row r="81" spans="1:21" customFormat="1">
      <c r="A81" s="201" t="s">
        <v>1561</v>
      </c>
      <c r="B81" s="100">
        <v>3.84</v>
      </c>
      <c r="C81" s="100">
        <v>8.24</v>
      </c>
      <c r="D81" s="100">
        <v>7.39</v>
      </c>
      <c r="E81" s="100">
        <v>3.92</v>
      </c>
      <c r="F81" s="100">
        <v>2.39</v>
      </c>
      <c r="G81" s="100">
        <v>4.8099999999999996</v>
      </c>
      <c r="H81" s="100">
        <v>0.65</v>
      </c>
      <c r="I81" s="100">
        <v>3.42</v>
      </c>
      <c r="J81" s="100">
        <v>0.27</v>
      </c>
      <c r="K81" s="100">
        <v>160.63</v>
      </c>
      <c r="L81" s="100">
        <v>30.31</v>
      </c>
      <c r="M81" s="100">
        <v>70.37</v>
      </c>
      <c r="N81" s="100">
        <v>3.2</v>
      </c>
      <c r="O81" s="100">
        <v>0</v>
      </c>
      <c r="P81" s="100">
        <v>0.2</v>
      </c>
      <c r="Q81" s="100">
        <v>0</v>
      </c>
      <c r="R81" s="6"/>
      <c r="S81" s="6"/>
      <c r="T81" s="156"/>
      <c r="U81" s="6"/>
    </row>
    <row r="82" spans="1:21" customFormat="1">
      <c r="A82" s="201" t="s">
        <v>1562</v>
      </c>
      <c r="B82" s="100">
        <v>3.84</v>
      </c>
      <c r="C82" s="100">
        <v>8.1</v>
      </c>
      <c r="D82" s="100">
        <v>7.31</v>
      </c>
      <c r="E82" s="100">
        <v>4.76</v>
      </c>
      <c r="F82" s="100">
        <v>2.42</v>
      </c>
      <c r="G82" s="100">
        <v>4.8099999999999996</v>
      </c>
      <c r="H82" s="100">
        <v>0.65</v>
      </c>
      <c r="I82" s="100">
        <v>3.46</v>
      </c>
      <c r="J82" s="100">
        <v>0.2</v>
      </c>
      <c r="K82" s="100">
        <v>147.75</v>
      </c>
      <c r="L82" s="100">
        <v>29.88</v>
      </c>
      <c r="M82" s="100">
        <v>72.650000000000006</v>
      </c>
      <c r="N82" s="100">
        <v>2.4</v>
      </c>
      <c r="O82" s="100">
        <v>0</v>
      </c>
      <c r="P82" s="100">
        <v>0.21</v>
      </c>
      <c r="Q82" s="100">
        <v>0</v>
      </c>
      <c r="R82" s="6"/>
      <c r="S82" s="6"/>
      <c r="T82" s="156"/>
      <c r="U82" s="6"/>
    </row>
    <row r="83" spans="1:21" customFormat="1">
      <c r="A83" s="201" t="s">
        <v>1563</v>
      </c>
      <c r="B83" s="100">
        <v>3.69</v>
      </c>
      <c r="C83" s="100">
        <v>8.2899999999999991</v>
      </c>
      <c r="D83" s="100">
        <v>7.29</v>
      </c>
      <c r="E83" s="100">
        <v>4.67</v>
      </c>
      <c r="F83" s="100">
        <v>3.98</v>
      </c>
      <c r="G83" s="100">
        <v>6.38</v>
      </c>
      <c r="H83" s="100">
        <v>0.52</v>
      </c>
      <c r="I83" s="100">
        <v>3.44</v>
      </c>
      <c r="J83" s="100">
        <v>0.23</v>
      </c>
      <c r="K83" s="100">
        <v>162.27000000000001</v>
      </c>
      <c r="L83" s="100">
        <v>29.64</v>
      </c>
      <c r="M83" s="100">
        <v>73.290000000000006</v>
      </c>
      <c r="N83" s="100">
        <v>2.4</v>
      </c>
      <c r="O83" s="100">
        <v>0</v>
      </c>
      <c r="P83" s="100">
        <v>0.21</v>
      </c>
      <c r="Q83" s="100">
        <v>0</v>
      </c>
      <c r="R83" s="6"/>
      <c r="S83" s="6"/>
      <c r="T83" s="156"/>
      <c r="U83" s="6"/>
    </row>
    <row r="84" spans="1:21" customFormat="1">
      <c r="A84" s="201" t="s">
        <v>1564</v>
      </c>
      <c r="B84" s="100">
        <v>3.92</v>
      </c>
      <c r="C84" s="100">
        <v>8.14</v>
      </c>
      <c r="D84" s="100">
        <v>7.39</v>
      </c>
      <c r="E84" s="100">
        <v>5.27</v>
      </c>
      <c r="F84" s="100">
        <v>2.0099999999999998</v>
      </c>
      <c r="G84" s="100">
        <v>6.78</v>
      </c>
      <c r="H84" s="100">
        <v>0.52</v>
      </c>
      <c r="I84" s="100">
        <v>3.37</v>
      </c>
      <c r="J84" s="100">
        <v>0.16</v>
      </c>
      <c r="K84" s="100">
        <v>166.11</v>
      </c>
      <c r="L84" s="100">
        <v>29.11</v>
      </c>
      <c r="M84" s="100">
        <v>76.92</v>
      </c>
      <c r="N84" s="100">
        <v>2.4</v>
      </c>
      <c r="O84" s="100">
        <v>0</v>
      </c>
      <c r="P84" s="100">
        <v>0.21</v>
      </c>
      <c r="Q84" s="100">
        <v>0</v>
      </c>
      <c r="R84" s="6"/>
      <c r="S84" s="6"/>
      <c r="T84" s="156"/>
      <c r="U84" s="6"/>
    </row>
    <row r="85" spans="1:21" customFormat="1">
      <c r="A85" s="201" t="s">
        <v>1565</v>
      </c>
      <c r="B85" s="100">
        <v>4.01</v>
      </c>
      <c r="C85" s="100">
        <v>7.99</v>
      </c>
      <c r="D85" s="100">
        <v>7.39</v>
      </c>
      <c r="E85" s="100">
        <v>4.95</v>
      </c>
      <c r="F85" s="100">
        <v>2.02</v>
      </c>
      <c r="G85" s="100">
        <v>6.78</v>
      </c>
      <c r="H85" s="100">
        <v>0.52</v>
      </c>
      <c r="I85" s="100">
        <v>3.35</v>
      </c>
      <c r="J85" s="100">
        <v>0.25</v>
      </c>
      <c r="K85" s="100">
        <v>160.51</v>
      </c>
      <c r="L85" s="100">
        <v>29.09</v>
      </c>
      <c r="M85" s="100">
        <v>78.069999999999993</v>
      </c>
      <c r="N85" s="100">
        <v>2.1</v>
      </c>
      <c r="O85" s="100">
        <v>0</v>
      </c>
      <c r="P85" s="100">
        <v>0.21</v>
      </c>
      <c r="Q85" s="100">
        <v>0</v>
      </c>
      <c r="R85" s="6"/>
      <c r="S85" s="6"/>
      <c r="T85" s="156"/>
      <c r="U85" s="6"/>
    </row>
    <row r="86" spans="1:21" customFormat="1">
      <c r="A86" s="201" t="s">
        <v>1566</v>
      </c>
      <c r="B86" s="100">
        <v>4.0999999999999996</v>
      </c>
      <c r="C86" s="100">
        <v>8.06</v>
      </c>
      <c r="D86" s="100">
        <v>7.5</v>
      </c>
      <c r="E86" s="100">
        <v>5.31</v>
      </c>
      <c r="F86" s="100">
        <v>2.3199999999999998</v>
      </c>
      <c r="G86" s="100">
        <v>6.78</v>
      </c>
      <c r="H86" s="100">
        <v>0.52</v>
      </c>
      <c r="I86" s="100">
        <v>3.43</v>
      </c>
      <c r="J86" s="100">
        <v>0.19</v>
      </c>
      <c r="K86" s="100">
        <v>163.03</v>
      </c>
      <c r="L86" s="100">
        <v>28.86</v>
      </c>
      <c r="M86" s="100">
        <v>80.41</v>
      </c>
      <c r="N86" s="100">
        <v>2.2999999999999998</v>
      </c>
      <c r="O86" s="100">
        <v>0</v>
      </c>
      <c r="P86" s="100">
        <v>0.21</v>
      </c>
      <c r="Q86" s="100">
        <v>0</v>
      </c>
      <c r="R86" s="6"/>
      <c r="S86" s="6"/>
      <c r="T86" s="156"/>
      <c r="U86" s="6"/>
    </row>
    <row r="87" spans="1:21" customFormat="1">
      <c r="A87" s="201" t="s">
        <v>1567</v>
      </c>
      <c r="B87" s="100">
        <v>3.98</v>
      </c>
      <c r="C87" s="100">
        <v>8.01</v>
      </c>
      <c r="D87" s="100">
        <v>7.38</v>
      </c>
      <c r="E87" s="100">
        <v>4.28</v>
      </c>
      <c r="F87" s="100">
        <v>4.83</v>
      </c>
      <c r="G87" s="100">
        <v>7.72</v>
      </c>
      <c r="H87" s="100">
        <v>0.9</v>
      </c>
      <c r="I87" s="100">
        <v>3.5</v>
      </c>
      <c r="J87" s="100">
        <v>0.13</v>
      </c>
      <c r="K87" s="100">
        <v>161.09</v>
      </c>
      <c r="L87" s="100">
        <v>28.5</v>
      </c>
      <c r="M87" s="100">
        <v>82.12</v>
      </c>
      <c r="N87" s="100">
        <v>2.2999999999999998</v>
      </c>
      <c r="O87" s="100">
        <v>0</v>
      </c>
      <c r="P87" s="100">
        <v>0.2</v>
      </c>
      <c r="Q87" s="100">
        <v>0</v>
      </c>
      <c r="R87" s="6"/>
      <c r="S87" s="6"/>
      <c r="T87" s="156"/>
      <c r="U87" s="6"/>
    </row>
    <row r="88" spans="1:21" customFormat="1">
      <c r="A88" s="201" t="s">
        <v>1568</v>
      </c>
      <c r="B88" s="100">
        <v>4.04</v>
      </c>
      <c r="C88" s="100">
        <v>7.69</v>
      </c>
      <c r="D88" s="100">
        <v>7.25</v>
      </c>
      <c r="E88" s="100">
        <v>4.4400000000000004</v>
      </c>
      <c r="F88" s="100">
        <v>4.5199999999999996</v>
      </c>
      <c r="G88" s="100">
        <v>7.95</v>
      </c>
      <c r="H88" s="100">
        <v>0.9</v>
      </c>
      <c r="I88" s="100">
        <v>3.68</v>
      </c>
      <c r="J88" s="100">
        <v>0.08</v>
      </c>
      <c r="K88" s="100">
        <v>140.53</v>
      </c>
      <c r="L88" s="100">
        <v>28.45</v>
      </c>
      <c r="M88" s="100">
        <v>82.63</v>
      </c>
      <c r="N88" s="100">
        <v>2.1</v>
      </c>
      <c r="O88" s="100">
        <v>0</v>
      </c>
      <c r="P88" s="100">
        <v>0.18</v>
      </c>
      <c r="Q88" s="100">
        <v>0</v>
      </c>
      <c r="R88" s="6"/>
      <c r="S88" s="6"/>
      <c r="T88" s="156"/>
      <c r="U88" s="6"/>
    </row>
    <row r="89" spans="1:21" customFormat="1">
      <c r="A89" s="201" t="s">
        <v>1569</v>
      </c>
      <c r="B89" s="100">
        <v>3.99</v>
      </c>
      <c r="C89" s="100">
        <v>7.67</v>
      </c>
      <c r="D89" s="100">
        <v>7.2</v>
      </c>
      <c r="E89" s="100">
        <v>4.16</v>
      </c>
      <c r="F89" s="100">
        <v>5.84</v>
      </c>
      <c r="G89" s="100">
        <v>7.95</v>
      </c>
      <c r="H89" s="100">
        <v>0.9</v>
      </c>
      <c r="I89" s="100">
        <v>3.94</v>
      </c>
      <c r="J89" s="100">
        <v>0.12</v>
      </c>
      <c r="K89" s="100">
        <v>189.68</v>
      </c>
      <c r="L89" s="100">
        <v>28.29</v>
      </c>
      <c r="M89" s="100">
        <v>83.27</v>
      </c>
      <c r="N89" s="100">
        <v>2.1</v>
      </c>
      <c r="O89" s="100">
        <v>0</v>
      </c>
      <c r="P89" s="100">
        <v>0.17</v>
      </c>
      <c r="Q89" s="100">
        <v>0</v>
      </c>
      <c r="R89" s="6"/>
      <c r="S89" s="6"/>
      <c r="T89" s="156"/>
      <c r="U89" s="6"/>
    </row>
    <row r="90" spans="1:21" customFormat="1">
      <c r="A90" s="201" t="s">
        <v>1570</v>
      </c>
      <c r="B90" s="100">
        <v>4.1399999999999997</v>
      </c>
      <c r="C90" s="100">
        <v>7.56</v>
      </c>
      <c r="D90" s="100">
        <v>7.27</v>
      </c>
      <c r="E90" s="100">
        <v>4.3</v>
      </c>
      <c r="F90" s="100">
        <v>3.95</v>
      </c>
      <c r="G90" s="100">
        <v>7.95</v>
      </c>
      <c r="H90" s="100">
        <v>0.9</v>
      </c>
      <c r="I90" s="100">
        <v>3.83</v>
      </c>
      <c r="J90" s="100">
        <v>0.16</v>
      </c>
      <c r="K90" s="100">
        <v>162.43</v>
      </c>
      <c r="L90" s="100">
        <v>28.26</v>
      </c>
      <c r="M90" s="100">
        <v>83.07</v>
      </c>
      <c r="N90" s="100">
        <v>2.1</v>
      </c>
      <c r="O90" s="100">
        <v>0</v>
      </c>
      <c r="P90" s="100">
        <v>0.17</v>
      </c>
      <c r="Q90" s="100">
        <v>0</v>
      </c>
      <c r="R90" s="6"/>
      <c r="S90" s="6"/>
      <c r="T90" s="156"/>
      <c r="U90" s="6"/>
    </row>
    <row r="91" spans="1:21" customFormat="1">
      <c r="A91" s="201" t="s">
        <v>1571</v>
      </c>
      <c r="B91" s="100">
        <v>4.8</v>
      </c>
      <c r="C91" s="100">
        <v>7.62</v>
      </c>
      <c r="D91" s="100">
        <v>7.83</v>
      </c>
      <c r="E91" s="100">
        <v>4.8899999999999997</v>
      </c>
      <c r="F91" s="100">
        <v>2.41</v>
      </c>
      <c r="G91" s="100">
        <v>7.53</v>
      </c>
      <c r="H91" s="100">
        <v>0.81</v>
      </c>
      <c r="I91" s="100">
        <v>3.93</v>
      </c>
      <c r="J91" s="100">
        <v>0.2</v>
      </c>
      <c r="K91" s="100">
        <v>164.63</v>
      </c>
      <c r="L91" s="100">
        <v>28.35</v>
      </c>
      <c r="M91" s="100">
        <v>82.59</v>
      </c>
      <c r="N91" s="100">
        <v>2</v>
      </c>
      <c r="O91" s="100">
        <v>0</v>
      </c>
      <c r="P91" s="100">
        <v>0.19</v>
      </c>
      <c r="Q91" s="100">
        <v>0</v>
      </c>
      <c r="R91" s="6"/>
      <c r="S91" s="6"/>
      <c r="T91" s="156"/>
      <c r="U91" s="6"/>
    </row>
    <row r="92" spans="1:21" customFormat="1">
      <c r="A92" s="201" t="s">
        <v>1572</v>
      </c>
      <c r="B92" s="100">
        <v>4.8899999999999997</v>
      </c>
      <c r="C92" s="100">
        <v>7.8</v>
      </c>
      <c r="D92" s="100">
        <v>8</v>
      </c>
      <c r="E92" s="100">
        <v>4.84</v>
      </c>
      <c r="F92" s="100">
        <v>2.2000000000000002</v>
      </c>
      <c r="G92" s="100">
        <v>7.43</v>
      </c>
      <c r="H92" s="100">
        <v>0.81</v>
      </c>
      <c r="I92" s="100">
        <v>3.91</v>
      </c>
      <c r="J92" s="100">
        <v>0.24</v>
      </c>
      <c r="K92" s="100">
        <v>171.64</v>
      </c>
      <c r="L92" s="100">
        <v>28.24</v>
      </c>
      <c r="M92" s="100">
        <v>82.67</v>
      </c>
      <c r="N92" s="100">
        <v>2.1</v>
      </c>
      <c r="O92" s="100">
        <v>0</v>
      </c>
      <c r="P92" s="100">
        <v>0.2</v>
      </c>
      <c r="Q92" s="100">
        <v>0</v>
      </c>
      <c r="R92" s="6"/>
      <c r="S92" s="6"/>
      <c r="T92" s="156"/>
      <c r="U92" s="6"/>
    </row>
    <row r="93" spans="1:21" customFormat="1">
      <c r="A93" s="201" t="s">
        <v>1573</v>
      </c>
      <c r="B93" s="100">
        <v>4.6100000000000003</v>
      </c>
      <c r="C93" s="100">
        <v>7.93</v>
      </c>
      <c r="D93" s="100">
        <v>7.84</v>
      </c>
      <c r="E93" s="100">
        <v>4.41</v>
      </c>
      <c r="F93" s="100">
        <v>3.82</v>
      </c>
      <c r="G93" s="100">
        <v>7.43</v>
      </c>
      <c r="H93" s="100">
        <v>0.81</v>
      </c>
      <c r="I93" s="100">
        <v>4.08</v>
      </c>
      <c r="J93" s="100">
        <v>0.17</v>
      </c>
      <c r="K93" s="100">
        <v>158.43</v>
      </c>
      <c r="L93" s="100">
        <v>28.17</v>
      </c>
      <c r="M93" s="100">
        <v>82.4</v>
      </c>
      <c r="N93" s="100">
        <v>2.1</v>
      </c>
      <c r="O93" s="100">
        <v>0</v>
      </c>
      <c r="P93" s="100">
        <v>0.21</v>
      </c>
      <c r="Q93" s="100">
        <v>0</v>
      </c>
      <c r="R93" s="6"/>
      <c r="S93" s="6"/>
      <c r="T93" s="156"/>
      <c r="U93" s="6"/>
    </row>
    <row r="94" spans="1:21" customFormat="1">
      <c r="A94" s="201" t="s">
        <v>1574</v>
      </c>
      <c r="B94" s="100">
        <v>4.47</v>
      </c>
      <c r="C94" s="100">
        <v>8.75</v>
      </c>
      <c r="D94" s="100">
        <v>8.16</v>
      </c>
      <c r="E94" s="100">
        <v>3.95</v>
      </c>
      <c r="F94" s="100">
        <v>3.4</v>
      </c>
      <c r="G94" s="100">
        <v>7.43</v>
      </c>
      <c r="H94" s="100">
        <v>0.81</v>
      </c>
      <c r="I94" s="100">
        <v>4.16</v>
      </c>
      <c r="J94" s="100">
        <v>0.11</v>
      </c>
      <c r="K94" s="100">
        <v>144.72999999999999</v>
      </c>
      <c r="L94" s="100">
        <v>28.27</v>
      </c>
      <c r="M94" s="100">
        <v>82.66</v>
      </c>
      <c r="N94" s="100">
        <v>2.1</v>
      </c>
      <c r="O94" s="100">
        <v>0</v>
      </c>
      <c r="P94" s="100">
        <v>0.2</v>
      </c>
      <c r="Q94" s="100">
        <v>0</v>
      </c>
      <c r="R94" s="6"/>
      <c r="S94" s="6"/>
      <c r="T94" s="156"/>
      <c r="U94" s="6"/>
    </row>
    <row r="95" spans="1:21" customFormat="1">
      <c r="A95" s="201" t="s">
        <v>1575</v>
      </c>
      <c r="B95" s="100">
        <v>4.8899999999999997</v>
      </c>
      <c r="C95" s="100">
        <v>8.56</v>
      </c>
      <c r="D95" s="100">
        <v>8.39</v>
      </c>
      <c r="E95" s="100">
        <v>4.1399999999999997</v>
      </c>
      <c r="F95" s="100">
        <v>2.4500000000000002</v>
      </c>
      <c r="G95" s="100">
        <v>9.44</v>
      </c>
      <c r="H95" s="100">
        <v>1.04</v>
      </c>
      <c r="I95" s="100">
        <v>4.45</v>
      </c>
      <c r="J95" s="100">
        <v>0.12</v>
      </c>
      <c r="K95" s="100">
        <v>173.84</v>
      </c>
      <c r="L95" s="100">
        <v>28.17</v>
      </c>
      <c r="M95" s="100">
        <v>82.54</v>
      </c>
      <c r="N95" s="100">
        <v>2.1</v>
      </c>
      <c r="O95" s="100">
        <v>0</v>
      </c>
      <c r="P95" s="100">
        <v>0.19</v>
      </c>
      <c r="Q95" s="100">
        <v>0</v>
      </c>
      <c r="R95" s="6"/>
      <c r="S95" s="6"/>
      <c r="T95" s="156"/>
      <c r="U95" s="6"/>
    </row>
    <row r="96" spans="1:21" customFormat="1">
      <c r="A96" s="201" t="s">
        <v>1576</v>
      </c>
      <c r="B96" s="100">
        <v>5.41</v>
      </c>
      <c r="C96" s="100">
        <v>7.67</v>
      </c>
      <c r="D96" s="100">
        <v>8.35</v>
      </c>
      <c r="E96" s="100">
        <v>4.53</v>
      </c>
      <c r="F96" s="100">
        <v>2.73</v>
      </c>
      <c r="G96" s="100">
        <v>9.9499999999999993</v>
      </c>
      <c r="H96" s="100">
        <v>1.04</v>
      </c>
      <c r="I96" s="100">
        <v>4.75</v>
      </c>
      <c r="J96" s="100">
        <v>0.08</v>
      </c>
      <c r="K96" s="100">
        <v>138.22999999999999</v>
      </c>
      <c r="L96" s="100">
        <v>28.02</v>
      </c>
      <c r="M96" s="100">
        <v>82.41</v>
      </c>
      <c r="N96" s="100">
        <v>2.1</v>
      </c>
      <c r="O96" s="100">
        <v>0</v>
      </c>
      <c r="P96" s="100">
        <v>0.22</v>
      </c>
      <c r="Q96" s="100">
        <v>0</v>
      </c>
      <c r="R96" s="6"/>
      <c r="S96" s="6"/>
      <c r="T96" s="156"/>
      <c r="U96" s="6"/>
    </row>
    <row r="97" spans="1:28" customFormat="1">
      <c r="A97" s="201" t="s">
        <v>1577</v>
      </c>
      <c r="B97" s="100">
        <v>5.23</v>
      </c>
      <c r="C97" s="100">
        <v>7.29</v>
      </c>
      <c r="D97" s="100">
        <v>8</v>
      </c>
      <c r="E97" s="100">
        <v>4.4000000000000004</v>
      </c>
      <c r="F97" s="100">
        <v>3.7</v>
      </c>
      <c r="G97" s="100">
        <v>9.9499999999999993</v>
      </c>
      <c r="H97" s="100">
        <v>1.04</v>
      </c>
      <c r="I97" s="100">
        <v>4.41</v>
      </c>
      <c r="J97" s="100">
        <v>0.11</v>
      </c>
      <c r="K97" s="100">
        <v>156.97999999999999</v>
      </c>
      <c r="L97" s="100">
        <v>27.99</v>
      </c>
      <c r="M97" s="100">
        <v>82.39</v>
      </c>
      <c r="N97" s="100">
        <v>2.1</v>
      </c>
      <c r="O97" s="100">
        <v>0</v>
      </c>
      <c r="P97" s="100">
        <v>0.2</v>
      </c>
      <c r="Q97" s="100">
        <v>0</v>
      </c>
      <c r="R97" s="6"/>
      <c r="S97" s="6"/>
      <c r="T97" s="156"/>
      <c r="U97" s="6"/>
    </row>
    <row r="98" spans="1:28" customFormat="1">
      <c r="A98" s="201" t="s">
        <v>1578</v>
      </c>
      <c r="B98" s="100">
        <v>4.97</v>
      </c>
      <c r="C98" s="100">
        <v>7.06</v>
      </c>
      <c r="D98" s="100">
        <v>7.68</v>
      </c>
      <c r="E98" s="100">
        <v>3.88</v>
      </c>
      <c r="F98" s="100">
        <v>4.29</v>
      </c>
      <c r="G98" s="100">
        <v>9.9499999999999993</v>
      </c>
      <c r="H98" s="100">
        <v>1.04</v>
      </c>
      <c r="I98" s="100">
        <v>4.42</v>
      </c>
      <c r="J98" s="100">
        <v>0.1</v>
      </c>
      <c r="K98" s="100">
        <v>205.08</v>
      </c>
      <c r="L98" s="100">
        <v>27.82</v>
      </c>
      <c r="M98" s="100">
        <v>79.959999999999994</v>
      </c>
      <c r="N98" s="100">
        <v>2.1</v>
      </c>
      <c r="O98" s="100">
        <v>0</v>
      </c>
      <c r="P98" s="100">
        <v>0.19</v>
      </c>
      <c r="Q98" s="100">
        <v>0</v>
      </c>
      <c r="R98" s="6"/>
      <c r="S98" s="6"/>
      <c r="T98" s="156"/>
      <c r="U98" s="6"/>
    </row>
    <row r="99" spans="1:28" customFormat="1">
      <c r="A99" s="201" t="s">
        <v>1579</v>
      </c>
      <c r="B99" s="100">
        <v>5.61</v>
      </c>
      <c r="C99" s="100">
        <v>7.05</v>
      </c>
      <c r="D99" s="100">
        <v>8.18</v>
      </c>
      <c r="E99" s="100">
        <v>4.78</v>
      </c>
      <c r="F99" s="100">
        <v>2.36</v>
      </c>
      <c r="G99" s="100">
        <v>9.42</v>
      </c>
      <c r="H99" s="100">
        <v>1.1000000000000001</v>
      </c>
      <c r="I99" s="100">
        <v>4.32</v>
      </c>
      <c r="J99" s="100">
        <v>0.14000000000000001</v>
      </c>
      <c r="K99" s="100">
        <v>171.24</v>
      </c>
      <c r="L99" s="100">
        <v>27.83</v>
      </c>
      <c r="M99" s="100">
        <v>77.010000000000005</v>
      </c>
      <c r="N99" s="100">
        <v>2.1</v>
      </c>
      <c r="O99" s="100">
        <v>0</v>
      </c>
      <c r="P99" s="100">
        <v>0.2</v>
      </c>
      <c r="Q99" s="100">
        <v>0</v>
      </c>
      <c r="R99" s="6"/>
      <c r="S99" s="6"/>
      <c r="T99" s="156"/>
      <c r="U99" s="6"/>
    </row>
    <row r="100" spans="1:28" customFormat="1">
      <c r="A100" s="201" t="s">
        <v>1580</v>
      </c>
      <c r="B100" s="100">
        <v>5.74</v>
      </c>
      <c r="C100" s="100">
        <v>7.2</v>
      </c>
      <c r="D100" s="100">
        <v>8.36</v>
      </c>
      <c r="E100" s="100">
        <v>4.9400000000000004</v>
      </c>
      <c r="F100" s="100">
        <v>2</v>
      </c>
      <c r="G100" s="100">
        <v>9.2899999999999991</v>
      </c>
      <c r="H100" s="100">
        <v>1.1000000000000001</v>
      </c>
      <c r="I100" s="100">
        <v>4.24</v>
      </c>
      <c r="J100" s="100">
        <v>0.09</v>
      </c>
      <c r="K100" s="100">
        <v>187.96</v>
      </c>
      <c r="L100" s="100">
        <v>27.88</v>
      </c>
      <c r="M100" s="100">
        <v>81.239999999999995</v>
      </c>
      <c r="N100" s="100">
        <v>2.1</v>
      </c>
      <c r="O100" s="100">
        <v>0</v>
      </c>
      <c r="P100" s="100">
        <v>0.21</v>
      </c>
      <c r="Q100" s="100">
        <v>0</v>
      </c>
      <c r="R100" s="6"/>
      <c r="S100" s="6"/>
      <c r="T100" s="156"/>
      <c r="U100" s="6"/>
      <c r="AB100" s="161"/>
    </row>
    <row r="101" spans="1:28" customFormat="1">
      <c r="A101" s="201" t="s">
        <v>1581</v>
      </c>
      <c r="B101" s="100">
        <v>5.39</v>
      </c>
      <c r="C101" s="100">
        <v>6.96</v>
      </c>
      <c r="D101" s="100">
        <v>7.96</v>
      </c>
      <c r="E101" s="100">
        <v>4.54</v>
      </c>
      <c r="F101" s="100">
        <v>3.86</v>
      </c>
      <c r="G101" s="100">
        <v>9.2899999999999991</v>
      </c>
      <c r="H101" s="100">
        <v>1.1000000000000001</v>
      </c>
      <c r="I101" s="100">
        <v>4.42</v>
      </c>
      <c r="J101" s="100">
        <v>0.16</v>
      </c>
      <c r="K101" s="100">
        <v>175.02</v>
      </c>
      <c r="L101" s="100">
        <v>27.86</v>
      </c>
      <c r="M101" s="100">
        <v>82.28</v>
      </c>
      <c r="N101" s="100">
        <v>2</v>
      </c>
      <c r="O101" s="100">
        <v>0</v>
      </c>
      <c r="P101" s="100">
        <v>0.2</v>
      </c>
      <c r="Q101" s="100">
        <v>0</v>
      </c>
      <c r="R101" s="6"/>
      <c r="S101" s="6"/>
      <c r="T101" s="156"/>
      <c r="U101" s="6"/>
    </row>
    <row r="102" spans="1:28" customFormat="1">
      <c r="A102" s="201" t="s">
        <v>1582</v>
      </c>
      <c r="B102" s="100">
        <v>5.32</v>
      </c>
      <c r="C102" s="100">
        <v>6.85</v>
      </c>
      <c r="D102" s="100">
        <v>7.85</v>
      </c>
      <c r="E102" s="100">
        <v>4.0999999999999996</v>
      </c>
      <c r="F102" s="100">
        <v>3.6</v>
      </c>
      <c r="G102" s="100">
        <v>9.2899999999999991</v>
      </c>
      <c r="H102" s="100">
        <v>1.1000000000000001</v>
      </c>
      <c r="I102" s="100">
        <v>4.3499999999999996</v>
      </c>
      <c r="J102" s="100">
        <v>0.1</v>
      </c>
      <c r="K102" s="100">
        <v>168.37</v>
      </c>
      <c r="L102" s="100">
        <v>27.87</v>
      </c>
      <c r="M102" s="100">
        <v>81.739999999999995</v>
      </c>
      <c r="N102" s="100">
        <v>2.2000000000000002</v>
      </c>
      <c r="O102" s="100">
        <v>0</v>
      </c>
      <c r="P102" s="100">
        <v>0.19</v>
      </c>
      <c r="Q102" s="100">
        <v>0</v>
      </c>
      <c r="R102" s="6"/>
      <c r="S102" s="6"/>
      <c r="T102" s="156"/>
      <c r="U102" s="6"/>
    </row>
    <row r="103" spans="1:28" customFormat="1">
      <c r="A103" s="201" t="s">
        <v>1583</v>
      </c>
      <c r="B103" s="100">
        <v>6.12</v>
      </c>
      <c r="C103" s="100">
        <v>6.93</v>
      </c>
      <c r="D103" s="100">
        <v>8.5299999999999994</v>
      </c>
      <c r="E103" s="100">
        <v>4.66</v>
      </c>
      <c r="F103" s="100">
        <v>2.61</v>
      </c>
      <c r="G103" s="100">
        <v>8.2799999999999994</v>
      </c>
      <c r="H103" s="100">
        <v>1.51</v>
      </c>
      <c r="I103" s="100">
        <v>4.2300000000000004</v>
      </c>
      <c r="J103" s="100">
        <v>0.15</v>
      </c>
      <c r="K103" s="100">
        <v>160.55000000000001</v>
      </c>
      <c r="L103" s="100">
        <v>27.86</v>
      </c>
      <c r="M103" s="100">
        <v>81.3</v>
      </c>
      <c r="N103" s="100">
        <v>2.1</v>
      </c>
      <c r="O103" s="100">
        <v>0</v>
      </c>
      <c r="P103" s="100">
        <v>0.22</v>
      </c>
      <c r="Q103" s="100">
        <v>0</v>
      </c>
      <c r="R103" s="6"/>
      <c r="S103" s="6"/>
      <c r="T103" s="156"/>
      <c r="U103" s="6"/>
    </row>
    <row r="104" spans="1:28" customFormat="1">
      <c r="A104" s="201" t="s">
        <v>1584</v>
      </c>
      <c r="B104" s="100">
        <v>6.03</v>
      </c>
      <c r="C104" s="100">
        <v>6.99</v>
      </c>
      <c r="D104" s="100">
        <v>8.49</v>
      </c>
      <c r="E104" s="100">
        <v>4.8</v>
      </c>
      <c r="F104" s="100">
        <v>2.15</v>
      </c>
      <c r="G104" s="100">
        <v>8.0299999999999994</v>
      </c>
      <c r="H104" s="100">
        <v>1.51</v>
      </c>
      <c r="I104" s="100">
        <v>4.28</v>
      </c>
      <c r="J104" s="100">
        <v>0.08</v>
      </c>
      <c r="K104" s="100">
        <v>147.09</v>
      </c>
      <c r="L104" s="100">
        <v>27.79</v>
      </c>
      <c r="M104" s="100">
        <v>82.03</v>
      </c>
      <c r="N104" s="100">
        <v>2.1</v>
      </c>
      <c r="O104" s="100">
        <v>0</v>
      </c>
      <c r="P104" s="100">
        <v>0.21</v>
      </c>
      <c r="Q104" s="100">
        <v>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3.69</v>
      </c>
      <c r="C106" s="158">
        <f>MIN(C9:C104)</f>
        <v>6.85</v>
      </c>
      <c r="D106" s="158">
        <f t="shared" ref="D106:Q106" si="0">MIN(D9:D104)</f>
        <v>7.2</v>
      </c>
      <c r="E106" s="158">
        <f t="shared" si="0"/>
        <v>3.88</v>
      </c>
      <c r="F106" s="158">
        <f t="shared" si="0"/>
        <v>2</v>
      </c>
      <c r="G106" s="158">
        <f t="shared" si="0"/>
        <v>2.08</v>
      </c>
      <c r="H106" s="158">
        <f t="shared" si="0"/>
        <v>0.38</v>
      </c>
      <c r="I106" s="158">
        <f t="shared" si="0"/>
        <v>3.35</v>
      </c>
      <c r="J106" s="158">
        <f t="shared" si="0"/>
        <v>0.08</v>
      </c>
      <c r="K106" s="158">
        <f t="shared" si="0"/>
        <v>48.23</v>
      </c>
      <c r="L106" s="158">
        <f t="shared" si="0"/>
        <v>25.52</v>
      </c>
      <c r="M106" s="158">
        <f t="shared" si="0"/>
        <v>54.9</v>
      </c>
      <c r="N106" s="158">
        <f t="shared" si="0"/>
        <v>2</v>
      </c>
      <c r="O106" s="158">
        <f t="shared" si="0"/>
        <v>0</v>
      </c>
      <c r="P106" s="158">
        <f t="shared" si="0"/>
        <v>0.09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10.050000000000001</v>
      </c>
      <c r="C107" s="157">
        <f t="shared" ref="C107:Q107" si="1">MAX(C9:C104)</f>
        <v>9.23</v>
      </c>
      <c r="D107" s="157">
        <f t="shared" si="1"/>
        <v>12.15</v>
      </c>
      <c r="E107" s="157">
        <f t="shared" si="1"/>
        <v>6.28</v>
      </c>
      <c r="F107" s="157">
        <f t="shared" si="1"/>
        <v>6.09</v>
      </c>
      <c r="G107" s="157">
        <f t="shared" si="1"/>
        <v>9.9499999999999993</v>
      </c>
      <c r="H107" s="157">
        <f t="shared" si="1"/>
        <v>1.51</v>
      </c>
      <c r="I107" s="157">
        <f t="shared" si="1"/>
        <v>4.75</v>
      </c>
      <c r="J107" s="157">
        <f t="shared" si="1"/>
        <v>0.56999999999999995</v>
      </c>
      <c r="K107" s="157">
        <f t="shared" si="1"/>
        <v>205.08</v>
      </c>
      <c r="L107" s="157">
        <f t="shared" si="1"/>
        <v>34.1</v>
      </c>
      <c r="M107" s="157">
        <f t="shared" si="1"/>
        <v>88.33</v>
      </c>
      <c r="N107" s="157">
        <f t="shared" si="1"/>
        <v>863.4</v>
      </c>
      <c r="O107" s="157">
        <f t="shared" si="1"/>
        <v>0</v>
      </c>
      <c r="P107" s="157">
        <f t="shared" si="1"/>
        <v>0.22</v>
      </c>
      <c r="Q107" s="157">
        <f t="shared" si="1"/>
        <v>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6.5006250000000003</v>
      </c>
      <c r="C108" s="158">
        <f t="shared" ref="C108:Q108" si="2">AVERAGE(C9:C104)</f>
        <v>7.7422916666666657</v>
      </c>
      <c r="D108" s="158">
        <f t="shared" si="2"/>
        <v>9.2580208333333349</v>
      </c>
      <c r="E108" s="158">
        <f t="shared" si="2"/>
        <v>5.3507291666666639</v>
      </c>
      <c r="F108" s="158">
        <f t="shared" si="2"/>
        <v>2.6271874999999993</v>
      </c>
      <c r="G108" s="158">
        <f t="shared" si="2"/>
        <v>5.7569791666666639</v>
      </c>
      <c r="H108" s="158">
        <f t="shared" si="2"/>
        <v>0.91104166666666753</v>
      </c>
      <c r="I108" s="158">
        <f t="shared" si="2"/>
        <v>4.0010416666666675</v>
      </c>
      <c r="J108" s="158">
        <f t="shared" si="2"/>
        <v>0.19385416666666663</v>
      </c>
      <c r="K108" s="158">
        <f t="shared" si="2"/>
        <v>142.60604166666664</v>
      </c>
      <c r="L108" s="158">
        <f t="shared" si="2"/>
        <v>28.950624999999999</v>
      </c>
      <c r="M108" s="158">
        <f t="shared" si="2"/>
        <v>74.776666666666642</v>
      </c>
      <c r="N108" s="158">
        <f t="shared" si="2"/>
        <v>129.89895833333338</v>
      </c>
      <c r="O108" s="158">
        <f t="shared" si="2"/>
        <v>0</v>
      </c>
      <c r="P108" s="158">
        <f t="shared" si="2"/>
        <v>0.16291666666666665</v>
      </c>
      <c r="Q108" s="158">
        <f t="shared" si="2"/>
        <v>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2.0920047360819836</v>
      </c>
      <c r="C109" s="158">
        <f t="shared" ref="C109:Q109" si="3">STDEV(C9:C104)</f>
        <v>0.53176068849113078</v>
      </c>
      <c r="D109" s="158">
        <f t="shared" si="3"/>
        <v>1.5592465250489249</v>
      </c>
      <c r="E109" s="158">
        <f t="shared" si="3"/>
        <v>0.64889257044790527</v>
      </c>
      <c r="F109" s="158">
        <f t="shared" si="3"/>
        <v>0.95083974312460651</v>
      </c>
      <c r="G109" s="158">
        <f t="shared" si="3"/>
        <v>1.9939461639734883</v>
      </c>
      <c r="H109" s="158">
        <f t="shared" si="3"/>
        <v>0.31925069893725844</v>
      </c>
      <c r="I109" s="158">
        <f t="shared" si="3"/>
        <v>0.37320935049680304</v>
      </c>
      <c r="J109" s="158">
        <f t="shared" si="3"/>
        <v>8.9552922214704955E-2</v>
      </c>
      <c r="K109" s="158">
        <f t="shared" si="3"/>
        <v>36.713991810929343</v>
      </c>
      <c r="L109" s="158">
        <f t="shared" si="3"/>
        <v>2.5738432506559854</v>
      </c>
      <c r="M109" s="158">
        <f t="shared" si="3"/>
        <v>8.3717680540541117</v>
      </c>
      <c r="N109" s="158">
        <f t="shared" si="3"/>
        <v>208.06299627746441</v>
      </c>
      <c r="O109" s="158">
        <f t="shared" si="3"/>
        <v>0</v>
      </c>
      <c r="P109" s="158">
        <f t="shared" si="3"/>
        <v>3.7554638557613297E-2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3" sqref="I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1585</v>
      </c>
      <c r="B9" s="100">
        <v>6.74</v>
      </c>
      <c r="C9" s="100">
        <v>6.83</v>
      </c>
      <c r="D9" s="100">
        <v>8.98</v>
      </c>
      <c r="E9" s="100">
        <v>5.25</v>
      </c>
      <c r="F9" s="100">
        <v>2.89</v>
      </c>
      <c r="G9" s="100">
        <v>8.0299999999999994</v>
      </c>
      <c r="H9" s="100">
        <v>1.51</v>
      </c>
      <c r="I9" s="100">
        <v>4.4800000000000004</v>
      </c>
      <c r="J9" s="100">
        <v>0.13</v>
      </c>
      <c r="K9" s="100">
        <v>108.19</v>
      </c>
      <c r="L9" s="100">
        <v>27.78</v>
      </c>
      <c r="M9" s="100">
        <v>82.05</v>
      </c>
      <c r="N9" s="100">
        <v>2.1</v>
      </c>
      <c r="O9" s="100">
        <v>0</v>
      </c>
      <c r="P9" s="100">
        <v>0.23</v>
      </c>
      <c r="Q9" s="100">
        <v>0</v>
      </c>
      <c r="R9" s="6"/>
      <c r="S9" s="6"/>
      <c r="T9" s="156"/>
      <c r="U9" s="6"/>
    </row>
    <row r="10" spans="1:21" customFormat="1">
      <c r="A10" s="201" t="s">
        <v>1586</v>
      </c>
      <c r="B10" s="100">
        <v>6.65</v>
      </c>
      <c r="C10" s="100">
        <v>7.08</v>
      </c>
      <c r="D10" s="100">
        <v>9.0299999999999994</v>
      </c>
      <c r="E10" s="100">
        <v>5.0599999999999996</v>
      </c>
      <c r="F10" s="100">
        <v>2.2599999999999998</v>
      </c>
      <c r="G10" s="100">
        <v>8.0299999999999994</v>
      </c>
      <c r="H10" s="100">
        <v>1.51</v>
      </c>
      <c r="I10" s="100">
        <v>4.38</v>
      </c>
      <c r="J10" s="100">
        <v>0.17</v>
      </c>
      <c r="K10" s="100">
        <v>105.5</v>
      </c>
      <c r="L10" s="100">
        <v>27.75</v>
      </c>
      <c r="M10" s="100">
        <v>81.38</v>
      </c>
      <c r="N10" s="100">
        <v>2.2000000000000002</v>
      </c>
      <c r="O10" s="100">
        <v>0</v>
      </c>
      <c r="P10" s="100">
        <v>0.24</v>
      </c>
      <c r="Q10" s="100">
        <v>0</v>
      </c>
      <c r="R10" s="6"/>
      <c r="S10" s="6"/>
      <c r="T10" s="156"/>
      <c r="U10" s="6"/>
    </row>
    <row r="11" spans="1:21" customFormat="1">
      <c r="A11" s="201" t="s">
        <v>1587</v>
      </c>
      <c r="B11" s="100">
        <v>6.49</v>
      </c>
      <c r="C11" s="100">
        <v>7.24</v>
      </c>
      <c r="D11" s="100">
        <v>8.99</v>
      </c>
      <c r="E11" s="100">
        <v>4.88</v>
      </c>
      <c r="F11" s="100">
        <v>4.42</v>
      </c>
      <c r="G11" s="100">
        <v>7.09</v>
      </c>
      <c r="H11" s="100">
        <v>1.1100000000000001</v>
      </c>
      <c r="I11" s="100">
        <v>4.42</v>
      </c>
      <c r="J11" s="100">
        <v>0.24</v>
      </c>
      <c r="K11" s="100">
        <v>130.22</v>
      </c>
      <c r="L11" s="100">
        <v>27.77</v>
      </c>
      <c r="M11" s="100">
        <v>81.239999999999995</v>
      </c>
      <c r="N11" s="100">
        <v>2.2999999999999998</v>
      </c>
      <c r="O11" s="100">
        <v>0</v>
      </c>
      <c r="P11" s="100">
        <v>0.23</v>
      </c>
      <c r="Q11" s="100">
        <v>0</v>
      </c>
      <c r="R11" s="6"/>
      <c r="S11" s="6"/>
      <c r="T11" s="156"/>
      <c r="U11" s="6"/>
    </row>
    <row r="12" spans="1:21" customFormat="1">
      <c r="A12" s="201" t="s">
        <v>1588</v>
      </c>
      <c r="B12" s="100">
        <v>6.54</v>
      </c>
      <c r="C12" s="100">
        <v>7.42</v>
      </c>
      <c r="D12" s="100">
        <v>9.1199999999999992</v>
      </c>
      <c r="E12" s="100">
        <v>5.07</v>
      </c>
      <c r="F12" s="100">
        <v>2.36</v>
      </c>
      <c r="G12" s="100">
        <v>6.86</v>
      </c>
      <c r="H12" s="100">
        <v>1.1100000000000001</v>
      </c>
      <c r="I12" s="100">
        <v>4.34</v>
      </c>
      <c r="J12" s="100">
        <v>0.11</v>
      </c>
      <c r="K12" s="100">
        <v>171.27</v>
      </c>
      <c r="L12" s="100">
        <v>27.53</v>
      </c>
      <c r="M12" s="100">
        <v>81.16</v>
      </c>
      <c r="N12" s="100">
        <v>2.2999999999999998</v>
      </c>
      <c r="O12" s="100">
        <v>0</v>
      </c>
      <c r="P12" s="100">
        <v>0.23</v>
      </c>
      <c r="Q12" s="100">
        <v>0</v>
      </c>
      <c r="R12" s="6"/>
      <c r="S12" s="6"/>
      <c r="T12" s="156"/>
      <c r="U12" s="6"/>
    </row>
    <row r="13" spans="1:21" customFormat="1">
      <c r="A13" s="201" t="s">
        <v>1589</v>
      </c>
      <c r="B13" s="100">
        <v>6.47</v>
      </c>
      <c r="C13" s="100">
        <v>7.53</v>
      </c>
      <c r="D13" s="100">
        <v>9.1300000000000008</v>
      </c>
      <c r="E13" s="100">
        <v>5.34</v>
      </c>
      <c r="F13" s="100">
        <v>2.0699999999999998</v>
      </c>
      <c r="G13" s="100">
        <v>6.86</v>
      </c>
      <c r="H13" s="100">
        <v>1.1100000000000001</v>
      </c>
      <c r="I13" s="100">
        <v>4.1500000000000004</v>
      </c>
      <c r="J13" s="100">
        <v>0.09</v>
      </c>
      <c r="K13" s="100">
        <v>192.25</v>
      </c>
      <c r="L13" s="100">
        <v>27.06</v>
      </c>
      <c r="M13" s="100">
        <v>80.64</v>
      </c>
      <c r="N13" s="100">
        <v>2.4</v>
      </c>
      <c r="O13" s="100">
        <v>0</v>
      </c>
      <c r="P13" s="100">
        <v>0.23</v>
      </c>
      <c r="Q13" s="100">
        <v>0</v>
      </c>
      <c r="R13" s="6"/>
      <c r="S13" s="6"/>
      <c r="T13" s="156"/>
      <c r="U13" s="6"/>
    </row>
    <row r="14" spans="1:21" customFormat="1">
      <c r="A14" s="201" t="s">
        <v>1590</v>
      </c>
      <c r="B14" s="100">
        <v>6.35</v>
      </c>
      <c r="C14" s="100">
        <v>7.58</v>
      </c>
      <c r="D14" s="100">
        <v>9.0500000000000007</v>
      </c>
      <c r="E14" s="100">
        <v>5.35</v>
      </c>
      <c r="F14" s="100">
        <v>2</v>
      </c>
      <c r="G14" s="100">
        <v>6.86</v>
      </c>
      <c r="H14" s="100">
        <v>1.1100000000000001</v>
      </c>
      <c r="I14" s="100">
        <v>4.18</v>
      </c>
      <c r="J14" s="100">
        <v>0.08</v>
      </c>
      <c r="K14" s="100">
        <v>159.62</v>
      </c>
      <c r="L14" s="100">
        <v>26.94</v>
      </c>
      <c r="M14" s="100">
        <v>81.03</v>
      </c>
      <c r="N14" s="100">
        <v>2.1</v>
      </c>
      <c r="O14" s="100">
        <v>0</v>
      </c>
      <c r="P14" s="100">
        <v>0.23</v>
      </c>
      <c r="Q14" s="100">
        <v>0</v>
      </c>
      <c r="R14" s="6"/>
      <c r="S14" s="6"/>
      <c r="T14" s="156"/>
      <c r="U14" s="6"/>
    </row>
    <row r="15" spans="1:21" customFormat="1">
      <c r="A15" s="201" t="s">
        <v>1591</v>
      </c>
      <c r="B15" s="100">
        <v>6.11</v>
      </c>
      <c r="C15" s="100">
        <v>7.74</v>
      </c>
      <c r="D15" s="100">
        <v>8.94</v>
      </c>
      <c r="E15" s="100">
        <v>5.21</v>
      </c>
      <c r="F15" s="100">
        <v>2</v>
      </c>
      <c r="G15" s="100">
        <v>5.37</v>
      </c>
      <c r="H15" s="100">
        <v>0.83</v>
      </c>
      <c r="I15" s="100">
        <v>4.0999999999999996</v>
      </c>
      <c r="J15" s="100">
        <v>0.11</v>
      </c>
      <c r="K15" s="100">
        <v>180.93</v>
      </c>
      <c r="L15" s="100">
        <v>26.95</v>
      </c>
      <c r="M15" s="100">
        <v>82.08</v>
      </c>
      <c r="N15" s="100">
        <v>2.1</v>
      </c>
      <c r="O15" s="100">
        <v>0</v>
      </c>
      <c r="P15" s="100">
        <v>0.22</v>
      </c>
      <c r="Q15" s="100">
        <v>0</v>
      </c>
      <c r="R15" s="6"/>
      <c r="S15" s="6"/>
      <c r="T15" s="156"/>
      <c r="U15" s="6"/>
    </row>
    <row r="16" spans="1:21" customFormat="1">
      <c r="A16" s="201" t="s">
        <v>1592</v>
      </c>
      <c r="B16" s="100">
        <v>6.14</v>
      </c>
      <c r="C16" s="100">
        <v>7.62</v>
      </c>
      <c r="D16" s="100">
        <v>8.9</v>
      </c>
      <c r="E16" s="100">
        <v>5.61</v>
      </c>
      <c r="F16" s="100">
        <v>2</v>
      </c>
      <c r="G16" s="100">
        <v>4.99</v>
      </c>
      <c r="H16" s="100">
        <v>0.83</v>
      </c>
      <c r="I16" s="100">
        <v>3.95</v>
      </c>
      <c r="J16" s="100">
        <v>0.1</v>
      </c>
      <c r="K16" s="100">
        <v>180.64</v>
      </c>
      <c r="L16" s="100">
        <v>26.88</v>
      </c>
      <c r="M16" s="100">
        <v>80.239999999999995</v>
      </c>
      <c r="N16" s="100">
        <v>2.1</v>
      </c>
      <c r="O16" s="100">
        <v>0</v>
      </c>
      <c r="P16" s="100">
        <v>0.22</v>
      </c>
      <c r="Q16" s="100">
        <v>0</v>
      </c>
      <c r="R16" s="6"/>
      <c r="S16" s="6"/>
      <c r="T16" s="156"/>
      <c r="U16" s="6"/>
    </row>
    <row r="17" spans="1:21" customFormat="1">
      <c r="A17" s="201" t="s">
        <v>1593</v>
      </c>
      <c r="B17" s="100">
        <v>6.1</v>
      </c>
      <c r="C17" s="100">
        <v>7.63</v>
      </c>
      <c r="D17" s="100">
        <v>8.8800000000000008</v>
      </c>
      <c r="E17" s="100">
        <v>4.49</v>
      </c>
      <c r="F17" s="100">
        <v>2</v>
      </c>
      <c r="G17" s="100">
        <v>4.99</v>
      </c>
      <c r="H17" s="100">
        <v>0.83</v>
      </c>
      <c r="I17" s="100">
        <v>3.86</v>
      </c>
      <c r="J17" s="100">
        <v>0.08</v>
      </c>
      <c r="K17" s="100">
        <v>179.47</v>
      </c>
      <c r="L17" s="100">
        <v>26.91</v>
      </c>
      <c r="M17" s="100">
        <v>79.97</v>
      </c>
      <c r="N17" s="100">
        <v>2.1</v>
      </c>
      <c r="O17" s="100">
        <v>0</v>
      </c>
      <c r="P17" s="100">
        <v>0.22</v>
      </c>
      <c r="Q17" s="100">
        <v>0</v>
      </c>
      <c r="R17" s="6"/>
      <c r="S17" s="6"/>
      <c r="T17" s="156"/>
      <c r="U17" s="6"/>
    </row>
    <row r="18" spans="1:21" customFormat="1">
      <c r="A18" s="201" t="s">
        <v>1594</v>
      </c>
      <c r="B18" s="100">
        <v>6.05</v>
      </c>
      <c r="C18" s="100">
        <v>7.63</v>
      </c>
      <c r="D18" s="100">
        <v>8.84</v>
      </c>
      <c r="E18" s="100">
        <v>5.45</v>
      </c>
      <c r="F18" s="100">
        <v>2</v>
      </c>
      <c r="G18" s="100">
        <v>4.99</v>
      </c>
      <c r="H18" s="100">
        <v>0.83</v>
      </c>
      <c r="I18" s="100">
        <v>3.95</v>
      </c>
      <c r="J18" s="100">
        <v>0.09</v>
      </c>
      <c r="K18" s="100">
        <v>189.62</v>
      </c>
      <c r="L18" s="100">
        <v>26.85</v>
      </c>
      <c r="M18" s="100">
        <v>79.900000000000006</v>
      </c>
      <c r="N18" s="100">
        <v>2.1</v>
      </c>
      <c r="O18" s="100">
        <v>0</v>
      </c>
      <c r="P18" s="100">
        <v>0.22</v>
      </c>
      <c r="Q18" s="100">
        <v>0</v>
      </c>
      <c r="R18" s="6"/>
      <c r="S18" s="6"/>
      <c r="T18" s="156"/>
      <c r="U18" s="6"/>
    </row>
    <row r="19" spans="1:21" customFormat="1">
      <c r="A19" s="201" t="s">
        <v>1595</v>
      </c>
      <c r="B19" s="100">
        <v>6.09</v>
      </c>
      <c r="C19" s="100">
        <v>7.57</v>
      </c>
      <c r="D19" s="100">
        <v>8.84</v>
      </c>
      <c r="E19" s="100">
        <v>5.29</v>
      </c>
      <c r="F19" s="100">
        <v>2</v>
      </c>
      <c r="G19" s="100">
        <v>3.89</v>
      </c>
      <c r="H19" s="100">
        <v>0.68</v>
      </c>
      <c r="I19" s="100">
        <v>3.79</v>
      </c>
      <c r="J19" s="100">
        <v>7.0000000000000007E-2</v>
      </c>
      <c r="K19" s="100">
        <v>167.5</v>
      </c>
      <c r="L19" s="100">
        <v>26.8</v>
      </c>
      <c r="M19" s="100">
        <v>79.81</v>
      </c>
      <c r="N19" s="100">
        <v>2.1</v>
      </c>
      <c r="O19" s="100">
        <v>0</v>
      </c>
      <c r="P19" s="100">
        <v>0.22</v>
      </c>
      <c r="Q19" s="100">
        <v>0</v>
      </c>
      <c r="R19" s="6"/>
      <c r="S19" s="6"/>
      <c r="T19" s="156"/>
      <c r="U19" s="6"/>
    </row>
    <row r="20" spans="1:21" customFormat="1">
      <c r="A20" s="201" t="s">
        <v>1596</v>
      </c>
      <c r="B20" s="100">
        <v>6.13</v>
      </c>
      <c r="C20" s="100">
        <v>7.52</v>
      </c>
      <c r="D20" s="100">
        <v>8.84</v>
      </c>
      <c r="E20" s="100">
        <v>5.77</v>
      </c>
      <c r="F20" s="100">
        <v>2</v>
      </c>
      <c r="G20" s="100">
        <v>3.62</v>
      </c>
      <c r="H20" s="100">
        <v>0.68</v>
      </c>
      <c r="I20" s="100">
        <v>3.85</v>
      </c>
      <c r="J20" s="100">
        <v>7.0000000000000007E-2</v>
      </c>
      <c r="K20" s="100">
        <v>161.80000000000001</v>
      </c>
      <c r="L20" s="100">
        <v>26.77</v>
      </c>
      <c r="M20" s="100">
        <v>79.150000000000006</v>
      </c>
      <c r="N20" s="100">
        <v>2.1</v>
      </c>
      <c r="O20" s="100">
        <v>0</v>
      </c>
      <c r="P20" s="100">
        <v>0.21</v>
      </c>
      <c r="Q20" s="100">
        <v>0</v>
      </c>
      <c r="R20" s="6"/>
      <c r="S20" s="6"/>
      <c r="T20" s="156"/>
      <c r="U20" s="6"/>
    </row>
    <row r="21" spans="1:21" customFormat="1">
      <c r="A21" s="201" t="s">
        <v>1597</v>
      </c>
      <c r="B21" s="100">
        <v>6.17</v>
      </c>
      <c r="C21" s="100">
        <v>7.39</v>
      </c>
      <c r="D21" s="100">
        <v>8.81</v>
      </c>
      <c r="E21" s="100">
        <v>5.78</v>
      </c>
      <c r="F21" s="100">
        <v>2</v>
      </c>
      <c r="G21" s="100">
        <v>3.62</v>
      </c>
      <c r="H21" s="100">
        <v>0.68</v>
      </c>
      <c r="I21" s="100">
        <v>3.73</v>
      </c>
      <c r="J21" s="100">
        <v>7.0000000000000007E-2</v>
      </c>
      <c r="K21" s="100">
        <v>188.16</v>
      </c>
      <c r="L21" s="100">
        <v>26.68</v>
      </c>
      <c r="M21" s="100">
        <v>78.180000000000007</v>
      </c>
      <c r="N21" s="100">
        <v>2.1</v>
      </c>
      <c r="O21" s="100">
        <v>0</v>
      </c>
      <c r="P21" s="100">
        <v>0.21</v>
      </c>
      <c r="Q21" s="100">
        <v>0</v>
      </c>
      <c r="R21" s="6"/>
      <c r="S21" s="6"/>
      <c r="T21" s="156"/>
      <c r="U21" s="6"/>
    </row>
    <row r="22" spans="1:21" customFormat="1">
      <c r="A22" s="201" t="s">
        <v>1598</v>
      </c>
      <c r="B22" s="100">
        <v>6.15</v>
      </c>
      <c r="C22" s="100">
        <v>7.41</v>
      </c>
      <c r="D22" s="100">
        <v>8.81</v>
      </c>
      <c r="E22" s="100">
        <v>5.72</v>
      </c>
      <c r="F22" s="100">
        <v>2</v>
      </c>
      <c r="G22" s="100">
        <v>3.62</v>
      </c>
      <c r="H22" s="100">
        <v>0.68</v>
      </c>
      <c r="I22" s="100">
        <v>3.77</v>
      </c>
      <c r="J22" s="100">
        <v>0.11</v>
      </c>
      <c r="K22" s="100">
        <v>149.37</v>
      </c>
      <c r="L22" s="100">
        <v>26.64</v>
      </c>
      <c r="M22" s="100">
        <v>78.209999999999994</v>
      </c>
      <c r="N22" s="100">
        <v>2.1</v>
      </c>
      <c r="O22" s="100">
        <v>0</v>
      </c>
      <c r="P22" s="100">
        <v>0.21</v>
      </c>
      <c r="Q22" s="100">
        <v>0</v>
      </c>
      <c r="R22" s="6"/>
      <c r="S22" s="6"/>
      <c r="T22" s="156"/>
      <c r="U22" s="6"/>
    </row>
    <row r="23" spans="1:21" customFormat="1">
      <c r="A23" s="201" t="s">
        <v>1599</v>
      </c>
      <c r="B23" s="100">
        <v>6.12</v>
      </c>
      <c r="C23" s="100">
        <v>7.4</v>
      </c>
      <c r="D23" s="100">
        <v>8.77</v>
      </c>
      <c r="E23" s="100">
        <v>5.53</v>
      </c>
      <c r="F23" s="100">
        <v>2</v>
      </c>
      <c r="G23" s="100">
        <v>3.48</v>
      </c>
      <c r="H23" s="100">
        <v>0.48</v>
      </c>
      <c r="I23" s="100">
        <v>3.74</v>
      </c>
      <c r="J23" s="100">
        <v>0.1</v>
      </c>
      <c r="K23" s="100">
        <v>158.65</v>
      </c>
      <c r="L23" s="100">
        <v>26.63</v>
      </c>
      <c r="M23" s="100">
        <v>78.33</v>
      </c>
      <c r="N23" s="100">
        <v>2.1</v>
      </c>
      <c r="O23" s="100">
        <v>0</v>
      </c>
      <c r="P23" s="100">
        <v>0.21</v>
      </c>
      <c r="Q23" s="100">
        <v>0</v>
      </c>
      <c r="R23" s="6"/>
      <c r="S23" s="6"/>
      <c r="T23" s="156"/>
      <c r="U23" s="6"/>
    </row>
    <row r="24" spans="1:21" customFormat="1">
      <c r="A24" s="201" t="s">
        <v>1600</v>
      </c>
      <c r="B24" s="100">
        <v>6.2</v>
      </c>
      <c r="C24" s="100">
        <v>7.33</v>
      </c>
      <c r="D24" s="100">
        <v>8.8000000000000007</v>
      </c>
      <c r="E24" s="100">
        <v>5.95</v>
      </c>
      <c r="F24" s="100">
        <v>2</v>
      </c>
      <c r="G24" s="100">
        <v>3.45</v>
      </c>
      <c r="H24" s="100">
        <v>0.48</v>
      </c>
      <c r="I24" s="100">
        <v>3.59</v>
      </c>
      <c r="J24" s="100">
        <v>0.1</v>
      </c>
      <c r="K24" s="100">
        <v>182.97</v>
      </c>
      <c r="L24" s="100">
        <v>26.68</v>
      </c>
      <c r="M24" s="100">
        <v>77.98</v>
      </c>
      <c r="N24" s="100">
        <v>2.1</v>
      </c>
      <c r="O24" s="100">
        <v>0</v>
      </c>
      <c r="P24" s="100">
        <v>0.21</v>
      </c>
      <c r="Q24" s="100">
        <v>0</v>
      </c>
      <c r="R24" s="6"/>
      <c r="S24" s="6"/>
      <c r="T24" s="156"/>
      <c r="U24" s="6"/>
    </row>
    <row r="25" spans="1:21" customFormat="1">
      <c r="A25" s="201" t="s">
        <v>1601</v>
      </c>
      <c r="B25" s="100">
        <v>6.22</v>
      </c>
      <c r="C25" s="100">
        <v>7.32</v>
      </c>
      <c r="D25" s="100">
        <v>8.81</v>
      </c>
      <c r="E25" s="100">
        <v>5.78</v>
      </c>
      <c r="F25" s="100">
        <v>2</v>
      </c>
      <c r="G25" s="100">
        <v>3.45</v>
      </c>
      <c r="H25" s="100">
        <v>0.48</v>
      </c>
      <c r="I25" s="100">
        <v>3.54</v>
      </c>
      <c r="J25" s="100">
        <v>0.14000000000000001</v>
      </c>
      <c r="K25" s="100">
        <v>157.41999999999999</v>
      </c>
      <c r="L25" s="100">
        <v>26.71</v>
      </c>
      <c r="M25" s="100">
        <v>77.760000000000005</v>
      </c>
      <c r="N25" s="100">
        <v>2.1</v>
      </c>
      <c r="O25" s="100">
        <v>0</v>
      </c>
      <c r="P25" s="100">
        <v>0.21</v>
      </c>
      <c r="Q25" s="100">
        <v>0</v>
      </c>
      <c r="R25" s="6"/>
      <c r="S25" s="6"/>
      <c r="T25" s="156"/>
      <c r="U25" s="6"/>
    </row>
    <row r="26" spans="1:21" customFormat="1">
      <c r="A26" s="201" t="s">
        <v>1602</v>
      </c>
      <c r="B26" s="100">
        <v>6.22</v>
      </c>
      <c r="C26" s="100">
        <v>7.3</v>
      </c>
      <c r="D26" s="100">
        <v>8.81</v>
      </c>
      <c r="E26" s="100">
        <v>5.78</v>
      </c>
      <c r="F26" s="100">
        <v>2</v>
      </c>
      <c r="G26" s="100">
        <v>3.45</v>
      </c>
      <c r="H26" s="100">
        <v>0.48</v>
      </c>
      <c r="I26" s="100">
        <v>3.55</v>
      </c>
      <c r="J26" s="100">
        <v>0.09</v>
      </c>
      <c r="K26" s="100">
        <v>178.46</v>
      </c>
      <c r="L26" s="100">
        <v>26.6</v>
      </c>
      <c r="M26" s="100">
        <v>77.709999999999994</v>
      </c>
      <c r="N26" s="100">
        <v>2.1</v>
      </c>
      <c r="O26" s="100">
        <v>0</v>
      </c>
      <c r="P26" s="100">
        <v>0.2</v>
      </c>
      <c r="Q26" s="100">
        <v>0</v>
      </c>
      <c r="R26" s="6"/>
      <c r="S26" s="6"/>
      <c r="T26" s="156"/>
      <c r="U26" s="6"/>
    </row>
    <row r="27" spans="1:21" customFormat="1">
      <c r="A27" s="201" t="s">
        <v>1603</v>
      </c>
      <c r="B27" s="100">
        <v>6.27</v>
      </c>
      <c r="C27" s="100">
        <v>7.32</v>
      </c>
      <c r="D27" s="100">
        <v>8.85</v>
      </c>
      <c r="E27" s="100">
        <v>5.7</v>
      </c>
      <c r="F27" s="100">
        <v>2</v>
      </c>
      <c r="G27" s="100">
        <v>3.18</v>
      </c>
      <c r="H27" s="100">
        <v>0.4</v>
      </c>
      <c r="I27" s="100">
        <v>3.58</v>
      </c>
      <c r="J27" s="100">
        <v>0.11</v>
      </c>
      <c r="K27" s="100">
        <v>183.67</v>
      </c>
      <c r="L27" s="100">
        <v>26.58</v>
      </c>
      <c r="M27" s="100">
        <v>77.61</v>
      </c>
      <c r="N27" s="100">
        <v>2</v>
      </c>
      <c r="O27" s="100">
        <v>0</v>
      </c>
      <c r="P27" s="100">
        <v>0.21</v>
      </c>
      <c r="Q27" s="100">
        <v>0</v>
      </c>
      <c r="R27" s="6"/>
      <c r="S27" s="6"/>
      <c r="T27" s="156"/>
      <c r="U27" s="6"/>
    </row>
    <row r="28" spans="1:21" customFormat="1">
      <c r="A28" s="201" t="s">
        <v>1604</v>
      </c>
      <c r="B28" s="100">
        <v>6.36</v>
      </c>
      <c r="C28" s="100">
        <v>7.26</v>
      </c>
      <c r="D28" s="100">
        <v>8.89</v>
      </c>
      <c r="E28" s="100">
        <v>5.74</v>
      </c>
      <c r="F28" s="100">
        <v>2</v>
      </c>
      <c r="G28" s="100">
        <v>3.11</v>
      </c>
      <c r="H28" s="100">
        <v>0.4</v>
      </c>
      <c r="I28" s="100">
        <v>3.5</v>
      </c>
      <c r="J28" s="100">
        <v>0.19</v>
      </c>
      <c r="K28" s="100">
        <v>200.58</v>
      </c>
      <c r="L28" s="100">
        <v>26.48</v>
      </c>
      <c r="M28" s="100">
        <v>77.36</v>
      </c>
      <c r="N28" s="100">
        <v>2.1</v>
      </c>
      <c r="O28" s="100">
        <v>0</v>
      </c>
      <c r="P28" s="100">
        <v>0.2</v>
      </c>
      <c r="Q28" s="100">
        <v>0</v>
      </c>
      <c r="R28" s="6"/>
      <c r="S28" s="6"/>
      <c r="T28" s="156"/>
      <c r="U28" s="6"/>
    </row>
    <row r="29" spans="1:21" customFormat="1">
      <c r="A29" s="201" t="s">
        <v>1605</v>
      </c>
      <c r="B29" s="100">
        <v>6.41</v>
      </c>
      <c r="C29" s="100">
        <v>7.29</v>
      </c>
      <c r="D29" s="100">
        <v>8.9499999999999993</v>
      </c>
      <c r="E29" s="100">
        <v>5.81</v>
      </c>
      <c r="F29" s="100">
        <v>2</v>
      </c>
      <c r="G29" s="100">
        <v>3.11</v>
      </c>
      <c r="H29" s="100">
        <v>0.4</v>
      </c>
      <c r="I29" s="100">
        <v>3.58</v>
      </c>
      <c r="J29" s="100">
        <v>0.22</v>
      </c>
      <c r="K29" s="100">
        <v>202.01</v>
      </c>
      <c r="L29" s="100">
        <v>26.45</v>
      </c>
      <c r="M29" s="100">
        <v>77.67</v>
      </c>
      <c r="N29" s="100">
        <v>2.1</v>
      </c>
      <c r="O29" s="100">
        <v>0</v>
      </c>
      <c r="P29" s="100">
        <v>0.2</v>
      </c>
      <c r="Q29" s="100">
        <v>0</v>
      </c>
      <c r="R29" s="6"/>
      <c r="S29" s="6"/>
      <c r="T29" s="156"/>
      <c r="U29" s="6"/>
    </row>
    <row r="30" spans="1:21" customFormat="1">
      <c r="A30" s="201" t="s">
        <v>1606</v>
      </c>
      <c r="B30" s="100">
        <v>6.58</v>
      </c>
      <c r="C30" s="100">
        <v>6.9</v>
      </c>
      <c r="D30" s="100">
        <v>8.8800000000000008</v>
      </c>
      <c r="E30" s="100">
        <v>6.13</v>
      </c>
      <c r="F30" s="100">
        <v>2</v>
      </c>
      <c r="G30" s="100">
        <v>3.11</v>
      </c>
      <c r="H30" s="100">
        <v>0.4</v>
      </c>
      <c r="I30" s="100">
        <v>3.56</v>
      </c>
      <c r="J30" s="100">
        <v>0.16</v>
      </c>
      <c r="K30" s="100">
        <v>187.06</v>
      </c>
      <c r="L30" s="100">
        <v>26.39</v>
      </c>
      <c r="M30" s="100">
        <v>78.33</v>
      </c>
      <c r="N30" s="100">
        <v>2.2000000000000002</v>
      </c>
      <c r="O30" s="100">
        <v>0</v>
      </c>
      <c r="P30" s="100">
        <v>0.18</v>
      </c>
      <c r="Q30" s="100">
        <v>0</v>
      </c>
      <c r="R30" s="6"/>
      <c r="S30" s="6"/>
      <c r="T30" s="156"/>
      <c r="U30" s="6"/>
    </row>
    <row r="31" spans="1:21" customFormat="1">
      <c r="A31" s="201" t="s">
        <v>1607</v>
      </c>
      <c r="B31" s="100">
        <v>6.43</v>
      </c>
      <c r="C31" s="100">
        <v>6.7</v>
      </c>
      <c r="D31" s="100">
        <v>8.65</v>
      </c>
      <c r="E31" s="100">
        <v>5.31</v>
      </c>
      <c r="F31" s="100">
        <v>2.17</v>
      </c>
      <c r="G31" s="100">
        <v>2.71</v>
      </c>
      <c r="H31" s="100">
        <v>0.33</v>
      </c>
      <c r="I31" s="100">
        <v>3.62</v>
      </c>
      <c r="J31" s="100">
        <v>0.16</v>
      </c>
      <c r="K31" s="100">
        <v>201.13</v>
      </c>
      <c r="L31" s="100">
        <v>26.39</v>
      </c>
      <c r="M31" s="100">
        <v>78.489999999999995</v>
      </c>
      <c r="N31" s="100">
        <v>2.2999999999999998</v>
      </c>
      <c r="O31" s="100">
        <v>0</v>
      </c>
      <c r="P31" s="100">
        <v>0.15</v>
      </c>
      <c r="Q31" s="100">
        <v>0</v>
      </c>
      <c r="R31" s="6"/>
      <c r="S31" s="6"/>
      <c r="T31" s="156"/>
      <c r="U31" s="6"/>
    </row>
    <row r="32" spans="1:21" customFormat="1">
      <c r="A32" s="201" t="s">
        <v>1608</v>
      </c>
      <c r="B32" s="100">
        <v>6.72</v>
      </c>
      <c r="C32" s="100">
        <v>6.61</v>
      </c>
      <c r="D32" s="100">
        <v>8.84</v>
      </c>
      <c r="E32" s="100">
        <v>5.37</v>
      </c>
      <c r="F32" s="100">
        <v>2</v>
      </c>
      <c r="G32" s="100">
        <v>2.61</v>
      </c>
      <c r="H32" s="100">
        <v>0.33</v>
      </c>
      <c r="I32" s="100">
        <v>3.61</v>
      </c>
      <c r="J32" s="100">
        <v>0.16</v>
      </c>
      <c r="K32" s="100">
        <v>198.53</v>
      </c>
      <c r="L32" s="100">
        <v>26.35</v>
      </c>
      <c r="M32" s="100">
        <v>78.569999999999993</v>
      </c>
      <c r="N32" s="100">
        <v>3.5</v>
      </c>
      <c r="O32" s="100">
        <v>0</v>
      </c>
      <c r="P32" s="100">
        <v>0.13</v>
      </c>
      <c r="Q32" s="100">
        <v>0</v>
      </c>
      <c r="R32" s="6"/>
      <c r="S32" s="6"/>
      <c r="T32" s="156"/>
      <c r="U32" s="6"/>
    </row>
    <row r="33" spans="1:21" customFormat="1">
      <c r="A33" s="201" t="s">
        <v>1609</v>
      </c>
      <c r="B33" s="100">
        <v>6.96</v>
      </c>
      <c r="C33" s="100">
        <v>6.97</v>
      </c>
      <c r="D33" s="100">
        <v>9.2200000000000006</v>
      </c>
      <c r="E33" s="100">
        <v>5.21</v>
      </c>
      <c r="F33" s="100">
        <v>2.0699999999999998</v>
      </c>
      <c r="G33" s="100">
        <v>2.61</v>
      </c>
      <c r="H33" s="100">
        <v>0.33</v>
      </c>
      <c r="I33" s="100">
        <v>3.55</v>
      </c>
      <c r="J33" s="100">
        <v>0.14000000000000001</v>
      </c>
      <c r="K33" s="100">
        <v>174.45</v>
      </c>
      <c r="L33" s="100">
        <v>26.43</v>
      </c>
      <c r="M33" s="100">
        <v>79.28</v>
      </c>
      <c r="N33" s="100">
        <v>6.7</v>
      </c>
      <c r="O33" s="100">
        <v>0</v>
      </c>
      <c r="P33" s="100">
        <v>0.16</v>
      </c>
      <c r="Q33" s="100">
        <v>0</v>
      </c>
      <c r="R33" s="6"/>
      <c r="S33" s="6"/>
      <c r="T33" s="156"/>
      <c r="U33" s="6"/>
    </row>
    <row r="34" spans="1:21" customFormat="1">
      <c r="A34" s="201" t="s">
        <v>1610</v>
      </c>
      <c r="B34" s="100">
        <v>7.08</v>
      </c>
      <c r="C34" s="100">
        <v>6.91</v>
      </c>
      <c r="D34" s="100">
        <v>9.2899999999999991</v>
      </c>
      <c r="E34" s="100">
        <v>5.32</v>
      </c>
      <c r="F34" s="100">
        <v>2.0299999999999998</v>
      </c>
      <c r="G34" s="100">
        <v>2.61</v>
      </c>
      <c r="H34" s="100">
        <v>0.33</v>
      </c>
      <c r="I34" s="100">
        <v>3.57</v>
      </c>
      <c r="J34" s="100">
        <v>0.26</v>
      </c>
      <c r="K34" s="100">
        <v>209.51</v>
      </c>
      <c r="L34" s="100">
        <v>26.41</v>
      </c>
      <c r="M34" s="100">
        <v>81.02</v>
      </c>
      <c r="N34" s="100">
        <v>13.9</v>
      </c>
      <c r="O34" s="100">
        <v>0</v>
      </c>
      <c r="P34" s="100">
        <v>0.16</v>
      </c>
      <c r="Q34" s="100">
        <v>0</v>
      </c>
      <c r="R34" s="6"/>
      <c r="S34" s="6"/>
      <c r="T34" s="156"/>
      <c r="U34" s="6"/>
    </row>
    <row r="35" spans="1:21" customFormat="1">
      <c r="A35" s="201" t="s">
        <v>1611</v>
      </c>
      <c r="B35" s="100">
        <v>6.75</v>
      </c>
      <c r="C35" s="100">
        <v>6.73</v>
      </c>
      <c r="D35" s="100">
        <v>8.93</v>
      </c>
      <c r="E35" s="100">
        <v>4.6100000000000003</v>
      </c>
      <c r="F35" s="100">
        <v>3.19</v>
      </c>
      <c r="G35" s="100">
        <v>2.91</v>
      </c>
      <c r="H35" s="100">
        <v>0.27</v>
      </c>
      <c r="I35" s="100">
        <v>3.68</v>
      </c>
      <c r="J35" s="100">
        <v>0.25</v>
      </c>
      <c r="K35" s="100">
        <v>211.56</v>
      </c>
      <c r="L35" s="100">
        <v>26.52</v>
      </c>
      <c r="M35" s="100">
        <v>81.75</v>
      </c>
      <c r="N35" s="100">
        <v>20.6</v>
      </c>
      <c r="O35" s="100">
        <v>0</v>
      </c>
      <c r="P35" s="100">
        <v>0.15</v>
      </c>
      <c r="Q35" s="100">
        <v>0</v>
      </c>
      <c r="R35" s="6"/>
      <c r="S35" s="6"/>
      <c r="T35" s="156"/>
      <c r="U35" s="6"/>
    </row>
    <row r="36" spans="1:21" customFormat="1">
      <c r="A36" s="201" t="s">
        <v>1612</v>
      </c>
      <c r="B36" s="100">
        <v>7.12</v>
      </c>
      <c r="C36" s="100">
        <v>7.1</v>
      </c>
      <c r="D36" s="100">
        <v>9.42</v>
      </c>
      <c r="E36" s="100">
        <v>5.0599999999999996</v>
      </c>
      <c r="F36" s="100">
        <v>2.17</v>
      </c>
      <c r="G36" s="100">
        <v>2.98</v>
      </c>
      <c r="H36" s="100">
        <v>0.27</v>
      </c>
      <c r="I36" s="100">
        <v>3.63</v>
      </c>
      <c r="J36" s="100">
        <v>0.28000000000000003</v>
      </c>
      <c r="K36" s="100">
        <v>208.92</v>
      </c>
      <c r="L36" s="100">
        <v>26.63</v>
      </c>
      <c r="M36" s="100">
        <v>81.25</v>
      </c>
      <c r="N36" s="100">
        <v>18.5</v>
      </c>
      <c r="O36" s="100">
        <v>0</v>
      </c>
      <c r="P36" s="100">
        <v>0.16</v>
      </c>
      <c r="Q36" s="100">
        <v>0</v>
      </c>
      <c r="R36" s="6"/>
      <c r="S36" s="6"/>
      <c r="T36" s="156"/>
      <c r="U36" s="6"/>
    </row>
    <row r="37" spans="1:21" customFormat="1">
      <c r="A37" s="201" t="s">
        <v>1613</v>
      </c>
      <c r="B37" s="100">
        <v>7.26</v>
      </c>
      <c r="C37" s="100">
        <v>6.88</v>
      </c>
      <c r="D37" s="100">
        <v>9.42</v>
      </c>
      <c r="E37" s="100">
        <v>5.16</v>
      </c>
      <c r="F37" s="100">
        <v>2</v>
      </c>
      <c r="G37" s="100">
        <v>2.98</v>
      </c>
      <c r="H37" s="100">
        <v>0.27</v>
      </c>
      <c r="I37" s="100">
        <v>3.45</v>
      </c>
      <c r="J37" s="100">
        <v>0.38</v>
      </c>
      <c r="K37" s="100">
        <v>210.56</v>
      </c>
      <c r="L37" s="100">
        <v>26.72</v>
      </c>
      <c r="M37" s="100">
        <v>80.540000000000006</v>
      </c>
      <c r="N37" s="100">
        <v>25.9</v>
      </c>
      <c r="O37" s="100">
        <v>0</v>
      </c>
      <c r="P37" s="100">
        <v>0.15</v>
      </c>
      <c r="Q37" s="100">
        <v>0</v>
      </c>
      <c r="R37" s="6"/>
      <c r="S37" s="6"/>
      <c r="T37" s="156"/>
      <c r="U37" s="6"/>
    </row>
    <row r="38" spans="1:21" customFormat="1">
      <c r="A38" s="201" t="s">
        <v>1614</v>
      </c>
      <c r="B38" s="100">
        <v>7.12</v>
      </c>
      <c r="C38" s="100">
        <v>6.66</v>
      </c>
      <c r="D38" s="100">
        <v>9.19</v>
      </c>
      <c r="E38" s="100">
        <v>4.93</v>
      </c>
      <c r="F38" s="100">
        <v>2.38</v>
      </c>
      <c r="G38" s="100">
        <v>2.98</v>
      </c>
      <c r="H38" s="100">
        <v>0.27</v>
      </c>
      <c r="I38" s="100">
        <v>3.75</v>
      </c>
      <c r="J38" s="100">
        <v>0.46</v>
      </c>
      <c r="K38" s="100">
        <v>207.22</v>
      </c>
      <c r="L38" s="100">
        <v>26.86</v>
      </c>
      <c r="M38" s="100">
        <v>78.67</v>
      </c>
      <c r="N38" s="100">
        <v>47.7</v>
      </c>
      <c r="O38" s="100">
        <v>0</v>
      </c>
      <c r="P38" s="100">
        <v>0.14000000000000001</v>
      </c>
      <c r="Q38" s="100">
        <v>0</v>
      </c>
      <c r="R38" s="6"/>
      <c r="S38" s="6"/>
      <c r="T38" s="156"/>
      <c r="U38" s="6"/>
    </row>
    <row r="39" spans="1:21" customFormat="1">
      <c r="A39" s="201" t="s">
        <v>1615</v>
      </c>
      <c r="B39" s="100">
        <v>7.27</v>
      </c>
      <c r="C39" s="100">
        <v>6.99</v>
      </c>
      <c r="D39" s="100">
        <v>9.48</v>
      </c>
      <c r="E39" s="100">
        <v>4.8099999999999996</v>
      </c>
      <c r="F39" s="100">
        <v>2.0299999999999998</v>
      </c>
      <c r="G39" s="100">
        <v>2.46</v>
      </c>
      <c r="H39" s="100">
        <v>0.24</v>
      </c>
      <c r="I39" s="100">
        <v>3.71</v>
      </c>
      <c r="J39" s="100">
        <v>0.5</v>
      </c>
      <c r="K39" s="100">
        <v>202.22</v>
      </c>
      <c r="L39" s="100">
        <v>27.24</v>
      </c>
      <c r="M39" s="100">
        <v>76.47</v>
      </c>
      <c r="N39" s="100">
        <v>75.8</v>
      </c>
      <c r="O39" s="100">
        <v>0</v>
      </c>
      <c r="P39" s="100">
        <v>0.16</v>
      </c>
      <c r="Q39" s="100">
        <v>0</v>
      </c>
      <c r="R39" s="6"/>
      <c r="S39" s="6"/>
      <c r="T39" s="156"/>
      <c r="U39" s="6"/>
    </row>
    <row r="40" spans="1:21" customFormat="1">
      <c r="A40" s="201" t="s">
        <v>1616</v>
      </c>
      <c r="B40" s="100">
        <v>7.32</v>
      </c>
      <c r="C40" s="100">
        <v>6.9</v>
      </c>
      <c r="D40" s="100">
        <v>9.4700000000000006</v>
      </c>
      <c r="E40" s="100">
        <v>5.45</v>
      </c>
      <c r="F40" s="100">
        <v>2</v>
      </c>
      <c r="G40" s="100">
        <v>2.33</v>
      </c>
      <c r="H40" s="100">
        <v>0.24</v>
      </c>
      <c r="I40" s="100">
        <v>3.52</v>
      </c>
      <c r="J40" s="100">
        <v>0.5</v>
      </c>
      <c r="K40" s="100">
        <v>200.06</v>
      </c>
      <c r="L40" s="100">
        <v>27.53</v>
      </c>
      <c r="M40" s="100">
        <v>76.180000000000007</v>
      </c>
      <c r="N40" s="100">
        <v>66.400000000000006</v>
      </c>
      <c r="O40" s="100">
        <v>0</v>
      </c>
      <c r="P40" s="100">
        <v>0.16</v>
      </c>
      <c r="Q40" s="100">
        <v>0</v>
      </c>
      <c r="R40" s="6"/>
      <c r="S40" s="6"/>
      <c r="T40" s="156"/>
      <c r="U40" s="6"/>
    </row>
    <row r="41" spans="1:21" customFormat="1">
      <c r="A41" s="201" t="s">
        <v>1617</v>
      </c>
      <c r="B41" s="100">
        <v>7.17</v>
      </c>
      <c r="C41" s="100">
        <v>6.8</v>
      </c>
      <c r="D41" s="100">
        <v>9.3000000000000007</v>
      </c>
      <c r="E41" s="100">
        <v>5.19</v>
      </c>
      <c r="F41" s="100">
        <v>2.4700000000000002</v>
      </c>
      <c r="G41" s="100">
        <v>2.33</v>
      </c>
      <c r="H41" s="100">
        <v>0.24</v>
      </c>
      <c r="I41" s="100">
        <v>3.66</v>
      </c>
      <c r="J41" s="100">
        <v>0.59</v>
      </c>
      <c r="K41" s="100">
        <v>203.67</v>
      </c>
      <c r="L41" s="100">
        <v>27.43</v>
      </c>
      <c r="M41" s="100">
        <v>76.739999999999995</v>
      </c>
      <c r="N41" s="100">
        <v>72.3</v>
      </c>
      <c r="O41" s="100">
        <v>0</v>
      </c>
      <c r="P41" s="100">
        <v>0.14000000000000001</v>
      </c>
      <c r="Q41" s="100">
        <v>0</v>
      </c>
      <c r="R41" s="6"/>
      <c r="S41" s="6"/>
      <c r="T41" s="156"/>
      <c r="U41" s="6"/>
    </row>
    <row r="42" spans="1:21" customFormat="1">
      <c r="A42" s="201" t="s">
        <v>1618</v>
      </c>
      <c r="B42" s="100">
        <v>7.13</v>
      </c>
      <c r="C42" s="100">
        <v>7.12</v>
      </c>
      <c r="D42" s="100">
        <v>9.44</v>
      </c>
      <c r="E42" s="100">
        <v>5.14</v>
      </c>
      <c r="F42" s="100">
        <v>2</v>
      </c>
      <c r="G42" s="100">
        <v>2.33</v>
      </c>
      <c r="H42" s="100">
        <v>0.24</v>
      </c>
      <c r="I42" s="100">
        <v>3.72</v>
      </c>
      <c r="J42" s="100">
        <v>0.73</v>
      </c>
      <c r="K42" s="100">
        <v>203.83</v>
      </c>
      <c r="L42" s="100">
        <v>27.6</v>
      </c>
      <c r="M42" s="100">
        <v>76.38</v>
      </c>
      <c r="N42" s="100">
        <v>98.4</v>
      </c>
      <c r="O42" s="100">
        <v>0</v>
      </c>
      <c r="P42" s="100">
        <v>0.16</v>
      </c>
      <c r="Q42" s="100">
        <v>0</v>
      </c>
      <c r="R42" s="6"/>
      <c r="S42" s="6"/>
      <c r="T42" s="156"/>
      <c r="U42" s="6"/>
    </row>
    <row r="43" spans="1:21" customFormat="1">
      <c r="A43" s="201" t="s">
        <v>1619</v>
      </c>
      <c r="B43" s="100">
        <v>6.97</v>
      </c>
      <c r="C43" s="100">
        <v>7.21</v>
      </c>
      <c r="D43" s="100">
        <v>9.36</v>
      </c>
      <c r="E43" s="100">
        <v>5.21</v>
      </c>
      <c r="F43" s="100">
        <v>2.2999999999999998</v>
      </c>
      <c r="G43" s="100">
        <v>2.48</v>
      </c>
      <c r="H43" s="100">
        <v>0.2</v>
      </c>
      <c r="I43" s="100">
        <v>3.56</v>
      </c>
      <c r="J43" s="100">
        <v>0.75</v>
      </c>
      <c r="K43" s="100">
        <v>205.4</v>
      </c>
      <c r="L43" s="100">
        <v>27.83</v>
      </c>
      <c r="M43" s="100">
        <v>76.72</v>
      </c>
      <c r="N43" s="100">
        <v>133.5</v>
      </c>
      <c r="O43" s="100">
        <v>0</v>
      </c>
      <c r="P43" s="100">
        <v>0.16</v>
      </c>
      <c r="Q43" s="100">
        <v>0</v>
      </c>
      <c r="R43" s="6"/>
      <c r="S43" s="6"/>
      <c r="T43" s="156"/>
      <c r="U43" s="6"/>
    </row>
    <row r="44" spans="1:21" customFormat="1">
      <c r="A44" s="201" t="s">
        <v>1620</v>
      </c>
      <c r="B44" s="100">
        <v>6.83</v>
      </c>
      <c r="C44" s="100">
        <v>7.11</v>
      </c>
      <c r="D44" s="100">
        <v>9.19</v>
      </c>
      <c r="E44" s="100">
        <v>5.33</v>
      </c>
      <c r="F44" s="100">
        <v>2.5299999999999998</v>
      </c>
      <c r="G44" s="100">
        <v>2.52</v>
      </c>
      <c r="H44" s="100">
        <v>0.2</v>
      </c>
      <c r="I44" s="100">
        <v>3.64</v>
      </c>
      <c r="J44" s="100">
        <v>0.63</v>
      </c>
      <c r="K44" s="100">
        <v>207.56</v>
      </c>
      <c r="L44" s="100">
        <v>28</v>
      </c>
      <c r="M44" s="100">
        <v>77.63</v>
      </c>
      <c r="N44" s="100">
        <v>112.6</v>
      </c>
      <c r="O44" s="100">
        <v>0</v>
      </c>
      <c r="P44" s="100">
        <v>0.14000000000000001</v>
      </c>
      <c r="Q44" s="100">
        <v>0</v>
      </c>
      <c r="R44" s="6"/>
      <c r="S44" s="6"/>
      <c r="T44" s="156"/>
      <c r="U44" s="6"/>
    </row>
    <row r="45" spans="1:21" customFormat="1">
      <c r="A45" s="201" t="s">
        <v>1621</v>
      </c>
      <c r="B45" s="100">
        <v>6.73</v>
      </c>
      <c r="C45" s="100">
        <v>7.54</v>
      </c>
      <c r="D45" s="100">
        <v>9.34</v>
      </c>
      <c r="E45" s="100">
        <v>5.0999999999999996</v>
      </c>
      <c r="F45" s="100">
        <v>2.56</v>
      </c>
      <c r="G45" s="100">
        <v>2.52</v>
      </c>
      <c r="H45" s="100">
        <v>0.2</v>
      </c>
      <c r="I45" s="100">
        <v>3.54</v>
      </c>
      <c r="J45" s="100">
        <v>0.39</v>
      </c>
      <c r="K45" s="100">
        <v>204.25</v>
      </c>
      <c r="L45" s="100">
        <v>27.91</v>
      </c>
      <c r="M45" s="100">
        <v>77.37</v>
      </c>
      <c r="N45" s="100">
        <v>51.8</v>
      </c>
      <c r="O45" s="100">
        <v>0</v>
      </c>
      <c r="P45" s="100">
        <v>0.16</v>
      </c>
      <c r="Q45" s="100">
        <v>0</v>
      </c>
      <c r="R45" s="6"/>
      <c r="S45" s="6"/>
      <c r="T45" s="156"/>
      <c r="U45" s="6"/>
    </row>
    <row r="46" spans="1:21" customFormat="1">
      <c r="A46" s="201" t="s">
        <v>1622</v>
      </c>
      <c r="B46" s="100">
        <v>6.73</v>
      </c>
      <c r="C46" s="100">
        <v>7.89</v>
      </c>
      <c r="D46" s="100">
        <v>9.52</v>
      </c>
      <c r="E46" s="100">
        <v>5.37</v>
      </c>
      <c r="F46" s="100">
        <v>2.0699999999999998</v>
      </c>
      <c r="G46" s="100">
        <v>2.52</v>
      </c>
      <c r="H46" s="100">
        <v>0.2</v>
      </c>
      <c r="I46" s="100">
        <v>3.62</v>
      </c>
      <c r="J46" s="100">
        <v>0.5</v>
      </c>
      <c r="K46" s="100">
        <v>204.37</v>
      </c>
      <c r="L46" s="100">
        <v>27.68</v>
      </c>
      <c r="M46" s="100">
        <v>78.09</v>
      </c>
      <c r="N46" s="100">
        <v>40.6</v>
      </c>
      <c r="O46" s="100">
        <v>0</v>
      </c>
      <c r="P46" s="100">
        <v>0.15</v>
      </c>
      <c r="Q46" s="100">
        <v>0</v>
      </c>
      <c r="R46" s="6"/>
      <c r="S46" s="6"/>
      <c r="T46" s="156"/>
      <c r="U46" s="6"/>
    </row>
    <row r="47" spans="1:21" customFormat="1">
      <c r="A47" s="201" t="s">
        <v>1623</v>
      </c>
      <c r="B47" s="100">
        <v>6.48</v>
      </c>
      <c r="C47" s="100">
        <v>8.19</v>
      </c>
      <c r="D47" s="100">
        <v>9.4700000000000006</v>
      </c>
      <c r="E47" s="100">
        <v>5.16</v>
      </c>
      <c r="F47" s="100">
        <v>2.67</v>
      </c>
      <c r="G47" s="100">
        <v>2.57</v>
      </c>
      <c r="H47" s="100">
        <v>0.19</v>
      </c>
      <c r="I47" s="100">
        <v>3.73</v>
      </c>
      <c r="J47" s="100">
        <v>0.76</v>
      </c>
      <c r="K47" s="100">
        <v>207.33</v>
      </c>
      <c r="L47" s="100">
        <v>27.45</v>
      </c>
      <c r="M47" s="100">
        <v>78.2</v>
      </c>
      <c r="N47" s="100">
        <v>58.3</v>
      </c>
      <c r="O47" s="100">
        <v>0</v>
      </c>
      <c r="P47" s="100">
        <v>0.15</v>
      </c>
      <c r="Q47" s="100">
        <v>0</v>
      </c>
      <c r="R47" s="6"/>
      <c r="S47" s="6"/>
      <c r="T47" s="156"/>
      <c r="U47" s="6"/>
    </row>
    <row r="48" spans="1:21" customFormat="1">
      <c r="A48" s="201" t="s">
        <v>1624</v>
      </c>
      <c r="B48" s="100">
        <v>6.41</v>
      </c>
      <c r="C48" s="100">
        <v>8.83</v>
      </c>
      <c r="D48" s="100">
        <v>9.75</v>
      </c>
      <c r="E48" s="100">
        <v>4.95</v>
      </c>
      <c r="F48" s="100">
        <v>2.0299999999999998</v>
      </c>
      <c r="G48" s="100">
        <v>2.58</v>
      </c>
      <c r="H48" s="100">
        <v>0.19</v>
      </c>
      <c r="I48" s="100">
        <v>3.69</v>
      </c>
      <c r="J48" s="100">
        <v>0.55000000000000004</v>
      </c>
      <c r="K48" s="100">
        <v>206.18</v>
      </c>
      <c r="L48" s="100">
        <v>27.39</v>
      </c>
      <c r="M48" s="100">
        <v>78.150000000000006</v>
      </c>
      <c r="N48" s="100">
        <v>53.1</v>
      </c>
      <c r="O48" s="100">
        <v>0</v>
      </c>
      <c r="P48" s="100">
        <v>0.15</v>
      </c>
      <c r="Q48" s="100">
        <v>0</v>
      </c>
      <c r="R48" s="6"/>
      <c r="S48" s="6"/>
      <c r="T48" s="156"/>
      <c r="U48" s="6"/>
    </row>
    <row r="49" spans="1:21" customFormat="1">
      <c r="A49" s="201" t="s">
        <v>1625</v>
      </c>
      <c r="B49" s="100">
        <v>6.13</v>
      </c>
      <c r="C49" s="100">
        <v>9.41</v>
      </c>
      <c r="D49" s="100">
        <v>9.84</v>
      </c>
      <c r="E49" s="100">
        <v>5.04</v>
      </c>
      <c r="F49" s="100">
        <v>3.2</v>
      </c>
      <c r="G49" s="100">
        <v>2.58</v>
      </c>
      <c r="H49" s="100">
        <v>0.19</v>
      </c>
      <c r="I49" s="100">
        <v>3.68</v>
      </c>
      <c r="J49" s="100">
        <v>0.45</v>
      </c>
      <c r="K49" s="100">
        <v>205.38</v>
      </c>
      <c r="L49" s="100">
        <v>27.37</v>
      </c>
      <c r="M49" s="100">
        <v>77.73</v>
      </c>
      <c r="N49" s="100">
        <v>44.7</v>
      </c>
      <c r="O49" s="100">
        <v>0</v>
      </c>
      <c r="P49" s="100">
        <v>0.17</v>
      </c>
      <c r="Q49" s="100">
        <v>0</v>
      </c>
      <c r="R49" s="6"/>
      <c r="S49" s="6"/>
      <c r="T49" s="156"/>
      <c r="U49" s="6"/>
    </row>
    <row r="50" spans="1:21" customFormat="1">
      <c r="A50" s="201" t="s">
        <v>1626</v>
      </c>
      <c r="B50" s="100">
        <v>5.98</v>
      </c>
      <c r="C50" s="100">
        <v>9.8800000000000008</v>
      </c>
      <c r="D50" s="100">
        <v>9.9600000000000009</v>
      </c>
      <c r="E50" s="100">
        <v>6.09</v>
      </c>
      <c r="F50" s="100">
        <v>2.2799999999999998</v>
      </c>
      <c r="G50" s="100">
        <v>2.58</v>
      </c>
      <c r="H50" s="100">
        <v>0.19</v>
      </c>
      <c r="I50" s="100">
        <v>3.52</v>
      </c>
      <c r="J50" s="100">
        <v>0.43</v>
      </c>
      <c r="K50" s="100">
        <v>204.72</v>
      </c>
      <c r="L50" s="100">
        <v>27.47</v>
      </c>
      <c r="M50" s="100">
        <v>77.59</v>
      </c>
      <c r="N50" s="100">
        <v>57.5</v>
      </c>
      <c r="O50" s="100">
        <v>0</v>
      </c>
      <c r="P50" s="100">
        <v>0.18</v>
      </c>
      <c r="Q50" s="100">
        <v>0</v>
      </c>
      <c r="R50" s="6"/>
      <c r="S50" s="6"/>
      <c r="T50" s="156"/>
      <c r="U50" s="6"/>
    </row>
    <row r="51" spans="1:21" customFormat="1">
      <c r="A51" s="201" t="s">
        <v>1627</v>
      </c>
      <c r="B51" s="100">
        <v>5.46</v>
      </c>
      <c r="C51" s="100">
        <v>10.14</v>
      </c>
      <c r="D51" s="100">
        <v>9.68</v>
      </c>
      <c r="E51" s="100">
        <v>5.93</v>
      </c>
      <c r="F51" s="100">
        <v>4.9000000000000004</v>
      </c>
      <c r="G51" s="100">
        <v>3.12</v>
      </c>
      <c r="H51" s="100">
        <v>0.43</v>
      </c>
      <c r="I51" s="100">
        <v>3.44</v>
      </c>
      <c r="J51" s="100">
        <v>0.34</v>
      </c>
      <c r="K51" s="100">
        <v>191.98</v>
      </c>
      <c r="L51" s="100">
        <v>27.76</v>
      </c>
      <c r="M51" s="100">
        <v>72.349999999999994</v>
      </c>
      <c r="N51" s="100">
        <v>69</v>
      </c>
      <c r="O51" s="100">
        <v>0</v>
      </c>
      <c r="P51" s="100">
        <v>0.18</v>
      </c>
      <c r="Q51" s="100">
        <v>0</v>
      </c>
      <c r="R51" s="6"/>
      <c r="S51" s="6"/>
      <c r="T51" s="156"/>
      <c r="U51" s="6"/>
    </row>
    <row r="52" spans="1:21" customFormat="1">
      <c r="A52" s="201" t="s">
        <v>1628</v>
      </c>
      <c r="B52" s="100">
        <v>3.16</v>
      </c>
      <c r="C52" s="100">
        <v>9.52</v>
      </c>
      <c r="D52" s="100">
        <v>7.51</v>
      </c>
      <c r="E52" s="100">
        <v>4.2699999999999996</v>
      </c>
      <c r="F52" s="100">
        <v>8.86</v>
      </c>
      <c r="G52" s="100">
        <v>3.26</v>
      </c>
      <c r="H52" s="100">
        <v>0.43</v>
      </c>
      <c r="I52" s="100">
        <v>3.43</v>
      </c>
      <c r="J52" s="100">
        <v>0.38</v>
      </c>
      <c r="K52" s="100">
        <v>180.09</v>
      </c>
      <c r="L52" s="100">
        <v>27.94</v>
      </c>
      <c r="M52" s="100">
        <v>67.2</v>
      </c>
      <c r="N52" s="100">
        <v>90.7</v>
      </c>
      <c r="O52" s="100">
        <v>0</v>
      </c>
      <c r="P52" s="100">
        <v>0.18</v>
      </c>
      <c r="Q52" s="100">
        <v>0</v>
      </c>
      <c r="R52" s="6"/>
      <c r="S52" s="6"/>
      <c r="T52" s="156"/>
      <c r="U52" s="6"/>
    </row>
    <row r="53" spans="1:21" customFormat="1">
      <c r="A53" s="201" t="s">
        <v>1629</v>
      </c>
      <c r="B53" s="100">
        <v>2.39</v>
      </c>
      <c r="C53" s="100">
        <v>8.7899999999999991</v>
      </c>
      <c r="D53" s="100">
        <v>6.51</v>
      </c>
      <c r="E53" s="100">
        <v>4.13</v>
      </c>
      <c r="F53" s="100">
        <v>7.11</v>
      </c>
      <c r="G53" s="100">
        <v>3.26</v>
      </c>
      <c r="H53" s="100">
        <v>0.43</v>
      </c>
      <c r="I53" s="100">
        <v>3.21</v>
      </c>
      <c r="J53" s="100">
        <v>0.47</v>
      </c>
      <c r="K53" s="100">
        <v>178.07</v>
      </c>
      <c r="L53" s="100">
        <v>27.32</v>
      </c>
      <c r="M53" s="100">
        <v>62.5</v>
      </c>
      <c r="N53" s="100">
        <v>125.2</v>
      </c>
      <c r="O53" s="100">
        <v>0</v>
      </c>
      <c r="P53" s="100">
        <v>0.18</v>
      </c>
      <c r="Q53" s="100">
        <v>0</v>
      </c>
      <c r="R53" s="6"/>
      <c r="S53" s="6"/>
      <c r="T53" s="156"/>
      <c r="U53" s="6"/>
    </row>
    <row r="54" spans="1:21" customFormat="1">
      <c r="A54" s="201" t="s">
        <v>1630</v>
      </c>
      <c r="B54" s="100">
        <v>2.2799999999999998</v>
      </c>
      <c r="C54" s="100">
        <v>8.0399999999999991</v>
      </c>
      <c r="D54" s="100">
        <v>6.03</v>
      </c>
      <c r="E54" s="100">
        <v>3.91</v>
      </c>
      <c r="F54" s="100">
        <v>4.37</v>
      </c>
      <c r="G54" s="100">
        <v>3.26</v>
      </c>
      <c r="H54" s="100">
        <v>0.43</v>
      </c>
      <c r="I54" s="100">
        <v>2.84</v>
      </c>
      <c r="J54" s="100">
        <v>0.38</v>
      </c>
      <c r="K54" s="100">
        <v>178.98</v>
      </c>
      <c r="L54" s="100">
        <v>28.11</v>
      </c>
      <c r="M54" s="100">
        <v>64.09</v>
      </c>
      <c r="N54" s="100">
        <v>72.099999999999994</v>
      </c>
      <c r="O54" s="100">
        <v>0</v>
      </c>
      <c r="P54" s="100">
        <v>0.17</v>
      </c>
      <c r="Q54" s="100">
        <v>10</v>
      </c>
      <c r="R54" s="6"/>
      <c r="S54" s="6"/>
      <c r="T54" s="156"/>
      <c r="U54" s="6"/>
    </row>
    <row r="55" spans="1:21" customFormat="1">
      <c r="A55" s="201" t="s">
        <v>1631</v>
      </c>
      <c r="B55" s="100">
        <v>2.2999999999999998</v>
      </c>
      <c r="C55" s="100">
        <v>7.48</v>
      </c>
      <c r="D55" s="100">
        <v>5.75</v>
      </c>
      <c r="E55" s="100">
        <v>4.12</v>
      </c>
      <c r="F55" s="100">
        <v>6.29</v>
      </c>
      <c r="G55" s="100">
        <v>10.31</v>
      </c>
      <c r="H55" s="100">
        <v>2.0299999999999998</v>
      </c>
      <c r="I55" s="100">
        <v>2.82</v>
      </c>
      <c r="J55" s="100">
        <v>0.31</v>
      </c>
      <c r="K55" s="100">
        <v>173.56</v>
      </c>
      <c r="L55" s="100">
        <v>28.14</v>
      </c>
      <c r="M55" s="100">
        <v>64.23</v>
      </c>
      <c r="N55" s="100">
        <v>70.599999999999994</v>
      </c>
      <c r="O55" s="100">
        <v>0</v>
      </c>
      <c r="P55" s="100">
        <v>0.17</v>
      </c>
      <c r="Q55" s="100">
        <v>10.14</v>
      </c>
      <c r="R55" s="6"/>
      <c r="S55" s="6"/>
      <c r="T55" s="156"/>
      <c r="U55" s="6"/>
    </row>
    <row r="56" spans="1:21" customFormat="1">
      <c r="A56" s="201" t="s">
        <v>1632</v>
      </c>
      <c r="B56" s="100">
        <v>2.34</v>
      </c>
      <c r="C56" s="100">
        <v>7.16</v>
      </c>
      <c r="D56" s="100">
        <v>5.62</v>
      </c>
      <c r="E56" s="100">
        <v>4.3099999999999996</v>
      </c>
      <c r="F56" s="100">
        <v>7.15</v>
      </c>
      <c r="G56" s="100">
        <v>12.19</v>
      </c>
      <c r="H56" s="100">
        <v>2.0299999999999998</v>
      </c>
      <c r="I56" s="100">
        <v>2.9</v>
      </c>
      <c r="J56" s="100">
        <v>0.36</v>
      </c>
      <c r="K56" s="100">
        <v>176.93</v>
      </c>
      <c r="L56" s="100">
        <v>28.33</v>
      </c>
      <c r="M56" s="100">
        <v>65.28</v>
      </c>
      <c r="N56" s="100">
        <v>87.7</v>
      </c>
      <c r="O56" s="100">
        <v>0</v>
      </c>
      <c r="P56" s="100">
        <v>0.17</v>
      </c>
      <c r="Q56" s="100">
        <v>10</v>
      </c>
      <c r="R56" s="6"/>
      <c r="S56" s="6"/>
      <c r="T56" s="156"/>
      <c r="U56" s="6"/>
    </row>
    <row r="57" spans="1:21" customFormat="1">
      <c r="A57" s="201" t="s">
        <v>1633</v>
      </c>
      <c r="B57" s="100">
        <v>2.31</v>
      </c>
      <c r="C57" s="100">
        <v>7.21</v>
      </c>
      <c r="D57" s="100">
        <v>5.62</v>
      </c>
      <c r="E57" s="100">
        <v>4.29</v>
      </c>
      <c r="F57" s="100">
        <v>8.89</v>
      </c>
      <c r="G57" s="100">
        <v>12.19</v>
      </c>
      <c r="H57" s="100">
        <v>2.0299999999999998</v>
      </c>
      <c r="I57" s="100">
        <v>2.98</v>
      </c>
      <c r="J57" s="100">
        <v>0.32</v>
      </c>
      <c r="K57" s="100">
        <v>179.54</v>
      </c>
      <c r="L57" s="100">
        <v>28.26</v>
      </c>
      <c r="M57" s="100">
        <v>64.849999999999994</v>
      </c>
      <c r="N57" s="100">
        <v>98.5</v>
      </c>
      <c r="O57" s="100">
        <v>0</v>
      </c>
      <c r="P57" s="100">
        <v>0.19</v>
      </c>
      <c r="Q57" s="100">
        <v>54.38</v>
      </c>
      <c r="R57" s="6"/>
      <c r="S57" s="6"/>
      <c r="T57" s="156"/>
      <c r="U57" s="6"/>
    </row>
    <row r="58" spans="1:21" customFormat="1">
      <c r="A58" s="201" t="s">
        <v>1634</v>
      </c>
      <c r="B58" s="100">
        <v>2.12</v>
      </c>
      <c r="C58" s="100">
        <v>7.35</v>
      </c>
      <c r="D58" s="100">
        <v>5.54</v>
      </c>
      <c r="E58" s="100">
        <v>4</v>
      </c>
      <c r="F58" s="100">
        <v>14.19</v>
      </c>
      <c r="G58" s="100">
        <v>12.19</v>
      </c>
      <c r="H58" s="100">
        <v>2.0299999999999998</v>
      </c>
      <c r="I58" s="100">
        <v>2.97</v>
      </c>
      <c r="J58" s="100">
        <v>0.46</v>
      </c>
      <c r="K58" s="100">
        <v>179.56</v>
      </c>
      <c r="L58" s="100">
        <v>28.53</v>
      </c>
      <c r="M58" s="100">
        <v>64.989999999999995</v>
      </c>
      <c r="N58" s="100">
        <v>99.4</v>
      </c>
      <c r="O58" s="100">
        <v>0</v>
      </c>
      <c r="P58" s="100">
        <v>0.19</v>
      </c>
      <c r="Q58" s="100">
        <v>15.58</v>
      </c>
      <c r="R58" s="6"/>
      <c r="S58" s="6"/>
      <c r="T58" s="156"/>
      <c r="U58" s="6"/>
    </row>
    <row r="59" spans="1:21" customFormat="1">
      <c r="A59" s="201" t="s">
        <v>1635</v>
      </c>
      <c r="B59" s="100">
        <v>1.97</v>
      </c>
      <c r="C59" s="100">
        <v>7.3</v>
      </c>
      <c r="D59" s="100">
        <v>5.39</v>
      </c>
      <c r="E59" s="100">
        <v>4.03</v>
      </c>
      <c r="F59" s="100">
        <v>10.59</v>
      </c>
      <c r="G59" s="100">
        <v>10.96</v>
      </c>
      <c r="H59" s="100">
        <v>2.61</v>
      </c>
      <c r="I59" s="100">
        <v>3.26</v>
      </c>
      <c r="J59" s="100">
        <v>0.37</v>
      </c>
      <c r="K59" s="100">
        <v>180.37</v>
      </c>
      <c r="L59" s="100">
        <v>28.32</v>
      </c>
      <c r="M59" s="100">
        <v>64.83</v>
      </c>
      <c r="N59" s="100">
        <v>60.1</v>
      </c>
      <c r="O59" s="100">
        <v>0</v>
      </c>
      <c r="P59" s="100">
        <v>0.19</v>
      </c>
      <c r="Q59" s="100">
        <v>9.7799999999999994</v>
      </c>
      <c r="R59" s="6"/>
      <c r="S59" s="6"/>
      <c r="T59" s="156"/>
      <c r="U59" s="6"/>
    </row>
    <row r="60" spans="1:21" customFormat="1">
      <c r="A60" s="201" t="s">
        <v>1636</v>
      </c>
      <c r="B60" s="100">
        <v>2.59</v>
      </c>
      <c r="C60" s="100">
        <v>8.0299999999999994</v>
      </c>
      <c r="D60" s="100">
        <v>6.27</v>
      </c>
      <c r="E60" s="100">
        <v>4.07</v>
      </c>
      <c r="F60" s="100">
        <v>8.67</v>
      </c>
      <c r="G60" s="100">
        <v>10.66</v>
      </c>
      <c r="H60" s="100">
        <v>2.61</v>
      </c>
      <c r="I60" s="100">
        <v>3.24</v>
      </c>
      <c r="J60" s="100">
        <v>0.43</v>
      </c>
      <c r="K60" s="100">
        <v>179.45</v>
      </c>
      <c r="L60" s="100">
        <v>28.1</v>
      </c>
      <c r="M60" s="100">
        <v>65.13</v>
      </c>
      <c r="N60" s="100">
        <v>33.700000000000003</v>
      </c>
      <c r="O60" s="100">
        <v>0</v>
      </c>
      <c r="P60" s="100">
        <v>0.22</v>
      </c>
      <c r="Q60" s="100">
        <v>9.99</v>
      </c>
      <c r="R60" s="6"/>
      <c r="S60" s="6"/>
      <c r="T60" s="156"/>
      <c r="U60" s="6"/>
    </row>
    <row r="61" spans="1:21" customFormat="1">
      <c r="A61" s="201" t="s">
        <v>1637</v>
      </c>
      <c r="B61" s="100">
        <v>6.4</v>
      </c>
      <c r="C61" s="100">
        <v>13.26</v>
      </c>
      <c r="D61" s="100">
        <v>12.06</v>
      </c>
      <c r="E61" s="100">
        <v>4.6100000000000003</v>
      </c>
      <c r="F61" s="100">
        <v>9.85</v>
      </c>
      <c r="G61" s="100">
        <v>10.66</v>
      </c>
      <c r="H61" s="100">
        <v>2.61</v>
      </c>
      <c r="I61" s="100">
        <v>3.3</v>
      </c>
      <c r="J61" s="100">
        <v>0.59</v>
      </c>
      <c r="K61" s="100">
        <v>181.09</v>
      </c>
      <c r="L61" s="100">
        <v>27.84</v>
      </c>
      <c r="M61" s="100">
        <v>66.010000000000005</v>
      </c>
      <c r="N61" s="100">
        <v>24.1</v>
      </c>
      <c r="O61" s="100">
        <v>0</v>
      </c>
      <c r="P61" s="100">
        <v>0.28000000000000003</v>
      </c>
      <c r="Q61" s="100">
        <v>22.96</v>
      </c>
      <c r="R61" s="6"/>
      <c r="S61" s="6"/>
      <c r="T61" s="156"/>
      <c r="U61" s="6"/>
    </row>
    <row r="62" spans="1:21" customFormat="1">
      <c r="A62" s="201" t="s">
        <v>1638</v>
      </c>
      <c r="B62" s="100">
        <v>5.76</v>
      </c>
      <c r="C62" s="100">
        <v>13.3</v>
      </c>
      <c r="D62" s="100">
        <v>11.56</v>
      </c>
      <c r="E62" s="100">
        <v>4.55</v>
      </c>
      <c r="F62" s="100">
        <v>8.27</v>
      </c>
      <c r="G62" s="100">
        <v>10.66</v>
      </c>
      <c r="H62" s="100">
        <v>2.61</v>
      </c>
      <c r="I62" s="100">
        <v>3.74</v>
      </c>
      <c r="J62" s="100">
        <v>0.62</v>
      </c>
      <c r="K62" s="100">
        <v>179.85</v>
      </c>
      <c r="L62" s="100">
        <v>27.58</v>
      </c>
      <c r="M62" s="100">
        <v>66.02</v>
      </c>
      <c r="N62" s="100">
        <v>29.8</v>
      </c>
      <c r="O62" s="100">
        <v>0</v>
      </c>
      <c r="P62" s="100">
        <v>0.28999999999999998</v>
      </c>
      <c r="Q62" s="100">
        <v>52.9</v>
      </c>
      <c r="R62" s="6"/>
      <c r="S62" s="6"/>
      <c r="T62" s="156"/>
      <c r="U62" s="6"/>
    </row>
    <row r="63" spans="1:21" customFormat="1">
      <c r="A63" s="201" t="s">
        <v>1639</v>
      </c>
      <c r="B63" s="100">
        <v>5.31</v>
      </c>
      <c r="C63" s="100">
        <v>13.52</v>
      </c>
      <c r="D63" s="100">
        <v>11.33</v>
      </c>
      <c r="E63" s="100">
        <v>4.47</v>
      </c>
      <c r="F63" s="100">
        <v>7.03</v>
      </c>
      <c r="G63" s="100">
        <v>11.31</v>
      </c>
      <c r="H63" s="100">
        <v>3.66</v>
      </c>
      <c r="I63" s="100">
        <v>3.59</v>
      </c>
      <c r="J63" s="100">
        <v>0.42</v>
      </c>
      <c r="K63" s="100">
        <v>180.73</v>
      </c>
      <c r="L63" s="100">
        <v>27.19</v>
      </c>
      <c r="M63" s="100">
        <v>67.709999999999994</v>
      </c>
      <c r="N63" s="100">
        <v>26.8</v>
      </c>
      <c r="O63" s="100">
        <v>0</v>
      </c>
      <c r="P63" s="100">
        <v>0.3</v>
      </c>
      <c r="Q63" s="100">
        <v>21.18</v>
      </c>
      <c r="R63" s="6"/>
      <c r="S63" s="6"/>
      <c r="T63" s="156"/>
      <c r="U63" s="6"/>
    </row>
    <row r="64" spans="1:21" customFormat="1">
      <c r="A64" s="201" t="s">
        <v>1640</v>
      </c>
      <c r="B64" s="100">
        <v>4.75</v>
      </c>
      <c r="C64" s="100">
        <v>12.43</v>
      </c>
      <c r="D64" s="100">
        <v>10.3</v>
      </c>
      <c r="E64" s="100">
        <v>4.33</v>
      </c>
      <c r="F64" s="100">
        <v>4.97</v>
      </c>
      <c r="G64" s="100">
        <v>11.49</v>
      </c>
      <c r="H64" s="100">
        <v>3.66</v>
      </c>
      <c r="I64" s="100">
        <v>3.71</v>
      </c>
      <c r="J64" s="100">
        <v>0.11</v>
      </c>
      <c r="K64" s="100">
        <v>136.38999999999999</v>
      </c>
      <c r="L64" s="100">
        <v>27.09</v>
      </c>
      <c r="M64" s="100">
        <v>67.52</v>
      </c>
      <c r="N64" s="100">
        <v>26.1</v>
      </c>
      <c r="O64" s="100">
        <v>0</v>
      </c>
      <c r="P64" s="100">
        <v>0.33</v>
      </c>
      <c r="Q64" s="100">
        <v>13.1</v>
      </c>
      <c r="R64" s="6"/>
      <c r="S64" s="6"/>
      <c r="T64" s="156"/>
      <c r="U64" s="6"/>
    </row>
    <row r="65" spans="1:21" customFormat="1">
      <c r="A65" s="201" t="s">
        <v>1641</v>
      </c>
      <c r="B65" s="100">
        <v>5.22</v>
      </c>
      <c r="C65" s="100">
        <v>12.48</v>
      </c>
      <c r="D65" s="100">
        <v>10.71</v>
      </c>
      <c r="E65" s="100">
        <v>4.26</v>
      </c>
      <c r="F65" s="100">
        <v>3.9</v>
      </c>
      <c r="G65" s="100">
        <v>11.49</v>
      </c>
      <c r="H65" s="100">
        <v>3.66</v>
      </c>
      <c r="I65" s="100">
        <v>4.05</v>
      </c>
      <c r="J65" s="100">
        <v>0.28999999999999998</v>
      </c>
      <c r="K65" s="100">
        <v>168.88</v>
      </c>
      <c r="L65" s="100">
        <v>27.11</v>
      </c>
      <c r="M65" s="100">
        <v>67.709999999999994</v>
      </c>
      <c r="N65" s="100">
        <v>26.9</v>
      </c>
      <c r="O65" s="100">
        <v>0</v>
      </c>
      <c r="P65" s="100">
        <v>0.37</v>
      </c>
      <c r="Q65" s="100">
        <v>10.02</v>
      </c>
      <c r="R65" s="6"/>
      <c r="S65" s="6"/>
      <c r="T65" s="156"/>
      <c r="U65" s="6"/>
    </row>
    <row r="66" spans="1:21" customFormat="1">
      <c r="A66" s="201" t="s">
        <v>1642</v>
      </c>
      <c r="B66" s="100">
        <v>7.37</v>
      </c>
      <c r="C66" s="100">
        <v>14.26</v>
      </c>
      <c r="D66" s="100">
        <v>13.36</v>
      </c>
      <c r="E66" s="100">
        <v>4.6100000000000003</v>
      </c>
      <c r="F66" s="100">
        <v>3.85</v>
      </c>
      <c r="G66" s="100">
        <v>11.49</v>
      </c>
      <c r="H66" s="100">
        <v>3.66</v>
      </c>
      <c r="I66" s="100">
        <v>4.3</v>
      </c>
      <c r="J66" s="100">
        <v>0.22</v>
      </c>
      <c r="K66" s="100">
        <v>51.22</v>
      </c>
      <c r="L66" s="100">
        <v>27.07</v>
      </c>
      <c r="M66" s="100">
        <v>67.790000000000006</v>
      </c>
      <c r="N66" s="100">
        <v>28.1</v>
      </c>
      <c r="O66" s="100">
        <v>0</v>
      </c>
      <c r="P66" s="100">
        <v>0.39</v>
      </c>
      <c r="Q66" s="100">
        <v>10</v>
      </c>
      <c r="R66" s="6"/>
      <c r="S66" s="6"/>
      <c r="T66" s="156"/>
      <c r="U66" s="6"/>
    </row>
    <row r="67" spans="1:21" customFormat="1">
      <c r="A67" s="201" t="s">
        <v>1643</v>
      </c>
      <c r="B67" s="100">
        <v>7.56</v>
      </c>
      <c r="C67" s="100">
        <v>13.56</v>
      </c>
      <c r="D67" s="100">
        <v>13.15</v>
      </c>
      <c r="E67" s="100">
        <v>4.1100000000000003</v>
      </c>
      <c r="F67" s="100">
        <v>2.72</v>
      </c>
      <c r="G67" s="100">
        <v>23.9</v>
      </c>
      <c r="H67" s="100">
        <v>6.69</v>
      </c>
      <c r="I67" s="100">
        <v>4.53</v>
      </c>
      <c r="J67" s="100">
        <v>0.28000000000000003</v>
      </c>
      <c r="K67" s="100">
        <v>46.99</v>
      </c>
      <c r="L67" s="100">
        <v>26.82</v>
      </c>
      <c r="M67" s="100">
        <v>68.06</v>
      </c>
      <c r="N67" s="100">
        <v>31.5</v>
      </c>
      <c r="O67" s="100">
        <v>0</v>
      </c>
      <c r="P67" s="100">
        <v>0.39</v>
      </c>
      <c r="Q67" s="100">
        <v>10</v>
      </c>
      <c r="R67" s="6"/>
      <c r="S67" s="6"/>
      <c r="T67" s="156"/>
      <c r="U67" s="6"/>
    </row>
    <row r="68" spans="1:21" customFormat="1">
      <c r="A68" s="201" t="s">
        <v>1644</v>
      </c>
      <c r="B68" s="100">
        <v>7.8</v>
      </c>
      <c r="C68" s="100">
        <v>12.95</v>
      </c>
      <c r="D68" s="100">
        <v>13.02</v>
      </c>
      <c r="E68" s="100">
        <v>4.79</v>
      </c>
      <c r="F68" s="100">
        <v>2.74</v>
      </c>
      <c r="G68" s="100">
        <v>27</v>
      </c>
      <c r="H68" s="100">
        <v>6.69</v>
      </c>
      <c r="I68" s="100">
        <v>4.72</v>
      </c>
      <c r="J68" s="100">
        <v>0.15</v>
      </c>
      <c r="K68" s="100">
        <v>50.59</v>
      </c>
      <c r="L68" s="100">
        <v>26.55</v>
      </c>
      <c r="M68" s="100">
        <v>68.239999999999995</v>
      </c>
      <c r="N68" s="100">
        <v>31.5</v>
      </c>
      <c r="O68" s="100">
        <v>0</v>
      </c>
      <c r="P68" s="100">
        <v>0.37</v>
      </c>
      <c r="Q68" s="100">
        <v>9.9499999999999993</v>
      </c>
      <c r="R68" s="6"/>
      <c r="S68" s="6"/>
      <c r="T68" s="156"/>
      <c r="U68" s="6"/>
    </row>
    <row r="69" spans="1:21" customFormat="1">
      <c r="A69" s="201" t="s">
        <v>1645</v>
      </c>
      <c r="B69" s="100">
        <v>7.86</v>
      </c>
      <c r="C69" s="100">
        <v>13.33</v>
      </c>
      <c r="D69" s="100">
        <v>13.27</v>
      </c>
      <c r="E69" s="100">
        <v>5.21</v>
      </c>
      <c r="F69" s="100">
        <v>2.14</v>
      </c>
      <c r="G69" s="100">
        <v>27</v>
      </c>
      <c r="H69" s="100">
        <v>6.69</v>
      </c>
      <c r="I69" s="100">
        <v>5.69</v>
      </c>
      <c r="J69" s="100">
        <v>0.1</v>
      </c>
      <c r="K69" s="100">
        <v>71.069999999999993</v>
      </c>
      <c r="L69" s="100">
        <v>26.53</v>
      </c>
      <c r="M69" s="100">
        <v>68.02</v>
      </c>
      <c r="N69" s="100">
        <v>25.1</v>
      </c>
      <c r="O69" s="100">
        <v>0</v>
      </c>
      <c r="P69" s="100">
        <v>0.37</v>
      </c>
      <c r="Q69" s="100">
        <v>10.039999999999999</v>
      </c>
      <c r="R69" s="6"/>
      <c r="S69" s="6"/>
      <c r="T69" s="156"/>
      <c r="U69" s="6"/>
    </row>
    <row r="70" spans="1:21" customFormat="1">
      <c r="A70" s="201" t="s">
        <v>1646</v>
      </c>
      <c r="B70" s="100">
        <v>8.08</v>
      </c>
      <c r="C70" s="100">
        <v>12.88</v>
      </c>
      <c r="D70" s="100">
        <v>13.21</v>
      </c>
      <c r="E70" s="100">
        <v>4.13</v>
      </c>
      <c r="F70" s="100">
        <v>2.06</v>
      </c>
      <c r="G70" s="100">
        <v>27</v>
      </c>
      <c r="H70" s="100">
        <v>6.69</v>
      </c>
      <c r="I70" s="100">
        <v>4.53</v>
      </c>
      <c r="J70" s="100">
        <v>0.14000000000000001</v>
      </c>
      <c r="K70" s="100">
        <v>76.040000000000006</v>
      </c>
      <c r="L70" s="100">
        <v>26.69</v>
      </c>
      <c r="M70" s="100">
        <v>68.2</v>
      </c>
      <c r="N70" s="100">
        <v>23.9</v>
      </c>
      <c r="O70" s="100">
        <v>0</v>
      </c>
      <c r="P70" s="100">
        <v>0.37</v>
      </c>
      <c r="Q70" s="100">
        <v>9.68</v>
      </c>
      <c r="R70" s="6"/>
      <c r="S70" s="6"/>
      <c r="T70" s="156"/>
      <c r="U70" s="6"/>
    </row>
    <row r="71" spans="1:21" customFormat="1">
      <c r="A71" s="201" t="s">
        <v>1647</v>
      </c>
      <c r="B71" s="100">
        <v>9.31</v>
      </c>
      <c r="C71" s="100">
        <v>12.65</v>
      </c>
      <c r="D71" s="100">
        <v>14.08</v>
      </c>
      <c r="E71" s="100">
        <v>4.8899999999999997</v>
      </c>
      <c r="F71" s="100">
        <v>2.0499999999999998</v>
      </c>
      <c r="G71" s="100">
        <v>38.18</v>
      </c>
      <c r="H71" s="100">
        <v>10.1</v>
      </c>
      <c r="I71" s="100">
        <v>4.55</v>
      </c>
      <c r="J71" s="100">
        <v>0.36</v>
      </c>
      <c r="K71" s="100">
        <v>41</v>
      </c>
      <c r="L71" s="100">
        <v>26.63</v>
      </c>
      <c r="M71" s="100">
        <v>68.23</v>
      </c>
      <c r="N71" s="100">
        <v>31.8</v>
      </c>
      <c r="O71" s="100">
        <v>0</v>
      </c>
      <c r="P71" s="100">
        <v>0.37</v>
      </c>
      <c r="Q71" s="100">
        <v>9.92</v>
      </c>
      <c r="R71" s="6"/>
      <c r="S71" s="6"/>
      <c r="T71" s="156"/>
      <c r="U71" s="6"/>
    </row>
    <row r="72" spans="1:21" customFormat="1">
      <c r="A72" s="201" t="s">
        <v>1648</v>
      </c>
      <c r="B72" s="100">
        <v>9.36</v>
      </c>
      <c r="C72" s="100">
        <v>11.22</v>
      </c>
      <c r="D72" s="100">
        <v>13.36</v>
      </c>
      <c r="E72" s="100">
        <v>4.3099999999999996</v>
      </c>
      <c r="F72" s="100">
        <v>2</v>
      </c>
      <c r="G72" s="100">
        <v>40.98</v>
      </c>
      <c r="H72" s="100">
        <v>10.1</v>
      </c>
      <c r="I72" s="100">
        <v>5.8</v>
      </c>
      <c r="J72" s="100">
        <v>0.51</v>
      </c>
      <c r="K72" s="100">
        <v>36.82</v>
      </c>
      <c r="L72" s="100">
        <v>26.42</v>
      </c>
      <c r="M72" s="100">
        <v>68.430000000000007</v>
      </c>
      <c r="N72" s="100">
        <v>25.6</v>
      </c>
      <c r="O72" s="100">
        <v>0</v>
      </c>
      <c r="P72" s="100">
        <v>0.36</v>
      </c>
      <c r="Q72" s="100">
        <v>10</v>
      </c>
      <c r="R72" s="6"/>
      <c r="S72" s="6"/>
      <c r="T72" s="156"/>
      <c r="U72" s="6"/>
    </row>
    <row r="73" spans="1:21" customFormat="1">
      <c r="A73" s="201" t="s">
        <v>1649</v>
      </c>
      <c r="B73" s="100">
        <v>9.91</v>
      </c>
      <c r="C73" s="100">
        <v>10.52</v>
      </c>
      <c r="D73" s="100">
        <v>13.45</v>
      </c>
      <c r="E73" s="100">
        <v>4.67</v>
      </c>
      <c r="F73" s="100">
        <v>2</v>
      </c>
      <c r="G73" s="100">
        <v>40.98</v>
      </c>
      <c r="H73" s="100">
        <v>10.1</v>
      </c>
      <c r="I73" s="100">
        <v>5.1100000000000003</v>
      </c>
      <c r="J73" s="100">
        <v>0.17</v>
      </c>
      <c r="K73" s="100">
        <v>50.36</v>
      </c>
      <c r="L73" s="100">
        <v>26.26</v>
      </c>
      <c r="M73" s="100">
        <v>68.900000000000006</v>
      </c>
      <c r="N73" s="100">
        <v>18.3</v>
      </c>
      <c r="O73" s="100">
        <v>0</v>
      </c>
      <c r="P73" s="100">
        <v>0.38</v>
      </c>
      <c r="Q73" s="100">
        <v>10</v>
      </c>
      <c r="R73" s="6"/>
      <c r="S73" s="6"/>
      <c r="T73" s="156"/>
      <c r="U73" s="6"/>
    </row>
    <row r="74" spans="1:21" customFormat="1">
      <c r="A74" s="201" t="s">
        <v>1650</v>
      </c>
      <c r="B74" s="100">
        <v>10.66</v>
      </c>
      <c r="C74" s="100">
        <v>9.66</v>
      </c>
      <c r="D74" s="100">
        <v>13.6</v>
      </c>
      <c r="E74" s="100">
        <v>4.53</v>
      </c>
      <c r="F74" s="100">
        <v>2.31</v>
      </c>
      <c r="G74" s="100">
        <v>40.98</v>
      </c>
      <c r="H74" s="100">
        <v>10.1</v>
      </c>
      <c r="I74" s="100">
        <v>6.23</v>
      </c>
      <c r="J74" s="100">
        <v>0.19</v>
      </c>
      <c r="K74" s="100">
        <v>47.89</v>
      </c>
      <c r="L74" s="100">
        <v>26.23</v>
      </c>
      <c r="M74" s="100">
        <v>68.680000000000007</v>
      </c>
      <c r="N74" s="100">
        <v>21</v>
      </c>
      <c r="O74" s="100">
        <v>0</v>
      </c>
      <c r="P74" s="100">
        <v>0.38</v>
      </c>
      <c r="Q74" s="100">
        <v>10</v>
      </c>
      <c r="R74" s="6"/>
      <c r="S74" s="6"/>
      <c r="T74" s="156"/>
      <c r="U74" s="6"/>
    </row>
    <row r="75" spans="1:21" customFormat="1">
      <c r="A75" s="201" t="s">
        <v>1651</v>
      </c>
      <c r="B75" s="100">
        <v>11.84</v>
      </c>
      <c r="C75" s="100">
        <v>10.039999999999999</v>
      </c>
      <c r="D75" s="100">
        <v>14.74</v>
      </c>
      <c r="E75" s="100">
        <v>5.04</v>
      </c>
      <c r="F75" s="100">
        <v>2</v>
      </c>
      <c r="G75" s="100">
        <v>43.99</v>
      </c>
      <c r="H75" s="100">
        <v>12.49</v>
      </c>
      <c r="I75" s="100">
        <v>6.49</v>
      </c>
      <c r="J75" s="100">
        <v>0.15</v>
      </c>
      <c r="K75" s="100">
        <v>66.91</v>
      </c>
      <c r="L75" s="100">
        <v>26.22</v>
      </c>
      <c r="M75" s="100">
        <v>68.239999999999995</v>
      </c>
      <c r="N75" s="100">
        <v>21.5</v>
      </c>
      <c r="O75" s="100">
        <v>0</v>
      </c>
      <c r="P75" s="100">
        <v>0.39</v>
      </c>
      <c r="Q75" s="100">
        <v>10.07</v>
      </c>
      <c r="R75" s="6"/>
      <c r="S75" s="6"/>
      <c r="T75" s="156"/>
      <c r="U75" s="6"/>
    </row>
    <row r="76" spans="1:21" customFormat="1">
      <c r="A76" s="201" t="s">
        <v>1652</v>
      </c>
      <c r="B76" s="100">
        <v>11.86</v>
      </c>
      <c r="C76" s="100">
        <v>9.09</v>
      </c>
      <c r="D76" s="100">
        <v>14.26</v>
      </c>
      <c r="E76" s="100">
        <v>4.8099999999999996</v>
      </c>
      <c r="F76" s="100">
        <v>2</v>
      </c>
      <c r="G76" s="100">
        <v>44.74</v>
      </c>
      <c r="H76" s="100">
        <v>12.49</v>
      </c>
      <c r="I76" s="100">
        <v>6.7</v>
      </c>
      <c r="J76" s="100">
        <v>0.19</v>
      </c>
      <c r="K76" s="100">
        <v>65.87</v>
      </c>
      <c r="L76" s="100">
        <v>26.2</v>
      </c>
      <c r="M76" s="100">
        <v>68.180000000000007</v>
      </c>
      <c r="N76" s="100">
        <v>15.8</v>
      </c>
      <c r="O76" s="100">
        <v>0</v>
      </c>
      <c r="P76" s="100">
        <v>0.4</v>
      </c>
      <c r="Q76" s="100">
        <v>15.54</v>
      </c>
      <c r="R76" s="6"/>
      <c r="S76" s="6"/>
      <c r="T76" s="156"/>
      <c r="U76" s="6"/>
    </row>
    <row r="77" spans="1:21" customFormat="1">
      <c r="A77" s="201" t="s">
        <v>1653</v>
      </c>
      <c r="B77" s="100">
        <v>12.36</v>
      </c>
      <c r="C77" s="100">
        <v>8.3800000000000008</v>
      </c>
      <c r="D77" s="100">
        <v>14.29</v>
      </c>
      <c r="E77" s="100">
        <v>4.32</v>
      </c>
      <c r="F77" s="100">
        <v>2</v>
      </c>
      <c r="G77" s="100">
        <v>44.74</v>
      </c>
      <c r="H77" s="100">
        <v>12.49</v>
      </c>
      <c r="I77" s="100">
        <v>6.69</v>
      </c>
      <c r="J77" s="100">
        <v>0.12</v>
      </c>
      <c r="K77" s="100">
        <v>125.49</v>
      </c>
      <c r="L77" s="100">
        <v>26.05</v>
      </c>
      <c r="M77" s="100">
        <v>68.42</v>
      </c>
      <c r="N77" s="100">
        <v>11.3</v>
      </c>
      <c r="O77" s="100">
        <v>0</v>
      </c>
      <c r="P77" s="100">
        <v>0.38</v>
      </c>
      <c r="Q77" s="100">
        <v>13.6</v>
      </c>
      <c r="R77" s="6"/>
      <c r="S77" s="6"/>
      <c r="T77" s="156"/>
      <c r="U77" s="6"/>
    </row>
    <row r="78" spans="1:21" customFormat="1">
      <c r="A78" s="201" t="s">
        <v>1654</v>
      </c>
      <c r="B78" s="100">
        <v>12.44</v>
      </c>
      <c r="C78" s="100">
        <v>8.33</v>
      </c>
      <c r="D78" s="100">
        <v>14.33</v>
      </c>
      <c r="E78" s="100">
        <v>4.37</v>
      </c>
      <c r="F78" s="100">
        <v>2</v>
      </c>
      <c r="G78" s="100">
        <v>44.74</v>
      </c>
      <c r="H78" s="100">
        <v>12.49</v>
      </c>
      <c r="I78" s="100">
        <v>6.9</v>
      </c>
      <c r="J78" s="100">
        <v>0.09</v>
      </c>
      <c r="K78" s="100">
        <v>157.1</v>
      </c>
      <c r="L78" s="100">
        <v>25.94</v>
      </c>
      <c r="M78" s="100">
        <v>67.75</v>
      </c>
      <c r="N78" s="100">
        <v>8.6999999999999993</v>
      </c>
      <c r="O78" s="100">
        <v>0</v>
      </c>
      <c r="P78" s="100">
        <v>0.39</v>
      </c>
      <c r="Q78" s="100">
        <v>11.07</v>
      </c>
      <c r="R78" s="6"/>
      <c r="S78" s="6"/>
      <c r="T78" s="156"/>
      <c r="U78" s="6"/>
    </row>
    <row r="79" spans="1:21" customFormat="1">
      <c r="A79" s="201" t="s">
        <v>1655</v>
      </c>
      <c r="B79" s="100">
        <v>12.55</v>
      </c>
      <c r="C79" s="100">
        <v>8.17</v>
      </c>
      <c r="D79" s="100">
        <v>14.33</v>
      </c>
      <c r="E79" s="100">
        <v>4.75</v>
      </c>
      <c r="F79" s="100">
        <v>2</v>
      </c>
      <c r="G79" s="100">
        <v>43.05</v>
      </c>
      <c r="H79" s="100">
        <v>14.28</v>
      </c>
      <c r="I79" s="100">
        <v>6.93</v>
      </c>
      <c r="J79" s="100">
        <v>0.12</v>
      </c>
      <c r="K79" s="100">
        <v>119.44</v>
      </c>
      <c r="L79" s="100">
        <v>25.72</v>
      </c>
      <c r="M79" s="100">
        <v>66.41</v>
      </c>
      <c r="N79" s="100">
        <v>5.8</v>
      </c>
      <c r="O79" s="100">
        <v>0</v>
      </c>
      <c r="P79" s="100">
        <v>0.4</v>
      </c>
      <c r="Q79" s="100">
        <v>10.92</v>
      </c>
      <c r="R79" s="6"/>
      <c r="S79" s="6"/>
      <c r="T79" s="156"/>
      <c r="U79" s="6"/>
    </row>
    <row r="80" spans="1:21" customFormat="1">
      <c r="A80" s="201" t="s">
        <v>1656</v>
      </c>
      <c r="B80" s="100">
        <v>12.73</v>
      </c>
      <c r="C80" s="100">
        <v>7.59</v>
      </c>
      <c r="D80" s="100">
        <v>14.18</v>
      </c>
      <c r="E80" s="100">
        <v>4.71</v>
      </c>
      <c r="F80" s="100">
        <v>2</v>
      </c>
      <c r="G80" s="100">
        <v>42.63</v>
      </c>
      <c r="H80" s="100">
        <v>14.28</v>
      </c>
      <c r="I80" s="100">
        <v>6.88</v>
      </c>
      <c r="J80" s="100">
        <v>0.06</v>
      </c>
      <c r="K80" s="100">
        <v>131.53</v>
      </c>
      <c r="L80" s="100">
        <v>25.73</v>
      </c>
      <c r="M80" s="100">
        <v>67.739999999999995</v>
      </c>
      <c r="N80" s="100">
        <v>3.5</v>
      </c>
      <c r="O80" s="100">
        <v>0</v>
      </c>
      <c r="P80" s="100">
        <v>0.38</v>
      </c>
      <c r="Q80" s="100">
        <v>12.19</v>
      </c>
      <c r="R80" s="6"/>
      <c r="S80" s="6"/>
      <c r="T80" s="156"/>
      <c r="U80" s="6"/>
    </row>
    <row r="81" spans="1:21" customFormat="1">
      <c r="A81" s="201" t="s">
        <v>1657</v>
      </c>
      <c r="B81" s="100">
        <v>13.15</v>
      </c>
      <c r="C81" s="100">
        <v>7.89</v>
      </c>
      <c r="D81" s="100">
        <v>14.66</v>
      </c>
      <c r="E81" s="100">
        <v>4.78</v>
      </c>
      <c r="F81" s="100">
        <v>2</v>
      </c>
      <c r="G81" s="100">
        <v>42.63</v>
      </c>
      <c r="H81" s="100">
        <v>14.28</v>
      </c>
      <c r="I81" s="100">
        <v>6.82</v>
      </c>
      <c r="J81" s="100">
        <v>0.1</v>
      </c>
      <c r="K81" s="100">
        <v>85.17</v>
      </c>
      <c r="L81" s="100">
        <v>25.56</v>
      </c>
      <c r="M81" s="100">
        <v>70.2</v>
      </c>
      <c r="N81" s="100">
        <v>2.4</v>
      </c>
      <c r="O81" s="100">
        <v>0</v>
      </c>
      <c r="P81" s="100">
        <v>0.41</v>
      </c>
      <c r="Q81" s="100">
        <v>10.76</v>
      </c>
      <c r="R81" s="6"/>
      <c r="S81" s="6"/>
      <c r="T81" s="156"/>
      <c r="U81" s="6"/>
    </row>
    <row r="82" spans="1:21" customFormat="1">
      <c r="A82" s="201" t="s">
        <v>1658</v>
      </c>
      <c r="B82" s="100">
        <v>13.97</v>
      </c>
      <c r="C82" s="100">
        <v>7.79</v>
      </c>
      <c r="D82" s="100">
        <v>15.28</v>
      </c>
      <c r="E82" s="100">
        <v>5.91</v>
      </c>
      <c r="F82" s="100">
        <v>2</v>
      </c>
      <c r="G82" s="100">
        <v>42.63</v>
      </c>
      <c r="H82" s="100">
        <v>14.28</v>
      </c>
      <c r="I82" s="100">
        <v>6.7</v>
      </c>
      <c r="J82" s="100">
        <v>0.13</v>
      </c>
      <c r="K82" s="100">
        <v>55.27</v>
      </c>
      <c r="L82" s="100">
        <v>25.55</v>
      </c>
      <c r="M82" s="100">
        <v>70.77</v>
      </c>
      <c r="N82" s="100">
        <v>2.2000000000000002</v>
      </c>
      <c r="O82" s="100">
        <v>0</v>
      </c>
      <c r="P82" s="100">
        <v>0.4</v>
      </c>
      <c r="Q82" s="100">
        <v>10.02</v>
      </c>
      <c r="R82" s="6"/>
      <c r="S82" s="6"/>
      <c r="T82" s="156"/>
      <c r="U82" s="6"/>
    </row>
    <row r="83" spans="1:21" customFormat="1">
      <c r="A83" s="201" t="s">
        <v>1659</v>
      </c>
      <c r="B83" s="100">
        <v>15.81</v>
      </c>
      <c r="C83" s="100">
        <v>8.4700000000000006</v>
      </c>
      <c r="D83" s="100">
        <v>17.100000000000001</v>
      </c>
      <c r="E83" s="100">
        <v>5.67</v>
      </c>
      <c r="F83" s="100">
        <v>2</v>
      </c>
      <c r="G83" s="100">
        <v>42.73</v>
      </c>
      <c r="H83" s="100">
        <v>13.69</v>
      </c>
      <c r="I83" s="100">
        <v>6.81</v>
      </c>
      <c r="J83" s="100">
        <v>0.13</v>
      </c>
      <c r="K83" s="100">
        <v>55.82</v>
      </c>
      <c r="L83" s="100">
        <v>25.54</v>
      </c>
      <c r="M83" s="100">
        <v>69.55</v>
      </c>
      <c r="N83" s="100">
        <v>2.2000000000000002</v>
      </c>
      <c r="O83" s="100">
        <v>0</v>
      </c>
      <c r="P83" s="100">
        <v>0.43</v>
      </c>
      <c r="Q83" s="100">
        <v>10</v>
      </c>
      <c r="R83" s="6"/>
      <c r="S83" s="6"/>
      <c r="T83" s="156"/>
      <c r="U83" s="6"/>
    </row>
    <row r="84" spans="1:21" customFormat="1">
      <c r="A84" s="201" t="s">
        <v>1660</v>
      </c>
      <c r="B84" s="100">
        <v>16.02</v>
      </c>
      <c r="C84" s="100">
        <v>8.2100000000000009</v>
      </c>
      <c r="D84" s="100">
        <v>17.13</v>
      </c>
      <c r="E84" s="100">
        <v>5.98</v>
      </c>
      <c r="F84" s="100">
        <v>2</v>
      </c>
      <c r="G84" s="100">
        <v>42.75</v>
      </c>
      <c r="H84" s="100">
        <v>13.69</v>
      </c>
      <c r="I84" s="100">
        <v>6.86</v>
      </c>
      <c r="J84" s="100">
        <v>0.09</v>
      </c>
      <c r="K84" s="100">
        <v>77.599999999999994</v>
      </c>
      <c r="L84" s="100">
        <v>25.54</v>
      </c>
      <c r="M84" s="100">
        <v>69.849999999999994</v>
      </c>
      <c r="N84" s="100">
        <v>2.2000000000000002</v>
      </c>
      <c r="O84" s="100">
        <v>0</v>
      </c>
      <c r="P84" s="100">
        <v>0.43</v>
      </c>
      <c r="Q84" s="100">
        <v>10</v>
      </c>
      <c r="R84" s="6"/>
      <c r="S84" s="6"/>
      <c r="T84" s="156"/>
      <c r="U84" s="6"/>
    </row>
    <row r="85" spans="1:21" customFormat="1">
      <c r="A85" s="201" t="s">
        <v>1661</v>
      </c>
      <c r="B85" s="100">
        <v>16.68</v>
      </c>
      <c r="C85" s="100">
        <v>7.66</v>
      </c>
      <c r="D85" s="100">
        <v>17.38</v>
      </c>
      <c r="E85" s="100">
        <v>5.93</v>
      </c>
      <c r="F85" s="100">
        <v>2</v>
      </c>
      <c r="G85" s="100">
        <v>42.75</v>
      </c>
      <c r="H85" s="100">
        <v>13.69</v>
      </c>
      <c r="I85" s="100">
        <v>6.97</v>
      </c>
      <c r="J85" s="100">
        <v>0.14000000000000001</v>
      </c>
      <c r="K85" s="100">
        <v>161.97999999999999</v>
      </c>
      <c r="L85" s="100">
        <v>25.55</v>
      </c>
      <c r="M85" s="100">
        <v>69.77</v>
      </c>
      <c r="N85" s="100">
        <v>2.2999999999999998</v>
      </c>
      <c r="O85" s="100">
        <v>0</v>
      </c>
      <c r="P85" s="100">
        <v>0.43</v>
      </c>
      <c r="Q85" s="100">
        <v>10</v>
      </c>
      <c r="R85" s="6"/>
      <c r="S85" s="6"/>
      <c r="T85" s="156"/>
      <c r="U85" s="6"/>
    </row>
    <row r="86" spans="1:21" customFormat="1">
      <c r="A86" s="201" t="s">
        <v>1662</v>
      </c>
      <c r="B86" s="100">
        <v>16.84</v>
      </c>
      <c r="C86" s="100">
        <v>7.68</v>
      </c>
      <c r="D86" s="100">
        <v>17.52</v>
      </c>
      <c r="E86" s="100">
        <v>6.03</v>
      </c>
      <c r="F86" s="100">
        <v>2</v>
      </c>
      <c r="G86" s="100">
        <v>42.75</v>
      </c>
      <c r="H86" s="100">
        <v>13.69</v>
      </c>
      <c r="I86" s="100">
        <v>7.06</v>
      </c>
      <c r="J86" s="100">
        <v>0.12</v>
      </c>
      <c r="K86" s="100">
        <v>170.72</v>
      </c>
      <c r="L86" s="100">
        <v>25.43</v>
      </c>
      <c r="M86" s="100">
        <v>70.11</v>
      </c>
      <c r="N86" s="100">
        <v>2.2000000000000002</v>
      </c>
      <c r="O86" s="100">
        <v>0</v>
      </c>
      <c r="P86" s="100">
        <v>0.44</v>
      </c>
      <c r="Q86" s="100">
        <v>10</v>
      </c>
      <c r="R86" s="6"/>
      <c r="S86" s="6"/>
      <c r="T86" s="156"/>
      <c r="U86" s="6"/>
    </row>
    <row r="87" spans="1:21" customFormat="1">
      <c r="A87" s="201" t="s">
        <v>1663</v>
      </c>
      <c r="B87" s="100">
        <v>16.62</v>
      </c>
      <c r="C87" s="100">
        <v>8.0500000000000007</v>
      </c>
      <c r="D87" s="100">
        <v>17.53</v>
      </c>
      <c r="E87" s="100">
        <v>6.34</v>
      </c>
      <c r="F87" s="100">
        <v>2</v>
      </c>
      <c r="G87" s="100">
        <v>41.51</v>
      </c>
      <c r="H87" s="100">
        <v>14.24</v>
      </c>
      <c r="I87" s="100">
        <v>7.13</v>
      </c>
      <c r="J87" s="100">
        <v>0.12</v>
      </c>
      <c r="K87" s="100">
        <v>180.53</v>
      </c>
      <c r="L87" s="100">
        <v>25.46</v>
      </c>
      <c r="M87" s="100">
        <v>69.52</v>
      </c>
      <c r="N87" s="100">
        <v>2.1</v>
      </c>
      <c r="O87" s="100">
        <v>0</v>
      </c>
      <c r="P87" s="100">
        <v>0.45</v>
      </c>
      <c r="Q87" s="100">
        <v>10</v>
      </c>
      <c r="R87" s="6"/>
      <c r="S87" s="6"/>
      <c r="T87" s="156"/>
      <c r="U87" s="6"/>
    </row>
    <row r="88" spans="1:21" customFormat="1">
      <c r="A88" s="201" t="s">
        <v>1664</v>
      </c>
      <c r="B88" s="100">
        <v>16.29</v>
      </c>
      <c r="C88" s="100">
        <v>7.93</v>
      </c>
      <c r="D88" s="100">
        <v>17.21</v>
      </c>
      <c r="E88" s="100">
        <v>6.34</v>
      </c>
      <c r="F88" s="100">
        <v>2</v>
      </c>
      <c r="G88" s="100">
        <v>41.2</v>
      </c>
      <c r="H88" s="100">
        <v>14.24</v>
      </c>
      <c r="I88" s="100">
        <v>7.25</v>
      </c>
      <c r="J88" s="100">
        <v>0.16</v>
      </c>
      <c r="K88" s="100">
        <v>180.35</v>
      </c>
      <c r="L88" s="100">
        <v>25.57</v>
      </c>
      <c r="M88" s="100">
        <v>69.27</v>
      </c>
      <c r="N88" s="100">
        <v>2.1</v>
      </c>
      <c r="O88" s="100">
        <v>0</v>
      </c>
      <c r="P88" s="100">
        <v>0.42</v>
      </c>
      <c r="Q88" s="100">
        <v>10</v>
      </c>
      <c r="R88" s="6"/>
      <c r="S88" s="6"/>
      <c r="T88" s="156"/>
      <c r="U88" s="6"/>
    </row>
    <row r="89" spans="1:21" customFormat="1">
      <c r="A89" s="201" t="s">
        <v>1665</v>
      </c>
      <c r="B89" s="100">
        <v>15.84</v>
      </c>
      <c r="C89" s="100">
        <v>7.69</v>
      </c>
      <c r="D89" s="100">
        <v>16.72</v>
      </c>
      <c r="E89" s="100">
        <v>6.62</v>
      </c>
      <c r="F89" s="100">
        <v>2</v>
      </c>
      <c r="G89" s="100">
        <v>41.2</v>
      </c>
      <c r="H89" s="100">
        <v>14.24</v>
      </c>
      <c r="I89" s="100">
        <v>7.27</v>
      </c>
      <c r="J89" s="100">
        <v>0.22</v>
      </c>
      <c r="K89" s="100">
        <v>177.38</v>
      </c>
      <c r="L89" s="100">
        <v>25.6</v>
      </c>
      <c r="M89" s="100">
        <v>66.94</v>
      </c>
      <c r="N89" s="100">
        <v>2.4</v>
      </c>
      <c r="O89" s="100">
        <v>0</v>
      </c>
      <c r="P89" s="100">
        <v>0.41</v>
      </c>
      <c r="Q89" s="100">
        <v>14.16</v>
      </c>
      <c r="R89" s="6"/>
      <c r="S89" s="6"/>
      <c r="T89" s="156"/>
      <c r="U89" s="6"/>
    </row>
    <row r="90" spans="1:21" customFormat="1">
      <c r="A90" s="201" t="s">
        <v>1666</v>
      </c>
      <c r="B90" s="100">
        <v>15.38</v>
      </c>
      <c r="C90" s="100">
        <v>7.65</v>
      </c>
      <c r="D90" s="100">
        <v>16.329999999999998</v>
      </c>
      <c r="E90" s="100">
        <v>6.93</v>
      </c>
      <c r="F90" s="100">
        <v>2</v>
      </c>
      <c r="G90" s="100">
        <v>41.2</v>
      </c>
      <c r="H90" s="100">
        <v>14.24</v>
      </c>
      <c r="I90" s="100">
        <v>7.15</v>
      </c>
      <c r="J90" s="100">
        <v>0.11</v>
      </c>
      <c r="K90" s="100">
        <v>172.22</v>
      </c>
      <c r="L90" s="100">
        <v>25.55</v>
      </c>
      <c r="M90" s="100">
        <v>67.180000000000007</v>
      </c>
      <c r="N90" s="100">
        <v>2.2000000000000002</v>
      </c>
      <c r="O90" s="100">
        <v>0</v>
      </c>
      <c r="P90" s="100">
        <v>0.42</v>
      </c>
      <c r="Q90" s="100">
        <v>10.96</v>
      </c>
      <c r="R90" s="6"/>
      <c r="S90" s="6"/>
      <c r="T90" s="156"/>
      <c r="U90" s="6"/>
    </row>
    <row r="91" spans="1:21" customFormat="1">
      <c r="A91" s="201" t="s">
        <v>1667</v>
      </c>
      <c r="B91" s="100">
        <v>14.97</v>
      </c>
      <c r="C91" s="100">
        <v>7.66</v>
      </c>
      <c r="D91" s="100">
        <v>16.010000000000002</v>
      </c>
      <c r="E91" s="100">
        <v>7.06</v>
      </c>
      <c r="F91" s="100">
        <v>2</v>
      </c>
      <c r="G91" s="100">
        <v>41.81</v>
      </c>
      <c r="H91" s="100">
        <v>15.47</v>
      </c>
      <c r="I91" s="100">
        <v>7.14</v>
      </c>
      <c r="J91" s="100">
        <v>0.09</v>
      </c>
      <c r="K91" s="100">
        <v>174.15</v>
      </c>
      <c r="L91" s="100">
        <v>25.59</v>
      </c>
      <c r="M91" s="100">
        <v>66.650000000000006</v>
      </c>
      <c r="N91" s="100">
        <v>2.2000000000000002</v>
      </c>
      <c r="O91" s="100">
        <v>0</v>
      </c>
      <c r="P91" s="100">
        <v>0.43</v>
      </c>
      <c r="Q91" s="100">
        <v>10.06</v>
      </c>
      <c r="R91" s="6"/>
      <c r="S91" s="6"/>
      <c r="T91" s="156"/>
      <c r="U91" s="6"/>
    </row>
    <row r="92" spans="1:21" customFormat="1">
      <c r="A92" s="201" t="s">
        <v>1668</v>
      </c>
      <c r="B92" s="100">
        <v>14.63</v>
      </c>
      <c r="C92" s="100">
        <v>7.48</v>
      </c>
      <c r="D92" s="100">
        <v>15.64</v>
      </c>
      <c r="E92" s="100">
        <v>7.17</v>
      </c>
      <c r="F92" s="100">
        <v>2.0299999999999998</v>
      </c>
      <c r="G92" s="100">
        <v>41.96</v>
      </c>
      <c r="H92" s="100">
        <v>15.47</v>
      </c>
      <c r="I92" s="100">
        <v>7.08</v>
      </c>
      <c r="J92" s="100">
        <v>0.09</v>
      </c>
      <c r="K92" s="100">
        <v>173.8</v>
      </c>
      <c r="L92" s="100">
        <v>25.69</v>
      </c>
      <c r="M92" s="100">
        <v>65.88</v>
      </c>
      <c r="N92" s="100">
        <v>2.1</v>
      </c>
      <c r="O92" s="100">
        <v>0</v>
      </c>
      <c r="P92" s="100">
        <v>0.43</v>
      </c>
      <c r="Q92" s="100">
        <v>11.07</v>
      </c>
      <c r="R92" s="6"/>
      <c r="S92" s="6"/>
      <c r="T92" s="156"/>
      <c r="U92" s="6"/>
    </row>
    <row r="93" spans="1:21" customFormat="1">
      <c r="A93" s="201" t="s">
        <v>1669</v>
      </c>
      <c r="B93" s="100">
        <v>14.26</v>
      </c>
      <c r="C93" s="100">
        <v>7.21</v>
      </c>
      <c r="D93" s="100">
        <v>15.2</v>
      </c>
      <c r="E93" s="100">
        <v>7.47</v>
      </c>
      <c r="F93" s="100">
        <v>2.0299999999999998</v>
      </c>
      <c r="G93" s="100">
        <v>41.96</v>
      </c>
      <c r="H93" s="100">
        <v>15.47</v>
      </c>
      <c r="I93" s="100">
        <v>7.17</v>
      </c>
      <c r="J93" s="100">
        <v>7.0000000000000007E-2</v>
      </c>
      <c r="K93" s="100">
        <v>157.66999999999999</v>
      </c>
      <c r="L93" s="100">
        <v>25.71</v>
      </c>
      <c r="M93" s="100">
        <v>67.400000000000006</v>
      </c>
      <c r="N93" s="100">
        <v>2.1</v>
      </c>
      <c r="O93" s="100">
        <v>0</v>
      </c>
      <c r="P93" s="100">
        <v>0.42</v>
      </c>
      <c r="Q93" s="100">
        <v>11.32</v>
      </c>
      <c r="R93" s="6"/>
      <c r="S93" s="6"/>
      <c r="T93" s="156"/>
      <c r="U93" s="6"/>
    </row>
    <row r="94" spans="1:21" customFormat="1">
      <c r="A94" s="201" t="s">
        <v>1670</v>
      </c>
      <c r="B94" s="100">
        <v>13.89</v>
      </c>
      <c r="C94" s="100">
        <v>7.19</v>
      </c>
      <c r="D94" s="100">
        <v>14.9</v>
      </c>
      <c r="E94" s="100">
        <v>7.26</v>
      </c>
      <c r="F94" s="100">
        <v>2</v>
      </c>
      <c r="G94" s="100">
        <v>41.96</v>
      </c>
      <c r="H94" s="100">
        <v>15.47</v>
      </c>
      <c r="I94" s="100">
        <v>7.24</v>
      </c>
      <c r="J94" s="100">
        <v>0.13</v>
      </c>
      <c r="K94" s="100">
        <v>79.31</v>
      </c>
      <c r="L94" s="100">
        <v>25.79</v>
      </c>
      <c r="M94" s="100">
        <v>66.930000000000007</v>
      </c>
      <c r="N94" s="100">
        <v>2.2000000000000002</v>
      </c>
      <c r="O94" s="100">
        <v>0</v>
      </c>
      <c r="P94" s="100">
        <v>0.42</v>
      </c>
      <c r="Q94" s="100">
        <v>14.7</v>
      </c>
      <c r="R94" s="6"/>
      <c r="S94" s="6"/>
      <c r="T94" s="156"/>
      <c r="U94" s="6"/>
    </row>
    <row r="95" spans="1:21" customFormat="1">
      <c r="A95" s="201" t="s">
        <v>1671</v>
      </c>
      <c r="B95" s="100">
        <v>13.67</v>
      </c>
      <c r="C95" s="100">
        <v>7.17</v>
      </c>
      <c r="D95" s="100">
        <v>14.71</v>
      </c>
      <c r="E95" s="100">
        <v>7.2</v>
      </c>
      <c r="F95" s="100">
        <v>2.0099999999999998</v>
      </c>
      <c r="G95" s="100">
        <v>38.54</v>
      </c>
      <c r="H95" s="100">
        <v>18.059999999999999</v>
      </c>
      <c r="I95" s="100">
        <v>7.2</v>
      </c>
      <c r="J95" s="100">
        <v>0.12</v>
      </c>
      <c r="K95" s="100">
        <v>58.08</v>
      </c>
      <c r="L95" s="100">
        <v>25.73</v>
      </c>
      <c r="M95" s="100">
        <v>66.59</v>
      </c>
      <c r="N95" s="100">
        <v>2.2999999999999998</v>
      </c>
      <c r="O95" s="100">
        <v>0</v>
      </c>
      <c r="P95" s="100">
        <v>0.43</v>
      </c>
      <c r="Q95" s="100">
        <v>13.91</v>
      </c>
      <c r="R95" s="6"/>
      <c r="S95" s="6"/>
      <c r="T95" s="156"/>
      <c r="U95" s="6"/>
    </row>
    <row r="96" spans="1:21" customFormat="1">
      <c r="A96" s="201" t="s">
        <v>1672</v>
      </c>
      <c r="B96" s="100">
        <v>13.49</v>
      </c>
      <c r="C96" s="100">
        <v>7.02</v>
      </c>
      <c r="D96" s="100">
        <v>14.48</v>
      </c>
      <c r="E96" s="100">
        <v>7.48</v>
      </c>
      <c r="F96" s="100">
        <v>2</v>
      </c>
      <c r="G96" s="100">
        <v>37.69</v>
      </c>
      <c r="H96" s="100">
        <v>18.059999999999999</v>
      </c>
      <c r="I96" s="100">
        <v>7.17</v>
      </c>
      <c r="J96" s="100">
        <v>0.26</v>
      </c>
      <c r="K96" s="100">
        <v>40.299999999999997</v>
      </c>
      <c r="L96" s="100">
        <v>25.72</v>
      </c>
      <c r="M96" s="100">
        <v>65.2</v>
      </c>
      <c r="N96" s="100">
        <v>2.2000000000000002</v>
      </c>
      <c r="O96" s="100">
        <v>0</v>
      </c>
      <c r="P96" s="100">
        <v>0.43</v>
      </c>
      <c r="Q96" s="100">
        <v>12.77</v>
      </c>
      <c r="R96" s="6"/>
      <c r="S96" s="6"/>
      <c r="T96" s="156"/>
      <c r="U96" s="6"/>
    </row>
    <row r="97" spans="1:28" customFormat="1">
      <c r="A97" s="201" t="s">
        <v>1673</v>
      </c>
      <c r="B97" s="100">
        <v>13.92</v>
      </c>
      <c r="C97" s="100">
        <v>6.95</v>
      </c>
      <c r="D97" s="100">
        <v>14.8</v>
      </c>
      <c r="E97" s="100">
        <v>7.31</v>
      </c>
      <c r="F97" s="100">
        <v>2</v>
      </c>
      <c r="G97" s="100">
        <v>37.69</v>
      </c>
      <c r="H97" s="100">
        <v>18.059999999999999</v>
      </c>
      <c r="I97" s="100">
        <v>7.26</v>
      </c>
      <c r="J97" s="100">
        <v>0.38</v>
      </c>
      <c r="K97" s="100">
        <v>34.32</v>
      </c>
      <c r="L97" s="100">
        <v>25.71</v>
      </c>
      <c r="M97" s="100">
        <v>64.53</v>
      </c>
      <c r="N97" s="100">
        <v>2.4</v>
      </c>
      <c r="O97" s="100">
        <v>0</v>
      </c>
      <c r="P97" s="100">
        <v>0.43</v>
      </c>
      <c r="Q97" s="100">
        <v>12.4</v>
      </c>
      <c r="R97" s="6"/>
      <c r="S97" s="6"/>
      <c r="T97" s="156"/>
      <c r="U97" s="6"/>
    </row>
    <row r="98" spans="1:28" customFormat="1">
      <c r="A98" s="201" t="s">
        <v>1674</v>
      </c>
      <c r="B98" s="100">
        <v>14.29</v>
      </c>
      <c r="C98" s="100">
        <v>6.96</v>
      </c>
      <c r="D98" s="100">
        <v>15.09</v>
      </c>
      <c r="E98" s="100">
        <v>7.45</v>
      </c>
      <c r="F98" s="100">
        <v>2</v>
      </c>
      <c r="G98" s="100">
        <v>37.69</v>
      </c>
      <c r="H98" s="100">
        <v>18.059999999999999</v>
      </c>
      <c r="I98" s="100">
        <v>7.23</v>
      </c>
      <c r="J98" s="100">
        <v>0.19</v>
      </c>
      <c r="K98" s="100">
        <v>159.78</v>
      </c>
      <c r="L98" s="100">
        <v>25.94</v>
      </c>
      <c r="M98" s="100">
        <v>64.180000000000007</v>
      </c>
      <c r="N98" s="100">
        <v>2.2000000000000002</v>
      </c>
      <c r="O98" s="100">
        <v>0</v>
      </c>
      <c r="P98" s="100">
        <v>0.43</v>
      </c>
      <c r="Q98" s="100">
        <v>11.05</v>
      </c>
      <c r="R98" s="6"/>
      <c r="S98" s="6"/>
      <c r="T98" s="156"/>
      <c r="U98" s="6"/>
    </row>
    <row r="99" spans="1:28" customFormat="1">
      <c r="A99" s="201" t="s">
        <v>1675</v>
      </c>
      <c r="B99" s="100">
        <v>14.17</v>
      </c>
      <c r="C99" s="100">
        <v>6.93</v>
      </c>
      <c r="D99" s="100">
        <v>14.98</v>
      </c>
      <c r="E99" s="100">
        <v>7.5</v>
      </c>
      <c r="F99" s="100">
        <v>2</v>
      </c>
      <c r="G99" s="100">
        <v>40.96</v>
      </c>
      <c r="H99" s="100">
        <v>15.88</v>
      </c>
      <c r="I99" s="100">
        <v>7.23</v>
      </c>
      <c r="J99" s="100">
        <v>0.1</v>
      </c>
      <c r="K99" s="100">
        <v>157.47</v>
      </c>
      <c r="L99" s="100">
        <v>25.87</v>
      </c>
      <c r="M99" s="100">
        <v>64.489999999999995</v>
      </c>
      <c r="N99" s="100">
        <v>2.2000000000000002</v>
      </c>
      <c r="O99" s="100">
        <v>0</v>
      </c>
      <c r="P99" s="100">
        <v>0.42</v>
      </c>
      <c r="Q99" s="100">
        <v>11</v>
      </c>
      <c r="R99" s="6"/>
      <c r="S99" s="6"/>
      <c r="T99" s="156"/>
      <c r="U99" s="6"/>
    </row>
    <row r="100" spans="1:28" customFormat="1">
      <c r="A100" s="201" t="s">
        <v>1676</v>
      </c>
      <c r="B100" s="100">
        <v>13.88</v>
      </c>
      <c r="C100" s="100">
        <v>6.78</v>
      </c>
      <c r="D100" s="100">
        <v>14.68</v>
      </c>
      <c r="E100" s="100">
        <v>7.4</v>
      </c>
      <c r="F100" s="100">
        <v>2.0099999999999998</v>
      </c>
      <c r="G100" s="100">
        <v>41.78</v>
      </c>
      <c r="H100" s="100">
        <v>15.88</v>
      </c>
      <c r="I100" s="100">
        <v>7.19</v>
      </c>
      <c r="J100" s="100">
        <v>0.13</v>
      </c>
      <c r="K100" s="100">
        <v>123.33</v>
      </c>
      <c r="L100" s="100">
        <v>25.89</v>
      </c>
      <c r="M100" s="100">
        <v>64.430000000000007</v>
      </c>
      <c r="N100" s="100">
        <v>2.2999999999999998</v>
      </c>
      <c r="O100" s="100">
        <v>0</v>
      </c>
      <c r="P100" s="100">
        <v>0.41</v>
      </c>
      <c r="Q100" s="100">
        <v>12.43</v>
      </c>
      <c r="R100" s="6"/>
      <c r="S100" s="6"/>
      <c r="T100" s="156"/>
      <c r="U100" s="6"/>
      <c r="AB100" s="161"/>
    </row>
    <row r="101" spans="1:28" customFormat="1">
      <c r="A101" s="201" t="s">
        <v>1677</v>
      </c>
      <c r="B101" s="100">
        <v>13.59</v>
      </c>
      <c r="C101" s="100">
        <v>6.64</v>
      </c>
      <c r="D101" s="100">
        <v>14.36</v>
      </c>
      <c r="E101" s="100">
        <v>7.57</v>
      </c>
      <c r="F101" s="100">
        <v>2.0499999999999998</v>
      </c>
      <c r="G101" s="100">
        <v>41.78</v>
      </c>
      <c r="H101" s="100">
        <v>15.88</v>
      </c>
      <c r="I101" s="100">
        <v>7.13</v>
      </c>
      <c r="J101" s="100">
        <v>0.1</v>
      </c>
      <c r="K101" s="100">
        <v>130.9</v>
      </c>
      <c r="L101" s="100">
        <v>25.94</v>
      </c>
      <c r="M101" s="100">
        <v>65.27</v>
      </c>
      <c r="N101" s="100">
        <v>2.2999999999999998</v>
      </c>
      <c r="O101" s="100">
        <v>0</v>
      </c>
      <c r="P101" s="100">
        <v>0.39</v>
      </c>
      <c r="Q101" s="100">
        <v>15.57</v>
      </c>
      <c r="R101" s="6"/>
      <c r="S101" s="6"/>
      <c r="T101" s="156"/>
      <c r="U101" s="6"/>
    </row>
    <row r="102" spans="1:28" customFormat="1">
      <c r="A102" s="201" t="s">
        <v>1678</v>
      </c>
      <c r="B102" s="100">
        <v>13.25</v>
      </c>
      <c r="C102" s="100">
        <v>6.52</v>
      </c>
      <c r="D102" s="100">
        <v>14.03</v>
      </c>
      <c r="E102" s="100">
        <v>7.59</v>
      </c>
      <c r="F102" s="100">
        <v>2</v>
      </c>
      <c r="G102" s="100">
        <v>41.78</v>
      </c>
      <c r="H102" s="100">
        <v>15.88</v>
      </c>
      <c r="I102" s="100">
        <v>7.08</v>
      </c>
      <c r="J102" s="100">
        <v>0.2</v>
      </c>
      <c r="K102" s="100">
        <v>169.96</v>
      </c>
      <c r="L102" s="100">
        <v>25.62</v>
      </c>
      <c r="M102" s="100">
        <v>65.22</v>
      </c>
      <c r="N102" s="100">
        <v>2.5</v>
      </c>
      <c r="O102" s="100">
        <v>0</v>
      </c>
      <c r="P102" s="100">
        <v>0.38</v>
      </c>
      <c r="Q102" s="100">
        <v>12.69</v>
      </c>
      <c r="R102" s="6"/>
      <c r="S102" s="6"/>
      <c r="T102" s="156"/>
      <c r="U102" s="6"/>
    </row>
    <row r="103" spans="1:28" customFormat="1">
      <c r="A103" s="201" t="s">
        <v>1679</v>
      </c>
      <c r="B103" s="100">
        <v>12.88</v>
      </c>
      <c r="C103" s="100">
        <v>6.39</v>
      </c>
      <c r="D103" s="100">
        <v>13.67</v>
      </c>
      <c r="E103" s="100">
        <v>7.38</v>
      </c>
      <c r="F103" s="100">
        <v>2.0699999999999998</v>
      </c>
      <c r="G103" s="100">
        <v>37.950000000000003</v>
      </c>
      <c r="H103" s="100">
        <v>14.3</v>
      </c>
      <c r="I103" s="100">
        <v>6.89</v>
      </c>
      <c r="J103" s="100">
        <v>0.11</v>
      </c>
      <c r="K103" s="100">
        <v>167.88</v>
      </c>
      <c r="L103" s="100">
        <v>25.63</v>
      </c>
      <c r="M103" s="100">
        <v>65.569999999999993</v>
      </c>
      <c r="N103" s="100">
        <v>2.2999999999999998</v>
      </c>
      <c r="O103" s="100">
        <v>0</v>
      </c>
      <c r="P103" s="100">
        <v>0.38</v>
      </c>
      <c r="Q103" s="100">
        <v>11.51</v>
      </c>
      <c r="R103" s="6"/>
      <c r="S103" s="6"/>
      <c r="T103" s="156"/>
      <c r="U103" s="6"/>
    </row>
    <row r="104" spans="1:28" customFormat="1">
      <c r="A104" s="201" t="s">
        <v>1680</v>
      </c>
      <c r="B104" s="100">
        <v>12.57</v>
      </c>
      <c r="C104" s="100">
        <v>6.23</v>
      </c>
      <c r="D104" s="100">
        <v>13.33</v>
      </c>
      <c r="E104" s="100">
        <v>7.54</v>
      </c>
      <c r="F104" s="100">
        <v>2.12</v>
      </c>
      <c r="G104" s="100">
        <v>36.99</v>
      </c>
      <c r="H104" s="100">
        <v>14.3</v>
      </c>
      <c r="I104" s="100">
        <v>6.66</v>
      </c>
      <c r="J104" s="100">
        <v>0.15</v>
      </c>
      <c r="K104" s="100">
        <v>173.54</v>
      </c>
      <c r="L104" s="100">
        <v>25.56</v>
      </c>
      <c r="M104" s="100">
        <v>65.27</v>
      </c>
      <c r="N104" s="100">
        <v>2.2999999999999998</v>
      </c>
      <c r="O104" s="100">
        <v>0</v>
      </c>
      <c r="P104" s="100">
        <v>0.36</v>
      </c>
      <c r="Q104" s="100">
        <v>11.13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1.97</v>
      </c>
      <c r="C106" s="158">
        <f>MIN(C9:C104)</f>
        <v>6.23</v>
      </c>
      <c r="D106" s="158">
        <f t="shared" ref="D106:Q106" si="0">MIN(D9:D104)</f>
        <v>5.39</v>
      </c>
      <c r="E106" s="158">
        <f t="shared" si="0"/>
        <v>3.91</v>
      </c>
      <c r="F106" s="158">
        <f t="shared" si="0"/>
        <v>2</v>
      </c>
      <c r="G106" s="158">
        <f t="shared" si="0"/>
        <v>2.33</v>
      </c>
      <c r="H106" s="158">
        <f t="shared" si="0"/>
        <v>0.19</v>
      </c>
      <c r="I106" s="158">
        <f t="shared" si="0"/>
        <v>2.82</v>
      </c>
      <c r="J106" s="158">
        <f t="shared" si="0"/>
        <v>0.06</v>
      </c>
      <c r="K106" s="158">
        <f t="shared" si="0"/>
        <v>34.32</v>
      </c>
      <c r="L106" s="158">
        <f t="shared" si="0"/>
        <v>25.43</v>
      </c>
      <c r="M106" s="158">
        <f t="shared" si="0"/>
        <v>62.5</v>
      </c>
      <c r="N106" s="158">
        <f t="shared" si="0"/>
        <v>2</v>
      </c>
      <c r="O106" s="158">
        <f t="shared" si="0"/>
        <v>0</v>
      </c>
      <c r="P106" s="158">
        <f t="shared" si="0"/>
        <v>0.13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16.84</v>
      </c>
      <c r="C107" s="157">
        <f t="shared" ref="C107:Q107" si="1">MAX(C9:C104)</f>
        <v>14.26</v>
      </c>
      <c r="D107" s="157">
        <f t="shared" si="1"/>
        <v>17.53</v>
      </c>
      <c r="E107" s="157">
        <f t="shared" si="1"/>
        <v>7.59</v>
      </c>
      <c r="F107" s="157">
        <f t="shared" si="1"/>
        <v>14.19</v>
      </c>
      <c r="G107" s="157">
        <f t="shared" si="1"/>
        <v>44.74</v>
      </c>
      <c r="H107" s="157">
        <f t="shared" si="1"/>
        <v>18.059999999999999</v>
      </c>
      <c r="I107" s="157">
        <f t="shared" si="1"/>
        <v>7.27</v>
      </c>
      <c r="J107" s="157">
        <f t="shared" si="1"/>
        <v>0.76</v>
      </c>
      <c r="K107" s="157">
        <f t="shared" si="1"/>
        <v>211.56</v>
      </c>
      <c r="L107" s="157">
        <f t="shared" si="1"/>
        <v>28.53</v>
      </c>
      <c r="M107" s="157">
        <f t="shared" si="1"/>
        <v>82.08</v>
      </c>
      <c r="N107" s="157">
        <f t="shared" si="1"/>
        <v>133.5</v>
      </c>
      <c r="O107" s="157">
        <f t="shared" si="1"/>
        <v>0</v>
      </c>
      <c r="P107" s="157">
        <f t="shared" si="1"/>
        <v>0.45</v>
      </c>
      <c r="Q107" s="157">
        <f t="shared" si="1"/>
        <v>54.38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8.6589583333333326</v>
      </c>
      <c r="C108" s="158">
        <f t="shared" ref="C108:Q108" si="2">AVERAGE(C9:C104)</f>
        <v>8.2867708333333319</v>
      </c>
      <c r="D108" s="158">
        <f t="shared" si="2"/>
        <v>11.2734375</v>
      </c>
      <c r="E108" s="158">
        <f t="shared" si="2"/>
        <v>5.4472916666666658</v>
      </c>
      <c r="F108" s="158">
        <f t="shared" si="2"/>
        <v>3.0352083333333333</v>
      </c>
      <c r="G108" s="158">
        <f t="shared" si="2"/>
        <v>18.93385416666667</v>
      </c>
      <c r="H108" s="158">
        <f t="shared" si="2"/>
        <v>5.9277083333333342</v>
      </c>
      <c r="I108" s="158">
        <f t="shared" si="2"/>
        <v>4.8256250000000005</v>
      </c>
      <c r="J108" s="158">
        <f t="shared" si="2"/>
        <v>0.24625000000000011</v>
      </c>
      <c r="K108" s="158">
        <f t="shared" si="2"/>
        <v>153.05760416666666</v>
      </c>
      <c r="L108" s="158">
        <f t="shared" si="2"/>
        <v>26.70270833333333</v>
      </c>
      <c r="M108" s="158">
        <f t="shared" si="2"/>
        <v>72.261354166666692</v>
      </c>
      <c r="N108" s="158">
        <f t="shared" si="2"/>
        <v>24.469791666666662</v>
      </c>
      <c r="O108" s="158">
        <f t="shared" si="2"/>
        <v>0</v>
      </c>
      <c r="P108" s="158">
        <f t="shared" si="2"/>
        <v>0.28072916666666664</v>
      </c>
      <c r="Q108" s="158">
        <f t="shared" si="2"/>
        <v>7.088750000000001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4.0822654905196591</v>
      </c>
      <c r="C109" s="158">
        <f t="shared" ref="C109:Q109" si="3">STDEV(C9:C104)</f>
        <v>1.9834947864772545</v>
      </c>
      <c r="D109" s="158">
        <f t="shared" si="3"/>
        <v>3.2870930456543941</v>
      </c>
      <c r="E109" s="158">
        <f t="shared" si="3"/>
        <v>1.0198818085978292</v>
      </c>
      <c r="F109" s="158">
        <f t="shared" si="3"/>
        <v>2.2901316805011653</v>
      </c>
      <c r="G109" s="158">
        <f t="shared" si="3"/>
        <v>17.468491416188641</v>
      </c>
      <c r="H109" s="158">
        <f t="shared" si="3"/>
        <v>6.4960542646110868</v>
      </c>
      <c r="I109" s="158">
        <f t="shared" si="3"/>
        <v>1.5761764612003628</v>
      </c>
      <c r="J109" s="158">
        <f t="shared" si="3"/>
        <v>0.17800798326272649</v>
      </c>
      <c r="K109" s="158">
        <f t="shared" si="3"/>
        <v>53.270064937167966</v>
      </c>
      <c r="L109" s="158">
        <f t="shared" si="3"/>
        <v>0.84875696002623902</v>
      </c>
      <c r="M109" s="158">
        <f t="shared" si="3"/>
        <v>6.1983117599266988</v>
      </c>
      <c r="N109" s="158">
        <f t="shared" si="3"/>
        <v>32.438758882714339</v>
      </c>
      <c r="O109" s="158">
        <f t="shared" si="3"/>
        <v>0</v>
      </c>
      <c r="P109" s="158">
        <f t="shared" si="3"/>
        <v>0.10932563422292871</v>
      </c>
      <c r="Q109" s="158">
        <f t="shared" si="3"/>
        <v>9.1783592444974946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7"/>
  <sheetViews>
    <sheetView zoomScale="85" zoomScaleNormal="85" workbookViewId="0">
      <pane xSplit="1" ySplit="8" topLeftCell="B18" activePane="bottomRight" state="frozen"/>
      <selection pane="topRight"/>
      <selection pane="bottomLeft"/>
      <selection pane="bottomRight" activeCell="H13" sqref="H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1681</v>
      </c>
      <c r="B9" s="100">
        <v>12.09</v>
      </c>
      <c r="C9" s="100">
        <v>5.75</v>
      </c>
      <c r="D9" s="100">
        <v>12.7</v>
      </c>
      <c r="E9" s="100">
        <v>7.58</v>
      </c>
      <c r="F9" s="100">
        <v>2.04</v>
      </c>
      <c r="G9" s="100">
        <v>36.99</v>
      </c>
      <c r="H9" s="100">
        <v>14.3</v>
      </c>
      <c r="I9" s="100">
        <v>6.5</v>
      </c>
      <c r="J9" s="100">
        <v>0.21</v>
      </c>
      <c r="K9" s="100">
        <v>169</v>
      </c>
      <c r="L9" s="100">
        <v>25.6</v>
      </c>
      <c r="M9" s="100">
        <v>64.33</v>
      </c>
      <c r="N9" s="100">
        <v>2.4</v>
      </c>
      <c r="O9" s="100">
        <v>0</v>
      </c>
      <c r="P9" s="100">
        <v>0.35</v>
      </c>
      <c r="Q9" s="100">
        <v>10.83</v>
      </c>
      <c r="R9" s="6"/>
      <c r="S9" s="6"/>
      <c r="T9" s="156"/>
      <c r="U9" s="6"/>
    </row>
    <row r="10" spans="1:21" customFormat="1">
      <c r="A10" s="201" t="s">
        <v>1682</v>
      </c>
      <c r="B10" s="100">
        <v>11.82</v>
      </c>
      <c r="C10" s="100">
        <v>5.94</v>
      </c>
      <c r="D10" s="100">
        <v>12.58</v>
      </c>
      <c r="E10" s="100">
        <v>7.7</v>
      </c>
      <c r="F10" s="100">
        <v>2.04</v>
      </c>
      <c r="G10" s="100">
        <v>36.99</v>
      </c>
      <c r="H10" s="100">
        <v>14.3</v>
      </c>
      <c r="I10" s="100">
        <v>6.4</v>
      </c>
      <c r="J10" s="100">
        <v>0.28999999999999998</v>
      </c>
      <c r="K10" s="100">
        <v>167.96</v>
      </c>
      <c r="L10" s="100">
        <v>25.24</v>
      </c>
      <c r="M10" s="100">
        <v>64.86</v>
      </c>
      <c r="N10" s="100">
        <v>2.7</v>
      </c>
      <c r="O10" s="100">
        <v>0</v>
      </c>
      <c r="P10" s="100">
        <v>0.34</v>
      </c>
      <c r="Q10" s="100">
        <v>12.5</v>
      </c>
      <c r="R10" s="6"/>
      <c r="S10" s="6"/>
      <c r="T10" s="156"/>
      <c r="U10" s="6"/>
    </row>
    <row r="11" spans="1:21" customFormat="1">
      <c r="A11" s="201" t="s">
        <v>1683</v>
      </c>
      <c r="B11" s="100">
        <v>11.45</v>
      </c>
      <c r="C11" s="100">
        <v>6.1</v>
      </c>
      <c r="D11" s="100">
        <v>12.37</v>
      </c>
      <c r="E11" s="100">
        <v>7.91</v>
      </c>
      <c r="F11" s="100">
        <v>2</v>
      </c>
      <c r="G11" s="100">
        <v>26.91</v>
      </c>
      <c r="H11" s="100">
        <v>10.64</v>
      </c>
      <c r="I11" s="100">
        <v>6.27</v>
      </c>
      <c r="J11" s="100">
        <v>0.2</v>
      </c>
      <c r="K11" s="100">
        <v>161.76</v>
      </c>
      <c r="L11" s="100">
        <v>25.08</v>
      </c>
      <c r="M11" s="100">
        <v>62.87</v>
      </c>
      <c r="N11" s="100">
        <v>2.5</v>
      </c>
      <c r="O11" s="100">
        <v>0</v>
      </c>
      <c r="P11" s="100">
        <v>0.33</v>
      </c>
      <c r="Q11" s="100">
        <v>14.39</v>
      </c>
      <c r="R11" s="6"/>
      <c r="S11" s="6"/>
      <c r="T11" s="156"/>
      <c r="U11" s="6"/>
    </row>
    <row r="12" spans="1:21" customFormat="1">
      <c r="A12" s="201" t="s">
        <v>1684</v>
      </c>
      <c r="B12" s="100">
        <v>11.43</v>
      </c>
      <c r="C12" s="100">
        <v>5.83</v>
      </c>
      <c r="D12" s="100">
        <v>12.21</v>
      </c>
      <c r="E12" s="100">
        <v>7.74</v>
      </c>
      <c r="F12" s="100">
        <v>2</v>
      </c>
      <c r="G12" s="100">
        <v>24.39</v>
      </c>
      <c r="H12" s="100">
        <v>10.64</v>
      </c>
      <c r="I12" s="100">
        <v>6.13</v>
      </c>
      <c r="J12" s="100">
        <v>0.15</v>
      </c>
      <c r="K12" s="100">
        <v>161.79</v>
      </c>
      <c r="L12" s="100">
        <v>25.08</v>
      </c>
      <c r="M12" s="100">
        <v>58.14</v>
      </c>
      <c r="N12" s="100">
        <v>2.4</v>
      </c>
      <c r="O12" s="100">
        <v>0</v>
      </c>
      <c r="P12" s="100">
        <v>0.34</v>
      </c>
      <c r="Q12" s="100">
        <v>11.96</v>
      </c>
      <c r="R12" s="6"/>
      <c r="S12" s="6"/>
      <c r="T12" s="156"/>
      <c r="U12" s="6"/>
    </row>
    <row r="13" spans="1:21" customFormat="1">
      <c r="A13" s="201" t="s">
        <v>1685</v>
      </c>
      <c r="B13" s="100">
        <v>11.51</v>
      </c>
      <c r="C13" s="100">
        <v>5.32</v>
      </c>
      <c r="D13" s="100">
        <v>12.01</v>
      </c>
      <c r="E13" s="100">
        <v>7.4</v>
      </c>
      <c r="F13" s="100">
        <v>2</v>
      </c>
      <c r="G13" s="100">
        <v>24.39</v>
      </c>
      <c r="H13" s="100">
        <v>10.64</v>
      </c>
      <c r="I13" s="100">
        <v>6.02</v>
      </c>
      <c r="J13" s="100">
        <v>0.16</v>
      </c>
      <c r="K13" s="100">
        <v>145.47</v>
      </c>
      <c r="L13" s="100">
        <v>22.21</v>
      </c>
      <c r="M13" s="100">
        <v>47.62</v>
      </c>
      <c r="N13" s="100">
        <v>2.4</v>
      </c>
      <c r="O13" s="100">
        <v>0</v>
      </c>
      <c r="P13" s="100">
        <v>0.33</v>
      </c>
      <c r="Q13" s="100">
        <v>12.27</v>
      </c>
      <c r="R13" s="6"/>
      <c r="S13" s="6"/>
      <c r="T13" s="156"/>
      <c r="U13" s="6"/>
    </row>
    <row r="14" spans="1:21" customFormat="1">
      <c r="A14" s="201" t="s">
        <v>1686</v>
      </c>
      <c r="B14" s="100">
        <v>11.43</v>
      </c>
      <c r="C14" s="100">
        <v>5.33</v>
      </c>
      <c r="D14" s="100">
        <v>11.95</v>
      </c>
      <c r="E14" s="100">
        <v>7.03</v>
      </c>
      <c r="F14" s="100">
        <v>2.02</v>
      </c>
      <c r="G14" s="100">
        <v>24.39</v>
      </c>
      <c r="H14" s="100">
        <v>10.64</v>
      </c>
      <c r="I14" s="100">
        <v>6.02</v>
      </c>
      <c r="J14" s="100">
        <v>0.11</v>
      </c>
      <c r="K14" s="100">
        <v>151.35</v>
      </c>
      <c r="L14" s="100">
        <v>24.44</v>
      </c>
      <c r="M14" s="100">
        <v>57.56</v>
      </c>
      <c r="N14" s="100">
        <v>2.2000000000000002</v>
      </c>
      <c r="O14" s="100">
        <v>0</v>
      </c>
      <c r="P14" s="100">
        <v>0.33</v>
      </c>
      <c r="Q14" s="100">
        <v>66.81</v>
      </c>
      <c r="R14" s="6"/>
      <c r="S14" s="6"/>
      <c r="T14" s="156"/>
      <c r="U14" s="6"/>
    </row>
    <row r="15" spans="1:21" customFormat="1">
      <c r="A15" s="201" t="s">
        <v>1687</v>
      </c>
      <c r="B15" s="100">
        <v>11.41</v>
      </c>
      <c r="C15" s="100">
        <v>5.65</v>
      </c>
      <c r="D15" s="100">
        <v>12.11</v>
      </c>
      <c r="E15" s="100">
        <v>7.15</v>
      </c>
      <c r="F15" s="100">
        <v>2.02</v>
      </c>
      <c r="G15" s="100">
        <v>18.37</v>
      </c>
      <c r="H15" s="100">
        <v>7.45</v>
      </c>
      <c r="I15" s="100">
        <v>6.01</v>
      </c>
      <c r="J15" s="100">
        <v>0.13</v>
      </c>
      <c r="K15" s="100">
        <v>159.72999999999999</v>
      </c>
      <c r="L15" s="100">
        <v>24.71</v>
      </c>
      <c r="M15" s="100">
        <v>60.92</v>
      </c>
      <c r="N15" s="100">
        <v>2.2999999999999998</v>
      </c>
      <c r="O15" s="100">
        <v>0</v>
      </c>
      <c r="P15" s="100">
        <v>0.34</v>
      </c>
      <c r="Q15" s="100">
        <v>16.71</v>
      </c>
      <c r="R15" s="6"/>
      <c r="S15" s="6"/>
      <c r="T15" s="156"/>
      <c r="U15" s="6"/>
    </row>
    <row r="16" spans="1:21" customFormat="1">
      <c r="A16" s="201" t="s">
        <v>1688</v>
      </c>
      <c r="B16" s="100">
        <v>11.47</v>
      </c>
      <c r="C16" s="100">
        <v>5.38</v>
      </c>
      <c r="D16" s="100">
        <v>12.01</v>
      </c>
      <c r="E16" s="100">
        <v>7.25</v>
      </c>
      <c r="F16" s="100">
        <v>2</v>
      </c>
      <c r="G16" s="100">
        <v>16.760000000000002</v>
      </c>
      <c r="H16" s="100">
        <v>7.45</v>
      </c>
      <c r="I16" s="100">
        <v>5.8</v>
      </c>
      <c r="J16" s="100">
        <v>0.08</v>
      </c>
      <c r="K16" s="100">
        <v>165.9</v>
      </c>
      <c r="L16" s="100">
        <v>25.01</v>
      </c>
      <c r="M16" s="100">
        <v>66.75</v>
      </c>
      <c r="N16" s="100">
        <v>2.1</v>
      </c>
      <c r="O16" s="100">
        <v>0</v>
      </c>
      <c r="P16" s="100">
        <v>0.32</v>
      </c>
      <c r="Q16" s="100">
        <v>13.46</v>
      </c>
      <c r="R16" s="6"/>
      <c r="S16" s="6"/>
      <c r="T16" s="156"/>
      <c r="U16" s="6"/>
    </row>
    <row r="17" spans="1:21" customFormat="1">
      <c r="A17" s="201" t="s">
        <v>1689</v>
      </c>
      <c r="B17" s="100">
        <v>11.41</v>
      </c>
      <c r="C17" s="100">
        <v>5.38</v>
      </c>
      <c r="D17" s="100">
        <v>11.96</v>
      </c>
      <c r="E17" s="100">
        <v>5.32</v>
      </c>
      <c r="F17" s="100">
        <v>2</v>
      </c>
      <c r="G17" s="100">
        <v>16.760000000000002</v>
      </c>
      <c r="H17" s="100">
        <v>7.45</v>
      </c>
      <c r="I17" s="100">
        <v>5.89</v>
      </c>
      <c r="J17" s="100">
        <v>0.16</v>
      </c>
      <c r="K17" s="100">
        <v>158.19</v>
      </c>
      <c r="L17" s="100">
        <v>24.82</v>
      </c>
      <c r="M17" s="100">
        <v>67.069999999999993</v>
      </c>
      <c r="N17" s="100">
        <v>2.2999999999999998</v>
      </c>
      <c r="O17" s="100">
        <v>0</v>
      </c>
      <c r="P17" s="100">
        <v>0.31</v>
      </c>
      <c r="Q17" s="100">
        <v>17.77</v>
      </c>
      <c r="R17" s="6"/>
      <c r="S17" s="6"/>
      <c r="T17" s="156"/>
      <c r="U17" s="6"/>
    </row>
    <row r="18" spans="1:21" customFormat="1">
      <c r="A18" s="201" t="s">
        <v>1690</v>
      </c>
      <c r="B18" s="100">
        <v>11.38</v>
      </c>
      <c r="C18" s="100">
        <v>5.72</v>
      </c>
      <c r="D18" s="100">
        <v>12.12</v>
      </c>
      <c r="E18" s="100">
        <v>6.48</v>
      </c>
      <c r="F18" s="100">
        <v>2</v>
      </c>
      <c r="G18" s="100">
        <v>16.760000000000002</v>
      </c>
      <c r="H18" s="100">
        <v>7.45</v>
      </c>
      <c r="I18" s="100">
        <v>5.85</v>
      </c>
      <c r="J18" s="100">
        <v>0.24</v>
      </c>
      <c r="K18" s="100">
        <v>176.59</v>
      </c>
      <c r="L18" s="100">
        <v>24.83</v>
      </c>
      <c r="M18" s="100">
        <v>67.48</v>
      </c>
      <c r="N18" s="100">
        <v>2.4</v>
      </c>
      <c r="O18" s="100">
        <v>0</v>
      </c>
      <c r="P18" s="100">
        <v>0.32</v>
      </c>
      <c r="Q18" s="100">
        <v>12.67</v>
      </c>
      <c r="R18" s="6"/>
      <c r="S18" s="6"/>
      <c r="T18" s="156"/>
      <c r="U18" s="6"/>
    </row>
    <row r="19" spans="1:21" customFormat="1">
      <c r="A19" s="201" t="s">
        <v>1691</v>
      </c>
      <c r="B19" s="100">
        <v>11.36</v>
      </c>
      <c r="C19" s="100">
        <v>5.44</v>
      </c>
      <c r="D19" s="100">
        <v>11.95</v>
      </c>
      <c r="E19" s="100">
        <v>6.25</v>
      </c>
      <c r="F19" s="100">
        <v>2</v>
      </c>
      <c r="G19" s="100">
        <v>12.82</v>
      </c>
      <c r="H19" s="100">
        <v>5.22</v>
      </c>
      <c r="I19" s="100">
        <v>5.73</v>
      </c>
      <c r="J19" s="100">
        <v>0.16</v>
      </c>
      <c r="K19" s="100">
        <v>164.05</v>
      </c>
      <c r="L19" s="100">
        <v>24.77</v>
      </c>
      <c r="M19" s="100">
        <v>59.62</v>
      </c>
      <c r="N19" s="100">
        <v>2.2999999999999998</v>
      </c>
      <c r="O19" s="100">
        <v>0</v>
      </c>
      <c r="P19" s="100">
        <v>0.31</v>
      </c>
      <c r="Q19" s="100">
        <v>12.77</v>
      </c>
      <c r="R19" s="6"/>
      <c r="S19" s="6"/>
      <c r="T19" s="156"/>
      <c r="U19" s="6"/>
    </row>
    <row r="20" spans="1:21" customFormat="1">
      <c r="A20" s="201" t="s">
        <v>1692</v>
      </c>
      <c r="B20" s="100">
        <v>11.34</v>
      </c>
      <c r="C20" s="100">
        <v>5.62</v>
      </c>
      <c r="D20" s="100">
        <v>12.03</v>
      </c>
      <c r="E20" s="100">
        <v>6.45</v>
      </c>
      <c r="F20" s="100">
        <v>2</v>
      </c>
      <c r="G20" s="100">
        <v>11.83</v>
      </c>
      <c r="H20" s="100">
        <v>5.22</v>
      </c>
      <c r="I20" s="100">
        <v>5.77</v>
      </c>
      <c r="J20" s="100">
        <v>0.06</v>
      </c>
      <c r="K20" s="100">
        <v>143.82</v>
      </c>
      <c r="L20" s="100">
        <v>24.67</v>
      </c>
      <c r="M20" s="100">
        <v>57.81</v>
      </c>
      <c r="N20" s="100">
        <v>2.2000000000000002</v>
      </c>
      <c r="O20" s="100">
        <v>0</v>
      </c>
      <c r="P20" s="100">
        <v>0.31</v>
      </c>
      <c r="Q20" s="100">
        <v>18.03</v>
      </c>
      <c r="R20" s="6"/>
      <c r="S20" s="6"/>
      <c r="T20" s="156"/>
      <c r="U20" s="6"/>
    </row>
    <row r="21" spans="1:21" customFormat="1">
      <c r="A21" s="201" t="s">
        <v>1693</v>
      </c>
      <c r="B21" s="100">
        <v>11.36</v>
      </c>
      <c r="C21" s="100">
        <v>5.38</v>
      </c>
      <c r="D21" s="100">
        <v>11.92</v>
      </c>
      <c r="E21" s="100">
        <v>6.23</v>
      </c>
      <c r="F21" s="100">
        <v>2</v>
      </c>
      <c r="G21" s="100">
        <v>11.83</v>
      </c>
      <c r="H21" s="100">
        <v>5.22</v>
      </c>
      <c r="I21" s="100">
        <v>5.53</v>
      </c>
      <c r="J21" s="100">
        <v>0.12</v>
      </c>
      <c r="K21" s="100">
        <v>151.62</v>
      </c>
      <c r="L21" s="100">
        <v>24.39</v>
      </c>
      <c r="M21" s="100">
        <v>58.63</v>
      </c>
      <c r="N21" s="100">
        <v>2.2999999999999998</v>
      </c>
      <c r="O21" s="100">
        <v>0</v>
      </c>
      <c r="P21" s="100">
        <v>0.28999999999999998</v>
      </c>
      <c r="Q21" s="100">
        <v>17.48</v>
      </c>
      <c r="R21" s="6"/>
      <c r="S21" s="6"/>
      <c r="T21" s="156"/>
      <c r="U21" s="6"/>
    </row>
    <row r="22" spans="1:21" customFormat="1">
      <c r="A22" s="201" t="s">
        <v>1694</v>
      </c>
      <c r="B22" s="100">
        <v>11.29</v>
      </c>
      <c r="C22" s="100">
        <v>5.65</v>
      </c>
      <c r="D22" s="100">
        <v>12</v>
      </c>
      <c r="E22" s="100">
        <v>6.52</v>
      </c>
      <c r="F22" s="100">
        <v>2</v>
      </c>
      <c r="G22" s="100">
        <v>11.83</v>
      </c>
      <c r="H22" s="100">
        <v>5.22</v>
      </c>
      <c r="I22" s="100">
        <v>5.66</v>
      </c>
      <c r="J22" s="100">
        <v>0.09</v>
      </c>
      <c r="K22" s="100">
        <v>135.97999999999999</v>
      </c>
      <c r="L22" s="100">
        <v>24.64</v>
      </c>
      <c r="M22" s="100">
        <v>59.2</v>
      </c>
      <c r="N22" s="100">
        <v>2.2999999999999998</v>
      </c>
      <c r="O22" s="100">
        <v>0</v>
      </c>
      <c r="P22" s="100">
        <v>0.31</v>
      </c>
      <c r="Q22" s="100">
        <v>12.62</v>
      </c>
      <c r="R22" s="6"/>
      <c r="S22" s="6"/>
      <c r="T22" s="156"/>
      <c r="U22" s="6"/>
    </row>
    <row r="23" spans="1:21" customFormat="1">
      <c r="A23" s="201" t="s">
        <v>1695</v>
      </c>
      <c r="B23" s="100">
        <v>11.35</v>
      </c>
      <c r="C23" s="100">
        <v>5.6</v>
      </c>
      <c r="D23" s="100">
        <v>12.03</v>
      </c>
      <c r="E23" s="100">
        <v>6.45</v>
      </c>
      <c r="F23" s="100">
        <v>2</v>
      </c>
      <c r="G23" s="100">
        <v>9.1199999999999992</v>
      </c>
      <c r="H23" s="100">
        <v>4.8099999999999996</v>
      </c>
      <c r="I23" s="100">
        <v>5.4</v>
      </c>
      <c r="J23" s="100">
        <v>0.13</v>
      </c>
      <c r="K23" s="100">
        <v>149.97</v>
      </c>
      <c r="L23" s="100">
        <v>24.86</v>
      </c>
      <c r="M23" s="100">
        <v>59.65</v>
      </c>
      <c r="N23" s="100">
        <v>2.2000000000000002</v>
      </c>
      <c r="O23" s="100">
        <v>0</v>
      </c>
      <c r="P23" s="100">
        <v>0.28999999999999998</v>
      </c>
      <c r="Q23" s="100">
        <v>12.25</v>
      </c>
      <c r="R23" s="6"/>
      <c r="S23" s="6"/>
      <c r="T23" s="156"/>
      <c r="U23" s="6"/>
    </row>
    <row r="24" spans="1:21" customFormat="1">
      <c r="A24" s="201" t="s">
        <v>1696</v>
      </c>
      <c r="B24" s="100">
        <v>11.32</v>
      </c>
      <c r="C24" s="100">
        <v>5.51</v>
      </c>
      <c r="D24" s="100">
        <v>11.95</v>
      </c>
      <c r="E24" s="100">
        <v>6.43</v>
      </c>
      <c r="F24" s="100">
        <v>2</v>
      </c>
      <c r="G24" s="100">
        <v>8.4499999999999993</v>
      </c>
      <c r="H24" s="100">
        <v>4.8099999999999996</v>
      </c>
      <c r="I24" s="100">
        <v>5.56</v>
      </c>
      <c r="J24" s="100">
        <v>0.09</v>
      </c>
      <c r="K24" s="100">
        <v>151.24</v>
      </c>
      <c r="L24" s="100">
        <v>24.63</v>
      </c>
      <c r="M24" s="100">
        <v>59.81</v>
      </c>
      <c r="N24" s="100">
        <v>2.2999999999999998</v>
      </c>
      <c r="O24" s="100">
        <v>0</v>
      </c>
      <c r="P24" s="100">
        <v>0.3</v>
      </c>
      <c r="Q24" s="100">
        <v>14.7</v>
      </c>
      <c r="R24" s="6"/>
      <c r="S24" s="6"/>
      <c r="T24" s="156"/>
      <c r="U24" s="6"/>
    </row>
    <row r="25" spans="1:21" customFormat="1">
      <c r="A25" s="201" t="s">
        <v>1697</v>
      </c>
      <c r="B25" s="100">
        <v>11.29</v>
      </c>
      <c r="C25" s="100">
        <v>5.64</v>
      </c>
      <c r="D25" s="100">
        <v>12</v>
      </c>
      <c r="E25" s="100">
        <v>6.45</v>
      </c>
      <c r="F25" s="100">
        <v>2</v>
      </c>
      <c r="G25" s="100">
        <v>8.4499999999999993</v>
      </c>
      <c r="H25" s="100">
        <v>4.8099999999999996</v>
      </c>
      <c r="I25" s="100">
        <v>5.53</v>
      </c>
      <c r="J25" s="100">
        <v>0.13</v>
      </c>
      <c r="K25" s="100">
        <v>163.21</v>
      </c>
      <c r="L25" s="100">
        <v>24.36</v>
      </c>
      <c r="M25" s="100">
        <v>60.34</v>
      </c>
      <c r="N25" s="100">
        <v>2.1</v>
      </c>
      <c r="O25" s="100">
        <v>0</v>
      </c>
      <c r="P25" s="100">
        <v>0.28999999999999998</v>
      </c>
      <c r="Q25" s="100">
        <v>12.11</v>
      </c>
      <c r="R25" s="6"/>
      <c r="S25" s="6"/>
      <c r="T25" s="156"/>
      <c r="U25" s="6"/>
    </row>
    <row r="26" spans="1:21" customFormat="1">
      <c r="A26" s="201" t="s">
        <v>1698</v>
      </c>
      <c r="B26" s="100">
        <v>11.37</v>
      </c>
      <c r="C26" s="100">
        <v>5.27</v>
      </c>
      <c r="D26" s="100">
        <v>11.87</v>
      </c>
      <c r="E26" s="100">
        <v>6.54</v>
      </c>
      <c r="F26" s="100">
        <v>2</v>
      </c>
      <c r="G26" s="100">
        <v>8.4499999999999993</v>
      </c>
      <c r="H26" s="100">
        <v>4.8099999999999996</v>
      </c>
      <c r="I26" s="100">
        <v>5.44</v>
      </c>
      <c r="J26" s="100">
        <v>0.1</v>
      </c>
      <c r="K26" s="100">
        <v>149.19999999999999</v>
      </c>
      <c r="L26" s="100">
        <v>24.32</v>
      </c>
      <c r="M26" s="100">
        <v>60.3</v>
      </c>
      <c r="N26" s="100">
        <v>2.2000000000000002</v>
      </c>
      <c r="O26" s="100">
        <v>0</v>
      </c>
      <c r="P26" s="100">
        <v>0.28000000000000003</v>
      </c>
      <c r="Q26" s="100">
        <v>9.58</v>
      </c>
      <c r="R26" s="6"/>
      <c r="S26" s="6"/>
      <c r="T26" s="156"/>
      <c r="U26" s="6"/>
    </row>
    <row r="27" spans="1:21" customFormat="1">
      <c r="A27" s="201" t="s">
        <v>1699</v>
      </c>
      <c r="B27" s="100">
        <v>11.36</v>
      </c>
      <c r="C27" s="100">
        <v>5.71</v>
      </c>
      <c r="D27" s="100">
        <v>12.09</v>
      </c>
      <c r="E27" s="100">
        <v>6.33</v>
      </c>
      <c r="F27" s="100">
        <v>2</v>
      </c>
      <c r="G27" s="100">
        <v>6.84</v>
      </c>
      <c r="H27" s="100">
        <v>3.68</v>
      </c>
      <c r="I27" s="100">
        <v>5.38</v>
      </c>
      <c r="J27" s="100">
        <v>0.11</v>
      </c>
      <c r="K27" s="100">
        <v>152</v>
      </c>
      <c r="L27" s="100">
        <v>24.84</v>
      </c>
      <c r="M27" s="100">
        <v>58.81</v>
      </c>
      <c r="N27" s="100">
        <v>2.2999999999999998</v>
      </c>
      <c r="O27" s="100">
        <v>0</v>
      </c>
      <c r="P27" s="100">
        <v>0.28999999999999998</v>
      </c>
      <c r="Q27" s="100">
        <v>11.15</v>
      </c>
      <c r="R27" s="6"/>
      <c r="S27" s="6"/>
      <c r="T27" s="156"/>
      <c r="U27" s="6"/>
    </row>
    <row r="28" spans="1:21" customFormat="1">
      <c r="A28" s="201" t="s">
        <v>1700</v>
      </c>
      <c r="B28" s="100">
        <v>11.44</v>
      </c>
      <c r="C28" s="100">
        <v>5.5</v>
      </c>
      <c r="D28" s="100">
        <v>12.05</v>
      </c>
      <c r="E28" s="100">
        <v>6.39</v>
      </c>
      <c r="F28" s="100">
        <v>2</v>
      </c>
      <c r="G28" s="100">
        <v>6.44</v>
      </c>
      <c r="H28" s="100">
        <v>3.68</v>
      </c>
      <c r="I28" s="100">
        <v>5.23</v>
      </c>
      <c r="J28" s="100">
        <v>0.1</v>
      </c>
      <c r="K28" s="100">
        <v>154.04</v>
      </c>
      <c r="L28" s="100">
        <v>24.53</v>
      </c>
      <c r="M28" s="100">
        <v>59.76</v>
      </c>
      <c r="N28" s="100">
        <v>2.2999999999999998</v>
      </c>
      <c r="O28" s="100">
        <v>0</v>
      </c>
      <c r="P28" s="100">
        <v>0.27</v>
      </c>
      <c r="Q28" s="100">
        <v>14.5</v>
      </c>
      <c r="R28" s="6"/>
      <c r="S28" s="6"/>
      <c r="T28" s="156"/>
      <c r="U28" s="6"/>
    </row>
    <row r="29" spans="1:21" customFormat="1">
      <c r="A29" s="201" t="s">
        <v>1701</v>
      </c>
      <c r="B29" s="100">
        <v>11.44</v>
      </c>
      <c r="C29" s="100">
        <v>5.29</v>
      </c>
      <c r="D29" s="100">
        <v>11.94</v>
      </c>
      <c r="E29" s="100">
        <v>6.44</v>
      </c>
      <c r="F29" s="100">
        <v>2</v>
      </c>
      <c r="G29" s="100">
        <v>6.44</v>
      </c>
      <c r="H29" s="100">
        <v>3.68</v>
      </c>
      <c r="I29" s="100">
        <v>5.39</v>
      </c>
      <c r="J29" s="100">
        <v>0.06</v>
      </c>
      <c r="K29" s="100">
        <v>158.57</v>
      </c>
      <c r="L29" s="100">
        <v>24.32</v>
      </c>
      <c r="M29" s="100">
        <v>59.14</v>
      </c>
      <c r="N29" s="100">
        <v>2.1</v>
      </c>
      <c r="O29" s="100">
        <v>0</v>
      </c>
      <c r="P29" s="100">
        <v>0.27</v>
      </c>
      <c r="Q29" s="100">
        <v>13.98</v>
      </c>
      <c r="R29" s="6"/>
      <c r="S29" s="6"/>
      <c r="T29" s="156"/>
      <c r="U29" s="6"/>
    </row>
    <row r="30" spans="1:21" customFormat="1">
      <c r="A30" s="201" t="s">
        <v>1702</v>
      </c>
      <c r="B30" s="100">
        <v>11.35</v>
      </c>
      <c r="C30" s="100">
        <v>5.76</v>
      </c>
      <c r="D30" s="100">
        <v>12.12</v>
      </c>
      <c r="E30" s="100">
        <v>6.27</v>
      </c>
      <c r="F30" s="100">
        <v>2</v>
      </c>
      <c r="G30" s="100">
        <v>6.44</v>
      </c>
      <c r="H30" s="100">
        <v>3.68</v>
      </c>
      <c r="I30" s="100">
        <v>5.39</v>
      </c>
      <c r="J30" s="100">
        <v>7.0000000000000007E-2</v>
      </c>
      <c r="K30" s="100">
        <v>150.22999999999999</v>
      </c>
      <c r="L30" s="100">
        <v>24.53</v>
      </c>
      <c r="M30" s="100">
        <v>59.92</v>
      </c>
      <c r="N30" s="100">
        <v>2.2000000000000002</v>
      </c>
      <c r="O30" s="100">
        <v>0</v>
      </c>
      <c r="P30" s="100">
        <v>0.27</v>
      </c>
      <c r="Q30" s="100">
        <v>13.18</v>
      </c>
      <c r="R30" s="6"/>
      <c r="S30" s="6"/>
      <c r="T30" s="156"/>
      <c r="U30" s="6"/>
    </row>
    <row r="31" spans="1:21" customFormat="1">
      <c r="A31" s="201" t="s">
        <v>1703</v>
      </c>
      <c r="B31" s="100">
        <v>11.19</v>
      </c>
      <c r="C31" s="100">
        <v>5.89</v>
      </c>
      <c r="D31" s="100">
        <v>12.05</v>
      </c>
      <c r="E31" s="100">
        <v>6.61</v>
      </c>
      <c r="F31" s="100">
        <v>2</v>
      </c>
      <c r="G31" s="100">
        <v>8.41</v>
      </c>
      <c r="H31" s="100">
        <v>2.76</v>
      </c>
      <c r="I31" s="100">
        <v>5.1100000000000003</v>
      </c>
      <c r="J31" s="100">
        <v>0.08</v>
      </c>
      <c r="K31" s="100">
        <v>112.28</v>
      </c>
      <c r="L31" s="100">
        <v>24.72</v>
      </c>
      <c r="M31" s="100">
        <v>59.15</v>
      </c>
      <c r="N31" s="100">
        <v>2.2999999999999998</v>
      </c>
      <c r="O31" s="100">
        <v>0</v>
      </c>
      <c r="P31" s="100">
        <v>0.25</v>
      </c>
      <c r="Q31" s="100">
        <v>11.33</v>
      </c>
      <c r="R31" s="6"/>
      <c r="S31" s="6"/>
      <c r="T31" s="156"/>
      <c r="U31" s="6"/>
    </row>
    <row r="32" spans="1:21" customFormat="1">
      <c r="A32" s="201" t="s">
        <v>1704</v>
      </c>
      <c r="B32" s="100">
        <v>10.85</v>
      </c>
      <c r="C32" s="100">
        <v>5.95</v>
      </c>
      <c r="D32" s="100">
        <v>11.81</v>
      </c>
      <c r="E32" s="100">
        <v>6.7</v>
      </c>
      <c r="F32" s="100">
        <v>2</v>
      </c>
      <c r="G32" s="100">
        <v>8.9</v>
      </c>
      <c r="H32" s="100">
        <v>2.76</v>
      </c>
      <c r="I32" s="100">
        <v>5.07</v>
      </c>
      <c r="J32" s="100">
        <v>0.06</v>
      </c>
      <c r="K32" s="100">
        <v>153.06</v>
      </c>
      <c r="L32" s="100">
        <v>24.6</v>
      </c>
      <c r="M32" s="100">
        <v>59.84</v>
      </c>
      <c r="N32" s="100">
        <v>4</v>
      </c>
      <c r="O32" s="100">
        <v>0</v>
      </c>
      <c r="P32" s="100">
        <v>0.23</v>
      </c>
      <c r="Q32" s="100">
        <v>10</v>
      </c>
      <c r="R32" s="6"/>
      <c r="S32" s="6"/>
      <c r="T32" s="156"/>
      <c r="U32" s="6"/>
    </row>
    <row r="33" spans="1:21" customFormat="1">
      <c r="A33" s="201" t="s">
        <v>1705</v>
      </c>
      <c r="B33" s="100">
        <v>10.59</v>
      </c>
      <c r="C33" s="100">
        <v>5.92</v>
      </c>
      <c r="D33" s="100">
        <v>11.58</v>
      </c>
      <c r="E33" s="100">
        <v>6.77</v>
      </c>
      <c r="F33" s="100">
        <v>2</v>
      </c>
      <c r="G33" s="100">
        <v>8.9</v>
      </c>
      <c r="H33" s="100">
        <v>2.76</v>
      </c>
      <c r="I33" s="100">
        <v>4.96</v>
      </c>
      <c r="J33" s="100">
        <v>0.09</v>
      </c>
      <c r="K33" s="100">
        <v>118.43</v>
      </c>
      <c r="L33" s="100">
        <v>24.62</v>
      </c>
      <c r="M33" s="100">
        <v>58.53</v>
      </c>
      <c r="N33" s="100">
        <v>7.5</v>
      </c>
      <c r="O33" s="100">
        <v>0</v>
      </c>
      <c r="P33" s="100">
        <v>0.22</v>
      </c>
      <c r="Q33" s="100">
        <v>12.28</v>
      </c>
      <c r="R33" s="6"/>
      <c r="S33" s="6"/>
      <c r="T33" s="156"/>
      <c r="U33" s="6"/>
    </row>
    <row r="34" spans="1:21" customFormat="1">
      <c r="A34" s="201" t="s">
        <v>1706</v>
      </c>
      <c r="B34" s="100">
        <v>10.34</v>
      </c>
      <c r="C34" s="100">
        <v>5.89</v>
      </c>
      <c r="D34" s="100">
        <v>11.37</v>
      </c>
      <c r="E34" s="100">
        <v>6.84</v>
      </c>
      <c r="F34" s="100">
        <v>2</v>
      </c>
      <c r="G34" s="100">
        <v>8.9</v>
      </c>
      <c r="H34" s="100">
        <v>2.76</v>
      </c>
      <c r="I34" s="100">
        <v>4.84</v>
      </c>
      <c r="J34" s="100">
        <v>0.1</v>
      </c>
      <c r="K34" s="100">
        <v>116.06</v>
      </c>
      <c r="L34" s="100">
        <v>24.72</v>
      </c>
      <c r="M34" s="100">
        <v>58.54</v>
      </c>
      <c r="N34" s="100">
        <v>13</v>
      </c>
      <c r="O34" s="100">
        <v>0</v>
      </c>
      <c r="P34" s="100">
        <v>0.21</v>
      </c>
      <c r="Q34" s="100">
        <v>13.18</v>
      </c>
      <c r="R34" s="6"/>
      <c r="S34" s="6"/>
      <c r="T34" s="156"/>
      <c r="U34" s="6"/>
    </row>
    <row r="35" spans="1:21" customFormat="1">
      <c r="A35" s="201" t="s">
        <v>1707</v>
      </c>
      <c r="B35" s="100">
        <v>10.15</v>
      </c>
      <c r="C35" s="100">
        <v>5.8</v>
      </c>
      <c r="D35" s="100">
        <v>11.17</v>
      </c>
      <c r="E35" s="100">
        <v>6.96</v>
      </c>
      <c r="F35" s="100">
        <v>2</v>
      </c>
      <c r="G35" s="100">
        <v>6.91</v>
      </c>
      <c r="H35" s="100">
        <v>2.4</v>
      </c>
      <c r="I35" s="100">
        <v>4.7</v>
      </c>
      <c r="J35" s="100">
        <v>0.08</v>
      </c>
      <c r="K35" s="100">
        <v>126.51</v>
      </c>
      <c r="L35" s="100">
        <v>24.8</v>
      </c>
      <c r="M35" s="100">
        <v>58.53</v>
      </c>
      <c r="N35" s="100">
        <v>18.5</v>
      </c>
      <c r="O35" s="100">
        <v>0</v>
      </c>
      <c r="P35" s="100">
        <v>0.21</v>
      </c>
      <c r="Q35" s="100">
        <v>10.9</v>
      </c>
      <c r="R35" s="6"/>
      <c r="S35" s="6"/>
      <c r="T35" s="156"/>
      <c r="U35" s="6"/>
    </row>
    <row r="36" spans="1:21" customFormat="1">
      <c r="A36" s="201" t="s">
        <v>1708</v>
      </c>
      <c r="B36" s="100">
        <v>9.91</v>
      </c>
      <c r="C36" s="100">
        <v>5.78</v>
      </c>
      <c r="D36" s="100">
        <v>10.97</v>
      </c>
      <c r="E36" s="100">
        <v>6.92</v>
      </c>
      <c r="F36" s="100">
        <v>2</v>
      </c>
      <c r="G36" s="100">
        <v>6.38</v>
      </c>
      <c r="H36" s="100">
        <v>2.4</v>
      </c>
      <c r="I36" s="100">
        <v>4.6100000000000003</v>
      </c>
      <c r="J36" s="100">
        <v>0.12</v>
      </c>
      <c r="K36" s="100">
        <v>128.56</v>
      </c>
      <c r="L36" s="100">
        <v>24.88</v>
      </c>
      <c r="M36" s="100">
        <v>57.76</v>
      </c>
      <c r="N36" s="100">
        <v>25.4</v>
      </c>
      <c r="O36" s="100">
        <v>0</v>
      </c>
      <c r="P36" s="100">
        <v>0.2</v>
      </c>
      <c r="Q36" s="100">
        <v>13.05</v>
      </c>
      <c r="R36" s="6"/>
      <c r="S36" s="6"/>
      <c r="T36" s="156"/>
      <c r="U36" s="6"/>
    </row>
    <row r="37" spans="1:21" customFormat="1">
      <c r="A37" s="201" t="s">
        <v>1709</v>
      </c>
      <c r="B37" s="100">
        <v>9.7100000000000009</v>
      </c>
      <c r="C37" s="100">
        <v>5.62</v>
      </c>
      <c r="D37" s="100">
        <v>10.73</v>
      </c>
      <c r="E37" s="100">
        <v>7.16</v>
      </c>
      <c r="F37" s="100">
        <v>2</v>
      </c>
      <c r="G37" s="100">
        <v>6.38</v>
      </c>
      <c r="H37" s="100">
        <v>2.4</v>
      </c>
      <c r="I37" s="100">
        <v>4.55</v>
      </c>
      <c r="J37" s="100">
        <v>0.14000000000000001</v>
      </c>
      <c r="K37" s="100">
        <v>96.01</v>
      </c>
      <c r="L37" s="100">
        <v>24.96</v>
      </c>
      <c r="M37" s="100">
        <v>56.52</v>
      </c>
      <c r="N37" s="100">
        <v>26.2</v>
      </c>
      <c r="O37" s="100">
        <v>0</v>
      </c>
      <c r="P37" s="100">
        <v>0.2</v>
      </c>
      <c r="Q37" s="100">
        <v>11.43</v>
      </c>
      <c r="R37" s="6"/>
      <c r="S37" s="6"/>
      <c r="T37" s="156"/>
      <c r="U37" s="6"/>
    </row>
    <row r="38" spans="1:21" customFormat="1">
      <c r="A38" s="201" t="s">
        <v>1710</v>
      </c>
      <c r="B38" s="100">
        <v>9.57</v>
      </c>
      <c r="C38" s="100">
        <v>5.6</v>
      </c>
      <c r="D38" s="100">
        <v>10.6</v>
      </c>
      <c r="E38" s="100">
        <v>7.23</v>
      </c>
      <c r="F38" s="100">
        <v>2.02</v>
      </c>
      <c r="G38" s="100">
        <v>6.38</v>
      </c>
      <c r="H38" s="100">
        <v>2.4</v>
      </c>
      <c r="I38" s="100">
        <v>4.45</v>
      </c>
      <c r="J38" s="100">
        <v>0.18</v>
      </c>
      <c r="K38" s="100">
        <v>118.27</v>
      </c>
      <c r="L38" s="100">
        <v>25.56</v>
      </c>
      <c r="M38" s="100">
        <v>55.88</v>
      </c>
      <c r="N38" s="100">
        <v>28.4</v>
      </c>
      <c r="O38" s="100">
        <v>0</v>
      </c>
      <c r="P38" s="100">
        <v>0.2</v>
      </c>
      <c r="Q38" s="100">
        <v>11.59</v>
      </c>
      <c r="R38" s="6"/>
      <c r="S38" s="6"/>
      <c r="T38" s="156"/>
      <c r="U38" s="6"/>
    </row>
    <row r="39" spans="1:21" customFormat="1">
      <c r="A39" s="201" t="s">
        <v>1711</v>
      </c>
      <c r="B39" s="100">
        <v>9.41</v>
      </c>
      <c r="C39" s="100">
        <v>5.57</v>
      </c>
      <c r="D39" s="100">
        <v>10.46</v>
      </c>
      <c r="E39" s="100">
        <v>7.52</v>
      </c>
      <c r="F39" s="100">
        <v>2.0099999999999998</v>
      </c>
      <c r="G39" s="100">
        <v>5.36</v>
      </c>
      <c r="H39" s="100">
        <v>2.0099999999999998</v>
      </c>
      <c r="I39" s="100">
        <v>4.4000000000000004</v>
      </c>
      <c r="J39" s="100">
        <v>0.2</v>
      </c>
      <c r="K39" s="100">
        <v>132.36000000000001</v>
      </c>
      <c r="L39" s="100">
        <v>25.29</v>
      </c>
      <c r="M39" s="100">
        <v>56.42</v>
      </c>
      <c r="N39" s="100">
        <v>34.4</v>
      </c>
      <c r="O39" s="100">
        <v>0</v>
      </c>
      <c r="P39" s="100">
        <v>0.2</v>
      </c>
      <c r="Q39" s="100">
        <v>12.06</v>
      </c>
      <c r="R39" s="6"/>
      <c r="S39" s="6"/>
      <c r="T39" s="156"/>
      <c r="U39" s="6"/>
    </row>
    <row r="40" spans="1:21" customFormat="1">
      <c r="A40" s="201" t="s">
        <v>1712</v>
      </c>
      <c r="B40" s="100">
        <v>9.25</v>
      </c>
      <c r="C40" s="100">
        <v>5.62</v>
      </c>
      <c r="D40" s="100">
        <v>10.36</v>
      </c>
      <c r="E40" s="100">
        <v>7.47</v>
      </c>
      <c r="F40" s="100">
        <v>2.0299999999999998</v>
      </c>
      <c r="G40" s="100">
        <v>5.09</v>
      </c>
      <c r="H40" s="100">
        <v>2.0099999999999998</v>
      </c>
      <c r="I40" s="100">
        <v>4.34</v>
      </c>
      <c r="J40" s="100">
        <v>0.22</v>
      </c>
      <c r="K40" s="100">
        <v>137.1</v>
      </c>
      <c r="L40" s="100">
        <v>25.42</v>
      </c>
      <c r="M40" s="100">
        <v>56.16</v>
      </c>
      <c r="N40" s="100">
        <v>44.7</v>
      </c>
      <c r="O40" s="100">
        <v>0</v>
      </c>
      <c r="P40" s="100">
        <v>0.2</v>
      </c>
      <c r="Q40" s="100">
        <v>10.93</v>
      </c>
      <c r="R40" s="6"/>
      <c r="S40" s="6"/>
      <c r="T40" s="156"/>
      <c r="U40" s="6"/>
    </row>
    <row r="41" spans="1:21" customFormat="1">
      <c r="A41" s="201" t="s">
        <v>1713</v>
      </c>
      <c r="B41" s="100">
        <v>9.06</v>
      </c>
      <c r="C41" s="100">
        <v>5.61</v>
      </c>
      <c r="D41" s="100">
        <v>10.199999999999999</v>
      </c>
      <c r="E41" s="100">
        <v>7.31</v>
      </c>
      <c r="F41" s="100">
        <v>2</v>
      </c>
      <c r="G41" s="100">
        <v>5.09</v>
      </c>
      <c r="H41" s="100">
        <v>2.0099999999999998</v>
      </c>
      <c r="I41" s="100">
        <v>4.26</v>
      </c>
      <c r="J41" s="100">
        <v>0.25</v>
      </c>
      <c r="K41" s="100">
        <v>125.87</v>
      </c>
      <c r="L41" s="100">
        <v>25.75</v>
      </c>
      <c r="M41" s="100">
        <v>55.17</v>
      </c>
      <c r="N41" s="100">
        <v>57.1</v>
      </c>
      <c r="O41" s="100">
        <v>0</v>
      </c>
      <c r="P41" s="100">
        <v>0.19</v>
      </c>
      <c r="Q41" s="100">
        <v>10.08</v>
      </c>
      <c r="R41" s="6"/>
      <c r="S41" s="6"/>
      <c r="T41" s="156"/>
      <c r="U41" s="6"/>
    </row>
    <row r="42" spans="1:21" customFormat="1">
      <c r="A42" s="201" t="s">
        <v>1714</v>
      </c>
      <c r="B42" s="100">
        <v>8.8699999999999992</v>
      </c>
      <c r="C42" s="100">
        <v>5.58</v>
      </c>
      <c r="D42" s="100">
        <v>10.029999999999999</v>
      </c>
      <c r="E42" s="100">
        <v>7.2</v>
      </c>
      <c r="F42" s="100">
        <v>2.04</v>
      </c>
      <c r="G42" s="100">
        <v>5.09</v>
      </c>
      <c r="H42" s="100">
        <v>2.0099999999999998</v>
      </c>
      <c r="I42" s="100">
        <v>4.2300000000000004</v>
      </c>
      <c r="J42" s="100">
        <v>0.27</v>
      </c>
      <c r="K42" s="100">
        <v>153.47999999999999</v>
      </c>
      <c r="L42" s="100">
        <v>26.29</v>
      </c>
      <c r="M42" s="100">
        <v>56.2</v>
      </c>
      <c r="N42" s="100">
        <v>81.2</v>
      </c>
      <c r="O42" s="100">
        <v>0</v>
      </c>
      <c r="P42" s="100">
        <v>0.19</v>
      </c>
      <c r="Q42" s="100">
        <v>10.98</v>
      </c>
      <c r="R42" s="6"/>
      <c r="S42" s="6"/>
      <c r="T42" s="156"/>
      <c r="U42" s="6"/>
    </row>
    <row r="43" spans="1:21" customFormat="1">
      <c r="A43" s="201" t="s">
        <v>1715</v>
      </c>
      <c r="B43" s="100">
        <v>8.68</v>
      </c>
      <c r="C43" s="100">
        <v>5.56</v>
      </c>
      <c r="D43" s="100">
        <v>9.8699999999999992</v>
      </c>
      <c r="E43" s="100">
        <v>7.04</v>
      </c>
      <c r="F43" s="100">
        <v>2.02</v>
      </c>
      <c r="G43" s="100">
        <v>8.0500000000000007</v>
      </c>
      <c r="H43" s="100">
        <v>3.97</v>
      </c>
      <c r="I43" s="100">
        <v>4.18</v>
      </c>
      <c r="J43" s="100">
        <v>0.19</v>
      </c>
      <c r="K43" s="100">
        <v>143.84</v>
      </c>
      <c r="L43" s="100">
        <v>25.99</v>
      </c>
      <c r="M43" s="100">
        <v>55.29</v>
      </c>
      <c r="N43" s="100">
        <v>80.099999999999994</v>
      </c>
      <c r="O43" s="100">
        <v>0</v>
      </c>
      <c r="P43" s="100">
        <v>0.19</v>
      </c>
      <c r="Q43" s="100">
        <v>13.37</v>
      </c>
      <c r="R43" s="6"/>
      <c r="S43" s="6"/>
      <c r="T43" s="156"/>
      <c r="U43" s="6"/>
    </row>
    <row r="44" spans="1:21" customFormat="1">
      <c r="A44" s="201" t="s">
        <v>1716</v>
      </c>
      <c r="B44" s="100">
        <v>8.51</v>
      </c>
      <c r="C44" s="100">
        <v>5.49</v>
      </c>
      <c r="D44" s="100">
        <v>9.69</v>
      </c>
      <c r="E44" s="100">
        <v>7.3</v>
      </c>
      <c r="F44" s="100">
        <v>2.1</v>
      </c>
      <c r="G44" s="100">
        <v>8.7899999999999991</v>
      </c>
      <c r="H44" s="100">
        <v>3.97</v>
      </c>
      <c r="I44" s="100">
        <v>4.16</v>
      </c>
      <c r="J44" s="100">
        <v>0.19</v>
      </c>
      <c r="K44" s="100">
        <v>91.21</v>
      </c>
      <c r="L44" s="100">
        <v>26.11</v>
      </c>
      <c r="M44" s="100">
        <v>55.32</v>
      </c>
      <c r="N44" s="100">
        <v>70.099999999999994</v>
      </c>
      <c r="O44" s="100">
        <v>0</v>
      </c>
      <c r="P44" s="100">
        <v>0.18</v>
      </c>
      <c r="Q44" s="100">
        <v>11.74</v>
      </c>
      <c r="R44" s="6"/>
      <c r="S44" s="6"/>
      <c r="T44" s="156"/>
      <c r="U44" s="6"/>
    </row>
    <row r="45" spans="1:21" customFormat="1">
      <c r="A45" s="201" t="s">
        <v>1717</v>
      </c>
      <c r="B45" s="100">
        <v>8.33</v>
      </c>
      <c r="C45" s="100">
        <v>5.47</v>
      </c>
      <c r="D45" s="100">
        <v>9.5399999999999991</v>
      </c>
      <c r="E45" s="100">
        <v>7.4</v>
      </c>
      <c r="F45" s="100">
        <v>2.02</v>
      </c>
      <c r="G45" s="100">
        <v>8.7899999999999991</v>
      </c>
      <c r="H45" s="100">
        <v>3.97</v>
      </c>
      <c r="I45" s="100">
        <v>4.1399999999999997</v>
      </c>
      <c r="J45" s="100">
        <v>0.16</v>
      </c>
      <c r="K45" s="100">
        <v>73.66</v>
      </c>
      <c r="L45" s="100">
        <v>26.65</v>
      </c>
      <c r="M45" s="100">
        <v>54.12</v>
      </c>
      <c r="N45" s="100">
        <v>70.900000000000006</v>
      </c>
      <c r="O45" s="100">
        <v>0</v>
      </c>
      <c r="P45" s="100">
        <v>0.19</v>
      </c>
      <c r="Q45" s="100">
        <v>10.41</v>
      </c>
      <c r="R45" s="6"/>
      <c r="S45" s="6"/>
      <c r="T45" s="156"/>
      <c r="U45" s="6"/>
    </row>
    <row r="46" spans="1:21" customFormat="1">
      <c r="A46" s="201" t="s">
        <v>1718</v>
      </c>
      <c r="B46" s="100">
        <v>8.1</v>
      </c>
      <c r="C46" s="100">
        <v>5.51</v>
      </c>
      <c r="D46" s="100">
        <v>9.3800000000000008</v>
      </c>
      <c r="E46" s="100">
        <v>7.62</v>
      </c>
      <c r="F46" s="100">
        <v>2.0099999999999998</v>
      </c>
      <c r="G46" s="100">
        <v>8.7899999999999991</v>
      </c>
      <c r="H46" s="100">
        <v>3.97</v>
      </c>
      <c r="I46" s="100">
        <v>4.08</v>
      </c>
      <c r="J46" s="100">
        <v>0.28000000000000003</v>
      </c>
      <c r="K46" s="100">
        <v>140.43</v>
      </c>
      <c r="L46" s="100">
        <v>26.98</v>
      </c>
      <c r="M46" s="100">
        <v>53.09</v>
      </c>
      <c r="N46" s="100">
        <v>79.5</v>
      </c>
      <c r="O46" s="100">
        <v>0</v>
      </c>
      <c r="P46" s="100">
        <v>0.18</v>
      </c>
      <c r="Q46" s="100">
        <v>10.57</v>
      </c>
      <c r="R46" s="6"/>
      <c r="S46" s="6"/>
      <c r="T46" s="156"/>
      <c r="U46" s="6"/>
    </row>
    <row r="47" spans="1:21" customFormat="1">
      <c r="A47" s="201" t="s">
        <v>1719</v>
      </c>
      <c r="B47" s="100">
        <v>7.88</v>
      </c>
      <c r="C47" s="100">
        <v>5.55</v>
      </c>
      <c r="D47" s="100">
        <v>9.2200000000000006</v>
      </c>
      <c r="E47" s="100">
        <v>6.33</v>
      </c>
      <c r="F47" s="100">
        <v>2.0499999999999998</v>
      </c>
      <c r="G47" s="100">
        <v>7.83</v>
      </c>
      <c r="H47" s="100">
        <v>3.14</v>
      </c>
      <c r="I47" s="100">
        <v>4</v>
      </c>
      <c r="J47" s="100">
        <v>0.22</v>
      </c>
      <c r="K47" s="100">
        <v>141.76</v>
      </c>
      <c r="L47" s="100">
        <v>22.22</v>
      </c>
      <c r="M47" s="100">
        <v>47.91</v>
      </c>
      <c r="N47" s="100">
        <v>93.3</v>
      </c>
      <c r="O47" s="100">
        <v>0</v>
      </c>
      <c r="P47" s="100">
        <v>0.19</v>
      </c>
      <c r="Q47" s="100">
        <v>11</v>
      </c>
      <c r="R47" s="6"/>
      <c r="S47" s="6"/>
      <c r="T47" s="156"/>
      <c r="U47" s="6"/>
    </row>
    <row r="48" spans="1:21" customFormat="1">
      <c r="A48" s="201" t="s">
        <v>1720</v>
      </c>
      <c r="B48" s="100">
        <v>7.58</v>
      </c>
      <c r="C48" s="100">
        <v>5.52</v>
      </c>
      <c r="D48" s="100">
        <v>8.9600000000000009</v>
      </c>
      <c r="E48" s="100">
        <v>7.37</v>
      </c>
      <c r="F48" s="100">
        <v>2.15</v>
      </c>
      <c r="G48" s="100">
        <v>7.58</v>
      </c>
      <c r="H48" s="100">
        <v>3.14</v>
      </c>
      <c r="I48" s="100">
        <v>3.99</v>
      </c>
      <c r="J48" s="100">
        <v>0.26</v>
      </c>
      <c r="K48" s="100">
        <v>124.6</v>
      </c>
      <c r="L48" s="100">
        <v>19.02</v>
      </c>
      <c r="M48" s="100">
        <v>44.09</v>
      </c>
      <c r="N48" s="100">
        <v>106.6</v>
      </c>
      <c r="O48" s="100">
        <v>0</v>
      </c>
      <c r="P48" s="100">
        <v>0.17</v>
      </c>
      <c r="Q48" s="100">
        <v>10.77</v>
      </c>
      <c r="R48" s="6"/>
      <c r="S48" s="6"/>
      <c r="T48" s="156"/>
      <c r="U48" s="6"/>
    </row>
    <row r="49" spans="1:21" customFormat="1">
      <c r="A49" s="201" t="s">
        <v>1721</v>
      </c>
      <c r="B49" s="100">
        <v>7.31</v>
      </c>
      <c r="C49" s="100">
        <v>5.57</v>
      </c>
      <c r="D49" s="100">
        <v>8.77</v>
      </c>
      <c r="E49" s="100">
        <v>4.3899999999999997</v>
      </c>
      <c r="F49" s="100">
        <v>2</v>
      </c>
      <c r="G49" s="100">
        <v>7.58</v>
      </c>
      <c r="H49" s="100">
        <v>3.14</v>
      </c>
      <c r="I49" s="100">
        <v>3.98</v>
      </c>
      <c r="J49" s="100">
        <v>0.27</v>
      </c>
      <c r="K49" s="100">
        <v>122.4</v>
      </c>
      <c r="L49" s="100">
        <v>0.63</v>
      </c>
      <c r="M49" s="100">
        <v>25.83</v>
      </c>
      <c r="N49" s="100">
        <v>114.1</v>
      </c>
      <c r="O49" s="100">
        <v>0</v>
      </c>
      <c r="P49" s="100">
        <v>0.17</v>
      </c>
      <c r="Q49" s="100">
        <v>10.97</v>
      </c>
      <c r="R49" s="6"/>
      <c r="S49" s="6"/>
      <c r="T49" s="156"/>
      <c r="U49" s="6"/>
    </row>
    <row r="50" spans="1:21" customFormat="1">
      <c r="A50" s="201" t="s">
        <v>1722</v>
      </c>
      <c r="B50" s="100">
        <v>6.96</v>
      </c>
      <c r="C50" s="100">
        <v>5.67</v>
      </c>
      <c r="D50" s="100">
        <v>8.5500000000000007</v>
      </c>
      <c r="E50" s="100">
        <v>5.41</v>
      </c>
      <c r="F50" s="100">
        <v>2.04</v>
      </c>
      <c r="G50" s="100">
        <v>7.58</v>
      </c>
      <c r="H50" s="100">
        <v>3.14</v>
      </c>
      <c r="I50" s="100">
        <v>3.93</v>
      </c>
      <c r="J50" s="100">
        <v>0.31</v>
      </c>
      <c r="K50" s="100">
        <v>126.65</v>
      </c>
      <c r="L50" s="100">
        <v>7.02</v>
      </c>
      <c r="M50" s="100">
        <v>32.200000000000003</v>
      </c>
      <c r="N50" s="100">
        <v>122.1</v>
      </c>
      <c r="O50" s="100">
        <v>0</v>
      </c>
      <c r="P50" s="100">
        <v>0.17</v>
      </c>
      <c r="Q50" s="100">
        <v>13.11</v>
      </c>
      <c r="R50" s="6"/>
      <c r="S50" s="6"/>
      <c r="T50" s="156"/>
      <c r="U50" s="6"/>
    </row>
    <row r="51" spans="1:21" customFormat="1">
      <c r="A51" s="201" t="s">
        <v>1723</v>
      </c>
      <c r="B51" s="100">
        <v>6.78</v>
      </c>
      <c r="C51" s="100">
        <v>5.59</v>
      </c>
      <c r="D51" s="100">
        <v>8.35</v>
      </c>
      <c r="E51" s="100">
        <v>5.42</v>
      </c>
      <c r="F51" s="100">
        <v>2</v>
      </c>
      <c r="G51" s="100">
        <v>10.210000000000001</v>
      </c>
      <c r="H51" s="100">
        <v>2.34</v>
      </c>
      <c r="I51" s="100">
        <v>3.86</v>
      </c>
      <c r="J51" s="100">
        <v>0.25</v>
      </c>
      <c r="K51" s="100">
        <v>121.46</v>
      </c>
      <c r="L51" s="100">
        <v>15.94</v>
      </c>
      <c r="M51" s="100">
        <v>41.32</v>
      </c>
      <c r="N51" s="100">
        <v>124.2</v>
      </c>
      <c r="O51" s="100">
        <v>0</v>
      </c>
      <c r="P51" s="100">
        <v>0.2</v>
      </c>
      <c r="Q51" s="100">
        <v>12.76</v>
      </c>
      <c r="R51" s="6"/>
      <c r="S51" s="6"/>
      <c r="T51" s="156"/>
      <c r="U51" s="6"/>
    </row>
    <row r="52" spans="1:21" customFormat="1">
      <c r="A52" s="201" t="s">
        <v>1724</v>
      </c>
      <c r="B52" s="100">
        <v>6.76</v>
      </c>
      <c r="C52" s="100">
        <v>5.21</v>
      </c>
      <c r="D52" s="100">
        <v>8.14</v>
      </c>
      <c r="E52" s="100">
        <v>5.5</v>
      </c>
      <c r="F52" s="100">
        <v>2.0299999999999998</v>
      </c>
      <c r="G52" s="100">
        <v>10.91</v>
      </c>
      <c r="H52" s="100">
        <v>2.34</v>
      </c>
      <c r="I52" s="100">
        <v>3.86</v>
      </c>
      <c r="J52" s="100">
        <v>0.33</v>
      </c>
      <c r="K52" s="100">
        <v>127.21</v>
      </c>
      <c r="L52" s="100">
        <v>15.4</v>
      </c>
      <c r="M52" s="100">
        <v>40.619999999999997</v>
      </c>
      <c r="N52" s="100">
        <v>248.7</v>
      </c>
      <c r="O52" s="100">
        <v>0</v>
      </c>
      <c r="P52" s="100">
        <v>0.2</v>
      </c>
      <c r="Q52" s="100">
        <v>30.19</v>
      </c>
      <c r="R52" s="6"/>
      <c r="S52" s="6"/>
      <c r="T52" s="156"/>
      <c r="U52" s="6"/>
    </row>
    <row r="53" spans="1:21" customFormat="1">
      <c r="A53" s="201" t="s">
        <v>1725</v>
      </c>
      <c r="B53" s="100">
        <v>6.68</v>
      </c>
      <c r="C53" s="100">
        <v>5.14</v>
      </c>
      <c r="D53" s="100">
        <v>8.0399999999999991</v>
      </c>
      <c r="E53" s="100">
        <v>5.13</v>
      </c>
      <c r="F53" s="100">
        <v>2</v>
      </c>
      <c r="G53" s="100">
        <v>10.91</v>
      </c>
      <c r="H53" s="100">
        <v>2.34</v>
      </c>
      <c r="I53" s="100">
        <v>3.99</v>
      </c>
      <c r="J53" s="100">
        <v>0.28999999999999998</v>
      </c>
      <c r="K53" s="100">
        <v>104.13</v>
      </c>
      <c r="L53" s="100">
        <v>13.94</v>
      </c>
      <c r="M53" s="100">
        <v>39.130000000000003</v>
      </c>
      <c r="N53" s="100">
        <v>476.9</v>
      </c>
      <c r="O53" s="100">
        <v>0</v>
      </c>
      <c r="P53" s="100">
        <v>0.2</v>
      </c>
      <c r="Q53" s="100">
        <v>10.95</v>
      </c>
      <c r="R53" s="6"/>
      <c r="S53" s="6"/>
      <c r="T53" s="156"/>
      <c r="U53" s="6"/>
    </row>
    <row r="54" spans="1:21" customFormat="1">
      <c r="A54" s="201" t="s">
        <v>1726</v>
      </c>
      <c r="B54" s="100">
        <v>6.57</v>
      </c>
      <c r="C54" s="100">
        <v>5.16</v>
      </c>
      <c r="D54" s="100">
        <v>7.97</v>
      </c>
      <c r="E54" s="100">
        <v>4.8600000000000003</v>
      </c>
      <c r="F54" s="100">
        <v>2</v>
      </c>
      <c r="G54" s="100">
        <v>10.91</v>
      </c>
      <c r="H54" s="100">
        <v>2.34</v>
      </c>
      <c r="I54" s="100">
        <v>3.89</v>
      </c>
      <c r="J54" s="100">
        <v>0.55000000000000004</v>
      </c>
      <c r="K54" s="100">
        <v>126.21</v>
      </c>
      <c r="L54" s="100">
        <v>11.81</v>
      </c>
      <c r="M54" s="100">
        <v>37.06</v>
      </c>
      <c r="N54" s="100">
        <v>524.1</v>
      </c>
      <c r="O54" s="100">
        <v>0</v>
      </c>
      <c r="P54" s="100">
        <v>0.19</v>
      </c>
      <c r="Q54" s="100">
        <v>10.81</v>
      </c>
      <c r="R54" s="6"/>
      <c r="S54" s="6"/>
      <c r="T54" s="156"/>
      <c r="U54" s="6"/>
    </row>
    <row r="55" spans="1:21" customFormat="1">
      <c r="A55" s="201" t="s">
        <v>1727</v>
      </c>
      <c r="B55" s="100">
        <v>6.38</v>
      </c>
      <c r="C55" s="100">
        <v>5.47</v>
      </c>
      <c r="D55" s="100">
        <v>7.97</v>
      </c>
      <c r="E55" s="100">
        <v>4.42</v>
      </c>
      <c r="F55" s="100">
        <v>2.74</v>
      </c>
      <c r="G55" s="100">
        <v>11.37</v>
      </c>
      <c r="H55" s="100">
        <v>2.91</v>
      </c>
      <c r="I55" s="100">
        <v>4.04</v>
      </c>
      <c r="J55" s="100">
        <v>0.32</v>
      </c>
      <c r="K55" s="100">
        <v>115.11</v>
      </c>
      <c r="L55" s="100">
        <v>10.28</v>
      </c>
      <c r="M55" s="100">
        <v>35.57</v>
      </c>
      <c r="N55" s="100">
        <v>274.2</v>
      </c>
      <c r="O55" s="100">
        <v>0</v>
      </c>
      <c r="P55" s="100">
        <v>0.2</v>
      </c>
      <c r="Q55" s="100">
        <v>10.15</v>
      </c>
      <c r="R55" s="6"/>
      <c r="S55" s="6"/>
      <c r="T55" s="156"/>
      <c r="U55" s="6"/>
    </row>
    <row r="56" spans="1:21" customFormat="1">
      <c r="A56" s="201" t="s">
        <v>1728</v>
      </c>
      <c r="B56" s="100">
        <v>6.54</v>
      </c>
      <c r="C56" s="100">
        <v>5.73</v>
      </c>
      <c r="D56" s="100">
        <v>8.24</v>
      </c>
      <c r="E56" s="100">
        <v>4.53</v>
      </c>
      <c r="F56" s="100">
        <v>2.04</v>
      </c>
      <c r="G56" s="100">
        <v>11.48</v>
      </c>
      <c r="H56" s="100">
        <v>2.91</v>
      </c>
      <c r="I56" s="100">
        <v>4.04</v>
      </c>
      <c r="J56" s="100">
        <v>0.41</v>
      </c>
      <c r="K56" s="100">
        <v>48.53</v>
      </c>
      <c r="L56" s="100">
        <v>12.15</v>
      </c>
      <c r="M56" s="100">
        <v>37.299999999999997</v>
      </c>
      <c r="N56" s="100">
        <v>68.599999999999994</v>
      </c>
      <c r="O56" s="100">
        <v>0</v>
      </c>
      <c r="P56" s="100">
        <v>0.19</v>
      </c>
      <c r="Q56" s="100">
        <v>10.69</v>
      </c>
      <c r="R56" s="6"/>
      <c r="S56" s="6"/>
      <c r="T56" s="156"/>
      <c r="U56" s="6"/>
    </row>
    <row r="57" spans="1:21" customFormat="1">
      <c r="A57" s="201" t="s">
        <v>1729</v>
      </c>
      <c r="B57" s="100">
        <v>6.89</v>
      </c>
      <c r="C57" s="100">
        <v>6.34</v>
      </c>
      <c r="D57" s="100">
        <v>8.83</v>
      </c>
      <c r="E57" s="100">
        <v>5.53</v>
      </c>
      <c r="F57" s="100">
        <v>2.99</v>
      </c>
      <c r="G57" s="100">
        <v>11.48</v>
      </c>
      <c r="H57" s="100">
        <v>2.91</v>
      </c>
      <c r="I57" s="100">
        <v>4.09</v>
      </c>
      <c r="J57" s="100">
        <v>0.59</v>
      </c>
      <c r="K57" s="100">
        <v>40.130000000000003</v>
      </c>
      <c r="L57" s="100">
        <v>-10.8</v>
      </c>
      <c r="M57" s="100">
        <v>14.52</v>
      </c>
      <c r="N57" s="100">
        <v>39.5</v>
      </c>
      <c r="O57" s="100">
        <v>0</v>
      </c>
      <c r="P57" s="100">
        <v>0.23</v>
      </c>
      <c r="Q57" s="100">
        <v>9.98</v>
      </c>
      <c r="R57" s="6"/>
      <c r="S57" s="6"/>
      <c r="T57" s="156"/>
      <c r="U57" s="6"/>
    </row>
    <row r="58" spans="1:21" customFormat="1">
      <c r="A58" s="201" t="s">
        <v>1730</v>
      </c>
      <c r="B58" s="100">
        <v>6.98</v>
      </c>
      <c r="C58" s="100">
        <v>6.56</v>
      </c>
      <c r="D58" s="100">
        <v>9.02</v>
      </c>
      <c r="E58" s="100">
        <v>5.12</v>
      </c>
      <c r="F58" s="100">
        <v>2.23</v>
      </c>
      <c r="G58" s="100">
        <v>11.48</v>
      </c>
      <c r="H58" s="100">
        <v>2.91</v>
      </c>
      <c r="I58" s="100">
        <v>4.3600000000000003</v>
      </c>
      <c r="J58" s="100">
        <v>0.47</v>
      </c>
      <c r="K58" s="100">
        <v>121.03</v>
      </c>
      <c r="L58" s="100">
        <v>17.63</v>
      </c>
      <c r="M58" s="100">
        <v>42.89</v>
      </c>
      <c r="N58" s="100">
        <v>28.2</v>
      </c>
      <c r="O58" s="100">
        <v>0</v>
      </c>
      <c r="P58" s="100">
        <v>0.24</v>
      </c>
      <c r="Q58" s="100">
        <v>10.26</v>
      </c>
      <c r="R58" s="6"/>
      <c r="S58" s="6"/>
      <c r="T58" s="156"/>
      <c r="U58" s="6"/>
    </row>
    <row r="59" spans="1:21" customFormat="1">
      <c r="A59" s="201" t="s">
        <v>1731</v>
      </c>
      <c r="B59" s="100">
        <v>7.23</v>
      </c>
      <c r="C59" s="100">
        <v>6.53</v>
      </c>
      <c r="D59" s="100">
        <v>9.2100000000000009</v>
      </c>
      <c r="E59" s="100">
        <v>4.87</v>
      </c>
      <c r="F59" s="100">
        <v>2</v>
      </c>
      <c r="G59" s="100">
        <v>21.27</v>
      </c>
      <c r="H59" s="100">
        <v>10.16</v>
      </c>
      <c r="I59" s="100">
        <v>4.3899999999999997</v>
      </c>
      <c r="J59" s="100">
        <v>0.97</v>
      </c>
      <c r="K59" s="100">
        <v>136.24</v>
      </c>
      <c r="L59" s="100">
        <v>20</v>
      </c>
      <c r="M59" s="100">
        <v>45.3</v>
      </c>
      <c r="N59" s="100">
        <v>37.299999999999997</v>
      </c>
      <c r="O59" s="100">
        <v>0</v>
      </c>
      <c r="P59" s="100">
        <v>0.24</v>
      </c>
      <c r="Q59" s="100">
        <v>10.32</v>
      </c>
      <c r="R59" s="6"/>
      <c r="S59" s="6"/>
      <c r="T59" s="156"/>
      <c r="U59" s="6"/>
    </row>
    <row r="60" spans="1:21" customFormat="1">
      <c r="A60" s="201" t="s">
        <v>1732</v>
      </c>
      <c r="B60" s="100">
        <v>7.48</v>
      </c>
      <c r="C60" s="100">
        <v>6.56</v>
      </c>
      <c r="D60" s="100">
        <v>9.42</v>
      </c>
      <c r="E60" s="100">
        <v>4.5999999999999996</v>
      </c>
      <c r="F60" s="100">
        <v>2.0299999999999998</v>
      </c>
      <c r="G60" s="100">
        <v>23.72</v>
      </c>
      <c r="H60" s="100">
        <v>10.16</v>
      </c>
      <c r="I60" s="100">
        <v>4.42</v>
      </c>
      <c r="J60" s="100">
        <v>0.38</v>
      </c>
      <c r="K60" s="100">
        <v>128.59</v>
      </c>
      <c r="L60" s="100">
        <v>20.38</v>
      </c>
      <c r="M60" s="100">
        <v>45.63</v>
      </c>
      <c r="N60" s="100">
        <v>40.200000000000003</v>
      </c>
      <c r="O60" s="100">
        <v>0</v>
      </c>
      <c r="P60" s="100">
        <v>0.26</v>
      </c>
      <c r="Q60" s="100">
        <v>10.31</v>
      </c>
      <c r="R60" s="6"/>
      <c r="S60" s="6"/>
      <c r="T60" s="156"/>
      <c r="U60" s="6"/>
    </row>
    <row r="61" spans="1:21" customFormat="1">
      <c r="A61" s="201" t="s">
        <v>1733</v>
      </c>
      <c r="B61" s="100">
        <v>7.67</v>
      </c>
      <c r="C61" s="100">
        <v>6.43</v>
      </c>
      <c r="D61" s="100">
        <v>9.51</v>
      </c>
      <c r="E61" s="100">
        <v>4.84</v>
      </c>
      <c r="F61" s="100">
        <v>2</v>
      </c>
      <c r="G61" s="100">
        <v>23.72</v>
      </c>
      <c r="H61" s="100">
        <v>10.16</v>
      </c>
      <c r="I61" s="100">
        <v>4.4000000000000004</v>
      </c>
      <c r="J61" s="100">
        <v>0.3</v>
      </c>
      <c r="K61" s="100">
        <v>134.57</v>
      </c>
      <c r="L61" s="100">
        <v>20.149999999999999</v>
      </c>
      <c r="M61" s="100">
        <v>45.47</v>
      </c>
      <c r="N61" s="100">
        <v>26.8</v>
      </c>
      <c r="O61" s="100">
        <v>0</v>
      </c>
      <c r="P61" s="100">
        <v>0.26</v>
      </c>
      <c r="Q61" s="100">
        <v>10.65</v>
      </c>
      <c r="R61" s="6"/>
      <c r="S61" s="6"/>
      <c r="T61" s="156"/>
      <c r="U61" s="6"/>
    </row>
    <row r="62" spans="1:21" customFormat="1">
      <c r="A62" s="201" t="s">
        <v>1734</v>
      </c>
      <c r="B62" s="100">
        <v>7.66</v>
      </c>
      <c r="C62" s="100">
        <v>6.32</v>
      </c>
      <c r="D62" s="100">
        <v>9.4499999999999993</v>
      </c>
      <c r="E62" s="100">
        <v>4.47</v>
      </c>
      <c r="F62" s="100">
        <v>2</v>
      </c>
      <c r="G62" s="100">
        <v>23.72</v>
      </c>
      <c r="H62" s="100">
        <v>10.16</v>
      </c>
      <c r="I62" s="100">
        <v>4.6399999999999997</v>
      </c>
      <c r="J62" s="100">
        <v>0.38</v>
      </c>
      <c r="K62" s="100">
        <v>136.41</v>
      </c>
      <c r="L62" s="100">
        <v>19.989999999999998</v>
      </c>
      <c r="M62" s="100">
        <v>45.31</v>
      </c>
      <c r="N62" s="100">
        <v>19.100000000000001</v>
      </c>
      <c r="O62" s="100">
        <v>0</v>
      </c>
      <c r="P62" s="100">
        <v>0.25</v>
      </c>
      <c r="Q62" s="100">
        <v>10.97</v>
      </c>
      <c r="R62" s="6"/>
      <c r="S62" s="6"/>
      <c r="T62" s="156"/>
      <c r="U62" s="6"/>
    </row>
    <row r="63" spans="1:21" customFormat="1">
      <c r="A63" s="201" t="s">
        <v>1735</v>
      </c>
      <c r="B63" s="100">
        <v>7.69</v>
      </c>
      <c r="C63" s="100">
        <v>6.45</v>
      </c>
      <c r="D63" s="100">
        <v>9.5299999999999994</v>
      </c>
      <c r="E63" s="100">
        <v>4.6399999999999997</v>
      </c>
      <c r="F63" s="100">
        <v>2</v>
      </c>
      <c r="G63" s="100">
        <v>25.27</v>
      </c>
      <c r="H63" s="100">
        <v>8.2100000000000009</v>
      </c>
      <c r="I63" s="100">
        <v>4.7</v>
      </c>
      <c r="J63" s="100">
        <v>0.3</v>
      </c>
      <c r="K63" s="100">
        <v>119.34</v>
      </c>
      <c r="L63" s="100">
        <v>19.96</v>
      </c>
      <c r="M63" s="100">
        <v>45.22</v>
      </c>
      <c r="N63" s="100">
        <v>15.5</v>
      </c>
      <c r="O63" s="100">
        <v>0</v>
      </c>
      <c r="P63" s="100">
        <v>0.28000000000000003</v>
      </c>
      <c r="Q63" s="100">
        <v>15.34</v>
      </c>
      <c r="R63" s="6"/>
      <c r="S63" s="6"/>
      <c r="T63" s="156"/>
      <c r="U63" s="6"/>
    </row>
    <row r="64" spans="1:21" customFormat="1">
      <c r="A64" s="201" t="s">
        <v>1736</v>
      </c>
      <c r="B64" s="100">
        <v>7.7</v>
      </c>
      <c r="C64" s="100">
        <v>6.25</v>
      </c>
      <c r="D64" s="100">
        <v>9.44</v>
      </c>
      <c r="E64" s="100">
        <v>4.8099999999999996</v>
      </c>
      <c r="F64" s="100">
        <v>2</v>
      </c>
      <c r="G64" s="100">
        <v>25.68</v>
      </c>
      <c r="H64" s="100">
        <v>8.2100000000000009</v>
      </c>
      <c r="I64" s="100">
        <v>4.59</v>
      </c>
      <c r="J64" s="100">
        <v>0.28999999999999998</v>
      </c>
      <c r="K64" s="100">
        <v>131.75</v>
      </c>
      <c r="L64" s="100">
        <v>20.12</v>
      </c>
      <c r="M64" s="100">
        <v>45.43</v>
      </c>
      <c r="N64" s="100">
        <v>11.1</v>
      </c>
      <c r="O64" s="100">
        <v>0</v>
      </c>
      <c r="P64" s="100">
        <v>0.27</v>
      </c>
      <c r="Q64" s="100">
        <v>20.49</v>
      </c>
      <c r="R64" s="6"/>
      <c r="S64" s="6"/>
      <c r="T64" s="156"/>
      <c r="U64" s="6"/>
    </row>
    <row r="65" spans="1:21" customFormat="1">
      <c r="A65" s="201" t="s">
        <v>1737</v>
      </c>
      <c r="B65" s="100">
        <v>7.64</v>
      </c>
      <c r="C65" s="100">
        <v>6.1</v>
      </c>
      <c r="D65" s="100">
        <v>9.31</v>
      </c>
      <c r="E65" s="100">
        <v>4.57</v>
      </c>
      <c r="F65" s="100">
        <v>2</v>
      </c>
      <c r="G65" s="100">
        <v>25.68</v>
      </c>
      <c r="H65" s="100">
        <v>8.2100000000000009</v>
      </c>
      <c r="I65" s="100">
        <v>4.75</v>
      </c>
      <c r="J65" s="100">
        <v>0.25</v>
      </c>
      <c r="K65" s="100">
        <v>135.01</v>
      </c>
      <c r="L65" s="100">
        <v>20.29</v>
      </c>
      <c r="M65" s="100">
        <v>45.57</v>
      </c>
      <c r="N65" s="100">
        <v>10</v>
      </c>
      <c r="O65" s="100">
        <v>0</v>
      </c>
      <c r="P65" s="100">
        <v>0.25</v>
      </c>
      <c r="Q65" s="100">
        <v>11.04</v>
      </c>
      <c r="R65" s="6"/>
      <c r="S65" s="6"/>
      <c r="T65" s="156"/>
      <c r="U65" s="6"/>
    </row>
    <row r="66" spans="1:21" customFormat="1">
      <c r="A66" s="201" t="s">
        <v>1738</v>
      </c>
      <c r="B66" s="100">
        <v>7.65</v>
      </c>
      <c r="C66" s="100">
        <v>6.2</v>
      </c>
      <c r="D66" s="100">
        <v>9.3800000000000008</v>
      </c>
      <c r="E66" s="100">
        <v>4.62</v>
      </c>
      <c r="F66" s="100">
        <v>2</v>
      </c>
      <c r="G66" s="100">
        <v>25.68</v>
      </c>
      <c r="H66" s="100">
        <v>8.2100000000000009</v>
      </c>
      <c r="I66" s="100">
        <v>4.8</v>
      </c>
      <c r="J66" s="100">
        <v>0.22</v>
      </c>
      <c r="K66" s="100">
        <v>133.63</v>
      </c>
      <c r="L66" s="100">
        <v>20.46</v>
      </c>
      <c r="M66" s="100">
        <v>45.75</v>
      </c>
      <c r="N66" s="100">
        <v>9.9</v>
      </c>
      <c r="O66" s="100">
        <v>0</v>
      </c>
      <c r="P66" s="100">
        <v>0.27</v>
      </c>
      <c r="Q66" s="100">
        <v>10.210000000000001</v>
      </c>
      <c r="R66" s="6"/>
      <c r="S66" s="6"/>
      <c r="T66" s="156"/>
      <c r="U66" s="6"/>
    </row>
    <row r="67" spans="1:21" customFormat="1">
      <c r="A67" s="201" t="s">
        <v>1739</v>
      </c>
      <c r="B67" s="100">
        <v>7.69</v>
      </c>
      <c r="C67" s="100">
        <v>5.85</v>
      </c>
      <c r="D67" s="100">
        <v>9.23</v>
      </c>
      <c r="E67" s="100">
        <v>4.8</v>
      </c>
      <c r="F67" s="100">
        <v>2</v>
      </c>
      <c r="G67" s="100">
        <v>19.309999999999999</v>
      </c>
      <c r="H67" s="100">
        <v>8.74</v>
      </c>
      <c r="I67" s="100">
        <v>4.71</v>
      </c>
      <c r="J67" s="100">
        <v>0.13</v>
      </c>
      <c r="K67" s="100">
        <v>127.71</v>
      </c>
      <c r="L67" s="100">
        <v>20.64</v>
      </c>
      <c r="M67" s="100">
        <v>45.9</v>
      </c>
      <c r="N67" s="100">
        <v>10.3</v>
      </c>
      <c r="O67" s="100">
        <v>0</v>
      </c>
      <c r="P67" s="100">
        <v>0.26</v>
      </c>
      <c r="Q67" s="100">
        <v>12.49</v>
      </c>
      <c r="R67" s="6"/>
      <c r="S67" s="6"/>
      <c r="T67" s="156"/>
      <c r="U67" s="6"/>
    </row>
    <row r="68" spans="1:21" customFormat="1">
      <c r="A68" s="201" t="s">
        <v>1740</v>
      </c>
      <c r="B68" s="100">
        <v>7.76</v>
      </c>
      <c r="C68" s="100">
        <v>5.89</v>
      </c>
      <c r="D68" s="100">
        <v>9.3000000000000007</v>
      </c>
      <c r="E68" s="100">
        <v>4.95</v>
      </c>
      <c r="F68" s="100">
        <v>2</v>
      </c>
      <c r="G68" s="100">
        <v>17.72</v>
      </c>
      <c r="H68" s="100">
        <v>8.74</v>
      </c>
      <c r="I68" s="100">
        <v>4.74</v>
      </c>
      <c r="J68" s="100">
        <v>0.19</v>
      </c>
      <c r="K68" s="100">
        <v>133.87</v>
      </c>
      <c r="L68" s="100">
        <v>20.56</v>
      </c>
      <c r="M68" s="100">
        <v>45.86</v>
      </c>
      <c r="N68" s="100">
        <v>10.4</v>
      </c>
      <c r="O68" s="100">
        <v>0</v>
      </c>
      <c r="P68" s="100">
        <v>0.27</v>
      </c>
      <c r="Q68" s="100">
        <v>11.9</v>
      </c>
      <c r="R68" s="6"/>
      <c r="S68" s="6"/>
      <c r="T68" s="156"/>
      <c r="U68" s="6"/>
    </row>
    <row r="69" spans="1:21" customFormat="1">
      <c r="A69" s="201" t="s">
        <v>1741</v>
      </c>
      <c r="B69" s="100">
        <v>7.8</v>
      </c>
      <c r="C69" s="100">
        <v>5.68</v>
      </c>
      <c r="D69" s="100">
        <v>9.2200000000000006</v>
      </c>
      <c r="E69" s="100">
        <v>4.7699999999999996</v>
      </c>
      <c r="F69" s="100">
        <v>2</v>
      </c>
      <c r="G69" s="100">
        <v>17.72</v>
      </c>
      <c r="H69" s="100">
        <v>8.74</v>
      </c>
      <c r="I69" s="100">
        <v>4.63</v>
      </c>
      <c r="J69" s="100">
        <v>0.19</v>
      </c>
      <c r="K69" s="100">
        <v>134.22</v>
      </c>
      <c r="L69" s="100">
        <v>20.64</v>
      </c>
      <c r="M69" s="100">
        <v>45.87</v>
      </c>
      <c r="N69" s="100">
        <v>10.6</v>
      </c>
      <c r="O69" s="100">
        <v>0</v>
      </c>
      <c r="P69" s="100">
        <v>0.26</v>
      </c>
      <c r="Q69" s="100">
        <v>12.73</v>
      </c>
      <c r="R69" s="6"/>
      <c r="S69" s="6"/>
      <c r="T69" s="156"/>
      <c r="U69" s="6"/>
    </row>
    <row r="70" spans="1:21" customFormat="1">
      <c r="A70" s="201" t="s">
        <v>1742</v>
      </c>
      <c r="B70" s="100">
        <v>7.74</v>
      </c>
      <c r="C70" s="100">
        <v>5.64</v>
      </c>
      <c r="D70" s="100">
        <v>9.15</v>
      </c>
      <c r="E70" s="100">
        <v>4.9400000000000004</v>
      </c>
      <c r="F70" s="100">
        <v>2</v>
      </c>
      <c r="G70" s="100">
        <v>17.72</v>
      </c>
      <c r="H70" s="100">
        <v>8.74</v>
      </c>
      <c r="I70" s="100">
        <v>4.6900000000000004</v>
      </c>
      <c r="J70" s="100">
        <v>0.18</v>
      </c>
      <c r="K70" s="100">
        <v>135.08000000000001</v>
      </c>
      <c r="L70" s="100">
        <v>20.61</v>
      </c>
      <c r="M70" s="100">
        <v>45.88</v>
      </c>
      <c r="N70" s="100">
        <v>12.1</v>
      </c>
      <c r="O70" s="100">
        <v>0</v>
      </c>
      <c r="P70" s="100">
        <v>0.23</v>
      </c>
      <c r="Q70" s="100">
        <v>10.74</v>
      </c>
      <c r="R70" s="6"/>
      <c r="S70" s="6"/>
      <c r="T70" s="156"/>
      <c r="U70" s="6"/>
    </row>
    <row r="71" spans="1:21" customFormat="1">
      <c r="A71" s="201" t="s">
        <v>1743</v>
      </c>
      <c r="B71" s="100">
        <v>7.45</v>
      </c>
      <c r="C71" s="100">
        <v>6.21</v>
      </c>
      <c r="D71" s="100">
        <v>9.2200000000000006</v>
      </c>
      <c r="E71" s="100">
        <v>5.03</v>
      </c>
      <c r="F71" s="100">
        <v>2</v>
      </c>
      <c r="G71" s="100">
        <v>14.35</v>
      </c>
      <c r="H71" s="100">
        <v>6.62</v>
      </c>
      <c r="I71" s="100">
        <v>4.7699999999999996</v>
      </c>
      <c r="J71" s="100">
        <v>0.11</v>
      </c>
      <c r="K71" s="100">
        <v>85.27</v>
      </c>
      <c r="L71" s="100">
        <v>20.57</v>
      </c>
      <c r="M71" s="100">
        <v>45.87</v>
      </c>
      <c r="N71" s="100">
        <v>12.6</v>
      </c>
      <c r="O71" s="100">
        <v>0</v>
      </c>
      <c r="P71" s="100">
        <v>0.22</v>
      </c>
      <c r="Q71" s="100">
        <v>9.91</v>
      </c>
      <c r="R71" s="6"/>
      <c r="S71" s="6"/>
      <c r="T71" s="156"/>
      <c r="U71" s="6"/>
    </row>
    <row r="72" spans="1:21" customFormat="1">
      <c r="A72" s="201" t="s">
        <v>1744</v>
      </c>
      <c r="B72" s="100">
        <v>7.28</v>
      </c>
      <c r="C72" s="100">
        <v>6.42</v>
      </c>
      <c r="D72" s="100">
        <v>9.19</v>
      </c>
      <c r="E72" s="100">
        <v>5</v>
      </c>
      <c r="F72" s="100">
        <v>2</v>
      </c>
      <c r="G72" s="100">
        <v>13.51</v>
      </c>
      <c r="H72" s="100">
        <v>6.62</v>
      </c>
      <c r="I72" s="100">
        <v>4.62</v>
      </c>
      <c r="J72" s="100">
        <v>0.14000000000000001</v>
      </c>
      <c r="K72" s="100">
        <v>114.79</v>
      </c>
      <c r="L72" s="100">
        <v>23.49</v>
      </c>
      <c r="M72" s="100">
        <v>52.15</v>
      </c>
      <c r="N72" s="100">
        <v>13.4</v>
      </c>
      <c r="O72" s="100">
        <v>0</v>
      </c>
      <c r="P72" s="100">
        <v>0.21</v>
      </c>
      <c r="Q72" s="100">
        <v>10.01</v>
      </c>
      <c r="R72" s="6"/>
      <c r="S72" s="6"/>
      <c r="T72" s="156"/>
      <c r="U72" s="6"/>
    </row>
    <row r="73" spans="1:21" customFormat="1">
      <c r="A73" s="201" t="s">
        <v>1745</v>
      </c>
      <c r="B73" s="100">
        <v>7.1</v>
      </c>
      <c r="C73" s="100">
        <v>6.42</v>
      </c>
      <c r="D73" s="100">
        <v>9.0399999999999991</v>
      </c>
      <c r="E73" s="100">
        <v>5.07</v>
      </c>
      <c r="F73" s="100">
        <v>2</v>
      </c>
      <c r="G73" s="100">
        <v>13.51</v>
      </c>
      <c r="H73" s="100">
        <v>6.62</v>
      </c>
      <c r="I73" s="100">
        <v>4.51</v>
      </c>
      <c r="J73" s="100">
        <v>0.11</v>
      </c>
      <c r="K73" s="100">
        <v>123.16</v>
      </c>
      <c r="L73" s="100">
        <v>24.55</v>
      </c>
      <c r="M73" s="100">
        <v>53.76</v>
      </c>
      <c r="N73" s="100">
        <v>13.3</v>
      </c>
      <c r="O73" s="100">
        <v>0</v>
      </c>
      <c r="P73" s="100">
        <v>0.21</v>
      </c>
      <c r="Q73" s="100">
        <v>11.9</v>
      </c>
      <c r="R73" s="6"/>
      <c r="S73" s="6"/>
      <c r="T73" s="156"/>
      <c r="U73" s="6"/>
    </row>
    <row r="74" spans="1:21" customFormat="1">
      <c r="A74" s="201" t="s">
        <v>1746</v>
      </c>
      <c r="B74" s="100">
        <v>6.84</v>
      </c>
      <c r="C74" s="100">
        <v>6.41</v>
      </c>
      <c r="D74" s="100">
        <v>8.84</v>
      </c>
      <c r="E74" s="100">
        <v>5.29</v>
      </c>
      <c r="F74" s="100">
        <v>2</v>
      </c>
      <c r="G74" s="100">
        <v>13.51</v>
      </c>
      <c r="H74" s="100">
        <v>6.62</v>
      </c>
      <c r="I74" s="100">
        <v>4.4400000000000004</v>
      </c>
      <c r="J74" s="100">
        <v>0.1</v>
      </c>
      <c r="K74" s="100">
        <v>119.16</v>
      </c>
      <c r="L74" s="100">
        <v>24.7</v>
      </c>
      <c r="M74" s="100">
        <v>53.82</v>
      </c>
      <c r="N74" s="100">
        <v>13.2</v>
      </c>
      <c r="O74" s="100">
        <v>0</v>
      </c>
      <c r="P74" s="100">
        <v>0.21</v>
      </c>
      <c r="Q74" s="100">
        <v>12.46</v>
      </c>
      <c r="R74" s="6"/>
      <c r="S74" s="6"/>
      <c r="T74" s="156"/>
      <c r="U74" s="6"/>
    </row>
    <row r="75" spans="1:21" customFormat="1">
      <c r="A75" s="201" t="s">
        <v>1747</v>
      </c>
      <c r="B75" s="100">
        <v>6.73</v>
      </c>
      <c r="C75" s="100">
        <v>6.33</v>
      </c>
      <c r="D75" s="100">
        <v>8.7100000000000009</v>
      </c>
      <c r="E75" s="100">
        <v>5.07</v>
      </c>
      <c r="F75" s="100">
        <v>2</v>
      </c>
      <c r="G75" s="100">
        <v>12.48</v>
      </c>
      <c r="H75" s="100">
        <v>4.72</v>
      </c>
      <c r="I75" s="100">
        <v>4.38</v>
      </c>
      <c r="J75" s="100">
        <v>0.14000000000000001</v>
      </c>
      <c r="K75" s="100">
        <v>130.65</v>
      </c>
      <c r="L75" s="100">
        <v>24.77</v>
      </c>
      <c r="M75" s="100">
        <v>52.71</v>
      </c>
      <c r="N75" s="100">
        <v>12.4</v>
      </c>
      <c r="O75" s="100">
        <v>0</v>
      </c>
      <c r="P75" s="100">
        <v>0.2</v>
      </c>
      <c r="Q75" s="100">
        <v>10.92</v>
      </c>
      <c r="R75" s="6"/>
      <c r="S75" s="6"/>
      <c r="T75" s="156"/>
      <c r="U75" s="6"/>
    </row>
    <row r="76" spans="1:21" customFormat="1">
      <c r="A76" s="201" t="s">
        <v>1748</v>
      </c>
      <c r="B76" s="100">
        <v>6.55</v>
      </c>
      <c r="C76" s="100">
        <v>6.34</v>
      </c>
      <c r="D76" s="100">
        <v>8.57</v>
      </c>
      <c r="E76" s="100">
        <v>5.1100000000000003</v>
      </c>
      <c r="F76" s="100">
        <v>2</v>
      </c>
      <c r="G76" s="100">
        <v>12.22</v>
      </c>
      <c r="H76" s="100">
        <v>4.72</v>
      </c>
      <c r="I76" s="100">
        <v>4.2699999999999996</v>
      </c>
      <c r="J76" s="100">
        <v>0.13</v>
      </c>
      <c r="K76" s="100">
        <v>146.59</v>
      </c>
      <c r="L76" s="100">
        <v>24.79</v>
      </c>
      <c r="M76" s="100">
        <v>51.83</v>
      </c>
      <c r="N76" s="100">
        <v>12.8</v>
      </c>
      <c r="O76" s="100">
        <v>0</v>
      </c>
      <c r="P76" s="100">
        <v>0.2</v>
      </c>
      <c r="Q76" s="100">
        <v>9.9700000000000006</v>
      </c>
      <c r="R76" s="6"/>
      <c r="S76" s="6"/>
      <c r="T76" s="156"/>
      <c r="U76" s="6"/>
    </row>
    <row r="77" spans="1:21" customFormat="1">
      <c r="A77" s="201" t="s">
        <v>1749</v>
      </c>
      <c r="B77" s="100">
        <v>6.39</v>
      </c>
      <c r="C77" s="100">
        <v>6.27</v>
      </c>
      <c r="D77" s="100">
        <v>8.4</v>
      </c>
      <c r="E77" s="100">
        <v>5.17</v>
      </c>
      <c r="F77" s="100">
        <v>2</v>
      </c>
      <c r="G77" s="100">
        <v>12.22</v>
      </c>
      <c r="H77" s="100">
        <v>4.72</v>
      </c>
      <c r="I77" s="100">
        <v>4.2</v>
      </c>
      <c r="J77" s="100">
        <v>0.12</v>
      </c>
      <c r="K77" s="100">
        <v>144.66999999999999</v>
      </c>
      <c r="L77" s="100">
        <v>24.58</v>
      </c>
      <c r="M77" s="100">
        <v>50.65</v>
      </c>
      <c r="N77" s="100">
        <v>11.6</v>
      </c>
      <c r="O77" s="100">
        <v>0</v>
      </c>
      <c r="P77" s="100">
        <v>0.2</v>
      </c>
      <c r="Q77" s="100">
        <v>12.77</v>
      </c>
      <c r="R77" s="6"/>
      <c r="S77" s="6"/>
      <c r="T77" s="156"/>
      <c r="U77" s="6"/>
    </row>
    <row r="78" spans="1:21" customFormat="1">
      <c r="A78" s="201" t="s">
        <v>1750</v>
      </c>
      <c r="B78" s="100">
        <v>6.21</v>
      </c>
      <c r="C78" s="100">
        <v>6.2</v>
      </c>
      <c r="D78" s="100">
        <v>8.2200000000000006</v>
      </c>
      <c r="E78" s="100">
        <v>5.42</v>
      </c>
      <c r="F78" s="100">
        <v>2.0499999999999998</v>
      </c>
      <c r="G78" s="100">
        <v>12.22</v>
      </c>
      <c r="H78" s="100">
        <v>4.72</v>
      </c>
      <c r="I78" s="100">
        <v>4.1500000000000004</v>
      </c>
      <c r="J78" s="100">
        <v>0.13</v>
      </c>
      <c r="K78" s="100">
        <v>127.47</v>
      </c>
      <c r="L78" s="100">
        <v>24.9</v>
      </c>
      <c r="M78" s="100">
        <v>51.07</v>
      </c>
      <c r="N78" s="100">
        <v>7.8</v>
      </c>
      <c r="O78" s="100">
        <v>0</v>
      </c>
      <c r="P78" s="100">
        <v>0.2</v>
      </c>
      <c r="Q78" s="100">
        <v>15.15</v>
      </c>
      <c r="R78" s="6"/>
      <c r="S78" s="6"/>
      <c r="T78" s="156"/>
      <c r="U78" s="6"/>
    </row>
    <row r="79" spans="1:21" customFormat="1">
      <c r="A79" s="201" t="s">
        <v>1751</v>
      </c>
      <c r="B79" s="100">
        <v>6.09</v>
      </c>
      <c r="C79" s="100">
        <v>6.15</v>
      </c>
      <c r="D79" s="100">
        <v>8.09</v>
      </c>
      <c r="E79" s="100">
        <v>5.49</v>
      </c>
      <c r="F79" s="100">
        <v>2</v>
      </c>
      <c r="G79" s="100">
        <v>12.06</v>
      </c>
      <c r="H79" s="100">
        <v>3.64</v>
      </c>
      <c r="I79" s="100">
        <v>4.12</v>
      </c>
      <c r="J79" s="100">
        <v>0.1</v>
      </c>
      <c r="K79" s="100">
        <v>122.48</v>
      </c>
      <c r="L79" s="100">
        <v>25.02</v>
      </c>
      <c r="M79" s="100">
        <v>51.17</v>
      </c>
      <c r="N79" s="100">
        <v>5.0999999999999996</v>
      </c>
      <c r="O79" s="100">
        <v>0</v>
      </c>
      <c r="P79" s="100">
        <v>0.2</v>
      </c>
      <c r="Q79" s="100">
        <v>15.26</v>
      </c>
      <c r="R79" s="6"/>
      <c r="S79" s="6"/>
      <c r="T79" s="156"/>
      <c r="U79" s="6"/>
    </row>
    <row r="80" spans="1:21" customFormat="1">
      <c r="A80" s="201" t="s">
        <v>1752</v>
      </c>
      <c r="B80" s="100">
        <v>6.06</v>
      </c>
      <c r="C80" s="100">
        <v>5.99</v>
      </c>
      <c r="D80" s="100">
        <v>7.99</v>
      </c>
      <c r="E80" s="100">
        <v>5.42</v>
      </c>
      <c r="F80" s="100">
        <v>2</v>
      </c>
      <c r="G80" s="100">
        <v>12.02</v>
      </c>
      <c r="H80" s="100">
        <v>3.64</v>
      </c>
      <c r="I80" s="100">
        <v>4.04</v>
      </c>
      <c r="J80" s="100">
        <v>0.09</v>
      </c>
      <c r="K80" s="100">
        <v>106.56</v>
      </c>
      <c r="L80" s="100">
        <v>24.97</v>
      </c>
      <c r="M80" s="100">
        <v>50.76</v>
      </c>
      <c r="N80" s="100">
        <v>3.5</v>
      </c>
      <c r="O80" s="100">
        <v>0</v>
      </c>
      <c r="P80" s="100">
        <v>0.19</v>
      </c>
      <c r="Q80" s="100">
        <v>11.59</v>
      </c>
      <c r="R80" s="6"/>
      <c r="S80" s="6"/>
      <c r="T80" s="156"/>
      <c r="U80" s="6"/>
    </row>
    <row r="81" spans="1:21" customFormat="1">
      <c r="A81" s="201" t="s">
        <v>1753</v>
      </c>
      <c r="B81" s="100">
        <v>6.07</v>
      </c>
      <c r="C81" s="100">
        <v>5.98</v>
      </c>
      <c r="D81" s="100">
        <v>7.99</v>
      </c>
      <c r="E81" s="100">
        <v>5.24</v>
      </c>
      <c r="F81" s="100">
        <v>2</v>
      </c>
      <c r="G81" s="100">
        <v>12.02</v>
      </c>
      <c r="H81" s="100">
        <v>3.64</v>
      </c>
      <c r="I81" s="100">
        <v>4</v>
      </c>
      <c r="J81" s="100">
        <v>0.18</v>
      </c>
      <c r="K81" s="100">
        <v>147.63999999999999</v>
      </c>
      <c r="L81" s="100">
        <v>24.99</v>
      </c>
      <c r="M81" s="100">
        <v>51.12</v>
      </c>
      <c r="N81" s="100">
        <v>2.6</v>
      </c>
      <c r="O81" s="100">
        <v>0</v>
      </c>
      <c r="P81" s="100">
        <v>0.2</v>
      </c>
      <c r="Q81" s="100">
        <v>28.05</v>
      </c>
      <c r="R81" s="6"/>
      <c r="S81" s="6"/>
      <c r="T81" s="156"/>
      <c r="U81" s="6"/>
    </row>
    <row r="82" spans="1:21" customFormat="1">
      <c r="A82" s="201" t="s">
        <v>1754</v>
      </c>
      <c r="B82" s="100">
        <v>6.02</v>
      </c>
      <c r="C82" s="100">
        <v>5.97</v>
      </c>
      <c r="D82" s="100">
        <v>7.95</v>
      </c>
      <c r="E82" s="100">
        <v>6.24</v>
      </c>
      <c r="F82" s="100">
        <v>2</v>
      </c>
      <c r="G82" s="100">
        <v>12.02</v>
      </c>
      <c r="H82" s="100">
        <v>3.64</v>
      </c>
      <c r="I82" s="100">
        <v>3.97</v>
      </c>
      <c r="J82" s="100">
        <v>0.1</v>
      </c>
      <c r="K82" s="100">
        <v>126.45</v>
      </c>
      <c r="L82" s="100">
        <v>24.8</v>
      </c>
      <c r="M82" s="100">
        <v>50.7</v>
      </c>
      <c r="N82" s="100">
        <v>2.4</v>
      </c>
      <c r="O82" s="100">
        <v>0</v>
      </c>
      <c r="P82" s="100">
        <v>0.2</v>
      </c>
      <c r="Q82" s="100">
        <v>13.78</v>
      </c>
      <c r="R82" s="6"/>
      <c r="S82" s="6"/>
      <c r="T82" s="156"/>
      <c r="U82" s="6"/>
    </row>
    <row r="83" spans="1:21" customFormat="1">
      <c r="A83" s="201" t="s">
        <v>1755</v>
      </c>
      <c r="B83" s="100">
        <v>6.02</v>
      </c>
      <c r="C83" s="100">
        <v>5.95</v>
      </c>
      <c r="D83" s="100">
        <v>7.94</v>
      </c>
      <c r="E83" s="100">
        <v>6.26</v>
      </c>
      <c r="F83" s="100">
        <v>2</v>
      </c>
      <c r="G83" s="100">
        <v>9.1999999999999993</v>
      </c>
      <c r="H83" s="100">
        <v>3.28</v>
      </c>
      <c r="I83" s="100">
        <v>3.95</v>
      </c>
      <c r="J83" s="100">
        <v>0.1</v>
      </c>
      <c r="K83" s="100">
        <v>131.62</v>
      </c>
      <c r="L83" s="100">
        <v>24.67</v>
      </c>
      <c r="M83" s="100">
        <v>50.19</v>
      </c>
      <c r="N83" s="100">
        <v>2.2999999999999998</v>
      </c>
      <c r="O83" s="100">
        <v>0</v>
      </c>
      <c r="P83" s="100">
        <v>0.2</v>
      </c>
      <c r="Q83" s="100">
        <v>11.7</v>
      </c>
      <c r="R83" s="6"/>
      <c r="S83" s="6"/>
      <c r="T83" s="156"/>
      <c r="U83" s="6"/>
    </row>
    <row r="84" spans="1:21" customFormat="1">
      <c r="A84" s="201" t="s">
        <v>1756</v>
      </c>
      <c r="B84" s="100">
        <v>6.02</v>
      </c>
      <c r="C84" s="100">
        <v>5.96</v>
      </c>
      <c r="D84" s="100">
        <v>7.94</v>
      </c>
      <c r="E84" s="100">
        <v>6.12</v>
      </c>
      <c r="F84" s="100">
        <v>2</v>
      </c>
      <c r="G84" s="100">
        <v>8.49</v>
      </c>
      <c r="H84" s="100">
        <v>3.28</v>
      </c>
      <c r="I84" s="100">
        <v>3.96</v>
      </c>
      <c r="J84" s="100">
        <v>0.12</v>
      </c>
      <c r="K84" s="100">
        <v>140.44</v>
      </c>
      <c r="L84" s="100">
        <v>24.57</v>
      </c>
      <c r="M84" s="100">
        <v>49.95</v>
      </c>
      <c r="N84" s="100">
        <v>2.2000000000000002</v>
      </c>
      <c r="O84" s="100">
        <v>0</v>
      </c>
      <c r="P84" s="100">
        <v>0.2</v>
      </c>
      <c r="Q84" s="100">
        <v>11.1</v>
      </c>
      <c r="R84" s="6"/>
      <c r="S84" s="6"/>
      <c r="T84" s="156"/>
      <c r="U84" s="6"/>
    </row>
    <row r="85" spans="1:21" customFormat="1">
      <c r="A85" s="201" t="s">
        <v>1757</v>
      </c>
      <c r="B85" s="100">
        <v>5.97</v>
      </c>
      <c r="C85" s="100">
        <v>5.93</v>
      </c>
      <c r="D85" s="100">
        <v>7.89</v>
      </c>
      <c r="E85" s="100">
        <v>6.36</v>
      </c>
      <c r="F85" s="100">
        <v>2.08</v>
      </c>
      <c r="G85" s="100">
        <v>8.49</v>
      </c>
      <c r="H85" s="100">
        <v>3.28</v>
      </c>
      <c r="I85" s="100">
        <v>3.98</v>
      </c>
      <c r="J85" s="100">
        <v>0.13</v>
      </c>
      <c r="K85" s="100">
        <v>144.94999999999999</v>
      </c>
      <c r="L85" s="100">
        <v>24.17</v>
      </c>
      <c r="M85" s="100">
        <v>49.51</v>
      </c>
      <c r="N85" s="100">
        <v>2.2999999999999998</v>
      </c>
      <c r="O85" s="100">
        <v>0</v>
      </c>
      <c r="P85" s="100">
        <v>0.2</v>
      </c>
      <c r="Q85" s="100">
        <v>10.210000000000001</v>
      </c>
      <c r="R85" s="6"/>
      <c r="S85" s="6"/>
      <c r="T85" s="156"/>
      <c r="U85" s="6"/>
    </row>
    <row r="86" spans="1:21" customFormat="1">
      <c r="A86" s="201" t="s">
        <v>1758</v>
      </c>
      <c r="B86" s="100">
        <v>5.94</v>
      </c>
      <c r="C86" s="100">
        <v>5.82</v>
      </c>
      <c r="D86" s="100">
        <v>7.81</v>
      </c>
      <c r="E86" s="100">
        <v>6.46</v>
      </c>
      <c r="F86" s="100">
        <v>2</v>
      </c>
      <c r="G86" s="100">
        <v>8.49</v>
      </c>
      <c r="H86" s="100">
        <v>3.28</v>
      </c>
      <c r="I86" s="100">
        <v>4.01</v>
      </c>
      <c r="J86" s="100">
        <v>0.08</v>
      </c>
      <c r="K86" s="100">
        <v>142.16</v>
      </c>
      <c r="L86" s="100">
        <v>22.74</v>
      </c>
      <c r="M86" s="100">
        <v>48</v>
      </c>
      <c r="N86" s="100">
        <v>2.2000000000000002</v>
      </c>
      <c r="O86" s="100">
        <v>0</v>
      </c>
      <c r="P86" s="100">
        <v>0.21</v>
      </c>
      <c r="Q86" s="100">
        <v>10.64</v>
      </c>
      <c r="R86" s="6"/>
      <c r="S86" s="6"/>
      <c r="T86" s="156"/>
      <c r="U86" s="6"/>
    </row>
    <row r="87" spans="1:21" customFormat="1">
      <c r="A87" s="201" t="s">
        <v>1759</v>
      </c>
      <c r="B87" s="100">
        <v>5.97</v>
      </c>
      <c r="C87" s="100">
        <v>5.82</v>
      </c>
      <c r="D87" s="100">
        <v>7.83</v>
      </c>
      <c r="E87" s="100">
        <v>6.56</v>
      </c>
      <c r="F87" s="100">
        <v>2</v>
      </c>
      <c r="G87" s="100">
        <v>6.57</v>
      </c>
      <c r="H87" s="100">
        <v>2.58</v>
      </c>
      <c r="I87" s="100">
        <v>4</v>
      </c>
      <c r="J87" s="100">
        <v>0.09</v>
      </c>
      <c r="K87" s="100">
        <v>141.72</v>
      </c>
      <c r="L87" s="100">
        <v>22.87</v>
      </c>
      <c r="M87" s="100">
        <v>48.35</v>
      </c>
      <c r="N87" s="100">
        <v>2.2000000000000002</v>
      </c>
      <c r="O87" s="100">
        <v>0</v>
      </c>
      <c r="P87" s="100">
        <v>0.2</v>
      </c>
      <c r="Q87" s="100">
        <v>14.84</v>
      </c>
      <c r="R87" s="6"/>
      <c r="S87" s="6"/>
      <c r="T87" s="156"/>
      <c r="U87" s="6"/>
    </row>
    <row r="88" spans="1:21" customFormat="1">
      <c r="A88" s="201" t="s">
        <v>1760</v>
      </c>
      <c r="B88" s="100">
        <v>5.97</v>
      </c>
      <c r="C88" s="100">
        <v>5.68</v>
      </c>
      <c r="D88" s="100">
        <v>7.75</v>
      </c>
      <c r="E88" s="100">
        <v>6.55</v>
      </c>
      <c r="F88" s="100">
        <v>2.09</v>
      </c>
      <c r="G88" s="100">
        <v>6.09</v>
      </c>
      <c r="H88" s="100">
        <v>2.58</v>
      </c>
      <c r="I88" s="100">
        <v>4.0199999999999996</v>
      </c>
      <c r="J88" s="100">
        <v>7.0000000000000007E-2</v>
      </c>
      <c r="K88" s="100">
        <v>146.57</v>
      </c>
      <c r="L88" s="100">
        <v>24.76</v>
      </c>
      <c r="M88" s="100">
        <v>51.53</v>
      </c>
      <c r="N88" s="100">
        <v>2.2999999999999998</v>
      </c>
      <c r="O88" s="100">
        <v>0</v>
      </c>
      <c r="P88" s="100">
        <v>0.2</v>
      </c>
      <c r="Q88" s="100">
        <v>17.28</v>
      </c>
      <c r="R88" s="6"/>
      <c r="S88" s="6"/>
      <c r="T88" s="156"/>
      <c r="U88" s="6"/>
    </row>
    <row r="89" spans="1:21" customFormat="1">
      <c r="A89" s="201" t="s">
        <v>1761</v>
      </c>
      <c r="B89" s="100">
        <v>5.94</v>
      </c>
      <c r="C89" s="100">
        <v>5.63</v>
      </c>
      <c r="D89" s="100">
        <v>7.7</v>
      </c>
      <c r="E89" s="100">
        <v>6.47</v>
      </c>
      <c r="F89" s="100">
        <v>2</v>
      </c>
      <c r="G89" s="100">
        <v>6.09</v>
      </c>
      <c r="H89" s="100">
        <v>2.58</v>
      </c>
      <c r="I89" s="100">
        <v>4.0999999999999996</v>
      </c>
      <c r="J89" s="100">
        <v>0.08</v>
      </c>
      <c r="K89" s="100">
        <v>143.51</v>
      </c>
      <c r="L89" s="100">
        <v>24.36</v>
      </c>
      <c r="M89" s="100">
        <v>50.48</v>
      </c>
      <c r="N89" s="100">
        <v>2.2000000000000002</v>
      </c>
      <c r="O89" s="100">
        <v>0</v>
      </c>
      <c r="P89" s="100">
        <v>0.2</v>
      </c>
      <c r="Q89" s="100">
        <v>23.68</v>
      </c>
      <c r="R89" s="6"/>
      <c r="S89" s="6"/>
      <c r="T89" s="156"/>
      <c r="U89" s="6"/>
    </row>
    <row r="90" spans="1:21" customFormat="1">
      <c r="A90" s="201" t="s">
        <v>1762</v>
      </c>
      <c r="B90" s="100">
        <v>5.91</v>
      </c>
      <c r="C90" s="100">
        <v>5.65</v>
      </c>
      <c r="D90" s="100">
        <v>7.7</v>
      </c>
      <c r="E90" s="100">
        <v>6.36</v>
      </c>
      <c r="F90" s="100">
        <v>2.02</v>
      </c>
      <c r="G90" s="100">
        <v>6.09</v>
      </c>
      <c r="H90" s="100">
        <v>2.58</v>
      </c>
      <c r="I90" s="100">
        <v>4.0199999999999996</v>
      </c>
      <c r="J90" s="100">
        <v>0.09</v>
      </c>
      <c r="K90" s="100">
        <v>146.72</v>
      </c>
      <c r="L90" s="100">
        <v>24.31</v>
      </c>
      <c r="M90" s="100">
        <v>51.08</v>
      </c>
      <c r="N90" s="100">
        <v>2.2999999999999998</v>
      </c>
      <c r="O90" s="100">
        <v>0</v>
      </c>
      <c r="P90" s="100">
        <v>0.22</v>
      </c>
      <c r="Q90" s="100">
        <v>52.25</v>
      </c>
      <c r="R90" s="6"/>
      <c r="S90" s="6"/>
      <c r="T90" s="156"/>
      <c r="U90" s="6"/>
    </row>
    <row r="91" spans="1:21" customFormat="1">
      <c r="A91" s="201" t="s">
        <v>1763</v>
      </c>
      <c r="B91" s="100">
        <v>6.12</v>
      </c>
      <c r="C91" s="100">
        <v>5.28</v>
      </c>
      <c r="D91" s="100">
        <v>7.67</v>
      </c>
      <c r="E91" s="100">
        <v>6.46</v>
      </c>
      <c r="F91" s="100">
        <v>2</v>
      </c>
      <c r="G91" s="100">
        <v>9.8000000000000007</v>
      </c>
      <c r="H91" s="100">
        <v>4.2</v>
      </c>
      <c r="I91" s="100">
        <v>4.0199999999999996</v>
      </c>
      <c r="J91" s="100">
        <v>0.08</v>
      </c>
      <c r="K91" s="100">
        <v>148.15</v>
      </c>
      <c r="L91" s="100">
        <v>24.61</v>
      </c>
      <c r="M91" s="100">
        <v>51.46</v>
      </c>
      <c r="N91" s="100">
        <v>2.1</v>
      </c>
      <c r="O91" s="100">
        <v>0</v>
      </c>
      <c r="P91" s="100">
        <v>0.24</v>
      </c>
      <c r="Q91" s="100">
        <v>10.31</v>
      </c>
      <c r="R91" s="6"/>
      <c r="S91" s="6"/>
      <c r="T91" s="156"/>
      <c r="U91" s="6"/>
    </row>
    <row r="92" spans="1:21" customFormat="1">
      <c r="A92" s="201" t="s">
        <v>1764</v>
      </c>
      <c r="B92" s="100">
        <v>6.35</v>
      </c>
      <c r="C92" s="100">
        <v>4.7699999999999996</v>
      </c>
      <c r="D92" s="100">
        <v>7.59</v>
      </c>
      <c r="E92" s="100">
        <v>6.15</v>
      </c>
      <c r="F92" s="100">
        <v>2</v>
      </c>
      <c r="G92" s="100">
        <v>10.73</v>
      </c>
      <c r="H92" s="100">
        <v>4.2</v>
      </c>
      <c r="I92" s="100">
        <v>4.1900000000000004</v>
      </c>
      <c r="J92" s="100">
        <v>0.11</v>
      </c>
      <c r="K92" s="100">
        <v>148.57</v>
      </c>
      <c r="L92" s="100">
        <v>24.71</v>
      </c>
      <c r="M92" s="100">
        <v>52.08</v>
      </c>
      <c r="N92" s="100">
        <v>2.1</v>
      </c>
      <c r="O92" s="100">
        <v>0</v>
      </c>
      <c r="P92" s="100">
        <v>0.22</v>
      </c>
      <c r="Q92" s="100">
        <v>10.33</v>
      </c>
      <c r="R92" s="6"/>
      <c r="S92" s="6"/>
      <c r="T92" s="156"/>
      <c r="U92" s="6"/>
    </row>
    <row r="93" spans="1:21" customFormat="1">
      <c r="A93" s="201" t="s">
        <v>1765</v>
      </c>
      <c r="B93" s="100">
        <v>6.55</v>
      </c>
      <c r="C93" s="100">
        <v>4.95</v>
      </c>
      <c r="D93" s="100">
        <v>7.84</v>
      </c>
      <c r="E93" s="100">
        <v>6.13</v>
      </c>
      <c r="F93" s="100">
        <v>2.0699999999999998</v>
      </c>
      <c r="G93" s="100">
        <v>10.73</v>
      </c>
      <c r="H93" s="100">
        <v>4.2</v>
      </c>
      <c r="I93" s="100">
        <v>4.26</v>
      </c>
      <c r="J93" s="100">
        <v>0.11</v>
      </c>
      <c r="K93" s="100">
        <v>148.91</v>
      </c>
      <c r="L93" s="100">
        <v>24.53</v>
      </c>
      <c r="M93" s="100">
        <v>51.47</v>
      </c>
      <c r="N93" s="100">
        <v>2.1</v>
      </c>
      <c r="O93" s="100">
        <v>0</v>
      </c>
      <c r="P93" s="100">
        <v>0.25</v>
      </c>
      <c r="Q93" s="100">
        <v>10.18</v>
      </c>
      <c r="R93" s="6"/>
      <c r="S93" s="6"/>
      <c r="T93" s="156"/>
      <c r="U93" s="6"/>
    </row>
    <row r="94" spans="1:21" customFormat="1">
      <c r="A94" s="201" t="s">
        <v>1766</v>
      </c>
      <c r="B94" s="100">
        <v>6.74</v>
      </c>
      <c r="C94" s="100">
        <v>4.8899999999999997</v>
      </c>
      <c r="D94" s="100">
        <v>7.95</v>
      </c>
      <c r="E94" s="100">
        <v>5.92</v>
      </c>
      <c r="F94" s="100">
        <v>2</v>
      </c>
      <c r="G94" s="100">
        <v>10.73</v>
      </c>
      <c r="H94" s="100">
        <v>4.2</v>
      </c>
      <c r="I94" s="100">
        <v>4.26</v>
      </c>
      <c r="J94" s="100">
        <v>0.18</v>
      </c>
      <c r="K94" s="100">
        <v>149.33000000000001</v>
      </c>
      <c r="L94" s="100">
        <v>24.53</v>
      </c>
      <c r="M94" s="100">
        <v>52.03</v>
      </c>
      <c r="N94" s="100">
        <v>2.2000000000000002</v>
      </c>
      <c r="O94" s="100">
        <v>0</v>
      </c>
      <c r="P94" s="100">
        <v>0.24</v>
      </c>
      <c r="Q94" s="100">
        <v>17.53</v>
      </c>
      <c r="R94" s="6"/>
      <c r="S94" s="6"/>
      <c r="T94" s="156"/>
      <c r="U94" s="6"/>
    </row>
    <row r="95" spans="1:21" customFormat="1">
      <c r="A95" s="201" t="s">
        <v>1767</v>
      </c>
      <c r="B95" s="100">
        <v>6.9</v>
      </c>
      <c r="C95" s="100">
        <v>4.82</v>
      </c>
      <c r="D95" s="100">
        <v>8.0500000000000007</v>
      </c>
      <c r="E95" s="100">
        <v>5.53</v>
      </c>
      <c r="F95" s="100">
        <v>2.02</v>
      </c>
      <c r="G95" s="100">
        <v>9.02</v>
      </c>
      <c r="H95" s="100">
        <v>3.4</v>
      </c>
      <c r="I95" s="100">
        <v>4.41</v>
      </c>
      <c r="J95" s="100">
        <v>0.12</v>
      </c>
      <c r="K95" s="100">
        <v>147.1</v>
      </c>
      <c r="L95" s="100">
        <v>24.53</v>
      </c>
      <c r="M95" s="100">
        <v>51.53</v>
      </c>
      <c r="N95" s="100">
        <v>2.2000000000000002</v>
      </c>
      <c r="O95" s="100">
        <v>0</v>
      </c>
      <c r="P95" s="100">
        <v>0.25</v>
      </c>
      <c r="Q95" s="100">
        <v>14.93</v>
      </c>
      <c r="R95" s="6"/>
      <c r="S95" s="6"/>
      <c r="T95" s="156"/>
      <c r="U95" s="6"/>
    </row>
    <row r="96" spans="1:21" customFormat="1">
      <c r="A96" s="201" t="s">
        <v>1768</v>
      </c>
      <c r="B96" s="100">
        <v>7.1</v>
      </c>
      <c r="C96" s="100">
        <v>5.08</v>
      </c>
      <c r="D96" s="100">
        <v>8.35</v>
      </c>
      <c r="E96" s="100">
        <v>5.7</v>
      </c>
      <c r="F96" s="100">
        <v>2</v>
      </c>
      <c r="G96" s="100">
        <v>8.59</v>
      </c>
      <c r="H96" s="100">
        <v>3.4</v>
      </c>
      <c r="I96" s="100">
        <v>4.4800000000000004</v>
      </c>
      <c r="J96" s="100">
        <v>0.14000000000000001</v>
      </c>
      <c r="K96" s="100">
        <v>148.11000000000001</v>
      </c>
      <c r="L96" s="100">
        <v>24.49</v>
      </c>
      <c r="M96" s="100">
        <v>51.03</v>
      </c>
      <c r="N96" s="100">
        <v>2.2000000000000002</v>
      </c>
      <c r="O96" s="100">
        <v>0</v>
      </c>
      <c r="P96" s="100">
        <v>0.25</v>
      </c>
      <c r="Q96" s="100">
        <v>15.96</v>
      </c>
      <c r="R96" s="6"/>
      <c r="S96" s="6"/>
      <c r="T96" s="156"/>
      <c r="U96" s="6"/>
    </row>
    <row r="97" spans="1:28" customFormat="1">
      <c r="A97" s="201" t="s">
        <v>1769</v>
      </c>
      <c r="B97" s="100">
        <v>7.21</v>
      </c>
      <c r="C97" s="100">
        <v>4.8499999999999996</v>
      </c>
      <c r="D97" s="100">
        <v>8.32</v>
      </c>
      <c r="E97" s="100">
        <v>5.53</v>
      </c>
      <c r="F97" s="100">
        <v>2</v>
      </c>
      <c r="G97" s="100">
        <v>8.59</v>
      </c>
      <c r="H97" s="100">
        <v>3.4</v>
      </c>
      <c r="I97" s="100">
        <v>4.34</v>
      </c>
      <c r="J97" s="100">
        <v>0.17</v>
      </c>
      <c r="K97" s="100">
        <v>149.06</v>
      </c>
      <c r="L97" s="100">
        <v>24.31</v>
      </c>
      <c r="M97" s="100">
        <v>51.52</v>
      </c>
      <c r="N97" s="100">
        <v>2.2999999999999998</v>
      </c>
      <c r="O97" s="100">
        <v>0</v>
      </c>
      <c r="P97" s="100">
        <v>0.24</v>
      </c>
      <c r="Q97" s="100">
        <v>13.55</v>
      </c>
      <c r="R97" s="6"/>
      <c r="S97" s="6"/>
      <c r="T97" s="156"/>
      <c r="U97" s="6"/>
    </row>
    <row r="98" spans="1:28" customFormat="1">
      <c r="A98" s="201" t="s">
        <v>1770</v>
      </c>
      <c r="B98" s="100">
        <v>7.32</v>
      </c>
      <c r="C98" s="100">
        <v>4.93</v>
      </c>
      <c r="D98" s="100">
        <v>8.4499999999999993</v>
      </c>
      <c r="E98" s="100">
        <v>5.39</v>
      </c>
      <c r="F98" s="100">
        <v>2.0099999999999998</v>
      </c>
      <c r="G98" s="100">
        <v>8.59</v>
      </c>
      <c r="H98" s="100">
        <v>3.4</v>
      </c>
      <c r="I98" s="100">
        <v>4.54</v>
      </c>
      <c r="J98" s="100">
        <v>0.14000000000000001</v>
      </c>
      <c r="K98" s="100">
        <v>141.86000000000001</v>
      </c>
      <c r="L98" s="100">
        <v>24.32</v>
      </c>
      <c r="M98" s="100">
        <v>51.18</v>
      </c>
      <c r="N98" s="100">
        <v>2.2999999999999998</v>
      </c>
      <c r="O98" s="100">
        <v>0</v>
      </c>
      <c r="P98" s="100">
        <v>0.24</v>
      </c>
      <c r="Q98" s="100">
        <v>13.89</v>
      </c>
      <c r="R98" s="6"/>
      <c r="S98" s="6"/>
      <c r="T98" s="156"/>
      <c r="U98" s="6"/>
    </row>
    <row r="99" spans="1:28" customFormat="1">
      <c r="A99" s="201" t="s">
        <v>1771</v>
      </c>
      <c r="B99" s="100">
        <v>7.46</v>
      </c>
      <c r="C99" s="100">
        <v>5.22</v>
      </c>
      <c r="D99" s="100">
        <v>8.7100000000000009</v>
      </c>
      <c r="E99" s="100">
        <v>5.54</v>
      </c>
      <c r="F99" s="100">
        <v>2</v>
      </c>
      <c r="G99" s="100">
        <v>10.119999999999999</v>
      </c>
      <c r="H99" s="100">
        <v>4.38</v>
      </c>
      <c r="I99" s="100">
        <v>4.54</v>
      </c>
      <c r="J99" s="100">
        <v>0.1</v>
      </c>
      <c r="K99" s="100">
        <v>144.74</v>
      </c>
      <c r="L99" s="100">
        <v>24.37</v>
      </c>
      <c r="M99" s="100">
        <v>51.51</v>
      </c>
      <c r="N99" s="100">
        <v>2.2999999999999998</v>
      </c>
      <c r="O99" s="100">
        <v>0</v>
      </c>
      <c r="P99" s="100">
        <v>0.24</v>
      </c>
      <c r="Q99" s="100">
        <v>13.76</v>
      </c>
      <c r="R99" s="6"/>
      <c r="S99" s="6"/>
      <c r="T99" s="156"/>
      <c r="U99" s="6"/>
    </row>
    <row r="100" spans="1:28" customFormat="1">
      <c r="A100" s="201" t="s">
        <v>1772</v>
      </c>
      <c r="B100" s="100">
        <v>7.59</v>
      </c>
      <c r="C100" s="100">
        <v>4.9000000000000004</v>
      </c>
      <c r="D100" s="100">
        <v>8.65</v>
      </c>
      <c r="E100" s="100">
        <v>5.77</v>
      </c>
      <c r="F100" s="100">
        <v>2</v>
      </c>
      <c r="G100" s="100">
        <v>10.52</v>
      </c>
      <c r="H100" s="100">
        <v>4.38</v>
      </c>
      <c r="I100" s="100">
        <v>4.54</v>
      </c>
      <c r="J100" s="100">
        <v>0.17</v>
      </c>
      <c r="K100" s="100">
        <v>150.38999999999999</v>
      </c>
      <c r="L100" s="100">
        <v>24.4</v>
      </c>
      <c r="M100" s="100">
        <v>52.6</v>
      </c>
      <c r="N100" s="100">
        <v>2.4</v>
      </c>
      <c r="O100" s="100">
        <v>0</v>
      </c>
      <c r="P100" s="100">
        <v>0.24</v>
      </c>
      <c r="Q100" s="100">
        <v>13.08</v>
      </c>
      <c r="R100" s="6"/>
      <c r="S100" s="6"/>
      <c r="T100" s="156"/>
      <c r="U100" s="6"/>
      <c r="AB100" s="161"/>
    </row>
    <row r="101" spans="1:28" customFormat="1">
      <c r="A101" s="201" t="s">
        <v>1773</v>
      </c>
      <c r="B101" s="100">
        <v>7.73</v>
      </c>
      <c r="C101" s="100">
        <v>5.08</v>
      </c>
      <c r="D101" s="100">
        <v>8.85</v>
      </c>
      <c r="E101" s="100">
        <v>5.68</v>
      </c>
      <c r="F101" s="100">
        <v>2</v>
      </c>
      <c r="G101" s="100">
        <v>10.52</v>
      </c>
      <c r="H101" s="100">
        <v>4.38</v>
      </c>
      <c r="I101" s="100">
        <v>4.57</v>
      </c>
      <c r="J101" s="100">
        <v>0.09</v>
      </c>
      <c r="K101" s="100">
        <v>149.55000000000001</v>
      </c>
      <c r="L101" s="100">
        <v>24.23</v>
      </c>
      <c r="M101" s="100">
        <v>51.51</v>
      </c>
      <c r="N101" s="100">
        <v>2.2999999999999998</v>
      </c>
      <c r="O101" s="100">
        <v>0</v>
      </c>
      <c r="P101" s="100">
        <v>0.25</v>
      </c>
      <c r="Q101" s="100">
        <v>12.04</v>
      </c>
      <c r="R101" s="6"/>
      <c r="S101" s="6"/>
      <c r="T101" s="156"/>
      <c r="U101" s="6"/>
    </row>
    <row r="102" spans="1:28" customFormat="1">
      <c r="A102" s="201" t="s">
        <v>1774</v>
      </c>
      <c r="B102" s="100">
        <v>7.88</v>
      </c>
      <c r="C102" s="100">
        <v>5.04</v>
      </c>
      <c r="D102" s="100">
        <v>8.9499999999999993</v>
      </c>
      <c r="E102" s="100">
        <v>6</v>
      </c>
      <c r="F102" s="100">
        <v>2</v>
      </c>
      <c r="G102" s="100">
        <v>10.52</v>
      </c>
      <c r="H102" s="100">
        <v>4.38</v>
      </c>
      <c r="I102" s="100">
        <v>4.3600000000000003</v>
      </c>
      <c r="J102" s="100">
        <v>0.06</v>
      </c>
      <c r="K102" s="100">
        <v>121.72</v>
      </c>
      <c r="L102" s="100">
        <v>24.24</v>
      </c>
      <c r="M102" s="100">
        <v>51.16</v>
      </c>
      <c r="N102" s="100">
        <v>2.4</v>
      </c>
      <c r="O102" s="100">
        <v>0</v>
      </c>
      <c r="P102" s="100">
        <v>0.24</v>
      </c>
      <c r="Q102" s="100">
        <v>12.23</v>
      </c>
      <c r="R102" s="6"/>
      <c r="S102" s="6"/>
      <c r="T102" s="156"/>
      <c r="U102" s="6"/>
    </row>
    <row r="103" spans="1:28" customFormat="1">
      <c r="A103" s="201" t="s">
        <v>1775</v>
      </c>
      <c r="B103" s="100">
        <v>7.98</v>
      </c>
      <c r="C103" s="100">
        <v>4.88</v>
      </c>
      <c r="D103" s="100">
        <v>8.9499999999999993</v>
      </c>
      <c r="E103" s="100">
        <v>5.82</v>
      </c>
      <c r="F103" s="100">
        <v>2</v>
      </c>
      <c r="G103" s="100">
        <v>10.1</v>
      </c>
      <c r="H103" s="100">
        <v>3.15</v>
      </c>
      <c r="I103" s="100">
        <v>4.57</v>
      </c>
      <c r="J103" s="100">
        <v>0.05</v>
      </c>
      <c r="K103" s="100">
        <v>123.66</v>
      </c>
      <c r="L103" s="100">
        <v>23.9</v>
      </c>
      <c r="M103" s="100">
        <v>49.33</v>
      </c>
      <c r="N103" s="100">
        <v>2.2999999999999998</v>
      </c>
      <c r="O103" s="100">
        <v>0</v>
      </c>
      <c r="P103" s="100">
        <v>0.23</v>
      </c>
      <c r="Q103" s="100">
        <v>12.02</v>
      </c>
      <c r="R103" s="6"/>
      <c r="S103" s="6"/>
      <c r="T103" s="156"/>
      <c r="U103" s="6"/>
    </row>
    <row r="104" spans="1:28" customFormat="1">
      <c r="A104" s="201" t="s">
        <v>1776</v>
      </c>
      <c r="B104" s="100">
        <v>8.14</v>
      </c>
      <c r="C104" s="100">
        <v>5.23</v>
      </c>
      <c r="D104" s="100">
        <v>9.26</v>
      </c>
      <c r="E104" s="100">
        <v>6.1</v>
      </c>
      <c r="F104" s="100">
        <v>2</v>
      </c>
      <c r="G104" s="100">
        <v>9.99</v>
      </c>
      <c r="H104" s="100">
        <v>3.15</v>
      </c>
      <c r="I104" s="100">
        <v>4.6100000000000003</v>
      </c>
      <c r="J104" s="100">
        <v>0.06</v>
      </c>
      <c r="K104" s="100">
        <v>148.80000000000001</v>
      </c>
      <c r="L104" s="100">
        <v>24.06</v>
      </c>
      <c r="M104" s="100">
        <v>51.14</v>
      </c>
      <c r="N104" s="100">
        <v>2.2999999999999998</v>
      </c>
      <c r="O104" s="100">
        <v>0</v>
      </c>
      <c r="P104" s="100">
        <v>0.25</v>
      </c>
      <c r="Q104" s="100">
        <v>11.11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5.91</v>
      </c>
      <c r="C106" s="158">
        <f>MIN(C9:C104)</f>
        <v>4.7699999999999996</v>
      </c>
      <c r="D106" s="158">
        <f t="shared" ref="D106:Q106" si="0">MIN(D9:D104)</f>
        <v>7.59</v>
      </c>
      <c r="E106" s="158">
        <f t="shared" si="0"/>
        <v>4.3899999999999997</v>
      </c>
      <c r="F106" s="158">
        <f t="shared" si="0"/>
        <v>2</v>
      </c>
      <c r="G106" s="158">
        <f t="shared" si="0"/>
        <v>5.09</v>
      </c>
      <c r="H106" s="158">
        <f t="shared" si="0"/>
        <v>2.0099999999999998</v>
      </c>
      <c r="I106" s="158">
        <f t="shared" si="0"/>
        <v>3.86</v>
      </c>
      <c r="J106" s="158">
        <f t="shared" si="0"/>
        <v>0.05</v>
      </c>
      <c r="K106" s="158">
        <f t="shared" si="0"/>
        <v>40.130000000000003</v>
      </c>
      <c r="L106" s="158">
        <f t="shared" si="0"/>
        <v>-10.8</v>
      </c>
      <c r="M106" s="158">
        <f t="shared" si="0"/>
        <v>14.52</v>
      </c>
      <c r="N106" s="158">
        <f t="shared" si="0"/>
        <v>2.1</v>
      </c>
      <c r="O106" s="158">
        <f t="shared" si="0"/>
        <v>0</v>
      </c>
      <c r="P106" s="158">
        <f t="shared" si="0"/>
        <v>0.17</v>
      </c>
      <c r="Q106" s="158">
        <f t="shared" si="0"/>
        <v>9.58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12.09</v>
      </c>
      <c r="C107" s="157">
        <f t="shared" ref="C107:Q107" si="1">MAX(C9:C104)</f>
        <v>6.56</v>
      </c>
      <c r="D107" s="157">
        <f t="shared" si="1"/>
        <v>12.7</v>
      </c>
      <c r="E107" s="157">
        <f t="shared" si="1"/>
        <v>7.91</v>
      </c>
      <c r="F107" s="157">
        <f t="shared" si="1"/>
        <v>2.99</v>
      </c>
      <c r="G107" s="157">
        <f t="shared" si="1"/>
        <v>36.99</v>
      </c>
      <c r="H107" s="157">
        <f t="shared" si="1"/>
        <v>14.3</v>
      </c>
      <c r="I107" s="157">
        <f t="shared" si="1"/>
        <v>6.5</v>
      </c>
      <c r="J107" s="157">
        <f t="shared" si="1"/>
        <v>0.97</v>
      </c>
      <c r="K107" s="157">
        <f t="shared" si="1"/>
        <v>176.59</v>
      </c>
      <c r="L107" s="157">
        <f t="shared" si="1"/>
        <v>26.98</v>
      </c>
      <c r="M107" s="157">
        <f t="shared" si="1"/>
        <v>67.48</v>
      </c>
      <c r="N107" s="157">
        <f t="shared" si="1"/>
        <v>524.1</v>
      </c>
      <c r="O107" s="157">
        <f t="shared" si="1"/>
        <v>0</v>
      </c>
      <c r="P107" s="157">
        <f t="shared" si="1"/>
        <v>0.35</v>
      </c>
      <c r="Q107" s="157">
        <f t="shared" si="1"/>
        <v>66.81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8.4042708333333369</v>
      </c>
      <c r="C108" s="158">
        <f t="shared" ref="C108:Q108" si="2">AVERAGE(C9:C104)</f>
        <v>5.6884374999999991</v>
      </c>
      <c r="D108" s="158">
        <f t="shared" si="2"/>
        <v>9.7119791666666746</v>
      </c>
      <c r="E108" s="158">
        <f t="shared" si="2"/>
        <v>6.038125</v>
      </c>
      <c r="F108" s="158">
        <f t="shared" si="2"/>
        <v>2.031354166666667</v>
      </c>
      <c r="G108" s="158">
        <f t="shared" si="2"/>
        <v>12.547812499999987</v>
      </c>
      <c r="H108" s="158">
        <f t="shared" si="2"/>
        <v>4.9993749999999961</v>
      </c>
      <c r="I108" s="158">
        <f t="shared" si="2"/>
        <v>4.6632291666666665</v>
      </c>
      <c r="J108" s="158">
        <f t="shared" si="2"/>
        <v>0.18125000000000011</v>
      </c>
      <c r="K108" s="158">
        <f t="shared" si="2"/>
        <v>135.07260416666665</v>
      </c>
      <c r="L108" s="158">
        <f t="shared" si="2"/>
        <v>22.438229166666662</v>
      </c>
      <c r="M108" s="158">
        <f t="shared" si="2"/>
        <v>51.635312500000019</v>
      </c>
      <c r="N108" s="158">
        <f t="shared" si="2"/>
        <v>34.247916666666676</v>
      </c>
      <c r="O108" s="158">
        <f t="shared" si="2"/>
        <v>0</v>
      </c>
      <c r="P108" s="158">
        <f t="shared" si="2"/>
        <v>0.23885416666666637</v>
      </c>
      <c r="Q108" s="158">
        <f t="shared" si="2"/>
        <v>13.842083333333333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2.0190804289350854</v>
      </c>
      <c r="C109" s="158">
        <f t="shared" ref="C109:Q109" si="3">STDEV(C9:C104)</f>
        <v>0.44398987215807906</v>
      </c>
      <c r="D109" s="158">
        <f t="shared" si="3"/>
        <v>1.6087652144892812</v>
      </c>
      <c r="E109" s="158">
        <f t="shared" si="3"/>
        <v>0.94597353084145774</v>
      </c>
      <c r="F109" s="158">
        <f t="shared" si="3"/>
        <v>0.12801825356414637</v>
      </c>
      <c r="G109" s="158">
        <f t="shared" si="3"/>
        <v>6.7341597691213826</v>
      </c>
      <c r="H109" s="158">
        <f t="shared" si="3"/>
        <v>2.8220637511915867</v>
      </c>
      <c r="I109" s="158">
        <f t="shared" si="3"/>
        <v>0.68508239195875775</v>
      </c>
      <c r="J109" s="158">
        <f t="shared" si="3"/>
        <v>0.13315799875177944</v>
      </c>
      <c r="K109" s="158">
        <f t="shared" si="3"/>
        <v>22.57563182048969</v>
      </c>
      <c r="L109" s="158">
        <f t="shared" si="3"/>
        <v>5.4739711352029587</v>
      </c>
      <c r="M109" s="158">
        <f t="shared" si="3"/>
        <v>8.4022542029378702</v>
      </c>
      <c r="N109" s="158">
        <f t="shared" si="3"/>
        <v>82.211505122831852</v>
      </c>
      <c r="O109" s="158">
        <f t="shared" si="3"/>
        <v>0</v>
      </c>
      <c r="P109" s="158">
        <f t="shared" si="3"/>
        <v>4.6766379999373366E-2</v>
      </c>
      <c r="Q109" s="158">
        <f t="shared" si="3"/>
        <v>7.5924815881677743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7"/>
  <sheetViews>
    <sheetView zoomScale="85" zoomScaleNormal="85" workbookViewId="0">
      <pane xSplit="1" ySplit="8" topLeftCell="B82" activePane="bottomRight" state="frozen"/>
      <selection pane="topRight"/>
      <selection pane="bottomLeft"/>
      <selection pane="bottomRight" activeCell="P110" sqref="P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1777</v>
      </c>
      <c r="B9" s="100">
        <v>8.27</v>
      </c>
      <c r="C9" s="100">
        <v>4.93</v>
      </c>
      <c r="D9" s="100">
        <v>9.2100000000000009</v>
      </c>
      <c r="E9" s="100">
        <v>6.04</v>
      </c>
      <c r="F9" s="100">
        <v>2</v>
      </c>
      <c r="G9" s="100">
        <v>9.99</v>
      </c>
      <c r="H9" s="100">
        <v>3.15</v>
      </c>
      <c r="I9" s="100">
        <v>4.3899999999999997</v>
      </c>
      <c r="J9" s="100">
        <v>0.1</v>
      </c>
      <c r="K9" s="100">
        <v>150.38</v>
      </c>
      <c r="L9" s="100">
        <v>24.17</v>
      </c>
      <c r="M9" s="100">
        <v>52.01</v>
      </c>
      <c r="N9" s="100">
        <v>2.4</v>
      </c>
      <c r="O9" s="100">
        <v>0</v>
      </c>
      <c r="P9" s="100">
        <v>0.23</v>
      </c>
      <c r="Q9" s="100">
        <v>12</v>
      </c>
      <c r="R9" s="6"/>
      <c r="S9" s="6"/>
      <c r="T9" s="156"/>
      <c r="U9" s="6"/>
    </row>
    <row r="10" spans="1:21" customFormat="1">
      <c r="A10" s="201" t="s">
        <v>1778</v>
      </c>
      <c r="B10" s="100">
        <v>8.35</v>
      </c>
      <c r="C10" s="100">
        <v>4.95</v>
      </c>
      <c r="D10" s="100">
        <v>9.2799999999999994</v>
      </c>
      <c r="E10" s="100">
        <v>6.13</v>
      </c>
      <c r="F10" s="100">
        <v>2</v>
      </c>
      <c r="G10" s="100">
        <v>9.99</v>
      </c>
      <c r="H10" s="100">
        <v>3.15</v>
      </c>
      <c r="I10" s="100">
        <v>4.59</v>
      </c>
      <c r="J10" s="100">
        <v>0.06</v>
      </c>
      <c r="K10" s="100">
        <v>146.55000000000001</v>
      </c>
      <c r="L10" s="100">
        <v>23.98</v>
      </c>
      <c r="M10" s="100">
        <v>50.71</v>
      </c>
      <c r="N10" s="100">
        <v>2.2999999999999998</v>
      </c>
      <c r="O10" s="100">
        <v>0</v>
      </c>
      <c r="P10" s="100">
        <v>0.23</v>
      </c>
      <c r="Q10" s="100">
        <v>10.59</v>
      </c>
      <c r="R10" s="6"/>
      <c r="S10" s="6"/>
      <c r="T10" s="156"/>
      <c r="U10" s="6"/>
    </row>
    <row r="11" spans="1:21" customFormat="1">
      <c r="A11" s="201" t="s">
        <v>1779</v>
      </c>
      <c r="B11" s="100">
        <v>8.5299999999999994</v>
      </c>
      <c r="C11" s="100">
        <v>5.18</v>
      </c>
      <c r="D11" s="100">
        <v>9.5500000000000007</v>
      </c>
      <c r="E11" s="100">
        <v>6.21</v>
      </c>
      <c r="F11" s="100">
        <v>2</v>
      </c>
      <c r="G11" s="100">
        <v>8.18</v>
      </c>
      <c r="H11" s="100">
        <v>3.16</v>
      </c>
      <c r="I11" s="100">
        <v>4.6100000000000003</v>
      </c>
      <c r="J11" s="100">
        <v>7.0000000000000007E-2</v>
      </c>
      <c r="K11" s="100">
        <v>147.63999999999999</v>
      </c>
      <c r="L11" s="100">
        <v>23.9</v>
      </c>
      <c r="M11" s="100">
        <v>51.95</v>
      </c>
      <c r="N11" s="100">
        <v>2.4</v>
      </c>
      <c r="O11" s="100">
        <v>0</v>
      </c>
      <c r="P11" s="100">
        <v>0.25</v>
      </c>
      <c r="Q11" s="100">
        <v>24.54</v>
      </c>
      <c r="R11" s="6"/>
      <c r="S11" s="6"/>
      <c r="T11" s="156"/>
      <c r="U11" s="6"/>
    </row>
    <row r="12" spans="1:21" customFormat="1">
      <c r="A12" s="201" t="s">
        <v>1780</v>
      </c>
      <c r="B12" s="100">
        <v>8.6300000000000008</v>
      </c>
      <c r="C12" s="100">
        <v>4.96</v>
      </c>
      <c r="D12" s="100">
        <v>9.51</v>
      </c>
      <c r="E12" s="100">
        <v>6.23</v>
      </c>
      <c r="F12" s="100">
        <v>2.0099999999999998</v>
      </c>
      <c r="G12" s="100">
        <v>7.73</v>
      </c>
      <c r="H12" s="100">
        <v>3.16</v>
      </c>
      <c r="I12" s="100">
        <v>4.4000000000000004</v>
      </c>
      <c r="J12" s="100">
        <v>0.11</v>
      </c>
      <c r="K12" s="100">
        <v>147.19999999999999</v>
      </c>
      <c r="L12" s="100">
        <v>24.02</v>
      </c>
      <c r="M12" s="100">
        <v>53.42</v>
      </c>
      <c r="N12" s="100">
        <v>2.2000000000000002</v>
      </c>
      <c r="O12" s="100">
        <v>0</v>
      </c>
      <c r="P12" s="100">
        <v>0.23</v>
      </c>
      <c r="Q12" s="100">
        <v>11.02</v>
      </c>
      <c r="R12" s="6"/>
      <c r="S12" s="6"/>
      <c r="T12" s="156"/>
      <c r="U12" s="6"/>
    </row>
    <row r="13" spans="1:21" customFormat="1">
      <c r="A13" s="201" t="s">
        <v>1781</v>
      </c>
      <c r="B13" s="100">
        <v>8.7100000000000009</v>
      </c>
      <c r="C13" s="100">
        <v>5.3</v>
      </c>
      <c r="D13" s="100">
        <v>9.75</v>
      </c>
      <c r="E13" s="100">
        <v>6.34</v>
      </c>
      <c r="F13" s="100">
        <v>2.0299999999999998</v>
      </c>
      <c r="G13" s="100">
        <v>7.73</v>
      </c>
      <c r="H13" s="100">
        <v>3.16</v>
      </c>
      <c r="I13" s="100">
        <v>4.57</v>
      </c>
      <c r="J13" s="100">
        <v>0.11</v>
      </c>
      <c r="K13" s="100">
        <v>141.88</v>
      </c>
      <c r="L13" s="100">
        <v>24.35</v>
      </c>
      <c r="M13" s="100">
        <v>54.33</v>
      </c>
      <c r="N13" s="100">
        <v>2.1</v>
      </c>
      <c r="O13" s="100">
        <v>0</v>
      </c>
      <c r="P13" s="100">
        <v>0.24</v>
      </c>
      <c r="Q13" s="100">
        <v>10.79</v>
      </c>
      <c r="R13" s="6"/>
      <c r="S13" s="6"/>
      <c r="T13" s="156"/>
      <c r="U13" s="6"/>
    </row>
    <row r="14" spans="1:21" customFormat="1">
      <c r="A14" s="201" t="s">
        <v>1782</v>
      </c>
      <c r="B14" s="100">
        <v>8.66</v>
      </c>
      <c r="C14" s="100">
        <v>5.28</v>
      </c>
      <c r="D14" s="100">
        <v>9.6999999999999993</v>
      </c>
      <c r="E14" s="100">
        <v>6.14</v>
      </c>
      <c r="F14" s="100">
        <v>2</v>
      </c>
      <c r="G14" s="100">
        <v>7.73</v>
      </c>
      <c r="H14" s="100">
        <v>3.16</v>
      </c>
      <c r="I14" s="100">
        <v>4.42</v>
      </c>
      <c r="J14" s="100">
        <v>0.09</v>
      </c>
      <c r="K14" s="100">
        <v>151.22999999999999</v>
      </c>
      <c r="L14" s="100">
        <v>24.5</v>
      </c>
      <c r="M14" s="100">
        <v>54.66</v>
      </c>
      <c r="N14" s="100">
        <v>2.1</v>
      </c>
      <c r="O14" s="100">
        <v>0</v>
      </c>
      <c r="P14" s="100">
        <v>0.2</v>
      </c>
      <c r="Q14" s="100">
        <v>10.31</v>
      </c>
      <c r="R14" s="6"/>
      <c r="S14" s="6"/>
      <c r="T14" s="156"/>
      <c r="U14" s="6"/>
    </row>
    <row r="15" spans="1:21" customFormat="1">
      <c r="A15" s="201" t="s">
        <v>1783</v>
      </c>
      <c r="B15" s="100">
        <v>8.52</v>
      </c>
      <c r="C15" s="100">
        <v>5.32</v>
      </c>
      <c r="D15" s="100">
        <v>9.61</v>
      </c>
      <c r="E15" s="100">
        <v>6.12</v>
      </c>
      <c r="F15" s="100">
        <v>2</v>
      </c>
      <c r="G15" s="100">
        <v>10.61</v>
      </c>
      <c r="H15" s="100">
        <v>4.3099999999999996</v>
      </c>
      <c r="I15" s="100">
        <v>4.42</v>
      </c>
      <c r="J15" s="100">
        <v>0.11</v>
      </c>
      <c r="K15" s="100">
        <v>135.43</v>
      </c>
      <c r="L15" s="100">
        <v>24.54</v>
      </c>
      <c r="M15" s="100">
        <v>55.28</v>
      </c>
      <c r="N15" s="100">
        <v>2.2999999999999998</v>
      </c>
      <c r="O15" s="100">
        <v>0</v>
      </c>
      <c r="P15" s="100">
        <v>0.19</v>
      </c>
      <c r="Q15" s="100">
        <v>10.25</v>
      </c>
      <c r="R15" s="6"/>
      <c r="S15" s="6"/>
      <c r="T15" s="156"/>
      <c r="U15" s="6"/>
    </row>
    <row r="16" spans="1:21" customFormat="1">
      <c r="A16" s="201" t="s">
        <v>1784</v>
      </c>
      <c r="B16" s="100">
        <v>8.33</v>
      </c>
      <c r="C16" s="100">
        <v>5.42</v>
      </c>
      <c r="D16" s="100">
        <v>9.51</v>
      </c>
      <c r="E16" s="100">
        <v>6.13</v>
      </c>
      <c r="F16" s="100">
        <v>2</v>
      </c>
      <c r="G16" s="100">
        <v>11.38</v>
      </c>
      <c r="H16" s="100">
        <v>4.3099999999999996</v>
      </c>
      <c r="I16" s="100">
        <v>4.41</v>
      </c>
      <c r="J16" s="100">
        <v>0.09</v>
      </c>
      <c r="K16" s="100">
        <v>92.72</v>
      </c>
      <c r="L16" s="100">
        <v>24.68</v>
      </c>
      <c r="M16" s="100">
        <v>56.21</v>
      </c>
      <c r="N16" s="100">
        <v>2.2000000000000002</v>
      </c>
      <c r="O16" s="100">
        <v>0</v>
      </c>
      <c r="P16" s="100">
        <v>0.19</v>
      </c>
      <c r="Q16" s="100">
        <v>10.24</v>
      </c>
      <c r="R16" s="6"/>
      <c r="S16" s="6"/>
      <c r="T16" s="156"/>
      <c r="U16" s="6"/>
    </row>
    <row r="17" spans="1:21" customFormat="1">
      <c r="A17" s="201" t="s">
        <v>1785</v>
      </c>
      <c r="B17" s="100">
        <v>8.18</v>
      </c>
      <c r="C17" s="100">
        <v>5.49</v>
      </c>
      <c r="D17" s="100">
        <v>9.43</v>
      </c>
      <c r="E17" s="100">
        <v>4.8499999999999996</v>
      </c>
      <c r="F17" s="100">
        <v>2</v>
      </c>
      <c r="G17" s="100">
        <v>11.38</v>
      </c>
      <c r="H17" s="100">
        <v>4.3099999999999996</v>
      </c>
      <c r="I17" s="100">
        <v>4.29</v>
      </c>
      <c r="J17" s="100">
        <v>0.17</v>
      </c>
      <c r="K17" s="100">
        <v>87.19</v>
      </c>
      <c r="L17" s="100">
        <v>24.61</v>
      </c>
      <c r="M17" s="100">
        <v>55.83</v>
      </c>
      <c r="N17" s="100">
        <v>2.4</v>
      </c>
      <c r="O17" s="100">
        <v>0</v>
      </c>
      <c r="P17" s="100">
        <v>0.18</v>
      </c>
      <c r="Q17" s="100">
        <v>10.31</v>
      </c>
      <c r="R17" s="6"/>
      <c r="S17" s="6"/>
      <c r="T17" s="156"/>
      <c r="U17" s="6"/>
    </row>
    <row r="18" spans="1:21" customFormat="1">
      <c r="A18" s="201" t="s">
        <v>1786</v>
      </c>
      <c r="B18" s="100">
        <v>8.1</v>
      </c>
      <c r="C18" s="100">
        <v>5.44</v>
      </c>
      <c r="D18" s="100">
        <v>9.34</v>
      </c>
      <c r="E18" s="100">
        <v>5.63</v>
      </c>
      <c r="F18" s="100">
        <v>2</v>
      </c>
      <c r="G18" s="100">
        <v>11.38</v>
      </c>
      <c r="H18" s="100">
        <v>4.3099999999999996</v>
      </c>
      <c r="I18" s="100">
        <v>4.21</v>
      </c>
      <c r="J18" s="100">
        <v>0.13</v>
      </c>
      <c r="K18" s="100">
        <v>112.03</v>
      </c>
      <c r="L18" s="100">
        <v>24.55</v>
      </c>
      <c r="M18" s="100">
        <v>55.94</v>
      </c>
      <c r="N18" s="100">
        <v>2.2999999999999998</v>
      </c>
      <c r="O18" s="100">
        <v>0</v>
      </c>
      <c r="P18" s="100">
        <v>0.19</v>
      </c>
      <c r="Q18" s="100">
        <v>10.25</v>
      </c>
      <c r="R18" s="6"/>
      <c r="S18" s="6"/>
      <c r="T18" s="156"/>
      <c r="U18" s="6"/>
    </row>
    <row r="19" spans="1:21" customFormat="1">
      <c r="A19" s="201" t="s">
        <v>1787</v>
      </c>
      <c r="B19" s="100">
        <v>8.01</v>
      </c>
      <c r="C19" s="100">
        <v>5.42</v>
      </c>
      <c r="D19" s="100">
        <v>9.26</v>
      </c>
      <c r="E19" s="100">
        <v>5.76</v>
      </c>
      <c r="F19" s="100">
        <v>2</v>
      </c>
      <c r="G19" s="100">
        <v>9.27</v>
      </c>
      <c r="H19" s="100">
        <v>3.19</v>
      </c>
      <c r="I19" s="100">
        <v>4.25</v>
      </c>
      <c r="J19" s="100">
        <v>0.11</v>
      </c>
      <c r="K19" s="100">
        <v>139.96</v>
      </c>
      <c r="L19" s="100">
        <v>23.99</v>
      </c>
      <c r="M19" s="100">
        <v>54.38</v>
      </c>
      <c r="N19" s="100">
        <v>2.2000000000000002</v>
      </c>
      <c r="O19" s="100">
        <v>0</v>
      </c>
      <c r="P19" s="100">
        <v>0.18</v>
      </c>
      <c r="Q19" s="100">
        <v>10.4</v>
      </c>
      <c r="R19" s="6"/>
      <c r="S19" s="6"/>
      <c r="T19" s="156"/>
      <c r="U19" s="6"/>
    </row>
    <row r="20" spans="1:21" customFormat="1">
      <c r="A20" s="201" t="s">
        <v>1788</v>
      </c>
      <c r="B20" s="100">
        <v>7.87</v>
      </c>
      <c r="C20" s="100">
        <v>5.45</v>
      </c>
      <c r="D20" s="100">
        <v>9.16</v>
      </c>
      <c r="E20" s="100">
        <v>5.65</v>
      </c>
      <c r="F20" s="100">
        <v>2</v>
      </c>
      <c r="G20" s="100">
        <v>8.7100000000000009</v>
      </c>
      <c r="H20" s="100">
        <v>3.19</v>
      </c>
      <c r="I20" s="100">
        <v>4.13</v>
      </c>
      <c r="J20" s="100">
        <v>0.21</v>
      </c>
      <c r="K20" s="100">
        <v>155.66999999999999</v>
      </c>
      <c r="L20" s="100">
        <v>24.18</v>
      </c>
      <c r="M20" s="100">
        <v>55.22</v>
      </c>
      <c r="N20" s="100">
        <v>2.4</v>
      </c>
      <c r="O20" s="100">
        <v>0</v>
      </c>
      <c r="P20" s="100">
        <v>0.18</v>
      </c>
      <c r="Q20" s="100">
        <v>10.14</v>
      </c>
      <c r="R20" s="6"/>
      <c r="S20" s="6"/>
      <c r="T20" s="156"/>
      <c r="U20" s="6"/>
    </row>
    <row r="21" spans="1:21" customFormat="1">
      <c r="A21" s="201" t="s">
        <v>1789</v>
      </c>
      <c r="B21" s="100">
        <v>7.75</v>
      </c>
      <c r="C21" s="100">
        <v>5.41</v>
      </c>
      <c r="D21" s="100">
        <v>9.0399999999999991</v>
      </c>
      <c r="E21" s="100">
        <v>5.26</v>
      </c>
      <c r="F21" s="100">
        <v>2</v>
      </c>
      <c r="G21" s="100">
        <v>8.7100000000000009</v>
      </c>
      <c r="H21" s="100">
        <v>3.19</v>
      </c>
      <c r="I21" s="100">
        <v>4.09</v>
      </c>
      <c r="J21" s="100">
        <v>0.16</v>
      </c>
      <c r="K21" s="100">
        <v>154.94</v>
      </c>
      <c r="L21" s="100">
        <v>24.37</v>
      </c>
      <c r="M21" s="100">
        <v>55.51</v>
      </c>
      <c r="N21" s="100">
        <v>2.2999999999999998</v>
      </c>
      <c r="O21" s="100">
        <v>0</v>
      </c>
      <c r="P21" s="100">
        <v>0.18</v>
      </c>
      <c r="Q21" s="100">
        <v>10.17</v>
      </c>
      <c r="R21" s="6"/>
      <c r="S21" s="6"/>
      <c r="T21" s="156"/>
      <c r="U21" s="6"/>
    </row>
    <row r="22" spans="1:21" customFormat="1">
      <c r="A22" s="201" t="s">
        <v>1790</v>
      </c>
      <c r="B22" s="100">
        <v>7.65</v>
      </c>
      <c r="C22" s="100">
        <v>5.28</v>
      </c>
      <c r="D22" s="100">
        <v>8.89</v>
      </c>
      <c r="E22" s="100">
        <v>5.45</v>
      </c>
      <c r="F22" s="100">
        <v>2</v>
      </c>
      <c r="G22" s="100">
        <v>8.7100000000000009</v>
      </c>
      <c r="H22" s="100">
        <v>3.19</v>
      </c>
      <c r="I22" s="100">
        <v>4.16</v>
      </c>
      <c r="J22" s="100">
        <v>0.16</v>
      </c>
      <c r="K22" s="100">
        <v>152.46</v>
      </c>
      <c r="L22" s="100">
        <v>23.51</v>
      </c>
      <c r="M22" s="100">
        <v>53.31</v>
      </c>
      <c r="N22" s="100">
        <v>2.2999999999999998</v>
      </c>
      <c r="O22" s="100">
        <v>0</v>
      </c>
      <c r="P22" s="100">
        <v>0.18</v>
      </c>
      <c r="Q22" s="100">
        <v>10.37</v>
      </c>
      <c r="R22" s="6"/>
      <c r="S22" s="6"/>
      <c r="T22" s="156"/>
      <c r="U22" s="6"/>
    </row>
    <row r="23" spans="1:21" customFormat="1">
      <c r="A23" s="201" t="s">
        <v>1791</v>
      </c>
      <c r="B23" s="100">
        <v>7.55</v>
      </c>
      <c r="C23" s="100">
        <v>5.28</v>
      </c>
      <c r="D23" s="100">
        <v>8.81</v>
      </c>
      <c r="E23" s="100">
        <v>5.76</v>
      </c>
      <c r="F23" s="100">
        <v>2</v>
      </c>
      <c r="G23" s="100">
        <v>6.7</v>
      </c>
      <c r="H23" s="100">
        <v>2.2799999999999998</v>
      </c>
      <c r="I23" s="100">
        <v>4.1100000000000003</v>
      </c>
      <c r="J23" s="100">
        <v>0.1</v>
      </c>
      <c r="K23" s="100">
        <v>147.99</v>
      </c>
      <c r="L23" s="100">
        <v>22</v>
      </c>
      <c r="M23" s="100">
        <v>50.39</v>
      </c>
      <c r="N23" s="100">
        <v>2.2000000000000002</v>
      </c>
      <c r="O23" s="100">
        <v>0</v>
      </c>
      <c r="P23" s="100">
        <v>0.18</v>
      </c>
      <c r="Q23" s="100">
        <v>10.28</v>
      </c>
      <c r="R23" s="6"/>
      <c r="S23" s="6"/>
      <c r="T23" s="156"/>
      <c r="U23" s="6"/>
    </row>
    <row r="24" spans="1:21" customFormat="1">
      <c r="A24" s="201" t="s">
        <v>1792</v>
      </c>
      <c r="B24" s="100">
        <v>7.47</v>
      </c>
      <c r="C24" s="100">
        <v>5.18</v>
      </c>
      <c r="D24" s="100">
        <v>8.6999999999999993</v>
      </c>
      <c r="E24" s="100">
        <v>5.54</v>
      </c>
      <c r="F24" s="100">
        <v>2</v>
      </c>
      <c r="G24" s="100">
        <v>6.2</v>
      </c>
      <c r="H24" s="100">
        <v>2.2799999999999998</v>
      </c>
      <c r="I24" s="100">
        <v>3.94</v>
      </c>
      <c r="J24" s="100">
        <v>7.0000000000000007E-2</v>
      </c>
      <c r="K24" s="100">
        <v>154.63</v>
      </c>
      <c r="L24" s="100">
        <v>23.87</v>
      </c>
      <c r="M24" s="100">
        <v>54.37</v>
      </c>
      <c r="N24" s="100">
        <v>2.2999999999999998</v>
      </c>
      <c r="O24" s="100">
        <v>0</v>
      </c>
      <c r="P24" s="100">
        <v>0.18</v>
      </c>
      <c r="Q24" s="100">
        <v>9.92</v>
      </c>
      <c r="R24" s="6"/>
      <c r="S24" s="6"/>
      <c r="T24" s="156"/>
      <c r="U24" s="6"/>
    </row>
    <row r="25" spans="1:21" customFormat="1">
      <c r="A25" s="201" t="s">
        <v>1793</v>
      </c>
      <c r="B25" s="100">
        <v>7.4</v>
      </c>
      <c r="C25" s="100">
        <v>5.16</v>
      </c>
      <c r="D25" s="100">
        <v>8.6300000000000008</v>
      </c>
      <c r="E25" s="100">
        <v>5.62</v>
      </c>
      <c r="F25" s="100">
        <v>2.19</v>
      </c>
      <c r="G25" s="100">
        <v>6.2</v>
      </c>
      <c r="H25" s="100">
        <v>2.2799999999999998</v>
      </c>
      <c r="I25" s="100">
        <v>3.97</v>
      </c>
      <c r="J25" s="100">
        <v>0.05</v>
      </c>
      <c r="K25" s="100">
        <v>133.08000000000001</v>
      </c>
      <c r="L25" s="100">
        <v>22.67</v>
      </c>
      <c r="M25" s="100">
        <v>51.68</v>
      </c>
      <c r="N25" s="100">
        <v>2.4</v>
      </c>
      <c r="O25" s="100">
        <v>0</v>
      </c>
      <c r="P25" s="100">
        <v>0.17</v>
      </c>
      <c r="Q25" s="100">
        <v>10.07</v>
      </c>
      <c r="R25" s="6"/>
      <c r="S25" s="6"/>
      <c r="T25" s="156"/>
      <c r="U25" s="6"/>
    </row>
    <row r="26" spans="1:21" customFormat="1">
      <c r="A26" s="201" t="s">
        <v>1794</v>
      </c>
      <c r="B26" s="100">
        <v>7.29</v>
      </c>
      <c r="C26" s="100">
        <v>5.23</v>
      </c>
      <c r="D26" s="100">
        <v>8.58</v>
      </c>
      <c r="E26" s="100">
        <v>5.44</v>
      </c>
      <c r="F26" s="100">
        <v>2.0299999999999998</v>
      </c>
      <c r="G26" s="100">
        <v>6.2</v>
      </c>
      <c r="H26" s="100">
        <v>2.2799999999999998</v>
      </c>
      <c r="I26" s="100">
        <v>3.83</v>
      </c>
      <c r="J26" s="100">
        <v>0.09</v>
      </c>
      <c r="K26" s="100">
        <v>136.80000000000001</v>
      </c>
      <c r="L26" s="100">
        <v>22.3</v>
      </c>
      <c r="M26" s="100">
        <v>51.25</v>
      </c>
      <c r="N26" s="100">
        <v>2.2999999999999998</v>
      </c>
      <c r="O26" s="100">
        <v>0</v>
      </c>
      <c r="P26" s="100">
        <v>0.17</v>
      </c>
      <c r="Q26" s="100">
        <v>10.050000000000001</v>
      </c>
      <c r="R26" s="6"/>
      <c r="S26" s="6"/>
      <c r="T26" s="156"/>
      <c r="U26" s="6"/>
    </row>
    <row r="27" spans="1:21" customFormat="1">
      <c r="A27" s="201" t="s">
        <v>1795</v>
      </c>
      <c r="B27" s="100">
        <v>7.27</v>
      </c>
      <c r="C27" s="100">
        <v>5.18</v>
      </c>
      <c r="D27" s="100">
        <v>8.5399999999999991</v>
      </c>
      <c r="E27" s="100">
        <v>4.59</v>
      </c>
      <c r="F27" s="100">
        <v>2</v>
      </c>
      <c r="G27" s="100">
        <v>6.13</v>
      </c>
      <c r="H27" s="100">
        <v>1.69</v>
      </c>
      <c r="I27" s="100">
        <v>3.78</v>
      </c>
      <c r="J27" s="100">
        <v>0.12</v>
      </c>
      <c r="K27" s="100">
        <v>154.19999999999999</v>
      </c>
      <c r="L27" s="100">
        <v>24.23</v>
      </c>
      <c r="M27" s="100">
        <v>54.85</v>
      </c>
      <c r="N27" s="100">
        <v>2.2000000000000002</v>
      </c>
      <c r="O27" s="100">
        <v>0</v>
      </c>
      <c r="P27" s="100">
        <v>0.17</v>
      </c>
      <c r="Q27" s="100">
        <v>15.64</v>
      </c>
      <c r="R27" s="6"/>
      <c r="S27" s="6"/>
      <c r="T27" s="156"/>
      <c r="U27" s="6"/>
    </row>
    <row r="28" spans="1:21" customFormat="1">
      <c r="A28" s="201" t="s">
        <v>1796</v>
      </c>
      <c r="B28" s="100">
        <v>7.25</v>
      </c>
      <c r="C28" s="100">
        <v>5.0999999999999996</v>
      </c>
      <c r="D28" s="100">
        <v>8.48</v>
      </c>
      <c r="E28" s="100">
        <v>5.48</v>
      </c>
      <c r="F28" s="100">
        <v>2</v>
      </c>
      <c r="G28" s="100">
        <v>6.11</v>
      </c>
      <c r="H28" s="100">
        <v>1.69</v>
      </c>
      <c r="I28" s="100">
        <v>3.72</v>
      </c>
      <c r="J28" s="100">
        <v>0.16</v>
      </c>
      <c r="K28" s="100">
        <v>144.66999999999999</v>
      </c>
      <c r="L28" s="100">
        <v>21.56</v>
      </c>
      <c r="M28" s="100">
        <v>49.45</v>
      </c>
      <c r="N28" s="100">
        <v>2.2000000000000002</v>
      </c>
      <c r="O28" s="100">
        <v>0</v>
      </c>
      <c r="P28" s="100">
        <v>0.16</v>
      </c>
      <c r="Q28" s="100">
        <v>9.77</v>
      </c>
      <c r="R28" s="6"/>
      <c r="S28" s="6"/>
      <c r="T28" s="156"/>
      <c r="U28" s="6"/>
    </row>
    <row r="29" spans="1:21" customFormat="1">
      <c r="A29" s="201" t="s">
        <v>1797</v>
      </c>
      <c r="B29" s="100">
        <v>7.21</v>
      </c>
      <c r="C29" s="100">
        <v>5.0599999999999996</v>
      </c>
      <c r="D29" s="100">
        <v>8.43</v>
      </c>
      <c r="E29" s="100">
        <v>5.62</v>
      </c>
      <c r="F29" s="100">
        <v>2.0499999999999998</v>
      </c>
      <c r="G29" s="100">
        <v>6.11</v>
      </c>
      <c r="H29" s="100">
        <v>1.69</v>
      </c>
      <c r="I29" s="100">
        <v>3.67</v>
      </c>
      <c r="J29" s="100">
        <v>0.11</v>
      </c>
      <c r="K29" s="100">
        <v>154.55000000000001</v>
      </c>
      <c r="L29" s="100">
        <v>24.18</v>
      </c>
      <c r="M29" s="100">
        <v>54.61</v>
      </c>
      <c r="N29" s="100">
        <v>2.1</v>
      </c>
      <c r="O29" s="100">
        <v>0</v>
      </c>
      <c r="P29" s="100">
        <v>0.16</v>
      </c>
      <c r="Q29" s="100">
        <v>10.050000000000001</v>
      </c>
      <c r="R29" s="6"/>
      <c r="S29" s="6"/>
      <c r="T29" s="156"/>
      <c r="U29" s="6"/>
    </row>
    <row r="30" spans="1:21" customFormat="1">
      <c r="A30" s="201" t="s">
        <v>1798</v>
      </c>
      <c r="B30" s="100">
        <v>7.12</v>
      </c>
      <c r="C30" s="100">
        <v>5.08</v>
      </c>
      <c r="D30" s="100">
        <v>8.3699999999999992</v>
      </c>
      <c r="E30" s="100">
        <v>5.74</v>
      </c>
      <c r="F30" s="100">
        <v>2</v>
      </c>
      <c r="G30" s="100">
        <v>6.11</v>
      </c>
      <c r="H30" s="100">
        <v>1.69</v>
      </c>
      <c r="I30" s="100">
        <v>3.65</v>
      </c>
      <c r="J30" s="100">
        <v>0.08</v>
      </c>
      <c r="K30" s="100">
        <v>152.27000000000001</v>
      </c>
      <c r="L30" s="100">
        <v>24.04</v>
      </c>
      <c r="M30" s="100">
        <v>54.1</v>
      </c>
      <c r="N30" s="100">
        <v>2.2000000000000002</v>
      </c>
      <c r="O30" s="100">
        <v>0</v>
      </c>
      <c r="P30" s="100">
        <v>0.16</v>
      </c>
      <c r="Q30" s="100">
        <v>10</v>
      </c>
      <c r="R30" s="6"/>
      <c r="S30" s="6"/>
      <c r="T30" s="156"/>
      <c r="U30" s="6"/>
    </row>
    <row r="31" spans="1:21" customFormat="1">
      <c r="A31" s="201" t="s">
        <v>1799</v>
      </c>
      <c r="B31" s="100">
        <v>7.1</v>
      </c>
      <c r="C31" s="100">
        <v>5.1100000000000003</v>
      </c>
      <c r="D31" s="100">
        <v>8.36</v>
      </c>
      <c r="E31" s="100">
        <v>5.7</v>
      </c>
      <c r="F31" s="100">
        <v>2.0299999999999998</v>
      </c>
      <c r="G31" s="100">
        <v>7.58</v>
      </c>
      <c r="H31" s="100">
        <v>1.41</v>
      </c>
      <c r="I31" s="100">
        <v>3.62</v>
      </c>
      <c r="J31" s="100">
        <v>0.14000000000000001</v>
      </c>
      <c r="K31" s="100">
        <v>150.81</v>
      </c>
      <c r="L31" s="100">
        <v>23.35</v>
      </c>
      <c r="M31" s="100">
        <v>52.27</v>
      </c>
      <c r="N31" s="100">
        <v>2.6</v>
      </c>
      <c r="O31" s="100">
        <v>0</v>
      </c>
      <c r="P31" s="100">
        <v>0.17</v>
      </c>
      <c r="Q31" s="100">
        <v>10.19</v>
      </c>
      <c r="R31" s="6"/>
      <c r="S31" s="6"/>
      <c r="T31" s="156"/>
      <c r="U31" s="6"/>
    </row>
    <row r="32" spans="1:21" customFormat="1">
      <c r="A32" s="201" t="s">
        <v>1800</v>
      </c>
      <c r="B32" s="100">
        <v>7.06</v>
      </c>
      <c r="C32" s="100">
        <v>5.09</v>
      </c>
      <c r="D32" s="100">
        <v>8.32</v>
      </c>
      <c r="E32" s="100">
        <v>5.8</v>
      </c>
      <c r="F32" s="100">
        <v>2.0699999999999998</v>
      </c>
      <c r="G32" s="100">
        <v>7.95</v>
      </c>
      <c r="H32" s="100">
        <v>1.41</v>
      </c>
      <c r="I32" s="100">
        <v>3.58</v>
      </c>
      <c r="J32" s="100">
        <v>0.12</v>
      </c>
      <c r="K32" s="100">
        <v>154.36000000000001</v>
      </c>
      <c r="L32" s="100">
        <v>24.09</v>
      </c>
      <c r="M32" s="100">
        <v>54.05</v>
      </c>
      <c r="N32" s="100">
        <v>4.0999999999999996</v>
      </c>
      <c r="O32" s="100">
        <v>0</v>
      </c>
      <c r="P32" s="100">
        <v>0.16</v>
      </c>
      <c r="Q32" s="100">
        <v>10.14</v>
      </c>
      <c r="R32" s="6"/>
      <c r="S32" s="6"/>
      <c r="T32" s="156"/>
      <c r="U32" s="6"/>
    </row>
    <row r="33" spans="1:21" customFormat="1">
      <c r="A33" s="201" t="s">
        <v>1801</v>
      </c>
      <c r="B33" s="100">
        <v>7.01</v>
      </c>
      <c r="C33" s="100">
        <v>5.03</v>
      </c>
      <c r="D33" s="100">
        <v>8.25</v>
      </c>
      <c r="E33" s="100">
        <v>5.88</v>
      </c>
      <c r="F33" s="100">
        <v>2.0299999999999998</v>
      </c>
      <c r="G33" s="100">
        <v>7.95</v>
      </c>
      <c r="H33" s="100">
        <v>1.41</v>
      </c>
      <c r="I33" s="100">
        <v>3.7</v>
      </c>
      <c r="J33" s="100">
        <v>0.08</v>
      </c>
      <c r="K33" s="100">
        <v>153.22</v>
      </c>
      <c r="L33" s="100">
        <v>24.51</v>
      </c>
      <c r="M33" s="100">
        <v>55.59</v>
      </c>
      <c r="N33" s="100">
        <v>11.6</v>
      </c>
      <c r="O33" s="100">
        <v>0</v>
      </c>
      <c r="P33" s="100">
        <v>0.16</v>
      </c>
      <c r="Q33" s="100">
        <v>10</v>
      </c>
      <c r="R33" s="6"/>
      <c r="S33" s="6"/>
      <c r="T33" s="156"/>
      <c r="U33" s="6"/>
    </row>
    <row r="34" spans="1:21" customFormat="1">
      <c r="A34" s="201" t="s">
        <v>1802</v>
      </c>
      <c r="B34" s="100">
        <v>7.14</v>
      </c>
      <c r="C34" s="100">
        <v>4.96</v>
      </c>
      <c r="D34" s="100">
        <v>8.32</v>
      </c>
      <c r="E34" s="100">
        <v>6.08</v>
      </c>
      <c r="F34" s="100">
        <v>2.0099999999999998</v>
      </c>
      <c r="G34" s="100">
        <v>7.95</v>
      </c>
      <c r="H34" s="100">
        <v>1.41</v>
      </c>
      <c r="I34" s="100">
        <v>3.67</v>
      </c>
      <c r="J34" s="100">
        <v>0.1</v>
      </c>
      <c r="K34" s="100">
        <v>154.81</v>
      </c>
      <c r="L34" s="100">
        <v>24.42</v>
      </c>
      <c r="M34" s="100">
        <v>54.92</v>
      </c>
      <c r="N34" s="100">
        <v>18.5</v>
      </c>
      <c r="O34" s="100">
        <v>0</v>
      </c>
      <c r="P34" s="100">
        <v>0.19</v>
      </c>
      <c r="Q34" s="100">
        <v>10</v>
      </c>
      <c r="R34" s="6"/>
      <c r="S34" s="6"/>
      <c r="T34" s="156"/>
      <c r="U34" s="6"/>
    </row>
    <row r="35" spans="1:21" customFormat="1">
      <c r="A35" s="201" t="s">
        <v>1803</v>
      </c>
      <c r="B35" s="100">
        <v>7.37</v>
      </c>
      <c r="C35" s="100">
        <v>4.4800000000000004</v>
      </c>
      <c r="D35" s="100">
        <v>8.25</v>
      </c>
      <c r="E35" s="100">
        <v>5.73</v>
      </c>
      <c r="F35" s="100">
        <v>2</v>
      </c>
      <c r="G35" s="100">
        <v>8.4499999999999993</v>
      </c>
      <c r="H35" s="100">
        <v>1.21</v>
      </c>
      <c r="I35" s="100">
        <v>3.63</v>
      </c>
      <c r="J35" s="100">
        <v>0.14000000000000001</v>
      </c>
      <c r="K35" s="100">
        <v>157.12</v>
      </c>
      <c r="L35" s="100">
        <v>24.65</v>
      </c>
      <c r="M35" s="100">
        <v>55.61</v>
      </c>
      <c r="N35" s="100">
        <v>26.6</v>
      </c>
      <c r="O35" s="100">
        <v>0</v>
      </c>
      <c r="P35" s="100">
        <v>0.18</v>
      </c>
      <c r="Q35" s="100">
        <v>17.829999999999998</v>
      </c>
      <c r="R35" s="6"/>
      <c r="S35" s="6"/>
      <c r="T35" s="156"/>
      <c r="U35" s="6"/>
    </row>
    <row r="36" spans="1:21" customFormat="1">
      <c r="A36" s="201" t="s">
        <v>1804</v>
      </c>
      <c r="B36" s="100">
        <v>7.55</v>
      </c>
      <c r="C36" s="100">
        <v>4.59</v>
      </c>
      <c r="D36" s="100">
        <v>8.4499999999999993</v>
      </c>
      <c r="E36" s="100">
        <v>5.42</v>
      </c>
      <c r="F36" s="100">
        <v>2.0299999999999998</v>
      </c>
      <c r="G36" s="100">
        <v>8.58</v>
      </c>
      <c r="H36" s="100">
        <v>1.21</v>
      </c>
      <c r="I36" s="100">
        <v>3.68</v>
      </c>
      <c r="J36" s="100">
        <v>0.08</v>
      </c>
      <c r="K36" s="100">
        <v>132.12</v>
      </c>
      <c r="L36" s="100">
        <v>24.64</v>
      </c>
      <c r="M36" s="100">
        <v>55.21</v>
      </c>
      <c r="N36" s="100">
        <v>33.200000000000003</v>
      </c>
      <c r="O36" s="100">
        <v>0</v>
      </c>
      <c r="P36" s="100">
        <v>0.19</v>
      </c>
      <c r="Q36" s="100">
        <v>10</v>
      </c>
      <c r="R36" s="6"/>
      <c r="S36" s="6"/>
      <c r="T36" s="156"/>
      <c r="U36" s="6"/>
    </row>
    <row r="37" spans="1:21" customFormat="1">
      <c r="A37" s="201" t="s">
        <v>1805</v>
      </c>
      <c r="B37" s="100">
        <v>7.74</v>
      </c>
      <c r="C37" s="100">
        <v>4.5999999999999996</v>
      </c>
      <c r="D37" s="100">
        <v>8.6199999999999992</v>
      </c>
      <c r="E37" s="100">
        <v>5.52</v>
      </c>
      <c r="F37" s="100">
        <v>2</v>
      </c>
      <c r="G37" s="100">
        <v>8.58</v>
      </c>
      <c r="H37" s="100">
        <v>1.21</v>
      </c>
      <c r="I37" s="100">
        <v>3.63</v>
      </c>
      <c r="J37" s="100">
        <v>0.19</v>
      </c>
      <c r="K37" s="100">
        <v>156.84</v>
      </c>
      <c r="L37" s="100">
        <v>24.92</v>
      </c>
      <c r="M37" s="100">
        <v>55.83</v>
      </c>
      <c r="N37" s="100">
        <v>44.4</v>
      </c>
      <c r="O37" s="100">
        <v>0</v>
      </c>
      <c r="P37" s="100">
        <v>0.18</v>
      </c>
      <c r="Q37" s="100">
        <v>10</v>
      </c>
      <c r="R37" s="6"/>
      <c r="S37" s="6"/>
      <c r="T37" s="156"/>
      <c r="U37" s="6"/>
    </row>
    <row r="38" spans="1:21" customFormat="1">
      <c r="A38" s="201" t="s">
        <v>1806</v>
      </c>
      <c r="B38" s="100">
        <v>7.89</v>
      </c>
      <c r="C38" s="100">
        <v>4.41</v>
      </c>
      <c r="D38" s="100">
        <v>8.6300000000000008</v>
      </c>
      <c r="E38" s="100">
        <v>5.17</v>
      </c>
      <c r="F38" s="100">
        <v>2</v>
      </c>
      <c r="G38" s="100">
        <v>8.58</v>
      </c>
      <c r="H38" s="100">
        <v>1.21</v>
      </c>
      <c r="I38" s="100">
        <v>3.76</v>
      </c>
      <c r="J38" s="100">
        <v>0.23</v>
      </c>
      <c r="K38" s="100">
        <v>154.44999999999999</v>
      </c>
      <c r="L38" s="100">
        <v>24.95</v>
      </c>
      <c r="M38" s="100">
        <v>55.82</v>
      </c>
      <c r="N38" s="100">
        <v>54.3</v>
      </c>
      <c r="O38" s="100">
        <v>0</v>
      </c>
      <c r="P38" s="100">
        <v>0.18</v>
      </c>
      <c r="Q38" s="100">
        <v>10</v>
      </c>
      <c r="R38" s="6"/>
      <c r="S38" s="6"/>
      <c r="T38" s="156"/>
      <c r="U38" s="6"/>
    </row>
    <row r="39" spans="1:21" customFormat="1">
      <c r="A39" s="201" t="s">
        <v>1807</v>
      </c>
      <c r="B39" s="100">
        <v>8.0399999999999991</v>
      </c>
      <c r="C39" s="100">
        <v>4.79</v>
      </c>
      <c r="D39" s="100">
        <v>8.9499999999999993</v>
      </c>
      <c r="E39" s="100">
        <v>5.13</v>
      </c>
      <c r="F39" s="100">
        <v>2</v>
      </c>
      <c r="G39" s="100">
        <v>10.35</v>
      </c>
      <c r="H39" s="100">
        <v>2.46</v>
      </c>
      <c r="I39" s="100">
        <v>3.79</v>
      </c>
      <c r="J39" s="100">
        <v>0.3</v>
      </c>
      <c r="K39" s="100">
        <v>142.72</v>
      </c>
      <c r="L39" s="100">
        <v>19.690000000000001</v>
      </c>
      <c r="M39" s="100">
        <v>46.21</v>
      </c>
      <c r="N39" s="100">
        <v>68.599999999999994</v>
      </c>
      <c r="O39" s="100">
        <v>0</v>
      </c>
      <c r="P39" s="100">
        <v>0.2</v>
      </c>
      <c r="Q39" s="100">
        <v>10</v>
      </c>
      <c r="R39" s="6"/>
      <c r="S39" s="6"/>
      <c r="T39" s="156"/>
      <c r="U39" s="6"/>
    </row>
    <row r="40" spans="1:21" customFormat="1">
      <c r="A40" s="201" t="s">
        <v>1808</v>
      </c>
      <c r="B40" s="100">
        <v>8.18</v>
      </c>
      <c r="C40" s="100">
        <v>4.67</v>
      </c>
      <c r="D40" s="100">
        <v>9</v>
      </c>
      <c r="E40" s="100">
        <v>5.4</v>
      </c>
      <c r="F40" s="100">
        <v>2</v>
      </c>
      <c r="G40" s="100">
        <v>10.8</v>
      </c>
      <c r="H40" s="100">
        <v>2.46</v>
      </c>
      <c r="I40" s="100">
        <v>3.62</v>
      </c>
      <c r="J40" s="100">
        <v>0.4</v>
      </c>
      <c r="K40" s="100">
        <v>138.02000000000001</v>
      </c>
      <c r="L40" s="100">
        <v>17.57</v>
      </c>
      <c r="M40" s="100">
        <v>42.84</v>
      </c>
      <c r="N40" s="100">
        <v>84.2</v>
      </c>
      <c r="O40" s="100">
        <v>0</v>
      </c>
      <c r="P40" s="100">
        <v>0.19</v>
      </c>
      <c r="Q40" s="100">
        <v>10</v>
      </c>
      <c r="R40" s="6"/>
      <c r="S40" s="6"/>
      <c r="T40" s="156"/>
      <c r="U40" s="6"/>
    </row>
    <row r="41" spans="1:21" customFormat="1">
      <c r="A41" s="201" t="s">
        <v>1809</v>
      </c>
      <c r="B41" s="100">
        <v>8.2100000000000009</v>
      </c>
      <c r="C41" s="100">
        <v>4.51</v>
      </c>
      <c r="D41" s="100">
        <v>8.94</v>
      </c>
      <c r="E41" s="100">
        <v>5.18</v>
      </c>
      <c r="F41" s="100">
        <v>2</v>
      </c>
      <c r="G41" s="100">
        <v>10.8</v>
      </c>
      <c r="H41" s="100">
        <v>2.46</v>
      </c>
      <c r="I41" s="100">
        <v>3.87</v>
      </c>
      <c r="J41" s="100">
        <v>0.44</v>
      </c>
      <c r="K41" s="100">
        <v>138.79</v>
      </c>
      <c r="L41" s="100">
        <v>17.13</v>
      </c>
      <c r="M41" s="100">
        <v>42.41</v>
      </c>
      <c r="N41" s="100">
        <v>107.4</v>
      </c>
      <c r="O41" s="100">
        <v>0</v>
      </c>
      <c r="P41" s="100">
        <v>0.19</v>
      </c>
      <c r="Q41" s="100">
        <v>10</v>
      </c>
      <c r="R41" s="6"/>
      <c r="S41" s="6"/>
      <c r="T41" s="156"/>
      <c r="U41" s="6"/>
    </row>
    <row r="42" spans="1:21" customFormat="1">
      <c r="A42" s="201" t="s">
        <v>1810</v>
      </c>
      <c r="B42" s="100">
        <v>8.1999999999999993</v>
      </c>
      <c r="C42" s="100">
        <v>4.97</v>
      </c>
      <c r="D42" s="100">
        <v>9.17</v>
      </c>
      <c r="E42" s="100">
        <v>5.01</v>
      </c>
      <c r="F42" s="100">
        <v>2</v>
      </c>
      <c r="G42" s="100">
        <v>10.8</v>
      </c>
      <c r="H42" s="100">
        <v>2.46</v>
      </c>
      <c r="I42" s="100">
        <v>3.89</v>
      </c>
      <c r="J42" s="100">
        <v>0.5</v>
      </c>
      <c r="K42" s="100">
        <v>140.18</v>
      </c>
      <c r="L42" s="100">
        <v>16.57</v>
      </c>
      <c r="M42" s="100">
        <v>41.92</v>
      </c>
      <c r="N42" s="100">
        <v>187.8</v>
      </c>
      <c r="O42" s="100">
        <v>0</v>
      </c>
      <c r="P42" s="100">
        <v>0.2</v>
      </c>
      <c r="Q42" s="100">
        <v>10</v>
      </c>
      <c r="R42" s="6"/>
      <c r="S42" s="6"/>
      <c r="T42" s="156"/>
      <c r="U42" s="6"/>
    </row>
    <row r="43" spans="1:21" customFormat="1">
      <c r="A43" s="201" t="s">
        <v>1811</v>
      </c>
      <c r="B43" s="100">
        <v>8.11</v>
      </c>
      <c r="C43" s="100">
        <v>4.95</v>
      </c>
      <c r="D43" s="100">
        <v>9.09</v>
      </c>
      <c r="E43" s="100">
        <v>5.17</v>
      </c>
      <c r="F43" s="100">
        <v>2</v>
      </c>
      <c r="G43" s="100">
        <v>8.49</v>
      </c>
      <c r="H43" s="100">
        <v>2.29</v>
      </c>
      <c r="I43" s="100">
        <v>3.71</v>
      </c>
      <c r="J43" s="100">
        <v>0.72</v>
      </c>
      <c r="K43" s="100">
        <v>141.41</v>
      </c>
      <c r="L43" s="100">
        <v>15.89</v>
      </c>
      <c r="M43" s="100">
        <v>41.19</v>
      </c>
      <c r="N43" s="100">
        <v>193.5</v>
      </c>
      <c r="O43" s="100">
        <v>0</v>
      </c>
      <c r="P43" s="100">
        <v>0.18</v>
      </c>
      <c r="Q43" s="100">
        <v>10</v>
      </c>
      <c r="R43" s="6"/>
      <c r="S43" s="6"/>
      <c r="T43" s="156"/>
      <c r="U43" s="6"/>
    </row>
    <row r="44" spans="1:21" customFormat="1">
      <c r="A44" s="201" t="s">
        <v>1812</v>
      </c>
      <c r="B44" s="100">
        <v>7.97</v>
      </c>
      <c r="C44" s="100">
        <v>4.88</v>
      </c>
      <c r="D44" s="100">
        <v>8.9499999999999993</v>
      </c>
      <c r="E44" s="100">
        <v>5.23</v>
      </c>
      <c r="F44" s="100">
        <v>2.0299999999999998</v>
      </c>
      <c r="G44" s="100">
        <v>7.92</v>
      </c>
      <c r="H44" s="100">
        <v>2.29</v>
      </c>
      <c r="I44" s="100">
        <v>3.92</v>
      </c>
      <c r="J44" s="100">
        <v>0.63</v>
      </c>
      <c r="K44" s="100">
        <v>140.61000000000001</v>
      </c>
      <c r="L44" s="100">
        <v>14.83</v>
      </c>
      <c r="M44" s="100">
        <v>40.14</v>
      </c>
      <c r="N44" s="100">
        <v>267</v>
      </c>
      <c r="O44" s="100">
        <v>0</v>
      </c>
      <c r="P44" s="100">
        <v>0.18</v>
      </c>
      <c r="Q44" s="100">
        <v>9.98</v>
      </c>
      <c r="R44" s="6"/>
      <c r="S44" s="6"/>
      <c r="T44" s="156"/>
      <c r="U44" s="6"/>
    </row>
    <row r="45" spans="1:21" customFormat="1">
      <c r="A45" s="201" t="s">
        <v>1813</v>
      </c>
      <c r="B45" s="100">
        <v>7.9</v>
      </c>
      <c r="C45" s="100">
        <v>5.23</v>
      </c>
      <c r="D45" s="100">
        <v>9.07</v>
      </c>
      <c r="E45" s="100">
        <v>5</v>
      </c>
      <c r="F45" s="100">
        <v>2</v>
      </c>
      <c r="G45" s="100">
        <v>7.92</v>
      </c>
      <c r="H45" s="100">
        <v>2.29</v>
      </c>
      <c r="I45" s="100">
        <v>3.96</v>
      </c>
      <c r="J45" s="100">
        <v>0.69</v>
      </c>
      <c r="K45" s="100">
        <v>140.72</v>
      </c>
      <c r="L45" s="100">
        <v>13.05</v>
      </c>
      <c r="M45" s="100">
        <v>38.35</v>
      </c>
      <c r="N45" s="100">
        <v>284.8</v>
      </c>
      <c r="O45" s="100">
        <v>0</v>
      </c>
      <c r="P45" s="100">
        <v>0.2</v>
      </c>
      <c r="Q45" s="100">
        <v>9.99</v>
      </c>
      <c r="R45" s="6"/>
      <c r="S45" s="6"/>
      <c r="T45" s="156"/>
      <c r="U45" s="6"/>
    </row>
    <row r="46" spans="1:21" customFormat="1">
      <c r="A46" s="201" t="s">
        <v>1814</v>
      </c>
      <c r="B46" s="100">
        <v>7.68</v>
      </c>
      <c r="C46" s="100">
        <v>5.21</v>
      </c>
      <c r="D46" s="100">
        <v>8.8800000000000008</v>
      </c>
      <c r="E46" s="100">
        <v>5.15</v>
      </c>
      <c r="F46" s="100">
        <v>2</v>
      </c>
      <c r="G46" s="100">
        <v>7.92</v>
      </c>
      <c r="H46" s="100">
        <v>2.29</v>
      </c>
      <c r="I46" s="100">
        <v>3.73</v>
      </c>
      <c r="J46" s="100">
        <v>0.74</v>
      </c>
      <c r="K46" s="100">
        <v>141.04</v>
      </c>
      <c r="L46" s="100">
        <v>12.16</v>
      </c>
      <c r="M46" s="100">
        <v>37.450000000000003</v>
      </c>
      <c r="N46" s="100">
        <v>280.3</v>
      </c>
      <c r="O46" s="100">
        <v>0</v>
      </c>
      <c r="P46" s="100">
        <v>0.19</v>
      </c>
      <c r="Q46" s="100">
        <v>10</v>
      </c>
      <c r="R46" s="6"/>
      <c r="S46" s="6"/>
      <c r="T46" s="156"/>
      <c r="U46" s="6"/>
    </row>
    <row r="47" spans="1:21" customFormat="1">
      <c r="A47" s="201" t="s">
        <v>1815</v>
      </c>
      <c r="B47" s="100">
        <v>7.39</v>
      </c>
      <c r="C47" s="100">
        <v>5.05</v>
      </c>
      <c r="D47" s="100">
        <v>8.57</v>
      </c>
      <c r="E47" s="100">
        <v>5.03</v>
      </c>
      <c r="F47" s="100">
        <v>2.35</v>
      </c>
      <c r="G47" s="100">
        <v>7.88</v>
      </c>
      <c r="H47" s="100">
        <v>2.0299999999999998</v>
      </c>
      <c r="I47" s="100">
        <v>3.97</v>
      </c>
      <c r="J47" s="100">
        <v>0.73</v>
      </c>
      <c r="K47" s="100">
        <v>142.02000000000001</v>
      </c>
      <c r="L47" s="100">
        <v>11.13</v>
      </c>
      <c r="M47" s="100">
        <v>36.44</v>
      </c>
      <c r="N47" s="100">
        <v>469.7</v>
      </c>
      <c r="O47" s="100">
        <v>0</v>
      </c>
      <c r="P47" s="100">
        <v>0.18</v>
      </c>
      <c r="Q47" s="100">
        <v>11.43</v>
      </c>
      <c r="R47" s="6"/>
      <c r="S47" s="6"/>
      <c r="T47" s="156"/>
      <c r="U47" s="6"/>
    </row>
    <row r="48" spans="1:21" customFormat="1">
      <c r="A48" s="201" t="s">
        <v>1816</v>
      </c>
      <c r="B48" s="100">
        <v>7.19</v>
      </c>
      <c r="C48" s="100">
        <v>5.08</v>
      </c>
      <c r="D48" s="100">
        <v>8.42</v>
      </c>
      <c r="E48" s="100">
        <v>4.92</v>
      </c>
      <c r="F48" s="100">
        <v>2.0099999999999998</v>
      </c>
      <c r="G48" s="100">
        <v>7.87</v>
      </c>
      <c r="H48" s="100">
        <v>2.0299999999999998</v>
      </c>
      <c r="I48" s="100">
        <v>3.94</v>
      </c>
      <c r="J48" s="100">
        <v>0.72</v>
      </c>
      <c r="K48" s="100">
        <v>143.11000000000001</v>
      </c>
      <c r="L48" s="100">
        <v>8.76</v>
      </c>
      <c r="M48" s="100">
        <v>34.07</v>
      </c>
      <c r="N48" s="100">
        <v>395.1</v>
      </c>
      <c r="O48" s="100">
        <v>0</v>
      </c>
      <c r="P48" s="100">
        <v>0.17</v>
      </c>
      <c r="Q48" s="100">
        <v>10.98</v>
      </c>
      <c r="R48" s="6"/>
      <c r="S48" s="6"/>
      <c r="T48" s="156"/>
      <c r="U48" s="6"/>
    </row>
    <row r="49" spans="1:21" customFormat="1">
      <c r="A49" s="201" t="s">
        <v>1817</v>
      </c>
      <c r="B49" s="100">
        <v>6.9</v>
      </c>
      <c r="C49" s="100">
        <v>5.26</v>
      </c>
      <c r="D49" s="100">
        <v>8.2799999999999994</v>
      </c>
      <c r="E49" s="100">
        <v>3.82</v>
      </c>
      <c r="F49" s="100">
        <v>2.0099999999999998</v>
      </c>
      <c r="G49" s="100">
        <v>7.87</v>
      </c>
      <c r="H49" s="100">
        <v>2.0299999999999998</v>
      </c>
      <c r="I49" s="100">
        <v>3.89</v>
      </c>
      <c r="J49" s="100">
        <v>0.73</v>
      </c>
      <c r="K49" s="100">
        <v>142.07</v>
      </c>
      <c r="L49" s="100">
        <v>9.36</v>
      </c>
      <c r="M49" s="100">
        <v>34.630000000000003</v>
      </c>
      <c r="N49" s="100">
        <v>245.2</v>
      </c>
      <c r="O49" s="100">
        <v>0</v>
      </c>
      <c r="P49" s="100">
        <v>0.16</v>
      </c>
      <c r="Q49" s="100">
        <v>10</v>
      </c>
      <c r="R49" s="6"/>
      <c r="S49" s="6"/>
      <c r="T49" s="156"/>
      <c r="U49" s="6"/>
    </row>
    <row r="50" spans="1:21" customFormat="1">
      <c r="A50" s="201" t="s">
        <v>1818</v>
      </c>
      <c r="B50" s="100">
        <v>6.72</v>
      </c>
      <c r="C50" s="100">
        <v>5.56</v>
      </c>
      <c r="D50" s="100">
        <v>8.2899999999999991</v>
      </c>
      <c r="E50" s="100">
        <v>4.55</v>
      </c>
      <c r="F50" s="100">
        <v>2.0499999999999998</v>
      </c>
      <c r="G50" s="100">
        <v>7.87</v>
      </c>
      <c r="H50" s="100">
        <v>2.0299999999999998</v>
      </c>
      <c r="I50" s="100">
        <v>3.91</v>
      </c>
      <c r="J50" s="100">
        <v>0.69</v>
      </c>
      <c r="K50" s="100">
        <v>142.19</v>
      </c>
      <c r="L50" s="100">
        <v>11.48</v>
      </c>
      <c r="M50" s="100">
        <v>36.770000000000003</v>
      </c>
      <c r="N50" s="100">
        <v>225.9</v>
      </c>
      <c r="O50" s="100">
        <v>0</v>
      </c>
      <c r="P50" s="100">
        <v>0.18</v>
      </c>
      <c r="Q50" s="100">
        <v>13.16</v>
      </c>
      <c r="R50" s="6"/>
      <c r="S50" s="6"/>
      <c r="T50" s="156"/>
      <c r="U50" s="6"/>
    </row>
    <row r="51" spans="1:21" customFormat="1">
      <c r="A51" s="201" t="s">
        <v>1819</v>
      </c>
      <c r="B51" s="100">
        <v>6.55</v>
      </c>
      <c r="C51" s="100">
        <v>5.47</v>
      </c>
      <c r="D51" s="100">
        <v>8.11</v>
      </c>
      <c r="E51" s="100">
        <v>4.6900000000000004</v>
      </c>
      <c r="F51" s="100">
        <v>2.0099999999999998</v>
      </c>
      <c r="G51" s="100">
        <v>10.98</v>
      </c>
      <c r="H51" s="100">
        <v>1.87</v>
      </c>
      <c r="I51" s="100">
        <v>3.65</v>
      </c>
      <c r="J51" s="100">
        <v>0.71</v>
      </c>
      <c r="K51" s="100">
        <v>143.32</v>
      </c>
      <c r="L51" s="100">
        <v>11.66</v>
      </c>
      <c r="M51" s="100">
        <v>36.99</v>
      </c>
      <c r="N51" s="100">
        <v>493.2</v>
      </c>
      <c r="O51" s="100">
        <v>0</v>
      </c>
      <c r="P51" s="100">
        <v>0.18</v>
      </c>
      <c r="Q51" s="100">
        <v>10.56</v>
      </c>
      <c r="R51" s="6"/>
      <c r="S51" s="6"/>
      <c r="T51" s="156"/>
      <c r="U51" s="6"/>
    </row>
    <row r="52" spans="1:21" customFormat="1">
      <c r="A52" s="201" t="s">
        <v>1820</v>
      </c>
      <c r="B52" s="100">
        <v>6.25</v>
      </c>
      <c r="C52" s="100">
        <v>5.47</v>
      </c>
      <c r="D52" s="100">
        <v>7.87</v>
      </c>
      <c r="E52" s="100">
        <v>4.6399999999999997</v>
      </c>
      <c r="F52" s="100">
        <v>2.33</v>
      </c>
      <c r="G52" s="100">
        <v>11.75</v>
      </c>
      <c r="H52" s="100">
        <v>1.87</v>
      </c>
      <c r="I52" s="100">
        <v>3.75</v>
      </c>
      <c r="J52" s="100">
        <v>0.75</v>
      </c>
      <c r="K52" s="100">
        <v>141.72999999999999</v>
      </c>
      <c r="L52" s="100">
        <v>11.66</v>
      </c>
      <c r="M52" s="100">
        <v>36.99</v>
      </c>
      <c r="N52" s="100">
        <v>460.6</v>
      </c>
      <c r="O52" s="100">
        <v>0</v>
      </c>
      <c r="P52" s="100">
        <v>0.17</v>
      </c>
      <c r="Q52" s="100">
        <v>11.05</v>
      </c>
      <c r="R52" s="6"/>
      <c r="S52" s="6"/>
      <c r="T52" s="156"/>
      <c r="U52" s="6"/>
    </row>
    <row r="53" spans="1:21" customFormat="1">
      <c r="A53" s="201" t="s">
        <v>1821</v>
      </c>
      <c r="B53" s="100">
        <v>5.51</v>
      </c>
      <c r="C53" s="100">
        <v>5.81</v>
      </c>
      <c r="D53" s="100">
        <v>7.45</v>
      </c>
      <c r="E53" s="100">
        <v>4.17</v>
      </c>
      <c r="F53" s="100">
        <v>6.73</v>
      </c>
      <c r="G53" s="100">
        <v>11.75</v>
      </c>
      <c r="H53" s="100">
        <v>1.87</v>
      </c>
      <c r="I53" s="100">
        <v>3.7</v>
      </c>
      <c r="J53" s="100">
        <v>0.64</v>
      </c>
      <c r="K53" s="100">
        <v>140.03</v>
      </c>
      <c r="L53" s="100">
        <v>11.66</v>
      </c>
      <c r="M53" s="100">
        <v>36.99</v>
      </c>
      <c r="N53" s="100">
        <v>538.29999999999995</v>
      </c>
      <c r="O53" s="100">
        <v>0</v>
      </c>
      <c r="P53" s="100">
        <v>0.17</v>
      </c>
      <c r="Q53" s="100">
        <v>9.5399999999999991</v>
      </c>
      <c r="R53" s="6"/>
      <c r="S53" s="6"/>
      <c r="T53" s="156"/>
      <c r="U53" s="6"/>
    </row>
    <row r="54" spans="1:21" customFormat="1">
      <c r="A54" s="201" t="s">
        <v>1822</v>
      </c>
      <c r="B54" s="100">
        <v>4</v>
      </c>
      <c r="C54" s="100">
        <v>6.59</v>
      </c>
      <c r="D54" s="100">
        <v>6.65</v>
      </c>
      <c r="E54" s="100">
        <v>3.56</v>
      </c>
      <c r="F54" s="100">
        <v>6.71</v>
      </c>
      <c r="G54" s="100">
        <v>11.75</v>
      </c>
      <c r="H54" s="100">
        <v>1.87</v>
      </c>
      <c r="I54" s="100">
        <v>3.64</v>
      </c>
      <c r="J54" s="100">
        <v>0.6</v>
      </c>
      <c r="K54" s="100">
        <v>140.69</v>
      </c>
      <c r="L54" s="100">
        <v>11.66</v>
      </c>
      <c r="M54" s="100">
        <v>36.99</v>
      </c>
      <c r="N54" s="100">
        <v>369.7</v>
      </c>
      <c r="O54" s="100">
        <v>0</v>
      </c>
      <c r="P54" s="100">
        <v>0.16</v>
      </c>
      <c r="Q54" s="100">
        <v>12.58</v>
      </c>
      <c r="R54" s="6"/>
      <c r="S54" s="6"/>
      <c r="T54" s="156"/>
      <c r="U54" s="6"/>
    </row>
    <row r="55" spans="1:21" customFormat="1">
      <c r="A55" s="201" t="s">
        <v>1823</v>
      </c>
      <c r="B55" s="100">
        <v>3.06</v>
      </c>
      <c r="C55" s="100">
        <v>6.8</v>
      </c>
      <c r="D55" s="100">
        <v>6.01</v>
      </c>
      <c r="E55" s="100">
        <v>3.11</v>
      </c>
      <c r="F55" s="100">
        <v>7.89</v>
      </c>
      <c r="G55" s="100">
        <v>11.75</v>
      </c>
      <c r="H55" s="100">
        <v>1.87</v>
      </c>
      <c r="I55" s="100">
        <v>3.36</v>
      </c>
      <c r="J55" s="100">
        <v>0.64</v>
      </c>
      <c r="K55" s="100">
        <v>138.37</v>
      </c>
      <c r="L55" s="100">
        <v>11.66</v>
      </c>
      <c r="M55" s="100">
        <v>0.85</v>
      </c>
      <c r="N55" s="100">
        <v>395</v>
      </c>
      <c r="O55" s="100">
        <v>0</v>
      </c>
      <c r="P55" s="100">
        <v>0.14000000000000001</v>
      </c>
      <c r="Q55" s="100">
        <v>13.23</v>
      </c>
      <c r="R55" s="6"/>
      <c r="S55" s="6"/>
      <c r="T55" s="156"/>
      <c r="U55" s="6"/>
    </row>
    <row r="56" spans="1:21" customFormat="1">
      <c r="A56" s="201" t="s">
        <v>1824</v>
      </c>
      <c r="B56" s="100">
        <v>2.66</v>
      </c>
      <c r="C56" s="100">
        <v>6.64</v>
      </c>
      <c r="D56" s="100">
        <v>5.6</v>
      </c>
      <c r="E56" s="100">
        <v>3.33</v>
      </c>
      <c r="F56" s="100">
        <v>7.98</v>
      </c>
      <c r="G56" s="100">
        <v>11.75</v>
      </c>
      <c r="H56" s="100">
        <v>1.87</v>
      </c>
      <c r="I56" s="100">
        <v>3.15</v>
      </c>
      <c r="J56" s="100">
        <v>0.6</v>
      </c>
      <c r="K56" s="100">
        <v>119.77</v>
      </c>
      <c r="L56" s="100">
        <v>11.66</v>
      </c>
      <c r="M56" s="100">
        <v>0.85</v>
      </c>
      <c r="N56" s="100">
        <v>323.8</v>
      </c>
      <c r="O56" s="100">
        <v>0</v>
      </c>
      <c r="P56" s="100">
        <v>0.13</v>
      </c>
      <c r="Q56" s="100">
        <v>19.27</v>
      </c>
      <c r="R56" s="6"/>
      <c r="S56" s="6"/>
      <c r="T56" s="156"/>
      <c r="U56" s="6"/>
    </row>
    <row r="57" spans="1:21" customFormat="1">
      <c r="A57" s="201" t="s">
        <v>1825</v>
      </c>
      <c r="B57" s="100">
        <v>2.5</v>
      </c>
      <c r="C57" s="100">
        <v>6.48</v>
      </c>
      <c r="D57" s="100">
        <v>5.39</v>
      </c>
      <c r="E57" s="100">
        <v>3.31</v>
      </c>
      <c r="F57" s="100">
        <v>6</v>
      </c>
      <c r="G57" s="147" t="s">
        <v>14</v>
      </c>
      <c r="H57" s="147" t="s">
        <v>14</v>
      </c>
      <c r="I57" s="100">
        <v>3.2</v>
      </c>
      <c r="J57" s="100">
        <v>0.6</v>
      </c>
      <c r="K57" s="100">
        <v>118.98</v>
      </c>
      <c r="L57" s="100">
        <v>11.66</v>
      </c>
      <c r="M57" s="100">
        <v>0.85</v>
      </c>
      <c r="N57" s="100">
        <v>184.6</v>
      </c>
      <c r="O57" s="100">
        <v>0</v>
      </c>
      <c r="P57" s="100">
        <v>0.13</v>
      </c>
      <c r="Q57" s="100">
        <v>34.83</v>
      </c>
      <c r="R57" s="6"/>
      <c r="S57" s="6"/>
      <c r="T57" s="156"/>
      <c r="U57" s="6"/>
    </row>
    <row r="58" spans="1:21" customFormat="1">
      <c r="A58" s="201" t="s">
        <v>1826</v>
      </c>
      <c r="B58" s="100">
        <v>1.89</v>
      </c>
      <c r="C58" s="100">
        <v>4.4400000000000004</v>
      </c>
      <c r="D58" s="100">
        <v>3.83</v>
      </c>
      <c r="E58" s="100">
        <v>3.56</v>
      </c>
      <c r="F58" s="100">
        <v>10.17</v>
      </c>
      <c r="G58" s="147" t="s">
        <v>14</v>
      </c>
      <c r="H58" s="147" t="s">
        <v>14</v>
      </c>
      <c r="I58" s="100">
        <v>2.98</v>
      </c>
      <c r="J58" s="147" t="s">
        <v>14</v>
      </c>
      <c r="K58" s="147" t="s">
        <v>14</v>
      </c>
      <c r="L58" s="147" t="s">
        <v>14</v>
      </c>
      <c r="M58" s="147" t="s">
        <v>14</v>
      </c>
      <c r="N58" s="147" t="s">
        <v>14</v>
      </c>
      <c r="O58" s="100">
        <v>0</v>
      </c>
      <c r="P58" s="100">
        <v>0.13</v>
      </c>
      <c r="Q58" s="100">
        <v>38.64</v>
      </c>
      <c r="R58" s="6"/>
      <c r="S58" s="6"/>
      <c r="T58" s="156"/>
      <c r="U58" s="6"/>
    </row>
    <row r="59" spans="1:21" customFormat="1">
      <c r="A59" s="201" t="s">
        <v>1827</v>
      </c>
      <c r="B59" s="100">
        <v>1.59</v>
      </c>
      <c r="C59" s="100">
        <v>3.77</v>
      </c>
      <c r="D59" s="100">
        <v>3.24</v>
      </c>
      <c r="E59" s="100">
        <v>3.68</v>
      </c>
      <c r="F59" s="100">
        <v>8.7200000000000006</v>
      </c>
      <c r="G59" s="147" t="s">
        <v>14</v>
      </c>
      <c r="H59" s="147" t="s">
        <v>14</v>
      </c>
      <c r="I59" s="100">
        <v>2.92</v>
      </c>
      <c r="J59" s="147" t="s">
        <v>14</v>
      </c>
      <c r="K59" s="147" t="s">
        <v>14</v>
      </c>
      <c r="L59" s="147" t="s">
        <v>14</v>
      </c>
      <c r="M59" s="147" t="s">
        <v>14</v>
      </c>
      <c r="N59" s="147" t="s">
        <v>14</v>
      </c>
      <c r="O59" s="100">
        <v>0</v>
      </c>
      <c r="P59" s="100">
        <v>0.13</v>
      </c>
      <c r="Q59" s="100">
        <v>28.36</v>
      </c>
      <c r="R59" s="6"/>
      <c r="S59" s="6"/>
      <c r="T59" s="156"/>
      <c r="U59" s="6"/>
    </row>
    <row r="60" spans="1:21" customFormat="1">
      <c r="A60" s="201" t="s">
        <v>1828</v>
      </c>
      <c r="B60" s="100">
        <v>136.44999999999999</v>
      </c>
      <c r="C60" s="100">
        <v>11.49</v>
      </c>
      <c r="D60" s="100">
        <v>146.09</v>
      </c>
      <c r="E60" s="100">
        <v>2.98</v>
      </c>
      <c r="F60" s="100">
        <v>20.399999999999999</v>
      </c>
      <c r="G60" s="147" t="s">
        <v>14</v>
      </c>
      <c r="H60" s="147" t="s">
        <v>14</v>
      </c>
      <c r="I60" s="100">
        <v>2.71</v>
      </c>
      <c r="J60" s="147" t="s">
        <v>14</v>
      </c>
      <c r="K60" s="147" t="s">
        <v>14</v>
      </c>
      <c r="L60" s="147" t="s">
        <v>14</v>
      </c>
      <c r="M60" s="147" t="s">
        <v>14</v>
      </c>
      <c r="N60" s="147" t="s">
        <v>14</v>
      </c>
      <c r="O60" s="100">
        <v>0</v>
      </c>
      <c r="P60" s="100">
        <v>0.12</v>
      </c>
      <c r="Q60" s="100">
        <v>18.27</v>
      </c>
      <c r="R60" s="6"/>
      <c r="S60" s="6"/>
      <c r="T60" s="156"/>
      <c r="U60" s="6"/>
    </row>
    <row r="61" spans="1:21" customFormat="1">
      <c r="A61" s="201" t="s">
        <v>1829</v>
      </c>
      <c r="B61" s="100">
        <v>213.96</v>
      </c>
      <c r="C61" s="100">
        <v>15.07</v>
      </c>
      <c r="D61" s="100">
        <v>228.33</v>
      </c>
      <c r="E61" s="100">
        <v>2.72</v>
      </c>
      <c r="F61" s="100">
        <v>11.22</v>
      </c>
      <c r="G61" s="100">
        <v>0.84</v>
      </c>
      <c r="H61" s="100">
        <v>4.76</v>
      </c>
      <c r="I61" s="100">
        <v>2.5299999999999998</v>
      </c>
      <c r="J61" s="147" t="s">
        <v>14</v>
      </c>
      <c r="K61" s="147" t="s">
        <v>14</v>
      </c>
      <c r="L61" s="147" t="s">
        <v>14</v>
      </c>
      <c r="M61" s="147" t="s">
        <v>14</v>
      </c>
      <c r="N61" s="147" t="s">
        <v>14</v>
      </c>
      <c r="O61" s="100">
        <v>0</v>
      </c>
      <c r="P61" s="100">
        <v>0.13</v>
      </c>
      <c r="Q61" s="100">
        <v>18.420000000000002</v>
      </c>
      <c r="R61" s="6"/>
      <c r="S61" s="6"/>
      <c r="T61" s="156"/>
      <c r="U61" s="6"/>
    </row>
    <row r="62" spans="1:21" customFormat="1">
      <c r="A62" s="201" t="s">
        <v>1830</v>
      </c>
      <c r="B62" s="100">
        <v>255.86</v>
      </c>
      <c r="C62" s="100">
        <v>17.809999999999999</v>
      </c>
      <c r="D62" s="100">
        <v>273.67</v>
      </c>
      <c r="E62" s="100">
        <v>3.15</v>
      </c>
      <c r="F62" s="100">
        <v>9.86</v>
      </c>
      <c r="G62" s="100">
        <v>3.77</v>
      </c>
      <c r="H62" s="100">
        <v>16.53</v>
      </c>
      <c r="I62" s="100">
        <v>2.2999999999999998</v>
      </c>
      <c r="J62" s="147" t="s">
        <v>14</v>
      </c>
      <c r="K62" s="147" t="s">
        <v>14</v>
      </c>
      <c r="L62" s="147" t="s">
        <v>14</v>
      </c>
      <c r="M62" s="147" t="s">
        <v>14</v>
      </c>
      <c r="N62" s="147" t="s">
        <v>14</v>
      </c>
      <c r="O62" s="100">
        <v>0</v>
      </c>
      <c r="P62" s="100">
        <v>0.12</v>
      </c>
      <c r="Q62" s="100">
        <v>12.98</v>
      </c>
      <c r="R62" s="6"/>
      <c r="S62" s="6"/>
      <c r="T62" s="156"/>
      <c r="U62" s="6"/>
    </row>
    <row r="63" spans="1:21" customFormat="1">
      <c r="A63" s="201" t="s">
        <v>1831</v>
      </c>
      <c r="B63" s="100">
        <v>270.86</v>
      </c>
      <c r="C63" s="100">
        <v>21.21</v>
      </c>
      <c r="D63" s="100">
        <v>292.07</v>
      </c>
      <c r="E63" s="100">
        <v>3.03</v>
      </c>
      <c r="F63" s="100">
        <v>6.01</v>
      </c>
      <c r="G63" s="100">
        <v>3.77</v>
      </c>
      <c r="H63" s="100">
        <v>16.53</v>
      </c>
      <c r="I63" s="100">
        <v>4.8</v>
      </c>
      <c r="J63" s="147" t="s">
        <v>14</v>
      </c>
      <c r="K63" s="147" t="s">
        <v>14</v>
      </c>
      <c r="L63" s="147" t="s">
        <v>14</v>
      </c>
      <c r="M63" s="147" t="s">
        <v>14</v>
      </c>
      <c r="N63" s="147" t="s">
        <v>14</v>
      </c>
      <c r="O63" s="100">
        <v>0</v>
      </c>
      <c r="P63" s="100">
        <v>0.1</v>
      </c>
      <c r="Q63" s="100">
        <v>31.46</v>
      </c>
      <c r="R63" s="6"/>
      <c r="S63" s="6"/>
      <c r="T63" s="156"/>
      <c r="U63" s="6"/>
    </row>
    <row r="64" spans="1:21" customFormat="1">
      <c r="A64" s="201" t="s">
        <v>1832</v>
      </c>
      <c r="B64" s="100">
        <v>273.92</v>
      </c>
      <c r="C64" s="100">
        <v>20.47</v>
      </c>
      <c r="D64" s="100">
        <v>294.39</v>
      </c>
      <c r="E64" s="100">
        <v>3.07</v>
      </c>
      <c r="F64" s="100">
        <v>7.92</v>
      </c>
      <c r="G64" s="100">
        <v>3.77</v>
      </c>
      <c r="H64" s="100">
        <v>0</v>
      </c>
      <c r="I64" s="100">
        <v>5.81</v>
      </c>
      <c r="J64" s="147" t="s">
        <v>14</v>
      </c>
      <c r="K64" s="147" t="s">
        <v>14</v>
      </c>
      <c r="L64" s="147" t="s">
        <v>14</v>
      </c>
      <c r="M64" s="147" t="s">
        <v>14</v>
      </c>
      <c r="N64" s="147" t="s">
        <v>14</v>
      </c>
      <c r="O64" s="100">
        <v>0</v>
      </c>
      <c r="P64" s="100">
        <v>0.14000000000000001</v>
      </c>
      <c r="Q64" s="100">
        <v>14.02</v>
      </c>
      <c r="R64" s="6"/>
      <c r="S64" s="6"/>
      <c r="T64" s="156"/>
      <c r="U64" s="6"/>
    </row>
    <row r="65" spans="1:21" customFormat="1">
      <c r="A65" s="201" t="s">
        <v>1833</v>
      </c>
      <c r="B65" s="100">
        <v>83.16</v>
      </c>
      <c r="C65" s="100">
        <v>205.91</v>
      </c>
      <c r="D65" s="100">
        <v>289.07</v>
      </c>
      <c r="E65" s="100">
        <v>2.9</v>
      </c>
      <c r="F65" s="100">
        <v>8.56</v>
      </c>
      <c r="G65" s="100">
        <v>4.01</v>
      </c>
      <c r="H65" s="100">
        <v>12.98</v>
      </c>
      <c r="I65" s="100">
        <v>7.09</v>
      </c>
      <c r="J65" s="147" t="s">
        <v>14</v>
      </c>
      <c r="K65" s="147" t="s">
        <v>14</v>
      </c>
      <c r="L65" s="147" t="s">
        <v>14</v>
      </c>
      <c r="M65" s="147" t="s">
        <v>14</v>
      </c>
      <c r="N65" s="147" t="s">
        <v>14</v>
      </c>
      <c r="O65" s="100">
        <v>0</v>
      </c>
      <c r="P65" s="100">
        <v>0.12</v>
      </c>
      <c r="Q65" s="100">
        <v>10</v>
      </c>
      <c r="R65" s="6"/>
      <c r="S65" s="6"/>
      <c r="T65" s="156"/>
      <c r="U65" s="6"/>
    </row>
    <row r="66" spans="1:21" customFormat="1">
      <c r="A66" s="201" t="s">
        <v>1834</v>
      </c>
      <c r="B66" s="100">
        <v>2.3199999999999998</v>
      </c>
      <c r="C66" s="100">
        <v>5.88</v>
      </c>
      <c r="D66" s="100">
        <v>8.1999999999999993</v>
      </c>
      <c r="E66" s="100">
        <v>3.08</v>
      </c>
      <c r="F66" s="100">
        <v>15.62</v>
      </c>
      <c r="G66" s="100">
        <v>3.49</v>
      </c>
      <c r="H66" s="100">
        <v>10</v>
      </c>
      <c r="I66" s="100">
        <v>7.35</v>
      </c>
      <c r="J66" s="147" t="s">
        <v>14</v>
      </c>
      <c r="K66" s="147" t="s">
        <v>14</v>
      </c>
      <c r="L66" s="147" t="s">
        <v>14</v>
      </c>
      <c r="M66" s="147" t="s">
        <v>14</v>
      </c>
      <c r="N66" s="147" t="s">
        <v>14</v>
      </c>
      <c r="O66" s="100">
        <v>0</v>
      </c>
      <c r="P66" s="100">
        <v>0.16</v>
      </c>
      <c r="Q66" s="100">
        <v>9.89</v>
      </c>
      <c r="R66" s="6"/>
      <c r="S66" s="6"/>
      <c r="T66" s="156"/>
      <c r="U66" s="6"/>
    </row>
    <row r="67" spans="1:21" customFormat="1">
      <c r="A67" s="201" t="s">
        <v>1835</v>
      </c>
      <c r="B67" s="100">
        <v>2.0099999999999998</v>
      </c>
      <c r="C67" s="100">
        <v>5.77</v>
      </c>
      <c r="D67" s="100">
        <v>7.78</v>
      </c>
      <c r="E67" s="100">
        <v>2.92</v>
      </c>
      <c r="F67" s="100">
        <v>10.7</v>
      </c>
      <c r="G67" s="147" t="s">
        <v>14</v>
      </c>
      <c r="H67" s="147" t="s">
        <v>14</v>
      </c>
      <c r="I67" s="100">
        <v>8.1300000000000008</v>
      </c>
      <c r="J67" s="147" t="s">
        <v>14</v>
      </c>
      <c r="K67" s="147" t="s">
        <v>14</v>
      </c>
      <c r="L67" s="147" t="s">
        <v>14</v>
      </c>
      <c r="M67" s="147" t="s">
        <v>14</v>
      </c>
      <c r="N67" s="147" t="s">
        <v>14</v>
      </c>
      <c r="O67" s="100">
        <v>0</v>
      </c>
      <c r="P67" s="100">
        <v>0.16</v>
      </c>
      <c r="Q67" s="100">
        <v>9.81</v>
      </c>
      <c r="R67" s="6"/>
      <c r="S67" s="6"/>
      <c r="T67" s="156"/>
      <c r="U67" s="6"/>
    </row>
    <row r="68" spans="1:21" customFormat="1">
      <c r="A68" s="201" t="s">
        <v>1836</v>
      </c>
      <c r="B68" s="100">
        <v>1.83</v>
      </c>
      <c r="C68" s="100">
        <v>5.47</v>
      </c>
      <c r="D68" s="100">
        <v>7.3</v>
      </c>
      <c r="E68" s="100">
        <v>2.11</v>
      </c>
      <c r="F68" s="100">
        <v>7.92</v>
      </c>
      <c r="G68" s="147" t="s">
        <v>14</v>
      </c>
      <c r="H68" s="147" t="s">
        <v>14</v>
      </c>
      <c r="I68" s="100">
        <v>6.8</v>
      </c>
      <c r="J68" s="147" t="s">
        <v>14</v>
      </c>
      <c r="K68" s="147" t="s">
        <v>14</v>
      </c>
      <c r="L68" s="147" t="s">
        <v>14</v>
      </c>
      <c r="M68" s="147" t="s">
        <v>14</v>
      </c>
      <c r="N68" s="147" t="s">
        <v>14</v>
      </c>
      <c r="O68" s="100">
        <v>0</v>
      </c>
      <c r="P68" s="100">
        <v>0.17</v>
      </c>
      <c r="Q68" s="100">
        <v>10.75</v>
      </c>
      <c r="R68" s="6"/>
      <c r="S68" s="6"/>
      <c r="T68" s="156"/>
      <c r="U68" s="6"/>
    </row>
    <row r="69" spans="1:21" customFormat="1">
      <c r="A69" s="201" t="s">
        <v>1837</v>
      </c>
      <c r="B69" s="100">
        <v>1.81</v>
      </c>
      <c r="C69" s="100">
        <v>5.23</v>
      </c>
      <c r="D69" s="100">
        <v>7.04</v>
      </c>
      <c r="E69" s="100">
        <v>2.13</v>
      </c>
      <c r="F69" s="100">
        <v>9.52</v>
      </c>
      <c r="G69" s="147" t="s">
        <v>14</v>
      </c>
      <c r="H69" s="147" t="s">
        <v>14</v>
      </c>
      <c r="I69" s="100">
        <v>5.69</v>
      </c>
      <c r="J69" s="147" t="s">
        <v>14</v>
      </c>
      <c r="K69" s="147" t="s">
        <v>14</v>
      </c>
      <c r="L69" s="147" t="s">
        <v>14</v>
      </c>
      <c r="M69" s="147" t="s">
        <v>14</v>
      </c>
      <c r="N69" s="147" t="s">
        <v>14</v>
      </c>
      <c r="O69" s="100">
        <v>0</v>
      </c>
      <c r="P69" s="100">
        <v>0.17</v>
      </c>
      <c r="Q69" s="100">
        <v>10</v>
      </c>
      <c r="R69" s="6"/>
      <c r="S69" s="6"/>
      <c r="T69" s="156"/>
      <c r="U69" s="6"/>
    </row>
    <row r="70" spans="1:21" customFormat="1">
      <c r="A70" s="201" t="s">
        <v>1838</v>
      </c>
      <c r="B70" s="100">
        <v>1.81</v>
      </c>
      <c r="C70" s="100">
        <v>5.29</v>
      </c>
      <c r="D70" s="100">
        <v>7.1</v>
      </c>
      <c r="E70" s="100">
        <v>33.229999999999997</v>
      </c>
      <c r="F70" s="100">
        <v>10.84</v>
      </c>
      <c r="G70" s="100">
        <v>5.59</v>
      </c>
      <c r="H70" s="100">
        <v>7.57</v>
      </c>
      <c r="I70" s="100">
        <v>7.37</v>
      </c>
      <c r="J70" s="147" t="s">
        <v>14</v>
      </c>
      <c r="K70" s="147" t="s">
        <v>14</v>
      </c>
      <c r="L70" s="147" t="s">
        <v>14</v>
      </c>
      <c r="M70" s="147" t="s">
        <v>14</v>
      </c>
      <c r="N70" s="147" t="s">
        <v>14</v>
      </c>
      <c r="O70" s="100">
        <v>0</v>
      </c>
      <c r="P70" s="100">
        <v>0.16</v>
      </c>
      <c r="Q70" s="100">
        <v>10</v>
      </c>
      <c r="R70" s="6"/>
      <c r="S70" s="6"/>
      <c r="T70" s="156"/>
      <c r="U70" s="6"/>
    </row>
    <row r="71" spans="1:21" customFormat="1">
      <c r="A71" s="201" t="s">
        <v>1839</v>
      </c>
      <c r="B71" s="100">
        <v>1.89</v>
      </c>
      <c r="C71" s="100">
        <v>5.38</v>
      </c>
      <c r="D71" s="100">
        <v>7.26</v>
      </c>
      <c r="E71" s="100">
        <v>81.44</v>
      </c>
      <c r="F71" s="100">
        <v>7.77</v>
      </c>
      <c r="G71" s="100">
        <v>18.62</v>
      </c>
      <c r="H71" s="100">
        <v>19.21</v>
      </c>
      <c r="I71" s="100">
        <v>7.92</v>
      </c>
      <c r="J71" s="147" t="s">
        <v>14</v>
      </c>
      <c r="K71" s="147" t="s">
        <v>14</v>
      </c>
      <c r="L71" s="147" t="s">
        <v>14</v>
      </c>
      <c r="M71" s="147" t="s">
        <v>14</v>
      </c>
      <c r="N71" s="147" t="s">
        <v>14</v>
      </c>
      <c r="O71" s="100">
        <v>0</v>
      </c>
      <c r="P71" s="100">
        <v>0.17</v>
      </c>
      <c r="Q71" s="100">
        <v>10</v>
      </c>
      <c r="R71" s="6"/>
      <c r="S71" s="6"/>
      <c r="T71" s="156"/>
      <c r="U71" s="6"/>
    </row>
    <row r="72" spans="1:21" customFormat="1">
      <c r="A72" s="201" t="s">
        <v>1840</v>
      </c>
      <c r="B72" s="100">
        <v>1.94</v>
      </c>
      <c r="C72" s="100">
        <v>5.5</v>
      </c>
      <c r="D72" s="100">
        <v>7.44</v>
      </c>
      <c r="E72" s="100">
        <v>84.03</v>
      </c>
      <c r="F72" s="100">
        <v>18.14</v>
      </c>
      <c r="G72" s="100">
        <v>18.62</v>
      </c>
      <c r="H72" s="100">
        <v>19.21</v>
      </c>
      <c r="I72" s="100">
        <v>8.68</v>
      </c>
      <c r="J72" s="147" t="s">
        <v>14</v>
      </c>
      <c r="K72" s="147" t="s">
        <v>14</v>
      </c>
      <c r="L72" s="147" t="s">
        <v>14</v>
      </c>
      <c r="M72" s="147" t="s">
        <v>14</v>
      </c>
      <c r="N72" s="147" t="s">
        <v>14</v>
      </c>
      <c r="O72" s="100">
        <v>0</v>
      </c>
      <c r="P72" s="100">
        <v>0.19</v>
      </c>
      <c r="Q72" s="100">
        <v>10</v>
      </c>
      <c r="R72" s="6"/>
      <c r="S72" s="6"/>
      <c r="T72" s="156"/>
      <c r="U72" s="6"/>
    </row>
    <row r="73" spans="1:21" customFormat="1">
      <c r="A73" s="201" t="s">
        <v>1841</v>
      </c>
      <c r="B73" s="100">
        <v>1.95</v>
      </c>
      <c r="C73" s="100">
        <v>5.54</v>
      </c>
      <c r="D73" s="100">
        <v>7.5</v>
      </c>
      <c r="E73" s="100">
        <v>128.93</v>
      </c>
      <c r="F73" s="100">
        <v>5.69</v>
      </c>
      <c r="G73" s="100">
        <v>18.62</v>
      </c>
      <c r="H73" s="100">
        <v>19.21</v>
      </c>
      <c r="I73" s="100">
        <v>8.9700000000000006</v>
      </c>
      <c r="J73" s="147" t="s">
        <v>14</v>
      </c>
      <c r="K73" s="147" t="s">
        <v>14</v>
      </c>
      <c r="L73" s="147" t="s">
        <v>14</v>
      </c>
      <c r="M73" s="147" t="s">
        <v>14</v>
      </c>
      <c r="N73" s="147" t="s">
        <v>14</v>
      </c>
      <c r="O73" s="100">
        <v>0</v>
      </c>
      <c r="P73" s="100">
        <v>0.18</v>
      </c>
      <c r="Q73" s="100">
        <v>10</v>
      </c>
      <c r="R73" s="6"/>
      <c r="S73" s="6"/>
      <c r="T73" s="156"/>
      <c r="U73" s="6"/>
    </row>
    <row r="74" spans="1:21" customFormat="1">
      <c r="A74" s="201" t="s">
        <v>1842</v>
      </c>
      <c r="B74" s="100">
        <v>1.99</v>
      </c>
      <c r="C74" s="100">
        <v>5.49</v>
      </c>
      <c r="D74" s="100">
        <v>7.48</v>
      </c>
      <c r="E74" s="100">
        <v>111.92</v>
      </c>
      <c r="F74" s="100">
        <v>2.79</v>
      </c>
      <c r="G74" s="100">
        <v>18.27</v>
      </c>
      <c r="H74" s="100">
        <v>17.7</v>
      </c>
      <c r="I74" s="100">
        <v>7.45</v>
      </c>
      <c r="J74" s="147" t="s">
        <v>14</v>
      </c>
      <c r="K74" s="147" t="s">
        <v>14</v>
      </c>
      <c r="L74" s="147" t="s">
        <v>14</v>
      </c>
      <c r="M74" s="147" t="s">
        <v>14</v>
      </c>
      <c r="N74" s="147" t="s">
        <v>14</v>
      </c>
      <c r="O74" s="100">
        <v>0</v>
      </c>
      <c r="P74" s="100">
        <v>0.18</v>
      </c>
      <c r="Q74" s="100">
        <v>10</v>
      </c>
      <c r="R74" s="6"/>
      <c r="S74" s="6"/>
      <c r="T74" s="156"/>
      <c r="U74" s="6"/>
    </row>
    <row r="75" spans="1:21" customFormat="1">
      <c r="A75" s="201" t="s">
        <v>1843</v>
      </c>
      <c r="B75" s="100">
        <v>2.13</v>
      </c>
      <c r="C75" s="100">
        <v>5.38</v>
      </c>
      <c r="D75" s="100">
        <v>7.52</v>
      </c>
      <c r="E75" s="100">
        <v>128.4</v>
      </c>
      <c r="F75" s="100">
        <v>2</v>
      </c>
      <c r="G75" s="100">
        <v>17.46</v>
      </c>
      <c r="H75" s="100">
        <v>15.37</v>
      </c>
      <c r="I75" s="100">
        <v>10.210000000000001</v>
      </c>
      <c r="J75" s="147" t="s">
        <v>14</v>
      </c>
      <c r="K75" s="147" t="s">
        <v>14</v>
      </c>
      <c r="L75" s="147" t="s">
        <v>14</v>
      </c>
      <c r="M75" s="147" t="s">
        <v>14</v>
      </c>
      <c r="N75" s="147" t="s">
        <v>14</v>
      </c>
      <c r="O75" s="100">
        <v>0</v>
      </c>
      <c r="P75" s="100">
        <v>0.18</v>
      </c>
      <c r="Q75" s="100">
        <v>10</v>
      </c>
      <c r="R75" s="6"/>
      <c r="S75" s="6"/>
      <c r="T75" s="156"/>
      <c r="U75" s="6"/>
    </row>
    <row r="76" spans="1:21" customFormat="1">
      <c r="A76" s="201" t="s">
        <v>1844</v>
      </c>
      <c r="B76" s="100">
        <v>2.12</v>
      </c>
      <c r="C76" s="100">
        <v>5.49</v>
      </c>
      <c r="D76" s="100">
        <v>7.61</v>
      </c>
      <c r="E76" s="100">
        <v>151.79</v>
      </c>
      <c r="F76" s="100">
        <v>10.88</v>
      </c>
      <c r="G76" s="100">
        <v>17.46</v>
      </c>
      <c r="H76" s="100">
        <v>15.37</v>
      </c>
      <c r="I76" s="100">
        <v>12.08</v>
      </c>
      <c r="J76" s="147" t="s">
        <v>14</v>
      </c>
      <c r="K76" s="147" t="s">
        <v>14</v>
      </c>
      <c r="L76" s="147" t="s">
        <v>14</v>
      </c>
      <c r="M76" s="147" t="s">
        <v>14</v>
      </c>
      <c r="N76" s="147" t="s">
        <v>14</v>
      </c>
      <c r="O76" s="100">
        <v>0</v>
      </c>
      <c r="P76" s="100">
        <v>0.17</v>
      </c>
      <c r="Q76" s="100">
        <v>10</v>
      </c>
      <c r="R76" s="6"/>
      <c r="S76" s="6"/>
      <c r="T76" s="156"/>
      <c r="U76" s="6"/>
    </row>
    <row r="77" spans="1:21" customFormat="1">
      <c r="A77" s="201" t="s">
        <v>1845</v>
      </c>
      <c r="B77" s="100">
        <v>1.86</v>
      </c>
      <c r="C77" s="100">
        <v>5.4</v>
      </c>
      <c r="D77" s="100">
        <v>7.26</v>
      </c>
      <c r="E77" s="100">
        <v>145.32</v>
      </c>
      <c r="F77" s="100">
        <v>19.3</v>
      </c>
      <c r="G77" s="100">
        <v>17.46</v>
      </c>
      <c r="H77" s="100">
        <v>15.37</v>
      </c>
      <c r="I77" s="100">
        <v>13.66</v>
      </c>
      <c r="J77" s="147" t="s">
        <v>14</v>
      </c>
      <c r="K77" s="147" t="s">
        <v>14</v>
      </c>
      <c r="L77" s="147" t="s">
        <v>14</v>
      </c>
      <c r="M77" s="147" t="s">
        <v>14</v>
      </c>
      <c r="N77" s="147" t="s">
        <v>14</v>
      </c>
      <c r="O77" s="100">
        <v>0</v>
      </c>
      <c r="P77" s="100">
        <v>0.17</v>
      </c>
      <c r="Q77" s="100">
        <v>10</v>
      </c>
      <c r="R77" s="6"/>
      <c r="S77" s="6"/>
      <c r="T77" s="156"/>
      <c r="U77" s="6"/>
    </row>
    <row r="78" spans="1:21" customFormat="1">
      <c r="A78" s="201" t="s">
        <v>1846</v>
      </c>
      <c r="B78" s="100">
        <v>1.79</v>
      </c>
      <c r="C78" s="100">
        <v>5.23</v>
      </c>
      <c r="D78" s="100">
        <v>7.03</v>
      </c>
      <c r="E78" s="100">
        <v>170.59</v>
      </c>
      <c r="F78" s="100">
        <v>21.12</v>
      </c>
      <c r="G78" s="100">
        <v>17.2</v>
      </c>
      <c r="H78" s="100">
        <v>14.73</v>
      </c>
      <c r="I78" s="100">
        <v>9.25</v>
      </c>
      <c r="J78" s="147" t="s">
        <v>14</v>
      </c>
      <c r="K78" s="147" t="s">
        <v>14</v>
      </c>
      <c r="L78" s="147" t="s">
        <v>14</v>
      </c>
      <c r="M78" s="147" t="s">
        <v>14</v>
      </c>
      <c r="N78" s="147" t="s">
        <v>14</v>
      </c>
      <c r="O78" s="100">
        <v>0</v>
      </c>
      <c r="P78" s="100">
        <v>0.18</v>
      </c>
      <c r="Q78" s="100">
        <v>10.41</v>
      </c>
      <c r="R78" s="6"/>
      <c r="S78" s="6"/>
      <c r="T78" s="156"/>
      <c r="U78" s="6"/>
    </row>
    <row r="79" spans="1:21" customFormat="1">
      <c r="A79" s="201" t="s">
        <v>1847</v>
      </c>
      <c r="B79" s="100">
        <v>1.75</v>
      </c>
      <c r="C79" s="100">
        <v>5.25</v>
      </c>
      <c r="D79" s="100">
        <v>7</v>
      </c>
      <c r="E79" s="100">
        <v>3.16</v>
      </c>
      <c r="F79" s="100">
        <v>20.78</v>
      </c>
      <c r="G79" s="100">
        <v>16.579999999999998</v>
      </c>
      <c r="H79" s="100">
        <v>13.75</v>
      </c>
      <c r="I79" s="100">
        <v>3.92</v>
      </c>
      <c r="J79" s="147" t="s">
        <v>14</v>
      </c>
      <c r="K79" s="147" t="s">
        <v>14</v>
      </c>
      <c r="L79" s="147" t="s">
        <v>14</v>
      </c>
      <c r="M79" s="147" t="s">
        <v>14</v>
      </c>
      <c r="N79" s="147" t="s">
        <v>14</v>
      </c>
      <c r="O79" s="100">
        <v>0</v>
      </c>
      <c r="P79" s="100">
        <v>0.17</v>
      </c>
      <c r="Q79" s="100">
        <v>10</v>
      </c>
      <c r="R79" s="6"/>
      <c r="S79" s="6"/>
      <c r="T79" s="156"/>
      <c r="U79" s="6"/>
    </row>
    <row r="80" spans="1:21" customFormat="1">
      <c r="A80" s="201" t="s">
        <v>1848</v>
      </c>
      <c r="B80" s="100">
        <v>1.79</v>
      </c>
      <c r="C80" s="100">
        <v>5.41</v>
      </c>
      <c r="D80" s="100">
        <v>7.2</v>
      </c>
      <c r="E80" s="100">
        <v>1.18</v>
      </c>
      <c r="F80" s="100">
        <v>21.33</v>
      </c>
      <c r="G80" s="100">
        <v>16.579999999999998</v>
      </c>
      <c r="H80" s="100">
        <v>13.75</v>
      </c>
      <c r="I80" s="100">
        <v>3.25</v>
      </c>
      <c r="J80" s="147" t="s">
        <v>14</v>
      </c>
      <c r="K80" s="147" t="s">
        <v>14</v>
      </c>
      <c r="L80" s="147" t="s">
        <v>14</v>
      </c>
      <c r="M80" s="147" t="s">
        <v>14</v>
      </c>
      <c r="N80" s="147" t="s">
        <v>14</v>
      </c>
      <c r="O80" s="100">
        <v>0</v>
      </c>
      <c r="P80" s="100">
        <v>0.18</v>
      </c>
      <c r="Q80" s="100">
        <v>10</v>
      </c>
      <c r="R80" s="6"/>
      <c r="S80" s="6"/>
      <c r="T80" s="156"/>
      <c r="U80" s="6"/>
    </row>
    <row r="81" spans="1:21" customFormat="1">
      <c r="A81" s="201" t="s">
        <v>1849</v>
      </c>
      <c r="B81" s="100">
        <v>1.75</v>
      </c>
      <c r="C81" s="100">
        <v>5.18</v>
      </c>
      <c r="D81" s="100">
        <v>6.93</v>
      </c>
      <c r="E81" s="100">
        <v>2.0099999999999998</v>
      </c>
      <c r="F81" s="100">
        <v>5.69</v>
      </c>
      <c r="G81" s="100">
        <v>16.579999999999998</v>
      </c>
      <c r="H81" s="100">
        <v>13.75</v>
      </c>
      <c r="I81" s="100">
        <v>3.27</v>
      </c>
      <c r="J81" s="147" t="s">
        <v>14</v>
      </c>
      <c r="K81" s="147" t="s">
        <v>14</v>
      </c>
      <c r="L81" s="147" t="s">
        <v>14</v>
      </c>
      <c r="M81" s="147" t="s">
        <v>14</v>
      </c>
      <c r="N81" s="147" t="s">
        <v>14</v>
      </c>
      <c r="O81" s="100">
        <v>0</v>
      </c>
      <c r="P81" s="100">
        <v>0.14000000000000001</v>
      </c>
      <c r="Q81" s="100">
        <v>14.35</v>
      </c>
      <c r="R81" s="6"/>
      <c r="S81" s="6"/>
      <c r="T81" s="156"/>
      <c r="U81" s="6"/>
    </row>
    <row r="82" spans="1:21" customFormat="1">
      <c r="A82" s="201" t="s">
        <v>1850</v>
      </c>
      <c r="B82" s="100">
        <v>1.73</v>
      </c>
      <c r="C82" s="100">
        <v>5.05</v>
      </c>
      <c r="D82" s="100">
        <v>6.78</v>
      </c>
      <c r="E82" s="100">
        <v>2.11</v>
      </c>
      <c r="F82" s="100">
        <v>4.41</v>
      </c>
      <c r="G82" s="100">
        <v>16.91</v>
      </c>
      <c r="H82" s="100">
        <v>13</v>
      </c>
      <c r="I82" s="100">
        <v>2.68</v>
      </c>
      <c r="J82" s="147" t="s">
        <v>14</v>
      </c>
      <c r="K82" s="147" t="s">
        <v>14</v>
      </c>
      <c r="L82" s="147" t="s">
        <v>14</v>
      </c>
      <c r="M82" s="147" t="s">
        <v>14</v>
      </c>
      <c r="N82" s="147" t="s">
        <v>14</v>
      </c>
      <c r="O82" s="100">
        <v>0</v>
      </c>
      <c r="P82" s="100">
        <v>0.15</v>
      </c>
      <c r="Q82" s="100">
        <v>11.05</v>
      </c>
      <c r="R82" s="6"/>
      <c r="S82" s="6"/>
      <c r="T82" s="156"/>
      <c r="U82" s="6"/>
    </row>
    <row r="83" spans="1:21" customFormat="1">
      <c r="A83" s="201" t="s">
        <v>1851</v>
      </c>
      <c r="B83" s="100">
        <v>1.98</v>
      </c>
      <c r="C83" s="100">
        <v>5.08</v>
      </c>
      <c r="D83" s="100">
        <v>7.06</v>
      </c>
      <c r="E83" s="100">
        <v>2.5299999999999998</v>
      </c>
      <c r="F83" s="100">
        <v>2.19</v>
      </c>
      <c r="G83" s="100">
        <v>17.68</v>
      </c>
      <c r="H83" s="100">
        <v>10</v>
      </c>
      <c r="I83" s="100">
        <v>3.07</v>
      </c>
      <c r="J83" s="147" t="s">
        <v>14</v>
      </c>
      <c r="K83" s="147" t="s">
        <v>14</v>
      </c>
      <c r="L83" s="147" t="s">
        <v>14</v>
      </c>
      <c r="M83" s="147" t="s">
        <v>14</v>
      </c>
      <c r="N83" s="147" t="s">
        <v>14</v>
      </c>
      <c r="O83" s="100">
        <v>0</v>
      </c>
      <c r="P83" s="100">
        <v>0.16</v>
      </c>
      <c r="Q83" s="100">
        <v>11.3</v>
      </c>
      <c r="R83" s="6"/>
      <c r="S83" s="6"/>
      <c r="T83" s="156"/>
      <c r="U83" s="6"/>
    </row>
    <row r="84" spans="1:21" customFormat="1">
      <c r="A84" s="201" t="s">
        <v>1852</v>
      </c>
      <c r="B84" s="100">
        <v>2.14</v>
      </c>
      <c r="C84" s="100">
        <v>4.8600000000000003</v>
      </c>
      <c r="D84" s="100">
        <v>7</v>
      </c>
      <c r="E84" s="100">
        <v>2.9</v>
      </c>
      <c r="F84" s="100">
        <v>2</v>
      </c>
      <c r="G84" s="100">
        <v>17.68</v>
      </c>
      <c r="H84" s="100">
        <v>10</v>
      </c>
      <c r="I84" s="100">
        <v>3.41</v>
      </c>
      <c r="J84" s="147" t="s">
        <v>14</v>
      </c>
      <c r="K84" s="147" t="s">
        <v>14</v>
      </c>
      <c r="L84" s="147" t="s">
        <v>14</v>
      </c>
      <c r="M84" s="147" t="s">
        <v>14</v>
      </c>
      <c r="N84" s="147" t="s">
        <v>14</v>
      </c>
      <c r="O84" s="100">
        <v>0</v>
      </c>
      <c r="P84" s="100">
        <v>0.16</v>
      </c>
      <c r="Q84" s="100">
        <v>26.36</v>
      </c>
      <c r="R84" s="6"/>
      <c r="S84" s="6"/>
      <c r="T84" s="156"/>
      <c r="U84" s="6"/>
    </row>
    <row r="85" spans="1:21" customFormat="1">
      <c r="A85" s="201" t="s">
        <v>1853</v>
      </c>
      <c r="B85" s="100">
        <v>2.31</v>
      </c>
      <c r="C85" s="100">
        <v>4.72</v>
      </c>
      <c r="D85" s="100">
        <v>7.02</v>
      </c>
      <c r="E85" s="100">
        <v>2.71</v>
      </c>
      <c r="F85" s="100">
        <v>2</v>
      </c>
      <c r="G85" s="100">
        <v>17.68</v>
      </c>
      <c r="H85" s="100">
        <v>10</v>
      </c>
      <c r="I85" s="100">
        <v>2.57</v>
      </c>
      <c r="J85" s="147" t="s">
        <v>14</v>
      </c>
      <c r="K85" s="147" t="s">
        <v>14</v>
      </c>
      <c r="L85" s="147" t="s">
        <v>14</v>
      </c>
      <c r="M85" s="147" t="s">
        <v>14</v>
      </c>
      <c r="N85" s="147" t="s">
        <v>14</v>
      </c>
      <c r="O85" s="100">
        <v>0</v>
      </c>
      <c r="P85" s="100">
        <v>0.16</v>
      </c>
      <c r="Q85" s="100">
        <v>18.53</v>
      </c>
      <c r="R85" s="6"/>
      <c r="S85" s="6"/>
      <c r="T85" s="156"/>
      <c r="U85" s="6"/>
    </row>
    <row r="86" spans="1:21" customFormat="1">
      <c r="A86" s="201" t="s">
        <v>1854</v>
      </c>
      <c r="B86" s="100">
        <v>2.64</v>
      </c>
      <c r="C86" s="100">
        <v>4.8600000000000003</v>
      </c>
      <c r="D86" s="100">
        <v>7.5</v>
      </c>
      <c r="E86" s="100">
        <v>2.69</v>
      </c>
      <c r="F86" s="100">
        <v>2</v>
      </c>
      <c r="G86" s="100">
        <v>17.87</v>
      </c>
      <c r="H86" s="100">
        <v>10.85</v>
      </c>
      <c r="I86" s="100">
        <v>3.61</v>
      </c>
      <c r="J86" s="147" t="s">
        <v>14</v>
      </c>
      <c r="K86" s="147" t="s">
        <v>14</v>
      </c>
      <c r="L86" s="147" t="s">
        <v>14</v>
      </c>
      <c r="M86" s="147" t="s">
        <v>14</v>
      </c>
      <c r="N86" s="147" t="s">
        <v>14</v>
      </c>
      <c r="O86" s="100">
        <v>0</v>
      </c>
      <c r="P86" s="100">
        <v>0.16</v>
      </c>
      <c r="Q86" s="100">
        <v>26.24</v>
      </c>
      <c r="R86" s="6"/>
      <c r="S86" s="6"/>
      <c r="T86" s="156"/>
      <c r="U86" s="6"/>
    </row>
    <row r="87" spans="1:21" customFormat="1">
      <c r="A87" s="201" t="s">
        <v>1855</v>
      </c>
      <c r="B87" s="100">
        <v>3.03</v>
      </c>
      <c r="C87" s="100">
        <v>5.09</v>
      </c>
      <c r="D87" s="100">
        <v>8.1199999999999992</v>
      </c>
      <c r="E87" s="100">
        <v>2.81</v>
      </c>
      <c r="F87" s="100">
        <v>2</v>
      </c>
      <c r="G87" s="100">
        <v>18.3</v>
      </c>
      <c r="H87" s="100">
        <v>12.17</v>
      </c>
      <c r="I87" s="100">
        <v>3.75</v>
      </c>
      <c r="J87" s="147" t="s">
        <v>14</v>
      </c>
      <c r="K87" s="147" t="s">
        <v>14</v>
      </c>
      <c r="L87" s="147" t="s">
        <v>14</v>
      </c>
      <c r="M87" s="147" t="s">
        <v>14</v>
      </c>
      <c r="N87" s="147" t="s">
        <v>14</v>
      </c>
      <c r="O87" s="100">
        <v>0</v>
      </c>
      <c r="P87" s="100">
        <v>0.19</v>
      </c>
      <c r="Q87" s="100">
        <v>12.38</v>
      </c>
      <c r="R87" s="6"/>
      <c r="S87" s="6"/>
      <c r="T87" s="156"/>
      <c r="U87" s="6"/>
    </row>
    <row r="88" spans="1:21" customFormat="1">
      <c r="A88" s="201" t="s">
        <v>1856</v>
      </c>
      <c r="B88" s="100">
        <v>3.3</v>
      </c>
      <c r="C88" s="100">
        <v>5.1100000000000003</v>
      </c>
      <c r="D88" s="100">
        <v>8.41</v>
      </c>
      <c r="E88" s="100">
        <v>3.27</v>
      </c>
      <c r="F88" s="100">
        <v>2</v>
      </c>
      <c r="G88" s="100">
        <v>18.3</v>
      </c>
      <c r="H88" s="100">
        <v>12.17</v>
      </c>
      <c r="I88" s="100">
        <v>3.96</v>
      </c>
      <c r="J88" s="147" t="s">
        <v>14</v>
      </c>
      <c r="K88" s="147" t="s">
        <v>14</v>
      </c>
      <c r="L88" s="147" t="s">
        <v>14</v>
      </c>
      <c r="M88" s="147" t="s">
        <v>14</v>
      </c>
      <c r="N88" s="147" t="s">
        <v>14</v>
      </c>
      <c r="O88" s="100">
        <v>0</v>
      </c>
      <c r="P88" s="100">
        <v>0.2</v>
      </c>
      <c r="Q88" s="100">
        <v>19.809999999999999</v>
      </c>
      <c r="R88" s="6"/>
      <c r="S88" s="6"/>
      <c r="T88" s="156"/>
      <c r="U88" s="6"/>
    </row>
    <row r="89" spans="1:21" customFormat="1">
      <c r="A89" s="201" t="s">
        <v>1857</v>
      </c>
      <c r="B89" s="100">
        <v>3.45</v>
      </c>
      <c r="C89" s="100">
        <v>4.79</v>
      </c>
      <c r="D89" s="100">
        <v>8.23</v>
      </c>
      <c r="E89" s="100">
        <v>3.3</v>
      </c>
      <c r="F89" s="100">
        <v>2</v>
      </c>
      <c r="G89" s="100">
        <v>18.3</v>
      </c>
      <c r="H89" s="100">
        <v>12.17</v>
      </c>
      <c r="I89" s="100">
        <v>4.12</v>
      </c>
      <c r="J89" s="147" t="s">
        <v>14</v>
      </c>
      <c r="K89" s="147" t="s">
        <v>14</v>
      </c>
      <c r="L89" s="147" t="s">
        <v>14</v>
      </c>
      <c r="M89" s="147" t="s">
        <v>14</v>
      </c>
      <c r="N89" s="147" t="s">
        <v>14</v>
      </c>
      <c r="O89" s="100">
        <v>0</v>
      </c>
      <c r="P89" s="100">
        <v>0.21</v>
      </c>
      <c r="Q89" s="100">
        <v>13.29</v>
      </c>
      <c r="R89" s="6"/>
      <c r="S89" s="6"/>
      <c r="T89" s="156"/>
      <c r="U89" s="6"/>
    </row>
    <row r="90" spans="1:21" customFormat="1">
      <c r="A90" s="201" t="s">
        <v>1858</v>
      </c>
      <c r="B90" s="100">
        <v>3.58</v>
      </c>
      <c r="C90" s="100">
        <v>4.6900000000000004</v>
      </c>
      <c r="D90" s="100">
        <v>8.2799999999999994</v>
      </c>
      <c r="E90" s="100">
        <v>3.31</v>
      </c>
      <c r="F90" s="100">
        <v>2</v>
      </c>
      <c r="G90" s="100">
        <v>19.510000000000002</v>
      </c>
      <c r="H90" s="100">
        <v>11.21</v>
      </c>
      <c r="I90" s="100">
        <v>4.17</v>
      </c>
      <c r="J90" s="147" t="s">
        <v>14</v>
      </c>
      <c r="K90" s="147" t="s">
        <v>14</v>
      </c>
      <c r="L90" s="147" t="s">
        <v>14</v>
      </c>
      <c r="M90" s="147" t="s">
        <v>14</v>
      </c>
      <c r="N90" s="147" t="s">
        <v>14</v>
      </c>
      <c r="O90" s="100">
        <v>0</v>
      </c>
      <c r="P90" s="100">
        <v>0.2</v>
      </c>
      <c r="Q90" s="100">
        <v>15</v>
      </c>
      <c r="R90" s="6"/>
      <c r="S90" s="6"/>
      <c r="T90" s="156"/>
      <c r="U90" s="6"/>
    </row>
    <row r="91" spans="1:21" customFormat="1">
      <c r="A91" s="201" t="s">
        <v>1859</v>
      </c>
      <c r="B91" s="100">
        <v>3.81</v>
      </c>
      <c r="C91" s="100">
        <v>4.92</v>
      </c>
      <c r="D91" s="100">
        <v>8.73</v>
      </c>
      <c r="E91" s="100">
        <v>3.35</v>
      </c>
      <c r="F91" s="100">
        <v>2</v>
      </c>
      <c r="G91" s="100">
        <v>22.34</v>
      </c>
      <c r="H91" s="100">
        <v>9.7200000000000006</v>
      </c>
      <c r="I91" s="100">
        <v>4.28</v>
      </c>
      <c r="J91" s="147" t="s">
        <v>14</v>
      </c>
      <c r="K91" s="147" t="s">
        <v>14</v>
      </c>
      <c r="L91" s="147" t="s">
        <v>14</v>
      </c>
      <c r="M91" s="147" t="s">
        <v>14</v>
      </c>
      <c r="N91" s="147" t="s">
        <v>14</v>
      </c>
      <c r="O91" s="100">
        <v>0</v>
      </c>
      <c r="P91" s="100">
        <v>0.22</v>
      </c>
      <c r="Q91" s="100">
        <v>11.56</v>
      </c>
      <c r="R91" s="6"/>
      <c r="S91" s="6"/>
      <c r="T91" s="156"/>
      <c r="U91" s="6"/>
    </row>
    <row r="92" spans="1:21" customFormat="1">
      <c r="A92" s="201" t="s">
        <v>1860</v>
      </c>
      <c r="B92" s="100">
        <v>3.99</v>
      </c>
      <c r="C92" s="100">
        <v>5.19</v>
      </c>
      <c r="D92" s="100">
        <v>9.18</v>
      </c>
      <c r="E92" s="100">
        <v>4</v>
      </c>
      <c r="F92" s="100">
        <v>2.0099999999999998</v>
      </c>
      <c r="G92" s="100">
        <v>22.34</v>
      </c>
      <c r="H92" s="100">
        <v>9.7200000000000006</v>
      </c>
      <c r="I92" s="100">
        <v>4.34</v>
      </c>
      <c r="J92" s="147" t="s">
        <v>14</v>
      </c>
      <c r="K92" s="147" t="s">
        <v>14</v>
      </c>
      <c r="L92" s="147" t="s">
        <v>14</v>
      </c>
      <c r="M92" s="147" t="s">
        <v>14</v>
      </c>
      <c r="N92" s="147" t="s">
        <v>14</v>
      </c>
      <c r="O92" s="100">
        <v>0</v>
      </c>
      <c r="P92" s="100">
        <v>0.26</v>
      </c>
      <c r="Q92" s="100">
        <v>10.65</v>
      </c>
      <c r="R92" s="6"/>
      <c r="S92" s="6"/>
      <c r="T92" s="156"/>
      <c r="U92" s="6"/>
    </row>
    <row r="93" spans="1:21" customFormat="1">
      <c r="A93" s="201" t="s">
        <v>1861</v>
      </c>
      <c r="B93" s="100">
        <v>4.09</v>
      </c>
      <c r="C93" s="100">
        <v>5.13</v>
      </c>
      <c r="D93" s="100">
        <v>9.2100000000000009</v>
      </c>
      <c r="E93" s="100">
        <v>4.1399999999999997</v>
      </c>
      <c r="F93" s="100">
        <v>2.0099999999999998</v>
      </c>
      <c r="G93" s="100">
        <v>22.34</v>
      </c>
      <c r="H93" s="100">
        <v>9.7200000000000006</v>
      </c>
      <c r="I93" s="100">
        <v>4.6100000000000003</v>
      </c>
      <c r="J93" s="147" t="s">
        <v>14</v>
      </c>
      <c r="K93" s="147" t="s">
        <v>14</v>
      </c>
      <c r="L93" s="147" t="s">
        <v>14</v>
      </c>
      <c r="M93" s="147" t="s">
        <v>14</v>
      </c>
      <c r="N93" s="147" t="s">
        <v>14</v>
      </c>
      <c r="O93" s="100">
        <v>0</v>
      </c>
      <c r="P93" s="100">
        <v>0.28999999999999998</v>
      </c>
      <c r="Q93" s="100">
        <v>20.47</v>
      </c>
      <c r="R93" s="6"/>
      <c r="S93" s="6"/>
      <c r="T93" s="156"/>
      <c r="U93" s="6"/>
    </row>
    <row r="94" spans="1:21" customFormat="1">
      <c r="A94" s="201" t="s">
        <v>1862</v>
      </c>
      <c r="B94" s="100">
        <v>4.18</v>
      </c>
      <c r="C94" s="100">
        <v>5.18</v>
      </c>
      <c r="D94" s="100">
        <v>9.3699999999999992</v>
      </c>
      <c r="E94" s="100">
        <v>4.2699999999999996</v>
      </c>
      <c r="F94" s="100">
        <v>2.0299999999999998</v>
      </c>
      <c r="G94" s="100">
        <v>22.24</v>
      </c>
      <c r="H94" s="100">
        <v>10.79</v>
      </c>
      <c r="I94" s="100">
        <v>4.76</v>
      </c>
      <c r="J94" s="147" t="s">
        <v>14</v>
      </c>
      <c r="K94" s="147" t="s">
        <v>14</v>
      </c>
      <c r="L94" s="147" t="s">
        <v>14</v>
      </c>
      <c r="M94" s="147" t="s">
        <v>14</v>
      </c>
      <c r="N94" s="147" t="s">
        <v>14</v>
      </c>
      <c r="O94" s="100">
        <v>0</v>
      </c>
      <c r="P94" s="100">
        <v>0.3</v>
      </c>
      <c r="Q94" s="100">
        <v>11.19</v>
      </c>
      <c r="R94" s="6"/>
      <c r="S94" s="6"/>
      <c r="T94" s="156"/>
      <c r="U94" s="6"/>
    </row>
    <row r="95" spans="1:21" customFormat="1">
      <c r="A95" s="201" t="s">
        <v>1863</v>
      </c>
      <c r="B95" s="100">
        <v>4.3099999999999996</v>
      </c>
      <c r="C95" s="100">
        <v>5.26</v>
      </c>
      <c r="D95" s="100">
        <v>9.56</v>
      </c>
      <c r="E95" s="100">
        <v>4.5</v>
      </c>
      <c r="F95" s="100">
        <v>2</v>
      </c>
      <c r="G95" s="100">
        <v>22</v>
      </c>
      <c r="H95" s="100">
        <v>12.45</v>
      </c>
      <c r="I95" s="100">
        <v>4.8899999999999997</v>
      </c>
      <c r="J95" s="147" t="s">
        <v>14</v>
      </c>
      <c r="K95" s="147" t="s">
        <v>14</v>
      </c>
      <c r="L95" s="147" t="s">
        <v>14</v>
      </c>
      <c r="M95" s="147" t="s">
        <v>14</v>
      </c>
      <c r="N95" s="147" t="s">
        <v>14</v>
      </c>
      <c r="O95" s="100">
        <v>0</v>
      </c>
      <c r="P95" s="100">
        <v>0.31</v>
      </c>
      <c r="Q95" s="100">
        <v>12.08</v>
      </c>
      <c r="R95" s="6"/>
      <c r="S95" s="6"/>
      <c r="T95" s="156"/>
      <c r="U95" s="6"/>
    </row>
    <row r="96" spans="1:21" customFormat="1">
      <c r="A96" s="201" t="s">
        <v>1864</v>
      </c>
      <c r="B96" s="100">
        <v>4.67</v>
      </c>
      <c r="C96" s="100">
        <v>5.33</v>
      </c>
      <c r="D96" s="100">
        <v>10</v>
      </c>
      <c r="E96" s="100">
        <v>4.6399999999999997</v>
      </c>
      <c r="F96" s="100">
        <v>2.0099999999999998</v>
      </c>
      <c r="G96" s="100">
        <v>22</v>
      </c>
      <c r="H96" s="100">
        <v>12.45</v>
      </c>
      <c r="I96" s="100">
        <v>5.0199999999999996</v>
      </c>
      <c r="J96" s="147" t="s">
        <v>14</v>
      </c>
      <c r="K96" s="147" t="s">
        <v>14</v>
      </c>
      <c r="L96" s="147" t="s">
        <v>14</v>
      </c>
      <c r="M96" s="147" t="s">
        <v>14</v>
      </c>
      <c r="N96" s="147" t="s">
        <v>14</v>
      </c>
      <c r="O96" s="100">
        <v>0</v>
      </c>
      <c r="P96" s="100">
        <v>0.33</v>
      </c>
      <c r="Q96" s="100">
        <v>16.57</v>
      </c>
      <c r="R96" s="6"/>
      <c r="S96" s="6"/>
      <c r="T96" s="156"/>
      <c r="U96" s="6"/>
    </row>
    <row r="97" spans="1:28" customFormat="1">
      <c r="A97" s="201" t="s">
        <v>1865</v>
      </c>
      <c r="B97" s="100">
        <v>4.88</v>
      </c>
      <c r="C97" s="100">
        <v>5.43</v>
      </c>
      <c r="D97" s="100">
        <v>10.31</v>
      </c>
      <c r="E97" s="100">
        <v>4.87</v>
      </c>
      <c r="F97" s="100">
        <v>2</v>
      </c>
      <c r="G97" s="100">
        <v>22</v>
      </c>
      <c r="H97" s="100">
        <v>12.45</v>
      </c>
      <c r="I97" s="100">
        <v>5.16</v>
      </c>
      <c r="J97" s="147" t="s">
        <v>14</v>
      </c>
      <c r="K97" s="147" t="s">
        <v>14</v>
      </c>
      <c r="L97" s="147" t="s">
        <v>14</v>
      </c>
      <c r="M97" s="147" t="s">
        <v>14</v>
      </c>
      <c r="N97" s="147" t="s">
        <v>14</v>
      </c>
      <c r="O97" s="100">
        <v>0</v>
      </c>
      <c r="P97" s="100">
        <v>0.35</v>
      </c>
      <c r="Q97" s="100">
        <v>14.63</v>
      </c>
      <c r="R97" s="6"/>
      <c r="S97" s="6"/>
      <c r="T97" s="156"/>
      <c r="U97" s="6"/>
    </row>
    <row r="98" spans="1:28" customFormat="1">
      <c r="A98" s="201" t="s">
        <v>1866</v>
      </c>
      <c r="B98" s="100">
        <v>5</v>
      </c>
      <c r="C98" s="100">
        <v>5.42</v>
      </c>
      <c r="D98" s="100">
        <v>10.42</v>
      </c>
      <c r="E98" s="100">
        <v>4.93</v>
      </c>
      <c r="F98" s="100">
        <v>2</v>
      </c>
      <c r="G98" s="100">
        <v>24.3</v>
      </c>
      <c r="H98" s="100">
        <v>12.54</v>
      </c>
      <c r="I98" s="100">
        <v>5.33</v>
      </c>
      <c r="J98" s="147" t="s">
        <v>14</v>
      </c>
      <c r="K98" s="147" t="s">
        <v>14</v>
      </c>
      <c r="L98" s="147" t="s">
        <v>14</v>
      </c>
      <c r="M98" s="147" t="s">
        <v>14</v>
      </c>
      <c r="N98" s="147" t="s">
        <v>14</v>
      </c>
      <c r="O98" s="100">
        <v>0</v>
      </c>
      <c r="P98" s="100">
        <v>0.36</v>
      </c>
      <c r="Q98" s="100">
        <v>10</v>
      </c>
      <c r="R98" s="6"/>
      <c r="S98" s="6"/>
      <c r="T98" s="156"/>
      <c r="U98" s="6"/>
    </row>
    <row r="99" spans="1:28" customFormat="1">
      <c r="A99" s="201" t="s">
        <v>1867</v>
      </c>
      <c r="B99" s="100">
        <v>5.01</v>
      </c>
      <c r="C99" s="100">
        <v>5.44</v>
      </c>
      <c r="D99" s="100">
        <v>10.46</v>
      </c>
      <c r="E99" s="100">
        <v>5.09</v>
      </c>
      <c r="F99" s="100">
        <v>2</v>
      </c>
      <c r="G99" s="100">
        <v>29.67</v>
      </c>
      <c r="H99" s="100">
        <v>12.89</v>
      </c>
      <c r="I99" s="100">
        <v>5.47</v>
      </c>
      <c r="J99" s="147" t="s">
        <v>14</v>
      </c>
      <c r="K99" s="147" t="s">
        <v>14</v>
      </c>
      <c r="L99" s="147" t="s">
        <v>14</v>
      </c>
      <c r="M99" s="147" t="s">
        <v>14</v>
      </c>
      <c r="N99" s="147" t="s">
        <v>14</v>
      </c>
      <c r="O99" s="100">
        <v>0</v>
      </c>
      <c r="P99" s="100">
        <v>0.37</v>
      </c>
      <c r="Q99" s="100">
        <v>10.68</v>
      </c>
      <c r="R99" s="6"/>
      <c r="S99" s="6"/>
      <c r="T99" s="156"/>
      <c r="U99" s="6"/>
    </row>
    <row r="100" spans="1:28" customFormat="1">
      <c r="A100" s="201" t="s">
        <v>1868</v>
      </c>
      <c r="B100" s="100">
        <v>4.9800000000000004</v>
      </c>
      <c r="C100" s="100">
        <v>5.38</v>
      </c>
      <c r="D100" s="100">
        <v>10.36</v>
      </c>
      <c r="E100" s="100">
        <v>5.38</v>
      </c>
      <c r="F100" s="100">
        <v>2</v>
      </c>
      <c r="G100" s="100">
        <v>29.67</v>
      </c>
      <c r="H100" s="100">
        <v>12.89</v>
      </c>
      <c r="I100" s="100">
        <v>5.56</v>
      </c>
      <c r="J100" s="147" t="s">
        <v>14</v>
      </c>
      <c r="K100" s="147" t="s">
        <v>14</v>
      </c>
      <c r="L100" s="147" t="s">
        <v>14</v>
      </c>
      <c r="M100" s="147" t="s">
        <v>14</v>
      </c>
      <c r="N100" s="147" t="s">
        <v>14</v>
      </c>
      <c r="O100" s="100">
        <v>0</v>
      </c>
      <c r="P100" s="100">
        <v>0.39</v>
      </c>
      <c r="Q100" s="100">
        <v>14.57</v>
      </c>
      <c r="R100" s="6"/>
      <c r="S100" s="6"/>
      <c r="T100" s="156"/>
      <c r="U100" s="6"/>
      <c r="AB100" s="161"/>
    </row>
    <row r="101" spans="1:28" customFormat="1">
      <c r="A101" s="201" t="s">
        <v>1869</v>
      </c>
      <c r="B101" s="100">
        <v>4.92</v>
      </c>
      <c r="C101" s="100">
        <v>5.37</v>
      </c>
      <c r="D101" s="100">
        <v>10.29</v>
      </c>
      <c r="E101" s="100">
        <v>5.49</v>
      </c>
      <c r="F101" s="100">
        <v>2</v>
      </c>
      <c r="G101" s="100">
        <v>29.67</v>
      </c>
      <c r="H101" s="100">
        <v>12.89</v>
      </c>
      <c r="I101" s="100">
        <v>5.64</v>
      </c>
      <c r="J101" s="147" t="s">
        <v>14</v>
      </c>
      <c r="K101" s="147" t="s">
        <v>14</v>
      </c>
      <c r="L101" s="147" t="s">
        <v>14</v>
      </c>
      <c r="M101" s="147" t="s">
        <v>14</v>
      </c>
      <c r="N101" s="147" t="s">
        <v>14</v>
      </c>
      <c r="O101" s="100">
        <v>0</v>
      </c>
      <c r="P101" s="100">
        <v>0.39</v>
      </c>
      <c r="Q101" s="100">
        <v>13.32</v>
      </c>
      <c r="R101" s="6"/>
      <c r="S101" s="6"/>
      <c r="T101" s="156"/>
      <c r="U101" s="6"/>
    </row>
    <row r="102" spans="1:28" customFormat="1">
      <c r="A102" s="201" t="s">
        <v>1870</v>
      </c>
      <c r="B102" s="100">
        <v>4.9000000000000004</v>
      </c>
      <c r="C102" s="100">
        <v>5.3</v>
      </c>
      <c r="D102" s="100">
        <v>10.19</v>
      </c>
      <c r="E102" s="100">
        <v>5.21</v>
      </c>
      <c r="F102" s="100">
        <v>2</v>
      </c>
      <c r="G102" s="100">
        <v>29.71</v>
      </c>
      <c r="H102" s="100">
        <v>12.37</v>
      </c>
      <c r="I102" s="100">
        <v>5.78</v>
      </c>
      <c r="J102" s="147" t="s">
        <v>14</v>
      </c>
      <c r="K102" s="147" t="s">
        <v>14</v>
      </c>
      <c r="L102" s="147" t="s">
        <v>14</v>
      </c>
      <c r="M102" s="147" t="s">
        <v>14</v>
      </c>
      <c r="N102" s="147" t="s">
        <v>14</v>
      </c>
      <c r="O102" s="100">
        <v>0</v>
      </c>
      <c r="P102" s="100">
        <v>0.38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1871</v>
      </c>
      <c r="B103" s="100">
        <v>4.91</v>
      </c>
      <c r="C103" s="100">
        <v>5.21</v>
      </c>
      <c r="D103" s="100">
        <v>10.119999999999999</v>
      </c>
      <c r="E103" s="100">
        <v>5.14</v>
      </c>
      <c r="F103" s="100">
        <v>2</v>
      </c>
      <c r="G103" s="100">
        <v>29.82</v>
      </c>
      <c r="H103" s="100">
        <v>11.56</v>
      </c>
      <c r="I103" s="100">
        <v>5.89</v>
      </c>
      <c r="J103" s="147" t="s">
        <v>14</v>
      </c>
      <c r="K103" s="147" t="s">
        <v>14</v>
      </c>
      <c r="L103" s="147" t="s">
        <v>14</v>
      </c>
      <c r="M103" s="147" t="s">
        <v>14</v>
      </c>
      <c r="N103" s="147" t="s">
        <v>14</v>
      </c>
      <c r="O103" s="100">
        <v>0</v>
      </c>
      <c r="P103" s="100">
        <v>0.38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1872</v>
      </c>
      <c r="B104" s="100">
        <v>4.92</v>
      </c>
      <c r="C104" s="100">
        <v>5.05</v>
      </c>
      <c r="D104" s="100">
        <v>9.9700000000000006</v>
      </c>
      <c r="E104" s="100">
        <v>5.25</v>
      </c>
      <c r="F104" s="100">
        <v>2</v>
      </c>
      <c r="G104" s="100">
        <v>29.82</v>
      </c>
      <c r="H104" s="100">
        <v>11.56</v>
      </c>
      <c r="I104" s="100">
        <v>5.79</v>
      </c>
      <c r="J104" s="147" t="s">
        <v>14</v>
      </c>
      <c r="K104" s="147" t="s">
        <v>14</v>
      </c>
      <c r="L104" s="147" t="s">
        <v>14</v>
      </c>
      <c r="M104" s="147" t="s">
        <v>14</v>
      </c>
      <c r="N104" s="147" t="s">
        <v>14</v>
      </c>
      <c r="O104" s="100">
        <v>0</v>
      </c>
      <c r="P104" s="100">
        <v>0.38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1.59</v>
      </c>
      <c r="C106" s="158">
        <f>MIN(C9:C104)</f>
        <v>3.77</v>
      </c>
      <c r="D106" s="158">
        <f t="shared" ref="D106:Q106" si="0">MIN(D9:D104)</f>
        <v>3.24</v>
      </c>
      <c r="E106" s="158">
        <f t="shared" si="0"/>
        <v>1.18</v>
      </c>
      <c r="F106" s="158">
        <f t="shared" si="0"/>
        <v>2</v>
      </c>
      <c r="G106" s="158">
        <f t="shared" si="0"/>
        <v>0.84</v>
      </c>
      <c r="H106" s="158">
        <f t="shared" si="0"/>
        <v>0</v>
      </c>
      <c r="I106" s="158">
        <f t="shared" si="0"/>
        <v>2.2999999999999998</v>
      </c>
      <c r="J106" s="158">
        <f t="shared" si="0"/>
        <v>0.05</v>
      </c>
      <c r="K106" s="158">
        <f t="shared" si="0"/>
        <v>87.19</v>
      </c>
      <c r="L106" s="158">
        <f t="shared" si="0"/>
        <v>8.76</v>
      </c>
      <c r="M106" s="158">
        <f t="shared" si="0"/>
        <v>0.85</v>
      </c>
      <c r="N106" s="158">
        <f t="shared" si="0"/>
        <v>2.1</v>
      </c>
      <c r="O106" s="158">
        <f t="shared" si="0"/>
        <v>0</v>
      </c>
      <c r="P106" s="158">
        <f t="shared" si="0"/>
        <v>0.1</v>
      </c>
      <c r="Q106" s="158">
        <f t="shared" si="0"/>
        <v>9.5399999999999991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273.92</v>
      </c>
      <c r="C107" s="157">
        <f t="shared" ref="C107:Q107" si="1">MAX(C9:C104)</f>
        <v>205.91</v>
      </c>
      <c r="D107" s="157">
        <f t="shared" si="1"/>
        <v>294.39</v>
      </c>
      <c r="E107" s="157">
        <f t="shared" si="1"/>
        <v>170.59</v>
      </c>
      <c r="F107" s="157">
        <f t="shared" si="1"/>
        <v>21.33</v>
      </c>
      <c r="G107" s="157">
        <f t="shared" si="1"/>
        <v>29.82</v>
      </c>
      <c r="H107" s="157">
        <f t="shared" si="1"/>
        <v>19.21</v>
      </c>
      <c r="I107" s="157">
        <f t="shared" si="1"/>
        <v>13.66</v>
      </c>
      <c r="J107" s="157">
        <f t="shared" si="1"/>
        <v>0.75</v>
      </c>
      <c r="K107" s="157">
        <f t="shared" si="1"/>
        <v>157.12</v>
      </c>
      <c r="L107" s="157">
        <f t="shared" si="1"/>
        <v>24.95</v>
      </c>
      <c r="M107" s="157">
        <f t="shared" si="1"/>
        <v>56.21</v>
      </c>
      <c r="N107" s="157">
        <f t="shared" si="1"/>
        <v>538.29999999999995</v>
      </c>
      <c r="O107" s="157">
        <f t="shared" si="1"/>
        <v>0</v>
      </c>
      <c r="P107" s="157">
        <f t="shared" si="1"/>
        <v>0.39</v>
      </c>
      <c r="Q107" s="157">
        <f t="shared" si="1"/>
        <v>38.64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17.845416666666672</v>
      </c>
      <c r="C108" s="158">
        <f t="shared" ref="C108:Q108" si="2">AVERAGE(C9:C104)</f>
        <v>7.934479166666665</v>
      </c>
      <c r="D108" s="158">
        <f t="shared" si="2"/>
        <v>23.693541666666658</v>
      </c>
      <c r="E108" s="158">
        <f t="shared" si="2"/>
        <v>14.8609375</v>
      </c>
      <c r="F108" s="158">
        <f t="shared" si="2"/>
        <v>4.6478124999999997</v>
      </c>
      <c r="G108" s="158">
        <f t="shared" si="2"/>
        <v>13.055505617977529</v>
      </c>
      <c r="H108" s="158">
        <f t="shared" si="2"/>
        <v>7.0224719101123609</v>
      </c>
      <c r="I108" s="158">
        <f t="shared" si="2"/>
        <v>4.6930208333333328</v>
      </c>
      <c r="J108" s="158">
        <f t="shared" si="2"/>
        <v>0.31367346938775514</v>
      </c>
      <c r="K108" s="158">
        <f t="shared" si="2"/>
        <v>141.69326530612241</v>
      </c>
      <c r="L108" s="158">
        <f t="shared" si="2"/>
        <v>19.774897959183672</v>
      </c>
      <c r="M108" s="158">
        <f t="shared" si="2"/>
        <v>45.748775510204055</v>
      </c>
      <c r="N108" s="158">
        <f t="shared" si="2"/>
        <v>118.77142857142857</v>
      </c>
      <c r="O108" s="158">
        <f t="shared" si="2"/>
        <v>0</v>
      </c>
      <c r="P108" s="158">
        <f t="shared" si="2"/>
        <v>0.19718750000000004</v>
      </c>
      <c r="Q108" s="158">
        <f t="shared" si="2"/>
        <v>12.905833333333332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52.085161861516298</v>
      </c>
      <c r="C109" s="158">
        <f t="shared" ref="C109:Q109" si="3">STDEV(C9:C104)</f>
        <v>20.614285025057214</v>
      </c>
      <c r="D109" s="158">
        <f t="shared" si="3"/>
        <v>61.252852100799835</v>
      </c>
      <c r="E109" s="158">
        <f t="shared" si="3"/>
        <v>34.700009588293092</v>
      </c>
      <c r="F109" s="158">
        <f t="shared" si="3"/>
        <v>5.0033124192352494</v>
      </c>
      <c r="G109" s="158">
        <f t="shared" si="3"/>
        <v>7.1449610360977029</v>
      </c>
      <c r="H109" s="158">
        <f t="shared" si="3"/>
        <v>5.661027107436758</v>
      </c>
      <c r="I109" s="158">
        <f t="shared" si="3"/>
        <v>1.9492347323159076</v>
      </c>
      <c r="J109" s="158">
        <f t="shared" si="3"/>
        <v>0.26264435616081538</v>
      </c>
      <c r="K109" s="158">
        <f t="shared" si="3"/>
        <v>14.502748214815247</v>
      </c>
      <c r="L109" s="158">
        <f t="shared" si="3"/>
        <v>5.6878295224866857</v>
      </c>
      <c r="M109" s="158">
        <f t="shared" si="3"/>
        <v>13.781863479565827</v>
      </c>
      <c r="N109" s="158">
        <f t="shared" si="3"/>
        <v>165.06278603408262</v>
      </c>
      <c r="O109" s="158">
        <f t="shared" si="3"/>
        <v>0</v>
      </c>
      <c r="P109" s="158">
        <f t="shared" si="3"/>
        <v>6.5993669951626324E-2</v>
      </c>
      <c r="Q109" s="158">
        <f t="shared" si="3"/>
        <v>5.6165015645472298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COUNT(G9:G104)+7</f>
        <v>96</v>
      </c>
      <c r="H110" s="157">
        <f>COUNT(H9:H104)+7</f>
        <v>96</v>
      </c>
      <c r="I110" s="157">
        <f t="shared" si="4"/>
        <v>96</v>
      </c>
      <c r="J110" s="157">
        <f>COUNT(J9:J104)+47</f>
        <v>96</v>
      </c>
      <c r="K110" s="157">
        <f t="shared" ref="K110:N110" si="5">COUNT(K9:K104)+47</f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P109" sqref="P10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1873</v>
      </c>
      <c r="B9" s="100">
        <v>4.63</v>
      </c>
      <c r="C9" s="100">
        <v>4.97</v>
      </c>
      <c r="D9" s="100">
        <v>9.6</v>
      </c>
      <c r="E9" s="100">
        <v>5.27</v>
      </c>
      <c r="F9" s="100">
        <v>2</v>
      </c>
      <c r="G9" s="100">
        <v>29.82</v>
      </c>
      <c r="H9" s="100">
        <v>11.56</v>
      </c>
      <c r="I9" s="100">
        <v>5.7</v>
      </c>
      <c r="J9" s="151" t="s">
        <v>8</v>
      </c>
      <c r="K9" s="151" t="s">
        <v>8</v>
      </c>
      <c r="L9" s="151" t="s">
        <v>8</v>
      </c>
      <c r="M9" s="151" t="s">
        <v>8</v>
      </c>
      <c r="N9" s="151" t="s">
        <v>8</v>
      </c>
      <c r="O9" s="100">
        <v>0</v>
      </c>
      <c r="P9" s="100">
        <v>0.37</v>
      </c>
      <c r="Q9" s="100">
        <v>10</v>
      </c>
      <c r="R9" s="6"/>
      <c r="S9" s="6"/>
      <c r="T9" s="156"/>
      <c r="U9" s="6"/>
    </row>
    <row r="10" spans="1:21" customFormat="1">
      <c r="A10" s="201" t="s">
        <v>1874</v>
      </c>
      <c r="B10" s="100">
        <v>4.6500000000000004</v>
      </c>
      <c r="C10" s="100">
        <v>4.9400000000000004</v>
      </c>
      <c r="D10" s="100">
        <v>9.58</v>
      </c>
      <c r="E10" s="100">
        <v>5.88</v>
      </c>
      <c r="F10" s="100">
        <v>2</v>
      </c>
      <c r="G10" s="100">
        <v>27.57</v>
      </c>
      <c r="H10" s="100">
        <v>10.9</v>
      </c>
      <c r="I10" s="100">
        <v>5.62</v>
      </c>
      <c r="J10" s="151" t="s">
        <v>8</v>
      </c>
      <c r="K10" s="151" t="s">
        <v>8</v>
      </c>
      <c r="L10" s="151" t="s">
        <v>8</v>
      </c>
      <c r="M10" s="151" t="s">
        <v>8</v>
      </c>
      <c r="N10" s="151" t="s">
        <v>8</v>
      </c>
      <c r="O10" s="100">
        <v>0</v>
      </c>
      <c r="P10" s="100">
        <v>0.35</v>
      </c>
      <c r="Q10" s="100">
        <v>10</v>
      </c>
      <c r="R10" s="6"/>
      <c r="S10" s="6"/>
      <c r="T10" s="156"/>
      <c r="U10" s="6"/>
    </row>
    <row r="11" spans="1:21" customFormat="1">
      <c r="A11" s="201" t="s">
        <v>1875</v>
      </c>
      <c r="B11" s="100">
        <v>4.62</v>
      </c>
      <c r="C11" s="100">
        <v>5</v>
      </c>
      <c r="D11" s="100">
        <v>9.6199999999999992</v>
      </c>
      <c r="E11" s="100">
        <v>5.72</v>
      </c>
      <c r="F11" s="100">
        <v>2</v>
      </c>
      <c r="G11" s="100">
        <v>22.32</v>
      </c>
      <c r="H11" s="100">
        <v>9.9</v>
      </c>
      <c r="I11" s="100">
        <v>5.48</v>
      </c>
      <c r="J11" s="151" t="s">
        <v>8</v>
      </c>
      <c r="K11" s="151" t="s">
        <v>8</v>
      </c>
      <c r="L11" s="151" t="s">
        <v>8</v>
      </c>
      <c r="M11" s="151" t="s">
        <v>8</v>
      </c>
      <c r="N11" s="151" t="s">
        <v>8</v>
      </c>
      <c r="O11" s="100">
        <v>0</v>
      </c>
      <c r="P11" s="100">
        <v>0.34</v>
      </c>
      <c r="Q11" s="100">
        <v>10</v>
      </c>
      <c r="R11" s="6"/>
      <c r="S11" s="6"/>
      <c r="T11" s="156"/>
      <c r="U11" s="6"/>
    </row>
    <row r="12" spans="1:21" customFormat="1">
      <c r="A12" s="201" t="s">
        <v>1876</v>
      </c>
      <c r="B12" s="100">
        <v>4.5599999999999996</v>
      </c>
      <c r="C12" s="100">
        <v>5.0199999999999996</v>
      </c>
      <c r="D12" s="100">
        <v>9.58</v>
      </c>
      <c r="E12" s="100">
        <v>5.84</v>
      </c>
      <c r="F12" s="100">
        <v>2</v>
      </c>
      <c r="G12" s="100">
        <v>22.32</v>
      </c>
      <c r="H12" s="100">
        <v>9.9</v>
      </c>
      <c r="I12" s="100">
        <v>5.32</v>
      </c>
      <c r="J12" s="151" t="s">
        <v>8</v>
      </c>
      <c r="K12" s="151" t="s">
        <v>8</v>
      </c>
      <c r="L12" s="151" t="s">
        <v>8</v>
      </c>
      <c r="M12" s="151" t="s">
        <v>8</v>
      </c>
      <c r="N12" s="151" t="s">
        <v>8</v>
      </c>
      <c r="O12" s="100">
        <v>0</v>
      </c>
      <c r="P12" s="100">
        <v>0.35</v>
      </c>
      <c r="Q12" s="100">
        <v>10</v>
      </c>
      <c r="R12" s="6"/>
      <c r="S12" s="6"/>
      <c r="T12" s="156"/>
      <c r="U12" s="6"/>
    </row>
    <row r="13" spans="1:21" customFormat="1">
      <c r="A13" s="201" t="s">
        <v>1877</v>
      </c>
      <c r="B13" s="100">
        <v>4.54</v>
      </c>
      <c r="C13" s="100">
        <v>4.8899999999999997</v>
      </c>
      <c r="D13" s="100">
        <v>9.43</v>
      </c>
      <c r="E13" s="100">
        <v>5.74</v>
      </c>
      <c r="F13" s="100">
        <v>2</v>
      </c>
      <c r="G13" s="100">
        <v>22.32</v>
      </c>
      <c r="H13" s="100">
        <v>9.9</v>
      </c>
      <c r="I13" s="100">
        <v>5.2</v>
      </c>
      <c r="J13" s="151" t="s">
        <v>8</v>
      </c>
      <c r="K13" s="151" t="s">
        <v>8</v>
      </c>
      <c r="L13" s="151" t="s">
        <v>8</v>
      </c>
      <c r="M13" s="151" t="s">
        <v>8</v>
      </c>
      <c r="N13" s="151" t="s">
        <v>8</v>
      </c>
      <c r="O13" s="100">
        <v>0</v>
      </c>
      <c r="P13" s="100">
        <v>0.35</v>
      </c>
      <c r="Q13" s="100">
        <v>10</v>
      </c>
      <c r="R13" s="6"/>
      <c r="S13" s="6"/>
      <c r="T13" s="156"/>
      <c r="U13" s="6"/>
    </row>
    <row r="14" spans="1:21" customFormat="1">
      <c r="A14" s="201" t="s">
        <v>1878</v>
      </c>
      <c r="B14" s="100">
        <v>4.51</v>
      </c>
      <c r="C14" s="100">
        <v>4.82</v>
      </c>
      <c r="D14" s="100">
        <v>9.33</v>
      </c>
      <c r="E14" s="100">
        <v>5.85</v>
      </c>
      <c r="F14" s="100">
        <v>2</v>
      </c>
      <c r="G14" s="100">
        <v>22.21</v>
      </c>
      <c r="H14" s="100">
        <v>8.82</v>
      </c>
      <c r="I14" s="100">
        <v>5.16</v>
      </c>
      <c r="J14" s="151" t="s">
        <v>8</v>
      </c>
      <c r="K14" s="151" t="s">
        <v>8</v>
      </c>
      <c r="L14" s="151" t="s">
        <v>8</v>
      </c>
      <c r="M14" s="151" t="s">
        <v>8</v>
      </c>
      <c r="N14" s="151" t="s">
        <v>8</v>
      </c>
      <c r="O14" s="100">
        <v>0</v>
      </c>
      <c r="P14" s="100">
        <v>0.33</v>
      </c>
      <c r="Q14" s="100">
        <v>10</v>
      </c>
      <c r="R14" s="6"/>
      <c r="S14" s="6"/>
      <c r="T14" s="156"/>
      <c r="U14" s="6"/>
    </row>
    <row r="15" spans="1:21" customFormat="1">
      <c r="A15" s="201" t="s">
        <v>1879</v>
      </c>
      <c r="B15" s="100">
        <v>4.4800000000000004</v>
      </c>
      <c r="C15" s="100">
        <v>4.92</v>
      </c>
      <c r="D15" s="100">
        <v>9.4</v>
      </c>
      <c r="E15" s="100">
        <v>6.09</v>
      </c>
      <c r="F15" s="100">
        <v>2.0099999999999998</v>
      </c>
      <c r="G15" s="100">
        <v>21.97</v>
      </c>
      <c r="H15" s="100">
        <v>7.17</v>
      </c>
      <c r="I15" s="100">
        <v>5.04</v>
      </c>
      <c r="J15" s="151" t="s">
        <v>8</v>
      </c>
      <c r="K15" s="151" t="s">
        <v>8</v>
      </c>
      <c r="L15" s="151" t="s">
        <v>8</v>
      </c>
      <c r="M15" s="151" t="s">
        <v>8</v>
      </c>
      <c r="N15" s="151" t="s">
        <v>8</v>
      </c>
      <c r="O15" s="100">
        <v>0</v>
      </c>
      <c r="P15" s="100">
        <v>0.32</v>
      </c>
      <c r="Q15" s="100">
        <v>14.3</v>
      </c>
      <c r="R15" s="6"/>
      <c r="S15" s="6"/>
      <c r="T15" s="156"/>
      <c r="U15" s="6"/>
    </row>
    <row r="16" spans="1:21" customFormat="1">
      <c r="A16" s="201" t="s">
        <v>1880</v>
      </c>
      <c r="B16" s="100">
        <v>4.4800000000000004</v>
      </c>
      <c r="C16" s="100">
        <v>4.95</v>
      </c>
      <c r="D16" s="100">
        <v>9.43</v>
      </c>
      <c r="E16" s="100">
        <v>6.12</v>
      </c>
      <c r="F16" s="100">
        <v>2</v>
      </c>
      <c r="G16" s="100">
        <v>21.97</v>
      </c>
      <c r="H16" s="100">
        <v>7.17</v>
      </c>
      <c r="I16" s="100">
        <v>4.93</v>
      </c>
      <c r="J16" s="151" t="s">
        <v>8</v>
      </c>
      <c r="K16" s="151" t="s">
        <v>8</v>
      </c>
      <c r="L16" s="151" t="s">
        <v>8</v>
      </c>
      <c r="M16" s="151" t="s">
        <v>8</v>
      </c>
      <c r="N16" s="151" t="s">
        <v>8</v>
      </c>
      <c r="O16" s="100">
        <v>0</v>
      </c>
      <c r="P16" s="100">
        <v>0.32</v>
      </c>
      <c r="Q16" s="100">
        <v>10.84</v>
      </c>
      <c r="R16" s="6"/>
      <c r="S16" s="6"/>
      <c r="T16" s="156"/>
      <c r="U16" s="6"/>
    </row>
    <row r="17" spans="1:21" customFormat="1">
      <c r="A17" s="201" t="s">
        <v>1881</v>
      </c>
      <c r="B17" s="100">
        <v>4.57</v>
      </c>
      <c r="C17" s="100">
        <v>4.7300000000000004</v>
      </c>
      <c r="D17" s="100">
        <v>9.3000000000000007</v>
      </c>
      <c r="E17" s="100">
        <v>3.95</v>
      </c>
      <c r="F17" s="100">
        <v>2</v>
      </c>
      <c r="G17" s="100">
        <v>21.97</v>
      </c>
      <c r="H17" s="100">
        <v>7.17</v>
      </c>
      <c r="I17" s="100">
        <v>4.82</v>
      </c>
      <c r="J17" s="151" t="s">
        <v>8</v>
      </c>
      <c r="K17" s="151" t="s">
        <v>8</v>
      </c>
      <c r="L17" s="151" t="s">
        <v>8</v>
      </c>
      <c r="M17" s="151" t="s">
        <v>8</v>
      </c>
      <c r="N17" s="151" t="s">
        <v>8</v>
      </c>
      <c r="O17" s="100">
        <v>0</v>
      </c>
      <c r="P17" s="100">
        <v>0.28999999999999998</v>
      </c>
      <c r="Q17" s="100">
        <v>10</v>
      </c>
      <c r="R17" s="6"/>
      <c r="S17" s="6"/>
      <c r="T17" s="156"/>
      <c r="U17" s="6"/>
    </row>
    <row r="18" spans="1:21" customFormat="1">
      <c r="A18" s="201" t="s">
        <v>1882</v>
      </c>
      <c r="B18" s="100">
        <v>4.6399999999999997</v>
      </c>
      <c r="C18" s="100">
        <v>4.46</v>
      </c>
      <c r="D18" s="100">
        <v>9.11</v>
      </c>
      <c r="E18" s="100">
        <v>4.4800000000000004</v>
      </c>
      <c r="F18" s="100">
        <v>2.09</v>
      </c>
      <c r="G18" s="100">
        <v>21.36</v>
      </c>
      <c r="H18" s="100">
        <v>6.76</v>
      </c>
      <c r="I18" s="100">
        <v>4.79</v>
      </c>
      <c r="J18" s="151" t="s">
        <v>8</v>
      </c>
      <c r="K18" s="151" t="s">
        <v>8</v>
      </c>
      <c r="L18" s="151" t="s">
        <v>8</v>
      </c>
      <c r="M18" s="151" t="s">
        <v>8</v>
      </c>
      <c r="N18" s="151" t="s">
        <v>8</v>
      </c>
      <c r="O18" s="100">
        <v>0</v>
      </c>
      <c r="P18" s="100">
        <v>0.27</v>
      </c>
      <c r="Q18" s="100">
        <v>10</v>
      </c>
      <c r="R18" s="6"/>
      <c r="S18" s="6"/>
      <c r="T18" s="156"/>
      <c r="U18" s="6"/>
    </row>
    <row r="19" spans="1:21" customFormat="1">
      <c r="A19" s="201" t="s">
        <v>1883</v>
      </c>
      <c r="B19" s="100">
        <v>4.79</v>
      </c>
      <c r="C19" s="100">
        <v>4.4400000000000004</v>
      </c>
      <c r="D19" s="100">
        <v>9.24</v>
      </c>
      <c r="E19" s="100">
        <v>4.13</v>
      </c>
      <c r="F19" s="100">
        <v>2</v>
      </c>
      <c r="G19" s="100">
        <v>19.87</v>
      </c>
      <c r="H19" s="100">
        <v>5.1100000000000003</v>
      </c>
      <c r="I19" s="100">
        <v>4.71</v>
      </c>
      <c r="J19" s="151" t="s">
        <v>8</v>
      </c>
      <c r="K19" s="151" t="s">
        <v>8</v>
      </c>
      <c r="L19" s="151" t="s">
        <v>8</v>
      </c>
      <c r="M19" s="151" t="s">
        <v>8</v>
      </c>
      <c r="N19" s="151" t="s">
        <v>8</v>
      </c>
      <c r="O19" s="100">
        <v>0</v>
      </c>
      <c r="P19" s="100">
        <v>0.27</v>
      </c>
      <c r="Q19" s="100">
        <v>10.43</v>
      </c>
      <c r="R19" s="6"/>
      <c r="S19" s="6"/>
      <c r="T19" s="156"/>
      <c r="U19" s="6"/>
    </row>
    <row r="20" spans="1:21" customFormat="1">
      <c r="A20" s="201" t="s">
        <v>1884</v>
      </c>
      <c r="B20" s="100">
        <v>4.96</v>
      </c>
      <c r="C20" s="100">
        <v>4.72</v>
      </c>
      <c r="D20" s="100">
        <v>9.67</v>
      </c>
      <c r="E20" s="100">
        <v>4.29</v>
      </c>
      <c r="F20" s="100">
        <v>2</v>
      </c>
      <c r="G20" s="100">
        <v>19.87</v>
      </c>
      <c r="H20" s="100">
        <v>5.1100000000000003</v>
      </c>
      <c r="I20" s="100">
        <v>4.7699999999999996</v>
      </c>
      <c r="J20" s="151" t="s">
        <v>8</v>
      </c>
      <c r="K20" s="151" t="s">
        <v>8</v>
      </c>
      <c r="L20" s="151" t="s">
        <v>8</v>
      </c>
      <c r="M20" s="151" t="s">
        <v>8</v>
      </c>
      <c r="N20" s="151" t="s">
        <v>8</v>
      </c>
      <c r="O20" s="100">
        <v>0</v>
      </c>
      <c r="P20" s="100">
        <v>0.27</v>
      </c>
      <c r="Q20" s="100">
        <v>10</v>
      </c>
      <c r="R20" s="6"/>
      <c r="S20" s="6"/>
      <c r="T20" s="156"/>
      <c r="U20" s="6"/>
    </row>
    <row r="21" spans="1:21" customFormat="1">
      <c r="A21" s="201" t="s">
        <v>1885</v>
      </c>
      <c r="B21" s="100">
        <v>5.0199999999999996</v>
      </c>
      <c r="C21" s="100">
        <v>4.51</v>
      </c>
      <c r="D21" s="100">
        <v>9.5299999999999994</v>
      </c>
      <c r="E21" s="100">
        <v>4.32</v>
      </c>
      <c r="F21" s="100">
        <v>2</v>
      </c>
      <c r="G21" s="100">
        <v>19.87</v>
      </c>
      <c r="H21" s="100">
        <v>5.1100000000000003</v>
      </c>
      <c r="I21" s="100">
        <v>4.7300000000000004</v>
      </c>
      <c r="J21" s="151" t="s">
        <v>8</v>
      </c>
      <c r="K21" s="151" t="s">
        <v>8</v>
      </c>
      <c r="L21" s="151" t="s">
        <v>8</v>
      </c>
      <c r="M21" s="151" t="s">
        <v>8</v>
      </c>
      <c r="N21" s="151" t="s">
        <v>8</v>
      </c>
      <c r="O21" s="100">
        <v>0</v>
      </c>
      <c r="P21" s="100">
        <v>0.26</v>
      </c>
      <c r="Q21" s="100">
        <v>10</v>
      </c>
      <c r="R21" s="6"/>
      <c r="S21" s="6"/>
      <c r="T21" s="156"/>
      <c r="U21" s="6"/>
    </row>
    <row r="22" spans="1:21" customFormat="1">
      <c r="A22" s="201" t="s">
        <v>1886</v>
      </c>
      <c r="B22" s="100">
        <v>5.0599999999999996</v>
      </c>
      <c r="C22" s="100">
        <v>4.4800000000000004</v>
      </c>
      <c r="D22" s="100">
        <v>9.5399999999999991</v>
      </c>
      <c r="E22" s="100">
        <v>4.09</v>
      </c>
      <c r="F22" s="100">
        <v>2</v>
      </c>
      <c r="G22" s="100">
        <v>18.28</v>
      </c>
      <c r="H22" s="100">
        <v>4.66</v>
      </c>
      <c r="I22" s="100">
        <v>4.6900000000000004</v>
      </c>
      <c r="J22" s="151" t="s">
        <v>8</v>
      </c>
      <c r="K22" s="151" t="s">
        <v>8</v>
      </c>
      <c r="L22" s="151" t="s">
        <v>8</v>
      </c>
      <c r="M22" s="151" t="s">
        <v>8</v>
      </c>
      <c r="N22" s="151" t="s">
        <v>8</v>
      </c>
      <c r="O22" s="100">
        <v>0</v>
      </c>
      <c r="P22" s="100">
        <v>0.26</v>
      </c>
      <c r="Q22" s="100">
        <v>10</v>
      </c>
      <c r="R22" s="6"/>
      <c r="S22" s="6"/>
      <c r="T22" s="156"/>
      <c r="U22" s="6"/>
    </row>
    <row r="23" spans="1:21" customFormat="1">
      <c r="A23" s="201" t="s">
        <v>1887</v>
      </c>
      <c r="B23" s="100">
        <v>5.14</v>
      </c>
      <c r="C23" s="100">
        <v>4.8600000000000003</v>
      </c>
      <c r="D23" s="100">
        <v>10</v>
      </c>
      <c r="E23" s="100">
        <v>4.01</v>
      </c>
      <c r="F23" s="100">
        <v>2</v>
      </c>
      <c r="G23" s="100">
        <v>14.39</v>
      </c>
      <c r="H23" s="100">
        <v>3.97</v>
      </c>
      <c r="I23" s="100">
        <v>4.6900000000000004</v>
      </c>
      <c r="J23" s="151" t="s">
        <v>8</v>
      </c>
      <c r="K23" s="151" t="s">
        <v>8</v>
      </c>
      <c r="L23" s="151" t="s">
        <v>8</v>
      </c>
      <c r="M23" s="151" t="s">
        <v>8</v>
      </c>
      <c r="N23" s="151" t="s">
        <v>8</v>
      </c>
      <c r="O23" s="100">
        <v>0</v>
      </c>
      <c r="P23" s="100">
        <v>0.26</v>
      </c>
      <c r="Q23" s="100">
        <v>10</v>
      </c>
      <c r="R23" s="6"/>
      <c r="S23" s="6"/>
      <c r="T23" s="156"/>
      <c r="U23" s="6"/>
    </row>
    <row r="24" spans="1:21" customFormat="1">
      <c r="A24" s="201" t="s">
        <v>1888</v>
      </c>
      <c r="B24" s="100">
        <v>5.22</v>
      </c>
      <c r="C24" s="100">
        <v>4.76</v>
      </c>
      <c r="D24" s="100">
        <v>9.98</v>
      </c>
      <c r="E24" s="100">
        <v>4.5</v>
      </c>
      <c r="F24" s="100">
        <v>2</v>
      </c>
      <c r="G24" s="100">
        <v>14.39</v>
      </c>
      <c r="H24" s="100">
        <v>3.97</v>
      </c>
      <c r="I24" s="100">
        <v>4.51</v>
      </c>
      <c r="J24" s="151" t="s">
        <v>8</v>
      </c>
      <c r="K24" s="151" t="s">
        <v>8</v>
      </c>
      <c r="L24" s="151" t="s">
        <v>8</v>
      </c>
      <c r="M24" s="151" t="s">
        <v>8</v>
      </c>
      <c r="N24" s="151" t="s">
        <v>8</v>
      </c>
      <c r="O24" s="100">
        <v>0</v>
      </c>
      <c r="P24" s="100">
        <v>0.26</v>
      </c>
      <c r="Q24" s="100">
        <v>10</v>
      </c>
      <c r="R24" s="6"/>
      <c r="S24" s="6"/>
      <c r="T24" s="156"/>
      <c r="U24" s="6"/>
    </row>
    <row r="25" spans="1:21" customFormat="1">
      <c r="A25" s="201" t="s">
        <v>1889</v>
      </c>
      <c r="B25" s="100">
        <v>5.2</v>
      </c>
      <c r="C25" s="100">
        <v>4.6399999999999997</v>
      </c>
      <c r="D25" s="100">
        <v>9.84</v>
      </c>
      <c r="E25" s="100">
        <v>4.0599999999999996</v>
      </c>
      <c r="F25" s="100">
        <v>2</v>
      </c>
      <c r="G25" s="100">
        <v>14.39</v>
      </c>
      <c r="H25" s="100">
        <v>3.97</v>
      </c>
      <c r="I25" s="100">
        <v>4.58</v>
      </c>
      <c r="J25" s="151" t="s">
        <v>8</v>
      </c>
      <c r="K25" s="151" t="s">
        <v>8</v>
      </c>
      <c r="L25" s="151" t="s">
        <v>8</v>
      </c>
      <c r="M25" s="151" t="s">
        <v>8</v>
      </c>
      <c r="N25" s="151" t="s">
        <v>8</v>
      </c>
      <c r="O25" s="100">
        <v>0</v>
      </c>
      <c r="P25" s="100">
        <v>0.24</v>
      </c>
      <c r="Q25" s="100">
        <v>10</v>
      </c>
      <c r="R25" s="6"/>
      <c r="S25" s="6"/>
      <c r="T25" s="156"/>
      <c r="U25" s="6"/>
    </row>
    <row r="26" spans="1:21" customFormat="1">
      <c r="A26" s="201" t="s">
        <v>1890</v>
      </c>
      <c r="B26" s="100">
        <v>5.25</v>
      </c>
      <c r="C26" s="100">
        <v>4.78</v>
      </c>
      <c r="D26" s="100">
        <v>10.029999999999999</v>
      </c>
      <c r="E26" s="100">
        <v>3.74</v>
      </c>
      <c r="F26" s="100">
        <v>2.0099999999999998</v>
      </c>
      <c r="G26" s="100">
        <v>14.31</v>
      </c>
      <c r="H26" s="100">
        <v>3.61</v>
      </c>
      <c r="I26" s="100">
        <v>4.6100000000000003</v>
      </c>
      <c r="J26" s="151" t="s">
        <v>8</v>
      </c>
      <c r="K26" s="151" t="s">
        <v>8</v>
      </c>
      <c r="L26" s="151" t="s">
        <v>8</v>
      </c>
      <c r="M26" s="151" t="s">
        <v>8</v>
      </c>
      <c r="N26" s="151" t="s">
        <v>8</v>
      </c>
      <c r="O26" s="100">
        <v>0</v>
      </c>
      <c r="P26" s="100">
        <v>0.26</v>
      </c>
      <c r="Q26" s="100">
        <v>10.07</v>
      </c>
      <c r="R26" s="6"/>
      <c r="S26" s="6"/>
      <c r="T26" s="156"/>
      <c r="U26" s="6"/>
    </row>
    <row r="27" spans="1:21" customFormat="1">
      <c r="A27" s="201" t="s">
        <v>1891</v>
      </c>
      <c r="B27" s="100">
        <v>5.37</v>
      </c>
      <c r="C27" s="100">
        <v>4.9400000000000004</v>
      </c>
      <c r="D27" s="100">
        <v>10.31</v>
      </c>
      <c r="E27" s="100">
        <v>4.2300000000000004</v>
      </c>
      <c r="F27" s="100">
        <v>2</v>
      </c>
      <c r="G27" s="100">
        <v>14.14</v>
      </c>
      <c r="H27" s="100">
        <v>3.05</v>
      </c>
      <c r="I27" s="100">
        <v>4.4000000000000004</v>
      </c>
      <c r="J27" s="151" t="s">
        <v>8</v>
      </c>
      <c r="K27" s="151" t="s">
        <v>8</v>
      </c>
      <c r="L27" s="151" t="s">
        <v>8</v>
      </c>
      <c r="M27" s="151" t="s">
        <v>8</v>
      </c>
      <c r="N27" s="151" t="s">
        <v>8</v>
      </c>
      <c r="O27" s="100">
        <v>0</v>
      </c>
      <c r="P27" s="100">
        <v>0.25</v>
      </c>
      <c r="Q27" s="100">
        <v>10.39</v>
      </c>
      <c r="R27" s="6"/>
      <c r="S27" s="6"/>
      <c r="T27" s="156"/>
      <c r="U27" s="6"/>
    </row>
    <row r="28" spans="1:21" customFormat="1">
      <c r="A28" s="201" t="s">
        <v>1892</v>
      </c>
      <c r="B28" s="100">
        <v>5.36</v>
      </c>
      <c r="C28" s="100">
        <v>4.71</v>
      </c>
      <c r="D28" s="100">
        <v>10.07</v>
      </c>
      <c r="E28" s="100">
        <v>4.22</v>
      </c>
      <c r="F28" s="100">
        <v>2</v>
      </c>
      <c r="G28" s="100">
        <v>14.14</v>
      </c>
      <c r="H28" s="100">
        <v>3.05</v>
      </c>
      <c r="I28" s="100">
        <v>4.46</v>
      </c>
      <c r="J28" s="151" t="s">
        <v>8</v>
      </c>
      <c r="K28" s="151" t="s">
        <v>8</v>
      </c>
      <c r="L28" s="151" t="s">
        <v>8</v>
      </c>
      <c r="M28" s="151" t="s">
        <v>8</v>
      </c>
      <c r="N28" s="151" t="s">
        <v>8</v>
      </c>
      <c r="O28" s="100">
        <v>0</v>
      </c>
      <c r="P28" s="100">
        <v>0.24</v>
      </c>
      <c r="Q28" s="100">
        <v>10.3</v>
      </c>
      <c r="R28" s="6"/>
      <c r="S28" s="6"/>
      <c r="T28" s="156"/>
      <c r="U28" s="6"/>
    </row>
    <row r="29" spans="1:21" customFormat="1">
      <c r="A29" s="201" t="s">
        <v>1893</v>
      </c>
      <c r="B29" s="100">
        <v>5.43</v>
      </c>
      <c r="C29" s="100">
        <v>4.8499999999999996</v>
      </c>
      <c r="D29" s="100">
        <v>10.28</v>
      </c>
      <c r="E29" s="100">
        <v>4.24</v>
      </c>
      <c r="F29" s="100">
        <v>2</v>
      </c>
      <c r="G29" s="100">
        <v>14.14</v>
      </c>
      <c r="H29" s="100">
        <v>3.05</v>
      </c>
      <c r="I29" s="100">
        <v>4.37</v>
      </c>
      <c r="J29" s="151" t="s">
        <v>8</v>
      </c>
      <c r="K29" s="151" t="s">
        <v>8</v>
      </c>
      <c r="L29" s="151" t="s">
        <v>8</v>
      </c>
      <c r="M29" s="151" t="s">
        <v>8</v>
      </c>
      <c r="N29" s="151" t="s">
        <v>8</v>
      </c>
      <c r="O29" s="100">
        <v>0</v>
      </c>
      <c r="P29" s="100">
        <v>0.25</v>
      </c>
      <c r="Q29" s="100">
        <v>10.199999999999999</v>
      </c>
      <c r="R29" s="6"/>
      <c r="S29" s="6"/>
      <c r="T29" s="156"/>
      <c r="U29" s="6"/>
    </row>
    <row r="30" spans="1:21" customFormat="1">
      <c r="A30" s="201" t="s">
        <v>1894</v>
      </c>
      <c r="B30" s="100">
        <v>5.5</v>
      </c>
      <c r="C30" s="100">
        <v>4.93</v>
      </c>
      <c r="D30" s="100">
        <v>10.43</v>
      </c>
      <c r="E30" s="100">
        <v>4.7</v>
      </c>
      <c r="F30" s="100">
        <v>2</v>
      </c>
      <c r="G30" s="100">
        <v>12.92</v>
      </c>
      <c r="H30" s="100">
        <v>4.16</v>
      </c>
      <c r="I30" s="100">
        <v>4.29</v>
      </c>
      <c r="J30" s="151" t="s">
        <v>8</v>
      </c>
      <c r="K30" s="151" t="s">
        <v>8</v>
      </c>
      <c r="L30" s="151" t="s">
        <v>8</v>
      </c>
      <c r="M30" s="151" t="s">
        <v>8</v>
      </c>
      <c r="N30" s="151" t="s">
        <v>8</v>
      </c>
      <c r="O30" s="100">
        <v>0</v>
      </c>
      <c r="P30" s="100">
        <v>0.25</v>
      </c>
      <c r="Q30" s="100">
        <v>10.039999999999999</v>
      </c>
      <c r="R30" s="6"/>
      <c r="S30" s="6"/>
      <c r="T30" s="156"/>
      <c r="U30" s="6"/>
    </row>
    <row r="31" spans="1:21" customFormat="1">
      <c r="A31" s="201" t="s">
        <v>1895</v>
      </c>
      <c r="B31" s="100">
        <v>5.56</v>
      </c>
      <c r="C31" s="100">
        <v>4.74</v>
      </c>
      <c r="D31" s="100">
        <v>10.29</v>
      </c>
      <c r="E31" s="100">
        <v>4.45</v>
      </c>
      <c r="F31" s="100">
        <v>2</v>
      </c>
      <c r="G31" s="100">
        <v>10.07</v>
      </c>
      <c r="H31" s="100">
        <v>5.86</v>
      </c>
      <c r="I31" s="100">
        <v>4.3099999999999996</v>
      </c>
      <c r="J31" s="151" t="s">
        <v>8</v>
      </c>
      <c r="K31" s="151" t="s">
        <v>8</v>
      </c>
      <c r="L31" s="151" t="s">
        <v>8</v>
      </c>
      <c r="M31" s="151" t="s">
        <v>8</v>
      </c>
      <c r="N31" s="151" t="s">
        <v>8</v>
      </c>
      <c r="O31" s="100">
        <v>0</v>
      </c>
      <c r="P31" s="100">
        <v>0.24</v>
      </c>
      <c r="Q31" s="100">
        <v>10</v>
      </c>
      <c r="R31" s="6"/>
      <c r="S31" s="6"/>
      <c r="T31" s="156"/>
      <c r="U31" s="6"/>
    </row>
    <row r="32" spans="1:21" customFormat="1">
      <c r="A32" s="201" t="s">
        <v>1896</v>
      </c>
      <c r="B32" s="100">
        <v>5.64</v>
      </c>
      <c r="C32" s="100">
        <v>4.91</v>
      </c>
      <c r="D32" s="100">
        <v>10.55</v>
      </c>
      <c r="E32" s="100">
        <v>4.54</v>
      </c>
      <c r="F32" s="100">
        <v>2</v>
      </c>
      <c r="G32" s="100">
        <v>10.07</v>
      </c>
      <c r="H32" s="100">
        <v>5.86</v>
      </c>
      <c r="I32" s="100">
        <v>4.3600000000000003</v>
      </c>
      <c r="J32" s="151" t="s">
        <v>8</v>
      </c>
      <c r="K32" s="151" t="s">
        <v>8</v>
      </c>
      <c r="L32" s="151" t="s">
        <v>8</v>
      </c>
      <c r="M32" s="151" t="s">
        <v>8</v>
      </c>
      <c r="N32" s="151" t="s">
        <v>8</v>
      </c>
      <c r="O32" s="100">
        <v>0</v>
      </c>
      <c r="P32" s="100">
        <v>0.24</v>
      </c>
      <c r="Q32" s="100">
        <v>10</v>
      </c>
      <c r="R32" s="6"/>
      <c r="S32" s="6"/>
      <c r="T32" s="156"/>
      <c r="U32" s="6"/>
    </row>
    <row r="33" spans="1:21" customFormat="1">
      <c r="A33" s="201" t="s">
        <v>1897</v>
      </c>
      <c r="B33" s="100">
        <v>5.71</v>
      </c>
      <c r="C33" s="100">
        <v>4.6500000000000004</v>
      </c>
      <c r="D33" s="100">
        <v>10.36</v>
      </c>
      <c r="E33" s="100">
        <v>4.66</v>
      </c>
      <c r="F33" s="100">
        <v>2</v>
      </c>
      <c r="G33" s="100">
        <v>10.07</v>
      </c>
      <c r="H33" s="100">
        <v>5.86</v>
      </c>
      <c r="I33" s="100">
        <v>4.2</v>
      </c>
      <c r="J33" s="151" t="s">
        <v>8</v>
      </c>
      <c r="K33" s="151" t="s">
        <v>8</v>
      </c>
      <c r="L33" s="151" t="s">
        <v>8</v>
      </c>
      <c r="M33" s="151" t="s">
        <v>8</v>
      </c>
      <c r="N33" s="151" t="s">
        <v>8</v>
      </c>
      <c r="O33" s="100">
        <v>0</v>
      </c>
      <c r="P33" s="100">
        <v>0.22</v>
      </c>
      <c r="Q33" s="100">
        <v>13.76</v>
      </c>
      <c r="R33" s="6"/>
      <c r="S33" s="6"/>
      <c r="T33" s="156"/>
      <c r="U33" s="6"/>
    </row>
    <row r="34" spans="1:21" customFormat="1">
      <c r="A34" s="201" t="s">
        <v>1898</v>
      </c>
      <c r="B34" s="100">
        <v>5.72</v>
      </c>
      <c r="C34" s="100">
        <v>4.6500000000000004</v>
      </c>
      <c r="D34" s="100">
        <v>10.37</v>
      </c>
      <c r="E34" s="100">
        <v>4.43</v>
      </c>
      <c r="F34" s="100">
        <v>2</v>
      </c>
      <c r="G34" s="100">
        <v>11.53</v>
      </c>
      <c r="H34" s="100">
        <v>5.59</v>
      </c>
      <c r="I34" s="100">
        <v>4.22</v>
      </c>
      <c r="J34" s="151" t="s">
        <v>8</v>
      </c>
      <c r="K34" s="151" t="s">
        <v>8</v>
      </c>
      <c r="L34" s="151" t="s">
        <v>8</v>
      </c>
      <c r="M34" s="151" t="s">
        <v>8</v>
      </c>
      <c r="N34" s="151" t="s">
        <v>8</v>
      </c>
      <c r="O34" s="100">
        <v>0</v>
      </c>
      <c r="P34" s="100">
        <v>0.22</v>
      </c>
      <c r="Q34" s="100">
        <v>10.039999999999999</v>
      </c>
      <c r="R34" s="6"/>
      <c r="S34" s="6"/>
      <c r="T34" s="156"/>
      <c r="U34" s="6"/>
    </row>
    <row r="35" spans="1:21" customFormat="1">
      <c r="A35" s="201" t="s">
        <v>1899</v>
      </c>
      <c r="B35" s="100">
        <v>5.85</v>
      </c>
      <c r="C35" s="100">
        <v>5</v>
      </c>
      <c r="D35" s="100">
        <v>10.85</v>
      </c>
      <c r="E35" s="100">
        <v>4.57</v>
      </c>
      <c r="F35" s="100">
        <v>2</v>
      </c>
      <c r="G35" s="100">
        <v>14.94</v>
      </c>
      <c r="H35" s="100">
        <v>4.51</v>
      </c>
      <c r="I35" s="100">
        <v>4.24</v>
      </c>
      <c r="J35" s="151" t="s">
        <v>8</v>
      </c>
      <c r="K35" s="151" t="s">
        <v>8</v>
      </c>
      <c r="L35" s="151" t="s">
        <v>8</v>
      </c>
      <c r="M35" s="151" t="s">
        <v>8</v>
      </c>
      <c r="N35" s="151" t="s">
        <v>8</v>
      </c>
      <c r="O35" s="100">
        <v>0</v>
      </c>
      <c r="P35" s="100">
        <v>0.24</v>
      </c>
      <c r="Q35" s="100">
        <v>10</v>
      </c>
      <c r="R35" s="6"/>
      <c r="S35" s="6"/>
      <c r="T35" s="156"/>
      <c r="U35" s="6"/>
    </row>
    <row r="36" spans="1:21" customFormat="1">
      <c r="A36" s="201" t="s">
        <v>1900</v>
      </c>
      <c r="B36" s="100">
        <v>5.84</v>
      </c>
      <c r="C36" s="100">
        <v>5.17</v>
      </c>
      <c r="D36" s="100">
        <v>11.01</v>
      </c>
      <c r="E36" s="100">
        <v>4.5599999999999996</v>
      </c>
      <c r="F36" s="100">
        <v>2</v>
      </c>
      <c r="G36" s="100">
        <v>14.94</v>
      </c>
      <c r="H36" s="100">
        <v>4.51</v>
      </c>
      <c r="I36" s="100">
        <v>4.1100000000000003</v>
      </c>
      <c r="J36" s="151" t="s">
        <v>8</v>
      </c>
      <c r="K36" s="151" t="s">
        <v>8</v>
      </c>
      <c r="L36" s="151" t="s">
        <v>8</v>
      </c>
      <c r="M36" s="151" t="s">
        <v>8</v>
      </c>
      <c r="N36" s="151" t="s">
        <v>8</v>
      </c>
      <c r="O36" s="100">
        <v>0</v>
      </c>
      <c r="P36" s="100">
        <v>0.26</v>
      </c>
      <c r="Q36" s="100">
        <v>10.01</v>
      </c>
      <c r="R36" s="6"/>
      <c r="S36" s="6"/>
      <c r="T36" s="156"/>
      <c r="U36" s="6"/>
    </row>
    <row r="37" spans="1:21" customFormat="1">
      <c r="A37" s="201" t="s">
        <v>1901</v>
      </c>
      <c r="B37" s="100">
        <v>5.74</v>
      </c>
      <c r="C37" s="100">
        <v>5.1100000000000003</v>
      </c>
      <c r="D37" s="100">
        <v>10.84</v>
      </c>
      <c r="E37" s="100">
        <v>5.24</v>
      </c>
      <c r="F37" s="100">
        <v>2</v>
      </c>
      <c r="G37" s="100">
        <v>14.94</v>
      </c>
      <c r="H37" s="100">
        <v>4.51</v>
      </c>
      <c r="I37" s="100">
        <v>4.22</v>
      </c>
      <c r="J37" s="151" t="s">
        <v>8</v>
      </c>
      <c r="K37" s="151" t="s">
        <v>8</v>
      </c>
      <c r="L37" s="151" t="s">
        <v>8</v>
      </c>
      <c r="M37" s="151" t="s">
        <v>8</v>
      </c>
      <c r="N37" s="151" t="s">
        <v>8</v>
      </c>
      <c r="O37" s="100">
        <v>0</v>
      </c>
      <c r="P37" s="100">
        <v>0.26</v>
      </c>
      <c r="Q37" s="100">
        <v>10</v>
      </c>
      <c r="R37" s="6"/>
      <c r="S37" s="6"/>
      <c r="T37" s="156"/>
      <c r="U37" s="6"/>
    </row>
    <row r="38" spans="1:21" customFormat="1">
      <c r="A38" s="201" t="s">
        <v>1902</v>
      </c>
      <c r="B38" s="100">
        <v>5.63</v>
      </c>
      <c r="C38" s="100">
        <v>5.05</v>
      </c>
      <c r="D38" s="100">
        <v>10.69</v>
      </c>
      <c r="E38" s="100">
        <v>4.95</v>
      </c>
      <c r="F38" s="100">
        <v>2</v>
      </c>
      <c r="G38" s="100">
        <v>14.75</v>
      </c>
      <c r="H38" s="100">
        <v>4.95</v>
      </c>
      <c r="I38" s="100">
        <v>4.08</v>
      </c>
      <c r="J38" s="151" t="s">
        <v>8</v>
      </c>
      <c r="K38" s="151" t="s">
        <v>8</v>
      </c>
      <c r="L38" s="151" t="s">
        <v>8</v>
      </c>
      <c r="M38" s="151" t="s">
        <v>8</v>
      </c>
      <c r="N38" s="151" t="s">
        <v>8</v>
      </c>
      <c r="O38" s="100">
        <v>0</v>
      </c>
      <c r="P38" s="100">
        <v>0.26</v>
      </c>
      <c r="Q38" s="100">
        <v>10</v>
      </c>
      <c r="R38" s="6"/>
      <c r="S38" s="6"/>
      <c r="T38" s="156"/>
      <c r="U38" s="6"/>
    </row>
    <row r="39" spans="1:21" customFormat="1">
      <c r="A39" s="201" t="s">
        <v>1903</v>
      </c>
      <c r="B39" s="100">
        <v>5.53</v>
      </c>
      <c r="C39" s="100">
        <v>5.05</v>
      </c>
      <c r="D39" s="100">
        <v>10.57</v>
      </c>
      <c r="E39" s="100">
        <v>5.22</v>
      </c>
      <c r="F39" s="100">
        <v>2</v>
      </c>
      <c r="G39" s="100">
        <v>14.31</v>
      </c>
      <c r="H39" s="100">
        <v>5.63</v>
      </c>
      <c r="I39" s="100">
        <v>4.01</v>
      </c>
      <c r="J39" s="151" t="s">
        <v>8</v>
      </c>
      <c r="K39" s="151" t="s">
        <v>8</v>
      </c>
      <c r="L39" s="151" t="s">
        <v>8</v>
      </c>
      <c r="M39" s="151" t="s">
        <v>8</v>
      </c>
      <c r="N39" s="151" t="s">
        <v>8</v>
      </c>
      <c r="O39" s="100">
        <v>0</v>
      </c>
      <c r="P39" s="100">
        <v>0.26</v>
      </c>
      <c r="Q39" s="100">
        <v>10.01</v>
      </c>
      <c r="R39" s="6"/>
      <c r="S39" s="6"/>
      <c r="T39" s="156"/>
      <c r="U39" s="6"/>
    </row>
    <row r="40" spans="1:21" customFormat="1">
      <c r="A40" s="201" t="s">
        <v>1904</v>
      </c>
      <c r="B40" s="100">
        <v>5.37</v>
      </c>
      <c r="C40" s="100">
        <v>5</v>
      </c>
      <c r="D40" s="100">
        <v>10.37</v>
      </c>
      <c r="E40" s="100">
        <v>5.0999999999999996</v>
      </c>
      <c r="F40" s="100">
        <v>2.0099999999999998</v>
      </c>
      <c r="G40" s="100">
        <v>14.31</v>
      </c>
      <c r="H40" s="100">
        <v>5.63</v>
      </c>
      <c r="I40" s="100">
        <v>4</v>
      </c>
      <c r="J40" s="151" t="s">
        <v>8</v>
      </c>
      <c r="K40" s="151" t="s">
        <v>8</v>
      </c>
      <c r="L40" s="151" t="s">
        <v>8</v>
      </c>
      <c r="M40" s="151" t="s">
        <v>8</v>
      </c>
      <c r="N40" s="151" t="s">
        <v>8</v>
      </c>
      <c r="O40" s="100">
        <v>0</v>
      </c>
      <c r="P40" s="100">
        <v>0.27</v>
      </c>
      <c r="Q40" s="100">
        <v>10.01</v>
      </c>
      <c r="R40" s="6"/>
      <c r="S40" s="6"/>
      <c r="T40" s="156"/>
      <c r="U40" s="6"/>
    </row>
    <row r="41" spans="1:21" customFormat="1">
      <c r="A41" s="201" t="s">
        <v>1905</v>
      </c>
      <c r="B41" s="100">
        <v>5.15</v>
      </c>
      <c r="C41" s="100">
        <v>5.01</v>
      </c>
      <c r="D41" s="100">
        <v>10.16</v>
      </c>
      <c r="E41" s="100">
        <v>5.18</v>
      </c>
      <c r="F41" s="100">
        <v>2</v>
      </c>
      <c r="G41" s="100">
        <v>14.31</v>
      </c>
      <c r="H41" s="100">
        <v>5.63</v>
      </c>
      <c r="I41" s="100">
        <v>3.97</v>
      </c>
      <c r="J41" s="151" t="s">
        <v>8</v>
      </c>
      <c r="K41" s="151" t="s">
        <v>8</v>
      </c>
      <c r="L41" s="151" t="s">
        <v>8</v>
      </c>
      <c r="M41" s="151" t="s">
        <v>8</v>
      </c>
      <c r="N41" s="151" t="s">
        <v>8</v>
      </c>
      <c r="O41" s="100">
        <v>0</v>
      </c>
      <c r="P41" s="100">
        <v>0.27</v>
      </c>
      <c r="Q41" s="100">
        <v>10.8</v>
      </c>
      <c r="R41" s="6"/>
      <c r="S41" s="6"/>
      <c r="T41" s="156"/>
      <c r="U41" s="6"/>
    </row>
    <row r="42" spans="1:21" customFormat="1">
      <c r="A42" s="201" t="s">
        <v>1906</v>
      </c>
      <c r="B42" s="100">
        <v>4.88</v>
      </c>
      <c r="C42" s="100">
        <v>5.15</v>
      </c>
      <c r="D42" s="100">
        <v>10.029999999999999</v>
      </c>
      <c r="E42" s="100">
        <v>4.99</v>
      </c>
      <c r="F42" s="100">
        <v>2</v>
      </c>
      <c r="G42" s="100">
        <v>13.53</v>
      </c>
      <c r="H42" s="100">
        <v>6.42</v>
      </c>
      <c r="I42" s="100">
        <v>3.99</v>
      </c>
      <c r="J42" s="151" t="s">
        <v>8</v>
      </c>
      <c r="K42" s="151" t="s">
        <v>8</v>
      </c>
      <c r="L42" s="151" t="s">
        <v>8</v>
      </c>
      <c r="M42" s="151" t="s">
        <v>8</v>
      </c>
      <c r="N42" s="151" t="s">
        <v>8</v>
      </c>
      <c r="O42" s="100">
        <v>0</v>
      </c>
      <c r="P42" s="100">
        <v>0.26</v>
      </c>
      <c r="Q42" s="100">
        <v>10.85</v>
      </c>
      <c r="R42" s="6"/>
      <c r="S42" s="6"/>
      <c r="T42" s="156"/>
      <c r="U42" s="6"/>
    </row>
    <row r="43" spans="1:21" customFormat="1">
      <c r="A43" s="201" t="s">
        <v>1907</v>
      </c>
      <c r="B43" s="100">
        <v>4.63</v>
      </c>
      <c r="C43" s="100">
        <v>5.21</v>
      </c>
      <c r="D43" s="100">
        <v>9.83</v>
      </c>
      <c r="E43" s="100">
        <v>5.01</v>
      </c>
      <c r="F43" s="100">
        <v>2</v>
      </c>
      <c r="G43" s="100">
        <v>11.71</v>
      </c>
      <c r="H43" s="100">
        <v>7.63</v>
      </c>
      <c r="I43" s="100">
        <v>3.92</v>
      </c>
      <c r="J43" s="151" t="s">
        <v>8</v>
      </c>
      <c r="K43" s="151" t="s">
        <v>8</v>
      </c>
      <c r="L43" s="151" t="s">
        <v>8</v>
      </c>
      <c r="M43" s="151" t="s">
        <v>8</v>
      </c>
      <c r="N43" s="151" t="s">
        <v>8</v>
      </c>
      <c r="O43" s="100">
        <v>0</v>
      </c>
      <c r="P43" s="100">
        <v>0.24</v>
      </c>
      <c r="Q43" s="100">
        <v>10.199999999999999</v>
      </c>
      <c r="R43" s="6"/>
      <c r="S43" s="6"/>
      <c r="T43" s="156"/>
      <c r="U43" s="6"/>
    </row>
    <row r="44" spans="1:21" customFormat="1">
      <c r="A44" s="201" t="s">
        <v>1908</v>
      </c>
      <c r="B44" s="100">
        <v>4.3600000000000003</v>
      </c>
      <c r="C44" s="100">
        <v>5.22</v>
      </c>
      <c r="D44" s="100">
        <v>9.58</v>
      </c>
      <c r="E44" s="100">
        <v>4.8499999999999996</v>
      </c>
      <c r="F44" s="100">
        <v>2</v>
      </c>
      <c r="G44" s="100">
        <v>11.71</v>
      </c>
      <c r="H44" s="100">
        <v>7.63</v>
      </c>
      <c r="I44" s="100">
        <v>3.79</v>
      </c>
      <c r="J44" s="151" t="s">
        <v>8</v>
      </c>
      <c r="K44" s="151" t="s">
        <v>8</v>
      </c>
      <c r="L44" s="151" t="s">
        <v>8</v>
      </c>
      <c r="M44" s="151" t="s">
        <v>8</v>
      </c>
      <c r="N44" s="151" t="s">
        <v>8</v>
      </c>
      <c r="O44" s="100">
        <v>0</v>
      </c>
      <c r="P44" s="100">
        <v>0.25</v>
      </c>
      <c r="Q44" s="100">
        <v>10.130000000000001</v>
      </c>
      <c r="R44" s="6"/>
      <c r="S44" s="6"/>
      <c r="T44" s="156"/>
      <c r="U44" s="6"/>
    </row>
    <row r="45" spans="1:21" customFormat="1">
      <c r="A45" s="201" t="s">
        <v>1909</v>
      </c>
      <c r="B45" s="100">
        <v>4.0999999999999996</v>
      </c>
      <c r="C45" s="100">
        <v>5.23</v>
      </c>
      <c r="D45" s="100">
        <v>9.33</v>
      </c>
      <c r="E45" s="100">
        <v>4.68</v>
      </c>
      <c r="F45" s="100">
        <v>2.11</v>
      </c>
      <c r="G45" s="100">
        <v>11.71</v>
      </c>
      <c r="H45" s="100">
        <v>7.63</v>
      </c>
      <c r="I45" s="100">
        <v>3.75</v>
      </c>
      <c r="J45" s="151" t="s">
        <v>8</v>
      </c>
      <c r="K45" s="151" t="s">
        <v>8</v>
      </c>
      <c r="L45" s="151" t="s">
        <v>8</v>
      </c>
      <c r="M45" s="151" t="s">
        <v>8</v>
      </c>
      <c r="N45" s="151" t="s">
        <v>8</v>
      </c>
      <c r="O45" s="100">
        <v>0</v>
      </c>
      <c r="P45" s="100">
        <v>0.24</v>
      </c>
      <c r="Q45" s="100">
        <v>10.199999999999999</v>
      </c>
      <c r="R45" s="6"/>
      <c r="S45" s="6"/>
      <c r="T45" s="156"/>
      <c r="U45" s="6"/>
    </row>
    <row r="46" spans="1:21" customFormat="1">
      <c r="A46" s="201" t="s">
        <v>1910</v>
      </c>
      <c r="B46" s="100">
        <v>3.79</v>
      </c>
      <c r="C46" s="100">
        <v>5.19</v>
      </c>
      <c r="D46" s="100">
        <v>8.98</v>
      </c>
      <c r="E46" s="100">
        <v>5.01</v>
      </c>
      <c r="F46" s="100">
        <v>2.2400000000000002</v>
      </c>
      <c r="G46" s="100">
        <v>11.25</v>
      </c>
      <c r="H46" s="100">
        <v>7.33</v>
      </c>
      <c r="I46" s="100">
        <v>3.72</v>
      </c>
      <c r="J46" s="151" t="s">
        <v>8</v>
      </c>
      <c r="K46" s="151" t="s">
        <v>8</v>
      </c>
      <c r="L46" s="151" t="s">
        <v>8</v>
      </c>
      <c r="M46" s="151" t="s">
        <v>8</v>
      </c>
      <c r="N46" s="151" t="s">
        <v>8</v>
      </c>
      <c r="O46" s="100">
        <v>0</v>
      </c>
      <c r="P46" s="100">
        <v>0.24</v>
      </c>
      <c r="Q46" s="100">
        <v>10.08</v>
      </c>
      <c r="R46" s="6"/>
      <c r="S46" s="6"/>
      <c r="T46" s="156"/>
      <c r="U46" s="6"/>
    </row>
    <row r="47" spans="1:21" customFormat="1">
      <c r="A47" s="201" t="s">
        <v>1911</v>
      </c>
      <c r="B47" s="100">
        <v>3.53</v>
      </c>
      <c r="C47" s="100">
        <v>5.26</v>
      </c>
      <c r="D47" s="100">
        <v>8.7899999999999991</v>
      </c>
      <c r="E47" s="100">
        <v>5.14</v>
      </c>
      <c r="F47" s="100">
        <v>2.1</v>
      </c>
      <c r="G47" s="100">
        <v>10.19</v>
      </c>
      <c r="H47" s="100">
        <v>6.87</v>
      </c>
      <c r="I47" s="100">
        <v>3.7</v>
      </c>
      <c r="J47" s="151" t="s">
        <v>8</v>
      </c>
      <c r="K47" s="151" t="s">
        <v>8</v>
      </c>
      <c r="L47" s="151" t="s">
        <v>8</v>
      </c>
      <c r="M47" s="151" t="s">
        <v>8</v>
      </c>
      <c r="N47" s="151" t="s">
        <v>8</v>
      </c>
      <c r="O47" s="100">
        <v>0</v>
      </c>
      <c r="P47" s="100">
        <v>0.23</v>
      </c>
      <c r="Q47" s="100">
        <v>10.54</v>
      </c>
      <c r="R47" s="6"/>
      <c r="S47" s="6"/>
      <c r="T47" s="156"/>
      <c r="U47" s="6"/>
    </row>
    <row r="48" spans="1:21" customFormat="1">
      <c r="A48" s="201" t="s">
        <v>1912</v>
      </c>
      <c r="B48" s="100">
        <v>3.34</v>
      </c>
      <c r="C48" s="100">
        <v>5.32</v>
      </c>
      <c r="D48" s="100">
        <v>8.66</v>
      </c>
      <c r="E48" s="100">
        <v>4.8099999999999996</v>
      </c>
      <c r="F48" s="100">
        <v>2.15</v>
      </c>
      <c r="G48" s="100">
        <v>10.19</v>
      </c>
      <c r="H48" s="100">
        <v>6.87</v>
      </c>
      <c r="I48" s="100">
        <v>3.62</v>
      </c>
      <c r="J48" s="151" t="s">
        <v>8</v>
      </c>
      <c r="K48" s="151" t="s">
        <v>8</v>
      </c>
      <c r="L48" s="151" t="s">
        <v>8</v>
      </c>
      <c r="M48" s="151" t="s">
        <v>8</v>
      </c>
      <c r="N48" s="151" t="s">
        <v>8</v>
      </c>
      <c r="O48" s="100">
        <v>0</v>
      </c>
      <c r="P48" s="100">
        <v>0.23</v>
      </c>
      <c r="Q48" s="100">
        <v>10.82</v>
      </c>
      <c r="R48" s="6"/>
      <c r="S48" s="6"/>
      <c r="T48" s="156"/>
      <c r="U48" s="6"/>
    </row>
    <row r="49" spans="1:21" customFormat="1">
      <c r="A49" s="201" t="s">
        <v>1913</v>
      </c>
      <c r="B49" s="100">
        <v>3.13</v>
      </c>
      <c r="C49" s="100">
        <v>5.26</v>
      </c>
      <c r="D49" s="100">
        <v>8.39</v>
      </c>
      <c r="E49" s="100">
        <v>3.72</v>
      </c>
      <c r="F49" s="100">
        <v>2.15</v>
      </c>
      <c r="G49" s="100">
        <v>10.19</v>
      </c>
      <c r="H49" s="100">
        <v>6.87</v>
      </c>
      <c r="I49" s="100">
        <v>3.54</v>
      </c>
      <c r="J49" s="151" t="s">
        <v>8</v>
      </c>
      <c r="K49" s="151" t="s">
        <v>8</v>
      </c>
      <c r="L49" s="151" t="s">
        <v>8</v>
      </c>
      <c r="M49" s="151" t="s">
        <v>8</v>
      </c>
      <c r="N49" s="151" t="s">
        <v>8</v>
      </c>
      <c r="O49" s="100">
        <v>0</v>
      </c>
      <c r="P49" s="100">
        <v>0.23</v>
      </c>
      <c r="Q49" s="100">
        <v>11.02</v>
      </c>
      <c r="R49" s="6"/>
      <c r="S49" s="6"/>
      <c r="T49" s="156"/>
      <c r="U49" s="6"/>
    </row>
    <row r="50" spans="1:21" customFormat="1">
      <c r="A50" s="201" t="s">
        <v>1914</v>
      </c>
      <c r="B50" s="100">
        <v>2.97</v>
      </c>
      <c r="C50" s="100">
        <v>5.32</v>
      </c>
      <c r="D50" s="100">
        <v>8.2899999999999991</v>
      </c>
      <c r="E50" s="100">
        <v>4.7699999999999996</v>
      </c>
      <c r="F50" s="100">
        <v>2.11</v>
      </c>
      <c r="G50" s="100">
        <v>11.29</v>
      </c>
      <c r="H50" s="100">
        <v>7.45</v>
      </c>
      <c r="I50" s="100">
        <v>3.53</v>
      </c>
      <c r="J50" s="151" t="s">
        <v>8</v>
      </c>
      <c r="K50" s="151" t="s">
        <v>8</v>
      </c>
      <c r="L50" s="151" t="s">
        <v>8</v>
      </c>
      <c r="M50" s="151" t="s">
        <v>8</v>
      </c>
      <c r="N50" s="151" t="s">
        <v>8</v>
      </c>
      <c r="O50" s="100">
        <v>0</v>
      </c>
      <c r="P50" s="100">
        <v>0.22</v>
      </c>
      <c r="Q50" s="100">
        <v>9.81</v>
      </c>
      <c r="R50" s="6"/>
      <c r="S50" s="6"/>
      <c r="T50" s="156"/>
      <c r="U50" s="6"/>
    </row>
    <row r="51" spans="1:21" customFormat="1">
      <c r="A51" s="201" t="s">
        <v>1915</v>
      </c>
      <c r="B51" s="100">
        <v>2.91</v>
      </c>
      <c r="C51" s="100">
        <v>5.36</v>
      </c>
      <c r="D51" s="100">
        <v>8.27</v>
      </c>
      <c r="E51" s="100">
        <v>4.91</v>
      </c>
      <c r="F51" s="100">
        <v>2.06</v>
      </c>
      <c r="G51" s="100">
        <v>13.85</v>
      </c>
      <c r="H51" s="100">
        <v>9.7799999999999994</v>
      </c>
      <c r="I51" s="100">
        <v>3.52</v>
      </c>
      <c r="J51" s="151" t="s">
        <v>8</v>
      </c>
      <c r="K51" s="151" t="s">
        <v>8</v>
      </c>
      <c r="L51" s="151" t="s">
        <v>8</v>
      </c>
      <c r="M51" s="151" t="s">
        <v>8</v>
      </c>
      <c r="N51" s="151" t="s">
        <v>8</v>
      </c>
      <c r="O51" s="100">
        <v>0</v>
      </c>
      <c r="P51" s="100">
        <v>0.22</v>
      </c>
      <c r="Q51" s="100">
        <v>11.24</v>
      </c>
      <c r="R51" s="6"/>
      <c r="S51" s="6"/>
      <c r="T51" s="156"/>
      <c r="U51" s="6"/>
    </row>
    <row r="52" spans="1:21" customFormat="1">
      <c r="A52" s="201" t="s">
        <v>1916</v>
      </c>
      <c r="B52" s="100">
        <v>2.72</v>
      </c>
      <c r="C52" s="100">
        <v>5.22</v>
      </c>
      <c r="D52" s="100">
        <v>7.94</v>
      </c>
      <c r="E52" s="100">
        <v>4.74</v>
      </c>
      <c r="F52" s="100">
        <v>2.2599999999999998</v>
      </c>
      <c r="G52" s="100">
        <v>13.85</v>
      </c>
      <c r="H52" s="100">
        <v>9.7799999999999994</v>
      </c>
      <c r="I52" s="100">
        <v>3.45</v>
      </c>
      <c r="J52" s="151" t="s">
        <v>8</v>
      </c>
      <c r="K52" s="151" t="s">
        <v>8</v>
      </c>
      <c r="L52" s="151" t="s">
        <v>8</v>
      </c>
      <c r="M52" s="151" t="s">
        <v>8</v>
      </c>
      <c r="N52" s="151" t="s">
        <v>8</v>
      </c>
      <c r="O52" s="100">
        <v>0</v>
      </c>
      <c r="P52" s="100">
        <v>0.23</v>
      </c>
      <c r="Q52" s="100">
        <v>9.68</v>
      </c>
      <c r="R52" s="6"/>
      <c r="S52" s="6"/>
      <c r="T52" s="156"/>
      <c r="U52" s="6"/>
    </row>
    <row r="53" spans="1:21" customFormat="1">
      <c r="A53" s="201" t="s">
        <v>1917</v>
      </c>
      <c r="B53" s="100">
        <v>2.61</v>
      </c>
      <c r="C53" s="100">
        <v>5.21</v>
      </c>
      <c r="D53" s="100">
        <v>7.81</v>
      </c>
      <c r="E53" s="100">
        <v>4.8499999999999996</v>
      </c>
      <c r="F53" s="100">
        <v>2.0299999999999998</v>
      </c>
      <c r="G53" s="100">
        <v>13.85</v>
      </c>
      <c r="H53" s="100">
        <v>9.7799999999999994</v>
      </c>
      <c r="I53" s="100">
        <v>3.44</v>
      </c>
      <c r="J53" s="151" t="s">
        <v>8</v>
      </c>
      <c r="K53" s="151" t="s">
        <v>8</v>
      </c>
      <c r="L53" s="151" t="s">
        <v>8</v>
      </c>
      <c r="M53" s="151" t="s">
        <v>8</v>
      </c>
      <c r="N53" s="151" t="s">
        <v>8</v>
      </c>
      <c r="O53" s="100">
        <v>0</v>
      </c>
      <c r="P53" s="100">
        <v>0.23</v>
      </c>
      <c r="Q53" s="100">
        <v>13.44</v>
      </c>
      <c r="R53" s="6"/>
      <c r="S53" s="6"/>
      <c r="T53" s="156"/>
      <c r="U53" s="6"/>
    </row>
    <row r="54" spans="1:21" customFormat="1">
      <c r="A54" s="201" t="s">
        <v>1918</v>
      </c>
      <c r="B54" s="100">
        <v>2.5099999999999998</v>
      </c>
      <c r="C54" s="100">
        <v>5.15</v>
      </c>
      <c r="D54" s="100">
        <v>7.67</v>
      </c>
      <c r="E54" s="100">
        <v>4.66</v>
      </c>
      <c r="F54" s="100">
        <v>2.12</v>
      </c>
      <c r="G54" s="100">
        <v>14.62</v>
      </c>
      <c r="H54" s="100">
        <v>9.64</v>
      </c>
      <c r="I54" s="100">
        <v>3.44</v>
      </c>
      <c r="J54" s="151" t="s">
        <v>8</v>
      </c>
      <c r="K54" s="151" t="s">
        <v>8</v>
      </c>
      <c r="L54" s="151" t="s">
        <v>8</v>
      </c>
      <c r="M54" s="151" t="s">
        <v>8</v>
      </c>
      <c r="N54" s="151" t="s">
        <v>8</v>
      </c>
      <c r="O54" s="100">
        <v>0</v>
      </c>
      <c r="P54" s="100">
        <v>0.23</v>
      </c>
      <c r="Q54" s="100">
        <v>10.77</v>
      </c>
      <c r="R54" s="6"/>
      <c r="S54" s="6"/>
      <c r="T54" s="156"/>
      <c r="U54" s="6"/>
    </row>
    <row r="55" spans="1:21" customFormat="1">
      <c r="A55" s="201" t="s">
        <v>1919</v>
      </c>
      <c r="B55" s="100">
        <v>2.4500000000000002</v>
      </c>
      <c r="C55" s="100">
        <v>5.07</v>
      </c>
      <c r="D55" s="100">
        <v>7.52</v>
      </c>
      <c r="E55" s="100">
        <v>4.66</v>
      </c>
      <c r="F55" s="100">
        <v>2.2200000000000002</v>
      </c>
      <c r="G55" s="100">
        <v>16.41</v>
      </c>
      <c r="H55" s="100">
        <v>9.43</v>
      </c>
      <c r="I55" s="100">
        <v>3.42</v>
      </c>
      <c r="J55" s="151" t="s">
        <v>8</v>
      </c>
      <c r="K55" s="151" t="s">
        <v>8</v>
      </c>
      <c r="L55" s="151" t="s">
        <v>8</v>
      </c>
      <c r="M55" s="151" t="s">
        <v>8</v>
      </c>
      <c r="N55" s="151" t="s">
        <v>8</v>
      </c>
      <c r="O55" s="100">
        <v>0</v>
      </c>
      <c r="P55" s="100">
        <v>0.22</v>
      </c>
      <c r="Q55" s="100">
        <v>10.37</v>
      </c>
      <c r="R55" s="6"/>
      <c r="S55" s="6"/>
      <c r="T55" s="156"/>
      <c r="U55" s="6"/>
    </row>
    <row r="56" spans="1:21" customFormat="1">
      <c r="A56" s="201" t="s">
        <v>1920</v>
      </c>
      <c r="B56" s="100">
        <v>2.4300000000000002</v>
      </c>
      <c r="C56" s="100">
        <v>5.07</v>
      </c>
      <c r="D56" s="100">
        <v>7.5</v>
      </c>
      <c r="E56" s="100">
        <v>4.54</v>
      </c>
      <c r="F56" s="100">
        <v>2</v>
      </c>
      <c r="G56" s="100">
        <v>16.41</v>
      </c>
      <c r="H56" s="100">
        <v>9.43</v>
      </c>
      <c r="I56" s="100">
        <v>3.5</v>
      </c>
      <c r="J56" s="151" t="s">
        <v>8</v>
      </c>
      <c r="K56" s="151" t="s">
        <v>8</v>
      </c>
      <c r="L56" s="151" t="s">
        <v>8</v>
      </c>
      <c r="M56" s="151" t="s">
        <v>8</v>
      </c>
      <c r="N56" s="151" t="s">
        <v>8</v>
      </c>
      <c r="O56" s="100">
        <v>0</v>
      </c>
      <c r="P56" s="100">
        <v>0.22</v>
      </c>
      <c r="Q56" s="100">
        <v>10.01</v>
      </c>
      <c r="R56" s="6"/>
      <c r="S56" s="6"/>
      <c r="T56" s="156"/>
      <c r="U56" s="6"/>
    </row>
    <row r="57" spans="1:21" customFormat="1">
      <c r="A57" s="201" t="s">
        <v>1921</v>
      </c>
      <c r="B57" s="100">
        <v>2.42</v>
      </c>
      <c r="C57" s="100">
        <v>4.76</v>
      </c>
      <c r="D57" s="100">
        <v>7.18</v>
      </c>
      <c r="E57" s="100">
        <v>4.57</v>
      </c>
      <c r="F57" s="100">
        <v>2</v>
      </c>
      <c r="G57" s="100">
        <v>16.41</v>
      </c>
      <c r="H57" s="100">
        <v>9.43</v>
      </c>
      <c r="I57" s="100">
        <v>3.47</v>
      </c>
      <c r="J57" s="151" t="s">
        <v>8</v>
      </c>
      <c r="K57" s="151" t="s">
        <v>8</v>
      </c>
      <c r="L57" s="151" t="s">
        <v>8</v>
      </c>
      <c r="M57" s="151" t="s">
        <v>8</v>
      </c>
      <c r="N57" s="151" t="s">
        <v>8</v>
      </c>
      <c r="O57" s="100">
        <v>0</v>
      </c>
      <c r="P57" s="100">
        <v>0.21</v>
      </c>
      <c r="Q57" s="100">
        <v>10</v>
      </c>
      <c r="R57" s="6"/>
      <c r="S57" s="6"/>
      <c r="T57" s="156"/>
      <c r="U57" s="6"/>
    </row>
    <row r="58" spans="1:21" customFormat="1">
      <c r="A58" s="201" t="s">
        <v>1922</v>
      </c>
      <c r="B58" s="100">
        <v>2.4900000000000002</v>
      </c>
      <c r="C58" s="100">
        <v>4.66</v>
      </c>
      <c r="D58" s="100">
        <v>7.15</v>
      </c>
      <c r="E58" s="100">
        <v>4.25</v>
      </c>
      <c r="F58" s="100">
        <v>2</v>
      </c>
      <c r="G58" s="100">
        <v>17.47</v>
      </c>
      <c r="H58" s="100">
        <v>9.5</v>
      </c>
      <c r="I58" s="100">
        <v>3.51</v>
      </c>
      <c r="J58" s="151" t="s">
        <v>8</v>
      </c>
      <c r="K58" s="151" t="s">
        <v>8</v>
      </c>
      <c r="L58" s="151" t="s">
        <v>8</v>
      </c>
      <c r="M58" s="151" t="s">
        <v>8</v>
      </c>
      <c r="N58" s="151" t="s">
        <v>8</v>
      </c>
      <c r="O58" s="100">
        <v>0</v>
      </c>
      <c r="P58" s="100">
        <v>0.19</v>
      </c>
      <c r="Q58" s="100">
        <v>10</v>
      </c>
      <c r="R58" s="6"/>
      <c r="S58" s="6"/>
      <c r="T58" s="156"/>
      <c r="U58" s="6"/>
    </row>
    <row r="59" spans="1:21" customFormat="1">
      <c r="A59" s="201" t="s">
        <v>1923</v>
      </c>
      <c r="B59" s="100">
        <v>2.5499999999999998</v>
      </c>
      <c r="C59" s="100">
        <v>4.58</v>
      </c>
      <c r="D59" s="100">
        <v>7.13</v>
      </c>
      <c r="E59" s="100">
        <v>4.16</v>
      </c>
      <c r="F59" s="100">
        <v>2</v>
      </c>
      <c r="G59" s="100">
        <v>19.95</v>
      </c>
      <c r="H59" s="100">
        <v>9.59</v>
      </c>
      <c r="I59" s="100">
        <v>3.54</v>
      </c>
      <c r="J59" s="151" t="s">
        <v>8</v>
      </c>
      <c r="K59" s="151" t="s">
        <v>8</v>
      </c>
      <c r="L59" s="151" t="s">
        <v>8</v>
      </c>
      <c r="M59" s="151" t="s">
        <v>8</v>
      </c>
      <c r="N59" s="151" t="s">
        <v>8</v>
      </c>
      <c r="O59" s="100">
        <v>0</v>
      </c>
      <c r="P59" s="100">
        <v>0.18</v>
      </c>
      <c r="Q59" s="100">
        <v>10</v>
      </c>
      <c r="R59" s="6"/>
      <c r="S59" s="6"/>
      <c r="T59" s="156"/>
      <c r="U59" s="6"/>
    </row>
    <row r="60" spans="1:21" customFormat="1">
      <c r="A60" s="201" t="s">
        <v>1924</v>
      </c>
      <c r="B60" s="100">
        <v>2.61</v>
      </c>
      <c r="C60" s="100">
        <v>4.66</v>
      </c>
      <c r="D60" s="100">
        <v>7.27</v>
      </c>
      <c r="E60" s="100">
        <v>3.78</v>
      </c>
      <c r="F60" s="100">
        <v>2.2400000000000002</v>
      </c>
      <c r="G60" s="100">
        <v>19.95</v>
      </c>
      <c r="H60" s="100">
        <v>9.59</v>
      </c>
      <c r="I60" s="100">
        <v>3.58</v>
      </c>
      <c r="J60" s="151" t="s">
        <v>8</v>
      </c>
      <c r="K60" s="151" t="s">
        <v>8</v>
      </c>
      <c r="L60" s="151" t="s">
        <v>8</v>
      </c>
      <c r="M60" s="151" t="s">
        <v>8</v>
      </c>
      <c r="N60" s="151" t="s">
        <v>8</v>
      </c>
      <c r="O60" s="100">
        <v>0</v>
      </c>
      <c r="P60" s="100">
        <v>0.19</v>
      </c>
      <c r="Q60" s="100">
        <v>10</v>
      </c>
      <c r="R60" s="6"/>
      <c r="S60" s="6"/>
      <c r="T60" s="156"/>
      <c r="U60" s="6"/>
    </row>
    <row r="61" spans="1:21" customFormat="1">
      <c r="A61" s="201" t="s">
        <v>1925</v>
      </c>
      <c r="B61" s="100">
        <v>2.65</v>
      </c>
      <c r="C61" s="100">
        <v>4.6900000000000004</v>
      </c>
      <c r="D61" s="100">
        <v>7.34</v>
      </c>
      <c r="E61" s="100">
        <v>4.03</v>
      </c>
      <c r="F61" s="100">
        <v>2.08</v>
      </c>
      <c r="G61" s="100">
        <v>19.95</v>
      </c>
      <c r="H61" s="100">
        <v>9.59</v>
      </c>
      <c r="I61" s="100">
        <v>3.58</v>
      </c>
      <c r="J61" s="151" t="s">
        <v>8</v>
      </c>
      <c r="K61" s="151" t="s">
        <v>8</v>
      </c>
      <c r="L61" s="151" t="s">
        <v>8</v>
      </c>
      <c r="M61" s="151" t="s">
        <v>8</v>
      </c>
      <c r="N61" s="151" t="s">
        <v>8</v>
      </c>
      <c r="O61" s="100">
        <v>0</v>
      </c>
      <c r="P61" s="100">
        <v>0.19</v>
      </c>
      <c r="Q61" s="100">
        <v>10</v>
      </c>
      <c r="R61" s="6"/>
      <c r="S61" s="6"/>
      <c r="T61" s="156"/>
      <c r="U61" s="6"/>
    </row>
    <row r="62" spans="1:21" customFormat="1">
      <c r="A62" s="201" t="s">
        <v>1926</v>
      </c>
      <c r="B62" s="100">
        <v>2.66</v>
      </c>
      <c r="C62" s="100">
        <v>4.7300000000000004</v>
      </c>
      <c r="D62" s="100">
        <v>7.38</v>
      </c>
      <c r="E62" s="100">
        <v>3.52</v>
      </c>
      <c r="F62" s="100">
        <v>2</v>
      </c>
      <c r="G62" s="100">
        <v>19.3</v>
      </c>
      <c r="H62" s="100">
        <v>9.81</v>
      </c>
      <c r="I62" s="100">
        <v>3.59</v>
      </c>
      <c r="J62" s="151" t="s">
        <v>8</v>
      </c>
      <c r="K62" s="151" t="s">
        <v>8</v>
      </c>
      <c r="L62" s="151" t="s">
        <v>8</v>
      </c>
      <c r="M62" s="151" t="s">
        <v>8</v>
      </c>
      <c r="N62" s="151" t="s">
        <v>8</v>
      </c>
      <c r="O62" s="100">
        <v>0</v>
      </c>
      <c r="P62" s="100">
        <v>0.19</v>
      </c>
      <c r="Q62" s="100">
        <v>10</v>
      </c>
      <c r="R62" s="6"/>
      <c r="S62" s="6"/>
      <c r="T62" s="156"/>
      <c r="U62" s="6"/>
    </row>
    <row r="63" spans="1:21" customFormat="1">
      <c r="A63" s="201" t="s">
        <v>1927</v>
      </c>
      <c r="B63" s="100">
        <v>2.66</v>
      </c>
      <c r="C63" s="100">
        <v>4.72</v>
      </c>
      <c r="D63" s="100">
        <v>7.38</v>
      </c>
      <c r="E63" s="100">
        <v>3.54</v>
      </c>
      <c r="F63" s="100">
        <v>2</v>
      </c>
      <c r="G63" s="100">
        <v>17.78</v>
      </c>
      <c r="H63" s="100">
        <v>10.130000000000001</v>
      </c>
      <c r="I63" s="100">
        <v>3.59</v>
      </c>
      <c r="J63" s="151" t="s">
        <v>8</v>
      </c>
      <c r="K63" s="151" t="s">
        <v>8</v>
      </c>
      <c r="L63" s="151" t="s">
        <v>8</v>
      </c>
      <c r="M63" s="151" t="s">
        <v>8</v>
      </c>
      <c r="N63" s="151" t="s">
        <v>8</v>
      </c>
      <c r="O63" s="100">
        <v>0</v>
      </c>
      <c r="P63" s="100">
        <v>0.19</v>
      </c>
      <c r="Q63" s="100">
        <v>10</v>
      </c>
      <c r="R63" s="6"/>
      <c r="S63" s="6"/>
      <c r="T63" s="156"/>
      <c r="U63" s="6"/>
    </row>
    <row r="64" spans="1:21" customFormat="1">
      <c r="A64" s="201" t="s">
        <v>1928</v>
      </c>
      <c r="B64" s="100">
        <v>2.68</v>
      </c>
      <c r="C64" s="100">
        <v>4.7</v>
      </c>
      <c r="D64" s="100">
        <v>7.38</v>
      </c>
      <c r="E64" s="100">
        <v>3.53</v>
      </c>
      <c r="F64" s="100">
        <v>2</v>
      </c>
      <c r="G64" s="100">
        <v>17.78</v>
      </c>
      <c r="H64" s="100">
        <v>10.130000000000001</v>
      </c>
      <c r="I64" s="100">
        <v>3.58</v>
      </c>
      <c r="J64" s="151" t="s">
        <v>8</v>
      </c>
      <c r="K64" s="151" t="s">
        <v>8</v>
      </c>
      <c r="L64" s="151" t="s">
        <v>8</v>
      </c>
      <c r="M64" s="151" t="s">
        <v>8</v>
      </c>
      <c r="N64" s="151" t="s">
        <v>8</v>
      </c>
      <c r="O64" s="100">
        <v>0</v>
      </c>
      <c r="P64" s="100">
        <v>0.19</v>
      </c>
      <c r="Q64" s="100">
        <v>10</v>
      </c>
      <c r="R64" s="6"/>
      <c r="S64" s="6"/>
      <c r="T64" s="156"/>
      <c r="U64" s="6"/>
    </row>
    <row r="65" spans="1:21" customFormat="1">
      <c r="A65" s="201" t="s">
        <v>1929</v>
      </c>
      <c r="B65" s="100">
        <v>2.7</v>
      </c>
      <c r="C65" s="100">
        <v>4.68</v>
      </c>
      <c r="D65" s="100">
        <v>7.38</v>
      </c>
      <c r="E65" s="100">
        <v>3.41</v>
      </c>
      <c r="F65" s="100">
        <v>2</v>
      </c>
      <c r="G65" s="100">
        <v>17.78</v>
      </c>
      <c r="H65" s="100">
        <v>10.130000000000001</v>
      </c>
      <c r="I65" s="100">
        <v>3.55</v>
      </c>
      <c r="J65" s="151" t="s">
        <v>8</v>
      </c>
      <c r="K65" s="151" t="s">
        <v>8</v>
      </c>
      <c r="L65" s="151" t="s">
        <v>8</v>
      </c>
      <c r="M65" s="151" t="s">
        <v>8</v>
      </c>
      <c r="N65" s="151" t="s">
        <v>8</v>
      </c>
      <c r="O65" s="100">
        <v>0</v>
      </c>
      <c r="P65" s="100">
        <v>0.17</v>
      </c>
      <c r="Q65" s="100">
        <v>10</v>
      </c>
      <c r="R65" s="6"/>
      <c r="S65" s="6"/>
      <c r="T65" s="156"/>
      <c r="U65" s="6"/>
    </row>
    <row r="66" spans="1:21" customFormat="1">
      <c r="A66" s="201" t="s">
        <v>1930</v>
      </c>
      <c r="B66" s="100">
        <v>2.71</v>
      </c>
      <c r="C66" s="100">
        <v>4.71</v>
      </c>
      <c r="D66" s="100">
        <v>7.41</v>
      </c>
      <c r="E66" s="100">
        <v>3.34</v>
      </c>
      <c r="F66" s="100">
        <v>2</v>
      </c>
      <c r="G66" s="100">
        <v>16.87</v>
      </c>
      <c r="H66" s="100">
        <v>10.79</v>
      </c>
      <c r="I66" s="100">
        <v>3.56</v>
      </c>
      <c r="J66" s="151" t="s">
        <v>8</v>
      </c>
      <c r="K66" s="151" t="s">
        <v>8</v>
      </c>
      <c r="L66" s="151" t="s">
        <v>8</v>
      </c>
      <c r="M66" s="151" t="s">
        <v>8</v>
      </c>
      <c r="N66" s="151" t="s">
        <v>8</v>
      </c>
      <c r="O66" s="100">
        <v>0</v>
      </c>
      <c r="P66" s="100">
        <v>0.19</v>
      </c>
      <c r="Q66" s="100">
        <v>10</v>
      </c>
      <c r="R66" s="6"/>
      <c r="S66" s="6"/>
      <c r="T66" s="156"/>
      <c r="U66" s="6"/>
    </row>
    <row r="67" spans="1:21" customFormat="1">
      <c r="A67" s="201" t="s">
        <v>1931</v>
      </c>
      <c r="B67" s="100">
        <v>2.74</v>
      </c>
      <c r="C67" s="100">
        <v>4.72</v>
      </c>
      <c r="D67" s="100">
        <v>7.46</v>
      </c>
      <c r="E67" s="100">
        <v>3.36</v>
      </c>
      <c r="F67" s="100">
        <v>2.34</v>
      </c>
      <c r="G67" s="100">
        <v>14.76</v>
      </c>
      <c r="H67" s="100">
        <v>13.4</v>
      </c>
      <c r="I67" s="100">
        <v>3.53</v>
      </c>
      <c r="J67" s="151" t="s">
        <v>8</v>
      </c>
      <c r="K67" s="151" t="s">
        <v>8</v>
      </c>
      <c r="L67" s="151" t="s">
        <v>8</v>
      </c>
      <c r="M67" s="151" t="s">
        <v>8</v>
      </c>
      <c r="N67" s="151" t="s">
        <v>8</v>
      </c>
      <c r="O67" s="100">
        <v>0</v>
      </c>
      <c r="P67" s="100">
        <v>0.18</v>
      </c>
      <c r="Q67" s="100">
        <v>10.18</v>
      </c>
      <c r="R67" s="6"/>
      <c r="S67" s="6"/>
      <c r="T67" s="156"/>
      <c r="U67" s="6"/>
    </row>
    <row r="68" spans="1:21" customFormat="1">
      <c r="A68" s="201" t="s">
        <v>1932</v>
      </c>
      <c r="B68" s="100">
        <v>2.79</v>
      </c>
      <c r="C68" s="100">
        <v>4.71</v>
      </c>
      <c r="D68" s="100">
        <v>7.49</v>
      </c>
      <c r="E68" s="100">
        <v>3.54</v>
      </c>
      <c r="F68" s="100">
        <v>2</v>
      </c>
      <c r="G68" s="100">
        <v>14.76</v>
      </c>
      <c r="H68" s="100">
        <v>13.4</v>
      </c>
      <c r="I68" s="100">
        <v>3.51</v>
      </c>
      <c r="J68" s="151" t="s">
        <v>8</v>
      </c>
      <c r="K68" s="151" t="s">
        <v>8</v>
      </c>
      <c r="L68" s="151" t="s">
        <v>8</v>
      </c>
      <c r="M68" s="151" t="s">
        <v>8</v>
      </c>
      <c r="N68" s="151" t="s">
        <v>8</v>
      </c>
      <c r="O68" s="100">
        <v>0</v>
      </c>
      <c r="P68" s="100">
        <v>0.18</v>
      </c>
      <c r="Q68" s="100">
        <v>10.4</v>
      </c>
      <c r="R68" s="6"/>
      <c r="S68" s="6"/>
      <c r="T68" s="156"/>
      <c r="U68" s="6"/>
    </row>
    <row r="69" spans="1:21" customFormat="1">
      <c r="A69" s="201" t="s">
        <v>1933</v>
      </c>
      <c r="B69" s="100">
        <v>2.83</v>
      </c>
      <c r="C69" s="100">
        <v>4.68</v>
      </c>
      <c r="D69" s="100">
        <v>7.5</v>
      </c>
      <c r="E69" s="100">
        <v>3.43</v>
      </c>
      <c r="F69" s="100">
        <v>2</v>
      </c>
      <c r="G69" s="100">
        <v>14.76</v>
      </c>
      <c r="H69" s="100">
        <v>13.4</v>
      </c>
      <c r="I69" s="100">
        <v>3.45</v>
      </c>
      <c r="J69" s="151" t="s">
        <v>8</v>
      </c>
      <c r="K69" s="151" t="s">
        <v>8</v>
      </c>
      <c r="L69" s="151" t="s">
        <v>8</v>
      </c>
      <c r="M69" s="151" t="s">
        <v>8</v>
      </c>
      <c r="N69" s="151" t="s">
        <v>8</v>
      </c>
      <c r="O69" s="100">
        <v>0</v>
      </c>
      <c r="P69" s="100">
        <v>0.17</v>
      </c>
      <c r="Q69" s="100">
        <v>11.37</v>
      </c>
      <c r="R69" s="6"/>
      <c r="S69" s="6"/>
      <c r="T69" s="156"/>
      <c r="U69" s="6"/>
    </row>
    <row r="70" spans="1:21" customFormat="1">
      <c r="A70" s="201" t="s">
        <v>1934</v>
      </c>
      <c r="B70" s="100">
        <v>2.89</v>
      </c>
      <c r="C70" s="100">
        <v>4.62</v>
      </c>
      <c r="D70" s="100">
        <v>7.51</v>
      </c>
      <c r="E70" s="100">
        <v>3.12</v>
      </c>
      <c r="F70" s="100">
        <v>2.02</v>
      </c>
      <c r="G70" s="100">
        <v>14.26</v>
      </c>
      <c r="H70" s="100">
        <v>12.35</v>
      </c>
      <c r="I70" s="100">
        <v>3.48</v>
      </c>
      <c r="J70" s="151" t="s">
        <v>8</v>
      </c>
      <c r="K70" s="151" t="s">
        <v>8</v>
      </c>
      <c r="L70" s="151" t="s">
        <v>8</v>
      </c>
      <c r="M70" s="151" t="s">
        <v>8</v>
      </c>
      <c r="N70" s="151" t="s">
        <v>8</v>
      </c>
      <c r="O70" s="100">
        <v>0</v>
      </c>
      <c r="P70" s="100">
        <v>0.18</v>
      </c>
      <c r="Q70" s="100">
        <v>10.92</v>
      </c>
      <c r="R70" s="6"/>
      <c r="S70" s="6"/>
      <c r="T70" s="156"/>
      <c r="U70" s="6"/>
    </row>
    <row r="71" spans="1:21" customFormat="1">
      <c r="A71" s="201" t="s">
        <v>1935</v>
      </c>
      <c r="B71" s="100">
        <v>2.88</v>
      </c>
      <c r="C71" s="100">
        <v>4.6500000000000004</v>
      </c>
      <c r="D71" s="100">
        <v>7.52</v>
      </c>
      <c r="E71" s="100">
        <v>3.37</v>
      </c>
      <c r="F71" s="100">
        <v>2.08</v>
      </c>
      <c r="G71" s="100">
        <v>13.09</v>
      </c>
      <c r="H71" s="100">
        <v>10.73</v>
      </c>
      <c r="I71" s="100">
        <v>3.4</v>
      </c>
      <c r="J71" s="151" t="s">
        <v>8</v>
      </c>
      <c r="K71" s="151" t="s">
        <v>8</v>
      </c>
      <c r="L71" s="151" t="s">
        <v>8</v>
      </c>
      <c r="M71" s="151" t="s">
        <v>8</v>
      </c>
      <c r="N71" s="151" t="s">
        <v>8</v>
      </c>
      <c r="O71" s="100">
        <v>0</v>
      </c>
      <c r="P71" s="100">
        <v>0.18</v>
      </c>
      <c r="Q71" s="100">
        <v>10.54</v>
      </c>
      <c r="R71" s="6"/>
      <c r="S71" s="6"/>
      <c r="T71" s="156"/>
      <c r="U71" s="6"/>
    </row>
    <row r="72" spans="1:21" customFormat="1">
      <c r="A72" s="201" t="s">
        <v>1936</v>
      </c>
      <c r="B72" s="100">
        <v>2.92</v>
      </c>
      <c r="C72" s="100">
        <v>4.66</v>
      </c>
      <c r="D72" s="100">
        <v>7.58</v>
      </c>
      <c r="E72" s="100">
        <v>3.23</v>
      </c>
      <c r="F72" s="100">
        <v>2</v>
      </c>
      <c r="G72" s="100">
        <v>13.09</v>
      </c>
      <c r="H72" s="100">
        <v>10.73</v>
      </c>
      <c r="I72" s="100">
        <v>3.42</v>
      </c>
      <c r="J72" s="151" t="s">
        <v>8</v>
      </c>
      <c r="K72" s="151" t="s">
        <v>8</v>
      </c>
      <c r="L72" s="151" t="s">
        <v>8</v>
      </c>
      <c r="M72" s="151" t="s">
        <v>8</v>
      </c>
      <c r="N72" s="151" t="s">
        <v>8</v>
      </c>
      <c r="O72" s="100">
        <v>0</v>
      </c>
      <c r="P72" s="100">
        <v>0.18</v>
      </c>
      <c r="Q72" s="100">
        <v>10.24</v>
      </c>
      <c r="R72" s="6"/>
      <c r="S72" s="6"/>
      <c r="T72" s="156"/>
      <c r="U72" s="6"/>
    </row>
    <row r="73" spans="1:21" customFormat="1">
      <c r="A73" s="201" t="s">
        <v>1937</v>
      </c>
      <c r="B73" s="100">
        <v>2.94</v>
      </c>
      <c r="C73" s="100">
        <v>4.63</v>
      </c>
      <c r="D73" s="100">
        <v>7.57</v>
      </c>
      <c r="E73" s="100">
        <v>3.37</v>
      </c>
      <c r="F73" s="100">
        <v>2.1</v>
      </c>
      <c r="G73" s="100">
        <v>13.09</v>
      </c>
      <c r="H73" s="100">
        <v>10.73</v>
      </c>
      <c r="I73" s="100">
        <v>3.36</v>
      </c>
      <c r="J73" s="151" t="s">
        <v>8</v>
      </c>
      <c r="K73" s="151" t="s">
        <v>8</v>
      </c>
      <c r="L73" s="151" t="s">
        <v>8</v>
      </c>
      <c r="M73" s="151" t="s">
        <v>8</v>
      </c>
      <c r="N73" s="151" t="s">
        <v>8</v>
      </c>
      <c r="O73" s="100">
        <v>0</v>
      </c>
      <c r="P73" s="100">
        <v>0.18</v>
      </c>
      <c r="Q73" s="100">
        <v>10.44</v>
      </c>
      <c r="R73" s="6"/>
      <c r="S73" s="6"/>
      <c r="T73" s="156"/>
      <c r="U73" s="6"/>
    </row>
    <row r="74" spans="1:21" customFormat="1">
      <c r="A74" s="201" t="s">
        <v>1938</v>
      </c>
      <c r="B74" s="100">
        <v>2.8</v>
      </c>
      <c r="C74" s="100">
        <v>4.75</v>
      </c>
      <c r="D74" s="100">
        <v>7.54</v>
      </c>
      <c r="E74" s="100">
        <v>3.19</v>
      </c>
      <c r="F74" s="100">
        <v>14.56</v>
      </c>
      <c r="G74" s="100">
        <v>12.47</v>
      </c>
      <c r="H74" s="100">
        <v>9.56</v>
      </c>
      <c r="I74" s="100">
        <v>3.36</v>
      </c>
      <c r="J74" s="151" t="s">
        <v>8</v>
      </c>
      <c r="K74" s="151" t="s">
        <v>8</v>
      </c>
      <c r="L74" s="151" t="s">
        <v>8</v>
      </c>
      <c r="M74" s="151" t="s">
        <v>8</v>
      </c>
      <c r="N74" s="151" t="s">
        <v>8</v>
      </c>
      <c r="O74" s="100">
        <v>0</v>
      </c>
      <c r="P74" s="100">
        <v>0.18</v>
      </c>
      <c r="Q74" s="100">
        <v>10.24</v>
      </c>
      <c r="R74" s="6"/>
      <c r="S74" s="6"/>
      <c r="T74" s="156"/>
      <c r="U74" s="6"/>
    </row>
    <row r="75" spans="1:21" customFormat="1">
      <c r="A75" s="201" t="s">
        <v>1939</v>
      </c>
      <c r="B75" s="100">
        <v>2.36</v>
      </c>
      <c r="C75" s="100">
        <v>5.15</v>
      </c>
      <c r="D75" s="100">
        <v>7.51</v>
      </c>
      <c r="E75" s="100">
        <v>3.16</v>
      </c>
      <c r="F75" s="100">
        <v>8.2799999999999994</v>
      </c>
      <c r="G75" s="100">
        <v>11.01</v>
      </c>
      <c r="H75" s="100">
        <v>7.75</v>
      </c>
      <c r="I75" s="100">
        <v>3.27</v>
      </c>
      <c r="J75" s="151" t="s">
        <v>8</v>
      </c>
      <c r="K75" s="151" t="s">
        <v>8</v>
      </c>
      <c r="L75" s="151" t="s">
        <v>8</v>
      </c>
      <c r="M75" s="151" t="s">
        <v>8</v>
      </c>
      <c r="N75" s="151" t="s">
        <v>8</v>
      </c>
      <c r="O75" s="100">
        <v>0</v>
      </c>
      <c r="P75" s="100">
        <v>0.19</v>
      </c>
      <c r="Q75" s="100">
        <v>10.220000000000001</v>
      </c>
      <c r="R75" s="6"/>
      <c r="S75" s="6"/>
      <c r="T75" s="156"/>
      <c r="U75" s="6"/>
    </row>
    <row r="76" spans="1:21" customFormat="1">
      <c r="A76" s="201" t="s">
        <v>1940</v>
      </c>
      <c r="B76" s="100">
        <v>2.0099999999999998</v>
      </c>
      <c r="C76" s="100">
        <v>5.4</v>
      </c>
      <c r="D76" s="100">
        <v>7.41</v>
      </c>
      <c r="E76" s="100">
        <v>3.11</v>
      </c>
      <c r="F76" s="100">
        <v>7.04</v>
      </c>
      <c r="G76" s="100">
        <v>11.01</v>
      </c>
      <c r="H76" s="100">
        <v>7.75</v>
      </c>
      <c r="I76" s="100">
        <v>2.67</v>
      </c>
      <c r="J76" s="151" t="s">
        <v>8</v>
      </c>
      <c r="K76" s="151" t="s">
        <v>8</v>
      </c>
      <c r="L76" s="151" t="s">
        <v>8</v>
      </c>
      <c r="M76" s="151" t="s">
        <v>8</v>
      </c>
      <c r="N76" s="151" t="s">
        <v>8</v>
      </c>
      <c r="O76" s="100">
        <v>0</v>
      </c>
      <c r="P76" s="100">
        <v>0.21</v>
      </c>
      <c r="Q76" s="100">
        <v>10.14</v>
      </c>
      <c r="R76" s="6"/>
      <c r="S76" s="6"/>
      <c r="T76" s="156"/>
      <c r="U76" s="6"/>
    </row>
    <row r="77" spans="1:21" customFormat="1">
      <c r="A77" s="201" t="s">
        <v>1941</v>
      </c>
      <c r="B77" s="100">
        <v>1.68</v>
      </c>
      <c r="C77" s="100">
        <v>5.24</v>
      </c>
      <c r="D77" s="100">
        <v>6.92</v>
      </c>
      <c r="E77" s="100">
        <v>2.72</v>
      </c>
      <c r="F77" s="100">
        <v>7.56</v>
      </c>
      <c r="G77" s="100">
        <v>11.01</v>
      </c>
      <c r="H77" s="100">
        <v>7.75</v>
      </c>
      <c r="I77" s="100">
        <v>2.77</v>
      </c>
      <c r="J77" s="151" t="s">
        <v>8</v>
      </c>
      <c r="K77" s="151" t="s">
        <v>8</v>
      </c>
      <c r="L77" s="151" t="s">
        <v>8</v>
      </c>
      <c r="M77" s="151" t="s">
        <v>8</v>
      </c>
      <c r="N77" s="151" t="s">
        <v>8</v>
      </c>
      <c r="O77" s="100">
        <v>0</v>
      </c>
      <c r="P77" s="100">
        <v>0.2</v>
      </c>
      <c r="Q77" s="100">
        <v>10.97</v>
      </c>
      <c r="R77" s="6"/>
      <c r="S77" s="6"/>
      <c r="T77" s="156"/>
      <c r="U77" s="6"/>
    </row>
    <row r="78" spans="1:21" customFormat="1">
      <c r="A78" s="201" t="s">
        <v>1942</v>
      </c>
      <c r="B78" s="100">
        <v>1.68</v>
      </c>
      <c r="C78" s="100">
        <v>5.07</v>
      </c>
      <c r="D78" s="100">
        <v>6.75</v>
      </c>
      <c r="E78" s="100">
        <v>2.87</v>
      </c>
      <c r="F78" s="100">
        <v>2.1</v>
      </c>
      <c r="G78" s="100">
        <v>11.28</v>
      </c>
      <c r="H78" s="100">
        <v>7.92</v>
      </c>
      <c r="I78" s="100">
        <v>2.71</v>
      </c>
      <c r="J78" s="151" t="s">
        <v>8</v>
      </c>
      <c r="K78" s="151" t="s">
        <v>8</v>
      </c>
      <c r="L78" s="151" t="s">
        <v>8</v>
      </c>
      <c r="M78" s="151" t="s">
        <v>8</v>
      </c>
      <c r="N78" s="151" t="s">
        <v>8</v>
      </c>
      <c r="O78" s="100">
        <v>0</v>
      </c>
      <c r="P78" s="100">
        <v>0.2</v>
      </c>
      <c r="Q78" s="100">
        <v>10.8</v>
      </c>
      <c r="R78" s="6"/>
      <c r="S78" s="6"/>
      <c r="T78" s="156"/>
      <c r="U78" s="6"/>
    </row>
    <row r="79" spans="1:21" customFormat="1">
      <c r="A79" s="201" t="s">
        <v>1943</v>
      </c>
      <c r="B79" s="100">
        <v>1.79</v>
      </c>
      <c r="C79" s="100">
        <v>4.8899999999999997</v>
      </c>
      <c r="D79" s="100">
        <v>6.68</v>
      </c>
      <c r="E79" s="100">
        <v>2.67</v>
      </c>
      <c r="F79" s="100">
        <v>2.06</v>
      </c>
      <c r="G79" s="100">
        <v>11.89</v>
      </c>
      <c r="H79" s="100">
        <v>8.17</v>
      </c>
      <c r="I79" s="100">
        <v>2.48</v>
      </c>
      <c r="J79" s="151" t="s">
        <v>8</v>
      </c>
      <c r="K79" s="151" t="s">
        <v>8</v>
      </c>
      <c r="L79" s="151" t="s">
        <v>8</v>
      </c>
      <c r="M79" s="151" t="s">
        <v>8</v>
      </c>
      <c r="N79" s="151" t="s">
        <v>8</v>
      </c>
      <c r="O79" s="100">
        <v>0</v>
      </c>
      <c r="P79" s="100">
        <v>0.19</v>
      </c>
      <c r="Q79" s="100">
        <v>10.199999999999999</v>
      </c>
      <c r="R79" s="6"/>
      <c r="S79" s="6"/>
      <c r="T79" s="156"/>
      <c r="U79" s="6"/>
    </row>
    <row r="80" spans="1:21" customFormat="1">
      <c r="A80" s="201" t="s">
        <v>1944</v>
      </c>
      <c r="B80" s="100">
        <v>1.9</v>
      </c>
      <c r="C80" s="100">
        <v>4.8099999999999996</v>
      </c>
      <c r="D80" s="100">
        <v>6.71</v>
      </c>
      <c r="E80" s="100">
        <v>2.97</v>
      </c>
      <c r="F80" s="100">
        <v>2</v>
      </c>
      <c r="G80" s="100">
        <v>11.89</v>
      </c>
      <c r="H80" s="100">
        <v>8.17</v>
      </c>
      <c r="I80" s="100">
        <v>2.4</v>
      </c>
      <c r="J80" s="151" t="s">
        <v>8</v>
      </c>
      <c r="K80" s="151" t="s">
        <v>8</v>
      </c>
      <c r="L80" s="151" t="s">
        <v>8</v>
      </c>
      <c r="M80" s="151" t="s">
        <v>8</v>
      </c>
      <c r="N80" s="151" t="s">
        <v>8</v>
      </c>
      <c r="O80" s="100">
        <v>0</v>
      </c>
      <c r="P80" s="100">
        <v>0.19</v>
      </c>
      <c r="Q80" s="100">
        <v>10.29</v>
      </c>
      <c r="R80" s="6"/>
      <c r="S80" s="6"/>
      <c r="T80" s="156"/>
      <c r="U80" s="6"/>
    </row>
    <row r="81" spans="1:21" customFormat="1">
      <c r="A81" s="201" t="s">
        <v>1945</v>
      </c>
      <c r="B81" s="100">
        <v>2.0099999999999998</v>
      </c>
      <c r="C81" s="100">
        <v>4.79</v>
      </c>
      <c r="D81" s="100">
        <v>6.8</v>
      </c>
      <c r="E81" s="100">
        <v>2.97</v>
      </c>
      <c r="F81" s="100">
        <v>2</v>
      </c>
      <c r="G81" s="100">
        <v>11.89</v>
      </c>
      <c r="H81" s="100">
        <v>8.17</v>
      </c>
      <c r="I81" s="100">
        <v>2.42</v>
      </c>
      <c r="J81" s="151" t="s">
        <v>8</v>
      </c>
      <c r="K81" s="151" t="s">
        <v>8</v>
      </c>
      <c r="L81" s="151" t="s">
        <v>8</v>
      </c>
      <c r="M81" s="151" t="s">
        <v>8</v>
      </c>
      <c r="N81" s="151" t="s">
        <v>8</v>
      </c>
      <c r="O81" s="100">
        <v>0</v>
      </c>
      <c r="P81" s="100">
        <v>0.2</v>
      </c>
      <c r="Q81" s="100">
        <v>10.58</v>
      </c>
      <c r="R81" s="6"/>
      <c r="S81" s="6"/>
      <c r="T81" s="156"/>
      <c r="U81" s="6"/>
    </row>
    <row r="82" spans="1:21" customFormat="1">
      <c r="A82" s="201" t="s">
        <v>1946</v>
      </c>
      <c r="B82" s="100">
        <v>2.11</v>
      </c>
      <c r="C82" s="100">
        <v>4.71</v>
      </c>
      <c r="D82" s="100">
        <v>6.82</v>
      </c>
      <c r="E82" s="100">
        <v>3.2</v>
      </c>
      <c r="F82" s="100">
        <v>2</v>
      </c>
      <c r="G82" s="100">
        <v>12.29</v>
      </c>
      <c r="H82" s="100">
        <v>8.6199999999999992</v>
      </c>
      <c r="I82" s="100">
        <v>2.5</v>
      </c>
      <c r="J82" s="151" t="s">
        <v>8</v>
      </c>
      <c r="K82" s="151" t="s">
        <v>8</v>
      </c>
      <c r="L82" s="151" t="s">
        <v>8</v>
      </c>
      <c r="M82" s="151" t="s">
        <v>8</v>
      </c>
      <c r="N82" s="151" t="s">
        <v>8</v>
      </c>
      <c r="O82" s="100">
        <v>0</v>
      </c>
      <c r="P82" s="100">
        <v>0.19</v>
      </c>
      <c r="Q82" s="100">
        <v>10.62</v>
      </c>
      <c r="R82" s="6"/>
      <c r="S82" s="6"/>
      <c r="T82" s="156"/>
      <c r="U82" s="6"/>
    </row>
    <row r="83" spans="1:21" customFormat="1">
      <c r="A83" s="201" t="s">
        <v>1947</v>
      </c>
      <c r="B83" s="100">
        <v>2.25</v>
      </c>
      <c r="C83" s="100">
        <v>4.7300000000000004</v>
      </c>
      <c r="D83" s="100">
        <v>6.98</v>
      </c>
      <c r="E83" s="100">
        <v>3.09</v>
      </c>
      <c r="F83" s="100">
        <v>2</v>
      </c>
      <c r="G83" s="100">
        <v>13.2</v>
      </c>
      <c r="H83" s="100">
        <v>10.43</v>
      </c>
      <c r="I83" s="100">
        <v>2.5099999999999998</v>
      </c>
      <c r="J83" s="151" t="s">
        <v>8</v>
      </c>
      <c r="K83" s="151" t="s">
        <v>8</v>
      </c>
      <c r="L83" s="151" t="s">
        <v>8</v>
      </c>
      <c r="M83" s="151" t="s">
        <v>8</v>
      </c>
      <c r="N83" s="151" t="s">
        <v>8</v>
      </c>
      <c r="O83" s="100">
        <v>0</v>
      </c>
      <c r="P83" s="100">
        <v>0.19</v>
      </c>
      <c r="Q83" s="100">
        <v>10.24</v>
      </c>
      <c r="R83" s="6"/>
      <c r="S83" s="6"/>
      <c r="T83" s="156"/>
      <c r="U83" s="6"/>
    </row>
    <row r="84" spans="1:21" customFormat="1">
      <c r="A84" s="201" t="s">
        <v>1948</v>
      </c>
      <c r="B84" s="100">
        <v>2.36</v>
      </c>
      <c r="C84" s="100">
        <v>4.74</v>
      </c>
      <c r="D84" s="100">
        <v>7.1</v>
      </c>
      <c r="E84" s="100">
        <v>3.72</v>
      </c>
      <c r="F84" s="100">
        <v>2</v>
      </c>
      <c r="G84" s="100">
        <v>13.2</v>
      </c>
      <c r="H84" s="100">
        <v>10.43</v>
      </c>
      <c r="I84" s="100">
        <v>2.52</v>
      </c>
      <c r="J84" s="151" t="s">
        <v>8</v>
      </c>
      <c r="K84" s="151" t="s">
        <v>8</v>
      </c>
      <c r="L84" s="151" t="s">
        <v>8</v>
      </c>
      <c r="M84" s="151" t="s">
        <v>8</v>
      </c>
      <c r="N84" s="151" t="s">
        <v>8</v>
      </c>
      <c r="O84" s="100">
        <v>0</v>
      </c>
      <c r="P84" s="100">
        <v>0.21</v>
      </c>
      <c r="Q84" s="100">
        <v>10</v>
      </c>
      <c r="R84" s="6"/>
      <c r="S84" s="6"/>
      <c r="T84" s="156"/>
      <c r="U84" s="6"/>
    </row>
    <row r="85" spans="1:21" customFormat="1">
      <c r="A85" s="201" t="s">
        <v>1949</v>
      </c>
      <c r="B85" s="100">
        <v>2.4900000000000002</v>
      </c>
      <c r="C85" s="100">
        <v>4.68</v>
      </c>
      <c r="D85" s="100">
        <v>7.16</v>
      </c>
      <c r="E85" s="100">
        <v>3.85</v>
      </c>
      <c r="F85" s="100">
        <v>2</v>
      </c>
      <c r="G85" s="100">
        <v>13.2</v>
      </c>
      <c r="H85" s="100">
        <v>10.43</v>
      </c>
      <c r="I85" s="100">
        <v>2.5299999999999998</v>
      </c>
      <c r="J85" s="151" t="s">
        <v>8</v>
      </c>
      <c r="K85" s="151" t="s">
        <v>8</v>
      </c>
      <c r="L85" s="151" t="s">
        <v>8</v>
      </c>
      <c r="M85" s="151" t="s">
        <v>8</v>
      </c>
      <c r="N85" s="151" t="s">
        <v>8</v>
      </c>
      <c r="O85" s="100">
        <v>0</v>
      </c>
      <c r="P85" s="100">
        <v>0.21</v>
      </c>
      <c r="Q85" s="100">
        <v>10</v>
      </c>
      <c r="R85" s="6"/>
      <c r="S85" s="6"/>
      <c r="T85" s="156"/>
      <c r="U85" s="6"/>
    </row>
    <row r="86" spans="1:21" customFormat="1">
      <c r="A86" s="201" t="s">
        <v>1950</v>
      </c>
      <c r="B86" s="100">
        <v>2.59</v>
      </c>
      <c r="C86" s="100">
        <v>4.63</v>
      </c>
      <c r="D86" s="100">
        <v>7.22</v>
      </c>
      <c r="E86" s="100">
        <v>3.84</v>
      </c>
      <c r="F86" s="100">
        <v>2</v>
      </c>
      <c r="G86" s="100">
        <v>15.9</v>
      </c>
      <c r="H86" s="100">
        <v>9.4</v>
      </c>
      <c r="I86" s="100">
        <v>2.73</v>
      </c>
      <c r="J86" s="151" t="s">
        <v>8</v>
      </c>
      <c r="K86" s="151" t="s">
        <v>8</v>
      </c>
      <c r="L86" s="151" t="s">
        <v>8</v>
      </c>
      <c r="M86" s="151" t="s">
        <v>8</v>
      </c>
      <c r="N86" s="151" t="s">
        <v>8</v>
      </c>
      <c r="O86" s="100">
        <v>0</v>
      </c>
      <c r="P86" s="100">
        <v>0.21</v>
      </c>
      <c r="Q86" s="100">
        <v>10.02</v>
      </c>
      <c r="R86" s="6"/>
      <c r="S86" s="6"/>
      <c r="T86" s="156"/>
      <c r="U86" s="6"/>
    </row>
    <row r="87" spans="1:21" customFormat="1">
      <c r="A87" s="201" t="s">
        <v>1951</v>
      </c>
      <c r="B87" s="100">
        <v>2.71</v>
      </c>
      <c r="C87" s="100">
        <v>4.67</v>
      </c>
      <c r="D87" s="100">
        <v>7.38</v>
      </c>
      <c r="E87" s="100">
        <v>4.18</v>
      </c>
      <c r="F87" s="100">
        <v>2</v>
      </c>
      <c r="G87" s="100">
        <v>22.19</v>
      </c>
      <c r="H87" s="100">
        <v>7.81</v>
      </c>
      <c r="I87" s="100">
        <v>2.95</v>
      </c>
      <c r="J87" s="151" t="s">
        <v>8</v>
      </c>
      <c r="K87" s="151" t="s">
        <v>8</v>
      </c>
      <c r="L87" s="151" t="s">
        <v>8</v>
      </c>
      <c r="M87" s="151" t="s">
        <v>8</v>
      </c>
      <c r="N87" s="151" t="s">
        <v>8</v>
      </c>
      <c r="O87" s="100">
        <v>0</v>
      </c>
      <c r="P87" s="100">
        <v>0.22</v>
      </c>
      <c r="Q87" s="100">
        <v>10.210000000000001</v>
      </c>
      <c r="R87" s="6"/>
      <c r="S87" s="6"/>
      <c r="T87" s="156"/>
      <c r="U87" s="6"/>
    </row>
    <row r="88" spans="1:21" customFormat="1">
      <c r="A88" s="201" t="s">
        <v>1952</v>
      </c>
      <c r="B88" s="100">
        <v>2.83</v>
      </c>
      <c r="C88" s="100">
        <v>4.67</v>
      </c>
      <c r="D88" s="100">
        <v>7.5</v>
      </c>
      <c r="E88" s="100">
        <v>4.1399999999999997</v>
      </c>
      <c r="F88" s="100">
        <v>2</v>
      </c>
      <c r="G88" s="100">
        <v>22.19</v>
      </c>
      <c r="H88" s="100">
        <v>7.81</v>
      </c>
      <c r="I88" s="100">
        <v>3.1</v>
      </c>
      <c r="J88" s="151" t="s">
        <v>8</v>
      </c>
      <c r="K88" s="151" t="s">
        <v>8</v>
      </c>
      <c r="L88" s="151" t="s">
        <v>8</v>
      </c>
      <c r="M88" s="151" t="s">
        <v>8</v>
      </c>
      <c r="N88" s="151" t="s">
        <v>8</v>
      </c>
      <c r="O88" s="100">
        <v>0</v>
      </c>
      <c r="P88" s="100">
        <v>0.22</v>
      </c>
      <c r="Q88" s="100">
        <v>10.050000000000001</v>
      </c>
      <c r="R88" s="6"/>
      <c r="S88" s="6"/>
      <c r="T88" s="156"/>
      <c r="U88" s="6"/>
    </row>
    <row r="89" spans="1:21" customFormat="1">
      <c r="A89" s="201" t="s">
        <v>1953</v>
      </c>
      <c r="B89" s="100">
        <v>2.92</v>
      </c>
      <c r="C89" s="100">
        <v>4.6900000000000004</v>
      </c>
      <c r="D89" s="100">
        <v>7.61</v>
      </c>
      <c r="E89" s="100">
        <v>4.29</v>
      </c>
      <c r="F89" s="100">
        <v>2</v>
      </c>
      <c r="G89" s="100">
        <v>22.19</v>
      </c>
      <c r="H89" s="100">
        <v>7.81</v>
      </c>
      <c r="I89" s="100">
        <v>3.15</v>
      </c>
      <c r="J89" s="151" t="s">
        <v>8</v>
      </c>
      <c r="K89" s="151" t="s">
        <v>8</v>
      </c>
      <c r="L89" s="151" t="s">
        <v>8</v>
      </c>
      <c r="M89" s="151" t="s">
        <v>8</v>
      </c>
      <c r="N89" s="151" t="s">
        <v>8</v>
      </c>
      <c r="O89" s="100">
        <v>0</v>
      </c>
      <c r="P89" s="100">
        <v>0.23</v>
      </c>
      <c r="Q89" s="100">
        <v>10</v>
      </c>
      <c r="R89" s="6"/>
      <c r="S89" s="6"/>
      <c r="T89" s="156"/>
      <c r="U89" s="6"/>
    </row>
    <row r="90" spans="1:21" customFormat="1">
      <c r="A90" s="201" t="s">
        <v>1954</v>
      </c>
      <c r="B90" s="100">
        <v>2.98</v>
      </c>
      <c r="C90" s="100">
        <v>4.71</v>
      </c>
      <c r="D90" s="100">
        <v>7.7</v>
      </c>
      <c r="E90" s="100">
        <v>4.25</v>
      </c>
      <c r="F90" s="100">
        <v>2</v>
      </c>
      <c r="G90" s="100">
        <v>21.52</v>
      </c>
      <c r="H90" s="100">
        <v>9.09</v>
      </c>
      <c r="I90" s="100">
        <v>3.22</v>
      </c>
      <c r="J90" s="151" t="s">
        <v>8</v>
      </c>
      <c r="K90" s="151" t="s">
        <v>8</v>
      </c>
      <c r="L90" s="151" t="s">
        <v>8</v>
      </c>
      <c r="M90" s="151" t="s">
        <v>8</v>
      </c>
      <c r="N90" s="151" t="s">
        <v>8</v>
      </c>
      <c r="O90" s="100">
        <v>0</v>
      </c>
      <c r="P90" s="100">
        <v>0.24</v>
      </c>
      <c r="Q90" s="100">
        <v>10</v>
      </c>
      <c r="R90" s="6"/>
      <c r="S90" s="6"/>
      <c r="T90" s="156"/>
      <c r="U90" s="6"/>
    </row>
    <row r="91" spans="1:21" customFormat="1">
      <c r="A91" s="201" t="s">
        <v>1955</v>
      </c>
      <c r="B91" s="100">
        <v>3.1</v>
      </c>
      <c r="C91" s="100">
        <v>4.74</v>
      </c>
      <c r="D91" s="100">
        <v>7.84</v>
      </c>
      <c r="E91" s="100">
        <v>4.4800000000000004</v>
      </c>
      <c r="F91" s="100">
        <v>2</v>
      </c>
      <c r="G91" s="100">
        <v>19.93</v>
      </c>
      <c r="H91" s="100">
        <v>10.98</v>
      </c>
      <c r="I91" s="100">
        <v>3.38</v>
      </c>
      <c r="J91" s="151" t="s">
        <v>8</v>
      </c>
      <c r="K91" s="151" t="s">
        <v>8</v>
      </c>
      <c r="L91" s="151" t="s">
        <v>8</v>
      </c>
      <c r="M91" s="151" t="s">
        <v>8</v>
      </c>
      <c r="N91" s="151" t="s">
        <v>8</v>
      </c>
      <c r="O91" s="100">
        <v>0</v>
      </c>
      <c r="P91" s="100">
        <v>0.25</v>
      </c>
      <c r="Q91" s="100">
        <v>10</v>
      </c>
      <c r="R91" s="6"/>
      <c r="S91" s="6"/>
      <c r="T91" s="156"/>
      <c r="U91" s="6"/>
    </row>
    <row r="92" spans="1:21" customFormat="1">
      <c r="A92" s="201" t="s">
        <v>1956</v>
      </c>
      <c r="B92" s="100">
        <v>3.19</v>
      </c>
      <c r="C92" s="100">
        <v>4.71</v>
      </c>
      <c r="D92" s="100">
        <v>7.9</v>
      </c>
      <c r="E92" s="100">
        <v>4.5999999999999996</v>
      </c>
      <c r="F92" s="100">
        <v>2</v>
      </c>
      <c r="G92" s="100">
        <v>19.93</v>
      </c>
      <c r="H92" s="100">
        <v>10.98</v>
      </c>
      <c r="I92" s="100">
        <v>3.51</v>
      </c>
      <c r="J92" s="151" t="s">
        <v>8</v>
      </c>
      <c r="K92" s="151" t="s">
        <v>8</v>
      </c>
      <c r="L92" s="151" t="s">
        <v>8</v>
      </c>
      <c r="M92" s="151" t="s">
        <v>8</v>
      </c>
      <c r="N92" s="151" t="s">
        <v>8</v>
      </c>
      <c r="O92" s="100">
        <v>0</v>
      </c>
      <c r="P92" s="100">
        <v>0.26</v>
      </c>
      <c r="Q92" s="100">
        <v>10</v>
      </c>
      <c r="R92" s="6"/>
      <c r="S92" s="6"/>
      <c r="T92" s="156"/>
      <c r="U92" s="6"/>
    </row>
    <row r="93" spans="1:21" customFormat="1">
      <c r="A93" s="201" t="s">
        <v>1957</v>
      </c>
      <c r="B93" s="100">
        <v>3.28</v>
      </c>
      <c r="C93" s="100">
        <v>4.8</v>
      </c>
      <c r="D93" s="100">
        <v>8.07</v>
      </c>
      <c r="E93" s="100">
        <v>4.59</v>
      </c>
      <c r="F93" s="100">
        <v>2</v>
      </c>
      <c r="G93" s="100">
        <v>19.93</v>
      </c>
      <c r="H93" s="100">
        <v>10.98</v>
      </c>
      <c r="I93" s="100">
        <v>3.63</v>
      </c>
      <c r="J93" s="151" t="s">
        <v>8</v>
      </c>
      <c r="K93" s="151" t="s">
        <v>8</v>
      </c>
      <c r="L93" s="151" t="s">
        <v>8</v>
      </c>
      <c r="M93" s="151" t="s">
        <v>8</v>
      </c>
      <c r="N93" s="151" t="s">
        <v>8</v>
      </c>
      <c r="O93" s="100">
        <v>0</v>
      </c>
      <c r="P93" s="100">
        <v>0.27</v>
      </c>
      <c r="Q93" s="100">
        <v>10</v>
      </c>
      <c r="R93" s="6"/>
      <c r="S93" s="6"/>
      <c r="T93" s="156"/>
      <c r="U93" s="6"/>
    </row>
    <row r="94" spans="1:21" customFormat="1">
      <c r="A94" s="201" t="s">
        <v>1958</v>
      </c>
      <c r="B94" s="100">
        <v>3.37</v>
      </c>
      <c r="C94" s="100">
        <v>4.8</v>
      </c>
      <c r="D94" s="100">
        <v>8.17</v>
      </c>
      <c r="E94" s="100">
        <v>4.82</v>
      </c>
      <c r="F94" s="100">
        <v>2</v>
      </c>
      <c r="G94" s="100">
        <v>20.3</v>
      </c>
      <c r="H94" s="100">
        <v>11.82</v>
      </c>
      <c r="I94" s="100">
        <v>3.78</v>
      </c>
      <c r="J94" s="151" t="s">
        <v>8</v>
      </c>
      <c r="K94" s="151" t="s">
        <v>8</v>
      </c>
      <c r="L94" s="151" t="s">
        <v>8</v>
      </c>
      <c r="M94" s="151" t="s">
        <v>8</v>
      </c>
      <c r="N94" s="151" t="s">
        <v>8</v>
      </c>
      <c r="O94" s="100">
        <v>0</v>
      </c>
      <c r="P94" s="100">
        <v>0.28000000000000003</v>
      </c>
      <c r="Q94" s="100">
        <v>10</v>
      </c>
      <c r="R94" s="6"/>
      <c r="S94" s="6"/>
      <c r="T94" s="156"/>
      <c r="U94" s="6"/>
    </row>
    <row r="95" spans="1:21" customFormat="1">
      <c r="A95" s="201" t="s">
        <v>1959</v>
      </c>
      <c r="B95" s="100">
        <v>3.51</v>
      </c>
      <c r="C95" s="100">
        <v>4.84</v>
      </c>
      <c r="D95" s="100">
        <v>8.35</v>
      </c>
      <c r="E95" s="100">
        <v>4.8499999999999996</v>
      </c>
      <c r="F95" s="100">
        <v>2</v>
      </c>
      <c r="G95" s="100">
        <v>21.16</v>
      </c>
      <c r="H95" s="100">
        <v>13.11</v>
      </c>
      <c r="I95" s="100">
        <v>3.93</v>
      </c>
      <c r="J95" s="151" t="s">
        <v>8</v>
      </c>
      <c r="K95" s="151" t="s">
        <v>8</v>
      </c>
      <c r="L95" s="151" t="s">
        <v>8</v>
      </c>
      <c r="M95" s="151" t="s">
        <v>8</v>
      </c>
      <c r="N95" s="151" t="s">
        <v>8</v>
      </c>
      <c r="O95" s="100">
        <v>0</v>
      </c>
      <c r="P95" s="100">
        <v>0.28999999999999998</v>
      </c>
      <c r="Q95" s="100">
        <v>10</v>
      </c>
      <c r="R95" s="6"/>
      <c r="S95" s="6"/>
      <c r="T95" s="156"/>
      <c r="U95" s="6"/>
    </row>
    <row r="96" spans="1:21" customFormat="1">
      <c r="A96" s="201" t="s">
        <v>1960</v>
      </c>
      <c r="B96" s="100">
        <v>3.65</v>
      </c>
      <c r="C96" s="100">
        <v>4.66</v>
      </c>
      <c r="D96" s="100">
        <v>8.3000000000000007</v>
      </c>
      <c r="E96" s="100">
        <v>4.9800000000000004</v>
      </c>
      <c r="F96" s="100">
        <v>2</v>
      </c>
      <c r="G96" s="100">
        <v>21.16</v>
      </c>
      <c r="H96" s="100">
        <v>13.11</v>
      </c>
      <c r="I96" s="100">
        <v>4.0999999999999996</v>
      </c>
      <c r="J96" s="151" t="s">
        <v>8</v>
      </c>
      <c r="K96" s="151" t="s">
        <v>8</v>
      </c>
      <c r="L96" s="151" t="s">
        <v>8</v>
      </c>
      <c r="M96" s="151" t="s">
        <v>8</v>
      </c>
      <c r="N96" s="151" t="s">
        <v>8</v>
      </c>
      <c r="O96" s="100">
        <v>0</v>
      </c>
      <c r="P96" s="100">
        <v>0.26</v>
      </c>
      <c r="Q96" s="100">
        <v>10</v>
      </c>
      <c r="R96" s="6"/>
      <c r="S96" s="6"/>
      <c r="T96" s="156"/>
      <c r="U96" s="6"/>
    </row>
    <row r="97" spans="1:28" customFormat="1">
      <c r="A97" s="201" t="s">
        <v>1961</v>
      </c>
      <c r="B97" s="100">
        <v>3.77</v>
      </c>
      <c r="C97" s="100">
        <v>4.51</v>
      </c>
      <c r="D97" s="100">
        <v>8.2799999999999994</v>
      </c>
      <c r="E97" s="100">
        <v>4.62</v>
      </c>
      <c r="F97" s="100">
        <v>2</v>
      </c>
      <c r="G97" s="100">
        <v>21.16</v>
      </c>
      <c r="H97" s="100">
        <v>13.11</v>
      </c>
      <c r="I97" s="100">
        <v>4.24</v>
      </c>
      <c r="J97" s="151" t="s">
        <v>8</v>
      </c>
      <c r="K97" s="151" t="s">
        <v>8</v>
      </c>
      <c r="L97" s="151" t="s">
        <v>8</v>
      </c>
      <c r="M97" s="151" t="s">
        <v>8</v>
      </c>
      <c r="N97" s="151" t="s">
        <v>8</v>
      </c>
      <c r="O97" s="100">
        <v>0</v>
      </c>
      <c r="P97" s="100">
        <v>0.26</v>
      </c>
      <c r="Q97" s="100">
        <v>10</v>
      </c>
      <c r="R97" s="6"/>
      <c r="S97" s="6"/>
      <c r="T97" s="156"/>
      <c r="U97" s="6"/>
    </row>
    <row r="98" spans="1:28" customFormat="1">
      <c r="A98" s="201" t="s">
        <v>1962</v>
      </c>
      <c r="B98" s="100">
        <v>3.91</v>
      </c>
      <c r="C98" s="100">
        <v>4.5199999999999996</v>
      </c>
      <c r="D98" s="100">
        <v>8.42</v>
      </c>
      <c r="E98" s="100">
        <v>4.1500000000000004</v>
      </c>
      <c r="F98" s="100">
        <v>2</v>
      </c>
      <c r="G98" s="100">
        <v>22.32</v>
      </c>
      <c r="H98" s="100">
        <v>12.85</v>
      </c>
      <c r="I98" s="100">
        <v>4.49</v>
      </c>
      <c r="J98" s="151" t="s">
        <v>8</v>
      </c>
      <c r="K98" s="151" t="s">
        <v>8</v>
      </c>
      <c r="L98" s="151" t="s">
        <v>8</v>
      </c>
      <c r="M98" s="151" t="s">
        <v>8</v>
      </c>
      <c r="N98" s="151" t="s">
        <v>8</v>
      </c>
      <c r="O98" s="100">
        <v>0</v>
      </c>
      <c r="P98" s="100">
        <v>0.26</v>
      </c>
      <c r="Q98" s="100">
        <v>10</v>
      </c>
      <c r="R98" s="6"/>
      <c r="S98" s="6"/>
      <c r="T98" s="156"/>
      <c r="U98" s="6"/>
    </row>
    <row r="99" spans="1:28" customFormat="1">
      <c r="A99" s="201" t="s">
        <v>1963</v>
      </c>
      <c r="B99" s="100">
        <v>4.0999999999999996</v>
      </c>
      <c r="C99" s="100">
        <v>4.71</v>
      </c>
      <c r="D99" s="100">
        <v>8.81</v>
      </c>
      <c r="E99" s="100">
        <v>4.24</v>
      </c>
      <c r="F99" s="100">
        <v>2</v>
      </c>
      <c r="G99" s="100">
        <v>25.01</v>
      </c>
      <c r="H99" s="100">
        <v>11.8</v>
      </c>
      <c r="I99" s="100">
        <v>4.6100000000000003</v>
      </c>
      <c r="J99" s="151" t="s">
        <v>8</v>
      </c>
      <c r="K99" s="151" t="s">
        <v>8</v>
      </c>
      <c r="L99" s="151" t="s">
        <v>8</v>
      </c>
      <c r="M99" s="151" t="s">
        <v>8</v>
      </c>
      <c r="N99" s="151" t="s">
        <v>8</v>
      </c>
      <c r="O99" s="100">
        <v>0</v>
      </c>
      <c r="P99" s="100">
        <v>0.28000000000000003</v>
      </c>
      <c r="Q99" s="100">
        <v>10</v>
      </c>
      <c r="R99" s="6"/>
      <c r="S99" s="6"/>
      <c r="T99" s="156"/>
      <c r="U99" s="6"/>
    </row>
    <row r="100" spans="1:28" customFormat="1">
      <c r="A100" s="201" t="s">
        <v>1964</v>
      </c>
      <c r="B100" s="100">
        <v>4.29</v>
      </c>
      <c r="C100" s="100">
        <v>4.76</v>
      </c>
      <c r="D100" s="100">
        <v>9.0500000000000007</v>
      </c>
      <c r="E100" s="100">
        <v>4.3600000000000003</v>
      </c>
      <c r="F100" s="100">
        <v>2</v>
      </c>
      <c r="G100" s="100">
        <v>25.01</v>
      </c>
      <c r="H100" s="100">
        <v>11.8</v>
      </c>
      <c r="I100" s="100">
        <v>4.72</v>
      </c>
      <c r="J100" s="151" t="s">
        <v>8</v>
      </c>
      <c r="K100" s="151" t="s">
        <v>8</v>
      </c>
      <c r="L100" s="151" t="s">
        <v>8</v>
      </c>
      <c r="M100" s="151" t="s">
        <v>8</v>
      </c>
      <c r="N100" s="151" t="s">
        <v>8</v>
      </c>
      <c r="O100" s="100">
        <v>0</v>
      </c>
      <c r="P100" s="100">
        <v>0.28000000000000003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1965</v>
      </c>
      <c r="B101" s="100">
        <v>4.38</v>
      </c>
      <c r="C101" s="100">
        <v>4.6399999999999997</v>
      </c>
      <c r="D101" s="100">
        <v>9.02</v>
      </c>
      <c r="E101" s="100">
        <v>4.6500000000000004</v>
      </c>
      <c r="F101" s="100">
        <v>2</v>
      </c>
      <c r="G101" s="100">
        <v>25.01</v>
      </c>
      <c r="H101" s="100">
        <v>11.8</v>
      </c>
      <c r="I101" s="100">
        <v>4.82</v>
      </c>
      <c r="J101" s="151" t="s">
        <v>8</v>
      </c>
      <c r="K101" s="151" t="s">
        <v>8</v>
      </c>
      <c r="L101" s="151" t="s">
        <v>8</v>
      </c>
      <c r="M101" s="151" t="s">
        <v>8</v>
      </c>
      <c r="N101" s="151" t="s">
        <v>8</v>
      </c>
      <c r="O101" s="100">
        <v>0</v>
      </c>
      <c r="P101" s="100">
        <v>0.28000000000000003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1966</v>
      </c>
      <c r="B102" s="100">
        <v>4.4800000000000004</v>
      </c>
      <c r="C102" s="100">
        <v>4.63</v>
      </c>
      <c r="D102" s="100">
        <v>9.1199999999999992</v>
      </c>
      <c r="E102" s="100">
        <v>4.18</v>
      </c>
      <c r="F102" s="100">
        <v>2</v>
      </c>
      <c r="G102" s="100">
        <v>26.48</v>
      </c>
      <c r="H102" s="100">
        <v>11.6</v>
      </c>
      <c r="I102" s="100">
        <v>4.96</v>
      </c>
      <c r="J102" s="151" t="s">
        <v>8</v>
      </c>
      <c r="K102" s="151" t="s">
        <v>8</v>
      </c>
      <c r="L102" s="151" t="s">
        <v>8</v>
      </c>
      <c r="M102" s="151" t="s">
        <v>8</v>
      </c>
      <c r="N102" s="151" t="s">
        <v>8</v>
      </c>
      <c r="O102" s="100">
        <v>0</v>
      </c>
      <c r="P102" s="100">
        <v>0.28000000000000003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1967</v>
      </c>
      <c r="B103" s="100">
        <v>4.63</v>
      </c>
      <c r="C103" s="100">
        <v>4.95</v>
      </c>
      <c r="D103" s="100">
        <v>9.58</v>
      </c>
      <c r="E103" s="100">
        <v>4.51</v>
      </c>
      <c r="F103" s="100">
        <v>2</v>
      </c>
      <c r="G103" s="100">
        <v>29.92</v>
      </c>
      <c r="H103" s="100">
        <v>11.3</v>
      </c>
      <c r="I103" s="100">
        <v>5.09</v>
      </c>
      <c r="J103" s="151" t="s">
        <v>8</v>
      </c>
      <c r="K103" s="151" t="s">
        <v>8</v>
      </c>
      <c r="L103" s="151" t="s">
        <v>8</v>
      </c>
      <c r="M103" s="151" t="s">
        <v>8</v>
      </c>
      <c r="N103" s="151" t="s">
        <v>8</v>
      </c>
      <c r="O103" s="100">
        <v>0</v>
      </c>
      <c r="P103" s="100">
        <v>0.31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1968</v>
      </c>
      <c r="B104" s="100">
        <v>4.78</v>
      </c>
      <c r="C104" s="100">
        <v>4.92</v>
      </c>
      <c r="D104" s="100">
        <v>9.6999999999999993</v>
      </c>
      <c r="E104" s="100">
        <v>4.9800000000000004</v>
      </c>
      <c r="F104" s="100">
        <v>2</v>
      </c>
      <c r="G104" s="100">
        <v>29.92</v>
      </c>
      <c r="H104" s="100">
        <v>11.3</v>
      </c>
      <c r="I104" s="100">
        <v>5</v>
      </c>
      <c r="J104" s="151" t="s">
        <v>8</v>
      </c>
      <c r="K104" s="151" t="s">
        <v>8</v>
      </c>
      <c r="L104" s="151" t="s">
        <v>8</v>
      </c>
      <c r="M104" s="151" t="s">
        <v>8</v>
      </c>
      <c r="N104" s="151" t="s">
        <v>8</v>
      </c>
      <c r="O104" s="100">
        <v>0</v>
      </c>
      <c r="P104" s="100">
        <v>0.3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1.68</v>
      </c>
      <c r="C106" s="158">
        <f>MIN(C9:C104)</f>
        <v>4.4400000000000004</v>
      </c>
      <c r="D106" s="158">
        <f t="shared" ref="D106:Q106" si="0">MIN(D9:D104)</f>
        <v>6.68</v>
      </c>
      <c r="E106" s="158">
        <f t="shared" si="0"/>
        <v>2.67</v>
      </c>
      <c r="F106" s="158">
        <f t="shared" si="0"/>
        <v>2</v>
      </c>
      <c r="G106" s="158">
        <f t="shared" si="0"/>
        <v>10.07</v>
      </c>
      <c r="H106" s="158">
        <f t="shared" si="0"/>
        <v>3.05</v>
      </c>
      <c r="I106" s="158">
        <f t="shared" si="0"/>
        <v>2.4</v>
      </c>
      <c r="J106" s="158">
        <f t="shared" si="0"/>
        <v>0</v>
      </c>
      <c r="K106" s="158">
        <f t="shared" si="0"/>
        <v>0</v>
      </c>
      <c r="L106" s="158">
        <f t="shared" si="0"/>
        <v>0</v>
      </c>
      <c r="M106" s="158">
        <f t="shared" si="0"/>
        <v>0</v>
      </c>
      <c r="N106" s="158">
        <f t="shared" si="0"/>
        <v>0</v>
      </c>
      <c r="O106" s="158">
        <f t="shared" si="0"/>
        <v>0</v>
      </c>
      <c r="P106" s="158">
        <f t="shared" si="0"/>
        <v>0.17</v>
      </c>
      <c r="Q106" s="158">
        <f t="shared" si="0"/>
        <v>9.68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5.85</v>
      </c>
      <c r="C107" s="157">
        <f t="shared" ref="C107:Q107" si="1">MAX(C9:C104)</f>
        <v>5.4</v>
      </c>
      <c r="D107" s="157">
        <f t="shared" si="1"/>
        <v>11.01</v>
      </c>
      <c r="E107" s="157">
        <f t="shared" si="1"/>
        <v>6.12</v>
      </c>
      <c r="F107" s="157">
        <f t="shared" si="1"/>
        <v>14.56</v>
      </c>
      <c r="G107" s="157">
        <f t="shared" si="1"/>
        <v>29.92</v>
      </c>
      <c r="H107" s="157">
        <f t="shared" si="1"/>
        <v>13.4</v>
      </c>
      <c r="I107" s="157">
        <f t="shared" si="1"/>
        <v>5.7</v>
      </c>
      <c r="J107" s="157">
        <f t="shared" si="1"/>
        <v>0</v>
      </c>
      <c r="K107" s="157">
        <f t="shared" si="1"/>
        <v>0</v>
      </c>
      <c r="L107" s="157">
        <f t="shared" si="1"/>
        <v>0</v>
      </c>
      <c r="M107" s="157">
        <f t="shared" si="1"/>
        <v>0</v>
      </c>
      <c r="N107" s="157">
        <f t="shared" si="1"/>
        <v>0</v>
      </c>
      <c r="O107" s="157">
        <f t="shared" si="1"/>
        <v>0</v>
      </c>
      <c r="P107" s="157">
        <f t="shared" si="1"/>
        <v>0.37</v>
      </c>
      <c r="Q107" s="157">
        <f t="shared" si="1"/>
        <v>14.3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3.7511458333333341</v>
      </c>
      <c r="C108" s="158">
        <f t="shared" ref="C108:Q108" si="2">AVERAGE(C9:C104)</f>
        <v>4.8539583333333329</v>
      </c>
      <c r="D108" s="158">
        <f t="shared" si="2"/>
        <v>8.6039583333333329</v>
      </c>
      <c r="E108" s="158">
        <f t="shared" si="2"/>
        <v>4.3071875000000022</v>
      </c>
      <c r="F108" s="158">
        <f t="shared" si="2"/>
        <v>2.3346874999999998</v>
      </c>
      <c r="G108" s="158">
        <f t="shared" si="2"/>
        <v>16.835000000000012</v>
      </c>
      <c r="H108" s="158">
        <f t="shared" si="2"/>
        <v>8.5019791666666595</v>
      </c>
      <c r="I108" s="158">
        <f t="shared" si="2"/>
        <v>3.8976041666666661</v>
      </c>
      <c r="J108" s="158" t="e">
        <f t="shared" si="2"/>
        <v>#DIV/0!</v>
      </c>
      <c r="K108" s="158" t="e">
        <f t="shared" si="2"/>
        <v>#DIV/0!</v>
      </c>
      <c r="L108" s="158" t="e">
        <f t="shared" si="2"/>
        <v>#DIV/0!</v>
      </c>
      <c r="M108" s="158" t="e">
        <f t="shared" si="2"/>
        <v>#DIV/0!</v>
      </c>
      <c r="N108" s="158" t="e">
        <f t="shared" si="2"/>
        <v>#DIV/0!</v>
      </c>
      <c r="O108" s="158">
        <f t="shared" si="2"/>
        <v>0</v>
      </c>
      <c r="P108" s="158">
        <f t="shared" si="2"/>
        <v>0.24031250000000012</v>
      </c>
      <c r="Q108" s="158">
        <f t="shared" si="2"/>
        <v>10.302395833333332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1.2281495449759181</v>
      </c>
      <c r="C109" s="158">
        <f t="shared" ref="C109:Q109" si="3">STDEV(C9:C104)</f>
        <v>0.23190051935516012</v>
      </c>
      <c r="D109" s="158">
        <f t="shared" si="3"/>
        <v>1.2503190996210385</v>
      </c>
      <c r="E109" s="158">
        <f t="shared" si="3"/>
        <v>0.78719448961083482</v>
      </c>
      <c r="F109" s="158">
        <f t="shared" si="3"/>
        <v>1.6001440416248058</v>
      </c>
      <c r="G109" s="158">
        <f t="shared" si="3"/>
        <v>4.9912732264475714</v>
      </c>
      <c r="H109" s="158">
        <f t="shared" si="3"/>
        <v>2.7549139330492434</v>
      </c>
      <c r="I109" s="158">
        <f t="shared" si="3"/>
        <v>0.7848496266187005</v>
      </c>
      <c r="J109" s="158" t="e">
        <f t="shared" si="3"/>
        <v>#DIV/0!</v>
      </c>
      <c r="K109" s="158" t="e">
        <f t="shared" si="3"/>
        <v>#DIV/0!</v>
      </c>
      <c r="L109" s="158" t="e">
        <f t="shared" si="3"/>
        <v>#DIV/0!</v>
      </c>
      <c r="M109" s="158" t="e">
        <f t="shared" si="3"/>
        <v>#DIV/0!</v>
      </c>
      <c r="N109" s="158" t="e">
        <f t="shared" si="3"/>
        <v>#DIV/0!</v>
      </c>
      <c r="O109" s="158">
        <f t="shared" si="3"/>
        <v>0</v>
      </c>
      <c r="P109" s="158">
        <f t="shared" si="3"/>
        <v>4.5755715777548042E-2</v>
      </c>
      <c r="Q109" s="158">
        <f t="shared" si="3"/>
        <v>0.71711666054036294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>COUNT(J9:J104)+96</f>
        <v>96</v>
      </c>
      <c r="K110" s="157">
        <f t="shared" ref="K110:N110" si="5">COUNT(K9:K104)+96</f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K114" sqref="K1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1969</v>
      </c>
      <c r="B9" s="100">
        <v>4.8499999999999996</v>
      </c>
      <c r="C9" s="100">
        <v>4.58</v>
      </c>
      <c r="D9" s="100">
        <v>9.42</v>
      </c>
      <c r="E9" s="100">
        <v>4.68</v>
      </c>
      <c r="F9" s="100">
        <v>2</v>
      </c>
      <c r="G9" s="100">
        <v>29.92</v>
      </c>
      <c r="H9" s="100">
        <v>11.3</v>
      </c>
      <c r="I9" s="100">
        <v>5.22</v>
      </c>
      <c r="J9" s="151" t="s">
        <v>8</v>
      </c>
      <c r="K9" s="151" t="s">
        <v>8</v>
      </c>
      <c r="L9" s="151" t="s">
        <v>8</v>
      </c>
      <c r="M9" s="151" t="s">
        <v>8</v>
      </c>
      <c r="N9" s="151" t="s">
        <v>8</v>
      </c>
      <c r="O9" s="100">
        <v>0</v>
      </c>
      <c r="P9" s="100">
        <v>0.3</v>
      </c>
      <c r="Q9" s="100">
        <v>10</v>
      </c>
      <c r="R9" s="6"/>
      <c r="S9" s="6"/>
      <c r="T9" s="156"/>
      <c r="U9" s="6"/>
    </row>
    <row r="10" spans="1:21" customFormat="1">
      <c r="A10" s="201" t="s">
        <v>1970</v>
      </c>
      <c r="B10" s="100">
        <v>4.92</v>
      </c>
      <c r="C10" s="100">
        <v>4.8</v>
      </c>
      <c r="D10" s="100">
        <v>9.7200000000000006</v>
      </c>
      <c r="E10" s="100">
        <v>4.4800000000000004</v>
      </c>
      <c r="F10" s="100">
        <v>2</v>
      </c>
      <c r="G10" s="100">
        <v>29.13</v>
      </c>
      <c r="H10" s="100">
        <v>10.63</v>
      </c>
      <c r="I10" s="100">
        <v>5.18</v>
      </c>
      <c r="J10" s="151" t="s">
        <v>8</v>
      </c>
      <c r="K10" s="151" t="s">
        <v>8</v>
      </c>
      <c r="L10" s="151" t="s">
        <v>8</v>
      </c>
      <c r="M10" s="151" t="s">
        <v>8</v>
      </c>
      <c r="N10" s="151" t="s">
        <v>8</v>
      </c>
      <c r="O10" s="100">
        <v>0</v>
      </c>
      <c r="P10" s="100">
        <v>0.32</v>
      </c>
      <c r="Q10" s="100">
        <v>10</v>
      </c>
      <c r="R10" s="6"/>
      <c r="S10" s="6"/>
      <c r="T10" s="156"/>
      <c r="U10" s="6"/>
    </row>
    <row r="11" spans="1:21" customFormat="1">
      <c r="A11" s="201" t="s">
        <v>1971</v>
      </c>
      <c r="B11" s="100">
        <v>5.0999999999999996</v>
      </c>
      <c r="C11" s="100">
        <v>5</v>
      </c>
      <c r="D11" s="100">
        <v>10.1</v>
      </c>
      <c r="E11" s="100">
        <v>4.68</v>
      </c>
      <c r="F11" s="100">
        <v>2</v>
      </c>
      <c r="G11" s="100">
        <v>27.3</v>
      </c>
      <c r="H11" s="100">
        <v>9.59</v>
      </c>
      <c r="I11" s="100">
        <v>5.3</v>
      </c>
      <c r="J11" s="151" t="s">
        <v>8</v>
      </c>
      <c r="K11" s="151" t="s">
        <v>8</v>
      </c>
      <c r="L11" s="151" t="s">
        <v>8</v>
      </c>
      <c r="M11" s="151" t="s">
        <v>8</v>
      </c>
      <c r="N11" s="151" t="s">
        <v>8</v>
      </c>
      <c r="O11" s="100">
        <v>0</v>
      </c>
      <c r="P11" s="100">
        <v>0.32</v>
      </c>
      <c r="Q11" s="100">
        <v>10</v>
      </c>
      <c r="R11" s="6"/>
      <c r="S11" s="6"/>
      <c r="T11" s="156"/>
      <c r="U11" s="6"/>
    </row>
    <row r="12" spans="1:21" customFormat="1">
      <c r="A12" s="201" t="s">
        <v>1972</v>
      </c>
      <c r="B12" s="100">
        <v>5.17</v>
      </c>
      <c r="C12" s="100">
        <v>4.8099999999999996</v>
      </c>
      <c r="D12" s="100">
        <v>9.98</v>
      </c>
      <c r="E12" s="100">
        <v>4.6900000000000004</v>
      </c>
      <c r="F12" s="100">
        <v>2</v>
      </c>
      <c r="G12" s="100">
        <v>27.3</v>
      </c>
      <c r="H12" s="100">
        <v>9.59</v>
      </c>
      <c r="I12" s="100">
        <v>5.27</v>
      </c>
      <c r="J12" s="151" t="s">
        <v>8</v>
      </c>
      <c r="K12" s="151" t="s">
        <v>8</v>
      </c>
      <c r="L12" s="151" t="s">
        <v>8</v>
      </c>
      <c r="M12" s="151" t="s">
        <v>8</v>
      </c>
      <c r="N12" s="151" t="s">
        <v>8</v>
      </c>
      <c r="O12" s="100">
        <v>0</v>
      </c>
      <c r="P12" s="100">
        <v>0.31</v>
      </c>
      <c r="Q12" s="100">
        <v>10</v>
      </c>
      <c r="R12" s="6"/>
      <c r="S12" s="6"/>
      <c r="T12" s="156"/>
      <c r="U12" s="6"/>
    </row>
    <row r="13" spans="1:21" customFormat="1">
      <c r="A13" s="201" t="s">
        <v>1973</v>
      </c>
      <c r="B13" s="100">
        <v>5.22</v>
      </c>
      <c r="C13" s="100">
        <v>4.83</v>
      </c>
      <c r="D13" s="100">
        <v>10.050000000000001</v>
      </c>
      <c r="E13" s="100">
        <v>4.5</v>
      </c>
      <c r="F13" s="100">
        <v>2</v>
      </c>
      <c r="G13" s="100">
        <v>27.3</v>
      </c>
      <c r="H13" s="100">
        <v>9.59</v>
      </c>
      <c r="I13" s="100">
        <v>5.26</v>
      </c>
      <c r="J13" s="151" t="s">
        <v>8</v>
      </c>
      <c r="K13" s="151" t="s">
        <v>8</v>
      </c>
      <c r="L13" s="151" t="s">
        <v>8</v>
      </c>
      <c r="M13" s="151" t="s">
        <v>8</v>
      </c>
      <c r="N13" s="151" t="s">
        <v>8</v>
      </c>
      <c r="O13" s="100">
        <v>0</v>
      </c>
      <c r="P13" s="100">
        <v>0.3</v>
      </c>
      <c r="Q13" s="100">
        <v>10</v>
      </c>
      <c r="R13" s="6"/>
      <c r="S13" s="6"/>
      <c r="T13" s="156"/>
      <c r="U13" s="6"/>
    </row>
    <row r="14" spans="1:21" customFormat="1">
      <c r="A14" s="201" t="s">
        <v>1974</v>
      </c>
      <c r="B14" s="100">
        <v>5.39</v>
      </c>
      <c r="C14" s="100">
        <v>5.05</v>
      </c>
      <c r="D14" s="100">
        <v>10.44</v>
      </c>
      <c r="E14" s="100">
        <v>4.58</v>
      </c>
      <c r="F14" s="100">
        <v>2</v>
      </c>
      <c r="G14" s="100">
        <v>26.27</v>
      </c>
      <c r="H14" s="100">
        <v>10.65</v>
      </c>
      <c r="I14" s="100">
        <v>5.31</v>
      </c>
      <c r="J14" s="151" t="s">
        <v>8</v>
      </c>
      <c r="K14" s="151" t="s">
        <v>8</v>
      </c>
      <c r="L14" s="151" t="s">
        <v>8</v>
      </c>
      <c r="M14" s="151" t="s">
        <v>8</v>
      </c>
      <c r="N14" s="151" t="s">
        <v>8</v>
      </c>
      <c r="O14" s="100">
        <v>0</v>
      </c>
      <c r="P14" s="100">
        <v>0.32</v>
      </c>
      <c r="Q14" s="100">
        <v>10</v>
      </c>
      <c r="R14" s="6"/>
      <c r="S14" s="6"/>
      <c r="T14" s="156"/>
      <c r="U14" s="6"/>
    </row>
    <row r="15" spans="1:21" customFormat="1">
      <c r="A15" s="201" t="s">
        <v>1975</v>
      </c>
      <c r="B15" s="100">
        <v>5.49</v>
      </c>
      <c r="C15" s="100">
        <v>4.87</v>
      </c>
      <c r="D15" s="100">
        <v>10.37</v>
      </c>
      <c r="E15" s="100">
        <v>4.62</v>
      </c>
      <c r="F15" s="100">
        <v>2</v>
      </c>
      <c r="G15" s="100">
        <v>23.73</v>
      </c>
      <c r="H15" s="100">
        <v>12.28</v>
      </c>
      <c r="I15" s="100">
        <v>5.21</v>
      </c>
      <c r="J15" s="151" t="s">
        <v>8</v>
      </c>
      <c r="K15" s="151" t="s">
        <v>8</v>
      </c>
      <c r="L15" s="151" t="s">
        <v>8</v>
      </c>
      <c r="M15" s="151" t="s">
        <v>8</v>
      </c>
      <c r="N15" s="151" t="s">
        <v>8</v>
      </c>
      <c r="O15" s="100">
        <v>0</v>
      </c>
      <c r="P15" s="100">
        <v>0.31</v>
      </c>
      <c r="Q15" s="100">
        <v>10</v>
      </c>
      <c r="R15" s="6"/>
      <c r="S15" s="6"/>
      <c r="T15" s="156"/>
      <c r="U15" s="6"/>
    </row>
    <row r="16" spans="1:21" customFormat="1">
      <c r="A16" s="201" t="s">
        <v>1976</v>
      </c>
      <c r="B16" s="100">
        <v>5.52</v>
      </c>
      <c r="C16" s="100">
        <v>4.82</v>
      </c>
      <c r="D16" s="100">
        <v>10.34</v>
      </c>
      <c r="E16" s="100">
        <v>4.68</v>
      </c>
      <c r="F16" s="100">
        <v>2</v>
      </c>
      <c r="G16" s="100">
        <v>23.73</v>
      </c>
      <c r="H16" s="100">
        <v>12.28</v>
      </c>
      <c r="I16" s="100">
        <v>5.27</v>
      </c>
      <c r="J16" s="151" t="s">
        <v>8</v>
      </c>
      <c r="K16" s="151" t="s">
        <v>8</v>
      </c>
      <c r="L16" s="151" t="s">
        <v>8</v>
      </c>
      <c r="M16" s="151" t="s">
        <v>8</v>
      </c>
      <c r="N16" s="151" t="s">
        <v>8</v>
      </c>
      <c r="O16" s="100">
        <v>0</v>
      </c>
      <c r="P16" s="100">
        <v>0.3</v>
      </c>
      <c r="Q16" s="100">
        <v>10.14</v>
      </c>
      <c r="R16" s="6"/>
      <c r="S16" s="6"/>
      <c r="T16" s="156"/>
      <c r="U16" s="6"/>
    </row>
    <row r="17" spans="1:21" customFormat="1">
      <c r="A17" s="201" t="s">
        <v>1977</v>
      </c>
      <c r="B17" s="100">
        <v>5.69</v>
      </c>
      <c r="C17" s="100">
        <v>5.0999999999999996</v>
      </c>
      <c r="D17" s="100">
        <v>10.79</v>
      </c>
      <c r="E17" s="100">
        <v>3.51</v>
      </c>
      <c r="F17" s="100">
        <v>2</v>
      </c>
      <c r="G17" s="100">
        <v>23.73</v>
      </c>
      <c r="H17" s="100">
        <v>12.28</v>
      </c>
      <c r="I17" s="100">
        <v>5.35</v>
      </c>
      <c r="J17" s="151" t="s">
        <v>8</v>
      </c>
      <c r="K17" s="151" t="s">
        <v>8</v>
      </c>
      <c r="L17" s="151" t="s">
        <v>8</v>
      </c>
      <c r="M17" s="151" t="s">
        <v>8</v>
      </c>
      <c r="N17" s="151" t="s">
        <v>8</v>
      </c>
      <c r="O17" s="100">
        <v>0</v>
      </c>
      <c r="P17" s="100">
        <v>0.32</v>
      </c>
      <c r="Q17" s="100">
        <v>9.9</v>
      </c>
      <c r="R17" s="6"/>
      <c r="S17" s="6"/>
      <c r="T17" s="156"/>
      <c r="U17" s="6"/>
    </row>
    <row r="18" spans="1:21" customFormat="1">
      <c r="A18" s="201" t="s">
        <v>1978</v>
      </c>
      <c r="B18" s="100">
        <v>5.83</v>
      </c>
      <c r="C18" s="100">
        <v>5.22</v>
      </c>
      <c r="D18" s="100">
        <v>11.06</v>
      </c>
      <c r="E18" s="100">
        <v>4.6900000000000004</v>
      </c>
      <c r="F18" s="100">
        <v>2</v>
      </c>
      <c r="G18" s="100">
        <v>24.22</v>
      </c>
      <c r="H18" s="100">
        <v>12.22</v>
      </c>
      <c r="I18" s="100">
        <v>5.17</v>
      </c>
      <c r="J18" s="151" t="s">
        <v>8</v>
      </c>
      <c r="K18" s="151" t="s">
        <v>8</v>
      </c>
      <c r="L18" s="151" t="s">
        <v>8</v>
      </c>
      <c r="M18" s="151" t="s">
        <v>8</v>
      </c>
      <c r="N18" s="151" t="s">
        <v>8</v>
      </c>
      <c r="O18" s="100">
        <v>0</v>
      </c>
      <c r="P18" s="100">
        <v>0.33</v>
      </c>
      <c r="Q18" s="100">
        <v>10</v>
      </c>
      <c r="R18" s="6"/>
      <c r="S18" s="6"/>
      <c r="T18" s="156"/>
      <c r="U18" s="6"/>
    </row>
    <row r="19" spans="1:21" customFormat="1">
      <c r="A19" s="201" t="s">
        <v>1979</v>
      </c>
      <c r="B19" s="100">
        <v>5.87</v>
      </c>
      <c r="C19" s="100">
        <v>5.32</v>
      </c>
      <c r="D19" s="100">
        <v>11.19</v>
      </c>
      <c r="E19" s="100">
        <v>4.72</v>
      </c>
      <c r="F19" s="100">
        <v>2</v>
      </c>
      <c r="G19" s="100">
        <v>25.36</v>
      </c>
      <c r="H19" s="100">
        <v>11.98</v>
      </c>
      <c r="I19" s="100">
        <v>5.28</v>
      </c>
      <c r="J19" s="151" t="s">
        <v>8</v>
      </c>
      <c r="K19" s="151" t="s">
        <v>8</v>
      </c>
      <c r="L19" s="151" t="s">
        <v>8</v>
      </c>
      <c r="M19" s="151" t="s">
        <v>8</v>
      </c>
      <c r="N19" s="151" t="s">
        <v>8</v>
      </c>
      <c r="O19" s="100">
        <v>0</v>
      </c>
      <c r="P19" s="100">
        <v>0.33</v>
      </c>
      <c r="Q19" s="100">
        <v>10</v>
      </c>
      <c r="R19" s="6"/>
      <c r="S19" s="6"/>
      <c r="T19" s="156"/>
      <c r="U19" s="6"/>
    </row>
    <row r="20" spans="1:21" customFormat="1">
      <c r="A20" s="201" t="s">
        <v>1980</v>
      </c>
      <c r="B20" s="100">
        <v>5.85</v>
      </c>
      <c r="C20" s="100">
        <v>5.3</v>
      </c>
      <c r="D20" s="100">
        <v>11.16</v>
      </c>
      <c r="E20" s="100">
        <v>4.7300000000000004</v>
      </c>
      <c r="F20" s="100">
        <v>2</v>
      </c>
      <c r="G20" s="100">
        <v>25.36</v>
      </c>
      <c r="H20" s="100">
        <v>11.98</v>
      </c>
      <c r="I20" s="100">
        <v>5.17</v>
      </c>
      <c r="J20" s="151" t="s">
        <v>8</v>
      </c>
      <c r="K20" s="151" t="s">
        <v>8</v>
      </c>
      <c r="L20" s="151" t="s">
        <v>8</v>
      </c>
      <c r="M20" s="151" t="s">
        <v>8</v>
      </c>
      <c r="N20" s="151" t="s">
        <v>8</v>
      </c>
      <c r="O20" s="100">
        <v>0</v>
      </c>
      <c r="P20" s="100">
        <v>0.34</v>
      </c>
      <c r="Q20" s="100">
        <v>10.039999999999999</v>
      </c>
      <c r="R20" s="6"/>
      <c r="S20" s="6"/>
      <c r="T20" s="156"/>
      <c r="U20" s="6"/>
    </row>
    <row r="21" spans="1:21" customFormat="1">
      <c r="A21" s="201" t="s">
        <v>1981</v>
      </c>
      <c r="B21" s="100">
        <v>5.82</v>
      </c>
      <c r="C21" s="100">
        <v>5.29</v>
      </c>
      <c r="D21" s="100">
        <v>11.11</v>
      </c>
      <c r="E21" s="100">
        <v>4.97</v>
      </c>
      <c r="F21" s="100">
        <v>2</v>
      </c>
      <c r="G21" s="100">
        <v>25.36</v>
      </c>
      <c r="H21" s="100">
        <v>11.98</v>
      </c>
      <c r="I21" s="100">
        <v>5.15</v>
      </c>
      <c r="J21" s="151" t="s">
        <v>8</v>
      </c>
      <c r="K21" s="151" t="s">
        <v>8</v>
      </c>
      <c r="L21" s="151" t="s">
        <v>8</v>
      </c>
      <c r="M21" s="151" t="s">
        <v>8</v>
      </c>
      <c r="N21" s="151" t="s">
        <v>8</v>
      </c>
      <c r="O21" s="100">
        <v>0</v>
      </c>
      <c r="P21" s="100">
        <v>0.34</v>
      </c>
      <c r="Q21" s="100">
        <v>10</v>
      </c>
      <c r="R21" s="6"/>
      <c r="S21" s="6"/>
      <c r="T21" s="156"/>
      <c r="U21" s="6"/>
    </row>
    <row r="22" spans="1:21" customFormat="1">
      <c r="A22" s="201" t="s">
        <v>1982</v>
      </c>
      <c r="B22" s="100">
        <v>5.79</v>
      </c>
      <c r="C22" s="100">
        <v>5.28</v>
      </c>
      <c r="D22" s="100">
        <v>11.07</v>
      </c>
      <c r="E22" s="100">
        <v>4.82</v>
      </c>
      <c r="F22" s="100">
        <v>2</v>
      </c>
      <c r="G22" s="100">
        <v>23.28</v>
      </c>
      <c r="H22" s="100">
        <v>10.75</v>
      </c>
      <c r="I22" s="100">
        <v>5.08</v>
      </c>
      <c r="J22" s="151" t="s">
        <v>8</v>
      </c>
      <c r="K22" s="151" t="s">
        <v>8</v>
      </c>
      <c r="L22" s="151" t="s">
        <v>8</v>
      </c>
      <c r="M22" s="151" t="s">
        <v>8</v>
      </c>
      <c r="N22" s="151" t="s">
        <v>8</v>
      </c>
      <c r="O22" s="100">
        <v>0</v>
      </c>
      <c r="P22" s="100">
        <v>0.34</v>
      </c>
      <c r="Q22" s="100">
        <v>10</v>
      </c>
      <c r="R22" s="6"/>
      <c r="S22" s="6"/>
      <c r="T22" s="156"/>
      <c r="U22" s="6"/>
    </row>
    <row r="23" spans="1:21" customFormat="1">
      <c r="A23" s="201" t="s">
        <v>1983</v>
      </c>
      <c r="B23" s="100">
        <v>5.82</v>
      </c>
      <c r="C23" s="100">
        <v>5.22</v>
      </c>
      <c r="D23" s="100">
        <v>11.04</v>
      </c>
      <c r="E23" s="100">
        <v>5</v>
      </c>
      <c r="F23" s="100">
        <v>2</v>
      </c>
      <c r="G23" s="100">
        <v>18.440000000000001</v>
      </c>
      <c r="H23" s="100">
        <v>8.85</v>
      </c>
      <c r="I23" s="100">
        <v>5</v>
      </c>
      <c r="J23" s="151" t="s">
        <v>8</v>
      </c>
      <c r="K23" s="151" t="s">
        <v>8</v>
      </c>
      <c r="L23" s="151" t="s">
        <v>8</v>
      </c>
      <c r="M23" s="151" t="s">
        <v>8</v>
      </c>
      <c r="N23" s="151" t="s">
        <v>8</v>
      </c>
      <c r="O23" s="100">
        <v>0</v>
      </c>
      <c r="P23" s="100">
        <v>0.33</v>
      </c>
      <c r="Q23" s="100">
        <v>10</v>
      </c>
      <c r="R23" s="6"/>
      <c r="S23" s="6"/>
      <c r="T23" s="156"/>
      <c r="U23" s="6"/>
    </row>
    <row r="24" spans="1:21" customFormat="1">
      <c r="A24" s="201" t="s">
        <v>1984</v>
      </c>
      <c r="B24" s="100">
        <v>5.8</v>
      </c>
      <c r="C24" s="100">
        <v>5.17</v>
      </c>
      <c r="D24" s="100">
        <v>10.97</v>
      </c>
      <c r="E24" s="100">
        <v>5</v>
      </c>
      <c r="F24" s="100">
        <v>2</v>
      </c>
      <c r="G24" s="100">
        <v>18.440000000000001</v>
      </c>
      <c r="H24" s="100">
        <v>8.85</v>
      </c>
      <c r="I24" s="100">
        <v>4.97</v>
      </c>
      <c r="J24" s="151" t="s">
        <v>8</v>
      </c>
      <c r="K24" s="151" t="s">
        <v>8</v>
      </c>
      <c r="L24" s="151" t="s">
        <v>8</v>
      </c>
      <c r="M24" s="151" t="s">
        <v>8</v>
      </c>
      <c r="N24" s="151" t="s">
        <v>8</v>
      </c>
      <c r="O24" s="100">
        <v>0</v>
      </c>
      <c r="P24" s="100">
        <v>0.33</v>
      </c>
      <c r="Q24" s="100">
        <v>10.130000000000001</v>
      </c>
      <c r="R24" s="6"/>
      <c r="S24" s="6"/>
      <c r="T24" s="156"/>
      <c r="U24" s="6"/>
    </row>
    <row r="25" spans="1:21" customFormat="1">
      <c r="A25" s="201" t="s">
        <v>1985</v>
      </c>
      <c r="B25" s="100">
        <v>5.79</v>
      </c>
      <c r="C25" s="100">
        <v>5.13</v>
      </c>
      <c r="D25" s="100">
        <v>10.92</v>
      </c>
      <c r="E25" s="100">
        <v>5.25</v>
      </c>
      <c r="F25" s="100">
        <v>2</v>
      </c>
      <c r="G25" s="100">
        <v>18.440000000000001</v>
      </c>
      <c r="H25" s="100">
        <v>8.85</v>
      </c>
      <c r="I25" s="100">
        <v>4.99</v>
      </c>
      <c r="J25" s="151" t="s">
        <v>8</v>
      </c>
      <c r="K25" s="151" t="s">
        <v>8</v>
      </c>
      <c r="L25" s="151" t="s">
        <v>8</v>
      </c>
      <c r="M25" s="151" t="s">
        <v>8</v>
      </c>
      <c r="N25" s="151" t="s">
        <v>8</v>
      </c>
      <c r="O25" s="100">
        <v>0</v>
      </c>
      <c r="P25" s="100">
        <v>0.33</v>
      </c>
      <c r="Q25" s="100">
        <v>10</v>
      </c>
      <c r="R25" s="6"/>
      <c r="S25" s="6"/>
      <c r="T25" s="156"/>
      <c r="U25" s="6"/>
    </row>
    <row r="26" spans="1:21" customFormat="1">
      <c r="A26" s="201" t="s">
        <v>1986</v>
      </c>
      <c r="B26" s="100">
        <v>6.11</v>
      </c>
      <c r="C26" s="100">
        <v>5.23</v>
      </c>
      <c r="D26" s="100">
        <v>11.34</v>
      </c>
      <c r="E26" s="100">
        <v>5.01</v>
      </c>
      <c r="F26" s="100">
        <v>2</v>
      </c>
      <c r="G26" s="100">
        <v>20.3</v>
      </c>
      <c r="H26" s="100">
        <v>9.0500000000000007</v>
      </c>
      <c r="I26" s="100">
        <v>5.01</v>
      </c>
      <c r="J26" s="151" t="s">
        <v>8</v>
      </c>
      <c r="K26" s="151" t="s">
        <v>8</v>
      </c>
      <c r="L26" s="151" t="s">
        <v>8</v>
      </c>
      <c r="M26" s="151" t="s">
        <v>8</v>
      </c>
      <c r="N26" s="151" t="s">
        <v>8</v>
      </c>
      <c r="O26" s="100">
        <v>0</v>
      </c>
      <c r="P26" s="100">
        <v>0.33</v>
      </c>
      <c r="Q26" s="100">
        <v>10.029999999999999</v>
      </c>
      <c r="R26" s="6"/>
      <c r="S26" s="6"/>
      <c r="T26" s="156"/>
      <c r="U26" s="6"/>
    </row>
    <row r="27" spans="1:21" customFormat="1">
      <c r="A27" s="201" t="s">
        <v>1987</v>
      </c>
      <c r="B27" s="100">
        <v>6.83</v>
      </c>
      <c r="C27" s="100">
        <v>5.37</v>
      </c>
      <c r="D27" s="100">
        <v>12.2</v>
      </c>
      <c r="E27" s="100">
        <v>5.03</v>
      </c>
      <c r="F27" s="100">
        <v>2</v>
      </c>
      <c r="G27" s="100">
        <v>24.64</v>
      </c>
      <c r="H27" s="100">
        <v>9.36</v>
      </c>
      <c r="I27" s="100">
        <v>5.01</v>
      </c>
      <c r="J27" s="151" t="s">
        <v>8</v>
      </c>
      <c r="K27" s="151" t="s">
        <v>8</v>
      </c>
      <c r="L27" s="151" t="s">
        <v>8</v>
      </c>
      <c r="M27" s="151" t="s">
        <v>8</v>
      </c>
      <c r="N27" s="151" t="s">
        <v>8</v>
      </c>
      <c r="O27" s="100">
        <v>0</v>
      </c>
      <c r="P27" s="100">
        <v>0.33</v>
      </c>
      <c r="Q27" s="100">
        <v>10.3</v>
      </c>
      <c r="R27" s="6"/>
      <c r="S27" s="6"/>
      <c r="T27" s="156"/>
      <c r="U27" s="6"/>
    </row>
    <row r="28" spans="1:21" customFormat="1">
      <c r="A28" s="201" t="s">
        <v>1988</v>
      </c>
      <c r="B28" s="100">
        <v>7.23</v>
      </c>
      <c r="C28" s="100">
        <v>5.46</v>
      </c>
      <c r="D28" s="100">
        <v>12.69</v>
      </c>
      <c r="E28" s="100">
        <v>5.22</v>
      </c>
      <c r="F28" s="100">
        <v>2</v>
      </c>
      <c r="G28" s="100">
        <v>24.64</v>
      </c>
      <c r="H28" s="100">
        <v>9.36</v>
      </c>
      <c r="I28" s="100">
        <v>5.0199999999999996</v>
      </c>
      <c r="J28" s="151" t="s">
        <v>8</v>
      </c>
      <c r="K28" s="151" t="s">
        <v>8</v>
      </c>
      <c r="L28" s="151" t="s">
        <v>8</v>
      </c>
      <c r="M28" s="151" t="s">
        <v>8</v>
      </c>
      <c r="N28" s="151" t="s">
        <v>8</v>
      </c>
      <c r="O28" s="100">
        <v>0</v>
      </c>
      <c r="P28" s="100">
        <v>0.33</v>
      </c>
      <c r="Q28" s="100">
        <v>10.94</v>
      </c>
      <c r="R28" s="6"/>
      <c r="S28" s="6"/>
      <c r="T28" s="156"/>
      <c r="U28" s="6"/>
    </row>
    <row r="29" spans="1:21" customFormat="1">
      <c r="A29" s="201" t="s">
        <v>1989</v>
      </c>
      <c r="B29" s="100">
        <v>7.62</v>
      </c>
      <c r="C29" s="100">
        <v>5.47</v>
      </c>
      <c r="D29" s="100">
        <v>13.09</v>
      </c>
      <c r="E29" s="100">
        <v>5.46</v>
      </c>
      <c r="F29" s="100">
        <v>2</v>
      </c>
      <c r="G29" s="100">
        <v>24.64</v>
      </c>
      <c r="H29" s="100">
        <v>9.36</v>
      </c>
      <c r="I29" s="100">
        <v>5.03</v>
      </c>
      <c r="J29" s="151" t="s">
        <v>8</v>
      </c>
      <c r="K29" s="151" t="s">
        <v>8</v>
      </c>
      <c r="L29" s="151" t="s">
        <v>8</v>
      </c>
      <c r="M29" s="151" t="s">
        <v>8</v>
      </c>
      <c r="N29" s="151" t="s">
        <v>8</v>
      </c>
      <c r="O29" s="100">
        <v>0</v>
      </c>
      <c r="P29" s="100">
        <v>0.34</v>
      </c>
      <c r="Q29" s="100">
        <v>10.24</v>
      </c>
      <c r="R29" s="6"/>
      <c r="S29" s="6"/>
      <c r="T29" s="156"/>
      <c r="U29" s="6"/>
    </row>
    <row r="30" spans="1:21" customFormat="1">
      <c r="A30" s="201" t="s">
        <v>1990</v>
      </c>
      <c r="B30" s="100">
        <v>8.7899999999999991</v>
      </c>
      <c r="C30" s="100">
        <v>5.68</v>
      </c>
      <c r="D30" s="100">
        <v>14.46</v>
      </c>
      <c r="E30" s="100">
        <v>5.35</v>
      </c>
      <c r="F30" s="100">
        <v>2</v>
      </c>
      <c r="G30" s="100">
        <v>25.44</v>
      </c>
      <c r="H30" s="100">
        <v>10.210000000000001</v>
      </c>
      <c r="I30" s="100">
        <v>5.0599999999999996</v>
      </c>
      <c r="J30" s="151" t="s">
        <v>8</v>
      </c>
      <c r="K30" s="151" t="s">
        <v>8</v>
      </c>
      <c r="L30" s="151" t="s">
        <v>8</v>
      </c>
      <c r="M30" s="151" t="s">
        <v>8</v>
      </c>
      <c r="N30" s="151" t="s">
        <v>8</v>
      </c>
      <c r="O30" s="100">
        <v>0</v>
      </c>
      <c r="P30" s="100">
        <v>0.33</v>
      </c>
      <c r="Q30" s="100">
        <v>9.9700000000000006</v>
      </c>
      <c r="R30" s="6"/>
      <c r="S30" s="6"/>
      <c r="T30" s="156"/>
      <c r="U30" s="6"/>
    </row>
    <row r="31" spans="1:21" customFormat="1">
      <c r="A31" s="201" t="s">
        <v>1991</v>
      </c>
      <c r="B31" s="100">
        <v>10.5</v>
      </c>
      <c r="C31" s="100">
        <v>5.98</v>
      </c>
      <c r="D31" s="100">
        <v>16.48</v>
      </c>
      <c r="E31" s="100">
        <v>5.36</v>
      </c>
      <c r="F31" s="100">
        <v>2</v>
      </c>
      <c r="G31" s="100">
        <v>27.3</v>
      </c>
      <c r="H31" s="100">
        <v>11.53</v>
      </c>
      <c r="I31" s="100">
        <v>5.07</v>
      </c>
      <c r="J31" s="151" t="s">
        <v>8</v>
      </c>
      <c r="K31" s="151" t="s">
        <v>8</v>
      </c>
      <c r="L31" s="151" t="s">
        <v>8</v>
      </c>
      <c r="M31" s="151" t="s">
        <v>8</v>
      </c>
      <c r="N31" s="151" t="s">
        <v>8</v>
      </c>
      <c r="O31" s="100">
        <v>0</v>
      </c>
      <c r="P31" s="100">
        <v>0.33</v>
      </c>
      <c r="Q31" s="100">
        <v>11.22</v>
      </c>
      <c r="R31" s="6"/>
      <c r="S31" s="6"/>
      <c r="T31" s="156"/>
      <c r="U31" s="6"/>
    </row>
    <row r="32" spans="1:21" customFormat="1">
      <c r="A32" s="201" t="s">
        <v>1992</v>
      </c>
      <c r="B32" s="100">
        <v>11.87</v>
      </c>
      <c r="C32" s="100">
        <v>6.22</v>
      </c>
      <c r="D32" s="100">
        <v>18.09</v>
      </c>
      <c r="E32" s="100">
        <v>5.42</v>
      </c>
      <c r="F32" s="100">
        <v>2</v>
      </c>
      <c r="G32" s="100">
        <v>27.3</v>
      </c>
      <c r="H32" s="100">
        <v>11.53</v>
      </c>
      <c r="I32" s="100">
        <v>5.0599999999999996</v>
      </c>
      <c r="J32" s="151" t="s">
        <v>8</v>
      </c>
      <c r="K32" s="151" t="s">
        <v>8</v>
      </c>
      <c r="L32" s="151" t="s">
        <v>8</v>
      </c>
      <c r="M32" s="151" t="s">
        <v>8</v>
      </c>
      <c r="N32" s="151" t="s">
        <v>8</v>
      </c>
      <c r="O32" s="100">
        <v>0</v>
      </c>
      <c r="P32" s="100">
        <v>0.33</v>
      </c>
      <c r="Q32" s="100">
        <v>10.17</v>
      </c>
      <c r="R32" s="6"/>
      <c r="S32" s="6"/>
      <c r="T32" s="156"/>
      <c r="U32" s="6"/>
    </row>
    <row r="33" spans="1:21" customFormat="1">
      <c r="A33" s="201" t="s">
        <v>1993</v>
      </c>
      <c r="B33" s="100">
        <v>12.54</v>
      </c>
      <c r="C33" s="100">
        <v>6.37</v>
      </c>
      <c r="D33" s="100">
        <v>18.91</v>
      </c>
      <c r="E33" s="100">
        <v>5.47</v>
      </c>
      <c r="F33" s="100">
        <v>2</v>
      </c>
      <c r="G33" s="100">
        <v>27.3</v>
      </c>
      <c r="H33" s="100">
        <v>11.53</v>
      </c>
      <c r="I33" s="100">
        <v>5.05</v>
      </c>
      <c r="J33" s="151" t="s">
        <v>8</v>
      </c>
      <c r="K33" s="151" t="s">
        <v>8</v>
      </c>
      <c r="L33" s="151" t="s">
        <v>8</v>
      </c>
      <c r="M33" s="151" t="s">
        <v>8</v>
      </c>
      <c r="N33" s="151" t="s">
        <v>8</v>
      </c>
      <c r="O33" s="100">
        <v>0</v>
      </c>
      <c r="P33" s="100">
        <v>0.34</v>
      </c>
      <c r="Q33" s="100">
        <v>10.039999999999999</v>
      </c>
      <c r="R33" s="6"/>
      <c r="S33" s="6"/>
      <c r="T33" s="156"/>
      <c r="U33" s="6"/>
    </row>
    <row r="34" spans="1:21" customFormat="1">
      <c r="A34" s="201" t="s">
        <v>1994</v>
      </c>
      <c r="B34" s="100">
        <v>12.92</v>
      </c>
      <c r="C34" s="100">
        <v>6.43</v>
      </c>
      <c r="D34" s="100">
        <v>19.350000000000001</v>
      </c>
      <c r="E34" s="100">
        <v>5.59</v>
      </c>
      <c r="F34" s="100">
        <v>2</v>
      </c>
      <c r="G34" s="100">
        <v>28.17</v>
      </c>
      <c r="H34" s="100">
        <v>11.33</v>
      </c>
      <c r="I34" s="100">
        <v>5.17</v>
      </c>
      <c r="J34" s="151" t="s">
        <v>8</v>
      </c>
      <c r="K34" s="151" t="s">
        <v>8</v>
      </c>
      <c r="L34" s="151" t="s">
        <v>8</v>
      </c>
      <c r="M34" s="151" t="s">
        <v>8</v>
      </c>
      <c r="N34" s="151" t="s">
        <v>8</v>
      </c>
      <c r="O34" s="100">
        <v>0</v>
      </c>
      <c r="P34" s="100">
        <v>0.35</v>
      </c>
      <c r="Q34" s="100">
        <v>10.11</v>
      </c>
      <c r="R34" s="6"/>
      <c r="S34" s="6"/>
      <c r="T34" s="156"/>
      <c r="U34" s="6"/>
    </row>
    <row r="35" spans="1:21" customFormat="1">
      <c r="A35" s="201" t="s">
        <v>1995</v>
      </c>
      <c r="B35" s="100">
        <v>13.57</v>
      </c>
      <c r="C35" s="100">
        <v>6.57</v>
      </c>
      <c r="D35" s="100">
        <v>20.13</v>
      </c>
      <c r="E35" s="100">
        <v>5.68</v>
      </c>
      <c r="F35" s="100">
        <v>2</v>
      </c>
      <c r="G35" s="100">
        <v>30.21</v>
      </c>
      <c r="H35" s="100">
        <v>10.55</v>
      </c>
      <c r="I35" s="100">
        <v>5.16</v>
      </c>
      <c r="J35" s="151" t="s">
        <v>8</v>
      </c>
      <c r="K35" s="151" t="s">
        <v>8</v>
      </c>
      <c r="L35" s="151" t="s">
        <v>8</v>
      </c>
      <c r="M35" s="151" t="s">
        <v>8</v>
      </c>
      <c r="N35" s="151" t="s">
        <v>8</v>
      </c>
      <c r="O35" s="100">
        <v>0</v>
      </c>
      <c r="P35" s="100">
        <v>0.34</v>
      </c>
      <c r="Q35" s="100">
        <v>10.41</v>
      </c>
      <c r="R35" s="6"/>
      <c r="S35" s="6"/>
      <c r="T35" s="156"/>
      <c r="U35" s="6"/>
    </row>
    <row r="36" spans="1:21" customFormat="1">
      <c r="A36" s="201" t="s">
        <v>1996</v>
      </c>
      <c r="B36" s="100">
        <v>14.34</v>
      </c>
      <c r="C36" s="100">
        <v>6.65</v>
      </c>
      <c r="D36" s="100">
        <v>21</v>
      </c>
      <c r="E36" s="100">
        <v>5.61</v>
      </c>
      <c r="F36" s="100">
        <v>2</v>
      </c>
      <c r="G36" s="100">
        <v>30.21</v>
      </c>
      <c r="H36" s="100">
        <v>10.55</v>
      </c>
      <c r="I36" s="100">
        <v>5.22</v>
      </c>
      <c r="J36" s="151" t="s">
        <v>8</v>
      </c>
      <c r="K36" s="151" t="s">
        <v>8</v>
      </c>
      <c r="L36" s="151" t="s">
        <v>8</v>
      </c>
      <c r="M36" s="151" t="s">
        <v>8</v>
      </c>
      <c r="N36" s="151" t="s">
        <v>8</v>
      </c>
      <c r="O36" s="100">
        <v>0</v>
      </c>
      <c r="P36" s="100">
        <v>0.34</v>
      </c>
      <c r="Q36" s="100">
        <v>10.46</v>
      </c>
      <c r="R36" s="6"/>
      <c r="S36" s="6"/>
      <c r="T36" s="156"/>
      <c r="U36" s="6"/>
    </row>
    <row r="37" spans="1:21" customFormat="1">
      <c r="A37" s="201" t="s">
        <v>1997</v>
      </c>
      <c r="B37" s="100">
        <v>14.82</v>
      </c>
      <c r="C37" s="100">
        <v>6.7</v>
      </c>
      <c r="D37" s="100">
        <v>21.53</v>
      </c>
      <c r="E37" s="100">
        <v>5.54</v>
      </c>
      <c r="F37" s="100">
        <v>2</v>
      </c>
      <c r="G37" s="100">
        <v>30.21</v>
      </c>
      <c r="H37" s="100">
        <v>10.55</v>
      </c>
      <c r="I37" s="100">
        <v>5.29</v>
      </c>
      <c r="J37" s="151" t="s">
        <v>8</v>
      </c>
      <c r="K37" s="151" t="s">
        <v>8</v>
      </c>
      <c r="L37" s="151" t="s">
        <v>8</v>
      </c>
      <c r="M37" s="151" t="s">
        <v>8</v>
      </c>
      <c r="N37" s="151" t="s">
        <v>8</v>
      </c>
      <c r="O37" s="100">
        <v>0</v>
      </c>
      <c r="P37" s="100">
        <v>0.34</v>
      </c>
      <c r="Q37" s="100">
        <v>10.46</v>
      </c>
      <c r="R37" s="6"/>
      <c r="S37" s="6"/>
      <c r="T37" s="156"/>
      <c r="U37" s="6"/>
    </row>
    <row r="38" spans="1:21" customFormat="1">
      <c r="A38" s="201" t="s">
        <v>1998</v>
      </c>
      <c r="B38" s="100">
        <v>15.12</v>
      </c>
      <c r="C38" s="100">
        <v>6.73</v>
      </c>
      <c r="D38" s="100">
        <v>21.85</v>
      </c>
      <c r="E38" s="100">
        <v>5.52</v>
      </c>
      <c r="F38" s="100">
        <v>2</v>
      </c>
      <c r="G38" s="100">
        <v>32.9</v>
      </c>
      <c r="H38" s="100">
        <v>10.9</v>
      </c>
      <c r="I38" s="100">
        <v>5.35</v>
      </c>
      <c r="J38" s="151" t="s">
        <v>8</v>
      </c>
      <c r="K38" s="151" t="s">
        <v>8</v>
      </c>
      <c r="L38" s="151" t="s">
        <v>8</v>
      </c>
      <c r="M38" s="151" t="s">
        <v>8</v>
      </c>
      <c r="N38" s="151" t="s">
        <v>8</v>
      </c>
      <c r="O38" s="100">
        <v>0</v>
      </c>
      <c r="P38" s="100">
        <v>0.35</v>
      </c>
      <c r="Q38" s="100">
        <v>10.29</v>
      </c>
      <c r="R38" s="6"/>
      <c r="S38" s="6"/>
      <c r="T38" s="156"/>
      <c r="U38" s="6"/>
    </row>
    <row r="39" spans="1:21" customFormat="1">
      <c r="A39" s="201" t="s">
        <v>1999</v>
      </c>
      <c r="B39" s="100">
        <v>15.36</v>
      </c>
      <c r="C39" s="100">
        <v>6.65</v>
      </c>
      <c r="D39" s="100">
        <v>22.01</v>
      </c>
      <c r="E39" s="100">
        <v>5.55</v>
      </c>
      <c r="F39" s="100">
        <v>2</v>
      </c>
      <c r="G39" s="100">
        <v>39.18</v>
      </c>
      <c r="H39" s="100">
        <v>11.44</v>
      </c>
      <c r="I39" s="100">
        <v>5.44</v>
      </c>
      <c r="J39" s="151" t="s">
        <v>8</v>
      </c>
      <c r="K39" s="151" t="s">
        <v>8</v>
      </c>
      <c r="L39" s="151" t="s">
        <v>8</v>
      </c>
      <c r="M39" s="151" t="s">
        <v>8</v>
      </c>
      <c r="N39" s="151" t="s">
        <v>8</v>
      </c>
      <c r="O39" s="100">
        <v>0</v>
      </c>
      <c r="P39" s="100">
        <v>0.33</v>
      </c>
      <c r="Q39" s="100">
        <v>10.58</v>
      </c>
      <c r="R39" s="6"/>
      <c r="S39" s="6"/>
      <c r="T39" s="156"/>
      <c r="U39" s="6"/>
    </row>
    <row r="40" spans="1:21" customFormat="1">
      <c r="A40" s="201" t="s">
        <v>2000</v>
      </c>
      <c r="B40" s="100">
        <v>15.69</v>
      </c>
      <c r="C40" s="100">
        <v>6.59</v>
      </c>
      <c r="D40" s="100">
        <v>22.28</v>
      </c>
      <c r="E40" s="100">
        <v>5.21</v>
      </c>
      <c r="F40" s="100">
        <v>2</v>
      </c>
      <c r="G40" s="100">
        <v>39.18</v>
      </c>
      <c r="H40" s="100">
        <v>11.44</v>
      </c>
      <c r="I40" s="100">
        <v>5.52</v>
      </c>
      <c r="J40" s="151" t="s">
        <v>8</v>
      </c>
      <c r="K40" s="151" t="s">
        <v>8</v>
      </c>
      <c r="L40" s="151" t="s">
        <v>8</v>
      </c>
      <c r="M40" s="151" t="s">
        <v>8</v>
      </c>
      <c r="N40" s="151" t="s">
        <v>8</v>
      </c>
      <c r="O40" s="100">
        <v>0</v>
      </c>
      <c r="P40" s="100">
        <v>0.33</v>
      </c>
      <c r="Q40" s="100">
        <v>10.3</v>
      </c>
      <c r="R40" s="6"/>
      <c r="S40" s="6"/>
      <c r="T40" s="156"/>
      <c r="U40" s="6"/>
    </row>
    <row r="41" spans="1:21" customFormat="1">
      <c r="A41" s="201" t="s">
        <v>2001</v>
      </c>
      <c r="B41" s="100">
        <v>15.64</v>
      </c>
      <c r="C41" s="100">
        <v>6.77</v>
      </c>
      <c r="D41" s="100">
        <v>22.41</v>
      </c>
      <c r="E41" s="100">
        <v>5.14</v>
      </c>
      <c r="F41" s="100">
        <v>2</v>
      </c>
      <c r="G41" s="100">
        <v>39.18</v>
      </c>
      <c r="H41" s="100">
        <v>11.44</v>
      </c>
      <c r="I41" s="100">
        <v>5.81</v>
      </c>
      <c r="J41" s="151" t="s">
        <v>8</v>
      </c>
      <c r="K41" s="151" t="s">
        <v>8</v>
      </c>
      <c r="L41" s="151" t="s">
        <v>8</v>
      </c>
      <c r="M41" s="151" t="s">
        <v>8</v>
      </c>
      <c r="N41" s="151" t="s">
        <v>8</v>
      </c>
      <c r="O41" s="100">
        <v>0</v>
      </c>
      <c r="P41" s="100">
        <v>0.32</v>
      </c>
      <c r="Q41" s="100">
        <v>10.61</v>
      </c>
      <c r="R41" s="6"/>
      <c r="S41" s="6"/>
      <c r="T41" s="156"/>
      <c r="U41" s="6"/>
    </row>
    <row r="42" spans="1:21" customFormat="1">
      <c r="A42" s="201" t="s">
        <v>2002</v>
      </c>
      <c r="B42" s="100">
        <v>15.27</v>
      </c>
      <c r="C42" s="100">
        <v>6.87</v>
      </c>
      <c r="D42" s="100">
        <v>22.13</v>
      </c>
      <c r="E42" s="100">
        <v>4.8899999999999997</v>
      </c>
      <c r="F42" s="100">
        <v>2</v>
      </c>
      <c r="G42" s="100">
        <v>45.04</v>
      </c>
      <c r="H42" s="100">
        <v>14.13</v>
      </c>
      <c r="I42" s="100">
        <v>6.23</v>
      </c>
      <c r="J42" s="151" t="s">
        <v>8</v>
      </c>
      <c r="K42" s="151" t="s">
        <v>8</v>
      </c>
      <c r="L42" s="151" t="s">
        <v>8</v>
      </c>
      <c r="M42" s="151" t="s">
        <v>8</v>
      </c>
      <c r="N42" s="151" t="s">
        <v>8</v>
      </c>
      <c r="O42" s="100">
        <v>0</v>
      </c>
      <c r="P42" s="100">
        <v>0.33</v>
      </c>
      <c r="Q42" s="100">
        <v>10.35</v>
      </c>
      <c r="R42" s="6"/>
      <c r="S42" s="6"/>
      <c r="T42" s="156"/>
      <c r="U42" s="6"/>
    </row>
    <row r="43" spans="1:21" customFormat="1">
      <c r="A43" s="201" t="s">
        <v>2003</v>
      </c>
      <c r="B43" s="100">
        <v>14.82</v>
      </c>
      <c r="C43" s="100">
        <v>6.98</v>
      </c>
      <c r="D43" s="100">
        <v>21.8</v>
      </c>
      <c r="E43" s="100">
        <v>5.15</v>
      </c>
      <c r="F43" s="100">
        <v>2.0099999999999998</v>
      </c>
      <c r="G43" s="100">
        <v>58.72</v>
      </c>
      <c r="H43" s="100">
        <v>18.29</v>
      </c>
      <c r="I43" s="100">
        <v>6.42</v>
      </c>
      <c r="J43" s="151" t="s">
        <v>8</v>
      </c>
      <c r="K43" s="151" t="s">
        <v>8</v>
      </c>
      <c r="L43" s="151" t="s">
        <v>8</v>
      </c>
      <c r="M43" s="151" t="s">
        <v>8</v>
      </c>
      <c r="N43" s="151" t="s">
        <v>8</v>
      </c>
      <c r="O43" s="100">
        <v>0</v>
      </c>
      <c r="P43" s="100">
        <v>0.35</v>
      </c>
      <c r="Q43" s="100">
        <v>10</v>
      </c>
      <c r="R43" s="6"/>
      <c r="S43" s="6"/>
      <c r="T43" s="156"/>
      <c r="U43" s="6"/>
    </row>
    <row r="44" spans="1:21" customFormat="1">
      <c r="A44" s="201" t="s">
        <v>2004</v>
      </c>
      <c r="B44" s="100">
        <v>14.59</v>
      </c>
      <c r="C44" s="100">
        <v>7</v>
      </c>
      <c r="D44" s="100">
        <v>21.6</v>
      </c>
      <c r="E44" s="100">
        <v>5.31</v>
      </c>
      <c r="F44" s="100">
        <v>2</v>
      </c>
      <c r="G44" s="100">
        <v>58.72</v>
      </c>
      <c r="H44" s="100">
        <v>18.29</v>
      </c>
      <c r="I44" s="100">
        <v>6.48</v>
      </c>
      <c r="J44" s="151" t="s">
        <v>8</v>
      </c>
      <c r="K44" s="151" t="s">
        <v>8</v>
      </c>
      <c r="L44" s="151" t="s">
        <v>8</v>
      </c>
      <c r="M44" s="151" t="s">
        <v>8</v>
      </c>
      <c r="N44" s="151" t="s">
        <v>8</v>
      </c>
      <c r="O44" s="100">
        <v>0</v>
      </c>
      <c r="P44" s="100">
        <v>0.37</v>
      </c>
      <c r="Q44" s="100">
        <v>10.51</v>
      </c>
      <c r="R44" s="6"/>
      <c r="S44" s="6"/>
      <c r="T44" s="156"/>
      <c r="U44" s="6"/>
    </row>
    <row r="45" spans="1:21" customFormat="1">
      <c r="A45" s="201" t="s">
        <v>2005</v>
      </c>
      <c r="B45" s="100">
        <v>14.45</v>
      </c>
      <c r="C45" s="100">
        <v>6.95</v>
      </c>
      <c r="D45" s="100">
        <v>21.4</v>
      </c>
      <c r="E45" s="100">
        <v>5.34</v>
      </c>
      <c r="F45" s="100">
        <v>2</v>
      </c>
      <c r="G45" s="100">
        <v>58.72</v>
      </c>
      <c r="H45" s="100">
        <v>18.29</v>
      </c>
      <c r="I45" s="100">
        <v>6.62</v>
      </c>
      <c r="J45" s="151" t="s">
        <v>8</v>
      </c>
      <c r="K45" s="151" t="s">
        <v>8</v>
      </c>
      <c r="L45" s="151" t="s">
        <v>8</v>
      </c>
      <c r="M45" s="151" t="s">
        <v>8</v>
      </c>
      <c r="N45" s="151" t="s">
        <v>8</v>
      </c>
      <c r="O45" s="100">
        <v>0</v>
      </c>
      <c r="P45" s="100">
        <v>0.37</v>
      </c>
      <c r="Q45" s="100">
        <v>10.7</v>
      </c>
      <c r="R45" s="6"/>
      <c r="S45" s="6"/>
      <c r="T45" s="156"/>
      <c r="U45" s="6"/>
    </row>
    <row r="46" spans="1:21" customFormat="1">
      <c r="A46" s="201" t="s">
        <v>2006</v>
      </c>
      <c r="B46" s="100">
        <v>14.08</v>
      </c>
      <c r="C46" s="100">
        <v>6.94</v>
      </c>
      <c r="D46" s="100">
        <v>21.02</v>
      </c>
      <c r="E46" s="100">
        <v>5.23</v>
      </c>
      <c r="F46" s="100">
        <v>2</v>
      </c>
      <c r="G46" s="100">
        <v>59.05</v>
      </c>
      <c r="H46" s="100">
        <v>19.34</v>
      </c>
      <c r="I46" s="100">
        <v>6.66</v>
      </c>
      <c r="J46" s="151" t="s">
        <v>8</v>
      </c>
      <c r="K46" s="151" t="s">
        <v>8</v>
      </c>
      <c r="L46" s="151" t="s">
        <v>8</v>
      </c>
      <c r="M46" s="151" t="s">
        <v>8</v>
      </c>
      <c r="N46" s="151" t="s">
        <v>8</v>
      </c>
      <c r="O46" s="100">
        <v>0</v>
      </c>
      <c r="P46" s="100">
        <v>0.37</v>
      </c>
      <c r="Q46" s="100">
        <v>10.63</v>
      </c>
      <c r="R46" s="6"/>
      <c r="S46" s="6"/>
      <c r="T46" s="156"/>
      <c r="U46" s="6"/>
    </row>
    <row r="47" spans="1:21" customFormat="1">
      <c r="A47" s="201" t="s">
        <v>2007</v>
      </c>
      <c r="B47" s="100">
        <v>13.64</v>
      </c>
      <c r="C47" s="100">
        <v>6.96</v>
      </c>
      <c r="D47" s="100">
        <v>20.6</v>
      </c>
      <c r="E47" s="100">
        <v>5.04</v>
      </c>
      <c r="F47" s="100">
        <v>2</v>
      </c>
      <c r="G47" s="100">
        <v>59.81</v>
      </c>
      <c r="H47" s="100">
        <v>20.95</v>
      </c>
      <c r="I47" s="100">
        <v>6.9</v>
      </c>
      <c r="J47" s="151" t="s">
        <v>8</v>
      </c>
      <c r="K47" s="151" t="s">
        <v>8</v>
      </c>
      <c r="L47" s="151" t="s">
        <v>8</v>
      </c>
      <c r="M47" s="151" t="s">
        <v>8</v>
      </c>
      <c r="N47" s="151" t="s">
        <v>8</v>
      </c>
      <c r="O47" s="100">
        <v>0</v>
      </c>
      <c r="P47" s="100">
        <v>0.37</v>
      </c>
      <c r="Q47" s="100">
        <v>10.71</v>
      </c>
      <c r="R47" s="6"/>
      <c r="S47" s="6"/>
      <c r="T47" s="156"/>
      <c r="U47" s="6"/>
    </row>
    <row r="48" spans="1:21" customFormat="1">
      <c r="A48" s="201" t="s">
        <v>2008</v>
      </c>
      <c r="B48" s="100">
        <v>12.97</v>
      </c>
      <c r="C48" s="100">
        <v>7</v>
      </c>
      <c r="D48" s="100">
        <v>19.97</v>
      </c>
      <c r="E48" s="100">
        <v>4.93</v>
      </c>
      <c r="F48" s="100">
        <v>2</v>
      </c>
      <c r="G48" s="100">
        <v>59.81</v>
      </c>
      <c r="H48" s="100">
        <v>20.95</v>
      </c>
      <c r="I48" s="100">
        <v>7.16</v>
      </c>
      <c r="J48" s="151" t="s">
        <v>8</v>
      </c>
      <c r="K48" s="151" t="s">
        <v>8</v>
      </c>
      <c r="L48" s="151" t="s">
        <v>8</v>
      </c>
      <c r="M48" s="151" t="s">
        <v>8</v>
      </c>
      <c r="N48" s="151" t="s">
        <v>8</v>
      </c>
      <c r="O48" s="100">
        <v>0</v>
      </c>
      <c r="P48" s="100">
        <v>0.39</v>
      </c>
      <c r="Q48" s="100">
        <v>11.84</v>
      </c>
      <c r="R48" s="6"/>
      <c r="S48" s="6"/>
      <c r="T48" s="156"/>
      <c r="U48" s="6"/>
    </row>
    <row r="49" spans="1:21" customFormat="1">
      <c r="A49" s="201" t="s">
        <v>2009</v>
      </c>
      <c r="B49" s="100">
        <v>12.56</v>
      </c>
      <c r="C49" s="100">
        <v>6.92</v>
      </c>
      <c r="D49" s="100">
        <v>19.48</v>
      </c>
      <c r="E49" s="100">
        <v>4.45</v>
      </c>
      <c r="F49" s="100">
        <v>2</v>
      </c>
      <c r="G49" s="100">
        <v>59.81</v>
      </c>
      <c r="H49" s="100">
        <v>20.95</v>
      </c>
      <c r="I49" s="100">
        <v>7.61</v>
      </c>
      <c r="J49" s="151" t="s">
        <v>8</v>
      </c>
      <c r="K49" s="151" t="s">
        <v>8</v>
      </c>
      <c r="L49" s="151" t="s">
        <v>8</v>
      </c>
      <c r="M49" s="151" t="s">
        <v>8</v>
      </c>
      <c r="N49" s="151" t="s">
        <v>8</v>
      </c>
      <c r="O49" s="100">
        <v>0</v>
      </c>
      <c r="P49" s="100">
        <v>0.4</v>
      </c>
      <c r="Q49" s="100">
        <v>12.64</v>
      </c>
      <c r="R49" s="6"/>
      <c r="S49" s="6"/>
      <c r="T49" s="156"/>
      <c r="U49" s="6"/>
    </row>
    <row r="50" spans="1:21" customFormat="1">
      <c r="A50" s="201" t="s">
        <v>2010</v>
      </c>
      <c r="B50" s="100">
        <v>12.33</v>
      </c>
      <c r="C50" s="100">
        <v>6.82</v>
      </c>
      <c r="D50" s="100">
        <v>19.149999999999999</v>
      </c>
      <c r="E50" s="100">
        <v>4.9400000000000004</v>
      </c>
      <c r="F50" s="100">
        <v>2.0499999999999998</v>
      </c>
      <c r="G50" s="100">
        <v>58.53</v>
      </c>
      <c r="H50" s="100">
        <v>20.9</v>
      </c>
      <c r="I50" s="100">
        <v>7.68</v>
      </c>
      <c r="J50" s="151" t="s">
        <v>8</v>
      </c>
      <c r="K50" s="151" t="s">
        <v>8</v>
      </c>
      <c r="L50" s="151" t="s">
        <v>8</v>
      </c>
      <c r="M50" s="151" t="s">
        <v>8</v>
      </c>
      <c r="N50" s="151" t="s">
        <v>8</v>
      </c>
      <c r="O50" s="100">
        <v>0</v>
      </c>
      <c r="P50" s="100">
        <v>0.39</v>
      </c>
      <c r="Q50" s="100">
        <v>11.61</v>
      </c>
      <c r="R50" s="6"/>
      <c r="S50" s="6"/>
      <c r="T50" s="156"/>
      <c r="U50" s="6"/>
    </row>
    <row r="51" spans="1:21" customFormat="1">
      <c r="A51" s="201" t="s">
        <v>2011</v>
      </c>
      <c r="B51" s="100">
        <v>12</v>
      </c>
      <c r="C51" s="100">
        <v>6.83</v>
      </c>
      <c r="D51" s="100">
        <v>18.82</v>
      </c>
      <c r="E51" s="100">
        <v>5.13</v>
      </c>
      <c r="F51" s="100">
        <v>2</v>
      </c>
      <c r="G51" s="100">
        <v>55.53</v>
      </c>
      <c r="H51" s="100">
        <v>20.69</v>
      </c>
      <c r="I51" s="100">
        <v>7.72</v>
      </c>
      <c r="J51" s="151" t="s">
        <v>8</v>
      </c>
      <c r="K51" s="151" t="s">
        <v>8</v>
      </c>
      <c r="L51" s="151" t="s">
        <v>8</v>
      </c>
      <c r="M51" s="151" t="s">
        <v>8</v>
      </c>
      <c r="N51" s="151" t="s">
        <v>8</v>
      </c>
      <c r="O51" s="100">
        <v>0</v>
      </c>
      <c r="P51" s="100">
        <v>0.39</v>
      </c>
      <c r="Q51" s="100">
        <v>11.9</v>
      </c>
      <c r="R51" s="6"/>
      <c r="S51" s="6"/>
      <c r="T51" s="156"/>
      <c r="U51" s="6"/>
    </row>
    <row r="52" spans="1:21" customFormat="1">
      <c r="A52" s="201" t="s">
        <v>2012</v>
      </c>
      <c r="B52" s="100">
        <v>11.44</v>
      </c>
      <c r="C52" s="100">
        <v>6.92</v>
      </c>
      <c r="D52" s="100">
        <v>18.36</v>
      </c>
      <c r="E52" s="100">
        <v>4.66</v>
      </c>
      <c r="F52" s="100">
        <v>2</v>
      </c>
      <c r="G52" s="100">
        <v>55.53</v>
      </c>
      <c r="H52" s="100">
        <v>20.69</v>
      </c>
      <c r="I52" s="100">
        <v>7.89</v>
      </c>
      <c r="J52" s="151" t="s">
        <v>8</v>
      </c>
      <c r="K52" s="151" t="s">
        <v>8</v>
      </c>
      <c r="L52" s="151" t="s">
        <v>8</v>
      </c>
      <c r="M52" s="151" t="s">
        <v>8</v>
      </c>
      <c r="N52" s="151" t="s">
        <v>8</v>
      </c>
      <c r="O52" s="100">
        <v>0</v>
      </c>
      <c r="P52" s="100">
        <v>0.39</v>
      </c>
      <c r="Q52" s="100">
        <v>13.75</v>
      </c>
      <c r="R52" s="6"/>
      <c r="S52" s="6"/>
      <c r="T52" s="156"/>
      <c r="U52" s="6"/>
    </row>
    <row r="53" spans="1:21" customFormat="1">
      <c r="A53" s="201" t="s">
        <v>2013</v>
      </c>
      <c r="B53" s="100">
        <v>10.72</v>
      </c>
      <c r="C53" s="100">
        <v>6.94</v>
      </c>
      <c r="D53" s="100">
        <v>17.66</v>
      </c>
      <c r="E53" s="100">
        <v>4.58</v>
      </c>
      <c r="F53" s="100">
        <v>2</v>
      </c>
      <c r="G53" s="100">
        <v>55.53</v>
      </c>
      <c r="H53" s="100">
        <v>20.69</v>
      </c>
      <c r="I53" s="100">
        <v>7.91</v>
      </c>
      <c r="J53" s="151" t="s">
        <v>8</v>
      </c>
      <c r="K53" s="151" t="s">
        <v>8</v>
      </c>
      <c r="L53" s="151" t="s">
        <v>8</v>
      </c>
      <c r="M53" s="151" t="s">
        <v>8</v>
      </c>
      <c r="N53" s="151" t="s">
        <v>8</v>
      </c>
      <c r="O53" s="100">
        <v>0</v>
      </c>
      <c r="P53" s="100">
        <v>0.39</v>
      </c>
      <c r="Q53" s="100">
        <v>10.91</v>
      </c>
      <c r="R53" s="6"/>
      <c r="S53" s="6"/>
      <c r="T53" s="156"/>
      <c r="U53" s="6"/>
    </row>
    <row r="54" spans="1:21" customFormat="1">
      <c r="A54" s="201" t="s">
        <v>2014</v>
      </c>
      <c r="B54" s="100">
        <v>9.98</v>
      </c>
      <c r="C54" s="100">
        <v>6.94</v>
      </c>
      <c r="D54" s="100">
        <v>16.920000000000002</v>
      </c>
      <c r="E54" s="100">
        <v>4.3899999999999997</v>
      </c>
      <c r="F54" s="100">
        <v>2.52</v>
      </c>
      <c r="G54" s="100">
        <v>54.42</v>
      </c>
      <c r="H54" s="100">
        <v>21.06</v>
      </c>
      <c r="I54" s="100">
        <v>8.02</v>
      </c>
      <c r="J54" s="151" t="s">
        <v>8</v>
      </c>
      <c r="K54" s="151" t="s">
        <v>8</v>
      </c>
      <c r="L54" s="151" t="s">
        <v>8</v>
      </c>
      <c r="M54" s="151" t="s">
        <v>8</v>
      </c>
      <c r="N54" s="151" t="s">
        <v>8</v>
      </c>
      <c r="O54" s="100">
        <v>0</v>
      </c>
      <c r="P54" s="100">
        <v>0.4</v>
      </c>
      <c r="Q54" s="100">
        <v>10.91</v>
      </c>
      <c r="R54" s="6"/>
      <c r="S54" s="6"/>
      <c r="T54" s="156"/>
      <c r="U54" s="6"/>
    </row>
    <row r="55" spans="1:21" customFormat="1">
      <c r="A55" s="201" t="s">
        <v>2015</v>
      </c>
      <c r="B55" s="100">
        <v>9.27</v>
      </c>
      <c r="C55" s="100">
        <v>7.04</v>
      </c>
      <c r="D55" s="100">
        <v>16.309999999999999</v>
      </c>
      <c r="E55" s="100">
        <v>4.5</v>
      </c>
      <c r="F55" s="100">
        <v>2</v>
      </c>
      <c r="G55" s="100">
        <v>51.83</v>
      </c>
      <c r="H55" s="100">
        <v>21.62</v>
      </c>
      <c r="I55" s="100">
        <v>8.02</v>
      </c>
      <c r="J55" s="151" t="s">
        <v>8</v>
      </c>
      <c r="K55" s="151" t="s">
        <v>8</v>
      </c>
      <c r="L55" s="151" t="s">
        <v>8</v>
      </c>
      <c r="M55" s="151" t="s">
        <v>8</v>
      </c>
      <c r="N55" s="151" t="s">
        <v>8</v>
      </c>
      <c r="O55" s="100">
        <v>0</v>
      </c>
      <c r="P55" s="100">
        <v>0.41</v>
      </c>
      <c r="Q55" s="100">
        <v>10.74</v>
      </c>
      <c r="R55" s="6"/>
      <c r="S55" s="6"/>
      <c r="T55" s="156"/>
      <c r="U55" s="6"/>
    </row>
    <row r="56" spans="1:21" customFormat="1">
      <c r="A56" s="201" t="s">
        <v>2016</v>
      </c>
      <c r="B56" s="100">
        <v>8.74</v>
      </c>
      <c r="C56" s="100">
        <v>6.95</v>
      </c>
      <c r="D56" s="100">
        <v>15.69</v>
      </c>
      <c r="E56" s="100">
        <v>4.53</v>
      </c>
      <c r="F56" s="100">
        <v>2</v>
      </c>
      <c r="G56" s="100">
        <v>51.83</v>
      </c>
      <c r="H56" s="100">
        <v>21.62</v>
      </c>
      <c r="I56" s="100">
        <v>7.92</v>
      </c>
      <c r="J56" s="151" t="s">
        <v>8</v>
      </c>
      <c r="K56" s="151" t="s">
        <v>8</v>
      </c>
      <c r="L56" s="151" t="s">
        <v>8</v>
      </c>
      <c r="M56" s="151" t="s">
        <v>8</v>
      </c>
      <c r="N56" s="151" t="s">
        <v>8</v>
      </c>
      <c r="O56" s="100">
        <v>0</v>
      </c>
      <c r="P56" s="100">
        <v>0.42</v>
      </c>
      <c r="Q56" s="100">
        <v>12.57</v>
      </c>
      <c r="R56" s="6"/>
      <c r="S56" s="6"/>
      <c r="T56" s="156"/>
      <c r="U56" s="6"/>
    </row>
    <row r="57" spans="1:21" customFormat="1">
      <c r="A57" s="201" t="s">
        <v>2017</v>
      </c>
      <c r="B57" s="100">
        <v>8.3800000000000008</v>
      </c>
      <c r="C57" s="100">
        <v>6.9</v>
      </c>
      <c r="D57" s="100">
        <v>15.28</v>
      </c>
      <c r="E57" s="100">
        <v>4.53</v>
      </c>
      <c r="F57" s="100">
        <v>2</v>
      </c>
      <c r="G57" s="100">
        <v>51.83</v>
      </c>
      <c r="H57" s="100">
        <v>21.62</v>
      </c>
      <c r="I57" s="100">
        <v>7.97</v>
      </c>
      <c r="J57" s="151" t="s">
        <v>8</v>
      </c>
      <c r="K57" s="151" t="s">
        <v>8</v>
      </c>
      <c r="L57" s="151" t="s">
        <v>8</v>
      </c>
      <c r="M57" s="151" t="s">
        <v>8</v>
      </c>
      <c r="N57" s="151" t="s">
        <v>8</v>
      </c>
      <c r="O57" s="100">
        <v>0</v>
      </c>
      <c r="P57" s="100">
        <v>0.42</v>
      </c>
      <c r="Q57" s="100">
        <v>9.76</v>
      </c>
      <c r="R57" s="6"/>
      <c r="S57" s="6"/>
      <c r="T57" s="156"/>
      <c r="U57" s="6"/>
    </row>
    <row r="58" spans="1:21" customFormat="1">
      <c r="A58" s="201" t="s">
        <v>2018</v>
      </c>
      <c r="B58" s="100">
        <v>7.89</v>
      </c>
      <c r="C58" s="100">
        <v>7.08</v>
      </c>
      <c r="D58" s="100">
        <v>14.96</v>
      </c>
      <c r="E58" s="100">
        <v>4.9000000000000004</v>
      </c>
      <c r="F58" s="100">
        <v>2</v>
      </c>
      <c r="G58" s="100">
        <v>53.21</v>
      </c>
      <c r="H58" s="100">
        <v>21.48</v>
      </c>
      <c r="I58" s="100">
        <v>8.0299999999999994</v>
      </c>
      <c r="J58" s="151" t="s">
        <v>8</v>
      </c>
      <c r="K58" s="151" t="s">
        <v>8</v>
      </c>
      <c r="L58" s="151" t="s">
        <v>8</v>
      </c>
      <c r="M58" s="151" t="s">
        <v>8</v>
      </c>
      <c r="N58" s="151" t="s">
        <v>8</v>
      </c>
      <c r="O58" s="100">
        <v>0</v>
      </c>
      <c r="P58" s="100">
        <v>0.45</v>
      </c>
      <c r="Q58" s="100">
        <v>10.29</v>
      </c>
      <c r="R58" s="6"/>
      <c r="S58" s="6"/>
      <c r="T58" s="156"/>
      <c r="U58" s="6"/>
    </row>
    <row r="59" spans="1:21" customFormat="1">
      <c r="A59" s="201" t="s">
        <v>2019</v>
      </c>
      <c r="B59" s="100">
        <v>7.25</v>
      </c>
      <c r="C59" s="100">
        <v>7.19</v>
      </c>
      <c r="D59" s="100">
        <v>14.44</v>
      </c>
      <c r="E59" s="100">
        <v>4.71</v>
      </c>
      <c r="F59" s="100">
        <v>2.0099999999999998</v>
      </c>
      <c r="G59" s="100">
        <v>56.43</v>
      </c>
      <c r="H59" s="100">
        <v>21.25</v>
      </c>
      <c r="I59" s="100">
        <v>7.96</v>
      </c>
      <c r="J59" s="151" t="s">
        <v>8</v>
      </c>
      <c r="K59" s="151" t="s">
        <v>8</v>
      </c>
      <c r="L59" s="151" t="s">
        <v>8</v>
      </c>
      <c r="M59" s="151" t="s">
        <v>8</v>
      </c>
      <c r="N59" s="151" t="s">
        <v>8</v>
      </c>
      <c r="O59" s="100">
        <v>0</v>
      </c>
      <c r="P59" s="100">
        <v>0.45</v>
      </c>
      <c r="Q59" s="100">
        <v>10.16</v>
      </c>
      <c r="R59" s="6"/>
      <c r="S59" s="6"/>
      <c r="T59" s="156"/>
      <c r="U59" s="6"/>
    </row>
    <row r="60" spans="1:21" customFormat="1">
      <c r="A60" s="201" t="s">
        <v>2020</v>
      </c>
      <c r="B60" s="100">
        <v>6.5</v>
      </c>
      <c r="C60" s="100">
        <v>7.19</v>
      </c>
      <c r="D60" s="100">
        <v>13.69</v>
      </c>
      <c r="E60" s="100">
        <v>4.75</v>
      </c>
      <c r="F60" s="100">
        <v>2</v>
      </c>
      <c r="G60" s="100">
        <v>56.43</v>
      </c>
      <c r="H60" s="100">
        <v>21.25</v>
      </c>
      <c r="I60" s="100">
        <v>7.9</v>
      </c>
      <c r="J60" s="151" t="s">
        <v>8</v>
      </c>
      <c r="K60" s="151" t="s">
        <v>8</v>
      </c>
      <c r="L60" s="151" t="s">
        <v>8</v>
      </c>
      <c r="M60" s="151" t="s">
        <v>8</v>
      </c>
      <c r="N60" s="151" t="s">
        <v>8</v>
      </c>
      <c r="O60" s="100">
        <v>0</v>
      </c>
      <c r="P60" s="100">
        <v>0.45</v>
      </c>
      <c r="Q60" s="100">
        <v>10.09</v>
      </c>
      <c r="R60" s="6"/>
      <c r="S60" s="6"/>
      <c r="T60" s="156"/>
      <c r="U60" s="6"/>
    </row>
    <row r="61" spans="1:21" customFormat="1">
      <c r="A61" s="201" t="s">
        <v>2021</v>
      </c>
      <c r="B61" s="100">
        <v>5.74</v>
      </c>
      <c r="C61" s="100">
        <v>7.08</v>
      </c>
      <c r="D61" s="100">
        <v>12.82</v>
      </c>
      <c r="E61" s="100">
        <v>4.8499999999999996</v>
      </c>
      <c r="F61" s="100">
        <v>2</v>
      </c>
      <c r="G61" s="100">
        <v>56.43</v>
      </c>
      <c r="H61" s="100">
        <v>21.25</v>
      </c>
      <c r="I61" s="100">
        <v>7.86</v>
      </c>
      <c r="J61" s="151" t="s">
        <v>8</v>
      </c>
      <c r="K61" s="151" t="s">
        <v>8</v>
      </c>
      <c r="L61" s="151" t="s">
        <v>8</v>
      </c>
      <c r="M61" s="151" t="s">
        <v>8</v>
      </c>
      <c r="N61" s="151" t="s">
        <v>8</v>
      </c>
      <c r="O61" s="100">
        <v>0</v>
      </c>
      <c r="P61" s="100">
        <v>0.45</v>
      </c>
      <c r="Q61" s="100">
        <v>10</v>
      </c>
      <c r="R61" s="6"/>
      <c r="S61" s="6"/>
      <c r="T61" s="156"/>
      <c r="U61" s="6"/>
    </row>
    <row r="62" spans="1:21" customFormat="1">
      <c r="A62" s="201" t="s">
        <v>2022</v>
      </c>
      <c r="B62" s="100">
        <v>5.03</v>
      </c>
      <c r="C62" s="100">
        <v>6.98</v>
      </c>
      <c r="D62" s="100">
        <v>12.01</v>
      </c>
      <c r="E62" s="100">
        <v>5.09</v>
      </c>
      <c r="F62" s="100">
        <v>2</v>
      </c>
      <c r="G62" s="100">
        <v>55.28</v>
      </c>
      <c r="H62" s="100">
        <v>20.45</v>
      </c>
      <c r="I62" s="100">
        <v>7.8</v>
      </c>
      <c r="J62" s="151" t="s">
        <v>8</v>
      </c>
      <c r="K62" s="151" t="s">
        <v>8</v>
      </c>
      <c r="L62" s="151" t="s">
        <v>8</v>
      </c>
      <c r="M62" s="151" t="s">
        <v>8</v>
      </c>
      <c r="N62" s="151" t="s">
        <v>8</v>
      </c>
      <c r="O62" s="100">
        <v>0</v>
      </c>
      <c r="P62" s="100">
        <v>0.45</v>
      </c>
      <c r="Q62" s="100">
        <v>10</v>
      </c>
      <c r="R62" s="6"/>
      <c r="S62" s="6"/>
      <c r="T62" s="156"/>
      <c r="U62" s="6"/>
    </row>
    <row r="63" spans="1:21" customFormat="1">
      <c r="A63" s="201" t="s">
        <v>2023</v>
      </c>
      <c r="B63" s="100">
        <v>4.45</v>
      </c>
      <c r="C63" s="100">
        <v>6.82</v>
      </c>
      <c r="D63" s="100">
        <v>11.27</v>
      </c>
      <c r="E63" s="100">
        <v>4.45</v>
      </c>
      <c r="F63" s="100">
        <v>2.04</v>
      </c>
      <c r="G63" s="100">
        <v>52.6</v>
      </c>
      <c r="H63" s="100">
        <v>19.22</v>
      </c>
      <c r="I63" s="100">
        <v>7.74</v>
      </c>
      <c r="J63" s="151" t="s">
        <v>8</v>
      </c>
      <c r="K63" s="151" t="s">
        <v>8</v>
      </c>
      <c r="L63" s="151" t="s">
        <v>8</v>
      </c>
      <c r="M63" s="151" t="s">
        <v>8</v>
      </c>
      <c r="N63" s="151" t="s">
        <v>8</v>
      </c>
      <c r="O63" s="100">
        <v>0</v>
      </c>
      <c r="P63" s="100">
        <v>0.45</v>
      </c>
      <c r="Q63" s="100">
        <v>10.029999999999999</v>
      </c>
      <c r="R63" s="6"/>
      <c r="S63" s="6"/>
      <c r="T63" s="156"/>
      <c r="U63" s="6"/>
    </row>
    <row r="64" spans="1:21" customFormat="1">
      <c r="A64" s="201" t="s">
        <v>2024</v>
      </c>
      <c r="B64" s="100">
        <v>3.99</v>
      </c>
      <c r="C64" s="100">
        <v>6.65</v>
      </c>
      <c r="D64" s="100">
        <v>10.64</v>
      </c>
      <c r="E64" s="100">
        <v>5.0999999999999996</v>
      </c>
      <c r="F64" s="100">
        <v>2</v>
      </c>
      <c r="G64" s="100">
        <v>52.6</v>
      </c>
      <c r="H64" s="100">
        <v>19.22</v>
      </c>
      <c r="I64" s="100">
        <v>7.73</v>
      </c>
      <c r="J64" s="151" t="s">
        <v>8</v>
      </c>
      <c r="K64" s="151" t="s">
        <v>8</v>
      </c>
      <c r="L64" s="151" t="s">
        <v>8</v>
      </c>
      <c r="M64" s="151" t="s">
        <v>8</v>
      </c>
      <c r="N64" s="151" t="s">
        <v>8</v>
      </c>
      <c r="O64" s="100">
        <v>0</v>
      </c>
      <c r="P64" s="100">
        <v>0.45</v>
      </c>
      <c r="Q64" s="100">
        <v>10.1</v>
      </c>
      <c r="R64" s="6"/>
      <c r="S64" s="6"/>
      <c r="T64" s="156"/>
      <c r="U64" s="6"/>
    </row>
    <row r="65" spans="1:21" customFormat="1">
      <c r="A65" s="201" t="s">
        <v>2025</v>
      </c>
      <c r="B65" s="100">
        <v>3.63</v>
      </c>
      <c r="C65" s="100">
        <v>6.42</v>
      </c>
      <c r="D65" s="100">
        <v>10.050000000000001</v>
      </c>
      <c r="E65" s="100">
        <v>5.16</v>
      </c>
      <c r="F65" s="100">
        <v>2.33</v>
      </c>
      <c r="G65" s="100">
        <v>52.6</v>
      </c>
      <c r="H65" s="100">
        <v>19.22</v>
      </c>
      <c r="I65" s="100">
        <v>7.76</v>
      </c>
      <c r="J65" s="151" t="s">
        <v>8</v>
      </c>
      <c r="K65" s="151" t="s">
        <v>8</v>
      </c>
      <c r="L65" s="151" t="s">
        <v>8</v>
      </c>
      <c r="M65" s="151" t="s">
        <v>8</v>
      </c>
      <c r="N65" s="151" t="s">
        <v>8</v>
      </c>
      <c r="O65" s="100">
        <v>0</v>
      </c>
      <c r="P65" s="100">
        <v>0.36</v>
      </c>
      <c r="Q65" s="100">
        <v>10.41</v>
      </c>
      <c r="R65" s="6"/>
      <c r="S65" s="6"/>
      <c r="T65" s="156"/>
      <c r="U65" s="6"/>
    </row>
    <row r="66" spans="1:21" customFormat="1">
      <c r="A66" s="201" t="s">
        <v>2026</v>
      </c>
      <c r="B66" s="100">
        <v>3.31</v>
      </c>
      <c r="C66" s="100">
        <v>6.28</v>
      </c>
      <c r="D66" s="100">
        <v>9.59</v>
      </c>
      <c r="E66" s="100">
        <v>5.09</v>
      </c>
      <c r="F66" s="100">
        <v>2.4700000000000002</v>
      </c>
      <c r="G66" s="100">
        <v>52.44</v>
      </c>
      <c r="H66" s="100">
        <v>19.39</v>
      </c>
      <c r="I66" s="100">
        <v>7.75</v>
      </c>
      <c r="J66" s="151" t="s">
        <v>8</v>
      </c>
      <c r="K66" s="151" t="s">
        <v>8</v>
      </c>
      <c r="L66" s="151" t="s">
        <v>8</v>
      </c>
      <c r="M66" s="151" t="s">
        <v>8</v>
      </c>
      <c r="N66" s="151" t="s">
        <v>8</v>
      </c>
      <c r="O66" s="100">
        <v>0</v>
      </c>
      <c r="P66" s="100">
        <v>0.38</v>
      </c>
      <c r="Q66" s="100">
        <v>10.16</v>
      </c>
      <c r="R66" s="6"/>
      <c r="S66" s="6"/>
      <c r="T66" s="156"/>
      <c r="U66" s="6"/>
    </row>
    <row r="67" spans="1:21" customFormat="1">
      <c r="A67" s="201" t="s">
        <v>2027</v>
      </c>
      <c r="B67" s="100">
        <v>3.14</v>
      </c>
      <c r="C67" s="100">
        <v>6</v>
      </c>
      <c r="D67" s="100">
        <v>9.14</v>
      </c>
      <c r="E67" s="100">
        <v>5.24</v>
      </c>
      <c r="F67" s="100">
        <v>2</v>
      </c>
      <c r="G67" s="100">
        <v>52.06</v>
      </c>
      <c r="H67" s="100">
        <v>20.04</v>
      </c>
      <c r="I67" s="100">
        <v>7.68</v>
      </c>
      <c r="J67" s="151" t="s">
        <v>8</v>
      </c>
      <c r="K67" s="151" t="s">
        <v>8</v>
      </c>
      <c r="L67" s="151" t="s">
        <v>8</v>
      </c>
      <c r="M67" s="151" t="s">
        <v>8</v>
      </c>
      <c r="N67" s="151" t="s">
        <v>8</v>
      </c>
      <c r="O67" s="100">
        <v>0</v>
      </c>
      <c r="P67" s="100">
        <v>0.37</v>
      </c>
      <c r="Q67" s="100">
        <v>10</v>
      </c>
      <c r="R67" s="6"/>
      <c r="S67" s="6"/>
      <c r="T67" s="156"/>
      <c r="U67" s="6"/>
    </row>
    <row r="68" spans="1:21" customFormat="1">
      <c r="A68" s="201" t="s">
        <v>2028</v>
      </c>
      <c r="B68" s="100">
        <v>2.97</v>
      </c>
      <c r="C68" s="100">
        <v>5.8</v>
      </c>
      <c r="D68" s="100">
        <v>8.77</v>
      </c>
      <c r="E68" s="100">
        <v>5.04</v>
      </c>
      <c r="F68" s="100">
        <v>2.04</v>
      </c>
      <c r="G68" s="100">
        <v>52.06</v>
      </c>
      <c r="H68" s="100">
        <v>20.04</v>
      </c>
      <c r="I68" s="100">
        <v>7.65</v>
      </c>
      <c r="J68" s="151" t="s">
        <v>8</v>
      </c>
      <c r="K68" s="151" t="s">
        <v>8</v>
      </c>
      <c r="L68" s="151" t="s">
        <v>8</v>
      </c>
      <c r="M68" s="151" t="s">
        <v>8</v>
      </c>
      <c r="N68" s="151" t="s">
        <v>8</v>
      </c>
      <c r="O68" s="100">
        <v>0</v>
      </c>
      <c r="P68" s="100">
        <v>0.36</v>
      </c>
      <c r="Q68" s="100">
        <v>10</v>
      </c>
      <c r="R68" s="6"/>
      <c r="S68" s="6"/>
      <c r="T68" s="156"/>
      <c r="U68" s="6"/>
    </row>
    <row r="69" spans="1:21" customFormat="1">
      <c r="A69" s="201" t="s">
        <v>2029</v>
      </c>
      <c r="B69" s="100">
        <v>2.83</v>
      </c>
      <c r="C69" s="100">
        <v>5.74</v>
      </c>
      <c r="D69" s="100">
        <v>8.57</v>
      </c>
      <c r="E69" s="100">
        <v>5.22</v>
      </c>
      <c r="F69" s="100">
        <v>2.1</v>
      </c>
      <c r="G69" s="100">
        <v>52.06</v>
      </c>
      <c r="H69" s="100">
        <v>20.04</v>
      </c>
      <c r="I69" s="100">
        <v>7.57</v>
      </c>
      <c r="J69" s="151" t="s">
        <v>8</v>
      </c>
      <c r="K69" s="151" t="s">
        <v>8</v>
      </c>
      <c r="L69" s="151" t="s">
        <v>8</v>
      </c>
      <c r="M69" s="151" t="s">
        <v>8</v>
      </c>
      <c r="N69" s="151" t="s">
        <v>8</v>
      </c>
      <c r="O69" s="100">
        <v>0</v>
      </c>
      <c r="P69" s="100">
        <v>0.37</v>
      </c>
      <c r="Q69" s="100">
        <v>10</v>
      </c>
      <c r="R69" s="6"/>
      <c r="S69" s="6"/>
      <c r="T69" s="156"/>
      <c r="U69" s="6"/>
    </row>
    <row r="70" spans="1:21" customFormat="1">
      <c r="A70" s="201" t="s">
        <v>2030</v>
      </c>
      <c r="B70" s="100">
        <v>2.77</v>
      </c>
      <c r="C70" s="100">
        <v>5.59</v>
      </c>
      <c r="D70" s="100">
        <v>8.35</v>
      </c>
      <c r="E70" s="100">
        <v>5.18</v>
      </c>
      <c r="F70" s="100">
        <v>2.0099999999999998</v>
      </c>
      <c r="G70" s="100">
        <v>48.18</v>
      </c>
      <c r="H70" s="100">
        <v>19.809999999999999</v>
      </c>
      <c r="I70" s="100">
        <v>7.6</v>
      </c>
      <c r="J70" s="151" t="s">
        <v>8</v>
      </c>
      <c r="K70" s="151" t="s">
        <v>8</v>
      </c>
      <c r="L70" s="151" t="s">
        <v>8</v>
      </c>
      <c r="M70" s="151" t="s">
        <v>8</v>
      </c>
      <c r="N70" s="151" t="s">
        <v>8</v>
      </c>
      <c r="O70" s="100">
        <v>0</v>
      </c>
      <c r="P70" s="100">
        <v>0.36</v>
      </c>
      <c r="Q70" s="100">
        <v>10.11</v>
      </c>
      <c r="R70" s="6"/>
      <c r="S70" s="6"/>
      <c r="T70" s="156"/>
      <c r="U70" s="6"/>
    </row>
    <row r="71" spans="1:21" customFormat="1">
      <c r="A71" s="201" t="s">
        <v>2031</v>
      </c>
      <c r="B71" s="100">
        <v>2.73</v>
      </c>
      <c r="C71" s="100">
        <v>5.46</v>
      </c>
      <c r="D71" s="100">
        <v>8.19</v>
      </c>
      <c r="E71" s="100">
        <v>5.29</v>
      </c>
      <c r="F71" s="100">
        <v>2.02</v>
      </c>
      <c r="G71" s="100">
        <v>39.14</v>
      </c>
      <c r="H71" s="100">
        <v>19.47</v>
      </c>
      <c r="I71" s="100">
        <v>7.57</v>
      </c>
      <c r="J71" s="151" t="s">
        <v>8</v>
      </c>
      <c r="K71" s="151" t="s">
        <v>8</v>
      </c>
      <c r="L71" s="151" t="s">
        <v>8</v>
      </c>
      <c r="M71" s="151" t="s">
        <v>8</v>
      </c>
      <c r="N71" s="151" t="s">
        <v>8</v>
      </c>
      <c r="O71" s="100">
        <v>0</v>
      </c>
      <c r="P71" s="100">
        <v>0.35</v>
      </c>
      <c r="Q71" s="100">
        <v>10.28</v>
      </c>
      <c r="R71" s="6"/>
      <c r="S71" s="6"/>
      <c r="T71" s="156"/>
      <c r="U71" s="6"/>
    </row>
    <row r="72" spans="1:21" customFormat="1">
      <c r="A72" s="201" t="s">
        <v>2032</v>
      </c>
      <c r="B72" s="100">
        <v>2.67</v>
      </c>
      <c r="C72" s="100">
        <v>5.45</v>
      </c>
      <c r="D72" s="100">
        <v>8.1199999999999992</v>
      </c>
      <c r="E72" s="100">
        <v>5.0999999999999996</v>
      </c>
      <c r="F72" s="100">
        <v>2</v>
      </c>
      <c r="G72" s="100">
        <v>39.14</v>
      </c>
      <c r="H72" s="100">
        <v>19.47</v>
      </c>
      <c r="I72" s="100">
        <v>7.42</v>
      </c>
      <c r="J72" s="151" t="s">
        <v>8</v>
      </c>
      <c r="K72" s="151" t="s">
        <v>8</v>
      </c>
      <c r="L72" s="151" t="s">
        <v>8</v>
      </c>
      <c r="M72" s="151" t="s">
        <v>8</v>
      </c>
      <c r="N72" s="151" t="s">
        <v>8</v>
      </c>
      <c r="O72" s="100">
        <v>0</v>
      </c>
      <c r="P72" s="100">
        <v>0.34</v>
      </c>
      <c r="Q72" s="100">
        <v>10.07</v>
      </c>
      <c r="R72" s="6"/>
      <c r="S72" s="6"/>
      <c r="T72" s="156"/>
      <c r="U72" s="6"/>
    </row>
    <row r="73" spans="1:21" customFormat="1">
      <c r="A73" s="201" t="s">
        <v>2033</v>
      </c>
      <c r="B73" s="100">
        <v>2.57</v>
      </c>
      <c r="C73" s="100">
        <v>5.38</v>
      </c>
      <c r="D73" s="100">
        <v>7.95</v>
      </c>
      <c r="E73" s="100">
        <v>5.24</v>
      </c>
      <c r="F73" s="100">
        <v>2.1</v>
      </c>
      <c r="G73" s="100">
        <v>39.14</v>
      </c>
      <c r="H73" s="100">
        <v>19.47</v>
      </c>
      <c r="I73" s="100">
        <v>7.39</v>
      </c>
      <c r="J73" s="151" t="s">
        <v>8</v>
      </c>
      <c r="K73" s="151" t="s">
        <v>8</v>
      </c>
      <c r="L73" s="151" t="s">
        <v>8</v>
      </c>
      <c r="M73" s="151" t="s">
        <v>8</v>
      </c>
      <c r="N73" s="151" t="s">
        <v>8</v>
      </c>
      <c r="O73" s="100">
        <v>0</v>
      </c>
      <c r="P73" s="100">
        <v>0.34</v>
      </c>
      <c r="Q73" s="100">
        <v>10.01</v>
      </c>
      <c r="R73" s="6"/>
      <c r="S73" s="6"/>
      <c r="T73" s="156"/>
      <c r="U73" s="6"/>
    </row>
    <row r="74" spans="1:21" customFormat="1">
      <c r="A74" s="201" t="s">
        <v>2034</v>
      </c>
      <c r="B74" s="100">
        <v>2.58</v>
      </c>
      <c r="C74" s="100">
        <v>5.32</v>
      </c>
      <c r="D74" s="100">
        <v>7.9</v>
      </c>
      <c r="E74" s="100">
        <v>5.41</v>
      </c>
      <c r="F74" s="100">
        <v>2.02</v>
      </c>
      <c r="G74" s="100">
        <v>39.799999999999997</v>
      </c>
      <c r="H74" s="100">
        <v>19.12</v>
      </c>
      <c r="I74" s="100">
        <v>7.28</v>
      </c>
      <c r="J74" s="151" t="s">
        <v>8</v>
      </c>
      <c r="K74" s="151" t="s">
        <v>8</v>
      </c>
      <c r="L74" s="151" t="s">
        <v>8</v>
      </c>
      <c r="M74" s="151" t="s">
        <v>8</v>
      </c>
      <c r="N74" s="151" t="s">
        <v>8</v>
      </c>
      <c r="O74" s="100">
        <v>0</v>
      </c>
      <c r="P74" s="100">
        <v>0.34</v>
      </c>
      <c r="Q74" s="100">
        <v>10</v>
      </c>
      <c r="R74" s="6"/>
      <c r="S74" s="6"/>
      <c r="T74" s="156"/>
      <c r="U74" s="6"/>
    </row>
    <row r="75" spans="1:21" customFormat="1">
      <c r="A75" s="201" t="s">
        <v>2035</v>
      </c>
      <c r="B75" s="100">
        <v>2.56</v>
      </c>
      <c r="C75" s="100">
        <v>5.38</v>
      </c>
      <c r="D75" s="100">
        <v>7.94</v>
      </c>
      <c r="E75" s="100">
        <v>5.24</v>
      </c>
      <c r="F75" s="100">
        <v>2.02</v>
      </c>
      <c r="G75" s="100">
        <v>41.33</v>
      </c>
      <c r="H75" s="100">
        <v>18.57</v>
      </c>
      <c r="I75" s="100">
        <v>7.18</v>
      </c>
      <c r="J75" s="151" t="s">
        <v>8</v>
      </c>
      <c r="K75" s="151" t="s">
        <v>8</v>
      </c>
      <c r="L75" s="151" t="s">
        <v>8</v>
      </c>
      <c r="M75" s="151" t="s">
        <v>8</v>
      </c>
      <c r="N75" s="151" t="s">
        <v>8</v>
      </c>
      <c r="O75" s="100">
        <v>0</v>
      </c>
      <c r="P75" s="100">
        <v>0.34</v>
      </c>
      <c r="Q75" s="100">
        <v>9.82</v>
      </c>
      <c r="R75" s="6"/>
      <c r="S75" s="6"/>
      <c r="T75" s="156"/>
      <c r="U75" s="6"/>
    </row>
    <row r="76" spans="1:21" customFormat="1">
      <c r="A76" s="201" t="s">
        <v>2036</v>
      </c>
      <c r="B76" s="100">
        <v>2.61</v>
      </c>
      <c r="C76" s="100">
        <v>5.27</v>
      </c>
      <c r="D76" s="100">
        <v>7.88</v>
      </c>
      <c r="E76" s="100">
        <v>5.41</v>
      </c>
      <c r="F76" s="100">
        <v>2.04</v>
      </c>
      <c r="G76" s="100">
        <v>41.33</v>
      </c>
      <c r="H76" s="100">
        <v>18.57</v>
      </c>
      <c r="I76" s="100">
        <v>7.1</v>
      </c>
      <c r="J76" s="151" t="s">
        <v>8</v>
      </c>
      <c r="K76" s="151" t="s">
        <v>8</v>
      </c>
      <c r="L76" s="151" t="s">
        <v>8</v>
      </c>
      <c r="M76" s="151" t="s">
        <v>8</v>
      </c>
      <c r="N76" s="151" t="s">
        <v>8</v>
      </c>
      <c r="O76" s="100">
        <v>0</v>
      </c>
      <c r="P76" s="100">
        <v>0.33</v>
      </c>
      <c r="Q76" s="100">
        <v>10.01</v>
      </c>
      <c r="R76" s="6"/>
      <c r="S76" s="6"/>
      <c r="T76" s="156"/>
      <c r="U76" s="6"/>
    </row>
    <row r="77" spans="1:21" customFormat="1">
      <c r="A77" s="201" t="s">
        <v>2037</v>
      </c>
      <c r="B77" s="100">
        <v>2.66</v>
      </c>
      <c r="C77" s="100">
        <v>5.21</v>
      </c>
      <c r="D77" s="100">
        <v>7.87</v>
      </c>
      <c r="E77" s="100">
        <v>5.41</v>
      </c>
      <c r="F77" s="100">
        <v>2</v>
      </c>
      <c r="G77" s="100">
        <v>41.33</v>
      </c>
      <c r="H77" s="100">
        <v>18.57</v>
      </c>
      <c r="I77" s="100">
        <v>7.04</v>
      </c>
      <c r="J77" s="151" t="s">
        <v>8</v>
      </c>
      <c r="K77" s="151" t="s">
        <v>8</v>
      </c>
      <c r="L77" s="151" t="s">
        <v>8</v>
      </c>
      <c r="M77" s="151" t="s">
        <v>8</v>
      </c>
      <c r="N77" s="151" t="s">
        <v>8</v>
      </c>
      <c r="O77" s="100">
        <v>0</v>
      </c>
      <c r="P77" s="100">
        <v>0.33</v>
      </c>
      <c r="Q77" s="100">
        <v>9.99</v>
      </c>
      <c r="R77" s="6"/>
      <c r="S77" s="6"/>
      <c r="T77" s="156"/>
      <c r="U77" s="6"/>
    </row>
    <row r="78" spans="1:21" customFormat="1">
      <c r="A78" s="201" t="s">
        <v>2038</v>
      </c>
      <c r="B78" s="100">
        <v>2.76</v>
      </c>
      <c r="C78" s="100">
        <v>5.19</v>
      </c>
      <c r="D78" s="100">
        <v>7.95</v>
      </c>
      <c r="E78" s="100">
        <v>5.71</v>
      </c>
      <c r="F78" s="100">
        <v>2</v>
      </c>
      <c r="G78" s="100">
        <v>41.19</v>
      </c>
      <c r="H78" s="100">
        <v>18.100000000000001</v>
      </c>
      <c r="I78" s="100">
        <v>6.98</v>
      </c>
      <c r="J78" s="151" t="s">
        <v>8</v>
      </c>
      <c r="K78" s="151" t="s">
        <v>8</v>
      </c>
      <c r="L78" s="151" t="s">
        <v>8</v>
      </c>
      <c r="M78" s="151" t="s">
        <v>8</v>
      </c>
      <c r="N78" s="151" t="s">
        <v>8</v>
      </c>
      <c r="O78" s="100">
        <v>0</v>
      </c>
      <c r="P78" s="100">
        <v>0.31</v>
      </c>
      <c r="Q78" s="100">
        <v>9.9499999999999993</v>
      </c>
      <c r="R78" s="6"/>
      <c r="S78" s="6"/>
      <c r="T78" s="156"/>
      <c r="U78" s="6"/>
    </row>
    <row r="79" spans="1:21" customFormat="1">
      <c r="A79" s="201" t="s">
        <v>2039</v>
      </c>
      <c r="B79" s="100">
        <v>2.92</v>
      </c>
      <c r="C79" s="100">
        <v>4.9000000000000004</v>
      </c>
      <c r="D79" s="100">
        <v>7.81</v>
      </c>
      <c r="E79" s="100">
        <v>5.26</v>
      </c>
      <c r="F79" s="100">
        <v>2</v>
      </c>
      <c r="G79" s="100">
        <v>40.85</v>
      </c>
      <c r="H79" s="100">
        <v>17.38</v>
      </c>
      <c r="I79" s="100">
        <v>6.88</v>
      </c>
      <c r="J79" s="151" t="s">
        <v>8</v>
      </c>
      <c r="K79" s="151" t="s">
        <v>8</v>
      </c>
      <c r="L79" s="151" t="s">
        <v>8</v>
      </c>
      <c r="M79" s="151" t="s">
        <v>8</v>
      </c>
      <c r="N79" s="151" t="s">
        <v>8</v>
      </c>
      <c r="O79" s="100">
        <v>0</v>
      </c>
      <c r="P79" s="100">
        <v>0.28999999999999998</v>
      </c>
      <c r="Q79" s="100">
        <v>10.26</v>
      </c>
      <c r="R79" s="6"/>
      <c r="S79" s="6"/>
      <c r="T79" s="156"/>
      <c r="U79" s="6"/>
    </row>
    <row r="80" spans="1:21" customFormat="1">
      <c r="A80" s="201" t="s">
        <v>2040</v>
      </c>
      <c r="B80" s="100">
        <v>3.04</v>
      </c>
      <c r="C80" s="100">
        <v>4.79</v>
      </c>
      <c r="D80" s="100">
        <v>7.83</v>
      </c>
      <c r="E80" s="100">
        <v>5.0599999999999996</v>
      </c>
      <c r="F80" s="100">
        <v>2</v>
      </c>
      <c r="G80" s="100">
        <v>40.85</v>
      </c>
      <c r="H80" s="100">
        <v>17.38</v>
      </c>
      <c r="I80" s="100">
        <v>6.79</v>
      </c>
      <c r="J80" s="151" t="s">
        <v>8</v>
      </c>
      <c r="K80" s="151" t="s">
        <v>8</v>
      </c>
      <c r="L80" s="151" t="s">
        <v>8</v>
      </c>
      <c r="M80" s="151" t="s">
        <v>8</v>
      </c>
      <c r="N80" s="151" t="s">
        <v>8</v>
      </c>
      <c r="O80" s="100">
        <v>0</v>
      </c>
      <c r="P80" s="100">
        <v>0.27</v>
      </c>
      <c r="Q80" s="100">
        <v>10.19</v>
      </c>
      <c r="R80" s="6"/>
      <c r="S80" s="6"/>
      <c r="T80" s="156"/>
      <c r="U80" s="6"/>
    </row>
    <row r="81" spans="1:21" customFormat="1">
      <c r="A81" s="201" t="s">
        <v>2041</v>
      </c>
      <c r="B81" s="100">
        <v>3.16</v>
      </c>
      <c r="C81" s="100">
        <v>4.82</v>
      </c>
      <c r="D81" s="100">
        <v>7.98</v>
      </c>
      <c r="E81" s="100">
        <v>3.97</v>
      </c>
      <c r="F81" s="100">
        <v>2</v>
      </c>
      <c r="G81" s="100">
        <v>40.85</v>
      </c>
      <c r="H81" s="100">
        <v>17.38</v>
      </c>
      <c r="I81" s="100">
        <v>6.76</v>
      </c>
      <c r="J81" s="151" t="s">
        <v>8</v>
      </c>
      <c r="K81" s="151" t="s">
        <v>8</v>
      </c>
      <c r="L81" s="151" t="s">
        <v>8</v>
      </c>
      <c r="M81" s="151" t="s">
        <v>8</v>
      </c>
      <c r="N81" s="151" t="s">
        <v>8</v>
      </c>
      <c r="O81" s="100">
        <v>0</v>
      </c>
      <c r="P81" s="100">
        <v>0.26</v>
      </c>
      <c r="Q81" s="100">
        <v>11.22</v>
      </c>
      <c r="R81" s="6"/>
      <c r="S81" s="6"/>
      <c r="T81" s="156"/>
      <c r="U81" s="6"/>
    </row>
    <row r="82" spans="1:21" customFormat="1">
      <c r="A82" s="201" t="s">
        <v>2042</v>
      </c>
      <c r="B82" s="100">
        <v>3.32</v>
      </c>
      <c r="C82" s="100">
        <v>4.76</v>
      </c>
      <c r="D82" s="100">
        <v>8.08</v>
      </c>
      <c r="E82" s="100">
        <v>4.55</v>
      </c>
      <c r="F82" s="100">
        <v>2</v>
      </c>
      <c r="G82" s="100">
        <v>39.43</v>
      </c>
      <c r="H82" s="100">
        <v>17.93</v>
      </c>
      <c r="I82" s="100">
        <v>6.68</v>
      </c>
      <c r="J82" s="151" t="s">
        <v>8</v>
      </c>
      <c r="K82" s="151" t="s">
        <v>8</v>
      </c>
      <c r="L82" s="151" t="s">
        <v>8</v>
      </c>
      <c r="M82" s="151" t="s">
        <v>8</v>
      </c>
      <c r="N82" s="151" t="s">
        <v>8</v>
      </c>
      <c r="O82" s="100">
        <v>0</v>
      </c>
      <c r="P82" s="100">
        <v>0.25</v>
      </c>
      <c r="Q82" s="100">
        <v>13.11</v>
      </c>
      <c r="R82" s="6"/>
      <c r="S82" s="6"/>
      <c r="T82" s="156"/>
      <c r="U82" s="6"/>
    </row>
    <row r="83" spans="1:21" customFormat="1">
      <c r="A83" s="201" t="s">
        <v>2043</v>
      </c>
      <c r="B83" s="100">
        <v>3.42</v>
      </c>
      <c r="C83" s="100">
        <v>4.75</v>
      </c>
      <c r="D83" s="100">
        <v>8.18</v>
      </c>
      <c r="E83" s="100">
        <v>4.5999999999999996</v>
      </c>
      <c r="F83" s="100">
        <v>2</v>
      </c>
      <c r="G83" s="100">
        <v>36.11</v>
      </c>
      <c r="H83" s="100">
        <v>20.09</v>
      </c>
      <c r="I83" s="100">
        <v>6.62</v>
      </c>
      <c r="J83" s="151" t="s">
        <v>8</v>
      </c>
      <c r="K83" s="151" t="s">
        <v>8</v>
      </c>
      <c r="L83" s="151" t="s">
        <v>8</v>
      </c>
      <c r="M83" s="151" t="s">
        <v>8</v>
      </c>
      <c r="N83" s="151" t="s">
        <v>8</v>
      </c>
      <c r="O83" s="100">
        <v>0</v>
      </c>
      <c r="P83" s="100">
        <v>0.24</v>
      </c>
      <c r="Q83" s="100">
        <v>10.54</v>
      </c>
      <c r="R83" s="6"/>
      <c r="S83" s="6"/>
      <c r="T83" s="156"/>
      <c r="U83" s="6"/>
    </row>
    <row r="84" spans="1:21" customFormat="1">
      <c r="A84" s="201" t="s">
        <v>2044</v>
      </c>
      <c r="B84" s="100">
        <v>3.59</v>
      </c>
      <c r="C84" s="100">
        <v>4.92</v>
      </c>
      <c r="D84" s="100">
        <v>8.51</v>
      </c>
      <c r="E84" s="100">
        <v>4.28</v>
      </c>
      <c r="F84" s="100">
        <v>2</v>
      </c>
      <c r="G84" s="100">
        <v>36.11</v>
      </c>
      <c r="H84" s="100">
        <v>20.09</v>
      </c>
      <c r="I84" s="100">
        <v>6.57</v>
      </c>
      <c r="J84" s="151" t="s">
        <v>8</v>
      </c>
      <c r="K84" s="151" t="s">
        <v>8</v>
      </c>
      <c r="L84" s="151" t="s">
        <v>8</v>
      </c>
      <c r="M84" s="151" t="s">
        <v>8</v>
      </c>
      <c r="N84" s="151" t="s">
        <v>8</v>
      </c>
      <c r="O84" s="100">
        <v>0</v>
      </c>
      <c r="P84" s="100">
        <v>0.26</v>
      </c>
      <c r="Q84" s="100">
        <v>10.25</v>
      </c>
      <c r="R84" s="6"/>
      <c r="S84" s="6"/>
      <c r="T84" s="156"/>
      <c r="U84" s="6"/>
    </row>
    <row r="85" spans="1:21" customFormat="1">
      <c r="A85" s="201" t="s">
        <v>2045</v>
      </c>
      <c r="B85" s="100">
        <v>3.77</v>
      </c>
      <c r="C85" s="100">
        <v>5</v>
      </c>
      <c r="D85" s="100">
        <v>8.77</v>
      </c>
      <c r="E85" s="100">
        <v>4.83</v>
      </c>
      <c r="F85" s="100">
        <v>2</v>
      </c>
      <c r="G85" s="100">
        <v>36.11</v>
      </c>
      <c r="H85" s="100">
        <v>20.09</v>
      </c>
      <c r="I85" s="100">
        <v>6.53</v>
      </c>
      <c r="J85" s="151" t="s">
        <v>8</v>
      </c>
      <c r="K85" s="151" t="s">
        <v>8</v>
      </c>
      <c r="L85" s="151" t="s">
        <v>8</v>
      </c>
      <c r="M85" s="151" t="s">
        <v>8</v>
      </c>
      <c r="N85" s="151" t="s">
        <v>8</v>
      </c>
      <c r="O85" s="100">
        <v>0</v>
      </c>
      <c r="P85" s="100">
        <v>0.27</v>
      </c>
      <c r="Q85" s="100">
        <v>11.11</v>
      </c>
      <c r="R85" s="6"/>
      <c r="S85" s="6"/>
      <c r="T85" s="156"/>
      <c r="U85" s="6"/>
    </row>
    <row r="86" spans="1:21" customFormat="1">
      <c r="A86" s="201" t="s">
        <v>2046</v>
      </c>
      <c r="B86" s="100">
        <v>3.83</v>
      </c>
      <c r="C86" s="100">
        <v>4.76</v>
      </c>
      <c r="D86" s="100">
        <v>8.6</v>
      </c>
      <c r="E86" s="100">
        <v>4.6900000000000004</v>
      </c>
      <c r="F86" s="100">
        <v>2</v>
      </c>
      <c r="G86" s="100">
        <v>34.53</v>
      </c>
      <c r="H86" s="100">
        <v>20.6</v>
      </c>
      <c r="I86" s="100">
        <v>6.48</v>
      </c>
      <c r="J86" s="151" t="s">
        <v>8</v>
      </c>
      <c r="K86" s="151" t="s">
        <v>8</v>
      </c>
      <c r="L86" s="151" t="s">
        <v>8</v>
      </c>
      <c r="M86" s="151" t="s">
        <v>8</v>
      </c>
      <c r="N86" s="151" t="s">
        <v>8</v>
      </c>
      <c r="O86" s="100">
        <v>0</v>
      </c>
      <c r="P86" s="100">
        <v>0.26</v>
      </c>
      <c r="Q86" s="100">
        <v>10.85</v>
      </c>
      <c r="R86" s="6"/>
      <c r="S86" s="6"/>
      <c r="T86" s="156"/>
      <c r="U86" s="6"/>
    </row>
    <row r="87" spans="1:21" customFormat="1">
      <c r="A87" s="201" t="s">
        <v>2047</v>
      </c>
      <c r="B87" s="100">
        <v>3.92</v>
      </c>
      <c r="C87" s="100">
        <v>4.7300000000000004</v>
      </c>
      <c r="D87" s="100">
        <v>8.65</v>
      </c>
      <c r="E87" s="100">
        <v>4.6500000000000004</v>
      </c>
      <c r="F87" s="100">
        <v>2</v>
      </c>
      <c r="G87" s="100">
        <v>30.87</v>
      </c>
      <c r="H87" s="100">
        <v>21.37</v>
      </c>
      <c r="I87" s="100">
        <v>6.38</v>
      </c>
      <c r="J87" s="151" t="s">
        <v>8</v>
      </c>
      <c r="K87" s="151" t="s">
        <v>8</v>
      </c>
      <c r="L87" s="151" t="s">
        <v>8</v>
      </c>
      <c r="M87" s="151" t="s">
        <v>8</v>
      </c>
      <c r="N87" s="151" t="s">
        <v>8</v>
      </c>
      <c r="O87" s="100">
        <v>0</v>
      </c>
      <c r="P87" s="100">
        <v>0.24</v>
      </c>
      <c r="Q87" s="100">
        <v>10.32</v>
      </c>
      <c r="R87" s="6"/>
      <c r="S87" s="6"/>
      <c r="T87" s="156"/>
      <c r="U87" s="6"/>
    </row>
    <row r="88" spans="1:21" customFormat="1">
      <c r="A88" s="201" t="s">
        <v>2048</v>
      </c>
      <c r="B88" s="100">
        <v>4.03</v>
      </c>
      <c r="C88" s="100">
        <v>4.88</v>
      </c>
      <c r="D88" s="100">
        <v>8.91</v>
      </c>
      <c r="E88" s="100">
        <v>4.4800000000000004</v>
      </c>
      <c r="F88" s="100">
        <v>2</v>
      </c>
      <c r="G88" s="100">
        <v>30.87</v>
      </c>
      <c r="H88" s="100">
        <v>21.37</v>
      </c>
      <c r="I88" s="100">
        <v>6.33</v>
      </c>
      <c r="J88" s="151" t="s">
        <v>8</v>
      </c>
      <c r="K88" s="151" t="s">
        <v>8</v>
      </c>
      <c r="L88" s="151" t="s">
        <v>8</v>
      </c>
      <c r="M88" s="151" t="s">
        <v>8</v>
      </c>
      <c r="N88" s="151" t="s">
        <v>8</v>
      </c>
      <c r="O88" s="100">
        <v>0</v>
      </c>
      <c r="P88" s="100">
        <v>0.26</v>
      </c>
      <c r="Q88" s="100">
        <v>10.45</v>
      </c>
      <c r="R88" s="6"/>
      <c r="S88" s="6"/>
      <c r="T88" s="156"/>
      <c r="U88" s="6"/>
    </row>
    <row r="89" spans="1:21" customFormat="1">
      <c r="A89" s="201" t="s">
        <v>2049</v>
      </c>
      <c r="B89" s="100">
        <v>4.21</v>
      </c>
      <c r="C89" s="100">
        <v>4.99</v>
      </c>
      <c r="D89" s="100">
        <v>9.19</v>
      </c>
      <c r="E89" s="100">
        <v>4.96</v>
      </c>
      <c r="F89" s="100">
        <v>2</v>
      </c>
      <c r="G89" s="100">
        <v>30.87</v>
      </c>
      <c r="H89" s="100">
        <v>21.37</v>
      </c>
      <c r="I89" s="100">
        <v>6.29</v>
      </c>
      <c r="J89" s="151" t="s">
        <v>8</v>
      </c>
      <c r="K89" s="151" t="s">
        <v>8</v>
      </c>
      <c r="L89" s="151" t="s">
        <v>8</v>
      </c>
      <c r="M89" s="151" t="s">
        <v>8</v>
      </c>
      <c r="N89" s="151" t="s">
        <v>8</v>
      </c>
      <c r="O89" s="100">
        <v>0</v>
      </c>
      <c r="P89" s="100">
        <v>0.27</v>
      </c>
      <c r="Q89" s="100">
        <v>10.09</v>
      </c>
      <c r="R89" s="6"/>
      <c r="S89" s="6"/>
      <c r="T89" s="156"/>
      <c r="U89" s="6"/>
    </row>
    <row r="90" spans="1:21" customFormat="1">
      <c r="A90" s="201" t="s">
        <v>2050</v>
      </c>
      <c r="B90" s="100">
        <v>4.3099999999999996</v>
      </c>
      <c r="C90" s="100">
        <v>4.78</v>
      </c>
      <c r="D90" s="100">
        <v>9.09</v>
      </c>
      <c r="E90" s="100">
        <v>4.87</v>
      </c>
      <c r="F90" s="100">
        <v>2.0499999999999998</v>
      </c>
      <c r="G90" s="100">
        <v>33.21</v>
      </c>
      <c r="H90" s="100">
        <v>21.12</v>
      </c>
      <c r="I90" s="100">
        <v>6.22</v>
      </c>
      <c r="J90" s="151" t="s">
        <v>8</v>
      </c>
      <c r="K90" s="151" t="s">
        <v>8</v>
      </c>
      <c r="L90" s="151" t="s">
        <v>8</v>
      </c>
      <c r="M90" s="151" t="s">
        <v>8</v>
      </c>
      <c r="N90" s="151" t="s">
        <v>8</v>
      </c>
      <c r="O90" s="100">
        <v>0</v>
      </c>
      <c r="P90" s="100">
        <v>0.26</v>
      </c>
      <c r="Q90" s="100">
        <v>10</v>
      </c>
      <c r="R90" s="6"/>
      <c r="S90" s="6"/>
      <c r="T90" s="156"/>
      <c r="U90" s="6"/>
    </row>
    <row r="91" spans="1:21" customFormat="1">
      <c r="A91" s="201" t="s">
        <v>2051</v>
      </c>
      <c r="B91" s="100">
        <v>4.38</v>
      </c>
      <c r="C91" s="100">
        <v>4.83</v>
      </c>
      <c r="D91" s="100">
        <v>9.2100000000000009</v>
      </c>
      <c r="E91" s="100">
        <v>4.58</v>
      </c>
      <c r="F91" s="100">
        <v>2</v>
      </c>
      <c r="G91" s="100">
        <v>38.659999999999997</v>
      </c>
      <c r="H91" s="100">
        <v>20.73</v>
      </c>
      <c r="I91" s="100">
        <v>6.21</v>
      </c>
      <c r="J91" s="151" t="s">
        <v>8</v>
      </c>
      <c r="K91" s="151" t="s">
        <v>8</v>
      </c>
      <c r="L91" s="151" t="s">
        <v>8</v>
      </c>
      <c r="M91" s="151" t="s">
        <v>8</v>
      </c>
      <c r="N91" s="151" t="s">
        <v>8</v>
      </c>
      <c r="O91" s="100">
        <v>0</v>
      </c>
      <c r="P91" s="100">
        <v>0.26</v>
      </c>
      <c r="Q91" s="100">
        <v>11.28</v>
      </c>
      <c r="R91" s="6"/>
      <c r="S91" s="6"/>
      <c r="T91" s="156"/>
      <c r="U91" s="6"/>
    </row>
    <row r="92" spans="1:21" customFormat="1">
      <c r="A92" s="201" t="s">
        <v>2052</v>
      </c>
      <c r="B92" s="100">
        <v>4.51</v>
      </c>
      <c r="C92" s="100">
        <v>5.07</v>
      </c>
      <c r="D92" s="100">
        <v>9.58</v>
      </c>
      <c r="E92" s="100">
        <v>4.74</v>
      </c>
      <c r="F92" s="100">
        <v>2</v>
      </c>
      <c r="G92" s="100">
        <v>38.659999999999997</v>
      </c>
      <c r="H92" s="100">
        <v>20.73</v>
      </c>
      <c r="I92" s="100">
        <v>6.21</v>
      </c>
      <c r="J92" s="151" t="s">
        <v>8</v>
      </c>
      <c r="K92" s="151" t="s">
        <v>8</v>
      </c>
      <c r="L92" s="151" t="s">
        <v>8</v>
      </c>
      <c r="M92" s="151" t="s">
        <v>8</v>
      </c>
      <c r="N92" s="151" t="s">
        <v>8</v>
      </c>
      <c r="O92" s="100">
        <v>0</v>
      </c>
      <c r="P92" s="100">
        <v>0.27</v>
      </c>
      <c r="Q92" s="100">
        <v>10</v>
      </c>
      <c r="R92" s="6"/>
      <c r="S92" s="6"/>
      <c r="T92" s="156"/>
      <c r="U92" s="6"/>
    </row>
    <row r="93" spans="1:21" customFormat="1">
      <c r="A93" s="201" t="s">
        <v>2053</v>
      </c>
      <c r="B93" s="100">
        <v>4.63</v>
      </c>
      <c r="C93" s="100">
        <v>4.9000000000000004</v>
      </c>
      <c r="D93" s="100">
        <v>9.5399999999999991</v>
      </c>
      <c r="E93" s="100">
        <v>4.76</v>
      </c>
      <c r="F93" s="100">
        <v>2</v>
      </c>
      <c r="G93" s="100">
        <v>38.659999999999997</v>
      </c>
      <c r="H93" s="100">
        <v>20.73</v>
      </c>
      <c r="I93" s="100">
        <v>6.18</v>
      </c>
      <c r="J93" s="151" t="s">
        <v>8</v>
      </c>
      <c r="K93" s="151" t="s">
        <v>8</v>
      </c>
      <c r="L93" s="151" t="s">
        <v>8</v>
      </c>
      <c r="M93" s="151" t="s">
        <v>8</v>
      </c>
      <c r="N93" s="151" t="s">
        <v>8</v>
      </c>
      <c r="O93" s="100">
        <v>0</v>
      </c>
      <c r="P93" s="100">
        <v>0.27</v>
      </c>
      <c r="Q93" s="100">
        <v>11.52</v>
      </c>
      <c r="R93" s="6"/>
      <c r="S93" s="6"/>
      <c r="T93" s="156"/>
      <c r="U93" s="6"/>
    </row>
    <row r="94" spans="1:21" customFormat="1">
      <c r="A94" s="201" t="s">
        <v>2054</v>
      </c>
      <c r="B94" s="100">
        <v>4.71</v>
      </c>
      <c r="C94" s="100">
        <v>4.83</v>
      </c>
      <c r="D94" s="100">
        <v>9.5399999999999991</v>
      </c>
      <c r="E94" s="100">
        <v>4.5599999999999996</v>
      </c>
      <c r="F94" s="100">
        <v>2</v>
      </c>
      <c r="G94" s="100">
        <v>36.69</v>
      </c>
      <c r="H94" s="100">
        <v>20.02</v>
      </c>
      <c r="I94" s="100">
        <v>6.23</v>
      </c>
      <c r="J94" s="151" t="s">
        <v>8</v>
      </c>
      <c r="K94" s="151" t="s">
        <v>8</v>
      </c>
      <c r="L94" s="151" t="s">
        <v>8</v>
      </c>
      <c r="M94" s="151" t="s">
        <v>8</v>
      </c>
      <c r="N94" s="151" t="s">
        <v>8</v>
      </c>
      <c r="O94" s="100">
        <v>0</v>
      </c>
      <c r="P94" s="100">
        <v>0.25</v>
      </c>
      <c r="Q94" s="100">
        <v>10.08</v>
      </c>
      <c r="R94" s="6"/>
      <c r="S94" s="6"/>
      <c r="T94" s="156"/>
      <c r="U94" s="6"/>
    </row>
    <row r="95" spans="1:21" customFormat="1">
      <c r="A95" s="201" t="s">
        <v>2055</v>
      </c>
      <c r="B95" s="100">
        <v>4.8499999999999996</v>
      </c>
      <c r="C95" s="100">
        <v>5.0199999999999996</v>
      </c>
      <c r="D95" s="100">
        <v>9.8699999999999992</v>
      </c>
      <c r="E95" s="100">
        <v>4.72</v>
      </c>
      <c r="F95" s="100">
        <v>2</v>
      </c>
      <c r="G95" s="100">
        <v>32.11</v>
      </c>
      <c r="H95" s="100">
        <v>18.920000000000002</v>
      </c>
      <c r="I95" s="100">
        <v>6.24</v>
      </c>
      <c r="J95" s="151" t="s">
        <v>8</v>
      </c>
      <c r="K95" s="151" t="s">
        <v>8</v>
      </c>
      <c r="L95" s="151" t="s">
        <v>8</v>
      </c>
      <c r="M95" s="151" t="s">
        <v>8</v>
      </c>
      <c r="N95" s="151" t="s">
        <v>8</v>
      </c>
      <c r="O95" s="100">
        <v>0</v>
      </c>
      <c r="P95" s="100">
        <v>0.28000000000000003</v>
      </c>
      <c r="Q95" s="100">
        <v>13.12</v>
      </c>
      <c r="R95" s="6"/>
      <c r="S95" s="6"/>
      <c r="T95" s="156"/>
      <c r="U95" s="6"/>
    </row>
    <row r="96" spans="1:21" customFormat="1">
      <c r="A96" s="201" t="s">
        <v>2056</v>
      </c>
      <c r="B96" s="100">
        <v>4.97</v>
      </c>
      <c r="C96" s="100">
        <v>5.0199999999999996</v>
      </c>
      <c r="D96" s="100">
        <v>9.99</v>
      </c>
      <c r="E96" s="100">
        <v>4.96</v>
      </c>
      <c r="F96" s="100">
        <v>2</v>
      </c>
      <c r="G96" s="100">
        <v>32.11</v>
      </c>
      <c r="H96" s="100">
        <v>18.920000000000002</v>
      </c>
      <c r="I96" s="100">
        <v>6.16</v>
      </c>
      <c r="J96" s="151" t="s">
        <v>8</v>
      </c>
      <c r="K96" s="151" t="s">
        <v>8</v>
      </c>
      <c r="L96" s="151" t="s">
        <v>8</v>
      </c>
      <c r="M96" s="151" t="s">
        <v>8</v>
      </c>
      <c r="N96" s="151" t="s">
        <v>8</v>
      </c>
      <c r="O96" s="100">
        <v>0</v>
      </c>
      <c r="P96" s="100">
        <v>0.28000000000000003</v>
      </c>
      <c r="Q96" s="100">
        <v>11.09</v>
      </c>
      <c r="R96" s="6"/>
      <c r="S96" s="6"/>
      <c r="T96" s="156"/>
      <c r="U96" s="6"/>
    </row>
    <row r="97" spans="1:28" customFormat="1">
      <c r="A97" s="201" t="s">
        <v>2057</v>
      </c>
      <c r="B97" s="100">
        <v>5</v>
      </c>
      <c r="C97" s="100">
        <v>5.0599999999999996</v>
      </c>
      <c r="D97" s="100">
        <v>10.07</v>
      </c>
      <c r="E97" s="100">
        <v>5.09</v>
      </c>
      <c r="F97" s="100">
        <v>2</v>
      </c>
      <c r="G97" s="100">
        <v>32.11</v>
      </c>
      <c r="H97" s="100">
        <v>18.920000000000002</v>
      </c>
      <c r="I97" s="100">
        <v>6.28</v>
      </c>
      <c r="J97" s="151" t="s">
        <v>8</v>
      </c>
      <c r="K97" s="151" t="s">
        <v>8</v>
      </c>
      <c r="L97" s="151" t="s">
        <v>8</v>
      </c>
      <c r="M97" s="151" t="s">
        <v>8</v>
      </c>
      <c r="N97" s="151" t="s">
        <v>8</v>
      </c>
      <c r="O97" s="100">
        <v>0</v>
      </c>
      <c r="P97" s="100">
        <v>0.3</v>
      </c>
      <c r="Q97" s="100">
        <v>19.190000000000001</v>
      </c>
      <c r="R97" s="6"/>
      <c r="S97" s="6"/>
      <c r="T97" s="156"/>
      <c r="U97" s="6"/>
    </row>
    <row r="98" spans="1:28" customFormat="1">
      <c r="A98" s="201" t="s">
        <v>2058</v>
      </c>
      <c r="B98" s="100">
        <v>5.01</v>
      </c>
      <c r="C98" s="100">
        <v>5.23</v>
      </c>
      <c r="D98" s="100">
        <v>10.24</v>
      </c>
      <c r="E98" s="100">
        <v>5.15</v>
      </c>
      <c r="F98" s="100">
        <v>2</v>
      </c>
      <c r="G98" s="100">
        <v>33.67</v>
      </c>
      <c r="H98" s="100">
        <v>18.84</v>
      </c>
      <c r="I98" s="100">
        <v>6.2</v>
      </c>
      <c r="J98" s="151" t="s">
        <v>8</v>
      </c>
      <c r="K98" s="151" t="s">
        <v>8</v>
      </c>
      <c r="L98" s="151" t="s">
        <v>8</v>
      </c>
      <c r="M98" s="151" t="s">
        <v>8</v>
      </c>
      <c r="N98" s="151" t="s">
        <v>8</v>
      </c>
      <c r="O98" s="100">
        <v>0</v>
      </c>
      <c r="P98" s="100">
        <v>0.31</v>
      </c>
      <c r="Q98" s="100">
        <v>13.45</v>
      </c>
      <c r="R98" s="6"/>
      <c r="S98" s="6"/>
      <c r="T98" s="156"/>
      <c r="U98" s="6"/>
    </row>
    <row r="99" spans="1:28" customFormat="1">
      <c r="A99" s="201" t="s">
        <v>2059</v>
      </c>
      <c r="B99" s="100">
        <v>5.03</v>
      </c>
      <c r="C99" s="100">
        <v>5.19</v>
      </c>
      <c r="D99" s="100">
        <v>10.220000000000001</v>
      </c>
      <c r="E99" s="100">
        <v>5.34</v>
      </c>
      <c r="F99" s="100">
        <v>2</v>
      </c>
      <c r="G99" s="100">
        <v>37.29</v>
      </c>
      <c r="H99" s="100">
        <v>18.5</v>
      </c>
      <c r="I99" s="100">
        <v>6.17</v>
      </c>
      <c r="J99" s="151" t="s">
        <v>8</v>
      </c>
      <c r="K99" s="151" t="s">
        <v>8</v>
      </c>
      <c r="L99" s="151" t="s">
        <v>8</v>
      </c>
      <c r="M99" s="151" t="s">
        <v>8</v>
      </c>
      <c r="N99" s="151" t="s">
        <v>8</v>
      </c>
      <c r="O99" s="100">
        <v>0</v>
      </c>
      <c r="P99" s="100">
        <v>0.31</v>
      </c>
      <c r="Q99" s="100">
        <v>15.53</v>
      </c>
      <c r="R99" s="6"/>
      <c r="S99" s="6"/>
      <c r="T99" s="156"/>
      <c r="U99" s="6"/>
    </row>
    <row r="100" spans="1:28" customFormat="1">
      <c r="A100" s="201" t="s">
        <v>2060</v>
      </c>
      <c r="B100" s="100">
        <v>4.95</v>
      </c>
      <c r="C100" s="100">
        <v>5.26</v>
      </c>
      <c r="D100" s="100">
        <v>10.210000000000001</v>
      </c>
      <c r="E100" s="100">
        <v>5.49</v>
      </c>
      <c r="F100" s="100">
        <v>2</v>
      </c>
      <c r="G100" s="100">
        <v>37.29</v>
      </c>
      <c r="H100" s="100">
        <v>18.5</v>
      </c>
      <c r="I100" s="100">
        <v>6.08</v>
      </c>
      <c r="J100" s="151" t="s">
        <v>8</v>
      </c>
      <c r="K100" s="151" t="s">
        <v>8</v>
      </c>
      <c r="L100" s="151" t="s">
        <v>8</v>
      </c>
      <c r="M100" s="151" t="s">
        <v>8</v>
      </c>
      <c r="N100" s="151" t="s">
        <v>8</v>
      </c>
      <c r="O100" s="100">
        <v>0</v>
      </c>
      <c r="P100" s="100">
        <v>0.31</v>
      </c>
      <c r="Q100" s="100">
        <v>13.03</v>
      </c>
      <c r="R100" s="6"/>
      <c r="S100" s="6"/>
      <c r="T100" s="156"/>
      <c r="U100" s="6"/>
      <c r="AB100" s="161"/>
    </row>
    <row r="101" spans="1:28" customFormat="1">
      <c r="A101" s="201" t="s">
        <v>2061</v>
      </c>
      <c r="B101" s="100">
        <v>4.9000000000000004</v>
      </c>
      <c r="C101" s="100">
        <v>5.24</v>
      </c>
      <c r="D101" s="100">
        <v>10.14</v>
      </c>
      <c r="E101" s="100">
        <v>5.61</v>
      </c>
      <c r="F101" s="100">
        <v>2</v>
      </c>
      <c r="G101" s="100">
        <v>37.29</v>
      </c>
      <c r="H101" s="100">
        <v>18.5</v>
      </c>
      <c r="I101" s="100">
        <v>6.05</v>
      </c>
      <c r="J101" s="151" t="s">
        <v>8</v>
      </c>
      <c r="K101" s="151" t="s">
        <v>8</v>
      </c>
      <c r="L101" s="151" t="s">
        <v>8</v>
      </c>
      <c r="M101" s="151" t="s">
        <v>8</v>
      </c>
      <c r="N101" s="151" t="s">
        <v>8</v>
      </c>
      <c r="O101" s="100">
        <v>0</v>
      </c>
      <c r="P101" s="100">
        <v>0.31</v>
      </c>
      <c r="Q101" s="100">
        <v>9.9499999999999993</v>
      </c>
      <c r="R101" s="6"/>
      <c r="S101" s="6"/>
      <c r="T101" s="156"/>
      <c r="U101" s="6"/>
    </row>
    <row r="102" spans="1:28" customFormat="1">
      <c r="A102" s="201" t="s">
        <v>2062</v>
      </c>
      <c r="B102" s="100">
        <v>4.8600000000000003</v>
      </c>
      <c r="C102" s="100">
        <v>5.23</v>
      </c>
      <c r="D102" s="100">
        <v>10.08</v>
      </c>
      <c r="E102" s="100">
        <v>5.51</v>
      </c>
      <c r="F102" s="100">
        <v>2</v>
      </c>
      <c r="G102" s="100">
        <v>35.380000000000003</v>
      </c>
      <c r="H102" s="100">
        <v>17.440000000000001</v>
      </c>
      <c r="I102" s="100">
        <v>5.94</v>
      </c>
      <c r="J102" s="151" t="s">
        <v>8</v>
      </c>
      <c r="K102" s="151" t="s">
        <v>8</v>
      </c>
      <c r="L102" s="151" t="s">
        <v>8</v>
      </c>
      <c r="M102" s="151" t="s">
        <v>8</v>
      </c>
      <c r="N102" s="151" t="s">
        <v>8</v>
      </c>
      <c r="O102" s="100">
        <v>0</v>
      </c>
      <c r="P102" s="100">
        <v>0.31</v>
      </c>
      <c r="Q102" s="100">
        <v>12</v>
      </c>
      <c r="R102" s="6"/>
      <c r="S102" s="6"/>
      <c r="T102" s="156"/>
      <c r="U102" s="6"/>
    </row>
    <row r="103" spans="1:28" customFormat="1">
      <c r="A103" s="201" t="s">
        <v>2063</v>
      </c>
      <c r="B103" s="100">
        <v>4.88</v>
      </c>
      <c r="C103" s="100">
        <v>5.16</v>
      </c>
      <c r="D103" s="100">
        <v>10.039999999999999</v>
      </c>
      <c r="E103" s="100">
        <v>5.81</v>
      </c>
      <c r="F103" s="100">
        <v>2</v>
      </c>
      <c r="G103" s="100">
        <v>30.93</v>
      </c>
      <c r="H103" s="100">
        <v>15.81</v>
      </c>
      <c r="I103" s="100">
        <v>5.84</v>
      </c>
      <c r="J103" s="151" t="s">
        <v>8</v>
      </c>
      <c r="K103" s="151" t="s">
        <v>8</v>
      </c>
      <c r="L103" s="151" t="s">
        <v>8</v>
      </c>
      <c r="M103" s="151" t="s">
        <v>8</v>
      </c>
      <c r="N103" s="151" t="s">
        <v>8</v>
      </c>
      <c r="O103" s="100">
        <v>0</v>
      </c>
      <c r="P103" s="100">
        <v>0.28999999999999998</v>
      </c>
      <c r="Q103" s="100">
        <v>9.8800000000000008</v>
      </c>
      <c r="R103" s="6"/>
      <c r="S103" s="6"/>
      <c r="T103" s="156"/>
      <c r="U103" s="6"/>
    </row>
    <row r="104" spans="1:28" customFormat="1">
      <c r="A104" s="201" t="s">
        <v>2064</v>
      </c>
      <c r="B104" s="100">
        <v>4.91</v>
      </c>
      <c r="C104" s="100">
        <v>5.0599999999999996</v>
      </c>
      <c r="D104" s="100">
        <v>9.9700000000000006</v>
      </c>
      <c r="E104" s="100">
        <v>6.04</v>
      </c>
      <c r="F104" s="100">
        <v>2</v>
      </c>
      <c r="G104" s="100">
        <v>30.93</v>
      </c>
      <c r="H104" s="100">
        <v>15.81</v>
      </c>
      <c r="I104" s="100">
        <v>5.72</v>
      </c>
      <c r="J104" s="151" t="s">
        <v>8</v>
      </c>
      <c r="K104" s="151" t="s">
        <v>8</v>
      </c>
      <c r="L104" s="151" t="s">
        <v>8</v>
      </c>
      <c r="M104" s="151" t="s">
        <v>8</v>
      </c>
      <c r="N104" s="151" t="s">
        <v>8</v>
      </c>
      <c r="O104" s="100">
        <v>0</v>
      </c>
      <c r="P104" s="100">
        <v>0.28999999999999998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2.56</v>
      </c>
      <c r="C106" s="158">
        <f>MIN(C9:C104)</f>
        <v>4.58</v>
      </c>
      <c r="D106" s="158">
        <f t="shared" ref="D106:Q106" si="0">MIN(D9:D104)</f>
        <v>7.81</v>
      </c>
      <c r="E106" s="158">
        <f t="shared" si="0"/>
        <v>3.51</v>
      </c>
      <c r="F106" s="158">
        <f t="shared" si="0"/>
        <v>2</v>
      </c>
      <c r="G106" s="158">
        <f t="shared" si="0"/>
        <v>18.440000000000001</v>
      </c>
      <c r="H106" s="158">
        <f t="shared" si="0"/>
        <v>8.85</v>
      </c>
      <c r="I106" s="158">
        <f t="shared" si="0"/>
        <v>4.97</v>
      </c>
      <c r="J106" s="158">
        <f t="shared" si="0"/>
        <v>0</v>
      </c>
      <c r="K106" s="158">
        <f t="shared" si="0"/>
        <v>0</v>
      </c>
      <c r="L106" s="158">
        <f t="shared" si="0"/>
        <v>0</v>
      </c>
      <c r="M106" s="158">
        <f t="shared" si="0"/>
        <v>0</v>
      </c>
      <c r="N106" s="158">
        <f t="shared" si="0"/>
        <v>0</v>
      </c>
      <c r="O106" s="158">
        <f t="shared" si="0"/>
        <v>0</v>
      </c>
      <c r="P106" s="158">
        <f t="shared" si="0"/>
        <v>0.24</v>
      </c>
      <c r="Q106" s="158">
        <f t="shared" si="0"/>
        <v>9.76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15.69</v>
      </c>
      <c r="C107" s="157">
        <f t="shared" ref="C107:Q107" si="1">MAX(C9:C104)</f>
        <v>7.19</v>
      </c>
      <c r="D107" s="157">
        <f t="shared" si="1"/>
        <v>22.41</v>
      </c>
      <c r="E107" s="157">
        <f t="shared" si="1"/>
        <v>6.04</v>
      </c>
      <c r="F107" s="157">
        <f t="shared" si="1"/>
        <v>2.52</v>
      </c>
      <c r="G107" s="157">
        <f t="shared" si="1"/>
        <v>59.81</v>
      </c>
      <c r="H107" s="157">
        <f t="shared" si="1"/>
        <v>21.62</v>
      </c>
      <c r="I107" s="157">
        <f t="shared" si="1"/>
        <v>8.0299999999999994</v>
      </c>
      <c r="J107" s="157">
        <f t="shared" si="1"/>
        <v>0</v>
      </c>
      <c r="K107" s="157">
        <f t="shared" si="1"/>
        <v>0</v>
      </c>
      <c r="L107" s="157">
        <f t="shared" si="1"/>
        <v>0</v>
      </c>
      <c r="M107" s="157">
        <f t="shared" si="1"/>
        <v>0</v>
      </c>
      <c r="N107" s="157">
        <f t="shared" si="1"/>
        <v>0</v>
      </c>
      <c r="O107" s="157">
        <f t="shared" si="1"/>
        <v>0</v>
      </c>
      <c r="P107" s="157">
        <f t="shared" si="1"/>
        <v>0.45</v>
      </c>
      <c r="Q107" s="157">
        <f t="shared" si="1"/>
        <v>19.190000000000001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6.9777083333333314</v>
      </c>
      <c r="C108" s="158">
        <f t="shared" ref="C108:Q108" si="2">AVERAGE(C9:C104)</f>
        <v>5.7529166666666631</v>
      </c>
      <c r="D108" s="158">
        <f t="shared" si="2"/>
        <v>12.730625000000003</v>
      </c>
      <c r="E108" s="158">
        <f t="shared" si="2"/>
        <v>4.9948958333333353</v>
      </c>
      <c r="F108" s="158">
        <f t="shared" si="2"/>
        <v>2.0190625000000004</v>
      </c>
      <c r="G108" s="158">
        <f t="shared" si="2"/>
        <v>38.750416666666645</v>
      </c>
      <c r="H108" s="158">
        <f t="shared" si="2"/>
        <v>16.524999999999995</v>
      </c>
      <c r="I108" s="158">
        <f t="shared" si="2"/>
        <v>6.3717708333333336</v>
      </c>
      <c r="J108" s="158" t="e">
        <f t="shared" si="2"/>
        <v>#DIV/0!</v>
      </c>
      <c r="K108" s="158" t="e">
        <f t="shared" si="2"/>
        <v>#DIV/0!</v>
      </c>
      <c r="L108" s="158" t="e">
        <f t="shared" si="2"/>
        <v>#DIV/0!</v>
      </c>
      <c r="M108" s="158" t="e">
        <f t="shared" si="2"/>
        <v>#DIV/0!</v>
      </c>
      <c r="N108" s="158" t="e">
        <f t="shared" si="2"/>
        <v>#DIV/0!</v>
      </c>
      <c r="O108" s="158">
        <f t="shared" si="2"/>
        <v>0</v>
      </c>
      <c r="P108" s="158">
        <f t="shared" si="2"/>
        <v>0.3353124999999999</v>
      </c>
      <c r="Q108" s="158">
        <f t="shared" si="2"/>
        <v>10.68604166666667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4.0646593640321314</v>
      </c>
      <c r="C109" s="158">
        <f t="shared" ref="C109:Q109" si="3">STDEV(C9:C104)</f>
        <v>0.85482151620174474</v>
      </c>
      <c r="D109" s="158">
        <f t="shared" si="3"/>
        <v>4.7179941796220266</v>
      </c>
      <c r="E109" s="158">
        <f t="shared" si="3"/>
        <v>0.41780124912681837</v>
      </c>
      <c r="F109" s="158">
        <f t="shared" si="3"/>
        <v>7.9247488753172612E-2</v>
      </c>
      <c r="G109" s="158">
        <f t="shared" si="3"/>
        <v>12.083847846275249</v>
      </c>
      <c r="H109" s="158">
        <f t="shared" si="3"/>
        <v>4.4593707368216426</v>
      </c>
      <c r="I109" s="158">
        <f t="shared" si="3"/>
        <v>1.0368515041541273</v>
      </c>
      <c r="J109" s="158" t="e">
        <f t="shared" si="3"/>
        <v>#DIV/0!</v>
      </c>
      <c r="K109" s="158" t="e">
        <f t="shared" si="3"/>
        <v>#DIV/0!</v>
      </c>
      <c r="L109" s="158" t="e">
        <f t="shared" si="3"/>
        <v>#DIV/0!</v>
      </c>
      <c r="M109" s="158" t="e">
        <f t="shared" si="3"/>
        <v>#DIV/0!</v>
      </c>
      <c r="N109" s="158" t="e">
        <f t="shared" si="3"/>
        <v>#DIV/0!</v>
      </c>
      <c r="O109" s="158">
        <f t="shared" si="3"/>
        <v>0</v>
      </c>
      <c r="P109" s="158">
        <f t="shared" si="3"/>
        <v>5.2273634795535179E-2</v>
      </c>
      <c r="Q109" s="158">
        <f t="shared" si="3"/>
        <v>1.3358100078951782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>COUNT(J9:J104)+96</f>
        <v>96</v>
      </c>
      <c r="K110" s="157">
        <f t="shared" ref="K110:N110" si="5">COUNT(K9:K104)+96</f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7"/>
  <sheetViews>
    <sheetView zoomScale="85" zoomScaleNormal="85" workbookViewId="0">
      <pane xSplit="1" ySplit="8" topLeftCell="B94" activePane="bottomRight" state="frozen"/>
      <selection pane="topRight"/>
      <selection pane="bottomLeft"/>
      <selection pane="bottomRight" activeCell="L115" sqref="L1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2065</v>
      </c>
      <c r="B9" s="100">
        <v>4.45</v>
      </c>
      <c r="C9" s="100">
        <v>5.16</v>
      </c>
      <c r="D9" s="100">
        <v>9.6199999999999992</v>
      </c>
      <c r="E9" s="100">
        <v>5.83</v>
      </c>
      <c r="F9" s="100">
        <v>2</v>
      </c>
      <c r="G9" s="100">
        <v>30.93</v>
      </c>
      <c r="H9" s="100">
        <v>15.81</v>
      </c>
      <c r="I9" s="100">
        <v>5.65</v>
      </c>
      <c r="J9" s="151" t="s">
        <v>8</v>
      </c>
      <c r="K9" s="151" t="s">
        <v>8</v>
      </c>
      <c r="L9" s="151" t="s">
        <v>8</v>
      </c>
      <c r="M9" s="151" t="s">
        <v>8</v>
      </c>
      <c r="N9" s="151" t="s">
        <v>8</v>
      </c>
      <c r="O9" s="100">
        <v>0</v>
      </c>
      <c r="P9" s="100">
        <v>0.3</v>
      </c>
      <c r="Q9" s="100">
        <v>9.67</v>
      </c>
      <c r="R9" s="6"/>
      <c r="S9" s="6"/>
      <c r="T9" s="156"/>
      <c r="U9" s="6"/>
    </row>
    <row r="10" spans="1:21" customFormat="1">
      <c r="A10" s="201" t="s">
        <v>2066</v>
      </c>
      <c r="B10" s="100">
        <v>4.46</v>
      </c>
      <c r="C10" s="100">
        <v>5.0599999999999996</v>
      </c>
      <c r="D10" s="100">
        <v>9.5299999999999994</v>
      </c>
      <c r="E10" s="100">
        <v>5.98</v>
      </c>
      <c r="F10" s="100">
        <v>2</v>
      </c>
      <c r="G10" s="100">
        <v>31.51</v>
      </c>
      <c r="H10" s="100">
        <v>14.98</v>
      </c>
      <c r="I10" s="100">
        <v>5.62</v>
      </c>
      <c r="J10" s="151" t="s">
        <v>8</v>
      </c>
      <c r="K10" s="151" t="s">
        <v>8</v>
      </c>
      <c r="L10" s="151" t="s">
        <v>8</v>
      </c>
      <c r="M10" s="151" t="s">
        <v>8</v>
      </c>
      <c r="N10" s="151" t="s">
        <v>8</v>
      </c>
      <c r="O10" s="100">
        <v>0</v>
      </c>
      <c r="P10" s="100">
        <v>0.28999999999999998</v>
      </c>
      <c r="Q10" s="100">
        <v>12.27</v>
      </c>
      <c r="R10" s="6"/>
      <c r="S10" s="6"/>
      <c r="T10" s="156"/>
      <c r="U10" s="6"/>
    </row>
    <row r="11" spans="1:21" customFormat="1">
      <c r="A11" s="201" t="s">
        <v>2067</v>
      </c>
      <c r="B11" s="100">
        <v>4.46</v>
      </c>
      <c r="C11" s="100">
        <v>5.0599999999999996</v>
      </c>
      <c r="D11" s="100">
        <v>9.51</v>
      </c>
      <c r="E11" s="100">
        <v>6.07</v>
      </c>
      <c r="F11" s="100">
        <v>2</v>
      </c>
      <c r="G11" s="100">
        <v>32.85</v>
      </c>
      <c r="H11" s="100">
        <v>13.7</v>
      </c>
      <c r="I11" s="100">
        <v>5.59</v>
      </c>
      <c r="J11" s="151" t="s">
        <v>8</v>
      </c>
      <c r="K11" s="151" t="s">
        <v>8</v>
      </c>
      <c r="L11" s="151" t="s">
        <v>8</v>
      </c>
      <c r="M11" s="151" t="s">
        <v>8</v>
      </c>
      <c r="N11" s="151" t="s">
        <v>8</v>
      </c>
      <c r="O11" s="100">
        <v>0</v>
      </c>
      <c r="P11" s="100">
        <v>0.28000000000000003</v>
      </c>
      <c r="Q11" s="100">
        <v>10</v>
      </c>
      <c r="R11" s="6"/>
      <c r="S11" s="6"/>
      <c r="T11" s="156"/>
      <c r="U11" s="6"/>
    </row>
    <row r="12" spans="1:21" customFormat="1">
      <c r="A12" s="201" t="s">
        <v>2068</v>
      </c>
      <c r="B12" s="100">
        <v>4.51</v>
      </c>
      <c r="C12" s="100">
        <v>5</v>
      </c>
      <c r="D12" s="100">
        <v>9.51</v>
      </c>
      <c r="E12" s="100">
        <v>5.9</v>
      </c>
      <c r="F12" s="100">
        <v>2</v>
      </c>
      <c r="G12" s="100">
        <v>32.85</v>
      </c>
      <c r="H12" s="100">
        <v>13.7</v>
      </c>
      <c r="I12" s="100">
        <v>5.55</v>
      </c>
      <c r="J12" s="151" t="s">
        <v>8</v>
      </c>
      <c r="K12" s="151" t="s">
        <v>8</v>
      </c>
      <c r="L12" s="151" t="s">
        <v>8</v>
      </c>
      <c r="M12" s="151" t="s">
        <v>8</v>
      </c>
      <c r="N12" s="151" t="s">
        <v>8</v>
      </c>
      <c r="O12" s="100">
        <v>0</v>
      </c>
      <c r="P12" s="100">
        <v>0.28000000000000003</v>
      </c>
      <c r="Q12" s="100">
        <v>10</v>
      </c>
      <c r="R12" s="6"/>
      <c r="S12" s="6"/>
      <c r="T12" s="156"/>
      <c r="U12" s="6"/>
    </row>
    <row r="13" spans="1:21" customFormat="1">
      <c r="A13" s="201" t="s">
        <v>2069</v>
      </c>
      <c r="B13" s="100">
        <v>4.51</v>
      </c>
      <c r="C13" s="100">
        <v>4.99</v>
      </c>
      <c r="D13" s="100">
        <v>9.5</v>
      </c>
      <c r="E13" s="100">
        <v>6.1</v>
      </c>
      <c r="F13" s="100">
        <v>2</v>
      </c>
      <c r="G13" s="100">
        <v>32.85</v>
      </c>
      <c r="H13" s="100">
        <v>13.7</v>
      </c>
      <c r="I13" s="100">
        <v>5.47</v>
      </c>
      <c r="J13" s="151" t="s">
        <v>8</v>
      </c>
      <c r="K13" s="151" t="s">
        <v>8</v>
      </c>
      <c r="L13" s="151" t="s">
        <v>8</v>
      </c>
      <c r="M13" s="151" t="s">
        <v>8</v>
      </c>
      <c r="N13" s="151" t="s">
        <v>8</v>
      </c>
      <c r="O13" s="100">
        <v>0</v>
      </c>
      <c r="P13" s="100">
        <v>0.28000000000000003</v>
      </c>
      <c r="Q13" s="100">
        <v>10</v>
      </c>
      <c r="R13" s="6"/>
      <c r="S13" s="6"/>
      <c r="T13" s="156"/>
      <c r="U13" s="6"/>
    </row>
    <row r="14" spans="1:21" customFormat="1">
      <c r="A14" s="201" t="s">
        <v>2070</v>
      </c>
      <c r="B14" s="100">
        <v>4.5</v>
      </c>
      <c r="C14" s="100">
        <v>5.0199999999999996</v>
      </c>
      <c r="D14" s="100">
        <v>9.52</v>
      </c>
      <c r="E14" s="100">
        <v>6.23</v>
      </c>
      <c r="F14" s="100">
        <v>2</v>
      </c>
      <c r="G14" s="100">
        <v>32.17</v>
      </c>
      <c r="H14" s="100">
        <v>14.42</v>
      </c>
      <c r="I14" s="100">
        <v>5.39</v>
      </c>
      <c r="J14" s="151" t="s">
        <v>8</v>
      </c>
      <c r="K14" s="151" t="s">
        <v>8</v>
      </c>
      <c r="L14" s="151" t="s">
        <v>8</v>
      </c>
      <c r="M14" s="151" t="s">
        <v>8</v>
      </c>
      <c r="N14" s="151" t="s">
        <v>8</v>
      </c>
      <c r="O14" s="100">
        <v>0</v>
      </c>
      <c r="P14" s="100">
        <v>0.28000000000000003</v>
      </c>
      <c r="Q14" s="100">
        <v>10.65</v>
      </c>
      <c r="R14" s="6"/>
      <c r="S14" s="6"/>
      <c r="T14" s="156"/>
      <c r="U14" s="6"/>
    </row>
    <row r="15" spans="1:21" customFormat="1">
      <c r="A15" s="201" t="s">
        <v>2071</v>
      </c>
      <c r="B15" s="100">
        <v>4.49</v>
      </c>
      <c r="C15" s="100">
        <v>4.9800000000000004</v>
      </c>
      <c r="D15" s="100">
        <v>9.4700000000000006</v>
      </c>
      <c r="E15" s="100">
        <v>6.18</v>
      </c>
      <c r="F15" s="100">
        <v>2</v>
      </c>
      <c r="G15" s="100">
        <v>30.57</v>
      </c>
      <c r="H15" s="100">
        <v>15.53</v>
      </c>
      <c r="I15" s="100">
        <v>5.3</v>
      </c>
      <c r="J15" s="151" t="s">
        <v>8</v>
      </c>
      <c r="K15" s="151" t="s">
        <v>8</v>
      </c>
      <c r="L15" s="151" t="s">
        <v>8</v>
      </c>
      <c r="M15" s="151" t="s">
        <v>8</v>
      </c>
      <c r="N15" s="151" t="s">
        <v>8</v>
      </c>
      <c r="O15" s="100">
        <v>0</v>
      </c>
      <c r="P15" s="100">
        <v>0.27</v>
      </c>
      <c r="Q15" s="100">
        <v>11.33</v>
      </c>
      <c r="R15" s="6"/>
      <c r="S15" s="6"/>
      <c r="T15" s="156"/>
      <c r="U15" s="6"/>
    </row>
    <row r="16" spans="1:21" customFormat="1">
      <c r="A16" s="201" t="s">
        <v>2072</v>
      </c>
      <c r="B16" s="100">
        <v>4.46</v>
      </c>
      <c r="C16" s="100">
        <v>4.96</v>
      </c>
      <c r="D16" s="100">
        <v>9.43</v>
      </c>
      <c r="E16" s="100">
        <v>6.01</v>
      </c>
      <c r="F16" s="100">
        <v>2</v>
      </c>
      <c r="G16" s="100">
        <v>30.57</v>
      </c>
      <c r="H16" s="100">
        <v>15.53</v>
      </c>
      <c r="I16" s="100">
        <v>5.25</v>
      </c>
      <c r="J16" s="151" t="s">
        <v>8</v>
      </c>
      <c r="K16" s="151" t="s">
        <v>8</v>
      </c>
      <c r="L16" s="151" t="s">
        <v>8</v>
      </c>
      <c r="M16" s="151" t="s">
        <v>8</v>
      </c>
      <c r="N16" s="151" t="s">
        <v>8</v>
      </c>
      <c r="O16" s="100">
        <v>0</v>
      </c>
      <c r="P16" s="100">
        <v>0.26</v>
      </c>
      <c r="Q16" s="100">
        <v>18.43</v>
      </c>
      <c r="R16" s="6"/>
      <c r="S16" s="6"/>
      <c r="T16" s="156"/>
      <c r="U16" s="6"/>
    </row>
    <row r="17" spans="1:21" customFormat="1">
      <c r="A17" s="201" t="s">
        <v>2073</v>
      </c>
      <c r="B17" s="100">
        <v>4.45</v>
      </c>
      <c r="C17" s="100">
        <v>4.97</v>
      </c>
      <c r="D17" s="100">
        <v>9.42</v>
      </c>
      <c r="E17" s="100">
        <v>4.0599999999999996</v>
      </c>
      <c r="F17" s="100">
        <v>2</v>
      </c>
      <c r="G17" s="100">
        <v>30.57</v>
      </c>
      <c r="H17" s="100">
        <v>15.53</v>
      </c>
      <c r="I17" s="100">
        <v>5.17</v>
      </c>
      <c r="J17" s="151" t="s">
        <v>8</v>
      </c>
      <c r="K17" s="151" t="s">
        <v>8</v>
      </c>
      <c r="L17" s="151" t="s">
        <v>8</v>
      </c>
      <c r="M17" s="151" t="s">
        <v>8</v>
      </c>
      <c r="N17" s="151" t="s">
        <v>8</v>
      </c>
      <c r="O17" s="100">
        <v>0</v>
      </c>
      <c r="P17" s="100">
        <v>0.26</v>
      </c>
      <c r="Q17" s="100">
        <v>21.61</v>
      </c>
      <c r="R17" s="6"/>
      <c r="S17" s="6"/>
      <c r="T17" s="156"/>
      <c r="U17" s="6"/>
    </row>
    <row r="18" spans="1:21" customFormat="1">
      <c r="A18" s="201" t="s">
        <v>2074</v>
      </c>
      <c r="B18" s="100">
        <v>4.46</v>
      </c>
      <c r="C18" s="100">
        <v>4.8499999999999996</v>
      </c>
      <c r="D18" s="100">
        <v>9.31</v>
      </c>
      <c r="E18" s="100">
        <v>4.95</v>
      </c>
      <c r="F18" s="100">
        <v>2</v>
      </c>
      <c r="G18" s="100">
        <v>30.09</v>
      </c>
      <c r="H18" s="100">
        <v>15.92</v>
      </c>
      <c r="I18" s="100">
        <v>5.13</v>
      </c>
      <c r="J18" s="151" t="s">
        <v>8</v>
      </c>
      <c r="K18" s="151" t="s">
        <v>8</v>
      </c>
      <c r="L18" s="151" t="s">
        <v>8</v>
      </c>
      <c r="M18" s="151" t="s">
        <v>8</v>
      </c>
      <c r="N18" s="151" t="s">
        <v>8</v>
      </c>
      <c r="O18" s="100">
        <v>0</v>
      </c>
      <c r="P18" s="100">
        <v>0.26</v>
      </c>
      <c r="Q18" s="100">
        <v>10</v>
      </c>
      <c r="R18" s="6"/>
      <c r="S18" s="6"/>
      <c r="T18" s="156"/>
      <c r="U18" s="6"/>
    </row>
    <row r="19" spans="1:21" customFormat="1">
      <c r="A19" s="201" t="s">
        <v>2075</v>
      </c>
      <c r="B19" s="100">
        <v>4.49</v>
      </c>
      <c r="C19" s="100">
        <v>4.84</v>
      </c>
      <c r="D19" s="100">
        <v>9.32</v>
      </c>
      <c r="E19" s="100">
        <v>5.26</v>
      </c>
      <c r="F19" s="100">
        <v>2</v>
      </c>
      <c r="G19" s="100">
        <v>28.9</v>
      </c>
      <c r="H19" s="100">
        <v>17.46</v>
      </c>
      <c r="I19" s="100">
        <v>5.2</v>
      </c>
      <c r="J19" s="151" t="s">
        <v>8</v>
      </c>
      <c r="K19" s="151" t="s">
        <v>8</v>
      </c>
      <c r="L19" s="151" t="s">
        <v>8</v>
      </c>
      <c r="M19" s="151" t="s">
        <v>8</v>
      </c>
      <c r="N19" s="151" t="s">
        <v>8</v>
      </c>
      <c r="O19" s="100">
        <v>0</v>
      </c>
      <c r="P19" s="100">
        <v>0.25</v>
      </c>
      <c r="Q19" s="100">
        <v>10.62</v>
      </c>
      <c r="R19" s="6"/>
      <c r="S19" s="6"/>
      <c r="T19" s="156"/>
      <c r="U19" s="6"/>
    </row>
    <row r="20" spans="1:21" customFormat="1">
      <c r="A20" s="201" t="s">
        <v>2076</v>
      </c>
      <c r="B20" s="100">
        <v>4.47</v>
      </c>
      <c r="C20" s="100">
        <v>4.88</v>
      </c>
      <c r="D20" s="100">
        <v>9.34</v>
      </c>
      <c r="E20" s="100">
        <v>5.13</v>
      </c>
      <c r="F20" s="100">
        <v>2</v>
      </c>
      <c r="G20" s="100">
        <v>28.9</v>
      </c>
      <c r="H20" s="100">
        <v>17.46</v>
      </c>
      <c r="I20" s="100">
        <v>5.04</v>
      </c>
      <c r="J20" s="151" t="s">
        <v>8</v>
      </c>
      <c r="K20" s="151" t="s">
        <v>8</v>
      </c>
      <c r="L20" s="151" t="s">
        <v>8</v>
      </c>
      <c r="M20" s="151" t="s">
        <v>8</v>
      </c>
      <c r="N20" s="151" t="s">
        <v>8</v>
      </c>
      <c r="O20" s="100">
        <v>0</v>
      </c>
      <c r="P20" s="100">
        <v>0.25</v>
      </c>
      <c r="Q20" s="100">
        <v>9.93</v>
      </c>
      <c r="R20" s="6"/>
      <c r="S20" s="6"/>
      <c r="T20" s="156"/>
      <c r="U20" s="6"/>
    </row>
    <row r="21" spans="1:21" customFormat="1">
      <c r="A21" s="201" t="s">
        <v>2077</v>
      </c>
      <c r="B21" s="100">
        <v>4.55</v>
      </c>
      <c r="C21" s="100">
        <v>4.84</v>
      </c>
      <c r="D21" s="100">
        <v>9.3800000000000008</v>
      </c>
      <c r="E21" s="100">
        <v>5.64</v>
      </c>
      <c r="F21" s="100">
        <v>2</v>
      </c>
      <c r="G21" s="100">
        <v>28.9</v>
      </c>
      <c r="H21" s="100">
        <v>17.46</v>
      </c>
      <c r="I21" s="100">
        <v>5.0199999999999996</v>
      </c>
      <c r="J21" s="151" t="s">
        <v>8</v>
      </c>
      <c r="K21" s="151" t="s">
        <v>8</v>
      </c>
      <c r="L21" s="151" t="s">
        <v>8</v>
      </c>
      <c r="M21" s="151" t="s">
        <v>8</v>
      </c>
      <c r="N21" s="151" t="s">
        <v>8</v>
      </c>
      <c r="O21" s="100">
        <v>0</v>
      </c>
      <c r="P21" s="100">
        <v>0.24</v>
      </c>
      <c r="Q21" s="100">
        <v>10.039999999999999</v>
      </c>
      <c r="R21" s="6"/>
      <c r="S21" s="6"/>
      <c r="T21" s="156"/>
      <c r="U21" s="6"/>
    </row>
    <row r="22" spans="1:21" customFormat="1">
      <c r="A22" s="201" t="s">
        <v>2078</v>
      </c>
      <c r="B22" s="100">
        <v>4.6500000000000004</v>
      </c>
      <c r="C22" s="100">
        <v>4.5999999999999996</v>
      </c>
      <c r="D22" s="100">
        <v>9.25</v>
      </c>
      <c r="E22" s="100">
        <v>5.26</v>
      </c>
      <c r="F22" s="100">
        <v>2</v>
      </c>
      <c r="G22" s="100">
        <v>27.2</v>
      </c>
      <c r="H22" s="100">
        <v>17.010000000000002</v>
      </c>
      <c r="I22" s="100">
        <v>4.8899999999999997</v>
      </c>
      <c r="J22" s="151" t="s">
        <v>8</v>
      </c>
      <c r="K22" s="151" t="s">
        <v>8</v>
      </c>
      <c r="L22" s="151" t="s">
        <v>8</v>
      </c>
      <c r="M22" s="151" t="s">
        <v>8</v>
      </c>
      <c r="N22" s="151" t="s">
        <v>8</v>
      </c>
      <c r="O22" s="100">
        <v>0</v>
      </c>
      <c r="P22" s="100">
        <v>0.21</v>
      </c>
      <c r="Q22" s="100">
        <v>10.3</v>
      </c>
      <c r="R22" s="6"/>
      <c r="S22" s="6"/>
      <c r="T22" s="156"/>
      <c r="U22" s="6"/>
    </row>
    <row r="23" spans="1:21" customFormat="1">
      <c r="A23" s="201" t="s">
        <v>2079</v>
      </c>
      <c r="B23" s="100">
        <v>4.79</v>
      </c>
      <c r="C23" s="100">
        <v>4.45</v>
      </c>
      <c r="D23" s="100">
        <v>9.24</v>
      </c>
      <c r="E23" s="100">
        <v>4.92</v>
      </c>
      <c r="F23" s="100">
        <v>2</v>
      </c>
      <c r="G23" s="100">
        <v>23.23</v>
      </c>
      <c r="H23" s="100">
        <v>16.309999999999999</v>
      </c>
      <c r="I23" s="100">
        <v>4.96</v>
      </c>
      <c r="J23" s="151" t="s">
        <v>8</v>
      </c>
      <c r="K23" s="151" t="s">
        <v>8</v>
      </c>
      <c r="L23" s="151" t="s">
        <v>8</v>
      </c>
      <c r="M23" s="151" t="s">
        <v>8</v>
      </c>
      <c r="N23" s="151" t="s">
        <v>8</v>
      </c>
      <c r="O23" s="100">
        <v>0</v>
      </c>
      <c r="P23" s="100">
        <v>0.18</v>
      </c>
      <c r="Q23" s="100">
        <v>11.33</v>
      </c>
      <c r="R23" s="6"/>
      <c r="S23" s="6"/>
      <c r="T23" s="156"/>
      <c r="U23" s="6"/>
    </row>
    <row r="24" spans="1:21" customFormat="1">
      <c r="A24" s="201" t="s">
        <v>2080</v>
      </c>
      <c r="B24" s="100">
        <v>4.8899999999999997</v>
      </c>
      <c r="C24" s="100">
        <v>4.4400000000000004</v>
      </c>
      <c r="D24" s="100">
        <v>9.33</v>
      </c>
      <c r="E24" s="100">
        <v>4.6900000000000004</v>
      </c>
      <c r="F24" s="100">
        <v>2</v>
      </c>
      <c r="G24" s="100">
        <v>23.23</v>
      </c>
      <c r="H24" s="100">
        <v>16.309999999999999</v>
      </c>
      <c r="I24" s="100">
        <v>4.8899999999999997</v>
      </c>
      <c r="J24" s="151" t="s">
        <v>8</v>
      </c>
      <c r="K24" s="151" t="s">
        <v>8</v>
      </c>
      <c r="L24" s="151" t="s">
        <v>8</v>
      </c>
      <c r="M24" s="151" t="s">
        <v>8</v>
      </c>
      <c r="N24" s="151" t="s">
        <v>8</v>
      </c>
      <c r="O24" s="100">
        <v>0</v>
      </c>
      <c r="P24" s="100">
        <v>0.18</v>
      </c>
      <c r="Q24" s="100">
        <v>10.6</v>
      </c>
      <c r="R24" s="6"/>
      <c r="S24" s="6"/>
      <c r="T24" s="156"/>
      <c r="U24" s="6"/>
    </row>
    <row r="25" spans="1:21" customFormat="1">
      <c r="A25" s="201" t="s">
        <v>2081</v>
      </c>
      <c r="B25" s="100">
        <v>5</v>
      </c>
      <c r="C25" s="100">
        <v>4.78</v>
      </c>
      <c r="D25" s="100">
        <v>9.7799999999999994</v>
      </c>
      <c r="E25" s="100">
        <v>4.9400000000000004</v>
      </c>
      <c r="F25" s="100">
        <v>2</v>
      </c>
      <c r="G25" s="100">
        <v>23.23</v>
      </c>
      <c r="H25" s="100">
        <v>16.309999999999999</v>
      </c>
      <c r="I25" s="100">
        <v>4.99</v>
      </c>
      <c r="J25" s="151" t="s">
        <v>8</v>
      </c>
      <c r="K25" s="151" t="s">
        <v>8</v>
      </c>
      <c r="L25" s="151" t="s">
        <v>8</v>
      </c>
      <c r="M25" s="151" t="s">
        <v>8</v>
      </c>
      <c r="N25" s="151" t="s">
        <v>8</v>
      </c>
      <c r="O25" s="100">
        <v>0</v>
      </c>
      <c r="P25" s="100">
        <v>0.2</v>
      </c>
      <c r="Q25" s="100">
        <v>10.119999999999999</v>
      </c>
      <c r="R25" s="6"/>
      <c r="S25" s="6"/>
      <c r="T25" s="156"/>
      <c r="U25" s="6"/>
    </row>
    <row r="26" spans="1:21" customFormat="1">
      <c r="A26" s="201" t="s">
        <v>2082</v>
      </c>
      <c r="B26" s="100">
        <v>5.09</v>
      </c>
      <c r="C26" s="100">
        <v>4.75</v>
      </c>
      <c r="D26" s="100">
        <v>9.84</v>
      </c>
      <c r="E26" s="100">
        <v>5</v>
      </c>
      <c r="F26" s="100">
        <v>2</v>
      </c>
      <c r="G26" s="100">
        <v>23.09</v>
      </c>
      <c r="H26" s="100">
        <v>15.46</v>
      </c>
      <c r="I26" s="100">
        <v>4.82</v>
      </c>
      <c r="J26" s="151" t="s">
        <v>8</v>
      </c>
      <c r="K26" s="151" t="s">
        <v>8</v>
      </c>
      <c r="L26" s="151" t="s">
        <v>8</v>
      </c>
      <c r="M26" s="151" t="s">
        <v>8</v>
      </c>
      <c r="N26" s="151" t="s">
        <v>8</v>
      </c>
      <c r="O26" s="100">
        <v>0</v>
      </c>
      <c r="P26" s="100">
        <v>0.2</v>
      </c>
      <c r="Q26" s="100">
        <v>10.28</v>
      </c>
      <c r="R26" s="6"/>
      <c r="S26" s="6"/>
      <c r="T26" s="156"/>
      <c r="U26" s="6"/>
    </row>
    <row r="27" spans="1:21" customFormat="1">
      <c r="A27" s="201" t="s">
        <v>2083</v>
      </c>
      <c r="B27" s="100">
        <v>5.23</v>
      </c>
      <c r="C27" s="100">
        <v>4.55</v>
      </c>
      <c r="D27" s="100">
        <v>9.7799999999999994</v>
      </c>
      <c r="E27" s="100">
        <v>4.57</v>
      </c>
      <c r="F27" s="100">
        <v>2</v>
      </c>
      <c r="G27" s="100">
        <v>22.78</v>
      </c>
      <c r="H27" s="100">
        <v>14.14</v>
      </c>
      <c r="I27" s="100">
        <v>5.01</v>
      </c>
      <c r="J27" s="151" t="s">
        <v>8</v>
      </c>
      <c r="K27" s="151" t="s">
        <v>8</v>
      </c>
      <c r="L27" s="151" t="s">
        <v>8</v>
      </c>
      <c r="M27" s="151" t="s">
        <v>8</v>
      </c>
      <c r="N27" s="151" t="s">
        <v>8</v>
      </c>
      <c r="O27" s="100">
        <v>0</v>
      </c>
      <c r="P27" s="100">
        <v>0.18</v>
      </c>
      <c r="Q27" s="100">
        <v>10.24</v>
      </c>
      <c r="R27" s="6"/>
      <c r="S27" s="6"/>
      <c r="T27" s="156"/>
      <c r="U27" s="6"/>
    </row>
    <row r="28" spans="1:21" customFormat="1">
      <c r="A28" s="201" t="s">
        <v>2084</v>
      </c>
      <c r="B28" s="100">
        <v>5.31</v>
      </c>
      <c r="C28" s="100">
        <v>4.76</v>
      </c>
      <c r="D28" s="100">
        <v>10.07</v>
      </c>
      <c r="E28" s="100">
        <v>4.57</v>
      </c>
      <c r="F28" s="100">
        <v>2</v>
      </c>
      <c r="G28" s="100">
        <v>22.78</v>
      </c>
      <c r="H28" s="100">
        <v>14.14</v>
      </c>
      <c r="I28" s="100">
        <v>5</v>
      </c>
      <c r="J28" s="151" t="s">
        <v>8</v>
      </c>
      <c r="K28" s="151" t="s">
        <v>8</v>
      </c>
      <c r="L28" s="151" t="s">
        <v>8</v>
      </c>
      <c r="M28" s="151" t="s">
        <v>8</v>
      </c>
      <c r="N28" s="151" t="s">
        <v>8</v>
      </c>
      <c r="O28" s="100">
        <v>0</v>
      </c>
      <c r="P28" s="100">
        <v>0.21</v>
      </c>
      <c r="Q28" s="100">
        <v>10</v>
      </c>
      <c r="R28" s="6"/>
      <c r="S28" s="6"/>
      <c r="T28" s="156"/>
      <c r="U28" s="6"/>
    </row>
    <row r="29" spans="1:21" customFormat="1">
      <c r="A29" s="201" t="s">
        <v>2085</v>
      </c>
      <c r="B29" s="100">
        <v>5.4</v>
      </c>
      <c r="C29" s="100">
        <v>4.79</v>
      </c>
      <c r="D29" s="100">
        <v>10.19</v>
      </c>
      <c r="E29" s="100">
        <v>5.04</v>
      </c>
      <c r="F29" s="100">
        <v>2</v>
      </c>
      <c r="G29" s="100">
        <v>22.78</v>
      </c>
      <c r="H29" s="100">
        <v>14.14</v>
      </c>
      <c r="I29" s="100">
        <v>4.8600000000000003</v>
      </c>
      <c r="J29" s="151" t="s">
        <v>8</v>
      </c>
      <c r="K29" s="151" t="s">
        <v>8</v>
      </c>
      <c r="L29" s="151" t="s">
        <v>8</v>
      </c>
      <c r="M29" s="151" t="s">
        <v>8</v>
      </c>
      <c r="N29" s="151" t="s">
        <v>8</v>
      </c>
      <c r="O29" s="100">
        <v>0</v>
      </c>
      <c r="P29" s="100">
        <v>0.2</v>
      </c>
      <c r="Q29" s="100">
        <v>10</v>
      </c>
      <c r="R29" s="6"/>
      <c r="S29" s="6"/>
      <c r="T29" s="156"/>
      <c r="U29" s="6"/>
    </row>
    <row r="30" spans="1:21" customFormat="1">
      <c r="A30" s="201" t="s">
        <v>2086</v>
      </c>
      <c r="B30" s="100">
        <v>5.48</v>
      </c>
      <c r="C30" s="100">
        <v>4.6100000000000003</v>
      </c>
      <c r="D30" s="100">
        <v>10.09</v>
      </c>
      <c r="E30" s="100">
        <v>4.7699999999999996</v>
      </c>
      <c r="F30" s="100">
        <v>2.0299999999999998</v>
      </c>
      <c r="G30" s="100">
        <v>22.72</v>
      </c>
      <c r="H30" s="100">
        <v>13.23</v>
      </c>
      <c r="I30" s="100">
        <v>4.9400000000000004</v>
      </c>
      <c r="J30" s="151" t="s">
        <v>8</v>
      </c>
      <c r="K30" s="151" t="s">
        <v>8</v>
      </c>
      <c r="L30" s="151" t="s">
        <v>8</v>
      </c>
      <c r="M30" s="151" t="s">
        <v>8</v>
      </c>
      <c r="N30" s="151" t="s">
        <v>8</v>
      </c>
      <c r="O30" s="100">
        <v>0</v>
      </c>
      <c r="P30" s="100">
        <v>0.18</v>
      </c>
      <c r="Q30" s="100">
        <v>10</v>
      </c>
      <c r="R30" s="6"/>
      <c r="S30" s="6"/>
      <c r="T30" s="156"/>
      <c r="U30" s="6"/>
    </row>
    <row r="31" spans="1:21" customFormat="1">
      <c r="A31" s="201" t="s">
        <v>2087</v>
      </c>
      <c r="B31" s="100">
        <v>5.55</v>
      </c>
      <c r="C31" s="100">
        <v>4.75</v>
      </c>
      <c r="D31" s="100">
        <v>10.31</v>
      </c>
      <c r="E31" s="100">
        <v>4.87</v>
      </c>
      <c r="F31" s="100">
        <v>2</v>
      </c>
      <c r="G31" s="100">
        <v>22.59</v>
      </c>
      <c r="H31" s="100">
        <v>11.82</v>
      </c>
      <c r="I31" s="100">
        <v>5.0199999999999996</v>
      </c>
      <c r="J31" s="151" t="s">
        <v>8</v>
      </c>
      <c r="K31" s="151" t="s">
        <v>8</v>
      </c>
      <c r="L31" s="151" t="s">
        <v>8</v>
      </c>
      <c r="M31" s="151" t="s">
        <v>8</v>
      </c>
      <c r="N31" s="151" t="s">
        <v>8</v>
      </c>
      <c r="O31" s="100">
        <v>0</v>
      </c>
      <c r="P31" s="100">
        <v>0.19</v>
      </c>
      <c r="Q31" s="100">
        <v>10</v>
      </c>
      <c r="R31" s="6"/>
      <c r="S31" s="6"/>
      <c r="T31" s="156"/>
      <c r="U31" s="6"/>
    </row>
    <row r="32" spans="1:21" customFormat="1">
      <c r="A32" s="201" t="s">
        <v>2088</v>
      </c>
      <c r="B32" s="100">
        <v>5.65</v>
      </c>
      <c r="C32" s="100">
        <v>4.9000000000000004</v>
      </c>
      <c r="D32" s="100">
        <v>10.55</v>
      </c>
      <c r="E32" s="100">
        <v>4.74</v>
      </c>
      <c r="F32" s="100">
        <v>2</v>
      </c>
      <c r="G32" s="100">
        <v>22.59</v>
      </c>
      <c r="H32" s="100">
        <v>11.82</v>
      </c>
      <c r="I32" s="100">
        <v>4.95</v>
      </c>
      <c r="J32" s="151" t="s">
        <v>8</v>
      </c>
      <c r="K32" s="151" t="s">
        <v>8</v>
      </c>
      <c r="L32" s="151" t="s">
        <v>8</v>
      </c>
      <c r="M32" s="151" t="s">
        <v>8</v>
      </c>
      <c r="N32" s="151" t="s">
        <v>8</v>
      </c>
      <c r="O32" s="100">
        <v>0</v>
      </c>
      <c r="P32" s="100">
        <v>0.2</v>
      </c>
      <c r="Q32" s="100">
        <v>10</v>
      </c>
      <c r="R32" s="6"/>
      <c r="S32" s="6"/>
      <c r="T32" s="156"/>
      <c r="U32" s="6"/>
    </row>
    <row r="33" spans="1:21" customFormat="1">
      <c r="A33" s="201" t="s">
        <v>2089</v>
      </c>
      <c r="B33" s="100">
        <v>5.68</v>
      </c>
      <c r="C33" s="100">
        <v>4.72</v>
      </c>
      <c r="D33" s="100">
        <v>10.4</v>
      </c>
      <c r="E33" s="100">
        <v>4.6399999999999997</v>
      </c>
      <c r="F33" s="100">
        <v>2</v>
      </c>
      <c r="G33" s="100">
        <v>22.59</v>
      </c>
      <c r="H33" s="100">
        <v>11.82</v>
      </c>
      <c r="I33" s="100">
        <v>4.8899999999999997</v>
      </c>
      <c r="J33" s="151" t="s">
        <v>8</v>
      </c>
      <c r="K33" s="151" t="s">
        <v>8</v>
      </c>
      <c r="L33" s="151" t="s">
        <v>8</v>
      </c>
      <c r="M33" s="151" t="s">
        <v>8</v>
      </c>
      <c r="N33" s="151" t="s">
        <v>8</v>
      </c>
      <c r="O33" s="100">
        <v>0</v>
      </c>
      <c r="P33" s="100">
        <v>0.18</v>
      </c>
      <c r="Q33" s="100">
        <v>11.89</v>
      </c>
      <c r="R33" s="6"/>
      <c r="S33" s="6"/>
      <c r="T33" s="156"/>
      <c r="U33" s="6"/>
    </row>
    <row r="34" spans="1:21" customFormat="1">
      <c r="A34" s="201" t="s">
        <v>2090</v>
      </c>
      <c r="B34" s="100">
        <v>5.76</v>
      </c>
      <c r="C34" s="100">
        <v>4.6900000000000004</v>
      </c>
      <c r="D34" s="100">
        <v>10.45</v>
      </c>
      <c r="E34" s="100">
        <v>4.4800000000000004</v>
      </c>
      <c r="F34" s="100">
        <v>2</v>
      </c>
      <c r="G34" s="100">
        <v>22.89</v>
      </c>
      <c r="H34" s="100">
        <v>12.45</v>
      </c>
      <c r="I34" s="100">
        <v>5.01</v>
      </c>
      <c r="J34" s="151" t="s">
        <v>8</v>
      </c>
      <c r="K34" s="151" t="s">
        <v>8</v>
      </c>
      <c r="L34" s="151" t="s">
        <v>8</v>
      </c>
      <c r="M34" s="151" t="s">
        <v>8</v>
      </c>
      <c r="N34" s="151" t="s">
        <v>8</v>
      </c>
      <c r="O34" s="100">
        <v>0</v>
      </c>
      <c r="P34" s="100">
        <v>0.18</v>
      </c>
      <c r="Q34" s="100">
        <v>14.25</v>
      </c>
      <c r="R34" s="6"/>
      <c r="S34" s="6"/>
      <c r="T34" s="156"/>
      <c r="U34" s="6"/>
    </row>
    <row r="35" spans="1:21" customFormat="1">
      <c r="A35" s="201" t="s">
        <v>2091</v>
      </c>
      <c r="B35" s="100">
        <v>5.88</v>
      </c>
      <c r="C35" s="100">
        <v>4.95</v>
      </c>
      <c r="D35" s="100">
        <v>10.83</v>
      </c>
      <c r="E35" s="100">
        <v>4.82</v>
      </c>
      <c r="F35" s="100">
        <v>2</v>
      </c>
      <c r="G35" s="100">
        <v>23.59</v>
      </c>
      <c r="H35" s="100">
        <v>14.97</v>
      </c>
      <c r="I35" s="100">
        <v>5.01</v>
      </c>
      <c r="J35" s="151" t="s">
        <v>8</v>
      </c>
      <c r="K35" s="151" t="s">
        <v>8</v>
      </c>
      <c r="L35" s="151" t="s">
        <v>8</v>
      </c>
      <c r="M35" s="151" t="s">
        <v>8</v>
      </c>
      <c r="N35" s="151" t="s">
        <v>8</v>
      </c>
      <c r="O35" s="100">
        <v>0</v>
      </c>
      <c r="P35" s="100">
        <v>0.2</v>
      </c>
      <c r="Q35" s="100">
        <v>16.71</v>
      </c>
      <c r="R35" s="6"/>
      <c r="S35" s="6"/>
      <c r="T35" s="156"/>
      <c r="U35" s="6"/>
    </row>
    <row r="36" spans="1:21" customFormat="1">
      <c r="A36" s="201" t="s">
        <v>2092</v>
      </c>
      <c r="B36" s="100">
        <v>5.94</v>
      </c>
      <c r="C36" s="100">
        <v>4.8</v>
      </c>
      <c r="D36" s="100">
        <v>10.74</v>
      </c>
      <c r="E36" s="100">
        <v>4.82</v>
      </c>
      <c r="F36" s="100">
        <v>2</v>
      </c>
      <c r="G36" s="100">
        <v>23.59</v>
      </c>
      <c r="H36" s="100">
        <v>14.97</v>
      </c>
      <c r="I36" s="100">
        <v>4.83</v>
      </c>
      <c r="J36" s="151" t="s">
        <v>8</v>
      </c>
      <c r="K36" s="151" t="s">
        <v>8</v>
      </c>
      <c r="L36" s="151" t="s">
        <v>8</v>
      </c>
      <c r="M36" s="151" t="s">
        <v>8</v>
      </c>
      <c r="N36" s="151" t="s">
        <v>8</v>
      </c>
      <c r="O36" s="100">
        <v>0</v>
      </c>
      <c r="P36" s="100">
        <v>0.2</v>
      </c>
      <c r="Q36" s="100">
        <v>14.28</v>
      </c>
      <c r="R36" s="6"/>
      <c r="S36" s="6"/>
      <c r="T36" s="156"/>
      <c r="U36" s="6"/>
    </row>
    <row r="37" spans="1:21" customFormat="1">
      <c r="A37" s="201" t="s">
        <v>2093</v>
      </c>
      <c r="B37" s="100">
        <v>5.96</v>
      </c>
      <c r="C37" s="100">
        <v>4.8099999999999996</v>
      </c>
      <c r="D37" s="100">
        <v>10.77</v>
      </c>
      <c r="E37" s="100">
        <v>4.5199999999999996</v>
      </c>
      <c r="F37" s="100">
        <v>2</v>
      </c>
      <c r="G37" s="100">
        <v>23.59</v>
      </c>
      <c r="H37" s="100">
        <v>14.97</v>
      </c>
      <c r="I37" s="100">
        <v>5.0999999999999996</v>
      </c>
      <c r="J37" s="151" t="s">
        <v>8</v>
      </c>
      <c r="K37" s="151" t="s">
        <v>8</v>
      </c>
      <c r="L37" s="151" t="s">
        <v>8</v>
      </c>
      <c r="M37" s="151" t="s">
        <v>8</v>
      </c>
      <c r="N37" s="151" t="s">
        <v>8</v>
      </c>
      <c r="O37" s="100">
        <v>0</v>
      </c>
      <c r="P37" s="100">
        <v>0.18</v>
      </c>
      <c r="Q37" s="100">
        <v>10.78</v>
      </c>
      <c r="R37" s="6"/>
      <c r="S37" s="6"/>
      <c r="T37" s="156"/>
      <c r="U37" s="6"/>
    </row>
    <row r="38" spans="1:21" customFormat="1">
      <c r="A38" s="201" t="s">
        <v>2094</v>
      </c>
      <c r="B38" s="100">
        <v>6.01</v>
      </c>
      <c r="C38" s="100">
        <v>5.01</v>
      </c>
      <c r="D38" s="100">
        <v>11.02</v>
      </c>
      <c r="E38" s="100">
        <v>4.8</v>
      </c>
      <c r="F38" s="100">
        <v>2</v>
      </c>
      <c r="G38" s="100">
        <v>23.98</v>
      </c>
      <c r="H38" s="100">
        <v>14.45</v>
      </c>
      <c r="I38" s="100">
        <v>5.05</v>
      </c>
      <c r="J38" s="151" t="s">
        <v>8</v>
      </c>
      <c r="K38" s="151" t="s">
        <v>8</v>
      </c>
      <c r="L38" s="151" t="s">
        <v>8</v>
      </c>
      <c r="M38" s="151" t="s">
        <v>8</v>
      </c>
      <c r="N38" s="151" t="s">
        <v>8</v>
      </c>
      <c r="O38" s="100">
        <v>0</v>
      </c>
      <c r="P38" s="100">
        <v>0.21</v>
      </c>
      <c r="Q38" s="100">
        <v>15.53</v>
      </c>
      <c r="R38" s="6"/>
      <c r="S38" s="6"/>
      <c r="T38" s="156"/>
      <c r="U38" s="6"/>
    </row>
    <row r="39" spans="1:21" customFormat="1">
      <c r="A39" s="201" t="s">
        <v>2095</v>
      </c>
      <c r="B39" s="100">
        <v>6.03</v>
      </c>
      <c r="C39" s="100">
        <v>5</v>
      </c>
      <c r="D39" s="100">
        <v>11.03</v>
      </c>
      <c r="E39" s="100">
        <v>4.72</v>
      </c>
      <c r="F39" s="100">
        <v>2</v>
      </c>
      <c r="G39" s="100">
        <v>24.91</v>
      </c>
      <c r="H39" s="100">
        <v>13.65</v>
      </c>
      <c r="I39" s="100">
        <v>5.04</v>
      </c>
      <c r="J39" s="151" t="s">
        <v>8</v>
      </c>
      <c r="K39" s="151" t="s">
        <v>8</v>
      </c>
      <c r="L39" s="151" t="s">
        <v>8</v>
      </c>
      <c r="M39" s="151" t="s">
        <v>8</v>
      </c>
      <c r="N39" s="151" t="s">
        <v>8</v>
      </c>
      <c r="O39" s="100">
        <v>0</v>
      </c>
      <c r="P39" s="100">
        <v>0.21</v>
      </c>
      <c r="Q39" s="100">
        <v>20.81</v>
      </c>
      <c r="R39" s="6"/>
      <c r="S39" s="6"/>
      <c r="T39" s="156"/>
      <c r="U39" s="6"/>
    </row>
    <row r="40" spans="1:21" customFormat="1">
      <c r="A40" s="201" t="s">
        <v>2096</v>
      </c>
      <c r="B40" s="100">
        <v>5.91</v>
      </c>
      <c r="C40" s="100">
        <v>5.05</v>
      </c>
      <c r="D40" s="100">
        <v>10.96</v>
      </c>
      <c r="E40" s="100">
        <v>4.78</v>
      </c>
      <c r="F40" s="100">
        <v>2</v>
      </c>
      <c r="G40" s="100">
        <v>24.91</v>
      </c>
      <c r="H40" s="100">
        <v>13.65</v>
      </c>
      <c r="I40" s="100">
        <v>5.26</v>
      </c>
      <c r="J40" s="151" t="s">
        <v>8</v>
      </c>
      <c r="K40" s="151" t="s">
        <v>8</v>
      </c>
      <c r="L40" s="151" t="s">
        <v>8</v>
      </c>
      <c r="M40" s="151" t="s">
        <v>8</v>
      </c>
      <c r="N40" s="151" t="s">
        <v>8</v>
      </c>
      <c r="O40" s="100">
        <v>0</v>
      </c>
      <c r="P40" s="100">
        <v>0.22</v>
      </c>
      <c r="Q40" s="100">
        <v>9.98</v>
      </c>
      <c r="R40" s="6"/>
      <c r="S40" s="6"/>
      <c r="T40" s="156"/>
      <c r="U40" s="6"/>
    </row>
    <row r="41" spans="1:21" customFormat="1">
      <c r="A41" s="201" t="s">
        <v>2097</v>
      </c>
      <c r="B41" s="100">
        <v>5.71</v>
      </c>
      <c r="C41" s="100">
        <v>5.25</v>
      </c>
      <c r="D41" s="100">
        <v>10.95</v>
      </c>
      <c r="E41" s="100">
        <v>4.57</v>
      </c>
      <c r="F41" s="100">
        <v>2</v>
      </c>
      <c r="G41" s="100">
        <v>24.91</v>
      </c>
      <c r="H41" s="100">
        <v>13.65</v>
      </c>
      <c r="I41" s="100">
        <v>5.19</v>
      </c>
      <c r="J41" s="151" t="s">
        <v>8</v>
      </c>
      <c r="K41" s="151" t="s">
        <v>8</v>
      </c>
      <c r="L41" s="151" t="s">
        <v>8</v>
      </c>
      <c r="M41" s="151" t="s">
        <v>8</v>
      </c>
      <c r="N41" s="151" t="s">
        <v>8</v>
      </c>
      <c r="O41" s="100">
        <v>0</v>
      </c>
      <c r="P41" s="100">
        <v>0.24</v>
      </c>
      <c r="Q41" s="100">
        <v>9.94</v>
      </c>
      <c r="R41" s="6"/>
      <c r="S41" s="6"/>
      <c r="T41" s="156"/>
      <c r="U41" s="6"/>
    </row>
    <row r="42" spans="1:21" customFormat="1">
      <c r="A42" s="201" t="s">
        <v>2098</v>
      </c>
      <c r="B42" s="100">
        <v>5.44</v>
      </c>
      <c r="C42" s="100">
        <v>5.41</v>
      </c>
      <c r="D42" s="100">
        <v>10.85</v>
      </c>
      <c r="E42" s="100">
        <v>4.24</v>
      </c>
      <c r="F42" s="100">
        <v>2</v>
      </c>
      <c r="G42" s="100">
        <v>26.21</v>
      </c>
      <c r="H42" s="100">
        <v>14</v>
      </c>
      <c r="I42" s="100">
        <v>5.25</v>
      </c>
      <c r="J42" s="151" t="s">
        <v>8</v>
      </c>
      <c r="K42" s="151" t="s">
        <v>8</v>
      </c>
      <c r="L42" s="151" t="s">
        <v>8</v>
      </c>
      <c r="M42" s="151" t="s">
        <v>8</v>
      </c>
      <c r="N42" s="151" t="s">
        <v>8</v>
      </c>
      <c r="O42" s="100">
        <v>0</v>
      </c>
      <c r="P42" s="100">
        <v>0.25</v>
      </c>
      <c r="Q42" s="100">
        <v>10.44</v>
      </c>
      <c r="R42" s="6"/>
      <c r="S42" s="6"/>
      <c r="T42" s="156"/>
      <c r="U42" s="6"/>
    </row>
    <row r="43" spans="1:21" customFormat="1">
      <c r="A43" s="201" t="s">
        <v>2099</v>
      </c>
      <c r="B43" s="100">
        <v>5.16</v>
      </c>
      <c r="C43" s="100">
        <v>5.53</v>
      </c>
      <c r="D43" s="100">
        <v>10.69</v>
      </c>
      <c r="E43" s="100">
        <v>4.47</v>
      </c>
      <c r="F43" s="100">
        <v>2</v>
      </c>
      <c r="G43" s="100">
        <v>29.42</v>
      </c>
      <c r="H43" s="100">
        <v>14.54</v>
      </c>
      <c r="I43" s="100">
        <v>5.32</v>
      </c>
      <c r="J43" s="151" t="s">
        <v>8</v>
      </c>
      <c r="K43" s="151" t="s">
        <v>8</v>
      </c>
      <c r="L43" s="151" t="s">
        <v>8</v>
      </c>
      <c r="M43" s="151" t="s">
        <v>8</v>
      </c>
      <c r="N43" s="151" t="s">
        <v>8</v>
      </c>
      <c r="O43" s="100">
        <v>0</v>
      </c>
      <c r="P43" s="100">
        <v>0.25</v>
      </c>
      <c r="Q43" s="100">
        <v>10</v>
      </c>
      <c r="R43" s="6"/>
      <c r="S43" s="6"/>
      <c r="T43" s="156"/>
      <c r="U43" s="6"/>
    </row>
    <row r="44" spans="1:21" customFormat="1">
      <c r="A44" s="201" t="s">
        <v>2100</v>
      </c>
      <c r="B44" s="100">
        <v>4.99</v>
      </c>
      <c r="C44" s="100">
        <v>5.7</v>
      </c>
      <c r="D44" s="100">
        <v>10.68</v>
      </c>
      <c r="E44" s="100">
        <v>4.59</v>
      </c>
      <c r="F44" s="100">
        <v>2</v>
      </c>
      <c r="G44" s="100">
        <v>29.42</v>
      </c>
      <c r="H44" s="100">
        <v>14.54</v>
      </c>
      <c r="I44" s="100">
        <v>5.36</v>
      </c>
      <c r="J44" s="151" t="s">
        <v>8</v>
      </c>
      <c r="K44" s="151" t="s">
        <v>8</v>
      </c>
      <c r="L44" s="151" t="s">
        <v>8</v>
      </c>
      <c r="M44" s="151" t="s">
        <v>8</v>
      </c>
      <c r="N44" s="151" t="s">
        <v>8</v>
      </c>
      <c r="O44" s="100">
        <v>0</v>
      </c>
      <c r="P44" s="100">
        <v>0.26</v>
      </c>
      <c r="Q44" s="100">
        <v>10</v>
      </c>
      <c r="R44" s="6"/>
      <c r="S44" s="6"/>
      <c r="T44" s="156"/>
      <c r="U44" s="6"/>
    </row>
    <row r="45" spans="1:21" customFormat="1">
      <c r="A45" s="201" t="s">
        <v>2101</v>
      </c>
      <c r="B45" s="100">
        <v>4.8099999999999996</v>
      </c>
      <c r="C45" s="100">
        <v>5.81</v>
      </c>
      <c r="D45" s="100">
        <v>10.62</v>
      </c>
      <c r="E45" s="100">
        <v>4.75</v>
      </c>
      <c r="F45" s="100">
        <v>2</v>
      </c>
      <c r="G45" s="100">
        <v>29.42</v>
      </c>
      <c r="H45" s="100">
        <v>14.54</v>
      </c>
      <c r="I45" s="100">
        <v>5.43</v>
      </c>
      <c r="J45" s="151" t="s">
        <v>8</v>
      </c>
      <c r="K45" s="151" t="s">
        <v>8</v>
      </c>
      <c r="L45" s="151" t="s">
        <v>8</v>
      </c>
      <c r="M45" s="151" t="s">
        <v>8</v>
      </c>
      <c r="N45" s="151" t="s">
        <v>8</v>
      </c>
      <c r="O45" s="100">
        <v>0</v>
      </c>
      <c r="P45" s="100">
        <v>0.28000000000000003</v>
      </c>
      <c r="Q45" s="100">
        <v>10</v>
      </c>
      <c r="R45" s="6"/>
      <c r="S45" s="6"/>
      <c r="T45" s="156"/>
      <c r="U45" s="6"/>
    </row>
    <row r="46" spans="1:21" customFormat="1">
      <c r="A46" s="201" t="s">
        <v>2102</v>
      </c>
      <c r="B46" s="100">
        <v>4.51</v>
      </c>
      <c r="C46" s="100">
        <v>5.95</v>
      </c>
      <c r="D46" s="100">
        <v>10.46</v>
      </c>
      <c r="E46" s="100">
        <v>4.8</v>
      </c>
      <c r="F46" s="100">
        <v>2</v>
      </c>
      <c r="G46" s="100">
        <v>31.43</v>
      </c>
      <c r="H46" s="100">
        <v>15.42</v>
      </c>
      <c r="I46" s="100">
        <v>5.48</v>
      </c>
      <c r="J46" s="151" t="s">
        <v>8</v>
      </c>
      <c r="K46" s="151" t="s">
        <v>8</v>
      </c>
      <c r="L46" s="151" t="s">
        <v>8</v>
      </c>
      <c r="M46" s="151" t="s">
        <v>8</v>
      </c>
      <c r="N46" s="151" t="s">
        <v>8</v>
      </c>
      <c r="O46" s="100">
        <v>0</v>
      </c>
      <c r="P46" s="100">
        <v>0.27</v>
      </c>
      <c r="Q46" s="100">
        <v>10</v>
      </c>
      <c r="R46" s="6"/>
      <c r="S46" s="6"/>
      <c r="T46" s="156"/>
      <c r="U46" s="6"/>
    </row>
    <row r="47" spans="1:21" customFormat="1">
      <c r="A47" s="201" t="s">
        <v>2103</v>
      </c>
      <c r="B47" s="100">
        <v>4.1900000000000004</v>
      </c>
      <c r="C47" s="100">
        <v>5.98</v>
      </c>
      <c r="D47" s="100">
        <v>10.18</v>
      </c>
      <c r="E47" s="100">
        <v>4.95</v>
      </c>
      <c r="F47" s="100">
        <v>2.0099999999999998</v>
      </c>
      <c r="G47" s="100">
        <v>36.11</v>
      </c>
      <c r="H47" s="100">
        <v>16.78</v>
      </c>
      <c r="I47" s="100">
        <v>5.55</v>
      </c>
      <c r="J47" s="151" t="s">
        <v>8</v>
      </c>
      <c r="K47" s="151" t="s">
        <v>8</v>
      </c>
      <c r="L47" s="151" t="s">
        <v>8</v>
      </c>
      <c r="M47" s="151" t="s">
        <v>8</v>
      </c>
      <c r="N47" s="151" t="s">
        <v>8</v>
      </c>
      <c r="O47" s="100">
        <v>0</v>
      </c>
      <c r="P47" s="100">
        <v>0.27</v>
      </c>
      <c r="Q47" s="100">
        <v>10</v>
      </c>
      <c r="R47" s="6"/>
      <c r="S47" s="6"/>
      <c r="T47" s="156"/>
      <c r="U47" s="6"/>
    </row>
    <row r="48" spans="1:21" customFormat="1">
      <c r="A48" s="201" t="s">
        <v>2104</v>
      </c>
      <c r="B48" s="100">
        <v>3.97</v>
      </c>
      <c r="C48" s="100">
        <v>6.01</v>
      </c>
      <c r="D48" s="100">
        <v>9.98</v>
      </c>
      <c r="E48" s="100">
        <v>5.08</v>
      </c>
      <c r="F48" s="100">
        <v>2</v>
      </c>
      <c r="G48" s="100">
        <v>36.11</v>
      </c>
      <c r="H48" s="100">
        <v>16.78</v>
      </c>
      <c r="I48" s="100">
        <v>5.57</v>
      </c>
      <c r="J48" s="151" t="s">
        <v>8</v>
      </c>
      <c r="K48" s="151" t="s">
        <v>8</v>
      </c>
      <c r="L48" s="151" t="s">
        <v>8</v>
      </c>
      <c r="M48" s="151" t="s">
        <v>8</v>
      </c>
      <c r="N48" s="151" t="s">
        <v>8</v>
      </c>
      <c r="O48" s="100">
        <v>0</v>
      </c>
      <c r="P48" s="100">
        <v>0.28000000000000003</v>
      </c>
      <c r="Q48" s="100">
        <v>10</v>
      </c>
      <c r="R48" s="6"/>
      <c r="S48" s="6"/>
      <c r="T48" s="156"/>
      <c r="U48" s="6"/>
    </row>
    <row r="49" spans="1:21" customFormat="1">
      <c r="A49" s="201" t="s">
        <v>2105</v>
      </c>
      <c r="B49" s="100">
        <v>3.63</v>
      </c>
      <c r="C49" s="100">
        <v>5.99</v>
      </c>
      <c r="D49" s="100">
        <v>9.6300000000000008</v>
      </c>
      <c r="E49" s="100">
        <v>4.63</v>
      </c>
      <c r="F49" s="100">
        <v>2</v>
      </c>
      <c r="G49" s="100">
        <v>36.11</v>
      </c>
      <c r="H49" s="100">
        <v>16.78</v>
      </c>
      <c r="I49" s="100">
        <v>5.52</v>
      </c>
      <c r="J49" s="151" t="s">
        <v>8</v>
      </c>
      <c r="K49" s="151" t="s">
        <v>8</v>
      </c>
      <c r="L49" s="151" t="s">
        <v>8</v>
      </c>
      <c r="M49" s="151" t="s">
        <v>8</v>
      </c>
      <c r="N49" s="151" t="s">
        <v>8</v>
      </c>
      <c r="O49" s="100">
        <v>0</v>
      </c>
      <c r="P49" s="100">
        <v>0.28000000000000003</v>
      </c>
      <c r="Q49" s="100">
        <v>10</v>
      </c>
      <c r="R49" s="6"/>
      <c r="S49" s="6"/>
      <c r="T49" s="156"/>
      <c r="U49" s="6"/>
    </row>
    <row r="50" spans="1:21" customFormat="1">
      <c r="A50" s="201" t="s">
        <v>2106</v>
      </c>
      <c r="B50" s="100">
        <v>3.31</v>
      </c>
      <c r="C50" s="100">
        <v>5.97</v>
      </c>
      <c r="D50" s="100">
        <v>9.2799999999999994</v>
      </c>
      <c r="E50" s="100">
        <v>5.51</v>
      </c>
      <c r="F50" s="100">
        <v>2.02</v>
      </c>
      <c r="G50" s="100">
        <v>35.36</v>
      </c>
      <c r="H50" s="100">
        <v>17.3</v>
      </c>
      <c r="I50" s="100">
        <v>5.49</v>
      </c>
      <c r="J50" s="151" t="s">
        <v>8</v>
      </c>
      <c r="K50" s="151" t="s">
        <v>8</v>
      </c>
      <c r="L50" s="151" t="s">
        <v>8</v>
      </c>
      <c r="M50" s="151" t="s">
        <v>8</v>
      </c>
      <c r="N50" s="151" t="s">
        <v>8</v>
      </c>
      <c r="O50" s="100">
        <v>0</v>
      </c>
      <c r="P50" s="100">
        <v>0.28000000000000003</v>
      </c>
      <c r="Q50" s="100">
        <v>10</v>
      </c>
      <c r="R50" s="6"/>
      <c r="S50" s="6"/>
      <c r="T50" s="156"/>
      <c r="U50" s="6"/>
    </row>
    <row r="51" spans="1:21" customFormat="1">
      <c r="A51" s="201" t="s">
        <v>2107</v>
      </c>
      <c r="B51" s="100">
        <v>3.1</v>
      </c>
      <c r="C51" s="100">
        <v>5.93</v>
      </c>
      <c r="D51" s="100">
        <v>9.0299999999999994</v>
      </c>
      <c r="E51" s="100">
        <v>5.61</v>
      </c>
      <c r="F51" s="100">
        <v>2</v>
      </c>
      <c r="G51" s="100">
        <v>33.619999999999997</v>
      </c>
      <c r="H51" s="100">
        <v>19.399999999999999</v>
      </c>
      <c r="I51" s="100">
        <v>5.52</v>
      </c>
      <c r="J51" s="151" t="s">
        <v>8</v>
      </c>
      <c r="K51" s="151" t="s">
        <v>8</v>
      </c>
      <c r="L51" s="151" t="s">
        <v>8</v>
      </c>
      <c r="M51" s="151" t="s">
        <v>8</v>
      </c>
      <c r="N51" s="151" t="s">
        <v>8</v>
      </c>
      <c r="O51" s="100">
        <v>0</v>
      </c>
      <c r="P51" s="100">
        <v>0.28000000000000003</v>
      </c>
      <c r="Q51" s="100">
        <v>10</v>
      </c>
      <c r="R51" s="6"/>
      <c r="S51" s="6"/>
      <c r="T51" s="156"/>
      <c r="U51" s="6"/>
    </row>
    <row r="52" spans="1:21" customFormat="1">
      <c r="A52" s="201" t="s">
        <v>2108</v>
      </c>
      <c r="B52" s="100">
        <v>2.97</v>
      </c>
      <c r="C52" s="100">
        <v>5.9</v>
      </c>
      <c r="D52" s="100">
        <v>8.8699999999999992</v>
      </c>
      <c r="E52" s="100">
        <v>5.69</v>
      </c>
      <c r="F52" s="100">
        <v>2</v>
      </c>
      <c r="G52" s="100">
        <v>33.619999999999997</v>
      </c>
      <c r="H52" s="100">
        <v>19.399999999999999</v>
      </c>
      <c r="I52" s="100">
        <v>5.48</v>
      </c>
      <c r="J52" s="151" t="s">
        <v>8</v>
      </c>
      <c r="K52" s="151" t="s">
        <v>8</v>
      </c>
      <c r="L52" s="151" t="s">
        <v>8</v>
      </c>
      <c r="M52" s="151" t="s">
        <v>8</v>
      </c>
      <c r="N52" s="151" t="s">
        <v>8</v>
      </c>
      <c r="O52" s="100">
        <v>0</v>
      </c>
      <c r="P52" s="100">
        <v>0.28000000000000003</v>
      </c>
      <c r="Q52" s="100">
        <v>10</v>
      </c>
      <c r="R52" s="6"/>
      <c r="S52" s="6"/>
      <c r="T52" s="156"/>
      <c r="U52" s="6"/>
    </row>
    <row r="53" spans="1:21" customFormat="1">
      <c r="A53" s="201" t="s">
        <v>2109</v>
      </c>
      <c r="B53" s="100">
        <v>2.91</v>
      </c>
      <c r="C53" s="100">
        <v>5.88</v>
      </c>
      <c r="D53" s="100">
        <v>8.7799999999999994</v>
      </c>
      <c r="E53" s="100">
        <v>5.45</v>
      </c>
      <c r="F53" s="100">
        <v>2</v>
      </c>
      <c r="G53" s="100">
        <v>33.619999999999997</v>
      </c>
      <c r="H53" s="100">
        <v>19.399999999999999</v>
      </c>
      <c r="I53" s="100">
        <v>5.4</v>
      </c>
      <c r="J53" s="151" t="s">
        <v>8</v>
      </c>
      <c r="K53" s="151" t="s">
        <v>8</v>
      </c>
      <c r="L53" s="151" t="s">
        <v>8</v>
      </c>
      <c r="M53" s="151" t="s">
        <v>8</v>
      </c>
      <c r="N53" s="151" t="s">
        <v>8</v>
      </c>
      <c r="O53" s="100">
        <v>0</v>
      </c>
      <c r="P53" s="100">
        <v>0.28000000000000003</v>
      </c>
      <c r="Q53" s="100">
        <v>10</v>
      </c>
      <c r="R53" s="6"/>
      <c r="S53" s="6"/>
      <c r="T53" s="156"/>
      <c r="U53" s="6"/>
    </row>
    <row r="54" spans="1:21" customFormat="1">
      <c r="A54" s="201" t="s">
        <v>2110</v>
      </c>
      <c r="B54" s="100">
        <v>2.79</v>
      </c>
      <c r="C54" s="100">
        <v>5.79</v>
      </c>
      <c r="D54" s="100">
        <v>8.59</v>
      </c>
      <c r="E54" s="100">
        <v>5.4</v>
      </c>
      <c r="F54" s="100">
        <v>2.0099999999999998</v>
      </c>
      <c r="G54" s="100">
        <v>35.6</v>
      </c>
      <c r="H54" s="100">
        <v>18.600000000000001</v>
      </c>
      <c r="I54" s="100">
        <v>5.34</v>
      </c>
      <c r="J54" s="151" t="s">
        <v>8</v>
      </c>
      <c r="K54" s="151" t="s">
        <v>8</v>
      </c>
      <c r="L54" s="151" t="s">
        <v>8</v>
      </c>
      <c r="M54" s="151" t="s">
        <v>8</v>
      </c>
      <c r="N54" s="151" t="s">
        <v>8</v>
      </c>
      <c r="O54" s="100">
        <v>0</v>
      </c>
      <c r="P54" s="100">
        <v>0.27</v>
      </c>
      <c r="Q54" s="100">
        <v>10</v>
      </c>
      <c r="R54" s="6"/>
      <c r="S54" s="6"/>
      <c r="T54" s="156"/>
      <c r="U54" s="6"/>
    </row>
    <row r="55" spans="1:21" customFormat="1">
      <c r="A55" s="201" t="s">
        <v>2111</v>
      </c>
      <c r="B55" s="100">
        <v>2.7</v>
      </c>
      <c r="C55" s="100">
        <v>5.66</v>
      </c>
      <c r="D55" s="100">
        <v>8.36</v>
      </c>
      <c r="E55" s="100">
        <v>5.3</v>
      </c>
      <c r="F55" s="100">
        <v>2.0299999999999998</v>
      </c>
      <c r="G55" s="100">
        <v>40.22</v>
      </c>
      <c r="H55" s="100">
        <v>17.36</v>
      </c>
      <c r="I55" s="100">
        <v>5.31</v>
      </c>
      <c r="J55" s="151" t="s">
        <v>8</v>
      </c>
      <c r="K55" s="151" t="s">
        <v>8</v>
      </c>
      <c r="L55" s="151" t="s">
        <v>8</v>
      </c>
      <c r="M55" s="151" t="s">
        <v>8</v>
      </c>
      <c r="N55" s="151" t="s">
        <v>8</v>
      </c>
      <c r="O55" s="100">
        <v>0</v>
      </c>
      <c r="P55" s="100">
        <v>0.27</v>
      </c>
      <c r="Q55" s="100">
        <v>10.93</v>
      </c>
      <c r="R55" s="6"/>
      <c r="S55" s="6"/>
      <c r="T55" s="156"/>
      <c r="U55" s="6"/>
    </row>
    <row r="56" spans="1:21" customFormat="1">
      <c r="A56" s="201" t="s">
        <v>2112</v>
      </c>
      <c r="B56" s="100">
        <v>2.69</v>
      </c>
      <c r="C56" s="100">
        <v>5.72</v>
      </c>
      <c r="D56" s="100">
        <v>8.41</v>
      </c>
      <c r="E56" s="100">
        <v>5.51</v>
      </c>
      <c r="F56" s="100">
        <v>2</v>
      </c>
      <c r="G56" s="100">
        <v>40.22</v>
      </c>
      <c r="H56" s="100">
        <v>17.36</v>
      </c>
      <c r="I56" s="100">
        <v>5.25</v>
      </c>
      <c r="J56" s="151" t="s">
        <v>8</v>
      </c>
      <c r="K56" s="151" t="s">
        <v>8</v>
      </c>
      <c r="L56" s="151" t="s">
        <v>8</v>
      </c>
      <c r="M56" s="151" t="s">
        <v>8</v>
      </c>
      <c r="N56" s="151" t="s">
        <v>8</v>
      </c>
      <c r="O56" s="100">
        <v>0</v>
      </c>
      <c r="P56" s="100">
        <v>0.27</v>
      </c>
      <c r="Q56" s="100">
        <v>10.18</v>
      </c>
      <c r="R56" s="6"/>
      <c r="S56" s="6"/>
      <c r="T56" s="156"/>
      <c r="U56" s="6"/>
    </row>
    <row r="57" spans="1:21" customFormat="1">
      <c r="A57" s="201" t="s">
        <v>2113</v>
      </c>
      <c r="B57" s="100">
        <v>2.71</v>
      </c>
      <c r="C57" s="100">
        <v>5.76</v>
      </c>
      <c r="D57" s="100">
        <v>8.4700000000000006</v>
      </c>
      <c r="E57" s="100">
        <v>5.64</v>
      </c>
      <c r="F57" s="100">
        <v>2.0299999999999998</v>
      </c>
      <c r="G57" s="100">
        <v>40.22</v>
      </c>
      <c r="H57" s="100">
        <v>17.36</v>
      </c>
      <c r="I57" s="100">
        <v>5.16</v>
      </c>
      <c r="J57" s="151" t="s">
        <v>8</v>
      </c>
      <c r="K57" s="151" t="s">
        <v>8</v>
      </c>
      <c r="L57" s="151" t="s">
        <v>8</v>
      </c>
      <c r="M57" s="151" t="s">
        <v>8</v>
      </c>
      <c r="N57" s="151" t="s">
        <v>8</v>
      </c>
      <c r="O57" s="100">
        <v>0</v>
      </c>
      <c r="P57" s="100">
        <v>0.27</v>
      </c>
      <c r="Q57" s="100">
        <v>10</v>
      </c>
      <c r="R57" s="6"/>
      <c r="S57" s="6"/>
      <c r="T57" s="156"/>
      <c r="U57" s="6"/>
    </row>
    <row r="58" spans="1:21" customFormat="1">
      <c r="A58" s="201" t="s">
        <v>2114</v>
      </c>
      <c r="B58" s="100">
        <v>2.68</v>
      </c>
      <c r="C58" s="100">
        <v>5.73</v>
      </c>
      <c r="D58" s="100">
        <v>8.41</v>
      </c>
      <c r="E58" s="100">
        <v>5.47</v>
      </c>
      <c r="F58" s="100">
        <v>2</v>
      </c>
      <c r="G58" s="100">
        <v>41.47</v>
      </c>
      <c r="H58" s="100">
        <v>17.3</v>
      </c>
      <c r="I58" s="100">
        <v>5.04</v>
      </c>
      <c r="J58" s="151" t="s">
        <v>8</v>
      </c>
      <c r="K58" s="151" t="s">
        <v>8</v>
      </c>
      <c r="L58" s="151" t="s">
        <v>8</v>
      </c>
      <c r="M58" s="151" t="s">
        <v>8</v>
      </c>
      <c r="N58" s="151" t="s">
        <v>8</v>
      </c>
      <c r="O58" s="100">
        <v>0</v>
      </c>
      <c r="P58" s="100">
        <v>0.27</v>
      </c>
      <c r="Q58" s="100">
        <v>10</v>
      </c>
      <c r="R58" s="6"/>
      <c r="S58" s="6"/>
      <c r="T58" s="156"/>
      <c r="U58" s="6"/>
    </row>
    <row r="59" spans="1:21" customFormat="1">
      <c r="A59" s="201" t="s">
        <v>2115</v>
      </c>
      <c r="B59" s="100">
        <v>2.61</v>
      </c>
      <c r="C59" s="100">
        <v>5.67</v>
      </c>
      <c r="D59" s="100">
        <v>8.2799999999999994</v>
      </c>
      <c r="E59" s="100">
        <v>5.54</v>
      </c>
      <c r="F59" s="100">
        <v>2.02</v>
      </c>
      <c r="G59" s="100">
        <v>44.39</v>
      </c>
      <c r="H59" s="100">
        <v>17.21</v>
      </c>
      <c r="I59" s="100">
        <v>5.04</v>
      </c>
      <c r="J59" s="151" t="s">
        <v>8</v>
      </c>
      <c r="K59" s="151" t="s">
        <v>8</v>
      </c>
      <c r="L59" s="151" t="s">
        <v>8</v>
      </c>
      <c r="M59" s="151" t="s">
        <v>8</v>
      </c>
      <c r="N59" s="151" t="s">
        <v>8</v>
      </c>
      <c r="O59" s="100">
        <v>0</v>
      </c>
      <c r="P59" s="100">
        <v>0.26</v>
      </c>
      <c r="Q59" s="100">
        <v>10</v>
      </c>
      <c r="R59" s="6"/>
      <c r="S59" s="6"/>
      <c r="T59" s="156"/>
      <c r="U59" s="6"/>
    </row>
    <row r="60" spans="1:21" customFormat="1">
      <c r="A60" s="201" t="s">
        <v>2116</v>
      </c>
      <c r="B60" s="100">
        <v>2.54</v>
      </c>
      <c r="C60" s="100">
        <v>5.65</v>
      </c>
      <c r="D60" s="100">
        <v>8.19</v>
      </c>
      <c r="E60" s="100">
        <v>5.64</v>
      </c>
      <c r="F60" s="100">
        <v>2.0299999999999998</v>
      </c>
      <c r="G60" s="100">
        <v>44.39</v>
      </c>
      <c r="H60" s="100">
        <v>17.21</v>
      </c>
      <c r="I60" s="100">
        <v>5.01</v>
      </c>
      <c r="J60" s="151" t="s">
        <v>8</v>
      </c>
      <c r="K60" s="151" t="s">
        <v>8</v>
      </c>
      <c r="L60" s="151" t="s">
        <v>8</v>
      </c>
      <c r="M60" s="151" t="s">
        <v>8</v>
      </c>
      <c r="N60" s="151" t="s">
        <v>8</v>
      </c>
      <c r="O60" s="100">
        <v>0</v>
      </c>
      <c r="P60" s="100">
        <v>0.27</v>
      </c>
      <c r="Q60" s="100">
        <v>10.06</v>
      </c>
      <c r="R60" s="6"/>
      <c r="S60" s="6"/>
      <c r="T60" s="156"/>
      <c r="U60" s="6"/>
    </row>
    <row r="61" spans="1:21" customFormat="1">
      <c r="A61" s="201" t="s">
        <v>2117</v>
      </c>
      <c r="B61" s="100">
        <v>2.5299999999999998</v>
      </c>
      <c r="C61" s="100">
        <v>5.49</v>
      </c>
      <c r="D61" s="100">
        <v>8.02</v>
      </c>
      <c r="E61" s="100">
        <v>5.49</v>
      </c>
      <c r="F61" s="100">
        <v>2</v>
      </c>
      <c r="G61" s="100">
        <v>44.39</v>
      </c>
      <c r="H61" s="100">
        <v>17.21</v>
      </c>
      <c r="I61" s="100">
        <v>4.8899999999999997</v>
      </c>
      <c r="J61" s="151" t="s">
        <v>8</v>
      </c>
      <c r="K61" s="151" t="s">
        <v>8</v>
      </c>
      <c r="L61" s="151" t="s">
        <v>8</v>
      </c>
      <c r="M61" s="151" t="s">
        <v>8</v>
      </c>
      <c r="N61" s="151" t="s">
        <v>8</v>
      </c>
      <c r="O61" s="100">
        <v>0</v>
      </c>
      <c r="P61" s="100">
        <v>0.24</v>
      </c>
      <c r="Q61" s="100">
        <v>10</v>
      </c>
      <c r="R61" s="6"/>
      <c r="S61" s="6"/>
      <c r="T61" s="156"/>
      <c r="U61" s="6"/>
    </row>
    <row r="62" spans="1:21" customFormat="1">
      <c r="A62" s="201" t="s">
        <v>2118</v>
      </c>
      <c r="B62" s="100">
        <v>2.56</v>
      </c>
      <c r="C62" s="100">
        <v>5.41</v>
      </c>
      <c r="D62" s="100">
        <v>7.97</v>
      </c>
      <c r="E62" s="100">
        <v>5.32</v>
      </c>
      <c r="F62" s="100">
        <v>2</v>
      </c>
      <c r="G62" s="100">
        <v>44.95</v>
      </c>
      <c r="H62" s="100">
        <v>19.489999999999998</v>
      </c>
      <c r="I62" s="100">
        <v>4.92</v>
      </c>
      <c r="J62" s="151" t="s">
        <v>8</v>
      </c>
      <c r="K62" s="151" t="s">
        <v>8</v>
      </c>
      <c r="L62" s="151" t="s">
        <v>8</v>
      </c>
      <c r="M62" s="151" t="s">
        <v>8</v>
      </c>
      <c r="N62" s="151" t="s">
        <v>8</v>
      </c>
      <c r="O62" s="100">
        <v>0</v>
      </c>
      <c r="P62" s="100">
        <v>0.23</v>
      </c>
      <c r="Q62" s="100">
        <v>9.8800000000000008</v>
      </c>
      <c r="R62" s="6"/>
      <c r="S62" s="6"/>
      <c r="T62" s="156"/>
      <c r="U62" s="6"/>
    </row>
    <row r="63" spans="1:21" customFormat="1">
      <c r="A63" s="201" t="s">
        <v>2119</v>
      </c>
      <c r="B63" s="100">
        <v>2.59</v>
      </c>
      <c r="C63" s="100">
        <v>5.33</v>
      </c>
      <c r="D63" s="100">
        <v>7.93</v>
      </c>
      <c r="E63" s="100">
        <v>4.8600000000000003</v>
      </c>
      <c r="F63" s="100">
        <v>2</v>
      </c>
      <c r="G63" s="100">
        <v>46.25</v>
      </c>
      <c r="H63" s="100">
        <v>23.01</v>
      </c>
      <c r="I63" s="100">
        <v>4.9000000000000004</v>
      </c>
      <c r="J63" s="151" t="s">
        <v>8</v>
      </c>
      <c r="K63" s="151" t="s">
        <v>8</v>
      </c>
      <c r="L63" s="151" t="s">
        <v>8</v>
      </c>
      <c r="M63" s="151" t="s">
        <v>8</v>
      </c>
      <c r="N63" s="151" t="s">
        <v>8</v>
      </c>
      <c r="O63" s="100">
        <v>0</v>
      </c>
      <c r="P63" s="100">
        <v>0.21</v>
      </c>
      <c r="Q63" s="100">
        <v>10</v>
      </c>
      <c r="R63" s="6"/>
      <c r="S63" s="6"/>
      <c r="T63" s="156"/>
      <c r="U63" s="6"/>
    </row>
    <row r="64" spans="1:21" customFormat="1">
      <c r="A64" s="201" t="s">
        <v>2120</v>
      </c>
      <c r="B64" s="100">
        <v>2.63</v>
      </c>
      <c r="C64" s="100">
        <v>5.17</v>
      </c>
      <c r="D64" s="100">
        <v>7.79</v>
      </c>
      <c r="E64" s="100">
        <v>4.91</v>
      </c>
      <c r="F64" s="100">
        <v>2</v>
      </c>
      <c r="G64" s="100">
        <v>46.25</v>
      </c>
      <c r="H64" s="100">
        <v>23.01</v>
      </c>
      <c r="I64" s="100">
        <v>4.91</v>
      </c>
      <c r="J64" s="151" t="s">
        <v>8</v>
      </c>
      <c r="K64" s="151" t="s">
        <v>8</v>
      </c>
      <c r="L64" s="151" t="s">
        <v>8</v>
      </c>
      <c r="M64" s="151" t="s">
        <v>8</v>
      </c>
      <c r="N64" s="151" t="s">
        <v>8</v>
      </c>
      <c r="O64" s="100">
        <v>0</v>
      </c>
      <c r="P64" s="100">
        <v>0.21</v>
      </c>
      <c r="Q64" s="100">
        <v>11.07</v>
      </c>
      <c r="R64" s="6"/>
      <c r="S64" s="6"/>
      <c r="T64" s="156"/>
      <c r="U64" s="6"/>
    </row>
    <row r="65" spans="1:21" customFormat="1">
      <c r="A65" s="201" t="s">
        <v>2121</v>
      </c>
      <c r="B65" s="100">
        <v>2.65</v>
      </c>
      <c r="C65" s="100">
        <v>5.15</v>
      </c>
      <c r="D65" s="100">
        <v>7.8</v>
      </c>
      <c r="E65" s="100">
        <v>4.76</v>
      </c>
      <c r="F65" s="100">
        <v>2</v>
      </c>
      <c r="G65" s="100">
        <v>46.25</v>
      </c>
      <c r="H65" s="100">
        <v>23.01</v>
      </c>
      <c r="I65" s="100">
        <v>4.88</v>
      </c>
      <c r="J65" s="151" t="s">
        <v>8</v>
      </c>
      <c r="K65" s="151" t="s">
        <v>8</v>
      </c>
      <c r="L65" s="151" t="s">
        <v>8</v>
      </c>
      <c r="M65" s="151" t="s">
        <v>8</v>
      </c>
      <c r="N65" s="151" t="s">
        <v>8</v>
      </c>
      <c r="O65" s="100">
        <v>0</v>
      </c>
      <c r="P65" s="100">
        <v>0.24</v>
      </c>
      <c r="Q65" s="100">
        <v>10.56</v>
      </c>
      <c r="R65" s="6"/>
      <c r="S65" s="6"/>
      <c r="T65" s="156"/>
      <c r="U65" s="6"/>
    </row>
    <row r="66" spans="1:21" customFormat="1">
      <c r="A66" s="201" t="s">
        <v>2122</v>
      </c>
      <c r="B66" s="100">
        <v>2.67</v>
      </c>
      <c r="C66" s="100">
        <v>5.04</v>
      </c>
      <c r="D66" s="100">
        <v>7.72</v>
      </c>
      <c r="E66" s="100">
        <v>4.72</v>
      </c>
      <c r="F66" s="100">
        <v>2.02</v>
      </c>
      <c r="G66" s="100">
        <v>45.7</v>
      </c>
      <c r="H66" s="100">
        <v>23.15</v>
      </c>
      <c r="I66" s="100">
        <v>4.9000000000000004</v>
      </c>
      <c r="J66" s="151" t="s">
        <v>8</v>
      </c>
      <c r="K66" s="151" t="s">
        <v>8</v>
      </c>
      <c r="L66" s="151" t="s">
        <v>8</v>
      </c>
      <c r="M66" s="151" t="s">
        <v>8</v>
      </c>
      <c r="N66" s="151" t="s">
        <v>8</v>
      </c>
      <c r="O66" s="100">
        <v>0</v>
      </c>
      <c r="P66" s="100">
        <v>0.25</v>
      </c>
      <c r="Q66" s="100">
        <v>9.83</v>
      </c>
      <c r="R66" s="6"/>
      <c r="S66" s="6"/>
      <c r="T66" s="156"/>
      <c r="U66" s="6"/>
    </row>
    <row r="67" spans="1:21" customFormat="1">
      <c r="A67" s="201" t="s">
        <v>2123</v>
      </c>
      <c r="B67" s="100">
        <v>2.68</v>
      </c>
      <c r="C67" s="100">
        <v>5.07</v>
      </c>
      <c r="D67" s="100">
        <v>7.75</v>
      </c>
      <c r="E67" s="100">
        <v>4.53</v>
      </c>
      <c r="F67" s="100">
        <v>2.48</v>
      </c>
      <c r="G67" s="100">
        <v>44.43</v>
      </c>
      <c r="H67" s="100">
        <v>23.73</v>
      </c>
      <c r="I67" s="100">
        <v>5.01</v>
      </c>
      <c r="J67" s="151" t="s">
        <v>8</v>
      </c>
      <c r="K67" s="151" t="s">
        <v>8</v>
      </c>
      <c r="L67" s="151" t="s">
        <v>8</v>
      </c>
      <c r="M67" s="151" t="s">
        <v>8</v>
      </c>
      <c r="N67" s="151" t="s">
        <v>8</v>
      </c>
      <c r="O67" s="100">
        <v>0</v>
      </c>
      <c r="P67" s="100">
        <v>0.23</v>
      </c>
      <c r="Q67" s="100">
        <v>10.36</v>
      </c>
      <c r="R67" s="6"/>
      <c r="S67" s="6"/>
      <c r="T67" s="156"/>
      <c r="U67" s="6"/>
    </row>
    <row r="68" spans="1:21" customFormat="1">
      <c r="A68" s="201" t="s">
        <v>2124</v>
      </c>
      <c r="B68" s="100">
        <v>2.78</v>
      </c>
      <c r="C68" s="100">
        <v>5.26</v>
      </c>
      <c r="D68" s="100">
        <v>8.0399999999999991</v>
      </c>
      <c r="E68" s="100">
        <v>4.8899999999999997</v>
      </c>
      <c r="F68" s="100">
        <v>2.09</v>
      </c>
      <c r="G68" s="100">
        <v>44.43</v>
      </c>
      <c r="H68" s="100">
        <v>23.73</v>
      </c>
      <c r="I68" s="100">
        <v>5.07</v>
      </c>
      <c r="J68" s="151" t="s">
        <v>8</v>
      </c>
      <c r="K68" s="151" t="s">
        <v>8</v>
      </c>
      <c r="L68" s="151" t="s">
        <v>8</v>
      </c>
      <c r="M68" s="151" t="s">
        <v>8</v>
      </c>
      <c r="N68" s="151" t="s">
        <v>8</v>
      </c>
      <c r="O68" s="100">
        <v>0</v>
      </c>
      <c r="P68" s="100">
        <v>0.26</v>
      </c>
      <c r="Q68" s="100">
        <v>9.6</v>
      </c>
      <c r="R68" s="6"/>
      <c r="S68" s="6"/>
      <c r="T68" s="156"/>
      <c r="U68" s="6"/>
    </row>
    <row r="69" spans="1:21" customFormat="1">
      <c r="A69" s="201" t="s">
        <v>2125</v>
      </c>
      <c r="B69" s="100">
        <v>2.89</v>
      </c>
      <c r="C69" s="100">
        <v>5.18</v>
      </c>
      <c r="D69" s="100">
        <v>8.07</v>
      </c>
      <c r="E69" s="100">
        <v>4.99</v>
      </c>
      <c r="F69" s="100">
        <v>2</v>
      </c>
      <c r="G69" s="100">
        <v>44.43</v>
      </c>
      <c r="H69" s="100">
        <v>23.73</v>
      </c>
      <c r="I69" s="100">
        <v>4.96</v>
      </c>
      <c r="J69" s="151" t="s">
        <v>8</v>
      </c>
      <c r="K69" s="151" t="s">
        <v>8</v>
      </c>
      <c r="L69" s="151" t="s">
        <v>8</v>
      </c>
      <c r="M69" s="151" t="s">
        <v>8</v>
      </c>
      <c r="N69" s="151" t="s">
        <v>8</v>
      </c>
      <c r="O69" s="100">
        <v>0</v>
      </c>
      <c r="P69" s="100">
        <v>0.25</v>
      </c>
      <c r="Q69" s="100">
        <v>9.8000000000000007</v>
      </c>
      <c r="R69" s="6"/>
      <c r="S69" s="6"/>
      <c r="T69" s="156"/>
      <c r="U69" s="6"/>
    </row>
    <row r="70" spans="1:21" customFormat="1">
      <c r="A70" s="201" t="s">
        <v>2126</v>
      </c>
      <c r="B70" s="100">
        <v>2.96</v>
      </c>
      <c r="C70" s="100">
        <v>5.12</v>
      </c>
      <c r="D70" s="100">
        <v>8.08</v>
      </c>
      <c r="E70" s="100">
        <v>4.71</v>
      </c>
      <c r="F70" s="100">
        <v>2.21</v>
      </c>
      <c r="G70" s="100">
        <v>42.49</v>
      </c>
      <c r="H70" s="100">
        <v>23.51</v>
      </c>
      <c r="I70" s="100">
        <v>5.05</v>
      </c>
      <c r="J70" s="151" t="s">
        <v>8</v>
      </c>
      <c r="K70" s="151" t="s">
        <v>8</v>
      </c>
      <c r="L70" s="151" t="s">
        <v>8</v>
      </c>
      <c r="M70" s="151" t="s">
        <v>8</v>
      </c>
      <c r="N70" s="151" t="s">
        <v>8</v>
      </c>
      <c r="O70" s="100">
        <v>0</v>
      </c>
      <c r="P70" s="100">
        <v>0.24</v>
      </c>
      <c r="Q70" s="100">
        <v>10.18</v>
      </c>
      <c r="R70" s="6"/>
      <c r="S70" s="6"/>
      <c r="T70" s="156"/>
      <c r="U70" s="6"/>
    </row>
    <row r="71" spans="1:21" customFormat="1">
      <c r="A71" s="201" t="s">
        <v>2127</v>
      </c>
      <c r="B71" s="100">
        <v>3.05</v>
      </c>
      <c r="C71" s="100">
        <v>5.25</v>
      </c>
      <c r="D71" s="100">
        <v>8.2899999999999991</v>
      </c>
      <c r="E71" s="100">
        <v>4.95</v>
      </c>
      <c r="F71" s="100">
        <v>2</v>
      </c>
      <c r="G71" s="100">
        <v>37.96</v>
      </c>
      <c r="H71" s="100">
        <v>23.16</v>
      </c>
      <c r="I71" s="100">
        <v>5.05</v>
      </c>
      <c r="J71" s="151" t="s">
        <v>8</v>
      </c>
      <c r="K71" s="151" t="s">
        <v>8</v>
      </c>
      <c r="L71" s="151" t="s">
        <v>8</v>
      </c>
      <c r="M71" s="151" t="s">
        <v>8</v>
      </c>
      <c r="N71" s="151" t="s">
        <v>8</v>
      </c>
      <c r="O71" s="100">
        <v>0</v>
      </c>
      <c r="P71" s="100">
        <v>0.26</v>
      </c>
      <c r="Q71" s="100">
        <v>10.06</v>
      </c>
      <c r="R71" s="6"/>
      <c r="S71" s="6"/>
      <c r="T71" s="156"/>
      <c r="U71" s="6"/>
    </row>
    <row r="72" spans="1:21" customFormat="1">
      <c r="A72" s="201" t="s">
        <v>2128</v>
      </c>
      <c r="B72" s="100">
        <v>3.16</v>
      </c>
      <c r="C72" s="100">
        <v>5.29</v>
      </c>
      <c r="D72" s="100">
        <v>8.4499999999999993</v>
      </c>
      <c r="E72" s="100">
        <v>5.25</v>
      </c>
      <c r="F72" s="100">
        <v>2</v>
      </c>
      <c r="G72" s="100">
        <v>37.96</v>
      </c>
      <c r="H72" s="100">
        <v>23.16</v>
      </c>
      <c r="I72" s="100">
        <v>4.99</v>
      </c>
      <c r="J72" s="151" t="s">
        <v>8</v>
      </c>
      <c r="K72" s="151" t="s">
        <v>8</v>
      </c>
      <c r="L72" s="151" t="s">
        <v>8</v>
      </c>
      <c r="M72" s="151" t="s">
        <v>8</v>
      </c>
      <c r="N72" s="151" t="s">
        <v>8</v>
      </c>
      <c r="O72" s="100">
        <v>0</v>
      </c>
      <c r="P72" s="100">
        <v>0.26</v>
      </c>
      <c r="Q72" s="100">
        <v>10.050000000000001</v>
      </c>
      <c r="R72" s="6"/>
      <c r="S72" s="6"/>
      <c r="T72" s="156"/>
      <c r="U72" s="6"/>
    </row>
    <row r="73" spans="1:21" customFormat="1">
      <c r="A73" s="201" t="s">
        <v>2129</v>
      </c>
      <c r="B73" s="100">
        <v>3.15</v>
      </c>
      <c r="C73" s="100">
        <v>5.14</v>
      </c>
      <c r="D73" s="100">
        <v>8.2899999999999991</v>
      </c>
      <c r="E73" s="100">
        <v>5.18</v>
      </c>
      <c r="F73" s="100">
        <v>2</v>
      </c>
      <c r="G73" s="100">
        <v>37.96</v>
      </c>
      <c r="H73" s="100">
        <v>23.16</v>
      </c>
      <c r="I73" s="100">
        <v>5.0599999999999996</v>
      </c>
      <c r="J73" s="151" t="s">
        <v>8</v>
      </c>
      <c r="K73" s="151" t="s">
        <v>8</v>
      </c>
      <c r="L73" s="151" t="s">
        <v>8</v>
      </c>
      <c r="M73" s="151" t="s">
        <v>8</v>
      </c>
      <c r="N73" s="151" t="s">
        <v>8</v>
      </c>
      <c r="O73" s="100">
        <v>0</v>
      </c>
      <c r="P73" s="100">
        <v>0.25</v>
      </c>
      <c r="Q73" s="100">
        <v>10.25</v>
      </c>
      <c r="R73" s="6"/>
      <c r="S73" s="6"/>
      <c r="T73" s="156"/>
      <c r="U73" s="6"/>
    </row>
    <row r="74" spans="1:21" customFormat="1">
      <c r="A74" s="201" t="s">
        <v>2130</v>
      </c>
      <c r="B74" s="100">
        <v>3.14</v>
      </c>
      <c r="C74" s="100">
        <v>5.05</v>
      </c>
      <c r="D74" s="100">
        <v>8.19</v>
      </c>
      <c r="E74" s="100">
        <v>4.78</v>
      </c>
      <c r="F74" s="100">
        <v>2</v>
      </c>
      <c r="G74" s="100">
        <v>36.909999999999997</v>
      </c>
      <c r="H74" s="100">
        <v>23.98</v>
      </c>
      <c r="I74" s="100">
        <v>5.09</v>
      </c>
      <c r="J74" s="151" t="s">
        <v>8</v>
      </c>
      <c r="K74" s="151" t="s">
        <v>8</v>
      </c>
      <c r="L74" s="151" t="s">
        <v>8</v>
      </c>
      <c r="M74" s="151" t="s">
        <v>8</v>
      </c>
      <c r="N74" s="151" t="s">
        <v>8</v>
      </c>
      <c r="O74" s="100">
        <v>0</v>
      </c>
      <c r="P74" s="100">
        <v>0.24</v>
      </c>
      <c r="Q74" s="100">
        <v>9.66</v>
      </c>
      <c r="R74" s="6"/>
      <c r="S74" s="6"/>
      <c r="T74" s="156"/>
      <c r="U74" s="6"/>
    </row>
    <row r="75" spans="1:21" customFormat="1">
      <c r="A75" s="201" t="s">
        <v>2131</v>
      </c>
      <c r="B75" s="100">
        <v>3.22</v>
      </c>
      <c r="C75" s="100">
        <v>5.12</v>
      </c>
      <c r="D75" s="100">
        <v>8.34</v>
      </c>
      <c r="E75" s="100">
        <v>4.76</v>
      </c>
      <c r="F75" s="100">
        <v>2</v>
      </c>
      <c r="G75" s="100">
        <v>34.44</v>
      </c>
      <c r="H75" s="100">
        <v>25.24</v>
      </c>
      <c r="I75" s="100">
        <v>5.07</v>
      </c>
      <c r="J75" s="151" t="s">
        <v>8</v>
      </c>
      <c r="K75" s="151" t="s">
        <v>8</v>
      </c>
      <c r="L75" s="151" t="s">
        <v>8</v>
      </c>
      <c r="M75" s="151" t="s">
        <v>8</v>
      </c>
      <c r="N75" s="151" t="s">
        <v>8</v>
      </c>
      <c r="O75" s="100">
        <v>0</v>
      </c>
      <c r="P75" s="100">
        <v>0.24</v>
      </c>
      <c r="Q75" s="100">
        <v>11.58</v>
      </c>
      <c r="R75" s="6"/>
      <c r="S75" s="6"/>
      <c r="T75" s="156"/>
      <c r="U75" s="6"/>
    </row>
    <row r="76" spans="1:21" customFormat="1">
      <c r="A76" s="201" t="s">
        <v>2132</v>
      </c>
      <c r="B76" s="100">
        <v>3.37</v>
      </c>
      <c r="C76" s="100">
        <v>5.38</v>
      </c>
      <c r="D76" s="100">
        <v>8.75</v>
      </c>
      <c r="E76" s="100">
        <v>4.9000000000000004</v>
      </c>
      <c r="F76" s="100">
        <v>2</v>
      </c>
      <c r="G76" s="100">
        <v>34.44</v>
      </c>
      <c r="H76" s="100">
        <v>25.24</v>
      </c>
      <c r="I76" s="100">
        <v>5.0599999999999996</v>
      </c>
      <c r="J76" s="151" t="s">
        <v>8</v>
      </c>
      <c r="K76" s="151" t="s">
        <v>8</v>
      </c>
      <c r="L76" s="151" t="s">
        <v>8</v>
      </c>
      <c r="M76" s="151" t="s">
        <v>8</v>
      </c>
      <c r="N76" s="151" t="s">
        <v>8</v>
      </c>
      <c r="O76" s="100">
        <v>0</v>
      </c>
      <c r="P76" s="100">
        <v>0.26</v>
      </c>
      <c r="Q76" s="100">
        <v>10</v>
      </c>
      <c r="R76" s="6"/>
      <c r="S76" s="6"/>
      <c r="T76" s="156"/>
      <c r="U76" s="6"/>
    </row>
    <row r="77" spans="1:21" customFormat="1">
      <c r="A77" s="201" t="s">
        <v>2133</v>
      </c>
      <c r="B77" s="100">
        <v>3.51</v>
      </c>
      <c r="C77" s="100">
        <v>5.4</v>
      </c>
      <c r="D77" s="100">
        <v>8.91</v>
      </c>
      <c r="E77" s="100">
        <v>4.9400000000000004</v>
      </c>
      <c r="F77" s="100">
        <v>2</v>
      </c>
      <c r="G77" s="100">
        <v>34.44</v>
      </c>
      <c r="H77" s="100">
        <v>25.24</v>
      </c>
      <c r="I77" s="100">
        <v>5</v>
      </c>
      <c r="J77" s="151" t="s">
        <v>8</v>
      </c>
      <c r="K77" s="151" t="s">
        <v>8</v>
      </c>
      <c r="L77" s="151" t="s">
        <v>8</v>
      </c>
      <c r="M77" s="151" t="s">
        <v>8</v>
      </c>
      <c r="N77" s="151" t="s">
        <v>8</v>
      </c>
      <c r="O77" s="100">
        <v>0</v>
      </c>
      <c r="P77" s="100">
        <v>0.26</v>
      </c>
      <c r="Q77" s="100">
        <v>11.03</v>
      </c>
      <c r="R77" s="6"/>
      <c r="S77" s="6"/>
      <c r="T77" s="156"/>
      <c r="U77" s="6"/>
    </row>
    <row r="78" spans="1:21" customFormat="1">
      <c r="A78" s="201" t="s">
        <v>2134</v>
      </c>
      <c r="B78" s="100">
        <v>3.68</v>
      </c>
      <c r="C78" s="100">
        <v>5.41</v>
      </c>
      <c r="D78" s="100">
        <v>9.08</v>
      </c>
      <c r="E78" s="100">
        <v>4.78</v>
      </c>
      <c r="F78" s="100">
        <v>2</v>
      </c>
      <c r="G78" s="100">
        <v>43.8</v>
      </c>
      <c r="H78" s="100">
        <v>25.42</v>
      </c>
      <c r="I78" s="100">
        <v>5.0999999999999996</v>
      </c>
      <c r="J78" s="151" t="s">
        <v>8</v>
      </c>
      <c r="K78" s="151" t="s">
        <v>8</v>
      </c>
      <c r="L78" s="151" t="s">
        <v>8</v>
      </c>
      <c r="M78" s="151" t="s">
        <v>8</v>
      </c>
      <c r="N78" s="151" t="s">
        <v>8</v>
      </c>
      <c r="O78" s="100">
        <v>0</v>
      </c>
      <c r="P78" s="100">
        <v>0.26</v>
      </c>
      <c r="Q78" s="100">
        <v>10.07</v>
      </c>
      <c r="R78" s="6"/>
      <c r="S78" s="6"/>
      <c r="T78" s="156"/>
      <c r="U78" s="6"/>
    </row>
    <row r="79" spans="1:21" customFormat="1">
      <c r="A79" s="201" t="s">
        <v>2135</v>
      </c>
      <c r="B79" s="100">
        <v>3.81</v>
      </c>
      <c r="C79" s="100">
        <v>5.47</v>
      </c>
      <c r="D79" s="100">
        <v>9.2799999999999994</v>
      </c>
      <c r="E79" s="100">
        <v>4.76</v>
      </c>
      <c r="F79" s="100">
        <v>2</v>
      </c>
      <c r="G79" s="100">
        <v>65.63</v>
      </c>
      <c r="H79" s="100">
        <v>25.71</v>
      </c>
      <c r="I79" s="100">
        <v>5.17</v>
      </c>
      <c r="J79" s="151" t="s">
        <v>8</v>
      </c>
      <c r="K79" s="151" t="s">
        <v>8</v>
      </c>
      <c r="L79" s="151" t="s">
        <v>8</v>
      </c>
      <c r="M79" s="151" t="s">
        <v>8</v>
      </c>
      <c r="N79" s="151" t="s">
        <v>8</v>
      </c>
      <c r="O79" s="100">
        <v>0</v>
      </c>
      <c r="P79" s="100">
        <v>0.28000000000000003</v>
      </c>
      <c r="Q79" s="100">
        <v>11.88</v>
      </c>
      <c r="R79" s="6"/>
      <c r="S79" s="6"/>
      <c r="T79" s="156"/>
      <c r="U79" s="6"/>
    </row>
    <row r="80" spans="1:21" customFormat="1">
      <c r="A80" s="201" t="s">
        <v>2136</v>
      </c>
      <c r="B80" s="100">
        <v>4.08</v>
      </c>
      <c r="C80" s="100">
        <v>5.96</v>
      </c>
      <c r="D80" s="100">
        <v>10.039999999999999</v>
      </c>
      <c r="E80" s="100">
        <v>4.8600000000000003</v>
      </c>
      <c r="F80" s="100">
        <v>2.0299999999999998</v>
      </c>
      <c r="G80" s="100">
        <v>65.63</v>
      </c>
      <c r="H80" s="100">
        <v>25.71</v>
      </c>
      <c r="I80" s="100">
        <v>5.28</v>
      </c>
      <c r="J80" s="151" t="s">
        <v>8</v>
      </c>
      <c r="K80" s="151" t="s">
        <v>8</v>
      </c>
      <c r="L80" s="151" t="s">
        <v>8</v>
      </c>
      <c r="M80" s="151" t="s">
        <v>8</v>
      </c>
      <c r="N80" s="151" t="s">
        <v>8</v>
      </c>
      <c r="O80" s="100">
        <v>0</v>
      </c>
      <c r="P80" s="100">
        <v>0.33</v>
      </c>
      <c r="Q80" s="100">
        <v>10</v>
      </c>
      <c r="R80" s="6"/>
      <c r="S80" s="6"/>
      <c r="T80" s="156"/>
      <c r="U80" s="6"/>
    </row>
    <row r="81" spans="1:21" customFormat="1">
      <c r="A81" s="201" t="s">
        <v>2137</v>
      </c>
      <c r="B81" s="100">
        <v>4.62</v>
      </c>
      <c r="C81" s="100">
        <v>6.36</v>
      </c>
      <c r="D81" s="100">
        <v>10.98</v>
      </c>
      <c r="E81" s="100">
        <v>4.0199999999999996</v>
      </c>
      <c r="F81" s="100">
        <v>2</v>
      </c>
      <c r="G81" s="100">
        <v>65.63</v>
      </c>
      <c r="H81" s="100">
        <v>25.71</v>
      </c>
      <c r="I81" s="100">
        <v>5.22</v>
      </c>
      <c r="J81" s="151" t="s">
        <v>8</v>
      </c>
      <c r="K81" s="151" t="s">
        <v>8</v>
      </c>
      <c r="L81" s="151" t="s">
        <v>8</v>
      </c>
      <c r="M81" s="151" t="s">
        <v>8</v>
      </c>
      <c r="N81" s="151" t="s">
        <v>8</v>
      </c>
      <c r="O81" s="100">
        <v>0</v>
      </c>
      <c r="P81" s="100">
        <v>0.37</v>
      </c>
      <c r="Q81" s="100">
        <v>10.49</v>
      </c>
      <c r="R81" s="6"/>
      <c r="S81" s="6"/>
      <c r="T81" s="156"/>
      <c r="U81" s="6"/>
    </row>
    <row r="82" spans="1:21" customFormat="1">
      <c r="A82" s="201" t="s">
        <v>2138</v>
      </c>
      <c r="B82" s="100">
        <v>4.91</v>
      </c>
      <c r="C82" s="100">
        <v>6.58</v>
      </c>
      <c r="D82" s="100">
        <v>11.49</v>
      </c>
      <c r="E82" s="100">
        <v>5.26</v>
      </c>
      <c r="F82" s="100">
        <v>2.0099999999999998</v>
      </c>
      <c r="G82" s="100">
        <v>70.52</v>
      </c>
      <c r="H82" s="100">
        <v>25.94</v>
      </c>
      <c r="I82" s="100">
        <v>5.42</v>
      </c>
      <c r="J82" s="151" t="s">
        <v>8</v>
      </c>
      <c r="K82" s="151" t="s">
        <v>8</v>
      </c>
      <c r="L82" s="151" t="s">
        <v>8</v>
      </c>
      <c r="M82" s="151" t="s">
        <v>8</v>
      </c>
      <c r="N82" s="151" t="s">
        <v>8</v>
      </c>
      <c r="O82" s="100">
        <v>0</v>
      </c>
      <c r="P82" s="100">
        <v>0.39</v>
      </c>
      <c r="Q82" s="100">
        <v>10.73</v>
      </c>
      <c r="R82" s="6"/>
      <c r="S82" s="6"/>
      <c r="T82" s="156"/>
      <c r="U82" s="6"/>
    </row>
    <row r="83" spans="1:21" customFormat="1">
      <c r="A83" s="201" t="s">
        <v>2139</v>
      </c>
      <c r="B83" s="100">
        <v>5.34</v>
      </c>
      <c r="C83" s="100">
        <v>6.67</v>
      </c>
      <c r="D83" s="100">
        <v>12.01</v>
      </c>
      <c r="E83" s="100">
        <v>5.33</v>
      </c>
      <c r="F83" s="100">
        <v>2</v>
      </c>
      <c r="G83" s="100">
        <v>81.92</v>
      </c>
      <c r="H83" s="100">
        <v>26.87</v>
      </c>
      <c r="I83" s="100">
        <v>5.58</v>
      </c>
      <c r="J83" s="151" t="s">
        <v>8</v>
      </c>
      <c r="K83" s="151" t="s">
        <v>8</v>
      </c>
      <c r="L83" s="151" t="s">
        <v>8</v>
      </c>
      <c r="M83" s="151" t="s">
        <v>8</v>
      </c>
      <c r="N83" s="151" t="s">
        <v>8</v>
      </c>
      <c r="O83" s="100">
        <v>0</v>
      </c>
      <c r="P83" s="100">
        <v>0.41</v>
      </c>
      <c r="Q83" s="100">
        <v>10.38</v>
      </c>
      <c r="R83" s="6"/>
      <c r="S83" s="6"/>
      <c r="T83" s="156"/>
      <c r="U83" s="6"/>
    </row>
    <row r="84" spans="1:21" customFormat="1">
      <c r="A84" s="201" t="s">
        <v>2140</v>
      </c>
      <c r="B84" s="100">
        <v>5.66</v>
      </c>
      <c r="C84" s="100">
        <v>6.69</v>
      </c>
      <c r="D84" s="100">
        <v>12.35</v>
      </c>
      <c r="E84" s="100">
        <v>5.49</v>
      </c>
      <c r="F84" s="100">
        <v>2</v>
      </c>
      <c r="G84" s="100">
        <v>81.92</v>
      </c>
      <c r="H84" s="100">
        <v>26.87</v>
      </c>
      <c r="I84" s="100">
        <v>5.86</v>
      </c>
      <c r="J84" s="151" t="s">
        <v>8</v>
      </c>
      <c r="K84" s="151" t="s">
        <v>8</v>
      </c>
      <c r="L84" s="151" t="s">
        <v>8</v>
      </c>
      <c r="M84" s="151" t="s">
        <v>8</v>
      </c>
      <c r="N84" s="151" t="s">
        <v>8</v>
      </c>
      <c r="O84" s="100">
        <v>0</v>
      </c>
      <c r="P84" s="100">
        <v>0.43</v>
      </c>
      <c r="Q84" s="100">
        <v>9.93</v>
      </c>
      <c r="R84" s="6"/>
      <c r="S84" s="6"/>
      <c r="T84" s="156"/>
      <c r="U84" s="6"/>
    </row>
    <row r="85" spans="1:21" customFormat="1">
      <c r="A85" s="201" t="s">
        <v>2141</v>
      </c>
      <c r="B85" s="100">
        <v>6.1</v>
      </c>
      <c r="C85" s="100">
        <v>6.76</v>
      </c>
      <c r="D85" s="100">
        <v>12.86</v>
      </c>
      <c r="E85" s="100">
        <v>5.73</v>
      </c>
      <c r="F85" s="100">
        <v>2</v>
      </c>
      <c r="G85" s="100">
        <v>81.92</v>
      </c>
      <c r="H85" s="100">
        <v>26.87</v>
      </c>
      <c r="I85" s="100">
        <v>5.93</v>
      </c>
      <c r="J85" s="151" t="s">
        <v>8</v>
      </c>
      <c r="K85" s="151" t="s">
        <v>8</v>
      </c>
      <c r="L85" s="151" t="s">
        <v>8</v>
      </c>
      <c r="M85" s="151" t="s">
        <v>8</v>
      </c>
      <c r="N85" s="151" t="s">
        <v>8</v>
      </c>
      <c r="O85" s="100">
        <v>0</v>
      </c>
      <c r="P85" s="100">
        <v>0.46</v>
      </c>
      <c r="Q85" s="100">
        <v>9.6199999999999992</v>
      </c>
      <c r="R85" s="6"/>
      <c r="S85" s="6"/>
      <c r="T85" s="156"/>
      <c r="U85" s="6"/>
    </row>
    <row r="86" spans="1:21" customFormat="1">
      <c r="A86" s="201" t="s">
        <v>2142</v>
      </c>
      <c r="B86" s="100">
        <v>7.29</v>
      </c>
      <c r="C86" s="100">
        <v>6.99</v>
      </c>
      <c r="D86" s="100">
        <v>14.28</v>
      </c>
      <c r="E86" s="100">
        <v>5.84</v>
      </c>
      <c r="F86" s="100">
        <v>2</v>
      </c>
      <c r="G86" s="100">
        <v>88.18</v>
      </c>
      <c r="H86" s="100">
        <v>27.5</v>
      </c>
      <c r="I86" s="100">
        <v>6.13</v>
      </c>
      <c r="J86" s="151" t="s">
        <v>8</v>
      </c>
      <c r="K86" s="151" t="s">
        <v>8</v>
      </c>
      <c r="L86" s="151" t="s">
        <v>8</v>
      </c>
      <c r="M86" s="151" t="s">
        <v>8</v>
      </c>
      <c r="N86" s="151" t="s">
        <v>8</v>
      </c>
      <c r="O86" s="100">
        <v>0</v>
      </c>
      <c r="P86" s="100">
        <v>0.5</v>
      </c>
      <c r="Q86" s="100">
        <v>9.99</v>
      </c>
      <c r="R86" s="6"/>
      <c r="S86" s="6"/>
      <c r="T86" s="156"/>
      <c r="U86" s="6"/>
    </row>
    <row r="87" spans="1:21" customFormat="1">
      <c r="A87" s="201" t="s">
        <v>2143</v>
      </c>
      <c r="B87" s="100">
        <v>7.72</v>
      </c>
      <c r="C87" s="100">
        <v>7.06</v>
      </c>
      <c r="D87" s="100">
        <v>14.78</v>
      </c>
      <c r="E87" s="100">
        <v>5.95</v>
      </c>
      <c r="F87" s="100">
        <v>2</v>
      </c>
      <c r="G87" s="100">
        <v>102.79</v>
      </c>
      <c r="H87" s="100">
        <v>28.46</v>
      </c>
      <c r="I87" s="100">
        <v>6.41</v>
      </c>
      <c r="J87" s="151" t="s">
        <v>8</v>
      </c>
      <c r="K87" s="151" t="s">
        <v>8</v>
      </c>
      <c r="L87" s="151" t="s">
        <v>8</v>
      </c>
      <c r="M87" s="151" t="s">
        <v>8</v>
      </c>
      <c r="N87" s="151" t="s">
        <v>8</v>
      </c>
      <c r="O87" s="100">
        <v>0</v>
      </c>
      <c r="P87" s="100">
        <v>0.5</v>
      </c>
      <c r="Q87" s="100">
        <v>10</v>
      </c>
      <c r="R87" s="6"/>
      <c r="S87" s="6"/>
      <c r="T87" s="156"/>
      <c r="U87" s="6"/>
    </row>
    <row r="88" spans="1:21" customFormat="1">
      <c r="A88" s="201" t="s">
        <v>2144</v>
      </c>
      <c r="B88" s="100">
        <v>7.4</v>
      </c>
      <c r="C88" s="100">
        <v>7.01</v>
      </c>
      <c r="D88" s="100">
        <v>14.41</v>
      </c>
      <c r="E88" s="100">
        <v>5.97</v>
      </c>
      <c r="F88" s="100">
        <v>2</v>
      </c>
      <c r="G88" s="100">
        <v>102.79</v>
      </c>
      <c r="H88" s="100">
        <v>28.46</v>
      </c>
      <c r="I88" s="100">
        <v>6.82</v>
      </c>
      <c r="J88" s="151" t="s">
        <v>8</v>
      </c>
      <c r="K88" s="151" t="s">
        <v>8</v>
      </c>
      <c r="L88" s="151" t="s">
        <v>8</v>
      </c>
      <c r="M88" s="151" t="s">
        <v>8</v>
      </c>
      <c r="N88" s="151" t="s">
        <v>8</v>
      </c>
      <c r="O88" s="100">
        <v>0</v>
      </c>
      <c r="P88" s="100">
        <v>0.49</v>
      </c>
      <c r="Q88" s="100">
        <v>10</v>
      </c>
      <c r="R88" s="6"/>
      <c r="S88" s="6"/>
      <c r="T88" s="156"/>
      <c r="U88" s="6"/>
    </row>
    <row r="89" spans="1:21" customFormat="1">
      <c r="A89" s="201" t="s">
        <v>2145</v>
      </c>
      <c r="B89" s="100">
        <v>7.09</v>
      </c>
      <c r="C89" s="100">
        <v>6.9</v>
      </c>
      <c r="D89" s="100">
        <v>13.99</v>
      </c>
      <c r="E89" s="100">
        <v>6.1</v>
      </c>
      <c r="F89" s="100">
        <v>2</v>
      </c>
      <c r="G89" s="100">
        <v>102.79</v>
      </c>
      <c r="H89" s="100">
        <v>28.46</v>
      </c>
      <c r="I89" s="100">
        <v>6.91</v>
      </c>
      <c r="J89" s="151" t="s">
        <v>8</v>
      </c>
      <c r="K89" s="151" t="s">
        <v>8</v>
      </c>
      <c r="L89" s="151" t="s">
        <v>8</v>
      </c>
      <c r="M89" s="151" t="s">
        <v>8</v>
      </c>
      <c r="N89" s="151" t="s">
        <v>8</v>
      </c>
      <c r="O89" s="100">
        <v>0</v>
      </c>
      <c r="P89" s="100">
        <v>0.49</v>
      </c>
      <c r="Q89" s="100">
        <v>10</v>
      </c>
      <c r="R89" s="6"/>
      <c r="S89" s="6"/>
      <c r="T89" s="156"/>
      <c r="U89" s="6"/>
    </row>
    <row r="90" spans="1:21" customFormat="1">
      <c r="A90" s="201" t="s">
        <v>2146</v>
      </c>
      <c r="B90" s="100">
        <v>6.83</v>
      </c>
      <c r="C90" s="100">
        <v>6.78</v>
      </c>
      <c r="D90" s="100">
        <v>13.61</v>
      </c>
      <c r="E90" s="100">
        <v>5.96</v>
      </c>
      <c r="F90" s="100">
        <v>2</v>
      </c>
      <c r="G90" s="100">
        <v>96.37</v>
      </c>
      <c r="H90" s="100">
        <v>26.46</v>
      </c>
      <c r="I90" s="100">
        <v>6.91</v>
      </c>
      <c r="J90" s="151" t="s">
        <v>8</v>
      </c>
      <c r="K90" s="151" t="s">
        <v>8</v>
      </c>
      <c r="L90" s="151" t="s">
        <v>8</v>
      </c>
      <c r="M90" s="151" t="s">
        <v>8</v>
      </c>
      <c r="N90" s="151" t="s">
        <v>8</v>
      </c>
      <c r="O90" s="100">
        <v>0</v>
      </c>
      <c r="P90" s="100">
        <v>0.48</v>
      </c>
      <c r="Q90" s="100">
        <v>10</v>
      </c>
      <c r="R90" s="6"/>
      <c r="S90" s="6"/>
      <c r="T90" s="156"/>
      <c r="U90" s="6"/>
    </row>
    <row r="91" spans="1:21" customFormat="1">
      <c r="A91" s="201" t="s">
        <v>2147</v>
      </c>
      <c r="B91" s="100">
        <v>6.63</v>
      </c>
      <c r="C91" s="100">
        <v>6.68</v>
      </c>
      <c r="D91" s="100">
        <v>13.32</v>
      </c>
      <c r="E91" s="100">
        <v>5.89</v>
      </c>
      <c r="F91" s="100">
        <v>2</v>
      </c>
      <c r="G91" s="100">
        <v>81.41</v>
      </c>
      <c r="H91" s="100">
        <v>23.38</v>
      </c>
      <c r="I91" s="100">
        <v>6.88</v>
      </c>
      <c r="J91" s="151" t="s">
        <v>8</v>
      </c>
      <c r="K91" s="151" t="s">
        <v>8</v>
      </c>
      <c r="L91" s="151" t="s">
        <v>8</v>
      </c>
      <c r="M91" s="151" t="s">
        <v>8</v>
      </c>
      <c r="N91" s="151" t="s">
        <v>8</v>
      </c>
      <c r="O91" s="100">
        <v>0</v>
      </c>
      <c r="P91" s="100">
        <v>0.48</v>
      </c>
      <c r="Q91" s="100">
        <v>10</v>
      </c>
      <c r="R91" s="6"/>
      <c r="S91" s="6"/>
      <c r="T91" s="156"/>
      <c r="U91" s="6"/>
    </row>
    <row r="92" spans="1:21" customFormat="1">
      <c r="A92" s="201" t="s">
        <v>2148</v>
      </c>
      <c r="B92" s="100">
        <v>6.5</v>
      </c>
      <c r="C92" s="100">
        <v>6.64</v>
      </c>
      <c r="D92" s="100">
        <v>13.14</v>
      </c>
      <c r="E92" s="100">
        <v>6.27</v>
      </c>
      <c r="F92" s="100">
        <v>2</v>
      </c>
      <c r="G92" s="100">
        <v>81.41</v>
      </c>
      <c r="H92" s="100">
        <v>23.38</v>
      </c>
      <c r="I92" s="100">
        <v>6.62</v>
      </c>
      <c r="J92" s="151" t="s">
        <v>8</v>
      </c>
      <c r="K92" s="151" t="s">
        <v>8</v>
      </c>
      <c r="L92" s="151" t="s">
        <v>8</v>
      </c>
      <c r="M92" s="151" t="s">
        <v>8</v>
      </c>
      <c r="N92" s="151" t="s">
        <v>8</v>
      </c>
      <c r="O92" s="100">
        <v>0</v>
      </c>
      <c r="P92" s="100">
        <v>0.46</v>
      </c>
      <c r="Q92" s="100">
        <v>11.28</v>
      </c>
      <c r="R92" s="6"/>
      <c r="S92" s="6"/>
      <c r="T92" s="156"/>
      <c r="U92" s="6"/>
    </row>
    <row r="93" spans="1:21" customFormat="1">
      <c r="A93" s="201" t="s">
        <v>2149</v>
      </c>
      <c r="B93" s="100">
        <v>6.35</v>
      </c>
      <c r="C93" s="100">
        <v>6.61</v>
      </c>
      <c r="D93" s="100">
        <v>12.97</v>
      </c>
      <c r="E93" s="100">
        <v>6.24</v>
      </c>
      <c r="F93" s="100">
        <v>2</v>
      </c>
      <c r="G93" s="100">
        <v>81.41</v>
      </c>
      <c r="H93" s="100">
        <v>23.38</v>
      </c>
      <c r="I93" s="100">
        <v>6.69</v>
      </c>
      <c r="J93" s="151" t="s">
        <v>8</v>
      </c>
      <c r="K93" s="151" t="s">
        <v>8</v>
      </c>
      <c r="L93" s="151" t="s">
        <v>8</v>
      </c>
      <c r="M93" s="151" t="s">
        <v>8</v>
      </c>
      <c r="N93" s="151" t="s">
        <v>8</v>
      </c>
      <c r="O93" s="100">
        <v>0</v>
      </c>
      <c r="P93" s="100">
        <v>0.46</v>
      </c>
      <c r="Q93" s="100">
        <v>16.45</v>
      </c>
      <c r="R93" s="6"/>
      <c r="S93" s="6"/>
      <c r="T93" s="156"/>
      <c r="U93" s="6"/>
    </row>
    <row r="94" spans="1:21" customFormat="1">
      <c r="A94" s="201" t="s">
        <v>2150</v>
      </c>
      <c r="B94" s="100">
        <v>6.13</v>
      </c>
      <c r="C94" s="100">
        <v>6.48</v>
      </c>
      <c r="D94" s="100">
        <v>12.61</v>
      </c>
      <c r="E94" s="100">
        <v>5.97</v>
      </c>
      <c r="F94" s="100">
        <v>2</v>
      </c>
      <c r="G94" s="100">
        <v>75.86</v>
      </c>
      <c r="H94" s="100">
        <v>22.02</v>
      </c>
      <c r="I94" s="100">
        <v>6.7</v>
      </c>
      <c r="J94" s="151" t="s">
        <v>8</v>
      </c>
      <c r="K94" s="151" t="s">
        <v>8</v>
      </c>
      <c r="L94" s="151" t="s">
        <v>8</v>
      </c>
      <c r="M94" s="151" t="s">
        <v>8</v>
      </c>
      <c r="N94" s="151" t="s">
        <v>8</v>
      </c>
      <c r="O94" s="100">
        <v>0</v>
      </c>
      <c r="P94" s="100">
        <v>0.45</v>
      </c>
      <c r="Q94" s="100">
        <v>10.43</v>
      </c>
      <c r="R94" s="6"/>
      <c r="S94" s="6"/>
      <c r="T94" s="156"/>
      <c r="U94" s="6"/>
    </row>
    <row r="95" spans="1:21" customFormat="1">
      <c r="A95" s="201" t="s">
        <v>2151</v>
      </c>
      <c r="B95" s="100">
        <v>5.93</v>
      </c>
      <c r="C95" s="100">
        <v>6.25</v>
      </c>
      <c r="D95" s="100">
        <v>12.19</v>
      </c>
      <c r="E95" s="100">
        <v>6.26</v>
      </c>
      <c r="F95" s="100">
        <v>2</v>
      </c>
      <c r="G95" s="100">
        <v>62.91</v>
      </c>
      <c r="H95" s="100">
        <v>19.93</v>
      </c>
      <c r="I95" s="100">
        <v>6.64</v>
      </c>
      <c r="J95" s="151" t="s">
        <v>8</v>
      </c>
      <c r="K95" s="151" t="s">
        <v>8</v>
      </c>
      <c r="L95" s="151" t="s">
        <v>8</v>
      </c>
      <c r="M95" s="151" t="s">
        <v>8</v>
      </c>
      <c r="N95" s="151" t="s">
        <v>8</v>
      </c>
      <c r="O95" s="100">
        <v>0</v>
      </c>
      <c r="P95" s="100">
        <v>0.44</v>
      </c>
      <c r="Q95" s="100">
        <v>12.87</v>
      </c>
      <c r="R95" s="6"/>
      <c r="S95" s="6"/>
      <c r="T95" s="156"/>
      <c r="U95" s="6"/>
    </row>
    <row r="96" spans="1:21" customFormat="1">
      <c r="A96" s="201" t="s">
        <v>2152</v>
      </c>
      <c r="B96" s="100">
        <v>5.69</v>
      </c>
      <c r="C96" s="100">
        <v>6.06</v>
      </c>
      <c r="D96" s="100">
        <v>11.75</v>
      </c>
      <c r="E96" s="100">
        <v>6.38</v>
      </c>
      <c r="F96" s="100">
        <v>2</v>
      </c>
      <c r="G96" s="100">
        <v>62.91</v>
      </c>
      <c r="H96" s="100">
        <v>19.93</v>
      </c>
      <c r="I96" s="100">
        <v>6.52</v>
      </c>
      <c r="J96" s="151" t="s">
        <v>8</v>
      </c>
      <c r="K96" s="151" t="s">
        <v>8</v>
      </c>
      <c r="L96" s="151" t="s">
        <v>8</v>
      </c>
      <c r="M96" s="151" t="s">
        <v>8</v>
      </c>
      <c r="N96" s="151" t="s">
        <v>8</v>
      </c>
      <c r="O96" s="100">
        <v>0</v>
      </c>
      <c r="P96" s="100">
        <v>0.44</v>
      </c>
      <c r="Q96" s="100">
        <v>10</v>
      </c>
      <c r="R96" s="6"/>
      <c r="S96" s="6"/>
      <c r="T96" s="156"/>
      <c r="U96" s="6"/>
    </row>
    <row r="97" spans="1:28" customFormat="1">
      <c r="A97" s="201" t="s">
        <v>2153</v>
      </c>
      <c r="B97" s="100">
        <v>5.68</v>
      </c>
      <c r="C97" s="100">
        <v>6.03</v>
      </c>
      <c r="D97" s="100">
        <v>11.71</v>
      </c>
      <c r="E97" s="100">
        <v>6.45</v>
      </c>
      <c r="F97" s="100">
        <v>2</v>
      </c>
      <c r="G97" s="100">
        <v>62.91</v>
      </c>
      <c r="H97" s="100">
        <v>19.93</v>
      </c>
      <c r="I97" s="100">
        <v>6.37</v>
      </c>
      <c r="J97" s="151" t="s">
        <v>8</v>
      </c>
      <c r="K97" s="151" t="s">
        <v>8</v>
      </c>
      <c r="L97" s="151" t="s">
        <v>8</v>
      </c>
      <c r="M97" s="151" t="s">
        <v>8</v>
      </c>
      <c r="N97" s="151" t="s">
        <v>8</v>
      </c>
      <c r="O97" s="100">
        <v>0</v>
      </c>
      <c r="P97" s="100">
        <v>0.43</v>
      </c>
      <c r="Q97" s="100">
        <v>10</v>
      </c>
      <c r="R97" s="6"/>
      <c r="S97" s="6"/>
      <c r="T97" s="156"/>
      <c r="U97" s="6"/>
    </row>
    <row r="98" spans="1:28" customFormat="1">
      <c r="A98" s="201" t="s">
        <v>2154</v>
      </c>
      <c r="B98" s="100">
        <v>5.91</v>
      </c>
      <c r="C98" s="100">
        <v>6.13</v>
      </c>
      <c r="D98" s="100">
        <v>12.04</v>
      </c>
      <c r="E98" s="100">
        <v>6.37</v>
      </c>
      <c r="F98" s="100">
        <v>2</v>
      </c>
      <c r="G98" s="100">
        <v>60.82</v>
      </c>
      <c r="H98" s="100">
        <v>19.29</v>
      </c>
      <c r="I98" s="100">
        <v>6.24</v>
      </c>
      <c r="J98" s="151" t="s">
        <v>8</v>
      </c>
      <c r="K98" s="151" t="s">
        <v>8</v>
      </c>
      <c r="L98" s="151" t="s">
        <v>8</v>
      </c>
      <c r="M98" s="151" t="s">
        <v>8</v>
      </c>
      <c r="N98" s="151" t="s">
        <v>8</v>
      </c>
      <c r="O98" s="100">
        <v>0</v>
      </c>
      <c r="P98" s="100">
        <v>0.43</v>
      </c>
      <c r="Q98" s="100">
        <v>10</v>
      </c>
      <c r="R98" s="6"/>
      <c r="S98" s="6"/>
      <c r="T98" s="156"/>
      <c r="U98" s="6"/>
    </row>
    <row r="99" spans="1:28" customFormat="1">
      <c r="A99" s="201" t="s">
        <v>2155</v>
      </c>
      <c r="B99" s="100">
        <v>6.04</v>
      </c>
      <c r="C99" s="100">
        <v>6.11</v>
      </c>
      <c r="D99" s="100">
        <v>12.15</v>
      </c>
      <c r="E99" s="100">
        <v>6.1</v>
      </c>
      <c r="F99" s="100">
        <v>2</v>
      </c>
      <c r="G99" s="100">
        <v>55.94</v>
      </c>
      <c r="H99" s="100">
        <v>16.739999999999998</v>
      </c>
      <c r="I99" s="100">
        <v>6.07</v>
      </c>
      <c r="J99" s="151" t="s">
        <v>8</v>
      </c>
      <c r="K99" s="151" t="s">
        <v>8</v>
      </c>
      <c r="L99" s="151" t="s">
        <v>8</v>
      </c>
      <c r="M99" s="151" t="s">
        <v>8</v>
      </c>
      <c r="N99" s="151" t="s">
        <v>8</v>
      </c>
      <c r="O99" s="100">
        <v>0</v>
      </c>
      <c r="P99" s="100">
        <v>0.41</v>
      </c>
      <c r="Q99" s="100">
        <v>15.31</v>
      </c>
      <c r="R99" s="6"/>
      <c r="S99" s="6"/>
      <c r="T99" s="156"/>
      <c r="U99" s="6"/>
    </row>
    <row r="100" spans="1:28" customFormat="1">
      <c r="A100" s="201" t="s">
        <v>2156</v>
      </c>
      <c r="B100" s="100">
        <v>6.12</v>
      </c>
      <c r="C100" s="100">
        <v>5.99</v>
      </c>
      <c r="D100" s="100">
        <v>12.1</v>
      </c>
      <c r="E100" s="100">
        <v>6.24</v>
      </c>
      <c r="F100" s="100">
        <v>2</v>
      </c>
      <c r="G100" s="100">
        <v>55.94</v>
      </c>
      <c r="H100" s="100">
        <v>16.739999999999998</v>
      </c>
      <c r="I100" s="100">
        <v>6.06</v>
      </c>
      <c r="J100" s="151" t="s">
        <v>8</v>
      </c>
      <c r="K100" s="151" t="s">
        <v>8</v>
      </c>
      <c r="L100" s="151" t="s">
        <v>8</v>
      </c>
      <c r="M100" s="151" t="s">
        <v>8</v>
      </c>
      <c r="N100" s="151" t="s">
        <v>8</v>
      </c>
      <c r="O100" s="100">
        <v>0</v>
      </c>
      <c r="P100" s="100">
        <v>0.38</v>
      </c>
      <c r="Q100" s="100">
        <v>10.48</v>
      </c>
      <c r="R100" s="6"/>
      <c r="S100" s="6"/>
      <c r="T100" s="156"/>
      <c r="U100" s="6"/>
      <c r="AB100" s="161"/>
    </row>
    <row r="101" spans="1:28" customFormat="1">
      <c r="A101" s="201" t="s">
        <v>2157</v>
      </c>
      <c r="B101" s="100">
        <v>6.21</v>
      </c>
      <c r="C101" s="100">
        <v>5.7</v>
      </c>
      <c r="D101" s="100">
        <v>11.92</v>
      </c>
      <c r="E101" s="100">
        <v>5.82</v>
      </c>
      <c r="F101" s="100">
        <v>2</v>
      </c>
      <c r="G101" s="100">
        <v>55.94</v>
      </c>
      <c r="H101" s="100">
        <v>16.739999999999998</v>
      </c>
      <c r="I101" s="100">
        <v>6</v>
      </c>
      <c r="J101" s="151" t="s">
        <v>8</v>
      </c>
      <c r="K101" s="151" t="s">
        <v>8</v>
      </c>
      <c r="L101" s="151" t="s">
        <v>8</v>
      </c>
      <c r="M101" s="151" t="s">
        <v>8</v>
      </c>
      <c r="N101" s="151" t="s">
        <v>8</v>
      </c>
      <c r="O101" s="100">
        <v>0</v>
      </c>
      <c r="P101" s="100">
        <v>0.35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2158</v>
      </c>
      <c r="B102" s="100">
        <v>6.19</v>
      </c>
      <c r="C102" s="100">
        <v>5.58</v>
      </c>
      <c r="D102" s="100">
        <v>11.77</v>
      </c>
      <c r="E102" s="100">
        <v>5.53</v>
      </c>
      <c r="F102" s="100">
        <v>2</v>
      </c>
      <c r="G102" s="100">
        <v>51.08</v>
      </c>
      <c r="H102" s="100">
        <v>14.85</v>
      </c>
      <c r="I102" s="100">
        <v>5.96</v>
      </c>
      <c r="J102" s="151" t="s">
        <v>8</v>
      </c>
      <c r="K102" s="151" t="s">
        <v>8</v>
      </c>
      <c r="L102" s="151" t="s">
        <v>8</v>
      </c>
      <c r="M102" s="151" t="s">
        <v>8</v>
      </c>
      <c r="N102" s="151" t="s">
        <v>8</v>
      </c>
      <c r="O102" s="100">
        <v>0</v>
      </c>
      <c r="P102" s="100">
        <v>0.34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2159</v>
      </c>
      <c r="B103" s="100">
        <v>6.22</v>
      </c>
      <c r="C103" s="100">
        <v>5.77</v>
      </c>
      <c r="D103" s="100">
        <v>11.99</v>
      </c>
      <c r="E103" s="100">
        <v>5.68</v>
      </c>
      <c r="F103" s="100">
        <v>2</v>
      </c>
      <c r="G103" s="100">
        <v>39.74</v>
      </c>
      <c r="H103" s="100">
        <v>11.94</v>
      </c>
      <c r="I103" s="100">
        <v>5.97</v>
      </c>
      <c r="J103" s="151" t="s">
        <v>8</v>
      </c>
      <c r="K103" s="151" t="s">
        <v>8</v>
      </c>
      <c r="L103" s="151" t="s">
        <v>8</v>
      </c>
      <c r="M103" s="151" t="s">
        <v>8</v>
      </c>
      <c r="N103" s="151" t="s">
        <v>8</v>
      </c>
      <c r="O103" s="100">
        <v>0</v>
      </c>
      <c r="P103" s="100">
        <v>0.36</v>
      </c>
      <c r="Q103" s="100">
        <v>10.43</v>
      </c>
      <c r="R103" s="6"/>
      <c r="S103" s="6"/>
      <c r="T103" s="156"/>
      <c r="U103" s="6"/>
    </row>
    <row r="104" spans="1:28" customFormat="1">
      <c r="A104" s="201" t="s">
        <v>2160</v>
      </c>
      <c r="B104" s="100">
        <v>6.21</v>
      </c>
      <c r="C104" s="100">
        <v>5.67</v>
      </c>
      <c r="D104" s="100">
        <v>11.89</v>
      </c>
      <c r="E104" s="100">
        <v>5.96</v>
      </c>
      <c r="F104" s="100">
        <v>2</v>
      </c>
      <c r="G104" s="100">
        <v>39.74</v>
      </c>
      <c r="H104" s="100">
        <v>11.94</v>
      </c>
      <c r="I104" s="100">
        <v>5.75</v>
      </c>
      <c r="J104" s="151" t="s">
        <v>8</v>
      </c>
      <c r="K104" s="151" t="s">
        <v>8</v>
      </c>
      <c r="L104" s="151" t="s">
        <v>8</v>
      </c>
      <c r="M104" s="151" t="s">
        <v>8</v>
      </c>
      <c r="N104" s="151" t="s">
        <v>8</v>
      </c>
      <c r="O104" s="100">
        <v>0</v>
      </c>
      <c r="P104" s="100">
        <v>0.34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2.5299999999999998</v>
      </c>
      <c r="C106" s="158">
        <f>MIN(C9:C104)</f>
        <v>4.4400000000000004</v>
      </c>
      <c r="D106" s="158">
        <f t="shared" ref="D106:Q106" si="0">MIN(D9:D104)</f>
        <v>7.72</v>
      </c>
      <c r="E106" s="158">
        <f t="shared" si="0"/>
        <v>4.0199999999999996</v>
      </c>
      <c r="F106" s="158">
        <f t="shared" si="0"/>
        <v>2</v>
      </c>
      <c r="G106" s="158">
        <f t="shared" si="0"/>
        <v>22.59</v>
      </c>
      <c r="H106" s="158">
        <f t="shared" si="0"/>
        <v>11.82</v>
      </c>
      <c r="I106" s="158">
        <f t="shared" si="0"/>
        <v>4.82</v>
      </c>
      <c r="J106" s="158">
        <f t="shared" si="0"/>
        <v>0</v>
      </c>
      <c r="K106" s="158">
        <f t="shared" si="0"/>
        <v>0</v>
      </c>
      <c r="L106" s="158">
        <f t="shared" si="0"/>
        <v>0</v>
      </c>
      <c r="M106" s="158">
        <f t="shared" si="0"/>
        <v>0</v>
      </c>
      <c r="N106" s="158">
        <f t="shared" si="0"/>
        <v>0</v>
      </c>
      <c r="O106" s="158">
        <f t="shared" si="0"/>
        <v>0</v>
      </c>
      <c r="P106" s="158">
        <f t="shared" si="0"/>
        <v>0.18</v>
      </c>
      <c r="Q106" s="158">
        <f t="shared" si="0"/>
        <v>9.6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7.72</v>
      </c>
      <c r="C107" s="157">
        <f t="shared" ref="C107:Q107" si="1">MAX(C9:C104)</f>
        <v>7.06</v>
      </c>
      <c r="D107" s="157">
        <f t="shared" si="1"/>
        <v>14.78</v>
      </c>
      <c r="E107" s="157">
        <f t="shared" si="1"/>
        <v>6.45</v>
      </c>
      <c r="F107" s="157">
        <f t="shared" si="1"/>
        <v>2.48</v>
      </c>
      <c r="G107" s="157">
        <f t="shared" si="1"/>
        <v>102.79</v>
      </c>
      <c r="H107" s="157">
        <f t="shared" si="1"/>
        <v>28.46</v>
      </c>
      <c r="I107" s="157">
        <f t="shared" si="1"/>
        <v>6.91</v>
      </c>
      <c r="J107" s="157">
        <f t="shared" si="1"/>
        <v>0</v>
      </c>
      <c r="K107" s="157">
        <f t="shared" si="1"/>
        <v>0</v>
      </c>
      <c r="L107" s="157">
        <f t="shared" si="1"/>
        <v>0</v>
      </c>
      <c r="M107" s="157">
        <f t="shared" si="1"/>
        <v>0</v>
      </c>
      <c r="N107" s="157">
        <f t="shared" si="1"/>
        <v>0</v>
      </c>
      <c r="O107" s="157">
        <f t="shared" si="1"/>
        <v>0</v>
      </c>
      <c r="P107" s="157">
        <f t="shared" si="1"/>
        <v>0.5</v>
      </c>
      <c r="Q107" s="157">
        <f t="shared" si="1"/>
        <v>21.61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4.643437500000001</v>
      </c>
      <c r="C108" s="158">
        <f t="shared" ref="C108:Q108" si="2">AVERAGE(C9:C104)</f>
        <v>5.515625</v>
      </c>
      <c r="D108" s="158">
        <f t="shared" si="2"/>
        <v>10.159374999999999</v>
      </c>
      <c r="E108" s="158">
        <f t="shared" si="2"/>
        <v>5.2737499999999988</v>
      </c>
      <c r="F108" s="158">
        <f t="shared" si="2"/>
        <v>2.0106250000000001</v>
      </c>
      <c r="G108" s="158">
        <f t="shared" si="2"/>
        <v>43.451979166666661</v>
      </c>
      <c r="H108" s="158">
        <f t="shared" si="2"/>
        <v>18.845208333333339</v>
      </c>
      <c r="I108" s="158">
        <f t="shared" si="2"/>
        <v>5.4232291666666663</v>
      </c>
      <c r="J108" s="158" t="e">
        <f t="shared" si="2"/>
        <v>#DIV/0!</v>
      </c>
      <c r="K108" s="158" t="e">
        <f t="shared" si="2"/>
        <v>#DIV/0!</v>
      </c>
      <c r="L108" s="158" t="e">
        <f t="shared" si="2"/>
        <v>#DIV/0!</v>
      </c>
      <c r="M108" s="158" t="e">
        <f t="shared" si="2"/>
        <v>#DIV/0!</v>
      </c>
      <c r="N108" s="158" t="e">
        <f t="shared" si="2"/>
        <v>#DIV/0!</v>
      </c>
      <c r="O108" s="158">
        <f t="shared" si="2"/>
        <v>0</v>
      </c>
      <c r="P108" s="158">
        <f t="shared" si="2"/>
        <v>0.29041666666666671</v>
      </c>
      <c r="Q108" s="158">
        <f t="shared" si="2"/>
        <v>10.910937499999996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1.3880867773002445</v>
      </c>
      <c r="C109" s="158">
        <f t="shared" ref="C109:Q109" si="3">STDEV(C9:C104)</f>
        <v>0.6707447745838806</v>
      </c>
      <c r="D109" s="158">
        <f t="shared" si="3"/>
        <v>1.7232825546491095</v>
      </c>
      <c r="E109" s="158">
        <f t="shared" si="3"/>
        <v>0.60069126845662602</v>
      </c>
      <c r="F109" s="158">
        <f t="shared" si="3"/>
        <v>5.4072319993446666E-2</v>
      </c>
      <c r="G109" s="158">
        <f t="shared" si="3"/>
        <v>20.888592133143494</v>
      </c>
      <c r="H109" s="158">
        <f t="shared" si="3"/>
        <v>4.777693999843442</v>
      </c>
      <c r="I109" s="158">
        <f t="shared" si="3"/>
        <v>0.56375152195694278</v>
      </c>
      <c r="J109" s="158" t="e">
        <f t="shared" si="3"/>
        <v>#DIV/0!</v>
      </c>
      <c r="K109" s="158" t="e">
        <f t="shared" si="3"/>
        <v>#DIV/0!</v>
      </c>
      <c r="L109" s="158" t="e">
        <f t="shared" si="3"/>
        <v>#DIV/0!</v>
      </c>
      <c r="M109" s="158" t="e">
        <f t="shared" si="3"/>
        <v>#DIV/0!</v>
      </c>
      <c r="N109" s="158" t="e">
        <f t="shared" si="3"/>
        <v>#DIV/0!</v>
      </c>
      <c r="O109" s="158">
        <f t="shared" si="3"/>
        <v>0</v>
      </c>
      <c r="P109" s="158">
        <f t="shared" si="3"/>
        <v>8.9571102796272214E-2</v>
      </c>
      <c r="Q109" s="158">
        <f t="shared" si="3"/>
        <v>2.2029057739005395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>COUNT(J9:J104)+96</f>
        <v>96</v>
      </c>
      <c r="K110" s="157">
        <f t="shared" ref="K110:N110" si="5">COUNT(K9:K104)+96</f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7"/>
  <sheetViews>
    <sheetView zoomScale="85" zoomScaleNormal="85" workbookViewId="0">
      <pane xSplit="1" ySplit="8" topLeftCell="B27" activePane="bottomRight" state="frozen"/>
      <selection pane="topRight"/>
      <selection pane="bottomLeft"/>
      <selection pane="bottomRight" activeCell="J9" sqref="J9:N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2161</v>
      </c>
      <c r="B9" s="100">
        <v>6.17</v>
      </c>
      <c r="C9" s="100">
        <v>5.38</v>
      </c>
      <c r="D9" s="100">
        <v>11.55</v>
      </c>
      <c r="E9" s="100">
        <v>5.64</v>
      </c>
      <c r="F9" s="100">
        <v>2</v>
      </c>
      <c r="G9" s="100">
        <v>39.74</v>
      </c>
      <c r="H9" s="100">
        <v>11.94</v>
      </c>
      <c r="I9" s="100">
        <v>5.89</v>
      </c>
      <c r="J9" s="152" t="s">
        <v>15</v>
      </c>
      <c r="K9" s="152" t="s">
        <v>15</v>
      </c>
      <c r="L9" s="152" t="s">
        <v>15</v>
      </c>
      <c r="M9" s="152" t="s">
        <v>15</v>
      </c>
      <c r="N9" s="152" t="s">
        <v>15</v>
      </c>
      <c r="O9" s="100">
        <v>0</v>
      </c>
      <c r="P9" s="100">
        <v>0.32</v>
      </c>
      <c r="Q9" s="100">
        <v>10.35</v>
      </c>
      <c r="R9" s="6"/>
      <c r="S9" s="6"/>
      <c r="T9" s="156"/>
      <c r="U9" s="6"/>
    </row>
    <row r="10" spans="1:21" customFormat="1">
      <c r="A10" s="201" t="s">
        <v>2162</v>
      </c>
      <c r="B10" s="100">
        <v>6.1</v>
      </c>
      <c r="C10" s="100">
        <v>5.55</v>
      </c>
      <c r="D10" s="100">
        <v>11.65</v>
      </c>
      <c r="E10" s="100">
        <v>5.57</v>
      </c>
      <c r="F10" s="100">
        <v>2</v>
      </c>
      <c r="G10" s="100">
        <v>37.49</v>
      </c>
      <c r="H10" s="100">
        <v>11.45</v>
      </c>
      <c r="I10" s="100">
        <v>5.93</v>
      </c>
      <c r="J10" s="152" t="s">
        <v>15</v>
      </c>
      <c r="K10" s="152" t="s">
        <v>15</v>
      </c>
      <c r="L10" s="152" t="s">
        <v>15</v>
      </c>
      <c r="M10" s="152" t="s">
        <v>15</v>
      </c>
      <c r="N10" s="152" t="s">
        <v>15</v>
      </c>
      <c r="O10" s="100">
        <v>0</v>
      </c>
      <c r="P10" s="100">
        <v>0.35</v>
      </c>
      <c r="Q10" s="100">
        <v>10</v>
      </c>
      <c r="R10" s="6"/>
      <c r="S10" s="6"/>
      <c r="T10" s="156"/>
      <c r="U10" s="6"/>
    </row>
    <row r="11" spans="1:21" customFormat="1">
      <c r="A11" s="201" t="s">
        <v>2163</v>
      </c>
      <c r="B11" s="100">
        <v>6.15</v>
      </c>
      <c r="C11" s="100">
        <v>5.55</v>
      </c>
      <c r="D11" s="100">
        <v>11.7</v>
      </c>
      <c r="E11" s="100">
        <v>6.06</v>
      </c>
      <c r="F11" s="100">
        <v>2</v>
      </c>
      <c r="G11" s="100">
        <v>32.24</v>
      </c>
      <c r="H11" s="100">
        <v>10.69</v>
      </c>
      <c r="I11" s="100">
        <v>5.69</v>
      </c>
      <c r="J11" s="152" t="s">
        <v>15</v>
      </c>
      <c r="K11" s="152" t="s">
        <v>15</v>
      </c>
      <c r="L11" s="152" t="s">
        <v>15</v>
      </c>
      <c r="M11" s="152" t="s">
        <v>15</v>
      </c>
      <c r="N11" s="152" t="s">
        <v>15</v>
      </c>
      <c r="O11" s="100">
        <v>0</v>
      </c>
      <c r="P11" s="100">
        <v>0.34</v>
      </c>
      <c r="Q11" s="100">
        <v>10.29</v>
      </c>
      <c r="R11" s="6"/>
      <c r="S11" s="6"/>
      <c r="T11" s="156"/>
      <c r="U11" s="6"/>
    </row>
    <row r="12" spans="1:21" customFormat="1">
      <c r="A12" s="201" t="s">
        <v>2164</v>
      </c>
      <c r="B12" s="100">
        <v>6.09</v>
      </c>
      <c r="C12" s="100">
        <v>5.32</v>
      </c>
      <c r="D12" s="100">
        <v>11.42</v>
      </c>
      <c r="E12" s="100">
        <v>6.07</v>
      </c>
      <c r="F12" s="100">
        <v>2</v>
      </c>
      <c r="G12" s="100">
        <v>32.24</v>
      </c>
      <c r="H12" s="100">
        <v>10.69</v>
      </c>
      <c r="I12" s="100">
        <v>5.88</v>
      </c>
      <c r="J12" s="152" t="s">
        <v>15</v>
      </c>
      <c r="K12" s="152" t="s">
        <v>15</v>
      </c>
      <c r="L12" s="152" t="s">
        <v>15</v>
      </c>
      <c r="M12" s="152" t="s">
        <v>15</v>
      </c>
      <c r="N12" s="152" t="s">
        <v>15</v>
      </c>
      <c r="O12" s="100">
        <v>0</v>
      </c>
      <c r="P12" s="100">
        <v>0.32</v>
      </c>
      <c r="Q12" s="100">
        <v>10</v>
      </c>
      <c r="R12" s="6"/>
      <c r="S12" s="6"/>
      <c r="T12" s="156"/>
      <c r="U12" s="6"/>
    </row>
    <row r="13" spans="1:21" customFormat="1">
      <c r="A13" s="201" t="s">
        <v>2165</v>
      </c>
      <c r="B13" s="100">
        <v>6.02</v>
      </c>
      <c r="C13" s="100">
        <v>5.5</v>
      </c>
      <c r="D13" s="100">
        <v>11.52</v>
      </c>
      <c r="E13" s="100">
        <v>5.88</v>
      </c>
      <c r="F13" s="100">
        <v>2</v>
      </c>
      <c r="G13" s="100">
        <v>32.24</v>
      </c>
      <c r="H13" s="100">
        <v>10.69</v>
      </c>
      <c r="I13" s="100">
        <v>5.88</v>
      </c>
      <c r="J13" s="152" t="s">
        <v>15</v>
      </c>
      <c r="K13" s="152" t="s">
        <v>15</v>
      </c>
      <c r="L13" s="152" t="s">
        <v>15</v>
      </c>
      <c r="M13" s="152" t="s">
        <v>15</v>
      </c>
      <c r="N13" s="152" t="s">
        <v>15</v>
      </c>
      <c r="O13" s="100">
        <v>0</v>
      </c>
      <c r="P13" s="100">
        <v>0.34</v>
      </c>
      <c r="Q13" s="100">
        <v>10</v>
      </c>
      <c r="R13" s="6"/>
      <c r="S13" s="6"/>
      <c r="T13" s="156"/>
      <c r="U13" s="6"/>
    </row>
    <row r="14" spans="1:21" customFormat="1">
      <c r="A14" s="201" t="s">
        <v>2166</v>
      </c>
      <c r="B14" s="100">
        <v>5.95</v>
      </c>
      <c r="C14" s="100">
        <v>5.48</v>
      </c>
      <c r="D14" s="100">
        <v>11.43</v>
      </c>
      <c r="E14" s="100">
        <v>5.95</v>
      </c>
      <c r="F14" s="100">
        <v>2</v>
      </c>
      <c r="G14" s="100">
        <v>31.56</v>
      </c>
      <c r="H14" s="100">
        <v>9.92</v>
      </c>
      <c r="I14" s="100">
        <v>5.66</v>
      </c>
      <c r="J14" s="152" t="s">
        <v>15</v>
      </c>
      <c r="K14" s="152" t="s">
        <v>15</v>
      </c>
      <c r="L14" s="152" t="s">
        <v>15</v>
      </c>
      <c r="M14" s="152" t="s">
        <v>15</v>
      </c>
      <c r="N14" s="152" t="s">
        <v>15</v>
      </c>
      <c r="O14" s="100">
        <v>0</v>
      </c>
      <c r="P14" s="100">
        <v>0.33</v>
      </c>
      <c r="Q14" s="100">
        <v>10.4</v>
      </c>
      <c r="R14" s="6"/>
      <c r="S14" s="6"/>
      <c r="T14" s="156"/>
      <c r="U14" s="6"/>
    </row>
    <row r="15" spans="1:21" customFormat="1">
      <c r="A15" s="201" t="s">
        <v>2167</v>
      </c>
      <c r="B15" s="100">
        <v>5.9</v>
      </c>
      <c r="C15" s="100">
        <v>5.29</v>
      </c>
      <c r="D15" s="100">
        <v>11.19</v>
      </c>
      <c r="E15" s="100">
        <v>5.85</v>
      </c>
      <c r="F15" s="100">
        <v>2</v>
      </c>
      <c r="G15" s="100">
        <v>29.96</v>
      </c>
      <c r="H15" s="100">
        <v>8.73</v>
      </c>
      <c r="I15" s="100">
        <v>5.77</v>
      </c>
      <c r="J15" s="152" t="s">
        <v>15</v>
      </c>
      <c r="K15" s="152" t="s">
        <v>15</v>
      </c>
      <c r="L15" s="152" t="s">
        <v>15</v>
      </c>
      <c r="M15" s="152" t="s">
        <v>15</v>
      </c>
      <c r="N15" s="152" t="s">
        <v>15</v>
      </c>
      <c r="O15" s="100">
        <v>0</v>
      </c>
      <c r="P15" s="100">
        <v>0.31</v>
      </c>
      <c r="Q15" s="100">
        <v>10.7</v>
      </c>
      <c r="R15" s="6"/>
      <c r="S15" s="6"/>
      <c r="T15" s="156"/>
      <c r="U15" s="6"/>
    </row>
    <row r="16" spans="1:21" customFormat="1">
      <c r="A16" s="201" t="s">
        <v>2168</v>
      </c>
      <c r="B16" s="100">
        <v>5.92</v>
      </c>
      <c r="C16" s="100">
        <v>5.42</v>
      </c>
      <c r="D16" s="100">
        <v>11.34</v>
      </c>
      <c r="E16" s="100">
        <v>6.24</v>
      </c>
      <c r="F16" s="100">
        <v>2</v>
      </c>
      <c r="G16" s="100">
        <v>29.96</v>
      </c>
      <c r="H16" s="100">
        <v>8.73</v>
      </c>
      <c r="I16" s="100">
        <v>5.77</v>
      </c>
      <c r="J16" s="152" t="s">
        <v>15</v>
      </c>
      <c r="K16" s="152" t="s">
        <v>15</v>
      </c>
      <c r="L16" s="152" t="s">
        <v>15</v>
      </c>
      <c r="M16" s="152" t="s">
        <v>15</v>
      </c>
      <c r="N16" s="152" t="s">
        <v>15</v>
      </c>
      <c r="O16" s="100">
        <v>0</v>
      </c>
      <c r="P16" s="100">
        <v>0.32</v>
      </c>
      <c r="Q16" s="100">
        <v>13.41</v>
      </c>
      <c r="R16" s="6"/>
      <c r="S16" s="6"/>
      <c r="T16" s="156"/>
      <c r="U16" s="6"/>
    </row>
    <row r="17" spans="1:21" customFormat="1">
      <c r="A17" s="201" t="s">
        <v>2169</v>
      </c>
      <c r="B17" s="100">
        <v>5.9</v>
      </c>
      <c r="C17" s="100">
        <v>5.26</v>
      </c>
      <c r="D17" s="100">
        <v>11.16</v>
      </c>
      <c r="E17" s="100">
        <v>5.15</v>
      </c>
      <c r="F17" s="100">
        <v>2</v>
      </c>
      <c r="G17" s="100">
        <v>29.96</v>
      </c>
      <c r="H17" s="100">
        <v>8.73</v>
      </c>
      <c r="I17" s="100">
        <v>5.51</v>
      </c>
      <c r="J17" s="152" t="s">
        <v>15</v>
      </c>
      <c r="K17" s="152" t="s">
        <v>15</v>
      </c>
      <c r="L17" s="152" t="s">
        <v>15</v>
      </c>
      <c r="M17" s="152" t="s">
        <v>15</v>
      </c>
      <c r="N17" s="152" t="s">
        <v>15</v>
      </c>
      <c r="O17" s="100">
        <v>0</v>
      </c>
      <c r="P17" s="100">
        <v>0.31</v>
      </c>
      <c r="Q17" s="100">
        <v>13.95</v>
      </c>
      <c r="R17" s="6"/>
      <c r="S17" s="6"/>
      <c r="T17" s="156"/>
      <c r="U17" s="6"/>
    </row>
    <row r="18" spans="1:21" customFormat="1">
      <c r="A18" s="201" t="s">
        <v>2170</v>
      </c>
      <c r="B18" s="100">
        <v>5.89</v>
      </c>
      <c r="C18" s="100">
        <v>5.18</v>
      </c>
      <c r="D18" s="100">
        <v>11.07</v>
      </c>
      <c r="E18" s="100">
        <v>5.87</v>
      </c>
      <c r="F18" s="100">
        <v>2</v>
      </c>
      <c r="G18" s="100">
        <v>27.43</v>
      </c>
      <c r="H18" s="100">
        <v>8.49</v>
      </c>
      <c r="I18" s="100">
        <v>5.68</v>
      </c>
      <c r="J18" s="152" t="s">
        <v>15</v>
      </c>
      <c r="K18" s="152" t="s">
        <v>15</v>
      </c>
      <c r="L18" s="152" t="s">
        <v>15</v>
      </c>
      <c r="M18" s="152" t="s">
        <v>15</v>
      </c>
      <c r="N18" s="152" t="s">
        <v>15</v>
      </c>
      <c r="O18" s="100">
        <v>0</v>
      </c>
      <c r="P18" s="100">
        <v>0.31</v>
      </c>
      <c r="Q18" s="100">
        <v>11.21</v>
      </c>
      <c r="R18" s="6"/>
      <c r="S18" s="6"/>
      <c r="T18" s="156"/>
      <c r="U18" s="6"/>
    </row>
    <row r="19" spans="1:21" customFormat="1">
      <c r="A19" s="201" t="s">
        <v>2171</v>
      </c>
      <c r="B19" s="100">
        <v>5.98</v>
      </c>
      <c r="C19" s="100">
        <v>5.46</v>
      </c>
      <c r="D19" s="100">
        <v>11.44</v>
      </c>
      <c r="E19" s="100">
        <v>6</v>
      </c>
      <c r="F19" s="100">
        <v>2.0099999999999998</v>
      </c>
      <c r="G19" s="100">
        <v>21.22</v>
      </c>
      <c r="H19" s="100">
        <v>7.52</v>
      </c>
      <c r="I19" s="100">
        <v>5.72</v>
      </c>
      <c r="J19" s="152" t="s">
        <v>15</v>
      </c>
      <c r="K19" s="152" t="s">
        <v>15</v>
      </c>
      <c r="L19" s="152" t="s">
        <v>15</v>
      </c>
      <c r="M19" s="152" t="s">
        <v>15</v>
      </c>
      <c r="N19" s="152" t="s">
        <v>15</v>
      </c>
      <c r="O19" s="100">
        <v>0</v>
      </c>
      <c r="P19" s="100">
        <v>0.34</v>
      </c>
      <c r="Q19" s="100">
        <v>11.22</v>
      </c>
      <c r="R19" s="6"/>
      <c r="S19" s="6"/>
      <c r="T19" s="156"/>
      <c r="U19" s="6"/>
    </row>
    <row r="20" spans="1:21" customFormat="1">
      <c r="A20" s="201" t="s">
        <v>2172</v>
      </c>
      <c r="B20" s="100">
        <v>6.07</v>
      </c>
      <c r="C20" s="100">
        <v>5.33</v>
      </c>
      <c r="D20" s="100">
        <v>11.41</v>
      </c>
      <c r="E20" s="100">
        <v>6.17</v>
      </c>
      <c r="F20" s="100">
        <v>2</v>
      </c>
      <c r="G20" s="100">
        <v>21.22</v>
      </c>
      <c r="H20" s="100">
        <v>7.52</v>
      </c>
      <c r="I20" s="100">
        <v>5.87</v>
      </c>
      <c r="J20" s="152" t="s">
        <v>15</v>
      </c>
      <c r="K20" s="152" t="s">
        <v>15</v>
      </c>
      <c r="L20" s="152" t="s">
        <v>15</v>
      </c>
      <c r="M20" s="152" t="s">
        <v>15</v>
      </c>
      <c r="N20" s="152" t="s">
        <v>15</v>
      </c>
      <c r="O20" s="100">
        <v>0</v>
      </c>
      <c r="P20" s="100">
        <v>0.33</v>
      </c>
      <c r="Q20" s="100">
        <v>10.85</v>
      </c>
      <c r="R20" s="6"/>
      <c r="S20" s="6"/>
      <c r="T20" s="156"/>
      <c r="U20" s="6"/>
    </row>
    <row r="21" spans="1:21" customFormat="1">
      <c r="A21" s="201" t="s">
        <v>2173</v>
      </c>
      <c r="B21" s="100">
        <v>6.08</v>
      </c>
      <c r="C21" s="100">
        <v>5.36</v>
      </c>
      <c r="D21" s="100">
        <v>11.44</v>
      </c>
      <c r="E21" s="100">
        <v>6.3</v>
      </c>
      <c r="F21" s="100">
        <v>2</v>
      </c>
      <c r="G21" s="100">
        <v>21.22</v>
      </c>
      <c r="H21" s="100">
        <v>7.52</v>
      </c>
      <c r="I21" s="100">
        <v>6.11</v>
      </c>
      <c r="J21" s="152" t="s">
        <v>15</v>
      </c>
      <c r="K21" s="152" t="s">
        <v>15</v>
      </c>
      <c r="L21" s="152" t="s">
        <v>15</v>
      </c>
      <c r="M21" s="152" t="s">
        <v>15</v>
      </c>
      <c r="N21" s="152" t="s">
        <v>15</v>
      </c>
      <c r="O21" s="100">
        <v>0</v>
      </c>
      <c r="P21" s="100">
        <v>0.34</v>
      </c>
      <c r="Q21" s="100">
        <v>10.66</v>
      </c>
      <c r="R21" s="6"/>
      <c r="S21" s="6"/>
      <c r="T21" s="156"/>
      <c r="U21" s="6"/>
    </row>
    <row r="22" spans="1:21" customFormat="1">
      <c r="A22" s="201" t="s">
        <v>2174</v>
      </c>
      <c r="B22" s="100">
        <v>6.13</v>
      </c>
      <c r="C22" s="100">
        <v>5.47</v>
      </c>
      <c r="D22" s="100">
        <v>11.6</v>
      </c>
      <c r="E22" s="100">
        <v>6.27</v>
      </c>
      <c r="F22" s="100">
        <v>2</v>
      </c>
      <c r="G22" s="100">
        <v>20.69</v>
      </c>
      <c r="H22" s="100">
        <v>7.59</v>
      </c>
      <c r="I22" s="100">
        <v>6.41</v>
      </c>
      <c r="J22" s="152" t="s">
        <v>15</v>
      </c>
      <c r="K22" s="152" t="s">
        <v>15</v>
      </c>
      <c r="L22" s="152" t="s">
        <v>15</v>
      </c>
      <c r="M22" s="152" t="s">
        <v>15</v>
      </c>
      <c r="N22" s="152" t="s">
        <v>15</v>
      </c>
      <c r="O22" s="100">
        <v>0</v>
      </c>
      <c r="P22" s="100">
        <v>0.36</v>
      </c>
      <c r="Q22" s="100">
        <v>10.1</v>
      </c>
      <c r="R22" s="6"/>
      <c r="S22" s="6"/>
      <c r="T22" s="156"/>
      <c r="U22" s="6"/>
    </row>
    <row r="23" spans="1:21" customFormat="1">
      <c r="A23" s="201" t="s">
        <v>2175</v>
      </c>
      <c r="B23" s="100">
        <v>6.09</v>
      </c>
      <c r="C23" s="100">
        <v>5.54</v>
      </c>
      <c r="D23" s="100">
        <v>11.63</v>
      </c>
      <c r="E23" s="100">
        <v>5.8</v>
      </c>
      <c r="F23" s="100">
        <v>2</v>
      </c>
      <c r="G23" s="100">
        <v>19.45</v>
      </c>
      <c r="H23" s="100">
        <v>7.7</v>
      </c>
      <c r="I23" s="100">
        <v>6.51</v>
      </c>
      <c r="J23" s="152" t="s">
        <v>15</v>
      </c>
      <c r="K23" s="152" t="s">
        <v>15</v>
      </c>
      <c r="L23" s="152" t="s">
        <v>15</v>
      </c>
      <c r="M23" s="152" t="s">
        <v>15</v>
      </c>
      <c r="N23" s="152" t="s">
        <v>15</v>
      </c>
      <c r="O23" s="100">
        <v>0</v>
      </c>
      <c r="P23" s="100">
        <v>0.38</v>
      </c>
      <c r="Q23" s="100">
        <v>10</v>
      </c>
      <c r="R23" s="6"/>
      <c r="S23" s="6"/>
      <c r="T23" s="156"/>
      <c r="U23" s="6"/>
    </row>
    <row r="24" spans="1:21" customFormat="1">
      <c r="A24" s="201" t="s">
        <v>2176</v>
      </c>
      <c r="B24" s="100">
        <v>6.06</v>
      </c>
      <c r="C24" s="100">
        <v>5.77</v>
      </c>
      <c r="D24" s="100">
        <v>11.83</v>
      </c>
      <c r="E24" s="100">
        <v>6.42</v>
      </c>
      <c r="F24" s="100">
        <v>2</v>
      </c>
      <c r="G24" s="100">
        <v>19.45</v>
      </c>
      <c r="H24" s="100">
        <v>7.7</v>
      </c>
      <c r="I24" s="100">
        <v>6.45</v>
      </c>
      <c r="J24" s="152" t="s">
        <v>15</v>
      </c>
      <c r="K24" s="152" t="s">
        <v>15</v>
      </c>
      <c r="L24" s="152" t="s">
        <v>15</v>
      </c>
      <c r="M24" s="152" t="s">
        <v>15</v>
      </c>
      <c r="N24" s="152" t="s">
        <v>15</v>
      </c>
      <c r="O24" s="100">
        <v>0</v>
      </c>
      <c r="P24" s="100">
        <v>0.38</v>
      </c>
      <c r="Q24" s="100">
        <v>10.02</v>
      </c>
      <c r="R24" s="6"/>
      <c r="S24" s="6"/>
      <c r="T24" s="156"/>
      <c r="U24" s="6"/>
    </row>
    <row r="25" spans="1:21" customFormat="1">
      <c r="A25" s="201" t="s">
        <v>2177</v>
      </c>
      <c r="B25" s="100">
        <v>5.98</v>
      </c>
      <c r="C25" s="100">
        <v>5.75</v>
      </c>
      <c r="D25" s="100">
        <v>11.73</v>
      </c>
      <c r="E25" s="100">
        <v>6.33</v>
      </c>
      <c r="F25" s="100">
        <v>2</v>
      </c>
      <c r="G25" s="100">
        <v>19.45</v>
      </c>
      <c r="H25" s="100">
        <v>7.7</v>
      </c>
      <c r="I25" s="100">
        <v>6.62</v>
      </c>
      <c r="J25" s="152" t="s">
        <v>15</v>
      </c>
      <c r="K25" s="152" t="s">
        <v>15</v>
      </c>
      <c r="L25" s="152" t="s">
        <v>15</v>
      </c>
      <c r="M25" s="152" t="s">
        <v>15</v>
      </c>
      <c r="N25" s="152" t="s">
        <v>15</v>
      </c>
      <c r="O25" s="100">
        <v>0</v>
      </c>
      <c r="P25" s="100">
        <v>0.39</v>
      </c>
      <c r="Q25" s="100">
        <v>9.98</v>
      </c>
      <c r="R25" s="6"/>
      <c r="S25" s="6"/>
      <c r="T25" s="156"/>
      <c r="U25" s="6"/>
    </row>
    <row r="26" spans="1:21" customFormat="1">
      <c r="A26" s="201" t="s">
        <v>2178</v>
      </c>
      <c r="B26" s="100">
        <v>5.87</v>
      </c>
      <c r="C26" s="100">
        <v>5.7</v>
      </c>
      <c r="D26" s="100">
        <v>11.57</v>
      </c>
      <c r="E26" s="100">
        <v>6.1</v>
      </c>
      <c r="F26" s="100">
        <v>2</v>
      </c>
      <c r="G26" s="100">
        <v>21.99</v>
      </c>
      <c r="H26" s="100">
        <v>7.18</v>
      </c>
      <c r="I26" s="100">
        <v>6.66</v>
      </c>
      <c r="J26" s="152" t="s">
        <v>15</v>
      </c>
      <c r="K26" s="152" t="s">
        <v>15</v>
      </c>
      <c r="L26" s="152" t="s">
        <v>15</v>
      </c>
      <c r="M26" s="152" t="s">
        <v>15</v>
      </c>
      <c r="N26" s="152" t="s">
        <v>15</v>
      </c>
      <c r="O26" s="100">
        <v>0</v>
      </c>
      <c r="P26" s="100">
        <v>0.4</v>
      </c>
      <c r="Q26" s="100">
        <v>10</v>
      </c>
      <c r="R26" s="6"/>
      <c r="S26" s="6"/>
      <c r="T26" s="156"/>
      <c r="U26" s="6"/>
    </row>
    <row r="27" spans="1:21" customFormat="1">
      <c r="A27" s="201" t="s">
        <v>2179</v>
      </c>
      <c r="B27" s="100">
        <v>5.78</v>
      </c>
      <c r="C27" s="100">
        <v>5.66</v>
      </c>
      <c r="D27" s="100">
        <v>11.44</v>
      </c>
      <c r="E27" s="100">
        <v>6.51</v>
      </c>
      <c r="F27" s="100">
        <v>2</v>
      </c>
      <c r="G27" s="100">
        <v>27.9</v>
      </c>
      <c r="H27" s="100">
        <v>6.39</v>
      </c>
      <c r="I27" s="100">
        <v>6.71</v>
      </c>
      <c r="J27" s="152" t="s">
        <v>15</v>
      </c>
      <c r="K27" s="152" t="s">
        <v>15</v>
      </c>
      <c r="L27" s="152" t="s">
        <v>15</v>
      </c>
      <c r="M27" s="152" t="s">
        <v>15</v>
      </c>
      <c r="N27" s="152" t="s">
        <v>15</v>
      </c>
      <c r="O27" s="100">
        <v>0</v>
      </c>
      <c r="P27" s="100">
        <v>0.39</v>
      </c>
      <c r="Q27" s="100">
        <v>10.82</v>
      </c>
      <c r="R27" s="6"/>
      <c r="S27" s="6"/>
      <c r="T27" s="156"/>
      <c r="U27" s="6"/>
    </row>
    <row r="28" spans="1:21" customFormat="1">
      <c r="A28" s="201" t="s">
        <v>2180</v>
      </c>
      <c r="B28" s="100">
        <v>5.67</v>
      </c>
      <c r="C28" s="100">
        <v>5.66</v>
      </c>
      <c r="D28" s="100">
        <v>11.33</v>
      </c>
      <c r="E28" s="100">
        <v>6.43</v>
      </c>
      <c r="F28" s="100">
        <v>2</v>
      </c>
      <c r="G28" s="100">
        <v>27.9</v>
      </c>
      <c r="H28" s="100">
        <v>6.39</v>
      </c>
      <c r="I28" s="100">
        <v>6.86</v>
      </c>
      <c r="J28" s="152" t="s">
        <v>15</v>
      </c>
      <c r="K28" s="152" t="s">
        <v>15</v>
      </c>
      <c r="L28" s="152" t="s">
        <v>15</v>
      </c>
      <c r="M28" s="152" t="s">
        <v>15</v>
      </c>
      <c r="N28" s="152" t="s">
        <v>15</v>
      </c>
      <c r="O28" s="100">
        <v>0</v>
      </c>
      <c r="P28" s="100">
        <v>0.39</v>
      </c>
      <c r="Q28" s="100">
        <v>10.48</v>
      </c>
      <c r="R28" s="6"/>
      <c r="S28" s="6"/>
      <c r="T28" s="156"/>
      <c r="U28" s="6"/>
    </row>
    <row r="29" spans="1:21" customFormat="1">
      <c r="A29" s="201" t="s">
        <v>2181</v>
      </c>
      <c r="B29" s="100">
        <v>5.65</v>
      </c>
      <c r="C29" s="100">
        <v>5.58</v>
      </c>
      <c r="D29" s="100">
        <v>11.22</v>
      </c>
      <c r="E29" s="100">
        <v>6.71</v>
      </c>
      <c r="F29" s="100">
        <v>2</v>
      </c>
      <c r="G29" s="100">
        <v>27.9</v>
      </c>
      <c r="H29" s="100">
        <v>6.39</v>
      </c>
      <c r="I29" s="100">
        <v>6.78</v>
      </c>
      <c r="J29" s="152" t="s">
        <v>15</v>
      </c>
      <c r="K29" s="152" t="s">
        <v>15</v>
      </c>
      <c r="L29" s="152" t="s">
        <v>15</v>
      </c>
      <c r="M29" s="152" t="s">
        <v>15</v>
      </c>
      <c r="N29" s="152" t="s">
        <v>15</v>
      </c>
      <c r="O29" s="100">
        <v>0</v>
      </c>
      <c r="P29" s="100">
        <v>0.4</v>
      </c>
      <c r="Q29" s="100">
        <v>11.92</v>
      </c>
      <c r="R29" s="6"/>
      <c r="S29" s="6"/>
      <c r="T29" s="156"/>
      <c r="U29" s="6"/>
    </row>
    <row r="30" spans="1:21" customFormat="1">
      <c r="A30" s="201" t="s">
        <v>2182</v>
      </c>
      <c r="B30" s="100">
        <v>5.63</v>
      </c>
      <c r="C30" s="100">
        <v>5.47</v>
      </c>
      <c r="D30" s="100">
        <v>11.1</v>
      </c>
      <c r="E30" s="100">
        <v>6.47</v>
      </c>
      <c r="F30" s="100">
        <v>2</v>
      </c>
      <c r="G30" s="100">
        <v>25.48</v>
      </c>
      <c r="H30" s="100">
        <v>7.08</v>
      </c>
      <c r="I30" s="100">
        <v>6.88</v>
      </c>
      <c r="J30" s="152" t="s">
        <v>15</v>
      </c>
      <c r="K30" s="152" t="s">
        <v>15</v>
      </c>
      <c r="L30" s="152" t="s">
        <v>15</v>
      </c>
      <c r="M30" s="152" t="s">
        <v>15</v>
      </c>
      <c r="N30" s="152" t="s">
        <v>15</v>
      </c>
      <c r="O30" s="100">
        <v>0</v>
      </c>
      <c r="P30" s="100">
        <v>0.4</v>
      </c>
      <c r="Q30" s="100">
        <v>10</v>
      </c>
      <c r="R30" s="6"/>
      <c r="S30" s="6"/>
      <c r="T30" s="156"/>
      <c r="U30" s="6"/>
    </row>
    <row r="31" spans="1:21" customFormat="1">
      <c r="A31" s="201" t="s">
        <v>2183</v>
      </c>
      <c r="B31" s="100">
        <v>5.63</v>
      </c>
      <c r="C31" s="100">
        <v>5.35</v>
      </c>
      <c r="D31" s="100">
        <v>10.98</v>
      </c>
      <c r="E31" s="100">
        <v>6.58</v>
      </c>
      <c r="F31" s="100">
        <v>2</v>
      </c>
      <c r="G31" s="100">
        <v>19.829999999999998</v>
      </c>
      <c r="H31" s="100">
        <v>8.15</v>
      </c>
      <c r="I31" s="100">
        <v>7.17</v>
      </c>
      <c r="J31" s="152" t="s">
        <v>15</v>
      </c>
      <c r="K31" s="152" t="s">
        <v>15</v>
      </c>
      <c r="L31" s="152" t="s">
        <v>15</v>
      </c>
      <c r="M31" s="152" t="s">
        <v>15</v>
      </c>
      <c r="N31" s="152" t="s">
        <v>15</v>
      </c>
      <c r="O31" s="100">
        <v>0</v>
      </c>
      <c r="P31" s="100">
        <v>0.41</v>
      </c>
      <c r="Q31" s="100">
        <v>12.91</v>
      </c>
      <c r="R31" s="6"/>
      <c r="S31" s="6"/>
      <c r="T31" s="156"/>
      <c r="U31" s="6"/>
    </row>
    <row r="32" spans="1:21" customFormat="1">
      <c r="A32" s="201" t="s">
        <v>2184</v>
      </c>
      <c r="B32" s="100">
        <v>5.57</v>
      </c>
      <c r="C32" s="100">
        <v>5.36</v>
      </c>
      <c r="D32" s="100">
        <v>10.93</v>
      </c>
      <c r="E32" s="100">
        <v>6.54</v>
      </c>
      <c r="F32" s="100">
        <v>2</v>
      </c>
      <c r="G32" s="100">
        <v>19.829999999999998</v>
      </c>
      <c r="H32" s="100">
        <v>8.15</v>
      </c>
      <c r="I32" s="100">
        <v>7.5</v>
      </c>
      <c r="J32" s="152" t="s">
        <v>15</v>
      </c>
      <c r="K32" s="152" t="s">
        <v>15</v>
      </c>
      <c r="L32" s="152" t="s">
        <v>15</v>
      </c>
      <c r="M32" s="152" t="s">
        <v>15</v>
      </c>
      <c r="N32" s="152" t="s">
        <v>15</v>
      </c>
      <c r="O32" s="100">
        <v>0</v>
      </c>
      <c r="P32" s="100">
        <v>0.41</v>
      </c>
      <c r="Q32" s="100">
        <v>11.3</v>
      </c>
      <c r="R32" s="6"/>
      <c r="S32" s="6"/>
      <c r="T32" s="156"/>
      <c r="U32" s="6"/>
    </row>
    <row r="33" spans="1:21" customFormat="1">
      <c r="A33" s="201" t="s">
        <v>2185</v>
      </c>
      <c r="B33" s="100">
        <v>5.5</v>
      </c>
      <c r="C33" s="100">
        <v>5.38</v>
      </c>
      <c r="D33" s="100">
        <v>10.88</v>
      </c>
      <c r="E33" s="100">
        <v>6.81</v>
      </c>
      <c r="F33" s="100">
        <v>2</v>
      </c>
      <c r="G33" s="100">
        <v>19.829999999999998</v>
      </c>
      <c r="H33" s="100">
        <v>8.15</v>
      </c>
      <c r="I33" s="100">
        <v>7.95</v>
      </c>
      <c r="J33" s="152" t="s">
        <v>15</v>
      </c>
      <c r="K33" s="152" t="s">
        <v>15</v>
      </c>
      <c r="L33" s="152" t="s">
        <v>15</v>
      </c>
      <c r="M33" s="152" t="s">
        <v>15</v>
      </c>
      <c r="N33" s="152" t="s">
        <v>15</v>
      </c>
      <c r="O33" s="100">
        <v>0</v>
      </c>
      <c r="P33" s="100">
        <v>0.4</v>
      </c>
      <c r="Q33" s="100">
        <v>9.9600000000000009</v>
      </c>
      <c r="R33" s="6"/>
      <c r="S33" s="6"/>
      <c r="T33" s="156"/>
      <c r="U33" s="6"/>
    </row>
    <row r="34" spans="1:21" customFormat="1">
      <c r="A34" s="201" t="s">
        <v>2186</v>
      </c>
      <c r="B34" s="100">
        <v>5.46</v>
      </c>
      <c r="C34" s="100">
        <v>5.34</v>
      </c>
      <c r="D34" s="100">
        <v>10.8</v>
      </c>
      <c r="E34" s="100">
        <v>6.89</v>
      </c>
      <c r="F34" s="100">
        <v>2</v>
      </c>
      <c r="G34" s="100">
        <v>20.97</v>
      </c>
      <c r="H34" s="100">
        <v>7.89</v>
      </c>
      <c r="I34" s="100">
        <v>8.09</v>
      </c>
      <c r="J34" s="152" t="s">
        <v>15</v>
      </c>
      <c r="K34" s="152" t="s">
        <v>15</v>
      </c>
      <c r="L34" s="152" t="s">
        <v>15</v>
      </c>
      <c r="M34" s="152" t="s">
        <v>15</v>
      </c>
      <c r="N34" s="152" t="s">
        <v>15</v>
      </c>
      <c r="O34" s="100">
        <v>0</v>
      </c>
      <c r="P34" s="100">
        <v>0.4</v>
      </c>
      <c r="Q34" s="100">
        <v>10.050000000000001</v>
      </c>
      <c r="R34" s="6"/>
      <c r="S34" s="6"/>
      <c r="T34" s="156"/>
      <c r="U34" s="6"/>
    </row>
    <row r="35" spans="1:21" customFormat="1">
      <c r="A35" s="201" t="s">
        <v>2187</v>
      </c>
      <c r="B35" s="100">
        <v>5.49</v>
      </c>
      <c r="C35" s="100">
        <v>5.35</v>
      </c>
      <c r="D35" s="100">
        <v>10.83</v>
      </c>
      <c r="E35" s="100">
        <v>6.8</v>
      </c>
      <c r="F35" s="100">
        <v>2</v>
      </c>
      <c r="G35" s="100">
        <v>23.63</v>
      </c>
      <c r="H35" s="100">
        <v>6.89</v>
      </c>
      <c r="I35" s="100">
        <v>8.2799999999999994</v>
      </c>
      <c r="J35" s="152" t="s">
        <v>15</v>
      </c>
      <c r="K35" s="152" t="s">
        <v>15</v>
      </c>
      <c r="L35" s="152" t="s">
        <v>15</v>
      </c>
      <c r="M35" s="152" t="s">
        <v>15</v>
      </c>
      <c r="N35" s="152" t="s">
        <v>15</v>
      </c>
      <c r="O35" s="100">
        <v>0</v>
      </c>
      <c r="P35" s="100">
        <v>0.4</v>
      </c>
      <c r="Q35" s="100">
        <v>12.25</v>
      </c>
      <c r="R35" s="6"/>
      <c r="S35" s="6"/>
      <c r="T35" s="156"/>
      <c r="U35" s="6"/>
    </row>
    <row r="36" spans="1:21" customFormat="1">
      <c r="A36" s="201" t="s">
        <v>2188</v>
      </c>
      <c r="B36" s="100">
        <v>5.47</v>
      </c>
      <c r="C36" s="100">
        <v>5.29</v>
      </c>
      <c r="D36" s="100">
        <v>10.75</v>
      </c>
      <c r="E36" s="100">
        <v>6.77</v>
      </c>
      <c r="F36" s="100">
        <v>2</v>
      </c>
      <c r="G36" s="100">
        <v>23.63</v>
      </c>
      <c r="H36" s="100">
        <v>6.89</v>
      </c>
      <c r="I36" s="100">
        <v>8.27</v>
      </c>
      <c r="J36" s="152" t="s">
        <v>15</v>
      </c>
      <c r="K36" s="152" t="s">
        <v>15</v>
      </c>
      <c r="L36" s="152" t="s">
        <v>15</v>
      </c>
      <c r="M36" s="152" t="s">
        <v>15</v>
      </c>
      <c r="N36" s="152" t="s">
        <v>15</v>
      </c>
      <c r="O36" s="100">
        <v>0</v>
      </c>
      <c r="P36" s="100">
        <v>0.39</v>
      </c>
      <c r="Q36" s="100">
        <v>15.46</v>
      </c>
      <c r="R36" s="6"/>
      <c r="S36" s="6"/>
      <c r="T36" s="156"/>
      <c r="U36" s="6"/>
    </row>
    <row r="37" spans="1:21" customFormat="1">
      <c r="A37" s="201" t="s">
        <v>2189</v>
      </c>
      <c r="B37" s="100">
        <v>5.41</v>
      </c>
      <c r="C37" s="100">
        <v>5.22</v>
      </c>
      <c r="D37" s="100">
        <v>10.63</v>
      </c>
      <c r="E37" s="100">
        <v>6.85</v>
      </c>
      <c r="F37" s="100">
        <v>2</v>
      </c>
      <c r="G37" s="100">
        <v>23.63</v>
      </c>
      <c r="H37" s="100">
        <v>6.89</v>
      </c>
      <c r="I37" s="100">
        <v>8.16</v>
      </c>
      <c r="J37" s="152" t="s">
        <v>15</v>
      </c>
      <c r="K37" s="152" t="s">
        <v>15</v>
      </c>
      <c r="L37" s="152" t="s">
        <v>15</v>
      </c>
      <c r="M37" s="152" t="s">
        <v>15</v>
      </c>
      <c r="N37" s="152" t="s">
        <v>15</v>
      </c>
      <c r="O37" s="100">
        <v>0</v>
      </c>
      <c r="P37" s="100">
        <v>0.39</v>
      </c>
      <c r="Q37" s="100">
        <v>13.64</v>
      </c>
      <c r="R37" s="6"/>
      <c r="S37" s="6"/>
      <c r="T37" s="156"/>
      <c r="U37" s="6"/>
    </row>
    <row r="38" spans="1:21" customFormat="1">
      <c r="A38" s="201" t="s">
        <v>2190</v>
      </c>
      <c r="B38" s="100">
        <v>5.27</v>
      </c>
      <c r="C38" s="100">
        <v>5.2</v>
      </c>
      <c r="D38" s="100">
        <v>10.47</v>
      </c>
      <c r="E38" s="100">
        <v>6.95</v>
      </c>
      <c r="F38" s="100">
        <v>2</v>
      </c>
      <c r="G38" s="100">
        <v>22.24</v>
      </c>
      <c r="H38" s="100">
        <v>7.2</v>
      </c>
      <c r="I38" s="100">
        <v>7.96</v>
      </c>
      <c r="J38" s="152" t="s">
        <v>15</v>
      </c>
      <c r="K38" s="152" t="s">
        <v>15</v>
      </c>
      <c r="L38" s="152" t="s">
        <v>15</v>
      </c>
      <c r="M38" s="152" t="s">
        <v>15</v>
      </c>
      <c r="N38" s="152" t="s">
        <v>15</v>
      </c>
      <c r="O38" s="100">
        <v>0</v>
      </c>
      <c r="P38" s="100">
        <v>0.36</v>
      </c>
      <c r="Q38" s="100">
        <v>10.7</v>
      </c>
      <c r="R38" s="6"/>
      <c r="S38" s="6"/>
      <c r="T38" s="156"/>
      <c r="U38" s="6"/>
    </row>
    <row r="39" spans="1:21" customFormat="1">
      <c r="A39" s="201" t="s">
        <v>2191</v>
      </c>
      <c r="B39" s="100">
        <v>5.19</v>
      </c>
      <c r="C39" s="100">
        <v>5.16</v>
      </c>
      <c r="D39" s="100">
        <v>10.35</v>
      </c>
      <c r="E39" s="100">
        <v>6.92</v>
      </c>
      <c r="F39" s="100">
        <v>2</v>
      </c>
      <c r="G39" s="100">
        <v>19</v>
      </c>
      <c r="H39" s="100">
        <v>7.68</v>
      </c>
      <c r="I39" s="100">
        <v>7.73</v>
      </c>
      <c r="J39" s="152" t="s">
        <v>15</v>
      </c>
      <c r="K39" s="152" t="s">
        <v>15</v>
      </c>
      <c r="L39" s="152" t="s">
        <v>15</v>
      </c>
      <c r="M39" s="152" t="s">
        <v>15</v>
      </c>
      <c r="N39" s="152" t="s">
        <v>15</v>
      </c>
      <c r="O39" s="100">
        <v>0</v>
      </c>
      <c r="P39" s="100">
        <v>0.35</v>
      </c>
      <c r="Q39" s="100">
        <v>10</v>
      </c>
      <c r="R39" s="6"/>
      <c r="S39" s="6"/>
      <c r="T39" s="156"/>
      <c r="U39" s="6"/>
    </row>
    <row r="40" spans="1:21" customFormat="1">
      <c r="A40" s="201" t="s">
        <v>2192</v>
      </c>
      <c r="B40" s="100">
        <v>5.05</v>
      </c>
      <c r="C40" s="100">
        <v>5.17</v>
      </c>
      <c r="D40" s="100">
        <v>10.220000000000001</v>
      </c>
      <c r="E40" s="100">
        <v>7</v>
      </c>
      <c r="F40" s="100">
        <v>2</v>
      </c>
      <c r="G40" s="100">
        <v>19</v>
      </c>
      <c r="H40" s="100">
        <v>7.68</v>
      </c>
      <c r="I40" s="100">
        <v>7.49</v>
      </c>
      <c r="J40" s="152" t="s">
        <v>15</v>
      </c>
      <c r="K40" s="152" t="s">
        <v>15</v>
      </c>
      <c r="L40" s="152" t="s">
        <v>15</v>
      </c>
      <c r="M40" s="152" t="s">
        <v>15</v>
      </c>
      <c r="N40" s="152" t="s">
        <v>15</v>
      </c>
      <c r="O40" s="100">
        <v>0</v>
      </c>
      <c r="P40" s="100">
        <v>0.35</v>
      </c>
      <c r="Q40" s="100">
        <v>10</v>
      </c>
      <c r="R40" s="6"/>
      <c r="S40" s="6"/>
      <c r="T40" s="156"/>
      <c r="U40" s="6"/>
    </row>
    <row r="41" spans="1:21" customFormat="1">
      <c r="A41" s="201" t="s">
        <v>2193</v>
      </c>
      <c r="B41" s="100">
        <v>4.91</v>
      </c>
      <c r="C41" s="100">
        <v>5.2</v>
      </c>
      <c r="D41" s="100">
        <v>10.11</v>
      </c>
      <c r="E41" s="100">
        <v>6.93</v>
      </c>
      <c r="F41" s="100">
        <v>2</v>
      </c>
      <c r="G41" s="100">
        <v>19</v>
      </c>
      <c r="H41" s="100">
        <v>7.68</v>
      </c>
      <c r="I41" s="100">
        <v>7.39</v>
      </c>
      <c r="J41" s="152" t="s">
        <v>15</v>
      </c>
      <c r="K41" s="152" t="s">
        <v>15</v>
      </c>
      <c r="L41" s="152" t="s">
        <v>15</v>
      </c>
      <c r="M41" s="152" t="s">
        <v>15</v>
      </c>
      <c r="N41" s="152" t="s">
        <v>15</v>
      </c>
      <c r="O41" s="100">
        <v>0</v>
      </c>
      <c r="P41" s="100">
        <v>0.35</v>
      </c>
      <c r="Q41" s="100">
        <v>10</v>
      </c>
      <c r="R41" s="6"/>
      <c r="S41" s="6"/>
      <c r="T41" s="156"/>
      <c r="U41" s="6"/>
    </row>
    <row r="42" spans="1:21" customFormat="1">
      <c r="A42" s="201" t="s">
        <v>2194</v>
      </c>
      <c r="B42" s="100">
        <v>4.74</v>
      </c>
      <c r="C42" s="100">
        <v>5.26</v>
      </c>
      <c r="D42" s="100">
        <v>10</v>
      </c>
      <c r="E42" s="100">
        <v>6.88</v>
      </c>
      <c r="F42" s="100">
        <v>2</v>
      </c>
      <c r="G42" s="100">
        <v>20.78</v>
      </c>
      <c r="H42" s="100">
        <v>8.39</v>
      </c>
      <c r="I42" s="100">
        <v>7.33</v>
      </c>
      <c r="J42" s="152" t="s">
        <v>15</v>
      </c>
      <c r="K42" s="152" t="s">
        <v>15</v>
      </c>
      <c r="L42" s="152" t="s">
        <v>15</v>
      </c>
      <c r="M42" s="152" t="s">
        <v>15</v>
      </c>
      <c r="N42" s="152" t="s">
        <v>15</v>
      </c>
      <c r="O42" s="100">
        <v>0</v>
      </c>
      <c r="P42" s="100">
        <v>0.35</v>
      </c>
      <c r="Q42" s="100">
        <v>10.82</v>
      </c>
      <c r="R42" s="6"/>
      <c r="S42" s="6"/>
      <c r="T42" s="156"/>
      <c r="U42" s="6"/>
    </row>
    <row r="43" spans="1:21" customFormat="1">
      <c r="A43" s="201" t="s">
        <v>2195</v>
      </c>
      <c r="B43" s="100">
        <v>4.7</v>
      </c>
      <c r="C43" s="100">
        <v>5.19</v>
      </c>
      <c r="D43" s="100">
        <v>9.89</v>
      </c>
      <c r="E43" s="100">
        <v>6.94</v>
      </c>
      <c r="F43" s="100">
        <v>2</v>
      </c>
      <c r="G43" s="100">
        <v>24.95</v>
      </c>
      <c r="H43" s="100">
        <v>9.4700000000000006</v>
      </c>
      <c r="I43" s="100">
        <v>7.32</v>
      </c>
      <c r="J43" s="152" t="s">
        <v>15</v>
      </c>
      <c r="K43" s="152" t="s">
        <v>15</v>
      </c>
      <c r="L43" s="152" t="s">
        <v>15</v>
      </c>
      <c r="M43" s="152" t="s">
        <v>15</v>
      </c>
      <c r="N43" s="152" t="s">
        <v>15</v>
      </c>
      <c r="O43" s="100">
        <v>0</v>
      </c>
      <c r="P43" s="100">
        <v>0.33</v>
      </c>
      <c r="Q43" s="100">
        <v>10</v>
      </c>
      <c r="R43" s="6"/>
      <c r="S43" s="6"/>
      <c r="T43" s="156"/>
      <c r="U43" s="6"/>
    </row>
    <row r="44" spans="1:21" customFormat="1">
      <c r="A44" s="201" t="s">
        <v>2196</v>
      </c>
      <c r="B44" s="100">
        <v>4.68</v>
      </c>
      <c r="C44" s="100">
        <v>5.09</v>
      </c>
      <c r="D44" s="100">
        <v>9.77</v>
      </c>
      <c r="E44" s="100">
        <v>6.75</v>
      </c>
      <c r="F44" s="100">
        <v>2</v>
      </c>
      <c r="G44" s="100">
        <v>24.95</v>
      </c>
      <c r="H44" s="100">
        <v>9.4700000000000006</v>
      </c>
      <c r="I44" s="100">
        <v>7.29</v>
      </c>
      <c r="J44" s="152" t="s">
        <v>15</v>
      </c>
      <c r="K44" s="152" t="s">
        <v>15</v>
      </c>
      <c r="L44" s="152" t="s">
        <v>15</v>
      </c>
      <c r="M44" s="152" t="s">
        <v>15</v>
      </c>
      <c r="N44" s="152" t="s">
        <v>15</v>
      </c>
      <c r="O44" s="100">
        <v>0</v>
      </c>
      <c r="P44" s="100">
        <v>0.3</v>
      </c>
      <c r="Q44" s="100">
        <v>10</v>
      </c>
      <c r="R44" s="6"/>
      <c r="S44" s="6"/>
      <c r="T44" s="156"/>
      <c r="U44" s="6"/>
    </row>
    <row r="45" spans="1:21" customFormat="1">
      <c r="A45" s="201" t="s">
        <v>2197</v>
      </c>
      <c r="B45" s="100">
        <v>4.63</v>
      </c>
      <c r="C45" s="100">
        <v>5.07</v>
      </c>
      <c r="D45" s="100">
        <v>9.6999999999999993</v>
      </c>
      <c r="E45" s="100">
        <v>6.35</v>
      </c>
      <c r="F45" s="100">
        <v>2</v>
      </c>
      <c r="G45" s="100">
        <v>24.95</v>
      </c>
      <c r="H45" s="100">
        <v>9.4700000000000006</v>
      </c>
      <c r="I45" s="100">
        <v>7.35</v>
      </c>
      <c r="J45" s="152" t="s">
        <v>15</v>
      </c>
      <c r="K45" s="152" t="s">
        <v>15</v>
      </c>
      <c r="L45" s="152" t="s">
        <v>15</v>
      </c>
      <c r="M45" s="152" t="s">
        <v>15</v>
      </c>
      <c r="N45" s="152" t="s">
        <v>15</v>
      </c>
      <c r="O45" s="100">
        <v>0</v>
      </c>
      <c r="P45" s="100">
        <v>0.3</v>
      </c>
      <c r="Q45" s="100">
        <v>10.89</v>
      </c>
      <c r="R45" s="6"/>
      <c r="S45" s="6"/>
      <c r="T45" s="156"/>
      <c r="U45" s="6"/>
    </row>
    <row r="46" spans="1:21" customFormat="1">
      <c r="A46" s="201" t="s">
        <v>2198</v>
      </c>
      <c r="B46" s="100">
        <v>4.51</v>
      </c>
      <c r="C46" s="100">
        <v>5.13</v>
      </c>
      <c r="D46" s="100">
        <v>9.64</v>
      </c>
      <c r="E46" s="100">
        <v>5.99</v>
      </c>
      <c r="F46" s="100">
        <v>2</v>
      </c>
      <c r="G46" s="100">
        <v>24.65</v>
      </c>
      <c r="H46" s="100">
        <v>8.98</v>
      </c>
      <c r="I46" s="100">
        <v>7.48</v>
      </c>
      <c r="J46" s="152" t="s">
        <v>15</v>
      </c>
      <c r="K46" s="152" t="s">
        <v>15</v>
      </c>
      <c r="L46" s="152" t="s">
        <v>15</v>
      </c>
      <c r="M46" s="152" t="s">
        <v>15</v>
      </c>
      <c r="N46" s="152" t="s">
        <v>15</v>
      </c>
      <c r="O46" s="100">
        <v>0</v>
      </c>
      <c r="P46" s="100">
        <v>0.28999999999999998</v>
      </c>
      <c r="Q46" s="100">
        <v>10.29</v>
      </c>
      <c r="R46" s="6"/>
      <c r="S46" s="6"/>
      <c r="T46" s="156"/>
      <c r="U46" s="6"/>
    </row>
    <row r="47" spans="1:21" customFormat="1">
      <c r="A47" s="201" t="s">
        <v>2199</v>
      </c>
      <c r="B47" s="100">
        <v>4.3899999999999997</v>
      </c>
      <c r="C47" s="100">
        <v>5.22</v>
      </c>
      <c r="D47" s="100">
        <v>9.61</v>
      </c>
      <c r="E47" s="100">
        <v>6.19</v>
      </c>
      <c r="F47" s="100">
        <v>2</v>
      </c>
      <c r="G47" s="100">
        <v>23.97</v>
      </c>
      <c r="H47" s="100">
        <v>8.2100000000000009</v>
      </c>
      <c r="I47" s="100">
        <v>7.65</v>
      </c>
      <c r="J47" s="152" t="s">
        <v>15</v>
      </c>
      <c r="K47" s="152" t="s">
        <v>15</v>
      </c>
      <c r="L47" s="152" t="s">
        <v>15</v>
      </c>
      <c r="M47" s="152" t="s">
        <v>15</v>
      </c>
      <c r="N47" s="152" t="s">
        <v>15</v>
      </c>
      <c r="O47" s="100">
        <v>0</v>
      </c>
      <c r="P47" s="100">
        <v>0.28999999999999998</v>
      </c>
      <c r="Q47" s="100">
        <v>10.17</v>
      </c>
      <c r="R47" s="6"/>
      <c r="S47" s="6"/>
      <c r="T47" s="156"/>
      <c r="U47" s="6"/>
    </row>
    <row r="48" spans="1:21" customFormat="1">
      <c r="A48" s="201" t="s">
        <v>2200</v>
      </c>
      <c r="B48" s="100">
        <v>4.32</v>
      </c>
      <c r="C48" s="100">
        <v>5.38</v>
      </c>
      <c r="D48" s="100">
        <v>9.6999999999999993</v>
      </c>
      <c r="E48" s="100">
        <v>5.83</v>
      </c>
      <c r="F48" s="100">
        <v>2</v>
      </c>
      <c r="G48" s="100">
        <v>23.97</v>
      </c>
      <c r="H48" s="100">
        <v>8.2100000000000009</v>
      </c>
      <c r="I48" s="100">
        <v>7.78</v>
      </c>
      <c r="J48" s="152" t="s">
        <v>15</v>
      </c>
      <c r="K48" s="152" t="s">
        <v>15</v>
      </c>
      <c r="L48" s="152" t="s">
        <v>15</v>
      </c>
      <c r="M48" s="152" t="s">
        <v>15</v>
      </c>
      <c r="N48" s="152" t="s">
        <v>15</v>
      </c>
      <c r="O48" s="100">
        <v>0</v>
      </c>
      <c r="P48" s="100">
        <v>0.28999999999999998</v>
      </c>
      <c r="Q48" s="100">
        <v>10.06</v>
      </c>
      <c r="R48" s="6"/>
      <c r="S48" s="6"/>
      <c r="T48" s="156"/>
      <c r="U48" s="6"/>
    </row>
    <row r="49" spans="1:21" customFormat="1">
      <c r="A49" s="201" t="s">
        <v>2201</v>
      </c>
      <c r="B49" s="100">
        <v>4.2</v>
      </c>
      <c r="C49" s="100">
        <v>5.46</v>
      </c>
      <c r="D49" s="100">
        <v>9.66</v>
      </c>
      <c r="E49" s="100">
        <v>4.74</v>
      </c>
      <c r="F49" s="100">
        <v>2</v>
      </c>
      <c r="G49" s="100">
        <v>23.97</v>
      </c>
      <c r="H49" s="100">
        <v>8.2100000000000009</v>
      </c>
      <c r="I49" s="100">
        <v>7.73</v>
      </c>
      <c r="J49" s="152" t="s">
        <v>15</v>
      </c>
      <c r="K49" s="152" t="s">
        <v>15</v>
      </c>
      <c r="L49" s="152" t="s">
        <v>15</v>
      </c>
      <c r="M49" s="152" t="s">
        <v>15</v>
      </c>
      <c r="N49" s="152" t="s">
        <v>15</v>
      </c>
      <c r="O49" s="100">
        <v>0</v>
      </c>
      <c r="P49" s="100">
        <v>0.3</v>
      </c>
      <c r="Q49" s="100">
        <v>11.24</v>
      </c>
      <c r="R49" s="6"/>
      <c r="S49" s="6"/>
      <c r="T49" s="156"/>
      <c r="U49" s="6"/>
    </row>
    <row r="50" spans="1:21" customFormat="1">
      <c r="A50" s="201" t="s">
        <v>2202</v>
      </c>
      <c r="B50" s="100">
        <v>4</v>
      </c>
      <c r="C50" s="100">
        <v>5.57</v>
      </c>
      <c r="D50" s="100">
        <v>9.57</v>
      </c>
      <c r="E50" s="100">
        <v>5.47</v>
      </c>
      <c r="F50" s="100">
        <v>2</v>
      </c>
      <c r="G50" s="100">
        <v>27.6</v>
      </c>
      <c r="H50" s="100">
        <v>10.14</v>
      </c>
      <c r="I50" s="100">
        <v>7.77</v>
      </c>
      <c r="J50" s="152" t="s">
        <v>15</v>
      </c>
      <c r="K50" s="152" t="s">
        <v>15</v>
      </c>
      <c r="L50" s="152" t="s">
        <v>15</v>
      </c>
      <c r="M50" s="152" t="s">
        <v>15</v>
      </c>
      <c r="N50" s="152" t="s">
        <v>15</v>
      </c>
      <c r="O50" s="100">
        <v>0</v>
      </c>
      <c r="P50" s="100">
        <v>0.3</v>
      </c>
      <c r="Q50" s="100">
        <v>11.91</v>
      </c>
      <c r="R50" s="6"/>
      <c r="S50" s="6"/>
      <c r="T50" s="156"/>
      <c r="U50" s="6"/>
    </row>
    <row r="51" spans="1:21" customFormat="1">
      <c r="A51" s="201" t="s">
        <v>2203</v>
      </c>
      <c r="B51" s="100">
        <v>3.83</v>
      </c>
      <c r="C51" s="100">
        <v>5.57</v>
      </c>
      <c r="D51" s="100">
        <v>9.4</v>
      </c>
      <c r="E51" s="100">
        <v>5.46</v>
      </c>
      <c r="F51" s="100">
        <v>2</v>
      </c>
      <c r="G51" s="100">
        <v>36.07</v>
      </c>
      <c r="H51" s="100">
        <v>17.86</v>
      </c>
      <c r="I51" s="100">
        <v>7.76</v>
      </c>
      <c r="J51" s="152" t="s">
        <v>15</v>
      </c>
      <c r="K51" s="152" t="s">
        <v>15</v>
      </c>
      <c r="L51" s="152" t="s">
        <v>15</v>
      </c>
      <c r="M51" s="152" t="s">
        <v>15</v>
      </c>
      <c r="N51" s="152" t="s">
        <v>15</v>
      </c>
      <c r="O51" s="100">
        <v>0</v>
      </c>
      <c r="P51" s="100">
        <v>0.28999999999999998</v>
      </c>
      <c r="Q51" s="100">
        <v>15.47</v>
      </c>
      <c r="R51" s="6"/>
      <c r="S51" s="6"/>
      <c r="T51" s="156"/>
      <c r="U51" s="6"/>
    </row>
    <row r="52" spans="1:21" customFormat="1">
      <c r="A52" s="201" t="s">
        <v>2204</v>
      </c>
      <c r="B52" s="100">
        <v>3.64</v>
      </c>
      <c r="C52" s="100">
        <v>5.63</v>
      </c>
      <c r="D52" s="100">
        <v>9.27</v>
      </c>
      <c r="E52" s="100">
        <v>5.24</v>
      </c>
      <c r="F52" s="100">
        <v>2</v>
      </c>
      <c r="G52" s="100">
        <v>36.07</v>
      </c>
      <c r="H52" s="100">
        <v>17.86</v>
      </c>
      <c r="I52" s="100">
        <v>7.76</v>
      </c>
      <c r="J52" s="152" t="s">
        <v>15</v>
      </c>
      <c r="K52" s="152" t="s">
        <v>15</v>
      </c>
      <c r="L52" s="152" t="s">
        <v>15</v>
      </c>
      <c r="M52" s="152" t="s">
        <v>15</v>
      </c>
      <c r="N52" s="152" t="s">
        <v>15</v>
      </c>
      <c r="O52" s="100">
        <v>0</v>
      </c>
      <c r="P52" s="100">
        <v>0.3</v>
      </c>
      <c r="Q52" s="100">
        <v>12.19</v>
      </c>
      <c r="R52" s="6"/>
      <c r="S52" s="6"/>
      <c r="T52" s="156"/>
      <c r="U52" s="6"/>
    </row>
    <row r="53" spans="1:21" customFormat="1">
      <c r="A53" s="201" t="s">
        <v>2205</v>
      </c>
      <c r="B53" s="100">
        <v>3.46</v>
      </c>
      <c r="C53" s="100">
        <v>5.63</v>
      </c>
      <c r="D53" s="100">
        <v>9.09</v>
      </c>
      <c r="E53" s="100">
        <v>5.16</v>
      </c>
      <c r="F53" s="100">
        <v>2</v>
      </c>
      <c r="G53" s="100">
        <v>36.07</v>
      </c>
      <c r="H53" s="100">
        <v>17.86</v>
      </c>
      <c r="I53" s="100">
        <v>7.71</v>
      </c>
      <c r="J53" s="152" t="s">
        <v>15</v>
      </c>
      <c r="K53" s="152" t="s">
        <v>15</v>
      </c>
      <c r="L53" s="152" t="s">
        <v>15</v>
      </c>
      <c r="M53" s="152" t="s">
        <v>15</v>
      </c>
      <c r="N53" s="152" t="s">
        <v>15</v>
      </c>
      <c r="O53" s="100">
        <v>0</v>
      </c>
      <c r="P53" s="100">
        <v>0.3</v>
      </c>
      <c r="Q53" s="100">
        <v>11.38</v>
      </c>
      <c r="R53" s="6"/>
      <c r="S53" s="6"/>
      <c r="T53" s="156"/>
      <c r="U53" s="6"/>
    </row>
    <row r="54" spans="1:21" customFormat="1">
      <c r="A54" s="201" t="s">
        <v>2206</v>
      </c>
      <c r="B54" s="100">
        <v>3.25</v>
      </c>
      <c r="C54" s="100">
        <v>5.72</v>
      </c>
      <c r="D54" s="100">
        <v>8.9700000000000006</v>
      </c>
      <c r="E54" s="100">
        <v>5.0999999999999996</v>
      </c>
      <c r="F54" s="100">
        <v>2.33</v>
      </c>
      <c r="G54" s="100">
        <v>36.69</v>
      </c>
      <c r="H54" s="100">
        <v>18.05</v>
      </c>
      <c r="I54" s="100">
        <v>7.71</v>
      </c>
      <c r="J54" s="152" t="s">
        <v>15</v>
      </c>
      <c r="K54" s="152" t="s">
        <v>15</v>
      </c>
      <c r="L54" s="152" t="s">
        <v>15</v>
      </c>
      <c r="M54" s="152" t="s">
        <v>15</v>
      </c>
      <c r="N54" s="152" t="s">
        <v>15</v>
      </c>
      <c r="O54" s="100">
        <v>0</v>
      </c>
      <c r="P54" s="100">
        <v>0.31</v>
      </c>
      <c r="Q54" s="100">
        <v>10.130000000000001</v>
      </c>
      <c r="R54" s="6"/>
      <c r="S54" s="6"/>
      <c r="T54" s="156"/>
      <c r="U54" s="6"/>
    </row>
    <row r="55" spans="1:21" customFormat="1">
      <c r="A55" s="201" t="s">
        <v>2207</v>
      </c>
      <c r="B55" s="100">
        <v>3.11</v>
      </c>
      <c r="C55" s="100">
        <v>5.8</v>
      </c>
      <c r="D55" s="100">
        <v>8.92</v>
      </c>
      <c r="E55" s="100">
        <v>4.9800000000000004</v>
      </c>
      <c r="F55" s="100">
        <v>2.0299999999999998</v>
      </c>
      <c r="G55" s="100">
        <v>38.14</v>
      </c>
      <c r="H55" s="100">
        <v>18.34</v>
      </c>
      <c r="I55" s="100">
        <v>7.68</v>
      </c>
      <c r="J55" s="152" t="s">
        <v>15</v>
      </c>
      <c r="K55" s="152" t="s">
        <v>15</v>
      </c>
      <c r="L55" s="152" t="s">
        <v>15</v>
      </c>
      <c r="M55" s="152" t="s">
        <v>15</v>
      </c>
      <c r="N55" s="152" t="s">
        <v>15</v>
      </c>
      <c r="O55" s="100">
        <v>0</v>
      </c>
      <c r="P55" s="100">
        <v>0.31</v>
      </c>
      <c r="Q55" s="100">
        <v>10</v>
      </c>
      <c r="R55" s="6"/>
      <c r="S55" s="6"/>
      <c r="T55" s="156"/>
      <c r="U55" s="6"/>
    </row>
    <row r="56" spans="1:21" customFormat="1">
      <c r="A56" s="201" t="s">
        <v>2208</v>
      </c>
      <c r="B56" s="100">
        <v>3.01</v>
      </c>
      <c r="C56" s="100">
        <v>5.86</v>
      </c>
      <c r="D56" s="100">
        <v>8.8699999999999992</v>
      </c>
      <c r="E56" s="100">
        <v>5</v>
      </c>
      <c r="F56" s="100">
        <v>2</v>
      </c>
      <c r="G56" s="100">
        <v>38.14</v>
      </c>
      <c r="H56" s="100">
        <v>18.34</v>
      </c>
      <c r="I56" s="100">
        <v>7.59</v>
      </c>
      <c r="J56" s="152" t="s">
        <v>15</v>
      </c>
      <c r="K56" s="152" t="s">
        <v>15</v>
      </c>
      <c r="L56" s="152" t="s">
        <v>15</v>
      </c>
      <c r="M56" s="152" t="s">
        <v>15</v>
      </c>
      <c r="N56" s="152" t="s">
        <v>15</v>
      </c>
      <c r="O56" s="100">
        <v>0</v>
      </c>
      <c r="P56" s="100">
        <v>0.31</v>
      </c>
      <c r="Q56" s="100">
        <v>15.08</v>
      </c>
      <c r="R56" s="6"/>
      <c r="S56" s="6"/>
      <c r="T56" s="156"/>
      <c r="U56" s="6"/>
    </row>
    <row r="57" spans="1:21" customFormat="1">
      <c r="A57" s="201" t="s">
        <v>2209</v>
      </c>
      <c r="B57" s="100">
        <v>2.96</v>
      </c>
      <c r="C57" s="100">
        <v>5.93</v>
      </c>
      <c r="D57" s="100">
        <v>8.89</v>
      </c>
      <c r="E57" s="100">
        <v>5.0999999999999996</v>
      </c>
      <c r="F57" s="100">
        <v>2.2400000000000002</v>
      </c>
      <c r="G57" s="100">
        <v>38.14</v>
      </c>
      <c r="H57" s="100">
        <v>18.34</v>
      </c>
      <c r="I57" s="100">
        <v>7.59</v>
      </c>
      <c r="J57" s="152" t="s">
        <v>15</v>
      </c>
      <c r="K57" s="152" t="s">
        <v>15</v>
      </c>
      <c r="L57" s="152" t="s">
        <v>15</v>
      </c>
      <c r="M57" s="152" t="s">
        <v>15</v>
      </c>
      <c r="N57" s="152" t="s">
        <v>15</v>
      </c>
      <c r="O57" s="100">
        <v>0</v>
      </c>
      <c r="P57" s="100">
        <v>0.32</v>
      </c>
      <c r="Q57" s="100">
        <v>14.04</v>
      </c>
      <c r="R57" s="6"/>
      <c r="S57" s="6"/>
      <c r="T57" s="156"/>
      <c r="U57" s="6"/>
    </row>
    <row r="58" spans="1:21" customFormat="1">
      <c r="A58" s="201" t="s">
        <v>2210</v>
      </c>
      <c r="B58" s="100">
        <v>2.89</v>
      </c>
      <c r="C58" s="100">
        <v>5.95</v>
      </c>
      <c r="D58" s="100">
        <v>8.84</v>
      </c>
      <c r="E58" s="100">
        <v>5.13</v>
      </c>
      <c r="F58" s="100">
        <v>2.13</v>
      </c>
      <c r="G58" s="100">
        <v>43.8</v>
      </c>
      <c r="H58" s="100">
        <v>18.16</v>
      </c>
      <c r="I58" s="100">
        <v>7.31</v>
      </c>
      <c r="J58" s="152" t="s">
        <v>15</v>
      </c>
      <c r="K58" s="152" t="s">
        <v>15</v>
      </c>
      <c r="L58" s="152" t="s">
        <v>15</v>
      </c>
      <c r="M58" s="152" t="s">
        <v>15</v>
      </c>
      <c r="N58" s="152" t="s">
        <v>15</v>
      </c>
      <c r="O58" s="100">
        <v>0</v>
      </c>
      <c r="P58" s="100">
        <v>0.32</v>
      </c>
      <c r="Q58" s="100">
        <v>9.9700000000000006</v>
      </c>
      <c r="R58" s="6"/>
      <c r="S58" s="6"/>
      <c r="T58" s="156"/>
      <c r="U58" s="6"/>
    </row>
    <row r="59" spans="1:21" customFormat="1">
      <c r="A59" s="201" t="s">
        <v>2211</v>
      </c>
      <c r="B59" s="100">
        <v>2.83</v>
      </c>
      <c r="C59" s="100">
        <v>5.92</v>
      </c>
      <c r="D59" s="100">
        <v>8.75</v>
      </c>
      <c r="E59" s="100">
        <v>4.84</v>
      </c>
      <c r="F59" s="100">
        <v>3.2</v>
      </c>
      <c r="G59" s="100">
        <v>57.01</v>
      </c>
      <c r="H59" s="100">
        <v>17.89</v>
      </c>
      <c r="I59" s="100">
        <v>7.24</v>
      </c>
      <c r="J59" s="152" t="s">
        <v>15</v>
      </c>
      <c r="K59" s="152" t="s">
        <v>15</v>
      </c>
      <c r="L59" s="152" t="s">
        <v>15</v>
      </c>
      <c r="M59" s="152" t="s">
        <v>15</v>
      </c>
      <c r="N59" s="152" t="s">
        <v>15</v>
      </c>
      <c r="O59" s="100">
        <v>0</v>
      </c>
      <c r="P59" s="100">
        <v>0.32</v>
      </c>
      <c r="Q59" s="100">
        <v>10.06</v>
      </c>
      <c r="R59" s="6"/>
      <c r="S59" s="6"/>
      <c r="T59" s="156"/>
      <c r="U59" s="6"/>
    </row>
    <row r="60" spans="1:21" customFormat="1">
      <c r="A60" s="201" t="s">
        <v>2212</v>
      </c>
      <c r="B60" s="100">
        <v>2.81</v>
      </c>
      <c r="C60" s="100">
        <v>5.89</v>
      </c>
      <c r="D60" s="100">
        <v>8.6999999999999993</v>
      </c>
      <c r="E60" s="100">
        <v>4.9800000000000004</v>
      </c>
      <c r="F60" s="100">
        <v>2</v>
      </c>
      <c r="G60" s="100">
        <v>57.01</v>
      </c>
      <c r="H60" s="100">
        <v>17.89</v>
      </c>
      <c r="I60" s="100">
        <v>7.17</v>
      </c>
      <c r="J60" s="152" t="s">
        <v>15</v>
      </c>
      <c r="K60" s="152" t="s">
        <v>15</v>
      </c>
      <c r="L60" s="152" t="s">
        <v>15</v>
      </c>
      <c r="M60" s="152" t="s">
        <v>15</v>
      </c>
      <c r="N60" s="152" t="s">
        <v>15</v>
      </c>
      <c r="O60" s="100">
        <v>0</v>
      </c>
      <c r="P60" s="100">
        <v>0.31</v>
      </c>
      <c r="Q60" s="100">
        <v>12.36</v>
      </c>
      <c r="R60" s="6"/>
      <c r="S60" s="6"/>
      <c r="T60" s="156"/>
      <c r="U60" s="6"/>
    </row>
    <row r="61" spans="1:21" customFormat="1">
      <c r="A61" s="201" t="s">
        <v>2213</v>
      </c>
      <c r="B61" s="100">
        <v>2.76</v>
      </c>
      <c r="C61" s="100">
        <v>5.82</v>
      </c>
      <c r="D61" s="100">
        <v>8.58</v>
      </c>
      <c r="E61" s="100">
        <v>4.88</v>
      </c>
      <c r="F61" s="100">
        <v>2</v>
      </c>
      <c r="G61" s="100">
        <v>57.01</v>
      </c>
      <c r="H61" s="100">
        <v>17.89</v>
      </c>
      <c r="I61" s="100">
        <v>6.94</v>
      </c>
      <c r="J61" s="152" t="s">
        <v>15</v>
      </c>
      <c r="K61" s="152" t="s">
        <v>15</v>
      </c>
      <c r="L61" s="152" t="s">
        <v>15</v>
      </c>
      <c r="M61" s="152" t="s">
        <v>15</v>
      </c>
      <c r="N61" s="152" t="s">
        <v>15</v>
      </c>
      <c r="O61" s="100">
        <v>0</v>
      </c>
      <c r="P61" s="100">
        <v>0.32</v>
      </c>
      <c r="Q61" s="100">
        <v>11.79</v>
      </c>
      <c r="R61" s="6"/>
      <c r="S61" s="6"/>
      <c r="T61" s="156"/>
      <c r="U61" s="6"/>
    </row>
    <row r="62" spans="1:21" customFormat="1">
      <c r="A62" s="201" t="s">
        <v>2214</v>
      </c>
      <c r="B62" s="100">
        <v>2.64</v>
      </c>
      <c r="C62" s="100">
        <v>5.86</v>
      </c>
      <c r="D62" s="100">
        <v>8.5</v>
      </c>
      <c r="E62" s="100">
        <v>4.7699999999999996</v>
      </c>
      <c r="F62" s="100">
        <v>2.93</v>
      </c>
      <c r="G62" s="100">
        <v>57.02</v>
      </c>
      <c r="H62" s="100">
        <v>19.93</v>
      </c>
      <c r="I62" s="100">
        <v>6.96</v>
      </c>
      <c r="J62" s="152" t="s">
        <v>15</v>
      </c>
      <c r="K62" s="152" t="s">
        <v>15</v>
      </c>
      <c r="L62" s="152" t="s">
        <v>15</v>
      </c>
      <c r="M62" s="152" t="s">
        <v>15</v>
      </c>
      <c r="N62" s="152" t="s">
        <v>15</v>
      </c>
      <c r="O62" s="100">
        <v>0</v>
      </c>
      <c r="P62" s="100">
        <v>0.34</v>
      </c>
      <c r="Q62" s="100">
        <v>10</v>
      </c>
      <c r="R62" s="6"/>
      <c r="S62" s="6"/>
      <c r="T62" s="156"/>
      <c r="U62" s="6"/>
    </row>
    <row r="63" spans="1:21" customFormat="1">
      <c r="A63" s="201" t="s">
        <v>2215</v>
      </c>
      <c r="B63" s="100">
        <v>2.4500000000000002</v>
      </c>
      <c r="C63" s="100">
        <v>5.96</v>
      </c>
      <c r="D63" s="100">
        <v>8.41</v>
      </c>
      <c r="E63" s="100">
        <v>4.8099999999999996</v>
      </c>
      <c r="F63" s="100">
        <v>2.46</v>
      </c>
      <c r="G63" s="100">
        <v>57.03</v>
      </c>
      <c r="H63" s="100">
        <v>23.08</v>
      </c>
      <c r="I63" s="100">
        <v>6.9</v>
      </c>
      <c r="J63" s="152" t="s">
        <v>15</v>
      </c>
      <c r="K63" s="152" t="s">
        <v>15</v>
      </c>
      <c r="L63" s="152" t="s">
        <v>15</v>
      </c>
      <c r="M63" s="152" t="s">
        <v>15</v>
      </c>
      <c r="N63" s="152" t="s">
        <v>15</v>
      </c>
      <c r="O63" s="100">
        <v>0</v>
      </c>
      <c r="P63" s="100">
        <v>0.34</v>
      </c>
      <c r="Q63" s="100">
        <v>9.67</v>
      </c>
      <c r="R63" s="6"/>
      <c r="S63" s="6"/>
      <c r="T63" s="156"/>
      <c r="U63" s="6"/>
    </row>
    <row r="64" spans="1:21" customFormat="1">
      <c r="A64" s="201" t="s">
        <v>2216</v>
      </c>
      <c r="B64" s="100">
        <v>2.2999999999999998</v>
      </c>
      <c r="C64" s="100">
        <v>6.01</v>
      </c>
      <c r="D64" s="100">
        <v>8.31</v>
      </c>
      <c r="E64" s="100">
        <v>5.05</v>
      </c>
      <c r="F64" s="100">
        <v>3.55</v>
      </c>
      <c r="G64" s="100">
        <v>57.03</v>
      </c>
      <c r="H64" s="100">
        <v>23.08</v>
      </c>
      <c r="I64" s="100">
        <v>6.61</v>
      </c>
      <c r="J64" s="152" t="s">
        <v>15</v>
      </c>
      <c r="K64" s="152" t="s">
        <v>15</v>
      </c>
      <c r="L64" s="152" t="s">
        <v>15</v>
      </c>
      <c r="M64" s="152" t="s">
        <v>15</v>
      </c>
      <c r="N64" s="152" t="s">
        <v>15</v>
      </c>
      <c r="O64" s="100">
        <v>0</v>
      </c>
      <c r="P64" s="100">
        <v>0.34</v>
      </c>
      <c r="Q64" s="100">
        <v>10</v>
      </c>
      <c r="R64" s="6"/>
      <c r="S64" s="6"/>
      <c r="T64" s="156"/>
      <c r="U64" s="6"/>
    </row>
    <row r="65" spans="1:21" customFormat="1">
      <c r="A65" s="201" t="s">
        <v>2217</v>
      </c>
      <c r="B65" s="100">
        <v>2.2599999999999998</v>
      </c>
      <c r="C65" s="100">
        <v>6.04</v>
      </c>
      <c r="D65" s="100">
        <v>8.3000000000000007</v>
      </c>
      <c r="E65" s="100">
        <v>5.0199999999999996</v>
      </c>
      <c r="F65" s="100">
        <v>2.5299999999999998</v>
      </c>
      <c r="G65" s="100">
        <v>57.03</v>
      </c>
      <c r="H65" s="100">
        <v>23.08</v>
      </c>
      <c r="I65" s="100">
        <v>6.49</v>
      </c>
      <c r="J65" s="152" t="s">
        <v>15</v>
      </c>
      <c r="K65" s="152" t="s">
        <v>15</v>
      </c>
      <c r="L65" s="152" t="s">
        <v>15</v>
      </c>
      <c r="M65" s="152" t="s">
        <v>15</v>
      </c>
      <c r="N65" s="152" t="s">
        <v>15</v>
      </c>
      <c r="O65" s="100">
        <v>0</v>
      </c>
      <c r="P65" s="100">
        <v>0.28999999999999998</v>
      </c>
      <c r="Q65" s="100">
        <v>10.35</v>
      </c>
      <c r="R65" s="6"/>
      <c r="S65" s="6"/>
      <c r="T65" s="156"/>
      <c r="U65" s="6"/>
    </row>
    <row r="66" spans="1:21" customFormat="1">
      <c r="A66" s="201" t="s">
        <v>2218</v>
      </c>
      <c r="B66" s="100">
        <v>2.2400000000000002</v>
      </c>
      <c r="C66" s="100">
        <v>6.01</v>
      </c>
      <c r="D66" s="100">
        <v>8.26</v>
      </c>
      <c r="E66" s="100">
        <v>5.34</v>
      </c>
      <c r="F66" s="100">
        <v>5.41</v>
      </c>
      <c r="G66" s="100">
        <v>57.89</v>
      </c>
      <c r="H66" s="100">
        <v>23.2</v>
      </c>
      <c r="I66" s="100">
        <v>6.24</v>
      </c>
      <c r="J66" s="152" t="s">
        <v>15</v>
      </c>
      <c r="K66" s="152" t="s">
        <v>15</v>
      </c>
      <c r="L66" s="152" t="s">
        <v>15</v>
      </c>
      <c r="M66" s="152" t="s">
        <v>15</v>
      </c>
      <c r="N66" s="152" t="s">
        <v>15</v>
      </c>
      <c r="O66" s="100">
        <v>0</v>
      </c>
      <c r="P66" s="100">
        <v>0.3</v>
      </c>
      <c r="Q66" s="100">
        <v>10.88</v>
      </c>
      <c r="R66" s="6"/>
      <c r="S66" s="6"/>
      <c r="T66" s="156"/>
      <c r="U66" s="6"/>
    </row>
    <row r="67" spans="1:21" customFormat="1">
      <c r="A67" s="201" t="s">
        <v>2219</v>
      </c>
      <c r="B67" s="100">
        <v>2.2200000000000002</v>
      </c>
      <c r="C67" s="100">
        <v>5.97</v>
      </c>
      <c r="D67" s="100">
        <v>8.18</v>
      </c>
      <c r="E67" s="100">
        <v>5.48</v>
      </c>
      <c r="F67" s="100">
        <v>2.66</v>
      </c>
      <c r="G67" s="100">
        <v>59.9</v>
      </c>
      <c r="H67" s="100">
        <v>23.66</v>
      </c>
      <c r="I67" s="100">
        <v>6.16</v>
      </c>
      <c r="J67" s="152" t="s">
        <v>15</v>
      </c>
      <c r="K67" s="152" t="s">
        <v>15</v>
      </c>
      <c r="L67" s="152" t="s">
        <v>15</v>
      </c>
      <c r="M67" s="152" t="s">
        <v>15</v>
      </c>
      <c r="N67" s="152" t="s">
        <v>15</v>
      </c>
      <c r="O67" s="100">
        <v>0</v>
      </c>
      <c r="P67" s="100">
        <v>0.28999999999999998</v>
      </c>
      <c r="Q67" s="100">
        <v>10</v>
      </c>
      <c r="R67" s="6"/>
      <c r="S67" s="6"/>
      <c r="T67" s="156"/>
      <c r="U67" s="6"/>
    </row>
    <row r="68" spans="1:21" customFormat="1">
      <c r="A68" s="201" t="s">
        <v>2220</v>
      </c>
      <c r="B68" s="100">
        <v>2.21</v>
      </c>
      <c r="C68" s="100">
        <v>5.92</v>
      </c>
      <c r="D68" s="100">
        <v>8.1300000000000008</v>
      </c>
      <c r="E68" s="100">
        <v>5.35</v>
      </c>
      <c r="F68" s="100">
        <v>2.15</v>
      </c>
      <c r="G68" s="100">
        <v>59.9</v>
      </c>
      <c r="H68" s="100">
        <v>23.66</v>
      </c>
      <c r="I68" s="100">
        <v>5.88</v>
      </c>
      <c r="J68" s="152" t="s">
        <v>15</v>
      </c>
      <c r="K68" s="152" t="s">
        <v>15</v>
      </c>
      <c r="L68" s="152" t="s">
        <v>15</v>
      </c>
      <c r="M68" s="152" t="s">
        <v>15</v>
      </c>
      <c r="N68" s="152" t="s">
        <v>15</v>
      </c>
      <c r="O68" s="100">
        <v>0</v>
      </c>
      <c r="P68" s="100">
        <v>0.28999999999999998</v>
      </c>
      <c r="Q68" s="100">
        <v>10.09</v>
      </c>
      <c r="R68" s="6"/>
      <c r="S68" s="6"/>
      <c r="T68" s="156"/>
      <c r="U68" s="6"/>
    </row>
    <row r="69" spans="1:21" customFormat="1">
      <c r="A69" s="201" t="s">
        <v>2221</v>
      </c>
      <c r="B69" s="100">
        <v>2.2000000000000002</v>
      </c>
      <c r="C69" s="100">
        <v>5.89</v>
      </c>
      <c r="D69" s="100">
        <v>8.09</v>
      </c>
      <c r="E69" s="100">
        <v>5.56</v>
      </c>
      <c r="F69" s="100">
        <v>2.4700000000000002</v>
      </c>
      <c r="G69" s="100">
        <v>59.9</v>
      </c>
      <c r="H69" s="100">
        <v>23.66</v>
      </c>
      <c r="I69" s="100">
        <v>5.99</v>
      </c>
      <c r="J69" s="152" t="s">
        <v>15</v>
      </c>
      <c r="K69" s="152" t="s">
        <v>15</v>
      </c>
      <c r="L69" s="152" t="s">
        <v>15</v>
      </c>
      <c r="M69" s="152" t="s">
        <v>15</v>
      </c>
      <c r="N69" s="152" t="s">
        <v>15</v>
      </c>
      <c r="O69" s="100">
        <v>0</v>
      </c>
      <c r="P69" s="100">
        <v>0.28999999999999998</v>
      </c>
      <c r="Q69" s="100">
        <v>10.89</v>
      </c>
      <c r="R69" s="6"/>
      <c r="S69" s="6"/>
      <c r="T69" s="156"/>
      <c r="U69" s="6"/>
    </row>
    <row r="70" spans="1:21" customFormat="1">
      <c r="A70" s="201" t="s">
        <v>2222</v>
      </c>
      <c r="B70" s="100">
        <v>2.1800000000000002</v>
      </c>
      <c r="C70" s="100">
        <v>5.98</v>
      </c>
      <c r="D70" s="100">
        <v>8.16</v>
      </c>
      <c r="E70" s="100">
        <v>5.63</v>
      </c>
      <c r="F70" s="100">
        <v>2.0699999999999998</v>
      </c>
      <c r="G70" s="100">
        <v>58.52</v>
      </c>
      <c r="H70" s="100">
        <v>23.49</v>
      </c>
      <c r="I70" s="100">
        <v>5.86</v>
      </c>
      <c r="J70" s="152" t="s">
        <v>15</v>
      </c>
      <c r="K70" s="152" t="s">
        <v>15</v>
      </c>
      <c r="L70" s="152" t="s">
        <v>15</v>
      </c>
      <c r="M70" s="152" t="s">
        <v>15</v>
      </c>
      <c r="N70" s="152" t="s">
        <v>15</v>
      </c>
      <c r="O70" s="100">
        <v>0</v>
      </c>
      <c r="P70" s="100">
        <v>0.28999999999999998</v>
      </c>
      <c r="Q70" s="100">
        <v>10.8</v>
      </c>
      <c r="R70" s="6"/>
      <c r="S70" s="6"/>
      <c r="T70" s="156"/>
      <c r="U70" s="6"/>
    </row>
    <row r="71" spans="1:21" customFormat="1">
      <c r="A71" s="201" t="s">
        <v>2223</v>
      </c>
      <c r="B71" s="100">
        <v>2.25</v>
      </c>
      <c r="C71" s="100">
        <v>5.99</v>
      </c>
      <c r="D71" s="100">
        <v>8.23</v>
      </c>
      <c r="E71" s="100">
        <v>5.76</v>
      </c>
      <c r="F71" s="100">
        <v>2.3199999999999998</v>
      </c>
      <c r="G71" s="100">
        <v>55.3</v>
      </c>
      <c r="H71" s="100">
        <v>23.22</v>
      </c>
      <c r="I71" s="100">
        <v>5.74</v>
      </c>
      <c r="J71" s="152" t="s">
        <v>15</v>
      </c>
      <c r="K71" s="152" t="s">
        <v>15</v>
      </c>
      <c r="L71" s="152" t="s">
        <v>15</v>
      </c>
      <c r="M71" s="152" t="s">
        <v>15</v>
      </c>
      <c r="N71" s="152" t="s">
        <v>15</v>
      </c>
      <c r="O71" s="100">
        <v>0</v>
      </c>
      <c r="P71" s="100">
        <v>0.28999999999999998</v>
      </c>
      <c r="Q71" s="100">
        <v>10</v>
      </c>
      <c r="R71" s="6"/>
      <c r="S71" s="6"/>
      <c r="T71" s="156"/>
      <c r="U71" s="6"/>
    </row>
    <row r="72" spans="1:21" customFormat="1">
      <c r="A72" s="201" t="s">
        <v>2224</v>
      </c>
      <c r="B72" s="100">
        <v>2.2999999999999998</v>
      </c>
      <c r="C72" s="100">
        <v>5.98</v>
      </c>
      <c r="D72" s="100">
        <v>8.2799999999999994</v>
      </c>
      <c r="E72" s="100">
        <v>5.51</v>
      </c>
      <c r="F72" s="100">
        <v>2.2400000000000002</v>
      </c>
      <c r="G72" s="100">
        <v>55.3</v>
      </c>
      <c r="H72" s="100">
        <v>23.22</v>
      </c>
      <c r="I72" s="100">
        <v>5.65</v>
      </c>
      <c r="J72" s="152" t="s">
        <v>15</v>
      </c>
      <c r="K72" s="152" t="s">
        <v>15</v>
      </c>
      <c r="L72" s="152" t="s">
        <v>15</v>
      </c>
      <c r="M72" s="152" t="s">
        <v>15</v>
      </c>
      <c r="N72" s="152" t="s">
        <v>15</v>
      </c>
      <c r="O72" s="100">
        <v>0</v>
      </c>
      <c r="P72" s="100">
        <v>0.28999999999999998</v>
      </c>
      <c r="Q72" s="100">
        <v>10</v>
      </c>
      <c r="R72" s="6"/>
      <c r="S72" s="6"/>
      <c r="T72" s="156"/>
      <c r="U72" s="6"/>
    </row>
    <row r="73" spans="1:21" customFormat="1">
      <c r="A73" s="201" t="s">
        <v>2225</v>
      </c>
      <c r="B73" s="100">
        <v>2.35</v>
      </c>
      <c r="C73" s="100">
        <v>6.09</v>
      </c>
      <c r="D73" s="100">
        <v>8.44</v>
      </c>
      <c r="E73" s="100">
        <v>5.7</v>
      </c>
      <c r="F73" s="100">
        <v>2.21</v>
      </c>
      <c r="G73" s="100">
        <v>55.3</v>
      </c>
      <c r="H73" s="100">
        <v>23.22</v>
      </c>
      <c r="I73" s="100">
        <v>5.49</v>
      </c>
      <c r="J73" s="152" t="s">
        <v>15</v>
      </c>
      <c r="K73" s="152" t="s">
        <v>15</v>
      </c>
      <c r="L73" s="152" t="s">
        <v>15</v>
      </c>
      <c r="M73" s="152" t="s">
        <v>15</v>
      </c>
      <c r="N73" s="152" t="s">
        <v>15</v>
      </c>
      <c r="O73" s="100">
        <v>0</v>
      </c>
      <c r="P73" s="100">
        <v>0.3</v>
      </c>
      <c r="Q73" s="100">
        <v>10</v>
      </c>
      <c r="R73" s="6"/>
      <c r="S73" s="6"/>
      <c r="T73" s="156"/>
      <c r="U73" s="6"/>
    </row>
    <row r="74" spans="1:21" customFormat="1">
      <c r="A74" s="201" t="s">
        <v>2226</v>
      </c>
      <c r="B74" s="100">
        <v>2.36</v>
      </c>
      <c r="C74" s="100">
        <v>6.11</v>
      </c>
      <c r="D74" s="100">
        <v>8.48</v>
      </c>
      <c r="E74" s="100">
        <v>5.85</v>
      </c>
      <c r="F74" s="100">
        <v>3.36</v>
      </c>
      <c r="G74" s="100">
        <v>56.15</v>
      </c>
      <c r="H74" s="100">
        <v>23.94</v>
      </c>
      <c r="I74" s="100">
        <v>5.5</v>
      </c>
      <c r="J74" s="152" t="s">
        <v>15</v>
      </c>
      <c r="K74" s="152" t="s">
        <v>15</v>
      </c>
      <c r="L74" s="152" t="s">
        <v>15</v>
      </c>
      <c r="M74" s="152" t="s">
        <v>15</v>
      </c>
      <c r="N74" s="152" t="s">
        <v>15</v>
      </c>
      <c r="O74" s="100">
        <v>0</v>
      </c>
      <c r="P74" s="100">
        <v>0.28999999999999998</v>
      </c>
      <c r="Q74" s="100">
        <v>10.61</v>
      </c>
      <c r="R74" s="6"/>
      <c r="S74" s="6"/>
      <c r="T74" s="156"/>
      <c r="U74" s="6"/>
    </row>
    <row r="75" spans="1:21" customFormat="1">
      <c r="A75" s="201" t="s">
        <v>2227</v>
      </c>
      <c r="B75" s="100">
        <v>2.38</v>
      </c>
      <c r="C75" s="100">
        <v>6.15</v>
      </c>
      <c r="D75" s="100">
        <v>8.5399999999999991</v>
      </c>
      <c r="E75" s="100">
        <v>5.83</v>
      </c>
      <c r="F75" s="100">
        <v>2.1800000000000002</v>
      </c>
      <c r="G75" s="100">
        <v>58.15</v>
      </c>
      <c r="H75" s="100">
        <v>25.03</v>
      </c>
      <c r="I75" s="100">
        <v>5.46</v>
      </c>
      <c r="J75" s="152" t="s">
        <v>15</v>
      </c>
      <c r="K75" s="152" t="s">
        <v>15</v>
      </c>
      <c r="L75" s="152" t="s">
        <v>15</v>
      </c>
      <c r="M75" s="152" t="s">
        <v>15</v>
      </c>
      <c r="N75" s="152" t="s">
        <v>15</v>
      </c>
      <c r="O75" s="100">
        <v>0</v>
      </c>
      <c r="P75" s="100">
        <v>0.28999999999999998</v>
      </c>
      <c r="Q75" s="100">
        <v>14.59</v>
      </c>
      <c r="R75" s="6"/>
      <c r="S75" s="6"/>
      <c r="T75" s="156"/>
      <c r="U75" s="6"/>
    </row>
    <row r="76" spans="1:21" customFormat="1">
      <c r="A76" s="201" t="s">
        <v>2228</v>
      </c>
      <c r="B76" s="100">
        <v>2.4700000000000002</v>
      </c>
      <c r="C76" s="100">
        <v>6.15</v>
      </c>
      <c r="D76" s="100">
        <v>8.6199999999999992</v>
      </c>
      <c r="E76" s="100">
        <v>6</v>
      </c>
      <c r="F76" s="100">
        <v>2.0299999999999998</v>
      </c>
      <c r="G76" s="100">
        <v>58.15</v>
      </c>
      <c r="H76" s="100">
        <v>25.03</v>
      </c>
      <c r="I76" s="100">
        <v>5.39</v>
      </c>
      <c r="J76" s="152" t="s">
        <v>15</v>
      </c>
      <c r="K76" s="152" t="s">
        <v>15</v>
      </c>
      <c r="L76" s="152" t="s">
        <v>15</v>
      </c>
      <c r="M76" s="152" t="s">
        <v>15</v>
      </c>
      <c r="N76" s="152" t="s">
        <v>15</v>
      </c>
      <c r="O76" s="100">
        <v>0</v>
      </c>
      <c r="P76" s="100">
        <v>0.28999999999999998</v>
      </c>
      <c r="Q76" s="100">
        <v>12.29</v>
      </c>
      <c r="R76" s="6"/>
      <c r="S76" s="6"/>
      <c r="T76" s="156"/>
      <c r="U76" s="6"/>
    </row>
    <row r="77" spans="1:21" customFormat="1">
      <c r="A77" s="201" t="s">
        <v>2229</v>
      </c>
      <c r="B77" s="100">
        <v>2.61</v>
      </c>
      <c r="C77" s="100">
        <v>6.26</v>
      </c>
      <c r="D77" s="100">
        <v>8.8699999999999992</v>
      </c>
      <c r="E77" s="100">
        <v>5.99</v>
      </c>
      <c r="F77" s="100">
        <v>2</v>
      </c>
      <c r="G77" s="100">
        <v>58.15</v>
      </c>
      <c r="H77" s="100">
        <v>25.03</v>
      </c>
      <c r="I77" s="100">
        <v>5.36</v>
      </c>
      <c r="J77" s="152" t="s">
        <v>15</v>
      </c>
      <c r="K77" s="152" t="s">
        <v>15</v>
      </c>
      <c r="L77" s="152" t="s">
        <v>15</v>
      </c>
      <c r="M77" s="152" t="s">
        <v>15</v>
      </c>
      <c r="N77" s="152" t="s">
        <v>15</v>
      </c>
      <c r="O77" s="100">
        <v>0</v>
      </c>
      <c r="P77" s="100">
        <v>0.3</v>
      </c>
      <c r="Q77" s="100">
        <v>10.49</v>
      </c>
      <c r="R77" s="6"/>
      <c r="S77" s="6"/>
      <c r="T77" s="156"/>
      <c r="U77" s="6"/>
    </row>
    <row r="78" spans="1:21" customFormat="1">
      <c r="A78" s="201" t="s">
        <v>2230</v>
      </c>
      <c r="B78" s="100">
        <v>2.75</v>
      </c>
      <c r="C78" s="100">
        <v>6.27</v>
      </c>
      <c r="D78" s="100">
        <v>9.02</v>
      </c>
      <c r="E78" s="100">
        <v>6.03</v>
      </c>
      <c r="F78" s="100">
        <v>2.21</v>
      </c>
      <c r="G78" s="100">
        <v>58.91</v>
      </c>
      <c r="H78" s="100">
        <v>24.81</v>
      </c>
      <c r="I78" s="100">
        <v>5.32</v>
      </c>
      <c r="J78" s="152" t="s">
        <v>15</v>
      </c>
      <c r="K78" s="152" t="s">
        <v>15</v>
      </c>
      <c r="L78" s="152" t="s">
        <v>15</v>
      </c>
      <c r="M78" s="152" t="s">
        <v>15</v>
      </c>
      <c r="N78" s="152" t="s">
        <v>15</v>
      </c>
      <c r="O78" s="100">
        <v>0</v>
      </c>
      <c r="P78" s="100">
        <v>0.32</v>
      </c>
      <c r="Q78" s="100">
        <v>10.61</v>
      </c>
      <c r="R78" s="6"/>
      <c r="S78" s="6"/>
      <c r="T78" s="156"/>
      <c r="U78" s="6"/>
    </row>
    <row r="79" spans="1:21" customFormat="1">
      <c r="A79" s="201" t="s">
        <v>2231</v>
      </c>
      <c r="B79" s="100">
        <v>2.88</v>
      </c>
      <c r="C79" s="100">
        <v>6.31</v>
      </c>
      <c r="D79" s="100">
        <v>9.19</v>
      </c>
      <c r="E79" s="100">
        <v>5.88</v>
      </c>
      <c r="F79" s="100">
        <v>2</v>
      </c>
      <c r="G79" s="100">
        <v>60.68</v>
      </c>
      <c r="H79" s="100">
        <v>24.46</v>
      </c>
      <c r="I79" s="100">
        <v>5.31</v>
      </c>
      <c r="J79" s="152" t="s">
        <v>15</v>
      </c>
      <c r="K79" s="152" t="s">
        <v>15</v>
      </c>
      <c r="L79" s="152" t="s">
        <v>15</v>
      </c>
      <c r="M79" s="152" t="s">
        <v>15</v>
      </c>
      <c r="N79" s="152" t="s">
        <v>15</v>
      </c>
      <c r="O79" s="100">
        <v>0</v>
      </c>
      <c r="P79" s="100">
        <v>0.31</v>
      </c>
      <c r="Q79" s="100">
        <v>12.9</v>
      </c>
      <c r="R79" s="6"/>
      <c r="S79" s="6"/>
      <c r="T79" s="156"/>
      <c r="U79" s="6"/>
    </row>
    <row r="80" spans="1:21" customFormat="1">
      <c r="A80" s="201" t="s">
        <v>2232</v>
      </c>
      <c r="B80" s="100">
        <v>2.97</v>
      </c>
      <c r="C80" s="100">
        <v>6.3</v>
      </c>
      <c r="D80" s="100">
        <v>9.27</v>
      </c>
      <c r="E80" s="100">
        <v>5.88</v>
      </c>
      <c r="F80" s="100">
        <v>2</v>
      </c>
      <c r="G80" s="100">
        <v>60.68</v>
      </c>
      <c r="H80" s="100">
        <v>24.46</v>
      </c>
      <c r="I80" s="100">
        <v>5.43</v>
      </c>
      <c r="J80" s="152" t="s">
        <v>15</v>
      </c>
      <c r="K80" s="152" t="s">
        <v>15</v>
      </c>
      <c r="L80" s="152" t="s">
        <v>15</v>
      </c>
      <c r="M80" s="152" t="s">
        <v>15</v>
      </c>
      <c r="N80" s="152" t="s">
        <v>15</v>
      </c>
      <c r="O80" s="100">
        <v>0</v>
      </c>
      <c r="P80" s="100">
        <v>0.32</v>
      </c>
      <c r="Q80" s="100">
        <v>11.03</v>
      </c>
      <c r="R80" s="6"/>
      <c r="S80" s="6"/>
      <c r="T80" s="156"/>
      <c r="U80" s="6"/>
    </row>
    <row r="81" spans="1:21" customFormat="1">
      <c r="A81" s="201" t="s">
        <v>2233</v>
      </c>
      <c r="B81" s="100">
        <v>2.94</v>
      </c>
      <c r="C81" s="100">
        <v>6.11</v>
      </c>
      <c r="D81" s="100">
        <v>9.0500000000000007</v>
      </c>
      <c r="E81" s="100">
        <v>4.24</v>
      </c>
      <c r="F81" s="100">
        <v>2</v>
      </c>
      <c r="G81" s="100">
        <v>60.68</v>
      </c>
      <c r="H81" s="100">
        <v>24.46</v>
      </c>
      <c r="I81" s="100">
        <v>5.42</v>
      </c>
      <c r="J81" s="152" t="s">
        <v>15</v>
      </c>
      <c r="K81" s="152" t="s">
        <v>15</v>
      </c>
      <c r="L81" s="152" t="s">
        <v>15</v>
      </c>
      <c r="M81" s="152" t="s">
        <v>15</v>
      </c>
      <c r="N81" s="152" t="s">
        <v>15</v>
      </c>
      <c r="O81" s="100">
        <v>0</v>
      </c>
      <c r="P81" s="100">
        <v>0.31</v>
      </c>
      <c r="Q81" s="100">
        <v>10.18</v>
      </c>
      <c r="R81" s="6"/>
      <c r="S81" s="6"/>
      <c r="T81" s="156"/>
      <c r="U81" s="6"/>
    </row>
    <row r="82" spans="1:21" customFormat="1">
      <c r="A82" s="201" t="s">
        <v>2234</v>
      </c>
      <c r="B82" s="100">
        <v>2.9</v>
      </c>
      <c r="C82" s="100">
        <v>5.94</v>
      </c>
      <c r="D82" s="100">
        <v>8.83</v>
      </c>
      <c r="E82" s="100">
        <v>5.22</v>
      </c>
      <c r="F82" s="100">
        <v>2</v>
      </c>
      <c r="G82" s="100">
        <v>60.86</v>
      </c>
      <c r="H82" s="100">
        <v>24.61</v>
      </c>
      <c r="I82" s="100">
        <v>5.36</v>
      </c>
      <c r="J82" s="152" t="s">
        <v>15</v>
      </c>
      <c r="K82" s="152" t="s">
        <v>15</v>
      </c>
      <c r="L82" s="152" t="s">
        <v>15</v>
      </c>
      <c r="M82" s="152" t="s">
        <v>15</v>
      </c>
      <c r="N82" s="152" t="s">
        <v>15</v>
      </c>
      <c r="O82" s="100">
        <v>0</v>
      </c>
      <c r="P82" s="100">
        <v>0.31</v>
      </c>
      <c r="Q82" s="100">
        <v>9.84</v>
      </c>
      <c r="R82" s="6"/>
      <c r="S82" s="6"/>
      <c r="T82" s="156"/>
      <c r="U82" s="6"/>
    </row>
    <row r="83" spans="1:21" customFormat="1">
      <c r="A83" s="201" t="s">
        <v>2235</v>
      </c>
      <c r="B83" s="100">
        <v>2.91</v>
      </c>
      <c r="C83" s="100">
        <v>5.74</v>
      </c>
      <c r="D83" s="100">
        <v>8.65</v>
      </c>
      <c r="E83" s="100">
        <v>5</v>
      </c>
      <c r="F83" s="100">
        <v>2</v>
      </c>
      <c r="G83" s="100">
        <v>61.29</v>
      </c>
      <c r="H83" s="100">
        <v>25.22</v>
      </c>
      <c r="I83" s="100">
        <v>5.29</v>
      </c>
      <c r="J83" s="152" t="s">
        <v>15</v>
      </c>
      <c r="K83" s="152" t="s">
        <v>15</v>
      </c>
      <c r="L83" s="152" t="s">
        <v>15</v>
      </c>
      <c r="M83" s="152" t="s">
        <v>15</v>
      </c>
      <c r="N83" s="152" t="s">
        <v>15</v>
      </c>
      <c r="O83" s="100">
        <v>0</v>
      </c>
      <c r="P83" s="100">
        <v>0.27</v>
      </c>
      <c r="Q83" s="100">
        <v>10.210000000000001</v>
      </c>
      <c r="R83" s="6"/>
      <c r="S83" s="6"/>
      <c r="T83" s="156"/>
      <c r="U83" s="6"/>
    </row>
    <row r="84" spans="1:21" customFormat="1">
      <c r="A84" s="201" t="s">
        <v>2236</v>
      </c>
      <c r="B84" s="100">
        <v>2.87</v>
      </c>
      <c r="C84" s="100">
        <v>5.56</v>
      </c>
      <c r="D84" s="100">
        <v>8.43</v>
      </c>
      <c r="E84" s="100">
        <v>4.8600000000000003</v>
      </c>
      <c r="F84" s="100">
        <v>2</v>
      </c>
      <c r="G84" s="100">
        <v>61.29</v>
      </c>
      <c r="H84" s="100">
        <v>25.22</v>
      </c>
      <c r="I84" s="100">
        <v>5.28</v>
      </c>
      <c r="J84" s="152" t="s">
        <v>15</v>
      </c>
      <c r="K84" s="152" t="s">
        <v>15</v>
      </c>
      <c r="L84" s="152" t="s">
        <v>15</v>
      </c>
      <c r="M84" s="152" t="s">
        <v>15</v>
      </c>
      <c r="N84" s="152" t="s">
        <v>15</v>
      </c>
      <c r="O84" s="100">
        <v>0</v>
      </c>
      <c r="P84" s="100">
        <v>0.25</v>
      </c>
      <c r="Q84" s="100">
        <v>10.52</v>
      </c>
      <c r="R84" s="6"/>
      <c r="S84" s="6"/>
      <c r="T84" s="156"/>
      <c r="U84" s="6"/>
    </row>
    <row r="85" spans="1:21" customFormat="1">
      <c r="A85" s="201" t="s">
        <v>2237</v>
      </c>
      <c r="B85" s="100">
        <v>2.91</v>
      </c>
      <c r="C85" s="100">
        <v>5.4</v>
      </c>
      <c r="D85" s="100">
        <v>8.31</v>
      </c>
      <c r="E85" s="100">
        <v>4.6500000000000004</v>
      </c>
      <c r="F85" s="100">
        <v>2</v>
      </c>
      <c r="G85" s="100">
        <v>61.29</v>
      </c>
      <c r="H85" s="100">
        <v>25.22</v>
      </c>
      <c r="I85" s="100">
        <v>5.3</v>
      </c>
      <c r="J85" s="152" t="s">
        <v>15</v>
      </c>
      <c r="K85" s="152" t="s">
        <v>15</v>
      </c>
      <c r="L85" s="152" t="s">
        <v>15</v>
      </c>
      <c r="M85" s="152" t="s">
        <v>15</v>
      </c>
      <c r="N85" s="152" t="s">
        <v>15</v>
      </c>
      <c r="O85" s="100">
        <v>0</v>
      </c>
      <c r="P85" s="100">
        <v>0.24</v>
      </c>
      <c r="Q85" s="100">
        <v>10.97</v>
      </c>
      <c r="R85" s="6"/>
      <c r="S85" s="6"/>
      <c r="T85" s="156"/>
      <c r="U85" s="6"/>
    </row>
    <row r="86" spans="1:21" customFormat="1">
      <c r="A86" s="201" t="s">
        <v>2238</v>
      </c>
      <c r="B86" s="100">
        <v>2.91</v>
      </c>
      <c r="C86" s="100">
        <v>5.31</v>
      </c>
      <c r="D86" s="100">
        <v>8.2200000000000006</v>
      </c>
      <c r="E86" s="100">
        <v>4.54</v>
      </c>
      <c r="F86" s="100">
        <v>2</v>
      </c>
      <c r="G86" s="100">
        <v>60.02</v>
      </c>
      <c r="H86" s="100">
        <v>23.63</v>
      </c>
      <c r="I86" s="100">
        <v>5.32</v>
      </c>
      <c r="J86" s="152" t="s">
        <v>15</v>
      </c>
      <c r="K86" s="152" t="s">
        <v>15</v>
      </c>
      <c r="L86" s="152" t="s">
        <v>15</v>
      </c>
      <c r="M86" s="152" t="s">
        <v>15</v>
      </c>
      <c r="N86" s="152" t="s">
        <v>15</v>
      </c>
      <c r="O86" s="100">
        <v>0</v>
      </c>
      <c r="P86" s="100">
        <v>0.23</v>
      </c>
      <c r="Q86" s="100">
        <v>10.42</v>
      </c>
      <c r="R86" s="6"/>
      <c r="S86" s="6"/>
      <c r="T86" s="156"/>
      <c r="U86" s="6"/>
    </row>
    <row r="87" spans="1:21" customFormat="1">
      <c r="A87" s="201" t="s">
        <v>2239</v>
      </c>
      <c r="B87" s="100">
        <v>2.98</v>
      </c>
      <c r="C87" s="100">
        <v>5.38</v>
      </c>
      <c r="D87" s="100">
        <v>8.36</v>
      </c>
      <c r="E87" s="100">
        <v>4.49</v>
      </c>
      <c r="F87" s="100">
        <v>2</v>
      </c>
      <c r="G87" s="100">
        <v>57.05</v>
      </c>
      <c r="H87" s="100">
        <v>21.18</v>
      </c>
      <c r="I87" s="100">
        <v>5.34</v>
      </c>
      <c r="J87" s="152" t="s">
        <v>15</v>
      </c>
      <c r="K87" s="152" t="s">
        <v>15</v>
      </c>
      <c r="L87" s="152" t="s">
        <v>15</v>
      </c>
      <c r="M87" s="152" t="s">
        <v>15</v>
      </c>
      <c r="N87" s="152" t="s">
        <v>15</v>
      </c>
      <c r="O87" s="100">
        <v>0</v>
      </c>
      <c r="P87" s="100">
        <v>0.25</v>
      </c>
      <c r="Q87" s="100">
        <v>11.27</v>
      </c>
      <c r="R87" s="6"/>
      <c r="S87" s="6"/>
      <c r="T87" s="156"/>
      <c r="U87" s="6"/>
    </row>
    <row r="88" spans="1:21" customFormat="1">
      <c r="A88" s="201" t="s">
        <v>2240</v>
      </c>
      <c r="B88" s="100">
        <v>3.03</v>
      </c>
      <c r="C88" s="100">
        <v>5.38</v>
      </c>
      <c r="D88" s="100">
        <v>8.41</v>
      </c>
      <c r="E88" s="100">
        <v>4.75</v>
      </c>
      <c r="F88" s="100">
        <v>2</v>
      </c>
      <c r="G88" s="100">
        <v>57.05</v>
      </c>
      <c r="H88" s="100">
        <v>21.18</v>
      </c>
      <c r="I88" s="100">
        <v>5.29</v>
      </c>
      <c r="J88" s="152" t="s">
        <v>15</v>
      </c>
      <c r="K88" s="152" t="s">
        <v>15</v>
      </c>
      <c r="L88" s="152" t="s">
        <v>15</v>
      </c>
      <c r="M88" s="152" t="s">
        <v>15</v>
      </c>
      <c r="N88" s="152" t="s">
        <v>15</v>
      </c>
      <c r="O88" s="100">
        <v>0</v>
      </c>
      <c r="P88" s="100">
        <v>0.26</v>
      </c>
      <c r="Q88" s="100">
        <v>11.11</v>
      </c>
      <c r="R88" s="6"/>
      <c r="S88" s="6"/>
      <c r="T88" s="156"/>
      <c r="U88" s="6"/>
    </row>
    <row r="89" spans="1:21" customFormat="1">
      <c r="A89" s="201" t="s">
        <v>2241</v>
      </c>
      <c r="B89" s="100">
        <v>3.04</v>
      </c>
      <c r="C89" s="100">
        <v>5.23</v>
      </c>
      <c r="D89" s="100">
        <v>8.27</v>
      </c>
      <c r="E89" s="100">
        <v>4.68</v>
      </c>
      <c r="F89" s="100">
        <v>2</v>
      </c>
      <c r="G89" s="100">
        <v>57.05</v>
      </c>
      <c r="H89" s="100">
        <v>21.18</v>
      </c>
      <c r="I89" s="100">
        <v>5.35</v>
      </c>
      <c r="J89" s="152" t="s">
        <v>15</v>
      </c>
      <c r="K89" s="152" t="s">
        <v>15</v>
      </c>
      <c r="L89" s="152" t="s">
        <v>15</v>
      </c>
      <c r="M89" s="152" t="s">
        <v>15</v>
      </c>
      <c r="N89" s="152" t="s">
        <v>15</v>
      </c>
      <c r="O89" s="100">
        <v>0</v>
      </c>
      <c r="P89" s="100">
        <v>0.26</v>
      </c>
      <c r="Q89" s="100">
        <v>12.92</v>
      </c>
      <c r="R89" s="6"/>
      <c r="S89" s="6"/>
      <c r="T89" s="156"/>
      <c r="U89" s="6"/>
    </row>
    <row r="90" spans="1:21" customFormat="1">
      <c r="A90" s="201" t="s">
        <v>2242</v>
      </c>
      <c r="B90" s="100">
        <v>3.15</v>
      </c>
      <c r="C90" s="100">
        <v>5.28</v>
      </c>
      <c r="D90" s="100">
        <v>8.42</v>
      </c>
      <c r="E90" s="100">
        <v>4.7300000000000004</v>
      </c>
      <c r="F90" s="100">
        <v>2</v>
      </c>
      <c r="G90" s="100">
        <v>51.07</v>
      </c>
      <c r="H90" s="100">
        <v>20.27</v>
      </c>
      <c r="I90" s="100">
        <v>5.31</v>
      </c>
      <c r="J90" s="152" t="s">
        <v>15</v>
      </c>
      <c r="K90" s="152" t="s">
        <v>15</v>
      </c>
      <c r="L90" s="152" t="s">
        <v>15</v>
      </c>
      <c r="M90" s="152" t="s">
        <v>15</v>
      </c>
      <c r="N90" s="152" t="s">
        <v>15</v>
      </c>
      <c r="O90" s="100">
        <v>0</v>
      </c>
      <c r="P90" s="100">
        <v>0.27</v>
      </c>
      <c r="Q90" s="100">
        <v>10.33</v>
      </c>
      <c r="R90" s="6"/>
      <c r="S90" s="6"/>
      <c r="T90" s="156"/>
      <c r="U90" s="6"/>
    </row>
    <row r="91" spans="1:21" customFormat="1">
      <c r="A91" s="201" t="s">
        <v>2243</v>
      </c>
      <c r="B91" s="100">
        <v>3.18</v>
      </c>
      <c r="C91" s="100">
        <v>5.12</v>
      </c>
      <c r="D91" s="100">
        <v>8.3000000000000007</v>
      </c>
      <c r="E91" s="100">
        <v>4.6399999999999997</v>
      </c>
      <c r="F91" s="100">
        <v>2</v>
      </c>
      <c r="G91" s="100">
        <v>37.130000000000003</v>
      </c>
      <c r="H91" s="100">
        <v>18.87</v>
      </c>
      <c r="I91" s="100">
        <v>5.25</v>
      </c>
      <c r="J91" s="152" t="s">
        <v>15</v>
      </c>
      <c r="K91" s="152" t="s">
        <v>15</v>
      </c>
      <c r="L91" s="152" t="s">
        <v>15</v>
      </c>
      <c r="M91" s="152" t="s">
        <v>15</v>
      </c>
      <c r="N91" s="152" t="s">
        <v>15</v>
      </c>
      <c r="O91" s="100">
        <v>0</v>
      </c>
      <c r="P91" s="100">
        <v>0.25</v>
      </c>
      <c r="Q91" s="100">
        <v>10.98</v>
      </c>
      <c r="R91" s="6"/>
      <c r="S91" s="6"/>
      <c r="T91" s="156"/>
      <c r="U91" s="6"/>
    </row>
    <row r="92" spans="1:21" customFormat="1">
      <c r="A92" s="201" t="s">
        <v>2244</v>
      </c>
      <c r="B92" s="100">
        <v>3.2</v>
      </c>
      <c r="C92" s="100">
        <v>4.9800000000000004</v>
      </c>
      <c r="D92" s="100">
        <v>8.18</v>
      </c>
      <c r="E92" s="100">
        <v>4.5599999999999996</v>
      </c>
      <c r="F92" s="100">
        <v>2.0099999999999998</v>
      </c>
      <c r="G92" s="100">
        <v>37.130000000000003</v>
      </c>
      <c r="H92" s="100">
        <v>18.87</v>
      </c>
      <c r="I92" s="100">
        <v>5.3</v>
      </c>
      <c r="J92" s="152" t="s">
        <v>15</v>
      </c>
      <c r="K92" s="152" t="s">
        <v>15</v>
      </c>
      <c r="L92" s="152" t="s">
        <v>15</v>
      </c>
      <c r="M92" s="152" t="s">
        <v>15</v>
      </c>
      <c r="N92" s="152" t="s">
        <v>15</v>
      </c>
      <c r="O92" s="100">
        <v>0</v>
      </c>
      <c r="P92" s="100">
        <v>0.22</v>
      </c>
      <c r="Q92" s="100">
        <v>10.63</v>
      </c>
      <c r="R92" s="6"/>
      <c r="S92" s="6"/>
      <c r="T92" s="156"/>
      <c r="U92" s="6"/>
    </row>
    <row r="93" spans="1:21" customFormat="1">
      <c r="A93" s="201" t="s">
        <v>2245</v>
      </c>
      <c r="B93" s="100">
        <v>3.22</v>
      </c>
      <c r="C93" s="100">
        <v>5.17</v>
      </c>
      <c r="D93" s="100">
        <v>8.3800000000000008</v>
      </c>
      <c r="E93" s="100">
        <v>4.28</v>
      </c>
      <c r="F93" s="100">
        <v>2</v>
      </c>
      <c r="G93" s="100">
        <v>37.130000000000003</v>
      </c>
      <c r="H93" s="100">
        <v>18.87</v>
      </c>
      <c r="I93" s="100">
        <v>5.26</v>
      </c>
      <c r="J93" s="152" t="s">
        <v>15</v>
      </c>
      <c r="K93" s="152" t="s">
        <v>15</v>
      </c>
      <c r="L93" s="152" t="s">
        <v>15</v>
      </c>
      <c r="M93" s="152" t="s">
        <v>15</v>
      </c>
      <c r="N93" s="152" t="s">
        <v>15</v>
      </c>
      <c r="O93" s="100">
        <v>0</v>
      </c>
      <c r="P93" s="100">
        <v>0.24</v>
      </c>
      <c r="Q93" s="100">
        <v>11.16</v>
      </c>
      <c r="R93" s="6"/>
      <c r="S93" s="6"/>
      <c r="T93" s="156"/>
      <c r="U93" s="6"/>
    </row>
    <row r="94" spans="1:21" customFormat="1">
      <c r="A94" s="201" t="s">
        <v>2246</v>
      </c>
      <c r="B94" s="100">
        <v>3.26</v>
      </c>
      <c r="C94" s="100">
        <v>5.2</v>
      </c>
      <c r="D94" s="100">
        <v>8.4600000000000009</v>
      </c>
      <c r="E94" s="100">
        <v>4.63</v>
      </c>
      <c r="F94" s="100">
        <v>2</v>
      </c>
      <c r="G94" s="100">
        <v>35.090000000000003</v>
      </c>
      <c r="H94" s="100">
        <v>19.260000000000002</v>
      </c>
      <c r="I94" s="100">
        <v>5.12</v>
      </c>
      <c r="J94" s="152" t="s">
        <v>15</v>
      </c>
      <c r="K94" s="152" t="s">
        <v>15</v>
      </c>
      <c r="L94" s="152" t="s">
        <v>15</v>
      </c>
      <c r="M94" s="152" t="s">
        <v>15</v>
      </c>
      <c r="N94" s="152" t="s">
        <v>15</v>
      </c>
      <c r="O94" s="100">
        <v>0</v>
      </c>
      <c r="P94" s="100">
        <v>0.25</v>
      </c>
      <c r="Q94" s="100">
        <v>10.68</v>
      </c>
      <c r="R94" s="6"/>
      <c r="S94" s="6"/>
      <c r="T94" s="156"/>
      <c r="U94" s="6"/>
    </row>
    <row r="95" spans="1:21" customFormat="1">
      <c r="A95" s="201" t="s">
        <v>2247</v>
      </c>
      <c r="B95" s="100">
        <v>3.27</v>
      </c>
      <c r="C95" s="100">
        <v>5.01</v>
      </c>
      <c r="D95" s="100">
        <v>8.2799999999999994</v>
      </c>
      <c r="E95" s="100">
        <v>4.63</v>
      </c>
      <c r="F95" s="100">
        <v>2</v>
      </c>
      <c r="G95" s="100">
        <v>30.35</v>
      </c>
      <c r="H95" s="100">
        <v>19.87</v>
      </c>
      <c r="I95" s="100">
        <v>5.21</v>
      </c>
      <c r="J95" s="152" t="s">
        <v>15</v>
      </c>
      <c r="K95" s="152" t="s">
        <v>15</v>
      </c>
      <c r="L95" s="152" t="s">
        <v>15</v>
      </c>
      <c r="M95" s="152" t="s">
        <v>15</v>
      </c>
      <c r="N95" s="152" t="s">
        <v>15</v>
      </c>
      <c r="O95" s="100">
        <v>0</v>
      </c>
      <c r="P95" s="100">
        <v>0.23</v>
      </c>
      <c r="Q95" s="100">
        <v>11.17</v>
      </c>
      <c r="R95" s="6"/>
      <c r="S95" s="6"/>
      <c r="T95" s="156"/>
      <c r="U95" s="6"/>
    </row>
    <row r="96" spans="1:21" customFormat="1">
      <c r="A96" s="201" t="s">
        <v>2248</v>
      </c>
      <c r="B96" s="100">
        <v>3.3</v>
      </c>
      <c r="C96" s="100">
        <v>5.0999999999999996</v>
      </c>
      <c r="D96" s="100">
        <v>8.41</v>
      </c>
      <c r="E96" s="100">
        <v>4.4400000000000004</v>
      </c>
      <c r="F96" s="100">
        <v>2</v>
      </c>
      <c r="G96" s="100">
        <v>30.35</v>
      </c>
      <c r="H96" s="100">
        <v>19.87</v>
      </c>
      <c r="I96" s="100">
        <v>5.15</v>
      </c>
      <c r="J96" s="152" t="s">
        <v>15</v>
      </c>
      <c r="K96" s="152" t="s">
        <v>15</v>
      </c>
      <c r="L96" s="152" t="s">
        <v>15</v>
      </c>
      <c r="M96" s="152" t="s">
        <v>15</v>
      </c>
      <c r="N96" s="152" t="s">
        <v>15</v>
      </c>
      <c r="O96" s="100">
        <v>0</v>
      </c>
      <c r="P96" s="100">
        <v>0.25</v>
      </c>
      <c r="Q96" s="100">
        <v>12.95</v>
      </c>
      <c r="R96" s="6"/>
      <c r="S96" s="6"/>
      <c r="T96" s="156"/>
      <c r="U96" s="6"/>
    </row>
    <row r="97" spans="1:28" customFormat="1">
      <c r="A97" s="201" t="s">
        <v>2249</v>
      </c>
      <c r="B97" s="100">
        <v>3.37</v>
      </c>
      <c r="C97" s="100">
        <v>5.12</v>
      </c>
      <c r="D97" s="100">
        <v>8.49</v>
      </c>
      <c r="E97" s="100">
        <v>4.54</v>
      </c>
      <c r="F97" s="100">
        <v>2</v>
      </c>
      <c r="G97" s="100">
        <v>30.35</v>
      </c>
      <c r="H97" s="100">
        <v>19.87</v>
      </c>
      <c r="I97" s="100">
        <v>5.05</v>
      </c>
      <c r="J97" s="152" t="s">
        <v>15</v>
      </c>
      <c r="K97" s="152" t="s">
        <v>15</v>
      </c>
      <c r="L97" s="152" t="s">
        <v>15</v>
      </c>
      <c r="M97" s="152" t="s">
        <v>15</v>
      </c>
      <c r="N97" s="152" t="s">
        <v>15</v>
      </c>
      <c r="O97" s="100">
        <v>0</v>
      </c>
      <c r="P97" s="100">
        <v>0.25</v>
      </c>
      <c r="Q97" s="100">
        <v>10.7</v>
      </c>
      <c r="R97" s="6"/>
      <c r="S97" s="6"/>
      <c r="T97" s="156"/>
      <c r="U97" s="6"/>
    </row>
    <row r="98" spans="1:28" customFormat="1">
      <c r="A98" s="201" t="s">
        <v>2250</v>
      </c>
      <c r="B98" s="100">
        <v>3.36</v>
      </c>
      <c r="C98" s="100">
        <v>4.96</v>
      </c>
      <c r="D98" s="100">
        <v>8.32</v>
      </c>
      <c r="E98" s="100">
        <v>4.3600000000000003</v>
      </c>
      <c r="F98" s="100">
        <v>2</v>
      </c>
      <c r="G98" s="100">
        <v>30.4</v>
      </c>
      <c r="H98" s="100">
        <v>19.21</v>
      </c>
      <c r="I98" s="100">
        <v>5.13</v>
      </c>
      <c r="J98" s="152" t="s">
        <v>15</v>
      </c>
      <c r="K98" s="152" t="s">
        <v>15</v>
      </c>
      <c r="L98" s="152" t="s">
        <v>15</v>
      </c>
      <c r="M98" s="152" t="s">
        <v>15</v>
      </c>
      <c r="N98" s="152" t="s">
        <v>15</v>
      </c>
      <c r="O98" s="100">
        <v>0</v>
      </c>
      <c r="P98" s="100">
        <v>0.23</v>
      </c>
      <c r="Q98" s="100">
        <v>10.55</v>
      </c>
      <c r="R98" s="6"/>
      <c r="S98" s="6"/>
      <c r="T98" s="156"/>
      <c r="U98" s="6"/>
    </row>
    <row r="99" spans="1:28" customFormat="1">
      <c r="A99" s="201" t="s">
        <v>2251</v>
      </c>
      <c r="B99" s="100">
        <v>3.43</v>
      </c>
      <c r="C99" s="100">
        <v>5.04</v>
      </c>
      <c r="D99" s="100">
        <v>8.48</v>
      </c>
      <c r="E99" s="100">
        <v>4.5199999999999996</v>
      </c>
      <c r="F99" s="100">
        <v>2</v>
      </c>
      <c r="G99" s="100">
        <v>30.53</v>
      </c>
      <c r="H99" s="100">
        <v>16.57</v>
      </c>
      <c r="I99" s="100">
        <v>5.08</v>
      </c>
      <c r="J99" s="152" t="s">
        <v>15</v>
      </c>
      <c r="K99" s="152" t="s">
        <v>15</v>
      </c>
      <c r="L99" s="152" t="s">
        <v>15</v>
      </c>
      <c r="M99" s="152" t="s">
        <v>15</v>
      </c>
      <c r="N99" s="152" t="s">
        <v>15</v>
      </c>
      <c r="O99" s="100">
        <v>0</v>
      </c>
      <c r="P99" s="100">
        <v>0.23</v>
      </c>
      <c r="Q99" s="100">
        <v>17.940000000000001</v>
      </c>
      <c r="R99" s="6"/>
      <c r="S99" s="6"/>
      <c r="T99" s="156"/>
      <c r="U99" s="6"/>
    </row>
    <row r="100" spans="1:28" customFormat="1">
      <c r="A100" s="201" t="s">
        <v>2252</v>
      </c>
      <c r="B100" s="100">
        <v>3.53</v>
      </c>
      <c r="C100" s="100">
        <v>5.22</v>
      </c>
      <c r="D100" s="100">
        <v>8.75</v>
      </c>
      <c r="E100" s="100">
        <v>5.16</v>
      </c>
      <c r="F100" s="100">
        <v>2</v>
      </c>
      <c r="G100" s="100">
        <v>30.53</v>
      </c>
      <c r="H100" s="100">
        <v>16.57</v>
      </c>
      <c r="I100" s="100">
        <v>5.04</v>
      </c>
      <c r="J100" s="152" t="s">
        <v>15</v>
      </c>
      <c r="K100" s="152" t="s">
        <v>15</v>
      </c>
      <c r="L100" s="152" t="s">
        <v>15</v>
      </c>
      <c r="M100" s="152" t="s">
        <v>15</v>
      </c>
      <c r="N100" s="152" t="s">
        <v>15</v>
      </c>
      <c r="O100" s="100">
        <v>0</v>
      </c>
      <c r="P100" s="100">
        <v>0.24</v>
      </c>
      <c r="Q100" s="100">
        <v>10.32</v>
      </c>
      <c r="R100" s="6"/>
      <c r="S100" s="6"/>
      <c r="T100" s="156"/>
      <c r="U100" s="6"/>
      <c r="AB100" s="161"/>
    </row>
    <row r="101" spans="1:28" customFormat="1">
      <c r="A101" s="201" t="s">
        <v>2253</v>
      </c>
      <c r="B101" s="100">
        <v>3.5</v>
      </c>
      <c r="C101" s="100">
        <v>5.21</v>
      </c>
      <c r="D101" s="100">
        <v>8.6999999999999993</v>
      </c>
      <c r="E101" s="100">
        <v>5.07</v>
      </c>
      <c r="F101" s="100">
        <v>2</v>
      </c>
      <c r="G101" s="100">
        <v>30.53</v>
      </c>
      <c r="H101" s="100">
        <v>16.57</v>
      </c>
      <c r="I101" s="100">
        <v>5.07</v>
      </c>
      <c r="J101" s="152" t="s">
        <v>15</v>
      </c>
      <c r="K101" s="152" t="s">
        <v>15</v>
      </c>
      <c r="L101" s="152" t="s">
        <v>15</v>
      </c>
      <c r="M101" s="152" t="s">
        <v>15</v>
      </c>
      <c r="N101" s="152" t="s">
        <v>15</v>
      </c>
      <c r="O101" s="100">
        <v>0</v>
      </c>
      <c r="P101" s="100">
        <v>0.26</v>
      </c>
      <c r="Q101" s="100">
        <v>10.54</v>
      </c>
      <c r="R101" s="6"/>
      <c r="S101" s="6"/>
      <c r="T101" s="156"/>
      <c r="U101" s="6"/>
    </row>
    <row r="102" spans="1:28" customFormat="1">
      <c r="A102" s="201" t="s">
        <v>2254</v>
      </c>
      <c r="B102" s="100">
        <v>3.42</v>
      </c>
      <c r="C102" s="100">
        <v>5.39</v>
      </c>
      <c r="D102" s="100">
        <v>8.81</v>
      </c>
      <c r="E102" s="100">
        <v>4.8499999999999996</v>
      </c>
      <c r="F102" s="100">
        <v>2</v>
      </c>
      <c r="G102" s="100">
        <v>29.96</v>
      </c>
      <c r="H102" s="100">
        <v>15.05</v>
      </c>
      <c r="I102" s="100">
        <v>5.05</v>
      </c>
      <c r="J102" s="152" t="s">
        <v>15</v>
      </c>
      <c r="K102" s="152" t="s">
        <v>15</v>
      </c>
      <c r="L102" s="152" t="s">
        <v>15</v>
      </c>
      <c r="M102" s="152" t="s">
        <v>15</v>
      </c>
      <c r="N102" s="152" t="s">
        <v>15</v>
      </c>
      <c r="O102" s="100">
        <v>0</v>
      </c>
      <c r="P102" s="100">
        <v>0.27</v>
      </c>
      <c r="Q102" s="100">
        <v>10.52</v>
      </c>
      <c r="R102" s="6"/>
      <c r="S102" s="6"/>
      <c r="T102" s="156"/>
      <c r="U102" s="6"/>
    </row>
    <row r="103" spans="1:28" customFormat="1">
      <c r="A103" s="201" t="s">
        <v>2255</v>
      </c>
      <c r="B103" s="100">
        <v>3.33</v>
      </c>
      <c r="C103" s="100">
        <v>5.51</v>
      </c>
      <c r="D103" s="100">
        <v>8.84</v>
      </c>
      <c r="E103" s="100">
        <v>4.68</v>
      </c>
      <c r="F103" s="100">
        <v>2</v>
      </c>
      <c r="G103" s="100">
        <v>28.64</v>
      </c>
      <c r="H103" s="100">
        <v>12.69</v>
      </c>
      <c r="I103" s="100">
        <v>5.01</v>
      </c>
      <c r="J103" s="152" t="s">
        <v>15</v>
      </c>
      <c r="K103" s="152" t="s">
        <v>15</v>
      </c>
      <c r="L103" s="152" t="s">
        <v>15</v>
      </c>
      <c r="M103" s="152" t="s">
        <v>15</v>
      </c>
      <c r="N103" s="152" t="s">
        <v>15</v>
      </c>
      <c r="O103" s="100">
        <v>0</v>
      </c>
      <c r="P103" s="100">
        <v>0.27</v>
      </c>
      <c r="Q103" s="100">
        <v>10.09</v>
      </c>
      <c r="R103" s="6"/>
      <c r="S103" s="6"/>
      <c r="T103" s="156"/>
      <c r="U103" s="6"/>
    </row>
    <row r="104" spans="1:28" customFormat="1">
      <c r="A104" s="201" t="s">
        <v>2256</v>
      </c>
      <c r="B104" s="100">
        <v>3.23</v>
      </c>
      <c r="C104" s="100">
        <v>5.62</v>
      </c>
      <c r="D104" s="100">
        <v>8.84</v>
      </c>
      <c r="E104" s="100">
        <v>5.2</v>
      </c>
      <c r="F104" s="100">
        <v>2</v>
      </c>
      <c r="G104" s="100">
        <v>28.64</v>
      </c>
      <c r="H104" s="100">
        <v>12.69</v>
      </c>
      <c r="I104" s="100">
        <v>4.96</v>
      </c>
      <c r="J104" s="152" t="s">
        <v>15</v>
      </c>
      <c r="K104" s="152" t="s">
        <v>15</v>
      </c>
      <c r="L104" s="152" t="s">
        <v>15</v>
      </c>
      <c r="M104" s="152" t="s">
        <v>15</v>
      </c>
      <c r="N104" s="152" t="s">
        <v>15</v>
      </c>
      <c r="O104" s="100">
        <v>0</v>
      </c>
      <c r="P104" s="100">
        <v>0.27</v>
      </c>
      <c r="Q104" s="100">
        <v>9.8800000000000008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2.1800000000000002</v>
      </c>
      <c r="C106" s="158">
        <f>MIN(C9:C104)</f>
        <v>4.96</v>
      </c>
      <c r="D106" s="158">
        <f t="shared" ref="D106:Q106" si="0">MIN(D9:D104)</f>
        <v>8.09</v>
      </c>
      <c r="E106" s="158">
        <f t="shared" si="0"/>
        <v>4.24</v>
      </c>
      <c r="F106" s="158">
        <f t="shared" si="0"/>
        <v>2</v>
      </c>
      <c r="G106" s="158">
        <f t="shared" si="0"/>
        <v>19</v>
      </c>
      <c r="H106" s="158">
        <f t="shared" si="0"/>
        <v>6.39</v>
      </c>
      <c r="I106" s="158">
        <f t="shared" si="0"/>
        <v>4.96</v>
      </c>
      <c r="J106" s="158">
        <f t="shared" si="0"/>
        <v>0</v>
      </c>
      <c r="K106" s="158">
        <f t="shared" si="0"/>
        <v>0</v>
      </c>
      <c r="L106" s="158">
        <f t="shared" si="0"/>
        <v>0</v>
      </c>
      <c r="M106" s="158">
        <f t="shared" si="0"/>
        <v>0</v>
      </c>
      <c r="N106" s="158">
        <f t="shared" si="0"/>
        <v>0</v>
      </c>
      <c r="O106" s="158">
        <f t="shared" si="0"/>
        <v>0</v>
      </c>
      <c r="P106" s="158">
        <f t="shared" si="0"/>
        <v>0.22</v>
      </c>
      <c r="Q106" s="158">
        <f t="shared" si="0"/>
        <v>9.67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6.17</v>
      </c>
      <c r="C107" s="157">
        <f t="shared" ref="C107:Q107" si="1">MAX(C9:C104)</f>
        <v>6.31</v>
      </c>
      <c r="D107" s="157">
        <f t="shared" si="1"/>
        <v>11.83</v>
      </c>
      <c r="E107" s="157">
        <f t="shared" si="1"/>
        <v>7</v>
      </c>
      <c r="F107" s="157">
        <f t="shared" si="1"/>
        <v>5.41</v>
      </c>
      <c r="G107" s="157">
        <f t="shared" si="1"/>
        <v>61.29</v>
      </c>
      <c r="H107" s="157">
        <f t="shared" si="1"/>
        <v>25.22</v>
      </c>
      <c r="I107" s="157">
        <f t="shared" si="1"/>
        <v>8.2799999999999994</v>
      </c>
      <c r="J107" s="157">
        <f t="shared" si="1"/>
        <v>0</v>
      </c>
      <c r="K107" s="157">
        <f t="shared" si="1"/>
        <v>0</v>
      </c>
      <c r="L107" s="157">
        <f t="shared" si="1"/>
        <v>0</v>
      </c>
      <c r="M107" s="157">
        <f t="shared" si="1"/>
        <v>0</v>
      </c>
      <c r="N107" s="157">
        <f t="shared" si="1"/>
        <v>0</v>
      </c>
      <c r="O107" s="157">
        <f t="shared" si="1"/>
        <v>0</v>
      </c>
      <c r="P107" s="157">
        <f t="shared" si="1"/>
        <v>0.41</v>
      </c>
      <c r="Q107" s="157">
        <f t="shared" si="1"/>
        <v>17.940000000000001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4.0313541666666683</v>
      </c>
      <c r="C108" s="158">
        <f t="shared" ref="C108:Q108" si="2">AVERAGE(C9:C104)</f>
        <v>5.5522916666666662</v>
      </c>
      <c r="D108" s="158">
        <f t="shared" si="2"/>
        <v>9.5834374999999987</v>
      </c>
      <c r="E108" s="158">
        <f t="shared" si="2"/>
        <v>5.6041666666666679</v>
      </c>
      <c r="F108" s="158">
        <f t="shared" si="2"/>
        <v>2.1326041666666664</v>
      </c>
      <c r="G108" s="158">
        <f t="shared" si="2"/>
        <v>38.089791666666692</v>
      </c>
      <c r="H108" s="158">
        <f t="shared" si="2"/>
        <v>15.367499999999994</v>
      </c>
      <c r="I108" s="158">
        <f t="shared" si="2"/>
        <v>6.3340624999999982</v>
      </c>
      <c r="J108" s="158" t="e">
        <f t="shared" si="2"/>
        <v>#DIV/0!</v>
      </c>
      <c r="K108" s="158" t="e">
        <f t="shared" si="2"/>
        <v>#DIV/0!</v>
      </c>
      <c r="L108" s="158" t="e">
        <f t="shared" si="2"/>
        <v>#DIV/0!</v>
      </c>
      <c r="M108" s="158" t="e">
        <f t="shared" si="2"/>
        <v>#DIV/0!</v>
      </c>
      <c r="N108" s="158" t="e">
        <f t="shared" si="2"/>
        <v>#DIV/0!</v>
      </c>
      <c r="O108" s="158">
        <f t="shared" si="2"/>
        <v>0</v>
      </c>
      <c r="P108" s="158">
        <f t="shared" si="2"/>
        <v>0.31249999999999989</v>
      </c>
      <c r="Q108" s="158">
        <f t="shared" si="2"/>
        <v>11.057916666666666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1.3883709649814413</v>
      </c>
      <c r="C109" s="158">
        <f t="shared" ref="C109:Q109" si="3">STDEV(C9:C104)</f>
        <v>0.35384944513812855</v>
      </c>
      <c r="D109" s="158">
        <f t="shared" si="3"/>
        <v>1.2555626359902461</v>
      </c>
      <c r="E109" s="158">
        <f t="shared" si="3"/>
        <v>0.78541127900798968</v>
      </c>
      <c r="F109" s="158">
        <f t="shared" si="3"/>
        <v>0.43696861212500987</v>
      </c>
      <c r="G109" s="158">
        <f t="shared" si="3"/>
        <v>15.24064903847713</v>
      </c>
      <c r="H109" s="158">
        <f t="shared" si="3"/>
        <v>6.7684243676835782</v>
      </c>
      <c r="I109" s="158">
        <f t="shared" si="3"/>
        <v>1.0241202418353446</v>
      </c>
      <c r="J109" s="158" t="e">
        <f t="shared" si="3"/>
        <v>#DIV/0!</v>
      </c>
      <c r="K109" s="158" t="e">
        <f t="shared" si="3"/>
        <v>#DIV/0!</v>
      </c>
      <c r="L109" s="158" t="e">
        <f t="shared" si="3"/>
        <v>#DIV/0!</v>
      </c>
      <c r="M109" s="158" t="e">
        <f t="shared" si="3"/>
        <v>#DIV/0!</v>
      </c>
      <c r="N109" s="158" t="e">
        <f t="shared" si="3"/>
        <v>#DIV/0!</v>
      </c>
      <c r="O109" s="158">
        <f t="shared" si="3"/>
        <v>0</v>
      </c>
      <c r="P109" s="158">
        <f t="shared" si="3"/>
        <v>4.8471369737306376E-2</v>
      </c>
      <c r="Q109" s="158">
        <f t="shared" si="3"/>
        <v>1.495207020812739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0</v>
      </c>
      <c r="K110" s="157">
        <f t="shared" si="4"/>
        <v>0</v>
      </c>
      <c r="L110" s="157">
        <f t="shared" si="4"/>
        <v>0</v>
      </c>
      <c r="M110" s="157">
        <f t="shared" si="4"/>
        <v>0</v>
      </c>
      <c r="N110" s="157">
        <f t="shared" si="4"/>
        <v>0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2257</v>
      </c>
      <c r="B9" s="100">
        <v>3.61</v>
      </c>
      <c r="C9" s="100">
        <v>5.49</v>
      </c>
      <c r="D9" s="100">
        <v>9.1</v>
      </c>
      <c r="E9" s="100">
        <v>5.04</v>
      </c>
      <c r="F9" s="100">
        <v>2</v>
      </c>
      <c r="G9" s="100">
        <v>28.64</v>
      </c>
      <c r="H9" s="100">
        <v>12.69</v>
      </c>
      <c r="I9" s="100">
        <v>4.9400000000000004</v>
      </c>
      <c r="J9" s="152" t="s">
        <v>15</v>
      </c>
      <c r="K9" s="152" t="s">
        <v>15</v>
      </c>
      <c r="L9" s="152" t="s">
        <v>15</v>
      </c>
      <c r="M9" s="152" t="s">
        <v>15</v>
      </c>
      <c r="N9" s="152" t="s">
        <v>15</v>
      </c>
      <c r="O9" s="100">
        <v>0</v>
      </c>
      <c r="P9" s="100">
        <v>0.27</v>
      </c>
      <c r="Q9" s="100">
        <v>9.89</v>
      </c>
      <c r="R9" s="6"/>
      <c r="S9" s="6"/>
      <c r="T9" s="156"/>
      <c r="U9" s="6"/>
    </row>
    <row r="10" spans="1:21" customFormat="1">
      <c r="A10" s="201" t="s">
        <v>2258</v>
      </c>
      <c r="B10" s="100">
        <v>3.54</v>
      </c>
      <c r="C10" s="100">
        <v>5.78</v>
      </c>
      <c r="D10" s="100">
        <v>9.32</v>
      </c>
      <c r="E10" s="100">
        <v>5.17</v>
      </c>
      <c r="F10" s="100">
        <v>2</v>
      </c>
      <c r="G10" s="100">
        <v>30.88</v>
      </c>
      <c r="H10" s="100">
        <v>13.19</v>
      </c>
      <c r="I10" s="100">
        <v>4.9000000000000004</v>
      </c>
      <c r="J10" s="152" t="s">
        <v>15</v>
      </c>
      <c r="K10" s="152" t="s">
        <v>15</v>
      </c>
      <c r="L10" s="152" t="s">
        <v>15</v>
      </c>
      <c r="M10" s="152" t="s">
        <v>15</v>
      </c>
      <c r="N10" s="152" t="s">
        <v>15</v>
      </c>
      <c r="O10" s="100">
        <v>0</v>
      </c>
      <c r="P10" s="100">
        <v>0.27</v>
      </c>
      <c r="Q10" s="100">
        <v>10.050000000000001</v>
      </c>
      <c r="R10" s="6"/>
      <c r="S10" s="6"/>
      <c r="T10" s="156"/>
      <c r="U10" s="6"/>
    </row>
    <row r="11" spans="1:21" customFormat="1">
      <c r="A11" s="201" t="s">
        <v>2259</v>
      </c>
      <c r="B11" s="100">
        <v>3.54</v>
      </c>
      <c r="C11" s="100">
        <v>5.81</v>
      </c>
      <c r="D11" s="100">
        <v>9.35</v>
      </c>
      <c r="E11" s="100">
        <v>5.27</v>
      </c>
      <c r="F11" s="100">
        <v>2</v>
      </c>
      <c r="G11" s="100">
        <v>36.130000000000003</v>
      </c>
      <c r="H11" s="100">
        <v>13.94</v>
      </c>
      <c r="I11" s="100">
        <v>4.8499999999999996</v>
      </c>
      <c r="J11" s="152" t="s">
        <v>15</v>
      </c>
      <c r="K11" s="152" t="s">
        <v>15</v>
      </c>
      <c r="L11" s="152" t="s">
        <v>15</v>
      </c>
      <c r="M11" s="152" t="s">
        <v>15</v>
      </c>
      <c r="N11" s="152" t="s">
        <v>15</v>
      </c>
      <c r="O11" s="100">
        <v>0</v>
      </c>
      <c r="P11" s="100">
        <v>0.27</v>
      </c>
      <c r="Q11" s="100">
        <v>10.199999999999999</v>
      </c>
      <c r="R11" s="6"/>
      <c r="S11" s="6"/>
      <c r="T11" s="156"/>
      <c r="U11" s="6"/>
    </row>
    <row r="12" spans="1:21" customFormat="1">
      <c r="A12" s="201" t="s">
        <v>2260</v>
      </c>
      <c r="B12" s="100">
        <v>3.56</v>
      </c>
      <c r="C12" s="100">
        <v>5.73</v>
      </c>
      <c r="D12" s="100">
        <v>9.3000000000000007</v>
      </c>
      <c r="E12" s="100">
        <v>5.31</v>
      </c>
      <c r="F12" s="100">
        <v>2</v>
      </c>
      <c r="G12" s="100">
        <v>36.130000000000003</v>
      </c>
      <c r="H12" s="100">
        <v>13.94</v>
      </c>
      <c r="I12" s="100">
        <v>4.82</v>
      </c>
      <c r="J12" s="152" t="s">
        <v>15</v>
      </c>
      <c r="K12" s="152" t="s">
        <v>15</v>
      </c>
      <c r="L12" s="152" t="s">
        <v>15</v>
      </c>
      <c r="M12" s="152" t="s">
        <v>15</v>
      </c>
      <c r="N12" s="152" t="s">
        <v>15</v>
      </c>
      <c r="O12" s="100">
        <v>0</v>
      </c>
      <c r="P12" s="100">
        <v>0.27</v>
      </c>
      <c r="Q12" s="100">
        <v>28.49</v>
      </c>
      <c r="R12" s="6"/>
      <c r="S12" s="6"/>
      <c r="T12" s="156"/>
      <c r="U12" s="6"/>
    </row>
    <row r="13" spans="1:21" customFormat="1">
      <c r="A13" s="201" t="s">
        <v>2261</v>
      </c>
      <c r="B13" s="100">
        <v>3.64</v>
      </c>
      <c r="C13" s="100">
        <v>5.67</v>
      </c>
      <c r="D13" s="100">
        <v>9.3000000000000007</v>
      </c>
      <c r="E13" s="100">
        <v>5.26</v>
      </c>
      <c r="F13" s="100">
        <v>2</v>
      </c>
      <c r="G13" s="100">
        <v>36.130000000000003</v>
      </c>
      <c r="H13" s="100">
        <v>13.94</v>
      </c>
      <c r="I13" s="100">
        <v>4.8</v>
      </c>
      <c r="J13" s="152" t="s">
        <v>15</v>
      </c>
      <c r="K13" s="152" t="s">
        <v>15</v>
      </c>
      <c r="L13" s="152" t="s">
        <v>15</v>
      </c>
      <c r="M13" s="152" t="s">
        <v>15</v>
      </c>
      <c r="N13" s="152" t="s">
        <v>15</v>
      </c>
      <c r="O13" s="100">
        <v>0</v>
      </c>
      <c r="P13" s="100">
        <v>0.27</v>
      </c>
      <c r="Q13" s="100">
        <v>36.119999999999997</v>
      </c>
      <c r="R13" s="6"/>
      <c r="S13" s="6"/>
      <c r="T13" s="156"/>
      <c r="U13" s="6"/>
    </row>
    <row r="14" spans="1:21" customFormat="1">
      <c r="A14" s="201" t="s">
        <v>2262</v>
      </c>
      <c r="B14" s="100">
        <v>3.99</v>
      </c>
      <c r="C14" s="100">
        <v>5.76</v>
      </c>
      <c r="D14" s="100">
        <v>9.76</v>
      </c>
      <c r="E14" s="100">
        <v>5.62</v>
      </c>
      <c r="F14" s="100">
        <v>2</v>
      </c>
      <c r="G14" s="100">
        <v>36.26</v>
      </c>
      <c r="H14" s="100">
        <v>14.46</v>
      </c>
      <c r="I14" s="100">
        <v>4.8099999999999996</v>
      </c>
      <c r="J14" s="152" t="s">
        <v>15</v>
      </c>
      <c r="K14" s="152" t="s">
        <v>15</v>
      </c>
      <c r="L14" s="152" t="s">
        <v>15</v>
      </c>
      <c r="M14" s="152" t="s">
        <v>15</v>
      </c>
      <c r="N14" s="152" t="s">
        <v>15</v>
      </c>
      <c r="O14" s="100">
        <v>0</v>
      </c>
      <c r="P14" s="100">
        <v>0.27</v>
      </c>
      <c r="Q14" s="100">
        <v>40.549999999999997</v>
      </c>
      <c r="R14" s="6"/>
      <c r="S14" s="6"/>
      <c r="T14" s="156"/>
      <c r="U14" s="6"/>
    </row>
    <row r="15" spans="1:21" customFormat="1">
      <c r="A15" s="201" t="s">
        <v>2263</v>
      </c>
      <c r="B15" s="100">
        <v>4.4000000000000004</v>
      </c>
      <c r="C15" s="100">
        <v>5.87</v>
      </c>
      <c r="D15" s="100">
        <v>10.28</v>
      </c>
      <c r="E15" s="100">
        <v>5.56</v>
      </c>
      <c r="F15" s="100">
        <v>2</v>
      </c>
      <c r="G15" s="100">
        <v>36.58</v>
      </c>
      <c r="H15" s="100">
        <v>15.29</v>
      </c>
      <c r="I15" s="100">
        <v>4.8099999999999996</v>
      </c>
      <c r="J15" s="152" t="s">
        <v>15</v>
      </c>
      <c r="K15" s="152" t="s">
        <v>15</v>
      </c>
      <c r="L15" s="152" t="s">
        <v>15</v>
      </c>
      <c r="M15" s="152" t="s">
        <v>15</v>
      </c>
      <c r="N15" s="152" t="s">
        <v>15</v>
      </c>
      <c r="O15" s="100">
        <v>0</v>
      </c>
      <c r="P15" s="100">
        <v>0.28000000000000003</v>
      </c>
      <c r="Q15" s="100">
        <v>17.8</v>
      </c>
      <c r="R15" s="6"/>
      <c r="S15" s="6"/>
      <c r="T15" s="156"/>
      <c r="U15" s="6"/>
    </row>
    <row r="16" spans="1:21" customFormat="1">
      <c r="A16" s="201" t="s">
        <v>2264</v>
      </c>
      <c r="B16" s="100">
        <v>4.97</v>
      </c>
      <c r="C16" s="100">
        <v>5.91</v>
      </c>
      <c r="D16" s="100">
        <v>10.88</v>
      </c>
      <c r="E16" s="100">
        <v>5.69</v>
      </c>
      <c r="F16" s="100">
        <v>2</v>
      </c>
      <c r="G16" s="100">
        <v>36.58</v>
      </c>
      <c r="H16" s="100">
        <v>15.29</v>
      </c>
      <c r="I16" s="100">
        <v>4.87</v>
      </c>
      <c r="J16" s="152" t="s">
        <v>15</v>
      </c>
      <c r="K16" s="152" t="s">
        <v>15</v>
      </c>
      <c r="L16" s="152" t="s">
        <v>15</v>
      </c>
      <c r="M16" s="152" t="s">
        <v>15</v>
      </c>
      <c r="N16" s="152" t="s">
        <v>15</v>
      </c>
      <c r="O16" s="100">
        <v>0</v>
      </c>
      <c r="P16" s="100">
        <v>0.28999999999999998</v>
      </c>
      <c r="Q16" s="100">
        <v>14.13</v>
      </c>
      <c r="R16" s="6"/>
      <c r="S16" s="6"/>
      <c r="T16" s="156"/>
      <c r="U16" s="6"/>
    </row>
    <row r="17" spans="1:21" customFormat="1">
      <c r="A17" s="201" t="s">
        <v>2265</v>
      </c>
      <c r="B17" s="100">
        <v>5.35</v>
      </c>
      <c r="C17" s="100">
        <v>5.9</v>
      </c>
      <c r="D17" s="100">
        <v>11.25</v>
      </c>
      <c r="E17" s="100">
        <v>4.8</v>
      </c>
      <c r="F17" s="100">
        <v>2</v>
      </c>
      <c r="G17" s="100">
        <v>36.58</v>
      </c>
      <c r="H17" s="100">
        <v>15.29</v>
      </c>
      <c r="I17" s="100">
        <v>5.05</v>
      </c>
      <c r="J17" s="152" t="s">
        <v>15</v>
      </c>
      <c r="K17" s="152" t="s">
        <v>15</v>
      </c>
      <c r="L17" s="152" t="s">
        <v>15</v>
      </c>
      <c r="M17" s="152" t="s">
        <v>15</v>
      </c>
      <c r="N17" s="152" t="s">
        <v>15</v>
      </c>
      <c r="O17" s="100">
        <v>0</v>
      </c>
      <c r="P17" s="100">
        <v>0.31</v>
      </c>
      <c r="Q17" s="100">
        <v>12.33</v>
      </c>
      <c r="R17" s="6"/>
      <c r="S17" s="6"/>
      <c r="T17" s="156"/>
      <c r="U17" s="6"/>
    </row>
    <row r="18" spans="1:21" customFormat="1">
      <c r="A18" s="201" t="s">
        <v>2266</v>
      </c>
      <c r="B18" s="100">
        <v>5.67</v>
      </c>
      <c r="C18" s="100">
        <v>5.87</v>
      </c>
      <c r="D18" s="100">
        <v>11.54</v>
      </c>
      <c r="E18" s="100">
        <v>5.59</v>
      </c>
      <c r="F18" s="100">
        <v>2</v>
      </c>
      <c r="G18" s="100">
        <v>43.78</v>
      </c>
      <c r="H18" s="100">
        <v>17.489999999999998</v>
      </c>
      <c r="I18" s="100">
        <v>5.32</v>
      </c>
      <c r="J18" s="152" t="s">
        <v>15</v>
      </c>
      <c r="K18" s="152" t="s">
        <v>15</v>
      </c>
      <c r="L18" s="152" t="s">
        <v>15</v>
      </c>
      <c r="M18" s="152" t="s">
        <v>15</v>
      </c>
      <c r="N18" s="152" t="s">
        <v>15</v>
      </c>
      <c r="O18" s="100">
        <v>0</v>
      </c>
      <c r="P18" s="100">
        <v>0.32</v>
      </c>
      <c r="Q18" s="100">
        <v>12.91</v>
      </c>
      <c r="R18" s="6"/>
      <c r="S18" s="6"/>
      <c r="T18" s="156"/>
      <c r="U18" s="6"/>
    </row>
    <row r="19" spans="1:21" customFormat="1">
      <c r="A19" s="201" t="s">
        <v>2267</v>
      </c>
      <c r="B19" s="100">
        <v>6.13</v>
      </c>
      <c r="C19" s="100">
        <v>6.03</v>
      </c>
      <c r="D19" s="100">
        <v>12.16</v>
      </c>
      <c r="E19" s="100">
        <v>5.75</v>
      </c>
      <c r="F19" s="100">
        <v>2</v>
      </c>
      <c r="G19" s="100">
        <v>60.59</v>
      </c>
      <c r="H19" s="100">
        <v>26.3</v>
      </c>
      <c r="I19" s="100">
        <v>5.68</v>
      </c>
      <c r="J19" s="152" t="s">
        <v>15</v>
      </c>
      <c r="K19" s="152" t="s">
        <v>15</v>
      </c>
      <c r="L19" s="152" t="s">
        <v>15</v>
      </c>
      <c r="M19" s="152" t="s">
        <v>15</v>
      </c>
      <c r="N19" s="152" t="s">
        <v>15</v>
      </c>
      <c r="O19" s="100">
        <v>0</v>
      </c>
      <c r="P19" s="100">
        <v>0.33</v>
      </c>
      <c r="Q19" s="100">
        <v>9.98</v>
      </c>
      <c r="R19" s="6"/>
      <c r="S19" s="6"/>
      <c r="T19" s="156"/>
      <c r="U19" s="6"/>
    </row>
    <row r="20" spans="1:21" customFormat="1">
      <c r="A20" s="201" t="s">
        <v>2268</v>
      </c>
      <c r="B20" s="100">
        <v>6.61</v>
      </c>
      <c r="C20" s="100">
        <v>6.02</v>
      </c>
      <c r="D20" s="100">
        <v>12.62</v>
      </c>
      <c r="E20" s="100">
        <v>5.92</v>
      </c>
      <c r="F20" s="100">
        <v>2</v>
      </c>
      <c r="G20" s="100">
        <v>60.59</v>
      </c>
      <c r="H20" s="100">
        <v>26.3</v>
      </c>
      <c r="I20" s="100">
        <v>5.95</v>
      </c>
      <c r="J20" s="152" t="s">
        <v>15</v>
      </c>
      <c r="K20" s="152" t="s">
        <v>15</v>
      </c>
      <c r="L20" s="152" t="s">
        <v>15</v>
      </c>
      <c r="M20" s="152" t="s">
        <v>15</v>
      </c>
      <c r="N20" s="152" t="s">
        <v>15</v>
      </c>
      <c r="O20" s="100">
        <v>0</v>
      </c>
      <c r="P20" s="100">
        <v>0.35</v>
      </c>
      <c r="Q20" s="100">
        <v>10.48</v>
      </c>
      <c r="R20" s="6"/>
      <c r="S20" s="6"/>
      <c r="T20" s="156"/>
      <c r="U20" s="6"/>
    </row>
    <row r="21" spans="1:21" customFormat="1">
      <c r="A21" s="201" t="s">
        <v>2269</v>
      </c>
      <c r="B21" s="100">
        <v>6.93</v>
      </c>
      <c r="C21" s="100">
        <v>6.1</v>
      </c>
      <c r="D21" s="100">
        <v>13.02</v>
      </c>
      <c r="E21" s="100">
        <v>5.83</v>
      </c>
      <c r="F21" s="100">
        <v>2</v>
      </c>
      <c r="G21" s="100">
        <v>60.59</v>
      </c>
      <c r="H21" s="100">
        <v>26.3</v>
      </c>
      <c r="I21" s="100">
        <v>6.17</v>
      </c>
      <c r="J21" s="152" t="s">
        <v>15</v>
      </c>
      <c r="K21" s="152" t="s">
        <v>15</v>
      </c>
      <c r="L21" s="152" t="s">
        <v>15</v>
      </c>
      <c r="M21" s="152" t="s">
        <v>15</v>
      </c>
      <c r="N21" s="152" t="s">
        <v>15</v>
      </c>
      <c r="O21" s="100">
        <v>0</v>
      </c>
      <c r="P21" s="100">
        <v>0.36</v>
      </c>
      <c r="Q21" s="100">
        <v>10.19</v>
      </c>
      <c r="R21" s="6"/>
      <c r="S21" s="6"/>
      <c r="T21" s="156"/>
      <c r="U21" s="6"/>
    </row>
    <row r="22" spans="1:21" customFormat="1">
      <c r="A22" s="201" t="s">
        <v>2270</v>
      </c>
      <c r="B22" s="100">
        <v>7.06</v>
      </c>
      <c r="C22" s="100">
        <v>6.17</v>
      </c>
      <c r="D22" s="100">
        <v>13.23</v>
      </c>
      <c r="E22" s="100">
        <v>5.69</v>
      </c>
      <c r="F22" s="100">
        <v>2</v>
      </c>
      <c r="G22" s="100">
        <v>63.31</v>
      </c>
      <c r="H22" s="100">
        <v>27.08</v>
      </c>
      <c r="I22" s="100">
        <v>6.43</v>
      </c>
      <c r="J22" s="152" t="s">
        <v>15</v>
      </c>
      <c r="K22" s="152" t="s">
        <v>15</v>
      </c>
      <c r="L22" s="152" t="s">
        <v>15</v>
      </c>
      <c r="M22" s="152" t="s">
        <v>15</v>
      </c>
      <c r="N22" s="152" t="s">
        <v>15</v>
      </c>
      <c r="O22" s="100">
        <v>0</v>
      </c>
      <c r="P22" s="100">
        <v>0.36</v>
      </c>
      <c r="Q22" s="100">
        <v>9.86</v>
      </c>
      <c r="R22" s="6"/>
      <c r="S22" s="6"/>
      <c r="T22" s="156"/>
      <c r="U22" s="6"/>
    </row>
    <row r="23" spans="1:21" customFormat="1">
      <c r="A23" s="201" t="s">
        <v>2271</v>
      </c>
      <c r="B23" s="100">
        <v>7.16</v>
      </c>
      <c r="C23" s="100">
        <v>6.24</v>
      </c>
      <c r="D23" s="100">
        <v>13.4</v>
      </c>
      <c r="E23" s="100">
        <v>5.85</v>
      </c>
      <c r="F23" s="100">
        <v>2</v>
      </c>
      <c r="G23" s="100">
        <v>70.010000000000005</v>
      </c>
      <c r="H23" s="100">
        <v>28.29</v>
      </c>
      <c r="I23" s="100">
        <v>6.76</v>
      </c>
      <c r="J23" s="152" t="s">
        <v>15</v>
      </c>
      <c r="K23" s="152" t="s">
        <v>15</v>
      </c>
      <c r="L23" s="152" t="s">
        <v>15</v>
      </c>
      <c r="M23" s="152" t="s">
        <v>15</v>
      </c>
      <c r="N23" s="152" t="s">
        <v>15</v>
      </c>
      <c r="O23" s="100">
        <v>0</v>
      </c>
      <c r="P23" s="100">
        <v>0.37</v>
      </c>
      <c r="Q23" s="100">
        <v>10.58</v>
      </c>
      <c r="R23" s="6"/>
      <c r="S23" s="6"/>
      <c r="T23" s="156"/>
      <c r="U23" s="6"/>
    </row>
    <row r="24" spans="1:21" customFormat="1">
      <c r="A24" s="201" t="s">
        <v>2272</v>
      </c>
      <c r="B24" s="100">
        <v>7.4</v>
      </c>
      <c r="C24" s="100">
        <v>6.3</v>
      </c>
      <c r="D24" s="100">
        <v>13.71</v>
      </c>
      <c r="E24" s="100">
        <v>5.66</v>
      </c>
      <c r="F24" s="100">
        <v>2</v>
      </c>
      <c r="G24" s="100">
        <v>70.010000000000005</v>
      </c>
      <c r="H24" s="100">
        <v>28.29</v>
      </c>
      <c r="I24" s="100">
        <v>6.94</v>
      </c>
      <c r="J24" s="152" t="s">
        <v>15</v>
      </c>
      <c r="K24" s="152" t="s">
        <v>15</v>
      </c>
      <c r="L24" s="152" t="s">
        <v>15</v>
      </c>
      <c r="M24" s="152" t="s">
        <v>15</v>
      </c>
      <c r="N24" s="152" t="s">
        <v>15</v>
      </c>
      <c r="O24" s="100">
        <v>0</v>
      </c>
      <c r="P24" s="100">
        <v>0.39</v>
      </c>
      <c r="Q24" s="100">
        <v>10.54</v>
      </c>
      <c r="R24" s="6"/>
      <c r="S24" s="6"/>
      <c r="T24" s="156"/>
      <c r="U24" s="6"/>
    </row>
    <row r="25" spans="1:21" customFormat="1">
      <c r="A25" s="201" t="s">
        <v>2273</v>
      </c>
      <c r="B25" s="100">
        <v>7.53</v>
      </c>
      <c r="C25" s="100">
        <v>6.24</v>
      </c>
      <c r="D25" s="100">
        <v>13.77</v>
      </c>
      <c r="E25" s="100">
        <v>5.93</v>
      </c>
      <c r="F25" s="100">
        <v>2</v>
      </c>
      <c r="G25" s="100">
        <v>70.010000000000005</v>
      </c>
      <c r="H25" s="100">
        <v>28.29</v>
      </c>
      <c r="I25" s="100">
        <v>7.12</v>
      </c>
      <c r="J25" s="152" t="s">
        <v>15</v>
      </c>
      <c r="K25" s="152" t="s">
        <v>15</v>
      </c>
      <c r="L25" s="152" t="s">
        <v>15</v>
      </c>
      <c r="M25" s="152" t="s">
        <v>15</v>
      </c>
      <c r="N25" s="152" t="s">
        <v>15</v>
      </c>
      <c r="O25" s="100">
        <v>0</v>
      </c>
      <c r="P25" s="100">
        <v>0.38</v>
      </c>
      <c r="Q25" s="100">
        <v>10.29</v>
      </c>
      <c r="R25" s="6"/>
      <c r="S25" s="6"/>
      <c r="T25" s="156"/>
      <c r="U25" s="6"/>
    </row>
    <row r="26" spans="1:21" customFormat="1">
      <c r="A26" s="201" t="s">
        <v>2274</v>
      </c>
      <c r="B26" s="100">
        <v>7.57</v>
      </c>
      <c r="C26" s="100">
        <v>6.08</v>
      </c>
      <c r="D26" s="100">
        <v>13.65</v>
      </c>
      <c r="E26" s="100">
        <v>5.76</v>
      </c>
      <c r="F26" s="100">
        <v>2</v>
      </c>
      <c r="G26" s="100">
        <v>73.56</v>
      </c>
      <c r="H26" s="100">
        <v>30.18</v>
      </c>
      <c r="I26" s="100">
        <v>7.42</v>
      </c>
      <c r="J26" s="152" t="s">
        <v>15</v>
      </c>
      <c r="K26" s="152" t="s">
        <v>15</v>
      </c>
      <c r="L26" s="152" t="s">
        <v>15</v>
      </c>
      <c r="M26" s="152" t="s">
        <v>15</v>
      </c>
      <c r="N26" s="152" t="s">
        <v>15</v>
      </c>
      <c r="O26" s="100">
        <v>0</v>
      </c>
      <c r="P26" s="100">
        <v>0.34</v>
      </c>
      <c r="Q26" s="100">
        <v>10.37</v>
      </c>
      <c r="R26" s="6"/>
      <c r="S26" s="6"/>
      <c r="T26" s="156"/>
      <c r="U26" s="6"/>
    </row>
    <row r="27" spans="1:21" customFormat="1">
      <c r="A27" s="201" t="s">
        <v>2275</v>
      </c>
      <c r="B27" s="100">
        <v>7.5</v>
      </c>
      <c r="C27" s="100">
        <v>5.99</v>
      </c>
      <c r="D27" s="100">
        <v>13.49</v>
      </c>
      <c r="E27" s="100">
        <v>5.31</v>
      </c>
      <c r="F27" s="100">
        <v>2</v>
      </c>
      <c r="G27" s="100">
        <v>82.32</v>
      </c>
      <c r="H27" s="100">
        <v>33.17</v>
      </c>
      <c r="I27" s="100">
        <v>7.51</v>
      </c>
      <c r="J27" s="152" t="s">
        <v>15</v>
      </c>
      <c r="K27" s="152" t="s">
        <v>15</v>
      </c>
      <c r="L27" s="152" t="s">
        <v>15</v>
      </c>
      <c r="M27" s="152" t="s">
        <v>15</v>
      </c>
      <c r="N27" s="152" t="s">
        <v>15</v>
      </c>
      <c r="O27" s="100">
        <v>0</v>
      </c>
      <c r="P27" s="100">
        <v>0.31</v>
      </c>
      <c r="Q27" s="100">
        <v>10.24</v>
      </c>
      <c r="R27" s="6"/>
      <c r="S27" s="6"/>
      <c r="T27" s="156"/>
      <c r="U27" s="6"/>
    </row>
    <row r="28" spans="1:21" customFormat="1">
      <c r="A28" s="201" t="s">
        <v>2276</v>
      </c>
      <c r="B28" s="100">
        <v>7.29</v>
      </c>
      <c r="C28" s="100">
        <v>6.13</v>
      </c>
      <c r="D28" s="100">
        <v>13.42</v>
      </c>
      <c r="E28" s="100">
        <v>5.28</v>
      </c>
      <c r="F28" s="100">
        <v>2</v>
      </c>
      <c r="G28" s="100">
        <v>82.32</v>
      </c>
      <c r="H28" s="100">
        <v>33.17</v>
      </c>
      <c r="I28" s="100">
        <v>7.41</v>
      </c>
      <c r="J28" s="152" t="s">
        <v>15</v>
      </c>
      <c r="K28" s="152" t="s">
        <v>15</v>
      </c>
      <c r="L28" s="152" t="s">
        <v>15</v>
      </c>
      <c r="M28" s="152" t="s">
        <v>15</v>
      </c>
      <c r="N28" s="152" t="s">
        <v>15</v>
      </c>
      <c r="O28" s="100">
        <v>0</v>
      </c>
      <c r="P28" s="100">
        <v>0.33</v>
      </c>
      <c r="Q28" s="100">
        <v>10.220000000000001</v>
      </c>
      <c r="R28" s="6"/>
      <c r="S28" s="6"/>
      <c r="T28" s="156"/>
      <c r="U28" s="6"/>
    </row>
    <row r="29" spans="1:21" customFormat="1">
      <c r="A29" s="201" t="s">
        <v>2277</v>
      </c>
      <c r="B29" s="100">
        <v>7.14</v>
      </c>
      <c r="C29" s="100">
        <v>6.09</v>
      </c>
      <c r="D29" s="100">
        <v>13.23</v>
      </c>
      <c r="E29" s="100">
        <v>5.23</v>
      </c>
      <c r="F29" s="100">
        <v>2</v>
      </c>
      <c r="G29" s="100">
        <v>82.32</v>
      </c>
      <c r="H29" s="100">
        <v>33.17</v>
      </c>
      <c r="I29" s="100">
        <v>7.17</v>
      </c>
      <c r="J29" s="152" t="s">
        <v>15</v>
      </c>
      <c r="K29" s="152" t="s">
        <v>15</v>
      </c>
      <c r="L29" s="152" t="s">
        <v>15</v>
      </c>
      <c r="M29" s="152" t="s">
        <v>15</v>
      </c>
      <c r="N29" s="152" t="s">
        <v>15</v>
      </c>
      <c r="O29" s="100">
        <v>0</v>
      </c>
      <c r="P29" s="100">
        <v>0.31</v>
      </c>
      <c r="Q29" s="100">
        <v>10</v>
      </c>
      <c r="R29" s="6"/>
      <c r="S29" s="6"/>
      <c r="T29" s="156"/>
      <c r="U29" s="6"/>
    </row>
    <row r="30" spans="1:21" customFormat="1">
      <c r="A30" s="201" t="s">
        <v>2278</v>
      </c>
      <c r="B30" s="100">
        <v>7.01</v>
      </c>
      <c r="C30" s="100">
        <v>5.93</v>
      </c>
      <c r="D30" s="100">
        <v>12.93</v>
      </c>
      <c r="E30" s="100">
        <v>5.04</v>
      </c>
      <c r="F30" s="100">
        <v>2</v>
      </c>
      <c r="G30" s="100">
        <v>73.17</v>
      </c>
      <c r="H30" s="100">
        <v>28.46</v>
      </c>
      <c r="I30" s="100">
        <v>7.29</v>
      </c>
      <c r="J30" s="152" t="s">
        <v>15</v>
      </c>
      <c r="K30" s="152" t="s">
        <v>15</v>
      </c>
      <c r="L30" s="152" t="s">
        <v>15</v>
      </c>
      <c r="M30" s="152" t="s">
        <v>15</v>
      </c>
      <c r="N30" s="152" t="s">
        <v>15</v>
      </c>
      <c r="O30" s="100">
        <v>0</v>
      </c>
      <c r="P30" s="100">
        <v>0.3</v>
      </c>
      <c r="Q30" s="100">
        <v>13.01</v>
      </c>
      <c r="R30" s="6"/>
      <c r="S30" s="6"/>
      <c r="T30" s="156"/>
      <c r="U30" s="6"/>
    </row>
    <row r="31" spans="1:21" customFormat="1">
      <c r="A31" s="201" t="s">
        <v>2279</v>
      </c>
      <c r="B31" s="100">
        <v>6.93</v>
      </c>
      <c r="C31" s="100">
        <v>6.02</v>
      </c>
      <c r="D31" s="100">
        <v>12.95</v>
      </c>
      <c r="E31" s="100">
        <v>4.9800000000000004</v>
      </c>
      <c r="F31" s="100">
        <v>2</v>
      </c>
      <c r="G31" s="100">
        <v>50.64</v>
      </c>
      <c r="H31" s="100">
        <v>21.23</v>
      </c>
      <c r="I31" s="100">
        <v>7.22</v>
      </c>
      <c r="J31" s="152" t="s">
        <v>15</v>
      </c>
      <c r="K31" s="152" t="s">
        <v>15</v>
      </c>
      <c r="L31" s="152" t="s">
        <v>15</v>
      </c>
      <c r="M31" s="152" t="s">
        <v>15</v>
      </c>
      <c r="N31" s="152" t="s">
        <v>15</v>
      </c>
      <c r="O31" s="100">
        <v>0</v>
      </c>
      <c r="P31" s="100">
        <v>0.31</v>
      </c>
      <c r="Q31" s="100">
        <v>10.47</v>
      </c>
      <c r="R31" s="6"/>
      <c r="S31" s="6"/>
      <c r="T31" s="156"/>
      <c r="U31" s="6"/>
    </row>
    <row r="32" spans="1:21" customFormat="1">
      <c r="A32" s="201" t="s">
        <v>2280</v>
      </c>
      <c r="B32" s="100">
        <v>6.9</v>
      </c>
      <c r="C32" s="100">
        <v>5.99</v>
      </c>
      <c r="D32" s="100">
        <v>12.89</v>
      </c>
      <c r="E32" s="100">
        <v>5.32</v>
      </c>
      <c r="F32" s="100">
        <v>2</v>
      </c>
      <c r="G32" s="100">
        <v>50.64</v>
      </c>
      <c r="H32" s="100">
        <v>21.23</v>
      </c>
      <c r="I32" s="100">
        <v>7.03</v>
      </c>
      <c r="J32" s="152" t="s">
        <v>15</v>
      </c>
      <c r="K32" s="152" t="s">
        <v>15</v>
      </c>
      <c r="L32" s="152" t="s">
        <v>15</v>
      </c>
      <c r="M32" s="152" t="s">
        <v>15</v>
      </c>
      <c r="N32" s="152" t="s">
        <v>15</v>
      </c>
      <c r="O32" s="100">
        <v>0</v>
      </c>
      <c r="P32" s="100">
        <v>0.28999999999999998</v>
      </c>
      <c r="Q32" s="100">
        <v>9.8800000000000008</v>
      </c>
      <c r="R32" s="6"/>
      <c r="S32" s="6"/>
      <c r="T32" s="156"/>
      <c r="U32" s="6"/>
    </row>
    <row r="33" spans="1:21" customFormat="1">
      <c r="A33" s="201" t="s">
        <v>2281</v>
      </c>
      <c r="B33" s="100">
        <v>6.84</v>
      </c>
      <c r="C33" s="100">
        <v>5.76</v>
      </c>
      <c r="D33" s="100">
        <v>12.59</v>
      </c>
      <c r="E33" s="100">
        <v>5.03</v>
      </c>
      <c r="F33" s="100">
        <v>2</v>
      </c>
      <c r="G33" s="100">
        <v>50.64</v>
      </c>
      <c r="H33" s="100">
        <v>21.23</v>
      </c>
      <c r="I33" s="100">
        <v>7.05</v>
      </c>
      <c r="J33" s="152" t="s">
        <v>15</v>
      </c>
      <c r="K33" s="152" t="s">
        <v>15</v>
      </c>
      <c r="L33" s="152" t="s">
        <v>15</v>
      </c>
      <c r="M33" s="152" t="s">
        <v>15</v>
      </c>
      <c r="N33" s="152" t="s">
        <v>15</v>
      </c>
      <c r="O33" s="100">
        <v>0</v>
      </c>
      <c r="P33" s="100">
        <v>0.28000000000000003</v>
      </c>
      <c r="Q33" s="100">
        <v>10.06</v>
      </c>
      <c r="R33" s="6"/>
      <c r="S33" s="6"/>
      <c r="T33" s="156"/>
      <c r="U33" s="6"/>
    </row>
    <row r="34" spans="1:21" customFormat="1">
      <c r="A34" s="201" t="s">
        <v>2282</v>
      </c>
      <c r="B34" s="100">
        <v>6.78</v>
      </c>
      <c r="C34" s="100">
        <v>5.88</v>
      </c>
      <c r="D34" s="100">
        <v>12.66</v>
      </c>
      <c r="E34" s="100">
        <v>5.23</v>
      </c>
      <c r="F34" s="100">
        <v>2</v>
      </c>
      <c r="G34" s="100">
        <v>45.17</v>
      </c>
      <c r="H34" s="100">
        <v>19.86</v>
      </c>
      <c r="I34" s="100">
        <v>6.99</v>
      </c>
      <c r="J34" s="152" t="s">
        <v>15</v>
      </c>
      <c r="K34" s="152" t="s">
        <v>15</v>
      </c>
      <c r="L34" s="152" t="s">
        <v>15</v>
      </c>
      <c r="M34" s="152" t="s">
        <v>15</v>
      </c>
      <c r="N34" s="152" t="s">
        <v>15</v>
      </c>
      <c r="O34" s="100">
        <v>0</v>
      </c>
      <c r="P34" s="100">
        <v>0.3</v>
      </c>
      <c r="Q34" s="100">
        <v>10</v>
      </c>
      <c r="R34" s="6"/>
      <c r="S34" s="6"/>
      <c r="T34" s="156"/>
      <c r="U34" s="6"/>
    </row>
    <row r="35" spans="1:21" customFormat="1">
      <c r="A35" s="201" t="s">
        <v>2283</v>
      </c>
      <c r="B35" s="100">
        <v>6.76</v>
      </c>
      <c r="C35" s="100">
        <v>5.78</v>
      </c>
      <c r="D35" s="100">
        <v>12.54</v>
      </c>
      <c r="E35" s="100">
        <v>5.54</v>
      </c>
      <c r="F35" s="100">
        <v>2</v>
      </c>
      <c r="G35" s="100">
        <v>32.42</v>
      </c>
      <c r="H35" s="100">
        <v>14.38</v>
      </c>
      <c r="I35" s="100">
        <v>6.68</v>
      </c>
      <c r="J35" s="152" t="s">
        <v>15</v>
      </c>
      <c r="K35" s="152" t="s">
        <v>15</v>
      </c>
      <c r="L35" s="152" t="s">
        <v>15</v>
      </c>
      <c r="M35" s="152" t="s">
        <v>15</v>
      </c>
      <c r="N35" s="152" t="s">
        <v>15</v>
      </c>
      <c r="O35" s="100">
        <v>0</v>
      </c>
      <c r="P35" s="100">
        <v>0.28000000000000003</v>
      </c>
      <c r="Q35" s="100">
        <v>10.42</v>
      </c>
      <c r="R35" s="6"/>
      <c r="S35" s="6"/>
      <c r="T35" s="156"/>
      <c r="U35" s="6"/>
    </row>
    <row r="36" spans="1:21" customFormat="1">
      <c r="A36" s="201" t="s">
        <v>2284</v>
      </c>
      <c r="B36" s="100">
        <v>6.68</v>
      </c>
      <c r="C36" s="100">
        <v>5.73</v>
      </c>
      <c r="D36" s="100">
        <v>12.41</v>
      </c>
      <c r="E36" s="100">
        <v>5.34</v>
      </c>
      <c r="F36" s="100">
        <v>2</v>
      </c>
      <c r="G36" s="100">
        <v>32.42</v>
      </c>
      <c r="H36" s="100">
        <v>14.38</v>
      </c>
      <c r="I36" s="100">
        <v>6.81</v>
      </c>
      <c r="J36" s="152" t="s">
        <v>15</v>
      </c>
      <c r="K36" s="152" t="s">
        <v>15</v>
      </c>
      <c r="L36" s="152" t="s">
        <v>15</v>
      </c>
      <c r="M36" s="152" t="s">
        <v>15</v>
      </c>
      <c r="N36" s="152" t="s">
        <v>15</v>
      </c>
      <c r="O36" s="100">
        <v>0</v>
      </c>
      <c r="P36" s="100">
        <v>0.28999999999999998</v>
      </c>
      <c r="Q36" s="100">
        <v>10</v>
      </c>
      <c r="R36" s="6"/>
      <c r="S36" s="6"/>
      <c r="T36" s="156"/>
      <c r="U36" s="6"/>
    </row>
    <row r="37" spans="1:21" customFormat="1">
      <c r="A37" s="201" t="s">
        <v>2285</v>
      </c>
      <c r="B37" s="100">
        <v>6.66</v>
      </c>
      <c r="C37" s="100">
        <v>5.9</v>
      </c>
      <c r="D37" s="100">
        <v>12.57</v>
      </c>
      <c r="E37" s="100">
        <v>5.4</v>
      </c>
      <c r="F37" s="100">
        <v>2</v>
      </c>
      <c r="G37" s="100">
        <v>32.42</v>
      </c>
      <c r="H37" s="100">
        <v>14.38</v>
      </c>
      <c r="I37" s="100">
        <v>6.71</v>
      </c>
      <c r="J37" s="152" t="s">
        <v>15</v>
      </c>
      <c r="K37" s="152" t="s">
        <v>15</v>
      </c>
      <c r="L37" s="152" t="s">
        <v>15</v>
      </c>
      <c r="M37" s="152" t="s">
        <v>15</v>
      </c>
      <c r="N37" s="152" t="s">
        <v>15</v>
      </c>
      <c r="O37" s="100">
        <v>0</v>
      </c>
      <c r="P37" s="100">
        <v>0.28999999999999998</v>
      </c>
      <c r="Q37" s="100">
        <v>9.94</v>
      </c>
      <c r="R37" s="6"/>
      <c r="S37" s="6"/>
      <c r="T37" s="156"/>
      <c r="U37" s="6"/>
    </row>
    <row r="38" spans="1:21" customFormat="1">
      <c r="A38" s="201" t="s">
        <v>2286</v>
      </c>
      <c r="B38" s="100">
        <v>6.77</v>
      </c>
      <c r="C38" s="100">
        <v>5.76</v>
      </c>
      <c r="D38" s="100">
        <v>12.52</v>
      </c>
      <c r="E38" s="100">
        <v>5.36</v>
      </c>
      <c r="F38" s="100">
        <v>2</v>
      </c>
      <c r="G38" s="100">
        <v>31.64</v>
      </c>
      <c r="H38" s="100">
        <v>12.8</v>
      </c>
      <c r="I38" s="100">
        <v>6.6</v>
      </c>
      <c r="J38" s="152" t="s">
        <v>15</v>
      </c>
      <c r="K38" s="152" t="s">
        <v>15</v>
      </c>
      <c r="L38" s="152" t="s">
        <v>15</v>
      </c>
      <c r="M38" s="152" t="s">
        <v>15</v>
      </c>
      <c r="N38" s="152" t="s">
        <v>15</v>
      </c>
      <c r="O38" s="100">
        <v>0</v>
      </c>
      <c r="P38" s="100">
        <v>0.28000000000000003</v>
      </c>
      <c r="Q38" s="100">
        <v>9.8699999999999992</v>
      </c>
      <c r="R38" s="6"/>
      <c r="S38" s="6"/>
      <c r="T38" s="156"/>
      <c r="U38" s="6"/>
    </row>
    <row r="39" spans="1:21" customFormat="1">
      <c r="A39" s="201" t="s">
        <v>2287</v>
      </c>
      <c r="B39" s="100">
        <v>6.82</v>
      </c>
      <c r="C39" s="100">
        <v>5.87</v>
      </c>
      <c r="D39" s="100">
        <v>12.69</v>
      </c>
      <c r="E39" s="100">
        <v>5.1100000000000003</v>
      </c>
      <c r="F39" s="100">
        <v>2</v>
      </c>
      <c r="G39" s="100">
        <v>29.84</v>
      </c>
      <c r="H39" s="100">
        <v>10.35</v>
      </c>
      <c r="I39" s="100">
        <v>6.67</v>
      </c>
      <c r="J39" s="152" t="s">
        <v>15</v>
      </c>
      <c r="K39" s="152" t="s">
        <v>15</v>
      </c>
      <c r="L39" s="152" t="s">
        <v>15</v>
      </c>
      <c r="M39" s="152" t="s">
        <v>15</v>
      </c>
      <c r="N39" s="152" t="s">
        <v>15</v>
      </c>
      <c r="O39" s="100">
        <v>0</v>
      </c>
      <c r="P39" s="100">
        <v>0.28999999999999998</v>
      </c>
      <c r="Q39" s="100">
        <v>9.8800000000000008</v>
      </c>
      <c r="R39" s="6"/>
      <c r="S39" s="6"/>
      <c r="T39" s="156"/>
      <c r="U39" s="6"/>
    </row>
    <row r="40" spans="1:21" customFormat="1">
      <c r="A40" s="201" t="s">
        <v>2288</v>
      </c>
      <c r="B40" s="100">
        <v>6.83</v>
      </c>
      <c r="C40" s="100">
        <v>5.86</v>
      </c>
      <c r="D40" s="100">
        <v>12.69</v>
      </c>
      <c r="E40" s="100">
        <v>5.32</v>
      </c>
      <c r="F40" s="100">
        <v>2</v>
      </c>
      <c r="G40" s="100">
        <v>29.84</v>
      </c>
      <c r="H40" s="100">
        <v>10.35</v>
      </c>
      <c r="I40" s="100">
        <v>6.63</v>
      </c>
      <c r="J40" s="152" t="s">
        <v>15</v>
      </c>
      <c r="K40" s="152" t="s">
        <v>15</v>
      </c>
      <c r="L40" s="152" t="s">
        <v>15</v>
      </c>
      <c r="M40" s="152" t="s">
        <v>15</v>
      </c>
      <c r="N40" s="152" t="s">
        <v>15</v>
      </c>
      <c r="O40" s="100">
        <v>0</v>
      </c>
      <c r="P40" s="100">
        <v>0.28999999999999998</v>
      </c>
      <c r="Q40" s="100">
        <v>9.74</v>
      </c>
      <c r="R40" s="6"/>
      <c r="S40" s="6"/>
      <c r="T40" s="156"/>
      <c r="U40" s="6"/>
    </row>
    <row r="41" spans="1:21" customFormat="1">
      <c r="A41" s="201" t="s">
        <v>2289</v>
      </c>
      <c r="B41" s="100">
        <v>6.73</v>
      </c>
      <c r="C41" s="100">
        <v>5.68</v>
      </c>
      <c r="D41" s="100">
        <v>12.41</v>
      </c>
      <c r="E41" s="100">
        <v>5.47</v>
      </c>
      <c r="F41" s="100">
        <v>2</v>
      </c>
      <c r="G41" s="100">
        <v>29.84</v>
      </c>
      <c r="H41" s="100">
        <v>10.35</v>
      </c>
      <c r="I41" s="100">
        <v>6.66</v>
      </c>
      <c r="J41" s="152" t="s">
        <v>15</v>
      </c>
      <c r="K41" s="152" t="s">
        <v>15</v>
      </c>
      <c r="L41" s="152" t="s">
        <v>15</v>
      </c>
      <c r="M41" s="152" t="s">
        <v>15</v>
      </c>
      <c r="N41" s="152" t="s">
        <v>15</v>
      </c>
      <c r="O41" s="100">
        <v>0</v>
      </c>
      <c r="P41" s="100">
        <v>0.27</v>
      </c>
      <c r="Q41" s="100">
        <v>9.94</v>
      </c>
      <c r="R41" s="6"/>
      <c r="S41" s="6"/>
      <c r="T41" s="156"/>
      <c r="U41" s="6"/>
    </row>
    <row r="42" spans="1:21" customFormat="1">
      <c r="A42" s="201" t="s">
        <v>2290</v>
      </c>
      <c r="B42" s="100">
        <v>6.57</v>
      </c>
      <c r="C42" s="100">
        <v>5.75</v>
      </c>
      <c r="D42" s="100">
        <v>12.31</v>
      </c>
      <c r="E42" s="100">
        <v>5.1100000000000003</v>
      </c>
      <c r="F42" s="100">
        <v>2</v>
      </c>
      <c r="G42" s="100">
        <v>29.08</v>
      </c>
      <c r="H42" s="100">
        <v>9.1999999999999993</v>
      </c>
      <c r="I42" s="100">
        <v>6.64</v>
      </c>
      <c r="J42" s="152" t="s">
        <v>15</v>
      </c>
      <c r="K42" s="152" t="s">
        <v>15</v>
      </c>
      <c r="L42" s="152" t="s">
        <v>15</v>
      </c>
      <c r="M42" s="152" t="s">
        <v>15</v>
      </c>
      <c r="N42" s="152" t="s">
        <v>15</v>
      </c>
      <c r="O42" s="100">
        <v>0</v>
      </c>
      <c r="P42" s="100">
        <v>0.28000000000000003</v>
      </c>
      <c r="Q42" s="100">
        <v>10</v>
      </c>
      <c r="R42" s="6"/>
      <c r="S42" s="6"/>
      <c r="T42" s="156"/>
      <c r="U42" s="6"/>
    </row>
    <row r="43" spans="1:21" customFormat="1">
      <c r="A43" s="201" t="s">
        <v>2291</v>
      </c>
      <c r="B43" s="100">
        <v>6.48</v>
      </c>
      <c r="C43" s="100">
        <v>5.86</v>
      </c>
      <c r="D43" s="100">
        <v>12.34</v>
      </c>
      <c r="E43" s="100">
        <v>5.18</v>
      </c>
      <c r="F43" s="100">
        <v>2</v>
      </c>
      <c r="G43" s="100">
        <v>27.32</v>
      </c>
      <c r="H43" s="100">
        <v>7.44</v>
      </c>
      <c r="I43" s="100">
        <v>6.69</v>
      </c>
      <c r="J43" s="152" t="s">
        <v>15</v>
      </c>
      <c r="K43" s="152" t="s">
        <v>15</v>
      </c>
      <c r="L43" s="152" t="s">
        <v>15</v>
      </c>
      <c r="M43" s="152" t="s">
        <v>15</v>
      </c>
      <c r="N43" s="152" t="s">
        <v>15</v>
      </c>
      <c r="O43" s="100">
        <v>0</v>
      </c>
      <c r="P43" s="100">
        <v>0.28000000000000003</v>
      </c>
      <c r="Q43" s="100">
        <v>10.220000000000001</v>
      </c>
      <c r="R43" s="6"/>
      <c r="S43" s="6"/>
      <c r="T43" s="156"/>
      <c r="U43" s="6"/>
    </row>
    <row r="44" spans="1:21" customFormat="1">
      <c r="A44" s="201" t="s">
        <v>2292</v>
      </c>
      <c r="B44" s="100">
        <v>6.28</v>
      </c>
      <c r="C44" s="100">
        <v>5.83</v>
      </c>
      <c r="D44" s="100">
        <v>12.11</v>
      </c>
      <c r="E44" s="100">
        <v>5.16</v>
      </c>
      <c r="F44" s="100">
        <v>2</v>
      </c>
      <c r="G44" s="100">
        <v>27.32</v>
      </c>
      <c r="H44" s="100">
        <v>7.44</v>
      </c>
      <c r="I44" s="100">
        <v>6.58</v>
      </c>
      <c r="J44" s="152" t="s">
        <v>15</v>
      </c>
      <c r="K44" s="152" t="s">
        <v>15</v>
      </c>
      <c r="L44" s="152" t="s">
        <v>15</v>
      </c>
      <c r="M44" s="152" t="s">
        <v>15</v>
      </c>
      <c r="N44" s="152" t="s">
        <v>15</v>
      </c>
      <c r="O44" s="100">
        <v>0</v>
      </c>
      <c r="P44" s="100">
        <v>0.3</v>
      </c>
      <c r="Q44" s="100">
        <v>10.68</v>
      </c>
      <c r="R44" s="6"/>
      <c r="S44" s="6"/>
      <c r="T44" s="156"/>
      <c r="U44" s="6"/>
    </row>
    <row r="45" spans="1:21" customFormat="1">
      <c r="A45" s="201" t="s">
        <v>2293</v>
      </c>
      <c r="B45" s="100">
        <v>5.89</v>
      </c>
      <c r="C45" s="100">
        <v>6.11</v>
      </c>
      <c r="D45" s="100">
        <v>12</v>
      </c>
      <c r="E45" s="100">
        <v>5.2</v>
      </c>
      <c r="F45" s="100">
        <v>2</v>
      </c>
      <c r="G45" s="100">
        <v>27.32</v>
      </c>
      <c r="H45" s="100">
        <v>7.44</v>
      </c>
      <c r="I45" s="100">
        <v>6.46</v>
      </c>
      <c r="J45" s="152" t="s">
        <v>15</v>
      </c>
      <c r="K45" s="152" t="s">
        <v>15</v>
      </c>
      <c r="L45" s="152" t="s">
        <v>15</v>
      </c>
      <c r="M45" s="152" t="s">
        <v>15</v>
      </c>
      <c r="N45" s="152" t="s">
        <v>15</v>
      </c>
      <c r="O45" s="100">
        <v>0</v>
      </c>
      <c r="P45" s="100">
        <v>0.32</v>
      </c>
      <c r="Q45" s="100">
        <v>11.42</v>
      </c>
      <c r="R45" s="6"/>
      <c r="S45" s="6"/>
      <c r="T45" s="156"/>
      <c r="U45" s="6"/>
    </row>
    <row r="46" spans="1:21" customFormat="1">
      <c r="A46" s="201" t="s">
        <v>2294</v>
      </c>
      <c r="B46" s="100">
        <v>5.57</v>
      </c>
      <c r="C46" s="100">
        <v>6.34</v>
      </c>
      <c r="D46" s="100">
        <v>11.91</v>
      </c>
      <c r="E46" s="100">
        <v>5.13</v>
      </c>
      <c r="F46" s="100">
        <v>2</v>
      </c>
      <c r="G46" s="100">
        <v>28.08</v>
      </c>
      <c r="H46" s="100">
        <v>11.64</v>
      </c>
      <c r="I46" s="100">
        <v>6.43</v>
      </c>
      <c r="J46" s="152" t="s">
        <v>15</v>
      </c>
      <c r="K46" s="152" t="s">
        <v>15</v>
      </c>
      <c r="L46" s="152" t="s">
        <v>15</v>
      </c>
      <c r="M46" s="152" t="s">
        <v>15</v>
      </c>
      <c r="N46" s="152" t="s">
        <v>15</v>
      </c>
      <c r="O46" s="100">
        <v>0</v>
      </c>
      <c r="P46" s="100">
        <v>0.34</v>
      </c>
      <c r="Q46" s="100">
        <v>12.87</v>
      </c>
      <c r="R46" s="6"/>
      <c r="S46" s="6"/>
      <c r="T46" s="156"/>
      <c r="U46" s="6"/>
    </row>
    <row r="47" spans="1:21" customFormat="1">
      <c r="A47" s="201" t="s">
        <v>2295</v>
      </c>
      <c r="B47" s="100">
        <v>5.43</v>
      </c>
      <c r="C47" s="100">
        <v>6.56</v>
      </c>
      <c r="D47" s="100">
        <v>11.98</v>
      </c>
      <c r="E47" s="100">
        <v>5.14</v>
      </c>
      <c r="F47" s="100">
        <v>2</v>
      </c>
      <c r="G47" s="100">
        <v>29.85</v>
      </c>
      <c r="H47" s="100">
        <v>18.12</v>
      </c>
      <c r="I47" s="100">
        <v>6.45</v>
      </c>
      <c r="J47" s="152" t="s">
        <v>15</v>
      </c>
      <c r="K47" s="152" t="s">
        <v>15</v>
      </c>
      <c r="L47" s="152" t="s">
        <v>15</v>
      </c>
      <c r="M47" s="152" t="s">
        <v>15</v>
      </c>
      <c r="N47" s="152" t="s">
        <v>15</v>
      </c>
      <c r="O47" s="100">
        <v>0</v>
      </c>
      <c r="P47" s="100">
        <v>0.35</v>
      </c>
      <c r="Q47" s="100">
        <v>10.45</v>
      </c>
      <c r="R47" s="6"/>
      <c r="S47" s="6"/>
      <c r="T47" s="156"/>
      <c r="U47" s="6"/>
    </row>
    <row r="48" spans="1:21" customFormat="1">
      <c r="A48" s="201" t="s">
        <v>2296</v>
      </c>
      <c r="B48" s="100">
        <v>5.45</v>
      </c>
      <c r="C48" s="100">
        <v>6.81</v>
      </c>
      <c r="D48" s="100">
        <v>12.27</v>
      </c>
      <c r="E48" s="100">
        <v>5.12</v>
      </c>
      <c r="F48" s="100">
        <v>2</v>
      </c>
      <c r="G48" s="100">
        <v>29.85</v>
      </c>
      <c r="H48" s="100">
        <v>18.12</v>
      </c>
      <c r="I48" s="100">
        <v>6.48</v>
      </c>
      <c r="J48" s="152" t="s">
        <v>15</v>
      </c>
      <c r="K48" s="152" t="s">
        <v>15</v>
      </c>
      <c r="L48" s="152" t="s">
        <v>15</v>
      </c>
      <c r="M48" s="152" t="s">
        <v>15</v>
      </c>
      <c r="N48" s="152" t="s">
        <v>15</v>
      </c>
      <c r="O48" s="100">
        <v>0</v>
      </c>
      <c r="P48" s="100">
        <v>0.37</v>
      </c>
      <c r="Q48" s="100">
        <v>10.31</v>
      </c>
      <c r="R48" s="6"/>
      <c r="S48" s="6"/>
      <c r="T48" s="156"/>
      <c r="U48" s="6"/>
    </row>
    <row r="49" spans="1:21" customFormat="1">
      <c r="A49" s="201" t="s">
        <v>2297</v>
      </c>
      <c r="B49" s="100">
        <v>5.26</v>
      </c>
      <c r="C49" s="100">
        <v>6.9</v>
      </c>
      <c r="D49" s="100">
        <v>12.16</v>
      </c>
      <c r="E49" s="100">
        <v>4.8</v>
      </c>
      <c r="F49" s="100">
        <v>2</v>
      </c>
      <c r="G49" s="100">
        <v>29.85</v>
      </c>
      <c r="H49" s="100">
        <v>18.12</v>
      </c>
      <c r="I49" s="100">
        <v>6.69</v>
      </c>
      <c r="J49" s="152" t="s">
        <v>15</v>
      </c>
      <c r="K49" s="152" t="s">
        <v>15</v>
      </c>
      <c r="L49" s="152" t="s">
        <v>15</v>
      </c>
      <c r="M49" s="152" t="s">
        <v>15</v>
      </c>
      <c r="N49" s="152" t="s">
        <v>15</v>
      </c>
      <c r="O49" s="100">
        <v>0</v>
      </c>
      <c r="P49" s="100">
        <v>0.39</v>
      </c>
      <c r="Q49" s="100">
        <v>9.99</v>
      </c>
      <c r="R49" s="6"/>
      <c r="S49" s="6"/>
      <c r="T49" s="156"/>
      <c r="U49" s="6"/>
    </row>
    <row r="50" spans="1:21" customFormat="1">
      <c r="A50" s="201" t="s">
        <v>2298</v>
      </c>
      <c r="B50" s="100">
        <v>4.9400000000000004</v>
      </c>
      <c r="C50" s="100">
        <v>6.94</v>
      </c>
      <c r="D50" s="100">
        <v>11.89</v>
      </c>
      <c r="E50" s="100">
        <v>5.96</v>
      </c>
      <c r="F50" s="100">
        <v>2</v>
      </c>
      <c r="G50" s="100">
        <v>38.46</v>
      </c>
      <c r="H50" s="100">
        <v>19.21</v>
      </c>
      <c r="I50" s="100">
        <v>6.72</v>
      </c>
      <c r="J50" s="152" t="s">
        <v>15</v>
      </c>
      <c r="K50" s="152" t="s">
        <v>15</v>
      </c>
      <c r="L50" s="152" t="s">
        <v>15</v>
      </c>
      <c r="M50" s="152" t="s">
        <v>15</v>
      </c>
      <c r="N50" s="152" t="s">
        <v>15</v>
      </c>
      <c r="O50" s="100">
        <v>0</v>
      </c>
      <c r="P50" s="100">
        <v>0.39</v>
      </c>
      <c r="Q50" s="100">
        <v>10.75</v>
      </c>
      <c r="R50" s="6"/>
      <c r="S50" s="6"/>
      <c r="T50" s="156"/>
      <c r="U50" s="6"/>
    </row>
    <row r="51" spans="1:21" customFormat="1">
      <c r="A51" s="201" t="s">
        <v>2299</v>
      </c>
      <c r="B51" s="100">
        <v>4.63</v>
      </c>
      <c r="C51" s="100">
        <v>6.89</v>
      </c>
      <c r="D51" s="100">
        <v>11.52</v>
      </c>
      <c r="E51" s="100">
        <v>6.24</v>
      </c>
      <c r="F51" s="100">
        <v>2</v>
      </c>
      <c r="G51" s="100">
        <v>58.55</v>
      </c>
      <c r="H51" s="100">
        <v>23.58</v>
      </c>
      <c r="I51" s="100">
        <v>6.79</v>
      </c>
      <c r="J51" s="152" t="s">
        <v>15</v>
      </c>
      <c r="K51" s="152" t="s">
        <v>15</v>
      </c>
      <c r="L51" s="152" t="s">
        <v>15</v>
      </c>
      <c r="M51" s="152" t="s">
        <v>15</v>
      </c>
      <c r="N51" s="152" t="s">
        <v>15</v>
      </c>
      <c r="O51" s="100">
        <v>0</v>
      </c>
      <c r="P51" s="100">
        <v>0.4</v>
      </c>
      <c r="Q51" s="100">
        <v>10.18</v>
      </c>
      <c r="R51" s="6"/>
      <c r="S51" s="6"/>
      <c r="T51" s="156"/>
      <c r="U51" s="6"/>
    </row>
    <row r="52" spans="1:21" customFormat="1">
      <c r="A52" s="201" t="s">
        <v>2300</v>
      </c>
      <c r="B52" s="100">
        <v>4.28</v>
      </c>
      <c r="C52" s="100">
        <v>6.81</v>
      </c>
      <c r="D52" s="100">
        <v>11.09</v>
      </c>
      <c r="E52" s="100">
        <v>6.21</v>
      </c>
      <c r="F52" s="100">
        <v>2.0299999999999998</v>
      </c>
      <c r="G52" s="100">
        <v>58.55</v>
      </c>
      <c r="H52" s="100">
        <v>23.58</v>
      </c>
      <c r="I52" s="100">
        <v>6.79</v>
      </c>
      <c r="J52" s="152" t="s">
        <v>15</v>
      </c>
      <c r="K52" s="152" t="s">
        <v>15</v>
      </c>
      <c r="L52" s="152" t="s">
        <v>15</v>
      </c>
      <c r="M52" s="152" t="s">
        <v>15</v>
      </c>
      <c r="N52" s="152" t="s">
        <v>15</v>
      </c>
      <c r="O52" s="100">
        <v>0</v>
      </c>
      <c r="P52" s="100">
        <v>0.4</v>
      </c>
      <c r="Q52" s="100">
        <v>10.54</v>
      </c>
      <c r="R52" s="6"/>
      <c r="S52" s="6"/>
      <c r="T52" s="156"/>
      <c r="U52" s="6"/>
    </row>
    <row r="53" spans="1:21" customFormat="1">
      <c r="A53" s="201" t="s">
        <v>2301</v>
      </c>
      <c r="B53" s="100">
        <v>3.89</v>
      </c>
      <c r="C53" s="100">
        <v>6.8</v>
      </c>
      <c r="D53" s="100">
        <v>10.69</v>
      </c>
      <c r="E53" s="100">
        <v>6.14</v>
      </c>
      <c r="F53" s="100">
        <v>2</v>
      </c>
      <c r="G53" s="100">
        <v>58.55</v>
      </c>
      <c r="H53" s="100">
        <v>23.58</v>
      </c>
      <c r="I53" s="100">
        <v>6.78</v>
      </c>
      <c r="J53" s="152" t="s">
        <v>15</v>
      </c>
      <c r="K53" s="152" t="s">
        <v>15</v>
      </c>
      <c r="L53" s="152" t="s">
        <v>15</v>
      </c>
      <c r="M53" s="152" t="s">
        <v>15</v>
      </c>
      <c r="N53" s="152" t="s">
        <v>15</v>
      </c>
      <c r="O53" s="100">
        <v>0</v>
      </c>
      <c r="P53" s="100">
        <v>0.4</v>
      </c>
      <c r="Q53" s="100">
        <v>10.19</v>
      </c>
      <c r="R53" s="6"/>
      <c r="S53" s="6"/>
      <c r="T53" s="156"/>
      <c r="U53" s="6"/>
    </row>
    <row r="54" spans="1:21" customFormat="1">
      <c r="A54" s="201" t="s">
        <v>2302</v>
      </c>
      <c r="B54" s="133" t="s">
        <v>4</v>
      </c>
      <c r="C54" s="133" t="s">
        <v>4</v>
      </c>
      <c r="D54" s="133" t="s">
        <v>4</v>
      </c>
      <c r="E54" s="133" t="s">
        <v>4</v>
      </c>
      <c r="F54" s="133" t="s">
        <v>4</v>
      </c>
      <c r="G54" s="133" t="s">
        <v>4</v>
      </c>
      <c r="H54" s="133" t="s">
        <v>4</v>
      </c>
      <c r="I54" s="133" t="s">
        <v>4</v>
      </c>
      <c r="J54" s="133" t="s">
        <v>4</v>
      </c>
      <c r="K54" s="133" t="s">
        <v>4</v>
      </c>
      <c r="L54" s="133" t="s">
        <v>4</v>
      </c>
      <c r="M54" s="133" t="s">
        <v>4</v>
      </c>
      <c r="N54" s="133" t="s">
        <v>4</v>
      </c>
      <c r="O54" s="133" t="s">
        <v>4</v>
      </c>
      <c r="P54" s="133" t="s">
        <v>4</v>
      </c>
      <c r="Q54" s="133" t="s">
        <v>4</v>
      </c>
      <c r="R54" s="6"/>
      <c r="S54" s="6"/>
      <c r="T54" s="156"/>
      <c r="U54" s="6"/>
    </row>
    <row r="55" spans="1:21" customFormat="1">
      <c r="A55" s="201" t="s">
        <v>2303</v>
      </c>
      <c r="B55" s="133" t="s">
        <v>4</v>
      </c>
      <c r="C55" s="133" t="s">
        <v>4</v>
      </c>
      <c r="D55" s="133" t="s">
        <v>4</v>
      </c>
      <c r="E55" s="133" t="s">
        <v>4</v>
      </c>
      <c r="F55" s="133" t="s">
        <v>4</v>
      </c>
      <c r="G55" s="133" t="s">
        <v>4</v>
      </c>
      <c r="H55" s="133" t="s">
        <v>4</v>
      </c>
      <c r="I55" s="133" t="s">
        <v>4</v>
      </c>
      <c r="J55" s="133" t="s">
        <v>4</v>
      </c>
      <c r="K55" s="133" t="s">
        <v>4</v>
      </c>
      <c r="L55" s="133" t="s">
        <v>4</v>
      </c>
      <c r="M55" s="133" t="s">
        <v>4</v>
      </c>
      <c r="N55" s="133" t="s">
        <v>4</v>
      </c>
      <c r="O55" s="133" t="s">
        <v>4</v>
      </c>
      <c r="P55" s="133" t="s">
        <v>4</v>
      </c>
      <c r="Q55" s="133" t="s">
        <v>4</v>
      </c>
      <c r="R55" s="6"/>
      <c r="S55" s="6"/>
      <c r="T55" s="156"/>
      <c r="U55" s="6"/>
    </row>
    <row r="56" spans="1:21" customFormat="1">
      <c r="A56" s="201" t="s">
        <v>2304</v>
      </c>
      <c r="B56" s="133" t="s">
        <v>4</v>
      </c>
      <c r="C56" s="133" t="s">
        <v>4</v>
      </c>
      <c r="D56" s="133" t="s">
        <v>4</v>
      </c>
      <c r="E56" s="133" t="s">
        <v>4</v>
      </c>
      <c r="F56" s="133" t="s">
        <v>4</v>
      </c>
      <c r="G56" s="133" t="s">
        <v>4</v>
      </c>
      <c r="H56" s="133" t="s">
        <v>4</v>
      </c>
      <c r="I56" s="133" t="s">
        <v>4</v>
      </c>
      <c r="J56" s="133" t="s">
        <v>4</v>
      </c>
      <c r="K56" s="133" t="s">
        <v>4</v>
      </c>
      <c r="L56" s="133" t="s">
        <v>4</v>
      </c>
      <c r="M56" s="133" t="s">
        <v>4</v>
      </c>
      <c r="N56" s="133" t="s">
        <v>4</v>
      </c>
      <c r="O56" s="133" t="s">
        <v>4</v>
      </c>
      <c r="P56" s="133" t="s">
        <v>4</v>
      </c>
      <c r="Q56" s="133" t="s">
        <v>4</v>
      </c>
      <c r="R56" s="6"/>
      <c r="S56" s="6"/>
      <c r="T56" s="156"/>
      <c r="U56" s="6"/>
    </row>
    <row r="57" spans="1:21" customFormat="1">
      <c r="A57" s="201" t="s">
        <v>2305</v>
      </c>
      <c r="B57" s="133" t="s">
        <v>4</v>
      </c>
      <c r="C57" s="133" t="s">
        <v>4</v>
      </c>
      <c r="D57" s="133" t="s">
        <v>4</v>
      </c>
      <c r="E57" s="133" t="s">
        <v>4</v>
      </c>
      <c r="F57" s="133" t="s">
        <v>4</v>
      </c>
      <c r="G57" s="133" t="s">
        <v>4</v>
      </c>
      <c r="H57" s="133" t="s">
        <v>4</v>
      </c>
      <c r="I57" s="133" t="s">
        <v>4</v>
      </c>
      <c r="J57" s="133" t="s">
        <v>4</v>
      </c>
      <c r="K57" s="133" t="s">
        <v>4</v>
      </c>
      <c r="L57" s="133" t="s">
        <v>4</v>
      </c>
      <c r="M57" s="133" t="s">
        <v>4</v>
      </c>
      <c r="N57" s="133" t="s">
        <v>4</v>
      </c>
      <c r="O57" s="133" t="s">
        <v>4</v>
      </c>
      <c r="P57" s="133" t="s">
        <v>4</v>
      </c>
      <c r="Q57" s="133" t="s">
        <v>4</v>
      </c>
      <c r="R57" s="6"/>
      <c r="S57" s="6"/>
      <c r="T57" s="156"/>
      <c r="U57" s="6"/>
    </row>
    <row r="58" spans="1:21" customFormat="1">
      <c r="A58" s="201" t="s">
        <v>2306</v>
      </c>
      <c r="B58" s="133" t="s">
        <v>4</v>
      </c>
      <c r="C58" s="133" t="s">
        <v>4</v>
      </c>
      <c r="D58" s="133" t="s">
        <v>4</v>
      </c>
      <c r="E58" s="133" t="s">
        <v>4</v>
      </c>
      <c r="F58" s="133" t="s">
        <v>4</v>
      </c>
      <c r="G58" s="133" t="s">
        <v>4</v>
      </c>
      <c r="H58" s="133" t="s">
        <v>4</v>
      </c>
      <c r="I58" s="133" t="s">
        <v>4</v>
      </c>
      <c r="J58" s="133" t="s">
        <v>4</v>
      </c>
      <c r="K58" s="133" t="s">
        <v>4</v>
      </c>
      <c r="L58" s="133" t="s">
        <v>4</v>
      </c>
      <c r="M58" s="133" t="s">
        <v>4</v>
      </c>
      <c r="N58" s="133" t="s">
        <v>4</v>
      </c>
      <c r="O58" s="133" t="s">
        <v>4</v>
      </c>
      <c r="P58" s="133" t="s">
        <v>4</v>
      </c>
      <c r="Q58" s="133" t="s">
        <v>4</v>
      </c>
      <c r="R58" s="6"/>
      <c r="S58" s="6"/>
      <c r="T58" s="156"/>
      <c r="U58" s="6"/>
    </row>
    <row r="59" spans="1:21" customFormat="1">
      <c r="A59" s="201" t="s">
        <v>2307</v>
      </c>
      <c r="B59" s="133" t="s">
        <v>4</v>
      </c>
      <c r="C59" s="133" t="s">
        <v>4</v>
      </c>
      <c r="D59" s="133" t="s">
        <v>4</v>
      </c>
      <c r="E59" s="133" t="s">
        <v>4</v>
      </c>
      <c r="F59" s="133" t="s">
        <v>4</v>
      </c>
      <c r="G59" s="133" t="s">
        <v>4</v>
      </c>
      <c r="H59" s="133" t="s">
        <v>4</v>
      </c>
      <c r="I59" s="133" t="s">
        <v>4</v>
      </c>
      <c r="J59" s="133" t="s">
        <v>4</v>
      </c>
      <c r="K59" s="133" t="s">
        <v>4</v>
      </c>
      <c r="L59" s="133" t="s">
        <v>4</v>
      </c>
      <c r="M59" s="133" t="s">
        <v>4</v>
      </c>
      <c r="N59" s="133" t="s">
        <v>4</v>
      </c>
      <c r="O59" s="133" t="s">
        <v>4</v>
      </c>
      <c r="P59" s="133" t="s">
        <v>4</v>
      </c>
      <c r="Q59" s="133" t="s">
        <v>4</v>
      </c>
      <c r="R59" s="6"/>
      <c r="S59" s="6"/>
      <c r="T59" s="156"/>
      <c r="U59" s="6"/>
    </row>
    <row r="60" spans="1:21" customFormat="1">
      <c r="A60" s="201" t="s">
        <v>2308</v>
      </c>
      <c r="B60" s="133" t="s">
        <v>4</v>
      </c>
      <c r="C60" s="133" t="s">
        <v>4</v>
      </c>
      <c r="D60" s="133" t="s">
        <v>4</v>
      </c>
      <c r="E60" s="133" t="s">
        <v>4</v>
      </c>
      <c r="F60" s="133" t="s">
        <v>4</v>
      </c>
      <c r="G60" s="133" t="s">
        <v>4</v>
      </c>
      <c r="H60" s="133" t="s">
        <v>4</v>
      </c>
      <c r="I60" s="133" t="s">
        <v>4</v>
      </c>
      <c r="J60" s="133" t="s">
        <v>4</v>
      </c>
      <c r="K60" s="133" t="s">
        <v>4</v>
      </c>
      <c r="L60" s="133" t="s">
        <v>4</v>
      </c>
      <c r="M60" s="133" t="s">
        <v>4</v>
      </c>
      <c r="N60" s="133" t="s">
        <v>4</v>
      </c>
      <c r="O60" s="133" t="s">
        <v>4</v>
      </c>
      <c r="P60" s="133" t="s">
        <v>4</v>
      </c>
      <c r="Q60" s="133" t="s">
        <v>4</v>
      </c>
      <c r="R60" s="6"/>
      <c r="S60" s="6"/>
      <c r="T60" s="156"/>
      <c r="U60" s="6"/>
    </row>
    <row r="61" spans="1:21" customFormat="1">
      <c r="A61" s="201" t="s">
        <v>2309</v>
      </c>
      <c r="B61" s="133" t="s">
        <v>4</v>
      </c>
      <c r="C61" s="133" t="s">
        <v>4</v>
      </c>
      <c r="D61" s="133" t="s">
        <v>4</v>
      </c>
      <c r="E61" s="133" t="s">
        <v>4</v>
      </c>
      <c r="F61" s="133" t="s">
        <v>4</v>
      </c>
      <c r="G61" s="133" t="s">
        <v>4</v>
      </c>
      <c r="H61" s="133" t="s">
        <v>4</v>
      </c>
      <c r="I61" s="133" t="s">
        <v>4</v>
      </c>
      <c r="J61" s="133" t="s">
        <v>4</v>
      </c>
      <c r="K61" s="133" t="s">
        <v>4</v>
      </c>
      <c r="L61" s="133" t="s">
        <v>4</v>
      </c>
      <c r="M61" s="133" t="s">
        <v>4</v>
      </c>
      <c r="N61" s="133" t="s">
        <v>4</v>
      </c>
      <c r="O61" s="133" t="s">
        <v>4</v>
      </c>
      <c r="P61" s="133" t="s">
        <v>4</v>
      </c>
      <c r="Q61" s="133" t="s">
        <v>4</v>
      </c>
      <c r="R61" s="6"/>
      <c r="S61" s="6"/>
      <c r="T61" s="156"/>
      <c r="U61" s="6"/>
    </row>
    <row r="62" spans="1:21" customFormat="1">
      <c r="A62" s="201" t="s">
        <v>2310</v>
      </c>
      <c r="B62" s="133" t="s">
        <v>4</v>
      </c>
      <c r="C62" s="133" t="s">
        <v>4</v>
      </c>
      <c r="D62" s="133" t="s">
        <v>4</v>
      </c>
      <c r="E62" s="133" t="s">
        <v>4</v>
      </c>
      <c r="F62" s="133" t="s">
        <v>4</v>
      </c>
      <c r="G62" s="133" t="s">
        <v>4</v>
      </c>
      <c r="H62" s="133" t="s">
        <v>4</v>
      </c>
      <c r="I62" s="133" t="s">
        <v>4</v>
      </c>
      <c r="J62" s="133" t="s">
        <v>4</v>
      </c>
      <c r="K62" s="133" t="s">
        <v>4</v>
      </c>
      <c r="L62" s="133" t="s">
        <v>4</v>
      </c>
      <c r="M62" s="133" t="s">
        <v>4</v>
      </c>
      <c r="N62" s="133" t="s">
        <v>4</v>
      </c>
      <c r="O62" s="133" t="s">
        <v>4</v>
      </c>
      <c r="P62" s="133" t="s">
        <v>4</v>
      </c>
      <c r="Q62" s="133" t="s">
        <v>4</v>
      </c>
      <c r="R62" s="6"/>
      <c r="S62" s="6"/>
      <c r="T62" s="156"/>
      <c r="U62" s="6"/>
    </row>
    <row r="63" spans="1:21" customFormat="1">
      <c r="A63" s="201" t="s">
        <v>2311</v>
      </c>
      <c r="B63" s="133" t="s">
        <v>4</v>
      </c>
      <c r="C63" s="133" t="s">
        <v>4</v>
      </c>
      <c r="D63" s="133" t="s">
        <v>4</v>
      </c>
      <c r="E63" s="133" t="s">
        <v>4</v>
      </c>
      <c r="F63" s="133" t="s">
        <v>4</v>
      </c>
      <c r="G63" s="133" t="s">
        <v>4</v>
      </c>
      <c r="H63" s="133" t="s">
        <v>4</v>
      </c>
      <c r="I63" s="133" t="s">
        <v>4</v>
      </c>
      <c r="J63" s="133" t="s">
        <v>4</v>
      </c>
      <c r="K63" s="133" t="s">
        <v>4</v>
      </c>
      <c r="L63" s="133" t="s">
        <v>4</v>
      </c>
      <c r="M63" s="133" t="s">
        <v>4</v>
      </c>
      <c r="N63" s="133" t="s">
        <v>4</v>
      </c>
      <c r="O63" s="133" t="s">
        <v>4</v>
      </c>
      <c r="P63" s="133" t="s">
        <v>4</v>
      </c>
      <c r="Q63" s="133" t="s">
        <v>4</v>
      </c>
      <c r="R63" s="6"/>
      <c r="S63" s="6"/>
      <c r="T63" s="156"/>
      <c r="U63" s="6"/>
    </row>
    <row r="64" spans="1:21" customFormat="1">
      <c r="A64" s="201" t="s">
        <v>2312</v>
      </c>
      <c r="B64" s="150" t="s">
        <v>21</v>
      </c>
      <c r="C64" s="150" t="s">
        <v>21</v>
      </c>
      <c r="D64" s="150" t="s">
        <v>21</v>
      </c>
      <c r="E64" s="150" t="s">
        <v>21</v>
      </c>
      <c r="F64" s="100">
        <v>5.48</v>
      </c>
      <c r="G64" s="100">
        <v>49.77</v>
      </c>
      <c r="H64" s="100">
        <v>15.4</v>
      </c>
      <c r="I64" s="150" t="s">
        <v>21</v>
      </c>
      <c r="J64" s="152" t="s">
        <v>15</v>
      </c>
      <c r="K64" s="152" t="s">
        <v>15</v>
      </c>
      <c r="L64" s="152" t="s">
        <v>15</v>
      </c>
      <c r="M64" s="152" t="s">
        <v>15</v>
      </c>
      <c r="N64" s="152" t="s">
        <v>15</v>
      </c>
      <c r="O64" s="100">
        <v>0</v>
      </c>
      <c r="P64" s="100">
        <v>0.33</v>
      </c>
      <c r="Q64" s="150" t="s">
        <v>21</v>
      </c>
      <c r="R64" s="6"/>
      <c r="S64" s="6"/>
      <c r="T64" s="156"/>
      <c r="U64" s="6"/>
    </row>
    <row r="65" spans="1:21" customFormat="1">
      <c r="A65" s="201" t="s">
        <v>2313</v>
      </c>
      <c r="B65" s="100">
        <v>3.24</v>
      </c>
      <c r="C65" s="100">
        <v>4.63</v>
      </c>
      <c r="D65" s="100">
        <v>7.87</v>
      </c>
      <c r="E65" s="100">
        <v>2.64</v>
      </c>
      <c r="F65" s="100">
        <v>3.37</v>
      </c>
      <c r="G65" s="100">
        <v>38.67</v>
      </c>
      <c r="H65" s="100">
        <v>14.9</v>
      </c>
      <c r="I65" s="150" t="s">
        <v>21</v>
      </c>
      <c r="J65" s="152" t="s">
        <v>15</v>
      </c>
      <c r="K65" s="152" t="s">
        <v>15</v>
      </c>
      <c r="L65" s="152" t="s">
        <v>15</v>
      </c>
      <c r="M65" s="152" t="s">
        <v>15</v>
      </c>
      <c r="N65" s="152" t="s">
        <v>15</v>
      </c>
      <c r="O65" s="100">
        <v>0</v>
      </c>
      <c r="P65" s="100">
        <v>0.22</v>
      </c>
      <c r="Q65" s="150" t="s">
        <v>21</v>
      </c>
      <c r="R65" s="6"/>
      <c r="S65" s="6"/>
      <c r="T65" s="156"/>
      <c r="U65" s="6"/>
    </row>
    <row r="66" spans="1:21" customFormat="1">
      <c r="A66" s="201" t="s">
        <v>2314</v>
      </c>
      <c r="B66" s="100">
        <v>3.74</v>
      </c>
      <c r="C66" s="100">
        <v>5.54</v>
      </c>
      <c r="D66" s="100">
        <v>9.27</v>
      </c>
      <c r="E66" s="100">
        <v>2.64</v>
      </c>
      <c r="F66" s="100">
        <v>4.16</v>
      </c>
      <c r="G66" s="100">
        <v>42.14</v>
      </c>
      <c r="H66" s="100">
        <v>15.5</v>
      </c>
      <c r="I66" s="100">
        <v>4.5</v>
      </c>
      <c r="J66" s="152" t="s">
        <v>15</v>
      </c>
      <c r="K66" s="152" t="s">
        <v>15</v>
      </c>
      <c r="L66" s="152" t="s">
        <v>15</v>
      </c>
      <c r="M66" s="152" t="s">
        <v>15</v>
      </c>
      <c r="N66" s="152" t="s">
        <v>15</v>
      </c>
      <c r="O66" s="100">
        <v>0</v>
      </c>
      <c r="P66" s="100">
        <v>0.13</v>
      </c>
      <c r="Q66" s="100">
        <v>10</v>
      </c>
      <c r="R66" s="6"/>
      <c r="S66" s="6"/>
      <c r="T66" s="156"/>
      <c r="U66" s="6"/>
    </row>
    <row r="67" spans="1:21" customFormat="1">
      <c r="A67" s="201" t="s">
        <v>2315</v>
      </c>
      <c r="B67" s="100">
        <v>3.54</v>
      </c>
      <c r="C67" s="100">
        <v>5.85</v>
      </c>
      <c r="D67" s="100">
        <v>9.39</v>
      </c>
      <c r="E67" s="100">
        <v>2.64</v>
      </c>
      <c r="F67" s="100">
        <v>2.99</v>
      </c>
      <c r="G67" s="100">
        <v>50.25</v>
      </c>
      <c r="H67" s="100">
        <v>17.93</v>
      </c>
      <c r="I67" s="100">
        <v>6.92</v>
      </c>
      <c r="J67" s="152" t="s">
        <v>15</v>
      </c>
      <c r="K67" s="152" t="s">
        <v>15</v>
      </c>
      <c r="L67" s="152" t="s">
        <v>15</v>
      </c>
      <c r="M67" s="152" t="s">
        <v>15</v>
      </c>
      <c r="N67" s="152" t="s">
        <v>15</v>
      </c>
      <c r="O67" s="100">
        <v>0</v>
      </c>
      <c r="P67" s="100">
        <v>0.05</v>
      </c>
      <c r="Q67" s="100">
        <v>10</v>
      </c>
      <c r="R67" s="6"/>
      <c r="S67" s="6"/>
      <c r="T67" s="156"/>
      <c r="U67" s="6"/>
    </row>
    <row r="68" spans="1:21" customFormat="1">
      <c r="A68" s="201" t="s">
        <v>2316</v>
      </c>
      <c r="B68" s="100">
        <v>3.32</v>
      </c>
      <c r="C68" s="100">
        <v>5.94</v>
      </c>
      <c r="D68" s="100">
        <v>9.27</v>
      </c>
      <c r="E68" s="100">
        <v>2.64</v>
      </c>
      <c r="F68" s="100">
        <v>2.2400000000000002</v>
      </c>
      <c r="G68" s="100">
        <v>50.25</v>
      </c>
      <c r="H68" s="100">
        <v>17.93</v>
      </c>
      <c r="I68" s="100">
        <v>6.66</v>
      </c>
      <c r="J68" s="152" t="s">
        <v>15</v>
      </c>
      <c r="K68" s="152" t="s">
        <v>15</v>
      </c>
      <c r="L68" s="152" t="s">
        <v>15</v>
      </c>
      <c r="M68" s="152" t="s">
        <v>15</v>
      </c>
      <c r="N68" s="152" t="s">
        <v>15</v>
      </c>
      <c r="O68" s="100">
        <v>0</v>
      </c>
      <c r="P68" s="100">
        <v>0.03</v>
      </c>
      <c r="Q68" s="100">
        <v>10</v>
      </c>
      <c r="R68" s="6"/>
      <c r="S68" s="6"/>
      <c r="T68" s="156"/>
      <c r="U68" s="6"/>
    </row>
    <row r="69" spans="1:21" customFormat="1">
      <c r="A69" s="201" t="s">
        <v>2317</v>
      </c>
      <c r="B69" s="100">
        <v>3.21</v>
      </c>
      <c r="C69" s="100">
        <v>6.01</v>
      </c>
      <c r="D69" s="100">
        <v>9.2200000000000006</v>
      </c>
      <c r="E69" s="100">
        <v>2.64</v>
      </c>
      <c r="F69" s="100">
        <v>2.23</v>
      </c>
      <c r="G69" s="100">
        <v>50.25</v>
      </c>
      <c r="H69" s="100">
        <v>17.93</v>
      </c>
      <c r="I69" s="100">
        <v>6.64</v>
      </c>
      <c r="J69" s="152" t="s">
        <v>15</v>
      </c>
      <c r="K69" s="152" t="s">
        <v>15</v>
      </c>
      <c r="L69" s="152" t="s">
        <v>15</v>
      </c>
      <c r="M69" s="152" t="s">
        <v>15</v>
      </c>
      <c r="N69" s="152" t="s">
        <v>15</v>
      </c>
      <c r="O69" s="100">
        <v>0</v>
      </c>
      <c r="P69" s="100">
        <v>0.03</v>
      </c>
      <c r="Q69" s="100">
        <v>10</v>
      </c>
      <c r="R69" s="6"/>
      <c r="S69" s="6"/>
      <c r="T69" s="156"/>
      <c r="U69" s="6"/>
    </row>
    <row r="70" spans="1:21" customFormat="1">
      <c r="A70" s="201" t="s">
        <v>2318</v>
      </c>
      <c r="B70" s="100">
        <v>3.29</v>
      </c>
      <c r="C70" s="100">
        <v>6.03</v>
      </c>
      <c r="D70" s="100">
        <v>9.32</v>
      </c>
      <c r="E70" s="100">
        <v>2.64</v>
      </c>
      <c r="F70" s="100">
        <v>2.0499999999999998</v>
      </c>
      <c r="G70" s="100">
        <v>53.65</v>
      </c>
      <c r="H70" s="100">
        <v>16.670000000000002</v>
      </c>
      <c r="I70" s="100">
        <v>6.71</v>
      </c>
      <c r="J70" s="152" t="s">
        <v>15</v>
      </c>
      <c r="K70" s="152" t="s">
        <v>15</v>
      </c>
      <c r="L70" s="152" t="s">
        <v>15</v>
      </c>
      <c r="M70" s="152" t="s">
        <v>15</v>
      </c>
      <c r="N70" s="152" t="s">
        <v>15</v>
      </c>
      <c r="O70" s="100">
        <v>0</v>
      </c>
      <c r="P70" s="100">
        <v>0.02</v>
      </c>
      <c r="Q70" s="100">
        <v>10</v>
      </c>
      <c r="R70" s="6"/>
      <c r="S70" s="6"/>
      <c r="T70" s="156"/>
      <c r="U70" s="6"/>
    </row>
    <row r="71" spans="1:21" customFormat="1">
      <c r="A71" s="201" t="s">
        <v>2319</v>
      </c>
      <c r="B71" s="100">
        <v>3.43</v>
      </c>
      <c r="C71" s="100">
        <v>6.1</v>
      </c>
      <c r="D71" s="100">
        <v>9.5399999999999991</v>
      </c>
      <c r="E71" s="100">
        <v>2.64</v>
      </c>
      <c r="F71" s="100">
        <v>2.09</v>
      </c>
      <c r="G71" s="100">
        <v>61.59</v>
      </c>
      <c r="H71" s="100">
        <v>14.74</v>
      </c>
      <c r="I71" s="100">
        <v>6.63</v>
      </c>
      <c r="J71" s="152" t="s">
        <v>15</v>
      </c>
      <c r="K71" s="152" t="s">
        <v>15</v>
      </c>
      <c r="L71" s="152" t="s">
        <v>15</v>
      </c>
      <c r="M71" s="152" t="s">
        <v>15</v>
      </c>
      <c r="N71" s="152" t="s">
        <v>15</v>
      </c>
      <c r="O71" s="100">
        <v>0</v>
      </c>
      <c r="P71" s="100">
        <v>0.04</v>
      </c>
      <c r="Q71" s="100">
        <v>10</v>
      </c>
      <c r="R71" s="6"/>
      <c r="S71" s="6"/>
      <c r="T71" s="156"/>
      <c r="U71" s="6"/>
    </row>
    <row r="72" spans="1:21" customFormat="1">
      <c r="A72" s="201" t="s">
        <v>2320</v>
      </c>
      <c r="B72" s="100">
        <v>3.7</v>
      </c>
      <c r="C72" s="100">
        <v>6.08</v>
      </c>
      <c r="D72" s="100">
        <v>9.77</v>
      </c>
      <c r="E72" s="100">
        <v>2.64</v>
      </c>
      <c r="F72" s="100">
        <v>2</v>
      </c>
      <c r="G72" s="100">
        <v>61.59</v>
      </c>
      <c r="H72" s="100">
        <v>14.74</v>
      </c>
      <c r="I72" s="100">
        <v>6.57</v>
      </c>
      <c r="J72" s="152" t="s">
        <v>15</v>
      </c>
      <c r="K72" s="152" t="s">
        <v>15</v>
      </c>
      <c r="L72" s="152" t="s">
        <v>15</v>
      </c>
      <c r="M72" s="152" t="s">
        <v>15</v>
      </c>
      <c r="N72" s="152" t="s">
        <v>15</v>
      </c>
      <c r="O72" s="100">
        <v>0</v>
      </c>
      <c r="P72" s="100">
        <v>0.03</v>
      </c>
      <c r="Q72" s="100">
        <v>10</v>
      </c>
      <c r="R72" s="6"/>
      <c r="S72" s="6"/>
      <c r="T72" s="156"/>
      <c r="U72" s="6"/>
    </row>
    <row r="73" spans="1:21" customFormat="1">
      <c r="A73" s="201" t="s">
        <v>2321</v>
      </c>
      <c r="B73" s="100">
        <v>3.89</v>
      </c>
      <c r="C73" s="100">
        <v>6.03</v>
      </c>
      <c r="D73" s="100">
        <v>9.93</v>
      </c>
      <c r="E73" s="100">
        <v>2.64</v>
      </c>
      <c r="F73" s="100">
        <v>2</v>
      </c>
      <c r="G73" s="100">
        <v>61.59</v>
      </c>
      <c r="H73" s="100">
        <v>14.74</v>
      </c>
      <c r="I73" s="100">
        <v>6.57</v>
      </c>
      <c r="J73" s="152" t="s">
        <v>15</v>
      </c>
      <c r="K73" s="152" t="s">
        <v>15</v>
      </c>
      <c r="L73" s="152" t="s">
        <v>15</v>
      </c>
      <c r="M73" s="152" t="s">
        <v>15</v>
      </c>
      <c r="N73" s="152" t="s">
        <v>15</v>
      </c>
      <c r="O73" s="100">
        <v>0</v>
      </c>
      <c r="P73" s="100">
        <v>0.03</v>
      </c>
      <c r="Q73" s="100">
        <v>10</v>
      </c>
      <c r="R73" s="6"/>
      <c r="S73" s="6"/>
      <c r="T73" s="156"/>
      <c r="U73" s="6"/>
    </row>
    <row r="74" spans="1:21" customFormat="1">
      <c r="A74" s="201" t="s">
        <v>2322</v>
      </c>
      <c r="B74" s="100">
        <v>4.09</v>
      </c>
      <c r="C74" s="100">
        <v>5.99</v>
      </c>
      <c r="D74" s="100">
        <v>10.08</v>
      </c>
      <c r="E74" s="100">
        <v>2.64</v>
      </c>
      <c r="F74" s="100">
        <v>2</v>
      </c>
      <c r="G74" s="100">
        <v>69.790000000000006</v>
      </c>
      <c r="H74" s="100">
        <v>18.68</v>
      </c>
      <c r="I74" s="100">
        <v>6.52</v>
      </c>
      <c r="J74" s="152" t="s">
        <v>15</v>
      </c>
      <c r="K74" s="152" t="s">
        <v>15</v>
      </c>
      <c r="L74" s="152" t="s">
        <v>15</v>
      </c>
      <c r="M74" s="152" t="s">
        <v>15</v>
      </c>
      <c r="N74" s="152" t="s">
        <v>15</v>
      </c>
      <c r="O74" s="100">
        <v>0</v>
      </c>
      <c r="P74" s="100">
        <v>0.02</v>
      </c>
      <c r="Q74" s="100">
        <v>10</v>
      </c>
      <c r="R74" s="6"/>
      <c r="S74" s="6"/>
      <c r="T74" s="156"/>
      <c r="U74" s="6"/>
    </row>
    <row r="75" spans="1:21" customFormat="1">
      <c r="A75" s="201" t="s">
        <v>2323</v>
      </c>
      <c r="B75" s="100">
        <v>4.17</v>
      </c>
      <c r="C75" s="100">
        <v>5.95</v>
      </c>
      <c r="D75" s="100">
        <v>10.119999999999999</v>
      </c>
      <c r="E75" s="100">
        <v>2.64</v>
      </c>
      <c r="F75" s="100">
        <v>2</v>
      </c>
      <c r="G75" s="100">
        <v>88.91</v>
      </c>
      <c r="H75" s="100">
        <v>24.74</v>
      </c>
      <c r="I75" s="100">
        <v>6.47</v>
      </c>
      <c r="J75" s="152" t="s">
        <v>15</v>
      </c>
      <c r="K75" s="152" t="s">
        <v>15</v>
      </c>
      <c r="L75" s="152" t="s">
        <v>15</v>
      </c>
      <c r="M75" s="152" t="s">
        <v>15</v>
      </c>
      <c r="N75" s="152" t="s">
        <v>15</v>
      </c>
      <c r="O75" s="100">
        <v>0</v>
      </c>
      <c r="P75" s="100">
        <v>0.01</v>
      </c>
      <c r="Q75" s="100">
        <v>10</v>
      </c>
      <c r="R75" s="6"/>
      <c r="S75" s="6"/>
      <c r="T75" s="156"/>
      <c r="U75" s="6"/>
    </row>
    <row r="76" spans="1:21" customFormat="1">
      <c r="A76" s="201" t="s">
        <v>2324</v>
      </c>
      <c r="B76" s="100">
        <v>4.1500000000000004</v>
      </c>
      <c r="C76" s="100">
        <v>5.89</v>
      </c>
      <c r="D76" s="100">
        <v>10.029999999999999</v>
      </c>
      <c r="E76" s="100">
        <v>2.64</v>
      </c>
      <c r="F76" s="100">
        <v>2</v>
      </c>
      <c r="G76" s="100">
        <v>88.91</v>
      </c>
      <c r="H76" s="100">
        <v>24.74</v>
      </c>
      <c r="I76" s="100">
        <v>6.4</v>
      </c>
      <c r="J76" s="152" t="s">
        <v>15</v>
      </c>
      <c r="K76" s="152" t="s">
        <v>15</v>
      </c>
      <c r="L76" s="152" t="s">
        <v>15</v>
      </c>
      <c r="M76" s="152" t="s">
        <v>15</v>
      </c>
      <c r="N76" s="152" t="s">
        <v>15</v>
      </c>
      <c r="O76" s="100">
        <v>0</v>
      </c>
      <c r="P76" s="100">
        <v>0</v>
      </c>
      <c r="Q76" s="100">
        <v>10</v>
      </c>
      <c r="R76" s="6"/>
      <c r="S76" s="6"/>
      <c r="T76" s="156"/>
      <c r="U76" s="6"/>
    </row>
    <row r="77" spans="1:21" customFormat="1">
      <c r="A77" s="201" t="s">
        <v>2325</v>
      </c>
      <c r="B77" s="100">
        <v>4.13</v>
      </c>
      <c r="C77" s="100">
        <v>5.98</v>
      </c>
      <c r="D77" s="100">
        <v>10.11</v>
      </c>
      <c r="E77" s="100">
        <v>2.64</v>
      </c>
      <c r="F77" s="100">
        <v>2</v>
      </c>
      <c r="G77" s="100">
        <v>88.91</v>
      </c>
      <c r="H77" s="100">
        <v>24.74</v>
      </c>
      <c r="I77" s="100">
        <v>6.33</v>
      </c>
      <c r="J77" s="152" t="s">
        <v>15</v>
      </c>
      <c r="K77" s="152" t="s">
        <v>15</v>
      </c>
      <c r="L77" s="152" t="s">
        <v>15</v>
      </c>
      <c r="M77" s="152" t="s">
        <v>15</v>
      </c>
      <c r="N77" s="152" t="s">
        <v>15</v>
      </c>
      <c r="O77" s="100">
        <v>0</v>
      </c>
      <c r="P77" s="100">
        <v>0.02</v>
      </c>
      <c r="Q77" s="100">
        <v>10</v>
      </c>
      <c r="R77" s="6"/>
      <c r="S77" s="6"/>
      <c r="T77" s="156"/>
      <c r="U77" s="6"/>
    </row>
    <row r="78" spans="1:21" customFormat="1">
      <c r="A78" s="201" t="s">
        <v>2326</v>
      </c>
      <c r="B78" s="100">
        <v>4.1399999999999997</v>
      </c>
      <c r="C78" s="100">
        <v>5.84</v>
      </c>
      <c r="D78" s="100">
        <v>9.9700000000000006</v>
      </c>
      <c r="E78" s="100">
        <v>2.64</v>
      </c>
      <c r="F78" s="100">
        <v>2</v>
      </c>
      <c r="G78" s="100">
        <v>87.13</v>
      </c>
      <c r="H78" s="100">
        <v>25.9</v>
      </c>
      <c r="I78" s="100">
        <v>6.31</v>
      </c>
      <c r="J78" s="152" t="s">
        <v>15</v>
      </c>
      <c r="K78" s="152" t="s">
        <v>15</v>
      </c>
      <c r="L78" s="152" t="s">
        <v>15</v>
      </c>
      <c r="M78" s="152" t="s">
        <v>15</v>
      </c>
      <c r="N78" s="152" t="s">
        <v>15</v>
      </c>
      <c r="O78" s="100">
        <v>0</v>
      </c>
      <c r="P78" s="100">
        <v>0.03</v>
      </c>
      <c r="Q78" s="100">
        <v>10</v>
      </c>
      <c r="R78" s="6"/>
      <c r="S78" s="6"/>
      <c r="T78" s="156"/>
      <c r="U78" s="6"/>
    </row>
    <row r="79" spans="1:21" customFormat="1">
      <c r="A79" s="201" t="s">
        <v>2327</v>
      </c>
      <c r="B79" s="100">
        <v>4.0599999999999996</v>
      </c>
      <c r="C79" s="100">
        <v>5.7</v>
      </c>
      <c r="D79" s="100">
        <v>9.76</v>
      </c>
      <c r="E79" s="100">
        <v>2.64</v>
      </c>
      <c r="F79" s="100">
        <v>2</v>
      </c>
      <c r="G79" s="100">
        <v>82.98</v>
      </c>
      <c r="H79" s="100">
        <v>27.69</v>
      </c>
      <c r="I79" s="100">
        <v>6.57</v>
      </c>
      <c r="J79" s="152" t="s">
        <v>15</v>
      </c>
      <c r="K79" s="152" t="s">
        <v>15</v>
      </c>
      <c r="L79" s="152" t="s">
        <v>15</v>
      </c>
      <c r="M79" s="152" t="s">
        <v>15</v>
      </c>
      <c r="N79" s="152" t="s">
        <v>15</v>
      </c>
      <c r="O79" s="100">
        <v>0</v>
      </c>
      <c r="P79" s="100">
        <v>0</v>
      </c>
      <c r="Q79" s="100">
        <v>10</v>
      </c>
      <c r="R79" s="6"/>
      <c r="S79" s="6"/>
      <c r="T79" s="156"/>
      <c r="U79" s="6"/>
    </row>
    <row r="80" spans="1:21" customFormat="1">
      <c r="A80" s="201" t="s">
        <v>2328</v>
      </c>
      <c r="B80" s="100">
        <v>4.01</v>
      </c>
      <c r="C80" s="100">
        <v>5.5</v>
      </c>
      <c r="D80" s="100">
        <v>9.51</v>
      </c>
      <c r="E80" s="100">
        <v>2.64</v>
      </c>
      <c r="F80" s="100">
        <v>2</v>
      </c>
      <c r="G80" s="100">
        <v>82.98</v>
      </c>
      <c r="H80" s="100">
        <v>27.69</v>
      </c>
      <c r="I80" s="100">
        <v>6.88</v>
      </c>
      <c r="J80" s="152" t="s">
        <v>15</v>
      </c>
      <c r="K80" s="152" t="s">
        <v>15</v>
      </c>
      <c r="L80" s="152" t="s">
        <v>15</v>
      </c>
      <c r="M80" s="152" t="s">
        <v>15</v>
      </c>
      <c r="N80" s="152" t="s">
        <v>15</v>
      </c>
      <c r="O80" s="100">
        <v>0</v>
      </c>
      <c r="P80" s="100">
        <v>0</v>
      </c>
      <c r="Q80" s="100">
        <v>10</v>
      </c>
      <c r="R80" s="6"/>
      <c r="S80" s="6"/>
      <c r="T80" s="156"/>
      <c r="U80" s="6"/>
    </row>
    <row r="81" spans="1:21" customFormat="1">
      <c r="A81" s="201" t="s">
        <v>2329</v>
      </c>
      <c r="B81" s="100">
        <v>3.86</v>
      </c>
      <c r="C81" s="100">
        <v>5.49</v>
      </c>
      <c r="D81" s="100">
        <v>9.35</v>
      </c>
      <c r="E81" s="100">
        <v>5.14</v>
      </c>
      <c r="F81" s="100">
        <v>2</v>
      </c>
      <c r="G81" s="100">
        <v>82.98</v>
      </c>
      <c r="H81" s="100">
        <v>27.69</v>
      </c>
      <c r="I81" s="100">
        <v>6.98</v>
      </c>
      <c r="J81" s="152" t="s">
        <v>15</v>
      </c>
      <c r="K81" s="152" t="s">
        <v>15</v>
      </c>
      <c r="L81" s="152" t="s">
        <v>15</v>
      </c>
      <c r="M81" s="152" t="s">
        <v>15</v>
      </c>
      <c r="N81" s="152" t="s">
        <v>15</v>
      </c>
      <c r="O81" s="100">
        <v>0</v>
      </c>
      <c r="P81" s="100">
        <v>0</v>
      </c>
      <c r="Q81" s="100">
        <v>10</v>
      </c>
      <c r="R81" s="6"/>
      <c r="S81" s="6"/>
      <c r="T81" s="156"/>
      <c r="U81" s="6"/>
    </row>
    <row r="82" spans="1:21" customFormat="1">
      <c r="A82" s="201" t="s">
        <v>2330</v>
      </c>
      <c r="B82" s="100">
        <v>3.76</v>
      </c>
      <c r="C82" s="100">
        <v>5.65</v>
      </c>
      <c r="D82" s="100">
        <v>9.4</v>
      </c>
      <c r="E82" s="100">
        <v>6.14</v>
      </c>
      <c r="F82" s="100">
        <v>2</v>
      </c>
      <c r="G82" s="100">
        <v>79.959999999999994</v>
      </c>
      <c r="H82" s="100">
        <v>27.38</v>
      </c>
      <c r="I82" s="100">
        <v>6.95</v>
      </c>
      <c r="J82" s="152" t="s">
        <v>15</v>
      </c>
      <c r="K82" s="152" t="s">
        <v>15</v>
      </c>
      <c r="L82" s="152" t="s">
        <v>15</v>
      </c>
      <c r="M82" s="152" t="s">
        <v>15</v>
      </c>
      <c r="N82" s="152" t="s">
        <v>15</v>
      </c>
      <c r="O82" s="100">
        <v>0</v>
      </c>
      <c r="P82" s="100">
        <v>0.02</v>
      </c>
      <c r="Q82" s="100">
        <v>10</v>
      </c>
      <c r="R82" s="6"/>
      <c r="S82" s="6"/>
      <c r="T82" s="156"/>
      <c r="U82" s="6"/>
    </row>
    <row r="83" spans="1:21" customFormat="1">
      <c r="A83" s="201" t="s">
        <v>2331</v>
      </c>
      <c r="B83" s="100">
        <v>3.64</v>
      </c>
      <c r="C83" s="100">
        <v>5.53</v>
      </c>
      <c r="D83" s="100">
        <v>9.16</v>
      </c>
      <c r="E83" s="100">
        <v>6.18</v>
      </c>
      <c r="F83" s="100">
        <v>2</v>
      </c>
      <c r="G83" s="100">
        <v>72.91</v>
      </c>
      <c r="H83" s="100">
        <v>26.14</v>
      </c>
      <c r="I83" s="100">
        <v>6.85</v>
      </c>
      <c r="J83" s="152" t="s">
        <v>15</v>
      </c>
      <c r="K83" s="152" t="s">
        <v>15</v>
      </c>
      <c r="L83" s="152" t="s">
        <v>15</v>
      </c>
      <c r="M83" s="152" t="s">
        <v>15</v>
      </c>
      <c r="N83" s="152" t="s">
        <v>15</v>
      </c>
      <c r="O83" s="100">
        <v>0</v>
      </c>
      <c r="P83" s="100">
        <v>0.01</v>
      </c>
      <c r="Q83" s="100">
        <v>10</v>
      </c>
      <c r="R83" s="6"/>
      <c r="S83" s="6"/>
      <c r="T83" s="156"/>
      <c r="U83" s="6"/>
    </row>
    <row r="84" spans="1:21" customFormat="1">
      <c r="A84" s="201" t="s">
        <v>2332</v>
      </c>
      <c r="B84" s="100">
        <v>3.33</v>
      </c>
      <c r="C84" s="100">
        <v>5.61</v>
      </c>
      <c r="D84" s="100">
        <v>8.94</v>
      </c>
      <c r="E84" s="100">
        <v>5.85</v>
      </c>
      <c r="F84" s="100">
        <v>2</v>
      </c>
      <c r="G84" s="100">
        <v>72.91</v>
      </c>
      <c r="H84" s="100">
        <v>26.14</v>
      </c>
      <c r="I84" s="100">
        <v>6.82</v>
      </c>
      <c r="J84" s="152" t="s">
        <v>15</v>
      </c>
      <c r="K84" s="152" t="s">
        <v>15</v>
      </c>
      <c r="L84" s="152" t="s">
        <v>15</v>
      </c>
      <c r="M84" s="152" t="s">
        <v>15</v>
      </c>
      <c r="N84" s="152" t="s">
        <v>15</v>
      </c>
      <c r="O84" s="100">
        <v>0</v>
      </c>
      <c r="P84" s="100">
        <v>0.03</v>
      </c>
      <c r="Q84" s="100">
        <v>10</v>
      </c>
      <c r="R84" s="6"/>
      <c r="S84" s="6"/>
      <c r="T84" s="156"/>
      <c r="U84" s="6"/>
    </row>
    <row r="85" spans="1:21" customFormat="1">
      <c r="A85" s="201" t="s">
        <v>2333</v>
      </c>
      <c r="B85" s="100">
        <v>2.99</v>
      </c>
      <c r="C85" s="100">
        <v>5.67</v>
      </c>
      <c r="D85" s="100">
        <v>8.66</v>
      </c>
      <c r="E85" s="100">
        <v>5.51</v>
      </c>
      <c r="F85" s="100">
        <v>2</v>
      </c>
      <c r="G85" s="100">
        <v>72.91</v>
      </c>
      <c r="H85" s="100">
        <v>26.14</v>
      </c>
      <c r="I85" s="100">
        <v>6.71</v>
      </c>
      <c r="J85" s="152" t="s">
        <v>15</v>
      </c>
      <c r="K85" s="152" t="s">
        <v>15</v>
      </c>
      <c r="L85" s="152" t="s">
        <v>15</v>
      </c>
      <c r="M85" s="152" t="s">
        <v>15</v>
      </c>
      <c r="N85" s="152" t="s">
        <v>15</v>
      </c>
      <c r="O85" s="100">
        <v>0</v>
      </c>
      <c r="P85" s="100">
        <v>0.04</v>
      </c>
      <c r="Q85" s="100">
        <v>10</v>
      </c>
      <c r="R85" s="6"/>
      <c r="S85" s="6"/>
      <c r="T85" s="156"/>
      <c r="U85" s="6"/>
    </row>
    <row r="86" spans="1:21" customFormat="1">
      <c r="A86" s="201" t="s">
        <v>2334</v>
      </c>
      <c r="B86" s="100">
        <v>2.71</v>
      </c>
      <c r="C86" s="100">
        <v>5.64</v>
      </c>
      <c r="D86" s="100">
        <v>8.34</v>
      </c>
      <c r="E86" s="100">
        <v>5.49</v>
      </c>
      <c r="F86" s="100">
        <v>2</v>
      </c>
      <c r="G86" s="100">
        <v>69.61</v>
      </c>
      <c r="H86" s="100">
        <v>23.48</v>
      </c>
      <c r="I86" s="100">
        <v>6.53</v>
      </c>
      <c r="J86" s="152" t="s">
        <v>15</v>
      </c>
      <c r="K86" s="152" t="s">
        <v>15</v>
      </c>
      <c r="L86" s="152" t="s">
        <v>15</v>
      </c>
      <c r="M86" s="152" t="s">
        <v>15</v>
      </c>
      <c r="N86" s="152" t="s">
        <v>15</v>
      </c>
      <c r="O86" s="100">
        <v>0</v>
      </c>
      <c r="P86" s="100">
        <v>0.02</v>
      </c>
      <c r="Q86" s="100">
        <v>10</v>
      </c>
      <c r="R86" s="6"/>
      <c r="S86" s="6"/>
      <c r="T86" s="156"/>
      <c r="U86" s="6"/>
    </row>
    <row r="87" spans="1:21" customFormat="1">
      <c r="A87" s="201" t="s">
        <v>2335</v>
      </c>
      <c r="B87" s="100">
        <v>2.44</v>
      </c>
      <c r="C87" s="100">
        <v>5.58</v>
      </c>
      <c r="D87" s="100">
        <v>8.02</v>
      </c>
      <c r="E87" s="100">
        <v>5.86</v>
      </c>
      <c r="F87" s="100">
        <v>2</v>
      </c>
      <c r="G87" s="100">
        <v>61.92</v>
      </c>
      <c r="H87" s="100">
        <v>19.39</v>
      </c>
      <c r="I87" s="100">
        <v>6.38</v>
      </c>
      <c r="J87" s="152" t="s">
        <v>15</v>
      </c>
      <c r="K87" s="152" t="s">
        <v>15</v>
      </c>
      <c r="L87" s="152" t="s">
        <v>15</v>
      </c>
      <c r="M87" s="152" t="s">
        <v>15</v>
      </c>
      <c r="N87" s="152" t="s">
        <v>15</v>
      </c>
      <c r="O87" s="100">
        <v>0</v>
      </c>
      <c r="P87" s="100">
        <v>0.02</v>
      </c>
      <c r="Q87" s="100">
        <v>10</v>
      </c>
      <c r="R87" s="6"/>
      <c r="S87" s="6"/>
      <c r="T87" s="156"/>
      <c r="U87" s="6"/>
    </row>
    <row r="88" spans="1:21" customFormat="1">
      <c r="A88" s="201" t="s">
        <v>2336</v>
      </c>
      <c r="B88" s="100">
        <v>2.16</v>
      </c>
      <c r="C88" s="100">
        <v>5.6</v>
      </c>
      <c r="D88" s="100">
        <v>7.76</v>
      </c>
      <c r="E88" s="100">
        <v>5.84</v>
      </c>
      <c r="F88" s="100">
        <v>2</v>
      </c>
      <c r="G88" s="100">
        <v>61.92</v>
      </c>
      <c r="H88" s="100">
        <v>19.39</v>
      </c>
      <c r="I88" s="100">
        <v>6.23</v>
      </c>
      <c r="J88" s="152" t="s">
        <v>15</v>
      </c>
      <c r="K88" s="152" t="s">
        <v>15</v>
      </c>
      <c r="L88" s="152" t="s">
        <v>15</v>
      </c>
      <c r="M88" s="152" t="s">
        <v>15</v>
      </c>
      <c r="N88" s="152" t="s">
        <v>15</v>
      </c>
      <c r="O88" s="100">
        <v>0</v>
      </c>
      <c r="P88" s="100">
        <v>0.01</v>
      </c>
      <c r="Q88" s="100">
        <v>10</v>
      </c>
      <c r="R88" s="6"/>
      <c r="S88" s="6"/>
      <c r="T88" s="156"/>
      <c r="U88" s="6"/>
    </row>
    <row r="89" spans="1:21" customFormat="1">
      <c r="A89" s="201" t="s">
        <v>2337</v>
      </c>
      <c r="B89" s="100">
        <v>1.93</v>
      </c>
      <c r="C89" s="100">
        <v>5.59</v>
      </c>
      <c r="D89" s="100">
        <v>7.52</v>
      </c>
      <c r="E89" s="100">
        <v>5.88</v>
      </c>
      <c r="F89" s="100">
        <v>2</v>
      </c>
      <c r="G89" s="100">
        <v>61.92</v>
      </c>
      <c r="H89" s="100">
        <v>19.39</v>
      </c>
      <c r="I89" s="100">
        <v>6.11</v>
      </c>
      <c r="J89" s="152" t="s">
        <v>15</v>
      </c>
      <c r="K89" s="152" t="s">
        <v>15</v>
      </c>
      <c r="L89" s="152" t="s">
        <v>15</v>
      </c>
      <c r="M89" s="152" t="s">
        <v>15</v>
      </c>
      <c r="N89" s="152" t="s">
        <v>15</v>
      </c>
      <c r="O89" s="100">
        <v>0</v>
      </c>
      <c r="P89" s="100">
        <v>0.02</v>
      </c>
      <c r="Q89" s="100">
        <v>10</v>
      </c>
      <c r="R89" s="6"/>
      <c r="S89" s="6"/>
      <c r="T89" s="156"/>
      <c r="U89" s="6"/>
    </row>
    <row r="90" spans="1:21" customFormat="1">
      <c r="A90" s="201" t="s">
        <v>2338</v>
      </c>
      <c r="B90" s="100">
        <v>1.79</v>
      </c>
      <c r="C90" s="100">
        <v>5.5</v>
      </c>
      <c r="D90" s="100">
        <v>7.29</v>
      </c>
      <c r="E90" s="100">
        <v>5.54</v>
      </c>
      <c r="F90" s="100">
        <v>2</v>
      </c>
      <c r="G90" s="100">
        <v>57.35</v>
      </c>
      <c r="H90" s="100">
        <v>17.46</v>
      </c>
      <c r="I90" s="100">
        <v>5.97</v>
      </c>
      <c r="J90" s="152" t="s">
        <v>15</v>
      </c>
      <c r="K90" s="152" t="s">
        <v>15</v>
      </c>
      <c r="L90" s="152" t="s">
        <v>15</v>
      </c>
      <c r="M90" s="152" t="s">
        <v>15</v>
      </c>
      <c r="N90" s="152" t="s">
        <v>15</v>
      </c>
      <c r="O90" s="100">
        <v>0</v>
      </c>
      <c r="P90" s="100">
        <v>0.01</v>
      </c>
      <c r="Q90" s="100">
        <v>10</v>
      </c>
      <c r="R90" s="6"/>
      <c r="S90" s="6"/>
      <c r="T90" s="156"/>
      <c r="U90" s="6"/>
    </row>
    <row r="91" spans="1:21" customFormat="1">
      <c r="A91" s="201" t="s">
        <v>2339</v>
      </c>
      <c r="B91" s="100">
        <v>1.66</v>
      </c>
      <c r="C91" s="100">
        <v>5.39</v>
      </c>
      <c r="D91" s="100">
        <v>7.06</v>
      </c>
      <c r="E91" s="100">
        <v>5.72</v>
      </c>
      <c r="F91" s="100">
        <v>2</v>
      </c>
      <c r="G91" s="100">
        <v>46.69</v>
      </c>
      <c r="H91" s="100">
        <v>14.48</v>
      </c>
      <c r="I91" s="100">
        <v>5.86</v>
      </c>
      <c r="J91" s="152" t="s">
        <v>15</v>
      </c>
      <c r="K91" s="152" t="s">
        <v>15</v>
      </c>
      <c r="L91" s="152" t="s">
        <v>15</v>
      </c>
      <c r="M91" s="152" t="s">
        <v>15</v>
      </c>
      <c r="N91" s="152" t="s">
        <v>15</v>
      </c>
      <c r="O91" s="100">
        <v>0</v>
      </c>
      <c r="P91" s="100">
        <v>0.01</v>
      </c>
      <c r="Q91" s="100">
        <v>10</v>
      </c>
      <c r="R91" s="6"/>
      <c r="S91" s="6"/>
      <c r="T91" s="156"/>
      <c r="U91" s="6"/>
    </row>
    <row r="92" spans="1:21" customFormat="1">
      <c r="A92" s="201" t="s">
        <v>2340</v>
      </c>
      <c r="B92" s="100">
        <v>1.52</v>
      </c>
      <c r="C92" s="100">
        <v>5.32</v>
      </c>
      <c r="D92" s="100">
        <v>6.84</v>
      </c>
      <c r="E92" s="100">
        <v>5.65</v>
      </c>
      <c r="F92" s="100">
        <v>2</v>
      </c>
      <c r="G92" s="100">
        <v>46.69</v>
      </c>
      <c r="H92" s="100">
        <v>14.48</v>
      </c>
      <c r="I92" s="100">
        <v>5.77</v>
      </c>
      <c r="J92" s="152" t="s">
        <v>15</v>
      </c>
      <c r="K92" s="152" t="s">
        <v>15</v>
      </c>
      <c r="L92" s="152" t="s">
        <v>15</v>
      </c>
      <c r="M92" s="152" t="s">
        <v>15</v>
      </c>
      <c r="N92" s="152" t="s">
        <v>15</v>
      </c>
      <c r="O92" s="100">
        <v>0</v>
      </c>
      <c r="P92" s="100">
        <v>0</v>
      </c>
      <c r="Q92" s="100">
        <v>10</v>
      </c>
      <c r="R92" s="6"/>
      <c r="S92" s="6"/>
      <c r="T92" s="156"/>
      <c r="U92" s="6"/>
    </row>
    <row r="93" spans="1:21" customFormat="1">
      <c r="A93" s="201" t="s">
        <v>2341</v>
      </c>
      <c r="B93" s="100">
        <v>1.38</v>
      </c>
      <c r="C93" s="100">
        <v>5.26</v>
      </c>
      <c r="D93" s="100">
        <v>6.64</v>
      </c>
      <c r="E93" s="100">
        <v>5.63</v>
      </c>
      <c r="F93" s="100">
        <v>2</v>
      </c>
      <c r="G93" s="100">
        <v>46.69</v>
      </c>
      <c r="H93" s="100">
        <v>14.48</v>
      </c>
      <c r="I93" s="100">
        <v>5.67</v>
      </c>
      <c r="J93" s="152" t="s">
        <v>15</v>
      </c>
      <c r="K93" s="152" t="s">
        <v>15</v>
      </c>
      <c r="L93" s="152" t="s">
        <v>15</v>
      </c>
      <c r="M93" s="152" t="s">
        <v>15</v>
      </c>
      <c r="N93" s="152" t="s">
        <v>15</v>
      </c>
      <c r="O93" s="100">
        <v>0</v>
      </c>
      <c r="P93" s="100">
        <v>0</v>
      </c>
      <c r="Q93" s="100">
        <v>10</v>
      </c>
      <c r="R93" s="6"/>
      <c r="S93" s="6"/>
      <c r="T93" s="156"/>
      <c r="U93" s="6"/>
    </row>
    <row r="94" spans="1:21" customFormat="1">
      <c r="A94" s="201" t="s">
        <v>2342</v>
      </c>
      <c r="B94" s="100">
        <v>1.3</v>
      </c>
      <c r="C94" s="100">
        <v>5.18</v>
      </c>
      <c r="D94" s="100">
        <v>6.48</v>
      </c>
      <c r="E94" s="100">
        <v>5.66</v>
      </c>
      <c r="F94" s="100">
        <v>2</v>
      </c>
      <c r="G94" s="100">
        <v>41.41</v>
      </c>
      <c r="H94" s="100">
        <v>15.39</v>
      </c>
      <c r="I94" s="100">
        <v>5.54</v>
      </c>
      <c r="J94" s="152" t="s">
        <v>15</v>
      </c>
      <c r="K94" s="152" t="s">
        <v>15</v>
      </c>
      <c r="L94" s="152" t="s">
        <v>15</v>
      </c>
      <c r="M94" s="152" t="s">
        <v>15</v>
      </c>
      <c r="N94" s="152" t="s">
        <v>15</v>
      </c>
      <c r="O94" s="100">
        <v>0</v>
      </c>
      <c r="P94" s="100">
        <v>0</v>
      </c>
      <c r="Q94" s="100">
        <v>10</v>
      </c>
      <c r="R94" s="6"/>
      <c r="S94" s="6"/>
      <c r="T94" s="156"/>
      <c r="U94" s="6"/>
    </row>
    <row r="95" spans="1:21" customFormat="1">
      <c r="A95" s="201" t="s">
        <v>2343</v>
      </c>
      <c r="B95" s="100">
        <v>1.29</v>
      </c>
      <c r="C95" s="100">
        <v>5.08</v>
      </c>
      <c r="D95" s="100">
        <v>6.37</v>
      </c>
      <c r="E95" s="100">
        <v>5.76</v>
      </c>
      <c r="F95" s="100">
        <v>2</v>
      </c>
      <c r="G95" s="100">
        <v>29.07</v>
      </c>
      <c r="H95" s="100">
        <v>16.79</v>
      </c>
      <c r="I95" s="100">
        <v>5.41</v>
      </c>
      <c r="J95" s="152" t="s">
        <v>15</v>
      </c>
      <c r="K95" s="152" t="s">
        <v>15</v>
      </c>
      <c r="L95" s="152" t="s">
        <v>15</v>
      </c>
      <c r="M95" s="152" t="s">
        <v>15</v>
      </c>
      <c r="N95" s="152" t="s">
        <v>15</v>
      </c>
      <c r="O95" s="100">
        <v>0</v>
      </c>
      <c r="P95" s="100">
        <v>0</v>
      </c>
      <c r="Q95" s="100">
        <v>10</v>
      </c>
      <c r="R95" s="6"/>
      <c r="S95" s="6"/>
      <c r="T95" s="156"/>
      <c r="U95" s="6"/>
    </row>
    <row r="96" spans="1:21" customFormat="1">
      <c r="A96" s="201" t="s">
        <v>2344</v>
      </c>
      <c r="B96" s="100">
        <v>1.27</v>
      </c>
      <c r="C96" s="100">
        <v>4.95</v>
      </c>
      <c r="D96" s="100">
        <v>6.22</v>
      </c>
      <c r="E96" s="100">
        <v>5.7</v>
      </c>
      <c r="F96" s="100">
        <v>2</v>
      </c>
      <c r="G96" s="100">
        <v>29.07</v>
      </c>
      <c r="H96" s="100">
        <v>16.79</v>
      </c>
      <c r="I96" s="100">
        <v>5.29</v>
      </c>
      <c r="J96" s="152" t="s">
        <v>15</v>
      </c>
      <c r="K96" s="152" t="s">
        <v>15</v>
      </c>
      <c r="L96" s="152" t="s">
        <v>15</v>
      </c>
      <c r="M96" s="152" t="s">
        <v>15</v>
      </c>
      <c r="N96" s="152" t="s">
        <v>15</v>
      </c>
      <c r="O96" s="100">
        <v>0</v>
      </c>
      <c r="P96" s="100">
        <v>0</v>
      </c>
      <c r="Q96" s="100">
        <v>10</v>
      </c>
      <c r="R96" s="6"/>
      <c r="S96" s="6"/>
      <c r="T96" s="156"/>
      <c r="U96" s="6"/>
    </row>
    <row r="97" spans="1:28" customFormat="1">
      <c r="A97" s="201" t="s">
        <v>2345</v>
      </c>
      <c r="B97" s="100">
        <v>1.23</v>
      </c>
      <c r="C97" s="100">
        <v>4.92</v>
      </c>
      <c r="D97" s="100">
        <v>6.16</v>
      </c>
      <c r="E97" s="100">
        <v>5.69</v>
      </c>
      <c r="F97" s="100">
        <v>2</v>
      </c>
      <c r="G97" s="100">
        <v>29.07</v>
      </c>
      <c r="H97" s="100">
        <v>16.79</v>
      </c>
      <c r="I97" s="100">
        <v>5.21</v>
      </c>
      <c r="J97" s="152" t="s">
        <v>15</v>
      </c>
      <c r="K97" s="152" t="s">
        <v>15</v>
      </c>
      <c r="L97" s="152" t="s">
        <v>15</v>
      </c>
      <c r="M97" s="152" t="s">
        <v>15</v>
      </c>
      <c r="N97" s="152" t="s">
        <v>15</v>
      </c>
      <c r="O97" s="100">
        <v>0</v>
      </c>
      <c r="P97" s="100">
        <v>0</v>
      </c>
      <c r="Q97" s="100">
        <v>10</v>
      </c>
      <c r="R97" s="6"/>
      <c r="S97" s="6"/>
      <c r="T97" s="156"/>
      <c r="U97" s="6"/>
    </row>
    <row r="98" spans="1:28" customFormat="1">
      <c r="A98" s="201" t="s">
        <v>2346</v>
      </c>
      <c r="B98" s="100">
        <v>1.22</v>
      </c>
      <c r="C98" s="100">
        <v>4.87</v>
      </c>
      <c r="D98" s="100">
        <v>6.1</v>
      </c>
      <c r="E98" s="100">
        <v>5.84</v>
      </c>
      <c r="F98" s="100">
        <v>2</v>
      </c>
      <c r="G98" s="100">
        <v>28.04</v>
      </c>
      <c r="H98" s="100">
        <v>17.37</v>
      </c>
      <c r="I98" s="100">
        <v>5.09</v>
      </c>
      <c r="J98" s="152" t="s">
        <v>15</v>
      </c>
      <c r="K98" s="152" t="s">
        <v>15</v>
      </c>
      <c r="L98" s="152" t="s">
        <v>15</v>
      </c>
      <c r="M98" s="152" t="s">
        <v>15</v>
      </c>
      <c r="N98" s="152" t="s">
        <v>15</v>
      </c>
      <c r="O98" s="100">
        <v>0</v>
      </c>
      <c r="P98" s="100">
        <v>0</v>
      </c>
      <c r="Q98" s="100">
        <v>10</v>
      </c>
      <c r="R98" s="6"/>
      <c r="S98" s="6"/>
      <c r="T98" s="156"/>
      <c r="U98" s="6"/>
    </row>
    <row r="99" spans="1:28" customFormat="1">
      <c r="A99" s="201" t="s">
        <v>2347</v>
      </c>
      <c r="B99" s="100">
        <v>1.23</v>
      </c>
      <c r="C99" s="100">
        <v>4.8600000000000003</v>
      </c>
      <c r="D99" s="100">
        <v>6.09</v>
      </c>
      <c r="E99" s="100">
        <v>5.99</v>
      </c>
      <c r="F99" s="100">
        <v>2</v>
      </c>
      <c r="G99" s="100">
        <v>25.65</v>
      </c>
      <c r="H99" s="100">
        <v>19.68</v>
      </c>
      <c r="I99" s="100">
        <v>4.9800000000000004</v>
      </c>
      <c r="J99" s="152" t="s">
        <v>15</v>
      </c>
      <c r="K99" s="152" t="s">
        <v>15</v>
      </c>
      <c r="L99" s="152" t="s">
        <v>15</v>
      </c>
      <c r="M99" s="152" t="s">
        <v>15</v>
      </c>
      <c r="N99" s="152" t="s">
        <v>15</v>
      </c>
      <c r="O99" s="100">
        <v>0</v>
      </c>
      <c r="P99" s="100">
        <v>0</v>
      </c>
      <c r="Q99" s="100">
        <v>10</v>
      </c>
      <c r="R99" s="6"/>
      <c r="S99" s="6"/>
      <c r="T99" s="156"/>
      <c r="U99" s="6"/>
    </row>
    <row r="100" spans="1:28" customFormat="1">
      <c r="A100" s="201" t="s">
        <v>2348</v>
      </c>
      <c r="B100" s="100">
        <v>1.24</v>
      </c>
      <c r="C100" s="100">
        <v>4.87</v>
      </c>
      <c r="D100" s="100">
        <v>6.1</v>
      </c>
      <c r="E100" s="100">
        <v>5.82</v>
      </c>
      <c r="F100" s="100">
        <v>2</v>
      </c>
      <c r="G100" s="100">
        <v>25.65</v>
      </c>
      <c r="H100" s="100">
        <v>19.68</v>
      </c>
      <c r="I100" s="100">
        <v>4.9000000000000004</v>
      </c>
      <c r="J100" s="152" t="s">
        <v>15</v>
      </c>
      <c r="K100" s="152" t="s">
        <v>15</v>
      </c>
      <c r="L100" s="152" t="s">
        <v>15</v>
      </c>
      <c r="M100" s="152" t="s">
        <v>15</v>
      </c>
      <c r="N100" s="152" t="s">
        <v>15</v>
      </c>
      <c r="O100" s="100">
        <v>0</v>
      </c>
      <c r="P100" s="100">
        <v>0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2349</v>
      </c>
      <c r="B101" s="100">
        <v>1.23</v>
      </c>
      <c r="C101" s="100">
        <v>4.8499999999999996</v>
      </c>
      <c r="D101" s="100">
        <v>6.08</v>
      </c>
      <c r="E101" s="100">
        <v>6.06</v>
      </c>
      <c r="F101" s="100">
        <v>2</v>
      </c>
      <c r="G101" s="100">
        <v>25.65</v>
      </c>
      <c r="H101" s="100">
        <v>19.68</v>
      </c>
      <c r="I101" s="100">
        <v>4.83</v>
      </c>
      <c r="J101" s="152" t="s">
        <v>15</v>
      </c>
      <c r="K101" s="152" t="s">
        <v>15</v>
      </c>
      <c r="L101" s="152" t="s">
        <v>15</v>
      </c>
      <c r="M101" s="152" t="s">
        <v>15</v>
      </c>
      <c r="N101" s="152" t="s">
        <v>15</v>
      </c>
      <c r="O101" s="100">
        <v>0</v>
      </c>
      <c r="P101" s="100">
        <v>0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2350</v>
      </c>
      <c r="B102" s="100">
        <v>1.25</v>
      </c>
      <c r="C102" s="100">
        <v>4.8</v>
      </c>
      <c r="D102" s="100">
        <v>6.05</v>
      </c>
      <c r="E102" s="100">
        <v>5.9</v>
      </c>
      <c r="F102" s="100">
        <v>2</v>
      </c>
      <c r="G102" s="100">
        <v>26.89</v>
      </c>
      <c r="H102" s="100">
        <v>18.670000000000002</v>
      </c>
      <c r="I102" s="100">
        <v>4.75</v>
      </c>
      <c r="J102" s="152" t="s">
        <v>15</v>
      </c>
      <c r="K102" s="152" t="s">
        <v>15</v>
      </c>
      <c r="L102" s="152" t="s">
        <v>15</v>
      </c>
      <c r="M102" s="152" t="s">
        <v>15</v>
      </c>
      <c r="N102" s="152" t="s">
        <v>15</v>
      </c>
      <c r="O102" s="100">
        <v>0</v>
      </c>
      <c r="P102" s="100">
        <v>0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2351</v>
      </c>
      <c r="B103" s="100">
        <v>1.28</v>
      </c>
      <c r="C103" s="100">
        <v>4.7699999999999996</v>
      </c>
      <c r="D103" s="100">
        <v>6.05</v>
      </c>
      <c r="E103" s="100">
        <v>6.03</v>
      </c>
      <c r="F103" s="100">
        <v>2</v>
      </c>
      <c r="G103" s="100">
        <v>29.78</v>
      </c>
      <c r="H103" s="100">
        <v>17.13</v>
      </c>
      <c r="I103" s="100">
        <v>4.71</v>
      </c>
      <c r="J103" s="152" t="s">
        <v>15</v>
      </c>
      <c r="K103" s="152" t="s">
        <v>15</v>
      </c>
      <c r="L103" s="152" t="s">
        <v>15</v>
      </c>
      <c r="M103" s="152" t="s">
        <v>15</v>
      </c>
      <c r="N103" s="152" t="s">
        <v>15</v>
      </c>
      <c r="O103" s="100">
        <v>0</v>
      </c>
      <c r="P103" s="100">
        <v>0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2352</v>
      </c>
      <c r="B104" s="100">
        <v>1.37</v>
      </c>
      <c r="C104" s="100">
        <v>4.55</v>
      </c>
      <c r="D104" s="100">
        <v>5.92</v>
      </c>
      <c r="E104" s="100">
        <v>6.13</v>
      </c>
      <c r="F104" s="100">
        <v>2</v>
      </c>
      <c r="G104" s="100">
        <v>29.78</v>
      </c>
      <c r="H104" s="100">
        <v>17.13</v>
      </c>
      <c r="I104" s="100">
        <v>4.6900000000000004</v>
      </c>
      <c r="J104" s="152" t="s">
        <v>15</v>
      </c>
      <c r="K104" s="152" t="s">
        <v>15</v>
      </c>
      <c r="L104" s="152" t="s">
        <v>15</v>
      </c>
      <c r="M104" s="152" t="s">
        <v>15</v>
      </c>
      <c r="N104" s="152" t="s">
        <v>15</v>
      </c>
      <c r="O104" s="100">
        <v>0</v>
      </c>
      <c r="P104" s="100">
        <v>0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1.22</v>
      </c>
      <c r="C106" s="158">
        <f>MIN(C9:C104)</f>
        <v>4.55</v>
      </c>
      <c r="D106" s="158">
        <f t="shared" ref="D106:Q106" si="0">MIN(D9:D104)</f>
        <v>5.92</v>
      </c>
      <c r="E106" s="158">
        <f t="shared" si="0"/>
        <v>2.64</v>
      </c>
      <c r="F106" s="158">
        <f t="shared" si="0"/>
        <v>2</v>
      </c>
      <c r="G106" s="158">
        <f t="shared" si="0"/>
        <v>25.65</v>
      </c>
      <c r="H106" s="158">
        <f t="shared" si="0"/>
        <v>7.44</v>
      </c>
      <c r="I106" s="158">
        <f t="shared" si="0"/>
        <v>4.5</v>
      </c>
      <c r="J106" s="158">
        <f t="shared" si="0"/>
        <v>0</v>
      </c>
      <c r="K106" s="158">
        <f t="shared" si="0"/>
        <v>0</v>
      </c>
      <c r="L106" s="158">
        <f t="shared" si="0"/>
        <v>0</v>
      </c>
      <c r="M106" s="158">
        <f t="shared" si="0"/>
        <v>0</v>
      </c>
      <c r="N106" s="158">
        <f t="shared" si="0"/>
        <v>0</v>
      </c>
      <c r="O106" s="158">
        <f t="shared" si="0"/>
        <v>0</v>
      </c>
      <c r="P106" s="158">
        <f t="shared" si="0"/>
        <v>0</v>
      </c>
      <c r="Q106" s="158">
        <f t="shared" si="0"/>
        <v>9.74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7.57</v>
      </c>
      <c r="C107" s="157">
        <f t="shared" ref="C107:Q107" si="1">MAX(C9:C104)</f>
        <v>6.94</v>
      </c>
      <c r="D107" s="157">
        <f t="shared" si="1"/>
        <v>13.77</v>
      </c>
      <c r="E107" s="157">
        <f t="shared" si="1"/>
        <v>6.24</v>
      </c>
      <c r="F107" s="157">
        <f t="shared" si="1"/>
        <v>5.48</v>
      </c>
      <c r="G107" s="157">
        <f t="shared" si="1"/>
        <v>88.91</v>
      </c>
      <c r="H107" s="157">
        <f t="shared" si="1"/>
        <v>33.17</v>
      </c>
      <c r="I107" s="157">
        <f t="shared" si="1"/>
        <v>7.51</v>
      </c>
      <c r="J107" s="157">
        <f t="shared" si="1"/>
        <v>0</v>
      </c>
      <c r="K107" s="157">
        <f t="shared" si="1"/>
        <v>0</v>
      </c>
      <c r="L107" s="157">
        <f t="shared" si="1"/>
        <v>0</v>
      </c>
      <c r="M107" s="157">
        <f t="shared" si="1"/>
        <v>0</v>
      </c>
      <c r="N107" s="157">
        <f t="shared" si="1"/>
        <v>0</v>
      </c>
      <c r="O107" s="157">
        <f t="shared" si="1"/>
        <v>0</v>
      </c>
      <c r="P107" s="157">
        <f t="shared" si="1"/>
        <v>0.4</v>
      </c>
      <c r="Q107" s="157">
        <f t="shared" si="1"/>
        <v>40.549999999999997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4.4018823529411764</v>
      </c>
      <c r="C108" s="158">
        <f t="shared" ref="C108:Q108" si="2">AVERAGE(C9:C104)</f>
        <v>5.7827058823529409</v>
      </c>
      <c r="D108" s="158">
        <f t="shared" si="2"/>
        <v>10.184235294117647</v>
      </c>
      <c r="E108" s="158">
        <f t="shared" si="2"/>
        <v>5.0035294117647027</v>
      </c>
      <c r="F108" s="158">
        <f t="shared" si="2"/>
        <v>2.1004651162790697</v>
      </c>
      <c r="G108" s="158">
        <f t="shared" si="2"/>
        <v>50.333255813953464</v>
      </c>
      <c r="H108" s="158">
        <f t="shared" si="2"/>
        <v>19.282906976744208</v>
      </c>
      <c r="I108" s="158">
        <f t="shared" si="2"/>
        <v>6.1961904761904778</v>
      </c>
      <c r="J108" s="158" t="e">
        <f t="shared" si="2"/>
        <v>#DIV/0!</v>
      </c>
      <c r="K108" s="158" t="e">
        <f t="shared" si="2"/>
        <v>#DIV/0!</v>
      </c>
      <c r="L108" s="158" t="e">
        <f t="shared" si="2"/>
        <v>#DIV/0!</v>
      </c>
      <c r="M108" s="158" t="e">
        <f t="shared" si="2"/>
        <v>#DIV/0!</v>
      </c>
      <c r="N108" s="158" t="e">
        <f t="shared" si="2"/>
        <v>#DIV/0!</v>
      </c>
      <c r="O108" s="158">
        <f t="shared" si="2"/>
        <v>0</v>
      </c>
      <c r="P108" s="158">
        <f t="shared" si="2"/>
        <v>0.18046511627906961</v>
      </c>
      <c r="Q108" s="158">
        <f t="shared" si="2"/>
        <v>11.262261904761905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2.040937281249573</v>
      </c>
      <c r="C109" s="158">
        <f t="shared" ref="C109:Q109" si="3">STDEV(C9:C104)</f>
        <v>0.51127848211567628</v>
      </c>
      <c r="D109" s="158">
        <f t="shared" si="3"/>
        <v>2.3971492873582787</v>
      </c>
      <c r="E109" s="158">
        <f t="shared" si="3"/>
        <v>1.1919878413832994</v>
      </c>
      <c r="F109" s="158">
        <f t="shared" si="3"/>
        <v>0.47138071780860041</v>
      </c>
      <c r="G109" s="158">
        <f t="shared" si="3"/>
        <v>19.760391186998365</v>
      </c>
      <c r="H109" s="158">
        <f t="shared" si="3"/>
        <v>6.2235066465361211</v>
      </c>
      <c r="I109" s="158">
        <f t="shared" si="3"/>
        <v>0.82753939921770758</v>
      </c>
      <c r="J109" s="158" t="e">
        <f t="shared" si="3"/>
        <v>#DIV/0!</v>
      </c>
      <c r="K109" s="158" t="e">
        <f t="shared" si="3"/>
        <v>#DIV/0!</v>
      </c>
      <c r="L109" s="158" t="e">
        <f t="shared" si="3"/>
        <v>#DIV/0!</v>
      </c>
      <c r="M109" s="158" t="e">
        <f t="shared" si="3"/>
        <v>#DIV/0!</v>
      </c>
      <c r="N109" s="158" t="e">
        <f t="shared" si="3"/>
        <v>#DIV/0!</v>
      </c>
      <c r="O109" s="158">
        <f t="shared" si="3"/>
        <v>0</v>
      </c>
      <c r="P109" s="158">
        <f t="shared" si="3"/>
        <v>0.15491862742017506</v>
      </c>
      <c r="Q109" s="158">
        <f t="shared" si="3"/>
        <v>4.8324409136161739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COUNT(B9:B104)+11</f>
        <v>96</v>
      </c>
      <c r="C110" s="157">
        <f t="shared" ref="C110:E110" si="4">COUNT(C9:C104)+11</f>
        <v>96</v>
      </c>
      <c r="D110" s="157">
        <f t="shared" si="4"/>
        <v>96</v>
      </c>
      <c r="E110" s="157">
        <f t="shared" si="4"/>
        <v>96</v>
      </c>
      <c r="F110" s="157">
        <f>COUNT(F9:F104)+10</f>
        <v>96</v>
      </c>
      <c r="G110" s="157">
        <f t="shared" ref="G110:Q110" si="5">COUNT(G9:G104)+10</f>
        <v>96</v>
      </c>
      <c r="H110" s="157">
        <f t="shared" si="5"/>
        <v>96</v>
      </c>
      <c r="I110" s="157">
        <f t="shared" si="5"/>
        <v>94</v>
      </c>
      <c r="J110" s="157">
        <f>COUNT(J9:J104)</f>
        <v>0</v>
      </c>
      <c r="K110" s="157">
        <f t="shared" ref="K110:N110" si="6">COUNT(K9:K104)</f>
        <v>0</v>
      </c>
      <c r="L110" s="157">
        <f t="shared" si="6"/>
        <v>0</v>
      </c>
      <c r="M110" s="157">
        <f t="shared" si="6"/>
        <v>0</v>
      </c>
      <c r="N110" s="157">
        <f t="shared" si="6"/>
        <v>0</v>
      </c>
      <c r="O110" s="157">
        <f t="shared" si="5"/>
        <v>96</v>
      </c>
      <c r="P110" s="157">
        <f t="shared" si="5"/>
        <v>96</v>
      </c>
      <c r="Q110" s="157">
        <f>COUNT(Q9:Q104)+12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7">IF(C110&gt;=87,"&gt;90%",IF(C110&lt;=87,"&lt;90%"))</f>
        <v>&gt;90%</v>
      </c>
      <c r="D111" s="132" t="str">
        <f t="shared" si="7"/>
        <v>&gt;90%</v>
      </c>
      <c r="E111" s="132" t="str">
        <f t="shared" si="7"/>
        <v>&gt;90%</v>
      </c>
      <c r="F111" s="132" t="str">
        <f t="shared" si="7"/>
        <v>&gt;90%</v>
      </c>
      <c r="G111" s="132" t="str">
        <f t="shared" si="7"/>
        <v>&gt;90%</v>
      </c>
      <c r="H111" s="132" t="str">
        <f t="shared" si="7"/>
        <v>&gt;90%</v>
      </c>
      <c r="I111" s="132" t="str">
        <f t="shared" si="7"/>
        <v>&gt;90%</v>
      </c>
      <c r="J111" s="132" t="str">
        <f t="shared" si="7"/>
        <v>&lt;90%</v>
      </c>
      <c r="K111" s="132" t="str">
        <f t="shared" si="7"/>
        <v>&lt;90%</v>
      </c>
      <c r="L111" s="132" t="str">
        <f t="shared" si="7"/>
        <v>&lt;90%</v>
      </c>
      <c r="M111" s="132" t="str">
        <f t="shared" si="7"/>
        <v>&lt;90%</v>
      </c>
      <c r="N111" s="132" t="str">
        <f t="shared" si="7"/>
        <v>&lt;90%</v>
      </c>
      <c r="O111" s="132" t="str">
        <f t="shared" si="7"/>
        <v>&gt;90%</v>
      </c>
      <c r="P111" s="132" t="str">
        <f t="shared" si="7"/>
        <v>&gt;90%</v>
      </c>
      <c r="Q111" s="132" t="str">
        <f t="shared" si="7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8">IF(C110&gt;=87,"OK",IF(C110&lt;=87,"LESS"))</f>
        <v>OK</v>
      </c>
      <c r="D112" s="132" t="str">
        <f t="shared" si="8"/>
        <v>OK</v>
      </c>
      <c r="E112" s="132" t="str">
        <f t="shared" si="8"/>
        <v>OK</v>
      </c>
      <c r="F112" s="132" t="str">
        <f t="shared" si="8"/>
        <v>OK</v>
      </c>
      <c r="G112" s="132" t="str">
        <f t="shared" si="8"/>
        <v>OK</v>
      </c>
      <c r="H112" s="132" t="str">
        <f t="shared" si="8"/>
        <v>OK</v>
      </c>
      <c r="I112" s="132" t="str">
        <f t="shared" si="8"/>
        <v>OK</v>
      </c>
      <c r="J112" s="132" t="str">
        <f t="shared" si="8"/>
        <v>LESS</v>
      </c>
      <c r="K112" s="132" t="str">
        <f t="shared" si="8"/>
        <v>LESS</v>
      </c>
      <c r="L112" s="132" t="str">
        <f t="shared" si="8"/>
        <v>LESS</v>
      </c>
      <c r="M112" s="132" t="str">
        <f t="shared" si="8"/>
        <v>LESS</v>
      </c>
      <c r="N112" s="132" t="str">
        <f t="shared" si="8"/>
        <v>LESS</v>
      </c>
      <c r="O112" s="132" t="str">
        <f t="shared" si="8"/>
        <v>OK</v>
      </c>
      <c r="P112" s="132" t="str">
        <f t="shared" si="8"/>
        <v>OK</v>
      </c>
      <c r="Q112" s="132" t="str">
        <f t="shared" si="8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7"/>
  <sheetViews>
    <sheetView zoomScale="85" zoomScaleNormal="85" workbookViewId="0">
      <pane xSplit="1" ySplit="8" topLeftCell="B13" activePane="bottomRight" state="frozen"/>
      <selection pane="topRight"/>
      <selection pane="bottomLeft"/>
      <selection pane="bottomRight" activeCell="J110" sqref="J110:N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2353</v>
      </c>
      <c r="B9" s="100">
        <v>2.87</v>
      </c>
      <c r="C9" s="100">
        <v>4.6900000000000004</v>
      </c>
      <c r="D9" s="100">
        <v>7.56</v>
      </c>
      <c r="E9" s="100">
        <v>5.73</v>
      </c>
      <c r="F9" s="100">
        <v>2</v>
      </c>
      <c r="G9" s="100">
        <v>29.78</v>
      </c>
      <c r="H9" s="100">
        <v>17.13</v>
      </c>
      <c r="I9" s="100">
        <v>4.6100000000000003</v>
      </c>
      <c r="J9" s="151" t="s">
        <v>8</v>
      </c>
      <c r="K9" s="151" t="s">
        <v>8</v>
      </c>
      <c r="L9" s="151" t="s">
        <v>8</v>
      </c>
      <c r="M9" s="151" t="s">
        <v>8</v>
      </c>
      <c r="N9" s="151" t="s">
        <v>8</v>
      </c>
      <c r="O9" s="100">
        <v>0</v>
      </c>
      <c r="P9" s="100">
        <v>0</v>
      </c>
      <c r="Q9" s="100">
        <v>10</v>
      </c>
      <c r="R9" s="6"/>
      <c r="S9" s="6"/>
      <c r="T9" s="156"/>
      <c r="U9" s="6"/>
    </row>
    <row r="10" spans="1:21" customFormat="1">
      <c r="A10" s="201" t="s">
        <v>2354</v>
      </c>
      <c r="B10" s="100">
        <v>3.05</v>
      </c>
      <c r="C10" s="100">
        <v>4.66</v>
      </c>
      <c r="D10" s="100">
        <v>7.71</v>
      </c>
      <c r="E10" s="100">
        <v>5.45</v>
      </c>
      <c r="F10" s="100">
        <v>2</v>
      </c>
      <c r="G10" s="100">
        <v>28.9</v>
      </c>
      <c r="H10" s="100">
        <v>18.7</v>
      </c>
      <c r="I10" s="100">
        <v>4.67</v>
      </c>
      <c r="J10" s="151" t="s">
        <v>8</v>
      </c>
      <c r="K10" s="151" t="s">
        <v>8</v>
      </c>
      <c r="L10" s="151" t="s">
        <v>8</v>
      </c>
      <c r="M10" s="151" t="s">
        <v>8</v>
      </c>
      <c r="N10" s="151" t="s">
        <v>8</v>
      </c>
      <c r="O10" s="100">
        <v>0</v>
      </c>
      <c r="P10" s="100">
        <v>0</v>
      </c>
      <c r="Q10" s="100">
        <v>10</v>
      </c>
      <c r="R10" s="6"/>
      <c r="S10" s="6"/>
      <c r="T10" s="156"/>
      <c r="U10" s="6"/>
    </row>
    <row r="11" spans="1:21" customFormat="1">
      <c r="A11" s="201" t="s">
        <v>2355</v>
      </c>
      <c r="B11" s="100">
        <v>3.23</v>
      </c>
      <c r="C11" s="100">
        <v>4.99</v>
      </c>
      <c r="D11" s="100">
        <v>8.2200000000000006</v>
      </c>
      <c r="E11" s="100">
        <v>5.51</v>
      </c>
      <c r="F11" s="100">
        <v>2</v>
      </c>
      <c r="G11" s="100">
        <v>26.85</v>
      </c>
      <c r="H11" s="100">
        <v>21.12</v>
      </c>
      <c r="I11" s="100">
        <v>4.72</v>
      </c>
      <c r="J11" s="151" t="s">
        <v>8</v>
      </c>
      <c r="K11" s="151" t="s">
        <v>8</v>
      </c>
      <c r="L11" s="151" t="s">
        <v>8</v>
      </c>
      <c r="M11" s="151" t="s">
        <v>8</v>
      </c>
      <c r="N11" s="151" t="s">
        <v>8</v>
      </c>
      <c r="O11" s="100">
        <v>0</v>
      </c>
      <c r="P11" s="100">
        <v>0</v>
      </c>
      <c r="Q11" s="100">
        <v>10</v>
      </c>
      <c r="R11" s="6"/>
      <c r="S11" s="6"/>
      <c r="T11" s="156"/>
      <c r="U11" s="6"/>
    </row>
    <row r="12" spans="1:21" customFormat="1">
      <c r="A12" s="201" t="s">
        <v>2356</v>
      </c>
      <c r="B12" s="100">
        <v>3.37</v>
      </c>
      <c r="C12" s="100">
        <v>4.84</v>
      </c>
      <c r="D12" s="100">
        <v>8.2100000000000009</v>
      </c>
      <c r="E12" s="100">
        <v>5.57</v>
      </c>
      <c r="F12" s="100">
        <v>2</v>
      </c>
      <c r="G12" s="100">
        <v>26.85</v>
      </c>
      <c r="H12" s="100">
        <v>21.12</v>
      </c>
      <c r="I12" s="100">
        <v>4.6399999999999997</v>
      </c>
      <c r="J12" s="151" t="s">
        <v>8</v>
      </c>
      <c r="K12" s="151" t="s">
        <v>8</v>
      </c>
      <c r="L12" s="151" t="s">
        <v>8</v>
      </c>
      <c r="M12" s="151" t="s">
        <v>8</v>
      </c>
      <c r="N12" s="151" t="s">
        <v>8</v>
      </c>
      <c r="O12" s="100">
        <v>0</v>
      </c>
      <c r="P12" s="100">
        <v>0</v>
      </c>
      <c r="Q12" s="100">
        <v>10</v>
      </c>
      <c r="R12" s="6"/>
      <c r="S12" s="6"/>
      <c r="T12" s="156"/>
      <c r="U12" s="6"/>
    </row>
    <row r="13" spans="1:21" customFormat="1">
      <c r="A13" s="201" t="s">
        <v>2357</v>
      </c>
      <c r="B13" s="100">
        <v>3.43</v>
      </c>
      <c r="C13" s="100">
        <v>4.71</v>
      </c>
      <c r="D13" s="100">
        <v>8.14</v>
      </c>
      <c r="E13" s="100">
        <v>5.36</v>
      </c>
      <c r="F13" s="100">
        <v>2</v>
      </c>
      <c r="G13" s="100">
        <v>26.85</v>
      </c>
      <c r="H13" s="100">
        <v>21.12</v>
      </c>
      <c r="I13" s="100">
        <v>4.75</v>
      </c>
      <c r="J13" s="151" t="s">
        <v>8</v>
      </c>
      <c r="K13" s="151" t="s">
        <v>8</v>
      </c>
      <c r="L13" s="151" t="s">
        <v>8</v>
      </c>
      <c r="M13" s="151" t="s">
        <v>8</v>
      </c>
      <c r="N13" s="151" t="s">
        <v>8</v>
      </c>
      <c r="O13" s="100">
        <v>0</v>
      </c>
      <c r="P13" s="100">
        <v>0</v>
      </c>
      <c r="Q13" s="100">
        <v>10</v>
      </c>
      <c r="R13" s="6"/>
      <c r="S13" s="6"/>
      <c r="T13" s="156"/>
      <c r="U13" s="6"/>
    </row>
    <row r="14" spans="1:21" customFormat="1">
      <c r="A14" s="201" t="s">
        <v>2358</v>
      </c>
      <c r="B14" s="100">
        <v>3.56</v>
      </c>
      <c r="C14" s="100">
        <v>4.8600000000000003</v>
      </c>
      <c r="D14" s="100">
        <v>8.42</v>
      </c>
      <c r="E14" s="100">
        <v>5.39</v>
      </c>
      <c r="F14" s="100">
        <v>2</v>
      </c>
      <c r="G14" s="100">
        <v>28.64</v>
      </c>
      <c r="H14" s="100">
        <v>19.39</v>
      </c>
      <c r="I14" s="100">
        <v>4.84</v>
      </c>
      <c r="J14" s="151" t="s">
        <v>8</v>
      </c>
      <c r="K14" s="151" t="s">
        <v>8</v>
      </c>
      <c r="L14" s="151" t="s">
        <v>8</v>
      </c>
      <c r="M14" s="151" t="s">
        <v>8</v>
      </c>
      <c r="N14" s="151" t="s">
        <v>8</v>
      </c>
      <c r="O14" s="100">
        <v>0</v>
      </c>
      <c r="P14" s="100">
        <v>0</v>
      </c>
      <c r="Q14" s="100">
        <v>10</v>
      </c>
      <c r="R14" s="6"/>
      <c r="S14" s="6"/>
      <c r="T14" s="156"/>
      <c r="U14" s="6"/>
    </row>
    <row r="15" spans="1:21" customFormat="1">
      <c r="A15" s="201" t="s">
        <v>2359</v>
      </c>
      <c r="B15" s="100">
        <v>3.71</v>
      </c>
      <c r="C15" s="100">
        <v>4.91</v>
      </c>
      <c r="D15" s="100">
        <v>8.6199999999999992</v>
      </c>
      <c r="E15" s="100">
        <v>5.63</v>
      </c>
      <c r="F15" s="100">
        <v>2</v>
      </c>
      <c r="G15" s="100">
        <v>32.799999999999997</v>
      </c>
      <c r="H15" s="100">
        <v>16.72</v>
      </c>
      <c r="I15" s="100">
        <v>4.83</v>
      </c>
      <c r="J15" s="151" t="s">
        <v>8</v>
      </c>
      <c r="K15" s="151" t="s">
        <v>8</v>
      </c>
      <c r="L15" s="151" t="s">
        <v>8</v>
      </c>
      <c r="M15" s="151" t="s">
        <v>8</v>
      </c>
      <c r="N15" s="151" t="s">
        <v>8</v>
      </c>
      <c r="O15" s="100">
        <v>0</v>
      </c>
      <c r="P15" s="100">
        <v>0</v>
      </c>
      <c r="Q15" s="100">
        <v>10</v>
      </c>
      <c r="R15" s="6"/>
      <c r="S15" s="6"/>
      <c r="T15" s="156"/>
      <c r="U15" s="6"/>
    </row>
    <row r="16" spans="1:21" customFormat="1">
      <c r="A16" s="201" t="s">
        <v>2360</v>
      </c>
      <c r="B16" s="100">
        <v>3.78</v>
      </c>
      <c r="C16" s="100">
        <v>4.79</v>
      </c>
      <c r="D16" s="100">
        <v>8.57</v>
      </c>
      <c r="E16" s="100">
        <v>5.69</v>
      </c>
      <c r="F16" s="100">
        <v>2</v>
      </c>
      <c r="G16" s="100">
        <v>32.799999999999997</v>
      </c>
      <c r="H16" s="100">
        <v>16.72</v>
      </c>
      <c r="I16" s="100">
        <v>4.7300000000000004</v>
      </c>
      <c r="J16" s="151" t="s">
        <v>8</v>
      </c>
      <c r="K16" s="151" t="s">
        <v>8</v>
      </c>
      <c r="L16" s="151" t="s">
        <v>8</v>
      </c>
      <c r="M16" s="151" t="s">
        <v>8</v>
      </c>
      <c r="N16" s="151" t="s">
        <v>8</v>
      </c>
      <c r="O16" s="100">
        <v>0</v>
      </c>
      <c r="P16" s="100">
        <v>0</v>
      </c>
      <c r="Q16" s="100">
        <v>10</v>
      </c>
      <c r="R16" s="6"/>
      <c r="S16" s="6"/>
      <c r="T16" s="156"/>
      <c r="U16" s="6"/>
    </row>
    <row r="17" spans="1:21" customFormat="1">
      <c r="A17" s="201" t="s">
        <v>2361</v>
      </c>
      <c r="B17" s="100">
        <v>3.91</v>
      </c>
      <c r="C17" s="100">
        <v>4.99</v>
      </c>
      <c r="D17" s="100">
        <v>8.9</v>
      </c>
      <c r="E17" s="100">
        <v>4.6900000000000004</v>
      </c>
      <c r="F17" s="100">
        <v>2</v>
      </c>
      <c r="G17" s="100">
        <v>32.799999999999997</v>
      </c>
      <c r="H17" s="100">
        <v>16.72</v>
      </c>
      <c r="I17" s="100">
        <v>4.7300000000000004</v>
      </c>
      <c r="J17" s="151" t="s">
        <v>8</v>
      </c>
      <c r="K17" s="151" t="s">
        <v>8</v>
      </c>
      <c r="L17" s="151" t="s">
        <v>8</v>
      </c>
      <c r="M17" s="151" t="s">
        <v>8</v>
      </c>
      <c r="N17" s="151" t="s">
        <v>8</v>
      </c>
      <c r="O17" s="100">
        <v>0</v>
      </c>
      <c r="P17" s="100">
        <v>0</v>
      </c>
      <c r="Q17" s="100">
        <v>10</v>
      </c>
      <c r="R17" s="6"/>
      <c r="S17" s="6"/>
      <c r="T17" s="156"/>
      <c r="U17" s="6"/>
    </row>
    <row r="18" spans="1:21" customFormat="1">
      <c r="A18" s="201" t="s">
        <v>2362</v>
      </c>
      <c r="B18" s="100">
        <v>3.98</v>
      </c>
      <c r="C18" s="100">
        <v>4.8</v>
      </c>
      <c r="D18" s="100">
        <v>8.7899999999999991</v>
      </c>
      <c r="E18" s="100">
        <v>5.57</v>
      </c>
      <c r="F18" s="100">
        <v>2</v>
      </c>
      <c r="G18" s="100">
        <v>31.49</v>
      </c>
      <c r="H18" s="100">
        <v>17.07</v>
      </c>
      <c r="I18" s="100">
        <v>4.7699999999999996</v>
      </c>
      <c r="J18" s="151" t="s">
        <v>8</v>
      </c>
      <c r="K18" s="151" t="s">
        <v>8</v>
      </c>
      <c r="L18" s="151" t="s">
        <v>8</v>
      </c>
      <c r="M18" s="151" t="s">
        <v>8</v>
      </c>
      <c r="N18" s="151" t="s">
        <v>8</v>
      </c>
      <c r="O18" s="100">
        <v>0</v>
      </c>
      <c r="P18" s="100">
        <v>0</v>
      </c>
      <c r="Q18" s="100">
        <v>10</v>
      </c>
      <c r="R18" s="6"/>
      <c r="S18" s="6"/>
      <c r="T18" s="156"/>
      <c r="U18" s="6"/>
    </row>
    <row r="19" spans="1:21" customFormat="1">
      <c r="A19" s="201" t="s">
        <v>2363</v>
      </c>
      <c r="B19" s="100">
        <v>4.12</v>
      </c>
      <c r="C19" s="100">
        <v>4.76</v>
      </c>
      <c r="D19" s="100">
        <v>8.8800000000000008</v>
      </c>
      <c r="E19" s="100">
        <v>5.39</v>
      </c>
      <c r="F19" s="100">
        <v>2</v>
      </c>
      <c r="G19" s="100">
        <v>28.25</v>
      </c>
      <c r="H19" s="100">
        <v>18.47</v>
      </c>
      <c r="I19" s="100">
        <v>4.91</v>
      </c>
      <c r="J19" s="151" t="s">
        <v>8</v>
      </c>
      <c r="K19" s="151" t="s">
        <v>8</v>
      </c>
      <c r="L19" s="151" t="s">
        <v>8</v>
      </c>
      <c r="M19" s="151" t="s">
        <v>8</v>
      </c>
      <c r="N19" s="151" t="s">
        <v>8</v>
      </c>
      <c r="O19" s="100">
        <v>0</v>
      </c>
      <c r="P19" s="100">
        <v>0</v>
      </c>
      <c r="Q19" s="100">
        <v>10</v>
      </c>
      <c r="R19" s="6"/>
      <c r="S19" s="6"/>
      <c r="T19" s="156"/>
      <c r="U19" s="6"/>
    </row>
    <row r="20" spans="1:21" customFormat="1">
      <c r="A20" s="201" t="s">
        <v>2364</v>
      </c>
      <c r="B20" s="100">
        <v>4.24</v>
      </c>
      <c r="C20" s="100">
        <v>5.05</v>
      </c>
      <c r="D20" s="100">
        <v>9.2899999999999991</v>
      </c>
      <c r="E20" s="100">
        <v>5.8</v>
      </c>
      <c r="F20" s="100">
        <v>2</v>
      </c>
      <c r="G20" s="100">
        <v>28.25</v>
      </c>
      <c r="H20" s="100">
        <v>18.47</v>
      </c>
      <c r="I20" s="100">
        <v>4.88</v>
      </c>
      <c r="J20" s="151" t="s">
        <v>8</v>
      </c>
      <c r="K20" s="151" t="s">
        <v>8</v>
      </c>
      <c r="L20" s="151" t="s">
        <v>8</v>
      </c>
      <c r="M20" s="151" t="s">
        <v>8</v>
      </c>
      <c r="N20" s="151" t="s">
        <v>8</v>
      </c>
      <c r="O20" s="100">
        <v>0</v>
      </c>
      <c r="P20" s="100">
        <v>0</v>
      </c>
      <c r="Q20" s="100">
        <v>10</v>
      </c>
      <c r="R20" s="6"/>
      <c r="S20" s="6"/>
      <c r="T20" s="156"/>
      <c r="U20" s="6"/>
    </row>
    <row r="21" spans="1:21" customFormat="1">
      <c r="A21" s="201" t="s">
        <v>2365</v>
      </c>
      <c r="B21" s="100">
        <v>4.3099999999999996</v>
      </c>
      <c r="C21" s="100">
        <v>4.8600000000000003</v>
      </c>
      <c r="D21" s="100">
        <v>9.17</v>
      </c>
      <c r="E21" s="100">
        <v>5.74</v>
      </c>
      <c r="F21" s="100">
        <v>2</v>
      </c>
      <c r="G21" s="100">
        <v>28.25</v>
      </c>
      <c r="H21" s="100">
        <v>18.47</v>
      </c>
      <c r="I21" s="100">
        <v>4.82</v>
      </c>
      <c r="J21" s="151" t="s">
        <v>8</v>
      </c>
      <c r="K21" s="151" t="s">
        <v>8</v>
      </c>
      <c r="L21" s="151" t="s">
        <v>8</v>
      </c>
      <c r="M21" s="151" t="s">
        <v>8</v>
      </c>
      <c r="N21" s="151" t="s">
        <v>8</v>
      </c>
      <c r="O21" s="100">
        <v>0</v>
      </c>
      <c r="P21" s="100">
        <v>0</v>
      </c>
      <c r="Q21" s="100">
        <v>10</v>
      </c>
      <c r="R21" s="6"/>
      <c r="S21" s="6"/>
      <c r="T21" s="156"/>
      <c r="U21" s="6"/>
    </row>
    <row r="22" spans="1:21" customFormat="1">
      <c r="A22" s="201" t="s">
        <v>2366</v>
      </c>
      <c r="B22" s="100">
        <v>4.3899999999999997</v>
      </c>
      <c r="C22" s="100">
        <v>4.8099999999999996</v>
      </c>
      <c r="D22" s="100">
        <v>9.1999999999999993</v>
      </c>
      <c r="E22" s="100">
        <v>5.43</v>
      </c>
      <c r="F22" s="100">
        <v>2</v>
      </c>
      <c r="G22" s="100">
        <v>27.5</v>
      </c>
      <c r="H22" s="100">
        <v>17.690000000000001</v>
      </c>
      <c r="I22" s="100">
        <v>5.01</v>
      </c>
      <c r="J22" s="151" t="s">
        <v>8</v>
      </c>
      <c r="K22" s="151" t="s">
        <v>8</v>
      </c>
      <c r="L22" s="151" t="s">
        <v>8</v>
      </c>
      <c r="M22" s="151" t="s">
        <v>8</v>
      </c>
      <c r="N22" s="151" t="s">
        <v>8</v>
      </c>
      <c r="O22" s="100">
        <v>0</v>
      </c>
      <c r="P22" s="100">
        <v>0</v>
      </c>
      <c r="Q22" s="100">
        <v>10</v>
      </c>
      <c r="R22" s="6"/>
      <c r="S22" s="6"/>
      <c r="T22" s="156"/>
      <c r="U22" s="6"/>
    </row>
    <row r="23" spans="1:21" customFormat="1">
      <c r="A23" s="201" t="s">
        <v>2367</v>
      </c>
      <c r="B23" s="100">
        <v>4.5199999999999996</v>
      </c>
      <c r="C23" s="100">
        <v>5.04</v>
      </c>
      <c r="D23" s="100">
        <v>9.57</v>
      </c>
      <c r="E23" s="100">
        <v>5.74</v>
      </c>
      <c r="F23" s="100">
        <v>2</v>
      </c>
      <c r="G23" s="100">
        <v>25.76</v>
      </c>
      <c r="H23" s="100">
        <v>16.489999999999998</v>
      </c>
      <c r="I23" s="100">
        <v>5.13</v>
      </c>
      <c r="J23" s="151" t="s">
        <v>8</v>
      </c>
      <c r="K23" s="151" t="s">
        <v>8</v>
      </c>
      <c r="L23" s="151" t="s">
        <v>8</v>
      </c>
      <c r="M23" s="151" t="s">
        <v>8</v>
      </c>
      <c r="N23" s="151" t="s">
        <v>8</v>
      </c>
      <c r="O23" s="100">
        <v>0</v>
      </c>
      <c r="P23" s="100">
        <v>0</v>
      </c>
      <c r="Q23" s="100">
        <v>10</v>
      </c>
      <c r="R23" s="6"/>
      <c r="S23" s="6"/>
      <c r="T23" s="156"/>
      <c r="U23" s="6"/>
    </row>
    <row r="24" spans="1:21" customFormat="1">
      <c r="A24" s="201" t="s">
        <v>2368</v>
      </c>
      <c r="B24" s="100">
        <v>4.6100000000000003</v>
      </c>
      <c r="C24" s="100">
        <v>4.83</v>
      </c>
      <c r="D24" s="100">
        <v>9.44</v>
      </c>
      <c r="E24" s="100">
        <v>5.68</v>
      </c>
      <c r="F24" s="100">
        <v>2</v>
      </c>
      <c r="G24" s="100">
        <v>25.76</v>
      </c>
      <c r="H24" s="100">
        <v>16.489999999999998</v>
      </c>
      <c r="I24" s="100">
        <v>5.16</v>
      </c>
      <c r="J24" s="151" t="s">
        <v>8</v>
      </c>
      <c r="K24" s="151" t="s">
        <v>8</v>
      </c>
      <c r="L24" s="151" t="s">
        <v>8</v>
      </c>
      <c r="M24" s="151" t="s">
        <v>8</v>
      </c>
      <c r="N24" s="151" t="s">
        <v>8</v>
      </c>
      <c r="O24" s="100">
        <v>0</v>
      </c>
      <c r="P24" s="100">
        <v>0</v>
      </c>
      <c r="Q24" s="100">
        <v>10</v>
      </c>
      <c r="R24" s="6"/>
      <c r="S24" s="6"/>
      <c r="T24" s="156"/>
      <c r="U24" s="6"/>
    </row>
    <row r="25" spans="1:21" customFormat="1">
      <c r="A25" s="201" t="s">
        <v>2369</v>
      </c>
      <c r="B25" s="100">
        <v>4.67</v>
      </c>
      <c r="C25" s="100">
        <v>4.8099999999999996</v>
      </c>
      <c r="D25" s="100">
        <v>9.48</v>
      </c>
      <c r="E25" s="100">
        <v>5.63</v>
      </c>
      <c r="F25" s="100">
        <v>2</v>
      </c>
      <c r="G25" s="100">
        <v>25.76</v>
      </c>
      <c r="H25" s="100">
        <v>16.489999999999998</v>
      </c>
      <c r="I25" s="100">
        <v>5.37</v>
      </c>
      <c r="J25" s="151" t="s">
        <v>8</v>
      </c>
      <c r="K25" s="151" t="s">
        <v>8</v>
      </c>
      <c r="L25" s="151" t="s">
        <v>8</v>
      </c>
      <c r="M25" s="151" t="s">
        <v>8</v>
      </c>
      <c r="N25" s="151" t="s">
        <v>8</v>
      </c>
      <c r="O25" s="100">
        <v>0</v>
      </c>
      <c r="P25" s="100">
        <v>0</v>
      </c>
      <c r="Q25" s="100">
        <v>10</v>
      </c>
      <c r="R25" s="6"/>
      <c r="S25" s="6"/>
      <c r="T25" s="156"/>
      <c r="U25" s="6"/>
    </row>
    <row r="26" spans="1:21" customFormat="1">
      <c r="A26" s="201" t="s">
        <v>2370</v>
      </c>
      <c r="B26" s="100">
        <v>4.78</v>
      </c>
      <c r="C26" s="100">
        <v>5.12</v>
      </c>
      <c r="D26" s="100">
        <v>9.9</v>
      </c>
      <c r="E26" s="100">
        <v>5.93</v>
      </c>
      <c r="F26" s="100">
        <v>2</v>
      </c>
      <c r="G26" s="100">
        <v>26.34</v>
      </c>
      <c r="H26" s="100">
        <v>16.22</v>
      </c>
      <c r="I26" s="100">
        <v>5.49</v>
      </c>
      <c r="J26" s="151" t="s">
        <v>8</v>
      </c>
      <c r="K26" s="151" t="s">
        <v>8</v>
      </c>
      <c r="L26" s="151" t="s">
        <v>8</v>
      </c>
      <c r="M26" s="151" t="s">
        <v>8</v>
      </c>
      <c r="N26" s="151" t="s">
        <v>8</v>
      </c>
      <c r="O26" s="100">
        <v>0</v>
      </c>
      <c r="P26" s="100">
        <v>0</v>
      </c>
      <c r="Q26" s="100">
        <v>10</v>
      </c>
      <c r="R26" s="6"/>
      <c r="S26" s="6"/>
      <c r="T26" s="156"/>
      <c r="U26" s="6"/>
    </row>
    <row r="27" spans="1:21" customFormat="1">
      <c r="A27" s="201" t="s">
        <v>2371</v>
      </c>
      <c r="B27" s="100">
        <v>4.8</v>
      </c>
      <c r="C27" s="100">
        <v>5.22</v>
      </c>
      <c r="D27" s="100">
        <v>10.01</v>
      </c>
      <c r="E27" s="100">
        <v>5.82</v>
      </c>
      <c r="F27" s="100">
        <v>2</v>
      </c>
      <c r="G27" s="100">
        <v>27.67</v>
      </c>
      <c r="H27" s="100">
        <v>15.79</v>
      </c>
      <c r="I27" s="100">
        <v>5.5</v>
      </c>
      <c r="J27" s="151" t="s">
        <v>8</v>
      </c>
      <c r="K27" s="151" t="s">
        <v>8</v>
      </c>
      <c r="L27" s="151" t="s">
        <v>8</v>
      </c>
      <c r="M27" s="151" t="s">
        <v>8</v>
      </c>
      <c r="N27" s="151" t="s">
        <v>8</v>
      </c>
      <c r="O27" s="100">
        <v>0</v>
      </c>
      <c r="P27" s="100">
        <v>0.01</v>
      </c>
      <c r="Q27" s="100">
        <v>10</v>
      </c>
      <c r="R27" s="6"/>
      <c r="S27" s="6"/>
      <c r="T27" s="156"/>
      <c r="U27" s="6"/>
    </row>
    <row r="28" spans="1:21" customFormat="1">
      <c r="A28" s="201" t="s">
        <v>2372</v>
      </c>
      <c r="B28" s="100">
        <v>4.72</v>
      </c>
      <c r="C28" s="100">
        <v>5.36</v>
      </c>
      <c r="D28" s="100">
        <v>10.08</v>
      </c>
      <c r="E28" s="100">
        <v>5.8</v>
      </c>
      <c r="F28" s="100">
        <v>2</v>
      </c>
      <c r="G28" s="100">
        <v>27.67</v>
      </c>
      <c r="H28" s="100">
        <v>15.79</v>
      </c>
      <c r="I28" s="100">
        <v>5.84</v>
      </c>
      <c r="J28" s="151" t="s">
        <v>8</v>
      </c>
      <c r="K28" s="151" t="s">
        <v>8</v>
      </c>
      <c r="L28" s="151" t="s">
        <v>8</v>
      </c>
      <c r="M28" s="151" t="s">
        <v>8</v>
      </c>
      <c r="N28" s="151" t="s">
        <v>8</v>
      </c>
      <c r="O28" s="100">
        <v>0</v>
      </c>
      <c r="P28" s="100">
        <v>0.04</v>
      </c>
      <c r="Q28" s="100">
        <v>10</v>
      </c>
      <c r="R28" s="6"/>
      <c r="S28" s="6"/>
      <c r="T28" s="156"/>
      <c r="U28" s="6"/>
    </row>
    <row r="29" spans="1:21" customFormat="1">
      <c r="A29" s="201" t="s">
        <v>2373</v>
      </c>
      <c r="B29" s="100">
        <v>4.6900000000000004</v>
      </c>
      <c r="C29" s="100">
        <v>5.44</v>
      </c>
      <c r="D29" s="100">
        <v>10.14</v>
      </c>
      <c r="E29" s="100">
        <v>5.95</v>
      </c>
      <c r="F29" s="100">
        <v>2</v>
      </c>
      <c r="G29" s="100">
        <v>27.67</v>
      </c>
      <c r="H29" s="100">
        <v>15.79</v>
      </c>
      <c r="I29" s="100">
        <v>6.39</v>
      </c>
      <c r="J29" s="151" t="s">
        <v>8</v>
      </c>
      <c r="K29" s="151" t="s">
        <v>8</v>
      </c>
      <c r="L29" s="151" t="s">
        <v>8</v>
      </c>
      <c r="M29" s="151" t="s">
        <v>8</v>
      </c>
      <c r="N29" s="151" t="s">
        <v>8</v>
      </c>
      <c r="O29" s="100">
        <v>0</v>
      </c>
      <c r="P29" s="100">
        <v>0.06</v>
      </c>
      <c r="Q29" s="100">
        <v>10</v>
      </c>
      <c r="R29" s="6"/>
      <c r="S29" s="6"/>
      <c r="T29" s="156"/>
      <c r="U29" s="6"/>
    </row>
    <row r="30" spans="1:21" customFormat="1">
      <c r="A30" s="201" t="s">
        <v>2374</v>
      </c>
      <c r="B30" s="100">
        <v>4.68</v>
      </c>
      <c r="C30" s="100">
        <v>5.45</v>
      </c>
      <c r="D30" s="100">
        <v>10.130000000000001</v>
      </c>
      <c r="E30" s="100">
        <v>5.95</v>
      </c>
      <c r="F30" s="100">
        <v>2</v>
      </c>
      <c r="G30" s="100">
        <v>28.46</v>
      </c>
      <c r="H30" s="100">
        <v>15.26</v>
      </c>
      <c r="I30" s="100">
        <v>7.16</v>
      </c>
      <c r="J30" s="151" t="s">
        <v>8</v>
      </c>
      <c r="K30" s="151" t="s">
        <v>8</v>
      </c>
      <c r="L30" s="151" t="s">
        <v>8</v>
      </c>
      <c r="M30" s="151" t="s">
        <v>8</v>
      </c>
      <c r="N30" s="151" t="s">
        <v>8</v>
      </c>
      <c r="O30" s="100">
        <v>0</v>
      </c>
      <c r="P30" s="100">
        <v>0.09</v>
      </c>
      <c r="Q30" s="100">
        <v>10</v>
      </c>
      <c r="R30" s="6"/>
      <c r="S30" s="6"/>
      <c r="T30" s="156"/>
      <c r="U30" s="6"/>
    </row>
    <row r="31" spans="1:21" customFormat="1">
      <c r="A31" s="201" t="s">
        <v>2375</v>
      </c>
      <c r="B31" s="100">
        <v>4.6900000000000004</v>
      </c>
      <c r="C31" s="100">
        <v>5.48</v>
      </c>
      <c r="D31" s="100">
        <v>10.17</v>
      </c>
      <c r="E31" s="100">
        <v>5.97</v>
      </c>
      <c r="F31" s="100">
        <v>2</v>
      </c>
      <c r="G31" s="100">
        <v>30.3</v>
      </c>
      <c r="H31" s="100">
        <v>14.44</v>
      </c>
      <c r="I31" s="100">
        <v>7.84</v>
      </c>
      <c r="J31" s="151" t="s">
        <v>8</v>
      </c>
      <c r="K31" s="151" t="s">
        <v>8</v>
      </c>
      <c r="L31" s="151" t="s">
        <v>8</v>
      </c>
      <c r="M31" s="151" t="s">
        <v>8</v>
      </c>
      <c r="N31" s="151" t="s">
        <v>8</v>
      </c>
      <c r="O31" s="100">
        <v>0</v>
      </c>
      <c r="P31" s="100">
        <v>0.11</v>
      </c>
      <c r="Q31" s="100">
        <v>10</v>
      </c>
      <c r="R31" s="6"/>
      <c r="S31" s="6"/>
      <c r="T31" s="156"/>
      <c r="U31" s="6"/>
    </row>
    <row r="32" spans="1:21" customFormat="1">
      <c r="A32" s="201" t="s">
        <v>2376</v>
      </c>
      <c r="B32" s="100">
        <v>4.83</v>
      </c>
      <c r="C32" s="100">
        <v>5.53</v>
      </c>
      <c r="D32" s="100">
        <v>10.35</v>
      </c>
      <c r="E32" s="100">
        <v>5.97</v>
      </c>
      <c r="F32" s="100">
        <v>2</v>
      </c>
      <c r="G32" s="100">
        <v>30.3</v>
      </c>
      <c r="H32" s="100">
        <v>14.44</v>
      </c>
      <c r="I32" s="100">
        <v>8.2799999999999994</v>
      </c>
      <c r="J32" s="151" t="s">
        <v>8</v>
      </c>
      <c r="K32" s="151" t="s">
        <v>8</v>
      </c>
      <c r="L32" s="151" t="s">
        <v>8</v>
      </c>
      <c r="M32" s="151" t="s">
        <v>8</v>
      </c>
      <c r="N32" s="151" t="s">
        <v>8</v>
      </c>
      <c r="O32" s="100">
        <v>0</v>
      </c>
      <c r="P32" s="100">
        <v>0.12</v>
      </c>
      <c r="Q32" s="100">
        <v>10</v>
      </c>
      <c r="R32" s="6"/>
      <c r="S32" s="6"/>
      <c r="T32" s="156"/>
      <c r="U32" s="6"/>
    </row>
    <row r="33" spans="1:21" customFormat="1">
      <c r="A33" s="201" t="s">
        <v>2377</v>
      </c>
      <c r="B33" s="100">
        <v>4.95</v>
      </c>
      <c r="C33" s="100">
        <v>5.6</v>
      </c>
      <c r="D33" s="100">
        <v>10.55</v>
      </c>
      <c r="E33" s="100">
        <v>6.11</v>
      </c>
      <c r="F33" s="100">
        <v>2</v>
      </c>
      <c r="G33" s="100">
        <v>30.3</v>
      </c>
      <c r="H33" s="100">
        <v>14.44</v>
      </c>
      <c r="I33" s="100">
        <v>8.68</v>
      </c>
      <c r="J33" s="151" t="s">
        <v>8</v>
      </c>
      <c r="K33" s="151" t="s">
        <v>8</v>
      </c>
      <c r="L33" s="151" t="s">
        <v>8</v>
      </c>
      <c r="M33" s="151" t="s">
        <v>8</v>
      </c>
      <c r="N33" s="151" t="s">
        <v>8</v>
      </c>
      <c r="O33" s="100">
        <v>0</v>
      </c>
      <c r="P33" s="100">
        <v>0.12</v>
      </c>
      <c r="Q33" s="100">
        <v>10</v>
      </c>
      <c r="R33" s="6"/>
      <c r="S33" s="6"/>
      <c r="T33" s="156"/>
      <c r="U33" s="6"/>
    </row>
    <row r="34" spans="1:21" customFormat="1">
      <c r="A34" s="201" t="s">
        <v>2378</v>
      </c>
      <c r="B34" s="100">
        <v>4.97</v>
      </c>
      <c r="C34" s="100">
        <v>5.65</v>
      </c>
      <c r="D34" s="100">
        <v>10.61</v>
      </c>
      <c r="E34" s="100">
        <v>6.11</v>
      </c>
      <c r="F34" s="100">
        <v>2</v>
      </c>
      <c r="G34" s="100">
        <v>32.950000000000003</v>
      </c>
      <c r="H34" s="100">
        <v>15.12</v>
      </c>
      <c r="I34" s="100">
        <v>9.0399999999999991</v>
      </c>
      <c r="J34" s="151" t="s">
        <v>8</v>
      </c>
      <c r="K34" s="151" t="s">
        <v>8</v>
      </c>
      <c r="L34" s="151" t="s">
        <v>8</v>
      </c>
      <c r="M34" s="151" t="s">
        <v>8</v>
      </c>
      <c r="N34" s="151" t="s">
        <v>8</v>
      </c>
      <c r="O34" s="100">
        <v>0</v>
      </c>
      <c r="P34" s="100">
        <v>0.12</v>
      </c>
      <c r="Q34" s="100">
        <v>10</v>
      </c>
      <c r="R34" s="6"/>
      <c r="S34" s="6"/>
      <c r="T34" s="156"/>
      <c r="U34" s="6"/>
    </row>
    <row r="35" spans="1:21" customFormat="1">
      <c r="A35" s="201" t="s">
        <v>2379</v>
      </c>
      <c r="B35" s="100">
        <v>5.01</v>
      </c>
      <c r="C35" s="100">
        <v>5.54</v>
      </c>
      <c r="D35" s="100">
        <v>10.55</v>
      </c>
      <c r="E35" s="100">
        <v>6.06</v>
      </c>
      <c r="F35" s="100">
        <v>2</v>
      </c>
      <c r="G35" s="100">
        <v>39.15</v>
      </c>
      <c r="H35" s="100">
        <v>17.86</v>
      </c>
      <c r="I35" s="100">
        <v>9.2200000000000006</v>
      </c>
      <c r="J35" s="151" t="s">
        <v>8</v>
      </c>
      <c r="K35" s="151" t="s">
        <v>8</v>
      </c>
      <c r="L35" s="151" t="s">
        <v>8</v>
      </c>
      <c r="M35" s="151" t="s">
        <v>8</v>
      </c>
      <c r="N35" s="151" t="s">
        <v>8</v>
      </c>
      <c r="O35" s="100">
        <v>0</v>
      </c>
      <c r="P35" s="100">
        <v>0.13</v>
      </c>
      <c r="Q35" s="100">
        <v>10</v>
      </c>
      <c r="R35" s="6"/>
      <c r="S35" s="6"/>
      <c r="T35" s="156"/>
      <c r="U35" s="6"/>
    </row>
    <row r="36" spans="1:21" customFormat="1">
      <c r="A36" s="201" t="s">
        <v>2380</v>
      </c>
      <c r="B36" s="100">
        <v>5</v>
      </c>
      <c r="C36" s="100">
        <v>5.41</v>
      </c>
      <c r="D36" s="100">
        <v>10.41</v>
      </c>
      <c r="E36" s="100">
        <v>6.18</v>
      </c>
      <c r="F36" s="100">
        <v>2</v>
      </c>
      <c r="G36" s="100">
        <v>39.15</v>
      </c>
      <c r="H36" s="100">
        <v>17.86</v>
      </c>
      <c r="I36" s="100">
        <v>9.08</v>
      </c>
      <c r="J36" s="151" t="s">
        <v>8</v>
      </c>
      <c r="K36" s="151" t="s">
        <v>8</v>
      </c>
      <c r="L36" s="151" t="s">
        <v>8</v>
      </c>
      <c r="M36" s="151" t="s">
        <v>8</v>
      </c>
      <c r="N36" s="151" t="s">
        <v>8</v>
      </c>
      <c r="O36" s="100">
        <v>0</v>
      </c>
      <c r="P36" s="100">
        <v>0.13</v>
      </c>
      <c r="Q36" s="100">
        <v>10</v>
      </c>
      <c r="R36" s="6"/>
      <c r="S36" s="6"/>
      <c r="T36" s="156"/>
      <c r="U36" s="6"/>
    </row>
    <row r="37" spans="1:21" customFormat="1">
      <c r="A37" s="201" t="s">
        <v>2381</v>
      </c>
      <c r="B37" s="100">
        <v>4.97</v>
      </c>
      <c r="C37" s="100">
        <v>5.42</v>
      </c>
      <c r="D37" s="100">
        <v>10.39</v>
      </c>
      <c r="E37" s="100">
        <v>6.25</v>
      </c>
      <c r="F37" s="100">
        <v>2</v>
      </c>
      <c r="G37" s="100">
        <v>39.15</v>
      </c>
      <c r="H37" s="100">
        <v>17.86</v>
      </c>
      <c r="I37" s="100">
        <v>9.09</v>
      </c>
      <c r="J37" s="151" t="s">
        <v>8</v>
      </c>
      <c r="K37" s="151" t="s">
        <v>8</v>
      </c>
      <c r="L37" s="151" t="s">
        <v>8</v>
      </c>
      <c r="M37" s="151" t="s">
        <v>8</v>
      </c>
      <c r="N37" s="151" t="s">
        <v>8</v>
      </c>
      <c r="O37" s="100">
        <v>0</v>
      </c>
      <c r="P37" s="100">
        <v>0.13</v>
      </c>
      <c r="Q37" s="100">
        <v>10</v>
      </c>
      <c r="R37" s="6"/>
      <c r="S37" s="6"/>
      <c r="T37" s="156"/>
      <c r="U37" s="6"/>
    </row>
    <row r="38" spans="1:21" customFormat="1">
      <c r="A38" s="201" t="s">
        <v>2382</v>
      </c>
      <c r="B38" s="100">
        <v>4.93</v>
      </c>
      <c r="C38" s="100">
        <v>5.45</v>
      </c>
      <c r="D38" s="100">
        <v>10.38</v>
      </c>
      <c r="E38" s="100">
        <v>6.1</v>
      </c>
      <c r="F38" s="100">
        <v>2</v>
      </c>
      <c r="G38" s="100">
        <v>40.04</v>
      </c>
      <c r="H38" s="100">
        <v>17.09</v>
      </c>
      <c r="I38" s="100">
        <v>9.16</v>
      </c>
      <c r="J38" s="151" t="s">
        <v>8</v>
      </c>
      <c r="K38" s="151" t="s">
        <v>8</v>
      </c>
      <c r="L38" s="151" t="s">
        <v>8</v>
      </c>
      <c r="M38" s="151" t="s">
        <v>8</v>
      </c>
      <c r="N38" s="151" t="s">
        <v>8</v>
      </c>
      <c r="O38" s="100">
        <v>0</v>
      </c>
      <c r="P38" s="100">
        <v>0.13</v>
      </c>
      <c r="Q38" s="100">
        <v>10</v>
      </c>
      <c r="R38" s="6"/>
      <c r="S38" s="6"/>
      <c r="T38" s="156"/>
      <c r="U38" s="6"/>
    </row>
    <row r="39" spans="1:21" customFormat="1">
      <c r="A39" s="201" t="s">
        <v>2383</v>
      </c>
      <c r="B39" s="100">
        <v>5.05</v>
      </c>
      <c r="C39" s="100">
        <v>5.58</v>
      </c>
      <c r="D39" s="100">
        <v>10.63</v>
      </c>
      <c r="E39" s="100">
        <v>6.05</v>
      </c>
      <c r="F39" s="100">
        <v>2</v>
      </c>
      <c r="G39" s="100">
        <v>42.13</v>
      </c>
      <c r="H39" s="100">
        <v>15.92</v>
      </c>
      <c r="I39" s="100">
        <v>9.1999999999999993</v>
      </c>
      <c r="J39" s="151" t="s">
        <v>8</v>
      </c>
      <c r="K39" s="151" t="s">
        <v>8</v>
      </c>
      <c r="L39" s="151" t="s">
        <v>8</v>
      </c>
      <c r="M39" s="151" t="s">
        <v>8</v>
      </c>
      <c r="N39" s="151" t="s">
        <v>8</v>
      </c>
      <c r="O39" s="100">
        <v>0</v>
      </c>
      <c r="P39" s="100">
        <v>0.14000000000000001</v>
      </c>
      <c r="Q39" s="100">
        <v>10</v>
      </c>
      <c r="R39" s="6"/>
      <c r="S39" s="6"/>
      <c r="T39" s="156"/>
      <c r="U39" s="6"/>
    </row>
    <row r="40" spans="1:21" customFormat="1">
      <c r="A40" s="201" t="s">
        <v>2384</v>
      </c>
      <c r="B40" s="100">
        <v>5.28</v>
      </c>
      <c r="C40" s="100">
        <v>5.75</v>
      </c>
      <c r="D40" s="100">
        <v>11.04</v>
      </c>
      <c r="E40" s="100">
        <v>6.28</v>
      </c>
      <c r="F40" s="100">
        <v>2</v>
      </c>
      <c r="G40" s="100">
        <v>42.13</v>
      </c>
      <c r="H40" s="100">
        <v>15.92</v>
      </c>
      <c r="I40" s="100">
        <v>9.2200000000000006</v>
      </c>
      <c r="J40" s="151" t="s">
        <v>8</v>
      </c>
      <c r="K40" s="151" t="s">
        <v>8</v>
      </c>
      <c r="L40" s="151" t="s">
        <v>8</v>
      </c>
      <c r="M40" s="151" t="s">
        <v>8</v>
      </c>
      <c r="N40" s="151" t="s">
        <v>8</v>
      </c>
      <c r="O40" s="100">
        <v>0</v>
      </c>
      <c r="P40" s="100">
        <v>0.13</v>
      </c>
      <c r="Q40" s="100">
        <v>10</v>
      </c>
      <c r="R40" s="6"/>
      <c r="S40" s="6"/>
      <c r="T40" s="156"/>
      <c r="U40" s="6"/>
    </row>
    <row r="41" spans="1:21" customFormat="1">
      <c r="A41" s="201" t="s">
        <v>2385</v>
      </c>
      <c r="B41" s="100">
        <v>5.48</v>
      </c>
      <c r="C41" s="100">
        <v>5.79</v>
      </c>
      <c r="D41" s="100">
        <v>11.27</v>
      </c>
      <c r="E41" s="100">
        <v>5.96</v>
      </c>
      <c r="F41" s="100">
        <v>2</v>
      </c>
      <c r="G41" s="100">
        <v>42.13</v>
      </c>
      <c r="H41" s="100">
        <v>15.92</v>
      </c>
      <c r="I41" s="100">
        <v>9.26</v>
      </c>
      <c r="J41" s="151" t="s">
        <v>8</v>
      </c>
      <c r="K41" s="151" t="s">
        <v>8</v>
      </c>
      <c r="L41" s="151" t="s">
        <v>8</v>
      </c>
      <c r="M41" s="151" t="s">
        <v>8</v>
      </c>
      <c r="N41" s="151" t="s">
        <v>8</v>
      </c>
      <c r="O41" s="100">
        <v>0</v>
      </c>
      <c r="P41" s="100">
        <v>0.13</v>
      </c>
      <c r="Q41" s="100">
        <v>10</v>
      </c>
      <c r="R41" s="6"/>
      <c r="S41" s="6"/>
      <c r="T41" s="156"/>
      <c r="U41" s="6"/>
    </row>
    <row r="42" spans="1:21" customFormat="1">
      <c r="A42" s="201" t="s">
        <v>2386</v>
      </c>
      <c r="B42" s="100">
        <v>5.62</v>
      </c>
      <c r="C42" s="100">
        <v>5.88</v>
      </c>
      <c r="D42" s="100">
        <v>11.49</v>
      </c>
      <c r="E42" s="100">
        <v>6.35</v>
      </c>
      <c r="F42" s="100">
        <v>2</v>
      </c>
      <c r="G42" s="100">
        <v>44.65</v>
      </c>
      <c r="H42" s="100">
        <v>16.690000000000001</v>
      </c>
      <c r="I42" s="100">
        <v>9.15</v>
      </c>
      <c r="J42" s="151" t="s">
        <v>8</v>
      </c>
      <c r="K42" s="151" t="s">
        <v>8</v>
      </c>
      <c r="L42" s="151" t="s">
        <v>8</v>
      </c>
      <c r="M42" s="151" t="s">
        <v>8</v>
      </c>
      <c r="N42" s="151" t="s">
        <v>8</v>
      </c>
      <c r="O42" s="100">
        <v>0</v>
      </c>
      <c r="P42" s="100">
        <v>0.13</v>
      </c>
      <c r="Q42" s="100">
        <v>10</v>
      </c>
      <c r="R42" s="6"/>
      <c r="S42" s="6"/>
      <c r="T42" s="156"/>
      <c r="U42" s="6"/>
    </row>
    <row r="43" spans="1:21" customFormat="1">
      <c r="A43" s="201" t="s">
        <v>2387</v>
      </c>
      <c r="B43" s="100">
        <v>5.64</v>
      </c>
      <c r="C43" s="100">
        <v>6</v>
      </c>
      <c r="D43" s="100">
        <v>11.64</v>
      </c>
      <c r="E43" s="100">
        <v>6.25</v>
      </c>
      <c r="F43" s="100">
        <v>2</v>
      </c>
      <c r="G43" s="100">
        <v>50.55</v>
      </c>
      <c r="H43" s="100">
        <v>17.88</v>
      </c>
      <c r="I43" s="100">
        <v>9.15</v>
      </c>
      <c r="J43" s="151" t="s">
        <v>8</v>
      </c>
      <c r="K43" s="151" t="s">
        <v>8</v>
      </c>
      <c r="L43" s="151" t="s">
        <v>8</v>
      </c>
      <c r="M43" s="151" t="s">
        <v>8</v>
      </c>
      <c r="N43" s="151" t="s">
        <v>8</v>
      </c>
      <c r="O43" s="100">
        <v>0</v>
      </c>
      <c r="P43" s="100">
        <v>0.12</v>
      </c>
      <c r="Q43" s="100">
        <v>10</v>
      </c>
      <c r="R43" s="6"/>
      <c r="S43" s="6"/>
      <c r="T43" s="156"/>
      <c r="U43" s="6"/>
    </row>
    <row r="44" spans="1:21" customFormat="1">
      <c r="A44" s="201" t="s">
        <v>2388</v>
      </c>
      <c r="B44" s="100">
        <v>5.54</v>
      </c>
      <c r="C44" s="100">
        <v>6.07</v>
      </c>
      <c r="D44" s="100">
        <v>11.61</v>
      </c>
      <c r="E44" s="100">
        <v>6.32</v>
      </c>
      <c r="F44" s="100">
        <v>2</v>
      </c>
      <c r="G44" s="100">
        <v>50.55</v>
      </c>
      <c r="H44" s="100">
        <v>17.88</v>
      </c>
      <c r="I44" s="100">
        <v>9.1</v>
      </c>
      <c r="J44" s="151" t="s">
        <v>8</v>
      </c>
      <c r="K44" s="151" t="s">
        <v>8</v>
      </c>
      <c r="L44" s="151" t="s">
        <v>8</v>
      </c>
      <c r="M44" s="151" t="s">
        <v>8</v>
      </c>
      <c r="N44" s="151" t="s">
        <v>8</v>
      </c>
      <c r="O44" s="100">
        <v>0</v>
      </c>
      <c r="P44" s="100">
        <v>0.13</v>
      </c>
      <c r="Q44" s="100">
        <v>10</v>
      </c>
      <c r="R44" s="6"/>
      <c r="S44" s="6"/>
      <c r="T44" s="156"/>
      <c r="U44" s="6"/>
    </row>
    <row r="45" spans="1:21" customFormat="1">
      <c r="A45" s="201" t="s">
        <v>2389</v>
      </c>
      <c r="B45" s="100">
        <v>5.38</v>
      </c>
      <c r="C45" s="100">
        <v>6.2</v>
      </c>
      <c r="D45" s="100">
        <v>11.58</v>
      </c>
      <c r="E45" s="100">
        <v>6.06</v>
      </c>
      <c r="F45" s="100">
        <v>2</v>
      </c>
      <c r="G45" s="100">
        <v>50.55</v>
      </c>
      <c r="H45" s="100">
        <v>17.88</v>
      </c>
      <c r="I45" s="100">
        <v>9.0399999999999991</v>
      </c>
      <c r="J45" s="151" t="s">
        <v>8</v>
      </c>
      <c r="K45" s="151" t="s">
        <v>8</v>
      </c>
      <c r="L45" s="151" t="s">
        <v>8</v>
      </c>
      <c r="M45" s="151" t="s">
        <v>8</v>
      </c>
      <c r="N45" s="151" t="s">
        <v>8</v>
      </c>
      <c r="O45" s="100">
        <v>0</v>
      </c>
      <c r="P45" s="100">
        <v>0.13</v>
      </c>
      <c r="Q45" s="100">
        <v>10</v>
      </c>
      <c r="R45" s="6"/>
      <c r="S45" s="6"/>
      <c r="T45" s="156"/>
      <c r="U45" s="6"/>
    </row>
    <row r="46" spans="1:21" customFormat="1">
      <c r="A46" s="201" t="s">
        <v>2390</v>
      </c>
      <c r="B46" s="100">
        <v>5.3</v>
      </c>
      <c r="C46" s="100">
        <v>6.32</v>
      </c>
      <c r="D46" s="100">
        <v>11.62</v>
      </c>
      <c r="E46" s="100">
        <v>6.2</v>
      </c>
      <c r="F46" s="100">
        <v>2</v>
      </c>
      <c r="G46" s="100">
        <v>55.26</v>
      </c>
      <c r="H46" s="100">
        <v>22.64</v>
      </c>
      <c r="I46" s="100">
        <v>8.99</v>
      </c>
      <c r="J46" s="151" t="s">
        <v>8</v>
      </c>
      <c r="K46" s="151" t="s">
        <v>8</v>
      </c>
      <c r="L46" s="151" t="s">
        <v>8</v>
      </c>
      <c r="M46" s="151" t="s">
        <v>8</v>
      </c>
      <c r="N46" s="151" t="s">
        <v>8</v>
      </c>
      <c r="O46" s="100">
        <v>0</v>
      </c>
      <c r="P46" s="100">
        <v>0.13</v>
      </c>
      <c r="Q46" s="100">
        <v>10</v>
      </c>
      <c r="R46" s="6"/>
      <c r="S46" s="6"/>
      <c r="T46" s="156"/>
      <c r="U46" s="6"/>
    </row>
    <row r="47" spans="1:21" customFormat="1">
      <c r="A47" s="201" t="s">
        <v>2391</v>
      </c>
      <c r="B47" s="100">
        <v>5.37</v>
      </c>
      <c r="C47" s="100">
        <v>6.4</v>
      </c>
      <c r="D47" s="100">
        <v>11.78</v>
      </c>
      <c r="E47" s="100">
        <v>6.32</v>
      </c>
      <c r="F47" s="100">
        <v>2</v>
      </c>
      <c r="G47" s="100">
        <v>66.260000000000005</v>
      </c>
      <c r="H47" s="100">
        <v>29.97</v>
      </c>
      <c r="I47" s="100">
        <v>8.94</v>
      </c>
      <c r="J47" s="151" t="s">
        <v>8</v>
      </c>
      <c r="K47" s="151" t="s">
        <v>8</v>
      </c>
      <c r="L47" s="151" t="s">
        <v>8</v>
      </c>
      <c r="M47" s="151" t="s">
        <v>8</v>
      </c>
      <c r="N47" s="151" t="s">
        <v>8</v>
      </c>
      <c r="O47" s="100">
        <v>0</v>
      </c>
      <c r="P47" s="100">
        <v>0.12</v>
      </c>
      <c r="Q47" s="100">
        <v>10</v>
      </c>
      <c r="R47" s="6"/>
      <c r="S47" s="6"/>
      <c r="T47" s="156"/>
      <c r="U47" s="6"/>
    </row>
    <row r="48" spans="1:21" customFormat="1">
      <c r="A48" s="201" t="s">
        <v>2392</v>
      </c>
      <c r="B48" s="100">
        <v>5.65</v>
      </c>
      <c r="C48" s="100">
        <v>6.44</v>
      </c>
      <c r="D48" s="100">
        <v>12.09</v>
      </c>
      <c r="E48" s="100">
        <v>5.99</v>
      </c>
      <c r="F48" s="100">
        <v>2</v>
      </c>
      <c r="G48" s="100">
        <v>66.260000000000005</v>
      </c>
      <c r="H48" s="100">
        <v>29.97</v>
      </c>
      <c r="I48" s="100">
        <v>8.9</v>
      </c>
      <c r="J48" s="151" t="s">
        <v>8</v>
      </c>
      <c r="K48" s="151" t="s">
        <v>8</v>
      </c>
      <c r="L48" s="151" t="s">
        <v>8</v>
      </c>
      <c r="M48" s="151" t="s">
        <v>8</v>
      </c>
      <c r="N48" s="151" t="s">
        <v>8</v>
      </c>
      <c r="O48" s="100">
        <v>0</v>
      </c>
      <c r="P48" s="100">
        <v>0.12</v>
      </c>
      <c r="Q48" s="100">
        <v>10</v>
      </c>
      <c r="R48" s="6"/>
      <c r="S48" s="6"/>
      <c r="T48" s="156"/>
      <c r="U48" s="6"/>
    </row>
    <row r="49" spans="1:21" customFormat="1">
      <c r="A49" s="201" t="s">
        <v>2393</v>
      </c>
      <c r="B49" s="100">
        <v>5.86</v>
      </c>
      <c r="C49" s="100">
        <v>6.52</v>
      </c>
      <c r="D49" s="100">
        <v>12.37</v>
      </c>
      <c r="E49" s="100">
        <v>3.89</v>
      </c>
      <c r="F49" s="100">
        <v>2</v>
      </c>
      <c r="G49" s="100">
        <v>66.260000000000005</v>
      </c>
      <c r="H49" s="100">
        <v>29.97</v>
      </c>
      <c r="I49" s="100">
        <v>8.9600000000000009</v>
      </c>
      <c r="J49" s="151" t="s">
        <v>8</v>
      </c>
      <c r="K49" s="151" t="s">
        <v>8</v>
      </c>
      <c r="L49" s="151" t="s">
        <v>8</v>
      </c>
      <c r="M49" s="151" t="s">
        <v>8</v>
      </c>
      <c r="N49" s="151" t="s">
        <v>8</v>
      </c>
      <c r="O49" s="100">
        <v>0</v>
      </c>
      <c r="P49" s="100">
        <v>0.12</v>
      </c>
      <c r="Q49" s="100">
        <v>10</v>
      </c>
      <c r="R49" s="6"/>
      <c r="S49" s="6"/>
      <c r="T49" s="156"/>
      <c r="U49" s="6"/>
    </row>
    <row r="50" spans="1:21" customFormat="1">
      <c r="A50" s="201" t="s">
        <v>2394</v>
      </c>
      <c r="B50" s="100">
        <v>5.88</v>
      </c>
      <c r="C50" s="100">
        <v>6.74</v>
      </c>
      <c r="D50" s="100">
        <v>12.62</v>
      </c>
      <c r="E50" s="100">
        <v>4.5999999999999996</v>
      </c>
      <c r="F50" s="100">
        <v>3.11</v>
      </c>
      <c r="G50" s="100">
        <v>71.459999999999994</v>
      </c>
      <c r="H50" s="100">
        <v>28.63</v>
      </c>
      <c r="I50" s="100">
        <v>8.9499999999999993</v>
      </c>
      <c r="J50" s="151" t="s">
        <v>8</v>
      </c>
      <c r="K50" s="151" t="s">
        <v>8</v>
      </c>
      <c r="L50" s="151" t="s">
        <v>8</v>
      </c>
      <c r="M50" s="151" t="s">
        <v>8</v>
      </c>
      <c r="N50" s="151" t="s">
        <v>8</v>
      </c>
      <c r="O50" s="100">
        <v>0</v>
      </c>
      <c r="P50" s="100">
        <v>0.13</v>
      </c>
      <c r="Q50" s="100">
        <v>10</v>
      </c>
      <c r="R50" s="6"/>
      <c r="S50" s="6"/>
      <c r="T50" s="156"/>
      <c r="U50" s="6"/>
    </row>
    <row r="51" spans="1:21" customFormat="1">
      <c r="A51" s="201" t="s">
        <v>2395</v>
      </c>
      <c r="B51" s="100">
        <v>4.9400000000000004</v>
      </c>
      <c r="C51" s="100">
        <v>8.07</v>
      </c>
      <c r="D51" s="100">
        <v>13.01</v>
      </c>
      <c r="E51" s="100">
        <v>4.24</v>
      </c>
      <c r="F51" s="100">
        <v>5.01</v>
      </c>
      <c r="G51" s="100">
        <v>83.58</v>
      </c>
      <c r="H51" s="100">
        <v>23.26</v>
      </c>
      <c r="I51" s="100">
        <v>8.8699999999999992</v>
      </c>
      <c r="J51" s="151" t="s">
        <v>8</v>
      </c>
      <c r="K51" s="151" t="s">
        <v>8</v>
      </c>
      <c r="L51" s="151" t="s">
        <v>8</v>
      </c>
      <c r="M51" s="151" t="s">
        <v>8</v>
      </c>
      <c r="N51" s="151" t="s">
        <v>8</v>
      </c>
      <c r="O51" s="100">
        <v>0</v>
      </c>
      <c r="P51" s="100">
        <v>0.16</v>
      </c>
      <c r="Q51" s="100">
        <v>10</v>
      </c>
      <c r="R51" s="6"/>
      <c r="S51" s="6"/>
      <c r="T51" s="156"/>
      <c r="U51" s="6"/>
    </row>
    <row r="52" spans="1:21" customFormat="1">
      <c r="A52" s="201" t="s">
        <v>2396</v>
      </c>
      <c r="B52" s="100">
        <v>3.74</v>
      </c>
      <c r="C52" s="100">
        <v>9.6199999999999992</v>
      </c>
      <c r="D52" s="100">
        <v>13.37</v>
      </c>
      <c r="E52" s="100">
        <v>3.58</v>
      </c>
      <c r="F52" s="100">
        <v>4.3099999999999996</v>
      </c>
      <c r="G52" s="100">
        <v>83.58</v>
      </c>
      <c r="H52" s="100">
        <v>23.26</v>
      </c>
      <c r="I52" s="100">
        <v>8.6199999999999992</v>
      </c>
      <c r="J52" s="151" t="s">
        <v>8</v>
      </c>
      <c r="K52" s="151" t="s">
        <v>8</v>
      </c>
      <c r="L52" s="151" t="s">
        <v>8</v>
      </c>
      <c r="M52" s="151" t="s">
        <v>8</v>
      </c>
      <c r="N52" s="151" t="s">
        <v>8</v>
      </c>
      <c r="O52" s="100">
        <v>0</v>
      </c>
      <c r="P52" s="100">
        <v>0.17</v>
      </c>
      <c r="Q52" s="100">
        <v>10</v>
      </c>
      <c r="R52" s="6"/>
      <c r="S52" s="6"/>
      <c r="T52" s="156"/>
      <c r="U52" s="6"/>
    </row>
    <row r="53" spans="1:21" customFormat="1">
      <c r="A53" s="201" t="s">
        <v>2397</v>
      </c>
      <c r="B53" s="100">
        <v>3.93</v>
      </c>
      <c r="C53" s="100">
        <v>13.25</v>
      </c>
      <c r="D53" s="100">
        <v>17.18</v>
      </c>
      <c r="E53" s="100">
        <v>6.24</v>
      </c>
      <c r="F53" s="100">
        <v>18.149999999999999</v>
      </c>
      <c r="G53" s="100">
        <v>83.58</v>
      </c>
      <c r="H53" s="100">
        <v>23.26</v>
      </c>
      <c r="I53" s="100">
        <v>8.15</v>
      </c>
      <c r="J53" s="100">
        <v>0.23</v>
      </c>
      <c r="K53" s="100">
        <v>3.07</v>
      </c>
      <c r="L53" s="100">
        <v>25.3</v>
      </c>
      <c r="M53" s="100">
        <v>17.010000000000002</v>
      </c>
      <c r="N53" s="100">
        <v>124.5</v>
      </c>
      <c r="O53" s="100">
        <v>0</v>
      </c>
      <c r="P53" s="100">
        <v>0.2</v>
      </c>
      <c r="Q53" s="100">
        <v>10</v>
      </c>
      <c r="R53" s="6"/>
      <c r="S53" s="6"/>
      <c r="T53" s="156"/>
      <c r="U53" s="6"/>
    </row>
    <row r="54" spans="1:21" customFormat="1">
      <c r="A54" s="201" t="s">
        <v>2398</v>
      </c>
      <c r="B54" s="100">
        <v>5.03</v>
      </c>
      <c r="C54" s="100">
        <v>17.309999999999999</v>
      </c>
      <c r="D54" s="100">
        <v>22.34</v>
      </c>
      <c r="E54" s="100">
        <v>9.27</v>
      </c>
      <c r="F54" s="100">
        <v>16.38</v>
      </c>
      <c r="G54" s="100">
        <v>0</v>
      </c>
      <c r="H54" s="100">
        <v>0</v>
      </c>
      <c r="I54" s="100">
        <v>7.31</v>
      </c>
      <c r="J54" s="100">
        <v>0.22</v>
      </c>
      <c r="K54" s="100">
        <v>352.35</v>
      </c>
      <c r="L54" s="100">
        <v>25.3</v>
      </c>
      <c r="M54" s="100">
        <v>24.93</v>
      </c>
      <c r="N54" s="100">
        <v>199.7</v>
      </c>
      <c r="O54" s="100">
        <v>0</v>
      </c>
      <c r="P54" s="100">
        <v>0.2</v>
      </c>
      <c r="Q54" s="100">
        <v>10</v>
      </c>
      <c r="R54" s="6"/>
      <c r="S54" s="6"/>
      <c r="T54" s="156"/>
      <c r="U54" s="6"/>
    </row>
    <row r="55" spans="1:21" customFormat="1">
      <c r="A55" s="201" t="s">
        <v>2399</v>
      </c>
      <c r="B55" s="100">
        <v>3.81</v>
      </c>
      <c r="C55" s="100">
        <v>16.41</v>
      </c>
      <c r="D55" s="100">
        <v>20.22</v>
      </c>
      <c r="E55" s="100">
        <v>8.4700000000000006</v>
      </c>
      <c r="F55" s="100">
        <v>12.13</v>
      </c>
      <c r="G55" s="100">
        <v>0</v>
      </c>
      <c r="H55" s="100">
        <v>0</v>
      </c>
      <c r="I55" s="100">
        <v>6.58</v>
      </c>
      <c r="J55" s="100">
        <v>0.37</v>
      </c>
      <c r="K55" s="100">
        <v>337.66</v>
      </c>
      <c r="L55" s="100">
        <v>25.3</v>
      </c>
      <c r="M55" s="100">
        <v>26.24</v>
      </c>
      <c r="N55" s="100">
        <v>151</v>
      </c>
      <c r="O55" s="100">
        <v>0</v>
      </c>
      <c r="P55" s="100">
        <v>0.16</v>
      </c>
      <c r="Q55" s="100">
        <v>10</v>
      </c>
      <c r="R55" s="6"/>
      <c r="S55" s="6"/>
      <c r="T55" s="156"/>
      <c r="U55" s="6"/>
    </row>
    <row r="56" spans="1:21" customFormat="1">
      <c r="A56" s="201" t="s">
        <v>2400</v>
      </c>
      <c r="B56" s="100">
        <v>3.4</v>
      </c>
      <c r="C56" s="100">
        <v>14.75</v>
      </c>
      <c r="D56" s="100">
        <v>18.149999999999999</v>
      </c>
      <c r="E56" s="100">
        <v>6.52</v>
      </c>
      <c r="F56" s="100">
        <v>10.38</v>
      </c>
      <c r="G56" s="100">
        <v>0</v>
      </c>
      <c r="H56" s="100">
        <v>0</v>
      </c>
      <c r="I56" s="100">
        <v>7.58</v>
      </c>
      <c r="J56" s="100">
        <v>0.42</v>
      </c>
      <c r="K56" s="100">
        <v>0.77</v>
      </c>
      <c r="L56" s="100">
        <v>25.3</v>
      </c>
      <c r="M56" s="100">
        <v>21.19</v>
      </c>
      <c r="N56" s="100">
        <v>359.2</v>
      </c>
      <c r="O56" s="100">
        <v>0</v>
      </c>
      <c r="P56" s="100">
        <v>0.14000000000000001</v>
      </c>
      <c r="Q56" s="100">
        <v>10</v>
      </c>
      <c r="R56" s="6"/>
      <c r="S56" s="6"/>
      <c r="T56" s="156"/>
      <c r="U56" s="6"/>
    </row>
    <row r="57" spans="1:21" customFormat="1">
      <c r="A57" s="201" t="s">
        <v>2401</v>
      </c>
      <c r="B57" s="100">
        <v>3.39</v>
      </c>
      <c r="C57" s="100">
        <v>13.13</v>
      </c>
      <c r="D57" s="100">
        <v>16.52</v>
      </c>
      <c r="E57" s="100">
        <v>5.77</v>
      </c>
      <c r="F57" s="100">
        <v>9.59</v>
      </c>
      <c r="G57" s="100">
        <v>0</v>
      </c>
      <c r="H57" s="100">
        <v>0</v>
      </c>
      <c r="I57" s="100">
        <v>6.8</v>
      </c>
      <c r="J57" s="100">
        <v>0.44</v>
      </c>
      <c r="K57" s="100">
        <v>14.7</v>
      </c>
      <c r="L57" s="100">
        <v>25.3</v>
      </c>
      <c r="M57" s="100">
        <v>17.68</v>
      </c>
      <c r="N57" s="100">
        <v>228.3</v>
      </c>
      <c r="O57" s="100">
        <v>0</v>
      </c>
      <c r="P57" s="100">
        <v>0.13</v>
      </c>
      <c r="Q57" s="100">
        <v>10</v>
      </c>
      <c r="R57" s="6"/>
      <c r="S57" s="6"/>
      <c r="T57" s="156"/>
      <c r="U57" s="6"/>
    </row>
    <row r="58" spans="1:21" customFormat="1">
      <c r="A58" s="201" t="s">
        <v>2402</v>
      </c>
      <c r="B58" s="100">
        <v>3.68</v>
      </c>
      <c r="C58" s="100">
        <v>12.18</v>
      </c>
      <c r="D58" s="100">
        <v>15.87</v>
      </c>
      <c r="E58" s="100">
        <v>5.61</v>
      </c>
      <c r="F58" s="100">
        <v>11.02</v>
      </c>
      <c r="G58" s="100">
        <v>43.34</v>
      </c>
      <c r="H58" s="100">
        <v>18.05</v>
      </c>
      <c r="I58" s="100">
        <v>5.49</v>
      </c>
      <c r="J58" s="100">
        <v>0.73</v>
      </c>
      <c r="K58" s="100">
        <v>26.84</v>
      </c>
      <c r="L58" s="100">
        <v>25.3</v>
      </c>
      <c r="M58" s="100">
        <v>5.0999999999999996</v>
      </c>
      <c r="N58" s="100">
        <v>283.8</v>
      </c>
      <c r="O58" s="100">
        <v>0</v>
      </c>
      <c r="P58" s="100">
        <v>0.12</v>
      </c>
      <c r="Q58" s="100">
        <v>10</v>
      </c>
      <c r="R58" s="6"/>
      <c r="S58" s="6"/>
      <c r="T58" s="156"/>
      <c r="U58" s="6"/>
    </row>
    <row r="59" spans="1:21" customFormat="1">
      <c r="A59" s="201" t="s">
        <v>2403</v>
      </c>
      <c r="B59" s="100">
        <v>3.7</v>
      </c>
      <c r="C59" s="100">
        <v>10.94</v>
      </c>
      <c r="D59" s="100">
        <v>14.64</v>
      </c>
      <c r="E59" s="100">
        <v>3.92</v>
      </c>
      <c r="F59" s="100">
        <v>14.28</v>
      </c>
      <c r="G59" s="100">
        <v>76.48</v>
      </c>
      <c r="H59" s="100">
        <v>23.83</v>
      </c>
      <c r="I59" s="100">
        <v>5.36</v>
      </c>
      <c r="J59" s="100">
        <v>0.7</v>
      </c>
      <c r="K59" s="100">
        <v>21.08</v>
      </c>
      <c r="L59" s="100">
        <v>25.3</v>
      </c>
      <c r="M59" s="100">
        <v>7.82</v>
      </c>
      <c r="N59" s="100">
        <v>388.8</v>
      </c>
      <c r="O59" s="100">
        <v>0</v>
      </c>
      <c r="P59" s="100">
        <v>0.1</v>
      </c>
      <c r="Q59" s="100">
        <v>10</v>
      </c>
      <c r="R59" s="6"/>
      <c r="S59" s="6"/>
      <c r="T59" s="156"/>
      <c r="U59" s="6"/>
    </row>
    <row r="60" spans="1:21" customFormat="1">
      <c r="A60" s="201" t="s">
        <v>2404</v>
      </c>
      <c r="B60" s="100">
        <v>3.63</v>
      </c>
      <c r="C60" s="100">
        <v>10.119999999999999</v>
      </c>
      <c r="D60" s="100">
        <v>13.75</v>
      </c>
      <c r="E60" s="100">
        <v>5.25</v>
      </c>
      <c r="F60" s="100">
        <v>10.42</v>
      </c>
      <c r="G60" s="100">
        <v>76.48</v>
      </c>
      <c r="H60" s="100">
        <v>23.83</v>
      </c>
      <c r="I60" s="100">
        <v>5.7</v>
      </c>
      <c r="J60" s="100">
        <v>0.69</v>
      </c>
      <c r="K60" s="100">
        <v>33.270000000000003</v>
      </c>
      <c r="L60" s="100">
        <v>25.3</v>
      </c>
      <c r="M60" s="100">
        <v>4.22</v>
      </c>
      <c r="N60" s="100">
        <v>228.4</v>
      </c>
      <c r="O60" s="100">
        <v>0</v>
      </c>
      <c r="P60" s="100">
        <v>0.1</v>
      </c>
      <c r="Q60" s="100">
        <v>10</v>
      </c>
      <c r="R60" s="6"/>
      <c r="S60" s="6"/>
      <c r="T60" s="156"/>
      <c r="U60" s="6"/>
    </row>
    <row r="61" spans="1:21" customFormat="1">
      <c r="A61" s="201" t="s">
        <v>2405</v>
      </c>
      <c r="B61" s="100">
        <v>3.61</v>
      </c>
      <c r="C61" s="100">
        <v>10.039999999999999</v>
      </c>
      <c r="D61" s="100">
        <v>13.65</v>
      </c>
      <c r="E61" s="100">
        <v>5.5</v>
      </c>
      <c r="F61" s="100">
        <v>13.81</v>
      </c>
      <c r="G61" s="100">
        <v>76.48</v>
      </c>
      <c r="H61" s="100">
        <v>23.83</v>
      </c>
      <c r="I61" s="100">
        <v>6.49</v>
      </c>
      <c r="J61" s="100">
        <v>0.57999999999999996</v>
      </c>
      <c r="K61" s="100">
        <v>22.97</v>
      </c>
      <c r="L61" s="100">
        <v>25.3</v>
      </c>
      <c r="M61" s="100">
        <v>9.6</v>
      </c>
      <c r="N61" s="100">
        <v>87.9</v>
      </c>
      <c r="O61" s="100">
        <v>0</v>
      </c>
      <c r="P61" s="100">
        <v>0.09</v>
      </c>
      <c r="Q61" s="100">
        <v>10</v>
      </c>
      <c r="R61" s="6"/>
      <c r="S61" s="6"/>
      <c r="T61" s="156"/>
      <c r="U61" s="6"/>
    </row>
    <row r="62" spans="1:21" customFormat="1">
      <c r="A62" s="201" t="s">
        <v>2406</v>
      </c>
      <c r="B62" s="100">
        <v>3.57</v>
      </c>
      <c r="C62" s="100">
        <v>9.6999999999999993</v>
      </c>
      <c r="D62" s="100">
        <v>13.27</v>
      </c>
      <c r="E62" s="100">
        <v>5.68</v>
      </c>
      <c r="F62" s="100">
        <v>15.65</v>
      </c>
      <c r="G62" s="100">
        <v>79.58</v>
      </c>
      <c r="H62" s="100">
        <v>21.84</v>
      </c>
      <c r="I62" s="100">
        <v>6.41</v>
      </c>
      <c r="J62" s="100">
        <v>0.57999999999999996</v>
      </c>
      <c r="K62" s="100">
        <v>28.12</v>
      </c>
      <c r="L62" s="100">
        <v>25.3</v>
      </c>
      <c r="M62" s="100">
        <v>9.83</v>
      </c>
      <c r="N62" s="100">
        <v>124.8</v>
      </c>
      <c r="O62" s="100">
        <v>0</v>
      </c>
      <c r="P62" s="100">
        <v>0.08</v>
      </c>
      <c r="Q62" s="100">
        <v>10</v>
      </c>
      <c r="R62" s="6"/>
      <c r="S62" s="6"/>
      <c r="T62" s="156"/>
      <c r="U62" s="6"/>
    </row>
    <row r="63" spans="1:21" customFormat="1">
      <c r="A63" s="201" t="s">
        <v>2407</v>
      </c>
      <c r="B63" s="100">
        <v>3.57</v>
      </c>
      <c r="C63" s="100">
        <v>9.49</v>
      </c>
      <c r="D63" s="100">
        <v>13.06</v>
      </c>
      <c r="E63" s="100">
        <v>5.39</v>
      </c>
      <c r="F63" s="100">
        <v>16.23</v>
      </c>
      <c r="G63" s="100">
        <v>81.94</v>
      </c>
      <c r="H63" s="100">
        <v>21.22</v>
      </c>
      <c r="I63" s="100">
        <v>6.3</v>
      </c>
      <c r="J63" s="100">
        <v>0.43</v>
      </c>
      <c r="K63" s="100">
        <v>19.39</v>
      </c>
      <c r="L63" s="100">
        <v>25.3</v>
      </c>
      <c r="M63" s="100">
        <v>13.38</v>
      </c>
      <c r="N63" s="100">
        <v>148.5</v>
      </c>
      <c r="O63" s="100">
        <v>0</v>
      </c>
      <c r="P63" s="100">
        <v>7.0000000000000007E-2</v>
      </c>
      <c r="Q63" s="100">
        <v>10</v>
      </c>
      <c r="R63" s="6"/>
      <c r="S63" s="6"/>
      <c r="T63" s="156"/>
      <c r="U63" s="6"/>
    </row>
    <row r="64" spans="1:21" customFormat="1">
      <c r="A64" s="201" t="s">
        <v>2408</v>
      </c>
      <c r="B64" s="100">
        <v>3.86</v>
      </c>
      <c r="C64" s="100">
        <v>9.8800000000000008</v>
      </c>
      <c r="D64" s="100">
        <v>13.74</v>
      </c>
      <c r="E64" s="100">
        <v>5.64</v>
      </c>
      <c r="F64" s="100">
        <v>14.87</v>
      </c>
      <c r="G64" s="100">
        <v>81.94</v>
      </c>
      <c r="H64" s="100">
        <v>21.22</v>
      </c>
      <c r="I64" s="100">
        <v>6.24</v>
      </c>
      <c r="J64" s="100">
        <v>0.34</v>
      </c>
      <c r="K64" s="100">
        <v>17.170000000000002</v>
      </c>
      <c r="L64" s="100">
        <v>25.3</v>
      </c>
      <c r="M64" s="100">
        <v>14.67</v>
      </c>
      <c r="N64" s="100">
        <v>199.2</v>
      </c>
      <c r="O64" s="100">
        <v>0</v>
      </c>
      <c r="P64" s="100">
        <v>0.08</v>
      </c>
      <c r="Q64" s="100">
        <v>10</v>
      </c>
      <c r="R64" s="6"/>
      <c r="S64" s="6"/>
      <c r="T64" s="156"/>
      <c r="U64" s="6"/>
    </row>
    <row r="65" spans="1:21" customFormat="1">
      <c r="A65" s="201" t="s">
        <v>2409</v>
      </c>
      <c r="B65" s="100">
        <v>3.59</v>
      </c>
      <c r="C65" s="100">
        <v>9.24</v>
      </c>
      <c r="D65" s="100">
        <v>12.83</v>
      </c>
      <c r="E65" s="100">
        <v>5.91</v>
      </c>
      <c r="F65" s="100">
        <v>9.25</v>
      </c>
      <c r="G65" s="100">
        <v>81.94</v>
      </c>
      <c r="H65" s="100">
        <v>21.22</v>
      </c>
      <c r="I65" s="100">
        <v>6.1</v>
      </c>
      <c r="J65" s="100">
        <v>0.46</v>
      </c>
      <c r="K65" s="100">
        <v>20.05</v>
      </c>
      <c r="L65" s="100">
        <v>25.3</v>
      </c>
      <c r="M65" s="100">
        <v>10.58</v>
      </c>
      <c r="N65" s="100">
        <v>363</v>
      </c>
      <c r="O65" s="100">
        <v>0</v>
      </c>
      <c r="P65" s="100">
        <v>0.34</v>
      </c>
      <c r="Q65" s="100">
        <v>10</v>
      </c>
      <c r="R65" s="6"/>
      <c r="S65" s="6"/>
      <c r="T65" s="156"/>
      <c r="U65" s="6"/>
    </row>
    <row r="66" spans="1:21" customFormat="1">
      <c r="A66" s="201" t="s">
        <v>2410</v>
      </c>
      <c r="B66" s="100">
        <v>3.31</v>
      </c>
      <c r="C66" s="100">
        <v>8.48</v>
      </c>
      <c r="D66" s="100">
        <v>11.78</v>
      </c>
      <c r="E66" s="100">
        <v>5.3</v>
      </c>
      <c r="F66" s="100">
        <v>8.2200000000000006</v>
      </c>
      <c r="G66" s="100">
        <v>85.62</v>
      </c>
      <c r="H66" s="100">
        <v>23.7</v>
      </c>
      <c r="I66" s="100">
        <v>6.06</v>
      </c>
      <c r="J66" s="100">
        <v>0.33</v>
      </c>
      <c r="K66" s="100">
        <v>339.31</v>
      </c>
      <c r="L66" s="100">
        <v>25.3</v>
      </c>
      <c r="M66" s="100">
        <v>30.61</v>
      </c>
      <c r="N66" s="100">
        <v>260.3</v>
      </c>
      <c r="O66" s="100">
        <v>0</v>
      </c>
      <c r="P66" s="100">
        <v>0.39</v>
      </c>
      <c r="Q66" s="100">
        <v>10</v>
      </c>
      <c r="R66" s="6"/>
      <c r="S66" s="6"/>
      <c r="T66" s="156"/>
      <c r="U66" s="6"/>
    </row>
    <row r="67" spans="1:21" customFormat="1">
      <c r="A67" s="201" t="s">
        <v>2411</v>
      </c>
      <c r="B67" s="100">
        <v>3.29</v>
      </c>
      <c r="C67" s="100">
        <v>8.6199999999999992</v>
      </c>
      <c r="D67" s="100">
        <v>11.91</v>
      </c>
      <c r="E67" s="100">
        <v>5.39</v>
      </c>
      <c r="F67" s="100">
        <v>8.4600000000000009</v>
      </c>
      <c r="G67" s="100">
        <v>88.42</v>
      </c>
      <c r="H67" s="100">
        <v>24.5</v>
      </c>
      <c r="I67" s="100">
        <v>6.09</v>
      </c>
      <c r="J67" s="100">
        <v>0.31</v>
      </c>
      <c r="K67" s="100">
        <v>4</v>
      </c>
      <c r="L67" s="100">
        <v>25.3</v>
      </c>
      <c r="M67" s="100">
        <v>19.09</v>
      </c>
      <c r="N67" s="100">
        <v>134.1</v>
      </c>
      <c r="O67" s="100">
        <v>0</v>
      </c>
      <c r="P67" s="100">
        <v>0.4</v>
      </c>
      <c r="Q67" s="100">
        <v>10</v>
      </c>
      <c r="R67" s="6"/>
      <c r="S67" s="6"/>
      <c r="T67" s="156"/>
      <c r="U67" s="6"/>
    </row>
    <row r="68" spans="1:21" customFormat="1">
      <c r="A68" s="201" t="s">
        <v>2412</v>
      </c>
      <c r="B68" s="100">
        <v>3.23</v>
      </c>
      <c r="C68" s="100">
        <v>8.6999999999999993</v>
      </c>
      <c r="D68" s="100">
        <v>11.93</v>
      </c>
      <c r="E68" s="100">
        <v>5.53</v>
      </c>
      <c r="F68" s="100">
        <v>7.65</v>
      </c>
      <c r="G68" s="100">
        <v>88.42</v>
      </c>
      <c r="H68" s="100">
        <v>24.5</v>
      </c>
      <c r="I68" s="100">
        <v>6.12</v>
      </c>
      <c r="J68" s="100">
        <v>0.28999999999999998</v>
      </c>
      <c r="K68" s="100">
        <v>353.91</v>
      </c>
      <c r="L68" s="100">
        <v>25.3</v>
      </c>
      <c r="M68" s="100">
        <v>17.21</v>
      </c>
      <c r="N68" s="100">
        <v>144.69999999999999</v>
      </c>
      <c r="O68" s="100">
        <v>0</v>
      </c>
      <c r="P68" s="100">
        <v>0.4</v>
      </c>
      <c r="Q68" s="100">
        <v>10</v>
      </c>
      <c r="R68" s="6"/>
      <c r="S68" s="6"/>
      <c r="T68" s="156"/>
      <c r="U68" s="6"/>
    </row>
    <row r="69" spans="1:21" customFormat="1">
      <c r="A69" s="201" t="s">
        <v>2413</v>
      </c>
      <c r="B69" s="100">
        <v>3.11</v>
      </c>
      <c r="C69" s="100">
        <v>8.66</v>
      </c>
      <c r="D69" s="100">
        <v>11.77</v>
      </c>
      <c r="E69" s="100">
        <v>5.54</v>
      </c>
      <c r="F69" s="100">
        <v>6.54</v>
      </c>
      <c r="G69" s="100">
        <v>88.42</v>
      </c>
      <c r="H69" s="100">
        <v>24.5</v>
      </c>
      <c r="I69" s="100">
        <v>6.05</v>
      </c>
      <c r="J69" s="100">
        <v>0.39</v>
      </c>
      <c r="K69" s="100">
        <v>22.2</v>
      </c>
      <c r="L69" s="100">
        <v>25.3</v>
      </c>
      <c r="M69" s="100">
        <v>12.49</v>
      </c>
      <c r="N69" s="100">
        <v>92.4</v>
      </c>
      <c r="O69" s="100">
        <v>0</v>
      </c>
      <c r="P69" s="100">
        <v>0.39</v>
      </c>
      <c r="Q69" s="100">
        <v>10</v>
      </c>
      <c r="R69" s="6"/>
      <c r="S69" s="6"/>
      <c r="T69" s="156"/>
      <c r="U69" s="6"/>
    </row>
    <row r="70" spans="1:21" customFormat="1">
      <c r="A70" s="201" t="s">
        <v>2414</v>
      </c>
      <c r="B70" s="100">
        <v>2.93</v>
      </c>
      <c r="C70" s="100">
        <v>8.64</v>
      </c>
      <c r="D70" s="100">
        <v>11.57</v>
      </c>
      <c r="E70" s="100">
        <v>5.36</v>
      </c>
      <c r="F70" s="100">
        <v>11.07</v>
      </c>
      <c r="G70" s="100">
        <v>87.51</v>
      </c>
      <c r="H70" s="100">
        <v>24.06</v>
      </c>
      <c r="I70" s="100">
        <v>5.99</v>
      </c>
      <c r="J70" s="100">
        <v>0.23</v>
      </c>
      <c r="K70" s="100">
        <v>64.02</v>
      </c>
      <c r="L70" s="100">
        <v>25.3</v>
      </c>
      <c r="M70" s="100">
        <v>16.170000000000002</v>
      </c>
      <c r="N70" s="100">
        <v>73.599999999999994</v>
      </c>
      <c r="O70" s="100">
        <v>0</v>
      </c>
      <c r="P70" s="100">
        <v>0.38</v>
      </c>
      <c r="Q70" s="100">
        <v>10</v>
      </c>
      <c r="R70" s="6"/>
      <c r="S70" s="6"/>
      <c r="T70" s="156"/>
      <c r="U70" s="6"/>
    </row>
    <row r="71" spans="1:21" customFormat="1">
      <c r="A71" s="201" t="s">
        <v>2415</v>
      </c>
      <c r="B71" s="100">
        <v>2.78</v>
      </c>
      <c r="C71" s="100">
        <v>8.34</v>
      </c>
      <c r="D71" s="100">
        <v>11.12</v>
      </c>
      <c r="E71" s="100">
        <v>5.4</v>
      </c>
      <c r="F71" s="100">
        <v>9.58</v>
      </c>
      <c r="G71" s="100">
        <v>86.81</v>
      </c>
      <c r="H71" s="100">
        <v>23.8</v>
      </c>
      <c r="I71" s="100">
        <v>5.94</v>
      </c>
      <c r="J71" s="100">
        <v>0.19</v>
      </c>
      <c r="K71" s="100">
        <v>27.99</v>
      </c>
      <c r="L71" s="100">
        <v>25.3</v>
      </c>
      <c r="M71" s="100">
        <v>14.43</v>
      </c>
      <c r="N71" s="100">
        <v>98.6</v>
      </c>
      <c r="O71" s="100">
        <v>0</v>
      </c>
      <c r="P71" s="100">
        <v>0.38</v>
      </c>
      <c r="Q71" s="100">
        <v>10</v>
      </c>
      <c r="R71" s="6"/>
      <c r="S71" s="6"/>
      <c r="T71" s="156"/>
      <c r="U71" s="6"/>
    </row>
    <row r="72" spans="1:21" customFormat="1">
      <c r="A72" s="201" t="s">
        <v>2416</v>
      </c>
      <c r="B72" s="100">
        <v>2.56</v>
      </c>
      <c r="C72" s="100">
        <v>7.88</v>
      </c>
      <c r="D72" s="100">
        <v>10.43</v>
      </c>
      <c r="E72" s="100">
        <v>5.43</v>
      </c>
      <c r="F72" s="100">
        <v>8.94</v>
      </c>
      <c r="G72" s="100">
        <v>86.81</v>
      </c>
      <c r="H72" s="100">
        <v>23.8</v>
      </c>
      <c r="I72" s="100">
        <v>5.83</v>
      </c>
      <c r="J72" s="100">
        <v>0.15</v>
      </c>
      <c r="K72" s="100">
        <v>200.5</v>
      </c>
      <c r="L72" s="100">
        <v>25.3</v>
      </c>
      <c r="M72" s="100">
        <v>28.64</v>
      </c>
      <c r="N72" s="100">
        <v>74.3</v>
      </c>
      <c r="O72" s="100">
        <v>0</v>
      </c>
      <c r="P72" s="100">
        <v>0.37</v>
      </c>
      <c r="Q72" s="100">
        <v>10</v>
      </c>
      <c r="R72" s="6"/>
      <c r="S72" s="6"/>
      <c r="T72" s="156"/>
      <c r="U72" s="6"/>
    </row>
    <row r="73" spans="1:21" customFormat="1">
      <c r="A73" s="201" t="s">
        <v>2417</v>
      </c>
      <c r="B73" s="100">
        <v>2.39</v>
      </c>
      <c r="C73" s="100">
        <v>7.39</v>
      </c>
      <c r="D73" s="100">
        <v>9.77</v>
      </c>
      <c r="E73" s="100">
        <v>5.38</v>
      </c>
      <c r="F73" s="100">
        <v>6.52</v>
      </c>
      <c r="G73" s="100">
        <v>86.81</v>
      </c>
      <c r="H73" s="100">
        <v>23.8</v>
      </c>
      <c r="I73" s="100">
        <v>5.76</v>
      </c>
      <c r="J73" s="100">
        <v>0.22</v>
      </c>
      <c r="K73" s="100">
        <v>208.16</v>
      </c>
      <c r="L73" s="100">
        <v>25.3</v>
      </c>
      <c r="M73" s="100">
        <v>26.9</v>
      </c>
      <c r="N73" s="100">
        <v>51.3</v>
      </c>
      <c r="O73" s="100">
        <v>0</v>
      </c>
      <c r="P73" s="100">
        <v>0.37</v>
      </c>
      <c r="Q73" s="100">
        <v>10</v>
      </c>
      <c r="R73" s="6"/>
      <c r="S73" s="6"/>
      <c r="T73" s="156"/>
      <c r="U73" s="6"/>
    </row>
    <row r="74" spans="1:21" customFormat="1">
      <c r="A74" s="201" t="s">
        <v>2418</v>
      </c>
      <c r="B74" s="100">
        <v>2.27</v>
      </c>
      <c r="C74" s="100">
        <v>6.94</v>
      </c>
      <c r="D74" s="100">
        <v>9.2100000000000009</v>
      </c>
      <c r="E74" s="100">
        <v>4.8</v>
      </c>
      <c r="F74" s="100">
        <v>5.47</v>
      </c>
      <c r="G74" s="100">
        <v>84.09</v>
      </c>
      <c r="H74" s="100">
        <v>24.76</v>
      </c>
      <c r="I74" s="100">
        <v>5.72</v>
      </c>
      <c r="J74" s="100">
        <v>0.33</v>
      </c>
      <c r="K74" s="100">
        <v>243.43</v>
      </c>
      <c r="L74" s="100">
        <v>25.3</v>
      </c>
      <c r="M74" s="100">
        <v>32.67</v>
      </c>
      <c r="N74" s="100">
        <v>60.9</v>
      </c>
      <c r="O74" s="100">
        <v>0</v>
      </c>
      <c r="P74" s="100">
        <v>0.36</v>
      </c>
      <c r="Q74" s="100">
        <v>10</v>
      </c>
      <c r="R74" s="6"/>
      <c r="S74" s="6"/>
      <c r="T74" s="156"/>
      <c r="U74" s="6"/>
    </row>
    <row r="75" spans="1:21" customFormat="1">
      <c r="A75" s="201" t="s">
        <v>2419</v>
      </c>
      <c r="B75" s="100">
        <v>2.17</v>
      </c>
      <c r="C75" s="100">
        <v>6.62</v>
      </c>
      <c r="D75" s="100">
        <v>8.7799999999999994</v>
      </c>
      <c r="E75" s="100">
        <v>4.92</v>
      </c>
      <c r="F75" s="100">
        <v>4.92</v>
      </c>
      <c r="G75" s="100">
        <v>82.01</v>
      </c>
      <c r="H75" s="100">
        <v>25.06</v>
      </c>
      <c r="I75" s="100">
        <v>5.63</v>
      </c>
      <c r="J75" s="100">
        <v>0.27</v>
      </c>
      <c r="K75" s="100">
        <v>236.25</v>
      </c>
      <c r="L75" s="100">
        <v>25.3</v>
      </c>
      <c r="M75" s="100">
        <v>32.729999999999997</v>
      </c>
      <c r="N75" s="100">
        <v>53.7</v>
      </c>
      <c r="O75" s="100">
        <v>0</v>
      </c>
      <c r="P75" s="100">
        <v>0.35</v>
      </c>
      <c r="Q75" s="100">
        <v>10</v>
      </c>
      <c r="R75" s="6"/>
      <c r="S75" s="6"/>
      <c r="T75" s="156"/>
      <c r="U75" s="6"/>
    </row>
    <row r="76" spans="1:21" customFormat="1">
      <c r="A76" s="201" t="s">
        <v>2420</v>
      </c>
      <c r="B76" s="100">
        <v>2.1</v>
      </c>
      <c r="C76" s="100">
        <v>6.28</v>
      </c>
      <c r="D76" s="100">
        <v>8.3800000000000008</v>
      </c>
      <c r="E76" s="100">
        <v>4.55</v>
      </c>
      <c r="F76" s="100">
        <v>5.42</v>
      </c>
      <c r="G76" s="100">
        <v>82.01</v>
      </c>
      <c r="H76" s="100">
        <v>25.06</v>
      </c>
      <c r="I76" s="100">
        <v>5.59</v>
      </c>
      <c r="J76" s="100">
        <v>0.25</v>
      </c>
      <c r="K76" s="100">
        <v>233.92</v>
      </c>
      <c r="L76" s="100">
        <v>25.3</v>
      </c>
      <c r="M76" s="100">
        <v>30.62</v>
      </c>
      <c r="N76" s="100">
        <v>46.5</v>
      </c>
      <c r="O76" s="100">
        <v>0</v>
      </c>
      <c r="P76" s="100">
        <v>0.34</v>
      </c>
      <c r="Q76" s="100">
        <v>10</v>
      </c>
      <c r="R76" s="6"/>
      <c r="S76" s="6"/>
      <c r="T76" s="156"/>
      <c r="U76" s="6"/>
    </row>
    <row r="77" spans="1:21" customFormat="1">
      <c r="A77" s="201" t="s">
        <v>2421</v>
      </c>
      <c r="B77" s="100">
        <v>2.0499999999999998</v>
      </c>
      <c r="C77" s="100">
        <v>6.08</v>
      </c>
      <c r="D77" s="100">
        <v>8.1300000000000008</v>
      </c>
      <c r="E77" s="100">
        <v>4.42</v>
      </c>
      <c r="F77" s="100">
        <v>5.33</v>
      </c>
      <c r="G77" s="100">
        <v>82.01</v>
      </c>
      <c r="H77" s="100">
        <v>25.06</v>
      </c>
      <c r="I77" s="100">
        <v>5.5</v>
      </c>
      <c r="J77" s="100">
        <v>0.21</v>
      </c>
      <c r="K77" s="100">
        <v>223.57</v>
      </c>
      <c r="L77" s="100">
        <v>25.3</v>
      </c>
      <c r="M77" s="100">
        <v>28.24</v>
      </c>
      <c r="N77" s="100">
        <v>32.4</v>
      </c>
      <c r="O77" s="100">
        <v>0</v>
      </c>
      <c r="P77" s="100">
        <v>0.34</v>
      </c>
      <c r="Q77" s="100">
        <v>10</v>
      </c>
      <c r="R77" s="6"/>
      <c r="S77" s="6"/>
      <c r="T77" s="156"/>
      <c r="U77" s="6"/>
    </row>
    <row r="78" spans="1:21" customFormat="1">
      <c r="A78" s="201" t="s">
        <v>2422</v>
      </c>
      <c r="B78" s="100">
        <v>2.04</v>
      </c>
      <c r="C78" s="100">
        <v>5.92</v>
      </c>
      <c r="D78" s="100">
        <v>7.96</v>
      </c>
      <c r="E78" s="100">
        <v>4.66</v>
      </c>
      <c r="F78" s="100">
        <v>5.73</v>
      </c>
      <c r="G78" s="100">
        <v>72.86</v>
      </c>
      <c r="H78" s="100">
        <v>21.85</v>
      </c>
      <c r="I78" s="100">
        <v>5.45</v>
      </c>
      <c r="J78" s="100">
        <v>0.19</v>
      </c>
      <c r="K78" s="100">
        <v>164.43</v>
      </c>
      <c r="L78" s="100">
        <v>25.3</v>
      </c>
      <c r="M78" s="100">
        <v>23.02</v>
      </c>
      <c r="N78" s="100">
        <v>19.8</v>
      </c>
      <c r="O78" s="100">
        <v>0</v>
      </c>
      <c r="P78" s="100">
        <v>0.34</v>
      </c>
      <c r="Q78" s="100">
        <v>10</v>
      </c>
      <c r="R78" s="6"/>
      <c r="S78" s="6"/>
      <c r="T78" s="156"/>
      <c r="U78" s="6"/>
    </row>
    <row r="79" spans="1:21" customFormat="1">
      <c r="A79" s="201" t="s">
        <v>2423</v>
      </c>
      <c r="B79" s="100">
        <v>2.0499999999999998</v>
      </c>
      <c r="C79" s="100">
        <v>5.71</v>
      </c>
      <c r="D79" s="100">
        <v>7.76</v>
      </c>
      <c r="E79" s="100">
        <v>4.84</v>
      </c>
      <c r="F79" s="100">
        <v>5</v>
      </c>
      <c r="G79" s="100">
        <v>65.86</v>
      </c>
      <c r="H79" s="100">
        <v>20.82</v>
      </c>
      <c r="I79" s="100">
        <v>5.42</v>
      </c>
      <c r="J79" s="100">
        <v>0.34</v>
      </c>
      <c r="K79" s="100">
        <v>248.47</v>
      </c>
      <c r="L79" s="100">
        <v>25.3</v>
      </c>
      <c r="M79" s="100">
        <v>34.72</v>
      </c>
      <c r="N79" s="100">
        <v>9.4</v>
      </c>
      <c r="O79" s="100">
        <v>0</v>
      </c>
      <c r="P79" s="100">
        <v>0.33</v>
      </c>
      <c r="Q79" s="100">
        <v>10</v>
      </c>
      <c r="R79" s="6"/>
      <c r="S79" s="6"/>
      <c r="T79" s="156"/>
      <c r="U79" s="6"/>
    </row>
    <row r="80" spans="1:21" customFormat="1">
      <c r="A80" s="201" t="s">
        <v>2424</v>
      </c>
      <c r="B80" s="100">
        <v>2.02</v>
      </c>
      <c r="C80" s="100">
        <v>5.67</v>
      </c>
      <c r="D80" s="100">
        <v>7.69</v>
      </c>
      <c r="E80" s="100">
        <v>4.75</v>
      </c>
      <c r="F80" s="100">
        <v>3.11</v>
      </c>
      <c r="G80" s="100">
        <v>65.86</v>
      </c>
      <c r="H80" s="100">
        <v>20.82</v>
      </c>
      <c r="I80" s="100">
        <v>5.32</v>
      </c>
      <c r="J80" s="100">
        <v>0.37</v>
      </c>
      <c r="K80" s="100">
        <v>248.58</v>
      </c>
      <c r="L80" s="100">
        <v>25.3</v>
      </c>
      <c r="M80" s="100">
        <v>36.200000000000003</v>
      </c>
      <c r="N80" s="100">
        <v>4.2</v>
      </c>
      <c r="O80" s="100">
        <v>0</v>
      </c>
      <c r="P80" s="100">
        <v>0.32</v>
      </c>
      <c r="Q80" s="100">
        <v>10</v>
      </c>
      <c r="R80" s="6"/>
      <c r="S80" s="6"/>
      <c r="T80" s="156"/>
      <c r="U80" s="6"/>
    </row>
    <row r="81" spans="1:21" customFormat="1">
      <c r="A81" s="201" t="s">
        <v>2425</v>
      </c>
      <c r="B81" s="100">
        <v>2.04</v>
      </c>
      <c r="C81" s="100">
        <v>5.5</v>
      </c>
      <c r="D81" s="100">
        <v>7.54</v>
      </c>
      <c r="E81" s="100">
        <v>3.81</v>
      </c>
      <c r="F81" s="100">
        <v>3.75</v>
      </c>
      <c r="G81" s="100">
        <v>65.86</v>
      </c>
      <c r="H81" s="100">
        <v>20.82</v>
      </c>
      <c r="I81" s="100">
        <v>5.25</v>
      </c>
      <c r="J81" s="100">
        <v>0.62</v>
      </c>
      <c r="K81" s="100">
        <v>255.33</v>
      </c>
      <c r="L81" s="100">
        <v>25.3</v>
      </c>
      <c r="M81" s="100">
        <v>37.78</v>
      </c>
      <c r="N81" s="100">
        <v>2.7</v>
      </c>
      <c r="O81" s="100">
        <v>0</v>
      </c>
      <c r="P81" s="100">
        <v>0.32</v>
      </c>
      <c r="Q81" s="100">
        <v>10</v>
      </c>
      <c r="R81" s="6"/>
      <c r="S81" s="6"/>
      <c r="T81" s="156"/>
      <c r="U81" s="6"/>
    </row>
    <row r="82" spans="1:21" customFormat="1">
      <c r="A82" s="201" t="s">
        <v>2426</v>
      </c>
      <c r="B82" s="100">
        <v>2.04</v>
      </c>
      <c r="C82" s="100">
        <v>5.47</v>
      </c>
      <c r="D82" s="100">
        <v>7.51</v>
      </c>
      <c r="E82" s="100">
        <v>4.4800000000000004</v>
      </c>
      <c r="F82" s="100">
        <v>4.8099999999999996</v>
      </c>
      <c r="G82" s="100">
        <v>56.54</v>
      </c>
      <c r="H82" s="100">
        <v>18.47</v>
      </c>
      <c r="I82" s="100">
        <v>5.26</v>
      </c>
      <c r="J82" s="100">
        <v>0.57999999999999996</v>
      </c>
      <c r="K82" s="100">
        <v>253.16</v>
      </c>
      <c r="L82" s="100">
        <v>25.3</v>
      </c>
      <c r="M82" s="100">
        <v>37.26</v>
      </c>
      <c r="N82" s="100">
        <v>2.4</v>
      </c>
      <c r="O82" s="100">
        <v>0</v>
      </c>
      <c r="P82" s="100">
        <v>0.3</v>
      </c>
      <c r="Q82" s="100">
        <v>10</v>
      </c>
      <c r="R82" s="6"/>
      <c r="S82" s="6"/>
      <c r="T82" s="156"/>
      <c r="U82" s="6"/>
    </row>
    <row r="83" spans="1:21" customFormat="1">
      <c r="A83" s="201" t="s">
        <v>2427</v>
      </c>
      <c r="B83" s="100">
        <v>2.0499999999999998</v>
      </c>
      <c r="C83" s="100">
        <v>5.45</v>
      </c>
      <c r="D83" s="100">
        <v>7.49</v>
      </c>
      <c r="E83" s="100">
        <v>4.67</v>
      </c>
      <c r="F83" s="100">
        <v>3.44</v>
      </c>
      <c r="G83" s="100">
        <v>49.41</v>
      </c>
      <c r="H83" s="100">
        <v>17.73</v>
      </c>
      <c r="I83" s="100">
        <v>5.24</v>
      </c>
      <c r="J83" s="100">
        <v>0.35</v>
      </c>
      <c r="K83" s="100">
        <v>253.4</v>
      </c>
      <c r="L83" s="100">
        <v>25.3</v>
      </c>
      <c r="M83" s="100">
        <v>37.270000000000003</v>
      </c>
      <c r="N83" s="100">
        <v>2.2999999999999998</v>
      </c>
      <c r="O83" s="100">
        <v>0</v>
      </c>
      <c r="P83" s="100">
        <v>0.31</v>
      </c>
      <c r="Q83" s="100">
        <v>10</v>
      </c>
      <c r="R83" s="6"/>
      <c r="S83" s="6"/>
      <c r="T83" s="156"/>
      <c r="U83" s="6"/>
    </row>
    <row r="84" spans="1:21" customFormat="1">
      <c r="A84" s="201" t="s">
        <v>2428</v>
      </c>
      <c r="B84" s="100">
        <v>2.08</v>
      </c>
      <c r="C84" s="100">
        <v>5.39</v>
      </c>
      <c r="D84" s="100">
        <v>7.47</v>
      </c>
      <c r="E84" s="100">
        <v>4.5199999999999996</v>
      </c>
      <c r="F84" s="100">
        <v>2.71</v>
      </c>
      <c r="G84" s="100">
        <v>49.41</v>
      </c>
      <c r="H84" s="100">
        <v>17.73</v>
      </c>
      <c r="I84" s="100">
        <v>5.19</v>
      </c>
      <c r="J84" s="100">
        <v>0.37</v>
      </c>
      <c r="K84" s="100">
        <v>245.34</v>
      </c>
      <c r="L84" s="100">
        <v>25.3</v>
      </c>
      <c r="M84" s="100">
        <v>35.72</v>
      </c>
      <c r="N84" s="100">
        <v>2.2999999999999998</v>
      </c>
      <c r="O84" s="100">
        <v>0</v>
      </c>
      <c r="P84" s="100">
        <v>0.31</v>
      </c>
      <c r="Q84" s="100">
        <v>10</v>
      </c>
      <c r="R84" s="6"/>
      <c r="S84" s="6"/>
      <c r="T84" s="156"/>
      <c r="U84" s="6"/>
    </row>
    <row r="85" spans="1:21" customFormat="1">
      <c r="A85" s="201" t="s">
        <v>2429</v>
      </c>
      <c r="B85" s="100">
        <v>2.1</v>
      </c>
      <c r="C85" s="100">
        <v>5.4</v>
      </c>
      <c r="D85" s="100">
        <v>7.5</v>
      </c>
      <c r="E85" s="100">
        <v>5.05</v>
      </c>
      <c r="F85" s="100">
        <v>2.5299999999999998</v>
      </c>
      <c r="G85" s="100">
        <v>49.41</v>
      </c>
      <c r="H85" s="100">
        <v>17.73</v>
      </c>
      <c r="I85" s="100">
        <v>5.23</v>
      </c>
      <c r="J85" s="100">
        <v>0.31</v>
      </c>
      <c r="K85" s="100">
        <v>243.59</v>
      </c>
      <c r="L85" s="100">
        <v>25.3</v>
      </c>
      <c r="M85" s="100">
        <v>34.369999999999997</v>
      </c>
      <c r="N85" s="100">
        <v>2.6</v>
      </c>
      <c r="O85" s="100">
        <v>0</v>
      </c>
      <c r="P85" s="100">
        <v>0.31</v>
      </c>
      <c r="Q85" s="100">
        <v>10</v>
      </c>
      <c r="R85" s="6"/>
      <c r="S85" s="6"/>
      <c r="T85" s="156"/>
      <c r="U85" s="6"/>
    </row>
    <row r="86" spans="1:21" customFormat="1">
      <c r="A86" s="201" t="s">
        <v>2430</v>
      </c>
      <c r="B86" s="100">
        <v>2.08</v>
      </c>
      <c r="C86" s="100">
        <v>5.87</v>
      </c>
      <c r="D86" s="100">
        <v>7.95</v>
      </c>
      <c r="E86" s="100">
        <v>4.6399999999999997</v>
      </c>
      <c r="F86" s="100">
        <v>7.63</v>
      </c>
      <c r="G86" s="100">
        <v>49.94</v>
      </c>
      <c r="H86" s="100">
        <v>16.96</v>
      </c>
      <c r="I86" s="100">
        <v>5.24</v>
      </c>
      <c r="J86" s="100">
        <v>0.14000000000000001</v>
      </c>
      <c r="K86" s="100">
        <v>207.83</v>
      </c>
      <c r="L86" s="100">
        <v>25.3</v>
      </c>
      <c r="M86" s="100">
        <v>27.31</v>
      </c>
      <c r="N86" s="100">
        <v>2.6</v>
      </c>
      <c r="O86" s="100">
        <v>0</v>
      </c>
      <c r="P86" s="100">
        <v>0.31</v>
      </c>
      <c r="Q86" s="100">
        <v>10</v>
      </c>
      <c r="R86" s="6"/>
      <c r="S86" s="6"/>
      <c r="T86" s="156"/>
      <c r="U86" s="6"/>
    </row>
    <row r="87" spans="1:21" customFormat="1">
      <c r="A87" s="201" t="s">
        <v>2431</v>
      </c>
      <c r="B87" s="100">
        <v>2.14</v>
      </c>
      <c r="C87" s="100">
        <v>5.74</v>
      </c>
      <c r="D87" s="100">
        <v>7.89</v>
      </c>
      <c r="E87" s="100">
        <v>4.29</v>
      </c>
      <c r="F87" s="100">
        <v>7.79</v>
      </c>
      <c r="G87" s="100">
        <v>50.35</v>
      </c>
      <c r="H87" s="100">
        <v>16.52</v>
      </c>
      <c r="I87" s="100">
        <v>5.38</v>
      </c>
      <c r="J87" s="100">
        <v>0.25</v>
      </c>
      <c r="K87" s="100">
        <v>248.56</v>
      </c>
      <c r="L87" s="100">
        <v>25.3</v>
      </c>
      <c r="M87" s="100">
        <v>36.29</v>
      </c>
      <c r="N87" s="100">
        <v>2.5</v>
      </c>
      <c r="O87" s="100">
        <v>0</v>
      </c>
      <c r="P87" s="100">
        <v>0.28000000000000003</v>
      </c>
      <c r="Q87" s="100">
        <v>10</v>
      </c>
      <c r="R87" s="6"/>
      <c r="S87" s="6"/>
      <c r="T87" s="156"/>
      <c r="U87" s="6"/>
    </row>
    <row r="88" spans="1:21" customFormat="1">
      <c r="A88" s="201" t="s">
        <v>2432</v>
      </c>
      <c r="B88" s="100">
        <v>2.2200000000000002</v>
      </c>
      <c r="C88" s="100">
        <v>5.69</v>
      </c>
      <c r="D88" s="100">
        <v>7.91</v>
      </c>
      <c r="E88" s="100">
        <v>4.3</v>
      </c>
      <c r="F88" s="100">
        <v>9.15</v>
      </c>
      <c r="G88" s="100">
        <v>50.35</v>
      </c>
      <c r="H88" s="100">
        <v>16.52</v>
      </c>
      <c r="I88" s="100">
        <v>5.67</v>
      </c>
      <c r="J88" s="100">
        <v>0.13</v>
      </c>
      <c r="K88" s="100">
        <v>181.76</v>
      </c>
      <c r="L88" s="100">
        <v>25.3</v>
      </c>
      <c r="M88" s="100">
        <v>23.73</v>
      </c>
      <c r="N88" s="100">
        <v>2.5</v>
      </c>
      <c r="O88" s="100">
        <v>0</v>
      </c>
      <c r="P88" s="100">
        <v>0.26</v>
      </c>
      <c r="Q88" s="100">
        <v>10</v>
      </c>
      <c r="R88" s="6"/>
      <c r="S88" s="6"/>
      <c r="T88" s="156"/>
      <c r="U88" s="6"/>
    </row>
    <row r="89" spans="1:21" customFormat="1">
      <c r="A89" s="201" t="s">
        <v>2433</v>
      </c>
      <c r="B89" s="100">
        <v>2.23</v>
      </c>
      <c r="C89" s="100">
        <v>5.72</v>
      </c>
      <c r="D89" s="100">
        <v>7.96</v>
      </c>
      <c r="E89" s="100">
        <v>3.98</v>
      </c>
      <c r="F89" s="100">
        <v>11.04</v>
      </c>
      <c r="G89" s="100">
        <v>50.35</v>
      </c>
      <c r="H89" s="100">
        <v>16.52</v>
      </c>
      <c r="I89" s="100">
        <v>5.76</v>
      </c>
      <c r="J89" s="100">
        <v>0.11</v>
      </c>
      <c r="K89" s="100">
        <v>177.98</v>
      </c>
      <c r="L89" s="100">
        <v>25.3</v>
      </c>
      <c r="M89" s="100">
        <v>24.25</v>
      </c>
      <c r="N89" s="100">
        <v>2.4</v>
      </c>
      <c r="O89" s="100">
        <v>0</v>
      </c>
      <c r="P89" s="100">
        <v>0.25</v>
      </c>
      <c r="Q89" s="100">
        <v>10</v>
      </c>
      <c r="R89" s="6"/>
      <c r="S89" s="6"/>
      <c r="T89" s="156"/>
      <c r="U89" s="6"/>
    </row>
    <row r="90" spans="1:21" customFormat="1">
      <c r="A90" s="201" t="s">
        <v>2434</v>
      </c>
      <c r="B90" s="100">
        <v>2.38</v>
      </c>
      <c r="C90" s="100">
        <v>5.63</v>
      </c>
      <c r="D90" s="100">
        <v>8.01</v>
      </c>
      <c r="E90" s="100">
        <v>3.9</v>
      </c>
      <c r="F90" s="100">
        <v>6.76</v>
      </c>
      <c r="G90" s="100">
        <v>42.61</v>
      </c>
      <c r="H90" s="100">
        <v>15.71</v>
      </c>
      <c r="I90" s="100">
        <v>5.84</v>
      </c>
      <c r="J90" s="100">
        <v>0.12</v>
      </c>
      <c r="K90" s="100">
        <v>221.25</v>
      </c>
      <c r="L90" s="100">
        <v>25.3</v>
      </c>
      <c r="M90" s="100">
        <v>29.29</v>
      </c>
      <c r="N90" s="100">
        <v>2.2999999999999998</v>
      </c>
      <c r="O90" s="100">
        <v>0</v>
      </c>
      <c r="P90" s="100">
        <v>0.25</v>
      </c>
      <c r="Q90" s="100">
        <v>10</v>
      </c>
      <c r="R90" s="6"/>
      <c r="S90" s="6"/>
      <c r="T90" s="156"/>
      <c r="U90" s="6"/>
    </row>
    <row r="91" spans="1:21" customFormat="1">
      <c r="A91" s="201" t="s">
        <v>2435</v>
      </c>
      <c r="B91" s="100">
        <v>2.64</v>
      </c>
      <c r="C91" s="100">
        <v>5.46</v>
      </c>
      <c r="D91" s="100">
        <v>8.11</v>
      </c>
      <c r="E91" s="100">
        <v>4.3099999999999996</v>
      </c>
      <c r="F91" s="100">
        <v>3.92</v>
      </c>
      <c r="G91" s="100">
        <v>36.69</v>
      </c>
      <c r="H91" s="100">
        <v>15.45</v>
      </c>
      <c r="I91" s="100">
        <v>5.76</v>
      </c>
      <c r="J91" s="100">
        <v>0.13</v>
      </c>
      <c r="K91" s="100">
        <v>179.88</v>
      </c>
      <c r="L91" s="100">
        <v>25.3</v>
      </c>
      <c r="M91" s="100">
        <v>25.79</v>
      </c>
      <c r="N91" s="100">
        <v>2.4</v>
      </c>
      <c r="O91" s="100">
        <v>0</v>
      </c>
      <c r="P91" s="100">
        <v>0.28000000000000003</v>
      </c>
      <c r="Q91" s="100">
        <v>10</v>
      </c>
      <c r="R91" s="6"/>
      <c r="S91" s="6"/>
      <c r="T91" s="156"/>
      <c r="U91" s="6"/>
    </row>
    <row r="92" spans="1:21" customFormat="1">
      <c r="A92" s="201" t="s">
        <v>2436</v>
      </c>
      <c r="B92" s="100">
        <v>2.63</v>
      </c>
      <c r="C92" s="100">
        <v>5.48</v>
      </c>
      <c r="D92" s="100">
        <v>8.11</v>
      </c>
      <c r="E92" s="100">
        <v>4.26</v>
      </c>
      <c r="F92" s="100">
        <v>6.47</v>
      </c>
      <c r="G92" s="100">
        <v>36.69</v>
      </c>
      <c r="H92" s="100">
        <v>15.45</v>
      </c>
      <c r="I92" s="100">
        <v>5.74</v>
      </c>
      <c r="J92" s="100">
        <v>0.11</v>
      </c>
      <c r="K92" s="100">
        <v>221.65</v>
      </c>
      <c r="L92" s="100">
        <v>25.3</v>
      </c>
      <c r="M92" s="100">
        <v>28.17</v>
      </c>
      <c r="N92" s="100">
        <v>2.4</v>
      </c>
      <c r="O92" s="100">
        <v>0</v>
      </c>
      <c r="P92" s="100">
        <v>0.27</v>
      </c>
      <c r="Q92" s="100">
        <v>10</v>
      </c>
      <c r="R92" s="6"/>
      <c r="S92" s="6"/>
      <c r="T92" s="156"/>
      <c r="U92" s="6"/>
    </row>
    <row r="93" spans="1:21" customFormat="1">
      <c r="A93" s="201" t="s">
        <v>2437</v>
      </c>
      <c r="B93" s="100">
        <v>2.65</v>
      </c>
      <c r="C93" s="100">
        <v>5.37</v>
      </c>
      <c r="D93" s="100">
        <v>8.02</v>
      </c>
      <c r="E93" s="100">
        <v>3.89</v>
      </c>
      <c r="F93" s="100">
        <v>7.71</v>
      </c>
      <c r="G93" s="100">
        <v>36.69</v>
      </c>
      <c r="H93" s="100">
        <v>15.45</v>
      </c>
      <c r="I93" s="100">
        <v>5.78</v>
      </c>
      <c r="J93" s="100">
        <v>0.44</v>
      </c>
      <c r="K93" s="100">
        <v>251.09</v>
      </c>
      <c r="L93" s="100">
        <v>25.3</v>
      </c>
      <c r="M93" s="100">
        <v>37.299999999999997</v>
      </c>
      <c r="N93" s="100">
        <v>2</v>
      </c>
      <c r="O93" s="100">
        <v>0</v>
      </c>
      <c r="P93" s="100">
        <v>0.25</v>
      </c>
      <c r="Q93" s="100">
        <v>10</v>
      </c>
      <c r="R93" s="6"/>
      <c r="S93" s="6"/>
      <c r="T93" s="156"/>
      <c r="U93" s="6"/>
    </row>
    <row r="94" spans="1:21" customFormat="1">
      <c r="A94" s="201" t="s">
        <v>2438</v>
      </c>
      <c r="B94" s="100">
        <v>2.78</v>
      </c>
      <c r="C94" s="100">
        <v>5.21</v>
      </c>
      <c r="D94" s="100">
        <v>7.99</v>
      </c>
      <c r="E94" s="100">
        <v>4.08</v>
      </c>
      <c r="F94" s="100">
        <v>3.74</v>
      </c>
      <c r="G94" s="100">
        <v>36</v>
      </c>
      <c r="H94" s="100">
        <v>13.57</v>
      </c>
      <c r="I94" s="100">
        <v>5.75</v>
      </c>
      <c r="J94" s="100">
        <v>0.43</v>
      </c>
      <c r="K94" s="100">
        <v>252.22</v>
      </c>
      <c r="L94" s="100">
        <v>25.3</v>
      </c>
      <c r="M94" s="100">
        <v>37.270000000000003</v>
      </c>
      <c r="N94" s="100">
        <v>2.2000000000000002</v>
      </c>
      <c r="O94" s="100">
        <v>0</v>
      </c>
      <c r="P94" s="100">
        <v>0.26</v>
      </c>
      <c r="Q94" s="100">
        <v>10</v>
      </c>
      <c r="R94" s="6"/>
      <c r="S94" s="6"/>
      <c r="T94" s="156"/>
      <c r="U94" s="6"/>
    </row>
    <row r="95" spans="1:21" customFormat="1">
      <c r="A95" s="201" t="s">
        <v>2439</v>
      </c>
      <c r="B95" s="100">
        <v>2.95</v>
      </c>
      <c r="C95" s="100">
        <v>5.28</v>
      </c>
      <c r="D95" s="100">
        <v>8.23</v>
      </c>
      <c r="E95" s="100">
        <v>4.8099999999999996</v>
      </c>
      <c r="F95" s="100">
        <v>2.95</v>
      </c>
      <c r="G95" s="100">
        <v>35.479999999999997</v>
      </c>
      <c r="H95" s="100">
        <v>12.98</v>
      </c>
      <c r="I95" s="100">
        <v>5.68</v>
      </c>
      <c r="J95" s="100">
        <v>0.46</v>
      </c>
      <c r="K95" s="100">
        <v>252.29</v>
      </c>
      <c r="L95" s="100">
        <v>25.3</v>
      </c>
      <c r="M95" s="100">
        <v>37.729999999999997</v>
      </c>
      <c r="N95" s="100">
        <v>2.4</v>
      </c>
      <c r="O95" s="100">
        <v>0</v>
      </c>
      <c r="P95" s="100">
        <v>0.27</v>
      </c>
      <c r="Q95" s="100">
        <v>10</v>
      </c>
      <c r="R95" s="6"/>
      <c r="S95" s="6"/>
      <c r="T95" s="156"/>
      <c r="U95" s="6"/>
    </row>
    <row r="96" spans="1:21" customFormat="1">
      <c r="A96" s="201" t="s">
        <v>2440</v>
      </c>
      <c r="B96" s="100">
        <v>2.87</v>
      </c>
      <c r="C96" s="100">
        <v>5.21</v>
      </c>
      <c r="D96" s="100">
        <v>8.09</v>
      </c>
      <c r="E96" s="100">
        <v>4.46</v>
      </c>
      <c r="F96" s="100">
        <v>5.08</v>
      </c>
      <c r="G96" s="100">
        <v>35.479999999999997</v>
      </c>
      <c r="H96" s="100">
        <v>12.98</v>
      </c>
      <c r="I96" s="100">
        <v>5.66</v>
      </c>
      <c r="J96" s="100">
        <v>0.37</v>
      </c>
      <c r="K96" s="100">
        <v>252.24</v>
      </c>
      <c r="L96" s="100">
        <v>25.3</v>
      </c>
      <c r="M96" s="100">
        <v>36.15</v>
      </c>
      <c r="N96" s="100">
        <v>2.2999999999999998</v>
      </c>
      <c r="O96" s="100">
        <v>0</v>
      </c>
      <c r="P96" s="100">
        <v>0.25</v>
      </c>
      <c r="Q96" s="100">
        <v>10</v>
      </c>
      <c r="R96" s="6"/>
      <c r="S96" s="6"/>
      <c r="T96" s="156"/>
      <c r="U96" s="6"/>
    </row>
    <row r="97" spans="1:28" customFormat="1">
      <c r="A97" s="201" t="s">
        <v>2441</v>
      </c>
      <c r="B97" s="100">
        <v>2.8</v>
      </c>
      <c r="C97" s="100">
        <v>5.08</v>
      </c>
      <c r="D97" s="100">
        <v>7.88</v>
      </c>
      <c r="E97" s="100">
        <v>4.08</v>
      </c>
      <c r="F97" s="100">
        <v>7.6</v>
      </c>
      <c r="G97" s="100">
        <v>35.479999999999997</v>
      </c>
      <c r="H97" s="100">
        <v>12.98</v>
      </c>
      <c r="I97" s="100">
        <v>5.72</v>
      </c>
      <c r="J97" s="100">
        <v>0.36</v>
      </c>
      <c r="K97" s="100">
        <v>253.14</v>
      </c>
      <c r="L97" s="100">
        <v>25.3</v>
      </c>
      <c r="M97" s="100">
        <v>37.46</v>
      </c>
      <c r="N97" s="100">
        <v>2.4</v>
      </c>
      <c r="O97" s="100">
        <v>0</v>
      </c>
      <c r="P97" s="100">
        <v>0.23</v>
      </c>
      <c r="Q97" s="100">
        <v>10</v>
      </c>
      <c r="R97" s="6"/>
      <c r="S97" s="6"/>
      <c r="T97" s="156"/>
      <c r="U97" s="6"/>
    </row>
    <row r="98" spans="1:28" customFormat="1">
      <c r="A98" s="201" t="s">
        <v>2442</v>
      </c>
      <c r="B98" s="100">
        <v>2.95</v>
      </c>
      <c r="C98" s="100">
        <v>5.09</v>
      </c>
      <c r="D98" s="100">
        <v>8.0399999999999991</v>
      </c>
      <c r="E98" s="100">
        <v>4.25</v>
      </c>
      <c r="F98" s="100">
        <v>3.65</v>
      </c>
      <c r="G98" s="100">
        <v>37.14</v>
      </c>
      <c r="H98" s="100">
        <v>15.17</v>
      </c>
      <c r="I98" s="100">
        <v>5.57</v>
      </c>
      <c r="J98" s="100">
        <v>0.11</v>
      </c>
      <c r="K98" s="100">
        <v>243.62</v>
      </c>
      <c r="L98" s="100">
        <v>25.3</v>
      </c>
      <c r="M98" s="100">
        <v>35.14</v>
      </c>
      <c r="N98" s="100">
        <v>2.2999999999999998</v>
      </c>
      <c r="O98" s="100">
        <v>0</v>
      </c>
      <c r="P98" s="100">
        <v>0.25</v>
      </c>
      <c r="Q98" s="100">
        <v>10</v>
      </c>
      <c r="R98" s="6"/>
      <c r="S98" s="6"/>
      <c r="T98" s="156"/>
      <c r="U98" s="6"/>
    </row>
    <row r="99" spans="1:28" customFormat="1">
      <c r="A99" s="201" t="s">
        <v>2443</v>
      </c>
      <c r="B99" s="100">
        <v>3.11</v>
      </c>
      <c r="C99" s="100">
        <v>5.24</v>
      </c>
      <c r="D99" s="100">
        <v>8.35</v>
      </c>
      <c r="E99" s="100">
        <v>4.72</v>
      </c>
      <c r="F99" s="100">
        <v>3.27</v>
      </c>
      <c r="G99" s="100">
        <v>38.42</v>
      </c>
      <c r="H99" s="100">
        <v>15.86</v>
      </c>
      <c r="I99" s="100">
        <v>5.52</v>
      </c>
      <c r="J99" s="100">
        <v>0.36</v>
      </c>
      <c r="K99" s="100">
        <v>248.95</v>
      </c>
      <c r="L99" s="100">
        <v>25.3</v>
      </c>
      <c r="M99" s="100">
        <v>36.71</v>
      </c>
      <c r="N99" s="100">
        <v>2.2000000000000002</v>
      </c>
      <c r="O99" s="100">
        <v>0</v>
      </c>
      <c r="P99" s="100">
        <v>0.26</v>
      </c>
      <c r="Q99" s="100">
        <v>10</v>
      </c>
      <c r="R99" s="6"/>
      <c r="S99" s="6"/>
      <c r="T99" s="156"/>
      <c r="U99" s="6"/>
    </row>
    <row r="100" spans="1:28" customFormat="1">
      <c r="A100" s="201" t="s">
        <v>2444</v>
      </c>
      <c r="B100" s="100">
        <v>3.09</v>
      </c>
      <c r="C100" s="100">
        <v>5.23</v>
      </c>
      <c r="D100" s="100">
        <v>8.32</v>
      </c>
      <c r="E100" s="100">
        <v>4.59</v>
      </c>
      <c r="F100" s="100">
        <v>5.27</v>
      </c>
      <c r="G100" s="100">
        <v>38.42</v>
      </c>
      <c r="H100" s="100">
        <v>15.86</v>
      </c>
      <c r="I100" s="100">
        <v>5.59</v>
      </c>
      <c r="J100" s="100">
        <v>0.1</v>
      </c>
      <c r="K100" s="100">
        <v>229.86</v>
      </c>
      <c r="L100" s="100">
        <v>25.3</v>
      </c>
      <c r="M100" s="100">
        <v>30.22</v>
      </c>
      <c r="N100" s="100">
        <v>2.4</v>
      </c>
      <c r="O100" s="100">
        <v>0</v>
      </c>
      <c r="P100" s="100">
        <v>0.25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2445</v>
      </c>
      <c r="B101" s="100">
        <v>3.08</v>
      </c>
      <c r="C101" s="100">
        <v>5.19</v>
      </c>
      <c r="D101" s="100">
        <v>8.26</v>
      </c>
      <c r="E101" s="100">
        <v>4.3499999999999996</v>
      </c>
      <c r="F101" s="100">
        <v>4.75</v>
      </c>
      <c r="G101" s="100">
        <v>38.42</v>
      </c>
      <c r="H101" s="100">
        <v>15.86</v>
      </c>
      <c r="I101" s="100">
        <v>5.66</v>
      </c>
      <c r="J101" s="100">
        <v>0.15</v>
      </c>
      <c r="K101" s="100">
        <v>224.83</v>
      </c>
      <c r="L101" s="100">
        <v>25.3</v>
      </c>
      <c r="M101" s="100">
        <v>31.03</v>
      </c>
      <c r="N101" s="100">
        <v>2.2999999999999998</v>
      </c>
      <c r="O101" s="100">
        <v>0</v>
      </c>
      <c r="P101" s="100">
        <v>0.24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2446</v>
      </c>
      <c r="B102" s="100">
        <v>3.3</v>
      </c>
      <c r="C102" s="100">
        <v>5.38</v>
      </c>
      <c r="D102" s="100">
        <v>8.68</v>
      </c>
      <c r="E102" s="100">
        <v>4.62</v>
      </c>
      <c r="F102" s="100">
        <v>3.32</v>
      </c>
      <c r="G102" s="100">
        <v>35.590000000000003</v>
      </c>
      <c r="H102" s="100">
        <v>14.4</v>
      </c>
      <c r="I102" s="100">
        <v>5.64</v>
      </c>
      <c r="J102" s="100">
        <v>0.27</v>
      </c>
      <c r="K102" s="100">
        <v>247.99</v>
      </c>
      <c r="L102" s="100">
        <v>25.3</v>
      </c>
      <c r="M102" s="100">
        <v>36.14</v>
      </c>
      <c r="N102" s="100">
        <v>1.9</v>
      </c>
      <c r="O102" s="100">
        <v>0</v>
      </c>
      <c r="P102" s="100">
        <v>0.28999999999999998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2447</v>
      </c>
      <c r="B103" s="100">
        <v>3.26</v>
      </c>
      <c r="C103" s="100">
        <v>5.73</v>
      </c>
      <c r="D103" s="100">
        <v>8.99</v>
      </c>
      <c r="E103" s="100">
        <v>4.78</v>
      </c>
      <c r="F103" s="100">
        <v>3.9</v>
      </c>
      <c r="G103" s="100">
        <v>33.44</v>
      </c>
      <c r="H103" s="100">
        <v>13.53</v>
      </c>
      <c r="I103" s="100">
        <v>5.76</v>
      </c>
      <c r="J103" s="100">
        <v>0.23</v>
      </c>
      <c r="K103" s="100">
        <v>247.67</v>
      </c>
      <c r="L103" s="100">
        <v>25.3</v>
      </c>
      <c r="M103" s="100">
        <v>36.82</v>
      </c>
      <c r="N103" s="100">
        <v>2</v>
      </c>
      <c r="O103" s="100">
        <v>0</v>
      </c>
      <c r="P103" s="100">
        <v>0.3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2448</v>
      </c>
      <c r="B104" s="100">
        <v>3.36</v>
      </c>
      <c r="C104" s="100">
        <v>5.63</v>
      </c>
      <c r="D104" s="100">
        <v>8.99</v>
      </c>
      <c r="E104" s="100">
        <v>4.63</v>
      </c>
      <c r="F104" s="100">
        <v>3.5</v>
      </c>
      <c r="G104" s="100">
        <v>33.44</v>
      </c>
      <c r="H104" s="100">
        <v>13.53</v>
      </c>
      <c r="I104" s="100">
        <v>6.1</v>
      </c>
      <c r="J104" s="100">
        <v>0.16</v>
      </c>
      <c r="K104" s="100">
        <v>245.24</v>
      </c>
      <c r="L104" s="100">
        <v>25.3</v>
      </c>
      <c r="M104" s="100">
        <v>33.770000000000003</v>
      </c>
      <c r="N104" s="100">
        <v>2</v>
      </c>
      <c r="O104" s="100">
        <v>0</v>
      </c>
      <c r="P104" s="100">
        <v>0.28999999999999998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2.02</v>
      </c>
      <c r="C106" s="158">
        <f>MIN(C9:C104)</f>
        <v>4.66</v>
      </c>
      <c r="D106" s="158">
        <f t="shared" ref="D106:Q106" si="0">MIN(D9:D104)</f>
        <v>7.47</v>
      </c>
      <c r="E106" s="158">
        <f t="shared" si="0"/>
        <v>3.58</v>
      </c>
      <c r="F106" s="158">
        <f t="shared" si="0"/>
        <v>2</v>
      </c>
      <c r="G106" s="158">
        <f t="shared" si="0"/>
        <v>0</v>
      </c>
      <c r="H106" s="158">
        <f t="shared" si="0"/>
        <v>0</v>
      </c>
      <c r="I106" s="158">
        <f t="shared" si="0"/>
        <v>4.6100000000000003</v>
      </c>
      <c r="J106" s="158">
        <f t="shared" si="0"/>
        <v>0.1</v>
      </c>
      <c r="K106" s="158">
        <f t="shared" si="0"/>
        <v>0.77</v>
      </c>
      <c r="L106" s="158">
        <f t="shared" si="0"/>
        <v>25.3</v>
      </c>
      <c r="M106" s="158">
        <f t="shared" si="0"/>
        <v>4.22</v>
      </c>
      <c r="N106" s="158">
        <f t="shared" si="0"/>
        <v>1.9</v>
      </c>
      <c r="O106" s="158">
        <f t="shared" si="0"/>
        <v>0</v>
      </c>
      <c r="P106" s="158">
        <f t="shared" si="0"/>
        <v>0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5.88</v>
      </c>
      <c r="C107" s="157">
        <f t="shared" ref="C107:Q107" si="1">MAX(C9:C104)</f>
        <v>17.309999999999999</v>
      </c>
      <c r="D107" s="157">
        <f t="shared" si="1"/>
        <v>22.34</v>
      </c>
      <c r="E107" s="157">
        <f t="shared" si="1"/>
        <v>9.27</v>
      </c>
      <c r="F107" s="157">
        <f t="shared" si="1"/>
        <v>18.149999999999999</v>
      </c>
      <c r="G107" s="157">
        <f t="shared" si="1"/>
        <v>88.42</v>
      </c>
      <c r="H107" s="157">
        <f t="shared" si="1"/>
        <v>29.97</v>
      </c>
      <c r="I107" s="157">
        <f t="shared" si="1"/>
        <v>9.26</v>
      </c>
      <c r="J107" s="157">
        <f t="shared" si="1"/>
        <v>0.73</v>
      </c>
      <c r="K107" s="157">
        <f t="shared" si="1"/>
        <v>353.91</v>
      </c>
      <c r="L107" s="157">
        <f t="shared" si="1"/>
        <v>25.3</v>
      </c>
      <c r="M107" s="157">
        <f t="shared" si="1"/>
        <v>37.78</v>
      </c>
      <c r="N107" s="157">
        <f t="shared" si="1"/>
        <v>388.8</v>
      </c>
      <c r="O107" s="157">
        <f t="shared" si="1"/>
        <v>0</v>
      </c>
      <c r="P107" s="157">
        <f t="shared" si="1"/>
        <v>0.4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3.6812500000000004</v>
      </c>
      <c r="C108" s="158">
        <f t="shared" ref="C108:Q108" si="2">AVERAGE(C9:C104)</f>
        <v>6.6797916666666701</v>
      </c>
      <c r="D108" s="158">
        <f t="shared" si="2"/>
        <v>10.361041666666665</v>
      </c>
      <c r="E108" s="158">
        <f t="shared" si="2"/>
        <v>5.3250000000000002</v>
      </c>
      <c r="F108" s="158">
        <f t="shared" si="2"/>
        <v>5.1384374999999993</v>
      </c>
      <c r="G108" s="158">
        <f t="shared" si="2"/>
        <v>48.527916666666641</v>
      </c>
      <c r="H108" s="158">
        <f t="shared" si="2"/>
        <v>18.273958333333329</v>
      </c>
      <c r="I108" s="158">
        <f t="shared" si="2"/>
        <v>6.4027083333333321</v>
      </c>
      <c r="J108" s="158">
        <f t="shared" si="2"/>
        <v>0.32538461538461533</v>
      </c>
      <c r="K108" s="158">
        <f t="shared" si="2"/>
        <v>179.90480769230768</v>
      </c>
      <c r="L108" s="158">
        <f t="shared" si="2"/>
        <v>25.299999999999976</v>
      </c>
      <c r="M108" s="158">
        <f t="shared" si="2"/>
        <v>26.326153846153847</v>
      </c>
      <c r="N108" s="158">
        <f t="shared" si="2"/>
        <v>78.828846153846172</v>
      </c>
      <c r="O108" s="158">
        <f t="shared" si="2"/>
        <v>0</v>
      </c>
      <c r="P108" s="158">
        <f t="shared" si="2"/>
        <v>0.17614583333333331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1.1349233686163906</v>
      </c>
      <c r="C109" s="158">
        <f t="shared" ref="C109:Q109" si="3">STDEV(C9:C104)</f>
        <v>2.556777980261649</v>
      </c>
      <c r="D109" s="158">
        <f t="shared" si="3"/>
        <v>2.8232592136960042</v>
      </c>
      <c r="E109" s="158">
        <f t="shared" si="3"/>
        <v>0.91333282110370506</v>
      </c>
      <c r="F109" s="158">
        <f t="shared" si="3"/>
        <v>4.0938964397271391</v>
      </c>
      <c r="G109" s="158">
        <f t="shared" si="3"/>
        <v>23.504329720586288</v>
      </c>
      <c r="H109" s="158">
        <f t="shared" si="3"/>
        <v>5.5730068382605049</v>
      </c>
      <c r="I109" s="158">
        <f t="shared" si="3"/>
        <v>1.5243355613213252</v>
      </c>
      <c r="J109" s="158">
        <f t="shared" si="3"/>
        <v>0.16435806843788792</v>
      </c>
      <c r="K109" s="158">
        <f t="shared" si="3"/>
        <v>108.33313883826378</v>
      </c>
      <c r="L109" s="158">
        <f t="shared" si="3"/>
        <v>2.51116258459789E-14</v>
      </c>
      <c r="M109" s="158">
        <f t="shared" si="3"/>
        <v>10.073556949902363</v>
      </c>
      <c r="N109" s="158">
        <f t="shared" si="3"/>
        <v>107.17553740593222</v>
      </c>
      <c r="O109" s="158">
        <f t="shared" si="3"/>
        <v>0</v>
      </c>
      <c r="P109" s="158">
        <f t="shared" si="3"/>
        <v>0.1276703797957576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>COUNT(J9:J104)+44</f>
        <v>96</v>
      </c>
      <c r="K110" s="157">
        <f t="shared" ref="K110:N110" si="5">COUNT(K9:K104)+44</f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7" sqref="I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2449</v>
      </c>
      <c r="B9" s="100">
        <v>3.65</v>
      </c>
      <c r="C9" s="100">
        <v>5.57</v>
      </c>
      <c r="D9" s="100">
        <v>9.2200000000000006</v>
      </c>
      <c r="E9" s="100">
        <v>4.76</v>
      </c>
      <c r="F9" s="100">
        <v>2.23</v>
      </c>
      <c r="G9" s="100">
        <v>33.44</v>
      </c>
      <c r="H9" s="100">
        <v>13.53</v>
      </c>
      <c r="I9" s="100">
        <v>6.65</v>
      </c>
      <c r="J9" s="100">
        <v>0.11</v>
      </c>
      <c r="K9" s="100">
        <v>213.39</v>
      </c>
      <c r="L9" s="100">
        <v>-28.85</v>
      </c>
      <c r="M9" s="100">
        <v>27.37</v>
      </c>
      <c r="N9" s="100">
        <v>2.1</v>
      </c>
      <c r="O9" s="100">
        <v>0</v>
      </c>
      <c r="P9" s="100">
        <v>0.32</v>
      </c>
      <c r="Q9" s="100">
        <v>10</v>
      </c>
      <c r="R9" s="6"/>
      <c r="S9" s="6"/>
      <c r="T9" s="156"/>
      <c r="U9" s="6"/>
    </row>
    <row r="10" spans="1:21" customFormat="1">
      <c r="A10" s="201" t="s">
        <v>2450</v>
      </c>
      <c r="B10" s="100">
        <v>3.73</v>
      </c>
      <c r="C10" s="100">
        <v>5.66</v>
      </c>
      <c r="D10" s="100">
        <v>9.39</v>
      </c>
      <c r="E10" s="100">
        <v>4.8600000000000003</v>
      </c>
      <c r="F10" s="100">
        <v>2.36</v>
      </c>
      <c r="G10" s="100">
        <v>33.799999999999997</v>
      </c>
      <c r="H10" s="100">
        <v>13.1</v>
      </c>
      <c r="I10" s="100">
        <v>6.67</v>
      </c>
      <c r="J10" s="100">
        <v>0.18</v>
      </c>
      <c r="K10" s="100">
        <v>229.48</v>
      </c>
      <c r="L10" s="100">
        <v>-26.96</v>
      </c>
      <c r="M10" s="100">
        <v>32.07</v>
      </c>
      <c r="N10" s="100">
        <v>2.2999999999999998</v>
      </c>
      <c r="O10" s="100">
        <v>0</v>
      </c>
      <c r="P10" s="100">
        <v>0.37</v>
      </c>
      <c r="Q10" s="100">
        <v>10</v>
      </c>
      <c r="R10" s="6"/>
      <c r="S10" s="6"/>
      <c r="T10" s="156"/>
      <c r="U10" s="6"/>
    </row>
    <row r="11" spans="1:21" customFormat="1">
      <c r="A11" s="201" t="s">
        <v>2451</v>
      </c>
      <c r="B11" s="100">
        <v>3.79</v>
      </c>
      <c r="C11" s="100">
        <v>5.69</v>
      </c>
      <c r="D11" s="100">
        <v>9.48</v>
      </c>
      <c r="E11" s="100">
        <v>4.92</v>
      </c>
      <c r="F11" s="100">
        <v>2</v>
      </c>
      <c r="G11" s="100">
        <v>34.06</v>
      </c>
      <c r="H11" s="100">
        <v>12.96</v>
      </c>
      <c r="I11" s="100">
        <v>6.48</v>
      </c>
      <c r="J11" s="100">
        <v>0.28000000000000003</v>
      </c>
      <c r="K11" s="100">
        <v>244.31</v>
      </c>
      <c r="L11" s="100">
        <v>-25.22</v>
      </c>
      <c r="M11" s="100">
        <v>36.44</v>
      </c>
      <c r="N11" s="100">
        <v>2.2000000000000002</v>
      </c>
      <c r="O11" s="100">
        <v>0.2</v>
      </c>
      <c r="P11" s="100">
        <v>0.38</v>
      </c>
      <c r="Q11" s="100">
        <v>10</v>
      </c>
      <c r="R11" s="6"/>
      <c r="S11" s="6"/>
      <c r="T11" s="156"/>
      <c r="U11" s="6"/>
    </row>
    <row r="12" spans="1:21" customFormat="1">
      <c r="A12" s="201" t="s">
        <v>2452</v>
      </c>
      <c r="B12" s="100">
        <v>3.78</v>
      </c>
      <c r="C12" s="100">
        <v>5.77</v>
      </c>
      <c r="D12" s="100">
        <v>9.5500000000000007</v>
      </c>
      <c r="E12" s="100">
        <v>4.92</v>
      </c>
      <c r="F12" s="100">
        <v>2</v>
      </c>
      <c r="G12" s="100">
        <v>34.06</v>
      </c>
      <c r="H12" s="100">
        <v>12.96</v>
      </c>
      <c r="I12" s="100">
        <v>6.74</v>
      </c>
      <c r="J12" s="100">
        <v>0.17</v>
      </c>
      <c r="K12" s="100">
        <v>225.24</v>
      </c>
      <c r="L12" s="100">
        <v>-27.29</v>
      </c>
      <c r="M12" s="100">
        <v>31.32</v>
      </c>
      <c r="N12" s="100">
        <v>2.2000000000000002</v>
      </c>
      <c r="O12" s="100">
        <v>0</v>
      </c>
      <c r="P12" s="100">
        <v>0.38</v>
      </c>
      <c r="Q12" s="100">
        <v>10</v>
      </c>
      <c r="R12" s="6"/>
      <c r="S12" s="6"/>
      <c r="T12" s="156"/>
      <c r="U12" s="6"/>
    </row>
    <row r="13" spans="1:21" customFormat="1">
      <c r="A13" s="201" t="s">
        <v>2453</v>
      </c>
      <c r="B13" s="100">
        <v>3.81</v>
      </c>
      <c r="C13" s="100">
        <v>5.81</v>
      </c>
      <c r="D13" s="100">
        <v>9.6199999999999992</v>
      </c>
      <c r="E13" s="100">
        <v>5.07</v>
      </c>
      <c r="F13" s="100">
        <v>2</v>
      </c>
      <c r="G13" s="100">
        <v>34.06</v>
      </c>
      <c r="H13" s="100">
        <v>12.96</v>
      </c>
      <c r="I13" s="100">
        <v>6.82</v>
      </c>
      <c r="J13" s="100">
        <v>0.25</v>
      </c>
      <c r="K13" s="100">
        <v>247.34</v>
      </c>
      <c r="L13" s="100">
        <v>-25.14</v>
      </c>
      <c r="M13" s="100">
        <v>36.549999999999997</v>
      </c>
      <c r="N13" s="100">
        <v>2.2999999999999998</v>
      </c>
      <c r="O13" s="100">
        <v>0</v>
      </c>
      <c r="P13" s="100">
        <v>0.4</v>
      </c>
      <c r="Q13" s="100">
        <v>10</v>
      </c>
      <c r="R13" s="6"/>
      <c r="S13" s="6"/>
      <c r="T13" s="156"/>
      <c r="U13" s="6"/>
    </row>
    <row r="14" spans="1:21" customFormat="1">
      <c r="A14" s="201" t="s">
        <v>2454</v>
      </c>
      <c r="B14" s="100">
        <v>3.83</v>
      </c>
      <c r="C14" s="100">
        <v>5.83</v>
      </c>
      <c r="D14" s="100">
        <v>9.66</v>
      </c>
      <c r="E14" s="100">
        <v>4.87</v>
      </c>
      <c r="F14" s="100">
        <v>2.0099999999999998</v>
      </c>
      <c r="G14" s="100">
        <v>33.57</v>
      </c>
      <c r="H14" s="100">
        <v>12.95</v>
      </c>
      <c r="I14" s="100">
        <v>7</v>
      </c>
      <c r="J14" s="100">
        <v>0.5</v>
      </c>
      <c r="K14" s="100">
        <v>250.53</v>
      </c>
      <c r="L14" s="100">
        <v>-24.79</v>
      </c>
      <c r="M14" s="100">
        <v>37.46</v>
      </c>
      <c r="N14" s="100">
        <v>2.5</v>
      </c>
      <c r="O14" s="100">
        <v>0</v>
      </c>
      <c r="P14" s="100">
        <v>0.41</v>
      </c>
      <c r="Q14" s="100">
        <v>10</v>
      </c>
      <c r="R14" s="6"/>
      <c r="S14" s="6"/>
      <c r="T14" s="156"/>
      <c r="U14" s="6"/>
    </row>
    <row r="15" spans="1:21" customFormat="1">
      <c r="A15" s="201" t="s">
        <v>2455</v>
      </c>
      <c r="B15" s="100">
        <v>3.87</v>
      </c>
      <c r="C15" s="100">
        <v>5.75</v>
      </c>
      <c r="D15" s="100">
        <v>9.6199999999999992</v>
      </c>
      <c r="E15" s="100">
        <v>4.82</v>
      </c>
      <c r="F15" s="100">
        <v>2</v>
      </c>
      <c r="G15" s="100">
        <v>33.200000000000003</v>
      </c>
      <c r="H15" s="100">
        <v>12.95</v>
      </c>
      <c r="I15" s="100">
        <v>7.33</v>
      </c>
      <c r="J15" s="100">
        <v>0.39</v>
      </c>
      <c r="K15" s="100">
        <v>252.36</v>
      </c>
      <c r="L15" s="100">
        <v>-24.61</v>
      </c>
      <c r="M15" s="100">
        <v>37.85</v>
      </c>
      <c r="N15" s="100">
        <v>2.4</v>
      </c>
      <c r="O15" s="100">
        <v>0</v>
      </c>
      <c r="P15" s="100">
        <v>0.42</v>
      </c>
      <c r="Q15" s="100">
        <v>10</v>
      </c>
      <c r="R15" s="6"/>
      <c r="S15" s="6"/>
      <c r="T15" s="156"/>
      <c r="U15" s="6"/>
    </row>
    <row r="16" spans="1:21" customFormat="1">
      <c r="A16" s="201" t="s">
        <v>2456</v>
      </c>
      <c r="B16" s="100">
        <v>3.89</v>
      </c>
      <c r="C16" s="100">
        <v>5.75</v>
      </c>
      <c r="D16" s="100">
        <v>9.64</v>
      </c>
      <c r="E16" s="100">
        <v>4.8499999999999996</v>
      </c>
      <c r="F16" s="100">
        <v>2</v>
      </c>
      <c r="G16" s="100">
        <v>33.200000000000003</v>
      </c>
      <c r="H16" s="100">
        <v>12.95</v>
      </c>
      <c r="I16" s="100">
        <v>7.86</v>
      </c>
      <c r="J16" s="100">
        <v>0.48</v>
      </c>
      <c r="K16" s="100">
        <v>255.79</v>
      </c>
      <c r="L16" s="100">
        <v>-24.01</v>
      </c>
      <c r="M16" s="100">
        <v>39.5</v>
      </c>
      <c r="N16" s="100">
        <v>2.8</v>
      </c>
      <c r="O16" s="100">
        <v>0</v>
      </c>
      <c r="P16" s="100">
        <v>0.45</v>
      </c>
      <c r="Q16" s="100">
        <v>10</v>
      </c>
      <c r="R16" s="6"/>
      <c r="S16" s="6"/>
      <c r="T16" s="156"/>
      <c r="U16" s="6"/>
    </row>
    <row r="17" spans="1:21" customFormat="1">
      <c r="A17" s="201" t="s">
        <v>2457</v>
      </c>
      <c r="B17" s="100">
        <v>3.91</v>
      </c>
      <c r="C17" s="100">
        <v>5.82</v>
      </c>
      <c r="D17" s="100">
        <v>9.73</v>
      </c>
      <c r="E17" s="100">
        <v>5.24</v>
      </c>
      <c r="F17" s="100">
        <v>2</v>
      </c>
      <c r="G17" s="100">
        <v>33.200000000000003</v>
      </c>
      <c r="H17" s="100">
        <v>12.95</v>
      </c>
      <c r="I17" s="100">
        <v>8.4499999999999993</v>
      </c>
      <c r="J17" s="100">
        <v>0.47</v>
      </c>
      <c r="K17" s="100">
        <v>256.58999999999997</v>
      </c>
      <c r="L17" s="100">
        <v>-24.24</v>
      </c>
      <c r="M17" s="100">
        <v>38.81</v>
      </c>
      <c r="N17" s="100">
        <v>2.9</v>
      </c>
      <c r="O17" s="100">
        <v>0</v>
      </c>
      <c r="P17" s="100">
        <v>0.5</v>
      </c>
      <c r="Q17" s="100">
        <v>10</v>
      </c>
      <c r="R17" s="6"/>
      <c r="S17" s="6"/>
      <c r="T17" s="156"/>
      <c r="U17" s="6"/>
    </row>
    <row r="18" spans="1:21" customFormat="1">
      <c r="A18" s="201" t="s">
        <v>2458</v>
      </c>
      <c r="B18" s="100">
        <v>3.92</v>
      </c>
      <c r="C18" s="100">
        <v>5.91</v>
      </c>
      <c r="D18" s="100">
        <v>9.83</v>
      </c>
      <c r="E18" s="100">
        <v>5.92</v>
      </c>
      <c r="F18" s="100">
        <v>2</v>
      </c>
      <c r="G18" s="100">
        <v>38.04</v>
      </c>
      <c r="H18" s="100">
        <v>12.59</v>
      </c>
      <c r="I18" s="100">
        <v>9.2200000000000006</v>
      </c>
      <c r="J18" s="100">
        <v>0.53</v>
      </c>
      <c r="K18" s="100">
        <v>252.36</v>
      </c>
      <c r="L18" s="100">
        <v>-24.4</v>
      </c>
      <c r="M18" s="100">
        <v>38.4</v>
      </c>
      <c r="N18" s="100">
        <v>3.1</v>
      </c>
      <c r="O18" s="100">
        <v>0</v>
      </c>
      <c r="P18" s="100">
        <v>0.51</v>
      </c>
      <c r="Q18" s="100">
        <v>10</v>
      </c>
      <c r="R18" s="6"/>
      <c r="S18" s="6"/>
      <c r="T18" s="156"/>
      <c r="U18" s="6"/>
    </row>
    <row r="19" spans="1:21" customFormat="1">
      <c r="A19" s="201" t="s">
        <v>2459</v>
      </c>
      <c r="B19" s="100">
        <v>3.92</v>
      </c>
      <c r="C19" s="100">
        <v>5.89</v>
      </c>
      <c r="D19" s="100">
        <v>9.81</v>
      </c>
      <c r="E19" s="100">
        <v>6.38</v>
      </c>
      <c r="F19" s="100">
        <v>2</v>
      </c>
      <c r="G19" s="100">
        <v>41.75</v>
      </c>
      <c r="H19" s="100">
        <v>12.48</v>
      </c>
      <c r="I19" s="100">
        <v>10.27</v>
      </c>
      <c r="J19" s="100">
        <v>0.56000000000000005</v>
      </c>
      <c r="K19" s="100">
        <v>252.3</v>
      </c>
      <c r="L19" s="100">
        <v>-24.22</v>
      </c>
      <c r="M19" s="100">
        <v>38.81</v>
      </c>
      <c r="N19" s="100">
        <v>3.2</v>
      </c>
      <c r="O19" s="100">
        <v>0</v>
      </c>
      <c r="P19" s="100">
        <v>0.52</v>
      </c>
      <c r="Q19" s="100">
        <v>10</v>
      </c>
      <c r="R19" s="6"/>
      <c r="S19" s="6"/>
      <c r="T19" s="156"/>
      <c r="U19" s="6"/>
    </row>
    <row r="20" spans="1:21" customFormat="1">
      <c r="A20" s="201" t="s">
        <v>2460</v>
      </c>
      <c r="B20" s="100">
        <v>3.9</v>
      </c>
      <c r="C20" s="100">
        <v>5.88</v>
      </c>
      <c r="D20" s="100">
        <v>9.7799999999999994</v>
      </c>
      <c r="E20" s="100">
        <v>6.39</v>
      </c>
      <c r="F20" s="100">
        <v>2</v>
      </c>
      <c r="G20" s="100">
        <v>41.75</v>
      </c>
      <c r="H20" s="100">
        <v>12.48</v>
      </c>
      <c r="I20" s="100">
        <v>11.09</v>
      </c>
      <c r="J20" s="100">
        <v>0.39</v>
      </c>
      <c r="K20" s="100">
        <v>248.46</v>
      </c>
      <c r="L20" s="100">
        <v>-24.88</v>
      </c>
      <c r="M20" s="100">
        <v>37.28</v>
      </c>
      <c r="N20" s="100">
        <v>2.9</v>
      </c>
      <c r="O20" s="100">
        <v>0.2</v>
      </c>
      <c r="P20" s="100">
        <v>0.53</v>
      </c>
      <c r="Q20" s="100">
        <v>10</v>
      </c>
      <c r="R20" s="6"/>
      <c r="S20" s="6"/>
      <c r="T20" s="156"/>
      <c r="U20" s="6"/>
    </row>
    <row r="21" spans="1:21" customFormat="1">
      <c r="A21" s="201" t="s">
        <v>2461</v>
      </c>
      <c r="B21" s="100">
        <v>3.89</v>
      </c>
      <c r="C21" s="100">
        <v>5.81</v>
      </c>
      <c r="D21" s="100">
        <v>9.6999999999999993</v>
      </c>
      <c r="E21" s="100">
        <v>6.18</v>
      </c>
      <c r="F21" s="100">
        <v>2</v>
      </c>
      <c r="G21" s="100">
        <v>41.75</v>
      </c>
      <c r="H21" s="100">
        <v>12.48</v>
      </c>
      <c r="I21" s="100">
        <v>11.66</v>
      </c>
      <c r="J21" s="100">
        <v>0.38</v>
      </c>
      <c r="K21" s="100">
        <v>250.61</v>
      </c>
      <c r="L21" s="100">
        <v>-24.53</v>
      </c>
      <c r="M21" s="100">
        <v>38.200000000000003</v>
      </c>
      <c r="N21" s="100">
        <v>2.6</v>
      </c>
      <c r="O21" s="100">
        <v>0.2</v>
      </c>
      <c r="P21" s="100">
        <v>0.54</v>
      </c>
      <c r="Q21" s="100">
        <v>10</v>
      </c>
      <c r="R21" s="6"/>
      <c r="S21" s="6"/>
      <c r="T21" s="156"/>
      <c r="U21" s="6"/>
    </row>
    <row r="22" spans="1:21" customFormat="1">
      <c r="A22" s="201" t="s">
        <v>2462</v>
      </c>
      <c r="B22" s="100">
        <v>3.87</v>
      </c>
      <c r="C22" s="100">
        <v>5.8</v>
      </c>
      <c r="D22" s="100">
        <v>9.67</v>
      </c>
      <c r="E22" s="100">
        <v>6.15</v>
      </c>
      <c r="F22" s="100">
        <v>2</v>
      </c>
      <c r="G22" s="100">
        <v>43.8</v>
      </c>
      <c r="H22" s="100">
        <v>16.64</v>
      </c>
      <c r="I22" s="100">
        <v>11.88</v>
      </c>
      <c r="J22" s="100">
        <v>0.28999999999999998</v>
      </c>
      <c r="K22" s="100">
        <v>253.09</v>
      </c>
      <c r="L22" s="100">
        <v>-24.14</v>
      </c>
      <c r="M22" s="100">
        <v>39.090000000000003</v>
      </c>
      <c r="N22" s="100">
        <v>2.2999999999999998</v>
      </c>
      <c r="O22" s="100">
        <v>0.4</v>
      </c>
      <c r="P22" s="100">
        <v>0.53</v>
      </c>
      <c r="Q22" s="100">
        <v>10</v>
      </c>
      <c r="R22" s="6"/>
      <c r="S22" s="6"/>
      <c r="T22" s="156"/>
      <c r="U22" s="6"/>
    </row>
    <row r="23" spans="1:21" customFormat="1">
      <c r="A23" s="201" t="s">
        <v>2463</v>
      </c>
      <c r="B23" s="100">
        <v>3.93</v>
      </c>
      <c r="C23" s="100">
        <v>5.81</v>
      </c>
      <c r="D23" s="100">
        <v>9.74</v>
      </c>
      <c r="E23" s="100">
        <v>6.3</v>
      </c>
      <c r="F23" s="100">
        <v>2</v>
      </c>
      <c r="G23" s="100">
        <v>45.36</v>
      </c>
      <c r="H23" s="100">
        <v>19.11</v>
      </c>
      <c r="I23" s="100">
        <v>11.95</v>
      </c>
      <c r="J23" s="100">
        <v>0.36</v>
      </c>
      <c r="K23" s="100">
        <v>245.19</v>
      </c>
      <c r="L23" s="100">
        <v>-25</v>
      </c>
      <c r="M23" s="100">
        <v>36.85</v>
      </c>
      <c r="N23" s="100">
        <v>2.4</v>
      </c>
      <c r="O23" s="100">
        <v>0.2</v>
      </c>
      <c r="P23" s="100">
        <v>0.53</v>
      </c>
      <c r="Q23" s="100">
        <v>10</v>
      </c>
      <c r="R23" s="6"/>
      <c r="S23" s="6"/>
      <c r="T23" s="156"/>
      <c r="U23" s="6"/>
    </row>
    <row r="24" spans="1:21" customFormat="1">
      <c r="A24" s="201" t="s">
        <v>2464</v>
      </c>
      <c r="B24" s="100">
        <v>4.01</v>
      </c>
      <c r="C24" s="100">
        <v>5.73</v>
      </c>
      <c r="D24" s="100">
        <v>9.73</v>
      </c>
      <c r="E24" s="100">
        <v>6.12</v>
      </c>
      <c r="F24" s="100">
        <v>2</v>
      </c>
      <c r="G24" s="100">
        <v>45.36</v>
      </c>
      <c r="H24" s="100">
        <v>19.11</v>
      </c>
      <c r="I24" s="100">
        <v>12</v>
      </c>
      <c r="J24" s="100">
        <v>0.18</v>
      </c>
      <c r="K24" s="100">
        <v>237.47</v>
      </c>
      <c r="L24" s="100">
        <v>-27.44</v>
      </c>
      <c r="M24" s="100">
        <v>30.6</v>
      </c>
      <c r="N24" s="100">
        <v>2.2999999999999998</v>
      </c>
      <c r="O24" s="100">
        <v>0.2</v>
      </c>
      <c r="P24" s="100">
        <v>0.52</v>
      </c>
      <c r="Q24" s="100">
        <v>10</v>
      </c>
      <c r="R24" s="6"/>
      <c r="S24" s="6"/>
      <c r="T24" s="156"/>
      <c r="U24" s="6"/>
    </row>
    <row r="25" spans="1:21" customFormat="1">
      <c r="A25" s="201" t="s">
        <v>2465</v>
      </c>
      <c r="B25" s="100">
        <v>4</v>
      </c>
      <c r="C25" s="100">
        <v>5.73</v>
      </c>
      <c r="D25" s="100">
        <v>9.73</v>
      </c>
      <c r="E25" s="100">
        <v>6.19</v>
      </c>
      <c r="F25" s="100">
        <v>2</v>
      </c>
      <c r="G25" s="100">
        <v>45.36</v>
      </c>
      <c r="H25" s="100">
        <v>19.11</v>
      </c>
      <c r="I25" s="100">
        <v>11.88</v>
      </c>
      <c r="J25" s="100">
        <v>0.19</v>
      </c>
      <c r="K25" s="100">
        <v>118.81</v>
      </c>
      <c r="L25" s="100">
        <v>-35.020000000000003</v>
      </c>
      <c r="M25" s="100">
        <v>11.95</v>
      </c>
      <c r="N25" s="100">
        <v>2.4</v>
      </c>
      <c r="O25" s="100">
        <v>0.2</v>
      </c>
      <c r="P25" s="100">
        <v>0.52</v>
      </c>
      <c r="Q25" s="100">
        <v>10</v>
      </c>
      <c r="R25" s="6"/>
      <c r="S25" s="6"/>
      <c r="T25" s="156"/>
      <c r="U25" s="6"/>
    </row>
    <row r="26" spans="1:21" customFormat="1">
      <c r="A26" s="201" t="s">
        <v>2466</v>
      </c>
      <c r="B26" s="100">
        <v>4</v>
      </c>
      <c r="C26" s="100">
        <v>5.66</v>
      </c>
      <c r="D26" s="100">
        <v>9.66</v>
      </c>
      <c r="E26" s="100">
        <v>6.16</v>
      </c>
      <c r="F26" s="100">
        <v>2</v>
      </c>
      <c r="G26" s="100">
        <v>44.05</v>
      </c>
      <c r="H26" s="100">
        <v>16.920000000000002</v>
      </c>
      <c r="I26" s="100">
        <v>11.84</v>
      </c>
      <c r="J26" s="100">
        <v>0.19</v>
      </c>
      <c r="K26" s="100">
        <v>139.79</v>
      </c>
      <c r="L26" s="100">
        <v>-32.22</v>
      </c>
      <c r="M26" s="100">
        <v>18.829999999999998</v>
      </c>
      <c r="N26" s="100">
        <v>2.7</v>
      </c>
      <c r="O26" s="100">
        <v>0.4</v>
      </c>
      <c r="P26" s="100">
        <v>0.52</v>
      </c>
      <c r="Q26" s="100">
        <v>10</v>
      </c>
      <c r="R26" s="6"/>
      <c r="S26" s="6"/>
      <c r="T26" s="156"/>
      <c r="U26" s="6"/>
    </row>
    <row r="27" spans="1:21" customFormat="1">
      <c r="A27" s="201" t="s">
        <v>2467</v>
      </c>
      <c r="B27" s="100">
        <v>4.05</v>
      </c>
      <c r="C27" s="100">
        <v>5.59</v>
      </c>
      <c r="D27" s="100">
        <v>9.64</v>
      </c>
      <c r="E27" s="100">
        <v>6.15</v>
      </c>
      <c r="F27" s="100">
        <v>2</v>
      </c>
      <c r="G27" s="100">
        <v>43.04</v>
      </c>
      <c r="H27" s="100">
        <v>16.239999999999998</v>
      </c>
      <c r="I27" s="100">
        <v>11.72</v>
      </c>
      <c r="J27" s="100">
        <v>0.16</v>
      </c>
      <c r="K27" s="100">
        <v>251.01</v>
      </c>
      <c r="L27" s="100">
        <v>-25.37</v>
      </c>
      <c r="M27" s="100">
        <v>35.979999999999997</v>
      </c>
      <c r="N27" s="100">
        <v>2.5</v>
      </c>
      <c r="O27" s="100">
        <v>0.2</v>
      </c>
      <c r="P27" s="100">
        <v>0.52</v>
      </c>
      <c r="Q27" s="100">
        <v>10</v>
      </c>
      <c r="R27" s="6"/>
      <c r="S27" s="6"/>
      <c r="T27" s="156"/>
      <c r="U27" s="6"/>
    </row>
    <row r="28" spans="1:21" customFormat="1">
      <c r="A28" s="201" t="s">
        <v>2468</v>
      </c>
      <c r="B28" s="100">
        <v>4.08</v>
      </c>
      <c r="C28" s="100">
        <v>5.51</v>
      </c>
      <c r="D28" s="100">
        <v>9.59</v>
      </c>
      <c r="E28" s="100">
        <v>6.25</v>
      </c>
      <c r="F28" s="100">
        <v>2</v>
      </c>
      <c r="G28" s="100">
        <v>43.04</v>
      </c>
      <c r="H28" s="100">
        <v>16.239999999999998</v>
      </c>
      <c r="I28" s="100">
        <v>11.7</v>
      </c>
      <c r="J28" s="100">
        <v>0.24</v>
      </c>
      <c r="K28" s="100">
        <v>249.73</v>
      </c>
      <c r="L28" s="100">
        <v>-24.98</v>
      </c>
      <c r="M28" s="100">
        <v>37.03</v>
      </c>
      <c r="N28" s="100">
        <v>2.5</v>
      </c>
      <c r="O28" s="100">
        <v>0.2</v>
      </c>
      <c r="P28" s="100">
        <v>0.52</v>
      </c>
      <c r="Q28" s="100">
        <v>10</v>
      </c>
      <c r="R28" s="6"/>
      <c r="S28" s="6"/>
      <c r="T28" s="156"/>
      <c r="U28" s="6"/>
    </row>
    <row r="29" spans="1:21" customFormat="1">
      <c r="A29" s="201" t="s">
        <v>2469</v>
      </c>
      <c r="B29" s="100">
        <v>4.12</v>
      </c>
      <c r="C29" s="100">
        <v>5.37</v>
      </c>
      <c r="D29" s="100">
        <v>9.49</v>
      </c>
      <c r="E29" s="100">
        <v>6.23</v>
      </c>
      <c r="F29" s="100">
        <v>2</v>
      </c>
      <c r="G29" s="100">
        <v>43.04</v>
      </c>
      <c r="H29" s="100">
        <v>16.239999999999998</v>
      </c>
      <c r="I29" s="100">
        <v>11.73</v>
      </c>
      <c r="J29" s="100">
        <v>0.28999999999999998</v>
      </c>
      <c r="K29" s="100">
        <v>254.3</v>
      </c>
      <c r="L29" s="100">
        <v>-24.95</v>
      </c>
      <c r="M29" s="100">
        <v>37.08</v>
      </c>
      <c r="N29" s="100">
        <v>2.5</v>
      </c>
      <c r="O29" s="100">
        <v>0.2</v>
      </c>
      <c r="P29" s="100">
        <v>0.52</v>
      </c>
      <c r="Q29" s="100">
        <v>10</v>
      </c>
      <c r="R29" s="6"/>
      <c r="S29" s="6"/>
      <c r="T29" s="156"/>
      <c r="U29" s="6"/>
    </row>
    <row r="30" spans="1:21" customFormat="1">
      <c r="A30" s="201" t="s">
        <v>2470</v>
      </c>
      <c r="B30" s="100">
        <v>4.1500000000000004</v>
      </c>
      <c r="C30" s="100">
        <v>5.15</v>
      </c>
      <c r="D30" s="100">
        <v>9.31</v>
      </c>
      <c r="E30" s="100">
        <v>5.96</v>
      </c>
      <c r="F30" s="100">
        <v>2.34</v>
      </c>
      <c r="G30" s="100">
        <v>40.619999999999997</v>
      </c>
      <c r="H30" s="100">
        <v>15.38</v>
      </c>
      <c r="I30" s="100">
        <v>11.77</v>
      </c>
      <c r="J30" s="100">
        <v>0.16</v>
      </c>
      <c r="K30" s="100">
        <v>233.46</v>
      </c>
      <c r="L30" s="100">
        <v>-27.53</v>
      </c>
      <c r="M30" s="100">
        <v>30.64</v>
      </c>
      <c r="N30" s="100">
        <v>2.4</v>
      </c>
      <c r="O30" s="100">
        <v>0</v>
      </c>
      <c r="P30" s="100">
        <v>0.47</v>
      </c>
      <c r="Q30" s="100">
        <v>10</v>
      </c>
      <c r="R30" s="6"/>
      <c r="S30" s="6"/>
      <c r="T30" s="156"/>
      <c r="U30" s="6"/>
    </row>
    <row r="31" spans="1:21" customFormat="1">
      <c r="A31" s="201" t="s">
        <v>2471</v>
      </c>
      <c r="B31" s="100">
        <v>4.29</v>
      </c>
      <c r="C31" s="100">
        <v>4.9800000000000004</v>
      </c>
      <c r="D31" s="100">
        <v>9.27</v>
      </c>
      <c r="E31" s="100">
        <v>5.79</v>
      </c>
      <c r="F31" s="100">
        <v>2.2999999999999998</v>
      </c>
      <c r="G31" s="100">
        <v>38.76</v>
      </c>
      <c r="H31" s="100">
        <v>15.11</v>
      </c>
      <c r="I31" s="100">
        <v>11.82</v>
      </c>
      <c r="J31" s="100">
        <v>0.22</v>
      </c>
      <c r="K31" s="100">
        <v>245.87</v>
      </c>
      <c r="L31" s="100">
        <v>-25.6</v>
      </c>
      <c r="M31" s="100">
        <v>35.42</v>
      </c>
      <c r="N31" s="100">
        <v>2.2999999999999998</v>
      </c>
      <c r="O31" s="100">
        <v>0</v>
      </c>
      <c r="P31" s="100">
        <v>0.45</v>
      </c>
      <c r="Q31" s="100">
        <v>10</v>
      </c>
      <c r="R31" s="6"/>
      <c r="S31" s="6"/>
      <c r="T31" s="156"/>
      <c r="U31" s="6"/>
    </row>
    <row r="32" spans="1:21" customFormat="1">
      <c r="A32" s="201" t="s">
        <v>2472</v>
      </c>
      <c r="B32" s="100">
        <v>4.6100000000000003</v>
      </c>
      <c r="C32" s="100">
        <v>5.0999999999999996</v>
      </c>
      <c r="D32" s="100">
        <v>9.7100000000000009</v>
      </c>
      <c r="E32" s="100">
        <v>5.85</v>
      </c>
      <c r="F32" s="100">
        <v>2</v>
      </c>
      <c r="G32" s="100">
        <v>38.76</v>
      </c>
      <c r="H32" s="100">
        <v>15.11</v>
      </c>
      <c r="I32" s="100">
        <v>11.69</v>
      </c>
      <c r="J32" s="100">
        <v>0.28999999999999998</v>
      </c>
      <c r="K32" s="100">
        <v>254.2</v>
      </c>
      <c r="L32" s="100">
        <v>-24.89</v>
      </c>
      <c r="M32" s="100">
        <v>37.39</v>
      </c>
      <c r="N32" s="100">
        <v>3.7</v>
      </c>
      <c r="O32" s="100">
        <v>0</v>
      </c>
      <c r="P32" s="100">
        <v>0.47</v>
      </c>
      <c r="Q32" s="100">
        <v>10</v>
      </c>
      <c r="R32" s="6"/>
      <c r="S32" s="6"/>
      <c r="T32" s="156"/>
      <c r="U32" s="6"/>
    </row>
    <row r="33" spans="1:21" customFormat="1">
      <c r="A33" s="201" t="s">
        <v>2473</v>
      </c>
      <c r="B33" s="100">
        <v>4.74</v>
      </c>
      <c r="C33" s="100">
        <v>5</v>
      </c>
      <c r="D33" s="100">
        <v>9.74</v>
      </c>
      <c r="E33" s="100">
        <v>5.97</v>
      </c>
      <c r="F33" s="100">
        <v>2</v>
      </c>
      <c r="G33" s="100">
        <v>38.76</v>
      </c>
      <c r="H33" s="100">
        <v>15.11</v>
      </c>
      <c r="I33" s="100">
        <v>11.63</v>
      </c>
      <c r="J33" s="100">
        <v>0.39</v>
      </c>
      <c r="K33" s="100">
        <v>254.08</v>
      </c>
      <c r="L33" s="100">
        <v>-24.35</v>
      </c>
      <c r="M33" s="100">
        <v>38.49</v>
      </c>
      <c r="N33" s="100">
        <v>8</v>
      </c>
      <c r="O33" s="100">
        <v>0</v>
      </c>
      <c r="P33" s="100">
        <v>0.46</v>
      </c>
      <c r="Q33" s="100">
        <v>10</v>
      </c>
      <c r="R33" s="6"/>
      <c r="S33" s="6"/>
      <c r="T33" s="156"/>
      <c r="U33" s="6"/>
    </row>
    <row r="34" spans="1:21" customFormat="1">
      <c r="A34" s="201" t="s">
        <v>2474</v>
      </c>
      <c r="B34" s="100">
        <v>4.6100000000000003</v>
      </c>
      <c r="C34" s="100">
        <v>5.05</v>
      </c>
      <c r="D34" s="100">
        <v>9.66</v>
      </c>
      <c r="E34" s="100">
        <v>5.62</v>
      </c>
      <c r="F34" s="100">
        <v>2.4900000000000002</v>
      </c>
      <c r="G34" s="100">
        <v>38.130000000000003</v>
      </c>
      <c r="H34" s="100">
        <v>17.329999999999998</v>
      </c>
      <c r="I34" s="100">
        <v>11.67</v>
      </c>
      <c r="J34" s="100">
        <v>0.3</v>
      </c>
      <c r="K34" s="100">
        <v>255.04</v>
      </c>
      <c r="L34" s="100">
        <v>-24.69</v>
      </c>
      <c r="M34" s="100">
        <v>37.49</v>
      </c>
      <c r="N34" s="100">
        <v>14.9</v>
      </c>
      <c r="O34" s="100">
        <v>0</v>
      </c>
      <c r="P34" s="100">
        <v>0.43</v>
      </c>
      <c r="Q34" s="100">
        <v>10</v>
      </c>
      <c r="R34" s="6"/>
      <c r="S34" s="6"/>
      <c r="T34" s="156"/>
      <c r="U34" s="6"/>
    </row>
    <row r="35" spans="1:21" customFormat="1">
      <c r="A35" s="201" t="s">
        <v>2475</v>
      </c>
      <c r="B35" s="100">
        <v>4.87</v>
      </c>
      <c r="C35" s="100">
        <v>5.16</v>
      </c>
      <c r="D35" s="100">
        <v>10.02</v>
      </c>
      <c r="E35" s="100">
        <v>5.92</v>
      </c>
      <c r="F35" s="100">
        <v>2.0299999999999998</v>
      </c>
      <c r="G35" s="100">
        <v>37.64</v>
      </c>
      <c r="H35" s="100">
        <v>18.05</v>
      </c>
      <c r="I35" s="100">
        <v>11.26</v>
      </c>
      <c r="J35" s="100">
        <v>0.27</v>
      </c>
      <c r="K35" s="100">
        <v>250.32</v>
      </c>
      <c r="L35" s="100">
        <v>-24.93</v>
      </c>
      <c r="M35" s="100">
        <v>37.06</v>
      </c>
      <c r="N35" s="100">
        <v>11.3</v>
      </c>
      <c r="O35" s="100">
        <v>0</v>
      </c>
      <c r="P35" s="100">
        <v>0.46</v>
      </c>
      <c r="Q35" s="100">
        <v>10</v>
      </c>
      <c r="R35" s="6"/>
      <c r="S35" s="6"/>
      <c r="T35" s="156"/>
      <c r="U35" s="6"/>
    </row>
    <row r="36" spans="1:21" customFormat="1">
      <c r="A36" s="201" t="s">
        <v>2476</v>
      </c>
      <c r="B36" s="100">
        <v>5.05</v>
      </c>
      <c r="C36" s="100">
        <v>5.15</v>
      </c>
      <c r="D36" s="100">
        <v>10.199999999999999</v>
      </c>
      <c r="E36" s="100">
        <v>6.07</v>
      </c>
      <c r="F36" s="100">
        <v>2</v>
      </c>
      <c r="G36" s="100">
        <v>37.64</v>
      </c>
      <c r="H36" s="100">
        <v>18.05</v>
      </c>
      <c r="I36" s="100">
        <v>10.97</v>
      </c>
      <c r="J36" s="100">
        <v>0.33</v>
      </c>
      <c r="K36" s="100">
        <v>245.95</v>
      </c>
      <c r="L36" s="100">
        <v>-25.64</v>
      </c>
      <c r="M36" s="100">
        <v>35.35</v>
      </c>
      <c r="N36" s="100">
        <v>9.1</v>
      </c>
      <c r="O36" s="100">
        <v>0</v>
      </c>
      <c r="P36" s="100">
        <v>0.46</v>
      </c>
      <c r="Q36" s="100">
        <v>10</v>
      </c>
      <c r="R36" s="6"/>
      <c r="S36" s="6"/>
      <c r="T36" s="156"/>
      <c r="U36" s="6"/>
    </row>
    <row r="37" spans="1:21" customFormat="1">
      <c r="A37" s="201" t="s">
        <v>2477</v>
      </c>
      <c r="B37" s="100">
        <v>5.04</v>
      </c>
      <c r="C37" s="100">
        <v>5.22</v>
      </c>
      <c r="D37" s="100">
        <v>10.25</v>
      </c>
      <c r="E37" s="100">
        <v>5.85</v>
      </c>
      <c r="F37" s="100">
        <v>2.21</v>
      </c>
      <c r="G37" s="100">
        <v>37.64</v>
      </c>
      <c r="H37" s="100">
        <v>18.05</v>
      </c>
      <c r="I37" s="100">
        <v>11.28</v>
      </c>
      <c r="J37" s="100">
        <v>0.34</v>
      </c>
      <c r="K37" s="100">
        <v>252.59</v>
      </c>
      <c r="L37" s="100">
        <v>-25.59</v>
      </c>
      <c r="M37" s="100">
        <v>34.9</v>
      </c>
      <c r="N37" s="100">
        <v>9.6999999999999993</v>
      </c>
      <c r="O37" s="100">
        <v>0</v>
      </c>
      <c r="P37" s="100">
        <v>0.46</v>
      </c>
      <c r="Q37" s="100">
        <v>10</v>
      </c>
      <c r="R37" s="6"/>
      <c r="S37" s="6"/>
      <c r="T37" s="156"/>
      <c r="U37" s="6"/>
    </row>
    <row r="38" spans="1:21" customFormat="1">
      <c r="A38" s="201" t="s">
        <v>2478</v>
      </c>
      <c r="B38" s="100">
        <v>5.18</v>
      </c>
      <c r="C38" s="100">
        <v>5.28</v>
      </c>
      <c r="D38" s="100">
        <v>10.46</v>
      </c>
      <c r="E38" s="100">
        <v>5.64</v>
      </c>
      <c r="F38" s="100">
        <v>2</v>
      </c>
      <c r="G38" s="100">
        <v>35.04</v>
      </c>
      <c r="H38" s="100">
        <v>16.03</v>
      </c>
      <c r="I38" s="100">
        <v>11.3</v>
      </c>
      <c r="J38" s="100">
        <v>0.15</v>
      </c>
      <c r="K38" s="100">
        <v>238.31</v>
      </c>
      <c r="L38" s="100">
        <v>-27.01</v>
      </c>
      <c r="M38" s="100">
        <v>32.020000000000003</v>
      </c>
      <c r="N38" s="100">
        <v>8.6999999999999993</v>
      </c>
      <c r="O38" s="100">
        <v>0</v>
      </c>
      <c r="P38" s="100">
        <v>0.46</v>
      </c>
      <c r="Q38" s="100">
        <v>10</v>
      </c>
      <c r="R38" s="6"/>
      <c r="S38" s="6"/>
      <c r="T38" s="156"/>
      <c r="U38" s="6"/>
    </row>
    <row r="39" spans="1:21" customFormat="1">
      <c r="A39" s="201" t="s">
        <v>2479</v>
      </c>
      <c r="B39" s="100">
        <v>5.41</v>
      </c>
      <c r="C39" s="100">
        <v>5.38</v>
      </c>
      <c r="D39" s="100">
        <v>10.79</v>
      </c>
      <c r="E39" s="100">
        <v>5.46</v>
      </c>
      <c r="F39" s="100">
        <v>2</v>
      </c>
      <c r="G39" s="100">
        <v>33.049999999999997</v>
      </c>
      <c r="H39" s="100">
        <v>14.88</v>
      </c>
      <c r="I39" s="100">
        <v>11.22</v>
      </c>
      <c r="J39" s="100">
        <v>0.16</v>
      </c>
      <c r="K39" s="100">
        <v>237.7</v>
      </c>
      <c r="L39" s="100">
        <v>-26.41</v>
      </c>
      <c r="M39" s="100">
        <v>33.450000000000003</v>
      </c>
      <c r="N39" s="100">
        <v>6.1</v>
      </c>
      <c r="O39" s="100">
        <v>0.6</v>
      </c>
      <c r="P39" s="100">
        <v>0.47</v>
      </c>
      <c r="Q39" s="100">
        <v>10</v>
      </c>
      <c r="R39" s="6"/>
      <c r="S39" s="6"/>
      <c r="T39" s="156"/>
      <c r="U39" s="6"/>
    </row>
    <row r="40" spans="1:21" customFormat="1">
      <c r="A40" s="201" t="s">
        <v>2480</v>
      </c>
      <c r="B40" s="100">
        <v>5.47</v>
      </c>
      <c r="C40" s="100">
        <v>5.24</v>
      </c>
      <c r="D40" s="100">
        <v>10.7</v>
      </c>
      <c r="E40" s="100">
        <v>6.2</v>
      </c>
      <c r="F40" s="100">
        <v>2</v>
      </c>
      <c r="G40" s="100">
        <v>33.049999999999997</v>
      </c>
      <c r="H40" s="100">
        <v>14.88</v>
      </c>
      <c r="I40" s="100">
        <v>11.14</v>
      </c>
      <c r="J40" s="100">
        <v>0.27</v>
      </c>
      <c r="K40" s="100">
        <v>252.04</v>
      </c>
      <c r="L40" s="100">
        <v>-24.52</v>
      </c>
      <c r="M40" s="100">
        <v>38.159999999999997</v>
      </c>
      <c r="N40" s="100">
        <v>5.6</v>
      </c>
      <c r="O40" s="100">
        <v>0.6</v>
      </c>
      <c r="P40" s="100">
        <v>0.47</v>
      </c>
      <c r="Q40" s="100">
        <v>10</v>
      </c>
      <c r="R40" s="6"/>
      <c r="S40" s="6"/>
      <c r="T40" s="156"/>
      <c r="U40" s="6"/>
    </row>
    <row r="41" spans="1:21" customFormat="1">
      <c r="A41" s="201" t="s">
        <v>2481</v>
      </c>
      <c r="B41" s="100">
        <v>5.56</v>
      </c>
      <c r="C41" s="100">
        <v>5.15</v>
      </c>
      <c r="D41" s="100">
        <v>10.71</v>
      </c>
      <c r="E41" s="100">
        <v>6.02</v>
      </c>
      <c r="F41" s="100">
        <v>2.12</v>
      </c>
      <c r="G41" s="100">
        <v>33.049999999999997</v>
      </c>
      <c r="H41" s="100">
        <v>14.88</v>
      </c>
      <c r="I41" s="100">
        <v>11.19</v>
      </c>
      <c r="J41" s="100">
        <v>0.22</v>
      </c>
      <c r="K41" s="100">
        <v>247.19</v>
      </c>
      <c r="L41" s="100">
        <v>-24.88</v>
      </c>
      <c r="M41" s="100">
        <v>37.119999999999997</v>
      </c>
      <c r="N41" s="100">
        <v>4.2</v>
      </c>
      <c r="O41" s="100">
        <v>0.8</v>
      </c>
      <c r="P41" s="100">
        <v>0.47</v>
      </c>
      <c r="Q41" s="100">
        <v>10</v>
      </c>
      <c r="R41" s="6"/>
      <c r="S41" s="6"/>
      <c r="T41" s="156"/>
      <c r="U41" s="6"/>
    </row>
    <row r="42" spans="1:21" customFormat="1">
      <c r="A42" s="201" t="s">
        <v>2482</v>
      </c>
      <c r="B42" s="100">
        <v>5.72</v>
      </c>
      <c r="C42" s="100">
        <v>5.38</v>
      </c>
      <c r="D42" s="100">
        <v>11.1</v>
      </c>
      <c r="E42" s="100">
        <v>5.91</v>
      </c>
      <c r="F42" s="100">
        <v>2.0299999999999998</v>
      </c>
      <c r="G42" s="100">
        <v>33.369999999999997</v>
      </c>
      <c r="H42" s="100">
        <v>15.19</v>
      </c>
      <c r="I42" s="100">
        <v>11.02</v>
      </c>
      <c r="J42" s="100">
        <v>0.24</v>
      </c>
      <c r="K42" s="100">
        <v>251.95</v>
      </c>
      <c r="L42" s="100">
        <v>-25.95</v>
      </c>
      <c r="M42" s="100">
        <v>34.56</v>
      </c>
      <c r="N42" s="100">
        <v>4.4000000000000004</v>
      </c>
      <c r="O42" s="100">
        <v>1.2</v>
      </c>
      <c r="P42" s="100">
        <v>0.48</v>
      </c>
      <c r="Q42" s="100">
        <v>10</v>
      </c>
      <c r="R42" s="6"/>
      <c r="S42" s="6"/>
      <c r="T42" s="156"/>
      <c r="U42" s="6"/>
    </row>
    <row r="43" spans="1:21" customFormat="1">
      <c r="A43" s="201" t="s">
        <v>2483</v>
      </c>
      <c r="B43" s="100">
        <v>6.1</v>
      </c>
      <c r="C43" s="100">
        <v>5.65</v>
      </c>
      <c r="D43" s="100">
        <v>11.76</v>
      </c>
      <c r="E43" s="100">
        <v>6.23</v>
      </c>
      <c r="F43" s="100">
        <v>2</v>
      </c>
      <c r="G43" s="100">
        <v>33.61</v>
      </c>
      <c r="H43" s="100">
        <v>15.29</v>
      </c>
      <c r="I43" s="100">
        <v>10.97</v>
      </c>
      <c r="J43" s="100">
        <v>0.13</v>
      </c>
      <c r="K43" s="100">
        <v>257.24</v>
      </c>
      <c r="L43" s="100">
        <v>-31.47</v>
      </c>
      <c r="M43" s="100">
        <v>20.63</v>
      </c>
      <c r="N43" s="100">
        <v>4.3</v>
      </c>
      <c r="O43" s="100">
        <v>2.4</v>
      </c>
      <c r="P43" s="100">
        <v>0.47</v>
      </c>
      <c r="Q43" s="100">
        <v>10</v>
      </c>
      <c r="R43" s="6"/>
      <c r="S43" s="6"/>
      <c r="T43" s="156"/>
      <c r="U43" s="6"/>
    </row>
    <row r="44" spans="1:21" customFormat="1">
      <c r="A44" s="201" t="s">
        <v>2484</v>
      </c>
      <c r="B44" s="100">
        <v>6.23</v>
      </c>
      <c r="C44" s="100">
        <v>5.53</v>
      </c>
      <c r="D44" s="100">
        <v>11.76</v>
      </c>
      <c r="E44" s="100">
        <v>5.92</v>
      </c>
      <c r="F44" s="100">
        <v>2</v>
      </c>
      <c r="G44" s="100">
        <v>33.61</v>
      </c>
      <c r="H44" s="100">
        <v>15.29</v>
      </c>
      <c r="I44" s="100">
        <v>11.04</v>
      </c>
      <c r="J44" s="100">
        <v>0.18</v>
      </c>
      <c r="K44" s="100">
        <v>279.51</v>
      </c>
      <c r="L44" s="100">
        <v>-23.68</v>
      </c>
      <c r="M44" s="100">
        <v>40.130000000000003</v>
      </c>
      <c r="N44" s="100">
        <v>5</v>
      </c>
      <c r="O44" s="100">
        <v>1.4</v>
      </c>
      <c r="P44" s="100">
        <v>0.46</v>
      </c>
      <c r="Q44" s="100">
        <v>10</v>
      </c>
      <c r="R44" s="6"/>
      <c r="S44" s="6"/>
      <c r="T44" s="156"/>
      <c r="U44" s="6"/>
    </row>
    <row r="45" spans="1:21" customFormat="1">
      <c r="A45" s="201" t="s">
        <v>2485</v>
      </c>
      <c r="B45" s="100">
        <v>6.61</v>
      </c>
      <c r="C45" s="100">
        <v>5.65</v>
      </c>
      <c r="D45" s="100">
        <v>12.26</v>
      </c>
      <c r="E45" s="100">
        <v>6.24</v>
      </c>
      <c r="F45" s="100">
        <v>2</v>
      </c>
      <c r="G45" s="100">
        <v>33.61</v>
      </c>
      <c r="H45" s="100">
        <v>15.29</v>
      </c>
      <c r="I45" s="100">
        <v>10.89</v>
      </c>
      <c r="J45" s="100">
        <v>0.22</v>
      </c>
      <c r="K45" s="100">
        <v>300.43</v>
      </c>
      <c r="L45" s="100">
        <v>-29.14</v>
      </c>
      <c r="M45" s="100">
        <v>26.63</v>
      </c>
      <c r="N45" s="100">
        <v>4.3</v>
      </c>
      <c r="O45" s="100">
        <v>5</v>
      </c>
      <c r="P45" s="100">
        <v>0.49</v>
      </c>
      <c r="Q45" s="100">
        <v>10</v>
      </c>
      <c r="R45" s="6"/>
      <c r="S45" s="6"/>
      <c r="T45" s="156"/>
      <c r="U45" s="6"/>
    </row>
    <row r="46" spans="1:21" customFormat="1">
      <c r="A46" s="201" t="s">
        <v>2486</v>
      </c>
      <c r="B46" s="100">
        <v>6.81</v>
      </c>
      <c r="C46" s="100">
        <v>5.83</v>
      </c>
      <c r="D46" s="100">
        <v>12.64</v>
      </c>
      <c r="E46" s="100">
        <v>6.03</v>
      </c>
      <c r="F46" s="100">
        <v>2</v>
      </c>
      <c r="G46" s="100">
        <v>34.979999999999997</v>
      </c>
      <c r="H46" s="100">
        <v>13.75</v>
      </c>
      <c r="I46" s="100">
        <v>10.88</v>
      </c>
      <c r="J46" s="100">
        <v>0.56999999999999995</v>
      </c>
      <c r="K46" s="100">
        <v>266.49</v>
      </c>
      <c r="L46" s="100">
        <v>-23.23</v>
      </c>
      <c r="M46" s="100">
        <v>41.27</v>
      </c>
      <c r="N46" s="100">
        <v>5.3</v>
      </c>
      <c r="O46" s="100">
        <v>1.2</v>
      </c>
      <c r="P46" s="100">
        <v>0.47</v>
      </c>
      <c r="Q46" s="100">
        <v>10</v>
      </c>
      <c r="R46" s="6"/>
      <c r="S46" s="6"/>
      <c r="T46" s="156"/>
      <c r="U46" s="6"/>
    </row>
    <row r="47" spans="1:21" customFormat="1">
      <c r="A47" s="201" t="s">
        <v>2487</v>
      </c>
      <c r="B47" s="100">
        <v>6.94</v>
      </c>
      <c r="C47" s="100">
        <v>5.81</v>
      </c>
      <c r="D47" s="100">
        <v>12.76</v>
      </c>
      <c r="E47" s="100">
        <v>6.21</v>
      </c>
      <c r="F47" s="100">
        <v>2</v>
      </c>
      <c r="G47" s="100">
        <v>36.03</v>
      </c>
      <c r="H47" s="100">
        <v>13.26</v>
      </c>
      <c r="I47" s="100">
        <v>10.97</v>
      </c>
      <c r="J47" s="100">
        <v>0.57999999999999996</v>
      </c>
      <c r="K47" s="100">
        <v>266.25</v>
      </c>
      <c r="L47" s="100">
        <v>-23.14</v>
      </c>
      <c r="M47" s="100">
        <v>41.4</v>
      </c>
      <c r="N47" s="100">
        <v>5.4</v>
      </c>
      <c r="O47" s="100">
        <v>1.6</v>
      </c>
      <c r="P47" s="100">
        <v>0.47</v>
      </c>
      <c r="Q47" s="100">
        <v>10.67</v>
      </c>
      <c r="R47" s="6"/>
      <c r="S47" s="6"/>
      <c r="T47" s="156"/>
      <c r="U47" s="6"/>
    </row>
    <row r="48" spans="1:21" customFormat="1">
      <c r="A48" s="201" t="s">
        <v>2488</v>
      </c>
      <c r="B48" s="100">
        <v>7.06</v>
      </c>
      <c r="C48" s="100">
        <v>6.22</v>
      </c>
      <c r="D48" s="100">
        <v>13.27</v>
      </c>
      <c r="E48" s="100">
        <v>6.23</v>
      </c>
      <c r="F48" s="100">
        <v>2</v>
      </c>
      <c r="G48" s="100">
        <v>36.03</v>
      </c>
      <c r="H48" s="100">
        <v>13.26</v>
      </c>
      <c r="I48" s="100">
        <v>10.97</v>
      </c>
      <c r="J48" s="100">
        <v>0.7</v>
      </c>
      <c r="K48" s="100">
        <v>266.56</v>
      </c>
      <c r="L48" s="100">
        <v>-23.03</v>
      </c>
      <c r="M48" s="100">
        <v>41.75</v>
      </c>
      <c r="N48" s="100">
        <v>7.9</v>
      </c>
      <c r="O48" s="100">
        <v>1.6</v>
      </c>
      <c r="P48" s="100">
        <v>0.5</v>
      </c>
      <c r="Q48" s="100">
        <v>10.46</v>
      </c>
      <c r="R48" s="6"/>
      <c r="S48" s="6"/>
      <c r="T48" s="156"/>
      <c r="U48" s="6"/>
    </row>
    <row r="49" spans="1:21" customFormat="1">
      <c r="A49" s="201" t="s">
        <v>2489</v>
      </c>
      <c r="B49" s="100">
        <v>7.09</v>
      </c>
      <c r="C49" s="100">
        <v>6.79</v>
      </c>
      <c r="D49" s="100">
        <v>13.88</v>
      </c>
      <c r="E49" s="100">
        <v>4.8899999999999997</v>
      </c>
      <c r="F49" s="100">
        <v>2</v>
      </c>
      <c r="G49" s="100">
        <v>36.03</v>
      </c>
      <c r="H49" s="100">
        <v>13.26</v>
      </c>
      <c r="I49" s="100">
        <v>10.85</v>
      </c>
      <c r="J49" s="100">
        <v>0.65</v>
      </c>
      <c r="K49" s="100">
        <v>286.08999999999997</v>
      </c>
      <c r="L49" s="100">
        <v>-21.92</v>
      </c>
      <c r="M49" s="100">
        <v>44.46</v>
      </c>
      <c r="N49" s="100">
        <v>9.4</v>
      </c>
      <c r="O49" s="100">
        <v>1.6</v>
      </c>
      <c r="P49" s="100">
        <v>0.51</v>
      </c>
      <c r="Q49" s="100">
        <v>10</v>
      </c>
      <c r="R49" s="6"/>
      <c r="S49" s="6"/>
      <c r="T49" s="156"/>
      <c r="U49" s="6"/>
    </row>
    <row r="50" spans="1:21" customFormat="1">
      <c r="A50" s="201" t="s">
        <v>2490</v>
      </c>
      <c r="B50" s="100">
        <v>7.09</v>
      </c>
      <c r="C50" s="100">
        <v>6.99</v>
      </c>
      <c r="D50" s="100">
        <v>14.08</v>
      </c>
      <c r="E50" s="100">
        <v>6.13</v>
      </c>
      <c r="F50" s="100">
        <v>2</v>
      </c>
      <c r="G50" s="100">
        <v>33.67</v>
      </c>
      <c r="H50" s="100">
        <v>13.4</v>
      </c>
      <c r="I50" s="100">
        <v>10.62</v>
      </c>
      <c r="J50" s="100">
        <v>0.56000000000000005</v>
      </c>
      <c r="K50" s="100">
        <v>294.44</v>
      </c>
      <c r="L50" s="100">
        <v>-21.89</v>
      </c>
      <c r="M50" s="100">
        <v>44.43</v>
      </c>
      <c r="N50" s="100">
        <v>11.4</v>
      </c>
      <c r="O50" s="100">
        <v>1</v>
      </c>
      <c r="P50" s="100">
        <v>0.52</v>
      </c>
      <c r="Q50" s="100">
        <v>10</v>
      </c>
      <c r="R50" s="6"/>
      <c r="S50" s="6"/>
      <c r="T50" s="156"/>
      <c r="U50" s="6"/>
    </row>
    <row r="51" spans="1:21" customFormat="1">
      <c r="A51" s="201" t="s">
        <v>2491</v>
      </c>
      <c r="B51" s="100">
        <v>7.03</v>
      </c>
      <c r="C51" s="100">
        <v>7.12</v>
      </c>
      <c r="D51" s="100">
        <v>14.15</v>
      </c>
      <c r="E51" s="100">
        <v>6.16</v>
      </c>
      <c r="F51" s="100">
        <v>2</v>
      </c>
      <c r="G51" s="100">
        <v>31.87</v>
      </c>
      <c r="H51" s="100">
        <v>13.44</v>
      </c>
      <c r="I51" s="100">
        <v>10.41</v>
      </c>
      <c r="J51" s="100">
        <v>0.54</v>
      </c>
      <c r="K51" s="100">
        <v>294.60000000000002</v>
      </c>
      <c r="L51" s="100">
        <v>-21.66</v>
      </c>
      <c r="M51" s="100">
        <v>44.99</v>
      </c>
      <c r="N51" s="100">
        <v>11.9</v>
      </c>
      <c r="O51" s="100">
        <v>1</v>
      </c>
      <c r="P51" s="100">
        <v>0.51</v>
      </c>
      <c r="Q51" s="100">
        <v>10</v>
      </c>
      <c r="R51" s="6"/>
      <c r="S51" s="6"/>
      <c r="T51" s="156"/>
      <c r="U51" s="6"/>
    </row>
    <row r="52" spans="1:21" customFormat="1">
      <c r="A52" s="201" t="s">
        <v>2492</v>
      </c>
      <c r="B52" s="100">
        <v>6.85</v>
      </c>
      <c r="C52" s="100">
        <v>7.42</v>
      </c>
      <c r="D52" s="100">
        <v>14.27</v>
      </c>
      <c r="E52" s="100">
        <v>6.29</v>
      </c>
      <c r="F52" s="100">
        <v>2.33</v>
      </c>
      <c r="G52" s="100">
        <v>31.87</v>
      </c>
      <c r="H52" s="100">
        <v>13.44</v>
      </c>
      <c r="I52" s="100">
        <v>10.23</v>
      </c>
      <c r="J52" s="100">
        <v>0.46</v>
      </c>
      <c r="K52" s="100">
        <v>317.05</v>
      </c>
      <c r="L52" s="100">
        <v>-24.78</v>
      </c>
      <c r="M52" s="100">
        <v>37.15</v>
      </c>
      <c r="N52" s="100">
        <v>10.7</v>
      </c>
      <c r="O52" s="100">
        <v>3.4</v>
      </c>
      <c r="P52" s="100">
        <v>0.5</v>
      </c>
      <c r="Q52" s="100">
        <v>10</v>
      </c>
      <c r="R52" s="6"/>
      <c r="S52" s="6"/>
      <c r="T52" s="156"/>
      <c r="U52" s="6"/>
    </row>
    <row r="53" spans="1:21" customFormat="1">
      <c r="A53" s="201" t="s">
        <v>2493</v>
      </c>
      <c r="B53" s="100">
        <v>5.52</v>
      </c>
      <c r="C53" s="100">
        <v>9.84</v>
      </c>
      <c r="D53" s="100">
        <v>15.36</v>
      </c>
      <c r="E53" s="100">
        <v>4.93</v>
      </c>
      <c r="F53" s="100">
        <v>4.26</v>
      </c>
      <c r="G53" s="100">
        <v>31.87</v>
      </c>
      <c r="H53" s="100">
        <v>13.44</v>
      </c>
      <c r="I53" s="100">
        <v>9.98</v>
      </c>
      <c r="J53" s="100">
        <v>0.18</v>
      </c>
      <c r="K53" s="100">
        <v>319.14999999999998</v>
      </c>
      <c r="L53" s="100">
        <v>-27.49</v>
      </c>
      <c r="M53" s="100">
        <v>23.89</v>
      </c>
      <c r="N53" s="100">
        <v>14.5</v>
      </c>
      <c r="O53" s="100">
        <v>3.2</v>
      </c>
      <c r="P53" s="100">
        <v>0.46</v>
      </c>
      <c r="Q53" s="100">
        <v>10</v>
      </c>
      <c r="R53" s="6"/>
      <c r="S53" s="6"/>
      <c r="T53" s="156"/>
      <c r="U53" s="6"/>
    </row>
    <row r="54" spans="1:21" customFormat="1">
      <c r="A54" s="201" t="s">
        <v>2494</v>
      </c>
      <c r="B54" s="100">
        <v>5.14</v>
      </c>
      <c r="C54" s="100">
        <v>12.07</v>
      </c>
      <c r="D54" s="100">
        <v>17.22</v>
      </c>
      <c r="E54" s="100">
        <v>4.7699999999999996</v>
      </c>
      <c r="F54" s="100">
        <v>3.37</v>
      </c>
      <c r="G54" s="100">
        <v>30.04</v>
      </c>
      <c r="H54" s="100">
        <v>14.89</v>
      </c>
      <c r="I54" s="100">
        <v>9.4</v>
      </c>
      <c r="J54" s="100">
        <v>0.68</v>
      </c>
      <c r="K54" s="100">
        <v>299.77</v>
      </c>
      <c r="L54" s="100">
        <v>26.16</v>
      </c>
      <c r="M54" s="100">
        <v>47.75</v>
      </c>
      <c r="N54" s="100">
        <v>13.1</v>
      </c>
      <c r="O54" s="100">
        <v>2</v>
      </c>
      <c r="P54" s="100">
        <v>0.45</v>
      </c>
      <c r="Q54" s="100">
        <v>17.25</v>
      </c>
      <c r="R54" s="6"/>
      <c r="S54" s="6"/>
      <c r="T54" s="156"/>
      <c r="U54" s="6"/>
    </row>
    <row r="55" spans="1:21" customFormat="1">
      <c r="A55" s="201" t="s">
        <v>2495</v>
      </c>
      <c r="B55" s="100">
        <v>4.95</v>
      </c>
      <c r="C55" s="100">
        <v>11.07</v>
      </c>
      <c r="D55" s="100">
        <v>16.03</v>
      </c>
      <c r="E55" s="100">
        <v>4.9000000000000004</v>
      </c>
      <c r="F55" s="100">
        <v>2.76</v>
      </c>
      <c r="G55" s="100">
        <v>28.65</v>
      </c>
      <c r="H55" s="100">
        <v>15.74</v>
      </c>
      <c r="I55" s="100">
        <v>8.3699999999999992</v>
      </c>
      <c r="J55" s="100">
        <v>0.91</v>
      </c>
      <c r="K55" s="100">
        <v>297.04000000000002</v>
      </c>
      <c r="L55" s="100">
        <v>26.33</v>
      </c>
      <c r="M55" s="100">
        <v>46.99</v>
      </c>
      <c r="N55" s="100">
        <v>18.899999999999999</v>
      </c>
      <c r="O55" s="100">
        <v>1.8</v>
      </c>
      <c r="P55" s="100">
        <v>0.43</v>
      </c>
      <c r="Q55" s="100">
        <v>10</v>
      </c>
      <c r="R55" s="6"/>
      <c r="S55" s="6"/>
      <c r="T55" s="156"/>
      <c r="U55" s="6"/>
    </row>
    <row r="56" spans="1:21" customFormat="1">
      <c r="A56" s="201" t="s">
        <v>2496</v>
      </c>
      <c r="B56" s="100">
        <v>4.54</v>
      </c>
      <c r="C56" s="100">
        <v>10.11</v>
      </c>
      <c r="D56" s="100">
        <v>14.65</v>
      </c>
      <c r="E56" s="100">
        <v>4.97</v>
      </c>
      <c r="F56" s="100">
        <v>3.88</v>
      </c>
      <c r="G56" s="100">
        <v>28.65</v>
      </c>
      <c r="H56" s="100">
        <v>15.74</v>
      </c>
      <c r="I56" s="100">
        <v>7.77</v>
      </c>
      <c r="J56" s="100">
        <v>0.67</v>
      </c>
      <c r="K56" s="100">
        <v>287.68</v>
      </c>
      <c r="L56" s="100">
        <v>25.19</v>
      </c>
      <c r="M56" s="100">
        <v>44.15</v>
      </c>
      <c r="N56" s="100">
        <v>21.5</v>
      </c>
      <c r="O56" s="100">
        <v>0.2</v>
      </c>
      <c r="P56" s="100">
        <v>0.42</v>
      </c>
      <c r="Q56" s="100">
        <v>10</v>
      </c>
      <c r="R56" s="6"/>
      <c r="S56" s="6"/>
      <c r="T56" s="156"/>
      <c r="U56" s="6"/>
    </row>
    <row r="57" spans="1:21" customFormat="1">
      <c r="A57" s="201" t="s">
        <v>2497</v>
      </c>
      <c r="B57" s="100">
        <v>4.34</v>
      </c>
      <c r="C57" s="100">
        <v>10.16</v>
      </c>
      <c r="D57" s="100">
        <v>14.49</v>
      </c>
      <c r="E57" s="100">
        <v>4.9400000000000004</v>
      </c>
      <c r="F57" s="100">
        <v>3.4</v>
      </c>
      <c r="G57" s="100">
        <v>28.65</v>
      </c>
      <c r="H57" s="100">
        <v>15.74</v>
      </c>
      <c r="I57" s="100">
        <v>7.52</v>
      </c>
      <c r="J57" s="100">
        <v>0.85</v>
      </c>
      <c r="K57" s="100">
        <v>290.95999999999998</v>
      </c>
      <c r="L57" s="100">
        <v>25.74</v>
      </c>
      <c r="M57" s="100">
        <v>45.68</v>
      </c>
      <c r="N57" s="100">
        <v>17.399999999999999</v>
      </c>
      <c r="O57" s="100">
        <v>1</v>
      </c>
      <c r="P57" s="100">
        <v>0.41</v>
      </c>
      <c r="Q57" s="100">
        <v>10</v>
      </c>
      <c r="R57" s="6"/>
      <c r="S57" s="6"/>
      <c r="T57" s="156"/>
      <c r="U57" s="6"/>
    </row>
    <row r="58" spans="1:21" customFormat="1">
      <c r="A58" s="201" t="s">
        <v>2498</v>
      </c>
      <c r="B58" s="100">
        <v>4.33</v>
      </c>
      <c r="C58" s="100">
        <v>10.53</v>
      </c>
      <c r="D58" s="100">
        <v>14.86</v>
      </c>
      <c r="E58" s="100">
        <v>4.87</v>
      </c>
      <c r="F58" s="100">
        <v>3.32</v>
      </c>
      <c r="G58" s="100">
        <v>29.59</v>
      </c>
      <c r="H58" s="100">
        <v>15.02</v>
      </c>
      <c r="I58" s="100">
        <v>7.31</v>
      </c>
      <c r="J58" s="100">
        <v>0.68</v>
      </c>
      <c r="K58" s="100">
        <v>274.10000000000002</v>
      </c>
      <c r="L58" s="100">
        <v>24.47</v>
      </c>
      <c r="M58" s="100">
        <v>42.48</v>
      </c>
      <c r="N58" s="100">
        <v>16.8</v>
      </c>
      <c r="O58" s="100">
        <v>1.6</v>
      </c>
      <c r="P58" s="100">
        <v>0.41</v>
      </c>
      <c r="Q58" s="100">
        <v>10</v>
      </c>
      <c r="R58" s="6"/>
      <c r="S58" s="6"/>
      <c r="T58" s="156"/>
      <c r="U58" s="6"/>
    </row>
    <row r="59" spans="1:21" customFormat="1">
      <c r="A59" s="201" t="s">
        <v>2499</v>
      </c>
      <c r="B59" s="100">
        <v>3.92</v>
      </c>
      <c r="C59" s="100">
        <v>11.04</v>
      </c>
      <c r="D59" s="100">
        <v>14.96</v>
      </c>
      <c r="E59" s="100">
        <v>4.58</v>
      </c>
      <c r="F59" s="100">
        <v>4.96</v>
      </c>
      <c r="G59" s="100">
        <v>30.27</v>
      </c>
      <c r="H59" s="100">
        <v>14.8</v>
      </c>
      <c r="I59" s="100">
        <v>7.26</v>
      </c>
      <c r="J59" s="100">
        <v>0.59</v>
      </c>
      <c r="K59" s="100">
        <v>276.77999999999997</v>
      </c>
      <c r="L59" s="100">
        <v>24.69</v>
      </c>
      <c r="M59" s="100">
        <v>42.96</v>
      </c>
      <c r="N59" s="100">
        <v>17.8</v>
      </c>
      <c r="O59" s="100">
        <v>0.8</v>
      </c>
      <c r="P59" s="100">
        <v>0.4</v>
      </c>
      <c r="Q59" s="100">
        <v>10</v>
      </c>
      <c r="R59" s="6"/>
      <c r="S59" s="6"/>
      <c r="T59" s="156"/>
      <c r="U59" s="6"/>
    </row>
    <row r="60" spans="1:21" customFormat="1">
      <c r="A60" s="201" t="s">
        <v>2500</v>
      </c>
      <c r="B60" s="100">
        <v>3.42</v>
      </c>
      <c r="C60" s="100">
        <v>10.97</v>
      </c>
      <c r="D60" s="100">
        <v>14.39</v>
      </c>
      <c r="E60" s="100">
        <v>4.8899999999999997</v>
      </c>
      <c r="F60" s="100">
        <v>5.58</v>
      </c>
      <c r="G60" s="100">
        <v>30.27</v>
      </c>
      <c r="H60" s="100">
        <v>14.8</v>
      </c>
      <c r="I60" s="100">
        <v>7.11</v>
      </c>
      <c r="J60" s="100">
        <v>0.69</v>
      </c>
      <c r="K60" s="100">
        <v>282.83</v>
      </c>
      <c r="L60" s="100">
        <v>25.17</v>
      </c>
      <c r="M60" s="100">
        <v>44.13</v>
      </c>
      <c r="N60" s="100">
        <v>24.2</v>
      </c>
      <c r="O60" s="100">
        <v>0</v>
      </c>
      <c r="P60" s="100">
        <v>0.39</v>
      </c>
      <c r="Q60" s="100">
        <v>10</v>
      </c>
      <c r="R60" s="6"/>
      <c r="S60" s="6"/>
      <c r="T60" s="156"/>
      <c r="U60" s="6"/>
    </row>
    <row r="61" spans="1:21" customFormat="1">
      <c r="A61" s="201" t="s">
        <v>2501</v>
      </c>
      <c r="B61" s="100">
        <v>3.29</v>
      </c>
      <c r="C61" s="100">
        <v>10.66</v>
      </c>
      <c r="D61" s="100">
        <v>13.95</v>
      </c>
      <c r="E61" s="100">
        <v>4.4800000000000004</v>
      </c>
      <c r="F61" s="100">
        <v>5.38</v>
      </c>
      <c r="G61" s="100">
        <v>30.27</v>
      </c>
      <c r="H61" s="100">
        <v>14.8</v>
      </c>
      <c r="I61" s="100">
        <v>6.75</v>
      </c>
      <c r="J61" s="100">
        <v>0.6</v>
      </c>
      <c r="K61" s="100">
        <v>277.44</v>
      </c>
      <c r="L61" s="100">
        <v>24.86</v>
      </c>
      <c r="M61" s="100">
        <v>43.12</v>
      </c>
      <c r="N61" s="100">
        <v>32.6</v>
      </c>
      <c r="O61" s="100">
        <v>0</v>
      </c>
      <c r="P61" s="100">
        <v>0.38</v>
      </c>
      <c r="Q61" s="100">
        <v>10</v>
      </c>
      <c r="R61" s="6"/>
      <c r="S61" s="6"/>
      <c r="T61" s="156"/>
      <c r="U61" s="6"/>
    </row>
    <row r="62" spans="1:21" customFormat="1">
      <c r="A62" s="201" t="s">
        <v>2502</v>
      </c>
      <c r="B62" s="100">
        <v>3.11</v>
      </c>
      <c r="C62" s="100">
        <v>10.199999999999999</v>
      </c>
      <c r="D62" s="100">
        <v>13.31</v>
      </c>
      <c r="E62" s="100">
        <v>4.7300000000000004</v>
      </c>
      <c r="F62" s="100">
        <v>3.77</v>
      </c>
      <c r="G62" s="100">
        <v>30.23</v>
      </c>
      <c r="H62" s="100">
        <v>15.2</v>
      </c>
      <c r="I62" s="100">
        <v>6.53</v>
      </c>
      <c r="J62" s="100">
        <v>0.43</v>
      </c>
      <c r="K62" s="100">
        <v>264.86</v>
      </c>
      <c r="L62" s="100">
        <v>23.97</v>
      </c>
      <c r="M62" s="100">
        <v>41.28</v>
      </c>
      <c r="N62" s="100">
        <v>23</v>
      </c>
      <c r="O62" s="100">
        <v>0</v>
      </c>
      <c r="P62" s="100">
        <v>0.38</v>
      </c>
      <c r="Q62" s="100">
        <v>10</v>
      </c>
      <c r="R62" s="6"/>
      <c r="S62" s="6"/>
      <c r="T62" s="156"/>
      <c r="U62" s="6"/>
    </row>
    <row r="63" spans="1:21" customFormat="1">
      <c r="A63" s="201" t="s">
        <v>2503</v>
      </c>
      <c r="B63" s="100">
        <v>2.94</v>
      </c>
      <c r="C63" s="100">
        <v>9.66</v>
      </c>
      <c r="D63" s="100">
        <v>12.6</v>
      </c>
      <c r="E63" s="100">
        <v>4.46</v>
      </c>
      <c r="F63" s="100">
        <v>3.72</v>
      </c>
      <c r="G63" s="100">
        <v>30.2</v>
      </c>
      <c r="H63" s="100">
        <v>15.33</v>
      </c>
      <c r="I63" s="100">
        <v>6.47</v>
      </c>
      <c r="J63" s="100">
        <v>0.41</v>
      </c>
      <c r="K63" s="100">
        <v>258.56</v>
      </c>
      <c r="L63" s="100">
        <v>22.92</v>
      </c>
      <c r="M63" s="100">
        <v>38.81</v>
      </c>
      <c r="N63" s="100">
        <v>15</v>
      </c>
      <c r="O63" s="100">
        <v>0</v>
      </c>
      <c r="P63" s="100">
        <v>0.37</v>
      </c>
      <c r="Q63" s="100">
        <v>10</v>
      </c>
      <c r="R63" s="6"/>
      <c r="S63" s="6"/>
      <c r="T63" s="156"/>
      <c r="U63" s="6"/>
    </row>
    <row r="64" spans="1:21" customFormat="1">
      <c r="A64" s="201" t="s">
        <v>2504</v>
      </c>
      <c r="B64" s="100">
        <v>2.5499999999999998</v>
      </c>
      <c r="C64" s="100">
        <v>9.91</v>
      </c>
      <c r="D64" s="100">
        <v>12.46</v>
      </c>
      <c r="E64" s="100">
        <v>4.1500000000000004</v>
      </c>
      <c r="F64" s="100">
        <v>8.64</v>
      </c>
      <c r="G64" s="100">
        <v>30.2</v>
      </c>
      <c r="H64" s="100">
        <v>15.33</v>
      </c>
      <c r="I64" s="100">
        <v>6.44</v>
      </c>
      <c r="J64" s="100">
        <v>0.45</v>
      </c>
      <c r="K64" s="100">
        <v>257.52</v>
      </c>
      <c r="L64" s="100">
        <v>23.4</v>
      </c>
      <c r="M64" s="100">
        <v>40.090000000000003</v>
      </c>
      <c r="N64" s="100">
        <v>13</v>
      </c>
      <c r="O64" s="100">
        <v>0</v>
      </c>
      <c r="P64" s="100">
        <v>0.34</v>
      </c>
      <c r="Q64" s="100">
        <v>10</v>
      </c>
      <c r="R64" s="6"/>
      <c r="S64" s="6"/>
      <c r="T64" s="156"/>
      <c r="U64" s="6"/>
    </row>
    <row r="65" spans="1:21" customFormat="1">
      <c r="A65" s="201" t="s">
        <v>2505</v>
      </c>
      <c r="B65" s="100">
        <v>1.97</v>
      </c>
      <c r="C65" s="100">
        <v>10.19</v>
      </c>
      <c r="D65" s="100">
        <v>12.16</v>
      </c>
      <c r="E65" s="100">
        <v>3.8</v>
      </c>
      <c r="F65" s="100">
        <v>5.56</v>
      </c>
      <c r="G65" s="100">
        <v>30.2</v>
      </c>
      <c r="H65" s="100">
        <v>15.33</v>
      </c>
      <c r="I65" s="100">
        <v>6.31</v>
      </c>
      <c r="J65" s="100">
        <v>0.47</v>
      </c>
      <c r="K65" s="100">
        <v>252.73</v>
      </c>
      <c r="L65" s="100">
        <v>23.03</v>
      </c>
      <c r="M65" s="100">
        <v>39.25</v>
      </c>
      <c r="N65" s="100">
        <v>12</v>
      </c>
      <c r="O65" s="100">
        <v>0</v>
      </c>
      <c r="P65" s="100">
        <v>0.33</v>
      </c>
      <c r="Q65" s="100">
        <v>10</v>
      </c>
      <c r="R65" s="6"/>
      <c r="S65" s="6"/>
      <c r="T65" s="156"/>
      <c r="U65" s="6"/>
    </row>
    <row r="66" spans="1:21" customFormat="1">
      <c r="A66" s="201" t="s">
        <v>2506</v>
      </c>
      <c r="B66" s="100">
        <v>1.87</v>
      </c>
      <c r="C66" s="100">
        <v>9.57</v>
      </c>
      <c r="D66" s="100">
        <v>11.44</v>
      </c>
      <c r="E66" s="100">
        <v>4.2</v>
      </c>
      <c r="F66" s="100">
        <v>4.22</v>
      </c>
      <c r="G66" s="100">
        <v>30.54</v>
      </c>
      <c r="H66" s="100">
        <v>15.99</v>
      </c>
      <c r="I66" s="100">
        <v>6.12</v>
      </c>
      <c r="J66" s="100">
        <v>0.24</v>
      </c>
      <c r="K66" s="100">
        <v>247.32</v>
      </c>
      <c r="L66" s="100">
        <v>21.61</v>
      </c>
      <c r="M66" s="100">
        <v>35.76</v>
      </c>
      <c r="N66" s="100">
        <v>9.8000000000000007</v>
      </c>
      <c r="O66" s="100">
        <v>0.2</v>
      </c>
      <c r="P66" s="100">
        <v>0.41</v>
      </c>
      <c r="Q66" s="100">
        <v>10</v>
      </c>
      <c r="R66" s="6"/>
      <c r="S66" s="6"/>
      <c r="T66" s="156"/>
      <c r="U66" s="6"/>
    </row>
    <row r="67" spans="1:21" customFormat="1">
      <c r="A67" s="201" t="s">
        <v>2507</v>
      </c>
      <c r="B67" s="100">
        <v>2.0299999999999998</v>
      </c>
      <c r="C67" s="100">
        <v>9.17</v>
      </c>
      <c r="D67" s="100">
        <v>11.2</v>
      </c>
      <c r="E67" s="100">
        <v>4.0599999999999996</v>
      </c>
      <c r="F67" s="100">
        <v>2.86</v>
      </c>
      <c r="G67" s="100">
        <v>30.79</v>
      </c>
      <c r="H67" s="100">
        <v>16.190000000000001</v>
      </c>
      <c r="I67" s="100">
        <v>6.05</v>
      </c>
      <c r="J67" s="100">
        <v>0.21</v>
      </c>
      <c r="K67" s="100">
        <v>250.81</v>
      </c>
      <c r="L67" s="100">
        <v>21.4</v>
      </c>
      <c r="M67" s="100">
        <v>35.17</v>
      </c>
      <c r="N67" s="100">
        <v>11.8</v>
      </c>
      <c r="O67" s="100">
        <v>0.2</v>
      </c>
      <c r="P67" s="100">
        <v>0.5</v>
      </c>
      <c r="Q67" s="100">
        <v>10</v>
      </c>
      <c r="R67" s="6"/>
      <c r="S67" s="6"/>
      <c r="T67" s="156"/>
      <c r="U67" s="6"/>
    </row>
    <row r="68" spans="1:21" customFormat="1">
      <c r="A68" s="201" t="s">
        <v>2508</v>
      </c>
      <c r="B68" s="100">
        <v>2.33</v>
      </c>
      <c r="C68" s="100">
        <v>8.98</v>
      </c>
      <c r="D68" s="100">
        <v>11.3</v>
      </c>
      <c r="E68" s="100">
        <v>4.3</v>
      </c>
      <c r="F68" s="100">
        <v>2.17</v>
      </c>
      <c r="G68" s="100">
        <v>30.79</v>
      </c>
      <c r="H68" s="100">
        <v>16.190000000000001</v>
      </c>
      <c r="I68" s="100">
        <v>6.33</v>
      </c>
      <c r="J68" s="100">
        <v>0.42</v>
      </c>
      <c r="K68" s="100">
        <v>260.97000000000003</v>
      </c>
      <c r="L68" s="100">
        <v>23.13</v>
      </c>
      <c r="M68" s="100">
        <v>39.479999999999997</v>
      </c>
      <c r="N68" s="100">
        <v>15.3</v>
      </c>
      <c r="O68" s="100">
        <v>0.8</v>
      </c>
      <c r="P68" s="100">
        <v>0.54</v>
      </c>
      <c r="Q68" s="100">
        <v>10</v>
      </c>
      <c r="R68" s="6"/>
      <c r="S68" s="6"/>
      <c r="T68" s="156"/>
      <c r="U68" s="6"/>
    </row>
    <row r="69" spans="1:21" customFormat="1">
      <c r="A69" s="201" t="s">
        <v>2509</v>
      </c>
      <c r="B69" s="100">
        <v>2.75</v>
      </c>
      <c r="C69" s="100">
        <v>9.34</v>
      </c>
      <c r="D69" s="100">
        <v>12.1</v>
      </c>
      <c r="E69" s="100">
        <v>4.2699999999999996</v>
      </c>
      <c r="F69" s="100">
        <v>2.12</v>
      </c>
      <c r="G69" s="100">
        <v>30.79</v>
      </c>
      <c r="H69" s="100">
        <v>16.190000000000001</v>
      </c>
      <c r="I69" s="100">
        <v>7.12</v>
      </c>
      <c r="J69" s="100">
        <v>0.36</v>
      </c>
      <c r="K69" s="100">
        <v>29.9</v>
      </c>
      <c r="L69" s="100">
        <v>12.34</v>
      </c>
      <c r="M69" s="100">
        <v>12.55</v>
      </c>
      <c r="N69" s="100">
        <v>4</v>
      </c>
      <c r="O69" s="100">
        <v>4.8</v>
      </c>
      <c r="P69" s="100">
        <v>0.56000000000000005</v>
      </c>
      <c r="Q69" s="100">
        <v>10</v>
      </c>
      <c r="R69" s="6"/>
      <c r="S69" s="6"/>
      <c r="T69" s="156"/>
      <c r="U69" s="6"/>
    </row>
    <row r="70" spans="1:21" customFormat="1">
      <c r="A70" s="201" t="s">
        <v>2510</v>
      </c>
      <c r="B70" s="100">
        <v>3.18</v>
      </c>
      <c r="C70" s="100">
        <v>9.67</v>
      </c>
      <c r="D70" s="100">
        <v>12.85</v>
      </c>
      <c r="E70" s="100">
        <v>3.7</v>
      </c>
      <c r="F70" s="100">
        <v>3.21</v>
      </c>
      <c r="G70" s="100">
        <v>31.44</v>
      </c>
      <c r="H70" s="100">
        <v>17.3</v>
      </c>
      <c r="I70" s="100">
        <v>7.52</v>
      </c>
      <c r="J70" s="100">
        <v>0.14000000000000001</v>
      </c>
      <c r="K70" s="100">
        <v>28.72</v>
      </c>
      <c r="L70" s="100">
        <v>11.87</v>
      </c>
      <c r="M70" s="100">
        <v>11.33</v>
      </c>
      <c r="N70" s="100">
        <v>4.0999999999999996</v>
      </c>
      <c r="O70" s="100">
        <v>5.6</v>
      </c>
      <c r="P70" s="100">
        <v>0.53</v>
      </c>
      <c r="Q70" s="100">
        <v>10</v>
      </c>
      <c r="R70" s="6"/>
      <c r="S70" s="6"/>
      <c r="T70" s="156"/>
      <c r="U70" s="6"/>
    </row>
    <row r="71" spans="1:21" customFormat="1">
      <c r="A71" s="201" t="s">
        <v>2511</v>
      </c>
      <c r="B71" s="100">
        <v>3.6</v>
      </c>
      <c r="C71" s="100">
        <v>9.2100000000000009</v>
      </c>
      <c r="D71" s="100">
        <v>12.81</v>
      </c>
      <c r="E71" s="100">
        <v>3.58</v>
      </c>
      <c r="F71" s="100">
        <v>2.21</v>
      </c>
      <c r="G71" s="100">
        <v>31.92</v>
      </c>
      <c r="H71" s="100">
        <v>17.96</v>
      </c>
      <c r="I71" s="100">
        <v>7.84</v>
      </c>
      <c r="J71" s="100">
        <v>0.1</v>
      </c>
      <c r="K71" s="100">
        <v>316.95</v>
      </c>
      <c r="L71" s="100">
        <v>19.440000000000001</v>
      </c>
      <c r="M71" s="100">
        <v>30.14</v>
      </c>
      <c r="N71" s="100">
        <v>5.8</v>
      </c>
      <c r="O71" s="100">
        <v>0.8</v>
      </c>
      <c r="P71" s="100">
        <v>0.52</v>
      </c>
      <c r="Q71" s="100">
        <v>10</v>
      </c>
      <c r="R71" s="6"/>
      <c r="S71" s="6"/>
      <c r="T71" s="156"/>
      <c r="U71" s="6"/>
    </row>
    <row r="72" spans="1:21" customFormat="1">
      <c r="A72" s="201" t="s">
        <v>2512</v>
      </c>
      <c r="B72" s="100">
        <v>3.82</v>
      </c>
      <c r="C72" s="100">
        <v>8.41</v>
      </c>
      <c r="D72" s="100">
        <v>12.23</v>
      </c>
      <c r="E72" s="100">
        <v>3.77</v>
      </c>
      <c r="F72" s="100">
        <v>2.0099999999999998</v>
      </c>
      <c r="G72" s="100">
        <v>31.92</v>
      </c>
      <c r="H72" s="100">
        <v>17.96</v>
      </c>
      <c r="I72" s="100">
        <v>7.83</v>
      </c>
      <c r="J72" s="100">
        <v>0.25</v>
      </c>
      <c r="K72" s="100">
        <v>298.95</v>
      </c>
      <c r="L72" s="100">
        <v>24.88</v>
      </c>
      <c r="M72" s="100">
        <v>43.97</v>
      </c>
      <c r="N72" s="100">
        <v>6.1</v>
      </c>
      <c r="O72" s="100">
        <v>0.8</v>
      </c>
      <c r="P72" s="100">
        <v>0.54</v>
      </c>
      <c r="Q72" s="100">
        <v>10</v>
      </c>
      <c r="R72" s="6"/>
      <c r="S72" s="6"/>
      <c r="T72" s="156"/>
      <c r="U72" s="6"/>
    </row>
    <row r="73" spans="1:21" customFormat="1">
      <c r="A73" s="201" t="s">
        <v>2513</v>
      </c>
      <c r="B73" s="100">
        <v>4.53</v>
      </c>
      <c r="C73" s="100">
        <v>8.2799999999999994</v>
      </c>
      <c r="D73" s="100">
        <v>12.81</v>
      </c>
      <c r="E73" s="100">
        <v>3.7</v>
      </c>
      <c r="F73" s="100">
        <v>2</v>
      </c>
      <c r="G73" s="100">
        <v>31.92</v>
      </c>
      <c r="H73" s="100">
        <v>17.96</v>
      </c>
      <c r="I73" s="100">
        <v>8.32</v>
      </c>
      <c r="J73" s="100">
        <v>0.43</v>
      </c>
      <c r="K73" s="100">
        <v>277.18</v>
      </c>
      <c r="L73" s="100">
        <v>24.72</v>
      </c>
      <c r="M73" s="100">
        <v>43.56</v>
      </c>
      <c r="N73" s="100">
        <v>7.1</v>
      </c>
      <c r="O73" s="100">
        <v>1.2</v>
      </c>
      <c r="P73" s="100">
        <v>0.52</v>
      </c>
      <c r="Q73" s="100">
        <v>10</v>
      </c>
      <c r="R73" s="6"/>
      <c r="S73" s="6"/>
      <c r="T73" s="156"/>
      <c r="U73" s="6"/>
    </row>
    <row r="74" spans="1:21" customFormat="1">
      <c r="A74" s="201" t="s">
        <v>2514</v>
      </c>
      <c r="B74" s="100">
        <v>4.8499999999999996</v>
      </c>
      <c r="C74" s="100">
        <v>8.32</v>
      </c>
      <c r="D74" s="100">
        <v>13.16</v>
      </c>
      <c r="E74" s="100">
        <v>3.81</v>
      </c>
      <c r="F74" s="100">
        <v>2.25</v>
      </c>
      <c r="G74" s="100">
        <v>32.43</v>
      </c>
      <c r="H74" s="100">
        <v>16.48</v>
      </c>
      <c r="I74" s="100">
        <v>9.4600000000000009</v>
      </c>
      <c r="J74" s="100">
        <v>0.42</v>
      </c>
      <c r="K74" s="100">
        <v>270.27999999999997</v>
      </c>
      <c r="L74" s="100">
        <v>24.26</v>
      </c>
      <c r="M74" s="100">
        <v>42.25</v>
      </c>
      <c r="N74" s="100">
        <v>10.7</v>
      </c>
      <c r="O74" s="100">
        <v>0</v>
      </c>
      <c r="P74" s="100">
        <v>0.5</v>
      </c>
      <c r="Q74" s="100">
        <v>10</v>
      </c>
      <c r="R74" s="6"/>
      <c r="S74" s="6"/>
      <c r="T74" s="156"/>
      <c r="U74" s="6"/>
    </row>
    <row r="75" spans="1:21" customFormat="1">
      <c r="A75" s="201" t="s">
        <v>2515</v>
      </c>
      <c r="B75" s="100">
        <v>5.12</v>
      </c>
      <c r="C75" s="100">
        <v>7.86</v>
      </c>
      <c r="D75" s="100">
        <v>12.97</v>
      </c>
      <c r="E75" s="100">
        <v>3.69</v>
      </c>
      <c r="F75" s="100">
        <v>2.06</v>
      </c>
      <c r="G75" s="100">
        <v>32.799999999999997</v>
      </c>
      <c r="H75" s="100">
        <v>16.010000000000002</v>
      </c>
      <c r="I75" s="100">
        <v>9.4600000000000009</v>
      </c>
      <c r="J75" s="100">
        <v>0.31</v>
      </c>
      <c r="K75" s="100">
        <v>289.69</v>
      </c>
      <c r="L75" s="100">
        <v>25.61</v>
      </c>
      <c r="M75" s="100">
        <v>45.61</v>
      </c>
      <c r="N75" s="100">
        <v>12.5</v>
      </c>
      <c r="O75" s="100">
        <v>0</v>
      </c>
      <c r="P75" s="100">
        <v>0.53</v>
      </c>
      <c r="Q75" s="100">
        <v>10</v>
      </c>
      <c r="R75" s="6"/>
      <c r="S75" s="6"/>
      <c r="T75" s="156"/>
      <c r="U75" s="6"/>
    </row>
    <row r="76" spans="1:21" customFormat="1">
      <c r="A76" s="201" t="s">
        <v>2516</v>
      </c>
      <c r="B76" s="100">
        <v>5.57</v>
      </c>
      <c r="C76" s="100">
        <v>7.75</v>
      </c>
      <c r="D76" s="100">
        <v>13.32</v>
      </c>
      <c r="E76" s="100">
        <v>4.08</v>
      </c>
      <c r="F76" s="100">
        <v>2</v>
      </c>
      <c r="G76" s="100">
        <v>32.799999999999997</v>
      </c>
      <c r="H76" s="100">
        <v>16.010000000000002</v>
      </c>
      <c r="I76" s="100">
        <v>9.48</v>
      </c>
      <c r="J76" s="100">
        <v>0.21</v>
      </c>
      <c r="K76" s="100">
        <v>265.57</v>
      </c>
      <c r="L76" s="100">
        <v>23.72</v>
      </c>
      <c r="M76" s="100">
        <v>41</v>
      </c>
      <c r="N76" s="100">
        <v>11</v>
      </c>
      <c r="O76" s="100">
        <v>0</v>
      </c>
      <c r="P76" s="100">
        <v>0.52</v>
      </c>
      <c r="Q76" s="100">
        <v>10</v>
      </c>
      <c r="R76" s="6"/>
      <c r="S76" s="6"/>
      <c r="T76" s="156"/>
      <c r="U76" s="6"/>
    </row>
    <row r="77" spans="1:21" customFormat="1">
      <c r="A77" s="201" t="s">
        <v>2517</v>
      </c>
      <c r="B77" s="100">
        <v>5.75</v>
      </c>
      <c r="C77" s="100">
        <v>8.1199999999999992</v>
      </c>
      <c r="D77" s="100">
        <v>13.87</v>
      </c>
      <c r="E77" s="100">
        <v>4.0599999999999996</v>
      </c>
      <c r="F77" s="100">
        <v>2.2400000000000002</v>
      </c>
      <c r="G77" s="100">
        <v>32.799999999999997</v>
      </c>
      <c r="H77" s="100">
        <v>16.010000000000002</v>
      </c>
      <c r="I77" s="100">
        <v>9.51</v>
      </c>
      <c r="J77" s="100">
        <v>0.11</v>
      </c>
      <c r="K77" s="100">
        <v>183.04</v>
      </c>
      <c r="L77" s="100">
        <v>17.05</v>
      </c>
      <c r="M77" s="100">
        <v>24.4</v>
      </c>
      <c r="N77" s="100">
        <v>9.6</v>
      </c>
      <c r="O77" s="100">
        <v>0</v>
      </c>
      <c r="P77" s="100">
        <v>0.5</v>
      </c>
      <c r="Q77" s="100">
        <v>10</v>
      </c>
      <c r="R77" s="6"/>
      <c r="S77" s="6"/>
      <c r="T77" s="156"/>
      <c r="U77" s="6"/>
    </row>
    <row r="78" spans="1:21" customFormat="1">
      <c r="A78" s="201" t="s">
        <v>2518</v>
      </c>
      <c r="B78" s="100">
        <v>5.92</v>
      </c>
      <c r="C78" s="100">
        <v>7.77</v>
      </c>
      <c r="D78" s="100">
        <v>13.69</v>
      </c>
      <c r="E78" s="100">
        <v>3.81</v>
      </c>
      <c r="F78" s="100">
        <v>2</v>
      </c>
      <c r="G78" s="100">
        <v>30.09</v>
      </c>
      <c r="H78" s="100">
        <v>15.57</v>
      </c>
      <c r="I78" s="100">
        <v>9.41</v>
      </c>
      <c r="J78" s="100">
        <v>0.18</v>
      </c>
      <c r="K78" s="100">
        <v>250.55</v>
      </c>
      <c r="L78" s="100">
        <v>20.84</v>
      </c>
      <c r="M78" s="100">
        <v>33.89</v>
      </c>
      <c r="N78" s="100">
        <v>7</v>
      </c>
      <c r="O78" s="100">
        <v>0</v>
      </c>
      <c r="P78" s="100">
        <v>0.51</v>
      </c>
      <c r="Q78" s="100">
        <v>10</v>
      </c>
      <c r="R78" s="6"/>
      <c r="S78" s="6"/>
      <c r="T78" s="156"/>
      <c r="U78" s="6"/>
    </row>
    <row r="79" spans="1:21" customFormat="1">
      <c r="A79" s="201" t="s">
        <v>2519</v>
      </c>
      <c r="B79" s="100">
        <v>6.13</v>
      </c>
      <c r="C79" s="100">
        <v>7.37</v>
      </c>
      <c r="D79" s="100">
        <v>13.49</v>
      </c>
      <c r="E79" s="100">
        <v>4.24</v>
      </c>
      <c r="F79" s="100">
        <v>2</v>
      </c>
      <c r="G79" s="100">
        <v>28.12</v>
      </c>
      <c r="H79" s="100">
        <v>15.43</v>
      </c>
      <c r="I79" s="100">
        <v>9.34</v>
      </c>
      <c r="J79" s="100">
        <v>0.45</v>
      </c>
      <c r="K79" s="100">
        <v>252.66</v>
      </c>
      <c r="L79" s="100">
        <v>22.87</v>
      </c>
      <c r="M79" s="100">
        <v>39.03</v>
      </c>
      <c r="N79" s="100">
        <v>4.9000000000000004</v>
      </c>
      <c r="O79" s="100">
        <v>0</v>
      </c>
      <c r="P79" s="100">
        <v>0.52</v>
      </c>
      <c r="Q79" s="100">
        <v>12.69</v>
      </c>
      <c r="R79" s="6"/>
      <c r="S79" s="6"/>
      <c r="T79" s="156"/>
      <c r="U79" s="6"/>
    </row>
    <row r="80" spans="1:21" customFormat="1">
      <c r="A80" s="201" t="s">
        <v>2520</v>
      </c>
      <c r="B80" s="100">
        <v>6.2</v>
      </c>
      <c r="C80" s="100">
        <v>7.12</v>
      </c>
      <c r="D80" s="100">
        <v>13.32</v>
      </c>
      <c r="E80" s="100">
        <v>4.55</v>
      </c>
      <c r="F80" s="100">
        <v>2</v>
      </c>
      <c r="G80" s="100">
        <v>28.12</v>
      </c>
      <c r="H80" s="100">
        <v>15.43</v>
      </c>
      <c r="I80" s="100">
        <v>9.32</v>
      </c>
      <c r="J80" s="100">
        <v>0.33</v>
      </c>
      <c r="K80" s="100">
        <v>255.05</v>
      </c>
      <c r="L80" s="100">
        <v>22.89</v>
      </c>
      <c r="M80" s="100">
        <v>39.130000000000003</v>
      </c>
      <c r="N80" s="100">
        <v>3.2</v>
      </c>
      <c r="O80" s="100">
        <v>0</v>
      </c>
      <c r="P80" s="100">
        <v>0.51</v>
      </c>
      <c r="Q80" s="100">
        <v>10.23</v>
      </c>
      <c r="R80" s="6"/>
      <c r="S80" s="6"/>
      <c r="T80" s="156"/>
      <c r="U80" s="6"/>
    </row>
    <row r="81" spans="1:21" customFormat="1">
      <c r="A81" s="201" t="s">
        <v>2521</v>
      </c>
      <c r="B81" s="100">
        <v>6.28</v>
      </c>
      <c r="C81" s="100">
        <v>6.98</v>
      </c>
      <c r="D81" s="100">
        <v>13.25</v>
      </c>
      <c r="E81" s="100">
        <v>4.0199999999999996</v>
      </c>
      <c r="F81" s="100">
        <v>2</v>
      </c>
      <c r="G81" s="100">
        <v>28.12</v>
      </c>
      <c r="H81" s="100">
        <v>15.43</v>
      </c>
      <c r="I81" s="100">
        <v>9.4</v>
      </c>
      <c r="J81" s="100">
        <v>0.47</v>
      </c>
      <c r="K81" s="100">
        <v>283.25</v>
      </c>
      <c r="L81" s="100">
        <v>24.67</v>
      </c>
      <c r="M81" s="100">
        <v>43.55</v>
      </c>
      <c r="N81" s="100">
        <v>2.9</v>
      </c>
      <c r="O81" s="100">
        <v>0</v>
      </c>
      <c r="P81" s="100">
        <v>0.51</v>
      </c>
      <c r="Q81" s="100">
        <v>10</v>
      </c>
      <c r="R81" s="6"/>
      <c r="S81" s="6"/>
      <c r="T81" s="156"/>
      <c r="U81" s="6"/>
    </row>
    <row r="82" spans="1:21" customFormat="1">
      <c r="A82" s="201" t="s">
        <v>2522</v>
      </c>
      <c r="B82" s="100">
        <v>6.4</v>
      </c>
      <c r="C82" s="100">
        <v>7.21</v>
      </c>
      <c r="D82" s="100">
        <v>13.61</v>
      </c>
      <c r="E82" s="100">
        <v>5.04</v>
      </c>
      <c r="F82" s="100">
        <v>2.0099999999999998</v>
      </c>
      <c r="G82" s="100">
        <v>28.98</v>
      </c>
      <c r="H82" s="100">
        <v>14.17</v>
      </c>
      <c r="I82" s="100">
        <v>9.43</v>
      </c>
      <c r="J82" s="100">
        <v>0.44</v>
      </c>
      <c r="K82" s="100">
        <v>268.27999999999997</v>
      </c>
      <c r="L82" s="100">
        <v>23.72</v>
      </c>
      <c r="M82" s="100">
        <v>41.23</v>
      </c>
      <c r="N82" s="100">
        <v>2.9</v>
      </c>
      <c r="O82" s="100">
        <v>0</v>
      </c>
      <c r="P82" s="100">
        <v>0.53</v>
      </c>
      <c r="Q82" s="100">
        <v>10</v>
      </c>
      <c r="R82" s="6"/>
      <c r="S82" s="6"/>
      <c r="T82" s="156"/>
      <c r="U82" s="6"/>
    </row>
    <row r="83" spans="1:21" customFormat="1">
      <c r="A83" s="201" t="s">
        <v>2523</v>
      </c>
      <c r="B83" s="100">
        <v>6.51</v>
      </c>
      <c r="C83" s="100">
        <v>7.11</v>
      </c>
      <c r="D83" s="100">
        <v>13.62</v>
      </c>
      <c r="E83" s="100">
        <v>5.17</v>
      </c>
      <c r="F83" s="100">
        <v>2</v>
      </c>
      <c r="G83" s="100">
        <v>29.61</v>
      </c>
      <c r="H83" s="100">
        <v>13.77</v>
      </c>
      <c r="I83" s="100">
        <v>9.4600000000000009</v>
      </c>
      <c r="J83" s="100">
        <v>0.37</v>
      </c>
      <c r="K83" s="100">
        <v>289.87</v>
      </c>
      <c r="L83" s="100">
        <v>25.11</v>
      </c>
      <c r="M83" s="100">
        <v>44.65</v>
      </c>
      <c r="N83" s="100">
        <v>2.8</v>
      </c>
      <c r="O83" s="100">
        <v>0</v>
      </c>
      <c r="P83" s="100">
        <v>0.5</v>
      </c>
      <c r="Q83" s="100">
        <v>10</v>
      </c>
      <c r="R83" s="6"/>
      <c r="S83" s="6"/>
      <c r="T83" s="156"/>
      <c r="U83" s="6"/>
    </row>
    <row r="84" spans="1:21" customFormat="1">
      <c r="A84" s="201" t="s">
        <v>2524</v>
      </c>
      <c r="B84" s="100">
        <v>6.56</v>
      </c>
      <c r="C84" s="100">
        <v>7.13</v>
      </c>
      <c r="D84" s="100">
        <v>13.68</v>
      </c>
      <c r="E84" s="100">
        <v>5.0199999999999996</v>
      </c>
      <c r="F84" s="100">
        <v>2</v>
      </c>
      <c r="G84" s="100">
        <v>29.61</v>
      </c>
      <c r="H84" s="100">
        <v>13.77</v>
      </c>
      <c r="I84" s="100">
        <v>9.48</v>
      </c>
      <c r="J84" s="100">
        <v>0.33</v>
      </c>
      <c r="K84" s="100">
        <v>248.38</v>
      </c>
      <c r="L84" s="100">
        <v>22.64</v>
      </c>
      <c r="M84" s="100">
        <v>38.5</v>
      </c>
      <c r="N84" s="100">
        <v>2.6</v>
      </c>
      <c r="O84" s="100">
        <v>0</v>
      </c>
      <c r="P84" s="100">
        <v>0.49</v>
      </c>
      <c r="Q84" s="100">
        <v>10</v>
      </c>
      <c r="R84" s="6"/>
      <c r="S84" s="6"/>
      <c r="T84" s="156"/>
      <c r="U84" s="6"/>
    </row>
    <row r="85" spans="1:21" customFormat="1">
      <c r="A85" s="201" t="s">
        <v>2525</v>
      </c>
      <c r="B85" s="100">
        <v>6.6</v>
      </c>
      <c r="C85" s="100">
        <v>7.14</v>
      </c>
      <c r="D85" s="100">
        <v>13.74</v>
      </c>
      <c r="E85" s="100">
        <v>5.15</v>
      </c>
      <c r="F85" s="100">
        <v>2.02</v>
      </c>
      <c r="G85" s="100">
        <v>29.61</v>
      </c>
      <c r="H85" s="100">
        <v>13.77</v>
      </c>
      <c r="I85" s="100">
        <v>9.42</v>
      </c>
      <c r="J85" s="100">
        <v>0.32</v>
      </c>
      <c r="K85" s="100">
        <v>261.83</v>
      </c>
      <c r="L85" s="100">
        <v>23.41</v>
      </c>
      <c r="M85" s="100">
        <v>40.51</v>
      </c>
      <c r="N85" s="100">
        <v>2.8</v>
      </c>
      <c r="O85" s="100">
        <v>0</v>
      </c>
      <c r="P85" s="100">
        <v>0.52</v>
      </c>
      <c r="Q85" s="100">
        <v>10</v>
      </c>
      <c r="R85" s="6"/>
      <c r="S85" s="6"/>
      <c r="T85" s="156"/>
      <c r="U85" s="6"/>
    </row>
    <row r="86" spans="1:21" customFormat="1">
      <c r="A86" s="201" t="s">
        <v>2526</v>
      </c>
      <c r="B86" s="100">
        <v>6.65</v>
      </c>
      <c r="C86" s="100">
        <v>7.86</v>
      </c>
      <c r="D86" s="100">
        <v>14.51</v>
      </c>
      <c r="E86" s="100">
        <v>5.0999999999999996</v>
      </c>
      <c r="F86" s="100">
        <v>2.11</v>
      </c>
      <c r="G86" s="100">
        <v>27.48</v>
      </c>
      <c r="H86" s="100">
        <v>13.61</v>
      </c>
      <c r="I86" s="100">
        <v>9.3699999999999992</v>
      </c>
      <c r="J86" s="100">
        <v>0.16</v>
      </c>
      <c r="K86" s="100">
        <v>293.68</v>
      </c>
      <c r="L86" s="100">
        <v>21.85</v>
      </c>
      <c r="M86" s="100">
        <v>36.49</v>
      </c>
      <c r="N86" s="100">
        <v>2.8</v>
      </c>
      <c r="O86" s="100">
        <v>0</v>
      </c>
      <c r="P86" s="100">
        <v>0.51</v>
      </c>
      <c r="Q86" s="100">
        <v>10</v>
      </c>
      <c r="R86" s="6"/>
      <c r="S86" s="6"/>
      <c r="T86" s="156"/>
      <c r="U86" s="6"/>
    </row>
    <row r="87" spans="1:21" customFormat="1">
      <c r="A87" s="201" t="s">
        <v>2527</v>
      </c>
      <c r="B87" s="100">
        <v>6.77</v>
      </c>
      <c r="C87" s="100">
        <v>7.81</v>
      </c>
      <c r="D87" s="100">
        <v>14.58</v>
      </c>
      <c r="E87" s="100">
        <v>5.37</v>
      </c>
      <c r="F87" s="100">
        <v>2.06</v>
      </c>
      <c r="G87" s="100">
        <v>25.92</v>
      </c>
      <c r="H87" s="100">
        <v>13.52</v>
      </c>
      <c r="I87" s="100">
        <v>9.33</v>
      </c>
      <c r="J87" s="100">
        <v>0.18</v>
      </c>
      <c r="K87" s="100">
        <v>57.78</v>
      </c>
      <c r="L87" s="100">
        <v>10.79</v>
      </c>
      <c r="M87" s="100">
        <v>8.6999999999999993</v>
      </c>
      <c r="N87" s="100">
        <v>2.4</v>
      </c>
      <c r="O87" s="100">
        <v>1.4</v>
      </c>
      <c r="P87" s="100">
        <v>0.52</v>
      </c>
      <c r="Q87" s="100">
        <v>10</v>
      </c>
      <c r="R87" s="6"/>
      <c r="S87" s="6"/>
      <c r="T87" s="156"/>
      <c r="U87" s="6"/>
    </row>
    <row r="88" spans="1:21" customFormat="1">
      <c r="A88" s="201" t="s">
        <v>2528</v>
      </c>
      <c r="B88" s="100">
        <v>6.81</v>
      </c>
      <c r="C88" s="100">
        <v>7.63</v>
      </c>
      <c r="D88" s="100">
        <v>14.44</v>
      </c>
      <c r="E88" s="100">
        <v>5.48</v>
      </c>
      <c r="F88" s="100">
        <v>2</v>
      </c>
      <c r="G88" s="100">
        <v>25.92</v>
      </c>
      <c r="H88" s="100">
        <v>13.52</v>
      </c>
      <c r="I88" s="100">
        <v>9.25</v>
      </c>
      <c r="J88" s="100">
        <v>0.35</v>
      </c>
      <c r="K88" s="100">
        <v>40.1</v>
      </c>
      <c r="L88" s="100">
        <v>9.93</v>
      </c>
      <c r="M88" s="100">
        <v>6.53</v>
      </c>
      <c r="N88" s="100">
        <v>3.1</v>
      </c>
      <c r="O88" s="100">
        <v>2</v>
      </c>
      <c r="P88" s="100">
        <v>0.55000000000000004</v>
      </c>
      <c r="Q88" s="100">
        <v>10</v>
      </c>
      <c r="R88" s="6"/>
      <c r="S88" s="6"/>
      <c r="T88" s="156"/>
      <c r="U88" s="6"/>
    </row>
    <row r="89" spans="1:21" customFormat="1">
      <c r="A89" s="201" t="s">
        <v>2529</v>
      </c>
      <c r="B89" s="100">
        <v>6.71</v>
      </c>
      <c r="C89" s="100">
        <v>7.79</v>
      </c>
      <c r="D89" s="100">
        <v>14.5</v>
      </c>
      <c r="E89" s="100">
        <v>5.61</v>
      </c>
      <c r="F89" s="100">
        <v>2</v>
      </c>
      <c r="G89" s="100">
        <v>25.92</v>
      </c>
      <c r="H89" s="100">
        <v>13.52</v>
      </c>
      <c r="I89" s="100">
        <v>9.27</v>
      </c>
      <c r="J89" s="100">
        <v>0.2</v>
      </c>
      <c r="K89" s="100">
        <v>25.19</v>
      </c>
      <c r="L89" s="100">
        <v>10.85</v>
      </c>
      <c r="M89" s="100">
        <v>8.7799999999999994</v>
      </c>
      <c r="N89" s="100">
        <v>2.7</v>
      </c>
      <c r="O89" s="100">
        <v>0.8</v>
      </c>
      <c r="P89" s="100">
        <v>0.56000000000000005</v>
      </c>
      <c r="Q89" s="100">
        <v>10</v>
      </c>
      <c r="R89" s="6"/>
      <c r="S89" s="6"/>
      <c r="T89" s="156"/>
      <c r="U89" s="6"/>
    </row>
    <row r="90" spans="1:21" customFormat="1">
      <c r="A90" s="201" t="s">
        <v>2530</v>
      </c>
      <c r="B90" s="100">
        <v>6.69</v>
      </c>
      <c r="C90" s="100">
        <v>7.89</v>
      </c>
      <c r="D90" s="100">
        <v>14.58</v>
      </c>
      <c r="E90" s="100">
        <v>5.69</v>
      </c>
      <c r="F90" s="100">
        <v>2</v>
      </c>
      <c r="G90" s="100">
        <v>26.5</v>
      </c>
      <c r="H90" s="100">
        <v>12.86</v>
      </c>
      <c r="I90" s="100">
        <v>9.24</v>
      </c>
      <c r="J90" s="100">
        <v>7.0000000000000007E-2</v>
      </c>
      <c r="K90" s="100">
        <v>150.47</v>
      </c>
      <c r="L90" s="100">
        <v>14.1</v>
      </c>
      <c r="M90" s="100">
        <v>17.16</v>
      </c>
      <c r="N90" s="100">
        <v>2.2000000000000002</v>
      </c>
      <c r="O90" s="100">
        <v>0</v>
      </c>
      <c r="P90" s="100">
        <v>0.56000000000000005</v>
      </c>
      <c r="Q90" s="100">
        <v>10</v>
      </c>
      <c r="R90" s="6"/>
      <c r="S90" s="6"/>
      <c r="T90" s="156"/>
      <c r="U90" s="6"/>
    </row>
    <row r="91" spans="1:21" customFormat="1">
      <c r="A91" s="201" t="s">
        <v>2531</v>
      </c>
      <c r="B91" s="100">
        <v>6.67</v>
      </c>
      <c r="C91" s="100">
        <v>7.69</v>
      </c>
      <c r="D91" s="100">
        <v>14.36</v>
      </c>
      <c r="E91" s="100">
        <v>6.08</v>
      </c>
      <c r="F91" s="100">
        <v>2</v>
      </c>
      <c r="G91" s="100">
        <v>26.93</v>
      </c>
      <c r="H91" s="100">
        <v>12.65</v>
      </c>
      <c r="I91" s="100">
        <v>9.11</v>
      </c>
      <c r="J91" s="100">
        <v>0.08</v>
      </c>
      <c r="K91" s="100">
        <v>161.16999999999999</v>
      </c>
      <c r="L91" s="100">
        <v>15.04</v>
      </c>
      <c r="M91" s="100">
        <v>19.559999999999999</v>
      </c>
      <c r="N91" s="100">
        <v>2.2999999999999998</v>
      </c>
      <c r="O91" s="100">
        <v>0</v>
      </c>
      <c r="P91" s="100">
        <v>0.56000000000000005</v>
      </c>
      <c r="Q91" s="100">
        <v>10</v>
      </c>
      <c r="R91" s="6"/>
      <c r="S91" s="6"/>
      <c r="T91" s="156"/>
      <c r="U91" s="6"/>
    </row>
    <row r="92" spans="1:21" customFormat="1">
      <c r="A92" s="201" t="s">
        <v>2532</v>
      </c>
      <c r="B92" s="100">
        <v>6.65</v>
      </c>
      <c r="C92" s="100">
        <v>7.61</v>
      </c>
      <c r="D92" s="100">
        <v>14.26</v>
      </c>
      <c r="E92" s="100">
        <v>6.14</v>
      </c>
      <c r="F92" s="100">
        <v>2</v>
      </c>
      <c r="G92" s="100">
        <v>26.93</v>
      </c>
      <c r="H92" s="100">
        <v>12.65</v>
      </c>
      <c r="I92" s="100">
        <v>8.94</v>
      </c>
      <c r="J92" s="100">
        <v>0.17</v>
      </c>
      <c r="K92" s="100">
        <v>225.55</v>
      </c>
      <c r="L92" s="100">
        <v>20.73</v>
      </c>
      <c r="M92" s="100">
        <v>33.79</v>
      </c>
      <c r="N92" s="100">
        <v>2.2999999999999998</v>
      </c>
      <c r="O92" s="100">
        <v>0</v>
      </c>
      <c r="P92" s="100">
        <v>0.55000000000000004</v>
      </c>
      <c r="Q92" s="100">
        <v>10</v>
      </c>
      <c r="R92" s="6"/>
      <c r="S92" s="6"/>
      <c r="T92" s="156"/>
      <c r="U92" s="6"/>
    </row>
    <row r="93" spans="1:21" customFormat="1">
      <c r="A93" s="201" t="s">
        <v>2533</v>
      </c>
      <c r="B93" s="100">
        <v>6.63</v>
      </c>
      <c r="C93" s="100">
        <v>7.39</v>
      </c>
      <c r="D93" s="100">
        <v>14.02</v>
      </c>
      <c r="E93" s="100">
        <v>5.96</v>
      </c>
      <c r="F93" s="100">
        <v>2</v>
      </c>
      <c r="G93" s="100">
        <v>26.93</v>
      </c>
      <c r="H93" s="100">
        <v>12.65</v>
      </c>
      <c r="I93" s="100">
        <v>8.7799999999999994</v>
      </c>
      <c r="J93" s="100">
        <v>0.14000000000000001</v>
      </c>
      <c r="K93" s="100">
        <v>236.95</v>
      </c>
      <c r="L93" s="100">
        <v>20.91</v>
      </c>
      <c r="M93" s="100">
        <v>34.270000000000003</v>
      </c>
      <c r="N93" s="100">
        <v>2.2999999999999998</v>
      </c>
      <c r="O93" s="100">
        <v>0</v>
      </c>
      <c r="P93" s="100">
        <v>0.55000000000000004</v>
      </c>
      <c r="Q93" s="100">
        <v>10</v>
      </c>
      <c r="R93" s="6"/>
      <c r="S93" s="6"/>
      <c r="T93" s="156"/>
      <c r="U93" s="6"/>
    </row>
    <row r="94" spans="1:21" customFormat="1">
      <c r="A94" s="201" t="s">
        <v>2534</v>
      </c>
      <c r="B94" s="100">
        <v>6.52</v>
      </c>
      <c r="C94" s="100">
        <v>7.29</v>
      </c>
      <c r="D94" s="100">
        <v>13.82</v>
      </c>
      <c r="E94" s="100">
        <v>6.07</v>
      </c>
      <c r="F94" s="100">
        <v>2</v>
      </c>
      <c r="G94" s="100">
        <v>29.02</v>
      </c>
      <c r="H94" s="100">
        <v>14.95</v>
      </c>
      <c r="I94" s="100">
        <v>8.68</v>
      </c>
      <c r="J94" s="100">
        <v>0.13</v>
      </c>
      <c r="K94" s="100">
        <v>167.51</v>
      </c>
      <c r="L94" s="100">
        <v>16.8</v>
      </c>
      <c r="M94" s="100">
        <v>23.95</v>
      </c>
      <c r="N94" s="100">
        <v>2.4</v>
      </c>
      <c r="O94" s="100">
        <v>0</v>
      </c>
      <c r="P94" s="100">
        <v>0.56000000000000005</v>
      </c>
      <c r="Q94" s="100">
        <v>10</v>
      </c>
      <c r="R94" s="6"/>
      <c r="S94" s="6"/>
      <c r="T94" s="156"/>
      <c r="U94" s="6"/>
    </row>
    <row r="95" spans="1:21" customFormat="1">
      <c r="A95" s="201" t="s">
        <v>2535</v>
      </c>
      <c r="B95" s="100">
        <v>6.49</v>
      </c>
      <c r="C95" s="100">
        <v>7.25</v>
      </c>
      <c r="D95" s="100">
        <v>13.74</v>
      </c>
      <c r="E95" s="100">
        <v>6.17</v>
      </c>
      <c r="F95" s="100">
        <v>2.04</v>
      </c>
      <c r="G95" s="100">
        <v>30.62</v>
      </c>
      <c r="H95" s="100">
        <v>15.68</v>
      </c>
      <c r="I95" s="100">
        <v>8.61</v>
      </c>
      <c r="J95" s="100">
        <v>0.12</v>
      </c>
      <c r="K95" s="100">
        <v>165.55</v>
      </c>
      <c r="L95" s="100">
        <v>15.99</v>
      </c>
      <c r="M95" s="100">
        <v>21.95</v>
      </c>
      <c r="N95" s="100">
        <v>2.4</v>
      </c>
      <c r="O95" s="100">
        <v>0</v>
      </c>
      <c r="P95" s="100">
        <v>0.56000000000000005</v>
      </c>
      <c r="Q95" s="100">
        <v>10</v>
      </c>
      <c r="R95" s="6"/>
      <c r="S95" s="6"/>
      <c r="T95" s="156"/>
      <c r="U95" s="6"/>
    </row>
    <row r="96" spans="1:21" customFormat="1">
      <c r="A96" s="201" t="s">
        <v>2536</v>
      </c>
      <c r="B96" s="100">
        <v>6.52</v>
      </c>
      <c r="C96" s="100">
        <v>7.27</v>
      </c>
      <c r="D96" s="100">
        <v>13.79</v>
      </c>
      <c r="E96" s="100">
        <v>6.35</v>
      </c>
      <c r="F96" s="100">
        <v>2.04</v>
      </c>
      <c r="G96" s="100">
        <v>30.62</v>
      </c>
      <c r="H96" s="100">
        <v>15.68</v>
      </c>
      <c r="I96" s="100">
        <v>8.5399999999999991</v>
      </c>
      <c r="J96" s="100">
        <v>0.09</v>
      </c>
      <c r="K96" s="100">
        <v>183.68</v>
      </c>
      <c r="L96" s="100">
        <v>17.079999999999998</v>
      </c>
      <c r="M96" s="100">
        <v>24.63</v>
      </c>
      <c r="N96" s="100">
        <v>2.4</v>
      </c>
      <c r="O96" s="100">
        <v>0</v>
      </c>
      <c r="P96" s="100">
        <v>0.56999999999999995</v>
      </c>
      <c r="Q96" s="100">
        <v>9.89</v>
      </c>
      <c r="R96" s="6"/>
      <c r="S96" s="6"/>
      <c r="T96" s="156"/>
      <c r="U96" s="6"/>
    </row>
    <row r="97" spans="1:28" customFormat="1">
      <c r="A97" s="201" t="s">
        <v>2537</v>
      </c>
      <c r="B97" s="100">
        <v>6.54</v>
      </c>
      <c r="C97" s="100">
        <v>7.26</v>
      </c>
      <c r="D97" s="100">
        <v>13.8</v>
      </c>
      <c r="E97" s="100">
        <v>6.04</v>
      </c>
      <c r="F97" s="100">
        <v>2</v>
      </c>
      <c r="G97" s="100">
        <v>30.62</v>
      </c>
      <c r="H97" s="100">
        <v>15.68</v>
      </c>
      <c r="I97" s="100">
        <v>8.5</v>
      </c>
      <c r="J97" s="100">
        <v>0.08</v>
      </c>
      <c r="K97" s="100">
        <v>174.04</v>
      </c>
      <c r="L97" s="100">
        <v>16.690000000000001</v>
      </c>
      <c r="M97" s="100">
        <v>23.7</v>
      </c>
      <c r="N97" s="100">
        <v>2.4</v>
      </c>
      <c r="O97" s="100">
        <v>0</v>
      </c>
      <c r="P97" s="100">
        <v>0.59</v>
      </c>
      <c r="Q97" s="100">
        <v>10</v>
      </c>
      <c r="R97" s="6"/>
      <c r="S97" s="6"/>
      <c r="T97" s="156"/>
      <c r="U97" s="6"/>
    </row>
    <row r="98" spans="1:28" customFormat="1">
      <c r="A98" s="201" t="s">
        <v>2538</v>
      </c>
      <c r="B98" s="100">
        <v>6.54</v>
      </c>
      <c r="C98" s="100">
        <v>7.19</v>
      </c>
      <c r="D98" s="100">
        <v>13.73</v>
      </c>
      <c r="E98" s="100">
        <v>5.98</v>
      </c>
      <c r="F98" s="100">
        <v>2</v>
      </c>
      <c r="G98" s="100">
        <v>31.78</v>
      </c>
      <c r="H98" s="100">
        <v>16.68</v>
      </c>
      <c r="I98" s="100">
        <v>8.48</v>
      </c>
      <c r="J98" s="100">
        <v>0.11</v>
      </c>
      <c r="K98" s="100">
        <v>69.98</v>
      </c>
      <c r="L98" s="100">
        <v>10.16</v>
      </c>
      <c r="M98" s="100">
        <v>7.18</v>
      </c>
      <c r="N98" s="100">
        <v>2.2999999999999998</v>
      </c>
      <c r="O98" s="100">
        <v>0.2</v>
      </c>
      <c r="P98" s="100">
        <v>0.6</v>
      </c>
      <c r="Q98" s="100">
        <v>10.43</v>
      </c>
      <c r="R98" s="6"/>
      <c r="S98" s="6"/>
      <c r="T98" s="156"/>
      <c r="U98" s="6"/>
    </row>
    <row r="99" spans="1:28" customFormat="1">
      <c r="A99" s="201" t="s">
        <v>2539</v>
      </c>
      <c r="B99" s="100">
        <v>7.32</v>
      </c>
      <c r="C99" s="100">
        <v>7.29</v>
      </c>
      <c r="D99" s="100">
        <v>14.61</v>
      </c>
      <c r="E99" s="100">
        <v>6.47</v>
      </c>
      <c r="F99" s="100">
        <v>2</v>
      </c>
      <c r="G99" s="100">
        <v>32.68</v>
      </c>
      <c r="H99" s="100">
        <v>17</v>
      </c>
      <c r="I99" s="100">
        <v>8.48</v>
      </c>
      <c r="J99" s="100">
        <v>0.23</v>
      </c>
      <c r="K99" s="100">
        <v>349.91</v>
      </c>
      <c r="L99" s="100">
        <v>14.81</v>
      </c>
      <c r="M99" s="100">
        <v>18.649999999999999</v>
      </c>
      <c r="N99" s="100">
        <v>3</v>
      </c>
      <c r="O99" s="100">
        <v>2.4</v>
      </c>
      <c r="P99" s="100">
        <v>0.61</v>
      </c>
      <c r="Q99" s="100">
        <v>10.02</v>
      </c>
      <c r="R99" s="6"/>
      <c r="S99" s="6"/>
      <c r="T99" s="156"/>
      <c r="U99" s="6"/>
    </row>
    <row r="100" spans="1:28" customFormat="1">
      <c r="A100" s="201" t="s">
        <v>2540</v>
      </c>
      <c r="B100" s="100">
        <v>7.63</v>
      </c>
      <c r="C100" s="100">
        <v>7.45</v>
      </c>
      <c r="D100" s="100">
        <v>15.08</v>
      </c>
      <c r="E100" s="100">
        <v>6.36</v>
      </c>
      <c r="F100" s="100">
        <v>2</v>
      </c>
      <c r="G100" s="100">
        <v>32.68</v>
      </c>
      <c r="H100" s="100">
        <v>17</v>
      </c>
      <c r="I100" s="100">
        <v>8.5299999999999994</v>
      </c>
      <c r="J100" s="100">
        <v>0.06</v>
      </c>
      <c r="K100" s="100">
        <v>278.3</v>
      </c>
      <c r="L100" s="100">
        <v>19.7</v>
      </c>
      <c r="M100" s="100">
        <v>31.11</v>
      </c>
      <c r="N100" s="100">
        <v>2.6</v>
      </c>
      <c r="O100" s="100">
        <v>1.4</v>
      </c>
      <c r="P100" s="100">
        <v>0.62</v>
      </c>
      <c r="Q100" s="100">
        <v>10.33</v>
      </c>
      <c r="R100" s="6"/>
      <c r="S100" s="6"/>
      <c r="T100" s="156"/>
      <c r="U100" s="6"/>
      <c r="AB100" s="161"/>
    </row>
    <row r="101" spans="1:28" customFormat="1">
      <c r="A101" s="201" t="s">
        <v>2541</v>
      </c>
      <c r="B101" s="100">
        <v>7.46</v>
      </c>
      <c r="C101" s="100">
        <v>7.54</v>
      </c>
      <c r="D101" s="100">
        <v>15</v>
      </c>
      <c r="E101" s="100">
        <v>6.34</v>
      </c>
      <c r="F101" s="100">
        <v>2</v>
      </c>
      <c r="G101" s="100">
        <v>32.68</v>
      </c>
      <c r="H101" s="100">
        <v>17</v>
      </c>
      <c r="I101" s="100">
        <v>8.6</v>
      </c>
      <c r="J101" s="100">
        <v>0.31</v>
      </c>
      <c r="K101" s="100">
        <v>72.11</v>
      </c>
      <c r="L101" s="100">
        <v>11.43</v>
      </c>
      <c r="M101" s="100">
        <v>10.42</v>
      </c>
      <c r="N101" s="100">
        <v>3.5</v>
      </c>
      <c r="O101" s="100">
        <v>9.6</v>
      </c>
      <c r="P101" s="100">
        <v>0.6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2542</v>
      </c>
      <c r="B102" s="100">
        <v>7.08</v>
      </c>
      <c r="C102" s="100">
        <v>7.48</v>
      </c>
      <c r="D102" s="100">
        <v>14.56</v>
      </c>
      <c r="E102" s="100">
        <v>6.71</v>
      </c>
      <c r="F102" s="100">
        <v>2</v>
      </c>
      <c r="G102" s="100">
        <v>32.78</v>
      </c>
      <c r="H102" s="100">
        <v>18.11</v>
      </c>
      <c r="I102" s="100">
        <v>8.57</v>
      </c>
      <c r="J102" s="100">
        <v>0.44</v>
      </c>
      <c r="K102" s="100">
        <v>26.78</v>
      </c>
      <c r="L102" s="100">
        <v>9.14</v>
      </c>
      <c r="M102" s="100">
        <v>4.5199999999999996</v>
      </c>
      <c r="N102" s="100">
        <v>3.3</v>
      </c>
      <c r="O102" s="100">
        <v>1.6</v>
      </c>
      <c r="P102" s="100">
        <v>0.57999999999999996</v>
      </c>
      <c r="Q102" s="100">
        <v>10.48</v>
      </c>
      <c r="R102" s="6"/>
      <c r="S102" s="6"/>
      <c r="T102" s="156"/>
      <c r="U102" s="6"/>
    </row>
    <row r="103" spans="1:28" customFormat="1">
      <c r="A103" s="201" t="s">
        <v>2543</v>
      </c>
      <c r="B103" s="100">
        <v>6.77</v>
      </c>
      <c r="C103" s="100">
        <v>7.38</v>
      </c>
      <c r="D103" s="100">
        <v>14.14</v>
      </c>
      <c r="E103" s="100">
        <v>6.88</v>
      </c>
      <c r="F103" s="100">
        <v>2</v>
      </c>
      <c r="G103" s="100">
        <v>32.85</v>
      </c>
      <c r="H103" s="100">
        <v>18.760000000000002</v>
      </c>
      <c r="I103" s="100">
        <v>8.4499999999999993</v>
      </c>
      <c r="J103" s="100">
        <v>0.16</v>
      </c>
      <c r="K103" s="100">
        <v>21.35</v>
      </c>
      <c r="L103" s="100">
        <v>9.0399999999999991</v>
      </c>
      <c r="M103" s="100">
        <v>4.26</v>
      </c>
      <c r="N103" s="100">
        <v>2.2000000000000002</v>
      </c>
      <c r="O103" s="100">
        <v>0</v>
      </c>
      <c r="P103" s="100">
        <v>0.56999999999999995</v>
      </c>
      <c r="Q103" s="100">
        <v>9.9600000000000009</v>
      </c>
      <c r="R103" s="6"/>
      <c r="S103" s="6"/>
      <c r="T103" s="156"/>
      <c r="U103" s="6"/>
    </row>
    <row r="104" spans="1:28" customFormat="1">
      <c r="A104" s="201" t="s">
        <v>2544</v>
      </c>
      <c r="B104" s="100">
        <v>6.63</v>
      </c>
      <c r="C104" s="100">
        <v>7.28</v>
      </c>
      <c r="D104" s="100">
        <v>13.92</v>
      </c>
      <c r="E104" s="100">
        <v>6.55</v>
      </c>
      <c r="F104" s="100">
        <v>2.0099999999999998</v>
      </c>
      <c r="G104" s="100">
        <v>32.85</v>
      </c>
      <c r="H104" s="100">
        <v>18.760000000000002</v>
      </c>
      <c r="I104" s="100">
        <v>8.25</v>
      </c>
      <c r="J104" s="100">
        <v>0.22</v>
      </c>
      <c r="K104" s="100">
        <v>310.47000000000003</v>
      </c>
      <c r="L104" s="100">
        <v>27.19</v>
      </c>
      <c r="M104" s="100">
        <v>49.68</v>
      </c>
      <c r="N104" s="100">
        <v>2.2999999999999998</v>
      </c>
      <c r="O104" s="100">
        <v>0</v>
      </c>
      <c r="P104" s="100">
        <v>0.54</v>
      </c>
      <c r="Q104" s="100">
        <v>9.99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1.87</v>
      </c>
      <c r="C106" s="158">
        <f>MIN(C9:C104)</f>
        <v>4.9800000000000004</v>
      </c>
      <c r="D106" s="158">
        <f t="shared" ref="D106:Q106" si="0">MIN(D9:D104)</f>
        <v>9.2200000000000006</v>
      </c>
      <c r="E106" s="158">
        <f t="shared" si="0"/>
        <v>3.58</v>
      </c>
      <c r="F106" s="158">
        <f t="shared" si="0"/>
        <v>2</v>
      </c>
      <c r="G106" s="158">
        <f t="shared" si="0"/>
        <v>25.92</v>
      </c>
      <c r="H106" s="158">
        <f t="shared" si="0"/>
        <v>12.48</v>
      </c>
      <c r="I106" s="158">
        <f t="shared" si="0"/>
        <v>6.05</v>
      </c>
      <c r="J106" s="158">
        <f t="shared" si="0"/>
        <v>0.06</v>
      </c>
      <c r="K106" s="158">
        <f t="shared" si="0"/>
        <v>21.35</v>
      </c>
      <c r="L106" s="158">
        <f t="shared" si="0"/>
        <v>-35.020000000000003</v>
      </c>
      <c r="M106" s="158">
        <f t="shared" si="0"/>
        <v>4.26</v>
      </c>
      <c r="N106" s="158">
        <f t="shared" si="0"/>
        <v>2.1</v>
      </c>
      <c r="O106" s="158">
        <f t="shared" si="0"/>
        <v>0</v>
      </c>
      <c r="P106" s="158">
        <f t="shared" si="0"/>
        <v>0.32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7.63</v>
      </c>
      <c r="C107" s="157">
        <f t="shared" ref="C107:Q107" si="1">MAX(C9:C104)</f>
        <v>12.07</v>
      </c>
      <c r="D107" s="157">
        <f t="shared" si="1"/>
        <v>17.22</v>
      </c>
      <c r="E107" s="157">
        <f t="shared" si="1"/>
        <v>6.88</v>
      </c>
      <c r="F107" s="157">
        <f t="shared" si="1"/>
        <v>8.64</v>
      </c>
      <c r="G107" s="157">
        <f t="shared" si="1"/>
        <v>45.36</v>
      </c>
      <c r="H107" s="157">
        <f t="shared" si="1"/>
        <v>19.11</v>
      </c>
      <c r="I107" s="157">
        <f t="shared" si="1"/>
        <v>12</v>
      </c>
      <c r="J107" s="157">
        <f t="shared" si="1"/>
        <v>0.91</v>
      </c>
      <c r="K107" s="157">
        <f t="shared" si="1"/>
        <v>349.91</v>
      </c>
      <c r="L107" s="157">
        <f t="shared" si="1"/>
        <v>27.19</v>
      </c>
      <c r="M107" s="157">
        <f t="shared" si="1"/>
        <v>49.68</v>
      </c>
      <c r="N107" s="157">
        <f t="shared" si="1"/>
        <v>32.6</v>
      </c>
      <c r="O107" s="157">
        <f t="shared" si="1"/>
        <v>9.6</v>
      </c>
      <c r="P107" s="157">
        <f t="shared" si="1"/>
        <v>0.62</v>
      </c>
      <c r="Q107" s="157">
        <f t="shared" si="1"/>
        <v>17.25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5.0995833333333316</v>
      </c>
      <c r="C108" s="158">
        <f t="shared" ref="C108:Q108" si="2">AVERAGE(C9:C104)</f>
        <v>7.206875000000001</v>
      </c>
      <c r="D108" s="158">
        <f t="shared" si="2"/>
        <v>12.305937500000001</v>
      </c>
      <c r="E108" s="158">
        <f t="shared" si="2"/>
        <v>5.3683333333333323</v>
      </c>
      <c r="F108" s="158">
        <f t="shared" si="2"/>
        <v>2.4238541666666671</v>
      </c>
      <c r="G108" s="158">
        <f t="shared" si="2"/>
        <v>33.330729166666664</v>
      </c>
      <c r="H108" s="158">
        <f t="shared" si="2"/>
        <v>15.194895833333341</v>
      </c>
      <c r="I108" s="158">
        <f t="shared" si="2"/>
        <v>9.2836458333333383</v>
      </c>
      <c r="J108" s="158">
        <f t="shared" si="2"/>
        <v>0.32833333333333337</v>
      </c>
      <c r="K108" s="158">
        <f t="shared" si="2"/>
        <v>233.90364583333326</v>
      </c>
      <c r="L108" s="158">
        <f t="shared" si="2"/>
        <v>-1.3264583333333329</v>
      </c>
      <c r="M108" s="158">
        <f t="shared" si="2"/>
        <v>33.478958333333345</v>
      </c>
      <c r="N108" s="158">
        <f t="shared" si="2"/>
        <v>6.7156249999999984</v>
      </c>
      <c r="O108" s="158">
        <f t="shared" si="2"/>
        <v>0.73333333333333328</v>
      </c>
      <c r="P108" s="158">
        <f t="shared" si="2"/>
        <v>0.48968750000000005</v>
      </c>
      <c r="Q108" s="158">
        <f t="shared" si="2"/>
        <v>10.129166666666668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1.4780114070257602</v>
      </c>
      <c r="C109" s="158">
        <f t="shared" ref="C109:Q109" si="3">STDEV(C9:C104)</f>
        <v>1.759459434030797</v>
      </c>
      <c r="D109" s="158">
        <f t="shared" si="3"/>
        <v>2.0725436078835364</v>
      </c>
      <c r="E109" s="158">
        <f t="shared" si="3"/>
        <v>0.87919780023033067</v>
      </c>
      <c r="F109" s="158">
        <f t="shared" si="3"/>
        <v>1.0339982386136546</v>
      </c>
      <c r="G109" s="158">
        <f t="shared" si="3"/>
        <v>4.8068559031081124</v>
      </c>
      <c r="H109" s="158">
        <f t="shared" si="3"/>
        <v>1.7990412620946614</v>
      </c>
      <c r="I109" s="158">
        <f t="shared" si="3"/>
        <v>1.7686486782087945</v>
      </c>
      <c r="J109" s="158">
        <f t="shared" si="3"/>
        <v>0.18648361952428216</v>
      </c>
      <c r="K109" s="158">
        <f t="shared" si="3"/>
        <v>73.25304452979293</v>
      </c>
      <c r="L109" s="158">
        <f t="shared" si="3"/>
        <v>23.321683652283614</v>
      </c>
      <c r="M109" s="158">
        <f t="shared" si="3"/>
        <v>10.983409736043871</v>
      </c>
      <c r="N109" s="158">
        <f t="shared" si="3"/>
        <v>6.0141644758108592</v>
      </c>
      <c r="O109" s="158">
        <f t="shared" si="3"/>
        <v>1.4359787908319879</v>
      </c>
      <c r="P109" s="158">
        <f t="shared" si="3"/>
        <v>6.4863469972258544E-2</v>
      </c>
      <c r="Q109" s="158">
        <f t="shared" si="3"/>
        <v>0.79106013700026434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K18" sqref="K1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2545</v>
      </c>
      <c r="B9" s="100">
        <v>6.37</v>
      </c>
      <c r="C9" s="100">
        <v>7.34</v>
      </c>
      <c r="D9" s="100">
        <v>13.71</v>
      </c>
      <c r="E9" s="100">
        <v>6.37</v>
      </c>
      <c r="F9" s="100">
        <v>2</v>
      </c>
      <c r="G9" s="100">
        <v>32.85</v>
      </c>
      <c r="H9" s="100">
        <v>18.760000000000002</v>
      </c>
      <c r="I9" s="100">
        <v>8.06</v>
      </c>
      <c r="J9" s="100">
        <v>7.0000000000000007E-2</v>
      </c>
      <c r="K9" s="100">
        <v>27.89</v>
      </c>
      <c r="L9" s="100">
        <v>14.68</v>
      </c>
      <c r="M9" s="100">
        <v>18.48</v>
      </c>
      <c r="N9" s="100">
        <v>2.2999999999999998</v>
      </c>
      <c r="O9" s="100">
        <v>0</v>
      </c>
      <c r="P9" s="100">
        <v>0.54</v>
      </c>
      <c r="Q9" s="100">
        <v>10</v>
      </c>
      <c r="R9" s="6"/>
      <c r="S9" s="6"/>
      <c r="T9" s="156"/>
      <c r="U9" s="6"/>
    </row>
    <row r="10" spans="1:21" customFormat="1">
      <c r="A10" s="201" t="s">
        <v>2546</v>
      </c>
      <c r="B10" s="100">
        <v>6.31</v>
      </c>
      <c r="C10" s="100">
        <v>7.27</v>
      </c>
      <c r="D10" s="100">
        <v>13.57</v>
      </c>
      <c r="E10" s="100">
        <v>6.2</v>
      </c>
      <c r="F10" s="100">
        <v>2</v>
      </c>
      <c r="G10" s="100">
        <v>26.72</v>
      </c>
      <c r="H10" s="100">
        <v>18.14</v>
      </c>
      <c r="I10" s="100">
        <v>7.93</v>
      </c>
      <c r="J10" s="100">
        <v>0.06</v>
      </c>
      <c r="K10" s="100">
        <v>72.87</v>
      </c>
      <c r="L10" s="100">
        <v>13.32</v>
      </c>
      <c r="M10" s="100">
        <v>15.17</v>
      </c>
      <c r="N10" s="100">
        <v>2.2000000000000002</v>
      </c>
      <c r="O10" s="100">
        <v>0</v>
      </c>
      <c r="P10" s="100">
        <v>0.51</v>
      </c>
      <c r="Q10" s="100">
        <v>10</v>
      </c>
      <c r="R10" s="6"/>
      <c r="S10" s="6"/>
      <c r="T10" s="156"/>
      <c r="U10" s="6"/>
    </row>
    <row r="11" spans="1:21" customFormat="1">
      <c r="A11" s="201" t="s">
        <v>2547</v>
      </c>
      <c r="B11" s="100">
        <v>6.19</v>
      </c>
      <c r="C11" s="100">
        <v>7.15</v>
      </c>
      <c r="D11" s="100">
        <v>13.34</v>
      </c>
      <c r="E11" s="100">
        <v>6.59</v>
      </c>
      <c r="F11" s="100">
        <v>2</v>
      </c>
      <c r="G11" s="100">
        <v>22.03</v>
      </c>
      <c r="H11" s="100">
        <v>17.940000000000001</v>
      </c>
      <c r="I11" s="100">
        <v>7.77</v>
      </c>
      <c r="J11" s="100">
        <v>7.0000000000000007E-2</v>
      </c>
      <c r="K11" s="100">
        <v>330.93</v>
      </c>
      <c r="L11" s="100">
        <v>21.57</v>
      </c>
      <c r="M11" s="100">
        <v>35.76</v>
      </c>
      <c r="N11" s="100">
        <v>2.4</v>
      </c>
      <c r="O11" s="100">
        <v>0</v>
      </c>
      <c r="P11" s="100">
        <v>0.5</v>
      </c>
      <c r="Q11" s="100">
        <v>10</v>
      </c>
      <c r="R11" s="6"/>
      <c r="S11" s="6"/>
      <c r="T11" s="156"/>
      <c r="U11" s="6"/>
    </row>
    <row r="12" spans="1:21" customFormat="1">
      <c r="A12" s="201" t="s">
        <v>2548</v>
      </c>
      <c r="B12" s="100">
        <v>6.25</v>
      </c>
      <c r="C12" s="100">
        <v>6.83</v>
      </c>
      <c r="D12" s="100">
        <v>13.08</v>
      </c>
      <c r="E12" s="100">
        <v>6.57</v>
      </c>
      <c r="F12" s="100">
        <v>2</v>
      </c>
      <c r="G12" s="100">
        <v>22.03</v>
      </c>
      <c r="H12" s="100">
        <v>17.940000000000001</v>
      </c>
      <c r="I12" s="100">
        <v>7.6</v>
      </c>
      <c r="J12" s="100">
        <v>0.1</v>
      </c>
      <c r="K12" s="100">
        <v>58.12</v>
      </c>
      <c r="L12" s="100">
        <v>11.7</v>
      </c>
      <c r="M12" s="100">
        <v>11.09</v>
      </c>
      <c r="N12" s="100">
        <v>2.2999999999999998</v>
      </c>
      <c r="O12" s="100">
        <v>0</v>
      </c>
      <c r="P12" s="100">
        <v>0.45</v>
      </c>
      <c r="Q12" s="100">
        <v>10</v>
      </c>
      <c r="R12" s="6"/>
      <c r="S12" s="6"/>
      <c r="T12" s="156"/>
      <c r="U12" s="6"/>
    </row>
    <row r="13" spans="1:21" customFormat="1">
      <c r="A13" s="201" t="s">
        <v>2549</v>
      </c>
      <c r="B13" s="100">
        <v>6.36</v>
      </c>
      <c r="C13" s="100">
        <v>6.73</v>
      </c>
      <c r="D13" s="100">
        <v>13.09</v>
      </c>
      <c r="E13" s="100">
        <v>6.36</v>
      </c>
      <c r="F13" s="100">
        <v>2.42</v>
      </c>
      <c r="G13" s="100">
        <v>22.03</v>
      </c>
      <c r="H13" s="100">
        <v>17.940000000000001</v>
      </c>
      <c r="I13" s="100">
        <v>7.41</v>
      </c>
      <c r="J13" s="100">
        <v>0.17</v>
      </c>
      <c r="K13" s="100">
        <v>53.22</v>
      </c>
      <c r="L13" s="100">
        <v>7.78</v>
      </c>
      <c r="M13" s="100">
        <v>1.28</v>
      </c>
      <c r="N13" s="100">
        <v>2.4</v>
      </c>
      <c r="O13" s="100">
        <v>0</v>
      </c>
      <c r="P13" s="100">
        <v>0.42</v>
      </c>
      <c r="Q13" s="100">
        <v>10.57</v>
      </c>
      <c r="R13" s="6"/>
      <c r="S13" s="6"/>
      <c r="T13" s="156"/>
      <c r="U13" s="6"/>
    </row>
    <row r="14" spans="1:21" customFormat="1">
      <c r="A14" s="201" t="s">
        <v>2550</v>
      </c>
      <c r="B14" s="100">
        <v>6.49</v>
      </c>
      <c r="C14" s="100">
        <v>6.74</v>
      </c>
      <c r="D14" s="100">
        <v>13.23</v>
      </c>
      <c r="E14" s="100">
        <v>5.84</v>
      </c>
      <c r="F14" s="100">
        <v>2.2799999999999998</v>
      </c>
      <c r="G14" s="100">
        <v>23.04</v>
      </c>
      <c r="H14" s="100">
        <v>14.59</v>
      </c>
      <c r="I14" s="100">
        <v>7.42</v>
      </c>
      <c r="J14" s="100">
        <v>0.17</v>
      </c>
      <c r="K14" s="100">
        <v>35.29</v>
      </c>
      <c r="L14" s="100">
        <v>8.6999999999999993</v>
      </c>
      <c r="M14" s="100">
        <v>3.45</v>
      </c>
      <c r="N14" s="100">
        <v>2.4</v>
      </c>
      <c r="O14" s="100">
        <v>0.2</v>
      </c>
      <c r="P14" s="100">
        <v>0.41</v>
      </c>
      <c r="Q14" s="100">
        <v>10</v>
      </c>
      <c r="R14" s="6"/>
      <c r="S14" s="6"/>
      <c r="T14" s="156"/>
      <c r="U14" s="6"/>
    </row>
    <row r="15" spans="1:21" customFormat="1">
      <c r="A15" s="201" t="s">
        <v>2551</v>
      </c>
      <c r="B15" s="100">
        <v>6.65</v>
      </c>
      <c r="C15" s="100">
        <v>6.5</v>
      </c>
      <c r="D15" s="100">
        <v>13.15</v>
      </c>
      <c r="E15" s="100">
        <v>6.06</v>
      </c>
      <c r="F15" s="100">
        <v>2</v>
      </c>
      <c r="G15" s="100">
        <v>23.8</v>
      </c>
      <c r="H15" s="100">
        <v>13.52</v>
      </c>
      <c r="I15" s="100">
        <v>7.29</v>
      </c>
      <c r="J15" s="100">
        <v>0.26</v>
      </c>
      <c r="K15" s="100">
        <v>24.42</v>
      </c>
      <c r="L15" s="100">
        <v>7.08</v>
      </c>
      <c r="M15" s="100">
        <v>-0.62</v>
      </c>
      <c r="N15" s="100">
        <v>2.4</v>
      </c>
      <c r="O15" s="100">
        <v>0</v>
      </c>
      <c r="P15" s="100">
        <v>0.43</v>
      </c>
      <c r="Q15" s="100">
        <v>11.78</v>
      </c>
      <c r="R15" s="6"/>
      <c r="S15" s="6"/>
      <c r="T15" s="156"/>
      <c r="U15" s="6"/>
    </row>
    <row r="16" spans="1:21" customFormat="1">
      <c r="A16" s="201" t="s">
        <v>2552</v>
      </c>
      <c r="B16" s="100">
        <v>6.64</v>
      </c>
      <c r="C16" s="100">
        <v>6.21</v>
      </c>
      <c r="D16" s="100">
        <v>12.85</v>
      </c>
      <c r="E16" s="100">
        <v>6.53</v>
      </c>
      <c r="F16" s="100">
        <v>2.11</v>
      </c>
      <c r="G16" s="100">
        <v>23.8</v>
      </c>
      <c r="H16" s="100">
        <v>13.52</v>
      </c>
      <c r="I16" s="100">
        <v>7.16</v>
      </c>
      <c r="J16" s="100">
        <v>0.38</v>
      </c>
      <c r="K16" s="100">
        <v>27.95</v>
      </c>
      <c r="L16" s="100">
        <v>8.14</v>
      </c>
      <c r="M16" s="100">
        <v>2.0499999999999998</v>
      </c>
      <c r="N16" s="100">
        <v>2.4</v>
      </c>
      <c r="O16" s="100">
        <v>0</v>
      </c>
      <c r="P16" s="100">
        <v>0.4</v>
      </c>
      <c r="Q16" s="100">
        <v>11.65</v>
      </c>
      <c r="R16" s="6"/>
      <c r="S16" s="6"/>
      <c r="T16" s="156"/>
      <c r="U16" s="6"/>
    </row>
    <row r="17" spans="1:21" customFormat="1">
      <c r="A17" s="201" t="s">
        <v>2553</v>
      </c>
      <c r="B17" s="100">
        <v>6.54</v>
      </c>
      <c r="C17" s="100">
        <v>5.97</v>
      </c>
      <c r="D17" s="100">
        <v>12.51</v>
      </c>
      <c r="E17" s="100">
        <v>3.7</v>
      </c>
      <c r="F17" s="100">
        <v>3.05</v>
      </c>
      <c r="G17" s="100">
        <v>23.8</v>
      </c>
      <c r="H17" s="100">
        <v>13.52</v>
      </c>
      <c r="I17" s="100">
        <v>7.26</v>
      </c>
      <c r="J17" s="100">
        <v>0.52</v>
      </c>
      <c r="K17" s="100">
        <v>31.08</v>
      </c>
      <c r="L17" s="100">
        <v>8.08</v>
      </c>
      <c r="M17" s="100">
        <v>1.99</v>
      </c>
      <c r="N17" s="100">
        <v>2.4</v>
      </c>
      <c r="O17" s="100">
        <v>0</v>
      </c>
      <c r="P17" s="100">
        <v>0.39</v>
      </c>
      <c r="Q17" s="100">
        <v>12.9</v>
      </c>
      <c r="R17" s="6"/>
      <c r="S17" s="6"/>
      <c r="T17" s="156"/>
      <c r="U17" s="6"/>
    </row>
    <row r="18" spans="1:21" customFormat="1">
      <c r="A18" s="201" t="s">
        <v>2554</v>
      </c>
      <c r="B18" s="100">
        <v>6.59</v>
      </c>
      <c r="C18" s="100">
        <v>6.11</v>
      </c>
      <c r="D18" s="100">
        <v>12.7</v>
      </c>
      <c r="E18" s="100">
        <v>4.75</v>
      </c>
      <c r="F18" s="100">
        <v>2.81</v>
      </c>
      <c r="G18" s="100">
        <v>25.52</v>
      </c>
      <c r="H18" s="100">
        <v>12.86</v>
      </c>
      <c r="I18" s="100">
        <v>7.05</v>
      </c>
      <c r="J18" s="100">
        <v>0.55000000000000004</v>
      </c>
      <c r="K18" s="100">
        <v>16.72</v>
      </c>
      <c r="L18" s="100">
        <v>12.07</v>
      </c>
      <c r="M18" s="100">
        <v>11.91</v>
      </c>
      <c r="N18" s="100">
        <v>2.8</v>
      </c>
      <c r="O18" s="100">
        <v>0.4</v>
      </c>
      <c r="P18" s="100">
        <v>0.4</v>
      </c>
      <c r="Q18" s="100">
        <v>18.45</v>
      </c>
      <c r="R18" s="6"/>
      <c r="S18" s="6"/>
      <c r="T18" s="156"/>
      <c r="U18" s="6"/>
    </row>
    <row r="19" spans="1:21" customFormat="1">
      <c r="A19" s="201" t="s">
        <v>2555</v>
      </c>
      <c r="B19" s="100">
        <v>6.29</v>
      </c>
      <c r="C19" s="100">
        <v>6.22</v>
      </c>
      <c r="D19" s="100">
        <v>12.51</v>
      </c>
      <c r="E19" s="100">
        <v>4.51</v>
      </c>
      <c r="F19" s="100">
        <v>4.0999999999999996</v>
      </c>
      <c r="G19" s="100">
        <v>26.83</v>
      </c>
      <c r="H19" s="100">
        <v>12.64</v>
      </c>
      <c r="I19" s="100">
        <v>7.01</v>
      </c>
      <c r="J19" s="100">
        <v>0.73</v>
      </c>
      <c r="K19" s="100">
        <v>14.59</v>
      </c>
      <c r="L19" s="100">
        <v>9.94</v>
      </c>
      <c r="M19" s="100">
        <v>6.51</v>
      </c>
      <c r="N19" s="100">
        <v>3.3</v>
      </c>
      <c r="O19" s="100">
        <v>0.4</v>
      </c>
      <c r="P19" s="100">
        <v>0.37</v>
      </c>
      <c r="Q19" s="100">
        <v>14.83</v>
      </c>
      <c r="R19" s="6"/>
      <c r="S19" s="6"/>
      <c r="T19" s="156"/>
      <c r="U19" s="6"/>
    </row>
    <row r="20" spans="1:21" customFormat="1">
      <c r="A20" s="201" t="s">
        <v>2556</v>
      </c>
      <c r="B20" s="100">
        <v>6.39</v>
      </c>
      <c r="C20" s="100">
        <v>5.97</v>
      </c>
      <c r="D20" s="100">
        <v>12.36</v>
      </c>
      <c r="E20" s="100">
        <v>4.8499999999999996</v>
      </c>
      <c r="F20" s="100">
        <v>3.57</v>
      </c>
      <c r="G20" s="100">
        <v>26.83</v>
      </c>
      <c r="H20" s="100">
        <v>12.64</v>
      </c>
      <c r="I20" s="100">
        <v>6.94</v>
      </c>
      <c r="J20" s="100">
        <v>0.63</v>
      </c>
      <c r="K20" s="100">
        <v>22.46</v>
      </c>
      <c r="L20" s="100">
        <v>9.52</v>
      </c>
      <c r="M20" s="100">
        <v>5.63</v>
      </c>
      <c r="N20" s="100">
        <v>2.7</v>
      </c>
      <c r="O20" s="100">
        <v>0.2</v>
      </c>
      <c r="P20" s="100">
        <v>0.36</v>
      </c>
      <c r="Q20" s="100">
        <v>10</v>
      </c>
      <c r="R20" s="6"/>
      <c r="S20" s="6"/>
      <c r="T20" s="156"/>
      <c r="U20" s="6"/>
    </row>
    <row r="21" spans="1:21" customFormat="1">
      <c r="A21" s="201" t="s">
        <v>2557</v>
      </c>
      <c r="B21" s="100">
        <v>6.56</v>
      </c>
      <c r="C21" s="100">
        <v>6.02</v>
      </c>
      <c r="D21" s="100">
        <v>12.58</v>
      </c>
      <c r="E21" s="100">
        <v>5</v>
      </c>
      <c r="F21" s="100">
        <v>2.2599999999999998</v>
      </c>
      <c r="G21" s="100">
        <v>26.83</v>
      </c>
      <c r="H21" s="100">
        <v>12.64</v>
      </c>
      <c r="I21" s="100">
        <v>6.66</v>
      </c>
      <c r="J21" s="100">
        <v>0.53</v>
      </c>
      <c r="K21" s="100">
        <v>27.77</v>
      </c>
      <c r="L21" s="100">
        <v>7.2</v>
      </c>
      <c r="M21" s="100">
        <v>-0.36</v>
      </c>
      <c r="N21" s="100">
        <v>2.6</v>
      </c>
      <c r="O21" s="100">
        <v>0</v>
      </c>
      <c r="P21" s="100">
        <v>0.39</v>
      </c>
      <c r="Q21" s="100">
        <v>10</v>
      </c>
      <c r="R21" s="6"/>
      <c r="S21" s="6"/>
      <c r="T21" s="156"/>
      <c r="U21" s="6"/>
    </row>
    <row r="22" spans="1:21" customFormat="1">
      <c r="A22" s="201" t="s">
        <v>2558</v>
      </c>
      <c r="B22" s="100">
        <v>6.51</v>
      </c>
      <c r="C22" s="100">
        <v>6.07</v>
      </c>
      <c r="D22" s="100">
        <v>12.58</v>
      </c>
      <c r="E22" s="100">
        <v>5.01</v>
      </c>
      <c r="F22" s="100">
        <v>2.4300000000000002</v>
      </c>
      <c r="G22" s="100">
        <v>24.16</v>
      </c>
      <c r="H22" s="100">
        <v>11.63</v>
      </c>
      <c r="I22" s="100">
        <v>6.72</v>
      </c>
      <c r="J22" s="100">
        <v>0.43</v>
      </c>
      <c r="K22" s="100">
        <v>28.72</v>
      </c>
      <c r="L22" s="100">
        <v>8.0399999999999991</v>
      </c>
      <c r="M22" s="100">
        <v>1.78</v>
      </c>
      <c r="N22" s="100">
        <v>2.5</v>
      </c>
      <c r="O22" s="100">
        <v>0</v>
      </c>
      <c r="P22" s="100">
        <v>0.35</v>
      </c>
      <c r="Q22" s="100">
        <v>10</v>
      </c>
      <c r="R22" s="6"/>
      <c r="S22" s="6"/>
      <c r="T22" s="156"/>
      <c r="U22" s="6"/>
    </row>
    <row r="23" spans="1:21" customFormat="1">
      <c r="A23" s="201" t="s">
        <v>2559</v>
      </c>
      <c r="B23" s="100">
        <v>6.65</v>
      </c>
      <c r="C23" s="100">
        <v>5.92</v>
      </c>
      <c r="D23" s="100">
        <v>12.57</v>
      </c>
      <c r="E23" s="100">
        <v>4.82</v>
      </c>
      <c r="F23" s="100">
        <v>2.39</v>
      </c>
      <c r="G23" s="100">
        <v>22.13</v>
      </c>
      <c r="H23" s="100">
        <v>11.06</v>
      </c>
      <c r="I23" s="100">
        <v>6.82</v>
      </c>
      <c r="J23" s="100">
        <v>0.55000000000000004</v>
      </c>
      <c r="K23" s="100">
        <v>31.68</v>
      </c>
      <c r="L23" s="100">
        <v>6.65</v>
      </c>
      <c r="M23" s="100">
        <v>-1.79</v>
      </c>
      <c r="N23" s="100">
        <v>2.5</v>
      </c>
      <c r="O23" s="100">
        <v>0</v>
      </c>
      <c r="P23" s="100">
        <v>0.35</v>
      </c>
      <c r="Q23" s="100">
        <v>10.31</v>
      </c>
      <c r="R23" s="6"/>
      <c r="S23" s="6"/>
      <c r="T23" s="156"/>
      <c r="U23" s="6"/>
    </row>
    <row r="24" spans="1:21" customFormat="1">
      <c r="A24" s="201" t="s">
        <v>2560</v>
      </c>
      <c r="B24" s="100">
        <v>6.9</v>
      </c>
      <c r="C24" s="100">
        <v>6.02</v>
      </c>
      <c r="D24" s="100">
        <v>12.92</v>
      </c>
      <c r="E24" s="100">
        <v>4.87</v>
      </c>
      <c r="F24" s="100">
        <v>2</v>
      </c>
      <c r="G24" s="100">
        <v>22.13</v>
      </c>
      <c r="H24" s="100">
        <v>11.06</v>
      </c>
      <c r="I24" s="100">
        <v>6.69</v>
      </c>
      <c r="J24" s="100">
        <v>0.49</v>
      </c>
      <c r="K24" s="100">
        <v>31.76</v>
      </c>
      <c r="L24" s="100">
        <v>7.4</v>
      </c>
      <c r="M24" s="100">
        <v>0.77</v>
      </c>
      <c r="N24" s="100">
        <v>2.4</v>
      </c>
      <c r="O24" s="100">
        <v>0</v>
      </c>
      <c r="P24" s="100">
        <v>0.37</v>
      </c>
      <c r="Q24" s="100">
        <v>10</v>
      </c>
      <c r="R24" s="6"/>
      <c r="S24" s="6"/>
      <c r="T24" s="156"/>
      <c r="U24" s="6"/>
    </row>
    <row r="25" spans="1:21" customFormat="1">
      <c r="A25" s="201" t="s">
        <v>2561</v>
      </c>
      <c r="B25" s="100">
        <v>7.21</v>
      </c>
      <c r="C25" s="100">
        <v>6.1</v>
      </c>
      <c r="D25" s="100">
        <v>13.31</v>
      </c>
      <c r="E25" s="100">
        <v>4.9800000000000004</v>
      </c>
      <c r="F25" s="100">
        <v>2</v>
      </c>
      <c r="G25" s="100">
        <v>22.13</v>
      </c>
      <c r="H25" s="100">
        <v>11.06</v>
      </c>
      <c r="I25" s="100">
        <v>6.6</v>
      </c>
      <c r="J25" s="100">
        <v>0.31</v>
      </c>
      <c r="K25" s="100">
        <v>32.659999999999997</v>
      </c>
      <c r="L25" s="100">
        <v>10.66</v>
      </c>
      <c r="M25" s="100">
        <v>8.4499999999999993</v>
      </c>
      <c r="N25" s="100">
        <v>2.4</v>
      </c>
      <c r="O25" s="100">
        <v>0</v>
      </c>
      <c r="P25" s="100">
        <v>0.34</v>
      </c>
      <c r="Q25" s="100">
        <v>12.92</v>
      </c>
      <c r="R25" s="6"/>
      <c r="S25" s="6"/>
      <c r="T25" s="156"/>
      <c r="U25" s="6"/>
    </row>
    <row r="26" spans="1:21" customFormat="1">
      <c r="A26" s="201" t="s">
        <v>2562</v>
      </c>
      <c r="B26" s="100">
        <v>7.47</v>
      </c>
      <c r="C26" s="100">
        <v>6.17</v>
      </c>
      <c r="D26" s="100">
        <v>13.64</v>
      </c>
      <c r="E26" s="100">
        <v>4.78</v>
      </c>
      <c r="F26" s="100">
        <v>2</v>
      </c>
      <c r="G26" s="100">
        <v>22.83</v>
      </c>
      <c r="H26" s="100">
        <v>8.56</v>
      </c>
      <c r="I26" s="100">
        <v>6.65</v>
      </c>
      <c r="J26" s="100">
        <v>0.39</v>
      </c>
      <c r="K26" s="100">
        <v>29.43</v>
      </c>
      <c r="L26" s="100">
        <v>7.03</v>
      </c>
      <c r="M26" s="100">
        <v>-0.05</v>
      </c>
      <c r="N26" s="100">
        <v>2.4</v>
      </c>
      <c r="O26" s="100">
        <v>0</v>
      </c>
      <c r="P26" s="100">
        <v>0.34</v>
      </c>
      <c r="Q26" s="100">
        <v>10</v>
      </c>
      <c r="R26" s="6"/>
      <c r="S26" s="6"/>
      <c r="T26" s="156"/>
      <c r="U26" s="6"/>
    </row>
    <row r="27" spans="1:21" customFormat="1">
      <c r="A27" s="201" t="s">
        <v>2563</v>
      </c>
      <c r="B27" s="100">
        <v>7.82</v>
      </c>
      <c r="C27" s="100">
        <v>6.33</v>
      </c>
      <c r="D27" s="100">
        <v>14.15</v>
      </c>
      <c r="E27" s="100">
        <v>5.07</v>
      </c>
      <c r="F27" s="100">
        <v>2</v>
      </c>
      <c r="G27" s="100">
        <v>23.37</v>
      </c>
      <c r="H27" s="100">
        <v>7.77</v>
      </c>
      <c r="I27" s="100">
        <v>6.61</v>
      </c>
      <c r="J27" s="100">
        <v>0.27</v>
      </c>
      <c r="K27" s="100">
        <v>38.130000000000003</v>
      </c>
      <c r="L27" s="100">
        <v>9.91</v>
      </c>
      <c r="M27" s="100">
        <v>6.59</v>
      </c>
      <c r="N27" s="100">
        <v>2.4</v>
      </c>
      <c r="O27" s="100">
        <v>0</v>
      </c>
      <c r="P27" s="100">
        <v>0.35</v>
      </c>
      <c r="Q27" s="100">
        <v>10</v>
      </c>
      <c r="R27" s="6"/>
      <c r="S27" s="6"/>
      <c r="T27" s="156"/>
      <c r="U27" s="6"/>
    </row>
    <row r="28" spans="1:21" customFormat="1">
      <c r="A28" s="201" t="s">
        <v>2564</v>
      </c>
      <c r="B28" s="100">
        <v>8.35</v>
      </c>
      <c r="C28" s="100">
        <v>6.38</v>
      </c>
      <c r="D28" s="100">
        <v>14.73</v>
      </c>
      <c r="E28" s="100">
        <v>5.21</v>
      </c>
      <c r="F28" s="100">
        <v>2</v>
      </c>
      <c r="G28" s="100">
        <v>23.37</v>
      </c>
      <c r="H28" s="100">
        <v>7.77</v>
      </c>
      <c r="I28" s="100">
        <v>6.47</v>
      </c>
      <c r="J28" s="100">
        <v>0.16</v>
      </c>
      <c r="K28" s="100">
        <v>62.63</v>
      </c>
      <c r="L28" s="100">
        <v>10.51</v>
      </c>
      <c r="M28" s="100">
        <v>8.08</v>
      </c>
      <c r="N28" s="100">
        <v>2.2999999999999998</v>
      </c>
      <c r="O28" s="100">
        <v>0</v>
      </c>
      <c r="P28" s="100">
        <v>0.33</v>
      </c>
      <c r="Q28" s="100">
        <v>10.75</v>
      </c>
      <c r="R28" s="6"/>
      <c r="S28" s="6"/>
      <c r="T28" s="156"/>
      <c r="U28" s="6"/>
    </row>
    <row r="29" spans="1:21" customFormat="1">
      <c r="A29" s="201" t="s">
        <v>2565</v>
      </c>
      <c r="B29" s="100">
        <v>8.77</v>
      </c>
      <c r="C29" s="100">
        <v>6.5</v>
      </c>
      <c r="D29" s="100">
        <v>15.27</v>
      </c>
      <c r="E29" s="100">
        <v>5.04</v>
      </c>
      <c r="F29" s="100">
        <v>2</v>
      </c>
      <c r="G29" s="100">
        <v>23.37</v>
      </c>
      <c r="H29" s="100">
        <v>7.77</v>
      </c>
      <c r="I29" s="100">
        <v>6.58</v>
      </c>
      <c r="J29" s="100">
        <v>0.2</v>
      </c>
      <c r="K29" s="100">
        <v>60.81</v>
      </c>
      <c r="L29" s="100">
        <v>9.5500000000000007</v>
      </c>
      <c r="M29" s="100">
        <v>5.77</v>
      </c>
      <c r="N29" s="100">
        <v>2.2999999999999998</v>
      </c>
      <c r="O29" s="100">
        <v>0</v>
      </c>
      <c r="P29" s="100">
        <v>0.34</v>
      </c>
      <c r="Q29" s="100">
        <v>10.43</v>
      </c>
      <c r="R29" s="6"/>
      <c r="S29" s="6"/>
      <c r="T29" s="156"/>
      <c r="U29" s="6"/>
    </row>
    <row r="30" spans="1:21" customFormat="1">
      <c r="A30" s="201" t="s">
        <v>2566</v>
      </c>
      <c r="B30" s="100">
        <v>9.11</v>
      </c>
      <c r="C30" s="100">
        <v>6.67</v>
      </c>
      <c r="D30" s="100">
        <v>15.78</v>
      </c>
      <c r="E30" s="100">
        <v>4.8899999999999997</v>
      </c>
      <c r="F30" s="100">
        <v>2</v>
      </c>
      <c r="G30" s="100">
        <v>20.34</v>
      </c>
      <c r="H30" s="100">
        <v>6.21</v>
      </c>
      <c r="I30" s="100">
        <v>6.62</v>
      </c>
      <c r="J30" s="100">
        <v>0.16</v>
      </c>
      <c r="K30" s="100">
        <v>151.72999999999999</v>
      </c>
      <c r="L30" s="100">
        <v>15.65</v>
      </c>
      <c r="M30" s="100">
        <v>21.18</v>
      </c>
      <c r="N30" s="100">
        <v>2.4</v>
      </c>
      <c r="O30" s="100">
        <v>0</v>
      </c>
      <c r="P30" s="100">
        <v>0.34</v>
      </c>
      <c r="Q30" s="100">
        <v>10</v>
      </c>
      <c r="R30" s="6"/>
      <c r="S30" s="6"/>
      <c r="T30" s="156"/>
      <c r="U30" s="6"/>
    </row>
    <row r="31" spans="1:21" customFormat="1">
      <c r="A31" s="201" t="s">
        <v>2567</v>
      </c>
      <c r="B31" s="100">
        <v>9.3800000000000008</v>
      </c>
      <c r="C31" s="100">
        <v>6.98</v>
      </c>
      <c r="D31" s="100">
        <v>16.36</v>
      </c>
      <c r="E31" s="100">
        <v>5.15</v>
      </c>
      <c r="F31" s="100">
        <v>2</v>
      </c>
      <c r="G31" s="100">
        <v>18.03</v>
      </c>
      <c r="H31" s="100">
        <v>5.72</v>
      </c>
      <c r="I31" s="100">
        <v>6.48</v>
      </c>
      <c r="J31" s="100">
        <v>0.28000000000000003</v>
      </c>
      <c r="K31" s="100">
        <v>35.72</v>
      </c>
      <c r="L31" s="100">
        <v>10.199999999999999</v>
      </c>
      <c r="M31" s="100">
        <v>7.31</v>
      </c>
      <c r="N31" s="100">
        <v>3.2</v>
      </c>
      <c r="O31" s="100">
        <v>0</v>
      </c>
      <c r="P31" s="100">
        <v>0.35</v>
      </c>
      <c r="Q31" s="100">
        <v>9.92</v>
      </c>
      <c r="R31" s="6"/>
      <c r="S31" s="6"/>
      <c r="T31" s="156"/>
      <c r="U31" s="6"/>
    </row>
    <row r="32" spans="1:21" customFormat="1">
      <c r="A32" s="201" t="s">
        <v>2568</v>
      </c>
      <c r="B32" s="100">
        <v>9.98</v>
      </c>
      <c r="C32" s="100">
        <v>7.48</v>
      </c>
      <c r="D32" s="100">
        <v>17.46</v>
      </c>
      <c r="E32" s="100">
        <v>5.43</v>
      </c>
      <c r="F32" s="100">
        <v>2</v>
      </c>
      <c r="G32" s="100">
        <v>18.03</v>
      </c>
      <c r="H32" s="100">
        <v>5.72</v>
      </c>
      <c r="I32" s="100">
        <v>6.46</v>
      </c>
      <c r="J32" s="100">
        <v>0.26</v>
      </c>
      <c r="K32" s="100">
        <v>46.11</v>
      </c>
      <c r="L32" s="100">
        <v>7.21</v>
      </c>
      <c r="M32" s="100">
        <v>-0.25</v>
      </c>
      <c r="N32" s="100">
        <v>5.7</v>
      </c>
      <c r="O32" s="100">
        <v>0</v>
      </c>
      <c r="P32" s="100">
        <v>0.36</v>
      </c>
      <c r="Q32" s="100">
        <v>10.56</v>
      </c>
      <c r="R32" s="6"/>
      <c r="S32" s="6"/>
      <c r="T32" s="156"/>
      <c r="U32" s="6"/>
    </row>
    <row r="33" spans="1:21" customFormat="1">
      <c r="A33" s="201" t="s">
        <v>2569</v>
      </c>
      <c r="B33" s="100">
        <v>10.64</v>
      </c>
      <c r="C33" s="100">
        <v>7.77</v>
      </c>
      <c r="D33" s="100">
        <v>18.41</v>
      </c>
      <c r="E33" s="100">
        <v>5.33</v>
      </c>
      <c r="F33" s="100">
        <v>2</v>
      </c>
      <c r="G33" s="100">
        <v>18.03</v>
      </c>
      <c r="H33" s="100">
        <v>5.72</v>
      </c>
      <c r="I33" s="100">
        <v>6.28</v>
      </c>
      <c r="J33" s="100">
        <v>0.13</v>
      </c>
      <c r="K33" s="100">
        <v>134.33000000000001</v>
      </c>
      <c r="L33" s="100">
        <v>13.78</v>
      </c>
      <c r="M33" s="100">
        <v>16.239999999999998</v>
      </c>
      <c r="N33" s="100">
        <v>10.7</v>
      </c>
      <c r="O33" s="100">
        <v>0</v>
      </c>
      <c r="P33" s="100">
        <v>0.36</v>
      </c>
      <c r="Q33" s="100">
        <v>10.039999999999999</v>
      </c>
      <c r="R33" s="6"/>
      <c r="S33" s="6"/>
      <c r="T33" s="156"/>
      <c r="U33" s="6"/>
    </row>
    <row r="34" spans="1:21" customFormat="1">
      <c r="A34" s="201" t="s">
        <v>2570</v>
      </c>
      <c r="B34" s="100">
        <v>10.98</v>
      </c>
      <c r="C34" s="100">
        <v>7.92</v>
      </c>
      <c r="D34" s="100">
        <v>18.899999999999999</v>
      </c>
      <c r="E34" s="100">
        <v>5.29</v>
      </c>
      <c r="F34" s="100">
        <v>2</v>
      </c>
      <c r="G34" s="100">
        <v>17.23</v>
      </c>
      <c r="H34" s="100">
        <v>5.42</v>
      </c>
      <c r="I34" s="100">
        <v>6.22</v>
      </c>
      <c r="J34" s="100">
        <v>0.14000000000000001</v>
      </c>
      <c r="K34" s="100">
        <v>43.45</v>
      </c>
      <c r="L34" s="100">
        <v>8.49</v>
      </c>
      <c r="M34" s="100">
        <v>2.5</v>
      </c>
      <c r="N34" s="100">
        <v>21.5</v>
      </c>
      <c r="O34" s="100">
        <v>0</v>
      </c>
      <c r="P34" s="100">
        <v>0.35</v>
      </c>
      <c r="Q34" s="100">
        <v>10.18</v>
      </c>
      <c r="R34" s="6"/>
      <c r="S34" s="6"/>
      <c r="T34" s="156"/>
      <c r="U34" s="6"/>
    </row>
    <row r="35" spans="1:21" customFormat="1">
      <c r="A35" s="201" t="s">
        <v>2571</v>
      </c>
      <c r="B35" s="100">
        <v>11.48</v>
      </c>
      <c r="C35" s="100">
        <v>8.06</v>
      </c>
      <c r="D35" s="100">
        <v>19.54</v>
      </c>
      <c r="E35" s="100">
        <v>5.32</v>
      </c>
      <c r="F35" s="100">
        <v>2</v>
      </c>
      <c r="G35" s="100">
        <v>16.61</v>
      </c>
      <c r="H35" s="100">
        <v>5.32</v>
      </c>
      <c r="I35" s="100">
        <v>6.15</v>
      </c>
      <c r="J35" s="100">
        <v>0.3</v>
      </c>
      <c r="K35" s="100">
        <v>33.11</v>
      </c>
      <c r="L35" s="100">
        <v>7.54</v>
      </c>
      <c r="M35" s="100">
        <v>-0.06</v>
      </c>
      <c r="N35" s="100">
        <v>28</v>
      </c>
      <c r="O35" s="100">
        <v>0</v>
      </c>
      <c r="P35" s="100">
        <v>0.34</v>
      </c>
      <c r="Q35" s="100">
        <v>11.31</v>
      </c>
      <c r="R35" s="6"/>
      <c r="S35" s="6"/>
      <c r="T35" s="156"/>
      <c r="U35" s="6"/>
    </row>
    <row r="36" spans="1:21" customFormat="1">
      <c r="A36" s="201" t="s">
        <v>2572</v>
      </c>
      <c r="B36" s="100">
        <v>12.16</v>
      </c>
      <c r="C36" s="100">
        <v>8.14</v>
      </c>
      <c r="D36" s="100">
        <v>20.3</v>
      </c>
      <c r="E36" s="100">
        <v>5.54</v>
      </c>
      <c r="F36" s="100">
        <v>2</v>
      </c>
      <c r="G36" s="100">
        <v>16.61</v>
      </c>
      <c r="H36" s="100">
        <v>5.32</v>
      </c>
      <c r="I36" s="100">
        <v>6.08</v>
      </c>
      <c r="J36" s="100">
        <v>0.27</v>
      </c>
      <c r="K36" s="100">
        <v>38.81</v>
      </c>
      <c r="L36" s="100">
        <v>6.63</v>
      </c>
      <c r="M36" s="100">
        <v>-2.81</v>
      </c>
      <c r="N36" s="100">
        <v>49.8</v>
      </c>
      <c r="O36" s="100">
        <v>0</v>
      </c>
      <c r="P36" s="100">
        <v>0.34</v>
      </c>
      <c r="Q36" s="100">
        <v>11.07</v>
      </c>
      <c r="R36" s="6"/>
      <c r="S36" s="6"/>
      <c r="T36" s="156"/>
      <c r="U36" s="6"/>
    </row>
    <row r="37" spans="1:21" customFormat="1">
      <c r="A37" s="201" t="s">
        <v>2573</v>
      </c>
      <c r="B37" s="100">
        <v>12.7</v>
      </c>
      <c r="C37" s="100">
        <v>8.23</v>
      </c>
      <c r="D37" s="100">
        <v>20.93</v>
      </c>
      <c r="E37" s="100">
        <v>5.67</v>
      </c>
      <c r="F37" s="100">
        <v>2</v>
      </c>
      <c r="G37" s="100">
        <v>16.61</v>
      </c>
      <c r="H37" s="100">
        <v>5.32</v>
      </c>
      <c r="I37" s="100">
        <v>6.03</v>
      </c>
      <c r="J37" s="100">
        <v>0.41</v>
      </c>
      <c r="K37" s="100">
        <v>42.38</v>
      </c>
      <c r="L37" s="100">
        <v>7.76</v>
      </c>
      <c r="M37" s="100">
        <v>-0.36</v>
      </c>
      <c r="N37" s="100">
        <v>69.599999999999994</v>
      </c>
      <c r="O37" s="100">
        <v>0</v>
      </c>
      <c r="P37" s="100">
        <v>0.34</v>
      </c>
      <c r="Q37" s="100">
        <v>10</v>
      </c>
      <c r="R37" s="6"/>
      <c r="S37" s="6"/>
      <c r="T37" s="156"/>
      <c r="U37" s="6"/>
    </row>
    <row r="38" spans="1:21" customFormat="1">
      <c r="A38" s="201" t="s">
        <v>2574</v>
      </c>
      <c r="B38" s="100">
        <v>13.13</v>
      </c>
      <c r="C38" s="100">
        <v>8.2200000000000006</v>
      </c>
      <c r="D38" s="100">
        <v>21.35</v>
      </c>
      <c r="E38" s="100">
        <v>5.14</v>
      </c>
      <c r="F38" s="100">
        <v>2</v>
      </c>
      <c r="G38" s="100">
        <v>31.96</v>
      </c>
      <c r="H38" s="100">
        <v>7.31</v>
      </c>
      <c r="I38" s="100">
        <v>6.05</v>
      </c>
      <c r="J38" s="100">
        <v>0.5</v>
      </c>
      <c r="K38" s="100">
        <v>35.799999999999997</v>
      </c>
      <c r="L38" s="100">
        <v>7.14</v>
      </c>
      <c r="M38" s="100">
        <v>-2.61</v>
      </c>
      <c r="N38" s="100">
        <v>95.4</v>
      </c>
      <c r="O38" s="100">
        <v>0</v>
      </c>
      <c r="P38" s="100">
        <v>0.34</v>
      </c>
      <c r="Q38" s="100">
        <v>10.15</v>
      </c>
      <c r="R38" s="6"/>
      <c r="S38" s="6"/>
      <c r="T38" s="156"/>
      <c r="U38" s="6"/>
    </row>
    <row r="39" spans="1:21" customFormat="1">
      <c r="A39" s="201" t="s">
        <v>2575</v>
      </c>
      <c r="B39" s="100">
        <v>13.37</v>
      </c>
      <c r="C39" s="100">
        <v>8.23</v>
      </c>
      <c r="D39" s="100">
        <v>21.61</v>
      </c>
      <c r="E39" s="100">
        <v>5.45</v>
      </c>
      <c r="F39" s="100">
        <v>2</v>
      </c>
      <c r="G39" s="100">
        <v>43.69</v>
      </c>
      <c r="H39" s="100">
        <v>8.49</v>
      </c>
      <c r="I39" s="100">
        <v>6.04</v>
      </c>
      <c r="J39" s="100">
        <v>0.61</v>
      </c>
      <c r="K39" s="100">
        <v>31.99</v>
      </c>
      <c r="L39" s="100">
        <v>7.8</v>
      </c>
      <c r="M39" s="100">
        <v>-1.92</v>
      </c>
      <c r="N39" s="100">
        <v>132.80000000000001</v>
      </c>
      <c r="O39" s="100">
        <v>0</v>
      </c>
      <c r="P39" s="100">
        <v>0.34</v>
      </c>
      <c r="Q39" s="100">
        <v>10</v>
      </c>
      <c r="R39" s="6"/>
      <c r="S39" s="6"/>
      <c r="T39" s="156"/>
      <c r="U39" s="6"/>
    </row>
    <row r="40" spans="1:21" customFormat="1">
      <c r="A40" s="201" t="s">
        <v>2576</v>
      </c>
      <c r="B40" s="100">
        <v>13.53</v>
      </c>
      <c r="C40" s="100">
        <v>8.2100000000000009</v>
      </c>
      <c r="D40" s="100">
        <v>21.73</v>
      </c>
      <c r="E40" s="100">
        <v>5.58</v>
      </c>
      <c r="F40" s="100">
        <v>2</v>
      </c>
      <c r="G40" s="100">
        <v>43.69</v>
      </c>
      <c r="H40" s="100">
        <v>8.49</v>
      </c>
      <c r="I40" s="100">
        <v>6.01</v>
      </c>
      <c r="J40" s="100">
        <v>0.57999999999999996</v>
      </c>
      <c r="K40" s="100">
        <v>38.21</v>
      </c>
      <c r="L40" s="100">
        <v>9.2899999999999991</v>
      </c>
      <c r="M40" s="100">
        <v>1.17</v>
      </c>
      <c r="N40" s="100">
        <v>165.3</v>
      </c>
      <c r="O40" s="100">
        <v>0</v>
      </c>
      <c r="P40" s="100">
        <v>0.34</v>
      </c>
      <c r="Q40" s="100">
        <v>12.16</v>
      </c>
      <c r="R40" s="6"/>
      <c r="S40" s="6"/>
      <c r="T40" s="156"/>
      <c r="U40" s="6"/>
    </row>
    <row r="41" spans="1:21" customFormat="1">
      <c r="A41" s="201" t="s">
        <v>2577</v>
      </c>
      <c r="B41" s="100">
        <v>13.41</v>
      </c>
      <c r="C41" s="100">
        <v>8.16</v>
      </c>
      <c r="D41" s="100">
        <v>21.58</v>
      </c>
      <c r="E41" s="100">
        <v>5.57</v>
      </c>
      <c r="F41" s="100">
        <v>2</v>
      </c>
      <c r="G41" s="100">
        <v>43.69</v>
      </c>
      <c r="H41" s="100">
        <v>8.49</v>
      </c>
      <c r="I41" s="100">
        <v>6</v>
      </c>
      <c r="J41" s="100">
        <v>0.66</v>
      </c>
      <c r="K41" s="100">
        <v>34.46</v>
      </c>
      <c r="L41" s="100">
        <v>9.75</v>
      </c>
      <c r="M41" s="100">
        <v>2.4</v>
      </c>
      <c r="N41" s="100">
        <v>130.19999999999999</v>
      </c>
      <c r="O41" s="100">
        <v>0</v>
      </c>
      <c r="P41" s="100">
        <v>0.34</v>
      </c>
      <c r="Q41" s="100">
        <v>10.76</v>
      </c>
      <c r="R41" s="6"/>
      <c r="S41" s="6"/>
      <c r="T41" s="156"/>
      <c r="U41" s="6"/>
    </row>
    <row r="42" spans="1:21" customFormat="1">
      <c r="A42" s="201" t="s">
        <v>2578</v>
      </c>
      <c r="B42" s="100">
        <v>13.23</v>
      </c>
      <c r="C42" s="100">
        <v>8.0399999999999991</v>
      </c>
      <c r="D42" s="100">
        <v>21.28</v>
      </c>
      <c r="E42" s="100">
        <v>5.32</v>
      </c>
      <c r="F42" s="100">
        <v>2.0099999999999998</v>
      </c>
      <c r="G42" s="100">
        <v>43.41</v>
      </c>
      <c r="H42" s="100">
        <v>6.97</v>
      </c>
      <c r="I42" s="100">
        <v>6</v>
      </c>
      <c r="J42" s="100">
        <v>0.39</v>
      </c>
      <c r="K42" s="100">
        <v>58.87</v>
      </c>
      <c r="L42" s="100">
        <v>11.21</v>
      </c>
      <c r="M42" s="100">
        <v>6.62</v>
      </c>
      <c r="N42" s="100">
        <v>144.6</v>
      </c>
      <c r="O42" s="100">
        <v>0</v>
      </c>
      <c r="P42" s="100">
        <v>0.34</v>
      </c>
      <c r="Q42" s="100">
        <v>11.79</v>
      </c>
      <c r="R42" s="6"/>
      <c r="S42" s="6"/>
      <c r="T42" s="156"/>
      <c r="U42" s="6"/>
    </row>
    <row r="43" spans="1:21" customFormat="1">
      <c r="A43" s="201" t="s">
        <v>2579</v>
      </c>
      <c r="B43" s="100">
        <v>12.99</v>
      </c>
      <c r="C43" s="100">
        <v>7.87</v>
      </c>
      <c r="D43" s="100">
        <v>20.86</v>
      </c>
      <c r="E43" s="100">
        <v>5.49</v>
      </c>
      <c r="F43" s="100">
        <v>2.06</v>
      </c>
      <c r="G43" s="100">
        <v>43.2</v>
      </c>
      <c r="H43" s="100">
        <v>6.49</v>
      </c>
      <c r="I43" s="100">
        <v>5.96</v>
      </c>
      <c r="J43" s="100">
        <v>0.36</v>
      </c>
      <c r="K43" s="100">
        <v>55.41</v>
      </c>
      <c r="L43" s="100">
        <v>11.84</v>
      </c>
      <c r="M43" s="100">
        <v>8.48</v>
      </c>
      <c r="N43" s="100">
        <v>159.5</v>
      </c>
      <c r="O43" s="100">
        <v>0</v>
      </c>
      <c r="P43" s="100">
        <v>0.34</v>
      </c>
      <c r="Q43" s="100">
        <v>10.7</v>
      </c>
      <c r="R43" s="6"/>
      <c r="S43" s="6"/>
      <c r="T43" s="156"/>
      <c r="U43" s="6"/>
    </row>
    <row r="44" spans="1:21" customFormat="1">
      <c r="A44" s="201" t="s">
        <v>2580</v>
      </c>
      <c r="B44" s="100">
        <v>12.67</v>
      </c>
      <c r="C44" s="100">
        <v>7.67</v>
      </c>
      <c r="D44" s="100">
        <v>20.34</v>
      </c>
      <c r="E44" s="100">
        <v>5.72</v>
      </c>
      <c r="F44" s="100">
        <v>2</v>
      </c>
      <c r="G44" s="100">
        <v>43.2</v>
      </c>
      <c r="H44" s="100">
        <v>6.49</v>
      </c>
      <c r="I44" s="100">
        <v>5.94</v>
      </c>
      <c r="J44" s="100">
        <v>0.41</v>
      </c>
      <c r="K44" s="100">
        <v>48.42</v>
      </c>
      <c r="L44" s="100">
        <v>10.55</v>
      </c>
      <c r="M44" s="100">
        <v>4.8899999999999997</v>
      </c>
      <c r="N44" s="100">
        <v>142.5</v>
      </c>
      <c r="O44" s="100">
        <v>0</v>
      </c>
      <c r="P44" s="100">
        <v>0.33</v>
      </c>
      <c r="Q44" s="100">
        <v>18.63</v>
      </c>
      <c r="R44" s="6"/>
      <c r="S44" s="6"/>
      <c r="T44" s="156"/>
      <c r="U44" s="6"/>
    </row>
    <row r="45" spans="1:21" customFormat="1">
      <c r="A45" s="201" t="s">
        <v>2581</v>
      </c>
      <c r="B45" s="100">
        <v>12.29</v>
      </c>
      <c r="C45" s="100">
        <v>7.68</v>
      </c>
      <c r="D45" s="100">
        <v>19.97</v>
      </c>
      <c r="E45" s="100">
        <v>5.7</v>
      </c>
      <c r="F45" s="100">
        <v>2</v>
      </c>
      <c r="G45" s="100">
        <v>43.2</v>
      </c>
      <c r="H45" s="100">
        <v>6.49</v>
      </c>
      <c r="I45" s="100">
        <v>5.94</v>
      </c>
      <c r="J45" s="100">
        <v>0.41</v>
      </c>
      <c r="K45" s="100">
        <v>49.43</v>
      </c>
      <c r="L45" s="100">
        <v>11.46</v>
      </c>
      <c r="M45" s="100">
        <v>5</v>
      </c>
      <c r="N45" s="100">
        <v>233.6</v>
      </c>
      <c r="O45" s="100">
        <v>0</v>
      </c>
      <c r="P45" s="100">
        <v>0.35</v>
      </c>
      <c r="Q45" s="100">
        <v>10</v>
      </c>
      <c r="R45" s="6"/>
      <c r="S45" s="6"/>
      <c r="T45" s="156"/>
      <c r="U45" s="6"/>
    </row>
    <row r="46" spans="1:21" customFormat="1">
      <c r="A46" s="201" t="s">
        <v>2582</v>
      </c>
      <c r="B46" s="100">
        <v>11.91</v>
      </c>
      <c r="C46" s="100">
        <v>7.73</v>
      </c>
      <c r="D46" s="100">
        <v>19.64</v>
      </c>
      <c r="E46" s="100">
        <v>5.71</v>
      </c>
      <c r="F46" s="100">
        <v>2.02</v>
      </c>
      <c r="G46" s="100">
        <v>44.11</v>
      </c>
      <c r="H46" s="100">
        <v>9.58</v>
      </c>
      <c r="I46" s="100">
        <v>5.99</v>
      </c>
      <c r="J46" s="100">
        <v>0.51</v>
      </c>
      <c r="K46" s="100">
        <v>41.51</v>
      </c>
      <c r="L46" s="100">
        <v>10.99</v>
      </c>
      <c r="M46" s="100">
        <v>3.23</v>
      </c>
      <c r="N46" s="100">
        <v>257.8</v>
      </c>
      <c r="O46" s="100">
        <v>0</v>
      </c>
      <c r="P46" s="100">
        <v>0.35</v>
      </c>
      <c r="Q46" s="100">
        <v>10</v>
      </c>
      <c r="R46" s="6"/>
      <c r="S46" s="6"/>
      <c r="T46" s="156"/>
      <c r="U46" s="6"/>
    </row>
    <row r="47" spans="1:21" customFormat="1">
      <c r="A47" s="201" t="s">
        <v>2583</v>
      </c>
      <c r="B47" s="100">
        <v>11.66</v>
      </c>
      <c r="C47" s="100">
        <v>7.93</v>
      </c>
      <c r="D47" s="100">
        <v>19.579999999999998</v>
      </c>
      <c r="E47" s="100">
        <v>5.93</v>
      </c>
      <c r="F47" s="100">
        <v>2.1800000000000002</v>
      </c>
      <c r="G47" s="100">
        <v>44.81</v>
      </c>
      <c r="H47" s="100">
        <v>10.55</v>
      </c>
      <c r="I47" s="100">
        <v>6.04</v>
      </c>
      <c r="J47" s="100">
        <v>0.72</v>
      </c>
      <c r="K47" s="100">
        <v>29.72</v>
      </c>
      <c r="L47" s="100">
        <v>11.26</v>
      </c>
      <c r="M47" s="100">
        <v>0.92</v>
      </c>
      <c r="N47" s="100">
        <v>384.3</v>
      </c>
      <c r="O47" s="100">
        <v>0</v>
      </c>
      <c r="P47" s="100">
        <v>0.35</v>
      </c>
      <c r="Q47" s="100">
        <v>11.16</v>
      </c>
      <c r="R47" s="6"/>
      <c r="S47" s="6"/>
      <c r="T47" s="156"/>
      <c r="U47" s="6"/>
    </row>
    <row r="48" spans="1:21" customFormat="1">
      <c r="A48" s="201" t="s">
        <v>2584</v>
      </c>
      <c r="B48" s="100">
        <v>11.47</v>
      </c>
      <c r="C48" s="100">
        <v>7.86</v>
      </c>
      <c r="D48" s="100">
        <v>19.329999999999998</v>
      </c>
      <c r="E48" s="100">
        <v>5.86</v>
      </c>
      <c r="F48" s="100">
        <v>2.02</v>
      </c>
      <c r="G48" s="100">
        <v>44.81</v>
      </c>
      <c r="H48" s="100">
        <v>10.55</v>
      </c>
      <c r="I48" s="100">
        <v>6</v>
      </c>
      <c r="J48" s="100">
        <v>0.43</v>
      </c>
      <c r="K48" s="100">
        <v>32.25</v>
      </c>
      <c r="L48" s="100">
        <v>12.66</v>
      </c>
      <c r="M48" s="100">
        <v>7.06</v>
      </c>
      <c r="N48" s="100">
        <v>271.2</v>
      </c>
      <c r="O48" s="100">
        <v>0</v>
      </c>
      <c r="P48" s="100">
        <v>0.36</v>
      </c>
      <c r="Q48" s="100">
        <v>10.47</v>
      </c>
      <c r="R48" s="6"/>
      <c r="S48" s="6"/>
      <c r="T48" s="156"/>
      <c r="U48" s="6"/>
    </row>
    <row r="49" spans="1:21" customFormat="1">
      <c r="A49" s="201" t="s">
        <v>2585</v>
      </c>
      <c r="B49" s="100">
        <v>11.16</v>
      </c>
      <c r="C49" s="100">
        <v>7.91</v>
      </c>
      <c r="D49" s="100">
        <v>19.07</v>
      </c>
      <c r="E49" s="100">
        <v>5.09</v>
      </c>
      <c r="F49" s="100">
        <v>2.0099999999999998</v>
      </c>
      <c r="G49" s="100">
        <v>44.81</v>
      </c>
      <c r="H49" s="100">
        <v>10.55</v>
      </c>
      <c r="I49" s="100">
        <v>6.1</v>
      </c>
      <c r="J49" s="100">
        <v>0.48</v>
      </c>
      <c r="K49" s="100">
        <v>46.37</v>
      </c>
      <c r="L49" s="100">
        <v>13.51</v>
      </c>
      <c r="M49" s="100">
        <v>6.98</v>
      </c>
      <c r="N49" s="100">
        <v>369.1</v>
      </c>
      <c r="O49" s="100">
        <v>0</v>
      </c>
      <c r="P49" s="100">
        <v>0.37</v>
      </c>
      <c r="Q49" s="100">
        <v>10</v>
      </c>
      <c r="R49" s="6"/>
      <c r="S49" s="6"/>
      <c r="T49" s="156"/>
      <c r="U49" s="6"/>
    </row>
    <row r="50" spans="1:21" customFormat="1">
      <c r="A50" s="201" t="s">
        <v>2586</v>
      </c>
      <c r="B50" s="100">
        <v>10.69</v>
      </c>
      <c r="C50" s="100">
        <v>7.97</v>
      </c>
      <c r="D50" s="100">
        <v>18.66</v>
      </c>
      <c r="E50" s="100">
        <v>6.42</v>
      </c>
      <c r="F50" s="100">
        <v>2.42</v>
      </c>
      <c r="G50" s="100">
        <v>46.96</v>
      </c>
      <c r="H50" s="100">
        <v>15.89</v>
      </c>
      <c r="I50" s="100">
        <v>6.13</v>
      </c>
      <c r="J50" s="100">
        <v>0.72</v>
      </c>
      <c r="K50" s="100">
        <v>38.71</v>
      </c>
      <c r="L50" s="100">
        <v>9.92</v>
      </c>
      <c r="M50" s="100">
        <v>0.71</v>
      </c>
      <c r="N50" s="100">
        <v>250.1</v>
      </c>
      <c r="O50" s="100">
        <v>0</v>
      </c>
      <c r="P50" s="100">
        <v>0.37</v>
      </c>
      <c r="Q50" s="100">
        <v>10.69</v>
      </c>
      <c r="R50" s="6"/>
      <c r="S50" s="6"/>
      <c r="T50" s="156"/>
      <c r="U50" s="6"/>
    </row>
    <row r="51" spans="1:21" customFormat="1">
      <c r="A51" s="201" t="s">
        <v>2587</v>
      </c>
      <c r="B51" s="100">
        <v>10.19</v>
      </c>
      <c r="C51" s="100">
        <v>8.2200000000000006</v>
      </c>
      <c r="D51" s="100">
        <v>18.41</v>
      </c>
      <c r="E51" s="100">
        <v>6.78</v>
      </c>
      <c r="F51" s="100">
        <v>3.99</v>
      </c>
      <c r="G51" s="100">
        <v>48.6</v>
      </c>
      <c r="H51" s="100">
        <v>17.600000000000001</v>
      </c>
      <c r="I51" s="100">
        <v>6.14</v>
      </c>
      <c r="J51" s="100">
        <v>0.75</v>
      </c>
      <c r="K51" s="100">
        <v>37.97</v>
      </c>
      <c r="L51" s="100">
        <v>10.46</v>
      </c>
      <c r="M51" s="100">
        <v>1.18</v>
      </c>
      <c r="N51" s="100">
        <v>289.39999999999998</v>
      </c>
      <c r="O51" s="100">
        <v>0</v>
      </c>
      <c r="P51" s="100">
        <v>0.36</v>
      </c>
      <c r="Q51" s="100">
        <v>9.89</v>
      </c>
      <c r="R51" s="6"/>
      <c r="S51" s="6"/>
      <c r="T51" s="156"/>
      <c r="U51" s="6"/>
    </row>
    <row r="52" spans="1:21" customFormat="1">
      <c r="A52" s="201" t="s">
        <v>2588</v>
      </c>
      <c r="B52" s="100">
        <v>9.83</v>
      </c>
      <c r="C52" s="100">
        <v>8.08</v>
      </c>
      <c r="D52" s="100">
        <v>17.91</v>
      </c>
      <c r="E52" s="100">
        <v>6.74</v>
      </c>
      <c r="F52" s="100">
        <v>4.66</v>
      </c>
      <c r="G52" s="100">
        <v>48.6</v>
      </c>
      <c r="H52" s="100">
        <v>17.600000000000001</v>
      </c>
      <c r="I52" s="100">
        <v>6.11</v>
      </c>
      <c r="J52" s="100">
        <v>0.28000000000000003</v>
      </c>
      <c r="K52" s="100">
        <v>74.040000000000006</v>
      </c>
      <c r="L52" s="100">
        <v>15.09</v>
      </c>
      <c r="M52" s="100">
        <v>10.35</v>
      </c>
      <c r="N52" s="100">
        <v>401.9</v>
      </c>
      <c r="O52" s="100">
        <v>0</v>
      </c>
      <c r="P52" s="100">
        <v>0.34</v>
      </c>
      <c r="Q52" s="100">
        <v>10.18</v>
      </c>
      <c r="R52" s="6"/>
      <c r="S52" s="6"/>
      <c r="T52" s="156"/>
      <c r="U52" s="6"/>
    </row>
    <row r="53" spans="1:21" customFormat="1">
      <c r="A53" s="201" t="s">
        <v>2589</v>
      </c>
      <c r="B53" s="100">
        <v>9.42</v>
      </c>
      <c r="C53" s="100">
        <v>9.39</v>
      </c>
      <c r="D53" s="100">
        <v>18.809999999999999</v>
      </c>
      <c r="E53" s="100">
        <v>6.39</v>
      </c>
      <c r="F53" s="100">
        <v>4.7699999999999996</v>
      </c>
      <c r="G53" s="100">
        <v>48.6</v>
      </c>
      <c r="H53" s="100">
        <v>17.600000000000001</v>
      </c>
      <c r="I53" s="100">
        <v>6.18</v>
      </c>
      <c r="J53" s="100">
        <v>0.28999999999999998</v>
      </c>
      <c r="K53" s="100">
        <v>69.989999999999995</v>
      </c>
      <c r="L53" s="100">
        <v>13.39</v>
      </c>
      <c r="M53" s="100">
        <v>8.27</v>
      </c>
      <c r="N53" s="100">
        <v>307.60000000000002</v>
      </c>
      <c r="O53" s="100">
        <v>0</v>
      </c>
      <c r="P53" s="100">
        <v>0.33</v>
      </c>
      <c r="Q53" s="100">
        <v>10.89</v>
      </c>
      <c r="R53" s="6"/>
      <c r="S53" s="6"/>
      <c r="T53" s="156"/>
      <c r="U53" s="6"/>
    </row>
    <row r="54" spans="1:21" customFormat="1">
      <c r="A54" s="201" t="s">
        <v>2590</v>
      </c>
      <c r="B54" s="100">
        <v>8.68</v>
      </c>
      <c r="C54" s="100">
        <v>8.01</v>
      </c>
      <c r="D54" s="100">
        <v>16.7</v>
      </c>
      <c r="E54" s="100">
        <v>5.94</v>
      </c>
      <c r="F54" s="100">
        <v>7.17</v>
      </c>
      <c r="G54" s="100">
        <v>47.74</v>
      </c>
      <c r="H54" s="100">
        <v>16.510000000000002</v>
      </c>
      <c r="I54" s="100">
        <v>6.22</v>
      </c>
      <c r="J54" s="100">
        <v>0.28000000000000003</v>
      </c>
      <c r="K54" s="100">
        <v>122.65</v>
      </c>
      <c r="L54" s="100">
        <v>18.72</v>
      </c>
      <c r="M54" s="100">
        <v>15.01</v>
      </c>
      <c r="N54" s="100">
        <v>589</v>
      </c>
      <c r="O54" s="100">
        <v>0</v>
      </c>
      <c r="P54" s="100">
        <v>0.31</v>
      </c>
      <c r="Q54" s="100">
        <v>10.06</v>
      </c>
      <c r="R54" s="6"/>
      <c r="S54" s="6"/>
      <c r="T54" s="156"/>
      <c r="U54" s="6"/>
    </row>
    <row r="55" spans="1:21" customFormat="1">
      <c r="A55" s="201" t="s">
        <v>2591</v>
      </c>
      <c r="B55" s="100">
        <v>8.2899999999999991</v>
      </c>
      <c r="C55" s="100">
        <v>7.56</v>
      </c>
      <c r="D55" s="100">
        <v>15.85</v>
      </c>
      <c r="E55" s="100">
        <v>5.87</v>
      </c>
      <c r="F55" s="100">
        <v>5.87</v>
      </c>
      <c r="G55" s="100">
        <v>47.09</v>
      </c>
      <c r="H55" s="100">
        <v>15.85</v>
      </c>
      <c r="I55" s="100">
        <v>6.25</v>
      </c>
      <c r="J55" s="100">
        <v>0.26</v>
      </c>
      <c r="K55" s="100">
        <v>92.61</v>
      </c>
      <c r="L55" s="100">
        <v>15.65</v>
      </c>
      <c r="M55" s="100">
        <v>13.51</v>
      </c>
      <c r="N55" s="100">
        <v>323</v>
      </c>
      <c r="O55" s="100">
        <v>0</v>
      </c>
      <c r="P55" s="100">
        <v>0.28999999999999998</v>
      </c>
      <c r="Q55" s="100">
        <v>10.51</v>
      </c>
      <c r="R55" s="6"/>
      <c r="S55" s="6"/>
      <c r="T55" s="156"/>
      <c r="U55" s="6"/>
    </row>
    <row r="56" spans="1:21" customFormat="1">
      <c r="A56" s="201" t="s">
        <v>2592</v>
      </c>
      <c r="B56" s="100">
        <v>7.93</v>
      </c>
      <c r="C56" s="100">
        <v>7.57</v>
      </c>
      <c r="D56" s="100">
        <v>15.5</v>
      </c>
      <c r="E56" s="100">
        <v>5.79</v>
      </c>
      <c r="F56" s="100">
        <v>5.99</v>
      </c>
      <c r="G56" s="100">
        <v>47.09</v>
      </c>
      <c r="H56" s="100">
        <v>15.85</v>
      </c>
      <c r="I56" s="100">
        <v>6.13</v>
      </c>
      <c r="J56" s="100">
        <v>0.31</v>
      </c>
      <c r="K56" s="100">
        <v>103.89</v>
      </c>
      <c r="L56" s="100">
        <v>16.5</v>
      </c>
      <c r="M56" s="100">
        <v>10.98</v>
      </c>
      <c r="N56" s="100">
        <v>523.6</v>
      </c>
      <c r="O56" s="100">
        <v>0</v>
      </c>
      <c r="P56" s="100">
        <v>0.28999999999999998</v>
      </c>
      <c r="Q56" s="100">
        <v>11.01</v>
      </c>
      <c r="R56" s="6"/>
      <c r="S56" s="6"/>
      <c r="T56" s="156"/>
      <c r="U56" s="6"/>
    </row>
    <row r="57" spans="1:21" customFormat="1">
      <c r="A57" s="201" t="s">
        <v>2593</v>
      </c>
      <c r="B57" s="100">
        <v>7.44</v>
      </c>
      <c r="C57" s="100">
        <v>7.7</v>
      </c>
      <c r="D57" s="100">
        <v>15.14</v>
      </c>
      <c r="E57" s="100">
        <v>5.62</v>
      </c>
      <c r="F57" s="100">
        <v>7.87</v>
      </c>
      <c r="G57" s="100">
        <v>47.09</v>
      </c>
      <c r="H57" s="100">
        <v>15.85</v>
      </c>
      <c r="I57" s="100">
        <v>6.11</v>
      </c>
      <c r="J57" s="100">
        <v>0.53</v>
      </c>
      <c r="K57" s="100">
        <v>46.16</v>
      </c>
      <c r="L57" s="100">
        <v>15.21</v>
      </c>
      <c r="M57" s="100">
        <v>6.29</v>
      </c>
      <c r="N57" s="100">
        <v>582.70000000000005</v>
      </c>
      <c r="O57" s="100">
        <v>0</v>
      </c>
      <c r="P57" s="100">
        <v>0.28999999999999998</v>
      </c>
      <c r="Q57" s="100">
        <v>10.66</v>
      </c>
      <c r="R57" s="6"/>
      <c r="S57" s="6"/>
      <c r="T57" s="156"/>
      <c r="U57" s="6"/>
    </row>
    <row r="58" spans="1:21" customFormat="1">
      <c r="A58" s="201" t="s">
        <v>2594</v>
      </c>
      <c r="B58" s="100">
        <v>7.04</v>
      </c>
      <c r="C58" s="100">
        <v>7.67</v>
      </c>
      <c r="D58" s="100">
        <v>14.71</v>
      </c>
      <c r="E58" s="100">
        <v>5.62</v>
      </c>
      <c r="F58" s="100">
        <v>8.4499999999999993</v>
      </c>
      <c r="G58" s="100">
        <v>44.72</v>
      </c>
      <c r="H58" s="100">
        <v>20.09</v>
      </c>
      <c r="I58" s="100">
        <v>6.05</v>
      </c>
      <c r="J58" s="100">
        <v>0.36</v>
      </c>
      <c r="K58" s="100">
        <v>60.54</v>
      </c>
      <c r="L58" s="100">
        <v>12.66</v>
      </c>
      <c r="M58" s="100">
        <v>7.44</v>
      </c>
      <c r="N58" s="100">
        <v>263.3</v>
      </c>
      <c r="O58" s="100">
        <v>0</v>
      </c>
      <c r="P58" s="100">
        <v>0.28999999999999998</v>
      </c>
      <c r="Q58" s="100">
        <v>10.41</v>
      </c>
      <c r="R58" s="6"/>
      <c r="S58" s="6"/>
      <c r="T58" s="156"/>
      <c r="U58" s="6"/>
    </row>
    <row r="59" spans="1:21" customFormat="1">
      <c r="A59" s="201" t="s">
        <v>2595</v>
      </c>
      <c r="B59" s="100">
        <v>6.71</v>
      </c>
      <c r="C59" s="100">
        <v>7.61</v>
      </c>
      <c r="D59" s="100">
        <v>14.31</v>
      </c>
      <c r="E59" s="100">
        <v>5.7</v>
      </c>
      <c r="F59" s="100">
        <v>5.29</v>
      </c>
      <c r="G59" s="100">
        <v>42.91</v>
      </c>
      <c r="H59" s="100">
        <v>21.42</v>
      </c>
      <c r="I59" s="100">
        <v>5.98</v>
      </c>
      <c r="J59" s="100">
        <v>0.28000000000000003</v>
      </c>
      <c r="K59" s="100">
        <v>102.7</v>
      </c>
      <c r="L59" s="100">
        <v>19.149999999999999</v>
      </c>
      <c r="M59" s="100">
        <v>14.96</v>
      </c>
      <c r="N59" s="100">
        <v>637.9</v>
      </c>
      <c r="O59" s="100">
        <v>0</v>
      </c>
      <c r="P59" s="100">
        <v>0.27</v>
      </c>
      <c r="Q59" s="100">
        <v>10.54</v>
      </c>
      <c r="R59" s="6"/>
      <c r="S59" s="6"/>
      <c r="T59" s="156"/>
      <c r="U59" s="6"/>
    </row>
    <row r="60" spans="1:21" customFormat="1">
      <c r="A60" s="201" t="s">
        <v>2596</v>
      </c>
      <c r="B60" s="100">
        <v>6.29</v>
      </c>
      <c r="C60" s="100">
        <v>7.83</v>
      </c>
      <c r="D60" s="100">
        <v>14.12</v>
      </c>
      <c r="E60" s="100">
        <v>5.74</v>
      </c>
      <c r="F60" s="100">
        <v>10.16</v>
      </c>
      <c r="G60" s="100">
        <v>42.91</v>
      </c>
      <c r="H60" s="100">
        <v>21.42</v>
      </c>
      <c r="I60" s="100">
        <v>5.89</v>
      </c>
      <c r="J60" s="100">
        <v>0.66</v>
      </c>
      <c r="K60" s="100">
        <v>25.74</v>
      </c>
      <c r="L60" s="100">
        <v>12.3</v>
      </c>
      <c r="M60" s="100">
        <v>6.37</v>
      </c>
      <c r="N60" s="100">
        <v>264.8</v>
      </c>
      <c r="O60" s="100">
        <v>0</v>
      </c>
      <c r="P60" s="100">
        <v>0.27</v>
      </c>
      <c r="Q60" s="100">
        <v>10</v>
      </c>
      <c r="R60" s="6"/>
      <c r="S60" s="6"/>
      <c r="T60" s="156"/>
      <c r="U60" s="6"/>
    </row>
    <row r="61" spans="1:21" customFormat="1">
      <c r="A61" s="201" t="s">
        <v>2597</v>
      </c>
      <c r="B61" s="100">
        <v>6.03</v>
      </c>
      <c r="C61" s="100">
        <v>7.87</v>
      </c>
      <c r="D61" s="100">
        <v>13.89</v>
      </c>
      <c r="E61" s="100">
        <v>5.67</v>
      </c>
      <c r="F61" s="100">
        <v>6.86</v>
      </c>
      <c r="G61" s="100">
        <v>42.91</v>
      </c>
      <c r="H61" s="100">
        <v>21.42</v>
      </c>
      <c r="I61" s="100">
        <v>5.91</v>
      </c>
      <c r="J61" s="100">
        <v>0.56999999999999995</v>
      </c>
      <c r="K61" s="100">
        <v>34.64</v>
      </c>
      <c r="L61" s="100">
        <v>13.14</v>
      </c>
      <c r="M61" s="100">
        <v>6.65</v>
      </c>
      <c r="N61" s="100">
        <v>343.1</v>
      </c>
      <c r="O61" s="100">
        <v>0</v>
      </c>
      <c r="P61" s="100">
        <v>0.28000000000000003</v>
      </c>
      <c r="Q61" s="100">
        <v>10.76</v>
      </c>
      <c r="R61" s="6"/>
      <c r="S61" s="6"/>
      <c r="T61" s="156"/>
      <c r="U61" s="6"/>
    </row>
    <row r="62" spans="1:21" customFormat="1">
      <c r="A62" s="201" t="s">
        <v>2598</v>
      </c>
      <c r="B62" s="100">
        <v>5.7</v>
      </c>
      <c r="C62" s="100">
        <v>7.77</v>
      </c>
      <c r="D62" s="100">
        <v>13.47</v>
      </c>
      <c r="E62" s="100">
        <v>5.68</v>
      </c>
      <c r="F62" s="100">
        <v>8.84</v>
      </c>
      <c r="G62" s="100">
        <v>44.07</v>
      </c>
      <c r="H62" s="100">
        <v>20.309999999999999</v>
      </c>
      <c r="I62" s="100">
        <v>5.69</v>
      </c>
      <c r="J62" s="100">
        <v>0.64</v>
      </c>
      <c r="K62" s="100">
        <v>32.58</v>
      </c>
      <c r="L62" s="100">
        <v>9.14</v>
      </c>
      <c r="M62" s="100">
        <v>2.38</v>
      </c>
      <c r="N62" s="100">
        <v>95.9</v>
      </c>
      <c r="O62" s="100">
        <v>0</v>
      </c>
      <c r="P62" s="100">
        <v>0.3</v>
      </c>
      <c r="Q62" s="100">
        <v>10.18</v>
      </c>
      <c r="R62" s="6"/>
      <c r="S62" s="6"/>
      <c r="T62" s="156"/>
      <c r="U62" s="6"/>
    </row>
    <row r="63" spans="1:21" customFormat="1">
      <c r="A63" s="201" t="s">
        <v>2599</v>
      </c>
      <c r="B63" s="100">
        <v>5.37</v>
      </c>
      <c r="C63" s="100">
        <v>7.53</v>
      </c>
      <c r="D63" s="100">
        <v>12.9</v>
      </c>
      <c r="E63" s="100">
        <v>5.79</v>
      </c>
      <c r="F63" s="100">
        <v>7.58</v>
      </c>
      <c r="G63" s="100">
        <v>44.97</v>
      </c>
      <c r="H63" s="100">
        <v>19.96</v>
      </c>
      <c r="I63" s="100">
        <v>5.62</v>
      </c>
      <c r="J63" s="100">
        <v>0.55000000000000004</v>
      </c>
      <c r="K63" s="100">
        <v>40.340000000000003</v>
      </c>
      <c r="L63" s="100">
        <v>9.98</v>
      </c>
      <c r="M63" s="100">
        <v>2.97</v>
      </c>
      <c r="N63" s="100">
        <v>161.30000000000001</v>
      </c>
      <c r="O63" s="100">
        <v>0</v>
      </c>
      <c r="P63" s="100">
        <v>0.28999999999999998</v>
      </c>
      <c r="Q63" s="100">
        <v>10.68</v>
      </c>
      <c r="R63" s="6"/>
      <c r="S63" s="6"/>
      <c r="T63" s="156"/>
      <c r="U63" s="6"/>
    </row>
    <row r="64" spans="1:21" customFormat="1">
      <c r="A64" s="201" t="s">
        <v>2600</v>
      </c>
      <c r="B64" s="100">
        <v>5.27</v>
      </c>
      <c r="C64" s="100">
        <v>7.46</v>
      </c>
      <c r="D64" s="100">
        <v>12.73</v>
      </c>
      <c r="E64" s="100">
        <v>5.54</v>
      </c>
      <c r="F64" s="100">
        <v>8.1199999999999992</v>
      </c>
      <c r="G64" s="100">
        <v>44.97</v>
      </c>
      <c r="H64" s="100">
        <v>19.96</v>
      </c>
      <c r="I64" s="100">
        <v>5.63</v>
      </c>
      <c r="J64" s="100">
        <v>0.64</v>
      </c>
      <c r="K64" s="100">
        <v>41.09</v>
      </c>
      <c r="L64" s="100">
        <v>12.39</v>
      </c>
      <c r="M64" s="100">
        <v>5.04</v>
      </c>
      <c r="N64" s="100">
        <v>334</v>
      </c>
      <c r="O64" s="100">
        <v>0</v>
      </c>
      <c r="P64" s="100">
        <v>0.28999999999999998</v>
      </c>
      <c r="Q64" s="100">
        <v>9.9600000000000009</v>
      </c>
      <c r="R64" s="6"/>
      <c r="S64" s="6"/>
      <c r="T64" s="156"/>
      <c r="U64" s="6"/>
    </row>
    <row r="65" spans="1:21" customFormat="1">
      <c r="A65" s="201" t="s">
        <v>2601</v>
      </c>
      <c r="B65" s="100">
        <v>5.05</v>
      </c>
      <c r="C65" s="100">
        <v>7.37</v>
      </c>
      <c r="D65" s="100">
        <v>12.42</v>
      </c>
      <c r="E65" s="100">
        <v>5.01</v>
      </c>
      <c r="F65" s="100">
        <v>8.0500000000000007</v>
      </c>
      <c r="G65" s="100">
        <v>44.97</v>
      </c>
      <c r="H65" s="100">
        <v>19.96</v>
      </c>
      <c r="I65" s="100">
        <v>5.57</v>
      </c>
      <c r="J65" s="100">
        <v>0.49</v>
      </c>
      <c r="K65" s="100">
        <v>44.16</v>
      </c>
      <c r="L65" s="100">
        <v>10.94</v>
      </c>
      <c r="M65" s="100">
        <v>3.95</v>
      </c>
      <c r="N65" s="100">
        <v>225.4</v>
      </c>
      <c r="O65" s="100">
        <v>0</v>
      </c>
      <c r="P65" s="100">
        <v>0.3</v>
      </c>
      <c r="Q65" s="100">
        <v>9.93</v>
      </c>
      <c r="R65" s="6"/>
      <c r="S65" s="6"/>
      <c r="T65" s="156"/>
      <c r="U65" s="6"/>
    </row>
    <row r="66" spans="1:21" customFormat="1">
      <c r="A66" s="201" t="s">
        <v>2602</v>
      </c>
      <c r="B66" s="100">
        <v>4.84</v>
      </c>
      <c r="C66" s="100">
        <v>7.58</v>
      </c>
      <c r="D66" s="100">
        <v>12.42</v>
      </c>
      <c r="E66" s="100">
        <v>4.7300000000000004</v>
      </c>
      <c r="F66" s="100">
        <v>11.09</v>
      </c>
      <c r="G66" s="100">
        <v>44.32</v>
      </c>
      <c r="H66" s="100">
        <v>22.08</v>
      </c>
      <c r="I66" s="100">
        <v>5.51</v>
      </c>
      <c r="J66" s="100">
        <v>0.5</v>
      </c>
      <c r="K66" s="100">
        <v>39.71</v>
      </c>
      <c r="L66" s="100">
        <v>11.11</v>
      </c>
      <c r="M66" s="100">
        <v>5.63</v>
      </c>
      <c r="N66" s="100">
        <v>168.3</v>
      </c>
      <c r="O66" s="100">
        <v>0</v>
      </c>
      <c r="P66" s="100">
        <v>0.31</v>
      </c>
      <c r="Q66" s="100">
        <v>10.33</v>
      </c>
      <c r="R66" s="6"/>
      <c r="S66" s="6"/>
      <c r="T66" s="156"/>
      <c r="U66" s="6"/>
    </row>
    <row r="67" spans="1:21" customFormat="1">
      <c r="A67" s="201" t="s">
        <v>2603</v>
      </c>
      <c r="B67" s="100">
        <v>4.9800000000000004</v>
      </c>
      <c r="C67" s="100">
        <v>7.58</v>
      </c>
      <c r="D67" s="100">
        <v>12.56</v>
      </c>
      <c r="E67" s="100">
        <v>4.9800000000000004</v>
      </c>
      <c r="F67" s="100">
        <v>10</v>
      </c>
      <c r="G67" s="100">
        <v>43.85</v>
      </c>
      <c r="H67" s="100">
        <v>22.75</v>
      </c>
      <c r="I67" s="100">
        <v>5.38</v>
      </c>
      <c r="J67" s="100">
        <v>0.61</v>
      </c>
      <c r="K67" s="100">
        <v>39.049999999999997</v>
      </c>
      <c r="L67" s="100">
        <v>9.92</v>
      </c>
      <c r="M67" s="100">
        <v>3.99</v>
      </c>
      <c r="N67" s="100">
        <v>110.7</v>
      </c>
      <c r="O67" s="100">
        <v>0</v>
      </c>
      <c r="P67" s="100">
        <v>0.3</v>
      </c>
      <c r="Q67" s="100">
        <v>10.199999999999999</v>
      </c>
      <c r="R67" s="6"/>
      <c r="S67" s="6"/>
      <c r="T67" s="156"/>
      <c r="U67" s="6"/>
    </row>
    <row r="68" spans="1:21" customFormat="1">
      <c r="A68" s="201" t="s">
        <v>2604</v>
      </c>
      <c r="B68" s="100">
        <v>4.8899999999999997</v>
      </c>
      <c r="C68" s="100">
        <v>7.48</v>
      </c>
      <c r="D68" s="100">
        <v>12.38</v>
      </c>
      <c r="E68" s="100">
        <v>5.01</v>
      </c>
      <c r="F68" s="100">
        <v>8.5299999999999994</v>
      </c>
      <c r="G68" s="100">
        <v>43.85</v>
      </c>
      <c r="H68" s="100">
        <v>22.75</v>
      </c>
      <c r="I68" s="100">
        <v>5.29</v>
      </c>
      <c r="J68" s="100">
        <v>0.6</v>
      </c>
      <c r="K68" s="100">
        <v>47.45</v>
      </c>
      <c r="L68" s="100">
        <v>10.41</v>
      </c>
      <c r="M68" s="100">
        <v>4.0999999999999996</v>
      </c>
      <c r="N68" s="100">
        <v>161</v>
      </c>
      <c r="O68" s="100">
        <v>0</v>
      </c>
      <c r="P68" s="100">
        <v>0.28999999999999998</v>
      </c>
      <c r="Q68" s="100">
        <v>10.78</v>
      </c>
      <c r="R68" s="6"/>
      <c r="S68" s="6"/>
      <c r="T68" s="156"/>
      <c r="U68" s="6"/>
    </row>
    <row r="69" spans="1:21" customFormat="1">
      <c r="A69" s="201" t="s">
        <v>2605</v>
      </c>
      <c r="B69" s="100">
        <v>4.72</v>
      </c>
      <c r="C69" s="100">
        <v>7.34</v>
      </c>
      <c r="D69" s="100">
        <v>12.06</v>
      </c>
      <c r="E69" s="100">
        <v>5.26</v>
      </c>
      <c r="F69" s="100">
        <v>8.08</v>
      </c>
      <c r="G69" s="100">
        <v>43.85</v>
      </c>
      <c r="H69" s="100">
        <v>22.75</v>
      </c>
      <c r="I69" s="100">
        <v>5.28</v>
      </c>
      <c r="J69" s="100">
        <v>0.67</v>
      </c>
      <c r="K69" s="100">
        <v>34.729999999999997</v>
      </c>
      <c r="L69" s="100">
        <v>7.74</v>
      </c>
      <c r="M69" s="100">
        <v>-0.67</v>
      </c>
      <c r="N69" s="100">
        <v>79.900000000000006</v>
      </c>
      <c r="O69" s="100">
        <v>0</v>
      </c>
      <c r="P69" s="100">
        <v>0.28999999999999998</v>
      </c>
      <c r="Q69" s="100">
        <v>11.36</v>
      </c>
      <c r="R69" s="6"/>
      <c r="S69" s="6"/>
      <c r="T69" s="156"/>
      <c r="U69" s="6"/>
    </row>
    <row r="70" spans="1:21" customFormat="1">
      <c r="A70" s="201" t="s">
        <v>2606</v>
      </c>
      <c r="B70" s="100">
        <v>4.49</v>
      </c>
      <c r="C70" s="100">
        <v>7.46</v>
      </c>
      <c r="D70" s="100">
        <v>11.95</v>
      </c>
      <c r="E70" s="100">
        <v>4.67</v>
      </c>
      <c r="F70" s="100">
        <v>6.86</v>
      </c>
      <c r="G70" s="100">
        <v>44.19</v>
      </c>
      <c r="H70" s="100">
        <v>21.26</v>
      </c>
      <c r="I70" s="100">
        <v>5.28</v>
      </c>
      <c r="J70" s="100">
        <v>0.53</v>
      </c>
      <c r="K70" s="100">
        <v>37.880000000000003</v>
      </c>
      <c r="L70" s="100">
        <v>9.4600000000000009</v>
      </c>
      <c r="M70" s="100">
        <v>3.63</v>
      </c>
      <c r="N70" s="100">
        <v>77.8</v>
      </c>
      <c r="O70" s="100">
        <v>0.2</v>
      </c>
      <c r="P70" s="100">
        <v>0.33</v>
      </c>
      <c r="Q70" s="100">
        <v>10</v>
      </c>
      <c r="R70" s="6"/>
      <c r="S70" s="6"/>
      <c r="T70" s="156"/>
      <c r="U70" s="6"/>
    </row>
    <row r="71" spans="1:21" customFormat="1">
      <c r="A71" s="201" t="s">
        <v>2607</v>
      </c>
      <c r="B71" s="100">
        <v>4.28</v>
      </c>
      <c r="C71" s="100">
        <v>7.55</v>
      </c>
      <c r="D71" s="100">
        <v>11.84</v>
      </c>
      <c r="E71" s="100">
        <v>4.75</v>
      </c>
      <c r="F71" s="100">
        <v>8.0299999999999994</v>
      </c>
      <c r="G71" s="100">
        <v>44.44</v>
      </c>
      <c r="H71" s="100">
        <v>20.38</v>
      </c>
      <c r="I71" s="100">
        <v>5.47</v>
      </c>
      <c r="J71" s="100">
        <v>0.53</v>
      </c>
      <c r="K71" s="100">
        <v>29.7</v>
      </c>
      <c r="L71" s="100">
        <v>11.17</v>
      </c>
      <c r="M71" s="100">
        <v>7.57</v>
      </c>
      <c r="N71" s="100">
        <v>88.1</v>
      </c>
      <c r="O71" s="100">
        <v>0</v>
      </c>
      <c r="P71" s="100">
        <v>0.35</v>
      </c>
      <c r="Q71" s="100">
        <v>10</v>
      </c>
      <c r="R71" s="6"/>
      <c r="S71" s="6"/>
      <c r="T71" s="156"/>
      <c r="U71" s="6"/>
    </row>
    <row r="72" spans="1:21" customFormat="1">
      <c r="A72" s="201" t="s">
        <v>2608</v>
      </c>
      <c r="B72" s="100">
        <v>4.1100000000000003</v>
      </c>
      <c r="C72" s="100">
        <v>7.65</v>
      </c>
      <c r="D72" s="100">
        <v>11.76</v>
      </c>
      <c r="E72" s="100">
        <v>4.87</v>
      </c>
      <c r="F72" s="100">
        <v>6.92</v>
      </c>
      <c r="G72" s="100">
        <v>44.44</v>
      </c>
      <c r="H72" s="100">
        <v>20.38</v>
      </c>
      <c r="I72" s="100">
        <v>5.45</v>
      </c>
      <c r="J72" s="100">
        <v>0.57999999999999996</v>
      </c>
      <c r="K72" s="100">
        <v>31.13</v>
      </c>
      <c r="L72" s="100">
        <v>10.130000000000001</v>
      </c>
      <c r="M72" s="100">
        <v>5.51</v>
      </c>
      <c r="N72" s="100">
        <v>68.3</v>
      </c>
      <c r="O72" s="100">
        <v>0</v>
      </c>
      <c r="P72" s="100">
        <v>0.35</v>
      </c>
      <c r="Q72" s="100">
        <v>10.52</v>
      </c>
      <c r="R72" s="6"/>
      <c r="S72" s="6"/>
      <c r="T72" s="156"/>
      <c r="U72" s="6"/>
    </row>
    <row r="73" spans="1:21" customFormat="1">
      <c r="A73" s="201" t="s">
        <v>2609</v>
      </c>
      <c r="B73" s="100">
        <v>3.95</v>
      </c>
      <c r="C73" s="100">
        <v>7.94</v>
      </c>
      <c r="D73" s="100">
        <v>11.89</v>
      </c>
      <c r="E73" s="100">
        <v>4.83</v>
      </c>
      <c r="F73" s="100">
        <v>6.61</v>
      </c>
      <c r="G73" s="100">
        <v>44.44</v>
      </c>
      <c r="H73" s="100">
        <v>20.38</v>
      </c>
      <c r="I73" s="100">
        <v>5.45</v>
      </c>
      <c r="J73" s="100">
        <v>0.45</v>
      </c>
      <c r="K73" s="100">
        <v>35.159999999999997</v>
      </c>
      <c r="L73" s="100">
        <v>9.3699999999999992</v>
      </c>
      <c r="M73" s="100">
        <v>3.89</v>
      </c>
      <c r="N73" s="100">
        <v>56.7</v>
      </c>
      <c r="O73" s="100">
        <v>0</v>
      </c>
      <c r="P73" s="100">
        <v>0.36</v>
      </c>
      <c r="Q73" s="100">
        <v>10.86</v>
      </c>
      <c r="R73" s="6"/>
      <c r="S73" s="6"/>
      <c r="T73" s="156"/>
      <c r="U73" s="6"/>
    </row>
    <row r="74" spans="1:21" customFormat="1">
      <c r="A74" s="201" t="s">
        <v>2610</v>
      </c>
      <c r="B74" s="100">
        <v>3.85</v>
      </c>
      <c r="C74" s="100">
        <v>8.09</v>
      </c>
      <c r="D74" s="100">
        <v>11.93</v>
      </c>
      <c r="E74" s="100">
        <v>4.71</v>
      </c>
      <c r="F74" s="100">
        <v>6.44</v>
      </c>
      <c r="G74" s="100">
        <v>44.61</v>
      </c>
      <c r="H74" s="100">
        <v>17.5</v>
      </c>
      <c r="I74" s="100">
        <v>5.42</v>
      </c>
      <c r="J74" s="100">
        <v>0.43</v>
      </c>
      <c r="K74" s="100">
        <v>39.58</v>
      </c>
      <c r="L74" s="100">
        <v>7.95</v>
      </c>
      <c r="M74" s="100">
        <v>0.49</v>
      </c>
      <c r="N74" s="100">
        <v>50.4</v>
      </c>
      <c r="O74" s="100">
        <v>0</v>
      </c>
      <c r="P74" s="100">
        <v>0.36</v>
      </c>
      <c r="Q74" s="100">
        <v>10.78</v>
      </c>
      <c r="R74" s="6"/>
      <c r="S74" s="6"/>
      <c r="T74" s="156"/>
      <c r="U74" s="6"/>
    </row>
    <row r="75" spans="1:21" customFormat="1">
      <c r="A75" s="201" t="s">
        <v>2611</v>
      </c>
      <c r="B75" s="100">
        <v>3.75</v>
      </c>
      <c r="C75" s="100">
        <v>8.17</v>
      </c>
      <c r="D75" s="100">
        <v>11.92</v>
      </c>
      <c r="E75" s="100">
        <v>4.97</v>
      </c>
      <c r="F75" s="100">
        <v>5.16</v>
      </c>
      <c r="G75" s="100">
        <v>44.74</v>
      </c>
      <c r="H75" s="100">
        <v>16.57</v>
      </c>
      <c r="I75" s="100">
        <v>5.36</v>
      </c>
      <c r="J75" s="100">
        <v>0.36</v>
      </c>
      <c r="K75" s="100">
        <v>43.65</v>
      </c>
      <c r="L75" s="100">
        <v>9.69</v>
      </c>
      <c r="M75" s="100">
        <v>5.01</v>
      </c>
      <c r="N75" s="100">
        <v>42.3</v>
      </c>
      <c r="O75" s="100">
        <v>0</v>
      </c>
      <c r="P75" s="100">
        <v>0.35</v>
      </c>
      <c r="Q75" s="100">
        <v>10</v>
      </c>
      <c r="R75" s="6"/>
      <c r="S75" s="6"/>
      <c r="T75" s="156"/>
      <c r="U75" s="6"/>
    </row>
    <row r="76" spans="1:21" customFormat="1">
      <c r="A76" s="201" t="s">
        <v>2612</v>
      </c>
      <c r="B76" s="100">
        <v>3.65</v>
      </c>
      <c r="C76" s="100">
        <v>7.84</v>
      </c>
      <c r="D76" s="100">
        <v>11.49</v>
      </c>
      <c r="E76" s="100">
        <v>5</v>
      </c>
      <c r="F76" s="100">
        <v>4.67</v>
      </c>
      <c r="G76" s="100">
        <v>44.74</v>
      </c>
      <c r="H76" s="100">
        <v>16.57</v>
      </c>
      <c r="I76" s="100">
        <v>5.25</v>
      </c>
      <c r="J76" s="100">
        <v>0.37</v>
      </c>
      <c r="K76" s="100">
        <v>45.22</v>
      </c>
      <c r="L76" s="100">
        <v>9.69</v>
      </c>
      <c r="M76" s="100">
        <v>5.29</v>
      </c>
      <c r="N76" s="100">
        <v>30.4</v>
      </c>
      <c r="O76" s="100">
        <v>0</v>
      </c>
      <c r="P76" s="100">
        <v>0.36</v>
      </c>
      <c r="Q76" s="100">
        <v>11.53</v>
      </c>
      <c r="R76" s="6"/>
      <c r="S76" s="6"/>
      <c r="T76" s="156"/>
      <c r="U76" s="6"/>
    </row>
    <row r="77" spans="1:21" customFormat="1">
      <c r="A77" s="201" t="s">
        <v>2613</v>
      </c>
      <c r="B77" s="100">
        <v>3.79</v>
      </c>
      <c r="C77" s="100">
        <v>8.11</v>
      </c>
      <c r="D77" s="100">
        <v>11.9</v>
      </c>
      <c r="E77" s="100">
        <v>4.75</v>
      </c>
      <c r="F77" s="100">
        <v>4.74</v>
      </c>
      <c r="G77" s="100">
        <v>44.74</v>
      </c>
      <c r="H77" s="100">
        <v>16.57</v>
      </c>
      <c r="I77" s="100">
        <v>5.23</v>
      </c>
      <c r="J77" s="100">
        <v>0.34</v>
      </c>
      <c r="K77" s="100">
        <v>45.8</v>
      </c>
      <c r="L77" s="100">
        <v>7.61</v>
      </c>
      <c r="M77" s="100">
        <v>0.28999999999999998</v>
      </c>
      <c r="N77" s="100">
        <v>24.7</v>
      </c>
      <c r="O77" s="100">
        <v>0</v>
      </c>
      <c r="P77" s="100">
        <v>0.36</v>
      </c>
      <c r="Q77" s="100">
        <v>10</v>
      </c>
      <c r="R77" s="6"/>
      <c r="S77" s="6"/>
      <c r="T77" s="156"/>
      <c r="U77" s="6"/>
    </row>
    <row r="78" spans="1:21" customFormat="1">
      <c r="A78" s="201" t="s">
        <v>2614</v>
      </c>
      <c r="B78" s="100">
        <v>3.88</v>
      </c>
      <c r="C78" s="100">
        <v>8.33</v>
      </c>
      <c r="D78" s="100">
        <v>12.21</v>
      </c>
      <c r="E78" s="100">
        <v>4.9000000000000004</v>
      </c>
      <c r="F78" s="100">
        <v>4.05</v>
      </c>
      <c r="G78" s="100">
        <v>49.79</v>
      </c>
      <c r="H78" s="100">
        <v>19.84</v>
      </c>
      <c r="I78" s="100">
        <v>5.5</v>
      </c>
      <c r="J78" s="100">
        <v>0.3</v>
      </c>
      <c r="K78" s="100">
        <v>36.65</v>
      </c>
      <c r="L78" s="100">
        <v>7.59</v>
      </c>
      <c r="M78" s="100">
        <v>0.47</v>
      </c>
      <c r="N78" s="100">
        <v>12.7</v>
      </c>
      <c r="O78" s="100">
        <v>0</v>
      </c>
      <c r="P78" s="100">
        <v>0.37</v>
      </c>
      <c r="Q78" s="100">
        <v>10</v>
      </c>
      <c r="R78" s="6"/>
      <c r="S78" s="6"/>
      <c r="T78" s="156"/>
      <c r="U78" s="6"/>
    </row>
    <row r="79" spans="1:21" customFormat="1">
      <c r="A79" s="201" t="s">
        <v>2615</v>
      </c>
      <c r="B79" s="100">
        <v>4.26</v>
      </c>
      <c r="C79" s="100">
        <v>8.6199999999999992</v>
      </c>
      <c r="D79" s="100">
        <v>12.89</v>
      </c>
      <c r="E79" s="100">
        <v>4.9000000000000004</v>
      </c>
      <c r="F79" s="100">
        <v>3.75</v>
      </c>
      <c r="G79" s="100">
        <v>53.48</v>
      </c>
      <c r="H79" s="100">
        <v>20.88</v>
      </c>
      <c r="I79" s="100">
        <v>5.79</v>
      </c>
      <c r="J79" s="100">
        <v>0.28999999999999998</v>
      </c>
      <c r="K79" s="100">
        <v>38.15</v>
      </c>
      <c r="L79" s="100">
        <v>7.08</v>
      </c>
      <c r="M79" s="100">
        <v>-0.71</v>
      </c>
      <c r="N79" s="100">
        <v>8</v>
      </c>
      <c r="O79" s="100">
        <v>0</v>
      </c>
      <c r="P79" s="100">
        <v>0.4</v>
      </c>
      <c r="Q79" s="100">
        <v>10.47</v>
      </c>
      <c r="R79" s="6"/>
      <c r="S79" s="6"/>
      <c r="T79" s="156"/>
      <c r="U79" s="6"/>
    </row>
    <row r="80" spans="1:21" customFormat="1">
      <c r="A80" s="201" t="s">
        <v>2616</v>
      </c>
      <c r="B80" s="100">
        <v>4.68</v>
      </c>
      <c r="C80" s="100">
        <v>8.89</v>
      </c>
      <c r="D80" s="100">
        <v>13.56</v>
      </c>
      <c r="E80" s="100">
        <v>4.9000000000000004</v>
      </c>
      <c r="F80" s="100">
        <v>3.27</v>
      </c>
      <c r="G80" s="100">
        <v>53.48</v>
      </c>
      <c r="H80" s="100">
        <v>20.88</v>
      </c>
      <c r="I80" s="100">
        <v>6.04</v>
      </c>
      <c r="J80" s="100">
        <v>0.23</v>
      </c>
      <c r="K80" s="100">
        <v>41.81</v>
      </c>
      <c r="L80" s="100">
        <v>7.39</v>
      </c>
      <c r="M80" s="100">
        <v>0.19</v>
      </c>
      <c r="N80" s="100">
        <v>3.7</v>
      </c>
      <c r="O80" s="100">
        <v>0</v>
      </c>
      <c r="P80" s="100">
        <v>0.4</v>
      </c>
      <c r="Q80" s="100">
        <v>10.53</v>
      </c>
      <c r="R80" s="6"/>
      <c r="S80" s="6"/>
      <c r="T80" s="156"/>
      <c r="U80" s="6"/>
    </row>
    <row r="81" spans="1:21" customFormat="1">
      <c r="A81" s="201" t="s">
        <v>2617</v>
      </c>
      <c r="B81" s="100">
        <v>5.0599999999999996</v>
      </c>
      <c r="C81" s="100">
        <v>8.7899999999999991</v>
      </c>
      <c r="D81" s="100">
        <v>13.84</v>
      </c>
      <c r="E81" s="100">
        <v>4.05</v>
      </c>
      <c r="F81" s="100">
        <v>2.5499999999999998</v>
      </c>
      <c r="G81" s="100">
        <v>53.48</v>
      </c>
      <c r="H81" s="100">
        <v>20.88</v>
      </c>
      <c r="I81" s="100">
        <v>6.53</v>
      </c>
      <c r="J81" s="100">
        <v>0.15</v>
      </c>
      <c r="K81" s="100">
        <v>67.67</v>
      </c>
      <c r="L81" s="100">
        <v>9.73</v>
      </c>
      <c r="M81" s="100">
        <v>6.17</v>
      </c>
      <c r="N81" s="100">
        <v>2.8</v>
      </c>
      <c r="O81" s="100">
        <v>0</v>
      </c>
      <c r="P81" s="100">
        <v>0.41</v>
      </c>
      <c r="Q81" s="100">
        <v>10.37</v>
      </c>
      <c r="R81" s="6"/>
      <c r="S81" s="6"/>
      <c r="T81" s="156"/>
      <c r="U81" s="6"/>
    </row>
    <row r="82" spans="1:21" customFormat="1">
      <c r="A82" s="201" t="s">
        <v>2618</v>
      </c>
      <c r="B82" s="100">
        <v>4.79</v>
      </c>
      <c r="C82" s="100">
        <v>8.39</v>
      </c>
      <c r="D82" s="100">
        <v>13.18</v>
      </c>
      <c r="E82" s="100">
        <v>4.8499999999999996</v>
      </c>
      <c r="F82" s="100">
        <v>2.81</v>
      </c>
      <c r="G82" s="100">
        <v>56.76</v>
      </c>
      <c r="H82" s="100">
        <v>22.08</v>
      </c>
      <c r="I82" s="100">
        <v>7.23</v>
      </c>
      <c r="J82" s="100">
        <v>0.15</v>
      </c>
      <c r="K82" s="100">
        <v>135.77000000000001</v>
      </c>
      <c r="L82" s="100">
        <v>13.44</v>
      </c>
      <c r="M82" s="100">
        <v>15.32</v>
      </c>
      <c r="N82" s="100">
        <v>2.8</v>
      </c>
      <c r="O82" s="100">
        <v>0</v>
      </c>
      <c r="P82" s="100">
        <v>0.41</v>
      </c>
      <c r="Q82" s="100">
        <v>10</v>
      </c>
      <c r="R82" s="6"/>
      <c r="S82" s="6"/>
      <c r="T82" s="156"/>
      <c r="U82" s="6"/>
    </row>
    <row r="83" spans="1:21" customFormat="1">
      <c r="A83" s="201" t="s">
        <v>2619</v>
      </c>
      <c r="B83" s="100">
        <v>4.68</v>
      </c>
      <c r="C83" s="100">
        <v>8.01</v>
      </c>
      <c r="D83" s="100">
        <v>12.69</v>
      </c>
      <c r="E83" s="100">
        <v>4.9400000000000004</v>
      </c>
      <c r="F83" s="100">
        <v>2.29</v>
      </c>
      <c r="G83" s="100">
        <v>59.27</v>
      </c>
      <c r="H83" s="100">
        <v>22.45</v>
      </c>
      <c r="I83" s="100">
        <v>7.46</v>
      </c>
      <c r="J83" s="100">
        <v>0.22</v>
      </c>
      <c r="K83" s="100">
        <v>140.63999999999999</v>
      </c>
      <c r="L83" s="100">
        <v>14.11</v>
      </c>
      <c r="M83" s="100">
        <v>17.309999999999999</v>
      </c>
      <c r="N83" s="100">
        <v>2.8</v>
      </c>
      <c r="O83" s="100">
        <v>0</v>
      </c>
      <c r="P83" s="100">
        <v>0.43</v>
      </c>
      <c r="Q83" s="100">
        <v>10</v>
      </c>
      <c r="R83" s="6"/>
      <c r="S83" s="6"/>
      <c r="T83" s="156"/>
      <c r="U83" s="6"/>
    </row>
    <row r="84" spans="1:21" customFormat="1">
      <c r="A84" s="201" t="s">
        <v>2620</v>
      </c>
      <c r="B84" s="100">
        <v>4.74</v>
      </c>
      <c r="C84" s="100">
        <v>7.73</v>
      </c>
      <c r="D84" s="100">
        <v>12.46</v>
      </c>
      <c r="E84" s="100">
        <v>5.05</v>
      </c>
      <c r="F84" s="100">
        <v>2</v>
      </c>
      <c r="G84" s="100">
        <v>59.27</v>
      </c>
      <c r="H84" s="100">
        <v>22.45</v>
      </c>
      <c r="I84" s="100">
        <v>7.34</v>
      </c>
      <c r="J84" s="100">
        <v>0.12</v>
      </c>
      <c r="K84" s="100">
        <v>139.82</v>
      </c>
      <c r="L84" s="100">
        <v>13.13</v>
      </c>
      <c r="M84" s="100">
        <v>14.88</v>
      </c>
      <c r="N84" s="100">
        <v>2.6</v>
      </c>
      <c r="O84" s="100">
        <v>0</v>
      </c>
      <c r="P84" s="100">
        <v>0.44</v>
      </c>
      <c r="Q84" s="100">
        <v>10</v>
      </c>
      <c r="R84" s="6"/>
      <c r="S84" s="6"/>
      <c r="T84" s="156"/>
      <c r="U84" s="6"/>
    </row>
    <row r="85" spans="1:21" customFormat="1">
      <c r="A85" s="201" t="s">
        <v>2621</v>
      </c>
      <c r="B85" s="100">
        <v>5.24</v>
      </c>
      <c r="C85" s="100">
        <v>7.7</v>
      </c>
      <c r="D85" s="100">
        <v>12.94</v>
      </c>
      <c r="E85" s="100">
        <v>4.9400000000000004</v>
      </c>
      <c r="F85" s="100">
        <v>2</v>
      </c>
      <c r="G85" s="100">
        <v>59.27</v>
      </c>
      <c r="H85" s="100">
        <v>22.45</v>
      </c>
      <c r="I85" s="100">
        <v>7.59</v>
      </c>
      <c r="J85" s="100">
        <v>0.05</v>
      </c>
      <c r="K85" s="100">
        <v>82.77</v>
      </c>
      <c r="L85" s="100">
        <v>13.85</v>
      </c>
      <c r="M85" s="100">
        <v>16.5</v>
      </c>
      <c r="N85" s="100">
        <v>2.4</v>
      </c>
      <c r="O85" s="100">
        <v>0</v>
      </c>
      <c r="P85" s="100">
        <v>0.45</v>
      </c>
      <c r="Q85" s="100">
        <v>11.72</v>
      </c>
      <c r="R85" s="6"/>
      <c r="S85" s="6"/>
      <c r="T85" s="156"/>
      <c r="U85" s="6"/>
    </row>
    <row r="86" spans="1:21" customFormat="1">
      <c r="A86" s="201" t="s">
        <v>2622</v>
      </c>
      <c r="B86" s="100">
        <v>6.45</v>
      </c>
      <c r="C86" s="100">
        <v>8.42</v>
      </c>
      <c r="D86" s="100">
        <v>14.87</v>
      </c>
      <c r="E86" s="100">
        <v>5.0199999999999996</v>
      </c>
      <c r="F86" s="100">
        <v>2</v>
      </c>
      <c r="G86" s="100">
        <v>62.27</v>
      </c>
      <c r="H86" s="100">
        <v>26.02</v>
      </c>
      <c r="I86" s="100">
        <v>7.59</v>
      </c>
      <c r="J86" s="100">
        <v>0.15</v>
      </c>
      <c r="K86" s="100">
        <v>36.99</v>
      </c>
      <c r="L86" s="100">
        <v>7.16</v>
      </c>
      <c r="M86" s="100">
        <v>-0.36</v>
      </c>
      <c r="N86" s="100">
        <v>2.2000000000000002</v>
      </c>
      <c r="O86" s="100">
        <v>0</v>
      </c>
      <c r="P86" s="100">
        <v>0.48</v>
      </c>
      <c r="Q86" s="100">
        <v>10.61</v>
      </c>
      <c r="R86" s="6"/>
      <c r="S86" s="6"/>
      <c r="T86" s="156"/>
      <c r="U86" s="6"/>
    </row>
    <row r="87" spans="1:21" customFormat="1">
      <c r="A87" s="201" t="s">
        <v>2623</v>
      </c>
      <c r="B87" s="100">
        <v>7.01</v>
      </c>
      <c r="C87" s="100">
        <v>8.24</v>
      </c>
      <c r="D87" s="100">
        <v>15.24</v>
      </c>
      <c r="E87" s="100">
        <v>5.18</v>
      </c>
      <c r="F87" s="100">
        <v>2</v>
      </c>
      <c r="G87" s="100">
        <v>64.459999999999994</v>
      </c>
      <c r="H87" s="100">
        <v>28.13</v>
      </c>
      <c r="I87" s="100">
        <v>7.88</v>
      </c>
      <c r="J87" s="100">
        <v>0.1</v>
      </c>
      <c r="K87" s="100">
        <v>75.97</v>
      </c>
      <c r="L87" s="100">
        <v>10.41</v>
      </c>
      <c r="M87" s="100">
        <v>7.98</v>
      </c>
      <c r="N87" s="100">
        <v>2.4</v>
      </c>
      <c r="O87" s="100">
        <v>0</v>
      </c>
      <c r="P87" s="100">
        <v>0.49</v>
      </c>
      <c r="Q87" s="100">
        <v>10.34</v>
      </c>
      <c r="R87" s="6"/>
      <c r="S87" s="6"/>
      <c r="T87" s="156"/>
      <c r="U87" s="6"/>
    </row>
    <row r="88" spans="1:21" customFormat="1">
      <c r="A88" s="201" t="s">
        <v>2624</v>
      </c>
      <c r="B88" s="100">
        <v>7.07</v>
      </c>
      <c r="C88" s="100">
        <v>8.06</v>
      </c>
      <c r="D88" s="100">
        <v>15.13</v>
      </c>
      <c r="E88" s="100">
        <v>5.34</v>
      </c>
      <c r="F88" s="100">
        <v>2.02</v>
      </c>
      <c r="G88" s="100">
        <v>64.459999999999994</v>
      </c>
      <c r="H88" s="100">
        <v>28.13</v>
      </c>
      <c r="I88" s="100">
        <v>8.15</v>
      </c>
      <c r="J88" s="100">
        <v>0.18</v>
      </c>
      <c r="K88" s="100">
        <v>20.66</v>
      </c>
      <c r="L88" s="100">
        <v>8.2799999999999994</v>
      </c>
      <c r="M88" s="100">
        <v>2.35</v>
      </c>
      <c r="N88" s="100">
        <v>2.2999999999999998</v>
      </c>
      <c r="O88" s="100">
        <v>0</v>
      </c>
      <c r="P88" s="100">
        <v>0.5</v>
      </c>
      <c r="Q88" s="100">
        <v>10.74</v>
      </c>
      <c r="R88" s="6"/>
      <c r="S88" s="6"/>
      <c r="T88" s="156"/>
      <c r="U88" s="6"/>
    </row>
    <row r="89" spans="1:21" customFormat="1">
      <c r="A89" s="201" t="s">
        <v>2625</v>
      </c>
      <c r="B89" s="100">
        <v>7.43</v>
      </c>
      <c r="C89" s="100">
        <v>7.99</v>
      </c>
      <c r="D89" s="100">
        <v>15.42</v>
      </c>
      <c r="E89" s="100">
        <v>4.8499999999999996</v>
      </c>
      <c r="F89" s="100">
        <v>2.02</v>
      </c>
      <c r="G89" s="100">
        <v>64.459999999999994</v>
      </c>
      <c r="H89" s="100">
        <v>28.13</v>
      </c>
      <c r="I89" s="100">
        <v>8.1999999999999993</v>
      </c>
      <c r="J89" s="100">
        <v>0.12</v>
      </c>
      <c r="K89" s="100">
        <v>23.58</v>
      </c>
      <c r="L89" s="100">
        <v>13.29</v>
      </c>
      <c r="M89" s="100">
        <v>14.91</v>
      </c>
      <c r="N89" s="100">
        <v>2.4</v>
      </c>
      <c r="O89" s="100">
        <v>0</v>
      </c>
      <c r="P89" s="100">
        <v>0.52</v>
      </c>
      <c r="Q89" s="100">
        <v>11.73</v>
      </c>
      <c r="R89" s="6"/>
      <c r="S89" s="6"/>
      <c r="T89" s="156"/>
      <c r="U89" s="6"/>
    </row>
    <row r="90" spans="1:21" customFormat="1">
      <c r="A90" s="201" t="s">
        <v>2626</v>
      </c>
      <c r="B90" s="100">
        <v>8.8699999999999992</v>
      </c>
      <c r="C90" s="100">
        <v>10.16</v>
      </c>
      <c r="D90" s="100">
        <v>19.03</v>
      </c>
      <c r="E90" s="100">
        <v>4.79</v>
      </c>
      <c r="F90" s="100">
        <v>2.31</v>
      </c>
      <c r="G90" s="100">
        <v>72.040000000000006</v>
      </c>
      <c r="H90" s="100">
        <v>23.8</v>
      </c>
      <c r="I90" s="100">
        <v>8.2899999999999991</v>
      </c>
      <c r="J90" s="100">
        <v>0.09</v>
      </c>
      <c r="K90" s="100">
        <v>65.150000000000006</v>
      </c>
      <c r="L90" s="100">
        <v>9.14</v>
      </c>
      <c r="M90" s="100">
        <v>4.72</v>
      </c>
      <c r="N90" s="100">
        <v>2.5</v>
      </c>
      <c r="O90" s="100">
        <v>0</v>
      </c>
      <c r="P90" s="100">
        <v>0.57999999999999996</v>
      </c>
      <c r="Q90" s="100">
        <v>11.75</v>
      </c>
      <c r="R90" s="6"/>
      <c r="S90" s="6"/>
      <c r="T90" s="156"/>
      <c r="U90" s="6"/>
    </row>
    <row r="91" spans="1:21" customFormat="1">
      <c r="A91" s="201" t="s">
        <v>2627</v>
      </c>
      <c r="B91" s="100">
        <v>8.4600000000000009</v>
      </c>
      <c r="C91" s="100">
        <v>10.64</v>
      </c>
      <c r="D91" s="100">
        <v>19.100000000000001</v>
      </c>
      <c r="E91" s="100">
        <v>4.63</v>
      </c>
      <c r="F91" s="100">
        <v>2</v>
      </c>
      <c r="G91" s="100">
        <v>77.84</v>
      </c>
      <c r="H91" s="100">
        <v>22.44</v>
      </c>
      <c r="I91" s="100">
        <v>8.75</v>
      </c>
      <c r="J91" s="100">
        <v>0.16</v>
      </c>
      <c r="K91" s="100">
        <v>154.43</v>
      </c>
      <c r="L91" s="100">
        <v>15.3</v>
      </c>
      <c r="M91" s="100">
        <v>20.37</v>
      </c>
      <c r="N91" s="100">
        <v>2.6</v>
      </c>
      <c r="O91" s="100">
        <v>0</v>
      </c>
      <c r="P91" s="100">
        <v>0.56000000000000005</v>
      </c>
      <c r="Q91" s="100">
        <v>10.16</v>
      </c>
      <c r="R91" s="6"/>
      <c r="S91" s="6"/>
      <c r="T91" s="156"/>
      <c r="U91" s="6"/>
    </row>
    <row r="92" spans="1:21" customFormat="1">
      <c r="A92" s="201" t="s">
        <v>2628</v>
      </c>
      <c r="B92" s="100">
        <v>7.95</v>
      </c>
      <c r="C92" s="100">
        <v>10.6</v>
      </c>
      <c r="D92" s="100">
        <v>18.55</v>
      </c>
      <c r="E92" s="100">
        <v>4.29</v>
      </c>
      <c r="F92" s="100">
        <v>2.44</v>
      </c>
      <c r="G92" s="100">
        <v>77.84</v>
      </c>
      <c r="H92" s="100">
        <v>22.44</v>
      </c>
      <c r="I92" s="100">
        <v>9.44</v>
      </c>
      <c r="J92" s="100">
        <v>0.11</v>
      </c>
      <c r="K92" s="100">
        <v>78.37</v>
      </c>
      <c r="L92" s="100">
        <v>9.61</v>
      </c>
      <c r="M92" s="100">
        <v>5.96</v>
      </c>
      <c r="N92" s="100">
        <v>2.2999999999999998</v>
      </c>
      <c r="O92" s="100">
        <v>0</v>
      </c>
      <c r="P92" s="100">
        <v>0.55000000000000004</v>
      </c>
      <c r="Q92" s="100">
        <v>10.68</v>
      </c>
      <c r="R92" s="6"/>
      <c r="S92" s="6"/>
      <c r="T92" s="156"/>
      <c r="U92" s="6"/>
    </row>
    <row r="93" spans="1:21" customFormat="1">
      <c r="A93" s="201" t="s">
        <v>2629</v>
      </c>
      <c r="B93" s="100">
        <v>9.14</v>
      </c>
      <c r="C93" s="100">
        <v>10.28</v>
      </c>
      <c r="D93" s="100">
        <v>19.420000000000002</v>
      </c>
      <c r="E93" s="100">
        <v>4.37</v>
      </c>
      <c r="F93" s="100">
        <v>2.2400000000000002</v>
      </c>
      <c r="G93" s="100">
        <v>77.84</v>
      </c>
      <c r="H93" s="100">
        <v>22.44</v>
      </c>
      <c r="I93" s="100">
        <v>9.11</v>
      </c>
      <c r="J93" s="100">
        <v>0.18</v>
      </c>
      <c r="K93" s="100">
        <v>45.24</v>
      </c>
      <c r="L93" s="100">
        <v>6.89</v>
      </c>
      <c r="M93" s="100">
        <v>-1</v>
      </c>
      <c r="N93" s="100">
        <v>2.1</v>
      </c>
      <c r="O93" s="100">
        <v>0</v>
      </c>
      <c r="P93" s="100">
        <v>0.53</v>
      </c>
      <c r="Q93" s="100">
        <v>10.81</v>
      </c>
      <c r="R93" s="6"/>
      <c r="S93" s="6"/>
      <c r="T93" s="156"/>
      <c r="U93" s="6"/>
    </row>
    <row r="94" spans="1:21" customFormat="1">
      <c r="A94" s="201" t="s">
        <v>2630</v>
      </c>
      <c r="B94" s="100">
        <v>9.49</v>
      </c>
      <c r="C94" s="100">
        <v>9.5</v>
      </c>
      <c r="D94" s="100">
        <v>18.989999999999998</v>
      </c>
      <c r="E94" s="100">
        <v>4.68</v>
      </c>
      <c r="F94" s="100">
        <v>2.4700000000000002</v>
      </c>
      <c r="G94" s="100">
        <v>87.81</v>
      </c>
      <c r="H94" s="100">
        <v>26.03</v>
      </c>
      <c r="I94" s="100">
        <v>9.09</v>
      </c>
      <c r="J94" s="100">
        <v>0.25</v>
      </c>
      <c r="K94" s="100">
        <v>50.15</v>
      </c>
      <c r="L94" s="100">
        <v>8</v>
      </c>
      <c r="M94" s="100">
        <v>1.87</v>
      </c>
      <c r="N94" s="100">
        <v>2.2000000000000002</v>
      </c>
      <c r="O94" s="100">
        <v>0</v>
      </c>
      <c r="P94" s="100">
        <v>0.56000000000000005</v>
      </c>
      <c r="Q94" s="100">
        <v>10.32</v>
      </c>
      <c r="R94" s="6"/>
      <c r="S94" s="6"/>
      <c r="T94" s="156"/>
      <c r="U94" s="6"/>
    </row>
    <row r="95" spans="1:21" customFormat="1">
      <c r="A95" s="201" t="s">
        <v>2631</v>
      </c>
      <c r="B95" s="100">
        <v>9.25</v>
      </c>
      <c r="C95" s="100">
        <v>9.27</v>
      </c>
      <c r="D95" s="100">
        <v>18.510000000000002</v>
      </c>
      <c r="E95" s="100">
        <v>4.3</v>
      </c>
      <c r="F95" s="100">
        <v>4.91</v>
      </c>
      <c r="G95" s="100">
        <v>95.09</v>
      </c>
      <c r="H95" s="100">
        <v>27.16</v>
      </c>
      <c r="I95" s="100">
        <v>9.07</v>
      </c>
      <c r="J95" s="100">
        <v>0.48</v>
      </c>
      <c r="K95" s="100">
        <v>27.09</v>
      </c>
      <c r="L95" s="100">
        <v>9.39</v>
      </c>
      <c r="M95" s="100">
        <v>5.22</v>
      </c>
      <c r="N95" s="100">
        <v>2.2999999999999998</v>
      </c>
      <c r="O95" s="100">
        <v>0</v>
      </c>
      <c r="P95" s="100">
        <v>0.52</v>
      </c>
      <c r="Q95" s="100">
        <v>14.09</v>
      </c>
      <c r="R95" s="6"/>
      <c r="S95" s="6"/>
      <c r="T95" s="156"/>
      <c r="U95" s="6"/>
    </row>
    <row r="96" spans="1:21" customFormat="1">
      <c r="A96" s="201" t="s">
        <v>2632</v>
      </c>
      <c r="B96" s="100">
        <v>8.3699999999999992</v>
      </c>
      <c r="C96" s="100">
        <v>8.6300000000000008</v>
      </c>
      <c r="D96" s="100">
        <v>17</v>
      </c>
      <c r="E96" s="100">
        <v>4.49</v>
      </c>
      <c r="F96" s="100">
        <v>8.0299999999999994</v>
      </c>
      <c r="G96" s="100">
        <v>95.09</v>
      </c>
      <c r="H96" s="100">
        <v>27.16</v>
      </c>
      <c r="I96" s="100">
        <v>8.7799999999999994</v>
      </c>
      <c r="J96" s="100">
        <v>0.28999999999999998</v>
      </c>
      <c r="K96" s="100">
        <v>11.98</v>
      </c>
      <c r="L96" s="100">
        <v>12.11</v>
      </c>
      <c r="M96" s="100">
        <v>11.93</v>
      </c>
      <c r="N96" s="100">
        <v>2.5</v>
      </c>
      <c r="O96" s="100">
        <v>0</v>
      </c>
      <c r="P96" s="100">
        <v>0.48</v>
      </c>
      <c r="Q96" s="100">
        <v>10.62</v>
      </c>
      <c r="R96" s="6"/>
      <c r="S96" s="6"/>
      <c r="T96" s="156"/>
      <c r="U96" s="6"/>
    </row>
    <row r="97" spans="1:28" customFormat="1">
      <c r="A97" s="201" t="s">
        <v>2633</v>
      </c>
      <c r="B97" s="100">
        <v>8.6</v>
      </c>
      <c r="C97" s="100">
        <v>8.06</v>
      </c>
      <c r="D97" s="100">
        <v>16.649999999999999</v>
      </c>
      <c r="E97" s="100">
        <v>4.47</v>
      </c>
      <c r="F97" s="100">
        <v>3.39</v>
      </c>
      <c r="G97" s="100">
        <v>95.09</v>
      </c>
      <c r="H97" s="100">
        <v>27.16</v>
      </c>
      <c r="I97" s="100">
        <v>8.42</v>
      </c>
      <c r="J97" s="100">
        <v>0.34</v>
      </c>
      <c r="K97" s="100">
        <v>20.62</v>
      </c>
      <c r="L97" s="100">
        <v>10.69</v>
      </c>
      <c r="M97" s="100">
        <v>7.69</v>
      </c>
      <c r="N97" s="100">
        <v>2.4</v>
      </c>
      <c r="O97" s="100">
        <v>0</v>
      </c>
      <c r="P97" s="100">
        <v>0.49</v>
      </c>
      <c r="Q97" s="100">
        <v>10.86</v>
      </c>
      <c r="R97" s="6"/>
      <c r="S97" s="6"/>
      <c r="T97" s="156"/>
      <c r="U97" s="6"/>
    </row>
    <row r="98" spans="1:28" customFormat="1">
      <c r="A98" s="201" t="s">
        <v>2634</v>
      </c>
      <c r="B98" s="100">
        <v>9.08</v>
      </c>
      <c r="C98" s="100">
        <v>8.27</v>
      </c>
      <c r="D98" s="100">
        <v>17.350000000000001</v>
      </c>
      <c r="E98" s="100">
        <v>4.67</v>
      </c>
      <c r="F98" s="100">
        <v>4.8499999999999996</v>
      </c>
      <c r="G98" s="100">
        <v>86.9</v>
      </c>
      <c r="H98" s="100">
        <v>27.68</v>
      </c>
      <c r="I98" s="100">
        <v>8.08</v>
      </c>
      <c r="J98" s="100">
        <v>0.24</v>
      </c>
      <c r="K98" s="100">
        <v>20.95</v>
      </c>
      <c r="L98" s="100">
        <v>11.11</v>
      </c>
      <c r="M98" s="100">
        <v>9.5399999999999991</v>
      </c>
      <c r="N98" s="100">
        <v>2.4</v>
      </c>
      <c r="O98" s="100">
        <v>0</v>
      </c>
      <c r="P98" s="100">
        <v>0.51</v>
      </c>
      <c r="Q98" s="100">
        <v>12.24</v>
      </c>
      <c r="R98" s="6"/>
      <c r="S98" s="6"/>
      <c r="T98" s="156"/>
      <c r="U98" s="6"/>
    </row>
    <row r="99" spans="1:28" customFormat="1">
      <c r="A99" s="201" t="s">
        <v>2635</v>
      </c>
      <c r="B99" s="100">
        <v>9.4600000000000009</v>
      </c>
      <c r="C99" s="100">
        <v>9.07</v>
      </c>
      <c r="D99" s="100">
        <v>18.53</v>
      </c>
      <c r="E99" s="100">
        <v>4.58</v>
      </c>
      <c r="F99" s="100">
        <v>3.97</v>
      </c>
      <c r="G99" s="100">
        <v>80.64</v>
      </c>
      <c r="H99" s="100">
        <v>27.84</v>
      </c>
      <c r="I99" s="100">
        <v>8.11</v>
      </c>
      <c r="J99" s="100">
        <v>0.2</v>
      </c>
      <c r="K99" s="100">
        <v>28.99</v>
      </c>
      <c r="L99" s="100">
        <v>9.3800000000000008</v>
      </c>
      <c r="M99" s="100">
        <v>5.24</v>
      </c>
      <c r="N99" s="100">
        <v>2.4</v>
      </c>
      <c r="O99" s="100">
        <v>0</v>
      </c>
      <c r="P99" s="100">
        <v>0.47</v>
      </c>
      <c r="Q99" s="100">
        <v>11.7</v>
      </c>
      <c r="R99" s="6"/>
      <c r="S99" s="6"/>
      <c r="T99" s="156"/>
      <c r="U99" s="6"/>
    </row>
    <row r="100" spans="1:28" customFormat="1">
      <c r="A100" s="201" t="s">
        <v>2636</v>
      </c>
      <c r="B100" s="100">
        <v>9.66</v>
      </c>
      <c r="C100" s="100">
        <v>8.6300000000000008</v>
      </c>
      <c r="D100" s="100">
        <v>18.29</v>
      </c>
      <c r="E100" s="100">
        <v>4.58</v>
      </c>
      <c r="F100" s="100">
        <v>2.84</v>
      </c>
      <c r="G100" s="100">
        <v>80.64</v>
      </c>
      <c r="H100" s="100">
        <v>27.84</v>
      </c>
      <c r="I100" s="100">
        <v>7.96</v>
      </c>
      <c r="J100" s="100">
        <v>0.2</v>
      </c>
      <c r="K100" s="100">
        <v>28.64</v>
      </c>
      <c r="L100" s="100">
        <v>9.61</v>
      </c>
      <c r="M100" s="100">
        <v>5.8</v>
      </c>
      <c r="N100" s="100">
        <v>2.4</v>
      </c>
      <c r="O100" s="100">
        <v>0</v>
      </c>
      <c r="P100" s="100">
        <v>0.47</v>
      </c>
      <c r="Q100" s="100">
        <v>10.66</v>
      </c>
      <c r="R100" s="6"/>
      <c r="S100" s="6"/>
      <c r="T100" s="156"/>
      <c r="U100" s="6"/>
      <c r="AB100" s="161"/>
    </row>
    <row r="101" spans="1:28" customFormat="1">
      <c r="A101" s="201" t="s">
        <v>2637</v>
      </c>
      <c r="B101" s="100">
        <v>9.9600000000000009</v>
      </c>
      <c r="C101" s="100">
        <v>7.85</v>
      </c>
      <c r="D101" s="100">
        <v>17.809999999999999</v>
      </c>
      <c r="E101" s="100">
        <v>4.97</v>
      </c>
      <c r="F101" s="100">
        <v>2.0699999999999998</v>
      </c>
      <c r="G101" s="100">
        <v>80.64</v>
      </c>
      <c r="H101" s="100">
        <v>27.84</v>
      </c>
      <c r="I101" s="100">
        <v>7.77</v>
      </c>
      <c r="J101" s="100">
        <v>0.19</v>
      </c>
      <c r="K101" s="100">
        <v>38.76</v>
      </c>
      <c r="L101" s="100">
        <v>9.32</v>
      </c>
      <c r="M101" s="100">
        <v>5.0999999999999996</v>
      </c>
      <c r="N101" s="100">
        <v>2.2999999999999998</v>
      </c>
      <c r="O101" s="100">
        <v>0</v>
      </c>
      <c r="P101" s="100">
        <v>0.5</v>
      </c>
      <c r="Q101" s="100">
        <v>12.41</v>
      </c>
      <c r="R101" s="6"/>
      <c r="S101" s="6"/>
      <c r="T101" s="156"/>
      <c r="U101" s="6"/>
    </row>
    <row r="102" spans="1:28" customFormat="1">
      <c r="A102" s="201" t="s">
        <v>2638</v>
      </c>
      <c r="B102" s="100">
        <v>10.37</v>
      </c>
      <c r="C102" s="100">
        <v>9.01</v>
      </c>
      <c r="D102" s="100">
        <v>19.38</v>
      </c>
      <c r="E102" s="100">
        <v>4.72</v>
      </c>
      <c r="F102" s="100">
        <v>3.56</v>
      </c>
      <c r="G102" s="100">
        <v>76.760000000000005</v>
      </c>
      <c r="H102" s="100">
        <v>27.02</v>
      </c>
      <c r="I102" s="100">
        <v>8.0399999999999991</v>
      </c>
      <c r="J102" s="100">
        <v>0.23</v>
      </c>
      <c r="K102" s="100">
        <v>37.700000000000003</v>
      </c>
      <c r="L102" s="100">
        <v>7.69</v>
      </c>
      <c r="M102" s="100">
        <v>1</v>
      </c>
      <c r="N102" s="100">
        <v>2.2000000000000002</v>
      </c>
      <c r="O102" s="100">
        <v>0</v>
      </c>
      <c r="P102" s="100">
        <v>0.46</v>
      </c>
      <c r="Q102" s="100">
        <v>10.23</v>
      </c>
      <c r="R102" s="6"/>
      <c r="S102" s="6"/>
      <c r="T102" s="156"/>
      <c r="U102" s="6"/>
    </row>
    <row r="103" spans="1:28" customFormat="1">
      <c r="A103" s="201" t="s">
        <v>2639</v>
      </c>
      <c r="B103" s="100">
        <v>10.06</v>
      </c>
      <c r="C103" s="100">
        <v>8.32</v>
      </c>
      <c r="D103" s="100">
        <v>18.39</v>
      </c>
      <c r="E103" s="100">
        <v>5.35</v>
      </c>
      <c r="F103" s="100">
        <v>2.69</v>
      </c>
      <c r="G103" s="100">
        <v>73.92</v>
      </c>
      <c r="H103" s="100">
        <v>26.53</v>
      </c>
      <c r="I103" s="100">
        <v>7.97</v>
      </c>
      <c r="J103" s="100">
        <v>0.2</v>
      </c>
      <c r="K103" s="100">
        <v>45.94</v>
      </c>
      <c r="L103" s="100">
        <v>7.81</v>
      </c>
      <c r="M103" s="100">
        <v>1.3</v>
      </c>
      <c r="N103" s="100">
        <v>2.2999999999999998</v>
      </c>
      <c r="O103" s="100">
        <v>0</v>
      </c>
      <c r="P103" s="100">
        <v>0.47</v>
      </c>
      <c r="Q103" s="100">
        <v>11.86</v>
      </c>
      <c r="R103" s="6"/>
      <c r="S103" s="6"/>
      <c r="T103" s="156"/>
      <c r="U103" s="6"/>
    </row>
    <row r="104" spans="1:28" customFormat="1">
      <c r="A104" s="201" t="s">
        <v>2640</v>
      </c>
      <c r="B104" s="100">
        <v>10.34</v>
      </c>
      <c r="C104" s="100">
        <v>7.66</v>
      </c>
      <c r="D104" s="100">
        <v>18</v>
      </c>
      <c r="E104" s="100">
        <v>4.91</v>
      </c>
      <c r="F104" s="100">
        <v>2.08</v>
      </c>
      <c r="G104" s="100">
        <v>73.92</v>
      </c>
      <c r="H104" s="100">
        <v>26.53</v>
      </c>
      <c r="I104" s="100">
        <v>7.56</v>
      </c>
      <c r="J104" s="100">
        <v>0.28999999999999998</v>
      </c>
      <c r="K104" s="100">
        <v>34.270000000000003</v>
      </c>
      <c r="L104" s="100">
        <v>7.07</v>
      </c>
      <c r="M104" s="100">
        <v>-0.51</v>
      </c>
      <c r="N104" s="100">
        <v>2.2000000000000002</v>
      </c>
      <c r="O104" s="100">
        <v>0</v>
      </c>
      <c r="P104" s="100">
        <v>0.5</v>
      </c>
      <c r="Q104" s="100">
        <v>10.4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3.65</v>
      </c>
      <c r="C106" s="158">
        <f>MIN(C9:C104)</f>
        <v>5.92</v>
      </c>
      <c r="D106" s="158">
        <f t="shared" ref="D106:Q106" si="0">MIN(D9:D104)</f>
        <v>11.49</v>
      </c>
      <c r="E106" s="158">
        <f t="shared" si="0"/>
        <v>3.7</v>
      </c>
      <c r="F106" s="158">
        <f t="shared" si="0"/>
        <v>2</v>
      </c>
      <c r="G106" s="158">
        <f t="shared" si="0"/>
        <v>16.61</v>
      </c>
      <c r="H106" s="158">
        <f t="shared" si="0"/>
        <v>5.32</v>
      </c>
      <c r="I106" s="158">
        <f t="shared" si="0"/>
        <v>5.23</v>
      </c>
      <c r="J106" s="158">
        <f t="shared" si="0"/>
        <v>0.05</v>
      </c>
      <c r="K106" s="158">
        <f t="shared" si="0"/>
        <v>11.98</v>
      </c>
      <c r="L106" s="158">
        <f t="shared" si="0"/>
        <v>6.63</v>
      </c>
      <c r="M106" s="158">
        <f t="shared" si="0"/>
        <v>-2.81</v>
      </c>
      <c r="N106" s="158">
        <f t="shared" si="0"/>
        <v>2.1</v>
      </c>
      <c r="O106" s="158">
        <f t="shared" si="0"/>
        <v>0</v>
      </c>
      <c r="P106" s="158">
        <f t="shared" si="0"/>
        <v>0.27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13.53</v>
      </c>
      <c r="C107" s="157">
        <f t="shared" ref="C107:Q107" si="1">MAX(C9:C104)</f>
        <v>10.64</v>
      </c>
      <c r="D107" s="157">
        <f t="shared" si="1"/>
        <v>21.73</v>
      </c>
      <c r="E107" s="157">
        <f t="shared" si="1"/>
        <v>6.78</v>
      </c>
      <c r="F107" s="157">
        <f t="shared" si="1"/>
        <v>11.09</v>
      </c>
      <c r="G107" s="157">
        <f t="shared" si="1"/>
        <v>95.09</v>
      </c>
      <c r="H107" s="157">
        <f t="shared" si="1"/>
        <v>28.13</v>
      </c>
      <c r="I107" s="157">
        <f t="shared" si="1"/>
        <v>9.44</v>
      </c>
      <c r="J107" s="157">
        <f t="shared" si="1"/>
        <v>0.75</v>
      </c>
      <c r="K107" s="157">
        <f t="shared" si="1"/>
        <v>330.93</v>
      </c>
      <c r="L107" s="157">
        <f t="shared" si="1"/>
        <v>21.57</v>
      </c>
      <c r="M107" s="157">
        <f t="shared" si="1"/>
        <v>35.76</v>
      </c>
      <c r="N107" s="157">
        <f t="shared" si="1"/>
        <v>637.9</v>
      </c>
      <c r="O107" s="157">
        <f t="shared" si="1"/>
        <v>0.4</v>
      </c>
      <c r="P107" s="157">
        <f t="shared" si="1"/>
        <v>0.57999999999999996</v>
      </c>
      <c r="Q107" s="157">
        <f t="shared" si="1"/>
        <v>18.63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7.8764583333333356</v>
      </c>
      <c r="C108" s="158">
        <f t="shared" ref="C108:Q108" si="2">AVERAGE(C9:C104)</f>
        <v>7.7586458333333299</v>
      </c>
      <c r="D108" s="158">
        <f t="shared" si="2"/>
        <v>15.634687500000005</v>
      </c>
      <c r="E108" s="158">
        <f t="shared" si="2"/>
        <v>5.2483333333333357</v>
      </c>
      <c r="F108" s="158">
        <f t="shared" si="2"/>
        <v>3.7869791666666672</v>
      </c>
      <c r="G108" s="158">
        <f t="shared" si="2"/>
        <v>45.464479166666678</v>
      </c>
      <c r="H108" s="158">
        <f t="shared" si="2"/>
        <v>16.958229166666676</v>
      </c>
      <c r="I108" s="158">
        <f t="shared" si="2"/>
        <v>6.6959375000000021</v>
      </c>
      <c r="J108" s="158">
        <f t="shared" si="2"/>
        <v>0.35562500000000014</v>
      </c>
      <c r="K108" s="158">
        <f t="shared" si="2"/>
        <v>52.633749999999985</v>
      </c>
      <c r="L108" s="158">
        <f t="shared" si="2"/>
        <v>10.538750000000002</v>
      </c>
      <c r="M108" s="158">
        <f t="shared" si="2"/>
        <v>5.9160416666666675</v>
      </c>
      <c r="N108" s="158">
        <f t="shared" si="2"/>
        <v>97.529166666666626</v>
      </c>
      <c r="O108" s="158">
        <f t="shared" si="2"/>
        <v>1.4583333333333332E-2</v>
      </c>
      <c r="P108" s="158">
        <f t="shared" si="2"/>
        <v>0.38645833333333313</v>
      </c>
      <c r="Q108" s="158">
        <f t="shared" si="2"/>
        <v>10.848958333333334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2.7567433033111457</v>
      </c>
      <c r="C109" s="158">
        <f t="shared" ref="C109:Q109" si="3">STDEV(C9:C104)</f>
        <v>0.99479764648705382</v>
      </c>
      <c r="D109" s="158">
        <f t="shared" si="3"/>
        <v>3.1260356441800314</v>
      </c>
      <c r="E109" s="158">
        <f t="shared" si="3"/>
        <v>0.62197083476496828</v>
      </c>
      <c r="F109" s="158">
        <f t="shared" si="3"/>
        <v>2.4219501145680384</v>
      </c>
      <c r="G109" s="158">
        <f t="shared" si="3"/>
        <v>20.362650477349909</v>
      </c>
      <c r="H109" s="158">
        <f t="shared" si="3"/>
        <v>7.0601353788707275</v>
      </c>
      <c r="I109" s="158">
        <f t="shared" si="3"/>
        <v>1.0589166043650371</v>
      </c>
      <c r="J109" s="158">
        <f t="shared" si="3"/>
        <v>0.1871774418482153</v>
      </c>
      <c r="K109" s="158">
        <f t="shared" si="3"/>
        <v>42.19303759601754</v>
      </c>
      <c r="L109" s="158">
        <f t="shared" si="3"/>
        <v>2.9771516765631989</v>
      </c>
      <c r="M109" s="158">
        <f t="shared" si="3"/>
        <v>6.3151772870337277</v>
      </c>
      <c r="N109" s="158">
        <f t="shared" si="3"/>
        <v>150.14913773113548</v>
      </c>
      <c r="O109" s="158">
        <f t="shared" si="3"/>
        <v>6.6458006791256297E-2</v>
      </c>
      <c r="P109" s="158">
        <f t="shared" si="3"/>
        <v>7.828395233368475E-2</v>
      </c>
      <c r="Q109" s="158">
        <f t="shared" si="3"/>
        <v>1.4382090318511467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G14" sqref="G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2641</v>
      </c>
      <c r="B9" s="100">
        <v>12.69</v>
      </c>
      <c r="C9" s="100">
        <v>9.73</v>
      </c>
      <c r="D9" s="100">
        <v>22.42</v>
      </c>
      <c r="E9" s="100">
        <v>5.0199999999999996</v>
      </c>
      <c r="F9" s="100">
        <v>2.46</v>
      </c>
      <c r="G9" s="100">
        <v>73.92</v>
      </c>
      <c r="H9" s="100">
        <v>26.53</v>
      </c>
      <c r="I9" s="100">
        <v>7.7</v>
      </c>
      <c r="J9" s="100">
        <v>0.26</v>
      </c>
      <c r="K9" s="100">
        <v>33.32</v>
      </c>
      <c r="L9" s="100">
        <v>9.06</v>
      </c>
      <c r="M9" s="100">
        <v>4.3600000000000003</v>
      </c>
      <c r="N9" s="100">
        <v>2.2999999999999998</v>
      </c>
      <c r="O9" s="100">
        <v>0</v>
      </c>
      <c r="P9" s="100">
        <v>0.47</v>
      </c>
      <c r="Q9" s="100">
        <v>10.050000000000001</v>
      </c>
      <c r="R9" s="6"/>
      <c r="S9" s="6"/>
      <c r="T9" s="156"/>
      <c r="U9" s="6"/>
    </row>
    <row r="10" spans="1:21" customFormat="1">
      <c r="A10" s="201" t="s">
        <v>2642</v>
      </c>
      <c r="B10" s="100">
        <v>12.48</v>
      </c>
      <c r="C10" s="100">
        <v>8.8800000000000008</v>
      </c>
      <c r="D10" s="100">
        <v>21.36</v>
      </c>
      <c r="E10" s="100">
        <v>4.5</v>
      </c>
      <c r="F10" s="100">
        <v>2.2400000000000002</v>
      </c>
      <c r="G10" s="100">
        <v>73.53</v>
      </c>
      <c r="H10" s="100">
        <v>26.93</v>
      </c>
      <c r="I10" s="100">
        <v>7.96</v>
      </c>
      <c r="J10" s="100">
        <v>0.19</v>
      </c>
      <c r="K10" s="100">
        <v>30.01</v>
      </c>
      <c r="L10" s="100">
        <v>9.4600000000000009</v>
      </c>
      <c r="M10" s="100">
        <v>5.48</v>
      </c>
      <c r="N10" s="100">
        <v>2.4</v>
      </c>
      <c r="O10" s="100">
        <v>0</v>
      </c>
      <c r="P10" s="100">
        <v>0.45</v>
      </c>
      <c r="Q10" s="100">
        <v>11.29</v>
      </c>
      <c r="R10" s="6"/>
      <c r="S10" s="6"/>
      <c r="T10" s="156"/>
      <c r="U10" s="6"/>
    </row>
    <row r="11" spans="1:21" customFormat="1">
      <c r="A11" s="201" t="s">
        <v>2643</v>
      </c>
      <c r="B11" s="100">
        <v>11.52</v>
      </c>
      <c r="C11" s="100">
        <v>7.51</v>
      </c>
      <c r="D11" s="100">
        <v>19.03</v>
      </c>
      <c r="E11" s="100">
        <v>4.8499999999999996</v>
      </c>
      <c r="F11" s="100">
        <v>2.2200000000000002</v>
      </c>
      <c r="G11" s="100">
        <v>73.23</v>
      </c>
      <c r="H11" s="100">
        <v>27.06</v>
      </c>
      <c r="I11" s="100">
        <v>7.65</v>
      </c>
      <c r="J11" s="100">
        <v>0.15</v>
      </c>
      <c r="K11" s="100">
        <v>22.17</v>
      </c>
      <c r="L11" s="100">
        <v>11.57</v>
      </c>
      <c r="M11" s="100">
        <v>10.69</v>
      </c>
      <c r="N11" s="100">
        <v>2.1</v>
      </c>
      <c r="O11" s="100">
        <v>0</v>
      </c>
      <c r="P11" s="100">
        <v>0.48</v>
      </c>
      <c r="Q11" s="100">
        <v>9.84</v>
      </c>
      <c r="R11" s="6"/>
      <c r="S11" s="6"/>
      <c r="T11" s="156"/>
      <c r="U11" s="6"/>
    </row>
    <row r="12" spans="1:21" customFormat="1">
      <c r="A12" s="201" t="s">
        <v>2644</v>
      </c>
      <c r="B12" s="100">
        <v>11.25</v>
      </c>
      <c r="C12" s="100">
        <v>7.61</v>
      </c>
      <c r="D12" s="100">
        <v>18.86</v>
      </c>
      <c r="E12" s="100">
        <v>4.91</v>
      </c>
      <c r="F12" s="100">
        <v>2</v>
      </c>
      <c r="G12" s="100">
        <v>73.23</v>
      </c>
      <c r="H12" s="100">
        <v>27.06</v>
      </c>
      <c r="I12" s="100">
        <v>7.66</v>
      </c>
      <c r="J12" s="100">
        <v>0.14000000000000001</v>
      </c>
      <c r="K12" s="100">
        <v>8.08</v>
      </c>
      <c r="L12" s="100">
        <v>13.47</v>
      </c>
      <c r="M12" s="100">
        <v>15.39</v>
      </c>
      <c r="N12" s="100">
        <v>2.1</v>
      </c>
      <c r="O12" s="100">
        <v>0</v>
      </c>
      <c r="P12" s="100">
        <v>0.46</v>
      </c>
      <c r="Q12" s="100">
        <v>9.6999999999999993</v>
      </c>
      <c r="R12" s="6"/>
      <c r="S12" s="6"/>
      <c r="T12" s="156"/>
      <c r="U12" s="6"/>
    </row>
    <row r="13" spans="1:21" customFormat="1">
      <c r="A13" s="201" t="s">
        <v>2645</v>
      </c>
      <c r="B13" s="100">
        <v>11.47</v>
      </c>
      <c r="C13" s="100">
        <v>7.35</v>
      </c>
      <c r="D13" s="100">
        <v>18.82</v>
      </c>
      <c r="E13" s="100">
        <v>4.9800000000000004</v>
      </c>
      <c r="F13" s="100">
        <v>2.02</v>
      </c>
      <c r="G13" s="100">
        <v>73.23</v>
      </c>
      <c r="H13" s="100">
        <v>27.06</v>
      </c>
      <c r="I13" s="100">
        <v>7.79</v>
      </c>
      <c r="J13" s="100">
        <v>0.25</v>
      </c>
      <c r="K13" s="100">
        <v>32.79</v>
      </c>
      <c r="L13" s="100">
        <v>7.32</v>
      </c>
      <c r="M13" s="100">
        <v>0.01</v>
      </c>
      <c r="N13" s="100">
        <v>2.1</v>
      </c>
      <c r="O13" s="100">
        <v>0</v>
      </c>
      <c r="P13" s="100">
        <v>0.48</v>
      </c>
      <c r="Q13" s="100">
        <v>9.6</v>
      </c>
      <c r="R13" s="6"/>
      <c r="S13" s="6"/>
      <c r="T13" s="156"/>
      <c r="U13" s="6"/>
    </row>
    <row r="14" spans="1:21" customFormat="1">
      <c r="A14" s="201" t="s">
        <v>2646</v>
      </c>
      <c r="B14" s="100">
        <v>11.72</v>
      </c>
      <c r="C14" s="100">
        <v>7.65</v>
      </c>
      <c r="D14" s="100">
        <v>19.36</v>
      </c>
      <c r="E14" s="100">
        <v>4.8499999999999996</v>
      </c>
      <c r="F14" s="100">
        <v>2</v>
      </c>
      <c r="G14" s="100">
        <v>73.36</v>
      </c>
      <c r="H14" s="100">
        <v>24.74</v>
      </c>
      <c r="I14" s="100">
        <v>7.5</v>
      </c>
      <c r="J14" s="100">
        <v>0.27</v>
      </c>
      <c r="K14" s="100">
        <v>22.34</v>
      </c>
      <c r="L14" s="100">
        <v>8.65</v>
      </c>
      <c r="M14" s="100">
        <v>3.35</v>
      </c>
      <c r="N14" s="100">
        <v>2.1</v>
      </c>
      <c r="O14" s="100">
        <v>0</v>
      </c>
      <c r="P14" s="100">
        <v>0.48</v>
      </c>
      <c r="Q14" s="100">
        <v>10</v>
      </c>
      <c r="R14" s="6"/>
      <c r="S14" s="6"/>
      <c r="T14" s="156"/>
      <c r="U14" s="6"/>
    </row>
    <row r="15" spans="1:21" customFormat="1">
      <c r="A15" s="201" t="s">
        <v>2647</v>
      </c>
      <c r="B15" s="100">
        <v>11.49</v>
      </c>
      <c r="C15" s="100">
        <v>7.48</v>
      </c>
      <c r="D15" s="100">
        <v>18.96</v>
      </c>
      <c r="E15" s="100">
        <v>4.88</v>
      </c>
      <c r="F15" s="100">
        <v>2.09</v>
      </c>
      <c r="G15" s="100">
        <v>73.459999999999994</v>
      </c>
      <c r="H15" s="100">
        <v>24</v>
      </c>
      <c r="I15" s="100">
        <v>7.55</v>
      </c>
      <c r="J15" s="100">
        <v>0.36</v>
      </c>
      <c r="K15" s="100">
        <v>30.12</v>
      </c>
      <c r="L15" s="100">
        <v>8.92</v>
      </c>
      <c r="M15" s="100">
        <v>4.04</v>
      </c>
      <c r="N15" s="100">
        <v>2.2000000000000002</v>
      </c>
      <c r="O15" s="100">
        <v>0</v>
      </c>
      <c r="P15" s="100">
        <v>0.49</v>
      </c>
      <c r="Q15" s="100">
        <v>20.170000000000002</v>
      </c>
      <c r="R15" s="6"/>
      <c r="S15" s="6"/>
      <c r="T15" s="156"/>
      <c r="U15" s="6"/>
    </row>
    <row r="16" spans="1:21" customFormat="1">
      <c r="A16" s="201" t="s">
        <v>2648</v>
      </c>
      <c r="B16" s="100">
        <v>11.13</v>
      </c>
      <c r="C16" s="100">
        <v>7.4</v>
      </c>
      <c r="D16" s="100">
        <v>18.53</v>
      </c>
      <c r="E16" s="100">
        <v>4.95</v>
      </c>
      <c r="F16" s="100">
        <v>2.12</v>
      </c>
      <c r="G16" s="100">
        <v>73.459999999999994</v>
      </c>
      <c r="H16" s="100">
        <v>24</v>
      </c>
      <c r="I16" s="100">
        <v>7.32</v>
      </c>
      <c r="J16" s="100">
        <v>0.33</v>
      </c>
      <c r="K16" s="100">
        <v>21.05</v>
      </c>
      <c r="L16" s="100">
        <v>8.89</v>
      </c>
      <c r="M16" s="100">
        <v>3.92</v>
      </c>
      <c r="N16" s="100">
        <v>2.2999999999999998</v>
      </c>
      <c r="O16" s="100">
        <v>0</v>
      </c>
      <c r="P16" s="100">
        <v>0.47</v>
      </c>
      <c r="Q16" s="100">
        <v>16.32</v>
      </c>
      <c r="R16" s="6"/>
      <c r="S16" s="6"/>
      <c r="T16" s="156"/>
      <c r="U16" s="6"/>
    </row>
    <row r="17" spans="1:21" customFormat="1">
      <c r="A17" s="201" t="s">
        <v>2649</v>
      </c>
      <c r="B17" s="100">
        <v>10.93</v>
      </c>
      <c r="C17" s="100">
        <v>7.39</v>
      </c>
      <c r="D17" s="100">
        <v>18.309999999999999</v>
      </c>
      <c r="E17" s="100">
        <v>5.12</v>
      </c>
      <c r="F17" s="100">
        <v>2</v>
      </c>
      <c r="G17" s="100">
        <v>73.459999999999994</v>
      </c>
      <c r="H17" s="100">
        <v>24</v>
      </c>
      <c r="I17" s="100">
        <v>7.2</v>
      </c>
      <c r="J17" s="100">
        <v>0.28999999999999998</v>
      </c>
      <c r="K17" s="100">
        <v>27.06</v>
      </c>
      <c r="L17" s="100">
        <v>9.61</v>
      </c>
      <c r="M17" s="100">
        <v>5.73</v>
      </c>
      <c r="N17" s="100">
        <v>2.2999999999999998</v>
      </c>
      <c r="O17" s="100">
        <v>0</v>
      </c>
      <c r="P17" s="100">
        <v>0.46</v>
      </c>
      <c r="Q17" s="100">
        <v>12.75</v>
      </c>
      <c r="R17" s="6"/>
      <c r="S17" s="6"/>
      <c r="T17" s="156"/>
      <c r="U17" s="6"/>
    </row>
    <row r="18" spans="1:21" customFormat="1">
      <c r="A18" s="201" t="s">
        <v>2650</v>
      </c>
      <c r="B18" s="100">
        <v>10.62</v>
      </c>
      <c r="C18" s="100">
        <v>7.32</v>
      </c>
      <c r="D18" s="100">
        <v>17.940000000000001</v>
      </c>
      <c r="E18" s="100">
        <v>5.97</v>
      </c>
      <c r="F18" s="100">
        <v>2</v>
      </c>
      <c r="G18" s="100">
        <v>71.92</v>
      </c>
      <c r="H18" s="100">
        <v>22.14</v>
      </c>
      <c r="I18" s="100">
        <v>7.01</v>
      </c>
      <c r="J18" s="100">
        <v>0.21</v>
      </c>
      <c r="K18" s="100">
        <v>2.92</v>
      </c>
      <c r="L18" s="100">
        <v>15.77</v>
      </c>
      <c r="M18" s="100">
        <v>21.08</v>
      </c>
      <c r="N18" s="100">
        <v>2.2000000000000002</v>
      </c>
      <c r="O18" s="100">
        <v>0</v>
      </c>
      <c r="P18" s="100">
        <v>0.45</v>
      </c>
      <c r="Q18" s="100">
        <v>12.07</v>
      </c>
      <c r="R18" s="6"/>
      <c r="S18" s="6"/>
      <c r="T18" s="156"/>
      <c r="U18" s="6"/>
    </row>
    <row r="19" spans="1:21" customFormat="1">
      <c r="A19" s="201" t="s">
        <v>2651</v>
      </c>
      <c r="B19" s="100">
        <v>10.55</v>
      </c>
      <c r="C19" s="100">
        <v>7.32</v>
      </c>
      <c r="D19" s="100">
        <v>17.87</v>
      </c>
      <c r="E19" s="100">
        <v>6.52</v>
      </c>
      <c r="F19" s="100">
        <v>2</v>
      </c>
      <c r="G19" s="100">
        <v>70.75</v>
      </c>
      <c r="H19" s="100">
        <v>21.55</v>
      </c>
      <c r="I19" s="100">
        <v>6.96</v>
      </c>
      <c r="J19" s="100">
        <v>0.19</v>
      </c>
      <c r="K19" s="100">
        <v>8.0299999999999994</v>
      </c>
      <c r="L19" s="100">
        <v>13.94</v>
      </c>
      <c r="M19" s="100">
        <v>16.54</v>
      </c>
      <c r="N19" s="100">
        <v>2.1</v>
      </c>
      <c r="O19" s="100">
        <v>0</v>
      </c>
      <c r="P19" s="100">
        <v>0.44</v>
      </c>
      <c r="Q19" s="100">
        <v>12.12</v>
      </c>
      <c r="R19" s="6"/>
      <c r="S19" s="6"/>
      <c r="T19" s="156"/>
      <c r="U19" s="6"/>
    </row>
    <row r="20" spans="1:21" customFormat="1">
      <c r="A20" s="201" t="s">
        <v>2652</v>
      </c>
      <c r="B20" s="100">
        <v>10.5</v>
      </c>
      <c r="C20" s="100">
        <v>7.31</v>
      </c>
      <c r="D20" s="100">
        <v>17.809999999999999</v>
      </c>
      <c r="E20" s="100">
        <v>6.54</v>
      </c>
      <c r="F20" s="100">
        <v>2</v>
      </c>
      <c r="G20" s="100">
        <v>70.75</v>
      </c>
      <c r="H20" s="100">
        <v>21.55</v>
      </c>
      <c r="I20" s="100">
        <v>6.82</v>
      </c>
      <c r="J20" s="100">
        <v>0.13</v>
      </c>
      <c r="K20" s="100">
        <v>28.88</v>
      </c>
      <c r="L20" s="100">
        <v>9.4600000000000009</v>
      </c>
      <c r="M20" s="100">
        <v>5.44</v>
      </c>
      <c r="N20" s="100">
        <v>2.1</v>
      </c>
      <c r="O20" s="100">
        <v>0</v>
      </c>
      <c r="P20" s="100">
        <v>0.44</v>
      </c>
      <c r="Q20" s="100">
        <v>11.78</v>
      </c>
      <c r="R20" s="6"/>
      <c r="S20" s="6"/>
      <c r="T20" s="156"/>
      <c r="U20" s="6"/>
    </row>
    <row r="21" spans="1:21" customFormat="1">
      <c r="A21" s="201" t="s">
        <v>2653</v>
      </c>
      <c r="B21" s="100">
        <v>10.5</v>
      </c>
      <c r="C21" s="100">
        <v>7.25</v>
      </c>
      <c r="D21" s="100">
        <v>17.75</v>
      </c>
      <c r="E21" s="100">
        <v>6.28</v>
      </c>
      <c r="F21" s="100">
        <v>2</v>
      </c>
      <c r="G21" s="100">
        <v>70.75</v>
      </c>
      <c r="H21" s="100">
        <v>21.55</v>
      </c>
      <c r="I21" s="100">
        <v>6.8</v>
      </c>
      <c r="J21" s="100">
        <v>0.16</v>
      </c>
      <c r="K21" s="100">
        <v>16.38</v>
      </c>
      <c r="L21" s="100">
        <v>12.83</v>
      </c>
      <c r="M21" s="100">
        <v>13.23</v>
      </c>
      <c r="N21" s="100">
        <v>2.1</v>
      </c>
      <c r="O21" s="100">
        <v>0</v>
      </c>
      <c r="P21" s="100">
        <v>0.43</v>
      </c>
      <c r="Q21" s="100">
        <v>11.68</v>
      </c>
      <c r="R21" s="6"/>
      <c r="S21" s="6"/>
      <c r="T21" s="156"/>
      <c r="U21" s="6"/>
    </row>
    <row r="22" spans="1:21" customFormat="1">
      <c r="A22" s="201" t="s">
        <v>2654</v>
      </c>
      <c r="B22" s="100">
        <v>10.55</v>
      </c>
      <c r="C22" s="100">
        <v>7.35</v>
      </c>
      <c r="D22" s="100">
        <v>17.899999999999999</v>
      </c>
      <c r="E22" s="100">
        <v>6.34</v>
      </c>
      <c r="F22" s="100">
        <v>2</v>
      </c>
      <c r="G22" s="100">
        <v>69</v>
      </c>
      <c r="H22" s="100">
        <v>20.95</v>
      </c>
      <c r="I22" s="100">
        <v>6.67</v>
      </c>
      <c r="J22" s="100">
        <v>0.12</v>
      </c>
      <c r="K22" s="100">
        <v>339.25</v>
      </c>
      <c r="L22" s="100">
        <v>15.3</v>
      </c>
      <c r="M22" s="100">
        <v>19.940000000000001</v>
      </c>
      <c r="N22" s="100">
        <v>2.1</v>
      </c>
      <c r="O22" s="100">
        <v>0</v>
      </c>
      <c r="P22" s="100">
        <v>0.42</v>
      </c>
      <c r="Q22" s="100">
        <v>11.51</v>
      </c>
      <c r="R22" s="6"/>
      <c r="S22" s="6"/>
      <c r="T22" s="156"/>
      <c r="U22" s="6"/>
    </row>
    <row r="23" spans="1:21" customFormat="1">
      <c r="A23" s="201" t="s">
        <v>2655</v>
      </c>
      <c r="B23" s="100">
        <v>10.61</v>
      </c>
      <c r="C23" s="100">
        <v>7.28</v>
      </c>
      <c r="D23" s="100">
        <v>17.89</v>
      </c>
      <c r="E23" s="100">
        <v>6.51</v>
      </c>
      <c r="F23" s="100">
        <v>2</v>
      </c>
      <c r="G23" s="100">
        <v>67.67</v>
      </c>
      <c r="H23" s="100">
        <v>20.6</v>
      </c>
      <c r="I23" s="100">
        <v>6.56</v>
      </c>
      <c r="J23" s="100">
        <v>0.24</v>
      </c>
      <c r="K23" s="100">
        <v>26.02</v>
      </c>
      <c r="L23" s="100">
        <v>8.4</v>
      </c>
      <c r="M23" s="100">
        <v>2.69</v>
      </c>
      <c r="N23" s="100">
        <v>2.1</v>
      </c>
      <c r="O23" s="100">
        <v>0</v>
      </c>
      <c r="P23" s="100">
        <v>0.42</v>
      </c>
      <c r="Q23" s="100">
        <v>11.19</v>
      </c>
      <c r="R23" s="6"/>
      <c r="S23" s="6"/>
      <c r="T23" s="156"/>
      <c r="U23" s="6"/>
    </row>
    <row r="24" spans="1:21" customFormat="1">
      <c r="A24" s="201" t="s">
        <v>2656</v>
      </c>
      <c r="B24" s="100">
        <v>10.57</v>
      </c>
      <c r="C24" s="100">
        <v>7.17</v>
      </c>
      <c r="D24" s="100">
        <v>17.73</v>
      </c>
      <c r="E24" s="100">
        <v>6.47</v>
      </c>
      <c r="F24" s="100">
        <v>2</v>
      </c>
      <c r="G24" s="100">
        <v>67.67</v>
      </c>
      <c r="H24" s="100">
        <v>20.6</v>
      </c>
      <c r="I24" s="100">
        <v>6.45</v>
      </c>
      <c r="J24" s="100">
        <v>0.19</v>
      </c>
      <c r="K24" s="100">
        <v>33.700000000000003</v>
      </c>
      <c r="L24" s="100">
        <v>12.44</v>
      </c>
      <c r="M24" s="100">
        <v>12.85</v>
      </c>
      <c r="N24" s="100">
        <v>2.1</v>
      </c>
      <c r="O24" s="100">
        <v>0</v>
      </c>
      <c r="P24" s="100">
        <v>0.41</v>
      </c>
      <c r="Q24" s="100">
        <v>11.88</v>
      </c>
      <c r="R24" s="6"/>
      <c r="S24" s="6"/>
      <c r="T24" s="156"/>
      <c r="U24" s="6"/>
    </row>
    <row r="25" spans="1:21" customFormat="1">
      <c r="A25" s="201" t="s">
        <v>2657</v>
      </c>
      <c r="B25" s="100">
        <v>10.58</v>
      </c>
      <c r="C25" s="100">
        <v>7.05</v>
      </c>
      <c r="D25" s="100">
        <v>17.63</v>
      </c>
      <c r="E25" s="100">
        <v>6.45</v>
      </c>
      <c r="F25" s="100">
        <v>2</v>
      </c>
      <c r="G25" s="100">
        <v>67.67</v>
      </c>
      <c r="H25" s="100">
        <v>20.6</v>
      </c>
      <c r="I25" s="100">
        <v>6.4</v>
      </c>
      <c r="J25" s="100">
        <v>0.19</v>
      </c>
      <c r="K25" s="100">
        <v>37.19</v>
      </c>
      <c r="L25" s="100">
        <v>10.37</v>
      </c>
      <c r="M25" s="100">
        <v>7.85</v>
      </c>
      <c r="N25" s="100">
        <v>2.1</v>
      </c>
      <c r="O25" s="100">
        <v>0</v>
      </c>
      <c r="P25" s="100">
        <v>0.4</v>
      </c>
      <c r="Q25" s="100">
        <v>11.58</v>
      </c>
      <c r="R25" s="6"/>
      <c r="S25" s="6"/>
      <c r="T25" s="156"/>
      <c r="U25" s="6"/>
    </row>
    <row r="26" spans="1:21" customFormat="1">
      <c r="A26" s="201" t="s">
        <v>2658</v>
      </c>
      <c r="B26" s="100">
        <v>10.4</v>
      </c>
      <c r="C26" s="100">
        <v>7</v>
      </c>
      <c r="D26" s="100">
        <v>17.41</v>
      </c>
      <c r="E26" s="100">
        <v>6.33</v>
      </c>
      <c r="F26" s="100">
        <v>2</v>
      </c>
      <c r="G26" s="100">
        <v>64.06</v>
      </c>
      <c r="H26" s="100">
        <v>20.91</v>
      </c>
      <c r="I26" s="100">
        <v>6.3</v>
      </c>
      <c r="J26" s="100">
        <v>0.18</v>
      </c>
      <c r="K26" s="100">
        <v>23.95</v>
      </c>
      <c r="L26" s="100">
        <v>11.83</v>
      </c>
      <c r="M26" s="100">
        <v>10.59</v>
      </c>
      <c r="N26" s="100">
        <v>2.1</v>
      </c>
      <c r="O26" s="100">
        <v>0</v>
      </c>
      <c r="P26" s="100">
        <v>0.38</v>
      </c>
      <c r="Q26" s="100">
        <v>11.18</v>
      </c>
      <c r="R26" s="6"/>
      <c r="S26" s="6"/>
      <c r="T26" s="156"/>
      <c r="U26" s="6"/>
    </row>
    <row r="27" spans="1:21" customFormat="1">
      <c r="A27" s="201" t="s">
        <v>2659</v>
      </c>
      <c r="B27" s="100">
        <v>10.43</v>
      </c>
      <c r="C27" s="100">
        <v>6.89</v>
      </c>
      <c r="D27" s="100">
        <v>17.32</v>
      </c>
      <c r="E27" s="100">
        <v>6.63</v>
      </c>
      <c r="F27" s="100">
        <v>2</v>
      </c>
      <c r="G27" s="100">
        <v>61.3</v>
      </c>
      <c r="H27" s="100">
        <v>21</v>
      </c>
      <c r="I27" s="100">
        <v>6.18</v>
      </c>
      <c r="J27" s="100">
        <v>0.16</v>
      </c>
      <c r="K27" s="100">
        <v>32.090000000000003</v>
      </c>
      <c r="L27" s="100">
        <v>10.33</v>
      </c>
      <c r="M27" s="100">
        <v>7.52</v>
      </c>
      <c r="N27" s="100">
        <v>2.1</v>
      </c>
      <c r="O27" s="100">
        <v>0</v>
      </c>
      <c r="P27" s="100">
        <v>0.38</v>
      </c>
      <c r="Q27" s="100">
        <v>11.51</v>
      </c>
      <c r="R27" s="6"/>
      <c r="S27" s="6"/>
      <c r="T27" s="156"/>
      <c r="U27" s="6"/>
    </row>
    <row r="28" spans="1:21" customFormat="1">
      <c r="A28" s="201" t="s">
        <v>2660</v>
      </c>
      <c r="B28" s="100">
        <v>10.6</v>
      </c>
      <c r="C28" s="100">
        <v>6.87</v>
      </c>
      <c r="D28" s="100">
        <v>17.47</v>
      </c>
      <c r="E28" s="100">
        <v>6.71</v>
      </c>
      <c r="F28" s="100">
        <v>2</v>
      </c>
      <c r="G28" s="100">
        <v>61.3</v>
      </c>
      <c r="H28" s="100">
        <v>21</v>
      </c>
      <c r="I28" s="100">
        <v>6.06</v>
      </c>
      <c r="J28" s="100">
        <v>0.13</v>
      </c>
      <c r="K28" s="100">
        <v>47.26</v>
      </c>
      <c r="L28" s="100">
        <v>7.09</v>
      </c>
      <c r="M28" s="100">
        <v>-0.5</v>
      </c>
      <c r="N28" s="100">
        <v>2.1</v>
      </c>
      <c r="O28" s="100">
        <v>0</v>
      </c>
      <c r="P28" s="100">
        <v>0.38</v>
      </c>
      <c r="Q28" s="100">
        <v>28.06</v>
      </c>
      <c r="R28" s="6"/>
      <c r="S28" s="6"/>
      <c r="T28" s="156"/>
      <c r="U28" s="6"/>
    </row>
    <row r="29" spans="1:21" customFormat="1">
      <c r="A29" s="201" t="s">
        <v>2661</v>
      </c>
      <c r="B29" s="100">
        <v>10.92</v>
      </c>
      <c r="C29" s="100">
        <v>6.96</v>
      </c>
      <c r="D29" s="100">
        <v>17.89</v>
      </c>
      <c r="E29" s="100">
        <v>6.88</v>
      </c>
      <c r="F29" s="100">
        <v>2</v>
      </c>
      <c r="G29" s="100">
        <v>61.3</v>
      </c>
      <c r="H29" s="100">
        <v>21</v>
      </c>
      <c r="I29" s="100">
        <v>6</v>
      </c>
      <c r="J29" s="100">
        <v>0.19</v>
      </c>
      <c r="K29" s="100">
        <v>44.25</v>
      </c>
      <c r="L29" s="100">
        <v>9.5299999999999994</v>
      </c>
      <c r="M29" s="100">
        <v>5.58</v>
      </c>
      <c r="N29" s="100">
        <v>2.1</v>
      </c>
      <c r="O29" s="100">
        <v>0</v>
      </c>
      <c r="P29" s="100">
        <v>0.37</v>
      </c>
      <c r="Q29" s="100">
        <v>12.29</v>
      </c>
      <c r="R29" s="6"/>
      <c r="S29" s="6"/>
      <c r="T29" s="156"/>
      <c r="U29" s="6"/>
    </row>
    <row r="30" spans="1:21" customFormat="1">
      <c r="A30" s="201" t="s">
        <v>2662</v>
      </c>
      <c r="B30" s="100">
        <v>11.09</v>
      </c>
      <c r="C30" s="100">
        <v>7.01</v>
      </c>
      <c r="D30" s="100">
        <v>18.100000000000001</v>
      </c>
      <c r="E30" s="100">
        <v>6.55</v>
      </c>
      <c r="F30" s="100">
        <v>2</v>
      </c>
      <c r="G30" s="100">
        <v>58.69</v>
      </c>
      <c r="H30" s="100">
        <v>19.809999999999999</v>
      </c>
      <c r="I30" s="100">
        <v>5.9</v>
      </c>
      <c r="J30" s="100">
        <v>0.13</v>
      </c>
      <c r="K30" s="100">
        <v>18.71</v>
      </c>
      <c r="L30" s="100">
        <v>16.600000000000001</v>
      </c>
      <c r="M30" s="100">
        <v>23.26</v>
      </c>
      <c r="N30" s="100">
        <v>2.1</v>
      </c>
      <c r="O30" s="100">
        <v>0</v>
      </c>
      <c r="P30" s="100">
        <v>0.37</v>
      </c>
      <c r="Q30" s="100">
        <v>10.61</v>
      </c>
      <c r="R30" s="6"/>
      <c r="S30" s="6"/>
      <c r="T30" s="156"/>
      <c r="U30" s="6"/>
    </row>
    <row r="31" spans="1:21" customFormat="1">
      <c r="A31" s="201" t="s">
        <v>2663</v>
      </c>
      <c r="B31" s="100">
        <v>11.38</v>
      </c>
      <c r="C31" s="100">
        <v>6.94</v>
      </c>
      <c r="D31" s="100">
        <v>18.32</v>
      </c>
      <c r="E31" s="100">
        <v>6.51</v>
      </c>
      <c r="F31" s="100">
        <v>2</v>
      </c>
      <c r="G31" s="100">
        <v>56.7</v>
      </c>
      <c r="H31" s="100">
        <v>19.43</v>
      </c>
      <c r="I31" s="100">
        <v>5.8</v>
      </c>
      <c r="J31" s="100">
        <v>0.17</v>
      </c>
      <c r="K31" s="100">
        <v>42.22</v>
      </c>
      <c r="L31" s="100">
        <v>7.23</v>
      </c>
      <c r="M31" s="100">
        <v>-0.16</v>
      </c>
      <c r="N31" s="100">
        <v>2.2000000000000002</v>
      </c>
      <c r="O31" s="100">
        <v>0</v>
      </c>
      <c r="P31" s="100">
        <v>0.36</v>
      </c>
      <c r="Q31" s="100">
        <v>10.63</v>
      </c>
      <c r="R31" s="6"/>
      <c r="S31" s="6"/>
      <c r="T31" s="156"/>
      <c r="U31" s="6"/>
    </row>
    <row r="32" spans="1:21" customFormat="1">
      <c r="A32" s="201" t="s">
        <v>2664</v>
      </c>
      <c r="B32" s="100">
        <v>11.82</v>
      </c>
      <c r="C32" s="100">
        <v>6.93</v>
      </c>
      <c r="D32" s="100">
        <v>18.760000000000002</v>
      </c>
      <c r="E32" s="100">
        <v>6.76</v>
      </c>
      <c r="F32" s="100">
        <v>2</v>
      </c>
      <c r="G32" s="100">
        <v>56.7</v>
      </c>
      <c r="H32" s="100">
        <v>19.43</v>
      </c>
      <c r="I32" s="100">
        <v>5.69</v>
      </c>
      <c r="J32" s="100">
        <v>0.22</v>
      </c>
      <c r="K32" s="100">
        <v>20.13</v>
      </c>
      <c r="L32" s="100">
        <v>11.11</v>
      </c>
      <c r="M32" s="100">
        <v>9.43</v>
      </c>
      <c r="N32" s="100">
        <v>4.5</v>
      </c>
      <c r="O32" s="100">
        <v>0</v>
      </c>
      <c r="P32" s="100">
        <v>0.36</v>
      </c>
      <c r="Q32" s="100">
        <v>10.56</v>
      </c>
      <c r="R32" s="6"/>
      <c r="S32" s="6"/>
      <c r="T32" s="156"/>
      <c r="U32" s="6"/>
    </row>
    <row r="33" spans="1:21" customFormat="1">
      <c r="A33" s="201" t="s">
        <v>2665</v>
      </c>
      <c r="B33" s="100">
        <v>12.08</v>
      </c>
      <c r="C33" s="100">
        <v>6.95</v>
      </c>
      <c r="D33" s="100">
        <v>19.03</v>
      </c>
      <c r="E33" s="100">
        <v>6.83</v>
      </c>
      <c r="F33" s="100">
        <v>2</v>
      </c>
      <c r="G33" s="100">
        <v>56.7</v>
      </c>
      <c r="H33" s="100">
        <v>19.43</v>
      </c>
      <c r="I33" s="100">
        <v>5.6</v>
      </c>
      <c r="J33" s="100">
        <v>0.19</v>
      </c>
      <c r="K33" s="100">
        <v>22.01</v>
      </c>
      <c r="L33" s="100">
        <v>10.119999999999999</v>
      </c>
      <c r="M33" s="100">
        <v>6.72</v>
      </c>
      <c r="N33" s="100">
        <v>13.9</v>
      </c>
      <c r="O33" s="100">
        <v>0</v>
      </c>
      <c r="P33" s="100">
        <v>0.35</v>
      </c>
      <c r="Q33" s="100">
        <v>10.77</v>
      </c>
      <c r="R33" s="6"/>
      <c r="S33" s="6"/>
      <c r="T33" s="156"/>
      <c r="U33" s="6"/>
    </row>
    <row r="34" spans="1:21" customFormat="1">
      <c r="A34" s="201" t="s">
        <v>2666</v>
      </c>
      <c r="B34" s="100">
        <v>12.36</v>
      </c>
      <c r="C34" s="100">
        <v>7.03</v>
      </c>
      <c r="D34" s="100">
        <v>19.399999999999999</v>
      </c>
      <c r="E34" s="100">
        <v>6.35</v>
      </c>
      <c r="F34" s="100">
        <v>2</v>
      </c>
      <c r="G34" s="100">
        <v>56.66</v>
      </c>
      <c r="H34" s="100">
        <v>19.37</v>
      </c>
      <c r="I34" s="100">
        <v>5.53</v>
      </c>
      <c r="J34" s="100">
        <v>0.18</v>
      </c>
      <c r="K34" s="100">
        <v>25.51</v>
      </c>
      <c r="L34" s="100">
        <v>9.65</v>
      </c>
      <c r="M34" s="100">
        <v>5.47</v>
      </c>
      <c r="N34" s="100">
        <v>21.4</v>
      </c>
      <c r="O34" s="100">
        <v>0</v>
      </c>
      <c r="P34" s="100">
        <v>0.33</v>
      </c>
      <c r="Q34" s="100">
        <v>10.65</v>
      </c>
      <c r="R34" s="6"/>
      <c r="S34" s="6"/>
      <c r="T34" s="156"/>
      <c r="U34" s="6"/>
    </row>
    <row r="35" spans="1:21" customFormat="1">
      <c r="A35" s="201" t="s">
        <v>2667</v>
      </c>
      <c r="B35" s="100">
        <v>12.65</v>
      </c>
      <c r="C35" s="100">
        <v>7.08</v>
      </c>
      <c r="D35" s="100">
        <v>19.739999999999998</v>
      </c>
      <c r="E35" s="100">
        <v>6.01</v>
      </c>
      <c r="F35" s="100">
        <v>2.17</v>
      </c>
      <c r="G35" s="100">
        <v>56.62</v>
      </c>
      <c r="H35" s="100">
        <v>19.350000000000001</v>
      </c>
      <c r="I35" s="100">
        <v>5.55</v>
      </c>
      <c r="J35" s="100">
        <v>0.36</v>
      </c>
      <c r="K35" s="100">
        <v>28.22</v>
      </c>
      <c r="L35" s="100">
        <v>9</v>
      </c>
      <c r="M35" s="100">
        <v>3.66</v>
      </c>
      <c r="N35" s="100">
        <v>25.6</v>
      </c>
      <c r="O35" s="100">
        <v>0</v>
      </c>
      <c r="P35" s="100">
        <v>0.3</v>
      </c>
      <c r="Q35" s="100">
        <v>12.1</v>
      </c>
      <c r="R35" s="6"/>
      <c r="S35" s="6"/>
      <c r="T35" s="156"/>
      <c r="U35" s="6"/>
    </row>
    <row r="36" spans="1:21" customFormat="1">
      <c r="A36" s="201" t="s">
        <v>2668</v>
      </c>
      <c r="B36" s="100">
        <v>12.65</v>
      </c>
      <c r="C36" s="100">
        <v>6.83</v>
      </c>
      <c r="D36" s="100">
        <v>19.47</v>
      </c>
      <c r="E36" s="100">
        <v>6.1</v>
      </c>
      <c r="F36" s="100">
        <v>2.38</v>
      </c>
      <c r="G36" s="100">
        <v>56.62</v>
      </c>
      <c r="H36" s="100">
        <v>19.350000000000001</v>
      </c>
      <c r="I36" s="100">
        <v>5.65</v>
      </c>
      <c r="J36" s="100">
        <v>0.41</v>
      </c>
      <c r="K36" s="100">
        <v>22.46</v>
      </c>
      <c r="L36" s="100">
        <v>8.36</v>
      </c>
      <c r="M36" s="100">
        <v>2.68</v>
      </c>
      <c r="N36" s="100">
        <v>29.8</v>
      </c>
      <c r="O36" s="100">
        <v>0</v>
      </c>
      <c r="P36" s="100">
        <v>0.31</v>
      </c>
      <c r="Q36" s="100">
        <v>10.61</v>
      </c>
      <c r="R36" s="6"/>
      <c r="S36" s="6"/>
      <c r="T36" s="156"/>
      <c r="U36" s="6"/>
    </row>
    <row r="37" spans="1:21" customFormat="1">
      <c r="A37" s="201" t="s">
        <v>2669</v>
      </c>
      <c r="B37" s="100">
        <v>12.83</v>
      </c>
      <c r="C37" s="100">
        <v>7.09</v>
      </c>
      <c r="D37" s="100">
        <v>19.93</v>
      </c>
      <c r="E37" s="100">
        <v>6.27</v>
      </c>
      <c r="F37" s="100">
        <v>2.0099999999999998</v>
      </c>
      <c r="G37" s="100">
        <v>56.62</v>
      </c>
      <c r="H37" s="100">
        <v>19.350000000000001</v>
      </c>
      <c r="I37" s="100">
        <v>5.67</v>
      </c>
      <c r="J37" s="100">
        <v>0.35</v>
      </c>
      <c r="K37" s="100">
        <v>20.93</v>
      </c>
      <c r="L37" s="100">
        <v>9.93</v>
      </c>
      <c r="M37" s="100">
        <v>5.57</v>
      </c>
      <c r="N37" s="100">
        <v>43.1</v>
      </c>
      <c r="O37" s="100">
        <v>0</v>
      </c>
      <c r="P37" s="100">
        <v>0.32</v>
      </c>
      <c r="Q37" s="100">
        <v>11.04</v>
      </c>
      <c r="R37" s="6"/>
      <c r="S37" s="6"/>
      <c r="T37" s="156"/>
      <c r="U37" s="6"/>
    </row>
    <row r="38" spans="1:21" customFormat="1">
      <c r="A38" s="201" t="s">
        <v>2670</v>
      </c>
      <c r="B38" s="100">
        <v>14.76</v>
      </c>
      <c r="C38" s="100">
        <v>9.7200000000000006</v>
      </c>
      <c r="D38" s="100">
        <v>24.48</v>
      </c>
      <c r="E38" s="100">
        <v>6.14</v>
      </c>
      <c r="F38" s="100">
        <v>2.76</v>
      </c>
      <c r="G38" s="100">
        <v>53.91</v>
      </c>
      <c r="H38" s="100">
        <v>19.04</v>
      </c>
      <c r="I38" s="100">
        <v>5.68</v>
      </c>
      <c r="J38" s="100">
        <v>0.51</v>
      </c>
      <c r="K38" s="100">
        <v>23.92</v>
      </c>
      <c r="L38" s="100">
        <v>10.01</v>
      </c>
      <c r="M38" s="100">
        <v>5.07</v>
      </c>
      <c r="N38" s="100">
        <v>73.8</v>
      </c>
      <c r="O38" s="100">
        <v>0</v>
      </c>
      <c r="P38" s="100">
        <v>0.31</v>
      </c>
      <c r="Q38" s="100">
        <v>12.13</v>
      </c>
      <c r="R38" s="6"/>
      <c r="S38" s="6"/>
      <c r="T38" s="156"/>
      <c r="U38" s="6"/>
    </row>
    <row r="39" spans="1:21" customFormat="1">
      <c r="A39" s="201" t="s">
        <v>2671</v>
      </c>
      <c r="B39" s="100">
        <v>13.98</v>
      </c>
      <c r="C39" s="100">
        <v>9.15</v>
      </c>
      <c r="D39" s="100">
        <v>23.13</v>
      </c>
      <c r="E39" s="100">
        <v>6.37</v>
      </c>
      <c r="F39" s="100">
        <v>2.08</v>
      </c>
      <c r="G39" s="100">
        <v>51.83</v>
      </c>
      <c r="H39" s="100">
        <v>18.86</v>
      </c>
      <c r="I39" s="100">
        <v>5.75</v>
      </c>
      <c r="J39" s="100">
        <v>0.47</v>
      </c>
      <c r="K39" s="100">
        <v>25.83</v>
      </c>
      <c r="L39" s="100">
        <v>10.85</v>
      </c>
      <c r="M39" s="100">
        <v>7.32</v>
      </c>
      <c r="N39" s="100">
        <v>62.8</v>
      </c>
      <c r="O39" s="100">
        <v>0</v>
      </c>
      <c r="P39" s="100">
        <v>0.3</v>
      </c>
      <c r="Q39" s="100">
        <v>11.51</v>
      </c>
      <c r="R39" s="6"/>
      <c r="S39" s="6"/>
      <c r="T39" s="156"/>
      <c r="U39" s="6"/>
    </row>
    <row r="40" spans="1:21" customFormat="1">
      <c r="A40" s="201" t="s">
        <v>2672</v>
      </c>
      <c r="B40" s="100">
        <v>13.34</v>
      </c>
      <c r="C40" s="100">
        <v>7.49</v>
      </c>
      <c r="D40" s="100">
        <v>20.82</v>
      </c>
      <c r="E40" s="100">
        <v>6.67</v>
      </c>
      <c r="F40" s="100">
        <v>2.11</v>
      </c>
      <c r="G40" s="100">
        <v>51.83</v>
      </c>
      <c r="H40" s="100">
        <v>18.86</v>
      </c>
      <c r="I40" s="100">
        <v>5.82</v>
      </c>
      <c r="J40" s="100">
        <v>0.62</v>
      </c>
      <c r="K40" s="100">
        <v>35.799999999999997</v>
      </c>
      <c r="L40" s="100">
        <v>8.36</v>
      </c>
      <c r="M40" s="100">
        <v>0.78</v>
      </c>
      <c r="N40" s="100">
        <v>83.5</v>
      </c>
      <c r="O40" s="100">
        <v>0</v>
      </c>
      <c r="P40" s="100">
        <v>0.33</v>
      </c>
      <c r="Q40" s="100">
        <v>11.36</v>
      </c>
      <c r="R40" s="6"/>
      <c r="S40" s="6"/>
      <c r="T40" s="156"/>
      <c r="U40" s="6"/>
    </row>
    <row r="41" spans="1:21" customFormat="1">
      <c r="A41" s="201" t="s">
        <v>2673</v>
      </c>
      <c r="B41" s="100">
        <v>13.42</v>
      </c>
      <c r="C41" s="100">
        <v>7.61</v>
      </c>
      <c r="D41" s="100">
        <v>21.03</v>
      </c>
      <c r="E41" s="100">
        <v>7.05</v>
      </c>
      <c r="F41" s="100">
        <v>2.2400000000000002</v>
      </c>
      <c r="G41" s="100">
        <v>51.83</v>
      </c>
      <c r="H41" s="100">
        <v>18.86</v>
      </c>
      <c r="I41" s="100">
        <v>5.81</v>
      </c>
      <c r="J41" s="100">
        <v>0.55000000000000004</v>
      </c>
      <c r="K41" s="100">
        <v>37.33</v>
      </c>
      <c r="L41" s="100">
        <v>9.6300000000000008</v>
      </c>
      <c r="M41" s="100">
        <v>2</v>
      </c>
      <c r="N41" s="100">
        <v>166.8</v>
      </c>
      <c r="O41" s="100">
        <v>0</v>
      </c>
      <c r="P41" s="100">
        <v>0.32</v>
      </c>
      <c r="Q41" s="100">
        <v>10.46</v>
      </c>
      <c r="R41" s="6"/>
      <c r="S41" s="6"/>
      <c r="T41" s="156"/>
      <c r="U41" s="6"/>
    </row>
    <row r="42" spans="1:21" customFormat="1">
      <c r="A42" s="201" t="s">
        <v>2674</v>
      </c>
      <c r="B42" s="100">
        <v>13.76</v>
      </c>
      <c r="C42" s="100">
        <v>8.08</v>
      </c>
      <c r="D42" s="100">
        <v>21.85</v>
      </c>
      <c r="E42" s="100">
        <v>7.22</v>
      </c>
      <c r="F42" s="100">
        <v>2.74</v>
      </c>
      <c r="G42" s="100">
        <v>52.79</v>
      </c>
      <c r="H42" s="100">
        <v>18.47</v>
      </c>
      <c r="I42" s="100">
        <v>5.85</v>
      </c>
      <c r="J42" s="100">
        <v>0.52</v>
      </c>
      <c r="K42" s="100">
        <v>32.72</v>
      </c>
      <c r="L42" s="100">
        <v>8.84</v>
      </c>
      <c r="M42" s="100">
        <v>0.76</v>
      </c>
      <c r="N42" s="100">
        <v>135.1</v>
      </c>
      <c r="O42" s="100">
        <v>0</v>
      </c>
      <c r="P42" s="100">
        <v>0.32</v>
      </c>
      <c r="Q42" s="100">
        <v>10.55</v>
      </c>
      <c r="R42" s="6"/>
      <c r="S42" s="6"/>
      <c r="T42" s="156"/>
      <c r="U42" s="6"/>
    </row>
    <row r="43" spans="1:21" customFormat="1">
      <c r="A43" s="201" t="s">
        <v>2675</v>
      </c>
      <c r="B43" s="100">
        <v>13.96</v>
      </c>
      <c r="C43" s="100">
        <v>7.79</v>
      </c>
      <c r="D43" s="100">
        <v>21.75</v>
      </c>
      <c r="E43" s="100">
        <v>7.13</v>
      </c>
      <c r="F43" s="100">
        <v>2.1</v>
      </c>
      <c r="G43" s="100">
        <v>53.53</v>
      </c>
      <c r="H43" s="100">
        <v>18.350000000000001</v>
      </c>
      <c r="I43" s="100">
        <v>5.8</v>
      </c>
      <c r="J43" s="100">
        <v>0.46</v>
      </c>
      <c r="K43" s="100">
        <v>37.17</v>
      </c>
      <c r="L43" s="100">
        <v>9.1999999999999993</v>
      </c>
      <c r="M43" s="100">
        <v>0.9</v>
      </c>
      <c r="N43" s="100">
        <v>169.2</v>
      </c>
      <c r="O43" s="100">
        <v>0</v>
      </c>
      <c r="P43" s="100">
        <v>0.33</v>
      </c>
      <c r="Q43" s="100">
        <v>12.01</v>
      </c>
      <c r="R43" s="6"/>
      <c r="S43" s="6"/>
      <c r="T43" s="156"/>
      <c r="U43" s="6"/>
    </row>
    <row r="44" spans="1:21" customFormat="1">
      <c r="A44" s="201" t="s">
        <v>2676</v>
      </c>
      <c r="B44" s="100">
        <v>14.41</v>
      </c>
      <c r="C44" s="100">
        <v>8.27</v>
      </c>
      <c r="D44" s="100">
        <v>22.67</v>
      </c>
      <c r="E44" s="100">
        <v>7.75</v>
      </c>
      <c r="F44" s="100">
        <v>2.86</v>
      </c>
      <c r="G44" s="100">
        <v>53.53</v>
      </c>
      <c r="H44" s="100">
        <v>18.350000000000001</v>
      </c>
      <c r="I44" s="100">
        <v>5.93</v>
      </c>
      <c r="J44" s="100">
        <v>0.6</v>
      </c>
      <c r="K44" s="100">
        <v>28.06</v>
      </c>
      <c r="L44" s="100">
        <v>9.91</v>
      </c>
      <c r="M44" s="100">
        <v>-0.6</v>
      </c>
      <c r="N44" s="100">
        <v>304.60000000000002</v>
      </c>
      <c r="O44" s="100">
        <v>0</v>
      </c>
      <c r="P44" s="100">
        <v>0.34</v>
      </c>
      <c r="Q44" s="100">
        <v>12.95</v>
      </c>
      <c r="R44" s="6"/>
      <c r="S44" s="6"/>
      <c r="T44" s="156"/>
      <c r="U44" s="6"/>
    </row>
    <row r="45" spans="1:21" customFormat="1">
      <c r="A45" s="201" t="s">
        <v>2677</v>
      </c>
      <c r="B45" s="100">
        <v>14.53</v>
      </c>
      <c r="C45" s="100">
        <v>8.06</v>
      </c>
      <c r="D45" s="100">
        <v>22.6</v>
      </c>
      <c r="E45" s="100">
        <v>7.9</v>
      </c>
      <c r="F45" s="100">
        <v>2.52</v>
      </c>
      <c r="G45" s="100">
        <v>53.53</v>
      </c>
      <c r="H45" s="100">
        <v>18.350000000000001</v>
      </c>
      <c r="I45" s="100">
        <v>5.99</v>
      </c>
      <c r="J45" s="100">
        <v>0.31</v>
      </c>
      <c r="K45" s="100">
        <v>90.21</v>
      </c>
      <c r="L45" s="100">
        <v>13.24</v>
      </c>
      <c r="M45" s="100">
        <v>8.9499999999999993</v>
      </c>
      <c r="N45" s="100">
        <v>263</v>
      </c>
      <c r="O45" s="100">
        <v>0</v>
      </c>
      <c r="P45" s="100">
        <v>0.32</v>
      </c>
      <c r="Q45" s="100">
        <v>9.91</v>
      </c>
      <c r="R45" s="6"/>
      <c r="S45" s="6"/>
      <c r="T45" s="156"/>
      <c r="U45" s="6"/>
    </row>
    <row r="46" spans="1:21" customFormat="1">
      <c r="A46" s="201" t="s">
        <v>2678</v>
      </c>
      <c r="B46" s="100">
        <v>15.11</v>
      </c>
      <c r="C46" s="100">
        <v>8.6999999999999993</v>
      </c>
      <c r="D46" s="100">
        <v>23.81</v>
      </c>
      <c r="E46" s="100">
        <v>8.06</v>
      </c>
      <c r="F46" s="100">
        <v>4.66</v>
      </c>
      <c r="G46" s="100">
        <v>53.79</v>
      </c>
      <c r="H46" s="100">
        <v>16.63</v>
      </c>
      <c r="I46" s="100">
        <v>5.95</v>
      </c>
      <c r="J46" s="100">
        <v>0.6</v>
      </c>
      <c r="K46" s="100">
        <v>28.77</v>
      </c>
      <c r="L46" s="100">
        <v>12.78</v>
      </c>
      <c r="M46" s="100">
        <v>5.82</v>
      </c>
      <c r="N46" s="100">
        <v>340.1</v>
      </c>
      <c r="O46" s="100">
        <v>0</v>
      </c>
      <c r="P46" s="100">
        <v>0.32</v>
      </c>
      <c r="Q46" s="100">
        <v>30.74</v>
      </c>
      <c r="R46" s="6"/>
      <c r="S46" s="6"/>
      <c r="T46" s="156"/>
      <c r="U46" s="6"/>
    </row>
    <row r="47" spans="1:21" customFormat="1">
      <c r="A47" s="201" t="s">
        <v>2679</v>
      </c>
      <c r="B47" s="100">
        <v>14.94</v>
      </c>
      <c r="C47" s="100">
        <v>9.0500000000000007</v>
      </c>
      <c r="D47" s="100">
        <v>23.99</v>
      </c>
      <c r="E47" s="100">
        <v>8.25</v>
      </c>
      <c r="F47" s="100">
        <v>3.28</v>
      </c>
      <c r="G47" s="100">
        <v>53.99</v>
      </c>
      <c r="H47" s="100">
        <v>16.079999999999998</v>
      </c>
      <c r="I47" s="100">
        <v>5.89</v>
      </c>
      <c r="J47" s="100">
        <v>0.31</v>
      </c>
      <c r="K47" s="100">
        <v>82.49</v>
      </c>
      <c r="L47" s="100">
        <v>11.96</v>
      </c>
      <c r="M47" s="100">
        <v>7.19</v>
      </c>
      <c r="N47" s="100">
        <v>197.8</v>
      </c>
      <c r="O47" s="100">
        <v>0</v>
      </c>
      <c r="P47" s="100">
        <v>0.31</v>
      </c>
      <c r="Q47" s="100">
        <v>11.97</v>
      </c>
      <c r="R47" s="6"/>
      <c r="S47" s="6"/>
      <c r="T47" s="156"/>
      <c r="U47" s="6"/>
    </row>
    <row r="48" spans="1:21" customFormat="1">
      <c r="A48" s="201" t="s">
        <v>2680</v>
      </c>
      <c r="B48" s="100">
        <v>14.53</v>
      </c>
      <c r="C48" s="100">
        <v>8.48</v>
      </c>
      <c r="D48" s="100">
        <v>23.02</v>
      </c>
      <c r="E48" s="100">
        <v>7.73</v>
      </c>
      <c r="F48" s="100">
        <v>2.77</v>
      </c>
      <c r="G48" s="100">
        <v>53.99</v>
      </c>
      <c r="H48" s="100">
        <v>16.079999999999998</v>
      </c>
      <c r="I48" s="100">
        <v>5.9</v>
      </c>
      <c r="J48" s="100">
        <v>0.65</v>
      </c>
      <c r="K48" s="100">
        <v>31.98</v>
      </c>
      <c r="L48" s="100">
        <v>9.08</v>
      </c>
      <c r="M48" s="100">
        <v>-0.96</v>
      </c>
      <c r="N48" s="100">
        <v>233.3</v>
      </c>
      <c r="O48" s="100">
        <v>0</v>
      </c>
      <c r="P48" s="100">
        <v>0.32</v>
      </c>
      <c r="Q48" s="100">
        <v>11.7</v>
      </c>
      <c r="R48" s="6"/>
      <c r="S48" s="6"/>
      <c r="T48" s="156"/>
      <c r="U48" s="6"/>
    </row>
    <row r="49" spans="1:21" customFormat="1">
      <c r="A49" s="201" t="s">
        <v>2681</v>
      </c>
      <c r="B49" s="100">
        <v>14.3</v>
      </c>
      <c r="C49" s="100">
        <v>8.51</v>
      </c>
      <c r="D49" s="100">
        <v>22.8</v>
      </c>
      <c r="E49" s="100">
        <v>5.79</v>
      </c>
      <c r="F49" s="100">
        <v>4.0599999999999996</v>
      </c>
      <c r="G49" s="100">
        <v>53.99</v>
      </c>
      <c r="H49" s="100">
        <v>16.079999999999998</v>
      </c>
      <c r="I49" s="100">
        <v>5.89</v>
      </c>
      <c r="J49" s="100">
        <v>0.53</v>
      </c>
      <c r="K49" s="100">
        <v>35.729999999999997</v>
      </c>
      <c r="L49" s="100">
        <v>11.57</v>
      </c>
      <c r="M49" s="100">
        <v>5.1100000000000003</v>
      </c>
      <c r="N49" s="100">
        <v>272.10000000000002</v>
      </c>
      <c r="O49" s="100">
        <v>0</v>
      </c>
      <c r="P49" s="100">
        <v>0.35</v>
      </c>
      <c r="Q49" s="100">
        <v>10.42</v>
      </c>
      <c r="R49" s="6"/>
      <c r="S49" s="6"/>
      <c r="T49" s="156"/>
      <c r="U49" s="6"/>
    </row>
    <row r="50" spans="1:21" customFormat="1">
      <c r="A50" s="201" t="s">
        <v>2682</v>
      </c>
      <c r="B50" s="100">
        <v>13.76</v>
      </c>
      <c r="C50" s="100">
        <v>8.73</v>
      </c>
      <c r="D50" s="100">
        <v>22.49</v>
      </c>
      <c r="E50" s="100">
        <v>7.54</v>
      </c>
      <c r="F50" s="100">
        <v>7.24</v>
      </c>
      <c r="G50" s="100">
        <v>55.43</v>
      </c>
      <c r="H50" s="100">
        <v>16.28</v>
      </c>
      <c r="I50" s="100">
        <v>5.92</v>
      </c>
      <c r="J50" s="100">
        <v>0.66</v>
      </c>
      <c r="K50" s="100">
        <v>33.630000000000003</v>
      </c>
      <c r="L50" s="100">
        <v>9.85</v>
      </c>
      <c r="M50" s="100">
        <v>-0.51</v>
      </c>
      <c r="N50" s="100">
        <v>296.89999999999998</v>
      </c>
      <c r="O50" s="100">
        <v>0</v>
      </c>
      <c r="P50" s="100">
        <v>0.35</v>
      </c>
      <c r="Q50" s="100">
        <v>10.53</v>
      </c>
      <c r="R50" s="6"/>
      <c r="S50" s="6"/>
      <c r="T50" s="156"/>
      <c r="U50" s="6"/>
    </row>
    <row r="51" spans="1:21" customFormat="1">
      <c r="A51" s="201" t="s">
        <v>2683</v>
      </c>
      <c r="B51" s="100">
        <v>13.16</v>
      </c>
      <c r="C51" s="100">
        <v>8.67</v>
      </c>
      <c r="D51" s="100">
        <v>21.82</v>
      </c>
      <c r="E51" s="100">
        <v>7.74</v>
      </c>
      <c r="F51" s="100">
        <v>7.14</v>
      </c>
      <c r="G51" s="100">
        <v>56.54</v>
      </c>
      <c r="H51" s="100">
        <v>16.34</v>
      </c>
      <c r="I51" s="100">
        <v>6.14</v>
      </c>
      <c r="J51" s="100">
        <v>0.66</v>
      </c>
      <c r="K51" s="100">
        <v>36.520000000000003</v>
      </c>
      <c r="L51" s="100">
        <v>13.52</v>
      </c>
      <c r="M51" s="100">
        <v>1.19</v>
      </c>
      <c r="N51" s="100">
        <v>619.4</v>
      </c>
      <c r="O51" s="100">
        <v>0</v>
      </c>
      <c r="P51" s="100">
        <v>0.34</v>
      </c>
      <c r="Q51" s="100">
        <v>12.22</v>
      </c>
      <c r="R51" s="6"/>
      <c r="S51" s="6"/>
      <c r="T51" s="156"/>
      <c r="U51" s="6"/>
    </row>
    <row r="52" spans="1:21" customFormat="1">
      <c r="A52" s="201" t="s">
        <v>2684</v>
      </c>
      <c r="B52" s="100">
        <v>12.62</v>
      </c>
      <c r="C52" s="100">
        <v>8.65</v>
      </c>
      <c r="D52" s="100">
        <v>21.27</v>
      </c>
      <c r="E52" s="100">
        <v>6.96</v>
      </c>
      <c r="F52" s="100">
        <v>10.98</v>
      </c>
      <c r="G52" s="100">
        <v>56.54</v>
      </c>
      <c r="H52" s="100">
        <v>16.34</v>
      </c>
      <c r="I52" s="100">
        <v>6.04</v>
      </c>
      <c r="J52" s="100">
        <v>0.55000000000000004</v>
      </c>
      <c r="K52" s="100">
        <v>25.76</v>
      </c>
      <c r="L52" s="100">
        <v>16.37</v>
      </c>
      <c r="M52" s="100">
        <v>10.71</v>
      </c>
      <c r="N52" s="100">
        <v>515</v>
      </c>
      <c r="O52" s="100">
        <v>0</v>
      </c>
      <c r="P52" s="100">
        <v>0.36</v>
      </c>
      <c r="Q52" s="100">
        <v>11.11</v>
      </c>
      <c r="R52" s="6"/>
      <c r="S52" s="6"/>
      <c r="T52" s="156"/>
      <c r="U52" s="6"/>
    </row>
    <row r="53" spans="1:21" customFormat="1">
      <c r="A53" s="201" t="s">
        <v>2685</v>
      </c>
      <c r="B53" s="100">
        <v>10.42</v>
      </c>
      <c r="C53" s="100">
        <v>10.71</v>
      </c>
      <c r="D53" s="100">
        <v>21.13</v>
      </c>
      <c r="E53" s="100">
        <v>6.6</v>
      </c>
      <c r="F53" s="100">
        <v>12.37</v>
      </c>
      <c r="G53" s="100">
        <v>56.54</v>
      </c>
      <c r="H53" s="100">
        <v>16.34</v>
      </c>
      <c r="I53" s="100">
        <v>5.93</v>
      </c>
      <c r="J53" s="100">
        <v>0.63</v>
      </c>
      <c r="K53" s="100">
        <v>25.26</v>
      </c>
      <c r="L53" s="100">
        <v>13.93</v>
      </c>
      <c r="M53" s="100">
        <v>9.7100000000000009</v>
      </c>
      <c r="N53" s="100">
        <v>294.89999999999998</v>
      </c>
      <c r="O53" s="100">
        <v>0</v>
      </c>
      <c r="P53" s="100">
        <v>0.38</v>
      </c>
      <c r="Q53" s="100">
        <v>11.65</v>
      </c>
      <c r="R53" s="6"/>
      <c r="S53" s="6"/>
      <c r="T53" s="156"/>
      <c r="U53" s="6"/>
    </row>
    <row r="54" spans="1:21" customFormat="1">
      <c r="A54" s="201" t="s">
        <v>2686</v>
      </c>
      <c r="B54" s="100">
        <v>8.6199999999999992</v>
      </c>
      <c r="C54" s="100">
        <v>12.38</v>
      </c>
      <c r="D54" s="100">
        <v>21</v>
      </c>
      <c r="E54" s="100">
        <v>6.55</v>
      </c>
      <c r="F54" s="100">
        <v>9.3000000000000007</v>
      </c>
      <c r="G54" s="100">
        <v>54.67</v>
      </c>
      <c r="H54" s="100">
        <v>18.829999999999998</v>
      </c>
      <c r="I54" s="100">
        <v>5.86</v>
      </c>
      <c r="J54" s="100">
        <v>0.61</v>
      </c>
      <c r="K54" s="100">
        <v>34.85</v>
      </c>
      <c r="L54" s="100">
        <v>13.87</v>
      </c>
      <c r="M54" s="100">
        <v>3.72</v>
      </c>
      <c r="N54" s="100">
        <v>546.1</v>
      </c>
      <c r="O54" s="100">
        <v>0</v>
      </c>
      <c r="P54" s="100">
        <v>0.4</v>
      </c>
      <c r="Q54" s="100">
        <v>12.53</v>
      </c>
      <c r="R54" s="6"/>
      <c r="S54" s="6"/>
      <c r="T54" s="156"/>
      <c r="U54" s="6"/>
    </row>
    <row r="55" spans="1:21" customFormat="1">
      <c r="A55" s="201" t="s">
        <v>2687</v>
      </c>
      <c r="B55" s="100">
        <v>6.48</v>
      </c>
      <c r="C55" s="100">
        <v>12.16</v>
      </c>
      <c r="D55" s="100">
        <v>18.64</v>
      </c>
      <c r="E55" s="100">
        <v>7.3</v>
      </c>
      <c r="F55" s="100">
        <v>12.15</v>
      </c>
      <c r="G55" s="100">
        <v>53.25</v>
      </c>
      <c r="H55" s="100">
        <v>20.3</v>
      </c>
      <c r="I55" s="100">
        <v>6.11</v>
      </c>
      <c r="J55" s="100">
        <v>0.62</v>
      </c>
      <c r="K55" s="100">
        <v>39.119999999999997</v>
      </c>
      <c r="L55" s="100">
        <v>14.13</v>
      </c>
      <c r="M55" s="100">
        <v>2.61</v>
      </c>
      <c r="N55" s="100">
        <v>620.70000000000005</v>
      </c>
      <c r="O55" s="100">
        <v>0</v>
      </c>
      <c r="P55" s="100">
        <v>0.39</v>
      </c>
      <c r="Q55" s="100">
        <v>12.26</v>
      </c>
      <c r="R55" s="6"/>
      <c r="S55" s="6"/>
      <c r="T55" s="156"/>
      <c r="U55" s="6"/>
    </row>
    <row r="56" spans="1:21" customFormat="1">
      <c r="A56" s="201" t="s">
        <v>2688</v>
      </c>
      <c r="B56" s="100">
        <v>4.96</v>
      </c>
      <c r="C56" s="100">
        <v>12.64</v>
      </c>
      <c r="D56" s="100">
        <v>17.600000000000001</v>
      </c>
      <c r="E56" s="100">
        <v>7.17</v>
      </c>
      <c r="F56" s="100">
        <v>13.07</v>
      </c>
      <c r="G56" s="100">
        <v>53.25</v>
      </c>
      <c r="H56" s="100">
        <v>20.3</v>
      </c>
      <c r="I56" s="100">
        <v>6.41</v>
      </c>
      <c r="J56" s="100">
        <v>0.62</v>
      </c>
      <c r="K56" s="100">
        <v>35.14</v>
      </c>
      <c r="L56" s="100">
        <v>12.54</v>
      </c>
      <c r="M56" s="100">
        <v>2.5499999999999998</v>
      </c>
      <c r="N56" s="100">
        <v>452.8</v>
      </c>
      <c r="O56" s="100">
        <v>0</v>
      </c>
      <c r="P56" s="100">
        <v>0.38</v>
      </c>
      <c r="Q56" s="100">
        <v>10.59</v>
      </c>
      <c r="R56" s="6"/>
      <c r="S56" s="6"/>
      <c r="T56" s="156"/>
      <c r="U56" s="6"/>
    </row>
    <row r="57" spans="1:21" customFormat="1">
      <c r="A57" s="201" t="s">
        <v>2689</v>
      </c>
      <c r="B57" s="100">
        <v>3.94</v>
      </c>
      <c r="C57" s="100">
        <v>12.66</v>
      </c>
      <c r="D57" s="100">
        <v>16.600000000000001</v>
      </c>
      <c r="E57" s="100">
        <v>7.37</v>
      </c>
      <c r="F57" s="100">
        <v>12.98</v>
      </c>
      <c r="G57" s="100">
        <v>53.25</v>
      </c>
      <c r="H57" s="100">
        <v>20.3</v>
      </c>
      <c r="I57" s="100">
        <v>5.85</v>
      </c>
      <c r="J57" s="100">
        <v>0.66</v>
      </c>
      <c r="K57" s="100">
        <v>34.64</v>
      </c>
      <c r="L57" s="100">
        <v>13.16</v>
      </c>
      <c r="M57" s="100">
        <v>0.71</v>
      </c>
      <c r="N57" s="100">
        <v>600.20000000000005</v>
      </c>
      <c r="O57" s="100">
        <v>0</v>
      </c>
      <c r="P57" s="100">
        <v>0.36</v>
      </c>
      <c r="Q57" s="100">
        <v>17.82</v>
      </c>
      <c r="R57" s="6"/>
      <c r="S57" s="6"/>
      <c r="T57" s="156"/>
      <c r="U57" s="6"/>
    </row>
    <row r="58" spans="1:21" customFormat="1">
      <c r="A58" s="201" t="s">
        <v>2690</v>
      </c>
      <c r="B58" s="100">
        <v>3.22</v>
      </c>
      <c r="C58" s="100">
        <v>12.67</v>
      </c>
      <c r="D58" s="100">
        <v>15.89</v>
      </c>
      <c r="E58" s="100">
        <v>6.31</v>
      </c>
      <c r="F58" s="100">
        <v>21.38</v>
      </c>
      <c r="G58" s="100">
        <v>53.02</v>
      </c>
      <c r="H58" s="100">
        <v>16.59</v>
      </c>
      <c r="I58" s="100">
        <v>5.82</v>
      </c>
      <c r="J58" s="100">
        <v>0.59</v>
      </c>
      <c r="K58" s="100">
        <v>30.53</v>
      </c>
      <c r="L58" s="100">
        <v>13.98</v>
      </c>
      <c r="M58" s="100">
        <v>2.89</v>
      </c>
      <c r="N58" s="100">
        <v>590.20000000000005</v>
      </c>
      <c r="O58" s="100">
        <v>0</v>
      </c>
      <c r="P58" s="100">
        <v>0.35</v>
      </c>
      <c r="Q58" s="100">
        <v>11.37</v>
      </c>
      <c r="R58" s="6"/>
      <c r="S58" s="6"/>
      <c r="T58" s="156"/>
      <c r="U58" s="6"/>
    </row>
    <row r="59" spans="1:21" customFormat="1">
      <c r="A59" s="201" t="s">
        <v>2691</v>
      </c>
      <c r="B59" s="100">
        <v>2.7</v>
      </c>
      <c r="C59" s="100">
        <v>12.28</v>
      </c>
      <c r="D59" s="100">
        <v>14.99</v>
      </c>
      <c r="E59" s="100">
        <v>6.24</v>
      </c>
      <c r="F59" s="100">
        <v>20.079999999999998</v>
      </c>
      <c r="G59" s="100">
        <v>52.85</v>
      </c>
      <c r="H59" s="100">
        <v>15.43</v>
      </c>
      <c r="I59" s="100">
        <v>5.92</v>
      </c>
      <c r="J59" s="100">
        <v>0.62</v>
      </c>
      <c r="K59" s="100">
        <v>36.799999999999997</v>
      </c>
      <c r="L59" s="100">
        <v>11.76</v>
      </c>
      <c r="M59" s="100">
        <v>4.3899999999999997</v>
      </c>
      <c r="N59" s="100">
        <v>291.2</v>
      </c>
      <c r="O59" s="100">
        <v>0</v>
      </c>
      <c r="P59" s="100">
        <v>0.34</v>
      </c>
      <c r="Q59" s="100">
        <v>12.64</v>
      </c>
      <c r="R59" s="6"/>
      <c r="S59" s="6"/>
      <c r="T59" s="156"/>
      <c r="U59" s="6"/>
    </row>
    <row r="60" spans="1:21" customFormat="1">
      <c r="A60" s="201" t="s">
        <v>2692</v>
      </c>
      <c r="B60" s="100">
        <v>2.5299999999999998</v>
      </c>
      <c r="C60" s="100">
        <v>11.99</v>
      </c>
      <c r="D60" s="100">
        <v>14.51</v>
      </c>
      <c r="E60" s="100">
        <v>5.83</v>
      </c>
      <c r="F60" s="100">
        <v>15.65</v>
      </c>
      <c r="G60" s="100">
        <v>52.85</v>
      </c>
      <c r="H60" s="100">
        <v>15.43</v>
      </c>
      <c r="I60" s="100">
        <v>6.04</v>
      </c>
      <c r="J60" s="100">
        <v>0.56000000000000005</v>
      </c>
      <c r="K60" s="100">
        <v>46.89</v>
      </c>
      <c r="L60" s="100">
        <v>11.93</v>
      </c>
      <c r="M60" s="100">
        <v>4.2</v>
      </c>
      <c r="N60" s="100">
        <v>320.60000000000002</v>
      </c>
      <c r="O60" s="100">
        <v>0</v>
      </c>
      <c r="P60" s="100">
        <v>0.34</v>
      </c>
      <c r="Q60" s="100">
        <v>10.58</v>
      </c>
      <c r="R60" s="6"/>
      <c r="S60" s="6"/>
      <c r="T60" s="156"/>
      <c r="U60" s="6"/>
    </row>
    <row r="61" spans="1:21" customFormat="1">
      <c r="A61" s="201" t="s">
        <v>2693</v>
      </c>
      <c r="B61" s="100">
        <v>2.66</v>
      </c>
      <c r="C61" s="100">
        <v>11.71</v>
      </c>
      <c r="D61" s="100">
        <v>14.36</v>
      </c>
      <c r="E61" s="100">
        <v>6.26</v>
      </c>
      <c r="F61" s="100">
        <v>23.05</v>
      </c>
      <c r="G61" s="100">
        <v>52.85</v>
      </c>
      <c r="H61" s="100">
        <v>15.43</v>
      </c>
      <c r="I61" s="100">
        <v>5.36</v>
      </c>
      <c r="J61" s="100">
        <v>0.68</v>
      </c>
      <c r="K61" s="100">
        <v>19.37</v>
      </c>
      <c r="L61" s="100">
        <v>11.93</v>
      </c>
      <c r="M61" s="100">
        <v>6.62</v>
      </c>
      <c r="N61" s="100">
        <v>211.5</v>
      </c>
      <c r="O61" s="100">
        <v>0</v>
      </c>
      <c r="P61" s="100">
        <v>0.34</v>
      </c>
      <c r="Q61" s="100">
        <v>10.76</v>
      </c>
      <c r="R61" s="6"/>
      <c r="S61" s="6"/>
      <c r="T61" s="156"/>
      <c r="U61" s="6"/>
    </row>
    <row r="62" spans="1:21" customFormat="1">
      <c r="A62" s="201" t="s">
        <v>2694</v>
      </c>
      <c r="B62" s="100">
        <v>3.06</v>
      </c>
      <c r="C62" s="100">
        <v>11.97</v>
      </c>
      <c r="D62" s="100">
        <v>15.03</v>
      </c>
      <c r="E62" s="100">
        <v>5.55</v>
      </c>
      <c r="F62" s="100">
        <v>25.09</v>
      </c>
      <c r="G62" s="100">
        <v>51</v>
      </c>
      <c r="H62" s="100">
        <v>17.2</v>
      </c>
      <c r="I62" s="100">
        <v>4.9800000000000004</v>
      </c>
      <c r="J62" s="100">
        <v>0.75</v>
      </c>
      <c r="K62" s="100">
        <v>33.869999999999997</v>
      </c>
      <c r="L62" s="100">
        <v>11</v>
      </c>
      <c r="M62" s="100">
        <v>2.2400000000000002</v>
      </c>
      <c r="N62" s="100">
        <v>301.5</v>
      </c>
      <c r="O62" s="100">
        <v>0</v>
      </c>
      <c r="P62" s="100">
        <v>0.34</v>
      </c>
      <c r="Q62" s="100">
        <v>10.49</v>
      </c>
      <c r="R62" s="6"/>
      <c r="S62" s="6"/>
      <c r="T62" s="156"/>
      <c r="U62" s="6"/>
    </row>
    <row r="63" spans="1:21" customFormat="1">
      <c r="A63" s="201" t="s">
        <v>2695</v>
      </c>
      <c r="B63" s="100">
        <v>2.0699999999999998</v>
      </c>
      <c r="C63" s="100">
        <v>12.57</v>
      </c>
      <c r="D63" s="100">
        <v>14.64</v>
      </c>
      <c r="E63" s="100">
        <v>5.82</v>
      </c>
      <c r="F63" s="100">
        <v>17.670000000000002</v>
      </c>
      <c r="G63" s="100">
        <v>49.58</v>
      </c>
      <c r="H63" s="100">
        <v>17.75</v>
      </c>
      <c r="I63" s="100">
        <v>5.09</v>
      </c>
      <c r="J63" s="100">
        <v>0.41</v>
      </c>
      <c r="K63" s="100">
        <v>46.02</v>
      </c>
      <c r="L63" s="100">
        <v>12.88</v>
      </c>
      <c r="M63" s="100">
        <v>8.0500000000000007</v>
      </c>
      <c r="N63" s="100">
        <v>258.10000000000002</v>
      </c>
      <c r="O63" s="100">
        <v>0</v>
      </c>
      <c r="P63" s="100">
        <v>0.33</v>
      </c>
      <c r="Q63" s="100">
        <v>14.49</v>
      </c>
      <c r="R63" s="6"/>
      <c r="S63" s="6"/>
      <c r="T63" s="156"/>
      <c r="U63" s="6"/>
    </row>
    <row r="64" spans="1:21" customFormat="1">
      <c r="A64" s="201" t="s">
        <v>2696</v>
      </c>
      <c r="B64" s="100">
        <v>1.81</v>
      </c>
      <c r="C64" s="100">
        <v>11.6</v>
      </c>
      <c r="D64" s="100">
        <v>13.41</v>
      </c>
      <c r="E64" s="100">
        <v>4.72</v>
      </c>
      <c r="F64" s="100">
        <v>9.19</v>
      </c>
      <c r="G64" s="100">
        <v>49.58</v>
      </c>
      <c r="H64" s="100">
        <v>17.75</v>
      </c>
      <c r="I64" s="100">
        <v>5.58</v>
      </c>
      <c r="J64" s="100">
        <v>0.81</v>
      </c>
      <c r="K64" s="100">
        <v>30.21</v>
      </c>
      <c r="L64" s="100">
        <v>9.3699999999999992</v>
      </c>
      <c r="M64" s="100">
        <v>1.68</v>
      </c>
      <c r="N64" s="100">
        <v>148.80000000000001</v>
      </c>
      <c r="O64" s="100">
        <v>0</v>
      </c>
      <c r="P64" s="100">
        <v>0.34</v>
      </c>
      <c r="Q64" s="100">
        <v>11.05</v>
      </c>
      <c r="R64" s="6"/>
      <c r="S64" s="6"/>
      <c r="T64" s="156"/>
      <c r="U64" s="6"/>
    </row>
    <row r="65" spans="1:21" customFormat="1">
      <c r="A65" s="201" t="s">
        <v>2697</v>
      </c>
      <c r="B65" s="100">
        <v>2.64</v>
      </c>
      <c r="C65" s="100">
        <v>11.81</v>
      </c>
      <c r="D65" s="100">
        <v>14.45</v>
      </c>
      <c r="E65" s="100">
        <v>5.48</v>
      </c>
      <c r="F65" s="100">
        <v>14.01</v>
      </c>
      <c r="G65" s="100">
        <v>49.58</v>
      </c>
      <c r="H65" s="100">
        <v>17.75</v>
      </c>
      <c r="I65" s="100">
        <v>5.22</v>
      </c>
      <c r="J65" s="100">
        <v>0.71</v>
      </c>
      <c r="K65" s="100">
        <v>33.17</v>
      </c>
      <c r="L65" s="100">
        <v>9.4600000000000009</v>
      </c>
      <c r="M65" s="100">
        <v>2.12</v>
      </c>
      <c r="N65" s="100">
        <v>142.6</v>
      </c>
      <c r="O65" s="100">
        <v>0</v>
      </c>
      <c r="P65" s="100">
        <v>0.23</v>
      </c>
      <c r="Q65" s="100">
        <v>11.67</v>
      </c>
      <c r="R65" s="6"/>
      <c r="S65" s="6"/>
      <c r="T65" s="156"/>
      <c r="U65" s="6"/>
    </row>
    <row r="66" spans="1:21" customFormat="1">
      <c r="A66" s="201" t="s">
        <v>2698</v>
      </c>
      <c r="B66" s="100">
        <v>2.8</v>
      </c>
      <c r="C66" s="100">
        <v>12.03</v>
      </c>
      <c r="D66" s="100">
        <v>14.83</v>
      </c>
      <c r="E66" s="100">
        <v>5.76</v>
      </c>
      <c r="F66" s="100">
        <v>15.82</v>
      </c>
      <c r="G66" s="100">
        <v>52.29</v>
      </c>
      <c r="H66" s="100">
        <v>25.57</v>
      </c>
      <c r="I66" s="100">
        <v>5.57</v>
      </c>
      <c r="J66" s="100">
        <v>0.59</v>
      </c>
      <c r="K66" s="100">
        <v>34.770000000000003</v>
      </c>
      <c r="L66" s="100">
        <v>9.11</v>
      </c>
      <c r="M66" s="100">
        <v>0.67</v>
      </c>
      <c r="N66" s="100">
        <v>165.1</v>
      </c>
      <c r="O66" s="100">
        <v>0</v>
      </c>
      <c r="P66" s="100">
        <v>0.25</v>
      </c>
      <c r="Q66" s="100">
        <v>13.02</v>
      </c>
      <c r="R66" s="6"/>
      <c r="S66" s="6"/>
      <c r="T66" s="156"/>
      <c r="U66" s="6"/>
    </row>
    <row r="67" spans="1:21" customFormat="1">
      <c r="A67" s="201" t="s">
        <v>2699</v>
      </c>
      <c r="B67" s="100">
        <v>2.65</v>
      </c>
      <c r="C67" s="100">
        <v>11.91</v>
      </c>
      <c r="D67" s="100">
        <v>14.57</v>
      </c>
      <c r="E67" s="100">
        <v>5.94</v>
      </c>
      <c r="F67" s="100">
        <v>18.37</v>
      </c>
      <c r="G67" s="100">
        <v>54.36</v>
      </c>
      <c r="H67" s="100">
        <v>28.02</v>
      </c>
      <c r="I67" s="100">
        <v>6</v>
      </c>
      <c r="J67" s="100">
        <v>0.81</v>
      </c>
      <c r="K67" s="100">
        <v>20.3</v>
      </c>
      <c r="L67" s="100">
        <v>11.66</v>
      </c>
      <c r="M67" s="100">
        <v>7.76</v>
      </c>
      <c r="N67" s="100">
        <v>132.9</v>
      </c>
      <c r="O67" s="100">
        <v>0</v>
      </c>
      <c r="P67" s="100">
        <v>0.25</v>
      </c>
      <c r="Q67" s="100">
        <v>10.58</v>
      </c>
      <c r="R67" s="6"/>
      <c r="S67" s="6"/>
      <c r="T67" s="156"/>
      <c r="U67" s="6"/>
    </row>
    <row r="68" spans="1:21" customFormat="1">
      <c r="A68" s="201" t="s">
        <v>2700</v>
      </c>
      <c r="B68" s="100">
        <v>3.73</v>
      </c>
      <c r="C68" s="100">
        <v>13.28</v>
      </c>
      <c r="D68" s="100">
        <v>17.010000000000002</v>
      </c>
      <c r="E68" s="100">
        <v>5.81</v>
      </c>
      <c r="F68" s="100">
        <v>18.309999999999999</v>
      </c>
      <c r="G68" s="100">
        <v>54.36</v>
      </c>
      <c r="H68" s="100">
        <v>28.02</v>
      </c>
      <c r="I68" s="100">
        <v>5.99</v>
      </c>
      <c r="J68" s="100">
        <v>0.73</v>
      </c>
      <c r="K68" s="100">
        <v>25.46</v>
      </c>
      <c r="L68" s="100">
        <v>9.8699999999999992</v>
      </c>
      <c r="M68" s="100">
        <v>3.67</v>
      </c>
      <c r="N68" s="100">
        <v>118.4</v>
      </c>
      <c r="O68" s="100">
        <v>0</v>
      </c>
      <c r="P68" s="100">
        <v>0.24</v>
      </c>
      <c r="Q68" s="100">
        <v>13.67</v>
      </c>
      <c r="R68" s="6"/>
      <c r="S68" s="6"/>
      <c r="T68" s="156"/>
      <c r="U68" s="6"/>
    </row>
    <row r="69" spans="1:21" customFormat="1">
      <c r="A69" s="201" t="s">
        <v>2701</v>
      </c>
      <c r="B69" s="100">
        <v>2.67</v>
      </c>
      <c r="C69" s="100">
        <v>12.07</v>
      </c>
      <c r="D69" s="100">
        <v>14.75</v>
      </c>
      <c r="E69" s="100">
        <v>5.0999999999999996</v>
      </c>
      <c r="F69" s="100">
        <v>22.55</v>
      </c>
      <c r="G69" s="100">
        <v>54.36</v>
      </c>
      <c r="H69" s="100">
        <v>28.02</v>
      </c>
      <c r="I69" s="100">
        <v>5.9</v>
      </c>
      <c r="J69" s="100">
        <v>0.6</v>
      </c>
      <c r="K69" s="100">
        <v>42.99</v>
      </c>
      <c r="L69" s="100">
        <v>9.11</v>
      </c>
      <c r="M69" s="100">
        <v>2.61</v>
      </c>
      <c r="N69" s="100">
        <v>84.6</v>
      </c>
      <c r="O69" s="100">
        <v>0</v>
      </c>
      <c r="P69" s="100">
        <v>0.24</v>
      </c>
      <c r="Q69" s="100">
        <v>12.65</v>
      </c>
      <c r="R69" s="6"/>
      <c r="S69" s="6"/>
      <c r="T69" s="156"/>
      <c r="U69" s="6"/>
    </row>
    <row r="70" spans="1:21" customFormat="1">
      <c r="A70" s="201" t="s">
        <v>2702</v>
      </c>
      <c r="B70" s="100">
        <v>2.34</v>
      </c>
      <c r="C70" s="100">
        <v>11.78</v>
      </c>
      <c r="D70" s="100">
        <v>14.12</v>
      </c>
      <c r="E70" s="100">
        <v>4.8600000000000003</v>
      </c>
      <c r="F70" s="100">
        <v>14.29</v>
      </c>
      <c r="G70" s="100">
        <v>52.22</v>
      </c>
      <c r="H70" s="100">
        <v>25.3</v>
      </c>
      <c r="I70" s="100">
        <v>5.82</v>
      </c>
      <c r="J70" s="100">
        <v>0.45</v>
      </c>
      <c r="K70" s="100">
        <v>40.92</v>
      </c>
      <c r="L70" s="100">
        <v>8.52</v>
      </c>
      <c r="M70" s="100">
        <v>2.06</v>
      </c>
      <c r="N70" s="100">
        <v>47.1</v>
      </c>
      <c r="O70" s="100">
        <v>0</v>
      </c>
      <c r="P70" s="100">
        <v>0.25</v>
      </c>
      <c r="Q70" s="100">
        <v>12.86</v>
      </c>
      <c r="R70" s="6"/>
      <c r="S70" s="6"/>
      <c r="T70" s="156"/>
      <c r="U70" s="6"/>
    </row>
    <row r="71" spans="1:21" customFormat="1">
      <c r="A71" s="201" t="s">
        <v>2703</v>
      </c>
      <c r="B71" s="100">
        <v>2.23</v>
      </c>
      <c r="C71" s="100">
        <v>11.55</v>
      </c>
      <c r="D71" s="100">
        <v>13.78</v>
      </c>
      <c r="E71" s="100">
        <v>4.79</v>
      </c>
      <c r="F71" s="100">
        <v>14.44</v>
      </c>
      <c r="G71" s="100">
        <v>50.65</v>
      </c>
      <c r="H71" s="100">
        <v>23.74</v>
      </c>
      <c r="I71" s="100">
        <v>6.04</v>
      </c>
      <c r="J71" s="100">
        <v>0.39</v>
      </c>
      <c r="K71" s="100">
        <v>51.31</v>
      </c>
      <c r="L71" s="100">
        <v>8.81</v>
      </c>
      <c r="M71" s="100">
        <v>3.01</v>
      </c>
      <c r="N71" s="100">
        <v>38.6</v>
      </c>
      <c r="O71" s="100">
        <v>0</v>
      </c>
      <c r="P71" s="100">
        <v>0.24</v>
      </c>
      <c r="Q71" s="100">
        <v>14.34</v>
      </c>
      <c r="R71" s="6"/>
      <c r="S71" s="6"/>
      <c r="T71" s="156"/>
      <c r="U71" s="6"/>
    </row>
    <row r="72" spans="1:21" customFormat="1">
      <c r="A72" s="201" t="s">
        <v>2704</v>
      </c>
      <c r="B72" s="100">
        <v>2.21</v>
      </c>
      <c r="C72" s="100">
        <v>10.56</v>
      </c>
      <c r="D72" s="100">
        <v>12.77</v>
      </c>
      <c r="E72" s="100">
        <v>4.82</v>
      </c>
      <c r="F72" s="100">
        <v>8.85</v>
      </c>
      <c r="G72" s="100">
        <v>50.65</v>
      </c>
      <c r="H72" s="100">
        <v>23.74</v>
      </c>
      <c r="I72" s="100">
        <v>5.32</v>
      </c>
      <c r="J72" s="100">
        <v>0.63</v>
      </c>
      <c r="K72" s="100">
        <v>37.880000000000003</v>
      </c>
      <c r="L72" s="100">
        <v>9.18</v>
      </c>
      <c r="M72" s="100">
        <v>4.26</v>
      </c>
      <c r="N72" s="100">
        <v>24.2</v>
      </c>
      <c r="O72" s="100">
        <v>0</v>
      </c>
      <c r="P72" s="100">
        <v>0.26</v>
      </c>
      <c r="Q72" s="100">
        <v>14.66</v>
      </c>
      <c r="R72" s="6"/>
      <c r="S72" s="6"/>
      <c r="T72" s="156"/>
      <c r="U72" s="6"/>
    </row>
    <row r="73" spans="1:21" customFormat="1">
      <c r="A73" s="201" t="s">
        <v>2705</v>
      </c>
      <c r="B73" s="100">
        <v>2.5</v>
      </c>
      <c r="C73" s="100">
        <v>10.11</v>
      </c>
      <c r="D73" s="100">
        <v>12.61</v>
      </c>
      <c r="E73" s="100">
        <v>5.22</v>
      </c>
      <c r="F73" s="100">
        <v>14.29</v>
      </c>
      <c r="G73" s="100">
        <v>50.65</v>
      </c>
      <c r="H73" s="100">
        <v>23.74</v>
      </c>
      <c r="I73" s="100">
        <v>4.6500000000000004</v>
      </c>
      <c r="J73" s="100">
        <v>0.53</v>
      </c>
      <c r="K73" s="100">
        <v>52.01</v>
      </c>
      <c r="L73" s="100">
        <v>10.63</v>
      </c>
      <c r="M73" s="100">
        <v>7.85</v>
      </c>
      <c r="N73" s="100">
        <v>28.6</v>
      </c>
      <c r="O73" s="100">
        <v>0</v>
      </c>
      <c r="P73" s="100">
        <v>0.22</v>
      </c>
      <c r="Q73" s="100">
        <v>12.69</v>
      </c>
      <c r="R73" s="6"/>
      <c r="S73" s="6"/>
      <c r="T73" s="156"/>
      <c r="U73" s="6"/>
    </row>
    <row r="74" spans="1:21" customFormat="1">
      <c r="A74" s="201" t="s">
        <v>2706</v>
      </c>
      <c r="B74" s="100">
        <v>2.16</v>
      </c>
      <c r="C74" s="100">
        <v>10.56</v>
      </c>
      <c r="D74" s="100">
        <v>12.72</v>
      </c>
      <c r="E74" s="100">
        <v>5.07</v>
      </c>
      <c r="F74" s="100">
        <v>10.36</v>
      </c>
      <c r="G74" s="100">
        <v>53.95</v>
      </c>
      <c r="H74" s="100">
        <v>19.98</v>
      </c>
      <c r="I74" s="100">
        <v>5.29</v>
      </c>
      <c r="J74" s="100">
        <v>0.44</v>
      </c>
      <c r="K74" s="100">
        <v>55.17</v>
      </c>
      <c r="L74" s="100">
        <v>10.18</v>
      </c>
      <c r="M74" s="100">
        <v>6.63</v>
      </c>
      <c r="N74" s="100">
        <v>30.4</v>
      </c>
      <c r="O74" s="100">
        <v>0</v>
      </c>
      <c r="P74" s="100">
        <v>0.21</v>
      </c>
      <c r="Q74" s="100">
        <v>11.86</v>
      </c>
      <c r="R74" s="6"/>
      <c r="S74" s="6"/>
      <c r="T74" s="156"/>
      <c r="U74" s="6"/>
    </row>
    <row r="75" spans="1:21" customFormat="1">
      <c r="A75" s="201" t="s">
        <v>2707</v>
      </c>
      <c r="B75" s="100">
        <v>2.0699999999999998</v>
      </c>
      <c r="C75" s="100">
        <v>9.92</v>
      </c>
      <c r="D75" s="100">
        <v>11.98</v>
      </c>
      <c r="E75" s="100">
        <v>4.0199999999999996</v>
      </c>
      <c r="F75" s="100">
        <v>7.48</v>
      </c>
      <c r="G75" s="100">
        <v>56.37</v>
      </c>
      <c r="H75" s="100">
        <v>18.8</v>
      </c>
      <c r="I75" s="100">
        <v>5.1100000000000003</v>
      </c>
      <c r="J75" s="100">
        <v>0.28999999999999998</v>
      </c>
      <c r="K75" s="100">
        <v>63.86</v>
      </c>
      <c r="L75" s="100">
        <v>10.01</v>
      </c>
      <c r="M75" s="100">
        <v>6.46</v>
      </c>
      <c r="N75" s="100">
        <v>25.2</v>
      </c>
      <c r="O75" s="100">
        <v>0</v>
      </c>
      <c r="P75" s="100">
        <v>0.2</v>
      </c>
      <c r="Q75" s="100">
        <v>12.31</v>
      </c>
      <c r="R75" s="6"/>
      <c r="S75" s="6"/>
      <c r="T75" s="156"/>
      <c r="U75" s="6"/>
    </row>
    <row r="76" spans="1:21" customFormat="1">
      <c r="A76" s="201" t="s">
        <v>2708</v>
      </c>
      <c r="B76" s="100">
        <v>2.27</v>
      </c>
      <c r="C76" s="100">
        <v>9.6</v>
      </c>
      <c r="D76" s="100">
        <v>11.87</v>
      </c>
      <c r="E76" s="100">
        <v>4.24</v>
      </c>
      <c r="F76" s="100">
        <v>7.3</v>
      </c>
      <c r="G76" s="100">
        <v>56.37</v>
      </c>
      <c r="H76" s="100">
        <v>18.8</v>
      </c>
      <c r="I76" s="100">
        <v>4.95</v>
      </c>
      <c r="J76" s="100">
        <v>0.28999999999999998</v>
      </c>
      <c r="K76" s="100">
        <v>45.34</v>
      </c>
      <c r="L76" s="100">
        <v>11.06</v>
      </c>
      <c r="M76" s="100">
        <v>9.19</v>
      </c>
      <c r="N76" s="100">
        <v>15.7</v>
      </c>
      <c r="O76" s="100">
        <v>0</v>
      </c>
      <c r="P76" s="100">
        <v>0.19</v>
      </c>
      <c r="Q76" s="100">
        <v>12.81</v>
      </c>
      <c r="R76" s="6"/>
      <c r="S76" s="6"/>
      <c r="T76" s="156"/>
      <c r="U76" s="6"/>
    </row>
    <row r="77" spans="1:21" customFormat="1">
      <c r="A77" s="201" t="s">
        <v>2709</v>
      </c>
      <c r="B77" s="100">
        <v>2.5299999999999998</v>
      </c>
      <c r="C77" s="100">
        <v>9.91</v>
      </c>
      <c r="D77" s="100">
        <v>12.45</v>
      </c>
      <c r="E77" s="100">
        <v>4.17</v>
      </c>
      <c r="F77" s="100">
        <v>8.5399999999999991</v>
      </c>
      <c r="G77" s="100">
        <v>56.37</v>
      </c>
      <c r="H77" s="100">
        <v>18.8</v>
      </c>
      <c r="I77" s="100">
        <v>4.9800000000000004</v>
      </c>
      <c r="J77" s="100">
        <v>0.43</v>
      </c>
      <c r="K77" s="100">
        <v>53.32</v>
      </c>
      <c r="L77" s="100">
        <v>8.81</v>
      </c>
      <c r="M77" s="100">
        <v>3.75</v>
      </c>
      <c r="N77" s="100">
        <v>8.5</v>
      </c>
      <c r="O77" s="100">
        <v>0</v>
      </c>
      <c r="P77" s="100">
        <v>0.18</v>
      </c>
      <c r="Q77" s="100">
        <v>11.91</v>
      </c>
      <c r="R77" s="6"/>
      <c r="S77" s="6"/>
      <c r="T77" s="156"/>
      <c r="U77" s="6"/>
    </row>
    <row r="78" spans="1:21" customFormat="1">
      <c r="A78" s="201" t="s">
        <v>2710</v>
      </c>
      <c r="B78" s="100">
        <v>2.72</v>
      </c>
      <c r="C78" s="100">
        <v>10.26</v>
      </c>
      <c r="D78" s="100">
        <v>12.98</v>
      </c>
      <c r="E78" s="100">
        <v>4.07</v>
      </c>
      <c r="F78" s="100">
        <v>6.88</v>
      </c>
      <c r="G78" s="100">
        <v>58.33</v>
      </c>
      <c r="H78" s="100">
        <v>20</v>
      </c>
      <c r="I78" s="100">
        <v>4.96</v>
      </c>
      <c r="J78" s="100">
        <v>0.17</v>
      </c>
      <c r="K78" s="100">
        <v>69.89</v>
      </c>
      <c r="L78" s="100">
        <v>11.94</v>
      </c>
      <c r="M78" s="100">
        <v>12.58</v>
      </c>
      <c r="N78" s="100">
        <v>5</v>
      </c>
      <c r="O78" s="100">
        <v>0</v>
      </c>
      <c r="P78" s="100">
        <v>0.17</v>
      </c>
      <c r="Q78" s="100">
        <v>12.35</v>
      </c>
      <c r="R78" s="6"/>
      <c r="S78" s="6"/>
      <c r="T78" s="156"/>
      <c r="U78" s="6"/>
    </row>
    <row r="79" spans="1:21" customFormat="1">
      <c r="A79" s="201" t="s">
        <v>2711</v>
      </c>
      <c r="B79" s="100">
        <v>2.72</v>
      </c>
      <c r="C79" s="100">
        <v>8.92</v>
      </c>
      <c r="D79" s="100">
        <v>11.64</v>
      </c>
      <c r="E79" s="100">
        <v>4.18</v>
      </c>
      <c r="F79" s="100">
        <v>3.34</v>
      </c>
      <c r="G79" s="100">
        <v>59.77</v>
      </c>
      <c r="H79" s="100">
        <v>20.38</v>
      </c>
      <c r="I79" s="100">
        <v>4.95</v>
      </c>
      <c r="J79" s="100">
        <v>0.12</v>
      </c>
      <c r="K79" s="100">
        <v>115.72</v>
      </c>
      <c r="L79" s="100">
        <v>13.93</v>
      </c>
      <c r="M79" s="100">
        <v>16.809999999999999</v>
      </c>
      <c r="N79" s="100">
        <v>3.6</v>
      </c>
      <c r="O79" s="100">
        <v>0</v>
      </c>
      <c r="P79" s="100">
        <v>0.17</v>
      </c>
      <c r="Q79" s="100">
        <v>16.71</v>
      </c>
      <c r="R79" s="6"/>
      <c r="S79" s="6"/>
      <c r="T79" s="156"/>
      <c r="U79" s="6"/>
    </row>
    <row r="80" spans="1:21" customFormat="1">
      <c r="A80" s="201" t="s">
        <v>2712</v>
      </c>
      <c r="B80" s="100">
        <v>2.81</v>
      </c>
      <c r="C80" s="100">
        <v>8.15</v>
      </c>
      <c r="D80" s="100">
        <v>10.96</v>
      </c>
      <c r="E80" s="100">
        <v>4.46</v>
      </c>
      <c r="F80" s="100">
        <v>4.75</v>
      </c>
      <c r="G80" s="100">
        <v>59.77</v>
      </c>
      <c r="H80" s="100">
        <v>20.38</v>
      </c>
      <c r="I80" s="100">
        <v>4.9800000000000004</v>
      </c>
      <c r="J80" s="100">
        <v>0.12</v>
      </c>
      <c r="K80" s="100">
        <v>133.28</v>
      </c>
      <c r="L80" s="100">
        <v>17.010000000000002</v>
      </c>
      <c r="M80" s="100">
        <v>24.07</v>
      </c>
      <c r="N80" s="100">
        <v>2.5</v>
      </c>
      <c r="O80" s="100">
        <v>0.2</v>
      </c>
      <c r="P80" s="100">
        <v>0.19</v>
      </c>
      <c r="Q80" s="100">
        <v>14.29</v>
      </c>
      <c r="R80" s="6"/>
      <c r="S80" s="6"/>
      <c r="T80" s="156"/>
      <c r="U80" s="6"/>
    </row>
    <row r="81" spans="1:21" customFormat="1">
      <c r="A81" s="201" t="s">
        <v>2713</v>
      </c>
      <c r="B81" s="100">
        <v>2.8</v>
      </c>
      <c r="C81" s="100">
        <v>7.74</v>
      </c>
      <c r="D81" s="100">
        <v>10.54</v>
      </c>
      <c r="E81" s="100">
        <v>4.0599999999999996</v>
      </c>
      <c r="F81" s="100">
        <v>6.58</v>
      </c>
      <c r="G81" s="100">
        <v>59.77</v>
      </c>
      <c r="H81" s="100">
        <v>20.38</v>
      </c>
      <c r="I81" s="100">
        <v>5.14</v>
      </c>
      <c r="J81" s="100">
        <v>0.15</v>
      </c>
      <c r="K81" s="100">
        <v>168.83</v>
      </c>
      <c r="L81" s="100">
        <v>16.899999999999999</v>
      </c>
      <c r="M81" s="100">
        <v>24.37</v>
      </c>
      <c r="N81" s="100">
        <v>2.2999999999999998</v>
      </c>
      <c r="O81" s="100">
        <v>0</v>
      </c>
      <c r="P81" s="100">
        <v>0.18</v>
      </c>
      <c r="Q81" s="100">
        <v>12.78</v>
      </c>
      <c r="R81" s="6"/>
      <c r="S81" s="6"/>
      <c r="T81" s="156"/>
      <c r="U81" s="6"/>
    </row>
    <row r="82" spans="1:21" customFormat="1">
      <c r="A82" s="201" t="s">
        <v>2714</v>
      </c>
      <c r="B82" s="100">
        <v>2.78</v>
      </c>
      <c r="C82" s="100">
        <v>7.31</v>
      </c>
      <c r="D82" s="100">
        <v>10.09</v>
      </c>
      <c r="E82" s="100">
        <v>4.21</v>
      </c>
      <c r="F82" s="100">
        <v>10.7</v>
      </c>
      <c r="G82" s="100">
        <v>51.1</v>
      </c>
      <c r="H82" s="100">
        <v>19.260000000000002</v>
      </c>
      <c r="I82" s="100">
        <v>5.14</v>
      </c>
      <c r="J82" s="100">
        <v>0.15</v>
      </c>
      <c r="K82" s="100">
        <v>104.96</v>
      </c>
      <c r="L82" s="100">
        <v>13.23</v>
      </c>
      <c r="M82" s="100">
        <v>15.08</v>
      </c>
      <c r="N82" s="100">
        <v>2.2999999999999998</v>
      </c>
      <c r="O82" s="100">
        <v>0</v>
      </c>
      <c r="P82" s="100">
        <v>0.17</v>
      </c>
      <c r="Q82" s="100">
        <v>11.81</v>
      </c>
      <c r="R82" s="6"/>
      <c r="S82" s="6"/>
      <c r="T82" s="156"/>
      <c r="U82" s="6"/>
    </row>
    <row r="83" spans="1:21" customFormat="1">
      <c r="A83" s="201" t="s">
        <v>2715</v>
      </c>
      <c r="B83" s="100">
        <v>3.03</v>
      </c>
      <c r="C83" s="100">
        <v>6.75</v>
      </c>
      <c r="D83" s="100">
        <v>9.7799999999999994</v>
      </c>
      <c r="E83" s="100">
        <v>4.59</v>
      </c>
      <c r="F83" s="100">
        <v>3.81</v>
      </c>
      <c r="G83" s="100">
        <v>44.77</v>
      </c>
      <c r="H83" s="100">
        <v>18.91</v>
      </c>
      <c r="I83" s="100">
        <v>4.92</v>
      </c>
      <c r="J83" s="100">
        <v>0.1</v>
      </c>
      <c r="K83" s="100">
        <v>162.74</v>
      </c>
      <c r="L83" s="100">
        <v>18.600000000000001</v>
      </c>
      <c r="M83" s="100">
        <v>28.6</v>
      </c>
      <c r="N83" s="100">
        <v>2.4</v>
      </c>
      <c r="O83" s="100">
        <v>0</v>
      </c>
      <c r="P83" s="100">
        <v>0.17</v>
      </c>
      <c r="Q83" s="100">
        <v>13.35</v>
      </c>
      <c r="R83" s="6"/>
      <c r="S83" s="6"/>
      <c r="T83" s="156"/>
      <c r="U83" s="6"/>
    </row>
    <row r="84" spans="1:21" customFormat="1">
      <c r="A84" s="201" t="s">
        <v>2716</v>
      </c>
      <c r="B84" s="100">
        <v>3.2</v>
      </c>
      <c r="C84" s="100">
        <v>6.69</v>
      </c>
      <c r="D84" s="100">
        <v>9.89</v>
      </c>
      <c r="E84" s="100">
        <v>4.5999999999999996</v>
      </c>
      <c r="F84" s="100">
        <v>4.58</v>
      </c>
      <c r="G84" s="100">
        <v>44.77</v>
      </c>
      <c r="H84" s="100">
        <v>18.91</v>
      </c>
      <c r="I84" s="100">
        <v>4.82</v>
      </c>
      <c r="J84" s="100">
        <v>0.09</v>
      </c>
      <c r="K84" s="100">
        <v>206.6</v>
      </c>
      <c r="L84" s="100">
        <v>18.940000000000001</v>
      </c>
      <c r="M84" s="100">
        <v>29.51</v>
      </c>
      <c r="N84" s="100">
        <v>2.4</v>
      </c>
      <c r="O84" s="100">
        <v>0</v>
      </c>
      <c r="P84" s="100">
        <v>0.19</v>
      </c>
      <c r="Q84" s="100">
        <v>14.59</v>
      </c>
      <c r="R84" s="6"/>
      <c r="S84" s="6"/>
      <c r="T84" s="156"/>
      <c r="U84" s="6"/>
    </row>
    <row r="85" spans="1:21" customFormat="1">
      <c r="A85" s="201" t="s">
        <v>2717</v>
      </c>
      <c r="B85" s="100">
        <v>3.14</v>
      </c>
      <c r="C85" s="100">
        <v>6.33</v>
      </c>
      <c r="D85" s="100">
        <v>9.48</v>
      </c>
      <c r="E85" s="100">
        <v>4.74</v>
      </c>
      <c r="F85" s="100">
        <v>6.6</v>
      </c>
      <c r="G85" s="100">
        <v>44.77</v>
      </c>
      <c r="H85" s="100">
        <v>18.91</v>
      </c>
      <c r="I85" s="100">
        <v>4.9400000000000004</v>
      </c>
      <c r="J85" s="100">
        <v>0.12</v>
      </c>
      <c r="K85" s="100">
        <v>215.61</v>
      </c>
      <c r="L85" s="100">
        <v>19.07</v>
      </c>
      <c r="M85" s="100">
        <v>29.84</v>
      </c>
      <c r="N85" s="100">
        <v>2.2000000000000002</v>
      </c>
      <c r="O85" s="100">
        <v>0</v>
      </c>
      <c r="P85" s="100">
        <v>0.18</v>
      </c>
      <c r="Q85" s="100">
        <v>14.07</v>
      </c>
      <c r="R85" s="6"/>
      <c r="S85" s="6"/>
      <c r="T85" s="156"/>
      <c r="U85" s="6"/>
    </row>
    <row r="86" spans="1:21" customFormat="1">
      <c r="A86" s="201" t="s">
        <v>2718</v>
      </c>
      <c r="B86" s="100">
        <v>3.11</v>
      </c>
      <c r="C86" s="100">
        <v>6.01</v>
      </c>
      <c r="D86" s="100">
        <v>9.1199999999999992</v>
      </c>
      <c r="E86" s="100">
        <v>4.4000000000000004</v>
      </c>
      <c r="F86" s="100">
        <v>5.46</v>
      </c>
      <c r="G86" s="100">
        <v>41.68</v>
      </c>
      <c r="H86" s="100">
        <v>18.649999999999999</v>
      </c>
      <c r="I86" s="100">
        <v>4.99</v>
      </c>
      <c r="J86" s="100">
        <v>0.09</v>
      </c>
      <c r="K86" s="100">
        <v>153.34</v>
      </c>
      <c r="L86" s="100">
        <v>15.34</v>
      </c>
      <c r="M86" s="100">
        <v>20.48</v>
      </c>
      <c r="N86" s="100">
        <v>2.2999999999999998</v>
      </c>
      <c r="O86" s="100">
        <v>0</v>
      </c>
      <c r="P86" s="100">
        <v>0.16</v>
      </c>
      <c r="Q86" s="100">
        <v>19.55</v>
      </c>
      <c r="R86" s="6"/>
      <c r="S86" s="6"/>
      <c r="T86" s="156"/>
      <c r="U86" s="6"/>
    </row>
    <row r="87" spans="1:21" customFormat="1">
      <c r="A87" s="201" t="s">
        <v>2719</v>
      </c>
      <c r="B87" s="100">
        <v>3.45</v>
      </c>
      <c r="C87" s="100">
        <v>5.96</v>
      </c>
      <c r="D87" s="100">
        <v>9.41</v>
      </c>
      <c r="E87" s="100">
        <v>4.87</v>
      </c>
      <c r="F87" s="100">
        <v>3.22</v>
      </c>
      <c r="G87" s="100">
        <v>39.32</v>
      </c>
      <c r="H87" s="100">
        <v>18.489999999999998</v>
      </c>
      <c r="I87" s="100">
        <v>4.84</v>
      </c>
      <c r="J87" s="100">
        <v>0.08</v>
      </c>
      <c r="K87" s="100">
        <v>215.56</v>
      </c>
      <c r="L87" s="100">
        <v>19.43</v>
      </c>
      <c r="M87" s="100">
        <v>30.67</v>
      </c>
      <c r="N87" s="100">
        <v>2.2000000000000002</v>
      </c>
      <c r="O87" s="100">
        <v>0</v>
      </c>
      <c r="P87" s="100">
        <v>0.18</v>
      </c>
      <c r="Q87" s="100">
        <v>12.28</v>
      </c>
      <c r="R87" s="6"/>
      <c r="S87" s="6"/>
      <c r="T87" s="156"/>
      <c r="U87" s="6"/>
    </row>
    <row r="88" spans="1:21" customFormat="1">
      <c r="A88" s="201" t="s">
        <v>2720</v>
      </c>
      <c r="B88" s="100">
        <v>3.39</v>
      </c>
      <c r="C88" s="100">
        <v>5.99</v>
      </c>
      <c r="D88" s="100">
        <v>9.39</v>
      </c>
      <c r="E88" s="100">
        <v>4.78</v>
      </c>
      <c r="F88" s="100">
        <v>5.0199999999999996</v>
      </c>
      <c r="G88" s="100">
        <v>39.32</v>
      </c>
      <c r="H88" s="100">
        <v>18.489999999999998</v>
      </c>
      <c r="I88" s="100">
        <v>4.93</v>
      </c>
      <c r="J88" s="100">
        <v>0.13</v>
      </c>
      <c r="K88" s="100">
        <v>234.15</v>
      </c>
      <c r="L88" s="100">
        <v>19.559999999999999</v>
      </c>
      <c r="M88" s="100">
        <v>31.01</v>
      </c>
      <c r="N88" s="100">
        <v>2.2000000000000002</v>
      </c>
      <c r="O88" s="100">
        <v>0</v>
      </c>
      <c r="P88" s="100">
        <v>0.19</v>
      </c>
      <c r="Q88" s="100">
        <v>12.35</v>
      </c>
      <c r="R88" s="6"/>
      <c r="S88" s="6"/>
      <c r="T88" s="156"/>
      <c r="U88" s="6"/>
    </row>
    <row r="89" spans="1:21" customFormat="1">
      <c r="A89" s="201" t="s">
        <v>2721</v>
      </c>
      <c r="B89" s="100">
        <v>3.33</v>
      </c>
      <c r="C89" s="100">
        <v>6.21</v>
      </c>
      <c r="D89" s="100">
        <v>9.5500000000000007</v>
      </c>
      <c r="E89" s="100">
        <v>4.49</v>
      </c>
      <c r="F89" s="100">
        <v>6.17</v>
      </c>
      <c r="G89" s="100">
        <v>39.32</v>
      </c>
      <c r="H89" s="100">
        <v>18.489999999999998</v>
      </c>
      <c r="I89" s="100">
        <v>5.14</v>
      </c>
      <c r="J89" s="100">
        <v>0.1</v>
      </c>
      <c r="K89" s="100">
        <v>146.75</v>
      </c>
      <c r="L89" s="100">
        <v>14.85</v>
      </c>
      <c r="M89" s="100">
        <v>19.239999999999998</v>
      </c>
      <c r="N89" s="100">
        <v>2.2999999999999998</v>
      </c>
      <c r="O89" s="100">
        <v>0</v>
      </c>
      <c r="P89" s="100">
        <v>0.19</v>
      </c>
      <c r="Q89" s="100">
        <v>11.65</v>
      </c>
      <c r="R89" s="6"/>
      <c r="S89" s="6"/>
      <c r="T89" s="156"/>
      <c r="U89" s="6"/>
    </row>
    <row r="90" spans="1:21" customFormat="1">
      <c r="A90" s="201" t="s">
        <v>2722</v>
      </c>
      <c r="B90" s="100">
        <v>3.41</v>
      </c>
      <c r="C90" s="100">
        <v>6.27</v>
      </c>
      <c r="D90" s="100">
        <v>9.68</v>
      </c>
      <c r="E90" s="100">
        <v>4.7</v>
      </c>
      <c r="F90" s="100">
        <v>4.8899999999999997</v>
      </c>
      <c r="G90" s="100">
        <v>37.6</v>
      </c>
      <c r="H90" s="100">
        <v>16.53</v>
      </c>
      <c r="I90" s="100">
        <v>5.0599999999999996</v>
      </c>
      <c r="J90" s="100">
        <v>0.13</v>
      </c>
      <c r="K90" s="100">
        <v>164.08</v>
      </c>
      <c r="L90" s="100">
        <v>17.09</v>
      </c>
      <c r="M90" s="100">
        <v>24.86</v>
      </c>
      <c r="N90" s="100">
        <v>2.2999999999999998</v>
      </c>
      <c r="O90" s="100">
        <v>0</v>
      </c>
      <c r="P90" s="100">
        <v>0.18</v>
      </c>
      <c r="Q90" s="100">
        <v>16.059999999999999</v>
      </c>
      <c r="R90" s="6"/>
      <c r="S90" s="6"/>
      <c r="T90" s="156"/>
      <c r="U90" s="6"/>
    </row>
    <row r="91" spans="1:21" customFormat="1">
      <c r="A91" s="201" t="s">
        <v>2723</v>
      </c>
      <c r="B91" s="100">
        <v>3.85</v>
      </c>
      <c r="C91" s="100">
        <v>5.9</v>
      </c>
      <c r="D91" s="100">
        <v>9.75</v>
      </c>
      <c r="E91" s="100">
        <v>5.4</v>
      </c>
      <c r="F91" s="100">
        <v>2.78</v>
      </c>
      <c r="G91" s="100">
        <v>36.340000000000003</v>
      </c>
      <c r="H91" s="100">
        <v>15.92</v>
      </c>
      <c r="I91" s="100">
        <v>5.21</v>
      </c>
      <c r="J91" s="100">
        <v>0.1</v>
      </c>
      <c r="K91" s="100">
        <v>154.69999999999999</v>
      </c>
      <c r="L91" s="100">
        <v>16.190000000000001</v>
      </c>
      <c r="M91" s="100">
        <v>22.59</v>
      </c>
      <c r="N91" s="100">
        <v>2.2999999999999998</v>
      </c>
      <c r="O91" s="100">
        <v>0</v>
      </c>
      <c r="P91" s="100">
        <v>0.2</v>
      </c>
      <c r="Q91" s="100">
        <v>11.83</v>
      </c>
      <c r="R91" s="6"/>
      <c r="S91" s="6"/>
      <c r="T91" s="156"/>
      <c r="U91" s="6"/>
    </row>
    <row r="92" spans="1:21" customFormat="1">
      <c r="A92" s="201" t="s">
        <v>2724</v>
      </c>
      <c r="B92" s="100">
        <v>3.96</v>
      </c>
      <c r="C92" s="100">
        <v>5.82</v>
      </c>
      <c r="D92" s="100">
        <v>9.7799999999999994</v>
      </c>
      <c r="E92" s="100">
        <v>5.64</v>
      </c>
      <c r="F92" s="100">
        <v>2.0699999999999998</v>
      </c>
      <c r="G92" s="100">
        <v>36.340000000000003</v>
      </c>
      <c r="H92" s="100">
        <v>15.92</v>
      </c>
      <c r="I92" s="100">
        <v>5.31</v>
      </c>
      <c r="J92" s="100">
        <v>0.17</v>
      </c>
      <c r="K92" s="100">
        <v>230.36</v>
      </c>
      <c r="L92" s="100">
        <v>20.03</v>
      </c>
      <c r="M92" s="100">
        <v>32.18</v>
      </c>
      <c r="N92" s="100">
        <v>2.2999999999999998</v>
      </c>
      <c r="O92" s="100">
        <v>0</v>
      </c>
      <c r="P92" s="100">
        <v>0.23</v>
      </c>
      <c r="Q92" s="100">
        <v>12.23</v>
      </c>
      <c r="R92" s="6"/>
      <c r="S92" s="6"/>
      <c r="T92" s="156"/>
      <c r="U92" s="6"/>
    </row>
    <row r="93" spans="1:21" customFormat="1">
      <c r="A93" s="201" t="s">
        <v>2725</v>
      </c>
      <c r="B93" s="100">
        <v>3.93</v>
      </c>
      <c r="C93" s="100">
        <v>5.87</v>
      </c>
      <c r="D93" s="100">
        <v>9.7899999999999991</v>
      </c>
      <c r="E93" s="100">
        <v>5.64</v>
      </c>
      <c r="F93" s="100">
        <v>2.09</v>
      </c>
      <c r="G93" s="100">
        <v>36.340000000000003</v>
      </c>
      <c r="H93" s="100">
        <v>15.92</v>
      </c>
      <c r="I93" s="100">
        <v>5.27</v>
      </c>
      <c r="J93" s="100">
        <v>0.18</v>
      </c>
      <c r="K93" s="100">
        <v>124.73</v>
      </c>
      <c r="L93" s="100">
        <v>12.87</v>
      </c>
      <c r="M93" s="100">
        <v>14.2</v>
      </c>
      <c r="N93" s="100">
        <v>2.2999999999999998</v>
      </c>
      <c r="O93" s="100">
        <v>0</v>
      </c>
      <c r="P93" s="100">
        <v>0.25</v>
      </c>
      <c r="Q93" s="100">
        <v>12.49</v>
      </c>
      <c r="R93" s="6"/>
      <c r="S93" s="6"/>
      <c r="T93" s="156"/>
      <c r="U93" s="6"/>
    </row>
    <row r="94" spans="1:21" customFormat="1">
      <c r="A94" s="201" t="s">
        <v>2726</v>
      </c>
      <c r="B94" s="100">
        <v>3.85</v>
      </c>
      <c r="C94" s="100">
        <v>5.89</v>
      </c>
      <c r="D94" s="100">
        <v>9.73</v>
      </c>
      <c r="E94" s="100">
        <v>5.61</v>
      </c>
      <c r="F94" s="100">
        <v>2.2799999999999998</v>
      </c>
      <c r="G94" s="100">
        <v>34.840000000000003</v>
      </c>
      <c r="H94" s="100">
        <v>15.69</v>
      </c>
      <c r="I94" s="100">
        <v>5.26</v>
      </c>
      <c r="J94" s="100">
        <v>0.05</v>
      </c>
      <c r="K94" s="100">
        <v>161.97</v>
      </c>
      <c r="L94" s="100">
        <v>15.15</v>
      </c>
      <c r="M94" s="100">
        <v>19.920000000000002</v>
      </c>
      <c r="N94" s="100">
        <v>2.4</v>
      </c>
      <c r="O94" s="100">
        <v>0</v>
      </c>
      <c r="P94" s="100">
        <v>0.25</v>
      </c>
      <c r="Q94" s="100">
        <v>12</v>
      </c>
      <c r="R94" s="6"/>
      <c r="S94" s="6"/>
      <c r="T94" s="156"/>
      <c r="U94" s="6"/>
    </row>
    <row r="95" spans="1:21" customFormat="1">
      <c r="A95" s="201" t="s">
        <v>2727</v>
      </c>
      <c r="B95" s="100">
        <v>3.83</v>
      </c>
      <c r="C95" s="100">
        <v>5.73</v>
      </c>
      <c r="D95" s="100">
        <v>9.56</v>
      </c>
      <c r="E95" s="100">
        <v>5.71</v>
      </c>
      <c r="F95" s="100">
        <v>2.1</v>
      </c>
      <c r="G95" s="100">
        <v>33.74</v>
      </c>
      <c r="H95" s="100">
        <v>15.62</v>
      </c>
      <c r="I95" s="100">
        <v>5.23</v>
      </c>
      <c r="J95" s="100">
        <v>0.09</v>
      </c>
      <c r="K95" s="100">
        <v>211.38</v>
      </c>
      <c r="L95" s="100">
        <v>19.62</v>
      </c>
      <c r="M95" s="100">
        <v>31.12</v>
      </c>
      <c r="N95" s="100">
        <v>2.2999999999999998</v>
      </c>
      <c r="O95" s="100">
        <v>0</v>
      </c>
      <c r="P95" s="100">
        <v>0.24</v>
      </c>
      <c r="Q95" s="100">
        <v>13.63</v>
      </c>
      <c r="R95" s="6"/>
      <c r="S95" s="6"/>
      <c r="T95" s="156"/>
      <c r="U95" s="6"/>
    </row>
    <row r="96" spans="1:21" customFormat="1">
      <c r="A96" s="201" t="s">
        <v>2728</v>
      </c>
      <c r="B96" s="100">
        <v>3.81</v>
      </c>
      <c r="C96" s="100">
        <v>5.61</v>
      </c>
      <c r="D96" s="100">
        <v>9.42</v>
      </c>
      <c r="E96" s="100">
        <v>5.85</v>
      </c>
      <c r="F96" s="100">
        <v>2</v>
      </c>
      <c r="G96" s="100">
        <v>33.74</v>
      </c>
      <c r="H96" s="100">
        <v>15.62</v>
      </c>
      <c r="I96" s="100">
        <v>5.22</v>
      </c>
      <c r="J96" s="100">
        <v>0.09</v>
      </c>
      <c r="K96" s="100">
        <v>197.2</v>
      </c>
      <c r="L96" s="100">
        <v>17.84</v>
      </c>
      <c r="M96" s="100">
        <v>26.72</v>
      </c>
      <c r="N96" s="100">
        <v>2.2999999999999998</v>
      </c>
      <c r="O96" s="100">
        <v>0</v>
      </c>
      <c r="P96" s="100">
        <v>0.25</v>
      </c>
      <c r="Q96" s="100">
        <v>12.9</v>
      </c>
      <c r="R96" s="6"/>
      <c r="S96" s="6"/>
      <c r="T96" s="156"/>
      <c r="U96" s="6"/>
    </row>
    <row r="97" spans="1:28" customFormat="1">
      <c r="A97" s="201" t="s">
        <v>2729</v>
      </c>
      <c r="B97" s="100">
        <v>3.79</v>
      </c>
      <c r="C97" s="100">
        <v>5.58</v>
      </c>
      <c r="D97" s="100">
        <v>9.36</v>
      </c>
      <c r="E97" s="100">
        <v>6.06</v>
      </c>
      <c r="F97" s="100">
        <v>2</v>
      </c>
      <c r="G97" s="100">
        <v>33.74</v>
      </c>
      <c r="H97" s="100">
        <v>15.62</v>
      </c>
      <c r="I97" s="100">
        <v>5.23</v>
      </c>
      <c r="J97" s="100">
        <v>0.14000000000000001</v>
      </c>
      <c r="K97" s="100">
        <v>149.72</v>
      </c>
      <c r="L97" s="100">
        <v>15.41</v>
      </c>
      <c r="M97" s="100">
        <v>20.7</v>
      </c>
      <c r="N97" s="100">
        <v>2.4</v>
      </c>
      <c r="O97" s="100">
        <v>0</v>
      </c>
      <c r="P97" s="100">
        <v>0.25</v>
      </c>
      <c r="Q97" s="100">
        <v>11.69</v>
      </c>
      <c r="R97" s="6"/>
      <c r="S97" s="6"/>
      <c r="T97" s="156"/>
      <c r="U97" s="6"/>
    </row>
    <row r="98" spans="1:28" customFormat="1">
      <c r="A98" s="201" t="s">
        <v>2730</v>
      </c>
      <c r="B98" s="100">
        <v>3.72</v>
      </c>
      <c r="C98" s="100">
        <v>5.57</v>
      </c>
      <c r="D98" s="100">
        <v>9.2899999999999991</v>
      </c>
      <c r="E98" s="100">
        <v>6.01</v>
      </c>
      <c r="F98" s="100">
        <v>2.9</v>
      </c>
      <c r="G98" s="100">
        <v>32.520000000000003</v>
      </c>
      <c r="H98" s="100">
        <v>17.8</v>
      </c>
      <c r="I98" s="100">
        <v>5.22</v>
      </c>
      <c r="J98" s="100">
        <v>0.1</v>
      </c>
      <c r="K98" s="100">
        <v>159.97</v>
      </c>
      <c r="L98" s="100">
        <v>16.059999999999999</v>
      </c>
      <c r="M98" s="100">
        <v>22.28</v>
      </c>
      <c r="N98" s="100">
        <v>2.4</v>
      </c>
      <c r="O98" s="100">
        <v>0</v>
      </c>
      <c r="P98" s="100">
        <v>0.24</v>
      </c>
      <c r="Q98" s="100">
        <v>12.57</v>
      </c>
      <c r="R98" s="6"/>
      <c r="S98" s="6"/>
      <c r="T98" s="156"/>
      <c r="U98" s="6"/>
    </row>
    <row r="99" spans="1:28" customFormat="1">
      <c r="A99" s="201" t="s">
        <v>2731</v>
      </c>
      <c r="B99" s="100">
        <v>3.7</v>
      </c>
      <c r="C99" s="100">
        <v>5.53</v>
      </c>
      <c r="D99" s="100">
        <v>9.23</v>
      </c>
      <c r="E99" s="100">
        <v>6.14</v>
      </c>
      <c r="F99" s="100">
        <v>2.04</v>
      </c>
      <c r="G99" s="100">
        <v>31.58</v>
      </c>
      <c r="H99" s="100">
        <v>18.489999999999998</v>
      </c>
      <c r="I99" s="100">
        <v>5.23</v>
      </c>
      <c r="J99" s="100">
        <v>0.06</v>
      </c>
      <c r="K99" s="100">
        <v>240.71</v>
      </c>
      <c r="L99" s="100">
        <v>21.82</v>
      </c>
      <c r="M99" s="100">
        <v>36.67</v>
      </c>
      <c r="N99" s="100">
        <v>2.2999999999999998</v>
      </c>
      <c r="O99" s="100">
        <v>0</v>
      </c>
      <c r="P99" s="100">
        <v>0.24</v>
      </c>
      <c r="Q99" s="100">
        <v>12.21</v>
      </c>
      <c r="R99" s="6"/>
      <c r="S99" s="6"/>
      <c r="T99" s="156"/>
      <c r="U99" s="6"/>
    </row>
    <row r="100" spans="1:28" customFormat="1">
      <c r="A100" s="201" t="s">
        <v>2732</v>
      </c>
      <c r="B100" s="100">
        <v>3.67</v>
      </c>
      <c r="C100" s="100">
        <v>5.49</v>
      </c>
      <c r="D100" s="100">
        <v>9.16</v>
      </c>
      <c r="E100" s="100">
        <v>5.97</v>
      </c>
      <c r="F100" s="100">
        <v>2</v>
      </c>
      <c r="G100" s="100">
        <v>31.58</v>
      </c>
      <c r="H100" s="100">
        <v>18.489999999999998</v>
      </c>
      <c r="I100" s="100">
        <v>5.2</v>
      </c>
      <c r="J100" s="100">
        <v>0.06</v>
      </c>
      <c r="K100" s="100">
        <v>151.72</v>
      </c>
      <c r="L100" s="100">
        <v>15.56</v>
      </c>
      <c r="M100" s="100">
        <v>20.86</v>
      </c>
      <c r="N100" s="100">
        <v>2.2999999999999998</v>
      </c>
      <c r="O100" s="100">
        <v>0.2</v>
      </c>
      <c r="P100" s="100">
        <v>0.24</v>
      </c>
      <c r="Q100" s="100">
        <v>12.21</v>
      </c>
      <c r="R100" s="6"/>
      <c r="S100" s="6"/>
      <c r="T100" s="156"/>
      <c r="U100" s="6"/>
      <c r="AB100" s="161"/>
    </row>
    <row r="101" spans="1:28" customFormat="1">
      <c r="A101" s="201" t="s">
        <v>2733</v>
      </c>
      <c r="B101" s="100">
        <v>3.66</v>
      </c>
      <c r="C101" s="100">
        <v>5.45</v>
      </c>
      <c r="D101" s="100">
        <v>9.11</v>
      </c>
      <c r="E101" s="100">
        <v>6</v>
      </c>
      <c r="F101" s="100">
        <v>2</v>
      </c>
      <c r="G101" s="100">
        <v>31.58</v>
      </c>
      <c r="H101" s="100">
        <v>18.489999999999998</v>
      </c>
      <c r="I101" s="100">
        <v>5.17</v>
      </c>
      <c r="J101" s="100">
        <v>0.12</v>
      </c>
      <c r="K101" s="100">
        <v>181.33</v>
      </c>
      <c r="L101" s="100">
        <v>17.52</v>
      </c>
      <c r="M101" s="100">
        <v>25.89</v>
      </c>
      <c r="N101" s="100">
        <v>2.2999999999999998</v>
      </c>
      <c r="O101" s="100">
        <v>0.4</v>
      </c>
      <c r="P101" s="100">
        <v>0.23</v>
      </c>
      <c r="Q101" s="100">
        <v>10.41</v>
      </c>
      <c r="R101" s="6"/>
      <c r="S101" s="6"/>
      <c r="T101" s="156"/>
      <c r="U101" s="6"/>
    </row>
    <row r="102" spans="1:28" customFormat="1">
      <c r="A102" s="201" t="s">
        <v>2734</v>
      </c>
      <c r="B102" s="100">
        <v>3.76</v>
      </c>
      <c r="C102" s="100">
        <v>5.66</v>
      </c>
      <c r="D102" s="100">
        <v>9.42</v>
      </c>
      <c r="E102" s="100">
        <v>6.05</v>
      </c>
      <c r="F102" s="100">
        <v>2</v>
      </c>
      <c r="G102" s="100">
        <v>28.65</v>
      </c>
      <c r="H102" s="100">
        <v>16.579999999999998</v>
      </c>
      <c r="I102" s="100">
        <v>5.15</v>
      </c>
      <c r="J102" s="100">
        <v>0.08</v>
      </c>
      <c r="K102" s="100">
        <v>10.46</v>
      </c>
      <c r="L102" s="100">
        <v>18.52</v>
      </c>
      <c r="M102" s="100">
        <v>28.28</v>
      </c>
      <c r="N102" s="100">
        <v>2.2999999999999998</v>
      </c>
      <c r="O102" s="100">
        <v>1.8</v>
      </c>
      <c r="P102" s="100">
        <v>0.24</v>
      </c>
      <c r="Q102" s="100">
        <v>9.14</v>
      </c>
      <c r="R102" s="6"/>
      <c r="S102" s="6"/>
      <c r="T102" s="156"/>
      <c r="U102" s="6"/>
    </row>
    <row r="103" spans="1:28" customFormat="1">
      <c r="A103" s="201" t="s">
        <v>2735</v>
      </c>
      <c r="B103" s="100">
        <v>4.0999999999999996</v>
      </c>
      <c r="C103" s="100">
        <v>5.92</v>
      </c>
      <c r="D103" s="100">
        <v>10.02</v>
      </c>
      <c r="E103" s="100">
        <v>6.19</v>
      </c>
      <c r="F103" s="100">
        <v>2</v>
      </c>
      <c r="G103" s="100">
        <v>26.41</v>
      </c>
      <c r="H103" s="100">
        <v>15.46</v>
      </c>
      <c r="I103" s="100">
        <v>5.14</v>
      </c>
      <c r="J103" s="100">
        <v>0.15</v>
      </c>
      <c r="K103" s="100">
        <v>149.24</v>
      </c>
      <c r="L103" s="100">
        <v>15.92</v>
      </c>
      <c r="M103" s="100">
        <v>21.91</v>
      </c>
      <c r="N103" s="100">
        <v>2.5</v>
      </c>
      <c r="O103" s="100">
        <v>4.4000000000000004</v>
      </c>
      <c r="P103" s="100">
        <v>0.25</v>
      </c>
      <c r="Q103" s="100">
        <v>10.67</v>
      </c>
      <c r="R103" s="6"/>
      <c r="S103" s="6"/>
      <c r="T103" s="156"/>
      <c r="U103" s="6"/>
    </row>
    <row r="104" spans="1:28" customFormat="1">
      <c r="A104" s="201" t="s">
        <v>2736</v>
      </c>
      <c r="B104" s="100">
        <v>4.34</v>
      </c>
      <c r="C104" s="100">
        <v>5.95</v>
      </c>
      <c r="D104" s="100">
        <v>10.29</v>
      </c>
      <c r="E104" s="100">
        <v>6.11</v>
      </c>
      <c r="F104" s="100">
        <v>2.04</v>
      </c>
      <c r="G104" s="100">
        <v>26.41</v>
      </c>
      <c r="H104" s="100">
        <v>15.46</v>
      </c>
      <c r="I104" s="100">
        <v>5.14</v>
      </c>
      <c r="J104" s="100">
        <v>0.25</v>
      </c>
      <c r="K104" s="100">
        <v>307.7</v>
      </c>
      <c r="L104" s="100">
        <v>19.25</v>
      </c>
      <c r="M104" s="100">
        <v>30.02</v>
      </c>
      <c r="N104" s="100">
        <v>3.5</v>
      </c>
      <c r="O104" s="100">
        <v>5</v>
      </c>
      <c r="P104" s="100">
        <v>0.25</v>
      </c>
      <c r="Q104" s="100">
        <v>10.86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1.81</v>
      </c>
      <c r="C106" s="158">
        <f>MIN(C9:C104)</f>
        <v>5.45</v>
      </c>
      <c r="D106" s="158">
        <f t="shared" ref="D106:Q106" si="0">MIN(D9:D104)</f>
        <v>9.11</v>
      </c>
      <c r="E106" s="158">
        <f t="shared" si="0"/>
        <v>4.0199999999999996</v>
      </c>
      <c r="F106" s="158">
        <f t="shared" si="0"/>
        <v>2</v>
      </c>
      <c r="G106" s="158">
        <f t="shared" si="0"/>
        <v>26.41</v>
      </c>
      <c r="H106" s="158">
        <f t="shared" si="0"/>
        <v>15.43</v>
      </c>
      <c r="I106" s="158">
        <f t="shared" si="0"/>
        <v>4.6500000000000004</v>
      </c>
      <c r="J106" s="158">
        <f t="shared" si="0"/>
        <v>0.05</v>
      </c>
      <c r="K106" s="158">
        <f t="shared" si="0"/>
        <v>2.92</v>
      </c>
      <c r="L106" s="158">
        <f t="shared" si="0"/>
        <v>7.09</v>
      </c>
      <c r="M106" s="158">
        <f t="shared" si="0"/>
        <v>-0.96</v>
      </c>
      <c r="N106" s="158">
        <f t="shared" si="0"/>
        <v>2.1</v>
      </c>
      <c r="O106" s="158">
        <f t="shared" si="0"/>
        <v>0</v>
      </c>
      <c r="P106" s="158">
        <f t="shared" si="0"/>
        <v>0.16</v>
      </c>
      <c r="Q106" s="158">
        <f t="shared" si="0"/>
        <v>9.14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15.11</v>
      </c>
      <c r="C107" s="157">
        <f t="shared" ref="C107:Q107" si="1">MAX(C9:C104)</f>
        <v>13.28</v>
      </c>
      <c r="D107" s="157">
        <f t="shared" si="1"/>
        <v>24.48</v>
      </c>
      <c r="E107" s="157">
        <f t="shared" si="1"/>
        <v>8.25</v>
      </c>
      <c r="F107" s="157">
        <f t="shared" si="1"/>
        <v>25.09</v>
      </c>
      <c r="G107" s="157">
        <f t="shared" si="1"/>
        <v>73.92</v>
      </c>
      <c r="H107" s="157">
        <f t="shared" si="1"/>
        <v>28.02</v>
      </c>
      <c r="I107" s="157">
        <f t="shared" si="1"/>
        <v>7.96</v>
      </c>
      <c r="J107" s="157">
        <f t="shared" si="1"/>
        <v>0.81</v>
      </c>
      <c r="K107" s="157">
        <f t="shared" si="1"/>
        <v>339.25</v>
      </c>
      <c r="L107" s="157">
        <f t="shared" si="1"/>
        <v>21.82</v>
      </c>
      <c r="M107" s="157">
        <f t="shared" si="1"/>
        <v>36.67</v>
      </c>
      <c r="N107" s="157">
        <f t="shared" si="1"/>
        <v>620.70000000000005</v>
      </c>
      <c r="O107" s="157">
        <f t="shared" si="1"/>
        <v>5</v>
      </c>
      <c r="P107" s="157">
        <f t="shared" si="1"/>
        <v>0.49</v>
      </c>
      <c r="Q107" s="157">
        <f t="shared" si="1"/>
        <v>30.74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7.4799999999999995</v>
      </c>
      <c r="C108" s="158">
        <f t="shared" ref="C108:Q108" si="2">AVERAGE(C9:C104)</f>
        <v>8.3602083333333344</v>
      </c>
      <c r="D108" s="158">
        <f t="shared" si="2"/>
        <v>15.840312499999998</v>
      </c>
      <c r="E108" s="158">
        <f t="shared" si="2"/>
        <v>5.8635416666666664</v>
      </c>
      <c r="F108" s="158">
        <f t="shared" si="2"/>
        <v>6.1264583333333329</v>
      </c>
      <c r="G108" s="158">
        <f t="shared" si="2"/>
        <v>53.39947916666668</v>
      </c>
      <c r="H108" s="158">
        <f t="shared" si="2"/>
        <v>19.730312500000007</v>
      </c>
      <c r="I108" s="158">
        <f t="shared" si="2"/>
        <v>5.8111458333333346</v>
      </c>
      <c r="J108" s="158">
        <f t="shared" si="2"/>
        <v>0.33312500000000006</v>
      </c>
      <c r="K108" s="158">
        <f t="shared" si="2"/>
        <v>74.42572916666667</v>
      </c>
      <c r="L108" s="158">
        <f t="shared" si="2"/>
        <v>12.561979166666662</v>
      </c>
      <c r="M108" s="158">
        <f t="shared" si="2"/>
        <v>11.000104166666667</v>
      </c>
      <c r="N108" s="158">
        <f t="shared" si="2"/>
        <v>98.829166666666595</v>
      </c>
      <c r="O108" s="158">
        <f t="shared" si="2"/>
        <v>0.125</v>
      </c>
      <c r="P108" s="158">
        <f t="shared" si="2"/>
        <v>0.30947916666666669</v>
      </c>
      <c r="Q108" s="158">
        <f t="shared" si="2"/>
        <v>12.510937500000004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4.6548473885323363</v>
      </c>
      <c r="C109" s="158">
        <f t="shared" ref="C109:Q109" si="3">STDEV(C9:C104)</f>
        <v>2.2359314456898218</v>
      </c>
      <c r="D109" s="158">
        <f t="shared" si="3"/>
        <v>4.6981867617927024</v>
      </c>
      <c r="E109" s="158">
        <f t="shared" si="3"/>
        <v>1.0339133417485347</v>
      </c>
      <c r="F109" s="158">
        <f t="shared" si="3"/>
        <v>5.9491188165124456</v>
      </c>
      <c r="G109" s="158">
        <f t="shared" si="3"/>
        <v>12.110317512443345</v>
      </c>
      <c r="H109" s="158">
        <f t="shared" si="3"/>
        <v>3.3466254655367034</v>
      </c>
      <c r="I109" s="158">
        <f t="shared" si="3"/>
        <v>0.77572495097257121</v>
      </c>
      <c r="J109" s="158">
        <f t="shared" si="3"/>
        <v>0.22065601951310659</v>
      </c>
      <c r="K109" s="158">
        <f t="shared" si="3"/>
        <v>73.96795312829083</v>
      </c>
      <c r="L109" s="158">
        <f t="shared" si="3"/>
        <v>3.5754127092780146</v>
      </c>
      <c r="M109" s="158">
        <f t="shared" si="3"/>
        <v>10.013185044024564</v>
      </c>
      <c r="N109" s="158">
        <f t="shared" si="3"/>
        <v>163.17482127535982</v>
      </c>
      <c r="O109" s="158">
        <f t="shared" si="3"/>
        <v>0.6984192678357396</v>
      </c>
      <c r="P109" s="158">
        <f t="shared" si="3"/>
        <v>9.2296658908186252E-2</v>
      </c>
      <c r="Q109" s="158">
        <f t="shared" si="3"/>
        <v>3.1259090730369286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7"/>
  <sheetViews>
    <sheetView zoomScale="85" zoomScaleNormal="85" workbookViewId="0">
      <pane xSplit="1" ySplit="8" topLeftCell="B12" activePane="bottomRight" state="frozen"/>
      <selection pane="topRight"/>
      <selection pane="bottomLeft"/>
      <selection pane="bottomRight" activeCell="I111" sqref="I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2737</v>
      </c>
      <c r="B9" s="100">
        <v>4.99</v>
      </c>
      <c r="C9" s="100">
        <v>5.86</v>
      </c>
      <c r="D9" s="100">
        <v>10.85</v>
      </c>
      <c r="E9" s="100">
        <v>6.33</v>
      </c>
      <c r="F9" s="100">
        <v>2.0099999999999998</v>
      </c>
      <c r="G9" s="100">
        <v>26.41</v>
      </c>
      <c r="H9" s="100">
        <v>15.46</v>
      </c>
      <c r="I9" s="100">
        <v>5.18</v>
      </c>
      <c r="J9" s="100">
        <v>0.38</v>
      </c>
      <c r="K9" s="100">
        <v>32.9</v>
      </c>
      <c r="L9" s="100">
        <v>8.43</v>
      </c>
      <c r="M9" s="100">
        <v>2.79</v>
      </c>
      <c r="N9" s="100">
        <v>3.1</v>
      </c>
      <c r="O9" s="100">
        <v>0.8</v>
      </c>
      <c r="P9" s="100">
        <v>0.26</v>
      </c>
      <c r="Q9" s="100">
        <v>10.63</v>
      </c>
      <c r="R9" s="6"/>
      <c r="S9" s="6"/>
      <c r="T9" s="156"/>
      <c r="U9" s="6"/>
    </row>
    <row r="10" spans="1:21" customFormat="1">
      <c r="A10" s="201" t="s">
        <v>2738</v>
      </c>
      <c r="B10" s="100">
        <v>5.51</v>
      </c>
      <c r="C10" s="100">
        <v>6.52</v>
      </c>
      <c r="D10" s="100">
        <v>12.02</v>
      </c>
      <c r="E10" s="100">
        <v>6.19</v>
      </c>
      <c r="F10" s="100">
        <v>2</v>
      </c>
      <c r="G10" s="100">
        <v>24.22</v>
      </c>
      <c r="H10" s="100">
        <v>11.98</v>
      </c>
      <c r="I10" s="100">
        <v>5.21</v>
      </c>
      <c r="J10" s="100">
        <v>0.36</v>
      </c>
      <c r="K10" s="100">
        <v>42.72</v>
      </c>
      <c r="L10" s="100">
        <v>9.18</v>
      </c>
      <c r="M10" s="100">
        <v>4.8600000000000003</v>
      </c>
      <c r="N10" s="100">
        <v>2.2999999999999998</v>
      </c>
      <c r="O10" s="100">
        <v>0.2</v>
      </c>
      <c r="P10" s="100">
        <v>0.26</v>
      </c>
      <c r="Q10" s="100">
        <v>9.91</v>
      </c>
      <c r="R10" s="6"/>
      <c r="S10" s="6"/>
      <c r="T10" s="156"/>
      <c r="U10" s="6"/>
    </row>
    <row r="11" spans="1:21" customFormat="1">
      <c r="A11" s="201" t="s">
        <v>2739</v>
      </c>
      <c r="B11" s="100">
        <v>5.64</v>
      </c>
      <c r="C11" s="100">
        <v>6.81</v>
      </c>
      <c r="D11" s="100">
        <v>12.45</v>
      </c>
      <c r="E11" s="100">
        <v>6.3</v>
      </c>
      <c r="F11" s="100">
        <v>2</v>
      </c>
      <c r="G11" s="100">
        <v>22.62</v>
      </c>
      <c r="H11" s="100">
        <v>10.89</v>
      </c>
      <c r="I11" s="100">
        <v>5.22</v>
      </c>
      <c r="J11" s="100">
        <v>0.15</v>
      </c>
      <c r="K11" s="100">
        <v>77.540000000000006</v>
      </c>
      <c r="L11" s="100">
        <v>10.51</v>
      </c>
      <c r="M11" s="100">
        <v>8.2899999999999991</v>
      </c>
      <c r="N11" s="100">
        <v>2.1</v>
      </c>
      <c r="O11" s="100">
        <v>0.6</v>
      </c>
      <c r="P11" s="100">
        <v>0.27</v>
      </c>
      <c r="Q11" s="100">
        <v>10.23</v>
      </c>
      <c r="R11" s="6"/>
      <c r="S11" s="6"/>
      <c r="T11" s="156"/>
      <c r="U11" s="6"/>
    </row>
    <row r="12" spans="1:21" customFormat="1">
      <c r="A12" s="201" t="s">
        <v>2740</v>
      </c>
      <c r="B12" s="100">
        <v>5.99</v>
      </c>
      <c r="C12" s="100">
        <v>7.1</v>
      </c>
      <c r="D12" s="100">
        <v>13.08</v>
      </c>
      <c r="E12" s="100">
        <v>6.35</v>
      </c>
      <c r="F12" s="100">
        <v>2</v>
      </c>
      <c r="G12" s="100">
        <v>22.62</v>
      </c>
      <c r="H12" s="100">
        <v>10.89</v>
      </c>
      <c r="I12" s="100">
        <v>5.29</v>
      </c>
      <c r="J12" s="100">
        <v>0.53</v>
      </c>
      <c r="K12" s="100">
        <v>33.19</v>
      </c>
      <c r="L12" s="100">
        <v>8.17</v>
      </c>
      <c r="M12" s="100">
        <v>2.2799999999999998</v>
      </c>
      <c r="N12" s="100">
        <v>2.7</v>
      </c>
      <c r="O12" s="100">
        <v>0.6</v>
      </c>
      <c r="P12" s="100">
        <v>0.27</v>
      </c>
      <c r="Q12" s="100">
        <v>10.39</v>
      </c>
      <c r="R12" s="6"/>
      <c r="S12" s="6"/>
      <c r="T12" s="156"/>
      <c r="U12" s="6"/>
    </row>
    <row r="13" spans="1:21" customFormat="1">
      <c r="A13" s="201" t="s">
        <v>2741</v>
      </c>
      <c r="B13" s="100">
        <v>6.05</v>
      </c>
      <c r="C13" s="100">
        <v>6.92</v>
      </c>
      <c r="D13" s="100">
        <v>12.97</v>
      </c>
      <c r="E13" s="100">
        <v>6.34</v>
      </c>
      <c r="F13" s="100">
        <v>2</v>
      </c>
      <c r="G13" s="100">
        <v>22.62</v>
      </c>
      <c r="H13" s="100">
        <v>10.89</v>
      </c>
      <c r="I13" s="100">
        <v>5.41</v>
      </c>
      <c r="J13" s="100">
        <v>0.88</v>
      </c>
      <c r="K13" s="100">
        <v>32.68</v>
      </c>
      <c r="L13" s="100">
        <v>8.36</v>
      </c>
      <c r="M13" s="100">
        <v>2.56</v>
      </c>
      <c r="N13" s="100">
        <v>3.2</v>
      </c>
      <c r="O13" s="100">
        <v>0.4</v>
      </c>
      <c r="P13" s="100">
        <v>0.27</v>
      </c>
      <c r="Q13" s="100">
        <v>12.78</v>
      </c>
      <c r="R13" s="6"/>
      <c r="S13" s="6"/>
      <c r="T13" s="156"/>
      <c r="U13" s="6"/>
    </row>
    <row r="14" spans="1:21" customFormat="1">
      <c r="A14" s="201" t="s">
        <v>2742</v>
      </c>
      <c r="B14" s="100">
        <v>6.13</v>
      </c>
      <c r="C14" s="100">
        <v>6.68</v>
      </c>
      <c r="D14" s="100">
        <v>12.81</v>
      </c>
      <c r="E14" s="100">
        <v>6.65</v>
      </c>
      <c r="F14" s="100">
        <v>2.0099999999999998</v>
      </c>
      <c r="G14" s="100">
        <v>22.14</v>
      </c>
      <c r="H14" s="100">
        <v>9.58</v>
      </c>
      <c r="I14" s="100">
        <v>5.45</v>
      </c>
      <c r="J14" s="100">
        <v>0.61</v>
      </c>
      <c r="K14" s="100">
        <v>32.9</v>
      </c>
      <c r="L14" s="100">
        <v>9.52</v>
      </c>
      <c r="M14" s="100">
        <v>5.55</v>
      </c>
      <c r="N14" s="100">
        <v>2.8</v>
      </c>
      <c r="O14" s="100">
        <v>0.2</v>
      </c>
      <c r="P14" s="100">
        <v>0.27</v>
      </c>
      <c r="Q14" s="100">
        <v>10.33</v>
      </c>
      <c r="R14" s="6"/>
      <c r="S14" s="6"/>
      <c r="T14" s="156"/>
      <c r="U14" s="6"/>
    </row>
    <row r="15" spans="1:21" customFormat="1">
      <c r="A15" s="201" t="s">
        <v>2743</v>
      </c>
      <c r="B15" s="100">
        <v>6.13</v>
      </c>
      <c r="C15" s="100">
        <v>6.67</v>
      </c>
      <c r="D15" s="100">
        <v>12.8</v>
      </c>
      <c r="E15" s="100">
        <v>6.6</v>
      </c>
      <c r="F15" s="100">
        <v>2</v>
      </c>
      <c r="G15" s="100">
        <v>21.77</v>
      </c>
      <c r="H15" s="100">
        <v>9.17</v>
      </c>
      <c r="I15" s="100">
        <v>5.46</v>
      </c>
      <c r="J15" s="100">
        <v>0.66</v>
      </c>
      <c r="K15" s="100">
        <v>28.99</v>
      </c>
      <c r="L15" s="100">
        <v>8.86</v>
      </c>
      <c r="M15" s="100">
        <v>3.94</v>
      </c>
      <c r="N15" s="100">
        <v>2.7</v>
      </c>
      <c r="O15" s="100">
        <v>0</v>
      </c>
      <c r="P15" s="100">
        <v>0.26</v>
      </c>
      <c r="Q15" s="100">
        <v>10.52</v>
      </c>
      <c r="R15" s="6"/>
      <c r="S15" s="6"/>
      <c r="T15" s="156"/>
      <c r="U15" s="6"/>
    </row>
    <row r="16" spans="1:21" customFormat="1">
      <c r="A16" s="201" t="s">
        <v>2744</v>
      </c>
      <c r="B16" s="100">
        <v>6.19</v>
      </c>
      <c r="C16" s="100">
        <v>6.68</v>
      </c>
      <c r="D16" s="100">
        <v>12.87</v>
      </c>
      <c r="E16" s="100">
        <v>6.39</v>
      </c>
      <c r="F16" s="100">
        <v>2.09</v>
      </c>
      <c r="G16" s="100">
        <v>21.77</v>
      </c>
      <c r="H16" s="100">
        <v>9.17</v>
      </c>
      <c r="I16" s="100">
        <v>5.42</v>
      </c>
      <c r="J16" s="100">
        <v>0.6</v>
      </c>
      <c r="K16" s="100">
        <v>36.19</v>
      </c>
      <c r="L16" s="100">
        <v>8.02</v>
      </c>
      <c r="M16" s="100">
        <v>1.84</v>
      </c>
      <c r="N16" s="100">
        <v>2.9</v>
      </c>
      <c r="O16" s="100">
        <v>0</v>
      </c>
      <c r="P16" s="100">
        <v>0.26</v>
      </c>
      <c r="Q16" s="100">
        <v>11.48</v>
      </c>
      <c r="R16" s="6"/>
      <c r="S16" s="6"/>
      <c r="T16" s="156"/>
      <c r="U16" s="6"/>
    </row>
    <row r="17" spans="1:21" customFormat="1">
      <c r="A17" s="201" t="s">
        <v>2745</v>
      </c>
      <c r="B17" s="100">
        <v>6.19</v>
      </c>
      <c r="C17" s="100">
        <v>6.42</v>
      </c>
      <c r="D17" s="100">
        <v>12.61</v>
      </c>
      <c r="E17" s="100">
        <v>4.26</v>
      </c>
      <c r="F17" s="100">
        <v>2.93</v>
      </c>
      <c r="G17" s="100">
        <v>21.77</v>
      </c>
      <c r="H17" s="100">
        <v>9.17</v>
      </c>
      <c r="I17" s="100">
        <v>5.42</v>
      </c>
      <c r="J17" s="100">
        <v>0.74</v>
      </c>
      <c r="K17" s="100">
        <v>34.81</v>
      </c>
      <c r="L17" s="100">
        <v>6.69</v>
      </c>
      <c r="M17" s="100">
        <v>-1.47</v>
      </c>
      <c r="N17" s="100">
        <v>3</v>
      </c>
      <c r="O17" s="100">
        <v>0</v>
      </c>
      <c r="P17" s="100">
        <v>0.21</v>
      </c>
      <c r="Q17" s="100">
        <v>11.96</v>
      </c>
      <c r="R17" s="6"/>
      <c r="S17" s="6"/>
      <c r="T17" s="156"/>
      <c r="U17" s="6"/>
    </row>
    <row r="18" spans="1:21" customFormat="1">
      <c r="A18" s="201" t="s">
        <v>2746</v>
      </c>
      <c r="B18" s="100">
        <v>6.12</v>
      </c>
      <c r="C18" s="100">
        <v>6.49</v>
      </c>
      <c r="D18" s="100">
        <v>12.61</v>
      </c>
      <c r="E18" s="100">
        <v>4.54</v>
      </c>
      <c r="F18" s="100">
        <v>4.88</v>
      </c>
      <c r="G18" s="100">
        <v>18.93</v>
      </c>
      <c r="H18" s="100">
        <v>8.25</v>
      </c>
      <c r="I18" s="100">
        <v>5.46</v>
      </c>
      <c r="J18" s="100">
        <v>0.57999999999999996</v>
      </c>
      <c r="K18" s="100">
        <v>26.48</v>
      </c>
      <c r="L18" s="100">
        <v>7.69</v>
      </c>
      <c r="M18" s="100">
        <v>0.96</v>
      </c>
      <c r="N18" s="100">
        <v>2.8</v>
      </c>
      <c r="O18" s="100">
        <v>0</v>
      </c>
      <c r="P18" s="100">
        <v>0.18</v>
      </c>
      <c r="Q18" s="100">
        <v>11.33</v>
      </c>
      <c r="R18" s="6"/>
      <c r="S18" s="6"/>
      <c r="T18" s="156"/>
      <c r="U18" s="6"/>
    </row>
    <row r="19" spans="1:21" customFormat="1">
      <c r="A19" s="201" t="s">
        <v>2747</v>
      </c>
      <c r="B19" s="100">
        <v>6.29</v>
      </c>
      <c r="C19" s="100">
        <v>6.34</v>
      </c>
      <c r="D19" s="100">
        <v>12.62</v>
      </c>
      <c r="E19" s="100">
        <v>4.45</v>
      </c>
      <c r="F19" s="100">
        <v>3.53</v>
      </c>
      <c r="G19" s="100">
        <v>16.77</v>
      </c>
      <c r="H19" s="100">
        <v>7.95</v>
      </c>
      <c r="I19" s="100">
        <v>5.41</v>
      </c>
      <c r="J19" s="100">
        <v>0.51</v>
      </c>
      <c r="K19" s="100">
        <v>24.36</v>
      </c>
      <c r="L19" s="100">
        <v>9.9600000000000009</v>
      </c>
      <c r="M19" s="100">
        <v>6.6</v>
      </c>
      <c r="N19" s="100">
        <v>2.9</v>
      </c>
      <c r="O19" s="100">
        <v>0</v>
      </c>
      <c r="P19" s="100">
        <v>0.18</v>
      </c>
      <c r="Q19" s="100">
        <v>12.64</v>
      </c>
      <c r="R19" s="6"/>
      <c r="S19" s="6"/>
      <c r="T19" s="156"/>
      <c r="U19" s="6"/>
    </row>
    <row r="20" spans="1:21" customFormat="1">
      <c r="A20" s="201" t="s">
        <v>2748</v>
      </c>
      <c r="B20" s="100">
        <v>6.39</v>
      </c>
      <c r="C20" s="100">
        <v>6.35</v>
      </c>
      <c r="D20" s="100">
        <v>12.75</v>
      </c>
      <c r="E20" s="100">
        <v>4.51</v>
      </c>
      <c r="F20" s="100">
        <v>2.27</v>
      </c>
      <c r="G20" s="100">
        <v>16.77</v>
      </c>
      <c r="H20" s="100">
        <v>7.95</v>
      </c>
      <c r="I20" s="100">
        <v>5.31</v>
      </c>
      <c r="J20" s="100">
        <v>0.49</v>
      </c>
      <c r="K20" s="100">
        <v>28.07</v>
      </c>
      <c r="L20" s="100">
        <v>9.18</v>
      </c>
      <c r="M20" s="100">
        <v>4.67</v>
      </c>
      <c r="N20" s="100">
        <v>2.9</v>
      </c>
      <c r="O20" s="100">
        <v>0.2</v>
      </c>
      <c r="P20" s="100">
        <v>0.21</v>
      </c>
      <c r="Q20" s="100">
        <v>12.68</v>
      </c>
      <c r="R20" s="6"/>
      <c r="S20" s="6"/>
      <c r="T20" s="156"/>
      <c r="U20" s="6"/>
    </row>
    <row r="21" spans="1:21" customFormat="1">
      <c r="A21" s="201" t="s">
        <v>2749</v>
      </c>
      <c r="B21" s="100">
        <v>6.5</v>
      </c>
      <c r="C21" s="100">
        <v>6.4</v>
      </c>
      <c r="D21" s="100">
        <v>12.9</v>
      </c>
      <c r="E21" s="100">
        <v>4.72</v>
      </c>
      <c r="F21" s="100">
        <v>2.0499999999999998</v>
      </c>
      <c r="G21" s="100">
        <v>16.77</v>
      </c>
      <c r="H21" s="100">
        <v>7.95</v>
      </c>
      <c r="I21" s="100">
        <v>5.37</v>
      </c>
      <c r="J21" s="100">
        <v>0.73</v>
      </c>
      <c r="K21" s="100">
        <v>32.56</v>
      </c>
      <c r="L21" s="100">
        <v>9.06</v>
      </c>
      <c r="M21" s="100">
        <v>4.49</v>
      </c>
      <c r="N21" s="100">
        <v>3.1</v>
      </c>
      <c r="O21" s="100">
        <v>0</v>
      </c>
      <c r="P21" s="100">
        <v>0.21</v>
      </c>
      <c r="Q21" s="100">
        <v>11.56</v>
      </c>
      <c r="R21" s="6"/>
      <c r="S21" s="6"/>
      <c r="T21" s="156"/>
      <c r="U21" s="6"/>
    </row>
    <row r="22" spans="1:21" customFormat="1">
      <c r="A22" s="201" t="s">
        <v>2750</v>
      </c>
      <c r="B22" s="100">
        <v>6.59</v>
      </c>
      <c r="C22" s="100">
        <v>7.43</v>
      </c>
      <c r="D22" s="100">
        <v>14.02</v>
      </c>
      <c r="E22" s="100">
        <v>4.75</v>
      </c>
      <c r="F22" s="100">
        <v>2.11</v>
      </c>
      <c r="G22" s="100">
        <v>17.059999999999999</v>
      </c>
      <c r="H22" s="100">
        <v>6.94</v>
      </c>
      <c r="I22" s="100">
        <v>5.52</v>
      </c>
      <c r="J22" s="100">
        <v>0.32</v>
      </c>
      <c r="K22" s="100">
        <v>0.55000000000000004</v>
      </c>
      <c r="L22" s="100">
        <v>7.79</v>
      </c>
      <c r="M22" s="100">
        <v>1.2</v>
      </c>
      <c r="N22" s="100">
        <v>3.1</v>
      </c>
      <c r="O22" s="100">
        <v>0</v>
      </c>
      <c r="P22" s="100">
        <v>0.18</v>
      </c>
      <c r="Q22" s="100">
        <v>11.17</v>
      </c>
      <c r="R22" s="6"/>
      <c r="S22" s="6"/>
      <c r="T22" s="156"/>
      <c r="U22" s="6"/>
    </row>
    <row r="23" spans="1:21" customFormat="1">
      <c r="A23" s="201" t="s">
        <v>2751</v>
      </c>
      <c r="B23" s="133" t="s">
        <v>4</v>
      </c>
      <c r="C23" s="133" t="s">
        <v>4</v>
      </c>
      <c r="D23" s="133" t="s">
        <v>4</v>
      </c>
      <c r="E23" s="133" t="s">
        <v>4</v>
      </c>
      <c r="F23" s="133" t="s">
        <v>4</v>
      </c>
      <c r="G23" s="133" t="s">
        <v>4</v>
      </c>
      <c r="H23" s="133" t="s">
        <v>4</v>
      </c>
      <c r="I23" s="133" t="s">
        <v>4</v>
      </c>
      <c r="J23" s="133" t="s">
        <v>4</v>
      </c>
      <c r="K23" s="133" t="s">
        <v>4</v>
      </c>
      <c r="L23" s="133" t="s">
        <v>4</v>
      </c>
      <c r="M23" s="133" t="s">
        <v>4</v>
      </c>
      <c r="N23" s="133" t="s">
        <v>4</v>
      </c>
      <c r="O23" s="133" t="s">
        <v>4</v>
      </c>
      <c r="P23" s="133" t="s">
        <v>4</v>
      </c>
      <c r="Q23" s="133" t="s">
        <v>4</v>
      </c>
      <c r="R23" s="6"/>
      <c r="S23" s="6"/>
      <c r="T23" s="156"/>
      <c r="U23" s="6"/>
    </row>
    <row r="24" spans="1:21" customFormat="1">
      <c r="A24" s="201" t="s">
        <v>2752</v>
      </c>
      <c r="B24" s="150" t="s">
        <v>21</v>
      </c>
      <c r="C24" s="150" t="s">
        <v>21</v>
      </c>
      <c r="D24" s="150" t="s">
        <v>21</v>
      </c>
      <c r="E24" s="150" t="s">
        <v>21</v>
      </c>
      <c r="F24" s="100">
        <v>4.42</v>
      </c>
      <c r="G24" s="100">
        <v>17.29</v>
      </c>
      <c r="H24" s="100">
        <v>6.33</v>
      </c>
      <c r="I24" s="150" t="s">
        <v>21</v>
      </c>
      <c r="J24" s="100">
        <v>0.76</v>
      </c>
      <c r="K24" s="100">
        <v>31.23</v>
      </c>
      <c r="L24" s="100">
        <v>7.43</v>
      </c>
      <c r="M24" s="100">
        <v>-0.72</v>
      </c>
      <c r="N24" s="100">
        <v>2.8</v>
      </c>
      <c r="O24" s="100">
        <v>0</v>
      </c>
      <c r="P24" s="100">
        <v>0</v>
      </c>
      <c r="Q24" s="100">
        <v>0</v>
      </c>
      <c r="R24" s="6"/>
      <c r="S24" s="6"/>
      <c r="T24" s="156"/>
      <c r="U24" s="6"/>
    </row>
    <row r="25" spans="1:21" customFormat="1">
      <c r="A25" s="201" t="s">
        <v>2753</v>
      </c>
      <c r="B25" s="100">
        <v>4.6399999999999997</v>
      </c>
      <c r="C25" s="100">
        <v>4.58</v>
      </c>
      <c r="D25" s="100">
        <v>9.2200000000000006</v>
      </c>
      <c r="E25" s="100">
        <v>4.66</v>
      </c>
      <c r="F25" s="100">
        <v>3.73</v>
      </c>
      <c r="G25" s="100">
        <v>17.29</v>
      </c>
      <c r="H25" s="100">
        <v>6.33</v>
      </c>
      <c r="I25" s="150" t="s">
        <v>21</v>
      </c>
      <c r="J25" s="100">
        <v>0.84</v>
      </c>
      <c r="K25" s="100">
        <v>28.79</v>
      </c>
      <c r="L25" s="100">
        <v>7.28</v>
      </c>
      <c r="M25" s="100">
        <v>-0.45</v>
      </c>
      <c r="N25" s="100">
        <v>2.8</v>
      </c>
      <c r="O25" s="100">
        <v>0</v>
      </c>
      <c r="P25" s="100">
        <v>0.37</v>
      </c>
      <c r="Q25" s="100">
        <v>0</v>
      </c>
      <c r="R25" s="6"/>
      <c r="S25" s="6"/>
      <c r="T25" s="156"/>
      <c r="U25" s="6"/>
    </row>
    <row r="26" spans="1:21" customFormat="1">
      <c r="A26" s="201" t="s">
        <v>2754</v>
      </c>
      <c r="B26" s="100">
        <v>5.6</v>
      </c>
      <c r="C26" s="100">
        <v>5.77</v>
      </c>
      <c r="D26" s="100">
        <v>11.37</v>
      </c>
      <c r="E26" s="100">
        <v>3.79</v>
      </c>
      <c r="F26" s="100">
        <v>2.44</v>
      </c>
      <c r="G26" s="100">
        <v>17.5</v>
      </c>
      <c r="H26" s="100">
        <v>8.4499999999999993</v>
      </c>
      <c r="I26" s="150" t="s">
        <v>21</v>
      </c>
      <c r="J26" s="100">
        <v>0.62</v>
      </c>
      <c r="K26" s="100">
        <v>27.74</v>
      </c>
      <c r="L26" s="100">
        <v>7.12</v>
      </c>
      <c r="M26" s="100">
        <v>-0.48</v>
      </c>
      <c r="N26" s="100">
        <v>2.7</v>
      </c>
      <c r="O26" s="100">
        <v>0.2</v>
      </c>
      <c r="P26" s="100">
        <v>0.43</v>
      </c>
      <c r="Q26" s="100">
        <v>10</v>
      </c>
      <c r="R26" s="6"/>
      <c r="S26" s="6"/>
      <c r="T26" s="156"/>
      <c r="U26" s="6"/>
    </row>
    <row r="27" spans="1:21" customFormat="1">
      <c r="A27" s="201" t="s">
        <v>2755</v>
      </c>
      <c r="B27" s="100">
        <v>5.62</v>
      </c>
      <c r="C27" s="100">
        <v>6.33</v>
      </c>
      <c r="D27" s="100">
        <v>11.95</v>
      </c>
      <c r="E27" s="100">
        <v>2.34</v>
      </c>
      <c r="F27" s="100">
        <v>2</v>
      </c>
      <c r="G27" s="100">
        <v>17.670000000000002</v>
      </c>
      <c r="H27" s="100">
        <v>9.1300000000000008</v>
      </c>
      <c r="I27" s="100">
        <v>2.68</v>
      </c>
      <c r="J27" s="100">
        <v>0.59</v>
      </c>
      <c r="K27" s="100">
        <v>24.71</v>
      </c>
      <c r="L27" s="100">
        <v>7.91</v>
      </c>
      <c r="M27" s="100">
        <v>1.45</v>
      </c>
      <c r="N27" s="100">
        <v>2.7</v>
      </c>
      <c r="O27" s="100">
        <v>0</v>
      </c>
      <c r="P27" s="100">
        <v>0.4</v>
      </c>
      <c r="Q27" s="100">
        <v>10</v>
      </c>
      <c r="R27" s="6"/>
      <c r="S27" s="6"/>
      <c r="T27" s="156"/>
      <c r="U27" s="6"/>
    </row>
    <row r="28" spans="1:21" customFormat="1">
      <c r="A28" s="201" t="s">
        <v>2756</v>
      </c>
      <c r="B28" s="100">
        <v>5.55</v>
      </c>
      <c r="C28" s="100">
        <v>6.53</v>
      </c>
      <c r="D28" s="100">
        <v>12.08</v>
      </c>
      <c r="E28" s="100">
        <v>1.18</v>
      </c>
      <c r="F28" s="100">
        <v>2.17</v>
      </c>
      <c r="G28" s="100">
        <v>17.670000000000002</v>
      </c>
      <c r="H28" s="100">
        <v>9.1300000000000008</v>
      </c>
      <c r="I28" s="100">
        <v>2.83</v>
      </c>
      <c r="J28" s="100">
        <v>0.65</v>
      </c>
      <c r="K28" s="100">
        <v>30.58</v>
      </c>
      <c r="L28" s="100">
        <v>7.86</v>
      </c>
      <c r="M28" s="100">
        <v>1.38</v>
      </c>
      <c r="N28" s="100">
        <v>2.5</v>
      </c>
      <c r="O28" s="100">
        <v>0.8</v>
      </c>
      <c r="P28" s="100">
        <v>0.37</v>
      </c>
      <c r="Q28" s="100">
        <v>10</v>
      </c>
      <c r="R28" s="6"/>
      <c r="S28" s="6"/>
      <c r="T28" s="156"/>
      <c r="U28" s="6"/>
    </row>
    <row r="29" spans="1:21" customFormat="1">
      <c r="A29" s="201" t="s">
        <v>2757</v>
      </c>
      <c r="B29" s="100">
        <v>5.71</v>
      </c>
      <c r="C29" s="100">
        <v>6.3</v>
      </c>
      <c r="D29" s="100">
        <v>12.01</v>
      </c>
      <c r="E29" s="100">
        <v>0.67</v>
      </c>
      <c r="F29" s="100">
        <v>2.16</v>
      </c>
      <c r="G29" s="100">
        <v>17.670000000000002</v>
      </c>
      <c r="H29" s="100">
        <v>9.1300000000000008</v>
      </c>
      <c r="I29" s="100">
        <v>5.43</v>
      </c>
      <c r="J29" s="100">
        <v>0.67</v>
      </c>
      <c r="K29" s="100">
        <v>28.01</v>
      </c>
      <c r="L29" s="100">
        <v>7.78</v>
      </c>
      <c r="M29" s="100">
        <v>1.1599999999999999</v>
      </c>
      <c r="N29" s="100">
        <v>2.6</v>
      </c>
      <c r="O29" s="100">
        <v>0.4</v>
      </c>
      <c r="P29" s="100">
        <v>0.39</v>
      </c>
      <c r="Q29" s="100">
        <v>10</v>
      </c>
      <c r="R29" s="6"/>
      <c r="S29" s="6"/>
      <c r="T29" s="156"/>
      <c r="U29" s="6"/>
    </row>
    <row r="30" spans="1:21" customFormat="1">
      <c r="A30" s="201" t="s">
        <v>2758</v>
      </c>
      <c r="B30" s="100">
        <v>5.69</v>
      </c>
      <c r="C30" s="100">
        <v>6.52</v>
      </c>
      <c r="D30" s="100">
        <v>12.22</v>
      </c>
      <c r="E30" s="100">
        <v>0.46</v>
      </c>
      <c r="F30" s="100">
        <v>2.4500000000000002</v>
      </c>
      <c r="G30" s="100">
        <v>17.350000000000001</v>
      </c>
      <c r="H30" s="100">
        <v>7.35</v>
      </c>
      <c r="I30" s="100">
        <v>5.41</v>
      </c>
      <c r="J30" s="100">
        <v>0.64</v>
      </c>
      <c r="K30" s="100">
        <v>21.34</v>
      </c>
      <c r="L30" s="100">
        <v>10.039999999999999</v>
      </c>
      <c r="M30" s="100">
        <v>6.8</v>
      </c>
      <c r="N30" s="100">
        <v>2.6</v>
      </c>
      <c r="O30" s="100">
        <v>0</v>
      </c>
      <c r="P30" s="100">
        <v>0.38</v>
      </c>
      <c r="Q30" s="100">
        <v>10</v>
      </c>
      <c r="R30" s="6"/>
      <c r="S30" s="6"/>
      <c r="T30" s="156"/>
      <c r="U30" s="6"/>
    </row>
    <row r="31" spans="1:21" customFormat="1">
      <c r="A31" s="201" t="s">
        <v>2759</v>
      </c>
      <c r="B31" s="100">
        <v>5.74</v>
      </c>
      <c r="C31" s="100">
        <v>6.37</v>
      </c>
      <c r="D31" s="100">
        <v>12.1</v>
      </c>
      <c r="E31" s="100">
        <v>0.13</v>
      </c>
      <c r="F31" s="100">
        <v>2.97</v>
      </c>
      <c r="G31" s="100">
        <v>17.100000000000001</v>
      </c>
      <c r="H31" s="100">
        <v>6.78</v>
      </c>
      <c r="I31" s="100">
        <v>5.41</v>
      </c>
      <c r="J31" s="100">
        <v>0.71</v>
      </c>
      <c r="K31" s="100">
        <v>28.84</v>
      </c>
      <c r="L31" s="100">
        <v>7.78</v>
      </c>
      <c r="M31" s="100">
        <v>1.1599999999999999</v>
      </c>
      <c r="N31" s="100">
        <v>2.5</v>
      </c>
      <c r="O31" s="100">
        <v>0.2</v>
      </c>
      <c r="P31" s="100">
        <v>0.35</v>
      </c>
      <c r="Q31" s="100">
        <v>10</v>
      </c>
      <c r="R31" s="6"/>
      <c r="S31" s="6"/>
      <c r="T31" s="156"/>
      <c r="U31" s="6"/>
    </row>
    <row r="32" spans="1:21" customFormat="1">
      <c r="A32" s="201" t="s">
        <v>2760</v>
      </c>
      <c r="B32" s="100">
        <v>5.98</v>
      </c>
      <c r="C32" s="100">
        <v>6.14</v>
      </c>
      <c r="D32" s="100">
        <v>12.12</v>
      </c>
      <c r="E32" s="100">
        <v>0.06</v>
      </c>
      <c r="F32" s="100">
        <v>2.06</v>
      </c>
      <c r="G32" s="100">
        <v>17.100000000000001</v>
      </c>
      <c r="H32" s="100">
        <v>6.78</v>
      </c>
      <c r="I32" s="100">
        <v>5.24</v>
      </c>
      <c r="J32" s="100">
        <v>0.65</v>
      </c>
      <c r="K32" s="100">
        <v>35.229999999999997</v>
      </c>
      <c r="L32" s="100">
        <v>7.67</v>
      </c>
      <c r="M32" s="100">
        <v>1.06</v>
      </c>
      <c r="N32" s="100">
        <v>2.5</v>
      </c>
      <c r="O32" s="100">
        <v>0.4</v>
      </c>
      <c r="P32" s="100">
        <v>0.38</v>
      </c>
      <c r="Q32" s="100">
        <v>10</v>
      </c>
      <c r="R32" s="6"/>
      <c r="S32" s="6"/>
      <c r="T32" s="156"/>
      <c r="U32" s="6"/>
    </row>
    <row r="33" spans="1:21" customFormat="1">
      <c r="A33" s="201" t="s">
        <v>2761</v>
      </c>
      <c r="B33" s="100">
        <v>6.05</v>
      </c>
      <c r="C33" s="100">
        <v>6.21</v>
      </c>
      <c r="D33" s="100">
        <v>12.26</v>
      </c>
      <c r="E33" s="100">
        <v>0.02</v>
      </c>
      <c r="F33" s="100">
        <v>2.25</v>
      </c>
      <c r="G33" s="100">
        <v>17.100000000000001</v>
      </c>
      <c r="H33" s="100">
        <v>6.78</v>
      </c>
      <c r="I33" s="100">
        <v>5.26</v>
      </c>
      <c r="J33" s="100">
        <v>0.69</v>
      </c>
      <c r="K33" s="100">
        <v>35.49</v>
      </c>
      <c r="L33" s="100">
        <v>9.44</v>
      </c>
      <c r="M33" s="100">
        <v>5.39</v>
      </c>
      <c r="N33" s="100">
        <v>3.2</v>
      </c>
      <c r="O33" s="100">
        <v>0.4</v>
      </c>
      <c r="P33" s="100">
        <v>0.38</v>
      </c>
      <c r="Q33" s="100">
        <v>10</v>
      </c>
      <c r="R33" s="6"/>
      <c r="S33" s="6"/>
      <c r="T33" s="156"/>
      <c r="U33" s="6"/>
    </row>
    <row r="34" spans="1:21" customFormat="1">
      <c r="A34" s="201" t="s">
        <v>2762</v>
      </c>
      <c r="B34" s="100">
        <v>5.98</v>
      </c>
      <c r="C34" s="100">
        <v>6.2</v>
      </c>
      <c r="D34" s="100">
        <v>12.18</v>
      </c>
      <c r="E34" s="100">
        <v>0.01</v>
      </c>
      <c r="F34" s="100">
        <v>3.7</v>
      </c>
      <c r="G34" s="100">
        <v>14.95</v>
      </c>
      <c r="H34" s="100">
        <v>6.65</v>
      </c>
      <c r="I34" s="100">
        <v>5.4</v>
      </c>
      <c r="J34" s="100">
        <v>0.99</v>
      </c>
      <c r="K34" s="100">
        <v>31.74</v>
      </c>
      <c r="L34" s="100">
        <v>7.62</v>
      </c>
      <c r="M34" s="100">
        <v>0.77</v>
      </c>
      <c r="N34" s="100">
        <v>5.0999999999999996</v>
      </c>
      <c r="O34" s="100">
        <v>0</v>
      </c>
      <c r="P34" s="100">
        <v>0.36</v>
      </c>
      <c r="Q34" s="100">
        <v>10</v>
      </c>
      <c r="R34" s="6"/>
      <c r="S34" s="6"/>
      <c r="T34" s="156"/>
      <c r="U34" s="6"/>
    </row>
    <row r="35" spans="1:21" customFormat="1">
      <c r="A35" s="201" t="s">
        <v>2763</v>
      </c>
      <c r="B35" s="100">
        <v>6.19</v>
      </c>
      <c r="C35" s="100">
        <v>6.12</v>
      </c>
      <c r="D35" s="100">
        <v>12.31</v>
      </c>
      <c r="E35" s="100">
        <v>0.01</v>
      </c>
      <c r="F35" s="100">
        <v>2.71</v>
      </c>
      <c r="G35" s="100">
        <v>13.3</v>
      </c>
      <c r="H35" s="100">
        <v>6.6</v>
      </c>
      <c r="I35" s="100">
        <v>5.4</v>
      </c>
      <c r="J35" s="100">
        <v>0.43</v>
      </c>
      <c r="K35" s="100">
        <v>49.08</v>
      </c>
      <c r="L35" s="100">
        <v>10.63</v>
      </c>
      <c r="M35" s="100">
        <v>8.52</v>
      </c>
      <c r="N35" s="100">
        <v>5.0999999999999996</v>
      </c>
      <c r="O35" s="100">
        <v>0.6</v>
      </c>
      <c r="P35" s="100">
        <v>0.38</v>
      </c>
      <c r="Q35" s="100">
        <v>10</v>
      </c>
      <c r="R35" s="6"/>
      <c r="S35" s="6"/>
      <c r="T35" s="156"/>
      <c r="U35" s="6"/>
    </row>
    <row r="36" spans="1:21" customFormat="1">
      <c r="A36" s="201" t="s">
        <v>2764</v>
      </c>
      <c r="B36" s="100">
        <v>6.2</v>
      </c>
      <c r="C36" s="100">
        <v>6.4</v>
      </c>
      <c r="D36" s="100">
        <v>12.61</v>
      </c>
      <c r="E36" s="100">
        <v>0.02</v>
      </c>
      <c r="F36" s="100">
        <v>2.2799999999999998</v>
      </c>
      <c r="G36" s="100">
        <v>13.3</v>
      </c>
      <c r="H36" s="100">
        <v>6.6</v>
      </c>
      <c r="I36" s="100">
        <v>5.27</v>
      </c>
      <c r="J36" s="100">
        <v>0.52</v>
      </c>
      <c r="K36" s="100">
        <v>34.56</v>
      </c>
      <c r="L36" s="100">
        <v>7.8</v>
      </c>
      <c r="M36" s="100">
        <v>1.1299999999999999</v>
      </c>
      <c r="N36" s="100">
        <v>7</v>
      </c>
      <c r="O36" s="100">
        <v>0</v>
      </c>
      <c r="P36" s="100">
        <v>0.38</v>
      </c>
      <c r="Q36" s="100">
        <v>10</v>
      </c>
      <c r="R36" s="6"/>
      <c r="S36" s="6"/>
      <c r="T36" s="156"/>
      <c r="U36" s="6"/>
    </row>
    <row r="37" spans="1:21" customFormat="1">
      <c r="A37" s="201" t="s">
        <v>2765</v>
      </c>
      <c r="B37" s="100">
        <v>6.33</v>
      </c>
      <c r="C37" s="100">
        <v>6.47</v>
      </c>
      <c r="D37" s="100">
        <v>12.8</v>
      </c>
      <c r="E37" s="100">
        <v>0</v>
      </c>
      <c r="F37" s="100">
        <v>2.4900000000000002</v>
      </c>
      <c r="G37" s="100">
        <v>13.3</v>
      </c>
      <c r="H37" s="100">
        <v>6.6</v>
      </c>
      <c r="I37" s="100">
        <v>5.32</v>
      </c>
      <c r="J37" s="100">
        <v>0.68</v>
      </c>
      <c r="K37" s="100">
        <v>34.68</v>
      </c>
      <c r="L37" s="100">
        <v>7.03</v>
      </c>
      <c r="M37" s="100">
        <v>-1.03</v>
      </c>
      <c r="N37" s="100">
        <v>17.2</v>
      </c>
      <c r="O37" s="100">
        <v>0</v>
      </c>
      <c r="P37" s="100">
        <v>0.36</v>
      </c>
      <c r="Q37" s="100">
        <v>10</v>
      </c>
      <c r="R37" s="6"/>
      <c r="S37" s="6"/>
      <c r="T37" s="156"/>
      <c r="U37" s="6"/>
    </row>
    <row r="38" spans="1:21" customFormat="1">
      <c r="A38" s="201" t="s">
        <v>2766</v>
      </c>
      <c r="B38" s="100">
        <v>6.45</v>
      </c>
      <c r="C38" s="100">
        <v>6.41</v>
      </c>
      <c r="D38" s="100">
        <v>12.85</v>
      </c>
      <c r="E38" s="100">
        <v>0</v>
      </c>
      <c r="F38" s="100">
        <v>2.46</v>
      </c>
      <c r="G38" s="100">
        <v>14.02</v>
      </c>
      <c r="H38" s="100">
        <v>5.75</v>
      </c>
      <c r="I38" s="100">
        <v>5.26</v>
      </c>
      <c r="J38" s="100">
        <v>0.71</v>
      </c>
      <c r="K38" s="100">
        <v>34.130000000000003</v>
      </c>
      <c r="L38" s="100">
        <v>9.84</v>
      </c>
      <c r="M38" s="100">
        <v>5.54</v>
      </c>
      <c r="N38" s="100">
        <v>37.799999999999997</v>
      </c>
      <c r="O38" s="100">
        <v>0</v>
      </c>
      <c r="P38" s="100">
        <v>0.36</v>
      </c>
      <c r="Q38" s="100">
        <v>10</v>
      </c>
      <c r="R38" s="6"/>
      <c r="S38" s="6"/>
      <c r="T38" s="156"/>
      <c r="U38" s="6"/>
    </row>
    <row r="39" spans="1:21" customFormat="1">
      <c r="A39" s="201" t="s">
        <v>2767</v>
      </c>
      <c r="B39" s="100">
        <v>6.57</v>
      </c>
      <c r="C39" s="100">
        <v>6.21</v>
      </c>
      <c r="D39" s="100">
        <v>12.78</v>
      </c>
      <c r="E39" s="100">
        <v>0.01</v>
      </c>
      <c r="F39" s="100">
        <v>2.0699999999999998</v>
      </c>
      <c r="G39" s="100">
        <v>14.57</v>
      </c>
      <c r="H39" s="100">
        <v>5.25</v>
      </c>
      <c r="I39" s="100">
        <v>5.34</v>
      </c>
      <c r="J39" s="100">
        <v>0.63</v>
      </c>
      <c r="K39" s="100">
        <v>38.54</v>
      </c>
      <c r="L39" s="100">
        <v>8.2899999999999991</v>
      </c>
      <c r="M39" s="100">
        <v>1.85</v>
      </c>
      <c r="N39" s="100">
        <v>30.4</v>
      </c>
      <c r="O39" s="100">
        <v>0</v>
      </c>
      <c r="P39" s="100">
        <v>0.38</v>
      </c>
      <c r="Q39" s="100">
        <v>10</v>
      </c>
      <c r="R39" s="6"/>
      <c r="S39" s="6"/>
      <c r="T39" s="156"/>
      <c r="U39" s="6"/>
    </row>
    <row r="40" spans="1:21" customFormat="1">
      <c r="A40" s="201" t="s">
        <v>2768</v>
      </c>
      <c r="B40" s="100">
        <v>6.74</v>
      </c>
      <c r="C40" s="100">
        <v>6.11</v>
      </c>
      <c r="D40" s="100">
        <v>12.84</v>
      </c>
      <c r="E40" s="100">
        <v>0.26</v>
      </c>
      <c r="F40" s="100">
        <v>2.02</v>
      </c>
      <c r="G40" s="100">
        <v>14.57</v>
      </c>
      <c r="H40" s="100">
        <v>5.25</v>
      </c>
      <c r="I40" s="100">
        <v>5.24</v>
      </c>
      <c r="J40" s="100">
        <v>0.52</v>
      </c>
      <c r="K40" s="100">
        <v>37.159999999999997</v>
      </c>
      <c r="L40" s="100">
        <v>7.75</v>
      </c>
      <c r="M40" s="100">
        <v>0.71</v>
      </c>
      <c r="N40" s="100">
        <v>25.1</v>
      </c>
      <c r="O40" s="100">
        <v>0</v>
      </c>
      <c r="P40" s="100">
        <v>0.36</v>
      </c>
      <c r="Q40" s="100">
        <v>10</v>
      </c>
      <c r="R40" s="6"/>
      <c r="S40" s="6"/>
      <c r="T40" s="156"/>
      <c r="U40" s="6"/>
    </row>
    <row r="41" spans="1:21" customFormat="1">
      <c r="A41" s="201" t="s">
        <v>2769</v>
      </c>
      <c r="B41" s="100">
        <v>6.95</v>
      </c>
      <c r="C41" s="100">
        <v>6.3</v>
      </c>
      <c r="D41" s="100">
        <v>13.24</v>
      </c>
      <c r="E41" s="100">
        <v>7.0000000000000007E-2</v>
      </c>
      <c r="F41" s="100">
        <v>2.0499999999999998</v>
      </c>
      <c r="G41" s="100">
        <v>14.57</v>
      </c>
      <c r="H41" s="100">
        <v>5.25</v>
      </c>
      <c r="I41" s="100">
        <v>5.37</v>
      </c>
      <c r="J41" s="100">
        <v>0.63</v>
      </c>
      <c r="K41" s="100">
        <v>32.44</v>
      </c>
      <c r="L41" s="100">
        <v>7.5</v>
      </c>
      <c r="M41" s="100">
        <v>-0.28000000000000003</v>
      </c>
      <c r="N41" s="100">
        <v>34.1</v>
      </c>
      <c r="O41" s="100">
        <v>0</v>
      </c>
      <c r="P41" s="100">
        <v>0.35</v>
      </c>
      <c r="Q41" s="100">
        <v>10</v>
      </c>
      <c r="R41" s="6"/>
      <c r="S41" s="6"/>
      <c r="T41" s="156"/>
      <c r="U41" s="6"/>
    </row>
    <row r="42" spans="1:21" customFormat="1">
      <c r="A42" s="201" t="s">
        <v>2770</v>
      </c>
      <c r="B42" s="100">
        <v>7</v>
      </c>
      <c r="C42" s="100">
        <v>6.12</v>
      </c>
      <c r="D42" s="100">
        <v>13.12</v>
      </c>
      <c r="E42" s="100">
        <v>0.04</v>
      </c>
      <c r="F42" s="100">
        <v>2.0299999999999998</v>
      </c>
      <c r="G42" s="100">
        <v>13.79</v>
      </c>
      <c r="H42" s="100">
        <v>5.68</v>
      </c>
      <c r="I42" s="100">
        <v>5.28</v>
      </c>
      <c r="J42" s="100">
        <v>0.68</v>
      </c>
      <c r="K42" s="100">
        <v>34.99</v>
      </c>
      <c r="L42" s="100">
        <v>9.26</v>
      </c>
      <c r="M42" s="100">
        <v>3.75</v>
      </c>
      <c r="N42" s="100">
        <v>55.7</v>
      </c>
      <c r="O42" s="100">
        <v>0</v>
      </c>
      <c r="P42" s="100">
        <v>0.38</v>
      </c>
      <c r="Q42" s="100">
        <v>10</v>
      </c>
      <c r="R42" s="6"/>
      <c r="S42" s="6"/>
      <c r="T42" s="156"/>
      <c r="U42" s="6"/>
    </row>
    <row r="43" spans="1:21" customFormat="1">
      <c r="A43" s="201" t="s">
        <v>2771</v>
      </c>
      <c r="B43" s="100">
        <v>7.15</v>
      </c>
      <c r="C43" s="100">
        <v>6.24</v>
      </c>
      <c r="D43" s="100">
        <v>13.39</v>
      </c>
      <c r="E43" s="100">
        <v>0.05</v>
      </c>
      <c r="F43" s="100">
        <v>2.15</v>
      </c>
      <c r="G43" s="100">
        <v>13.18</v>
      </c>
      <c r="H43" s="100">
        <v>5.82</v>
      </c>
      <c r="I43" s="100">
        <v>5.09</v>
      </c>
      <c r="J43" s="100">
        <v>0.63</v>
      </c>
      <c r="K43" s="100">
        <v>28.64</v>
      </c>
      <c r="L43" s="100">
        <v>9.2100000000000009</v>
      </c>
      <c r="M43" s="100">
        <v>2.08</v>
      </c>
      <c r="N43" s="100">
        <v>87</v>
      </c>
      <c r="O43" s="100">
        <v>0</v>
      </c>
      <c r="P43" s="100">
        <v>0.38</v>
      </c>
      <c r="Q43" s="100">
        <v>10</v>
      </c>
      <c r="R43" s="6"/>
      <c r="S43" s="6"/>
      <c r="T43" s="156"/>
      <c r="U43" s="6"/>
    </row>
    <row r="44" spans="1:21" customFormat="1">
      <c r="A44" s="201" t="s">
        <v>2772</v>
      </c>
      <c r="B44" s="100">
        <v>7.33</v>
      </c>
      <c r="C44" s="100">
        <v>6.13</v>
      </c>
      <c r="D44" s="100">
        <v>13.46</v>
      </c>
      <c r="E44" s="100">
        <v>0</v>
      </c>
      <c r="F44" s="100">
        <v>2.11</v>
      </c>
      <c r="G44" s="100">
        <v>13.18</v>
      </c>
      <c r="H44" s="100">
        <v>5.82</v>
      </c>
      <c r="I44" s="100">
        <v>5.21</v>
      </c>
      <c r="J44" s="100">
        <v>0.86</v>
      </c>
      <c r="K44" s="100">
        <v>28.14</v>
      </c>
      <c r="L44" s="100">
        <v>7.3</v>
      </c>
      <c r="M44" s="100">
        <v>-2.27</v>
      </c>
      <c r="N44" s="100">
        <v>99.5</v>
      </c>
      <c r="O44" s="100">
        <v>0</v>
      </c>
      <c r="P44" s="100">
        <v>0.39</v>
      </c>
      <c r="Q44" s="100">
        <v>10</v>
      </c>
      <c r="R44" s="6"/>
      <c r="S44" s="6"/>
      <c r="T44" s="156"/>
      <c r="U44" s="6"/>
    </row>
    <row r="45" spans="1:21" customFormat="1">
      <c r="A45" s="201" t="s">
        <v>2773</v>
      </c>
      <c r="B45" s="100">
        <v>7.32</v>
      </c>
      <c r="C45" s="100">
        <v>6.27</v>
      </c>
      <c r="D45" s="100">
        <v>13.59</v>
      </c>
      <c r="E45" s="100">
        <v>0.04</v>
      </c>
      <c r="F45" s="100">
        <v>2.04</v>
      </c>
      <c r="G45" s="100">
        <v>13.18</v>
      </c>
      <c r="H45" s="100">
        <v>5.82</v>
      </c>
      <c r="I45" s="100">
        <v>5.13</v>
      </c>
      <c r="J45" s="100">
        <v>0.61</v>
      </c>
      <c r="K45" s="100">
        <v>37.409999999999997</v>
      </c>
      <c r="L45" s="100">
        <v>9.94</v>
      </c>
      <c r="M45" s="100">
        <v>2.6</v>
      </c>
      <c r="N45" s="100">
        <v>177</v>
      </c>
      <c r="O45" s="100">
        <v>0</v>
      </c>
      <c r="P45" s="100">
        <v>0.41</v>
      </c>
      <c r="Q45" s="100">
        <v>10</v>
      </c>
      <c r="R45" s="6"/>
      <c r="S45" s="6"/>
      <c r="T45" s="156"/>
      <c r="U45" s="6"/>
    </row>
    <row r="46" spans="1:21" customFormat="1">
      <c r="A46" s="201" t="s">
        <v>2774</v>
      </c>
      <c r="B46" s="100">
        <v>7.13</v>
      </c>
      <c r="C46" s="100">
        <v>6.54</v>
      </c>
      <c r="D46" s="100">
        <v>13.67</v>
      </c>
      <c r="E46" s="100">
        <v>0.06</v>
      </c>
      <c r="F46" s="100">
        <v>2.72</v>
      </c>
      <c r="G46" s="100">
        <v>20.58</v>
      </c>
      <c r="H46" s="100">
        <v>6.45</v>
      </c>
      <c r="I46" s="100">
        <v>5.17</v>
      </c>
      <c r="J46" s="100">
        <v>0.76</v>
      </c>
      <c r="K46" s="100">
        <v>41.69</v>
      </c>
      <c r="L46" s="100">
        <v>9.36</v>
      </c>
      <c r="M46" s="100">
        <v>1.73</v>
      </c>
      <c r="N46" s="100">
        <v>149.69999999999999</v>
      </c>
      <c r="O46" s="100">
        <v>0</v>
      </c>
      <c r="P46" s="100">
        <v>0.43</v>
      </c>
      <c r="Q46" s="100">
        <v>10</v>
      </c>
      <c r="R46" s="6"/>
      <c r="S46" s="6"/>
      <c r="T46" s="156"/>
      <c r="U46" s="6"/>
    </row>
    <row r="47" spans="1:21" customFormat="1">
      <c r="A47" s="201" t="s">
        <v>2775</v>
      </c>
      <c r="B47" s="100">
        <v>6.73</v>
      </c>
      <c r="C47" s="100">
        <v>6.56</v>
      </c>
      <c r="D47" s="100">
        <v>13.29</v>
      </c>
      <c r="E47" s="100">
        <v>0.01</v>
      </c>
      <c r="F47" s="100">
        <v>2.62</v>
      </c>
      <c r="G47" s="100">
        <v>26.24</v>
      </c>
      <c r="H47" s="100">
        <v>6.65</v>
      </c>
      <c r="I47" s="100">
        <v>5.1100000000000003</v>
      </c>
      <c r="J47" s="100">
        <v>0.69</v>
      </c>
      <c r="K47" s="100">
        <v>45.56</v>
      </c>
      <c r="L47" s="100">
        <v>12.86</v>
      </c>
      <c r="M47" s="100">
        <v>8.64</v>
      </c>
      <c r="N47" s="100">
        <v>234.9</v>
      </c>
      <c r="O47" s="100">
        <v>0</v>
      </c>
      <c r="P47" s="100">
        <v>0.43</v>
      </c>
      <c r="Q47" s="100">
        <v>10</v>
      </c>
      <c r="R47" s="6"/>
      <c r="S47" s="6"/>
      <c r="T47" s="156"/>
      <c r="U47" s="6"/>
    </row>
    <row r="48" spans="1:21" customFormat="1">
      <c r="A48" s="201" t="s">
        <v>2776</v>
      </c>
      <c r="B48" s="100">
        <v>6.32</v>
      </c>
      <c r="C48" s="100">
        <v>6.58</v>
      </c>
      <c r="D48" s="100">
        <v>12.9</v>
      </c>
      <c r="E48" s="100">
        <v>0</v>
      </c>
      <c r="F48" s="100">
        <v>2.72</v>
      </c>
      <c r="G48" s="100">
        <v>26.24</v>
      </c>
      <c r="H48" s="100">
        <v>6.65</v>
      </c>
      <c r="I48" s="100">
        <v>5.0599999999999996</v>
      </c>
      <c r="J48" s="100">
        <v>0.55000000000000004</v>
      </c>
      <c r="K48" s="100">
        <v>43.94</v>
      </c>
      <c r="L48" s="100">
        <v>10.56</v>
      </c>
      <c r="M48" s="100">
        <v>5.0599999999999996</v>
      </c>
      <c r="N48" s="100">
        <v>139.6</v>
      </c>
      <c r="O48" s="100">
        <v>0</v>
      </c>
      <c r="P48" s="100">
        <v>0.43</v>
      </c>
      <c r="Q48" s="100">
        <v>10</v>
      </c>
      <c r="R48" s="6"/>
      <c r="S48" s="6"/>
      <c r="T48" s="156"/>
      <c r="U48" s="6"/>
    </row>
    <row r="49" spans="1:21" customFormat="1">
      <c r="A49" s="201" t="s">
        <v>2777</v>
      </c>
      <c r="B49" s="100">
        <v>6.05</v>
      </c>
      <c r="C49" s="100">
        <v>6.5</v>
      </c>
      <c r="D49" s="100">
        <v>12.55</v>
      </c>
      <c r="E49" s="100">
        <v>4.4800000000000004</v>
      </c>
      <c r="F49" s="100">
        <v>2.1</v>
      </c>
      <c r="G49" s="100">
        <v>26.24</v>
      </c>
      <c r="H49" s="100">
        <v>6.65</v>
      </c>
      <c r="I49" s="100">
        <v>5.03</v>
      </c>
      <c r="J49" s="100">
        <v>0.6</v>
      </c>
      <c r="K49" s="100">
        <v>46.28</v>
      </c>
      <c r="L49" s="100">
        <v>10.23</v>
      </c>
      <c r="M49" s="100">
        <v>4.96</v>
      </c>
      <c r="N49" s="100">
        <v>110.1</v>
      </c>
      <c r="O49" s="100">
        <v>0</v>
      </c>
      <c r="P49" s="100">
        <v>0.42</v>
      </c>
      <c r="Q49" s="100">
        <v>10</v>
      </c>
      <c r="R49" s="6"/>
      <c r="S49" s="6"/>
      <c r="T49" s="156"/>
      <c r="U49" s="6"/>
    </row>
    <row r="50" spans="1:21" customFormat="1">
      <c r="A50" s="201" t="s">
        <v>2778</v>
      </c>
      <c r="B50" s="100">
        <v>5.88</v>
      </c>
      <c r="C50" s="100">
        <v>6.44</v>
      </c>
      <c r="D50" s="100">
        <v>12.32</v>
      </c>
      <c r="E50" s="100">
        <v>5.53</v>
      </c>
      <c r="F50" s="100">
        <v>2</v>
      </c>
      <c r="G50" s="100">
        <v>25.8</v>
      </c>
      <c r="H50" s="100">
        <v>7.31</v>
      </c>
      <c r="I50" s="100">
        <v>4.88</v>
      </c>
      <c r="J50" s="100">
        <v>0.52</v>
      </c>
      <c r="K50" s="100">
        <v>43.62</v>
      </c>
      <c r="L50" s="100">
        <v>11.81</v>
      </c>
      <c r="M50" s="100">
        <v>5.32</v>
      </c>
      <c r="N50" s="100">
        <v>261.39999999999998</v>
      </c>
      <c r="O50" s="100">
        <v>0</v>
      </c>
      <c r="P50" s="100">
        <v>0.43</v>
      </c>
      <c r="Q50" s="100">
        <v>10</v>
      </c>
      <c r="R50" s="6"/>
      <c r="S50" s="6"/>
      <c r="T50" s="156"/>
      <c r="U50" s="6"/>
    </row>
    <row r="51" spans="1:21" customFormat="1">
      <c r="A51" s="201" t="s">
        <v>2779</v>
      </c>
      <c r="B51" s="100">
        <v>5.68</v>
      </c>
      <c r="C51" s="100">
        <v>6.31</v>
      </c>
      <c r="D51" s="100">
        <v>12</v>
      </c>
      <c r="E51" s="100">
        <v>5.64</v>
      </c>
      <c r="F51" s="100">
        <v>2.0499999999999998</v>
      </c>
      <c r="G51" s="100">
        <v>25.47</v>
      </c>
      <c r="H51" s="100">
        <v>7.52</v>
      </c>
      <c r="I51" s="100">
        <v>4.93</v>
      </c>
      <c r="J51" s="100">
        <v>0.47</v>
      </c>
      <c r="K51" s="100">
        <v>36.4</v>
      </c>
      <c r="L51" s="100">
        <v>15.75</v>
      </c>
      <c r="M51" s="100">
        <v>7.38</v>
      </c>
      <c r="N51" s="100">
        <v>594.5</v>
      </c>
      <c r="O51" s="100">
        <v>0</v>
      </c>
      <c r="P51" s="100">
        <v>0.43</v>
      </c>
      <c r="Q51" s="100">
        <v>10</v>
      </c>
      <c r="R51" s="6"/>
      <c r="S51" s="6"/>
      <c r="T51" s="156"/>
      <c r="U51" s="6"/>
    </row>
    <row r="52" spans="1:21" customFormat="1">
      <c r="A52" s="201" t="s">
        <v>2780</v>
      </c>
      <c r="B52" s="100">
        <v>5.44</v>
      </c>
      <c r="C52" s="100">
        <v>6.31</v>
      </c>
      <c r="D52" s="100">
        <v>11.75</v>
      </c>
      <c r="E52" s="100">
        <v>5.83</v>
      </c>
      <c r="F52" s="100">
        <v>2.0299999999999998</v>
      </c>
      <c r="G52" s="100">
        <v>25.47</v>
      </c>
      <c r="H52" s="100">
        <v>7.52</v>
      </c>
      <c r="I52" s="100">
        <v>4.82</v>
      </c>
      <c r="J52" s="100">
        <v>0.43</v>
      </c>
      <c r="K52" s="100">
        <v>70.25</v>
      </c>
      <c r="L52" s="100">
        <v>10.69</v>
      </c>
      <c r="M52" s="100">
        <v>5.47</v>
      </c>
      <c r="N52" s="100">
        <v>139.80000000000001</v>
      </c>
      <c r="O52" s="100">
        <v>0</v>
      </c>
      <c r="P52" s="100">
        <v>0.43</v>
      </c>
      <c r="Q52" s="100">
        <v>10</v>
      </c>
      <c r="R52" s="6"/>
      <c r="S52" s="6"/>
      <c r="T52" s="156"/>
      <c r="U52" s="6"/>
    </row>
    <row r="53" spans="1:21" customFormat="1">
      <c r="A53" s="201" t="s">
        <v>2781</v>
      </c>
      <c r="B53" s="100">
        <v>5.16</v>
      </c>
      <c r="C53" s="100">
        <v>6.3</v>
      </c>
      <c r="D53" s="100">
        <v>11.46</v>
      </c>
      <c r="E53" s="100">
        <v>5.61</v>
      </c>
      <c r="F53" s="100">
        <v>2.09</v>
      </c>
      <c r="G53" s="100">
        <v>25.47</v>
      </c>
      <c r="H53" s="100">
        <v>7.52</v>
      </c>
      <c r="I53" s="100">
        <v>4.78</v>
      </c>
      <c r="J53" s="100">
        <v>0.6</v>
      </c>
      <c r="K53" s="100">
        <v>40.42</v>
      </c>
      <c r="L53" s="100">
        <v>12.1</v>
      </c>
      <c r="M53" s="100">
        <v>8.01</v>
      </c>
      <c r="N53" s="100">
        <v>178.6</v>
      </c>
      <c r="O53" s="100">
        <v>0</v>
      </c>
      <c r="P53" s="100">
        <v>0.42</v>
      </c>
      <c r="Q53" s="100">
        <v>10</v>
      </c>
      <c r="R53" s="6"/>
      <c r="S53" s="6"/>
      <c r="T53" s="156"/>
      <c r="U53" s="6"/>
    </row>
    <row r="54" spans="1:21" customFormat="1">
      <c r="A54" s="201" t="s">
        <v>2782</v>
      </c>
      <c r="B54" s="100">
        <v>4.82</v>
      </c>
      <c r="C54" s="100">
        <v>6.39</v>
      </c>
      <c r="D54" s="100">
        <v>11.22</v>
      </c>
      <c r="E54" s="100">
        <v>5.47</v>
      </c>
      <c r="F54" s="100">
        <v>2.62</v>
      </c>
      <c r="G54" s="100">
        <v>31.87</v>
      </c>
      <c r="H54" s="100">
        <v>10.29</v>
      </c>
      <c r="I54" s="100">
        <v>4.75</v>
      </c>
      <c r="J54" s="100">
        <v>0.81</v>
      </c>
      <c r="K54" s="100">
        <v>41.88</v>
      </c>
      <c r="L54" s="100">
        <v>11.98</v>
      </c>
      <c r="M54" s="100">
        <v>4.6100000000000003</v>
      </c>
      <c r="N54" s="100">
        <v>318.5</v>
      </c>
      <c r="O54" s="100">
        <v>0</v>
      </c>
      <c r="P54" s="100">
        <v>0.43</v>
      </c>
      <c r="Q54" s="100">
        <v>10</v>
      </c>
      <c r="R54" s="6"/>
      <c r="S54" s="6"/>
      <c r="T54" s="156"/>
      <c r="U54" s="6"/>
    </row>
    <row r="55" spans="1:21" customFormat="1">
      <c r="A55" s="201" t="s">
        <v>2783</v>
      </c>
      <c r="B55" s="100">
        <v>4.4800000000000004</v>
      </c>
      <c r="C55" s="100">
        <v>6.43</v>
      </c>
      <c r="D55" s="100">
        <v>10.91</v>
      </c>
      <c r="E55" s="100">
        <v>4.96</v>
      </c>
      <c r="F55" s="100">
        <v>2.2000000000000002</v>
      </c>
      <c r="G55" s="100">
        <v>36.76</v>
      </c>
      <c r="H55" s="100">
        <v>11.93</v>
      </c>
      <c r="I55" s="100">
        <v>4.72</v>
      </c>
      <c r="J55" s="100">
        <v>0.68</v>
      </c>
      <c r="K55" s="100">
        <v>34.86</v>
      </c>
      <c r="L55" s="100">
        <v>10.9</v>
      </c>
      <c r="M55" s="100">
        <v>5.62</v>
      </c>
      <c r="N55" s="100">
        <v>148.30000000000001</v>
      </c>
      <c r="O55" s="100">
        <v>0</v>
      </c>
      <c r="P55" s="100">
        <v>0.42</v>
      </c>
      <c r="Q55" s="100">
        <v>10</v>
      </c>
      <c r="R55" s="6"/>
      <c r="S55" s="6"/>
      <c r="T55" s="156"/>
      <c r="U55" s="6"/>
    </row>
    <row r="56" spans="1:21" customFormat="1">
      <c r="A56" s="201" t="s">
        <v>2784</v>
      </c>
      <c r="B56" s="100">
        <v>4.42</v>
      </c>
      <c r="C56" s="100">
        <v>6.09</v>
      </c>
      <c r="D56" s="100">
        <v>10.51</v>
      </c>
      <c r="E56" s="100">
        <v>5.55</v>
      </c>
      <c r="F56" s="100">
        <v>2.4500000000000002</v>
      </c>
      <c r="G56" s="100">
        <v>36.76</v>
      </c>
      <c r="H56" s="100">
        <v>11.93</v>
      </c>
      <c r="I56" s="100">
        <v>4.7300000000000004</v>
      </c>
      <c r="J56" s="100">
        <v>0.47</v>
      </c>
      <c r="K56" s="100">
        <v>66.44</v>
      </c>
      <c r="L56" s="100">
        <v>16.329999999999998</v>
      </c>
      <c r="M56" s="100">
        <v>7.34</v>
      </c>
      <c r="N56" s="100">
        <v>658.1</v>
      </c>
      <c r="O56" s="100">
        <v>0</v>
      </c>
      <c r="P56" s="100">
        <v>0.42</v>
      </c>
      <c r="Q56" s="100">
        <v>10</v>
      </c>
      <c r="R56" s="6"/>
      <c r="S56" s="6"/>
      <c r="T56" s="156"/>
      <c r="U56" s="6"/>
    </row>
    <row r="57" spans="1:21" customFormat="1">
      <c r="A57" s="201" t="s">
        <v>2785</v>
      </c>
      <c r="B57" s="100">
        <v>4.16</v>
      </c>
      <c r="C57" s="100">
        <v>6.12</v>
      </c>
      <c r="D57" s="100">
        <v>10.29</v>
      </c>
      <c r="E57" s="100">
        <v>5.46</v>
      </c>
      <c r="F57" s="100">
        <v>2.74</v>
      </c>
      <c r="G57" s="100">
        <v>36.76</v>
      </c>
      <c r="H57" s="100">
        <v>11.93</v>
      </c>
      <c r="I57" s="100">
        <v>4.79</v>
      </c>
      <c r="J57" s="100">
        <v>0.61</v>
      </c>
      <c r="K57" s="100">
        <v>52.18</v>
      </c>
      <c r="L57" s="100">
        <v>10.65</v>
      </c>
      <c r="M57" s="100">
        <v>4.7300000000000004</v>
      </c>
      <c r="N57" s="100">
        <v>164.9</v>
      </c>
      <c r="O57" s="100">
        <v>0</v>
      </c>
      <c r="P57" s="100">
        <v>0.42</v>
      </c>
      <c r="Q57" s="100">
        <v>10</v>
      </c>
      <c r="R57" s="6"/>
      <c r="S57" s="6"/>
      <c r="T57" s="156"/>
      <c r="U57" s="6"/>
    </row>
    <row r="58" spans="1:21" customFormat="1">
      <c r="A58" s="201" t="s">
        <v>2786</v>
      </c>
      <c r="B58" s="100">
        <v>3.74</v>
      </c>
      <c r="C58" s="100">
        <v>6.38</v>
      </c>
      <c r="D58" s="100">
        <v>10.119999999999999</v>
      </c>
      <c r="E58" s="100">
        <v>5.72</v>
      </c>
      <c r="F58" s="100">
        <v>3.12</v>
      </c>
      <c r="G58" s="100">
        <v>32.67</v>
      </c>
      <c r="H58" s="100">
        <v>12.21</v>
      </c>
      <c r="I58" s="100">
        <v>4.78</v>
      </c>
      <c r="J58" s="100">
        <v>0.52</v>
      </c>
      <c r="K58" s="100">
        <v>42.34</v>
      </c>
      <c r="L58" s="100">
        <v>11.1</v>
      </c>
      <c r="M58" s="100">
        <v>4.8099999999999996</v>
      </c>
      <c r="N58" s="100">
        <v>206.3</v>
      </c>
      <c r="O58" s="100">
        <v>0</v>
      </c>
      <c r="P58" s="100">
        <v>0.42</v>
      </c>
      <c r="Q58" s="100">
        <v>10</v>
      </c>
      <c r="R58" s="6"/>
      <c r="S58" s="6"/>
      <c r="T58" s="156"/>
      <c r="U58" s="6"/>
    </row>
    <row r="59" spans="1:21" customFormat="1">
      <c r="A59" s="201" t="s">
        <v>2787</v>
      </c>
      <c r="B59" s="100">
        <v>3.52</v>
      </c>
      <c r="C59" s="100">
        <v>6.38</v>
      </c>
      <c r="D59" s="100">
        <v>9.9</v>
      </c>
      <c r="E59" s="100">
        <v>5.68</v>
      </c>
      <c r="F59" s="100">
        <v>2.86</v>
      </c>
      <c r="G59" s="100">
        <v>29.55</v>
      </c>
      <c r="H59" s="100">
        <v>12.3</v>
      </c>
      <c r="I59" s="100">
        <v>4.75</v>
      </c>
      <c r="J59" s="100">
        <v>0.32</v>
      </c>
      <c r="K59" s="100">
        <v>70.489999999999995</v>
      </c>
      <c r="L59" s="100">
        <v>12.22</v>
      </c>
      <c r="M59" s="100">
        <v>8.48</v>
      </c>
      <c r="N59" s="100">
        <v>172.1</v>
      </c>
      <c r="O59" s="100">
        <v>0</v>
      </c>
      <c r="P59" s="100">
        <v>0.41</v>
      </c>
      <c r="Q59" s="100">
        <v>10</v>
      </c>
      <c r="R59" s="6"/>
      <c r="S59" s="6"/>
      <c r="T59" s="156"/>
      <c r="U59" s="6"/>
    </row>
    <row r="60" spans="1:21" customFormat="1">
      <c r="A60" s="201" t="s">
        <v>2788</v>
      </c>
      <c r="B60" s="100">
        <v>3.25</v>
      </c>
      <c r="C60" s="100">
        <v>6.36</v>
      </c>
      <c r="D60" s="100">
        <v>9.6</v>
      </c>
      <c r="E60" s="100">
        <v>5.46</v>
      </c>
      <c r="F60" s="100">
        <v>3.01</v>
      </c>
      <c r="G60" s="100">
        <v>29.55</v>
      </c>
      <c r="H60" s="100">
        <v>12.3</v>
      </c>
      <c r="I60" s="100">
        <v>4.6900000000000004</v>
      </c>
      <c r="J60" s="100">
        <v>0.61</v>
      </c>
      <c r="K60" s="100">
        <v>36.200000000000003</v>
      </c>
      <c r="L60" s="100">
        <v>12.02</v>
      </c>
      <c r="M60" s="100">
        <v>2.93</v>
      </c>
      <c r="N60" s="100">
        <v>385.8</v>
      </c>
      <c r="O60" s="100">
        <v>0</v>
      </c>
      <c r="P60" s="100">
        <v>0.42</v>
      </c>
      <c r="Q60" s="100">
        <v>9.77</v>
      </c>
      <c r="R60" s="6"/>
      <c r="S60" s="6"/>
      <c r="T60" s="156"/>
      <c r="U60" s="6"/>
    </row>
    <row r="61" spans="1:21" customFormat="1">
      <c r="A61" s="201" t="s">
        <v>2789</v>
      </c>
      <c r="B61" s="100">
        <v>3.02</v>
      </c>
      <c r="C61" s="100">
        <v>6.26</v>
      </c>
      <c r="D61" s="100">
        <v>9.2799999999999994</v>
      </c>
      <c r="E61" s="100">
        <v>5.73</v>
      </c>
      <c r="F61" s="100">
        <v>2.4900000000000002</v>
      </c>
      <c r="G61" s="100">
        <v>29.55</v>
      </c>
      <c r="H61" s="100">
        <v>12.3</v>
      </c>
      <c r="I61" s="100">
        <v>4.5599999999999996</v>
      </c>
      <c r="J61" s="100">
        <v>0.32</v>
      </c>
      <c r="K61" s="100">
        <v>74.27</v>
      </c>
      <c r="L61" s="100">
        <v>13.12</v>
      </c>
      <c r="M61" s="100">
        <v>11.72</v>
      </c>
      <c r="N61" s="100">
        <v>135.4</v>
      </c>
      <c r="O61" s="100">
        <v>0</v>
      </c>
      <c r="P61" s="100">
        <v>0.42</v>
      </c>
      <c r="Q61" s="100">
        <v>10</v>
      </c>
      <c r="R61" s="6"/>
      <c r="S61" s="6"/>
      <c r="T61" s="156"/>
      <c r="U61" s="6"/>
    </row>
    <row r="62" spans="1:21" customFormat="1">
      <c r="A62" s="201" t="s">
        <v>2790</v>
      </c>
      <c r="B62" s="100">
        <v>2.77</v>
      </c>
      <c r="C62" s="100">
        <v>6.25</v>
      </c>
      <c r="D62" s="100">
        <v>9.01</v>
      </c>
      <c r="E62" s="100">
        <v>5.73</v>
      </c>
      <c r="F62" s="100">
        <v>2.4</v>
      </c>
      <c r="G62" s="100">
        <v>27.95</v>
      </c>
      <c r="H62" s="100">
        <v>9.8000000000000007</v>
      </c>
      <c r="I62" s="100">
        <v>4.6900000000000004</v>
      </c>
      <c r="J62" s="100">
        <v>0.28000000000000003</v>
      </c>
      <c r="K62" s="100">
        <v>57.92</v>
      </c>
      <c r="L62" s="100">
        <v>15.12</v>
      </c>
      <c r="M62" s="100">
        <v>11.91</v>
      </c>
      <c r="N62" s="100">
        <v>349.1</v>
      </c>
      <c r="O62" s="100">
        <v>0</v>
      </c>
      <c r="P62" s="100">
        <v>0.42</v>
      </c>
      <c r="Q62" s="100">
        <v>10</v>
      </c>
      <c r="R62" s="6"/>
      <c r="S62" s="6"/>
      <c r="T62" s="156"/>
      <c r="U62" s="6"/>
    </row>
    <row r="63" spans="1:21" customFormat="1">
      <c r="A63" s="201" t="s">
        <v>2791</v>
      </c>
      <c r="B63" s="100">
        <v>2.5499999999999998</v>
      </c>
      <c r="C63" s="100">
        <v>6.12</v>
      </c>
      <c r="D63" s="100">
        <v>8.67</v>
      </c>
      <c r="E63" s="100">
        <v>5.78</v>
      </c>
      <c r="F63" s="100">
        <v>2.09</v>
      </c>
      <c r="G63" s="100">
        <v>26.72</v>
      </c>
      <c r="H63" s="100">
        <v>9</v>
      </c>
      <c r="I63" s="100">
        <v>4.67</v>
      </c>
      <c r="J63" s="100">
        <v>0.24</v>
      </c>
      <c r="K63" s="100">
        <v>71.040000000000006</v>
      </c>
      <c r="L63" s="100">
        <v>15.76</v>
      </c>
      <c r="M63" s="100">
        <v>10.86</v>
      </c>
      <c r="N63" s="100">
        <v>453.1</v>
      </c>
      <c r="O63" s="100">
        <v>0</v>
      </c>
      <c r="P63" s="100">
        <v>0.41</v>
      </c>
      <c r="Q63" s="100">
        <v>10</v>
      </c>
      <c r="R63" s="6"/>
      <c r="S63" s="6"/>
      <c r="T63" s="156"/>
      <c r="U63" s="6"/>
    </row>
    <row r="64" spans="1:21" customFormat="1">
      <c r="A64" s="201" t="s">
        <v>2792</v>
      </c>
      <c r="B64" s="100">
        <v>2.41</v>
      </c>
      <c r="C64" s="100">
        <v>6.03</v>
      </c>
      <c r="D64" s="100">
        <v>8.44</v>
      </c>
      <c r="E64" s="100">
        <v>5.76</v>
      </c>
      <c r="F64" s="100">
        <v>2.13</v>
      </c>
      <c r="G64" s="100">
        <v>26.72</v>
      </c>
      <c r="H64" s="100">
        <v>9</v>
      </c>
      <c r="I64" s="100">
        <v>4.5999999999999996</v>
      </c>
      <c r="J64" s="100">
        <v>0.27</v>
      </c>
      <c r="K64" s="100">
        <v>133.28</v>
      </c>
      <c r="L64" s="100">
        <v>16.16</v>
      </c>
      <c r="M64" s="100">
        <v>17.940000000000001</v>
      </c>
      <c r="N64" s="100">
        <v>194.9</v>
      </c>
      <c r="O64" s="100">
        <v>0</v>
      </c>
      <c r="P64" s="100">
        <v>0.42</v>
      </c>
      <c r="Q64" s="100">
        <v>10</v>
      </c>
      <c r="R64" s="6"/>
      <c r="S64" s="6"/>
      <c r="T64" s="156"/>
      <c r="U64" s="6"/>
    </row>
    <row r="65" spans="1:21" customFormat="1">
      <c r="A65" s="201" t="s">
        <v>2793</v>
      </c>
      <c r="B65" s="100">
        <v>2.37</v>
      </c>
      <c r="C65" s="100">
        <v>5.76</v>
      </c>
      <c r="D65" s="100">
        <v>8.1300000000000008</v>
      </c>
      <c r="E65" s="100">
        <v>6.06</v>
      </c>
      <c r="F65" s="100">
        <v>2.41</v>
      </c>
      <c r="G65" s="100">
        <v>26.72</v>
      </c>
      <c r="H65" s="100">
        <v>9</v>
      </c>
      <c r="I65" s="100">
        <v>4.4800000000000004</v>
      </c>
      <c r="J65" s="100">
        <v>0.31</v>
      </c>
      <c r="K65" s="100">
        <v>124.11</v>
      </c>
      <c r="L65" s="100">
        <v>16.260000000000002</v>
      </c>
      <c r="M65" s="100">
        <v>18.13</v>
      </c>
      <c r="N65" s="100">
        <v>198.1</v>
      </c>
      <c r="O65" s="100">
        <v>0</v>
      </c>
      <c r="P65" s="100">
        <v>0.18</v>
      </c>
      <c r="Q65" s="100">
        <v>10</v>
      </c>
      <c r="R65" s="6"/>
      <c r="S65" s="6"/>
      <c r="T65" s="156"/>
      <c r="U65" s="6"/>
    </row>
    <row r="66" spans="1:21" customFormat="1">
      <c r="A66" s="201" t="s">
        <v>2794</v>
      </c>
      <c r="B66" s="100">
        <v>2.2999999999999998</v>
      </c>
      <c r="C66" s="100">
        <v>5.69</v>
      </c>
      <c r="D66" s="100">
        <v>8</v>
      </c>
      <c r="E66" s="100">
        <v>5.46</v>
      </c>
      <c r="F66" s="100">
        <v>4.5999999999999996</v>
      </c>
      <c r="G66" s="100">
        <v>27.11</v>
      </c>
      <c r="H66" s="100">
        <v>7.91</v>
      </c>
      <c r="I66" s="100">
        <v>4.59</v>
      </c>
      <c r="J66" s="100">
        <v>0.25</v>
      </c>
      <c r="K66" s="100">
        <v>129.01</v>
      </c>
      <c r="L66" s="100">
        <v>13.78</v>
      </c>
      <c r="M66" s="100">
        <v>14.73</v>
      </c>
      <c r="N66" s="100">
        <v>75.099999999999994</v>
      </c>
      <c r="O66" s="100">
        <v>0</v>
      </c>
      <c r="P66" s="100">
        <v>0.18</v>
      </c>
      <c r="Q66" s="100">
        <v>10</v>
      </c>
      <c r="R66" s="6"/>
      <c r="S66" s="6"/>
      <c r="T66" s="156"/>
      <c r="U66" s="6"/>
    </row>
    <row r="67" spans="1:21" customFormat="1">
      <c r="A67" s="201" t="s">
        <v>2795</v>
      </c>
      <c r="B67" s="100">
        <v>2.36</v>
      </c>
      <c r="C67" s="100">
        <v>5.66</v>
      </c>
      <c r="D67" s="100">
        <v>8.0299999999999994</v>
      </c>
      <c r="E67" s="100">
        <v>5.42</v>
      </c>
      <c r="F67" s="100">
        <v>3.86</v>
      </c>
      <c r="G67" s="100">
        <v>27.41</v>
      </c>
      <c r="H67" s="100">
        <v>7.56</v>
      </c>
      <c r="I67" s="100">
        <v>4.57</v>
      </c>
      <c r="J67" s="100">
        <v>0.23</v>
      </c>
      <c r="K67" s="100">
        <v>126.36</v>
      </c>
      <c r="L67" s="100">
        <v>14.75</v>
      </c>
      <c r="M67" s="100">
        <v>16.98</v>
      </c>
      <c r="N67" s="100">
        <v>87.7</v>
      </c>
      <c r="O67" s="100">
        <v>0</v>
      </c>
      <c r="P67" s="100">
        <v>0.17</v>
      </c>
      <c r="Q67" s="100">
        <v>10</v>
      </c>
      <c r="R67" s="6"/>
      <c r="S67" s="6"/>
      <c r="T67" s="156"/>
      <c r="U67" s="6"/>
    </row>
    <row r="68" spans="1:21" customFormat="1">
      <c r="A68" s="201" t="s">
        <v>2796</v>
      </c>
      <c r="B68" s="100">
        <v>2.41</v>
      </c>
      <c r="C68" s="100">
        <v>5.63</v>
      </c>
      <c r="D68" s="100">
        <v>8.0399999999999991</v>
      </c>
      <c r="E68" s="100">
        <v>5.45</v>
      </c>
      <c r="F68" s="100">
        <v>3.5</v>
      </c>
      <c r="G68" s="100">
        <v>27.41</v>
      </c>
      <c r="H68" s="100">
        <v>7.56</v>
      </c>
      <c r="I68" s="100">
        <v>4.53</v>
      </c>
      <c r="J68" s="100">
        <v>0.32</v>
      </c>
      <c r="K68" s="100">
        <v>127.9</v>
      </c>
      <c r="L68" s="100">
        <v>14.82</v>
      </c>
      <c r="M68" s="100">
        <v>16.82</v>
      </c>
      <c r="N68" s="100">
        <v>100.3</v>
      </c>
      <c r="O68" s="100">
        <v>0</v>
      </c>
      <c r="P68" s="100">
        <v>0.16</v>
      </c>
      <c r="Q68" s="100">
        <v>10</v>
      </c>
      <c r="R68" s="6"/>
      <c r="S68" s="6"/>
      <c r="T68" s="156"/>
      <c r="U68" s="6"/>
    </row>
    <row r="69" spans="1:21" customFormat="1">
      <c r="A69" s="201" t="s">
        <v>2797</v>
      </c>
      <c r="B69" s="100">
        <v>2.37</v>
      </c>
      <c r="C69" s="100">
        <v>5.37</v>
      </c>
      <c r="D69" s="100">
        <v>7.74</v>
      </c>
      <c r="E69" s="100">
        <v>4.93</v>
      </c>
      <c r="F69" s="100">
        <v>4</v>
      </c>
      <c r="G69" s="100">
        <v>27.41</v>
      </c>
      <c r="H69" s="100">
        <v>7.56</v>
      </c>
      <c r="I69" s="100">
        <v>4.59</v>
      </c>
      <c r="J69" s="100">
        <v>0.27</v>
      </c>
      <c r="K69" s="100">
        <v>133.41999999999999</v>
      </c>
      <c r="L69" s="100">
        <v>14.2</v>
      </c>
      <c r="M69" s="100">
        <v>15.97</v>
      </c>
      <c r="N69" s="100">
        <v>74.5</v>
      </c>
      <c r="O69" s="100">
        <v>0</v>
      </c>
      <c r="P69" s="100">
        <v>0.14000000000000001</v>
      </c>
      <c r="Q69" s="100">
        <v>10</v>
      </c>
      <c r="R69" s="6"/>
      <c r="S69" s="6"/>
      <c r="T69" s="156"/>
      <c r="U69" s="6"/>
    </row>
    <row r="70" spans="1:21" customFormat="1">
      <c r="A70" s="201" t="s">
        <v>2798</v>
      </c>
      <c r="B70" s="100">
        <v>2.2400000000000002</v>
      </c>
      <c r="C70" s="100">
        <v>5.19</v>
      </c>
      <c r="D70" s="100">
        <v>7.44</v>
      </c>
      <c r="E70" s="100">
        <v>4.3499999999999996</v>
      </c>
      <c r="F70" s="100">
        <v>5.31</v>
      </c>
      <c r="G70" s="100">
        <v>23.07</v>
      </c>
      <c r="H70" s="100">
        <v>6.19</v>
      </c>
      <c r="I70" s="100">
        <v>4.53</v>
      </c>
      <c r="J70" s="100">
        <v>0.17</v>
      </c>
      <c r="K70" s="100">
        <v>99.24</v>
      </c>
      <c r="L70" s="100">
        <v>14.15</v>
      </c>
      <c r="M70" s="100">
        <v>15.95</v>
      </c>
      <c r="N70" s="100">
        <v>61.3</v>
      </c>
      <c r="O70" s="100">
        <v>0</v>
      </c>
      <c r="P70" s="100">
        <v>0.13</v>
      </c>
      <c r="Q70" s="100">
        <v>10</v>
      </c>
      <c r="R70" s="6"/>
      <c r="S70" s="6"/>
      <c r="T70" s="156"/>
      <c r="U70" s="6"/>
    </row>
    <row r="71" spans="1:21" customFormat="1">
      <c r="A71" s="201" t="s">
        <v>2799</v>
      </c>
      <c r="B71" s="100">
        <v>2.44</v>
      </c>
      <c r="C71" s="100">
        <v>5.31</v>
      </c>
      <c r="D71" s="100">
        <v>7.75</v>
      </c>
      <c r="E71" s="100">
        <v>4.76</v>
      </c>
      <c r="F71" s="100">
        <v>3.24</v>
      </c>
      <c r="G71" s="100">
        <v>19.75</v>
      </c>
      <c r="H71" s="100">
        <v>5.41</v>
      </c>
      <c r="I71" s="100">
        <v>4.4000000000000004</v>
      </c>
      <c r="J71" s="100">
        <v>0.25</v>
      </c>
      <c r="K71" s="100">
        <v>94.12</v>
      </c>
      <c r="L71" s="100">
        <v>11.74</v>
      </c>
      <c r="M71" s="100">
        <v>10.07</v>
      </c>
      <c r="N71" s="100">
        <v>53.3</v>
      </c>
      <c r="O71" s="100">
        <v>0</v>
      </c>
      <c r="P71" s="100">
        <v>0.16</v>
      </c>
      <c r="Q71" s="100">
        <v>10</v>
      </c>
      <c r="R71" s="6"/>
      <c r="S71" s="6"/>
      <c r="T71" s="156"/>
      <c r="U71" s="6"/>
    </row>
    <row r="72" spans="1:21" customFormat="1">
      <c r="A72" s="201" t="s">
        <v>2800</v>
      </c>
      <c r="B72" s="100">
        <v>2.57</v>
      </c>
      <c r="C72" s="100">
        <v>5.56</v>
      </c>
      <c r="D72" s="100">
        <v>8.1199999999999992</v>
      </c>
      <c r="E72" s="100">
        <v>4.9000000000000004</v>
      </c>
      <c r="F72" s="100">
        <v>3.91</v>
      </c>
      <c r="G72" s="100">
        <v>19.75</v>
      </c>
      <c r="H72" s="100">
        <v>5.41</v>
      </c>
      <c r="I72" s="100">
        <v>4.28</v>
      </c>
      <c r="J72" s="100">
        <v>0.55000000000000004</v>
      </c>
      <c r="K72" s="100">
        <v>45.24</v>
      </c>
      <c r="L72" s="100">
        <v>10.85</v>
      </c>
      <c r="M72" s="100">
        <v>8.02</v>
      </c>
      <c r="N72" s="100">
        <v>47</v>
      </c>
      <c r="O72" s="100">
        <v>0</v>
      </c>
      <c r="P72" s="100">
        <v>0.17</v>
      </c>
      <c r="Q72" s="100">
        <v>10</v>
      </c>
      <c r="R72" s="6"/>
      <c r="S72" s="6"/>
      <c r="T72" s="156"/>
      <c r="U72" s="6"/>
    </row>
    <row r="73" spans="1:21" customFormat="1">
      <c r="A73" s="201" t="s">
        <v>2801</v>
      </c>
      <c r="B73" s="100">
        <v>2.62</v>
      </c>
      <c r="C73" s="100">
        <v>5.48</v>
      </c>
      <c r="D73" s="100">
        <v>8.09</v>
      </c>
      <c r="E73" s="100">
        <v>5.15</v>
      </c>
      <c r="F73" s="100">
        <v>3.98</v>
      </c>
      <c r="G73" s="100">
        <v>19.75</v>
      </c>
      <c r="H73" s="100">
        <v>5.41</v>
      </c>
      <c r="I73" s="100">
        <v>4.43</v>
      </c>
      <c r="J73" s="100">
        <v>0.28000000000000003</v>
      </c>
      <c r="K73" s="100">
        <v>51.25</v>
      </c>
      <c r="L73" s="100">
        <v>12.15</v>
      </c>
      <c r="M73" s="100">
        <v>10.9</v>
      </c>
      <c r="N73" s="100">
        <v>35.200000000000003</v>
      </c>
      <c r="O73" s="100">
        <v>0</v>
      </c>
      <c r="P73" s="100">
        <v>0.18</v>
      </c>
      <c r="Q73" s="100">
        <v>10</v>
      </c>
      <c r="R73" s="6"/>
      <c r="S73" s="6"/>
      <c r="T73" s="156"/>
      <c r="U73" s="6"/>
    </row>
    <row r="74" spans="1:21" customFormat="1">
      <c r="A74" s="201" t="s">
        <v>2802</v>
      </c>
      <c r="B74" s="100">
        <v>2.57</v>
      </c>
      <c r="C74" s="100">
        <v>5.58</v>
      </c>
      <c r="D74" s="100">
        <v>8.15</v>
      </c>
      <c r="E74" s="100">
        <v>4.7300000000000004</v>
      </c>
      <c r="F74" s="100">
        <v>6.01</v>
      </c>
      <c r="G74" s="100">
        <v>20.75</v>
      </c>
      <c r="H74" s="100">
        <v>4.49</v>
      </c>
      <c r="I74" s="100">
        <v>4.42</v>
      </c>
      <c r="J74" s="100">
        <v>0.35</v>
      </c>
      <c r="K74" s="100">
        <v>44.11</v>
      </c>
      <c r="L74" s="100">
        <v>10.55</v>
      </c>
      <c r="M74" s="100">
        <v>7.66</v>
      </c>
      <c r="N74" s="100">
        <v>28.7</v>
      </c>
      <c r="O74" s="100">
        <v>0</v>
      </c>
      <c r="P74" s="100">
        <v>0.18</v>
      </c>
      <c r="Q74" s="100">
        <v>10</v>
      </c>
      <c r="R74" s="6"/>
      <c r="S74" s="6"/>
      <c r="T74" s="156"/>
      <c r="U74" s="6"/>
    </row>
    <row r="75" spans="1:21" customFormat="1">
      <c r="A75" s="201" t="s">
        <v>2803</v>
      </c>
      <c r="B75" s="100">
        <v>2.48</v>
      </c>
      <c r="C75" s="100">
        <v>5.76</v>
      </c>
      <c r="D75" s="100">
        <v>8.24</v>
      </c>
      <c r="E75" s="100">
        <v>5.16</v>
      </c>
      <c r="F75" s="100">
        <v>4.95</v>
      </c>
      <c r="G75" s="100">
        <v>21.48</v>
      </c>
      <c r="H75" s="100">
        <v>4.2</v>
      </c>
      <c r="I75" s="100">
        <v>4.47</v>
      </c>
      <c r="J75" s="100">
        <v>0.25</v>
      </c>
      <c r="K75" s="100">
        <v>129.22</v>
      </c>
      <c r="L75" s="100">
        <v>14.63</v>
      </c>
      <c r="M75" s="100">
        <v>18.02</v>
      </c>
      <c r="N75" s="100">
        <v>27.4</v>
      </c>
      <c r="O75" s="100">
        <v>0</v>
      </c>
      <c r="P75" s="100">
        <v>0.16</v>
      </c>
      <c r="Q75" s="100">
        <v>10</v>
      </c>
      <c r="R75" s="6"/>
      <c r="S75" s="6"/>
      <c r="T75" s="156"/>
      <c r="U75" s="6"/>
    </row>
    <row r="76" spans="1:21" customFormat="1">
      <c r="A76" s="201" t="s">
        <v>2804</v>
      </c>
      <c r="B76" s="100">
        <v>2.76</v>
      </c>
      <c r="C76" s="100">
        <v>6.1</v>
      </c>
      <c r="D76" s="100">
        <v>8.86</v>
      </c>
      <c r="E76" s="100">
        <v>6.75</v>
      </c>
      <c r="F76" s="100">
        <v>5.84</v>
      </c>
      <c r="G76" s="100">
        <v>21.48</v>
      </c>
      <c r="H76" s="100">
        <v>4.2</v>
      </c>
      <c r="I76" s="100">
        <v>4.5599999999999996</v>
      </c>
      <c r="J76" s="100">
        <v>0.25</v>
      </c>
      <c r="K76" s="100">
        <v>83.52</v>
      </c>
      <c r="L76" s="100">
        <v>10.96</v>
      </c>
      <c r="M76" s="100">
        <v>8.75</v>
      </c>
      <c r="N76" s="100">
        <v>27.1</v>
      </c>
      <c r="O76" s="100">
        <v>0</v>
      </c>
      <c r="P76" s="100">
        <v>0.16</v>
      </c>
      <c r="Q76" s="100">
        <v>10</v>
      </c>
      <c r="R76" s="6"/>
      <c r="S76" s="6"/>
      <c r="T76" s="156"/>
      <c r="U76" s="6"/>
    </row>
    <row r="77" spans="1:21" customFormat="1">
      <c r="A77" s="201" t="s">
        <v>2805</v>
      </c>
      <c r="B77" s="100">
        <v>2.71</v>
      </c>
      <c r="C77" s="100">
        <v>6</v>
      </c>
      <c r="D77" s="100">
        <v>8.7100000000000009</v>
      </c>
      <c r="E77" s="100">
        <v>7.49</v>
      </c>
      <c r="F77" s="100">
        <v>3.08</v>
      </c>
      <c r="G77" s="100">
        <v>21.48</v>
      </c>
      <c r="H77" s="100">
        <v>4.2</v>
      </c>
      <c r="I77" s="100">
        <v>4.59</v>
      </c>
      <c r="J77" s="100">
        <v>0.25</v>
      </c>
      <c r="K77" s="100">
        <v>136.85</v>
      </c>
      <c r="L77" s="100">
        <v>14.2</v>
      </c>
      <c r="M77" s="100">
        <v>17.05</v>
      </c>
      <c r="N77" s="100">
        <v>21.6</v>
      </c>
      <c r="O77" s="100">
        <v>0</v>
      </c>
      <c r="P77" s="100">
        <v>0.15</v>
      </c>
      <c r="Q77" s="100">
        <v>10</v>
      </c>
      <c r="R77" s="6"/>
      <c r="S77" s="6"/>
      <c r="T77" s="156"/>
      <c r="U77" s="6"/>
    </row>
    <row r="78" spans="1:21" customFormat="1">
      <c r="A78" s="201" t="s">
        <v>2806</v>
      </c>
      <c r="B78" s="100">
        <v>2.85</v>
      </c>
      <c r="C78" s="100">
        <v>5.62</v>
      </c>
      <c r="D78" s="100">
        <v>8.4600000000000009</v>
      </c>
      <c r="E78" s="100">
        <v>6.52</v>
      </c>
      <c r="F78" s="100">
        <v>2.75</v>
      </c>
      <c r="G78" s="100">
        <v>20.91</v>
      </c>
      <c r="H78" s="100">
        <v>3.26</v>
      </c>
      <c r="I78" s="100">
        <v>4.93</v>
      </c>
      <c r="J78" s="100">
        <v>0.23</v>
      </c>
      <c r="K78" s="100">
        <v>125.52</v>
      </c>
      <c r="L78" s="100">
        <v>14.1</v>
      </c>
      <c r="M78" s="100">
        <v>17.07</v>
      </c>
      <c r="N78" s="100">
        <v>14.2</v>
      </c>
      <c r="O78" s="100">
        <v>0</v>
      </c>
      <c r="P78" s="100">
        <v>0.18</v>
      </c>
      <c r="Q78" s="100">
        <v>10</v>
      </c>
      <c r="R78" s="6"/>
      <c r="S78" s="6"/>
      <c r="T78" s="156"/>
      <c r="U78" s="6"/>
    </row>
    <row r="79" spans="1:21" customFormat="1">
      <c r="A79" s="201" t="s">
        <v>2807</v>
      </c>
      <c r="B79" s="100">
        <v>2.89</v>
      </c>
      <c r="C79" s="100">
        <v>5.92</v>
      </c>
      <c r="D79" s="100">
        <v>8.8000000000000007</v>
      </c>
      <c r="E79" s="100">
        <v>7.4</v>
      </c>
      <c r="F79" s="100">
        <v>2.1</v>
      </c>
      <c r="G79" s="100">
        <v>20.48</v>
      </c>
      <c r="H79" s="100">
        <v>2.97</v>
      </c>
      <c r="I79" s="100">
        <v>4.93</v>
      </c>
      <c r="J79" s="100">
        <v>0.17</v>
      </c>
      <c r="K79" s="100">
        <v>105.4</v>
      </c>
      <c r="L79" s="100">
        <v>12.33</v>
      </c>
      <c r="M79" s="100">
        <v>12.75</v>
      </c>
      <c r="N79" s="100">
        <v>7.2</v>
      </c>
      <c r="O79" s="100">
        <v>0</v>
      </c>
      <c r="P79" s="100">
        <v>0.19</v>
      </c>
      <c r="Q79" s="100">
        <v>10</v>
      </c>
      <c r="R79" s="6"/>
      <c r="S79" s="6"/>
      <c r="T79" s="156"/>
      <c r="U79" s="6"/>
    </row>
    <row r="80" spans="1:21" customFormat="1">
      <c r="A80" s="201" t="s">
        <v>2808</v>
      </c>
      <c r="B80" s="100">
        <v>3.53</v>
      </c>
      <c r="C80" s="100">
        <v>6.97</v>
      </c>
      <c r="D80" s="100">
        <v>10.5</v>
      </c>
      <c r="E80" s="100">
        <v>8.3000000000000007</v>
      </c>
      <c r="F80" s="100">
        <v>3.11</v>
      </c>
      <c r="G80" s="100">
        <v>20.48</v>
      </c>
      <c r="H80" s="100">
        <v>2.97</v>
      </c>
      <c r="I80" s="100">
        <v>4.82</v>
      </c>
      <c r="J80" s="100">
        <v>0.18</v>
      </c>
      <c r="K80" s="100">
        <v>58.2</v>
      </c>
      <c r="L80" s="100">
        <v>11.98</v>
      </c>
      <c r="M80" s="100">
        <v>11.88</v>
      </c>
      <c r="N80" s="100">
        <v>3.4</v>
      </c>
      <c r="O80" s="100">
        <v>0</v>
      </c>
      <c r="P80" s="100">
        <v>0.24</v>
      </c>
      <c r="Q80" s="100">
        <v>10</v>
      </c>
      <c r="R80" s="6"/>
      <c r="S80" s="6"/>
      <c r="T80" s="156"/>
      <c r="U80" s="6"/>
    </row>
    <row r="81" spans="1:21" customFormat="1">
      <c r="A81" s="201" t="s">
        <v>2809</v>
      </c>
      <c r="B81" s="100">
        <v>3.57</v>
      </c>
      <c r="C81" s="100">
        <v>6.67</v>
      </c>
      <c r="D81" s="100">
        <v>10.24</v>
      </c>
      <c r="E81" s="100">
        <v>5.6</v>
      </c>
      <c r="F81" s="100">
        <v>2.5299999999999998</v>
      </c>
      <c r="G81" s="100">
        <v>20.48</v>
      </c>
      <c r="H81" s="100">
        <v>2.97</v>
      </c>
      <c r="I81" s="100">
        <v>5.05</v>
      </c>
      <c r="J81" s="100">
        <v>0.21</v>
      </c>
      <c r="K81" s="100">
        <v>51.52</v>
      </c>
      <c r="L81" s="100">
        <v>11.33</v>
      </c>
      <c r="M81" s="100">
        <v>10.220000000000001</v>
      </c>
      <c r="N81" s="100">
        <v>2.5</v>
      </c>
      <c r="O81" s="100">
        <v>0</v>
      </c>
      <c r="P81" s="100">
        <v>0.19</v>
      </c>
      <c r="Q81" s="100">
        <v>25.05</v>
      </c>
      <c r="R81" s="6"/>
      <c r="S81" s="6"/>
      <c r="T81" s="156"/>
      <c r="U81" s="6"/>
    </row>
    <row r="82" spans="1:21" customFormat="1">
      <c r="A82" s="201" t="s">
        <v>2810</v>
      </c>
      <c r="B82" s="100">
        <v>3.77</v>
      </c>
      <c r="C82" s="100">
        <v>6.22</v>
      </c>
      <c r="D82" s="100">
        <v>9.99</v>
      </c>
      <c r="E82" s="100">
        <v>5.91</v>
      </c>
      <c r="F82" s="100">
        <v>2.79</v>
      </c>
      <c r="G82" s="100">
        <v>23.48</v>
      </c>
      <c r="H82" s="100">
        <v>2.58</v>
      </c>
      <c r="I82" s="100">
        <v>5.36</v>
      </c>
      <c r="J82" s="100">
        <v>0.38</v>
      </c>
      <c r="K82" s="100">
        <v>38.21</v>
      </c>
      <c r="L82" s="100">
        <v>9.15</v>
      </c>
      <c r="M82" s="100">
        <v>4.71</v>
      </c>
      <c r="N82" s="100">
        <v>2.5</v>
      </c>
      <c r="O82" s="100">
        <v>0</v>
      </c>
      <c r="P82" s="100">
        <v>0.22</v>
      </c>
      <c r="Q82" s="100">
        <v>15.94</v>
      </c>
      <c r="R82" s="6"/>
      <c r="S82" s="6"/>
      <c r="T82" s="156"/>
      <c r="U82" s="6"/>
    </row>
    <row r="83" spans="1:21" customFormat="1">
      <c r="A83" s="201" t="s">
        <v>2811</v>
      </c>
      <c r="B83" s="100">
        <v>3.94</v>
      </c>
      <c r="C83" s="100">
        <v>5.85</v>
      </c>
      <c r="D83" s="100">
        <v>9.7899999999999991</v>
      </c>
      <c r="E83" s="100">
        <v>5.77</v>
      </c>
      <c r="F83" s="100">
        <v>2.17</v>
      </c>
      <c r="G83" s="100">
        <v>25.77</v>
      </c>
      <c r="H83" s="100">
        <v>2.46</v>
      </c>
      <c r="I83" s="100">
        <v>4.96</v>
      </c>
      <c r="J83" s="100">
        <v>0.16</v>
      </c>
      <c r="K83" s="100">
        <v>68.39</v>
      </c>
      <c r="L83" s="100">
        <v>11.65</v>
      </c>
      <c r="M83" s="100">
        <v>11.19</v>
      </c>
      <c r="N83" s="100">
        <v>2.4</v>
      </c>
      <c r="O83" s="100">
        <v>0</v>
      </c>
      <c r="P83" s="100">
        <v>0.22</v>
      </c>
      <c r="Q83" s="100">
        <v>12.39</v>
      </c>
      <c r="R83" s="6"/>
      <c r="S83" s="6"/>
      <c r="T83" s="156"/>
      <c r="U83" s="6"/>
    </row>
    <row r="84" spans="1:21" customFormat="1">
      <c r="A84" s="201" t="s">
        <v>2812</v>
      </c>
      <c r="B84" s="100">
        <v>3.85</v>
      </c>
      <c r="C84" s="100">
        <v>5.61</v>
      </c>
      <c r="D84" s="100">
        <v>9.4600000000000009</v>
      </c>
      <c r="E84" s="100">
        <v>5.93</v>
      </c>
      <c r="F84" s="100">
        <v>2.16</v>
      </c>
      <c r="G84" s="100">
        <v>25.77</v>
      </c>
      <c r="H84" s="100">
        <v>2.46</v>
      </c>
      <c r="I84" s="100">
        <v>5.04</v>
      </c>
      <c r="J84" s="100">
        <v>0.18</v>
      </c>
      <c r="K84" s="100">
        <v>116.04</v>
      </c>
      <c r="L84" s="100">
        <v>13.18</v>
      </c>
      <c r="M84" s="100">
        <v>14.96</v>
      </c>
      <c r="N84" s="100">
        <v>2.2000000000000002</v>
      </c>
      <c r="O84" s="100">
        <v>0</v>
      </c>
      <c r="P84" s="100">
        <v>0.25</v>
      </c>
      <c r="Q84" s="100">
        <v>14.77</v>
      </c>
      <c r="R84" s="6"/>
      <c r="S84" s="6"/>
      <c r="T84" s="156"/>
      <c r="U84" s="6"/>
    </row>
    <row r="85" spans="1:21" customFormat="1">
      <c r="A85" s="201" t="s">
        <v>2813</v>
      </c>
      <c r="B85" s="100">
        <v>3.74</v>
      </c>
      <c r="C85" s="100">
        <v>5.73</v>
      </c>
      <c r="D85" s="100">
        <v>9.4700000000000006</v>
      </c>
      <c r="E85" s="100">
        <v>5.87</v>
      </c>
      <c r="F85" s="100">
        <v>2</v>
      </c>
      <c r="G85" s="100">
        <v>25.77</v>
      </c>
      <c r="H85" s="100">
        <v>2.46</v>
      </c>
      <c r="I85" s="100">
        <v>5</v>
      </c>
      <c r="J85" s="100">
        <v>0.18</v>
      </c>
      <c r="K85" s="100">
        <v>135.38999999999999</v>
      </c>
      <c r="L85" s="100">
        <v>14.44</v>
      </c>
      <c r="M85" s="100">
        <v>18.2</v>
      </c>
      <c r="N85" s="100">
        <v>2.2000000000000002</v>
      </c>
      <c r="O85" s="100">
        <v>0</v>
      </c>
      <c r="P85" s="100">
        <v>0.26</v>
      </c>
      <c r="Q85" s="100">
        <v>10.79</v>
      </c>
      <c r="R85" s="6"/>
      <c r="S85" s="6"/>
      <c r="T85" s="156"/>
      <c r="U85" s="6"/>
    </row>
    <row r="86" spans="1:21" customFormat="1">
      <c r="A86" s="201" t="s">
        <v>2814</v>
      </c>
      <c r="B86" s="100">
        <v>3.55</v>
      </c>
      <c r="C86" s="100">
        <v>5.74</v>
      </c>
      <c r="D86" s="100">
        <v>9.2899999999999991</v>
      </c>
      <c r="E86" s="100">
        <v>5.41</v>
      </c>
      <c r="F86" s="100">
        <v>2.08</v>
      </c>
      <c r="G86" s="100">
        <v>23.61</v>
      </c>
      <c r="H86" s="100">
        <v>4.6100000000000003</v>
      </c>
      <c r="I86" s="100">
        <v>5.03</v>
      </c>
      <c r="J86" s="100">
        <v>0.2</v>
      </c>
      <c r="K86" s="100">
        <v>123.02</v>
      </c>
      <c r="L86" s="100">
        <v>13.97</v>
      </c>
      <c r="M86" s="100">
        <v>16.989999999999998</v>
      </c>
      <c r="N86" s="100">
        <v>2.2999999999999998</v>
      </c>
      <c r="O86" s="100">
        <v>0</v>
      </c>
      <c r="P86" s="100">
        <v>0.26</v>
      </c>
      <c r="Q86" s="100">
        <v>11</v>
      </c>
      <c r="R86" s="6"/>
      <c r="S86" s="6"/>
      <c r="T86" s="156"/>
      <c r="U86" s="6"/>
    </row>
    <row r="87" spans="1:21" customFormat="1">
      <c r="A87" s="201" t="s">
        <v>2815</v>
      </c>
      <c r="B87" s="100">
        <v>3.37</v>
      </c>
      <c r="C87" s="100">
        <v>5.8</v>
      </c>
      <c r="D87" s="100">
        <v>9.16</v>
      </c>
      <c r="E87" s="100">
        <v>5.68</v>
      </c>
      <c r="F87" s="100">
        <v>2.08</v>
      </c>
      <c r="G87" s="100">
        <v>21.97</v>
      </c>
      <c r="H87" s="100">
        <v>5.89</v>
      </c>
      <c r="I87" s="100">
        <v>5.0599999999999996</v>
      </c>
      <c r="J87" s="100">
        <v>0.28000000000000003</v>
      </c>
      <c r="K87" s="100">
        <v>134.26</v>
      </c>
      <c r="L87" s="100">
        <v>15.29</v>
      </c>
      <c r="M87" s="100">
        <v>20.27</v>
      </c>
      <c r="N87" s="100">
        <v>2.2000000000000002</v>
      </c>
      <c r="O87" s="100">
        <v>0</v>
      </c>
      <c r="P87" s="100">
        <v>0.26</v>
      </c>
      <c r="Q87" s="100">
        <v>11.76</v>
      </c>
      <c r="R87" s="6"/>
      <c r="S87" s="6"/>
      <c r="T87" s="156"/>
      <c r="U87" s="6"/>
    </row>
    <row r="88" spans="1:21" customFormat="1">
      <c r="A88" s="201" t="s">
        <v>2816</v>
      </c>
      <c r="B88" s="100">
        <v>3.27</v>
      </c>
      <c r="C88" s="100">
        <v>5.67</v>
      </c>
      <c r="D88" s="100">
        <v>8.94</v>
      </c>
      <c r="E88" s="100">
        <v>5.7</v>
      </c>
      <c r="F88" s="100">
        <v>2.0699999999999998</v>
      </c>
      <c r="G88" s="100">
        <v>21.97</v>
      </c>
      <c r="H88" s="100">
        <v>5.89</v>
      </c>
      <c r="I88" s="100">
        <v>5.09</v>
      </c>
      <c r="J88" s="100">
        <v>0.2</v>
      </c>
      <c r="K88" s="100">
        <v>95.62</v>
      </c>
      <c r="L88" s="100">
        <v>13.29</v>
      </c>
      <c r="M88" s="100">
        <v>15.24</v>
      </c>
      <c r="N88" s="100">
        <v>2.4</v>
      </c>
      <c r="O88" s="100">
        <v>0</v>
      </c>
      <c r="P88" s="100">
        <v>0.26</v>
      </c>
      <c r="Q88" s="100">
        <v>11.93</v>
      </c>
      <c r="R88" s="6"/>
      <c r="S88" s="6"/>
      <c r="T88" s="156"/>
      <c r="U88" s="6"/>
    </row>
    <row r="89" spans="1:21" customFormat="1">
      <c r="A89" s="201" t="s">
        <v>2817</v>
      </c>
      <c r="B89" s="100">
        <v>3.12</v>
      </c>
      <c r="C89" s="100">
        <v>5.53</v>
      </c>
      <c r="D89" s="100">
        <v>8.65</v>
      </c>
      <c r="E89" s="100">
        <v>5.48</v>
      </c>
      <c r="F89" s="100">
        <v>2.2400000000000002</v>
      </c>
      <c r="G89" s="100">
        <v>21.97</v>
      </c>
      <c r="H89" s="100">
        <v>5.89</v>
      </c>
      <c r="I89" s="100">
        <v>5.07</v>
      </c>
      <c r="J89" s="100">
        <v>0.26</v>
      </c>
      <c r="K89" s="100">
        <v>118.5</v>
      </c>
      <c r="L89" s="100">
        <v>13.73</v>
      </c>
      <c r="M89" s="100">
        <v>16.47</v>
      </c>
      <c r="N89" s="100">
        <v>2.5</v>
      </c>
      <c r="O89" s="100">
        <v>0</v>
      </c>
      <c r="P89" s="100">
        <v>0.25</v>
      </c>
      <c r="Q89" s="100">
        <v>11.45</v>
      </c>
      <c r="R89" s="6"/>
      <c r="S89" s="6"/>
      <c r="T89" s="156"/>
      <c r="U89" s="6"/>
    </row>
    <row r="90" spans="1:21" customFormat="1">
      <c r="A90" s="201" t="s">
        <v>2818</v>
      </c>
      <c r="B90" s="100">
        <v>2.98</v>
      </c>
      <c r="C90" s="100">
        <v>5.44</v>
      </c>
      <c r="D90" s="100">
        <v>8.42</v>
      </c>
      <c r="E90" s="100">
        <v>5.93</v>
      </c>
      <c r="F90" s="100">
        <v>2.2799999999999998</v>
      </c>
      <c r="G90" s="100">
        <v>23.21</v>
      </c>
      <c r="H90" s="100">
        <v>5.21</v>
      </c>
      <c r="I90" s="100">
        <v>5.0199999999999996</v>
      </c>
      <c r="J90" s="100">
        <v>0.25</v>
      </c>
      <c r="K90" s="100">
        <v>113.38</v>
      </c>
      <c r="L90" s="100">
        <v>13.25</v>
      </c>
      <c r="M90" s="100">
        <v>15.11</v>
      </c>
      <c r="N90" s="100">
        <v>2.6</v>
      </c>
      <c r="O90" s="100">
        <v>0</v>
      </c>
      <c r="P90" s="100">
        <v>0.25</v>
      </c>
      <c r="Q90" s="100">
        <v>11.17</v>
      </c>
      <c r="R90" s="6"/>
      <c r="S90" s="6"/>
      <c r="T90" s="156"/>
      <c r="U90" s="6"/>
    </row>
    <row r="91" spans="1:21" customFormat="1">
      <c r="A91" s="201" t="s">
        <v>2819</v>
      </c>
      <c r="B91" s="100">
        <v>2.79</v>
      </c>
      <c r="C91" s="100">
        <v>5.33</v>
      </c>
      <c r="D91" s="100">
        <v>8.1199999999999992</v>
      </c>
      <c r="E91" s="100">
        <v>5.73</v>
      </c>
      <c r="F91" s="100">
        <v>2.1800000000000002</v>
      </c>
      <c r="G91" s="100">
        <v>24.16</v>
      </c>
      <c r="H91" s="100">
        <v>5</v>
      </c>
      <c r="I91" s="100">
        <v>4.92</v>
      </c>
      <c r="J91" s="100">
        <v>0.22</v>
      </c>
      <c r="K91" s="100">
        <v>125.58</v>
      </c>
      <c r="L91" s="100">
        <v>13.48</v>
      </c>
      <c r="M91" s="100">
        <v>15.81</v>
      </c>
      <c r="N91" s="100">
        <v>2.7</v>
      </c>
      <c r="O91" s="100">
        <v>0</v>
      </c>
      <c r="P91" s="100">
        <v>0.24</v>
      </c>
      <c r="Q91" s="100">
        <v>15.2</v>
      </c>
      <c r="R91" s="6"/>
      <c r="S91" s="6"/>
      <c r="T91" s="156"/>
      <c r="U91" s="6"/>
    </row>
    <row r="92" spans="1:21" customFormat="1">
      <c r="A92" s="201" t="s">
        <v>2820</v>
      </c>
      <c r="B92" s="100">
        <v>2.58</v>
      </c>
      <c r="C92" s="100">
        <v>5.25</v>
      </c>
      <c r="D92" s="100">
        <v>7.84</v>
      </c>
      <c r="E92" s="100">
        <v>5.62</v>
      </c>
      <c r="F92" s="100">
        <v>2.0099999999999998</v>
      </c>
      <c r="G92" s="100">
        <v>24.16</v>
      </c>
      <c r="H92" s="100">
        <v>5</v>
      </c>
      <c r="I92" s="100">
        <v>4.91</v>
      </c>
      <c r="J92" s="100">
        <v>0.22</v>
      </c>
      <c r="K92" s="100">
        <v>93.12</v>
      </c>
      <c r="L92" s="100">
        <v>13.5</v>
      </c>
      <c r="M92" s="100">
        <v>15.73</v>
      </c>
      <c r="N92" s="100">
        <v>2.7</v>
      </c>
      <c r="O92" s="100">
        <v>0</v>
      </c>
      <c r="P92" s="100">
        <v>0.23</v>
      </c>
      <c r="Q92" s="100">
        <v>15.67</v>
      </c>
      <c r="R92" s="6"/>
      <c r="S92" s="6"/>
      <c r="T92" s="156"/>
      <c r="U92" s="6"/>
    </row>
    <row r="93" spans="1:21" customFormat="1">
      <c r="A93" s="201" t="s">
        <v>2821</v>
      </c>
      <c r="B93" s="100">
        <v>2.39</v>
      </c>
      <c r="C93" s="100">
        <v>5.25</v>
      </c>
      <c r="D93" s="100">
        <v>7.64</v>
      </c>
      <c r="E93" s="100">
        <v>5.81</v>
      </c>
      <c r="F93" s="100">
        <v>2.0099999999999998</v>
      </c>
      <c r="G93" s="100">
        <v>24.16</v>
      </c>
      <c r="H93" s="100">
        <v>5</v>
      </c>
      <c r="I93" s="100">
        <v>4.78</v>
      </c>
      <c r="J93" s="100">
        <v>0.16</v>
      </c>
      <c r="K93" s="100">
        <v>129.44999999999999</v>
      </c>
      <c r="L93" s="100">
        <v>14.75</v>
      </c>
      <c r="M93" s="100">
        <v>18.93</v>
      </c>
      <c r="N93" s="100">
        <v>2.5</v>
      </c>
      <c r="O93" s="100">
        <v>0</v>
      </c>
      <c r="P93" s="100">
        <v>0.23</v>
      </c>
      <c r="Q93" s="100">
        <v>15.71</v>
      </c>
      <c r="R93" s="6"/>
      <c r="S93" s="6"/>
      <c r="T93" s="156"/>
      <c r="U93" s="6"/>
    </row>
    <row r="94" spans="1:21" customFormat="1">
      <c r="A94" s="201" t="s">
        <v>2822</v>
      </c>
      <c r="B94" s="100">
        <v>2.2799999999999998</v>
      </c>
      <c r="C94" s="100">
        <v>5.1100000000000003</v>
      </c>
      <c r="D94" s="100">
        <v>7.39</v>
      </c>
      <c r="E94" s="100">
        <v>5.76</v>
      </c>
      <c r="F94" s="100">
        <v>2</v>
      </c>
      <c r="G94" s="100">
        <v>20.399999999999999</v>
      </c>
      <c r="H94" s="100">
        <v>3.92</v>
      </c>
      <c r="I94" s="100">
        <v>4.6399999999999997</v>
      </c>
      <c r="J94" s="100">
        <v>0.18</v>
      </c>
      <c r="K94" s="100">
        <v>106.22</v>
      </c>
      <c r="L94" s="100">
        <v>14.25</v>
      </c>
      <c r="M94" s="100">
        <v>17.63</v>
      </c>
      <c r="N94" s="100">
        <v>2.4</v>
      </c>
      <c r="O94" s="100">
        <v>0</v>
      </c>
      <c r="P94" s="100">
        <v>0.22</v>
      </c>
      <c r="Q94" s="100">
        <v>16.18</v>
      </c>
      <c r="R94" s="6"/>
      <c r="S94" s="6"/>
      <c r="T94" s="156"/>
      <c r="U94" s="6"/>
    </row>
    <row r="95" spans="1:21" customFormat="1">
      <c r="A95" s="201" t="s">
        <v>2823</v>
      </c>
      <c r="B95" s="100">
        <v>2.14</v>
      </c>
      <c r="C95" s="100">
        <v>5.0599999999999996</v>
      </c>
      <c r="D95" s="100">
        <v>7.21</v>
      </c>
      <c r="E95" s="100">
        <v>5.94</v>
      </c>
      <c r="F95" s="100">
        <v>2.12</v>
      </c>
      <c r="G95" s="100">
        <v>17.66</v>
      </c>
      <c r="H95" s="100">
        <v>3.58</v>
      </c>
      <c r="I95" s="100">
        <v>4.47</v>
      </c>
      <c r="J95" s="100">
        <v>0.19</v>
      </c>
      <c r="K95" s="100">
        <v>131.62</v>
      </c>
      <c r="L95" s="100">
        <v>15.53</v>
      </c>
      <c r="M95" s="100">
        <v>20.2</v>
      </c>
      <c r="N95" s="100">
        <v>2.2999999999999998</v>
      </c>
      <c r="O95" s="100">
        <v>0</v>
      </c>
      <c r="P95" s="100">
        <v>0.22</v>
      </c>
      <c r="Q95" s="100">
        <v>23.03</v>
      </c>
      <c r="R95" s="6"/>
      <c r="S95" s="6"/>
      <c r="T95" s="156"/>
      <c r="U95" s="6"/>
    </row>
    <row r="96" spans="1:21" customFormat="1">
      <c r="A96" s="201" t="s">
        <v>2824</v>
      </c>
      <c r="B96" s="100">
        <v>2.0299999999999998</v>
      </c>
      <c r="C96" s="100">
        <v>4.99</v>
      </c>
      <c r="D96" s="100">
        <v>7.02</v>
      </c>
      <c r="E96" s="100">
        <v>5.73</v>
      </c>
      <c r="F96" s="100">
        <v>2.0099999999999998</v>
      </c>
      <c r="G96" s="100">
        <v>17.66</v>
      </c>
      <c r="H96" s="100">
        <v>3.58</v>
      </c>
      <c r="I96" s="100">
        <v>4.47</v>
      </c>
      <c r="J96" s="100">
        <v>0.15</v>
      </c>
      <c r="K96" s="100">
        <v>120.98</v>
      </c>
      <c r="L96" s="100">
        <v>13.34</v>
      </c>
      <c r="M96" s="100">
        <v>15.32</v>
      </c>
      <c r="N96" s="100">
        <v>2.4</v>
      </c>
      <c r="O96" s="100">
        <v>0</v>
      </c>
      <c r="P96" s="100">
        <v>0.22</v>
      </c>
      <c r="Q96" s="100">
        <v>18.28</v>
      </c>
      <c r="R96" s="6"/>
      <c r="S96" s="6"/>
      <c r="T96" s="156"/>
      <c r="U96" s="6"/>
    </row>
    <row r="97" spans="1:28" customFormat="1">
      <c r="A97" s="201" t="s">
        <v>2825</v>
      </c>
      <c r="B97" s="100">
        <v>1.91</v>
      </c>
      <c r="C97" s="100">
        <v>4.95</v>
      </c>
      <c r="D97" s="100">
        <v>6.86</v>
      </c>
      <c r="E97" s="100">
        <v>5.76</v>
      </c>
      <c r="F97" s="100">
        <v>2</v>
      </c>
      <c r="G97" s="100">
        <v>17.66</v>
      </c>
      <c r="H97" s="100">
        <v>3.58</v>
      </c>
      <c r="I97" s="100">
        <v>4.3899999999999997</v>
      </c>
      <c r="J97" s="100">
        <v>0.17</v>
      </c>
      <c r="K97" s="100">
        <v>97.07</v>
      </c>
      <c r="L97" s="100">
        <v>12.85</v>
      </c>
      <c r="M97" s="100">
        <v>14.11</v>
      </c>
      <c r="N97" s="100">
        <v>2.4</v>
      </c>
      <c r="O97" s="100">
        <v>0</v>
      </c>
      <c r="P97" s="100">
        <v>0.21</v>
      </c>
      <c r="Q97" s="100">
        <v>13.86</v>
      </c>
      <c r="R97" s="6"/>
      <c r="S97" s="6"/>
      <c r="T97" s="156"/>
      <c r="U97" s="6"/>
    </row>
    <row r="98" spans="1:28" customFormat="1">
      <c r="A98" s="201" t="s">
        <v>2826</v>
      </c>
      <c r="B98" s="100">
        <v>1.86</v>
      </c>
      <c r="C98" s="100">
        <v>4.93</v>
      </c>
      <c r="D98" s="100">
        <v>6.79</v>
      </c>
      <c r="E98" s="100">
        <v>5.51</v>
      </c>
      <c r="F98" s="100">
        <v>2</v>
      </c>
      <c r="G98" s="100">
        <v>18.420000000000002</v>
      </c>
      <c r="H98" s="100">
        <v>4.1100000000000003</v>
      </c>
      <c r="I98" s="100">
        <v>4.3499999999999996</v>
      </c>
      <c r="J98" s="100">
        <v>0.16</v>
      </c>
      <c r="K98" s="100">
        <v>104.08</v>
      </c>
      <c r="L98" s="100">
        <v>14.41</v>
      </c>
      <c r="M98" s="100">
        <v>18.07</v>
      </c>
      <c r="N98" s="100">
        <v>2.4</v>
      </c>
      <c r="O98" s="100">
        <v>0</v>
      </c>
      <c r="P98" s="100">
        <v>0.21</v>
      </c>
      <c r="Q98" s="100">
        <v>11.12</v>
      </c>
      <c r="R98" s="6"/>
      <c r="S98" s="6"/>
      <c r="T98" s="156"/>
      <c r="U98" s="6"/>
    </row>
    <row r="99" spans="1:28" customFormat="1">
      <c r="A99" s="201" t="s">
        <v>2827</v>
      </c>
      <c r="B99" s="100">
        <v>1.79</v>
      </c>
      <c r="C99" s="100">
        <v>4.83</v>
      </c>
      <c r="D99" s="100">
        <v>6.62</v>
      </c>
      <c r="E99" s="100">
        <v>5.82</v>
      </c>
      <c r="F99" s="100">
        <v>2.0099999999999998</v>
      </c>
      <c r="G99" s="100">
        <v>19</v>
      </c>
      <c r="H99" s="100">
        <v>4.2699999999999996</v>
      </c>
      <c r="I99" s="100">
        <v>4.25</v>
      </c>
      <c r="J99" s="100">
        <v>0.16</v>
      </c>
      <c r="K99" s="100">
        <v>124.01</v>
      </c>
      <c r="L99" s="100">
        <v>14.09</v>
      </c>
      <c r="M99" s="100">
        <v>17.239999999999998</v>
      </c>
      <c r="N99" s="100">
        <v>2.2999999999999998</v>
      </c>
      <c r="O99" s="100">
        <v>0</v>
      </c>
      <c r="P99" s="100">
        <v>0.2</v>
      </c>
      <c r="Q99" s="100">
        <v>11.01</v>
      </c>
      <c r="R99" s="6"/>
      <c r="S99" s="6"/>
      <c r="T99" s="156"/>
      <c r="U99" s="6"/>
    </row>
    <row r="100" spans="1:28" customFormat="1">
      <c r="A100" s="201" t="s">
        <v>2828</v>
      </c>
      <c r="B100" s="100">
        <v>1.7</v>
      </c>
      <c r="C100" s="100">
        <v>4.83</v>
      </c>
      <c r="D100" s="100">
        <v>6.52</v>
      </c>
      <c r="E100" s="100">
        <v>5.97</v>
      </c>
      <c r="F100" s="100">
        <v>2.67</v>
      </c>
      <c r="G100" s="100">
        <v>19</v>
      </c>
      <c r="H100" s="100">
        <v>4.2699999999999996</v>
      </c>
      <c r="I100" s="100">
        <v>4.21</v>
      </c>
      <c r="J100" s="100">
        <v>0.24</v>
      </c>
      <c r="K100" s="100">
        <v>135.68</v>
      </c>
      <c r="L100" s="100">
        <v>14.85</v>
      </c>
      <c r="M100" s="100">
        <v>19.18</v>
      </c>
      <c r="N100" s="100">
        <v>2.4</v>
      </c>
      <c r="O100" s="100">
        <v>0</v>
      </c>
      <c r="P100" s="100">
        <v>0.2</v>
      </c>
      <c r="Q100" s="100">
        <v>11.02</v>
      </c>
      <c r="R100" s="6"/>
      <c r="S100" s="6"/>
      <c r="T100" s="156"/>
      <c r="U100" s="6"/>
      <c r="AB100" s="161"/>
    </row>
    <row r="101" spans="1:28" customFormat="1">
      <c r="A101" s="201" t="s">
        <v>2829</v>
      </c>
      <c r="B101" s="100">
        <v>1.65</v>
      </c>
      <c r="C101" s="100">
        <v>4.76</v>
      </c>
      <c r="D101" s="100">
        <v>6.41</v>
      </c>
      <c r="E101" s="100">
        <v>5.84</v>
      </c>
      <c r="F101" s="100">
        <v>2.0299999999999998</v>
      </c>
      <c r="G101" s="100">
        <v>19</v>
      </c>
      <c r="H101" s="100">
        <v>4.2699999999999996</v>
      </c>
      <c r="I101" s="100">
        <v>4.1399999999999997</v>
      </c>
      <c r="J101" s="100">
        <v>0.24</v>
      </c>
      <c r="K101" s="100">
        <v>104.94</v>
      </c>
      <c r="L101" s="100">
        <v>12.23</v>
      </c>
      <c r="M101" s="100">
        <v>12.56</v>
      </c>
      <c r="N101" s="100">
        <v>2.4</v>
      </c>
      <c r="O101" s="100">
        <v>0</v>
      </c>
      <c r="P101" s="100">
        <v>0.2</v>
      </c>
      <c r="Q101" s="100">
        <v>10.9</v>
      </c>
      <c r="R101" s="6"/>
      <c r="S101" s="6"/>
      <c r="T101" s="156"/>
      <c r="U101" s="6"/>
    </row>
    <row r="102" spans="1:28" customFormat="1">
      <c r="A102" s="201" t="s">
        <v>2830</v>
      </c>
      <c r="B102" s="100">
        <v>1.6</v>
      </c>
      <c r="C102" s="100">
        <v>4.75</v>
      </c>
      <c r="D102" s="100">
        <v>6.35</v>
      </c>
      <c r="E102" s="100">
        <v>5.7</v>
      </c>
      <c r="F102" s="100">
        <v>2.12</v>
      </c>
      <c r="G102" s="100">
        <v>18.059999999999999</v>
      </c>
      <c r="H102" s="100">
        <v>3.69</v>
      </c>
      <c r="I102" s="100">
        <v>4.08</v>
      </c>
      <c r="J102" s="100">
        <v>0.21</v>
      </c>
      <c r="K102" s="100">
        <v>75.569999999999993</v>
      </c>
      <c r="L102" s="100">
        <v>10.39</v>
      </c>
      <c r="M102" s="100">
        <v>7.91</v>
      </c>
      <c r="N102" s="100">
        <v>2.4</v>
      </c>
      <c r="O102" s="100">
        <v>0</v>
      </c>
      <c r="P102" s="100">
        <v>0.19</v>
      </c>
      <c r="Q102" s="100">
        <v>10.32</v>
      </c>
      <c r="R102" s="6"/>
      <c r="S102" s="6"/>
      <c r="T102" s="156"/>
      <c r="U102" s="6"/>
    </row>
    <row r="103" spans="1:28" customFormat="1">
      <c r="A103" s="201" t="s">
        <v>2831</v>
      </c>
      <c r="B103" s="100">
        <v>1.63</v>
      </c>
      <c r="C103" s="100">
        <v>4.6500000000000004</v>
      </c>
      <c r="D103" s="100">
        <v>6.28</v>
      </c>
      <c r="E103" s="100">
        <v>6</v>
      </c>
      <c r="F103" s="100">
        <v>2.06</v>
      </c>
      <c r="G103" s="100">
        <v>17.34</v>
      </c>
      <c r="H103" s="100">
        <v>3.34</v>
      </c>
      <c r="I103" s="100">
        <v>4.04</v>
      </c>
      <c r="J103" s="100">
        <v>0.18</v>
      </c>
      <c r="K103" s="100">
        <v>109.33</v>
      </c>
      <c r="L103" s="100">
        <v>12.11</v>
      </c>
      <c r="M103" s="100">
        <v>12.3</v>
      </c>
      <c r="N103" s="100">
        <v>2.4</v>
      </c>
      <c r="O103" s="100">
        <v>0</v>
      </c>
      <c r="P103" s="100">
        <v>0.18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2832</v>
      </c>
      <c r="B104" s="100">
        <v>1.59</v>
      </c>
      <c r="C104" s="100">
        <v>4.5599999999999996</v>
      </c>
      <c r="D104" s="100">
        <v>6.15</v>
      </c>
      <c r="E104" s="100">
        <v>5.79</v>
      </c>
      <c r="F104" s="100">
        <v>2.1800000000000002</v>
      </c>
      <c r="G104" s="100">
        <v>17.34</v>
      </c>
      <c r="H104" s="100">
        <v>3.34</v>
      </c>
      <c r="I104" s="100">
        <v>3.95</v>
      </c>
      <c r="J104" s="100">
        <v>0.17</v>
      </c>
      <c r="K104" s="100">
        <v>107.71</v>
      </c>
      <c r="L104" s="100">
        <v>13.04</v>
      </c>
      <c r="M104" s="100">
        <v>14.58</v>
      </c>
      <c r="N104" s="100">
        <v>2.4</v>
      </c>
      <c r="O104" s="100">
        <v>0</v>
      </c>
      <c r="P104" s="100">
        <v>0.17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1.59</v>
      </c>
      <c r="C106" s="158">
        <f>MIN(C9:C104)</f>
        <v>4.5599999999999996</v>
      </c>
      <c r="D106" s="158">
        <f t="shared" ref="D106:Q106" si="0">MIN(D9:D104)</f>
        <v>6.15</v>
      </c>
      <c r="E106" s="158">
        <f t="shared" si="0"/>
        <v>0</v>
      </c>
      <c r="F106" s="158">
        <f t="shared" si="0"/>
        <v>2</v>
      </c>
      <c r="G106" s="158">
        <f t="shared" si="0"/>
        <v>13.18</v>
      </c>
      <c r="H106" s="158">
        <f t="shared" si="0"/>
        <v>2.46</v>
      </c>
      <c r="I106" s="158">
        <f t="shared" si="0"/>
        <v>2.68</v>
      </c>
      <c r="J106" s="158">
        <f t="shared" si="0"/>
        <v>0.15</v>
      </c>
      <c r="K106" s="158">
        <f t="shared" si="0"/>
        <v>0.55000000000000004</v>
      </c>
      <c r="L106" s="158">
        <f t="shared" si="0"/>
        <v>6.69</v>
      </c>
      <c r="M106" s="158">
        <f t="shared" si="0"/>
        <v>-2.27</v>
      </c>
      <c r="N106" s="158">
        <f t="shared" si="0"/>
        <v>2.1</v>
      </c>
      <c r="O106" s="158">
        <f t="shared" si="0"/>
        <v>0</v>
      </c>
      <c r="P106" s="158">
        <f t="shared" si="0"/>
        <v>0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7.33</v>
      </c>
      <c r="C107" s="157">
        <f t="shared" ref="C107:Q107" si="1">MAX(C9:C104)</f>
        <v>7.43</v>
      </c>
      <c r="D107" s="157">
        <f t="shared" si="1"/>
        <v>14.02</v>
      </c>
      <c r="E107" s="157">
        <f t="shared" si="1"/>
        <v>8.3000000000000007</v>
      </c>
      <c r="F107" s="157">
        <f t="shared" si="1"/>
        <v>6.01</v>
      </c>
      <c r="G107" s="157">
        <f t="shared" si="1"/>
        <v>36.76</v>
      </c>
      <c r="H107" s="157">
        <f t="shared" si="1"/>
        <v>15.46</v>
      </c>
      <c r="I107" s="157">
        <f t="shared" si="1"/>
        <v>5.52</v>
      </c>
      <c r="J107" s="157">
        <f t="shared" si="1"/>
        <v>0.99</v>
      </c>
      <c r="K107" s="157">
        <f t="shared" si="1"/>
        <v>136.85</v>
      </c>
      <c r="L107" s="157">
        <f t="shared" si="1"/>
        <v>16.329999999999998</v>
      </c>
      <c r="M107" s="157">
        <f t="shared" si="1"/>
        <v>20.27</v>
      </c>
      <c r="N107" s="157">
        <f t="shared" si="1"/>
        <v>658.1</v>
      </c>
      <c r="O107" s="157">
        <f t="shared" si="1"/>
        <v>0.8</v>
      </c>
      <c r="P107" s="157">
        <f t="shared" si="1"/>
        <v>0.43</v>
      </c>
      <c r="Q107" s="157">
        <f t="shared" si="1"/>
        <v>25.05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4.3361702127659578</v>
      </c>
      <c r="C108" s="158">
        <f t="shared" ref="C108:Q108" si="2">AVERAGE(C9:C104)</f>
        <v>5.9772340425531931</v>
      </c>
      <c r="D108" s="158">
        <f t="shared" si="2"/>
        <v>10.312978723404253</v>
      </c>
      <c r="E108" s="158">
        <f t="shared" si="2"/>
        <v>4.380319148936171</v>
      </c>
      <c r="F108" s="158">
        <f t="shared" si="2"/>
        <v>2.6266315789473684</v>
      </c>
      <c r="G108" s="158">
        <f t="shared" si="2"/>
        <v>21.597052631578961</v>
      </c>
      <c r="H108" s="158">
        <f t="shared" si="2"/>
        <v>6.8257894736842148</v>
      </c>
      <c r="I108" s="158">
        <f t="shared" si="2"/>
        <v>4.8653260869565207</v>
      </c>
      <c r="J108" s="158">
        <f t="shared" si="2"/>
        <v>0.4343157894736841</v>
      </c>
      <c r="K108" s="158">
        <f t="shared" si="2"/>
        <v>67.364526315789476</v>
      </c>
      <c r="L108" s="158">
        <f t="shared" si="2"/>
        <v>11.286000000000001</v>
      </c>
      <c r="M108" s="158">
        <f t="shared" si="2"/>
        <v>8.5250526315789461</v>
      </c>
      <c r="N108" s="158">
        <f t="shared" si="2"/>
        <v>69.07999999999997</v>
      </c>
      <c r="O108" s="158">
        <f t="shared" si="2"/>
        <v>6.3157894736842121E-2</v>
      </c>
      <c r="P108" s="158">
        <f t="shared" si="2"/>
        <v>0.28768421052631593</v>
      </c>
      <c r="Q108" s="158">
        <f t="shared" si="2"/>
        <v>10.904526315789472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1.8101322392036014</v>
      </c>
      <c r="C109" s="158">
        <f t="shared" ref="C109:Q109" si="3">STDEV(C9:C104)</f>
        <v>0.61514121860645021</v>
      </c>
      <c r="D109" s="158">
        <f t="shared" si="3"/>
        <v>2.3035194343631376</v>
      </c>
      <c r="E109" s="158">
        <f t="shared" si="3"/>
        <v>2.4031303295742594</v>
      </c>
      <c r="F109" s="158">
        <f t="shared" si="3"/>
        <v>0.89611883060598208</v>
      </c>
      <c r="G109" s="158">
        <f t="shared" si="3"/>
        <v>5.4123548329378197</v>
      </c>
      <c r="H109" s="158">
        <f t="shared" si="3"/>
        <v>2.7985937117984361</v>
      </c>
      <c r="I109" s="158">
        <f t="shared" si="3"/>
        <v>0.50538082928492101</v>
      </c>
      <c r="J109" s="158">
        <f t="shared" si="3"/>
        <v>0.22218763697522878</v>
      </c>
      <c r="K109" s="158">
        <f t="shared" si="3"/>
        <v>39.630835801378055</v>
      </c>
      <c r="L109" s="158">
        <f t="shared" si="3"/>
        <v>2.7267607623917192</v>
      </c>
      <c r="M109" s="158">
        <f t="shared" si="3"/>
        <v>6.4473528913586806</v>
      </c>
      <c r="N109" s="158">
        <f t="shared" si="3"/>
        <v>124.42762708891756</v>
      </c>
      <c r="O109" s="158">
        <f t="shared" si="3"/>
        <v>0.17323740418364239</v>
      </c>
      <c r="P109" s="158">
        <f t="shared" si="3"/>
        <v>0.10381502198908121</v>
      </c>
      <c r="Q109" s="158">
        <f t="shared" si="3"/>
        <v>3.0007459244367132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COUNT(B9:B104)+2</f>
        <v>96</v>
      </c>
      <c r="C110" s="157">
        <f t="shared" ref="C110:Q110" si="4">COUNT(C9:C104)+2</f>
        <v>96</v>
      </c>
      <c r="D110" s="157">
        <f t="shared" si="4"/>
        <v>96</v>
      </c>
      <c r="E110" s="157">
        <f t="shared" si="4"/>
        <v>96</v>
      </c>
      <c r="F110" s="157">
        <f>COUNT(F9:F104)+1</f>
        <v>96</v>
      </c>
      <c r="G110" s="157">
        <f t="shared" ref="G110:Q110" si="5">COUNT(G9:G104)+1</f>
        <v>96</v>
      </c>
      <c r="H110" s="157">
        <f t="shared" si="5"/>
        <v>96</v>
      </c>
      <c r="I110" s="157">
        <f>COUNT(I9:I104)+4</f>
        <v>96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 t="shared" si="5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J19" sqref="J1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2833</v>
      </c>
      <c r="B9" s="100">
        <v>3.93</v>
      </c>
      <c r="C9" s="100">
        <v>4.5199999999999996</v>
      </c>
      <c r="D9" s="100">
        <v>8.4499999999999993</v>
      </c>
      <c r="E9" s="100">
        <v>5.42</v>
      </c>
      <c r="F9" s="100">
        <v>3.13</v>
      </c>
      <c r="G9" s="100">
        <v>17.34</v>
      </c>
      <c r="H9" s="100">
        <v>3.34</v>
      </c>
      <c r="I9" s="100">
        <v>3.95</v>
      </c>
      <c r="J9" s="100">
        <v>0.15</v>
      </c>
      <c r="K9" s="100">
        <v>104.71</v>
      </c>
      <c r="L9" s="100">
        <v>14.01</v>
      </c>
      <c r="M9" s="100">
        <v>17.05</v>
      </c>
      <c r="N9" s="100">
        <v>2.4</v>
      </c>
      <c r="O9" s="100">
        <v>0</v>
      </c>
      <c r="P9" s="100">
        <v>0.14000000000000001</v>
      </c>
      <c r="Q9" s="100">
        <v>10</v>
      </c>
      <c r="R9" s="6"/>
      <c r="S9" s="6"/>
      <c r="T9" s="156"/>
      <c r="U9" s="6"/>
    </row>
    <row r="10" spans="1:21" customFormat="1">
      <c r="A10" s="201" t="s">
        <v>2834</v>
      </c>
      <c r="B10" s="100">
        <v>3.99</v>
      </c>
      <c r="C10" s="100">
        <v>4.67</v>
      </c>
      <c r="D10" s="100">
        <v>8.66</v>
      </c>
      <c r="E10" s="100">
        <v>4.8899999999999997</v>
      </c>
      <c r="F10" s="100">
        <v>3.38</v>
      </c>
      <c r="G10" s="100">
        <v>14.51</v>
      </c>
      <c r="H10" s="100">
        <v>2.61</v>
      </c>
      <c r="I10" s="100">
        <v>3.87</v>
      </c>
      <c r="J10" s="100">
        <v>0.17</v>
      </c>
      <c r="K10" s="100">
        <v>91.86</v>
      </c>
      <c r="L10" s="100">
        <v>12.3</v>
      </c>
      <c r="M10" s="100">
        <v>12.72</v>
      </c>
      <c r="N10" s="100">
        <v>2.4</v>
      </c>
      <c r="O10" s="100">
        <v>0</v>
      </c>
      <c r="P10" s="100">
        <v>0.11</v>
      </c>
      <c r="Q10" s="100">
        <v>10</v>
      </c>
      <c r="R10" s="6"/>
      <c r="S10" s="6"/>
      <c r="T10" s="156"/>
      <c r="U10" s="6"/>
    </row>
    <row r="11" spans="1:21" customFormat="1">
      <c r="A11" s="201" t="s">
        <v>2835</v>
      </c>
      <c r="B11" s="100">
        <v>4.32</v>
      </c>
      <c r="C11" s="100">
        <v>4.83</v>
      </c>
      <c r="D11" s="100">
        <v>9.15</v>
      </c>
      <c r="E11" s="100">
        <v>5.58</v>
      </c>
      <c r="F11" s="100">
        <v>2.2200000000000002</v>
      </c>
      <c r="G11" s="100">
        <v>12.45</v>
      </c>
      <c r="H11" s="100">
        <v>2.38</v>
      </c>
      <c r="I11" s="100">
        <v>3.82</v>
      </c>
      <c r="J11" s="100">
        <v>0.21</v>
      </c>
      <c r="K11" s="100">
        <v>91.53</v>
      </c>
      <c r="L11" s="100">
        <v>12.55</v>
      </c>
      <c r="M11" s="100">
        <v>13.45</v>
      </c>
      <c r="N11" s="100">
        <v>2.4</v>
      </c>
      <c r="O11" s="100">
        <v>0</v>
      </c>
      <c r="P11" s="100">
        <v>0.14000000000000001</v>
      </c>
      <c r="Q11" s="100">
        <v>10</v>
      </c>
      <c r="R11" s="6"/>
      <c r="S11" s="6"/>
      <c r="T11" s="156"/>
      <c r="U11" s="6"/>
    </row>
    <row r="12" spans="1:21" customFormat="1">
      <c r="A12" s="201" t="s">
        <v>2836</v>
      </c>
      <c r="B12" s="100">
        <v>4.45</v>
      </c>
      <c r="C12" s="100">
        <v>4.83</v>
      </c>
      <c r="D12" s="100">
        <v>9.2799999999999994</v>
      </c>
      <c r="E12" s="100">
        <v>5.48</v>
      </c>
      <c r="F12" s="100">
        <v>2.2400000000000002</v>
      </c>
      <c r="G12" s="100">
        <v>12.45</v>
      </c>
      <c r="H12" s="100">
        <v>2.38</v>
      </c>
      <c r="I12" s="100">
        <v>3.78</v>
      </c>
      <c r="J12" s="100">
        <v>0.18</v>
      </c>
      <c r="K12" s="100">
        <v>91.23</v>
      </c>
      <c r="L12" s="100">
        <v>11.55</v>
      </c>
      <c r="M12" s="100">
        <v>10.86</v>
      </c>
      <c r="N12" s="100">
        <v>2.4</v>
      </c>
      <c r="O12" s="100">
        <v>0</v>
      </c>
      <c r="P12" s="100">
        <v>0.14000000000000001</v>
      </c>
      <c r="Q12" s="100">
        <v>10</v>
      </c>
      <c r="R12" s="6"/>
      <c r="S12" s="6"/>
      <c r="T12" s="156"/>
      <c r="U12" s="6"/>
    </row>
    <row r="13" spans="1:21" customFormat="1">
      <c r="A13" s="201" t="s">
        <v>2837</v>
      </c>
      <c r="B13" s="100">
        <v>4.46</v>
      </c>
      <c r="C13" s="100">
        <v>4.76</v>
      </c>
      <c r="D13" s="100">
        <v>9.2200000000000006</v>
      </c>
      <c r="E13" s="100">
        <v>5.62</v>
      </c>
      <c r="F13" s="100">
        <v>3.24</v>
      </c>
      <c r="G13" s="100">
        <v>12.45</v>
      </c>
      <c r="H13" s="100">
        <v>2.38</v>
      </c>
      <c r="I13" s="100">
        <v>3.97</v>
      </c>
      <c r="J13" s="100">
        <v>0.23</v>
      </c>
      <c r="K13" s="100">
        <v>86.71</v>
      </c>
      <c r="L13" s="100">
        <v>11.49</v>
      </c>
      <c r="M13" s="100">
        <v>10.73</v>
      </c>
      <c r="N13" s="100">
        <v>2.4</v>
      </c>
      <c r="O13" s="100">
        <v>0</v>
      </c>
      <c r="P13" s="100">
        <v>0.14000000000000001</v>
      </c>
      <c r="Q13" s="100">
        <v>10</v>
      </c>
      <c r="R13" s="6"/>
      <c r="S13" s="6"/>
      <c r="T13" s="156"/>
      <c r="U13" s="6"/>
    </row>
    <row r="14" spans="1:21" customFormat="1">
      <c r="A14" s="201" t="s">
        <v>2838</v>
      </c>
      <c r="B14" s="100">
        <v>4.41</v>
      </c>
      <c r="C14" s="100">
        <v>4.63</v>
      </c>
      <c r="D14" s="100">
        <v>9.0399999999999991</v>
      </c>
      <c r="E14" s="100">
        <v>5.39</v>
      </c>
      <c r="F14" s="100">
        <v>4.68</v>
      </c>
      <c r="G14" s="100">
        <v>10.61</v>
      </c>
      <c r="H14" s="100">
        <v>2.17</v>
      </c>
      <c r="I14" s="100">
        <v>3.88</v>
      </c>
      <c r="J14" s="100">
        <v>0.19</v>
      </c>
      <c r="K14" s="100">
        <v>90.02</v>
      </c>
      <c r="L14" s="100">
        <v>11.56</v>
      </c>
      <c r="M14" s="100">
        <v>10.99</v>
      </c>
      <c r="N14" s="100">
        <v>2.4</v>
      </c>
      <c r="O14" s="100">
        <v>0</v>
      </c>
      <c r="P14" s="100">
        <v>0.12</v>
      </c>
      <c r="Q14" s="100">
        <v>10</v>
      </c>
      <c r="R14" s="6"/>
      <c r="S14" s="6"/>
      <c r="T14" s="156"/>
      <c r="U14" s="6"/>
    </row>
    <row r="15" spans="1:21" customFormat="1">
      <c r="A15" s="201" t="s">
        <v>2839</v>
      </c>
      <c r="B15" s="100">
        <v>4.68</v>
      </c>
      <c r="C15" s="100">
        <v>4.74</v>
      </c>
      <c r="D15" s="100">
        <v>9.42</v>
      </c>
      <c r="E15" s="100">
        <v>5.14</v>
      </c>
      <c r="F15" s="100">
        <v>2</v>
      </c>
      <c r="G15" s="100">
        <v>9.1999999999999993</v>
      </c>
      <c r="H15" s="100">
        <v>2.1</v>
      </c>
      <c r="I15" s="100">
        <v>3.86</v>
      </c>
      <c r="J15" s="100">
        <v>0.32</v>
      </c>
      <c r="K15" s="100">
        <v>97.76</v>
      </c>
      <c r="L15" s="100">
        <v>10.65</v>
      </c>
      <c r="M15" s="100">
        <v>8.6199999999999992</v>
      </c>
      <c r="N15" s="100">
        <v>2.4</v>
      </c>
      <c r="O15" s="100">
        <v>0</v>
      </c>
      <c r="P15" s="100">
        <v>0.12</v>
      </c>
      <c r="Q15" s="100">
        <v>10</v>
      </c>
      <c r="R15" s="6"/>
      <c r="S15" s="6"/>
      <c r="T15" s="156"/>
      <c r="U15" s="6"/>
    </row>
    <row r="16" spans="1:21" customFormat="1">
      <c r="A16" s="201" t="s">
        <v>2840</v>
      </c>
      <c r="B16" s="100">
        <v>4.7699999999999996</v>
      </c>
      <c r="C16" s="100">
        <v>4.8600000000000003</v>
      </c>
      <c r="D16" s="100">
        <v>9.64</v>
      </c>
      <c r="E16" s="100">
        <v>5.38</v>
      </c>
      <c r="F16" s="100">
        <v>2.4500000000000002</v>
      </c>
      <c r="G16" s="100">
        <v>9.1999999999999993</v>
      </c>
      <c r="H16" s="100">
        <v>2.1</v>
      </c>
      <c r="I16" s="100">
        <v>3.77</v>
      </c>
      <c r="J16" s="100">
        <v>0.31</v>
      </c>
      <c r="K16" s="100">
        <v>106.59</v>
      </c>
      <c r="L16" s="100">
        <v>10.77</v>
      </c>
      <c r="M16" s="100">
        <v>9.4499999999999993</v>
      </c>
      <c r="N16" s="100">
        <v>2.4</v>
      </c>
      <c r="O16" s="100">
        <v>0</v>
      </c>
      <c r="P16" s="100">
        <v>0.13</v>
      </c>
      <c r="Q16" s="100">
        <v>10</v>
      </c>
      <c r="R16" s="6"/>
      <c r="S16" s="6"/>
      <c r="T16" s="156"/>
      <c r="U16" s="6"/>
    </row>
    <row r="17" spans="1:21" customFormat="1">
      <c r="A17" s="201" t="s">
        <v>2841</v>
      </c>
      <c r="B17" s="100">
        <v>4.75</v>
      </c>
      <c r="C17" s="100">
        <v>4.67</v>
      </c>
      <c r="D17" s="100">
        <v>9.42</v>
      </c>
      <c r="E17" s="100">
        <v>4.87</v>
      </c>
      <c r="F17" s="100">
        <v>2.99</v>
      </c>
      <c r="G17" s="100">
        <v>9.1999999999999993</v>
      </c>
      <c r="H17" s="100">
        <v>2.1</v>
      </c>
      <c r="I17" s="100">
        <v>3.85</v>
      </c>
      <c r="J17" s="100">
        <v>0.31</v>
      </c>
      <c r="K17" s="100">
        <v>101.46</v>
      </c>
      <c r="L17" s="100">
        <v>12.16</v>
      </c>
      <c r="M17" s="100">
        <v>12.47</v>
      </c>
      <c r="N17" s="100">
        <v>2.4</v>
      </c>
      <c r="O17" s="100">
        <v>0</v>
      </c>
      <c r="P17" s="100">
        <v>0.12</v>
      </c>
      <c r="Q17" s="100">
        <v>10.28</v>
      </c>
      <c r="R17" s="6"/>
      <c r="S17" s="6"/>
      <c r="T17" s="156"/>
      <c r="U17" s="6"/>
    </row>
    <row r="18" spans="1:21" customFormat="1">
      <c r="A18" s="201" t="s">
        <v>2842</v>
      </c>
      <c r="B18" s="100">
        <v>4.78</v>
      </c>
      <c r="C18" s="100">
        <v>4.63</v>
      </c>
      <c r="D18" s="100">
        <v>9.4</v>
      </c>
      <c r="E18" s="100">
        <v>5.57</v>
      </c>
      <c r="F18" s="100">
        <v>3.14</v>
      </c>
      <c r="G18" s="100">
        <v>7.92</v>
      </c>
      <c r="H18" s="100">
        <v>1.97</v>
      </c>
      <c r="I18" s="100">
        <v>3.86</v>
      </c>
      <c r="J18" s="100">
        <v>0.17</v>
      </c>
      <c r="K18" s="100">
        <v>87.9</v>
      </c>
      <c r="L18" s="100">
        <v>11.26</v>
      </c>
      <c r="M18" s="100">
        <v>10.130000000000001</v>
      </c>
      <c r="N18" s="100">
        <v>2.4</v>
      </c>
      <c r="O18" s="100">
        <v>0</v>
      </c>
      <c r="P18" s="100">
        <v>0.11</v>
      </c>
      <c r="Q18" s="100">
        <v>10.3</v>
      </c>
      <c r="R18" s="6"/>
      <c r="S18" s="6"/>
      <c r="T18" s="156"/>
      <c r="U18" s="6"/>
    </row>
    <row r="19" spans="1:21" customFormat="1">
      <c r="A19" s="201" t="s">
        <v>2843</v>
      </c>
      <c r="B19" s="100">
        <v>5</v>
      </c>
      <c r="C19" s="100">
        <v>4.91</v>
      </c>
      <c r="D19" s="100">
        <v>9.92</v>
      </c>
      <c r="E19" s="100">
        <v>6.03</v>
      </c>
      <c r="F19" s="100">
        <v>2.27</v>
      </c>
      <c r="G19" s="100">
        <v>6.94</v>
      </c>
      <c r="H19" s="100">
        <v>1.92</v>
      </c>
      <c r="I19" s="100">
        <v>3.82</v>
      </c>
      <c r="J19" s="100">
        <v>0.17</v>
      </c>
      <c r="K19" s="100">
        <v>110.35</v>
      </c>
      <c r="L19" s="100">
        <v>13.3</v>
      </c>
      <c r="M19" s="100">
        <v>15.65</v>
      </c>
      <c r="N19" s="100">
        <v>2.4</v>
      </c>
      <c r="O19" s="100">
        <v>0</v>
      </c>
      <c r="P19" s="100">
        <v>0.14000000000000001</v>
      </c>
      <c r="Q19" s="100">
        <v>10.220000000000001</v>
      </c>
      <c r="R19" s="6"/>
      <c r="S19" s="6"/>
      <c r="T19" s="156"/>
      <c r="U19" s="6"/>
    </row>
    <row r="20" spans="1:21" customFormat="1">
      <c r="A20" s="201" t="s">
        <v>2844</v>
      </c>
      <c r="B20" s="100">
        <v>5</v>
      </c>
      <c r="C20" s="100">
        <v>4.74</v>
      </c>
      <c r="D20" s="100">
        <v>9.74</v>
      </c>
      <c r="E20" s="100">
        <v>5.88</v>
      </c>
      <c r="F20" s="100">
        <v>2.2999999999999998</v>
      </c>
      <c r="G20" s="100">
        <v>6.94</v>
      </c>
      <c r="H20" s="100">
        <v>1.92</v>
      </c>
      <c r="I20" s="100">
        <v>3.81</v>
      </c>
      <c r="J20" s="100">
        <v>0.15</v>
      </c>
      <c r="K20" s="100">
        <v>87.2</v>
      </c>
      <c r="L20" s="100">
        <v>12.56</v>
      </c>
      <c r="M20" s="100">
        <v>13.41</v>
      </c>
      <c r="N20" s="100">
        <v>2.4</v>
      </c>
      <c r="O20" s="100">
        <v>0</v>
      </c>
      <c r="P20" s="100">
        <v>0.12</v>
      </c>
      <c r="Q20" s="100">
        <v>10.09</v>
      </c>
      <c r="R20" s="6"/>
      <c r="S20" s="6"/>
      <c r="T20" s="156"/>
      <c r="U20" s="6"/>
    </row>
    <row r="21" spans="1:21" customFormat="1">
      <c r="A21" s="201" t="s">
        <v>2845</v>
      </c>
      <c r="B21" s="100">
        <v>4.92</v>
      </c>
      <c r="C21" s="100">
        <v>4.72</v>
      </c>
      <c r="D21" s="100">
        <v>9.64</v>
      </c>
      <c r="E21" s="100">
        <v>5.47</v>
      </c>
      <c r="F21" s="100">
        <v>3.29</v>
      </c>
      <c r="G21" s="100">
        <v>6.94</v>
      </c>
      <c r="H21" s="100">
        <v>1.92</v>
      </c>
      <c r="I21" s="100">
        <v>3.95</v>
      </c>
      <c r="J21" s="100">
        <v>0.2</v>
      </c>
      <c r="K21" s="100">
        <v>107.95</v>
      </c>
      <c r="L21" s="100">
        <v>11.16</v>
      </c>
      <c r="M21" s="100">
        <v>9.99</v>
      </c>
      <c r="N21" s="100">
        <v>2.2999999999999998</v>
      </c>
      <c r="O21" s="100">
        <v>0</v>
      </c>
      <c r="P21" s="100">
        <v>0.1</v>
      </c>
      <c r="Q21" s="100">
        <v>10.029999999999999</v>
      </c>
      <c r="R21" s="6"/>
      <c r="S21" s="6"/>
      <c r="T21" s="156"/>
      <c r="U21" s="6"/>
    </row>
    <row r="22" spans="1:21" customFormat="1">
      <c r="A22" s="201" t="s">
        <v>2846</v>
      </c>
      <c r="B22" s="100">
        <v>5.16</v>
      </c>
      <c r="C22" s="100">
        <v>4.9000000000000004</v>
      </c>
      <c r="D22" s="100">
        <v>10.050000000000001</v>
      </c>
      <c r="E22" s="100">
        <v>5.96</v>
      </c>
      <c r="F22" s="100">
        <v>2.11</v>
      </c>
      <c r="G22" s="100">
        <v>6.41</v>
      </c>
      <c r="H22" s="100">
        <v>1.77</v>
      </c>
      <c r="I22" s="100">
        <v>3.82</v>
      </c>
      <c r="J22" s="100">
        <v>0.12</v>
      </c>
      <c r="K22" s="100">
        <v>96.78</v>
      </c>
      <c r="L22" s="100">
        <v>11.87</v>
      </c>
      <c r="M22" s="100">
        <v>11.71</v>
      </c>
      <c r="N22" s="100">
        <v>2.4</v>
      </c>
      <c r="O22" s="100">
        <v>0</v>
      </c>
      <c r="P22" s="100">
        <v>0.13</v>
      </c>
      <c r="Q22" s="100">
        <v>10</v>
      </c>
      <c r="R22" s="6"/>
      <c r="S22" s="6"/>
      <c r="T22" s="156"/>
      <c r="U22" s="6"/>
    </row>
    <row r="23" spans="1:21" customFormat="1">
      <c r="A23" s="201" t="s">
        <v>2847</v>
      </c>
      <c r="B23" s="100">
        <v>5.21</v>
      </c>
      <c r="C23" s="100">
        <v>5</v>
      </c>
      <c r="D23" s="100">
        <v>10.210000000000001</v>
      </c>
      <c r="E23" s="100">
        <v>6.06</v>
      </c>
      <c r="F23" s="100">
        <v>2.0499999999999998</v>
      </c>
      <c r="G23" s="100">
        <v>6.01</v>
      </c>
      <c r="H23" s="100">
        <v>1.68</v>
      </c>
      <c r="I23" s="100">
        <v>3.73</v>
      </c>
      <c r="J23" s="100">
        <v>0.16</v>
      </c>
      <c r="K23" s="100">
        <v>94.79</v>
      </c>
      <c r="L23" s="100">
        <v>13.3</v>
      </c>
      <c r="M23" s="100">
        <v>15.24</v>
      </c>
      <c r="N23" s="100">
        <v>2.4</v>
      </c>
      <c r="O23" s="100">
        <v>0</v>
      </c>
      <c r="P23" s="100">
        <v>0.13</v>
      </c>
      <c r="Q23" s="100">
        <v>10</v>
      </c>
      <c r="R23" s="6"/>
      <c r="S23" s="6"/>
      <c r="T23" s="156"/>
      <c r="U23" s="6"/>
    </row>
    <row r="24" spans="1:21" customFormat="1">
      <c r="A24" s="201" t="s">
        <v>2848</v>
      </c>
      <c r="B24" s="100">
        <v>5.1100000000000003</v>
      </c>
      <c r="C24" s="100">
        <v>4.8499999999999996</v>
      </c>
      <c r="D24" s="100">
        <v>9.9700000000000006</v>
      </c>
      <c r="E24" s="100">
        <v>5.56</v>
      </c>
      <c r="F24" s="100">
        <v>3.11</v>
      </c>
      <c r="G24" s="100">
        <v>6.01</v>
      </c>
      <c r="H24" s="100">
        <v>1.68</v>
      </c>
      <c r="I24" s="100">
        <v>3.84</v>
      </c>
      <c r="J24" s="100">
        <v>0.14000000000000001</v>
      </c>
      <c r="K24" s="100">
        <v>87.33</v>
      </c>
      <c r="L24" s="100">
        <v>12.01</v>
      </c>
      <c r="M24" s="100">
        <v>12.01</v>
      </c>
      <c r="N24" s="100">
        <v>2.4</v>
      </c>
      <c r="O24" s="100">
        <v>0</v>
      </c>
      <c r="P24" s="100">
        <v>0.1</v>
      </c>
      <c r="Q24" s="100">
        <v>10</v>
      </c>
      <c r="R24" s="6"/>
      <c r="S24" s="6"/>
      <c r="T24" s="156"/>
      <c r="U24" s="6"/>
    </row>
    <row r="25" spans="1:21" customFormat="1">
      <c r="A25" s="201" t="s">
        <v>2849</v>
      </c>
      <c r="B25" s="100">
        <v>5.21</v>
      </c>
      <c r="C25" s="100">
        <v>4.88</v>
      </c>
      <c r="D25" s="100">
        <v>10.09</v>
      </c>
      <c r="E25" s="100">
        <v>5.7</v>
      </c>
      <c r="F25" s="100">
        <v>2.4700000000000002</v>
      </c>
      <c r="G25" s="100">
        <v>6.01</v>
      </c>
      <c r="H25" s="100">
        <v>1.68</v>
      </c>
      <c r="I25" s="100">
        <v>3.93</v>
      </c>
      <c r="J25" s="100">
        <v>0.15</v>
      </c>
      <c r="K25" s="100">
        <v>112.34</v>
      </c>
      <c r="L25" s="100">
        <v>11.89</v>
      </c>
      <c r="M25" s="100">
        <v>11.74</v>
      </c>
      <c r="N25" s="100">
        <v>2.4</v>
      </c>
      <c r="O25" s="100">
        <v>0</v>
      </c>
      <c r="P25" s="100">
        <v>0.11</v>
      </c>
      <c r="Q25" s="100">
        <v>10</v>
      </c>
      <c r="R25" s="6"/>
      <c r="S25" s="6"/>
      <c r="T25" s="156"/>
      <c r="U25" s="6"/>
    </row>
    <row r="26" spans="1:21" customFormat="1">
      <c r="A26" s="201" t="s">
        <v>2850</v>
      </c>
      <c r="B26" s="100">
        <v>5.38</v>
      </c>
      <c r="C26" s="100">
        <v>5.0199999999999996</v>
      </c>
      <c r="D26" s="100">
        <v>10.39</v>
      </c>
      <c r="E26" s="100">
        <v>6.12</v>
      </c>
      <c r="F26" s="100">
        <v>2.09</v>
      </c>
      <c r="G26" s="100">
        <v>5.33</v>
      </c>
      <c r="H26" s="100">
        <v>1.41</v>
      </c>
      <c r="I26" s="100">
        <v>3.86</v>
      </c>
      <c r="J26" s="100">
        <v>0.12</v>
      </c>
      <c r="K26" s="100">
        <v>118.13</v>
      </c>
      <c r="L26" s="100">
        <v>13.42</v>
      </c>
      <c r="M26" s="100">
        <v>15.74</v>
      </c>
      <c r="N26" s="100">
        <v>2.4</v>
      </c>
      <c r="O26" s="100">
        <v>0</v>
      </c>
      <c r="P26" s="100">
        <v>0.13</v>
      </c>
      <c r="Q26" s="100">
        <v>10</v>
      </c>
      <c r="R26" s="6"/>
      <c r="S26" s="6"/>
      <c r="T26" s="156"/>
      <c r="U26" s="6"/>
    </row>
    <row r="27" spans="1:21" customFormat="1">
      <c r="A27" s="201" t="s">
        <v>2851</v>
      </c>
      <c r="B27" s="100">
        <v>5.42</v>
      </c>
      <c r="C27" s="100">
        <v>4.9400000000000004</v>
      </c>
      <c r="D27" s="100">
        <v>10.36</v>
      </c>
      <c r="E27" s="100">
        <v>6.03</v>
      </c>
      <c r="F27" s="100">
        <v>2</v>
      </c>
      <c r="G27" s="100">
        <v>4.8099999999999996</v>
      </c>
      <c r="H27" s="100">
        <v>1.33</v>
      </c>
      <c r="I27" s="100">
        <v>3.94</v>
      </c>
      <c r="J27" s="100">
        <v>0.18</v>
      </c>
      <c r="K27" s="100">
        <v>112.27</v>
      </c>
      <c r="L27" s="100">
        <v>12.18</v>
      </c>
      <c r="M27" s="100">
        <v>12.22</v>
      </c>
      <c r="N27" s="100">
        <v>2.4</v>
      </c>
      <c r="O27" s="100">
        <v>0</v>
      </c>
      <c r="P27" s="100">
        <v>0.14000000000000001</v>
      </c>
      <c r="Q27" s="100">
        <v>9.5500000000000007</v>
      </c>
      <c r="R27" s="6"/>
      <c r="S27" s="6"/>
      <c r="T27" s="156"/>
      <c r="U27" s="6"/>
    </row>
    <row r="28" spans="1:21" customFormat="1">
      <c r="A28" s="201" t="s">
        <v>2852</v>
      </c>
      <c r="B28" s="100">
        <v>5.24</v>
      </c>
      <c r="C28" s="100">
        <v>5.0999999999999996</v>
      </c>
      <c r="D28" s="100">
        <v>10.34</v>
      </c>
      <c r="E28" s="100">
        <v>5.92</v>
      </c>
      <c r="F28" s="100">
        <v>2</v>
      </c>
      <c r="G28" s="100">
        <v>4.8099999999999996</v>
      </c>
      <c r="H28" s="100">
        <v>1.33</v>
      </c>
      <c r="I28" s="100">
        <v>4.01</v>
      </c>
      <c r="J28" s="100">
        <v>0.18</v>
      </c>
      <c r="K28" s="100">
        <v>120.78</v>
      </c>
      <c r="L28" s="100">
        <v>12.59</v>
      </c>
      <c r="M28" s="100">
        <v>13.58</v>
      </c>
      <c r="N28" s="100">
        <v>2.2999999999999998</v>
      </c>
      <c r="O28" s="100">
        <v>0</v>
      </c>
      <c r="P28" s="100">
        <v>0.16</v>
      </c>
      <c r="Q28" s="100">
        <v>9.83</v>
      </c>
      <c r="R28" s="6"/>
      <c r="S28" s="6"/>
      <c r="T28" s="156"/>
      <c r="U28" s="6"/>
    </row>
    <row r="29" spans="1:21" customFormat="1">
      <c r="A29" s="201" t="s">
        <v>2853</v>
      </c>
      <c r="B29" s="100">
        <v>5.07</v>
      </c>
      <c r="C29" s="100">
        <v>5.24</v>
      </c>
      <c r="D29" s="100">
        <v>10.31</v>
      </c>
      <c r="E29" s="100">
        <v>6.02</v>
      </c>
      <c r="F29" s="100">
        <v>2</v>
      </c>
      <c r="G29" s="100">
        <v>4.8099999999999996</v>
      </c>
      <c r="H29" s="100">
        <v>1.33</v>
      </c>
      <c r="I29" s="100">
        <v>3.96</v>
      </c>
      <c r="J29" s="100">
        <v>0.18</v>
      </c>
      <c r="K29" s="100">
        <v>123.49</v>
      </c>
      <c r="L29" s="100">
        <v>13.29</v>
      </c>
      <c r="M29" s="100">
        <v>15.27</v>
      </c>
      <c r="N29" s="100">
        <v>2.2999999999999998</v>
      </c>
      <c r="O29" s="100">
        <v>0</v>
      </c>
      <c r="P29" s="100">
        <v>0.15</v>
      </c>
      <c r="Q29" s="100">
        <v>10</v>
      </c>
      <c r="R29" s="6"/>
      <c r="S29" s="6"/>
      <c r="T29" s="156"/>
      <c r="U29" s="6"/>
    </row>
    <row r="30" spans="1:21" customFormat="1">
      <c r="A30" s="201" t="s">
        <v>2854</v>
      </c>
      <c r="B30" s="100">
        <v>4.9000000000000004</v>
      </c>
      <c r="C30" s="100">
        <v>5.27</v>
      </c>
      <c r="D30" s="100">
        <v>10.17</v>
      </c>
      <c r="E30" s="100">
        <v>6.15</v>
      </c>
      <c r="F30" s="100">
        <v>2.0099999999999998</v>
      </c>
      <c r="G30" s="100">
        <v>6.97</v>
      </c>
      <c r="H30" s="100">
        <v>2.54</v>
      </c>
      <c r="I30" s="100">
        <v>3.91</v>
      </c>
      <c r="J30" s="100">
        <v>0.2</v>
      </c>
      <c r="K30" s="100">
        <v>100.84</v>
      </c>
      <c r="L30" s="100">
        <v>12.81</v>
      </c>
      <c r="M30" s="100">
        <v>14</v>
      </c>
      <c r="N30" s="100">
        <v>2.4</v>
      </c>
      <c r="O30" s="100">
        <v>0</v>
      </c>
      <c r="P30" s="100">
        <v>0.16</v>
      </c>
      <c r="Q30" s="100">
        <v>10</v>
      </c>
      <c r="R30" s="6"/>
      <c r="S30" s="6"/>
      <c r="T30" s="156"/>
      <c r="U30" s="6"/>
    </row>
    <row r="31" spans="1:21" customFormat="1">
      <c r="A31" s="201" t="s">
        <v>2855</v>
      </c>
      <c r="B31" s="100">
        <v>4.8099999999999996</v>
      </c>
      <c r="C31" s="100">
        <v>5.24</v>
      </c>
      <c r="D31" s="100">
        <v>10.039999999999999</v>
      </c>
      <c r="E31" s="100">
        <v>6.3</v>
      </c>
      <c r="F31" s="100">
        <v>2</v>
      </c>
      <c r="G31" s="100">
        <v>8.6199999999999992</v>
      </c>
      <c r="H31" s="100">
        <v>2.92</v>
      </c>
      <c r="I31" s="100">
        <v>3.91</v>
      </c>
      <c r="J31" s="100">
        <v>0.19</v>
      </c>
      <c r="K31" s="100">
        <v>85.87</v>
      </c>
      <c r="L31" s="100">
        <v>13.39</v>
      </c>
      <c r="M31" s="100">
        <v>15.53</v>
      </c>
      <c r="N31" s="100">
        <v>2.4</v>
      </c>
      <c r="O31" s="100">
        <v>0</v>
      </c>
      <c r="P31" s="100">
        <v>0.14000000000000001</v>
      </c>
      <c r="Q31" s="100">
        <v>10</v>
      </c>
      <c r="R31" s="6"/>
      <c r="S31" s="6"/>
      <c r="T31" s="156"/>
      <c r="U31" s="6"/>
    </row>
    <row r="32" spans="1:21" customFormat="1">
      <c r="A32" s="201" t="s">
        <v>2856</v>
      </c>
      <c r="B32" s="100">
        <v>4.6900000000000004</v>
      </c>
      <c r="C32" s="100">
        <v>5.23</v>
      </c>
      <c r="D32" s="100">
        <v>9.92</v>
      </c>
      <c r="E32" s="100">
        <v>5.94</v>
      </c>
      <c r="F32" s="100">
        <v>2</v>
      </c>
      <c r="G32" s="100">
        <v>8.6199999999999992</v>
      </c>
      <c r="H32" s="100">
        <v>2.92</v>
      </c>
      <c r="I32" s="100">
        <v>3.91</v>
      </c>
      <c r="J32" s="100">
        <v>0.19</v>
      </c>
      <c r="K32" s="100">
        <v>91.96</v>
      </c>
      <c r="L32" s="100">
        <v>12.49</v>
      </c>
      <c r="M32" s="100">
        <v>13.25</v>
      </c>
      <c r="N32" s="100">
        <v>3.4</v>
      </c>
      <c r="O32" s="100">
        <v>0</v>
      </c>
      <c r="P32" s="100">
        <v>0.15</v>
      </c>
      <c r="Q32" s="100">
        <v>10</v>
      </c>
      <c r="R32" s="6"/>
      <c r="S32" s="6"/>
      <c r="T32" s="156"/>
      <c r="U32" s="6"/>
    </row>
    <row r="33" spans="1:21" customFormat="1">
      <c r="A33" s="201" t="s">
        <v>2857</v>
      </c>
      <c r="B33" s="100">
        <v>4.59</v>
      </c>
      <c r="C33" s="100">
        <v>5.16</v>
      </c>
      <c r="D33" s="100">
        <v>9.75</v>
      </c>
      <c r="E33" s="100">
        <v>5.96</v>
      </c>
      <c r="F33" s="100">
        <v>2</v>
      </c>
      <c r="G33" s="100">
        <v>8.6199999999999992</v>
      </c>
      <c r="H33" s="100">
        <v>2.92</v>
      </c>
      <c r="I33" s="100">
        <v>3.86</v>
      </c>
      <c r="J33" s="100">
        <v>0.13</v>
      </c>
      <c r="K33" s="100">
        <v>97.45</v>
      </c>
      <c r="L33" s="100">
        <v>13.59</v>
      </c>
      <c r="M33" s="100">
        <v>15.96</v>
      </c>
      <c r="N33" s="100">
        <v>5</v>
      </c>
      <c r="O33" s="100">
        <v>0</v>
      </c>
      <c r="P33" s="100">
        <v>0.15</v>
      </c>
      <c r="Q33" s="100">
        <v>10</v>
      </c>
      <c r="R33" s="6"/>
      <c r="S33" s="6"/>
      <c r="T33" s="156"/>
      <c r="U33" s="6"/>
    </row>
    <row r="34" spans="1:21" customFormat="1">
      <c r="A34" s="201" t="s">
        <v>2858</v>
      </c>
      <c r="B34" s="100">
        <v>4.49</v>
      </c>
      <c r="C34" s="100">
        <v>5.14</v>
      </c>
      <c r="D34" s="100">
        <v>9.6300000000000008</v>
      </c>
      <c r="E34" s="100">
        <v>6.06</v>
      </c>
      <c r="F34" s="100">
        <v>2</v>
      </c>
      <c r="G34" s="100">
        <v>7.43</v>
      </c>
      <c r="H34" s="100">
        <v>2.52</v>
      </c>
      <c r="I34" s="100">
        <v>3.8</v>
      </c>
      <c r="J34" s="100">
        <v>0.22</v>
      </c>
      <c r="K34" s="100">
        <v>100.87</v>
      </c>
      <c r="L34" s="100">
        <v>11.57</v>
      </c>
      <c r="M34" s="100">
        <v>10.84</v>
      </c>
      <c r="N34" s="100">
        <v>7.6</v>
      </c>
      <c r="O34" s="100">
        <v>0</v>
      </c>
      <c r="P34" s="100">
        <v>0.15</v>
      </c>
      <c r="Q34" s="100">
        <v>10</v>
      </c>
      <c r="R34" s="6"/>
      <c r="S34" s="6"/>
      <c r="T34" s="156"/>
      <c r="U34" s="6"/>
    </row>
    <row r="35" spans="1:21" customFormat="1">
      <c r="A35" s="201" t="s">
        <v>2859</v>
      </c>
      <c r="B35" s="100">
        <v>4.4000000000000004</v>
      </c>
      <c r="C35" s="100">
        <v>5.07</v>
      </c>
      <c r="D35" s="100">
        <v>9.4700000000000006</v>
      </c>
      <c r="E35" s="100">
        <v>5.61</v>
      </c>
      <c r="F35" s="100">
        <v>2.0099999999999998</v>
      </c>
      <c r="G35" s="100">
        <v>6.52</v>
      </c>
      <c r="H35" s="100">
        <v>2.39</v>
      </c>
      <c r="I35" s="100">
        <v>3.74</v>
      </c>
      <c r="J35" s="100">
        <v>0.11</v>
      </c>
      <c r="K35" s="100">
        <v>124.89</v>
      </c>
      <c r="L35" s="100">
        <v>15.08</v>
      </c>
      <c r="M35" s="100">
        <v>19.25</v>
      </c>
      <c r="N35" s="100">
        <v>23.8</v>
      </c>
      <c r="O35" s="100">
        <v>0</v>
      </c>
      <c r="P35" s="100">
        <v>0.15</v>
      </c>
      <c r="Q35" s="100">
        <v>10</v>
      </c>
      <c r="R35" s="6"/>
      <c r="S35" s="6"/>
      <c r="T35" s="156"/>
      <c r="U35" s="6"/>
    </row>
    <row r="36" spans="1:21" customFormat="1">
      <c r="A36" s="201" t="s">
        <v>2860</v>
      </c>
      <c r="B36" s="100">
        <v>4.28</v>
      </c>
      <c r="C36" s="100">
        <v>5.07</v>
      </c>
      <c r="D36" s="100">
        <v>9.36</v>
      </c>
      <c r="E36" s="100">
        <v>6.29</v>
      </c>
      <c r="F36" s="100">
        <v>2</v>
      </c>
      <c r="G36" s="100">
        <v>6.52</v>
      </c>
      <c r="H36" s="100">
        <v>2.39</v>
      </c>
      <c r="I36" s="100">
        <v>3.69</v>
      </c>
      <c r="J36" s="100">
        <v>0.13</v>
      </c>
      <c r="K36" s="100">
        <v>103.89</v>
      </c>
      <c r="L36" s="100">
        <v>13.06</v>
      </c>
      <c r="M36" s="100">
        <v>13.98</v>
      </c>
      <c r="N36" s="100">
        <v>34.700000000000003</v>
      </c>
      <c r="O36" s="100">
        <v>0</v>
      </c>
      <c r="P36" s="100">
        <v>0.15</v>
      </c>
      <c r="Q36" s="100">
        <v>9.9600000000000009</v>
      </c>
      <c r="R36" s="6"/>
      <c r="S36" s="6"/>
      <c r="T36" s="156"/>
      <c r="U36" s="6"/>
    </row>
    <row r="37" spans="1:21" customFormat="1">
      <c r="A37" s="201" t="s">
        <v>2861</v>
      </c>
      <c r="B37" s="100">
        <v>4.18</v>
      </c>
      <c r="C37" s="100">
        <v>5.12</v>
      </c>
      <c r="D37" s="100">
        <v>9.3000000000000007</v>
      </c>
      <c r="E37" s="100">
        <v>6.22</v>
      </c>
      <c r="F37" s="100">
        <v>2</v>
      </c>
      <c r="G37" s="100">
        <v>6.52</v>
      </c>
      <c r="H37" s="100">
        <v>2.39</v>
      </c>
      <c r="I37" s="100">
        <v>3.67</v>
      </c>
      <c r="J37" s="100">
        <v>0.14000000000000001</v>
      </c>
      <c r="K37" s="100">
        <v>99.7</v>
      </c>
      <c r="L37" s="100">
        <v>12.94</v>
      </c>
      <c r="M37" s="100">
        <v>14.48</v>
      </c>
      <c r="N37" s="100">
        <v>27.7</v>
      </c>
      <c r="O37" s="100">
        <v>0</v>
      </c>
      <c r="P37" s="100">
        <v>0.15</v>
      </c>
      <c r="Q37" s="100">
        <v>9.98</v>
      </c>
      <c r="R37" s="6"/>
      <c r="S37" s="6"/>
      <c r="T37" s="156"/>
      <c r="U37" s="6"/>
    </row>
    <row r="38" spans="1:21" customFormat="1">
      <c r="A38" s="201" t="s">
        <v>2862</v>
      </c>
      <c r="B38" s="100">
        <v>4.16</v>
      </c>
      <c r="C38" s="100">
        <v>5.09</v>
      </c>
      <c r="D38" s="100">
        <v>9.25</v>
      </c>
      <c r="E38" s="100">
        <v>6.24</v>
      </c>
      <c r="F38" s="100">
        <v>2</v>
      </c>
      <c r="G38" s="100">
        <v>5.44</v>
      </c>
      <c r="H38" s="100">
        <v>2.27</v>
      </c>
      <c r="I38" s="100">
        <v>3.64</v>
      </c>
      <c r="J38" s="100">
        <v>0.13</v>
      </c>
      <c r="K38" s="100">
        <v>120.22</v>
      </c>
      <c r="L38" s="100">
        <v>16.05</v>
      </c>
      <c r="M38" s="100">
        <v>21.42</v>
      </c>
      <c r="N38" s="100">
        <v>34.6</v>
      </c>
      <c r="O38" s="100">
        <v>0</v>
      </c>
      <c r="P38" s="100">
        <v>0.15</v>
      </c>
      <c r="Q38" s="100">
        <v>10</v>
      </c>
      <c r="R38" s="6"/>
      <c r="S38" s="6"/>
      <c r="T38" s="156"/>
      <c r="U38" s="6"/>
    </row>
    <row r="39" spans="1:21" customFormat="1">
      <c r="A39" s="201" t="s">
        <v>2863</v>
      </c>
      <c r="B39" s="100">
        <v>4.16</v>
      </c>
      <c r="C39" s="100">
        <v>5.0999999999999996</v>
      </c>
      <c r="D39" s="100">
        <v>9.25</v>
      </c>
      <c r="E39" s="100">
        <v>6.22</v>
      </c>
      <c r="F39" s="100">
        <v>2</v>
      </c>
      <c r="G39" s="100">
        <v>4.63</v>
      </c>
      <c r="H39" s="100">
        <v>2.2000000000000002</v>
      </c>
      <c r="I39" s="100">
        <v>3.63</v>
      </c>
      <c r="J39" s="100">
        <v>0.22</v>
      </c>
      <c r="K39" s="100">
        <v>110.41</v>
      </c>
      <c r="L39" s="100">
        <v>12.82</v>
      </c>
      <c r="M39" s="100">
        <v>11.99</v>
      </c>
      <c r="N39" s="100">
        <v>90.2</v>
      </c>
      <c r="O39" s="100">
        <v>0</v>
      </c>
      <c r="P39" s="100">
        <v>0.16</v>
      </c>
      <c r="Q39" s="100">
        <v>10</v>
      </c>
      <c r="R39" s="6"/>
      <c r="S39" s="6"/>
      <c r="T39" s="156"/>
      <c r="U39" s="6"/>
    </row>
    <row r="40" spans="1:21" customFormat="1">
      <c r="A40" s="201" t="s">
        <v>2864</v>
      </c>
      <c r="B40" s="100">
        <v>4.0999999999999996</v>
      </c>
      <c r="C40" s="100">
        <v>5.12</v>
      </c>
      <c r="D40" s="100">
        <v>9.2200000000000006</v>
      </c>
      <c r="E40" s="100">
        <v>6.31</v>
      </c>
      <c r="F40" s="100">
        <v>2.1</v>
      </c>
      <c r="G40" s="100">
        <v>4.63</v>
      </c>
      <c r="H40" s="100">
        <v>2.2000000000000002</v>
      </c>
      <c r="I40" s="100">
        <v>3.64</v>
      </c>
      <c r="J40" s="100">
        <v>0.24</v>
      </c>
      <c r="K40" s="100">
        <v>126.38</v>
      </c>
      <c r="L40" s="100">
        <v>16.829999999999998</v>
      </c>
      <c r="M40" s="100">
        <v>21.11</v>
      </c>
      <c r="N40" s="100">
        <v>132.19999999999999</v>
      </c>
      <c r="O40" s="100">
        <v>0</v>
      </c>
      <c r="P40" s="100">
        <v>0.16</v>
      </c>
      <c r="Q40" s="100">
        <v>10.09</v>
      </c>
      <c r="R40" s="6"/>
      <c r="S40" s="6"/>
      <c r="T40" s="156"/>
      <c r="U40" s="6"/>
    </row>
    <row r="41" spans="1:21" customFormat="1">
      <c r="A41" s="201" t="s">
        <v>2865</v>
      </c>
      <c r="B41" s="100">
        <v>4.03</v>
      </c>
      <c r="C41" s="100">
        <v>5.09</v>
      </c>
      <c r="D41" s="100">
        <v>9.1199999999999992</v>
      </c>
      <c r="E41" s="100">
        <v>6.43</v>
      </c>
      <c r="F41" s="100">
        <v>2.1</v>
      </c>
      <c r="G41" s="100">
        <v>4.63</v>
      </c>
      <c r="H41" s="100">
        <v>2.2000000000000002</v>
      </c>
      <c r="I41" s="100">
        <v>3.64</v>
      </c>
      <c r="J41" s="100">
        <v>0.34</v>
      </c>
      <c r="K41" s="100">
        <v>111.34</v>
      </c>
      <c r="L41" s="100">
        <v>15.23</v>
      </c>
      <c r="M41" s="100">
        <v>15.13</v>
      </c>
      <c r="N41" s="100">
        <v>219.3</v>
      </c>
      <c r="O41" s="100">
        <v>0</v>
      </c>
      <c r="P41" s="100">
        <v>0.16</v>
      </c>
      <c r="Q41" s="100">
        <v>10.039999999999999</v>
      </c>
      <c r="R41" s="6"/>
      <c r="S41" s="6"/>
      <c r="T41" s="156"/>
      <c r="U41" s="6"/>
    </row>
    <row r="42" spans="1:21" customFormat="1">
      <c r="A42" s="201" t="s">
        <v>2866</v>
      </c>
      <c r="B42" s="100">
        <v>3.97</v>
      </c>
      <c r="C42" s="100">
        <v>5.0599999999999996</v>
      </c>
      <c r="D42" s="100">
        <v>9.0299999999999994</v>
      </c>
      <c r="E42" s="100">
        <v>6.1</v>
      </c>
      <c r="F42" s="100">
        <v>2</v>
      </c>
      <c r="G42" s="100">
        <v>5.0599999999999996</v>
      </c>
      <c r="H42" s="100">
        <v>2.13</v>
      </c>
      <c r="I42" s="100">
        <v>3.67</v>
      </c>
      <c r="J42" s="100">
        <v>0.31</v>
      </c>
      <c r="K42" s="100">
        <v>115.02</v>
      </c>
      <c r="L42" s="100">
        <v>14.95</v>
      </c>
      <c r="M42" s="100">
        <v>16.09</v>
      </c>
      <c r="N42" s="100">
        <v>150.6</v>
      </c>
      <c r="O42" s="100">
        <v>0</v>
      </c>
      <c r="P42" s="100">
        <v>0.16</v>
      </c>
      <c r="Q42" s="100">
        <v>10.93</v>
      </c>
      <c r="R42" s="6"/>
      <c r="S42" s="6"/>
      <c r="T42" s="156"/>
      <c r="U42" s="6"/>
    </row>
    <row r="43" spans="1:21" customFormat="1">
      <c r="A43" s="201" t="s">
        <v>2867</v>
      </c>
      <c r="B43" s="100">
        <v>3.9</v>
      </c>
      <c r="C43" s="100">
        <v>5.0599999999999996</v>
      </c>
      <c r="D43" s="100">
        <v>8.9600000000000009</v>
      </c>
      <c r="E43" s="100">
        <v>6.55</v>
      </c>
      <c r="F43" s="100">
        <v>2.0099999999999998</v>
      </c>
      <c r="G43" s="100">
        <v>5.4</v>
      </c>
      <c r="H43" s="100">
        <v>2.1</v>
      </c>
      <c r="I43" s="100">
        <v>3.68</v>
      </c>
      <c r="J43" s="100">
        <v>0.27</v>
      </c>
      <c r="K43" s="100">
        <v>110.58</v>
      </c>
      <c r="L43" s="100">
        <v>14.15</v>
      </c>
      <c r="M43" s="100">
        <v>12.2</v>
      </c>
      <c r="N43" s="100">
        <v>225.5</v>
      </c>
      <c r="O43" s="100">
        <v>0</v>
      </c>
      <c r="P43" s="100">
        <v>0.15</v>
      </c>
      <c r="Q43" s="100">
        <v>11.09</v>
      </c>
      <c r="R43" s="6"/>
      <c r="S43" s="6"/>
      <c r="T43" s="156"/>
      <c r="U43" s="6"/>
    </row>
    <row r="44" spans="1:21" customFormat="1">
      <c r="A44" s="201" t="s">
        <v>2868</v>
      </c>
      <c r="B44" s="100">
        <v>3.81</v>
      </c>
      <c r="C44" s="100">
        <v>5.09</v>
      </c>
      <c r="D44" s="100">
        <v>8.9</v>
      </c>
      <c r="E44" s="100">
        <v>6.15</v>
      </c>
      <c r="F44" s="100">
        <v>2.04</v>
      </c>
      <c r="G44" s="100">
        <v>5.4</v>
      </c>
      <c r="H44" s="100">
        <v>2.1</v>
      </c>
      <c r="I44" s="100">
        <v>3.66</v>
      </c>
      <c r="J44" s="100">
        <v>0.36</v>
      </c>
      <c r="K44" s="100">
        <v>131.62</v>
      </c>
      <c r="L44" s="100">
        <v>15.51</v>
      </c>
      <c r="M44" s="100">
        <v>16.239999999999998</v>
      </c>
      <c r="N44" s="100">
        <v>199.3</v>
      </c>
      <c r="O44" s="100">
        <v>0</v>
      </c>
      <c r="P44" s="100">
        <v>0.15</v>
      </c>
      <c r="Q44" s="100">
        <v>10</v>
      </c>
      <c r="R44" s="6"/>
      <c r="S44" s="6"/>
      <c r="T44" s="156"/>
      <c r="U44" s="6"/>
    </row>
    <row r="45" spans="1:21" customFormat="1">
      <c r="A45" s="201" t="s">
        <v>2869</v>
      </c>
      <c r="B45" s="100">
        <v>3.69</v>
      </c>
      <c r="C45" s="100">
        <v>5.1100000000000003</v>
      </c>
      <c r="D45" s="100">
        <v>8.8000000000000007</v>
      </c>
      <c r="E45" s="100">
        <v>6.04</v>
      </c>
      <c r="F45" s="100">
        <v>2.0299999999999998</v>
      </c>
      <c r="G45" s="100">
        <v>5.4</v>
      </c>
      <c r="H45" s="100">
        <v>2.1</v>
      </c>
      <c r="I45" s="100">
        <v>3.65</v>
      </c>
      <c r="J45" s="100">
        <v>0.23</v>
      </c>
      <c r="K45" s="100">
        <v>112.84</v>
      </c>
      <c r="L45" s="100">
        <v>16.25</v>
      </c>
      <c r="M45" s="100">
        <v>16.899999999999999</v>
      </c>
      <c r="N45" s="100">
        <v>244.7</v>
      </c>
      <c r="O45" s="100">
        <v>0</v>
      </c>
      <c r="P45" s="100">
        <v>0.15</v>
      </c>
      <c r="Q45" s="100">
        <v>10</v>
      </c>
      <c r="R45" s="6"/>
      <c r="S45" s="6"/>
      <c r="T45" s="156"/>
      <c r="U45" s="6"/>
    </row>
    <row r="46" spans="1:21" customFormat="1">
      <c r="A46" s="201" t="s">
        <v>2870</v>
      </c>
      <c r="B46" s="100">
        <v>3.64</v>
      </c>
      <c r="C46" s="100">
        <v>5.0599999999999996</v>
      </c>
      <c r="D46" s="100">
        <v>8.6999999999999993</v>
      </c>
      <c r="E46" s="100">
        <v>6.08</v>
      </c>
      <c r="F46" s="100">
        <v>2.19</v>
      </c>
      <c r="G46" s="100">
        <v>7.25</v>
      </c>
      <c r="H46" s="100">
        <v>3.01</v>
      </c>
      <c r="I46" s="100">
        <v>3.65</v>
      </c>
      <c r="J46" s="100">
        <v>0.3</v>
      </c>
      <c r="K46" s="100">
        <v>136.11000000000001</v>
      </c>
      <c r="L46" s="100">
        <v>17.34</v>
      </c>
      <c r="M46" s="100">
        <v>18.95</v>
      </c>
      <c r="N46" s="100">
        <v>280.89999999999998</v>
      </c>
      <c r="O46" s="100">
        <v>0</v>
      </c>
      <c r="P46" s="100">
        <v>0.15</v>
      </c>
      <c r="Q46" s="100">
        <v>10</v>
      </c>
      <c r="R46" s="6"/>
      <c r="S46" s="6"/>
      <c r="T46" s="156"/>
      <c r="U46" s="6"/>
    </row>
    <row r="47" spans="1:21" customFormat="1">
      <c r="A47" s="201" t="s">
        <v>2871</v>
      </c>
      <c r="B47" s="100">
        <v>3.57</v>
      </c>
      <c r="C47" s="100">
        <v>5.0199999999999996</v>
      </c>
      <c r="D47" s="100">
        <v>8.59</v>
      </c>
      <c r="E47" s="100">
        <v>6.11</v>
      </c>
      <c r="F47" s="100">
        <v>2.41</v>
      </c>
      <c r="G47" s="100">
        <v>8.67</v>
      </c>
      <c r="H47" s="100">
        <v>3.3</v>
      </c>
      <c r="I47" s="100">
        <v>3.63</v>
      </c>
      <c r="J47" s="100">
        <v>0.17</v>
      </c>
      <c r="K47" s="100">
        <v>78.7</v>
      </c>
      <c r="L47" s="100">
        <v>15.81</v>
      </c>
      <c r="M47" s="100">
        <v>13.06</v>
      </c>
      <c r="N47" s="100">
        <v>361.2</v>
      </c>
      <c r="O47" s="100">
        <v>0</v>
      </c>
      <c r="P47" s="100">
        <v>0.14000000000000001</v>
      </c>
      <c r="Q47" s="100">
        <v>10.02</v>
      </c>
      <c r="R47" s="6"/>
      <c r="S47" s="6"/>
      <c r="T47" s="156"/>
      <c r="U47" s="6"/>
    </row>
    <row r="48" spans="1:21" customFormat="1">
      <c r="A48" s="201" t="s">
        <v>2872</v>
      </c>
      <c r="B48" s="100">
        <v>3.61</v>
      </c>
      <c r="C48" s="100">
        <v>4.78</v>
      </c>
      <c r="D48" s="100">
        <v>8.3800000000000008</v>
      </c>
      <c r="E48" s="100">
        <v>6.01</v>
      </c>
      <c r="F48" s="100">
        <v>2.64</v>
      </c>
      <c r="G48" s="100">
        <v>8.67</v>
      </c>
      <c r="H48" s="100">
        <v>3.3</v>
      </c>
      <c r="I48" s="100">
        <v>3.62</v>
      </c>
      <c r="J48" s="100">
        <v>0.14000000000000001</v>
      </c>
      <c r="K48" s="100">
        <v>194.75</v>
      </c>
      <c r="L48" s="100">
        <v>20.38</v>
      </c>
      <c r="M48" s="100">
        <v>24.32</v>
      </c>
      <c r="N48" s="100">
        <v>377.5</v>
      </c>
      <c r="O48" s="100">
        <v>0</v>
      </c>
      <c r="P48" s="100">
        <v>0.13</v>
      </c>
      <c r="Q48" s="100">
        <v>10</v>
      </c>
      <c r="R48" s="6"/>
      <c r="S48" s="6"/>
      <c r="T48" s="156"/>
      <c r="U48" s="6"/>
    </row>
    <row r="49" spans="1:21" customFormat="1">
      <c r="A49" s="201" t="s">
        <v>2873</v>
      </c>
      <c r="B49" s="100">
        <v>3.64</v>
      </c>
      <c r="C49" s="100">
        <v>4.7300000000000004</v>
      </c>
      <c r="D49" s="100">
        <v>8.3699999999999992</v>
      </c>
      <c r="E49" s="100">
        <v>4.8899999999999997</v>
      </c>
      <c r="F49" s="100">
        <v>2.91</v>
      </c>
      <c r="G49" s="100">
        <v>8.67</v>
      </c>
      <c r="H49" s="100">
        <v>3.3</v>
      </c>
      <c r="I49" s="100">
        <v>3.58</v>
      </c>
      <c r="J49" s="100">
        <v>0.18</v>
      </c>
      <c r="K49" s="100">
        <v>102.54</v>
      </c>
      <c r="L49" s="100">
        <v>18.18</v>
      </c>
      <c r="M49" s="100">
        <v>19.88</v>
      </c>
      <c r="N49" s="100">
        <v>344.6</v>
      </c>
      <c r="O49" s="100">
        <v>0</v>
      </c>
      <c r="P49" s="100">
        <v>0.11</v>
      </c>
      <c r="Q49" s="100">
        <v>10</v>
      </c>
      <c r="R49" s="6"/>
      <c r="S49" s="6"/>
      <c r="T49" s="156"/>
      <c r="U49" s="6"/>
    </row>
    <row r="50" spans="1:21" customFormat="1">
      <c r="A50" s="201" t="s">
        <v>2874</v>
      </c>
      <c r="B50" s="100">
        <v>3.59</v>
      </c>
      <c r="C50" s="100">
        <v>4.91</v>
      </c>
      <c r="D50" s="100">
        <v>8.5</v>
      </c>
      <c r="E50" s="100">
        <v>5.5</v>
      </c>
      <c r="F50" s="100">
        <v>4.8099999999999996</v>
      </c>
      <c r="G50" s="100">
        <v>10.15</v>
      </c>
      <c r="H50" s="100">
        <v>2.92</v>
      </c>
      <c r="I50" s="100">
        <v>3.61</v>
      </c>
      <c r="J50" s="100">
        <v>0.27</v>
      </c>
      <c r="K50" s="100">
        <v>123.22</v>
      </c>
      <c r="L50" s="100">
        <v>18.010000000000002</v>
      </c>
      <c r="M50" s="100">
        <v>16.059999999999999</v>
      </c>
      <c r="N50" s="100">
        <v>474.5</v>
      </c>
      <c r="O50" s="100">
        <v>0</v>
      </c>
      <c r="P50" s="100">
        <v>0.1</v>
      </c>
      <c r="Q50" s="100">
        <v>10</v>
      </c>
      <c r="R50" s="6"/>
      <c r="S50" s="6"/>
      <c r="T50" s="156"/>
      <c r="U50" s="6"/>
    </row>
    <row r="51" spans="1:21" customFormat="1">
      <c r="A51" s="201" t="s">
        <v>2875</v>
      </c>
      <c r="B51" s="100">
        <v>3.65</v>
      </c>
      <c r="C51" s="100">
        <v>4.9000000000000004</v>
      </c>
      <c r="D51" s="100">
        <v>8.5500000000000007</v>
      </c>
      <c r="E51" s="100">
        <v>5.85</v>
      </c>
      <c r="F51" s="100">
        <v>4.47</v>
      </c>
      <c r="G51" s="100">
        <v>11.28</v>
      </c>
      <c r="H51" s="100">
        <v>2.8</v>
      </c>
      <c r="I51" s="100">
        <v>3.62</v>
      </c>
      <c r="J51" s="100">
        <v>0.28000000000000003</v>
      </c>
      <c r="K51" s="100">
        <v>129.80000000000001</v>
      </c>
      <c r="L51" s="100">
        <v>19.5</v>
      </c>
      <c r="M51" s="100">
        <v>19.38</v>
      </c>
      <c r="N51" s="100">
        <v>493.5</v>
      </c>
      <c r="O51" s="100">
        <v>0</v>
      </c>
      <c r="P51" s="100">
        <v>0.1</v>
      </c>
      <c r="Q51" s="100">
        <v>10</v>
      </c>
      <c r="R51" s="6"/>
      <c r="S51" s="6"/>
      <c r="T51" s="156"/>
      <c r="U51" s="6"/>
    </row>
    <row r="52" spans="1:21" customFormat="1">
      <c r="A52" s="201" t="s">
        <v>2876</v>
      </c>
      <c r="B52" s="100">
        <v>3.68</v>
      </c>
      <c r="C52" s="100">
        <v>4.8899999999999997</v>
      </c>
      <c r="D52" s="100">
        <v>8.57</v>
      </c>
      <c r="E52" s="100">
        <v>5.55</v>
      </c>
      <c r="F52" s="100">
        <v>4</v>
      </c>
      <c r="G52" s="100">
        <v>11.28</v>
      </c>
      <c r="H52" s="100">
        <v>2.8</v>
      </c>
      <c r="I52" s="100">
        <v>3.58</v>
      </c>
      <c r="J52" s="100">
        <v>0.15</v>
      </c>
      <c r="K52" s="100">
        <v>118.52</v>
      </c>
      <c r="L52" s="100">
        <v>18.579999999999998</v>
      </c>
      <c r="M52" s="100">
        <v>16.68</v>
      </c>
      <c r="N52" s="100">
        <v>509.5</v>
      </c>
      <c r="O52" s="100">
        <v>0</v>
      </c>
      <c r="P52" s="100">
        <v>0.1</v>
      </c>
      <c r="Q52" s="100">
        <v>10</v>
      </c>
      <c r="R52" s="6"/>
      <c r="S52" s="6"/>
      <c r="T52" s="156"/>
      <c r="U52" s="6"/>
    </row>
    <row r="53" spans="1:21" customFormat="1">
      <c r="A53" s="201" t="s">
        <v>2877</v>
      </c>
      <c r="B53" s="100">
        <v>3.67</v>
      </c>
      <c r="C53" s="100">
        <v>4.8899999999999997</v>
      </c>
      <c r="D53" s="100">
        <v>8.56</v>
      </c>
      <c r="E53" s="100">
        <v>5.75</v>
      </c>
      <c r="F53" s="100">
        <v>3.97</v>
      </c>
      <c r="G53" s="100">
        <v>11.28</v>
      </c>
      <c r="H53" s="100">
        <v>2.8</v>
      </c>
      <c r="I53" s="100">
        <v>3.61</v>
      </c>
      <c r="J53" s="100">
        <v>0.28000000000000003</v>
      </c>
      <c r="K53" s="100">
        <v>113.77</v>
      </c>
      <c r="L53" s="100">
        <v>19.05</v>
      </c>
      <c r="M53" s="100">
        <v>18.059999999999999</v>
      </c>
      <c r="N53" s="100">
        <v>501.3</v>
      </c>
      <c r="O53" s="100">
        <v>0</v>
      </c>
      <c r="P53" s="100">
        <v>0.09</v>
      </c>
      <c r="Q53" s="100">
        <v>10</v>
      </c>
      <c r="R53" s="6"/>
      <c r="S53" s="6"/>
      <c r="T53" s="156"/>
      <c r="U53" s="6"/>
    </row>
    <row r="54" spans="1:21" customFormat="1">
      <c r="A54" s="201" t="s">
        <v>2878</v>
      </c>
      <c r="B54" s="100">
        <v>3.61</v>
      </c>
      <c r="C54" s="100">
        <v>4.95</v>
      </c>
      <c r="D54" s="100">
        <v>8.56</v>
      </c>
      <c r="E54" s="100">
        <v>5.35</v>
      </c>
      <c r="F54" s="100">
        <v>5.93</v>
      </c>
      <c r="G54" s="100">
        <v>11.44</v>
      </c>
      <c r="H54" s="100">
        <v>3.89</v>
      </c>
      <c r="I54" s="100">
        <v>3.59</v>
      </c>
      <c r="J54" s="100">
        <v>0.28000000000000003</v>
      </c>
      <c r="K54" s="100">
        <v>102.89</v>
      </c>
      <c r="L54" s="100">
        <v>16.37</v>
      </c>
      <c r="M54" s="100">
        <v>11.12</v>
      </c>
      <c r="N54" s="100">
        <v>506.8</v>
      </c>
      <c r="O54" s="100">
        <v>0</v>
      </c>
      <c r="P54" s="100">
        <v>0.09</v>
      </c>
      <c r="Q54" s="100">
        <v>10</v>
      </c>
      <c r="R54" s="6"/>
      <c r="S54" s="6"/>
      <c r="T54" s="156"/>
      <c r="U54" s="6"/>
    </row>
    <row r="55" spans="1:21" customFormat="1">
      <c r="A55" s="201" t="s">
        <v>2879</v>
      </c>
      <c r="B55" s="100">
        <v>3.62</v>
      </c>
      <c r="C55" s="100">
        <v>4.9000000000000004</v>
      </c>
      <c r="D55" s="100">
        <v>8.52</v>
      </c>
      <c r="E55" s="100">
        <v>5.0999999999999996</v>
      </c>
      <c r="F55" s="100">
        <v>5.49</v>
      </c>
      <c r="G55" s="100">
        <v>11.57</v>
      </c>
      <c r="H55" s="100">
        <v>4.5199999999999996</v>
      </c>
      <c r="I55" s="100">
        <v>3.6</v>
      </c>
      <c r="J55" s="100">
        <v>0.13</v>
      </c>
      <c r="K55" s="100">
        <v>108.11</v>
      </c>
      <c r="L55" s="100">
        <v>19.149999999999999</v>
      </c>
      <c r="M55" s="100">
        <v>19.61</v>
      </c>
      <c r="N55" s="100">
        <v>439.7</v>
      </c>
      <c r="O55" s="100">
        <v>0</v>
      </c>
      <c r="P55" s="100">
        <v>0.08</v>
      </c>
      <c r="Q55" s="100">
        <v>10</v>
      </c>
      <c r="R55" s="6"/>
      <c r="S55" s="6"/>
      <c r="T55" s="156"/>
      <c r="U55" s="6"/>
    </row>
    <row r="56" spans="1:21" customFormat="1">
      <c r="A56" s="201" t="s">
        <v>2880</v>
      </c>
      <c r="B56" s="100">
        <v>3.64</v>
      </c>
      <c r="C56" s="100">
        <v>4.8899999999999997</v>
      </c>
      <c r="D56" s="100">
        <v>8.5299999999999994</v>
      </c>
      <c r="E56" s="100">
        <v>5.3</v>
      </c>
      <c r="F56" s="100">
        <v>4.79</v>
      </c>
      <c r="G56" s="100">
        <v>11.57</v>
      </c>
      <c r="H56" s="100">
        <v>4.5199999999999996</v>
      </c>
      <c r="I56" s="100">
        <v>3.55</v>
      </c>
      <c r="J56" s="100">
        <v>0.19</v>
      </c>
      <c r="K56" s="100">
        <v>115.52</v>
      </c>
      <c r="L56" s="100">
        <v>18.440000000000001</v>
      </c>
      <c r="M56" s="100">
        <v>18.649999999999999</v>
      </c>
      <c r="N56" s="100">
        <v>406.9</v>
      </c>
      <c r="O56" s="100">
        <v>0</v>
      </c>
      <c r="P56" s="100">
        <v>0.08</v>
      </c>
      <c r="Q56" s="100">
        <v>10</v>
      </c>
      <c r="R56" s="6"/>
      <c r="S56" s="6"/>
      <c r="T56" s="156"/>
      <c r="U56" s="6"/>
    </row>
    <row r="57" spans="1:21" customFormat="1">
      <c r="A57" s="201" t="s">
        <v>2881</v>
      </c>
      <c r="B57" s="100">
        <v>3.62</v>
      </c>
      <c r="C57" s="100">
        <v>4.9400000000000004</v>
      </c>
      <c r="D57" s="100">
        <v>8.56</v>
      </c>
      <c r="E57" s="100">
        <v>5.05</v>
      </c>
      <c r="F57" s="100">
        <v>4.0599999999999996</v>
      </c>
      <c r="G57" s="100">
        <v>11.57</v>
      </c>
      <c r="H57" s="100">
        <v>4.5199999999999996</v>
      </c>
      <c r="I57" s="100">
        <v>3.54</v>
      </c>
      <c r="J57" s="100">
        <v>0.28999999999999998</v>
      </c>
      <c r="K57" s="100">
        <v>157.28</v>
      </c>
      <c r="L57" s="100">
        <v>16.440000000000001</v>
      </c>
      <c r="M57" s="100">
        <v>20.48</v>
      </c>
      <c r="N57" s="100">
        <v>120.3</v>
      </c>
      <c r="O57" s="100">
        <v>0</v>
      </c>
      <c r="P57" s="100">
        <v>0.09</v>
      </c>
      <c r="Q57" s="100">
        <v>10</v>
      </c>
      <c r="R57" s="6"/>
      <c r="S57" s="6"/>
      <c r="T57" s="156"/>
      <c r="U57" s="6"/>
    </row>
    <row r="58" spans="1:21" customFormat="1">
      <c r="A58" s="201" t="s">
        <v>2882</v>
      </c>
      <c r="B58" s="100">
        <v>3.54</v>
      </c>
      <c r="C58" s="100">
        <v>4.92</v>
      </c>
      <c r="D58" s="100">
        <v>8.4499999999999993</v>
      </c>
      <c r="E58" s="100">
        <v>4.91</v>
      </c>
      <c r="F58" s="100">
        <v>7.1</v>
      </c>
      <c r="G58" s="100">
        <v>11.54</v>
      </c>
      <c r="H58" s="100">
        <v>3.65</v>
      </c>
      <c r="I58" s="100">
        <v>3.46</v>
      </c>
      <c r="J58" s="100">
        <v>0.28000000000000003</v>
      </c>
      <c r="K58" s="100">
        <v>116.7</v>
      </c>
      <c r="L58" s="100">
        <v>17.11</v>
      </c>
      <c r="M58" s="100">
        <v>16.36</v>
      </c>
      <c r="N58" s="100">
        <v>364.7</v>
      </c>
      <c r="O58" s="100">
        <v>0</v>
      </c>
      <c r="P58" s="100">
        <v>0.09</v>
      </c>
      <c r="Q58" s="100">
        <v>10.36</v>
      </c>
      <c r="R58" s="6"/>
      <c r="S58" s="6"/>
      <c r="T58" s="156"/>
      <c r="U58" s="6"/>
    </row>
    <row r="59" spans="1:21" customFormat="1">
      <c r="A59" s="201" t="s">
        <v>2883</v>
      </c>
      <c r="B59" s="100">
        <v>3.19</v>
      </c>
      <c r="C59" s="100">
        <v>4.99</v>
      </c>
      <c r="D59" s="100">
        <v>8.18</v>
      </c>
      <c r="E59" s="100">
        <v>4.88</v>
      </c>
      <c r="F59" s="100">
        <v>13.74</v>
      </c>
      <c r="G59" s="100">
        <v>11.52</v>
      </c>
      <c r="H59" s="100">
        <v>3.38</v>
      </c>
      <c r="I59" s="100">
        <v>3.5</v>
      </c>
      <c r="J59" s="100">
        <v>0.23</v>
      </c>
      <c r="K59" s="100">
        <v>98.29</v>
      </c>
      <c r="L59" s="100">
        <v>17.670000000000002</v>
      </c>
      <c r="M59" s="100">
        <v>15.12</v>
      </c>
      <c r="N59" s="100">
        <v>478.2</v>
      </c>
      <c r="O59" s="100">
        <v>0</v>
      </c>
      <c r="P59" s="100">
        <v>0.09</v>
      </c>
      <c r="Q59" s="100">
        <v>10.029999999999999</v>
      </c>
      <c r="R59" s="6"/>
      <c r="S59" s="6"/>
      <c r="T59" s="156"/>
      <c r="U59" s="6"/>
    </row>
    <row r="60" spans="1:21" customFormat="1">
      <c r="A60" s="201" t="s">
        <v>2884</v>
      </c>
      <c r="B60" s="100">
        <v>2.6</v>
      </c>
      <c r="C60" s="100">
        <v>6.89</v>
      </c>
      <c r="D60" s="100">
        <v>9.5</v>
      </c>
      <c r="E60" s="100">
        <v>3.89</v>
      </c>
      <c r="F60" s="100">
        <v>15.76</v>
      </c>
      <c r="G60" s="100">
        <v>11.52</v>
      </c>
      <c r="H60" s="100">
        <v>3.38</v>
      </c>
      <c r="I60" s="100">
        <v>3.35</v>
      </c>
      <c r="J60" s="100">
        <v>0.17</v>
      </c>
      <c r="K60" s="100">
        <v>142.38999999999999</v>
      </c>
      <c r="L60" s="100">
        <v>18.38</v>
      </c>
      <c r="M60" s="100">
        <v>21.63</v>
      </c>
      <c r="N60" s="100">
        <v>280</v>
      </c>
      <c r="O60" s="100">
        <v>0</v>
      </c>
      <c r="P60" s="100">
        <v>0.12</v>
      </c>
      <c r="Q60" s="100">
        <v>10</v>
      </c>
      <c r="R60" s="6"/>
      <c r="S60" s="6"/>
      <c r="T60" s="156"/>
      <c r="U60" s="6"/>
    </row>
    <row r="61" spans="1:21" customFormat="1">
      <c r="A61" s="201" t="s">
        <v>2885</v>
      </c>
      <c r="B61" s="100">
        <v>1.84</v>
      </c>
      <c r="C61" s="100">
        <v>6.51</v>
      </c>
      <c r="D61" s="100">
        <v>8.35</v>
      </c>
      <c r="E61" s="100">
        <v>3.03</v>
      </c>
      <c r="F61" s="100">
        <v>26.33</v>
      </c>
      <c r="G61" s="100">
        <v>11.52</v>
      </c>
      <c r="H61" s="100">
        <v>3.38</v>
      </c>
      <c r="I61" s="100">
        <v>3.13</v>
      </c>
      <c r="J61" s="100">
        <v>0.21</v>
      </c>
      <c r="K61" s="100">
        <v>130.47</v>
      </c>
      <c r="L61" s="100">
        <v>15</v>
      </c>
      <c r="M61" s="100">
        <v>16.399999999999999</v>
      </c>
      <c r="N61" s="100">
        <v>136.30000000000001</v>
      </c>
      <c r="O61" s="100">
        <v>0</v>
      </c>
      <c r="P61" s="100">
        <v>0.26</v>
      </c>
      <c r="Q61" s="100">
        <v>10</v>
      </c>
      <c r="R61" s="6"/>
      <c r="S61" s="6"/>
      <c r="T61" s="156"/>
      <c r="U61" s="6"/>
    </row>
    <row r="62" spans="1:21" customFormat="1">
      <c r="A62" s="201" t="s">
        <v>2886</v>
      </c>
      <c r="B62" s="100">
        <v>1.69</v>
      </c>
      <c r="C62" s="100">
        <v>5.93</v>
      </c>
      <c r="D62" s="100">
        <v>7.62</v>
      </c>
      <c r="E62" s="100">
        <v>3.32</v>
      </c>
      <c r="F62" s="100">
        <v>27.56</v>
      </c>
      <c r="G62" s="100">
        <v>19.97</v>
      </c>
      <c r="H62" s="100">
        <v>8.2200000000000006</v>
      </c>
      <c r="I62" s="100">
        <v>3.75</v>
      </c>
      <c r="J62" s="100">
        <v>0.22</v>
      </c>
      <c r="K62" s="100">
        <v>147.15</v>
      </c>
      <c r="L62" s="100">
        <v>15.68</v>
      </c>
      <c r="M62" s="100">
        <v>18.649999999999999</v>
      </c>
      <c r="N62" s="100">
        <v>112</v>
      </c>
      <c r="O62" s="100">
        <v>0</v>
      </c>
      <c r="P62" s="100">
        <v>0.48</v>
      </c>
      <c r="Q62" s="100">
        <v>10</v>
      </c>
      <c r="R62" s="6"/>
      <c r="S62" s="6"/>
      <c r="T62" s="156"/>
      <c r="U62" s="6"/>
    </row>
    <row r="63" spans="1:21" customFormat="1">
      <c r="A63" s="201" t="s">
        <v>2887</v>
      </c>
      <c r="B63" s="100">
        <v>1.59</v>
      </c>
      <c r="C63" s="100">
        <v>5.13</v>
      </c>
      <c r="D63" s="100">
        <v>6.72</v>
      </c>
      <c r="E63" s="100">
        <v>3.5</v>
      </c>
      <c r="F63" s="100">
        <v>26.98</v>
      </c>
      <c r="G63" s="100">
        <v>26.15</v>
      </c>
      <c r="H63" s="100">
        <v>9.77</v>
      </c>
      <c r="I63" s="100">
        <v>10.95</v>
      </c>
      <c r="J63" s="100">
        <v>0.22</v>
      </c>
      <c r="K63" s="100">
        <v>134.16</v>
      </c>
      <c r="L63" s="100">
        <v>16.079999999999998</v>
      </c>
      <c r="M63" s="100">
        <v>17.18</v>
      </c>
      <c r="N63" s="100">
        <v>218.5</v>
      </c>
      <c r="O63" s="100">
        <v>0</v>
      </c>
      <c r="P63" s="100">
        <v>0.28999999999999998</v>
      </c>
      <c r="Q63" s="100">
        <v>10</v>
      </c>
      <c r="R63" s="6"/>
      <c r="S63" s="6"/>
      <c r="T63" s="156"/>
      <c r="U63" s="6"/>
    </row>
    <row r="64" spans="1:21" customFormat="1">
      <c r="A64" s="201" t="s">
        <v>2888</v>
      </c>
      <c r="B64" s="100">
        <v>1.57</v>
      </c>
      <c r="C64" s="100">
        <v>4.79</v>
      </c>
      <c r="D64" s="100">
        <v>6.36</v>
      </c>
      <c r="E64" s="100">
        <v>3.43</v>
      </c>
      <c r="F64" s="100">
        <v>26.39</v>
      </c>
      <c r="G64" s="100">
        <v>26.15</v>
      </c>
      <c r="H64" s="100">
        <v>9.77</v>
      </c>
      <c r="I64" s="100">
        <v>29.72</v>
      </c>
      <c r="J64" s="100">
        <v>0.2</v>
      </c>
      <c r="K64" s="100">
        <v>145.52000000000001</v>
      </c>
      <c r="L64" s="100">
        <v>17.54</v>
      </c>
      <c r="M64" s="100">
        <v>23.51</v>
      </c>
      <c r="N64" s="100">
        <v>103.2</v>
      </c>
      <c r="O64" s="100">
        <v>0</v>
      </c>
      <c r="P64" s="100">
        <v>0.21</v>
      </c>
      <c r="Q64" s="100">
        <v>10</v>
      </c>
      <c r="R64" s="6"/>
      <c r="S64" s="6"/>
      <c r="T64" s="156"/>
      <c r="U64" s="6"/>
    </row>
    <row r="65" spans="1:21" customFormat="1">
      <c r="A65" s="201" t="s">
        <v>2889</v>
      </c>
      <c r="B65" s="100">
        <v>1.5</v>
      </c>
      <c r="C65" s="100">
        <v>4.4400000000000004</v>
      </c>
      <c r="D65" s="100">
        <v>5.94</v>
      </c>
      <c r="E65" s="100">
        <v>3.25</v>
      </c>
      <c r="F65" s="100">
        <v>20.68</v>
      </c>
      <c r="G65" s="100">
        <v>26.15</v>
      </c>
      <c r="H65" s="100">
        <v>9.77</v>
      </c>
      <c r="I65" s="100">
        <v>29.24</v>
      </c>
      <c r="J65" s="100">
        <v>0.16</v>
      </c>
      <c r="K65" s="100">
        <v>127.61</v>
      </c>
      <c r="L65" s="100">
        <v>15.03</v>
      </c>
      <c r="M65" s="100">
        <v>17.96</v>
      </c>
      <c r="N65" s="100">
        <v>73.2</v>
      </c>
      <c r="O65" s="100">
        <v>0</v>
      </c>
      <c r="P65" s="100">
        <v>0.1</v>
      </c>
      <c r="Q65" s="100">
        <v>10</v>
      </c>
      <c r="R65" s="6"/>
      <c r="S65" s="6"/>
      <c r="T65" s="156"/>
      <c r="U65" s="6"/>
    </row>
    <row r="66" spans="1:21" customFormat="1">
      <c r="A66" s="201" t="s">
        <v>2890</v>
      </c>
      <c r="B66" s="100">
        <v>1.41</v>
      </c>
      <c r="C66" s="100">
        <v>4.37</v>
      </c>
      <c r="D66" s="100">
        <v>5.78</v>
      </c>
      <c r="E66" s="100">
        <v>3</v>
      </c>
      <c r="F66" s="100">
        <v>9.2200000000000006</v>
      </c>
      <c r="G66" s="100">
        <v>21.57</v>
      </c>
      <c r="H66" s="100">
        <v>7.85</v>
      </c>
      <c r="I66" s="100">
        <v>20.87</v>
      </c>
      <c r="J66" s="100">
        <v>0.15</v>
      </c>
      <c r="K66" s="100">
        <v>155.58000000000001</v>
      </c>
      <c r="L66" s="100">
        <v>16.440000000000001</v>
      </c>
      <c r="M66" s="100">
        <v>20.239999999999998</v>
      </c>
      <c r="N66" s="100">
        <v>126.9</v>
      </c>
      <c r="O66" s="100">
        <v>0</v>
      </c>
      <c r="P66" s="100">
        <v>0.1</v>
      </c>
      <c r="Q66" s="100">
        <v>10</v>
      </c>
      <c r="R66" s="6"/>
      <c r="S66" s="6"/>
      <c r="T66" s="156"/>
      <c r="U66" s="6"/>
    </row>
    <row r="67" spans="1:21" customFormat="1">
      <c r="A67" s="201" t="s">
        <v>2891</v>
      </c>
      <c r="B67" s="100">
        <v>1.48</v>
      </c>
      <c r="C67" s="100">
        <v>4.46</v>
      </c>
      <c r="D67" s="100">
        <v>5.94</v>
      </c>
      <c r="E67" s="100">
        <v>2.95</v>
      </c>
      <c r="F67" s="100">
        <v>5.41</v>
      </c>
      <c r="G67" s="100">
        <v>18.07</v>
      </c>
      <c r="H67" s="100">
        <v>7.25</v>
      </c>
      <c r="I67" s="100">
        <v>5.15</v>
      </c>
      <c r="J67" s="100">
        <v>0.22</v>
      </c>
      <c r="K67" s="100">
        <v>129.05000000000001</v>
      </c>
      <c r="L67" s="100">
        <v>15.25</v>
      </c>
      <c r="M67" s="100">
        <v>17.29</v>
      </c>
      <c r="N67" s="100">
        <v>124.7</v>
      </c>
      <c r="O67" s="100">
        <v>0</v>
      </c>
      <c r="P67" s="100">
        <v>0.12</v>
      </c>
      <c r="Q67" s="100">
        <v>10</v>
      </c>
      <c r="R67" s="6"/>
      <c r="S67" s="6"/>
      <c r="T67" s="156"/>
      <c r="U67" s="6"/>
    </row>
    <row r="68" spans="1:21" customFormat="1">
      <c r="A68" s="201" t="s">
        <v>2892</v>
      </c>
      <c r="B68" s="100">
        <v>1.59</v>
      </c>
      <c r="C68" s="100">
        <v>4.62</v>
      </c>
      <c r="D68" s="100">
        <v>6.21</v>
      </c>
      <c r="E68" s="100">
        <v>3.2</v>
      </c>
      <c r="F68" s="100">
        <v>4.1900000000000004</v>
      </c>
      <c r="G68" s="100">
        <v>18.07</v>
      </c>
      <c r="H68" s="100">
        <v>7.25</v>
      </c>
      <c r="I68" s="100">
        <v>5</v>
      </c>
      <c r="J68" s="100">
        <v>0.35</v>
      </c>
      <c r="K68" s="100">
        <v>134.87</v>
      </c>
      <c r="L68" s="100">
        <v>15.44</v>
      </c>
      <c r="M68" s="100">
        <v>17.03</v>
      </c>
      <c r="N68" s="100">
        <v>157.5</v>
      </c>
      <c r="O68" s="100">
        <v>0</v>
      </c>
      <c r="P68" s="100">
        <v>0.12</v>
      </c>
      <c r="Q68" s="100">
        <v>10</v>
      </c>
      <c r="R68" s="6"/>
      <c r="S68" s="6"/>
      <c r="T68" s="156"/>
      <c r="U68" s="6"/>
    </row>
    <row r="69" spans="1:21" customFormat="1">
      <c r="A69" s="201" t="s">
        <v>2893</v>
      </c>
      <c r="B69" s="100">
        <v>1.8</v>
      </c>
      <c r="C69" s="100">
        <v>4.75</v>
      </c>
      <c r="D69" s="100">
        <v>6.54</v>
      </c>
      <c r="E69" s="100">
        <v>3.73</v>
      </c>
      <c r="F69" s="100">
        <v>3.11</v>
      </c>
      <c r="G69" s="100">
        <v>18.07</v>
      </c>
      <c r="H69" s="100">
        <v>7.25</v>
      </c>
      <c r="I69" s="100">
        <v>5.26</v>
      </c>
      <c r="J69" s="100">
        <v>0.22</v>
      </c>
      <c r="K69" s="100">
        <v>78.599999999999994</v>
      </c>
      <c r="L69" s="100">
        <v>13.56</v>
      </c>
      <c r="M69" s="100">
        <v>13.31</v>
      </c>
      <c r="N69" s="100">
        <v>110.6</v>
      </c>
      <c r="O69" s="100">
        <v>0</v>
      </c>
      <c r="P69" s="100">
        <v>0.13</v>
      </c>
      <c r="Q69" s="100">
        <v>10</v>
      </c>
      <c r="R69" s="6"/>
      <c r="S69" s="6"/>
      <c r="T69" s="156"/>
      <c r="U69" s="6"/>
    </row>
    <row r="70" spans="1:21" customFormat="1">
      <c r="A70" s="201" t="s">
        <v>2894</v>
      </c>
      <c r="B70" s="100">
        <v>1.97</v>
      </c>
      <c r="C70" s="100">
        <v>4.8099999999999996</v>
      </c>
      <c r="D70" s="100">
        <v>6.78</v>
      </c>
      <c r="E70" s="100">
        <v>3.84</v>
      </c>
      <c r="F70" s="100">
        <v>3.42</v>
      </c>
      <c r="G70" s="100">
        <v>19.670000000000002</v>
      </c>
      <c r="H70" s="100">
        <v>9.7799999999999994</v>
      </c>
      <c r="I70" s="100">
        <v>5.4</v>
      </c>
      <c r="J70" s="100">
        <v>0.16</v>
      </c>
      <c r="K70" s="100">
        <v>100.2</v>
      </c>
      <c r="L70" s="100">
        <v>15.64</v>
      </c>
      <c r="M70" s="100">
        <v>19.809999999999999</v>
      </c>
      <c r="N70" s="100">
        <v>56.1</v>
      </c>
      <c r="O70" s="100">
        <v>0</v>
      </c>
      <c r="P70" s="100">
        <v>0.13</v>
      </c>
      <c r="Q70" s="100">
        <v>10</v>
      </c>
      <c r="R70" s="6"/>
      <c r="S70" s="6"/>
      <c r="T70" s="156"/>
      <c r="U70" s="6"/>
    </row>
    <row r="71" spans="1:21" customFormat="1">
      <c r="A71" s="201" t="s">
        <v>2895</v>
      </c>
      <c r="B71" s="100">
        <v>2.0499999999999998</v>
      </c>
      <c r="C71" s="100">
        <v>4.87</v>
      </c>
      <c r="D71" s="100">
        <v>6.92</v>
      </c>
      <c r="E71" s="100">
        <v>4.0199999999999996</v>
      </c>
      <c r="F71" s="100">
        <v>2.64</v>
      </c>
      <c r="G71" s="100">
        <v>20.89</v>
      </c>
      <c r="H71" s="100">
        <v>11.28</v>
      </c>
      <c r="I71" s="100">
        <v>5.52</v>
      </c>
      <c r="J71" s="100">
        <v>0.12</v>
      </c>
      <c r="K71" s="100">
        <v>106.76</v>
      </c>
      <c r="L71" s="100">
        <v>13.35</v>
      </c>
      <c r="M71" s="100">
        <v>14.2</v>
      </c>
      <c r="N71" s="100">
        <v>50.6</v>
      </c>
      <c r="O71" s="100">
        <v>0.4</v>
      </c>
      <c r="P71" s="100">
        <v>0.13</v>
      </c>
      <c r="Q71" s="100">
        <v>10</v>
      </c>
      <c r="R71" s="6"/>
      <c r="S71" s="6"/>
      <c r="T71" s="156"/>
      <c r="U71" s="6"/>
    </row>
    <row r="72" spans="1:21" customFormat="1">
      <c r="A72" s="201" t="s">
        <v>2896</v>
      </c>
      <c r="B72" s="100">
        <v>2.1800000000000002</v>
      </c>
      <c r="C72" s="100">
        <v>4.76</v>
      </c>
      <c r="D72" s="100">
        <v>6.94</v>
      </c>
      <c r="E72" s="100">
        <v>4.16</v>
      </c>
      <c r="F72" s="100">
        <v>2.36</v>
      </c>
      <c r="G72" s="100">
        <v>20.89</v>
      </c>
      <c r="H72" s="100">
        <v>11.28</v>
      </c>
      <c r="I72" s="100">
        <v>5.18</v>
      </c>
      <c r="J72" s="100">
        <v>0.12</v>
      </c>
      <c r="K72" s="100">
        <v>164.87</v>
      </c>
      <c r="L72" s="100">
        <v>16.23</v>
      </c>
      <c r="M72" s="100">
        <v>21.04</v>
      </c>
      <c r="N72" s="100">
        <v>70.099999999999994</v>
      </c>
      <c r="O72" s="100">
        <v>0</v>
      </c>
      <c r="P72" s="100">
        <v>0.13</v>
      </c>
      <c r="Q72" s="100">
        <v>10</v>
      </c>
      <c r="R72" s="6"/>
      <c r="S72" s="6"/>
      <c r="T72" s="156"/>
      <c r="U72" s="6"/>
    </row>
    <row r="73" spans="1:21" customFormat="1">
      <c r="A73" s="201" t="s">
        <v>2897</v>
      </c>
      <c r="B73" s="100">
        <v>2.27</v>
      </c>
      <c r="C73" s="100">
        <v>4.97</v>
      </c>
      <c r="D73" s="100">
        <v>7.24</v>
      </c>
      <c r="E73" s="100">
        <v>4.38</v>
      </c>
      <c r="F73" s="100">
        <v>2.38</v>
      </c>
      <c r="G73" s="100">
        <v>20.89</v>
      </c>
      <c r="H73" s="100">
        <v>11.28</v>
      </c>
      <c r="I73" s="100">
        <v>4.1500000000000004</v>
      </c>
      <c r="J73" s="100">
        <v>0.16</v>
      </c>
      <c r="K73" s="100">
        <v>65.569999999999993</v>
      </c>
      <c r="L73" s="100">
        <v>10.56</v>
      </c>
      <c r="M73" s="100">
        <v>6.83</v>
      </c>
      <c r="N73" s="100">
        <v>63.5</v>
      </c>
      <c r="O73" s="100">
        <v>0</v>
      </c>
      <c r="P73" s="100">
        <v>0.14000000000000001</v>
      </c>
      <c r="Q73" s="100">
        <v>10</v>
      </c>
      <c r="R73" s="6"/>
      <c r="S73" s="6"/>
      <c r="T73" s="156"/>
      <c r="U73" s="6"/>
    </row>
    <row r="74" spans="1:21" customFormat="1">
      <c r="A74" s="201" t="s">
        <v>2898</v>
      </c>
      <c r="B74" s="100">
        <v>2.54</v>
      </c>
      <c r="C74" s="100">
        <v>5.29</v>
      </c>
      <c r="D74" s="100">
        <v>7.83</v>
      </c>
      <c r="E74" s="100">
        <v>4.5999999999999996</v>
      </c>
      <c r="F74" s="100">
        <v>2.94</v>
      </c>
      <c r="G74" s="100">
        <v>19.420000000000002</v>
      </c>
      <c r="H74" s="100">
        <v>9.83</v>
      </c>
      <c r="I74" s="100">
        <v>4.9000000000000004</v>
      </c>
      <c r="J74" s="100">
        <v>0.23</v>
      </c>
      <c r="K74" s="100">
        <v>62.16</v>
      </c>
      <c r="L74" s="100">
        <v>10.61</v>
      </c>
      <c r="M74" s="100">
        <v>7.14</v>
      </c>
      <c r="N74" s="100">
        <v>56.9</v>
      </c>
      <c r="O74" s="100">
        <v>0</v>
      </c>
      <c r="P74" s="100">
        <v>0.14000000000000001</v>
      </c>
      <c r="Q74" s="100">
        <v>10</v>
      </c>
      <c r="R74" s="6"/>
      <c r="S74" s="6"/>
      <c r="T74" s="156"/>
      <c r="U74" s="6"/>
    </row>
    <row r="75" spans="1:21" customFormat="1">
      <c r="A75" s="201" t="s">
        <v>2899</v>
      </c>
      <c r="B75" s="100">
        <v>2.7</v>
      </c>
      <c r="C75" s="100">
        <v>5.37</v>
      </c>
      <c r="D75" s="100">
        <v>8.08</v>
      </c>
      <c r="E75" s="100">
        <v>4.95</v>
      </c>
      <c r="F75" s="100">
        <v>2.97</v>
      </c>
      <c r="G75" s="100">
        <v>18.350000000000001</v>
      </c>
      <c r="H75" s="100">
        <v>9.3699999999999992</v>
      </c>
      <c r="I75" s="100">
        <v>4.83</v>
      </c>
      <c r="J75" s="100">
        <v>0.17</v>
      </c>
      <c r="K75" s="100">
        <v>63.5</v>
      </c>
      <c r="L75" s="100">
        <v>10.73</v>
      </c>
      <c r="M75" s="100">
        <v>7.67</v>
      </c>
      <c r="N75" s="100">
        <v>47.6</v>
      </c>
      <c r="O75" s="100">
        <v>0</v>
      </c>
      <c r="P75" s="100">
        <v>0.16</v>
      </c>
      <c r="Q75" s="100">
        <v>10</v>
      </c>
      <c r="R75" s="6"/>
      <c r="S75" s="6"/>
      <c r="T75" s="156"/>
      <c r="U75" s="6"/>
    </row>
    <row r="76" spans="1:21" customFormat="1">
      <c r="A76" s="201" t="s">
        <v>2900</v>
      </c>
      <c r="B76" s="100">
        <v>2.77</v>
      </c>
      <c r="C76" s="100">
        <v>5.38</v>
      </c>
      <c r="D76" s="100">
        <v>8.15</v>
      </c>
      <c r="E76" s="100">
        <v>5.0199999999999996</v>
      </c>
      <c r="F76" s="100">
        <v>2.4900000000000002</v>
      </c>
      <c r="G76" s="100">
        <v>18.350000000000001</v>
      </c>
      <c r="H76" s="100">
        <v>9.3699999999999992</v>
      </c>
      <c r="I76" s="100">
        <v>4.8899999999999997</v>
      </c>
      <c r="J76" s="100">
        <v>0.21</v>
      </c>
      <c r="K76" s="100">
        <v>150.91999999999999</v>
      </c>
      <c r="L76" s="100">
        <v>14.18</v>
      </c>
      <c r="M76" s="100">
        <v>16.79</v>
      </c>
      <c r="N76" s="100">
        <v>34.200000000000003</v>
      </c>
      <c r="O76" s="100">
        <v>0</v>
      </c>
      <c r="P76" s="100">
        <v>0.16</v>
      </c>
      <c r="Q76" s="100">
        <v>10</v>
      </c>
      <c r="R76" s="6"/>
      <c r="S76" s="6"/>
      <c r="T76" s="156"/>
      <c r="U76" s="6"/>
    </row>
    <row r="77" spans="1:21" customFormat="1">
      <c r="A77" s="201" t="s">
        <v>2901</v>
      </c>
      <c r="B77" s="100">
        <v>2.76</v>
      </c>
      <c r="C77" s="100">
        <v>5.33</v>
      </c>
      <c r="D77" s="100">
        <v>8.09</v>
      </c>
      <c r="E77" s="100">
        <v>5.23</v>
      </c>
      <c r="F77" s="100">
        <v>2.42</v>
      </c>
      <c r="G77" s="100">
        <v>18.350000000000001</v>
      </c>
      <c r="H77" s="100">
        <v>9.3699999999999992</v>
      </c>
      <c r="I77" s="100">
        <v>4.95</v>
      </c>
      <c r="J77" s="100">
        <v>0.25</v>
      </c>
      <c r="K77" s="100">
        <v>141.22999999999999</v>
      </c>
      <c r="L77" s="100">
        <v>14.33</v>
      </c>
      <c r="M77" s="100">
        <v>17.54</v>
      </c>
      <c r="N77" s="100">
        <v>20.3</v>
      </c>
      <c r="O77" s="100">
        <v>0</v>
      </c>
      <c r="P77" s="100">
        <v>0.17</v>
      </c>
      <c r="Q77" s="100">
        <v>10.41</v>
      </c>
      <c r="R77" s="6"/>
      <c r="S77" s="6"/>
      <c r="T77" s="156"/>
      <c r="U77" s="6"/>
    </row>
    <row r="78" spans="1:21" customFormat="1">
      <c r="A78" s="201" t="s">
        <v>2902</v>
      </c>
      <c r="B78" s="100">
        <v>2.87</v>
      </c>
      <c r="C78" s="100">
        <v>5.51</v>
      </c>
      <c r="D78" s="100">
        <v>8.3800000000000008</v>
      </c>
      <c r="E78" s="100">
        <v>5.24</v>
      </c>
      <c r="F78" s="100">
        <v>3.31</v>
      </c>
      <c r="G78" s="100">
        <v>20.04</v>
      </c>
      <c r="H78" s="100">
        <v>8.77</v>
      </c>
      <c r="I78" s="100">
        <v>4.83</v>
      </c>
      <c r="J78" s="100">
        <v>0.15</v>
      </c>
      <c r="K78" s="100">
        <v>85.09</v>
      </c>
      <c r="L78" s="100">
        <v>10.96</v>
      </c>
      <c r="M78" s="100">
        <v>9.14</v>
      </c>
      <c r="N78" s="100">
        <v>13.5</v>
      </c>
      <c r="O78" s="100">
        <v>0</v>
      </c>
      <c r="P78" s="100">
        <v>0.18</v>
      </c>
      <c r="Q78" s="100">
        <v>9.9600000000000009</v>
      </c>
      <c r="R78" s="6"/>
      <c r="S78" s="6"/>
      <c r="T78" s="156"/>
      <c r="U78" s="6"/>
    </row>
    <row r="79" spans="1:21" customFormat="1">
      <c r="A79" s="201" t="s">
        <v>2903</v>
      </c>
      <c r="B79" s="100">
        <v>3.02</v>
      </c>
      <c r="C79" s="100">
        <v>5.52</v>
      </c>
      <c r="D79" s="100">
        <v>8.5399999999999991</v>
      </c>
      <c r="E79" s="100">
        <v>5.44</v>
      </c>
      <c r="F79" s="100">
        <v>2.16</v>
      </c>
      <c r="G79" s="100">
        <v>21.28</v>
      </c>
      <c r="H79" s="100">
        <v>8.57</v>
      </c>
      <c r="I79" s="100">
        <v>4.76</v>
      </c>
      <c r="J79" s="100">
        <v>0.13</v>
      </c>
      <c r="K79" s="100">
        <v>120.34</v>
      </c>
      <c r="L79" s="100">
        <v>13.68</v>
      </c>
      <c r="M79" s="100">
        <v>16.12</v>
      </c>
      <c r="N79" s="100">
        <v>7.8</v>
      </c>
      <c r="O79" s="100">
        <v>0</v>
      </c>
      <c r="P79" s="100">
        <v>0.18</v>
      </c>
      <c r="Q79" s="100">
        <v>10</v>
      </c>
      <c r="R79" s="6"/>
      <c r="S79" s="6"/>
      <c r="T79" s="156"/>
      <c r="U79" s="6"/>
    </row>
    <row r="80" spans="1:21" customFormat="1">
      <c r="A80" s="201" t="s">
        <v>2904</v>
      </c>
      <c r="B80" s="100">
        <v>3.06</v>
      </c>
      <c r="C80" s="100">
        <v>5.39</v>
      </c>
      <c r="D80" s="100">
        <v>8.4499999999999993</v>
      </c>
      <c r="E80" s="100">
        <v>5.38</v>
      </c>
      <c r="F80" s="100">
        <v>2.21</v>
      </c>
      <c r="G80" s="100">
        <v>21.28</v>
      </c>
      <c r="H80" s="100">
        <v>8.57</v>
      </c>
      <c r="I80" s="100">
        <v>4.7300000000000004</v>
      </c>
      <c r="J80" s="100">
        <v>0.14000000000000001</v>
      </c>
      <c r="K80" s="100">
        <v>165.91</v>
      </c>
      <c r="L80" s="100">
        <v>15.97</v>
      </c>
      <c r="M80" s="100">
        <v>22.1</v>
      </c>
      <c r="N80" s="100">
        <v>3.9</v>
      </c>
      <c r="O80" s="100">
        <v>0</v>
      </c>
      <c r="P80" s="100">
        <v>0.18</v>
      </c>
      <c r="Q80" s="100">
        <v>10</v>
      </c>
      <c r="R80" s="6"/>
      <c r="S80" s="6"/>
      <c r="T80" s="156"/>
      <c r="U80" s="6"/>
    </row>
    <row r="81" spans="1:21" customFormat="1">
      <c r="A81" s="201" t="s">
        <v>2905</v>
      </c>
      <c r="B81" s="100">
        <v>3.12</v>
      </c>
      <c r="C81" s="100">
        <v>5.45</v>
      </c>
      <c r="D81" s="100">
        <v>8.58</v>
      </c>
      <c r="E81" s="100">
        <v>4.21</v>
      </c>
      <c r="F81" s="100">
        <v>2.35</v>
      </c>
      <c r="G81" s="100">
        <v>21.28</v>
      </c>
      <c r="H81" s="100">
        <v>8.57</v>
      </c>
      <c r="I81" s="100">
        <v>4.75</v>
      </c>
      <c r="J81" s="100">
        <v>0.15</v>
      </c>
      <c r="K81" s="100">
        <v>134.71</v>
      </c>
      <c r="L81" s="100">
        <v>13.35</v>
      </c>
      <c r="M81" s="100">
        <v>15.49</v>
      </c>
      <c r="N81" s="100">
        <v>2.4</v>
      </c>
      <c r="O81" s="100">
        <v>0</v>
      </c>
      <c r="P81" s="100">
        <v>0.2</v>
      </c>
      <c r="Q81" s="100">
        <v>10</v>
      </c>
      <c r="R81" s="6"/>
      <c r="S81" s="6"/>
      <c r="T81" s="156"/>
      <c r="U81" s="6"/>
    </row>
    <row r="82" spans="1:21" customFormat="1">
      <c r="A82" s="201" t="s">
        <v>2906</v>
      </c>
      <c r="B82" s="100">
        <v>3.16</v>
      </c>
      <c r="C82" s="100">
        <v>5.71</v>
      </c>
      <c r="D82" s="100">
        <v>8.8699999999999992</v>
      </c>
      <c r="E82" s="100">
        <v>5</v>
      </c>
      <c r="F82" s="100">
        <v>2.3199999999999998</v>
      </c>
      <c r="G82" s="100">
        <v>20.6</v>
      </c>
      <c r="H82" s="100">
        <v>8.61</v>
      </c>
      <c r="I82" s="100">
        <v>4.7699999999999996</v>
      </c>
      <c r="J82" s="100">
        <v>0.23</v>
      </c>
      <c r="K82" s="100">
        <v>144.02000000000001</v>
      </c>
      <c r="L82" s="100">
        <v>14.35</v>
      </c>
      <c r="M82" s="100">
        <v>18.03</v>
      </c>
      <c r="N82" s="100">
        <v>2.4</v>
      </c>
      <c r="O82" s="100">
        <v>0</v>
      </c>
      <c r="P82" s="100">
        <v>0.21</v>
      </c>
      <c r="Q82" s="100">
        <v>10</v>
      </c>
      <c r="R82" s="6"/>
      <c r="S82" s="6"/>
      <c r="T82" s="156"/>
      <c r="U82" s="6"/>
    </row>
    <row r="83" spans="1:21" customFormat="1">
      <c r="A83" s="201" t="s">
        <v>2907</v>
      </c>
      <c r="B83" s="100">
        <v>3.29</v>
      </c>
      <c r="C83" s="100">
        <v>5.78</v>
      </c>
      <c r="D83" s="100">
        <v>9.07</v>
      </c>
      <c r="E83" s="100">
        <v>5.23</v>
      </c>
      <c r="F83" s="100">
        <v>2</v>
      </c>
      <c r="G83" s="100">
        <v>20.100000000000001</v>
      </c>
      <c r="H83" s="100">
        <v>8.6300000000000008</v>
      </c>
      <c r="I83" s="100">
        <v>4.79</v>
      </c>
      <c r="J83" s="100">
        <v>0.17</v>
      </c>
      <c r="K83" s="100">
        <v>137.68</v>
      </c>
      <c r="L83" s="100">
        <v>13.8</v>
      </c>
      <c r="M83" s="100">
        <v>16.63</v>
      </c>
      <c r="N83" s="100">
        <v>2.5</v>
      </c>
      <c r="O83" s="100">
        <v>0</v>
      </c>
      <c r="P83" s="100">
        <v>0.22</v>
      </c>
      <c r="Q83" s="100">
        <v>10</v>
      </c>
      <c r="R83" s="6"/>
      <c r="S83" s="6"/>
      <c r="T83" s="156"/>
      <c r="U83" s="6"/>
    </row>
    <row r="84" spans="1:21" customFormat="1">
      <c r="A84" s="201" t="s">
        <v>2908</v>
      </c>
      <c r="B84" s="100">
        <v>3.48</v>
      </c>
      <c r="C84" s="100">
        <v>5.82</v>
      </c>
      <c r="D84" s="100">
        <v>9.3000000000000007</v>
      </c>
      <c r="E84" s="100">
        <v>5.23</v>
      </c>
      <c r="F84" s="100">
        <v>2</v>
      </c>
      <c r="G84" s="100">
        <v>20.100000000000001</v>
      </c>
      <c r="H84" s="100">
        <v>8.6300000000000008</v>
      </c>
      <c r="I84" s="100">
        <v>4.8899999999999997</v>
      </c>
      <c r="J84" s="100">
        <v>0.16</v>
      </c>
      <c r="K84" s="100">
        <v>135.41</v>
      </c>
      <c r="L84" s="100">
        <v>13.19</v>
      </c>
      <c r="M84" s="100">
        <v>15.11</v>
      </c>
      <c r="N84" s="100">
        <v>2.2999999999999998</v>
      </c>
      <c r="O84" s="100">
        <v>0</v>
      </c>
      <c r="P84" s="100">
        <v>0.24</v>
      </c>
      <c r="Q84" s="100">
        <v>10</v>
      </c>
      <c r="R84" s="6"/>
      <c r="S84" s="6"/>
      <c r="T84" s="156"/>
      <c r="U84" s="6"/>
    </row>
    <row r="85" spans="1:21" customFormat="1">
      <c r="A85" s="201" t="s">
        <v>2909</v>
      </c>
      <c r="B85" s="100">
        <v>3.75</v>
      </c>
      <c r="C85" s="100">
        <v>5.85</v>
      </c>
      <c r="D85" s="100">
        <v>9.6</v>
      </c>
      <c r="E85" s="100">
        <v>5.0199999999999996</v>
      </c>
      <c r="F85" s="100">
        <v>2</v>
      </c>
      <c r="G85" s="100">
        <v>20.100000000000001</v>
      </c>
      <c r="H85" s="100">
        <v>8.6300000000000008</v>
      </c>
      <c r="I85" s="100">
        <v>4.99</v>
      </c>
      <c r="J85" s="100">
        <v>0.15</v>
      </c>
      <c r="K85" s="100">
        <v>116.25</v>
      </c>
      <c r="L85" s="100">
        <v>12.22</v>
      </c>
      <c r="M85" s="100">
        <v>12.64</v>
      </c>
      <c r="N85" s="100">
        <v>2.2000000000000002</v>
      </c>
      <c r="O85" s="100">
        <v>0</v>
      </c>
      <c r="P85" s="100">
        <v>0.27</v>
      </c>
      <c r="Q85" s="100">
        <v>10</v>
      </c>
      <c r="R85" s="6"/>
      <c r="S85" s="6"/>
      <c r="T85" s="156"/>
      <c r="U85" s="6"/>
    </row>
    <row r="86" spans="1:21" customFormat="1">
      <c r="A86" s="201" t="s">
        <v>2910</v>
      </c>
      <c r="B86" s="100">
        <v>4.6100000000000003</v>
      </c>
      <c r="C86" s="100">
        <v>6.61</v>
      </c>
      <c r="D86" s="100">
        <v>11.22</v>
      </c>
      <c r="E86" s="100">
        <v>5.29</v>
      </c>
      <c r="F86" s="100">
        <v>2.35</v>
      </c>
      <c r="G86" s="100">
        <v>28.99</v>
      </c>
      <c r="H86" s="100">
        <v>11.44</v>
      </c>
      <c r="I86" s="100">
        <v>5.14</v>
      </c>
      <c r="J86" s="100">
        <v>0.16</v>
      </c>
      <c r="K86" s="100">
        <v>75.27</v>
      </c>
      <c r="L86" s="100">
        <v>9.44</v>
      </c>
      <c r="M86" s="100">
        <v>5.56</v>
      </c>
      <c r="N86" s="100">
        <v>2.1</v>
      </c>
      <c r="O86" s="100">
        <v>0</v>
      </c>
      <c r="P86" s="100">
        <v>0.31</v>
      </c>
      <c r="Q86" s="100">
        <v>10</v>
      </c>
      <c r="R86" s="6"/>
      <c r="S86" s="6"/>
      <c r="T86" s="156"/>
      <c r="U86" s="6"/>
    </row>
    <row r="87" spans="1:21" customFormat="1">
      <c r="A87" s="201" t="s">
        <v>2911</v>
      </c>
      <c r="B87" s="100">
        <v>5.67</v>
      </c>
      <c r="C87" s="100">
        <v>7.67</v>
      </c>
      <c r="D87" s="100">
        <v>13.34</v>
      </c>
      <c r="E87" s="100">
        <v>5.12</v>
      </c>
      <c r="F87" s="100">
        <v>2</v>
      </c>
      <c r="G87" s="100">
        <v>35.49</v>
      </c>
      <c r="H87" s="100">
        <v>13.11</v>
      </c>
      <c r="I87" s="100">
        <v>5.45</v>
      </c>
      <c r="J87" s="100">
        <v>0.12</v>
      </c>
      <c r="K87" s="100">
        <v>86.39</v>
      </c>
      <c r="L87" s="100">
        <v>10.88</v>
      </c>
      <c r="M87" s="100">
        <v>9.2200000000000006</v>
      </c>
      <c r="N87" s="100">
        <v>2.2999999999999998</v>
      </c>
      <c r="O87" s="100">
        <v>0</v>
      </c>
      <c r="P87" s="100">
        <v>0.34</v>
      </c>
      <c r="Q87" s="100">
        <v>10</v>
      </c>
      <c r="R87" s="6"/>
      <c r="S87" s="6"/>
      <c r="T87" s="156"/>
      <c r="U87" s="6"/>
    </row>
    <row r="88" spans="1:21" customFormat="1">
      <c r="A88" s="201" t="s">
        <v>2912</v>
      </c>
      <c r="B88" s="100">
        <v>6.78</v>
      </c>
      <c r="C88" s="100">
        <v>8.5500000000000007</v>
      </c>
      <c r="D88" s="100">
        <v>15.33</v>
      </c>
      <c r="E88" s="100">
        <v>4.76</v>
      </c>
      <c r="F88" s="100">
        <v>2</v>
      </c>
      <c r="G88" s="100">
        <v>35.49</v>
      </c>
      <c r="H88" s="100">
        <v>13.11</v>
      </c>
      <c r="I88" s="100">
        <v>6.07</v>
      </c>
      <c r="J88" s="100">
        <v>0.18</v>
      </c>
      <c r="K88" s="100">
        <v>58.38</v>
      </c>
      <c r="L88" s="100">
        <v>8.31</v>
      </c>
      <c r="M88" s="100">
        <v>2.76</v>
      </c>
      <c r="N88" s="100">
        <v>2.2000000000000002</v>
      </c>
      <c r="O88" s="100">
        <v>0</v>
      </c>
      <c r="P88" s="100">
        <v>0.36</v>
      </c>
      <c r="Q88" s="100">
        <v>10</v>
      </c>
      <c r="R88" s="6"/>
      <c r="S88" s="6"/>
      <c r="T88" s="156"/>
      <c r="U88" s="6"/>
    </row>
    <row r="89" spans="1:21" customFormat="1">
      <c r="A89" s="201" t="s">
        <v>2913</v>
      </c>
      <c r="B89" s="100">
        <v>7.17</v>
      </c>
      <c r="C89" s="100">
        <v>8.9600000000000009</v>
      </c>
      <c r="D89" s="100">
        <v>16.13</v>
      </c>
      <c r="E89" s="100">
        <v>4.6399999999999997</v>
      </c>
      <c r="F89" s="100">
        <v>2</v>
      </c>
      <c r="G89" s="100">
        <v>35.49</v>
      </c>
      <c r="H89" s="100">
        <v>13.11</v>
      </c>
      <c r="I89" s="100">
        <v>6.7</v>
      </c>
      <c r="J89" s="100">
        <v>0.06</v>
      </c>
      <c r="K89" s="100">
        <v>92.44</v>
      </c>
      <c r="L89" s="100">
        <v>11.84</v>
      </c>
      <c r="M89" s="100">
        <v>11.65</v>
      </c>
      <c r="N89" s="100">
        <v>2.4</v>
      </c>
      <c r="O89" s="100">
        <v>0</v>
      </c>
      <c r="P89" s="100">
        <v>0.35</v>
      </c>
      <c r="Q89" s="100">
        <v>10</v>
      </c>
      <c r="R89" s="6"/>
      <c r="S89" s="6"/>
      <c r="T89" s="156"/>
      <c r="U89" s="6"/>
    </row>
    <row r="90" spans="1:21" customFormat="1">
      <c r="A90" s="201" t="s">
        <v>2914</v>
      </c>
      <c r="B90" s="100">
        <v>6.76</v>
      </c>
      <c r="C90" s="100">
        <v>8.8000000000000007</v>
      </c>
      <c r="D90" s="100">
        <v>15.56</v>
      </c>
      <c r="E90" s="100">
        <v>4.41</v>
      </c>
      <c r="F90" s="100">
        <v>2</v>
      </c>
      <c r="G90" s="100">
        <v>43.95</v>
      </c>
      <c r="H90" s="100">
        <v>13.66</v>
      </c>
      <c r="I90" s="100">
        <v>7.01</v>
      </c>
      <c r="J90" s="100">
        <v>0.14000000000000001</v>
      </c>
      <c r="K90" s="100">
        <v>85.93</v>
      </c>
      <c r="L90" s="100">
        <v>10.77</v>
      </c>
      <c r="M90" s="100">
        <v>8.9499999999999993</v>
      </c>
      <c r="N90" s="100">
        <v>2.1</v>
      </c>
      <c r="O90" s="100">
        <v>0</v>
      </c>
      <c r="P90" s="100">
        <v>0.33</v>
      </c>
      <c r="Q90" s="100">
        <v>10</v>
      </c>
      <c r="R90" s="6"/>
      <c r="S90" s="6"/>
      <c r="T90" s="156"/>
      <c r="U90" s="6"/>
    </row>
    <row r="91" spans="1:21" customFormat="1">
      <c r="A91" s="201" t="s">
        <v>2915</v>
      </c>
      <c r="B91" s="100">
        <v>6.6</v>
      </c>
      <c r="C91" s="100">
        <v>7.21</v>
      </c>
      <c r="D91" s="100">
        <v>13.8</v>
      </c>
      <c r="E91" s="100">
        <v>4.97</v>
      </c>
      <c r="F91" s="100">
        <v>2.21</v>
      </c>
      <c r="G91" s="100">
        <v>50.42</v>
      </c>
      <c r="H91" s="100">
        <v>13.83</v>
      </c>
      <c r="I91" s="100">
        <v>7.24</v>
      </c>
      <c r="J91" s="100">
        <v>0.18</v>
      </c>
      <c r="K91" s="100">
        <v>66.92</v>
      </c>
      <c r="L91" s="100">
        <v>9.25</v>
      </c>
      <c r="M91" s="100">
        <v>5.05</v>
      </c>
      <c r="N91" s="100">
        <v>2.1</v>
      </c>
      <c r="O91" s="100">
        <v>0</v>
      </c>
      <c r="P91" s="100">
        <v>0.32</v>
      </c>
      <c r="Q91" s="100">
        <v>10</v>
      </c>
      <c r="R91" s="6"/>
      <c r="S91" s="6"/>
      <c r="T91" s="156"/>
      <c r="U91" s="6"/>
    </row>
    <row r="92" spans="1:21" customFormat="1">
      <c r="A92" s="201" t="s">
        <v>2916</v>
      </c>
      <c r="B92" s="100">
        <v>6.4</v>
      </c>
      <c r="C92" s="100">
        <v>7.29</v>
      </c>
      <c r="D92" s="100">
        <v>13.69</v>
      </c>
      <c r="E92" s="100">
        <v>5.64</v>
      </c>
      <c r="F92" s="100">
        <v>2.0499999999999998</v>
      </c>
      <c r="G92" s="100">
        <v>50.42</v>
      </c>
      <c r="H92" s="100">
        <v>13.83</v>
      </c>
      <c r="I92" s="100">
        <v>7.31</v>
      </c>
      <c r="J92" s="100">
        <v>0.15</v>
      </c>
      <c r="K92" s="100">
        <v>87.8</v>
      </c>
      <c r="L92" s="100">
        <v>9.9700000000000006</v>
      </c>
      <c r="M92" s="100">
        <v>6.92</v>
      </c>
      <c r="N92" s="100">
        <v>2.4</v>
      </c>
      <c r="O92" s="100">
        <v>0</v>
      </c>
      <c r="P92" s="100">
        <v>0.34</v>
      </c>
      <c r="Q92" s="100">
        <v>10</v>
      </c>
      <c r="R92" s="6"/>
      <c r="S92" s="6"/>
      <c r="T92" s="156"/>
      <c r="U92" s="6"/>
    </row>
    <row r="93" spans="1:21" customFormat="1">
      <c r="A93" s="201" t="s">
        <v>2917</v>
      </c>
      <c r="B93" s="100">
        <v>6.21</v>
      </c>
      <c r="C93" s="100">
        <v>7.34</v>
      </c>
      <c r="D93" s="100">
        <v>13.56</v>
      </c>
      <c r="E93" s="100">
        <v>5.9</v>
      </c>
      <c r="F93" s="100">
        <v>2.54</v>
      </c>
      <c r="G93" s="100">
        <v>50.42</v>
      </c>
      <c r="H93" s="100">
        <v>13.83</v>
      </c>
      <c r="I93" s="100">
        <v>6.77</v>
      </c>
      <c r="J93" s="100">
        <v>0.12</v>
      </c>
      <c r="K93" s="100">
        <v>98.05</v>
      </c>
      <c r="L93" s="100">
        <v>11.73</v>
      </c>
      <c r="M93" s="100">
        <v>11.39</v>
      </c>
      <c r="N93" s="100">
        <v>2.4</v>
      </c>
      <c r="O93" s="100">
        <v>0</v>
      </c>
      <c r="P93" s="100">
        <v>0.32</v>
      </c>
      <c r="Q93" s="100">
        <v>10</v>
      </c>
      <c r="R93" s="6"/>
      <c r="S93" s="6"/>
      <c r="T93" s="156"/>
      <c r="U93" s="6"/>
    </row>
    <row r="94" spans="1:21" customFormat="1">
      <c r="A94" s="201" t="s">
        <v>2918</v>
      </c>
      <c r="B94" s="100">
        <v>6.37</v>
      </c>
      <c r="C94" s="100">
        <v>7.97</v>
      </c>
      <c r="D94" s="100">
        <v>14.34</v>
      </c>
      <c r="E94" s="100">
        <v>5.53</v>
      </c>
      <c r="F94" s="100">
        <v>2.25</v>
      </c>
      <c r="G94" s="100">
        <v>56.8</v>
      </c>
      <c r="H94" s="100">
        <v>13.41</v>
      </c>
      <c r="I94" s="100">
        <v>7</v>
      </c>
      <c r="J94" s="100">
        <v>0.13</v>
      </c>
      <c r="K94" s="100">
        <v>100.27</v>
      </c>
      <c r="L94" s="100">
        <v>11.99</v>
      </c>
      <c r="M94" s="100">
        <v>12.03</v>
      </c>
      <c r="N94" s="100">
        <v>2.4</v>
      </c>
      <c r="O94" s="100">
        <v>0</v>
      </c>
      <c r="P94" s="100">
        <v>0.31</v>
      </c>
      <c r="Q94" s="100">
        <v>10</v>
      </c>
      <c r="R94" s="6"/>
      <c r="S94" s="6"/>
      <c r="T94" s="156"/>
      <c r="U94" s="6"/>
    </row>
    <row r="95" spans="1:21" customFormat="1">
      <c r="A95" s="201" t="s">
        <v>2919</v>
      </c>
      <c r="B95" s="100">
        <v>6.28</v>
      </c>
      <c r="C95" s="100">
        <v>7.08</v>
      </c>
      <c r="D95" s="100">
        <v>13.35</v>
      </c>
      <c r="E95" s="100">
        <v>5.54</v>
      </c>
      <c r="F95" s="100">
        <v>2.04</v>
      </c>
      <c r="G95" s="100">
        <v>61.46</v>
      </c>
      <c r="H95" s="100">
        <v>13.27</v>
      </c>
      <c r="I95" s="100">
        <v>6.85</v>
      </c>
      <c r="J95" s="100">
        <v>0.14000000000000001</v>
      </c>
      <c r="K95" s="100">
        <v>161.81</v>
      </c>
      <c r="L95" s="100">
        <v>15.73</v>
      </c>
      <c r="M95" s="100">
        <v>21.46</v>
      </c>
      <c r="N95" s="100">
        <v>2.4</v>
      </c>
      <c r="O95" s="100">
        <v>0</v>
      </c>
      <c r="P95" s="100">
        <v>0.28000000000000003</v>
      </c>
      <c r="Q95" s="100">
        <v>10</v>
      </c>
      <c r="R95" s="6"/>
      <c r="S95" s="6"/>
      <c r="T95" s="156"/>
      <c r="U95" s="6"/>
    </row>
    <row r="96" spans="1:21" customFormat="1">
      <c r="A96" s="201" t="s">
        <v>2920</v>
      </c>
      <c r="B96" s="100">
        <v>6.48</v>
      </c>
      <c r="C96" s="100">
        <v>6.09</v>
      </c>
      <c r="D96" s="100">
        <v>12.57</v>
      </c>
      <c r="E96" s="100">
        <v>5.3</v>
      </c>
      <c r="F96" s="100">
        <v>2.2200000000000002</v>
      </c>
      <c r="G96" s="100">
        <v>61.46</v>
      </c>
      <c r="H96" s="100">
        <v>13.27</v>
      </c>
      <c r="I96" s="100">
        <v>6.77</v>
      </c>
      <c r="J96" s="100">
        <v>0.09</v>
      </c>
      <c r="K96" s="100">
        <v>98.31</v>
      </c>
      <c r="L96" s="100">
        <v>14.39</v>
      </c>
      <c r="M96" s="100">
        <v>18.059999999999999</v>
      </c>
      <c r="N96" s="100">
        <v>2.4</v>
      </c>
      <c r="O96" s="100">
        <v>0</v>
      </c>
      <c r="P96" s="100">
        <v>0.31</v>
      </c>
      <c r="Q96" s="100">
        <v>10</v>
      </c>
      <c r="R96" s="6"/>
      <c r="S96" s="6"/>
      <c r="T96" s="156"/>
      <c r="U96" s="6"/>
    </row>
    <row r="97" spans="1:28" customFormat="1">
      <c r="A97" s="201" t="s">
        <v>2921</v>
      </c>
      <c r="B97" s="100">
        <v>6.03</v>
      </c>
      <c r="C97" s="100">
        <v>5.97</v>
      </c>
      <c r="D97" s="100">
        <v>12</v>
      </c>
      <c r="E97" s="100">
        <v>5.09</v>
      </c>
      <c r="F97" s="100">
        <v>2.3199999999999998</v>
      </c>
      <c r="G97" s="100">
        <v>61.46</v>
      </c>
      <c r="H97" s="100">
        <v>13.27</v>
      </c>
      <c r="I97" s="100">
        <v>6.56</v>
      </c>
      <c r="J97" s="100">
        <v>0.12</v>
      </c>
      <c r="K97" s="100">
        <v>144.32</v>
      </c>
      <c r="L97" s="100">
        <v>14.45</v>
      </c>
      <c r="M97" s="100">
        <v>18.309999999999999</v>
      </c>
      <c r="N97" s="100">
        <v>2.4</v>
      </c>
      <c r="O97" s="100">
        <v>0</v>
      </c>
      <c r="P97" s="100">
        <v>0.3</v>
      </c>
      <c r="Q97" s="100">
        <v>10.63</v>
      </c>
      <c r="R97" s="6"/>
      <c r="S97" s="6"/>
      <c r="T97" s="156"/>
      <c r="U97" s="6"/>
    </row>
    <row r="98" spans="1:28" customFormat="1">
      <c r="A98" s="201" t="s">
        <v>2922</v>
      </c>
      <c r="B98" s="100">
        <v>5.66</v>
      </c>
      <c r="C98" s="100">
        <v>5.78</v>
      </c>
      <c r="D98" s="100">
        <v>11.44</v>
      </c>
      <c r="E98" s="100">
        <v>4.5199999999999996</v>
      </c>
      <c r="F98" s="100">
        <v>3.49</v>
      </c>
      <c r="G98" s="100">
        <v>50.93</v>
      </c>
      <c r="H98" s="100">
        <v>12.87</v>
      </c>
      <c r="I98" s="100">
        <v>6.55</v>
      </c>
      <c r="J98" s="100">
        <v>0.11</v>
      </c>
      <c r="K98" s="100">
        <v>170.23</v>
      </c>
      <c r="L98" s="100">
        <v>16.55</v>
      </c>
      <c r="M98" s="100">
        <v>23.56</v>
      </c>
      <c r="N98" s="100">
        <v>2.4</v>
      </c>
      <c r="O98" s="100">
        <v>0</v>
      </c>
      <c r="P98" s="100">
        <v>0.28000000000000003</v>
      </c>
      <c r="Q98" s="100">
        <v>10.199999999999999</v>
      </c>
      <c r="R98" s="6"/>
      <c r="S98" s="6"/>
      <c r="T98" s="156"/>
      <c r="U98" s="6"/>
    </row>
    <row r="99" spans="1:28" customFormat="1">
      <c r="A99" s="201" t="s">
        <v>2923</v>
      </c>
      <c r="B99" s="100">
        <v>6.04</v>
      </c>
      <c r="C99" s="100">
        <v>5.47</v>
      </c>
      <c r="D99" s="100">
        <v>11.51</v>
      </c>
      <c r="E99" s="100">
        <v>4.92</v>
      </c>
      <c r="F99" s="100">
        <v>2.2999999999999998</v>
      </c>
      <c r="G99" s="100">
        <v>43.23</v>
      </c>
      <c r="H99" s="100">
        <v>12.75</v>
      </c>
      <c r="I99" s="100">
        <v>6.29</v>
      </c>
      <c r="J99" s="100">
        <v>0.11</v>
      </c>
      <c r="K99" s="100">
        <v>122.88</v>
      </c>
      <c r="L99" s="100">
        <v>12.23</v>
      </c>
      <c r="M99" s="100">
        <v>12.65</v>
      </c>
      <c r="N99" s="100">
        <v>2.4</v>
      </c>
      <c r="O99" s="100">
        <v>0</v>
      </c>
      <c r="P99" s="100">
        <v>0.28000000000000003</v>
      </c>
      <c r="Q99" s="100">
        <v>10.02</v>
      </c>
      <c r="R99" s="6"/>
      <c r="S99" s="6"/>
      <c r="T99" s="156"/>
      <c r="U99" s="6"/>
    </row>
    <row r="100" spans="1:28" customFormat="1">
      <c r="A100" s="201" t="s">
        <v>2924</v>
      </c>
      <c r="B100" s="100">
        <v>6.57</v>
      </c>
      <c r="C100" s="100">
        <v>5.3</v>
      </c>
      <c r="D100" s="100">
        <v>11.87</v>
      </c>
      <c r="E100" s="100">
        <v>5.4</v>
      </c>
      <c r="F100" s="100">
        <v>2.0699999999999998</v>
      </c>
      <c r="G100" s="100">
        <v>43.23</v>
      </c>
      <c r="H100" s="100">
        <v>12.75</v>
      </c>
      <c r="I100" s="100">
        <v>6.11</v>
      </c>
      <c r="J100" s="100">
        <v>0.18</v>
      </c>
      <c r="K100" s="100">
        <v>117.9</v>
      </c>
      <c r="L100" s="100">
        <v>12.62</v>
      </c>
      <c r="M100" s="100">
        <v>13.65</v>
      </c>
      <c r="N100" s="100">
        <v>2.2999999999999998</v>
      </c>
      <c r="O100" s="100">
        <v>0</v>
      </c>
      <c r="P100" s="100">
        <v>0.3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2925</v>
      </c>
      <c r="B101" s="100">
        <v>6.27</v>
      </c>
      <c r="C101" s="100">
        <v>5.24</v>
      </c>
      <c r="D101" s="100">
        <v>11.51</v>
      </c>
      <c r="E101" s="100">
        <v>5.0199999999999996</v>
      </c>
      <c r="F101" s="100">
        <v>3.02</v>
      </c>
      <c r="G101" s="100">
        <v>43.23</v>
      </c>
      <c r="H101" s="100">
        <v>12.75</v>
      </c>
      <c r="I101" s="100">
        <v>6.31</v>
      </c>
      <c r="J101" s="100">
        <v>0.2</v>
      </c>
      <c r="K101" s="100">
        <v>147.16999999999999</v>
      </c>
      <c r="L101" s="100">
        <v>13.66</v>
      </c>
      <c r="M101" s="100">
        <v>16.27</v>
      </c>
      <c r="N101" s="100">
        <v>2.2999999999999998</v>
      </c>
      <c r="O101" s="100">
        <v>0</v>
      </c>
      <c r="P101" s="100">
        <v>0.28999999999999998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2926</v>
      </c>
      <c r="B102" s="100">
        <v>5.92</v>
      </c>
      <c r="C102" s="100">
        <v>5.0599999999999996</v>
      </c>
      <c r="D102" s="100">
        <v>10.98</v>
      </c>
      <c r="E102" s="100">
        <v>4.78</v>
      </c>
      <c r="F102" s="100">
        <v>5.05</v>
      </c>
      <c r="G102" s="100">
        <v>40.65</v>
      </c>
      <c r="H102" s="100">
        <v>13.95</v>
      </c>
      <c r="I102" s="100">
        <v>6.39</v>
      </c>
      <c r="J102" s="100">
        <v>0.12</v>
      </c>
      <c r="K102" s="100">
        <v>164.9</v>
      </c>
      <c r="L102" s="100">
        <v>15.87</v>
      </c>
      <c r="M102" s="100">
        <v>21.9</v>
      </c>
      <c r="N102" s="100">
        <v>2.4</v>
      </c>
      <c r="O102" s="100">
        <v>0</v>
      </c>
      <c r="P102" s="100">
        <v>0.26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2927</v>
      </c>
      <c r="B103" s="100">
        <v>6.53</v>
      </c>
      <c r="C103" s="100">
        <v>5.0999999999999996</v>
      </c>
      <c r="D103" s="100">
        <v>11.63</v>
      </c>
      <c r="E103" s="100">
        <v>5.51</v>
      </c>
      <c r="F103" s="100">
        <v>2.96</v>
      </c>
      <c r="G103" s="100">
        <v>38.67</v>
      </c>
      <c r="H103" s="100">
        <v>14.66</v>
      </c>
      <c r="I103" s="100">
        <v>5.99</v>
      </c>
      <c r="J103" s="100">
        <v>0.11</v>
      </c>
      <c r="K103" s="100">
        <v>135.66</v>
      </c>
      <c r="L103" s="100">
        <v>13.41</v>
      </c>
      <c r="M103" s="100">
        <v>15.66</v>
      </c>
      <c r="N103" s="100">
        <v>2.4</v>
      </c>
      <c r="O103" s="100">
        <v>0</v>
      </c>
      <c r="P103" s="100">
        <v>0.31</v>
      </c>
      <c r="Q103" s="100">
        <v>10.16</v>
      </c>
      <c r="R103" s="6"/>
      <c r="S103" s="6"/>
      <c r="T103" s="156"/>
      <c r="U103" s="6"/>
    </row>
    <row r="104" spans="1:28" customFormat="1">
      <c r="A104" s="201" t="s">
        <v>2928</v>
      </c>
      <c r="B104" s="100">
        <v>6.35</v>
      </c>
      <c r="C104" s="100">
        <v>5.05</v>
      </c>
      <c r="D104" s="100">
        <v>11.4</v>
      </c>
      <c r="E104" s="100">
        <v>5.32</v>
      </c>
      <c r="F104" s="100">
        <v>3.11</v>
      </c>
      <c r="G104" s="100">
        <v>38.67</v>
      </c>
      <c r="H104" s="100">
        <v>14.66</v>
      </c>
      <c r="I104" s="100">
        <v>5.82</v>
      </c>
      <c r="J104" s="100">
        <v>0.08</v>
      </c>
      <c r="K104" s="100">
        <v>113.58</v>
      </c>
      <c r="L104" s="100">
        <v>13.53</v>
      </c>
      <c r="M104" s="100">
        <v>16</v>
      </c>
      <c r="N104" s="100">
        <v>2.4</v>
      </c>
      <c r="O104" s="100">
        <v>0</v>
      </c>
      <c r="P104" s="100">
        <v>0.27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1.41</v>
      </c>
      <c r="C106" s="158">
        <f>MIN(C9:C104)</f>
        <v>4.37</v>
      </c>
      <c r="D106" s="158">
        <f t="shared" ref="D106:Q106" si="0">MIN(D9:D104)</f>
        <v>5.78</v>
      </c>
      <c r="E106" s="158">
        <f t="shared" si="0"/>
        <v>2.95</v>
      </c>
      <c r="F106" s="158">
        <f t="shared" si="0"/>
        <v>2</v>
      </c>
      <c r="G106" s="158">
        <f t="shared" si="0"/>
        <v>4.63</v>
      </c>
      <c r="H106" s="158">
        <f t="shared" si="0"/>
        <v>1.33</v>
      </c>
      <c r="I106" s="158">
        <f t="shared" si="0"/>
        <v>3.13</v>
      </c>
      <c r="J106" s="158">
        <f t="shared" si="0"/>
        <v>0.06</v>
      </c>
      <c r="K106" s="158">
        <f t="shared" si="0"/>
        <v>58.38</v>
      </c>
      <c r="L106" s="158">
        <f t="shared" si="0"/>
        <v>8.31</v>
      </c>
      <c r="M106" s="158">
        <f t="shared" si="0"/>
        <v>2.76</v>
      </c>
      <c r="N106" s="158">
        <f t="shared" si="0"/>
        <v>2.1</v>
      </c>
      <c r="O106" s="158">
        <f t="shared" si="0"/>
        <v>0</v>
      </c>
      <c r="P106" s="158">
        <f t="shared" si="0"/>
        <v>0.08</v>
      </c>
      <c r="Q106" s="158">
        <f t="shared" si="0"/>
        <v>9.5500000000000007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7.17</v>
      </c>
      <c r="C107" s="157">
        <f t="shared" ref="C107:Q107" si="1">MAX(C9:C104)</f>
        <v>8.9600000000000009</v>
      </c>
      <c r="D107" s="157">
        <f t="shared" si="1"/>
        <v>16.13</v>
      </c>
      <c r="E107" s="157">
        <f t="shared" si="1"/>
        <v>6.55</v>
      </c>
      <c r="F107" s="157">
        <f t="shared" si="1"/>
        <v>27.56</v>
      </c>
      <c r="G107" s="157">
        <f t="shared" si="1"/>
        <v>61.46</v>
      </c>
      <c r="H107" s="157">
        <f t="shared" si="1"/>
        <v>14.66</v>
      </c>
      <c r="I107" s="157">
        <f t="shared" si="1"/>
        <v>29.72</v>
      </c>
      <c r="J107" s="157">
        <f t="shared" si="1"/>
        <v>0.36</v>
      </c>
      <c r="K107" s="157">
        <f t="shared" si="1"/>
        <v>194.75</v>
      </c>
      <c r="L107" s="157">
        <f t="shared" si="1"/>
        <v>20.38</v>
      </c>
      <c r="M107" s="157">
        <f t="shared" si="1"/>
        <v>24.32</v>
      </c>
      <c r="N107" s="157">
        <f t="shared" si="1"/>
        <v>509.5</v>
      </c>
      <c r="O107" s="157">
        <f t="shared" si="1"/>
        <v>0.4</v>
      </c>
      <c r="P107" s="157">
        <f t="shared" si="1"/>
        <v>0.48</v>
      </c>
      <c r="Q107" s="157">
        <f t="shared" si="1"/>
        <v>11.09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4.1713541666666663</v>
      </c>
      <c r="C108" s="158">
        <f t="shared" ref="C108:Q108" si="2">AVERAGE(C9:C104)</f>
        <v>5.3798958333333324</v>
      </c>
      <c r="D108" s="158">
        <f t="shared" si="2"/>
        <v>9.55104166666667</v>
      </c>
      <c r="E108" s="158">
        <f t="shared" si="2"/>
        <v>5.2177083333333334</v>
      </c>
      <c r="F108" s="158">
        <f t="shared" si="2"/>
        <v>4.2661458333333355</v>
      </c>
      <c r="G108" s="158">
        <f t="shared" si="2"/>
        <v>18.921979166666674</v>
      </c>
      <c r="H108" s="158">
        <f t="shared" si="2"/>
        <v>6.3172916666666659</v>
      </c>
      <c r="I108" s="158">
        <f t="shared" si="2"/>
        <v>5.2937499999999984</v>
      </c>
      <c r="J108" s="158">
        <f t="shared" si="2"/>
        <v>0.18635416666666668</v>
      </c>
      <c r="K108" s="158">
        <f t="shared" si="2"/>
        <v>113.6405208333333</v>
      </c>
      <c r="L108" s="158">
        <f t="shared" si="2"/>
        <v>13.987395833333331</v>
      </c>
      <c r="M108" s="158">
        <f t="shared" si="2"/>
        <v>14.892291666666667</v>
      </c>
      <c r="N108" s="158">
        <f t="shared" si="2"/>
        <v>94.130208333333272</v>
      </c>
      <c r="O108" s="158">
        <f t="shared" si="2"/>
        <v>4.1666666666666666E-3</v>
      </c>
      <c r="P108" s="158">
        <f t="shared" si="2"/>
        <v>0.17906250000000001</v>
      </c>
      <c r="Q108" s="158">
        <f t="shared" si="2"/>
        <v>10.043541666666666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1.4585382876028687</v>
      </c>
      <c r="C109" s="158">
        <f t="shared" ref="C109:Q109" si="3">STDEV(C9:C104)</f>
        <v>0.94115885430414692</v>
      </c>
      <c r="D109" s="158">
        <f t="shared" si="3"/>
        <v>2.0785716143881783</v>
      </c>
      <c r="E109" s="158">
        <f t="shared" si="3"/>
        <v>0.86437501506387382</v>
      </c>
      <c r="F109" s="158">
        <f t="shared" si="3"/>
        <v>5.4736340992244772</v>
      </c>
      <c r="G109" s="158">
        <f t="shared" si="3"/>
        <v>15.17163715412425</v>
      </c>
      <c r="H109" s="158">
        <f t="shared" si="3"/>
        <v>4.5241930898266371</v>
      </c>
      <c r="I109" s="158">
        <f t="shared" si="3"/>
        <v>4.1211751645425254</v>
      </c>
      <c r="J109" s="158">
        <f t="shared" si="3"/>
        <v>6.3909801433725807E-2</v>
      </c>
      <c r="K109" s="158">
        <f t="shared" si="3"/>
        <v>26.542299006830376</v>
      </c>
      <c r="L109" s="158">
        <f t="shared" si="3"/>
        <v>2.5643545385850066</v>
      </c>
      <c r="M109" s="158">
        <f t="shared" si="3"/>
        <v>4.4257134968432279</v>
      </c>
      <c r="N109" s="158">
        <f t="shared" si="3"/>
        <v>148.90455022547445</v>
      </c>
      <c r="O109" s="158">
        <f t="shared" si="3"/>
        <v>4.0824829046386304E-2</v>
      </c>
      <c r="P109" s="158">
        <f t="shared" si="3"/>
        <v>8.2959446338811124E-2</v>
      </c>
      <c r="Q109" s="158">
        <f t="shared" si="3"/>
        <v>0.18074104282482015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topLeftCell="A100" workbookViewId="0">
      <selection activeCell="P15" sqref="P15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>
      <c r="A9" s="201" t="s">
        <v>2929</v>
      </c>
      <c r="B9" s="100">
        <v>6.21</v>
      </c>
      <c r="C9" s="100">
        <v>4.6399999999999997</v>
      </c>
      <c r="D9" s="100">
        <v>10.85</v>
      </c>
      <c r="E9" s="100">
        <v>5.21</v>
      </c>
      <c r="F9" s="100">
        <v>3.15</v>
      </c>
      <c r="G9" s="100">
        <v>38.67</v>
      </c>
      <c r="H9" s="100">
        <v>14.66</v>
      </c>
      <c r="I9" s="100">
        <v>6.28</v>
      </c>
      <c r="J9" s="100">
        <v>0.36</v>
      </c>
      <c r="K9" s="100">
        <v>252.56</v>
      </c>
      <c r="L9" s="100">
        <v>22.48</v>
      </c>
      <c r="M9" s="100">
        <v>38.409999999999997</v>
      </c>
      <c r="N9" s="100">
        <v>2.4</v>
      </c>
      <c r="O9" s="100">
        <v>0</v>
      </c>
      <c r="P9" s="100">
        <v>0.27</v>
      </c>
      <c r="Q9" s="100">
        <v>10</v>
      </c>
      <c r="R9" s="6"/>
      <c r="S9" s="6"/>
      <c r="T9" s="156"/>
      <c r="U9" s="6"/>
    </row>
    <row r="10" spans="1:21">
      <c r="A10" s="201" t="s">
        <v>2930</v>
      </c>
      <c r="B10" s="100">
        <v>6.47</v>
      </c>
      <c r="C10" s="100">
        <v>5.01</v>
      </c>
      <c r="D10" s="100">
        <v>11.47</v>
      </c>
      <c r="E10" s="100">
        <v>5.52</v>
      </c>
      <c r="F10" s="100">
        <v>2.41</v>
      </c>
      <c r="G10" s="100">
        <v>30.94</v>
      </c>
      <c r="H10" s="100">
        <v>12.18</v>
      </c>
      <c r="I10" s="100">
        <v>5.85</v>
      </c>
      <c r="J10" s="100">
        <v>0.42</v>
      </c>
      <c r="K10" s="100">
        <v>250.91</v>
      </c>
      <c r="L10" s="100">
        <v>22.07</v>
      </c>
      <c r="M10" s="100">
        <v>37.33</v>
      </c>
      <c r="N10" s="100">
        <v>2.4</v>
      </c>
      <c r="O10" s="100">
        <v>0</v>
      </c>
      <c r="P10" s="100">
        <v>0.3</v>
      </c>
      <c r="Q10" s="100">
        <v>10</v>
      </c>
      <c r="R10" s="6"/>
      <c r="S10" s="6"/>
      <c r="T10" s="156"/>
      <c r="U10" s="6"/>
    </row>
    <row r="11" spans="1:21">
      <c r="A11" s="201" t="s">
        <v>2931</v>
      </c>
      <c r="B11" s="100">
        <v>6.34</v>
      </c>
      <c r="C11" s="100">
        <v>5.22</v>
      </c>
      <c r="D11" s="100">
        <v>11.56</v>
      </c>
      <c r="E11" s="100">
        <v>5.52</v>
      </c>
      <c r="F11" s="100">
        <v>2.0499999999999998</v>
      </c>
      <c r="G11" s="100">
        <v>25.28</v>
      </c>
      <c r="H11" s="100">
        <v>11.4</v>
      </c>
      <c r="I11" s="100">
        <v>5.8</v>
      </c>
      <c r="J11" s="100">
        <v>0.1</v>
      </c>
      <c r="K11" s="100">
        <v>199.27</v>
      </c>
      <c r="L11" s="100">
        <v>16.73</v>
      </c>
      <c r="M11" s="100">
        <v>23.89</v>
      </c>
      <c r="N11" s="100">
        <v>2.4</v>
      </c>
      <c r="O11" s="100">
        <v>0</v>
      </c>
      <c r="P11" s="100">
        <v>0.31</v>
      </c>
      <c r="Q11" s="100">
        <v>10</v>
      </c>
      <c r="R11" s="6"/>
      <c r="S11" s="6"/>
      <c r="T11" s="156"/>
      <c r="U11" s="6"/>
    </row>
    <row r="12" spans="1:21">
      <c r="A12" s="201" t="s">
        <v>2932</v>
      </c>
      <c r="B12" s="100">
        <v>6.13</v>
      </c>
      <c r="C12" s="100">
        <v>5.32</v>
      </c>
      <c r="D12" s="100">
        <v>11.45</v>
      </c>
      <c r="E12" s="100">
        <v>5.27</v>
      </c>
      <c r="F12" s="100">
        <v>2.04</v>
      </c>
      <c r="G12" s="100">
        <v>25.28</v>
      </c>
      <c r="H12" s="100">
        <v>11.4</v>
      </c>
      <c r="I12" s="100">
        <v>5.92</v>
      </c>
      <c r="J12" s="100">
        <v>0.31</v>
      </c>
      <c r="K12" s="100">
        <v>257.18</v>
      </c>
      <c r="L12" s="100">
        <v>22.84</v>
      </c>
      <c r="M12" s="100">
        <v>39.229999999999997</v>
      </c>
      <c r="N12" s="100">
        <v>2.5</v>
      </c>
      <c r="O12" s="100">
        <v>0</v>
      </c>
      <c r="P12" s="100">
        <v>0.31</v>
      </c>
      <c r="Q12" s="100">
        <v>10</v>
      </c>
      <c r="R12" s="6"/>
      <c r="S12" s="6"/>
      <c r="T12" s="156"/>
      <c r="U12" s="6"/>
    </row>
    <row r="13" spans="1:21">
      <c r="A13" s="201" t="s">
        <v>2933</v>
      </c>
      <c r="B13" s="100">
        <v>5.9</v>
      </c>
      <c r="C13" s="100">
        <v>5.31</v>
      </c>
      <c r="D13" s="100">
        <v>11.21</v>
      </c>
      <c r="E13" s="100">
        <v>5.43</v>
      </c>
      <c r="F13" s="100">
        <v>2.0299999999999998</v>
      </c>
      <c r="G13" s="100">
        <v>25.28</v>
      </c>
      <c r="H13" s="100">
        <v>11.4</v>
      </c>
      <c r="I13" s="100">
        <v>5.72</v>
      </c>
      <c r="J13" s="100">
        <v>0.52</v>
      </c>
      <c r="K13" s="100">
        <v>254.96</v>
      </c>
      <c r="L13" s="100">
        <v>22.88</v>
      </c>
      <c r="M13" s="100">
        <v>39.32</v>
      </c>
      <c r="N13" s="100">
        <v>2.8</v>
      </c>
      <c r="O13" s="100">
        <v>0</v>
      </c>
      <c r="P13" s="100">
        <v>0.31</v>
      </c>
      <c r="Q13" s="100">
        <v>10</v>
      </c>
      <c r="R13" s="6"/>
      <c r="S13" s="6"/>
      <c r="T13" s="156"/>
      <c r="U13" s="6"/>
    </row>
    <row r="14" spans="1:21">
      <c r="A14" s="201" t="s">
        <v>2934</v>
      </c>
      <c r="B14" s="100">
        <v>5.65</v>
      </c>
      <c r="C14" s="100">
        <v>5.38</v>
      </c>
      <c r="D14" s="100">
        <v>11.04</v>
      </c>
      <c r="E14" s="100">
        <v>5.69</v>
      </c>
      <c r="F14" s="100">
        <v>2</v>
      </c>
      <c r="G14" s="100">
        <v>24.16</v>
      </c>
      <c r="H14" s="100">
        <v>11.9</v>
      </c>
      <c r="I14" s="100">
        <v>5.62</v>
      </c>
      <c r="J14" s="100">
        <v>0.45</v>
      </c>
      <c r="K14" s="100">
        <v>253.25</v>
      </c>
      <c r="L14" s="100">
        <v>22.79</v>
      </c>
      <c r="M14" s="100">
        <v>39.08</v>
      </c>
      <c r="N14" s="100">
        <v>2.9</v>
      </c>
      <c r="O14" s="100">
        <v>0</v>
      </c>
      <c r="P14" s="100">
        <v>0.3</v>
      </c>
      <c r="Q14" s="100">
        <v>10</v>
      </c>
      <c r="R14" s="6"/>
      <c r="S14" s="6"/>
      <c r="T14" s="156"/>
      <c r="U14" s="6"/>
    </row>
    <row r="15" spans="1:21">
      <c r="A15" s="201" t="s">
        <v>2935</v>
      </c>
      <c r="B15" s="100">
        <v>5.37</v>
      </c>
      <c r="C15" s="100">
        <v>5.38</v>
      </c>
      <c r="D15" s="100">
        <v>10.75</v>
      </c>
      <c r="E15" s="100">
        <v>5.36</v>
      </c>
      <c r="F15" s="100">
        <v>2</v>
      </c>
      <c r="G15" s="100">
        <v>23.3</v>
      </c>
      <c r="H15" s="100">
        <v>12.06</v>
      </c>
      <c r="I15" s="100">
        <v>5.46</v>
      </c>
      <c r="J15" s="100">
        <v>0.27</v>
      </c>
      <c r="K15" s="100">
        <v>247.6</v>
      </c>
      <c r="L15" s="100">
        <v>21.49</v>
      </c>
      <c r="M15" s="100">
        <v>35.85</v>
      </c>
      <c r="N15" s="100">
        <v>2.5</v>
      </c>
      <c r="O15" s="100">
        <v>0</v>
      </c>
      <c r="P15" s="100">
        <v>0.28000000000000003</v>
      </c>
      <c r="Q15" s="100">
        <v>10.130000000000001</v>
      </c>
      <c r="R15" s="6"/>
      <c r="S15" s="6"/>
      <c r="T15" s="156"/>
      <c r="U15" s="6"/>
    </row>
    <row r="16" spans="1:21">
      <c r="A16" s="201" t="s">
        <v>2936</v>
      </c>
      <c r="B16" s="100">
        <v>5.09</v>
      </c>
      <c r="C16" s="100">
        <v>5.4</v>
      </c>
      <c r="D16" s="100">
        <v>10.49</v>
      </c>
      <c r="E16" s="100">
        <v>5.81</v>
      </c>
      <c r="F16" s="100">
        <v>2</v>
      </c>
      <c r="G16" s="100">
        <v>23.3</v>
      </c>
      <c r="H16" s="100">
        <v>12.06</v>
      </c>
      <c r="I16" s="100">
        <v>5.33</v>
      </c>
      <c r="J16" s="100">
        <v>0.21</v>
      </c>
      <c r="K16" s="100">
        <v>263.33999999999997</v>
      </c>
      <c r="L16" s="100">
        <v>23</v>
      </c>
      <c r="M16" s="100">
        <v>39.58</v>
      </c>
      <c r="N16" s="100">
        <v>2.4</v>
      </c>
      <c r="O16" s="100">
        <v>0</v>
      </c>
      <c r="P16" s="100">
        <v>0.27</v>
      </c>
      <c r="Q16" s="100">
        <v>10</v>
      </c>
      <c r="R16" s="6"/>
      <c r="S16" s="6"/>
      <c r="T16" s="156"/>
      <c r="U16" s="6"/>
    </row>
    <row r="17" spans="1:21">
      <c r="A17" s="201" t="s">
        <v>2937</v>
      </c>
      <c r="B17" s="100">
        <v>4.87</v>
      </c>
      <c r="C17" s="100">
        <v>5.33</v>
      </c>
      <c r="D17" s="100">
        <v>10.199999999999999</v>
      </c>
      <c r="E17" s="100">
        <v>3.66</v>
      </c>
      <c r="F17" s="100">
        <v>2</v>
      </c>
      <c r="G17" s="100">
        <v>23.3</v>
      </c>
      <c r="H17" s="100">
        <v>12.06</v>
      </c>
      <c r="I17" s="100">
        <v>5.23</v>
      </c>
      <c r="J17" s="100">
        <v>0.36</v>
      </c>
      <c r="K17" s="100">
        <v>252.7</v>
      </c>
      <c r="L17" s="100">
        <v>22.7</v>
      </c>
      <c r="M17" s="100">
        <v>38.86</v>
      </c>
      <c r="N17" s="100">
        <v>2.4</v>
      </c>
      <c r="O17" s="100">
        <v>0</v>
      </c>
      <c r="P17" s="100">
        <v>0.28000000000000003</v>
      </c>
      <c r="Q17" s="100">
        <v>10</v>
      </c>
      <c r="R17" s="6"/>
      <c r="S17" s="6"/>
      <c r="T17" s="156"/>
      <c r="U17" s="6"/>
    </row>
    <row r="18" spans="1:21">
      <c r="A18" s="201" t="s">
        <v>2938</v>
      </c>
      <c r="B18" s="100">
        <v>4.66</v>
      </c>
      <c r="C18" s="100">
        <v>5.39</v>
      </c>
      <c r="D18" s="100">
        <v>10.050000000000001</v>
      </c>
      <c r="E18" s="100">
        <v>4.71</v>
      </c>
      <c r="F18" s="100">
        <v>2</v>
      </c>
      <c r="G18" s="100">
        <v>19.61</v>
      </c>
      <c r="H18" s="100">
        <v>10.91</v>
      </c>
      <c r="I18" s="100">
        <v>5.1100000000000003</v>
      </c>
      <c r="J18" s="100">
        <v>0.09</v>
      </c>
      <c r="K18" s="100">
        <v>262.04000000000002</v>
      </c>
      <c r="L18" s="100">
        <v>23.08</v>
      </c>
      <c r="M18" s="100">
        <v>39.729999999999997</v>
      </c>
      <c r="N18" s="100">
        <v>2.2000000000000002</v>
      </c>
      <c r="O18" s="100">
        <v>0</v>
      </c>
      <c r="P18" s="100">
        <v>0.27</v>
      </c>
      <c r="Q18" s="100">
        <v>10</v>
      </c>
      <c r="R18" s="6"/>
      <c r="S18" s="6"/>
      <c r="T18" s="156"/>
      <c r="U18" s="6"/>
    </row>
    <row r="19" spans="1:21">
      <c r="A19" s="201" t="s">
        <v>2939</v>
      </c>
      <c r="B19" s="100">
        <v>4.63</v>
      </c>
      <c r="C19" s="100">
        <v>5.37</v>
      </c>
      <c r="D19" s="100">
        <v>10</v>
      </c>
      <c r="E19" s="100">
        <v>4.96</v>
      </c>
      <c r="F19" s="100">
        <v>2</v>
      </c>
      <c r="G19" s="100">
        <v>16.79</v>
      </c>
      <c r="H19" s="100">
        <v>10.55</v>
      </c>
      <c r="I19" s="100">
        <v>4.9800000000000004</v>
      </c>
      <c r="J19" s="100">
        <v>0.2</v>
      </c>
      <c r="K19" s="100">
        <v>247.62</v>
      </c>
      <c r="L19" s="100">
        <v>21.38</v>
      </c>
      <c r="M19" s="100">
        <v>35.450000000000003</v>
      </c>
      <c r="N19" s="100">
        <v>2.4</v>
      </c>
      <c r="O19" s="100">
        <v>0</v>
      </c>
      <c r="P19" s="100">
        <v>0.26</v>
      </c>
      <c r="Q19" s="100">
        <v>10</v>
      </c>
      <c r="R19" s="6"/>
      <c r="S19" s="6"/>
      <c r="T19" s="156"/>
      <c r="U19" s="6"/>
    </row>
    <row r="20" spans="1:21">
      <c r="A20" s="201" t="s">
        <v>2940</v>
      </c>
      <c r="B20" s="100">
        <v>4.5599999999999996</v>
      </c>
      <c r="C20" s="100">
        <v>5.31</v>
      </c>
      <c r="D20" s="100">
        <v>9.8699999999999992</v>
      </c>
      <c r="E20" s="100">
        <v>4.8099999999999996</v>
      </c>
      <c r="F20" s="100">
        <v>2.0699999999999998</v>
      </c>
      <c r="G20" s="100">
        <v>16.79</v>
      </c>
      <c r="H20" s="100">
        <v>10.55</v>
      </c>
      <c r="I20" s="100">
        <v>4.8499999999999996</v>
      </c>
      <c r="J20" s="100">
        <v>0.08</v>
      </c>
      <c r="K20" s="100">
        <v>216.16</v>
      </c>
      <c r="L20" s="100">
        <v>17.97</v>
      </c>
      <c r="M20" s="100">
        <v>27.06</v>
      </c>
      <c r="N20" s="100">
        <v>2.4</v>
      </c>
      <c r="O20" s="100">
        <v>0</v>
      </c>
      <c r="P20" s="100">
        <v>0.26</v>
      </c>
      <c r="Q20" s="100">
        <v>10</v>
      </c>
      <c r="R20" s="6"/>
      <c r="S20" s="6"/>
      <c r="T20" s="156"/>
      <c r="U20" s="6"/>
    </row>
    <row r="21" spans="1:21">
      <c r="A21" s="201" t="s">
        <v>2941</v>
      </c>
      <c r="B21" s="100">
        <v>4.42</v>
      </c>
      <c r="C21" s="100">
        <v>5.35</v>
      </c>
      <c r="D21" s="100">
        <v>9.77</v>
      </c>
      <c r="E21" s="100">
        <v>4.6500000000000004</v>
      </c>
      <c r="F21" s="100">
        <v>2</v>
      </c>
      <c r="G21" s="100">
        <v>16.79</v>
      </c>
      <c r="H21" s="100">
        <v>10.55</v>
      </c>
      <c r="I21" s="100">
        <v>4.76</v>
      </c>
      <c r="J21" s="100">
        <v>0.22</v>
      </c>
      <c r="K21" s="100">
        <v>250.31</v>
      </c>
      <c r="L21" s="100">
        <v>22.05</v>
      </c>
      <c r="M21" s="100">
        <v>37.26</v>
      </c>
      <c r="N21" s="100">
        <v>2.4</v>
      </c>
      <c r="O21" s="100">
        <v>0</v>
      </c>
      <c r="P21" s="100">
        <v>0.25</v>
      </c>
      <c r="Q21" s="100">
        <v>10</v>
      </c>
      <c r="R21" s="6"/>
      <c r="S21" s="6"/>
      <c r="T21" s="156"/>
      <c r="U21" s="6"/>
    </row>
    <row r="22" spans="1:21">
      <c r="A22" s="201" t="s">
        <v>2942</v>
      </c>
      <c r="B22" s="100">
        <v>4.29</v>
      </c>
      <c r="C22" s="100">
        <v>5.3</v>
      </c>
      <c r="D22" s="100">
        <v>9.59</v>
      </c>
      <c r="E22" s="100">
        <v>4.74</v>
      </c>
      <c r="F22" s="100">
        <v>2.02</v>
      </c>
      <c r="G22" s="100">
        <v>15.39</v>
      </c>
      <c r="H22" s="100">
        <v>9.2100000000000009</v>
      </c>
      <c r="I22" s="100">
        <v>4.66</v>
      </c>
      <c r="J22" s="100">
        <v>0.17</v>
      </c>
      <c r="K22" s="100">
        <v>246.75</v>
      </c>
      <c r="L22" s="100">
        <v>21.88</v>
      </c>
      <c r="M22" s="100">
        <v>36.81</v>
      </c>
      <c r="N22" s="100">
        <v>2.4</v>
      </c>
      <c r="O22" s="100">
        <v>0</v>
      </c>
      <c r="P22" s="100">
        <v>0.25</v>
      </c>
      <c r="Q22" s="100">
        <v>10.82</v>
      </c>
      <c r="R22" s="6"/>
      <c r="S22" s="6"/>
      <c r="T22" s="156"/>
      <c r="U22" s="6"/>
    </row>
    <row r="23" spans="1:21">
      <c r="A23" s="201" t="s">
        <v>2943</v>
      </c>
      <c r="B23" s="100">
        <v>4.22</v>
      </c>
      <c r="C23" s="100">
        <v>5.21</v>
      </c>
      <c r="D23" s="100">
        <v>9.43</v>
      </c>
      <c r="E23" s="100">
        <v>4.93</v>
      </c>
      <c r="F23" s="100">
        <v>2</v>
      </c>
      <c r="G23" s="100">
        <v>14.32</v>
      </c>
      <c r="H23" s="100">
        <v>8.42</v>
      </c>
      <c r="I23" s="100">
        <v>4.58</v>
      </c>
      <c r="J23" s="100">
        <v>0.1</v>
      </c>
      <c r="K23" s="100">
        <v>149.61000000000001</v>
      </c>
      <c r="L23" s="100">
        <v>15.56</v>
      </c>
      <c r="M23" s="100">
        <v>20.97</v>
      </c>
      <c r="N23" s="100">
        <v>2.4</v>
      </c>
      <c r="O23" s="100">
        <v>0</v>
      </c>
      <c r="P23" s="100">
        <v>0.24</v>
      </c>
      <c r="Q23" s="100">
        <v>9.9499999999999993</v>
      </c>
      <c r="R23" s="6"/>
      <c r="S23" s="6"/>
      <c r="T23" s="156"/>
      <c r="U23" s="6"/>
    </row>
    <row r="24" spans="1:21">
      <c r="A24" s="201" t="s">
        <v>2944</v>
      </c>
      <c r="B24" s="100">
        <v>4.12</v>
      </c>
      <c r="C24" s="100">
        <v>5.14</v>
      </c>
      <c r="D24" s="100">
        <v>9.26</v>
      </c>
      <c r="E24" s="100">
        <v>4.96</v>
      </c>
      <c r="F24" s="100">
        <v>2</v>
      </c>
      <c r="G24" s="100">
        <v>14.32</v>
      </c>
      <c r="H24" s="100">
        <v>8.42</v>
      </c>
      <c r="I24" s="100">
        <v>4.47</v>
      </c>
      <c r="J24" s="100">
        <v>0.12</v>
      </c>
      <c r="K24" s="100">
        <v>156.13</v>
      </c>
      <c r="L24" s="100">
        <v>15.36</v>
      </c>
      <c r="M24" s="100">
        <v>20.54</v>
      </c>
      <c r="N24" s="100">
        <v>2.2999999999999998</v>
      </c>
      <c r="O24" s="100">
        <v>0</v>
      </c>
      <c r="P24" s="100">
        <v>0.24</v>
      </c>
      <c r="Q24" s="100">
        <v>10</v>
      </c>
      <c r="R24" s="6"/>
      <c r="S24" s="6"/>
      <c r="T24" s="156"/>
      <c r="U24" s="6"/>
    </row>
    <row r="25" spans="1:21">
      <c r="A25" s="201" t="s">
        <v>2945</v>
      </c>
      <c r="B25" s="100">
        <v>3.99</v>
      </c>
      <c r="C25" s="100">
        <v>5.13</v>
      </c>
      <c r="D25" s="100">
        <v>9.1199999999999992</v>
      </c>
      <c r="E25" s="100">
        <v>4.71</v>
      </c>
      <c r="F25" s="100">
        <v>2</v>
      </c>
      <c r="G25" s="100">
        <v>14.32</v>
      </c>
      <c r="H25" s="100">
        <v>8.42</v>
      </c>
      <c r="I25" s="100">
        <v>4.4000000000000004</v>
      </c>
      <c r="J25" s="100">
        <v>0.19</v>
      </c>
      <c r="K25" s="100">
        <v>260.49</v>
      </c>
      <c r="L25" s="100">
        <v>23.51</v>
      </c>
      <c r="M25" s="100">
        <v>40.86</v>
      </c>
      <c r="N25" s="100">
        <v>2.4</v>
      </c>
      <c r="O25" s="100">
        <v>0</v>
      </c>
      <c r="P25" s="100">
        <v>0.23</v>
      </c>
      <c r="Q25" s="100">
        <v>10.58</v>
      </c>
      <c r="R25" s="6"/>
      <c r="S25" s="6"/>
      <c r="T25" s="156"/>
      <c r="U25" s="6"/>
    </row>
    <row r="26" spans="1:21">
      <c r="A26" s="201" t="s">
        <v>2946</v>
      </c>
      <c r="B26" s="100">
        <v>3.92</v>
      </c>
      <c r="C26" s="100">
        <v>5.0599999999999996</v>
      </c>
      <c r="D26" s="100">
        <v>8.98</v>
      </c>
      <c r="E26" s="100">
        <v>4.8</v>
      </c>
      <c r="F26" s="100">
        <v>2.02</v>
      </c>
      <c r="G26" s="100">
        <v>16.29</v>
      </c>
      <c r="H26" s="100">
        <v>6.77</v>
      </c>
      <c r="I26" s="100">
        <v>4.33</v>
      </c>
      <c r="J26" s="100">
        <v>0.28999999999999998</v>
      </c>
      <c r="K26" s="100">
        <v>255.71</v>
      </c>
      <c r="L26" s="100">
        <v>23.1</v>
      </c>
      <c r="M26" s="100">
        <v>39.85</v>
      </c>
      <c r="N26" s="100">
        <v>2.4</v>
      </c>
      <c r="O26" s="100">
        <v>0</v>
      </c>
      <c r="P26" s="100">
        <v>0.23</v>
      </c>
      <c r="Q26" s="100">
        <v>10</v>
      </c>
      <c r="R26" s="6"/>
      <c r="S26" s="6"/>
      <c r="T26" s="156"/>
      <c r="U26" s="6"/>
    </row>
    <row r="27" spans="1:21">
      <c r="A27" s="201" t="s">
        <v>2947</v>
      </c>
      <c r="B27" s="100">
        <v>3.86</v>
      </c>
      <c r="C27" s="100">
        <v>5.01</v>
      </c>
      <c r="D27" s="100">
        <v>8.8699999999999992</v>
      </c>
      <c r="E27" s="100">
        <v>4.96</v>
      </c>
      <c r="F27" s="100">
        <v>2</v>
      </c>
      <c r="G27" s="100">
        <v>17.79</v>
      </c>
      <c r="H27" s="100">
        <v>6.24</v>
      </c>
      <c r="I27" s="100">
        <v>4.26</v>
      </c>
      <c r="J27" s="100">
        <v>0.15</v>
      </c>
      <c r="K27" s="100">
        <v>230.25</v>
      </c>
      <c r="L27" s="100">
        <v>19.25</v>
      </c>
      <c r="M27" s="100">
        <v>30.23</v>
      </c>
      <c r="N27" s="100">
        <v>2.2999999999999998</v>
      </c>
      <c r="O27" s="100">
        <v>0</v>
      </c>
      <c r="P27" s="100">
        <v>0.22</v>
      </c>
      <c r="Q27" s="100">
        <v>10.53</v>
      </c>
      <c r="R27" s="6"/>
      <c r="S27" s="6"/>
      <c r="T27" s="156"/>
      <c r="U27" s="6"/>
    </row>
    <row r="28" spans="1:21">
      <c r="A28" s="201" t="s">
        <v>2948</v>
      </c>
      <c r="B28" s="100">
        <v>3.84</v>
      </c>
      <c r="C28" s="100">
        <v>4.9000000000000004</v>
      </c>
      <c r="D28" s="100">
        <v>8.74</v>
      </c>
      <c r="E28" s="100">
        <v>4.8499999999999996</v>
      </c>
      <c r="F28" s="100">
        <v>2</v>
      </c>
      <c r="G28" s="100">
        <v>17.79</v>
      </c>
      <c r="H28" s="100">
        <v>6.24</v>
      </c>
      <c r="I28" s="100">
        <v>4.24</v>
      </c>
      <c r="J28" s="100">
        <v>0.1</v>
      </c>
      <c r="K28" s="100">
        <v>205.21</v>
      </c>
      <c r="L28" s="100">
        <v>19.68</v>
      </c>
      <c r="M28" s="100">
        <v>31.39</v>
      </c>
      <c r="N28" s="100">
        <v>2.6</v>
      </c>
      <c r="O28" s="100">
        <v>0.6</v>
      </c>
      <c r="P28" s="100">
        <v>0.22</v>
      </c>
      <c r="Q28" s="100">
        <v>10.33</v>
      </c>
      <c r="R28" s="6"/>
      <c r="S28" s="6"/>
      <c r="T28" s="156"/>
      <c r="U28" s="6"/>
    </row>
    <row r="29" spans="1:21">
      <c r="A29" s="201" t="s">
        <v>2949</v>
      </c>
      <c r="B29" s="100">
        <v>3.78</v>
      </c>
      <c r="C29" s="100">
        <v>4.92</v>
      </c>
      <c r="D29" s="100">
        <v>8.6999999999999993</v>
      </c>
      <c r="E29" s="100">
        <v>5.0199999999999996</v>
      </c>
      <c r="F29" s="100">
        <v>2</v>
      </c>
      <c r="G29" s="100">
        <v>17.79</v>
      </c>
      <c r="H29" s="100">
        <v>6.24</v>
      </c>
      <c r="I29" s="100">
        <v>4.12</v>
      </c>
      <c r="J29" s="100">
        <v>0.09</v>
      </c>
      <c r="K29" s="100">
        <v>184.6</v>
      </c>
      <c r="L29" s="100">
        <v>17.989999999999998</v>
      </c>
      <c r="M29" s="100">
        <v>27.08</v>
      </c>
      <c r="N29" s="100">
        <v>2.8</v>
      </c>
      <c r="O29" s="100">
        <v>0</v>
      </c>
      <c r="P29" s="100">
        <v>0.22</v>
      </c>
      <c r="Q29" s="100">
        <v>10.75</v>
      </c>
      <c r="R29" s="6"/>
      <c r="S29" s="6"/>
      <c r="T29" s="156"/>
      <c r="U29" s="6"/>
    </row>
    <row r="30" spans="1:21">
      <c r="A30" s="201" t="s">
        <v>2950</v>
      </c>
      <c r="B30" s="100">
        <v>3.8</v>
      </c>
      <c r="C30" s="100">
        <v>4.8</v>
      </c>
      <c r="D30" s="100">
        <v>8.61</v>
      </c>
      <c r="E30" s="100">
        <v>4.79</v>
      </c>
      <c r="F30" s="100">
        <v>2</v>
      </c>
      <c r="G30" s="100">
        <v>14.97</v>
      </c>
      <c r="H30" s="100">
        <v>5.12</v>
      </c>
      <c r="I30" s="100">
        <v>4.08</v>
      </c>
      <c r="J30" s="100">
        <v>0.09</v>
      </c>
      <c r="K30" s="100">
        <v>166.15</v>
      </c>
      <c r="L30" s="100">
        <v>15.88</v>
      </c>
      <c r="M30" s="100">
        <v>21.83</v>
      </c>
      <c r="N30" s="100">
        <v>2.4</v>
      </c>
      <c r="O30" s="100">
        <v>0</v>
      </c>
      <c r="P30" s="100">
        <v>0.19</v>
      </c>
      <c r="Q30" s="100">
        <v>10</v>
      </c>
      <c r="R30" s="6"/>
      <c r="S30" s="6"/>
      <c r="T30" s="156"/>
      <c r="U30" s="6"/>
    </row>
    <row r="31" spans="1:21">
      <c r="A31" s="201" t="s">
        <v>2951</v>
      </c>
      <c r="B31" s="100">
        <v>3.95</v>
      </c>
      <c r="C31" s="100">
        <v>4.57</v>
      </c>
      <c r="D31" s="100">
        <v>8.52</v>
      </c>
      <c r="E31" s="100">
        <v>4.71</v>
      </c>
      <c r="F31" s="100">
        <v>2.0099999999999998</v>
      </c>
      <c r="G31" s="100">
        <v>12.81</v>
      </c>
      <c r="H31" s="100">
        <v>4.76</v>
      </c>
      <c r="I31" s="100">
        <v>4.1100000000000003</v>
      </c>
      <c r="J31" s="100">
        <v>0.11</v>
      </c>
      <c r="K31" s="100">
        <v>256.44</v>
      </c>
      <c r="L31" s="100">
        <v>22.79</v>
      </c>
      <c r="M31" s="100">
        <v>39.08</v>
      </c>
      <c r="N31" s="100">
        <v>2.4</v>
      </c>
      <c r="O31" s="100">
        <v>0</v>
      </c>
      <c r="P31" s="100">
        <v>0.17</v>
      </c>
      <c r="Q31" s="100">
        <v>9.92</v>
      </c>
      <c r="R31" s="6"/>
      <c r="S31" s="6"/>
      <c r="T31" s="156"/>
      <c r="U31" s="6"/>
    </row>
    <row r="32" spans="1:21">
      <c r="A32" s="201" t="s">
        <v>2952</v>
      </c>
      <c r="B32" s="100">
        <v>4.0599999999999996</v>
      </c>
      <c r="C32" s="100">
        <v>4.5599999999999996</v>
      </c>
      <c r="D32" s="100">
        <v>8.6199999999999992</v>
      </c>
      <c r="E32" s="100">
        <v>4.32</v>
      </c>
      <c r="F32" s="100">
        <v>2.23</v>
      </c>
      <c r="G32" s="100">
        <v>12.81</v>
      </c>
      <c r="H32" s="100">
        <v>4.76</v>
      </c>
      <c r="I32" s="100">
        <v>4.2300000000000004</v>
      </c>
      <c r="J32" s="100">
        <v>0.05</v>
      </c>
      <c r="K32" s="100">
        <v>208.5</v>
      </c>
      <c r="L32" s="100">
        <v>18.850000000000001</v>
      </c>
      <c r="M32" s="100">
        <v>29.29</v>
      </c>
      <c r="N32" s="100">
        <v>3.9</v>
      </c>
      <c r="O32" s="100">
        <v>0</v>
      </c>
      <c r="P32" s="100">
        <v>0.15</v>
      </c>
      <c r="Q32" s="100">
        <v>10</v>
      </c>
      <c r="R32" s="6"/>
      <c r="S32" s="6"/>
      <c r="T32" s="156"/>
      <c r="U32" s="6"/>
    </row>
    <row r="33" spans="1:21">
      <c r="A33" s="201" t="s">
        <v>2953</v>
      </c>
      <c r="B33" s="100">
        <v>4.38</v>
      </c>
      <c r="C33" s="100">
        <v>4.8</v>
      </c>
      <c r="D33" s="100">
        <v>9.18</v>
      </c>
      <c r="E33" s="100">
        <v>4.4000000000000004</v>
      </c>
      <c r="F33" s="100">
        <v>2</v>
      </c>
      <c r="G33" s="100">
        <v>12.81</v>
      </c>
      <c r="H33" s="100">
        <v>4.76</v>
      </c>
      <c r="I33" s="100">
        <v>4.26</v>
      </c>
      <c r="J33" s="100">
        <v>0</v>
      </c>
      <c r="K33" s="100">
        <v>180.64</v>
      </c>
      <c r="L33" s="100">
        <v>14.54</v>
      </c>
      <c r="M33" s="100">
        <v>18.28</v>
      </c>
      <c r="N33" s="100">
        <v>5.9</v>
      </c>
      <c r="O33" s="100">
        <v>0</v>
      </c>
      <c r="P33" s="100">
        <v>0.18</v>
      </c>
      <c r="Q33" s="100">
        <v>10</v>
      </c>
      <c r="R33" s="6"/>
      <c r="S33" s="6"/>
      <c r="T33" s="156"/>
      <c r="U33" s="6"/>
    </row>
    <row r="34" spans="1:21">
      <c r="A34" s="201" t="s">
        <v>2954</v>
      </c>
      <c r="B34" s="100">
        <v>4.9800000000000004</v>
      </c>
      <c r="C34" s="100">
        <v>5.3</v>
      </c>
      <c r="D34" s="100">
        <v>10.28</v>
      </c>
      <c r="E34" s="100">
        <v>4.62</v>
      </c>
      <c r="F34" s="100">
        <v>2</v>
      </c>
      <c r="G34" s="100">
        <v>13.45</v>
      </c>
      <c r="H34" s="100">
        <v>5.59</v>
      </c>
      <c r="I34" s="100">
        <v>4.25</v>
      </c>
      <c r="J34" s="100">
        <v>0.04</v>
      </c>
      <c r="K34" s="100">
        <v>105.36</v>
      </c>
      <c r="L34" s="100">
        <v>11.76</v>
      </c>
      <c r="M34" s="100">
        <v>11.16</v>
      </c>
      <c r="N34" s="100">
        <v>11.1</v>
      </c>
      <c r="O34" s="100">
        <v>0</v>
      </c>
      <c r="P34" s="100">
        <v>0.18</v>
      </c>
      <c r="Q34" s="100">
        <v>10.5</v>
      </c>
      <c r="R34" s="6"/>
      <c r="S34" s="6"/>
      <c r="T34" s="156"/>
      <c r="U34" s="6"/>
    </row>
    <row r="35" spans="1:21">
      <c r="A35" s="201" t="s">
        <v>2955</v>
      </c>
      <c r="B35" s="100">
        <v>5.32</v>
      </c>
      <c r="C35" s="100">
        <v>5.3</v>
      </c>
      <c r="D35" s="100">
        <v>10.62</v>
      </c>
      <c r="E35" s="100">
        <v>4.38</v>
      </c>
      <c r="F35" s="100">
        <v>2.0099999999999998</v>
      </c>
      <c r="G35" s="100">
        <v>13.94</v>
      </c>
      <c r="H35" s="100">
        <v>5.86</v>
      </c>
      <c r="I35" s="100">
        <v>4.43</v>
      </c>
      <c r="J35" s="100">
        <v>0.13</v>
      </c>
      <c r="K35" s="100">
        <v>114.87</v>
      </c>
      <c r="L35" s="100">
        <v>12.18</v>
      </c>
      <c r="M35" s="100">
        <v>12.12</v>
      </c>
      <c r="N35" s="100">
        <v>20.399999999999999</v>
      </c>
      <c r="O35" s="100">
        <v>0</v>
      </c>
      <c r="P35" s="100">
        <v>0.16</v>
      </c>
      <c r="Q35" s="100">
        <v>10</v>
      </c>
      <c r="R35" s="6"/>
      <c r="S35" s="6"/>
      <c r="T35" s="156"/>
      <c r="U35" s="6"/>
    </row>
    <row r="36" spans="1:21">
      <c r="A36" s="201" t="s">
        <v>2956</v>
      </c>
      <c r="B36" s="100">
        <v>5.44</v>
      </c>
      <c r="C36" s="100">
        <v>5.19</v>
      </c>
      <c r="D36" s="100">
        <v>10.64</v>
      </c>
      <c r="E36" s="100">
        <v>4.4400000000000004</v>
      </c>
      <c r="F36" s="100">
        <v>2</v>
      </c>
      <c r="G36" s="100">
        <v>13.94</v>
      </c>
      <c r="H36" s="100">
        <v>5.86</v>
      </c>
      <c r="I36" s="100">
        <v>4.6900000000000004</v>
      </c>
      <c r="J36" s="100">
        <v>0.06</v>
      </c>
      <c r="K36" s="100">
        <v>117.48</v>
      </c>
      <c r="L36" s="100">
        <v>13.78</v>
      </c>
      <c r="M36" s="100">
        <v>16.059999999999999</v>
      </c>
      <c r="N36" s="100">
        <v>23.9</v>
      </c>
      <c r="O36" s="100">
        <v>0</v>
      </c>
      <c r="P36" s="100">
        <v>0.18</v>
      </c>
      <c r="Q36" s="100">
        <v>10</v>
      </c>
      <c r="R36" s="6"/>
      <c r="S36" s="6"/>
      <c r="T36" s="156"/>
      <c r="U36" s="6"/>
    </row>
    <row r="37" spans="1:21">
      <c r="A37" s="201" t="s">
        <v>2957</v>
      </c>
      <c r="B37" s="100">
        <v>5.73</v>
      </c>
      <c r="C37" s="100">
        <v>5.3</v>
      </c>
      <c r="D37" s="100">
        <v>11.03</v>
      </c>
      <c r="E37" s="100">
        <v>4.3</v>
      </c>
      <c r="F37" s="100">
        <v>2</v>
      </c>
      <c r="G37" s="100">
        <v>13.94</v>
      </c>
      <c r="H37" s="100">
        <v>5.86</v>
      </c>
      <c r="I37" s="100">
        <v>4.71</v>
      </c>
      <c r="J37" s="100">
        <v>0.23</v>
      </c>
      <c r="K37" s="100">
        <v>46.7</v>
      </c>
      <c r="L37" s="100">
        <v>7.84</v>
      </c>
      <c r="M37" s="100">
        <v>0.99</v>
      </c>
      <c r="N37" s="100">
        <v>20.100000000000001</v>
      </c>
      <c r="O37" s="100">
        <v>0</v>
      </c>
      <c r="P37" s="100">
        <v>0.19</v>
      </c>
      <c r="Q37" s="100">
        <v>10</v>
      </c>
      <c r="R37" s="6"/>
      <c r="S37" s="6"/>
      <c r="T37" s="156"/>
      <c r="U37" s="6"/>
    </row>
    <row r="38" spans="1:21">
      <c r="A38" s="201" t="s">
        <v>2958</v>
      </c>
      <c r="B38" s="100">
        <v>6.8</v>
      </c>
      <c r="C38" s="100">
        <v>6.05</v>
      </c>
      <c r="D38" s="100">
        <v>12.85</v>
      </c>
      <c r="E38" s="100">
        <v>4.0599999999999996</v>
      </c>
      <c r="F38" s="100">
        <v>2.38</v>
      </c>
      <c r="G38" s="100">
        <v>21.88</v>
      </c>
      <c r="H38" s="100">
        <v>7.1</v>
      </c>
      <c r="I38" s="100">
        <v>4.7300000000000004</v>
      </c>
      <c r="J38" s="100">
        <v>0.23</v>
      </c>
      <c r="K38" s="100">
        <v>43.69</v>
      </c>
      <c r="L38" s="100">
        <v>9</v>
      </c>
      <c r="M38" s="100">
        <v>3.75</v>
      </c>
      <c r="N38" s="100">
        <v>25.2</v>
      </c>
      <c r="O38" s="100">
        <v>0</v>
      </c>
      <c r="P38" s="100">
        <v>0.22</v>
      </c>
      <c r="Q38" s="100">
        <v>10</v>
      </c>
      <c r="R38" s="6"/>
      <c r="S38" s="6"/>
      <c r="T38" s="156"/>
      <c r="U38" s="6"/>
    </row>
    <row r="39" spans="1:21">
      <c r="A39" s="201" t="s">
        <v>2959</v>
      </c>
      <c r="B39" s="100">
        <v>6.75</v>
      </c>
      <c r="C39" s="100">
        <v>5.72</v>
      </c>
      <c r="D39" s="100">
        <v>12.47</v>
      </c>
      <c r="E39" s="100">
        <v>4.2300000000000004</v>
      </c>
      <c r="F39" s="100">
        <v>2</v>
      </c>
      <c r="G39" s="100">
        <v>27.95</v>
      </c>
      <c r="H39" s="100">
        <v>7.84</v>
      </c>
      <c r="I39" s="100">
        <v>5.0199999999999996</v>
      </c>
      <c r="J39" s="100">
        <v>0.2</v>
      </c>
      <c r="K39" s="100">
        <v>67.28</v>
      </c>
      <c r="L39" s="100">
        <v>9.11</v>
      </c>
      <c r="M39" s="100">
        <v>4.0999999999999996</v>
      </c>
      <c r="N39" s="100">
        <v>23.8</v>
      </c>
      <c r="O39" s="100">
        <v>0</v>
      </c>
      <c r="P39" s="100">
        <v>0.19</v>
      </c>
      <c r="Q39" s="100">
        <v>10</v>
      </c>
      <c r="R39" s="6"/>
      <c r="S39" s="6"/>
      <c r="T39" s="156"/>
      <c r="U39" s="6"/>
    </row>
    <row r="40" spans="1:21">
      <c r="A40" s="201" t="s">
        <v>2960</v>
      </c>
      <c r="B40" s="100">
        <v>6.6</v>
      </c>
      <c r="C40" s="100">
        <v>5.46</v>
      </c>
      <c r="D40" s="100">
        <v>12.06</v>
      </c>
      <c r="E40" s="100">
        <v>4.6100000000000003</v>
      </c>
      <c r="F40" s="100">
        <v>2</v>
      </c>
      <c r="G40" s="100">
        <v>27.95</v>
      </c>
      <c r="H40" s="100">
        <v>7.84</v>
      </c>
      <c r="I40" s="100">
        <v>5.54</v>
      </c>
      <c r="J40" s="100">
        <v>0.12</v>
      </c>
      <c r="K40" s="100">
        <v>160.84</v>
      </c>
      <c r="L40" s="100">
        <v>15.66</v>
      </c>
      <c r="M40" s="100">
        <v>20.57</v>
      </c>
      <c r="N40" s="100">
        <v>32.799999999999997</v>
      </c>
      <c r="O40" s="100">
        <v>0</v>
      </c>
      <c r="P40" s="100">
        <v>0.21</v>
      </c>
      <c r="Q40" s="100">
        <v>10</v>
      </c>
      <c r="R40" s="6"/>
      <c r="S40" s="6"/>
      <c r="T40" s="156"/>
      <c r="U40" s="6"/>
    </row>
    <row r="41" spans="1:21">
      <c r="A41" s="201" t="s">
        <v>2961</v>
      </c>
      <c r="B41" s="100">
        <v>6.56</v>
      </c>
      <c r="C41" s="100">
        <v>5.27</v>
      </c>
      <c r="D41" s="100">
        <v>11.84</v>
      </c>
      <c r="E41" s="100">
        <v>4.49</v>
      </c>
      <c r="F41" s="100">
        <v>2</v>
      </c>
      <c r="G41" s="100">
        <v>27.95</v>
      </c>
      <c r="H41" s="100">
        <v>7.84</v>
      </c>
      <c r="I41" s="100">
        <v>5.13</v>
      </c>
      <c r="J41" s="100">
        <v>0.13</v>
      </c>
      <c r="K41" s="100">
        <v>164.73</v>
      </c>
      <c r="L41" s="100">
        <v>15.9</v>
      </c>
      <c r="M41" s="100">
        <v>21.23</v>
      </c>
      <c r="N41" s="100">
        <v>32.6</v>
      </c>
      <c r="O41" s="100">
        <v>0</v>
      </c>
      <c r="P41" s="100">
        <v>0.21</v>
      </c>
      <c r="Q41" s="100">
        <v>10</v>
      </c>
      <c r="R41" s="6"/>
      <c r="S41" s="6"/>
      <c r="T41" s="156"/>
      <c r="U41" s="6"/>
    </row>
    <row r="42" spans="1:21">
      <c r="A42" s="201" t="s">
        <v>2962</v>
      </c>
      <c r="B42" s="100">
        <v>6.54</v>
      </c>
      <c r="C42" s="100">
        <v>5.17</v>
      </c>
      <c r="D42" s="100">
        <v>11.71</v>
      </c>
      <c r="E42" s="100">
        <v>4.18</v>
      </c>
      <c r="F42" s="100">
        <v>2.42</v>
      </c>
      <c r="G42" s="100">
        <v>31.5</v>
      </c>
      <c r="H42" s="100">
        <v>8.3699999999999992</v>
      </c>
      <c r="I42" s="100">
        <v>5.34</v>
      </c>
      <c r="J42" s="100">
        <v>0.11</v>
      </c>
      <c r="K42" s="100">
        <v>227.29</v>
      </c>
      <c r="L42" s="100">
        <v>20.8</v>
      </c>
      <c r="M42" s="100">
        <v>33.58</v>
      </c>
      <c r="N42" s="100">
        <v>28.1</v>
      </c>
      <c r="O42" s="100">
        <v>0</v>
      </c>
      <c r="P42" s="100">
        <v>0.2</v>
      </c>
      <c r="Q42" s="100">
        <v>10</v>
      </c>
      <c r="R42" s="6"/>
      <c r="S42" s="6"/>
      <c r="T42" s="156"/>
      <c r="U42" s="6"/>
    </row>
    <row r="43" spans="1:21">
      <c r="A43" s="201" t="s">
        <v>2963</v>
      </c>
      <c r="B43" s="100">
        <v>6.74</v>
      </c>
      <c r="C43" s="100">
        <v>5.29</v>
      </c>
      <c r="D43" s="100">
        <v>12.04</v>
      </c>
      <c r="E43" s="100">
        <v>4.46</v>
      </c>
      <c r="F43" s="100">
        <v>2.0299999999999998</v>
      </c>
      <c r="G43" s="100">
        <v>34.21</v>
      </c>
      <c r="H43" s="100">
        <v>8.5399999999999991</v>
      </c>
      <c r="I43" s="100">
        <v>5.49</v>
      </c>
      <c r="J43" s="100">
        <v>0.11</v>
      </c>
      <c r="K43" s="100">
        <v>176.28</v>
      </c>
      <c r="L43" s="100">
        <v>17.16</v>
      </c>
      <c r="M43" s="100">
        <v>24.47</v>
      </c>
      <c r="N43" s="100">
        <v>28.4</v>
      </c>
      <c r="O43" s="100">
        <v>0</v>
      </c>
      <c r="P43" s="100">
        <v>0.23</v>
      </c>
      <c r="Q43" s="100">
        <v>9.77</v>
      </c>
      <c r="R43" s="6"/>
      <c r="S43" s="6"/>
      <c r="T43" s="156"/>
      <c r="U43" s="6"/>
    </row>
    <row r="44" spans="1:21">
      <c r="A44" s="201" t="s">
        <v>2964</v>
      </c>
      <c r="B44" s="100">
        <v>6.77</v>
      </c>
      <c r="C44" s="100">
        <v>5.14</v>
      </c>
      <c r="D44" s="100">
        <v>11.91</v>
      </c>
      <c r="E44" s="100">
        <v>4.37</v>
      </c>
      <c r="F44" s="100">
        <v>2</v>
      </c>
      <c r="G44" s="100">
        <v>34.21</v>
      </c>
      <c r="H44" s="100">
        <v>8.5399999999999991</v>
      </c>
      <c r="I44" s="100">
        <v>5.38</v>
      </c>
      <c r="J44" s="100">
        <v>0.09</v>
      </c>
      <c r="K44" s="100">
        <v>176.65</v>
      </c>
      <c r="L44" s="100">
        <v>18.309999999999999</v>
      </c>
      <c r="M44" s="100">
        <v>27.52</v>
      </c>
      <c r="N44" s="100">
        <v>21.5</v>
      </c>
      <c r="O44" s="100">
        <v>0</v>
      </c>
      <c r="P44" s="100">
        <v>0.22</v>
      </c>
      <c r="Q44" s="100">
        <v>10</v>
      </c>
      <c r="R44" s="6"/>
      <c r="S44" s="6"/>
      <c r="T44" s="156"/>
      <c r="U44" s="6"/>
    </row>
    <row r="45" spans="1:21">
      <c r="A45" s="201" t="s">
        <v>2965</v>
      </c>
      <c r="B45" s="100">
        <v>6.66</v>
      </c>
      <c r="C45" s="100">
        <v>5.03</v>
      </c>
      <c r="D45" s="100">
        <v>11.68</v>
      </c>
      <c r="E45" s="100">
        <v>4.24</v>
      </c>
      <c r="F45" s="100">
        <v>2.14</v>
      </c>
      <c r="G45" s="100">
        <v>34.21</v>
      </c>
      <c r="H45" s="100">
        <v>8.5399999999999991</v>
      </c>
      <c r="I45" s="100">
        <v>5.47</v>
      </c>
      <c r="J45" s="100">
        <v>0.17</v>
      </c>
      <c r="K45" s="100">
        <v>225.76</v>
      </c>
      <c r="L45" s="100">
        <v>20.149999999999999</v>
      </c>
      <c r="M45" s="100">
        <v>31.68</v>
      </c>
      <c r="N45" s="100">
        <v>40.6</v>
      </c>
      <c r="O45" s="100">
        <v>0.2</v>
      </c>
      <c r="P45" s="100">
        <v>0.2</v>
      </c>
      <c r="Q45" s="100">
        <v>10</v>
      </c>
      <c r="R45" s="6"/>
      <c r="S45" s="6"/>
      <c r="T45" s="156"/>
      <c r="U45" s="6"/>
    </row>
    <row r="46" spans="1:21">
      <c r="A46" s="201" t="s">
        <v>2966</v>
      </c>
      <c r="B46" s="100">
        <v>6.74</v>
      </c>
      <c r="C46" s="100">
        <v>5.13</v>
      </c>
      <c r="D46" s="100">
        <v>11.87</v>
      </c>
      <c r="E46" s="100">
        <v>4.07</v>
      </c>
      <c r="F46" s="100">
        <v>2</v>
      </c>
      <c r="G46" s="100">
        <v>33.17</v>
      </c>
      <c r="H46" s="100">
        <v>9.89</v>
      </c>
      <c r="I46" s="100">
        <v>5.55</v>
      </c>
      <c r="J46" s="100">
        <v>0.15</v>
      </c>
      <c r="K46" s="100">
        <v>251.31</v>
      </c>
      <c r="L46" s="100">
        <v>23.69</v>
      </c>
      <c r="M46" s="100">
        <v>39.78</v>
      </c>
      <c r="N46" s="100">
        <v>69.8</v>
      </c>
      <c r="O46" s="100">
        <v>0</v>
      </c>
      <c r="P46" s="100">
        <v>0.22</v>
      </c>
      <c r="Q46" s="100">
        <v>10</v>
      </c>
      <c r="R46" s="6"/>
      <c r="S46" s="6"/>
      <c r="T46" s="156"/>
      <c r="U46" s="6"/>
    </row>
    <row r="47" spans="1:21">
      <c r="A47" s="201" t="s">
        <v>2967</v>
      </c>
      <c r="B47" s="100">
        <v>6.8</v>
      </c>
      <c r="C47" s="100">
        <v>5.26</v>
      </c>
      <c r="D47" s="100">
        <v>12.06</v>
      </c>
      <c r="E47" s="100">
        <v>4.59</v>
      </c>
      <c r="F47" s="100">
        <v>2</v>
      </c>
      <c r="G47" s="100">
        <v>32.369999999999997</v>
      </c>
      <c r="H47" s="100">
        <v>10.32</v>
      </c>
      <c r="I47" s="100">
        <v>5.47</v>
      </c>
      <c r="J47" s="100">
        <v>0.18</v>
      </c>
      <c r="K47" s="100">
        <v>252.74</v>
      </c>
      <c r="L47" s="100">
        <v>22.48</v>
      </c>
      <c r="M47" s="100">
        <v>36.520000000000003</v>
      </c>
      <c r="N47" s="100">
        <v>80.400000000000006</v>
      </c>
      <c r="O47" s="100">
        <v>0</v>
      </c>
      <c r="P47" s="100">
        <v>0.23</v>
      </c>
      <c r="Q47" s="100">
        <v>10</v>
      </c>
      <c r="R47" s="6"/>
      <c r="S47" s="6"/>
      <c r="T47" s="156"/>
      <c r="U47" s="6"/>
    </row>
    <row r="48" spans="1:21">
      <c r="A48" s="201" t="s">
        <v>2968</v>
      </c>
      <c r="B48" s="100">
        <v>6.76</v>
      </c>
      <c r="C48" s="100">
        <v>5.08</v>
      </c>
      <c r="D48" s="100">
        <v>11.85</v>
      </c>
      <c r="E48" s="100">
        <v>4.66</v>
      </c>
      <c r="F48" s="100">
        <v>2</v>
      </c>
      <c r="G48" s="100">
        <v>32.369999999999997</v>
      </c>
      <c r="H48" s="100">
        <v>10.32</v>
      </c>
      <c r="I48" s="100">
        <v>5.42</v>
      </c>
      <c r="J48" s="100">
        <v>0.24</v>
      </c>
      <c r="K48" s="100">
        <v>236.82</v>
      </c>
      <c r="L48" s="100">
        <v>21.63</v>
      </c>
      <c r="M48" s="100">
        <v>34.67</v>
      </c>
      <c r="N48" s="100">
        <v>67.2</v>
      </c>
      <c r="O48" s="100">
        <v>0</v>
      </c>
      <c r="P48" s="100">
        <v>0.21</v>
      </c>
      <c r="Q48" s="100">
        <v>10</v>
      </c>
      <c r="R48" s="6"/>
      <c r="S48" s="6"/>
      <c r="T48" s="156"/>
      <c r="U48" s="6"/>
    </row>
    <row r="49" spans="1:21">
      <c r="A49" s="201" t="s">
        <v>2969</v>
      </c>
      <c r="B49" s="100">
        <v>6.6</v>
      </c>
      <c r="C49" s="100">
        <v>5.13</v>
      </c>
      <c r="D49" s="100">
        <v>11.73</v>
      </c>
      <c r="E49" s="100">
        <v>4.97</v>
      </c>
      <c r="F49" s="100">
        <v>2</v>
      </c>
      <c r="G49" s="100">
        <v>32.369999999999997</v>
      </c>
      <c r="H49" s="100">
        <v>10.32</v>
      </c>
      <c r="I49" s="100">
        <v>5.48</v>
      </c>
      <c r="J49" s="100">
        <v>0.19</v>
      </c>
      <c r="K49" s="100">
        <v>235.02</v>
      </c>
      <c r="L49" s="100">
        <v>20.75</v>
      </c>
      <c r="M49" s="100">
        <v>32.22</v>
      </c>
      <c r="N49" s="100">
        <v>79</v>
      </c>
      <c r="O49" s="100">
        <v>0</v>
      </c>
      <c r="P49" s="100">
        <v>0.22</v>
      </c>
      <c r="Q49" s="100">
        <v>10</v>
      </c>
      <c r="R49" s="6"/>
      <c r="S49" s="6"/>
      <c r="T49" s="156"/>
      <c r="U49" s="6"/>
    </row>
    <row r="50" spans="1:21">
      <c r="A50" s="201" t="s">
        <v>2970</v>
      </c>
      <c r="B50" s="100">
        <v>6.28</v>
      </c>
      <c r="C50" s="100">
        <v>5.28</v>
      </c>
      <c r="D50" s="100">
        <v>11.55</v>
      </c>
      <c r="E50" s="100">
        <v>5.49</v>
      </c>
      <c r="F50" s="100">
        <v>2</v>
      </c>
      <c r="G50" s="100">
        <v>28.02</v>
      </c>
      <c r="H50" s="100">
        <v>9.74</v>
      </c>
      <c r="I50" s="100">
        <v>5.42</v>
      </c>
      <c r="J50" s="100">
        <v>0.21</v>
      </c>
      <c r="K50" s="100">
        <v>230.94</v>
      </c>
      <c r="L50" s="100">
        <v>21.06</v>
      </c>
      <c r="M50" s="100">
        <v>32.64</v>
      </c>
      <c r="N50" s="100">
        <v>92.7</v>
      </c>
      <c r="O50" s="100">
        <v>0</v>
      </c>
      <c r="P50" s="100">
        <v>0.24</v>
      </c>
      <c r="Q50" s="100">
        <v>10</v>
      </c>
      <c r="R50" s="6"/>
      <c r="S50" s="6"/>
      <c r="T50" s="156"/>
      <c r="U50" s="6"/>
    </row>
    <row r="51" spans="1:21">
      <c r="A51" s="201" t="s">
        <v>2971</v>
      </c>
      <c r="B51" s="100">
        <v>6</v>
      </c>
      <c r="C51" s="100">
        <v>5.38</v>
      </c>
      <c r="D51" s="100">
        <v>11.38</v>
      </c>
      <c r="E51" s="100">
        <v>6.03</v>
      </c>
      <c r="F51" s="100">
        <v>2.04</v>
      </c>
      <c r="G51" s="100">
        <v>24.69</v>
      </c>
      <c r="H51" s="100">
        <v>9.56</v>
      </c>
      <c r="I51" s="100">
        <v>5.19</v>
      </c>
      <c r="J51" s="100">
        <v>0.36</v>
      </c>
      <c r="K51" s="100">
        <v>245.1</v>
      </c>
      <c r="L51" s="100">
        <v>22.83</v>
      </c>
      <c r="M51" s="100">
        <v>35.51</v>
      </c>
      <c r="N51" s="100">
        <v>161.4</v>
      </c>
      <c r="O51" s="100">
        <v>0</v>
      </c>
      <c r="P51" s="100">
        <v>0.24</v>
      </c>
      <c r="Q51" s="100">
        <v>10</v>
      </c>
      <c r="R51" s="6"/>
      <c r="S51" s="6"/>
      <c r="T51" s="156"/>
      <c r="U51" s="6"/>
    </row>
    <row r="52" spans="1:21">
      <c r="A52" s="201" t="s">
        <v>2972</v>
      </c>
      <c r="B52" s="100">
        <v>5.69</v>
      </c>
      <c r="C52" s="100">
        <v>5.47</v>
      </c>
      <c r="D52" s="100">
        <v>11.17</v>
      </c>
      <c r="E52" s="100">
        <v>5.81</v>
      </c>
      <c r="F52" s="100">
        <v>2</v>
      </c>
      <c r="G52" s="100">
        <v>24.69</v>
      </c>
      <c r="H52" s="100">
        <v>9.56</v>
      </c>
      <c r="I52" s="100">
        <v>5.12</v>
      </c>
      <c r="J52" s="100">
        <v>0.3</v>
      </c>
      <c r="K52" s="100">
        <v>236.6</v>
      </c>
      <c r="L52" s="100">
        <v>21.97</v>
      </c>
      <c r="M52" s="100">
        <v>31.08</v>
      </c>
      <c r="N52" s="100">
        <v>259.3</v>
      </c>
      <c r="O52" s="100">
        <v>0</v>
      </c>
      <c r="P52" s="100">
        <v>0.24</v>
      </c>
      <c r="Q52" s="100">
        <v>10</v>
      </c>
      <c r="R52" s="6"/>
      <c r="S52" s="6"/>
      <c r="T52" s="156"/>
      <c r="U52" s="6"/>
    </row>
    <row r="53" spans="1:21">
      <c r="A53" s="201" t="s">
        <v>2973</v>
      </c>
      <c r="B53" s="100">
        <v>5.37</v>
      </c>
      <c r="C53" s="100">
        <v>5.74</v>
      </c>
      <c r="D53" s="100">
        <v>11.11</v>
      </c>
      <c r="E53" s="100">
        <v>6.15</v>
      </c>
      <c r="F53" s="100">
        <v>2</v>
      </c>
      <c r="G53" s="100">
        <v>24.69</v>
      </c>
      <c r="H53" s="100">
        <v>9.56</v>
      </c>
      <c r="I53" s="100">
        <v>5.0999999999999996</v>
      </c>
      <c r="J53" s="100">
        <v>0.43</v>
      </c>
      <c r="K53" s="100">
        <v>272.67</v>
      </c>
      <c r="L53" s="100">
        <v>27.87</v>
      </c>
      <c r="M53" s="100">
        <v>41.14</v>
      </c>
      <c r="N53" s="100">
        <v>460.4</v>
      </c>
      <c r="O53" s="100">
        <v>0</v>
      </c>
      <c r="P53" s="100">
        <v>0.24</v>
      </c>
      <c r="Q53" s="100">
        <v>10</v>
      </c>
      <c r="R53" s="6"/>
      <c r="S53" s="6"/>
      <c r="T53" s="156"/>
      <c r="U53" s="6"/>
    </row>
    <row r="54" spans="1:21">
      <c r="A54" s="201" t="s">
        <v>2974</v>
      </c>
      <c r="B54" s="100">
        <v>5.2</v>
      </c>
      <c r="C54" s="100">
        <v>6.09</v>
      </c>
      <c r="D54" s="100">
        <v>11.29</v>
      </c>
      <c r="E54" s="100">
        <v>6.29</v>
      </c>
      <c r="F54" s="100">
        <v>2.0099999999999998</v>
      </c>
      <c r="G54" s="100">
        <v>23.5</v>
      </c>
      <c r="H54" s="100">
        <v>10.63</v>
      </c>
      <c r="I54" s="100">
        <v>4.9800000000000004</v>
      </c>
      <c r="J54" s="100">
        <v>0.46</v>
      </c>
      <c r="K54" s="100">
        <v>297.20999999999998</v>
      </c>
      <c r="L54" s="100">
        <v>26.68</v>
      </c>
      <c r="M54" s="100">
        <v>42.82</v>
      </c>
      <c r="N54" s="100">
        <v>257.3</v>
      </c>
      <c r="O54" s="100">
        <v>0</v>
      </c>
      <c r="P54" s="100">
        <v>0.25</v>
      </c>
      <c r="Q54" s="100">
        <v>10</v>
      </c>
      <c r="R54" s="6"/>
      <c r="S54" s="6"/>
      <c r="T54" s="156"/>
      <c r="U54" s="6"/>
    </row>
    <row r="55" spans="1:21">
      <c r="A55" s="201" t="s">
        <v>2975</v>
      </c>
      <c r="B55" s="100">
        <v>5.17</v>
      </c>
      <c r="C55" s="100">
        <v>6.32</v>
      </c>
      <c r="D55" s="100">
        <v>11.49</v>
      </c>
      <c r="E55" s="100">
        <v>6.42</v>
      </c>
      <c r="F55" s="100">
        <v>2</v>
      </c>
      <c r="G55" s="100">
        <v>22.6</v>
      </c>
      <c r="H55" s="100">
        <v>11.24</v>
      </c>
      <c r="I55" s="100">
        <v>5</v>
      </c>
      <c r="J55" s="100">
        <v>0.32</v>
      </c>
      <c r="K55" s="100">
        <v>272</v>
      </c>
      <c r="L55" s="100">
        <v>24.19</v>
      </c>
      <c r="M55" s="100">
        <v>38.340000000000003</v>
      </c>
      <c r="N55" s="100">
        <v>179.6</v>
      </c>
      <c r="O55" s="100">
        <v>0</v>
      </c>
      <c r="P55" s="100">
        <v>0.27</v>
      </c>
      <c r="Q55" s="100">
        <v>10.199999999999999</v>
      </c>
      <c r="R55" s="6"/>
      <c r="S55" s="6"/>
      <c r="T55" s="156"/>
      <c r="U55" s="6"/>
    </row>
    <row r="56" spans="1:21">
      <c r="A56" s="201" t="s">
        <v>2976</v>
      </c>
      <c r="B56" s="100">
        <v>4.96</v>
      </c>
      <c r="C56" s="100">
        <v>6.43</v>
      </c>
      <c r="D56" s="100">
        <v>11.39</v>
      </c>
      <c r="E56" s="100">
        <v>6.28</v>
      </c>
      <c r="F56" s="100">
        <v>2</v>
      </c>
      <c r="G56" s="100">
        <v>22.6</v>
      </c>
      <c r="H56" s="100">
        <v>11.24</v>
      </c>
      <c r="I56" s="100">
        <v>5.23</v>
      </c>
      <c r="J56" s="100">
        <v>0.51</v>
      </c>
      <c r="K56" s="100">
        <v>284.47000000000003</v>
      </c>
      <c r="L56" s="100">
        <v>27.99</v>
      </c>
      <c r="M56" s="100">
        <v>43.99</v>
      </c>
      <c r="N56" s="100">
        <v>348.1</v>
      </c>
      <c r="O56" s="100">
        <v>0</v>
      </c>
      <c r="P56" s="100">
        <v>0.28000000000000003</v>
      </c>
      <c r="Q56" s="100">
        <v>10.55</v>
      </c>
      <c r="R56" s="6"/>
      <c r="S56" s="6"/>
      <c r="T56" s="156"/>
      <c r="U56" s="6"/>
    </row>
    <row r="57" spans="1:21">
      <c r="A57" s="201" t="s">
        <v>2977</v>
      </c>
      <c r="B57" s="100">
        <v>4.74</v>
      </c>
      <c r="C57" s="100">
        <v>6.59</v>
      </c>
      <c r="D57" s="100">
        <v>11.33</v>
      </c>
      <c r="E57" s="100">
        <v>6.2</v>
      </c>
      <c r="F57" s="100">
        <v>2.0099999999999998</v>
      </c>
      <c r="G57" s="100">
        <v>22.6</v>
      </c>
      <c r="H57" s="100">
        <v>11.24</v>
      </c>
      <c r="I57" s="100">
        <v>5.43</v>
      </c>
      <c r="J57" s="100">
        <v>0.49</v>
      </c>
      <c r="K57" s="100">
        <v>299.14</v>
      </c>
      <c r="L57" s="100">
        <v>30.56</v>
      </c>
      <c r="M57" s="100">
        <v>46.41</v>
      </c>
      <c r="N57" s="100">
        <v>520.1</v>
      </c>
      <c r="O57" s="100">
        <v>0</v>
      </c>
      <c r="P57" s="100">
        <v>0.3</v>
      </c>
      <c r="Q57" s="100">
        <v>10.51</v>
      </c>
      <c r="R57" s="6"/>
      <c r="S57" s="6"/>
      <c r="T57" s="156"/>
      <c r="U57" s="6"/>
    </row>
    <row r="58" spans="1:21">
      <c r="A58" s="201" t="s">
        <v>2978</v>
      </c>
      <c r="B58" s="100">
        <v>4.6500000000000004</v>
      </c>
      <c r="C58" s="100">
        <v>6.94</v>
      </c>
      <c r="D58" s="100">
        <v>11.59</v>
      </c>
      <c r="E58" s="100">
        <v>6.46</v>
      </c>
      <c r="F58" s="100">
        <v>2</v>
      </c>
      <c r="G58" s="100">
        <v>23.52</v>
      </c>
      <c r="H58" s="100">
        <v>10.3</v>
      </c>
      <c r="I58" s="100">
        <v>5.55</v>
      </c>
      <c r="J58" s="100">
        <v>0.52</v>
      </c>
      <c r="K58" s="100">
        <v>325.25</v>
      </c>
      <c r="L58" s="100">
        <v>26.07</v>
      </c>
      <c r="M58" s="100">
        <v>40.869999999999997</v>
      </c>
      <c r="N58" s="100">
        <v>270.5</v>
      </c>
      <c r="O58" s="100">
        <v>0</v>
      </c>
      <c r="P58" s="100">
        <v>0.33</v>
      </c>
      <c r="Q58" s="100">
        <v>10.01</v>
      </c>
      <c r="R58" s="6"/>
      <c r="S58" s="6"/>
      <c r="T58" s="156"/>
      <c r="U58" s="6"/>
    </row>
    <row r="59" spans="1:21">
      <c r="A59" s="201" t="s">
        <v>2979</v>
      </c>
      <c r="B59" s="100">
        <v>4.63</v>
      </c>
      <c r="C59" s="100">
        <v>7.19</v>
      </c>
      <c r="D59" s="100">
        <v>11.82</v>
      </c>
      <c r="E59" s="100">
        <v>6.43</v>
      </c>
      <c r="F59" s="100">
        <v>2.0499999999999998</v>
      </c>
      <c r="G59" s="100">
        <v>24.2</v>
      </c>
      <c r="H59" s="100">
        <v>10.01</v>
      </c>
      <c r="I59" s="100">
        <v>5.82</v>
      </c>
      <c r="J59" s="100">
        <v>0.2</v>
      </c>
      <c r="K59" s="100">
        <v>303.51</v>
      </c>
      <c r="L59" s="100">
        <v>23.54</v>
      </c>
      <c r="M59" s="100">
        <v>36.549999999999997</v>
      </c>
      <c r="N59" s="100">
        <v>184.1</v>
      </c>
      <c r="O59" s="100">
        <v>0</v>
      </c>
      <c r="P59" s="100">
        <v>0.35</v>
      </c>
      <c r="Q59" s="100">
        <v>10.41</v>
      </c>
      <c r="R59" s="6"/>
      <c r="S59" s="6"/>
      <c r="T59" s="156"/>
      <c r="U59" s="6"/>
    </row>
    <row r="60" spans="1:21">
      <c r="A60" s="201" t="s">
        <v>2980</v>
      </c>
      <c r="B60" s="100">
        <v>4.47</v>
      </c>
      <c r="C60" s="100">
        <v>7.22</v>
      </c>
      <c r="D60" s="100">
        <v>11.69</v>
      </c>
      <c r="E60" s="100">
        <v>6.57</v>
      </c>
      <c r="F60" s="100">
        <v>2.2200000000000002</v>
      </c>
      <c r="G60" s="100">
        <v>24.2</v>
      </c>
      <c r="H60" s="100">
        <v>10.01</v>
      </c>
      <c r="I60" s="100">
        <v>6.22</v>
      </c>
      <c r="J60" s="100">
        <v>0.32</v>
      </c>
      <c r="K60" s="100">
        <v>1.22</v>
      </c>
      <c r="L60" s="100">
        <v>18.649999999999999</v>
      </c>
      <c r="M60" s="100">
        <v>23.94</v>
      </c>
      <c r="N60" s="100">
        <v>225</v>
      </c>
      <c r="O60" s="100">
        <v>0</v>
      </c>
      <c r="P60" s="100">
        <v>0.37</v>
      </c>
      <c r="Q60" s="100">
        <v>10</v>
      </c>
      <c r="R60" s="6"/>
      <c r="S60" s="6"/>
      <c r="T60" s="156"/>
      <c r="U60" s="6"/>
    </row>
    <row r="61" spans="1:21">
      <c r="A61" s="201" t="s">
        <v>2981</v>
      </c>
      <c r="B61" s="100">
        <v>4.22</v>
      </c>
      <c r="C61" s="100">
        <v>7.34</v>
      </c>
      <c r="D61" s="100">
        <v>11.56</v>
      </c>
      <c r="E61" s="100">
        <v>6.33</v>
      </c>
      <c r="F61" s="100">
        <v>2.71</v>
      </c>
      <c r="G61" s="100">
        <v>24.2</v>
      </c>
      <c r="H61" s="100">
        <v>10.01</v>
      </c>
      <c r="I61" s="100">
        <v>6.61</v>
      </c>
      <c r="J61" s="100">
        <v>0.15</v>
      </c>
      <c r="K61" s="100">
        <v>16.2</v>
      </c>
      <c r="L61" s="100">
        <v>17.25</v>
      </c>
      <c r="M61" s="100">
        <v>19.39</v>
      </c>
      <c r="N61" s="100">
        <v>244.5</v>
      </c>
      <c r="O61" s="100">
        <v>0</v>
      </c>
      <c r="P61" s="100">
        <v>0.38</v>
      </c>
      <c r="Q61" s="100">
        <v>10</v>
      </c>
      <c r="R61" s="6"/>
      <c r="S61" s="6"/>
      <c r="T61" s="156"/>
      <c r="U61" s="6"/>
    </row>
    <row r="62" spans="1:21">
      <c r="A62" s="201" t="s">
        <v>2982</v>
      </c>
      <c r="B62" s="100">
        <v>3.86</v>
      </c>
      <c r="C62" s="100">
        <v>7.38</v>
      </c>
      <c r="D62" s="100">
        <v>11.24</v>
      </c>
      <c r="E62" s="100">
        <v>6.5</v>
      </c>
      <c r="F62" s="100">
        <v>4.41</v>
      </c>
      <c r="G62" s="100">
        <v>31.94</v>
      </c>
      <c r="H62" s="100">
        <v>15.15</v>
      </c>
      <c r="I62" s="100">
        <v>6.82</v>
      </c>
      <c r="J62" s="100">
        <v>0.22</v>
      </c>
      <c r="K62" s="100">
        <v>33.17</v>
      </c>
      <c r="L62" s="100">
        <v>15.14</v>
      </c>
      <c r="M62" s="100">
        <v>15.41</v>
      </c>
      <c r="N62" s="100">
        <v>186.1</v>
      </c>
      <c r="O62" s="100">
        <v>0</v>
      </c>
      <c r="P62" s="100">
        <v>0.39</v>
      </c>
      <c r="Q62" s="100">
        <v>10.6</v>
      </c>
      <c r="R62" s="6"/>
      <c r="S62" s="6"/>
      <c r="T62" s="156"/>
      <c r="U62" s="6"/>
    </row>
    <row r="63" spans="1:21">
      <c r="A63" s="201" t="s">
        <v>2983</v>
      </c>
      <c r="B63" s="100">
        <v>3.55</v>
      </c>
      <c r="C63" s="100">
        <v>7.26</v>
      </c>
      <c r="D63" s="100">
        <v>10.81</v>
      </c>
      <c r="E63" s="100">
        <v>6.53</v>
      </c>
      <c r="F63" s="100">
        <v>2.9</v>
      </c>
      <c r="G63" s="100">
        <v>37.590000000000003</v>
      </c>
      <c r="H63" s="100">
        <v>16.760000000000002</v>
      </c>
      <c r="I63" s="100">
        <v>7.03</v>
      </c>
      <c r="J63" s="100">
        <v>0.01</v>
      </c>
      <c r="K63" s="100">
        <v>358.81</v>
      </c>
      <c r="L63" s="100">
        <v>17.16</v>
      </c>
      <c r="M63" s="100">
        <v>22.23</v>
      </c>
      <c r="N63" s="100">
        <v>114.7</v>
      </c>
      <c r="O63" s="100">
        <v>0</v>
      </c>
      <c r="P63" s="100">
        <v>0.41</v>
      </c>
      <c r="Q63" s="100">
        <v>10</v>
      </c>
      <c r="R63" s="6"/>
      <c r="S63" s="6"/>
      <c r="T63" s="156"/>
      <c r="U63" s="6"/>
    </row>
    <row r="64" spans="1:21">
      <c r="A64" s="201" t="s">
        <v>2984</v>
      </c>
      <c r="B64" s="100">
        <v>3.25</v>
      </c>
      <c r="C64" s="100">
        <v>7.29</v>
      </c>
      <c r="D64" s="100">
        <v>10.54</v>
      </c>
      <c r="E64" s="100">
        <v>6.45</v>
      </c>
      <c r="F64" s="100">
        <v>2.7</v>
      </c>
      <c r="G64" s="100">
        <v>37.590000000000003</v>
      </c>
      <c r="H64" s="100">
        <v>16.760000000000002</v>
      </c>
      <c r="I64" s="100">
        <v>7.19</v>
      </c>
      <c r="J64" s="100">
        <v>0.17</v>
      </c>
      <c r="K64" s="100">
        <v>10.3</v>
      </c>
      <c r="L64" s="100">
        <v>15.63</v>
      </c>
      <c r="M64" s="100">
        <v>19.2</v>
      </c>
      <c r="N64" s="100">
        <v>76.5</v>
      </c>
      <c r="O64" s="100">
        <v>0</v>
      </c>
      <c r="P64" s="100">
        <v>0.4</v>
      </c>
      <c r="Q64" s="100">
        <v>10</v>
      </c>
      <c r="R64" s="6"/>
      <c r="S64" s="6"/>
      <c r="T64" s="156"/>
      <c r="U64" s="6"/>
    </row>
    <row r="65" spans="1:21">
      <c r="A65" s="201" t="s">
        <v>2985</v>
      </c>
      <c r="B65" s="100">
        <v>3.21</v>
      </c>
      <c r="C65" s="100">
        <v>7.68</v>
      </c>
      <c r="D65" s="100">
        <v>10.89</v>
      </c>
      <c r="E65" s="100">
        <v>6.55</v>
      </c>
      <c r="F65" s="100">
        <v>2.9</v>
      </c>
      <c r="G65" s="100">
        <v>37.590000000000003</v>
      </c>
      <c r="H65" s="100">
        <v>16.760000000000002</v>
      </c>
      <c r="I65" s="100">
        <v>7.11</v>
      </c>
      <c r="J65" s="100">
        <v>0.28000000000000003</v>
      </c>
      <c r="K65" s="100">
        <v>17.72</v>
      </c>
      <c r="L65" s="100">
        <v>16.989999999999998</v>
      </c>
      <c r="M65" s="100">
        <v>22.23</v>
      </c>
      <c r="N65" s="100">
        <v>90.3</v>
      </c>
      <c r="O65" s="100">
        <v>0</v>
      </c>
      <c r="P65" s="100">
        <v>0.42</v>
      </c>
      <c r="Q65" s="100">
        <v>10</v>
      </c>
      <c r="R65" s="6"/>
      <c r="S65" s="6"/>
      <c r="T65" s="156"/>
      <c r="U65" s="6"/>
    </row>
    <row r="66" spans="1:21">
      <c r="A66" s="201" t="s">
        <v>2986</v>
      </c>
      <c r="B66" s="100">
        <v>3.16</v>
      </c>
      <c r="C66" s="100">
        <v>8.09</v>
      </c>
      <c r="D66" s="100">
        <v>11.25</v>
      </c>
      <c r="E66" s="100">
        <v>6.42</v>
      </c>
      <c r="F66" s="100">
        <v>5.39</v>
      </c>
      <c r="G66" s="100">
        <v>42.63</v>
      </c>
      <c r="H66" s="100">
        <v>18.52</v>
      </c>
      <c r="I66" s="100">
        <v>7.15</v>
      </c>
      <c r="J66" s="100">
        <v>0.11</v>
      </c>
      <c r="K66" s="100">
        <v>350.22</v>
      </c>
      <c r="L66" s="100">
        <v>16.91</v>
      </c>
      <c r="M66" s="100">
        <v>21.39</v>
      </c>
      <c r="N66" s="100">
        <v>87</v>
      </c>
      <c r="O66" s="100">
        <v>0</v>
      </c>
      <c r="P66" s="100">
        <v>0.43</v>
      </c>
      <c r="Q66" s="100">
        <v>10</v>
      </c>
      <c r="R66" s="6"/>
      <c r="S66" s="6"/>
      <c r="T66" s="156"/>
      <c r="U66" s="6"/>
    </row>
    <row r="67" spans="1:21">
      <c r="A67" s="201" t="s">
        <v>2987</v>
      </c>
      <c r="B67" s="100">
        <v>3.09</v>
      </c>
      <c r="C67" s="100">
        <v>8.01</v>
      </c>
      <c r="D67" s="100">
        <v>11.1</v>
      </c>
      <c r="E67" s="100">
        <v>6.71</v>
      </c>
      <c r="F67" s="100">
        <v>3.6</v>
      </c>
      <c r="G67" s="100">
        <v>46.49</v>
      </c>
      <c r="H67" s="100">
        <v>19.079999999999998</v>
      </c>
      <c r="I67" s="100">
        <v>7.32</v>
      </c>
      <c r="J67" s="100">
        <v>0.32</v>
      </c>
      <c r="K67" s="100">
        <v>33.74</v>
      </c>
      <c r="L67" s="100">
        <v>11.51</v>
      </c>
      <c r="M67" s="100">
        <v>9.1</v>
      </c>
      <c r="N67" s="100">
        <v>63.6</v>
      </c>
      <c r="O67" s="100">
        <v>0</v>
      </c>
      <c r="P67" s="100">
        <v>0.44</v>
      </c>
      <c r="Q67" s="100">
        <v>10</v>
      </c>
      <c r="R67" s="6"/>
      <c r="S67" s="6"/>
      <c r="T67" s="156"/>
      <c r="U67" s="6"/>
    </row>
    <row r="68" spans="1:21">
      <c r="A68" s="201" t="s">
        <v>2988</v>
      </c>
      <c r="B68" s="100">
        <v>3.02</v>
      </c>
      <c r="C68" s="100">
        <v>8.01</v>
      </c>
      <c r="D68" s="100">
        <v>11.03</v>
      </c>
      <c r="E68" s="100">
        <v>6.47</v>
      </c>
      <c r="F68" s="100">
        <v>3.37</v>
      </c>
      <c r="G68" s="100">
        <v>46.49</v>
      </c>
      <c r="H68" s="100">
        <v>19.079999999999998</v>
      </c>
      <c r="I68" s="100">
        <v>7.5</v>
      </c>
      <c r="J68" s="100">
        <v>0.25</v>
      </c>
      <c r="K68" s="100">
        <v>27.49</v>
      </c>
      <c r="L68" s="100">
        <v>11.38</v>
      </c>
      <c r="M68" s="100">
        <v>9.1</v>
      </c>
      <c r="N68" s="100">
        <v>52.6</v>
      </c>
      <c r="O68" s="100">
        <v>0</v>
      </c>
      <c r="P68" s="100">
        <v>0.45</v>
      </c>
      <c r="Q68" s="100">
        <v>10</v>
      </c>
      <c r="R68" s="6"/>
      <c r="S68" s="6"/>
      <c r="T68" s="156"/>
      <c r="U68" s="6"/>
    </row>
    <row r="69" spans="1:21">
      <c r="A69" s="201" t="s">
        <v>2989</v>
      </c>
      <c r="B69" s="100">
        <v>3.14</v>
      </c>
      <c r="C69" s="100">
        <v>8.49</v>
      </c>
      <c r="D69" s="100">
        <v>11.63</v>
      </c>
      <c r="E69" s="100">
        <v>6.89</v>
      </c>
      <c r="F69" s="100">
        <v>4.74</v>
      </c>
      <c r="G69" s="100">
        <v>46.49</v>
      </c>
      <c r="H69" s="100">
        <v>19.079999999999998</v>
      </c>
      <c r="I69" s="100">
        <v>7.6</v>
      </c>
      <c r="J69" s="100">
        <v>0.35</v>
      </c>
      <c r="K69" s="100">
        <v>23.75</v>
      </c>
      <c r="L69" s="100">
        <v>13.5</v>
      </c>
      <c r="M69" s="100">
        <v>14.16</v>
      </c>
      <c r="N69" s="100">
        <v>61.7</v>
      </c>
      <c r="O69" s="100">
        <v>0</v>
      </c>
      <c r="P69" s="100">
        <v>0.47</v>
      </c>
      <c r="Q69" s="100">
        <v>10</v>
      </c>
      <c r="R69" s="6"/>
      <c r="S69" s="6"/>
      <c r="T69" s="156"/>
      <c r="U69" s="6"/>
    </row>
    <row r="70" spans="1:21">
      <c r="A70" s="201" t="s">
        <v>2990</v>
      </c>
      <c r="B70" s="100">
        <v>3.6</v>
      </c>
      <c r="C70" s="100">
        <v>9.82</v>
      </c>
      <c r="D70" s="100">
        <v>13.42</v>
      </c>
      <c r="E70" s="100">
        <v>9.5</v>
      </c>
      <c r="F70" s="100">
        <v>8.92</v>
      </c>
      <c r="G70" s="100">
        <v>58.62</v>
      </c>
      <c r="H70" s="100">
        <v>22.7</v>
      </c>
      <c r="I70" s="100">
        <v>7.6</v>
      </c>
      <c r="J70" s="100">
        <v>0.41</v>
      </c>
      <c r="K70" s="100">
        <v>34.6</v>
      </c>
      <c r="L70" s="100">
        <v>9.75</v>
      </c>
      <c r="M70" s="100">
        <v>4.1100000000000003</v>
      </c>
      <c r="N70" s="100">
        <v>59.7</v>
      </c>
      <c r="O70" s="100">
        <v>0</v>
      </c>
      <c r="P70" s="100">
        <v>0.49</v>
      </c>
      <c r="Q70" s="100">
        <v>10</v>
      </c>
      <c r="R70" s="6"/>
      <c r="S70" s="6"/>
      <c r="T70" s="156"/>
      <c r="U70" s="6"/>
    </row>
    <row r="71" spans="1:21">
      <c r="A71" s="201" t="s">
        <v>2991</v>
      </c>
      <c r="B71" s="100">
        <v>4.42</v>
      </c>
      <c r="C71" s="100">
        <v>11.08</v>
      </c>
      <c r="D71" s="100">
        <v>15.49</v>
      </c>
      <c r="E71" s="100">
        <v>10.92</v>
      </c>
      <c r="F71" s="100">
        <v>9.56</v>
      </c>
      <c r="G71" s="100">
        <v>67.489999999999995</v>
      </c>
      <c r="H71" s="100">
        <v>24.84</v>
      </c>
      <c r="I71" s="100">
        <v>7.72</v>
      </c>
      <c r="J71" s="100">
        <v>0.36</v>
      </c>
      <c r="K71" s="100">
        <v>20.55</v>
      </c>
      <c r="L71" s="100">
        <v>10.64</v>
      </c>
      <c r="M71" s="100">
        <v>6.85</v>
      </c>
      <c r="N71" s="100">
        <v>66.400000000000006</v>
      </c>
      <c r="O71" s="100">
        <v>0</v>
      </c>
      <c r="P71" s="100">
        <v>0.46</v>
      </c>
      <c r="Q71" s="100">
        <v>10</v>
      </c>
      <c r="R71" s="6"/>
      <c r="S71" s="6"/>
      <c r="T71" s="156"/>
      <c r="U71" s="6"/>
    </row>
    <row r="72" spans="1:21">
      <c r="A72" s="201" t="s">
        <v>2992</v>
      </c>
      <c r="B72" s="100">
        <v>4.16</v>
      </c>
      <c r="C72" s="100">
        <v>9.74</v>
      </c>
      <c r="D72" s="100">
        <v>13.9</v>
      </c>
      <c r="E72" s="100">
        <v>12.04</v>
      </c>
      <c r="F72" s="100">
        <v>9.64</v>
      </c>
      <c r="G72" s="100">
        <v>67.489999999999995</v>
      </c>
      <c r="H72" s="100">
        <v>24.84</v>
      </c>
      <c r="I72" s="100">
        <v>7.96</v>
      </c>
      <c r="J72" s="100">
        <v>0.37</v>
      </c>
      <c r="K72" s="100">
        <v>30.35</v>
      </c>
      <c r="L72" s="100">
        <v>10.19</v>
      </c>
      <c r="M72" s="100">
        <v>5.78</v>
      </c>
      <c r="N72" s="100">
        <v>64.8</v>
      </c>
      <c r="O72" s="100">
        <v>0</v>
      </c>
      <c r="P72" s="100">
        <v>0.43</v>
      </c>
      <c r="Q72" s="100">
        <v>10</v>
      </c>
      <c r="R72" s="6"/>
      <c r="S72" s="6"/>
      <c r="T72" s="156"/>
      <c r="U72" s="6"/>
    </row>
    <row r="73" spans="1:21">
      <c r="A73" s="201" t="s">
        <v>2993</v>
      </c>
      <c r="B73" s="100">
        <v>4.55</v>
      </c>
      <c r="C73" s="100">
        <v>10.8</v>
      </c>
      <c r="D73" s="100">
        <v>15.36</v>
      </c>
      <c r="E73" s="100">
        <v>12.96</v>
      </c>
      <c r="F73" s="100">
        <v>11.06</v>
      </c>
      <c r="G73" s="100">
        <v>67.489999999999995</v>
      </c>
      <c r="H73" s="100">
        <v>24.84</v>
      </c>
      <c r="I73" s="100">
        <v>8</v>
      </c>
      <c r="J73" s="100">
        <v>0.3</v>
      </c>
      <c r="K73" s="100">
        <v>2.31</v>
      </c>
      <c r="L73" s="100">
        <v>17.510000000000002</v>
      </c>
      <c r="M73" s="100">
        <v>24.04</v>
      </c>
      <c r="N73" s="100">
        <v>69</v>
      </c>
      <c r="O73" s="100">
        <v>0</v>
      </c>
      <c r="P73" s="100">
        <v>0.45</v>
      </c>
      <c r="Q73" s="100">
        <v>10</v>
      </c>
      <c r="R73" s="6"/>
      <c r="S73" s="6"/>
      <c r="T73" s="156"/>
      <c r="U73" s="6"/>
    </row>
    <row r="74" spans="1:21">
      <c r="A74" s="201" t="s">
        <v>2994</v>
      </c>
      <c r="B74" s="100">
        <v>4.8099999999999996</v>
      </c>
      <c r="C74" s="100">
        <v>11.1</v>
      </c>
      <c r="D74" s="100">
        <v>15.91</v>
      </c>
      <c r="E74" s="100">
        <v>12.34</v>
      </c>
      <c r="F74" s="100">
        <v>11.71</v>
      </c>
      <c r="G74" s="100">
        <v>74.52</v>
      </c>
      <c r="H74" s="100">
        <v>27.59</v>
      </c>
      <c r="I74" s="100">
        <v>8.2899999999999991</v>
      </c>
      <c r="J74" s="100">
        <v>0.27</v>
      </c>
      <c r="K74" s="100">
        <v>19.239999999999998</v>
      </c>
      <c r="L74" s="100">
        <v>14.72</v>
      </c>
      <c r="M74" s="100">
        <v>17.329999999999998</v>
      </c>
      <c r="N74" s="100">
        <v>57.5</v>
      </c>
      <c r="O74" s="100">
        <v>0</v>
      </c>
      <c r="P74" s="100">
        <v>0.44</v>
      </c>
      <c r="Q74" s="100">
        <v>10</v>
      </c>
      <c r="R74" s="6"/>
      <c r="S74" s="6"/>
      <c r="T74" s="156"/>
      <c r="U74" s="6"/>
    </row>
    <row r="75" spans="1:21">
      <c r="A75" s="201" t="s">
        <v>2995</v>
      </c>
      <c r="B75" s="100">
        <v>4.53</v>
      </c>
      <c r="C75" s="100">
        <v>11.28</v>
      </c>
      <c r="D75" s="100">
        <v>15.81</v>
      </c>
      <c r="E75" s="100">
        <v>11.59</v>
      </c>
      <c r="F75" s="100">
        <v>8.2100000000000009</v>
      </c>
      <c r="G75" s="100">
        <v>79.66</v>
      </c>
      <c r="H75" s="100">
        <v>28.45</v>
      </c>
      <c r="I75" s="100">
        <v>8.07</v>
      </c>
      <c r="J75" s="100">
        <v>0.22</v>
      </c>
      <c r="K75" s="100">
        <v>15.11</v>
      </c>
      <c r="L75" s="100">
        <v>14.99</v>
      </c>
      <c r="M75" s="100">
        <v>18.45</v>
      </c>
      <c r="N75" s="100">
        <v>34.5</v>
      </c>
      <c r="O75" s="100">
        <v>0</v>
      </c>
      <c r="P75" s="100">
        <v>0.42</v>
      </c>
      <c r="Q75" s="100">
        <v>10</v>
      </c>
      <c r="R75" s="6"/>
      <c r="S75" s="6"/>
      <c r="T75" s="156"/>
      <c r="U75" s="6"/>
    </row>
    <row r="76" spans="1:21">
      <c r="A76" s="201" t="s">
        <v>2996</v>
      </c>
      <c r="B76" s="100">
        <v>4.41</v>
      </c>
      <c r="C76" s="100">
        <v>9.43</v>
      </c>
      <c r="D76" s="100">
        <v>13.84</v>
      </c>
      <c r="E76" s="100">
        <v>8.6</v>
      </c>
      <c r="F76" s="100">
        <v>4.37</v>
      </c>
      <c r="G76" s="100">
        <v>79.66</v>
      </c>
      <c r="H76" s="100">
        <v>28.45</v>
      </c>
      <c r="I76" s="100">
        <v>8.0399999999999991</v>
      </c>
      <c r="J76" s="100">
        <v>0.26</v>
      </c>
      <c r="K76" s="100">
        <v>34.89</v>
      </c>
      <c r="L76" s="100">
        <v>12.38</v>
      </c>
      <c r="M76" s="100">
        <v>12.3</v>
      </c>
      <c r="N76" s="100">
        <v>21.7</v>
      </c>
      <c r="O76" s="100">
        <v>0</v>
      </c>
      <c r="P76" s="100">
        <v>0.44</v>
      </c>
      <c r="Q76" s="100">
        <v>10</v>
      </c>
      <c r="R76" s="6"/>
      <c r="S76" s="6"/>
      <c r="T76" s="156"/>
      <c r="U76" s="6"/>
    </row>
    <row r="77" spans="1:21">
      <c r="A77" s="201" t="s">
        <v>2997</v>
      </c>
      <c r="B77" s="100">
        <v>5.2</v>
      </c>
      <c r="C77" s="100">
        <v>10.16</v>
      </c>
      <c r="D77" s="100">
        <v>15.36</v>
      </c>
      <c r="E77" s="100">
        <v>8.58</v>
      </c>
      <c r="F77" s="100">
        <v>5.88</v>
      </c>
      <c r="G77" s="100">
        <v>79.66</v>
      </c>
      <c r="H77" s="100">
        <v>28.45</v>
      </c>
      <c r="I77" s="100">
        <v>7.91</v>
      </c>
      <c r="J77" s="100">
        <v>0.28999999999999998</v>
      </c>
      <c r="K77" s="100">
        <v>36.81</v>
      </c>
      <c r="L77" s="100">
        <v>10.29</v>
      </c>
      <c r="M77" s="100">
        <v>7.3</v>
      </c>
      <c r="N77" s="100">
        <v>14</v>
      </c>
      <c r="O77" s="100">
        <v>0</v>
      </c>
      <c r="P77" s="100">
        <v>0.47</v>
      </c>
      <c r="Q77" s="100">
        <v>10</v>
      </c>
      <c r="R77" s="6"/>
      <c r="S77" s="6"/>
      <c r="T77" s="156"/>
      <c r="U77" s="6"/>
    </row>
    <row r="78" spans="1:21">
      <c r="A78" s="201" t="s">
        <v>2998</v>
      </c>
      <c r="B78" s="100">
        <v>4.99</v>
      </c>
      <c r="C78" s="100">
        <v>10.77</v>
      </c>
      <c r="D78" s="100">
        <v>15.76</v>
      </c>
      <c r="E78" s="100">
        <v>8.76</v>
      </c>
      <c r="F78" s="100">
        <v>11.49</v>
      </c>
      <c r="G78" s="100">
        <v>80.41</v>
      </c>
      <c r="H78" s="100">
        <v>25.91</v>
      </c>
      <c r="I78" s="100">
        <v>7.98</v>
      </c>
      <c r="J78" s="100">
        <v>0.26</v>
      </c>
      <c r="K78" s="100">
        <v>48.79</v>
      </c>
      <c r="L78" s="100">
        <v>7.7</v>
      </c>
      <c r="M78" s="100">
        <v>1</v>
      </c>
      <c r="N78" s="100">
        <v>9.1</v>
      </c>
      <c r="O78" s="100">
        <v>0</v>
      </c>
      <c r="P78" s="100">
        <v>0.48</v>
      </c>
      <c r="Q78" s="100">
        <v>10</v>
      </c>
      <c r="R78" s="6"/>
      <c r="S78" s="6"/>
      <c r="T78" s="156"/>
      <c r="U78" s="6"/>
    </row>
    <row r="79" spans="1:21">
      <c r="A79" s="201" t="s">
        <v>2999</v>
      </c>
      <c r="B79" s="100">
        <v>5.44</v>
      </c>
      <c r="C79" s="100">
        <v>11.4</v>
      </c>
      <c r="D79" s="100">
        <v>16.84</v>
      </c>
      <c r="E79" s="100">
        <v>8.5399999999999991</v>
      </c>
      <c r="F79" s="100">
        <v>6.54</v>
      </c>
      <c r="G79" s="100">
        <v>80.98</v>
      </c>
      <c r="H79" s="100">
        <v>25.11</v>
      </c>
      <c r="I79" s="100">
        <v>8.3000000000000007</v>
      </c>
      <c r="J79" s="100">
        <v>0.18</v>
      </c>
      <c r="K79" s="100">
        <v>53.86</v>
      </c>
      <c r="L79" s="100">
        <v>8.09</v>
      </c>
      <c r="M79" s="100">
        <v>2.0099999999999998</v>
      </c>
      <c r="N79" s="100">
        <v>5.0999999999999996</v>
      </c>
      <c r="O79" s="100">
        <v>0</v>
      </c>
      <c r="P79" s="100">
        <v>0.47</v>
      </c>
      <c r="Q79" s="100">
        <v>10</v>
      </c>
      <c r="R79" s="6"/>
      <c r="S79" s="6"/>
      <c r="T79" s="156"/>
      <c r="U79" s="6"/>
    </row>
    <row r="80" spans="1:21">
      <c r="A80" s="201" t="s">
        <v>3000</v>
      </c>
      <c r="B80" s="100">
        <v>5.29</v>
      </c>
      <c r="C80" s="100">
        <v>8.85</v>
      </c>
      <c r="D80" s="100">
        <v>14.14</v>
      </c>
      <c r="E80" s="100">
        <v>7.52</v>
      </c>
      <c r="F80" s="100">
        <v>3.22</v>
      </c>
      <c r="G80" s="100">
        <v>80.98</v>
      </c>
      <c r="H80" s="100">
        <v>25.11</v>
      </c>
      <c r="I80" s="100">
        <v>9.1999999999999993</v>
      </c>
      <c r="J80" s="100">
        <v>0.14000000000000001</v>
      </c>
      <c r="K80" s="100">
        <v>76.44</v>
      </c>
      <c r="L80" s="100">
        <v>12.98</v>
      </c>
      <c r="M80" s="100">
        <v>14.52</v>
      </c>
      <c r="N80" s="100">
        <v>3.2</v>
      </c>
      <c r="O80" s="100">
        <v>0</v>
      </c>
      <c r="P80" s="100">
        <v>0.46</v>
      </c>
      <c r="Q80" s="100">
        <v>10</v>
      </c>
      <c r="R80" s="6"/>
      <c r="S80" s="6"/>
      <c r="T80" s="156"/>
      <c r="U80" s="6"/>
    </row>
    <row r="81" spans="1:21">
      <c r="A81" s="201" t="s">
        <v>3001</v>
      </c>
      <c r="B81" s="100">
        <v>4.7</v>
      </c>
      <c r="C81" s="100">
        <v>8.0299999999999994</v>
      </c>
      <c r="D81" s="100">
        <v>12.73</v>
      </c>
      <c r="E81" s="100">
        <v>5.91</v>
      </c>
      <c r="F81" s="100">
        <v>6.5</v>
      </c>
      <c r="G81" s="100">
        <v>80.98</v>
      </c>
      <c r="H81" s="100">
        <v>25.11</v>
      </c>
      <c r="I81" s="100">
        <v>9.14</v>
      </c>
      <c r="J81" s="100">
        <v>0.14000000000000001</v>
      </c>
      <c r="K81" s="100">
        <v>160.76</v>
      </c>
      <c r="L81" s="100">
        <v>15.08</v>
      </c>
      <c r="M81" s="100">
        <v>19.91</v>
      </c>
      <c r="N81" s="100">
        <v>2.8</v>
      </c>
      <c r="O81" s="100">
        <v>0</v>
      </c>
      <c r="P81" s="100">
        <v>0.45</v>
      </c>
      <c r="Q81" s="100">
        <v>10.74</v>
      </c>
      <c r="R81" s="6"/>
      <c r="S81" s="6"/>
      <c r="T81" s="156"/>
      <c r="U81" s="6"/>
    </row>
    <row r="82" spans="1:21">
      <c r="A82" s="201" t="s">
        <v>3002</v>
      </c>
      <c r="B82" s="100">
        <v>4.24</v>
      </c>
      <c r="C82" s="100">
        <v>7.79</v>
      </c>
      <c r="D82" s="100">
        <v>12.02</v>
      </c>
      <c r="E82" s="100">
        <v>6.56</v>
      </c>
      <c r="F82" s="100">
        <v>9.98</v>
      </c>
      <c r="G82" s="100">
        <v>82.7</v>
      </c>
      <c r="H82" s="100">
        <v>28.89</v>
      </c>
      <c r="I82" s="100">
        <v>8.3800000000000008</v>
      </c>
      <c r="J82" s="100">
        <v>0.13</v>
      </c>
      <c r="K82" s="100">
        <v>165.99</v>
      </c>
      <c r="L82" s="100">
        <v>16.37</v>
      </c>
      <c r="M82" s="100">
        <v>23.15</v>
      </c>
      <c r="N82" s="100">
        <v>2.6</v>
      </c>
      <c r="O82" s="100">
        <v>0</v>
      </c>
      <c r="P82" s="100">
        <v>0.41</v>
      </c>
      <c r="Q82" s="100">
        <v>10.62</v>
      </c>
      <c r="R82" s="6"/>
      <c r="S82" s="6"/>
      <c r="T82" s="156"/>
      <c r="U82" s="6"/>
    </row>
    <row r="83" spans="1:21">
      <c r="A83" s="201" t="s">
        <v>3003</v>
      </c>
      <c r="B83" s="100">
        <v>4.5599999999999996</v>
      </c>
      <c r="C83" s="100">
        <v>7.07</v>
      </c>
      <c r="D83" s="100">
        <v>11.63</v>
      </c>
      <c r="E83" s="100">
        <v>6.44</v>
      </c>
      <c r="F83" s="100">
        <v>3.79</v>
      </c>
      <c r="G83" s="100">
        <v>83.97</v>
      </c>
      <c r="H83" s="100">
        <v>30.08</v>
      </c>
      <c r="I83" s="100">
        <v>8.1999999999999993</v>
      </c>
      <c r="J83" s="100">
        <v>0.08</v>
      </c>
      <c r="K83" s="100">
        <v>111.37</v>
      </c>
      <c r="L83" s="100">
        <v>12.44</v>
      </c>
      <c r="M83" s="100">
        <v>13.22</v>
      </c>
      <c r="N83" s="100">
        <v>2.4</v>
      </c>
      <c r="O83" s="100">
        <v>0</v>
      </c>
      <c r="P83" s="100">
        <v>0.45</v>
      </c>
      <c r="Q83" s="100">
        <v>10.14</v>
      </c>
      <c r="R83" s="6"/>
      <c r="S83" s="6"/>
      <c r="T83" s="156"/>
      <c r="U83" s="6"/>
    </row>
    <row r="84" spans="1:21">
      <c r="A84" s="201" t="s">
        <v>3004</v>
      </c>
      <c r="B84" s="100">
        <v>4.43</v>
      </c>
      <c r="C84" s="100">
        <v>7.02</v>
      </c>
      <c r="D84" s="100">
        <v>11.44</v>
      </c>
      <c r="E84" s="100">
        <v>6.09</v>
      </c>
      <c r="F84" s="100">
        <v>5.1100000000000003</v>
      </c>
      <c r="G84" s="100">
        <v>83.97</v>
      </c>
      <c r="H84" s="100">
        <v>30.08</v>
      </c>
      <c r="I84" s="100">
        <v>7.94</v>
      </c>
      <c r="J84" s="100">
        <v>0.1</v>
      </c>
      <c r="K84" s="100">
        <v>181.96</v>
      </c>
      <c r="L84" s="100">
        <v>17.149999999999999</v>
      </c>
      <c r="M84" s="100">
        <v>25.12</v>
      </c>
      <c r="N84" s="100">
        <v>2.6</v>
      </c>
      <c r="O84" s="100">
        <v>0</v>
      </c>
      <c r="P84" s="100">
        <v>0.45</v>
      </c>
      <c r="Q84" s="100">
        <v>10.41</v>
      </c>
      <c r="R84" s="6"/>
      <c r="S84" s="6"/>
      <c r="T84" s="156"/>
      <c r="U84" s="6"/>
    </row>
    <row r="85" spans="1:21">
      <c r="A85" s="201" t="s">
        <v>3005</v>
      </c>
      <c r="B85" s="100">
        <v>4.26</v>
      </c>
      <c r="C85" s="100">
        <v>7.02</v>
      </c>
      <c r="D85" s="100">
        <v>11.28</v>
      </c>
      <c r="E85" s="100">
        <v>6.12</v>
      </c>
      <c r="F85" s="100">
        <v>6.43</v>
      </c>
      <c r="G85" s="100">
        <v>83.97</v>
      </c>
      <c r="H85" s="100">
        <v>30.08</v>
      </c>
      <c r="I85" s="100">
        <v>8.18</v>
      </c>
      <c r="J85" s="100">
        <v>0.11</v>
      </c>
      <c r="K85" s="100">
        <v>186.88</v>
      </c>
      <c r="L85" s="100">
        <v>18.14</v>
      </c>
      <c r="M85" s="100">
        <v>27.56</v>
      </c>
      <c r="N85" s="100">
        <v>2.4</v>
      </c>
      <c r="O85" s="100">
        <v>0</v>
      </c>
      <c r="P85" s="100">
        <v>0.44</v>
      </c>
      <c r="Q85" s="100">
        <v>10.16</v>
      </c>
      <c r="R85" s="6"/>
      <c r="S85" s="6"/>
      <c r="T85" s="156"/>
      <c r="U85" s="6"/>
    </row>
    <row r="86" spans="1:21">
      <c r="A86" s="201" t="s">
        <v>3006</v>
      </c>
      <c r="B86" s="100">
        <v>4.1399999999999997</v>
      </c>
      <c r="C86" s="100">
        <v>7.09</v>
      </c>
      <c r="D86" s="100">
        <v>11.23</v>
      </c>
      <c r="E86" s="100">
        <v>6.03</v>
      </c>
      <c r="F86" s="100">
        <v>6.25</v>
      </c>
      <c r="G86" s="100">
        <v>78.040000000000006</v>
      </c>
      <c r="H86" s="100">
        <v>29.84</v>
      </c>
      <c r="I86" s="100">
        <v>8.31</v>
      </c>
      <c r="J86" s="100">
        <v>0.06</v>
      </c>
      <c r="K86" s="100">
        <v>123.03</v>
      </c>
      <c r="L86" s="100">
        <v>14.7</v>
      </c>
      <c r="M86" s="100">
        <v>18.86</v>
      </c>
      <c r="N86" s="100">
        <v>2.4</v>
      </c>
      <c r="O86" s="100">
        <v>0</v>
      </c>
      <c r="P86" s="100">
        <v>0.42</v>
      </c>
      <c r="Q86" s="100">
        <v>9.7799999999999994</v>
      </c>
      <c r="R86" s="6"/>
      <c r="S86" s="6"/>
      <c r="T86" s="156"/>
      <c r="U86" s="6"/>
    </row>
    <row r="87" spans="1:21">
      <c r="A87" s="201" t="s">
        <v>3007</v>
      </c>
      <c r="B87" s="100">
        <v>4.63</v>
      </c>
      <c r="C87" s="100">
        <v>6.39</v>
      </c>
      <c r="D87" s="100">
        <v>11.02</v>
      </c>
      <c r="E87" s="100">
        <v>6.22</v>
      </c>
      <c r="F87" s="100">
        <v>4.2</v>
      </c>
      <c r="G87" s="100">
        <v>73.510000000000005</v>
      </c>
      <c r="H87" s="100">
        <v>29.7</v>
      </c>
      <c r="I87" s="100">
        <v>8.23</v>
      </c>
      <c r="J87" s="100">
        <v>0.13</v>
      </c>
      <c r="K87" s="100">
        <v>190.74</v>
      </c>
      <c r="L87" s="100">
        <v>18.11</v>
      </c>
      <c r="M87" s="100">
        <v>27.44</v>
      </c>
      <c r="N87" s="100">
        <v>2.5</v>
      </c>
      <c r="O87" s="100">
        <v>0</v>
      </c>
      <c r="P87" s="100">
        <v>0.45</v>
      </c>
      <c r="Q87" s="100">
        <v>9.9700000000000006</v>
      </c>
      <c r="R87" s="6"/>
      <c r="S87" s="6"/>
      <c r="T87" s="156"/>
      <c r="U87" s="6"/>
    </row>
    <row r="88" spans="1:21">
      <c r="A88" s="201" t="s">
        <v>3008</v>
      </c>
      <c r="B88" s="100">
        <v>4.58</v>
      </c>
      <c r="C88" s="100">
        <v>6.31</v>
      </c>
      <c r="D88" s="100">
        <v>10.89</v>
      </c>
      <c r="E88" s="100">
        <v>6.3</v>
      </c>
      <c r="F88" s="100">
        <v>4.08</v>
      </c>
      <c r="G88" s="100">
        <v>73.510000000000005</v>
      </c>
      <c r="H88" s="100">
        <v>29.7</v>
      </c>
      <c r="I88" s="100">
        <v>8.09</v>
      </c>
      <c r="J88" s="100">
        <v>0.1</v>
      </c>
      <c r="K88" s="100">
        <v>165.84</v>
      </c>
      <c r="L88" s="100">
        <v>15.64</v>
      </c>
      <c r="M88" s="100">
        <v>21.29</v>
      </c>
      <c r="N88" s="100">
        <v>2.5</v>
      </c>
      <c r="O88" s="100">
        <v>0</v>
      </c>
      <c r="P88" s="100">
        <v>0.46</v>
      </c>
      <c r="Q88" s="100">
        <v>10</v>
      </c>
      <c r="R88" s="6"/>
      <c r="S88" s="6"/>
      <c r="T88" s="156"/>
      <c r="U88" s="6"/>
    </row>
    <row r="89" spans="1:21">
      <c r="A89" s="201" t="s">
        <v>3009</v>
      </c>
      <c r="B89" s="100">
        <v>4.67</v>
      </c>
      <c r="C89" s="100">
        <v>6.08</v>
      </c>
      <c r="D89" s="100">
        <v>10.74</v>
      </c>
      <c r="E89" s="100">
        <v>6.1</v>
      </c>
      <c r="F89" s="100">
        <v>2.41</v>
      </c>
      <c r="G89" s="100">
        <v>73.510000000000005</v>
      </c>
      <c r="H89" s="100">
        <v>29.7</v>
      </c>
      <c r="I89" s="100">
        <v>8.2100000000000009</v>
      </c>
      <c r="J89" s="100">
        <v>0.09</v>
      </c>
      <c r="K89" s="100">
        <v>185.46</v>
      </c>
      <c r="L89" s="100">
        <v>18.09</v>
      </c>
      <c r="M89" s="100">
        <v>27.45</v>
      </c>
      <c r="N89" s="100">
        <v>2.2999999999999998</v>
      </c>
      <c r="O89" s="100">
        <v>0</v>
      </c>
      <c r="P89" s="100">
        <v>0.48</v>
      </c>
      <c r="Q89" s="100">
        <v>10</v>
      </c>
      <c r="R89" s="6"/>
      <c r="S89" s="6"/>
      <c r="T89" s="156"/>
      <c r="U89" s="6"/>
    </row>
    <row r="90" spans="1:21">
      <c r="A90" s="201" t="s">
        <v>3010</v>
      </c>
      <c r="B90" s="100">
        <v>4.5599999999999996</v>
      </c>
      <c r="C90" s="100">
        <v>6.05</v>
      </c>
      <c r="D90" s="100">
        <v>10.61</v>
      </c>
      <c r="E90" s="100">
        <v>5.73</v>
      </c>
      <c r="F90" s="100">
        <v>2.17</v>
      </c>
      <c r="G90" s="100">
        <v>73.09</v>
      </c>
      <c r="H90" s="100">
        <v>28.57</v>
      </c>
      <c r="I90" s="100">
        <v>8.08</v>
      </c>
      <c r="J90" s="100">
        <v>0.09</v>
      </c>
      <c r="K90" s="100">
        <v>105.83</v>
      </c>
      <c r="L90" s="100">
        <v>13.84</v>
      </c>
      <c r="M90" s="100">
        <v>16.72</v>
      </c>
      <c r="N90" s="100">
        <v>2.4</v>
      </c>
      <c r="O90" s="100">
        <v>0</v>
      </c>
      <c r="P90" s="100">
        <v>0.49</v>
      </c>
      <c r="Q90" s="100">
        <v>10</v>
      </c>
      <c r="R90" s="6"/>
      <c r="S90" s="6"/>
      <c r="T90" s="156"/>
      <c r="U90" s="6"/>
    </row>
    <row r="91" spans="1:21">
      <c r="A91" s="201" t="s">
        <v>3011</v>
      </c>
      <c r="B91" s="100">
        <v>4.43</v>
      </c>
      <c r="C91" s="100">
        <v>6.11</v>
      </c>
      <c r="D91" s="100">
        <v>10.54</v>
      </c>
      <c r="E91" s="100">
        <v>5.32</v>
      </c>
      <c r="F91" s="100">
        <v>2.0699999999999998</v>
      </c>
      <c r="G91" s="100">
        <v>72.77</v>
      </c>
      <c r="H91" s="100">
        <v>28.21</v>
      </c>
      <c r="I91" s="100">
        <v>8.09</v>
      </c>
      <c r="J91" s="100">
        <v>0.11</v>
      </c>
      <c r="K91" s="100">
        <v>90.4</v>
      </c>
      <c r="L91" s="100">
        <v>10.039999999999999</v>
      </c>
      <c r="M91" s="100">
        <v>7.13</v>
      </c>
      <c r="N91" s="100">
        <v>2.2999999999999998</v>
      </c>
      <c r="O91" s="100">
        <v>0</v>
      </c>
      <c r="P91" s="100">
        <v>0.49</v>
      </c>
      <c r="Q91" s="100">
        <v>10</v>
      </c>
      <c r="R91" s="6"/>
      <c r="S91" s="6"/>
      <c r="T91" s="156"/>
      <c r="U91" s="6"/>
    </row>
    <row r="92" spans="1:21">
      <c r="A92" s="201" t="s">
        <v>3012</v>
      </c>
      <c r="B92" s="100">
        <v>4.3600000000000003</v>
      </c>
      <c r="C92" s="100">
        <v>6.09</v>
      </c>
      <c r="D92" s="100">
        <v>10.45</v>
      </c>
      <c r="E92" s="100">
        <v>5.64</v>
      </c>
      <c r="F92" s="100">
        <v>2.0499999999999998</v>
      </c>
      <c r="G92" s="100">
        <v>72.77</v>
      </c>
      <c r="H92" s="100">
        <v>28.21</v>
      </c>
      <c r="I92" s="100">
        <v>8.06</v>
      </c>
      <c r="J92" s="100">
        <v>0.1</v>
      </c>
      <c r="K92" s="100">
        <v>146.55000000000001</v>
      </c>
      <c r="L92" s="100">
        <v>14.76</v>
      </c>
      <c r="M92" s="100">
        <v>19.11</v>
      </c>
      <c r="N92" s="100">
        <v>2.4</v>
      </c>
      <c r="O92" s="100">
        <v>0</v>
      </c>
      <c r="P92" s="100">
        <v>0.49</v>
      </c>
      <c r="Q92" s="100">
        <v>10</v>
      </c>
      <c r="R92" s="6"/>
      <c r="S92" s="6"/>
      <c r="T92" s="156"/>
      <c r="U92" s="6"/>
    </row>
    <row r="93" spans="1:21">
      <c r="A93" s="201" t="s">
        <v>3013</v>
      </c>
      <c r="B93" s="100">
        <v>4.28</v>
      </c>
      <c r="C93" s="100">
        <v>5.95</v>
      </c>
      <c r="D93" s="100">
        <v>10.23</v>
      </c>
      <c r="E93" s="100">
        <v>5.58</v>
      </c>
      <c r="F93" s="100">
        <v>2</v>
      </c>
      <c r="G93" s="100">
        <v>72.77</v>
      </c>
      <c r="H93" s="100">
        <v>28.21</v>
      </c>
      <c r="I93" s="100">
        <v>8.07</v>
      </c>
      <c r="J93" s="100">
        <v>0.11</v>
      </c>
      <c r="K93" s="100">
        <v>143.47</v>
      </c>
      <c r="L93" s="100">
        <v>14.11</v>
      </c>
      <c r="M93" s="100">
        <v>17.47</v>
      </c>
      <c r="N93" s="100">
        <v>2.2000000000000002</v>
      </c>
      <c r="O93" s="100">
        <v>0</v>
      </c>
      <c r="P93" s="100">
        <v>0.5</v>
      </c>
      <c r="Q93" s="100">
        <v>10</v>
      </c>
      <c r="R93" s="6"/>
      <c r="S93" s="6"/>
      <c r="T93" s="156"/>
      <c r="U93" s="6"/>
    </row>
    <row r="94" spans="1:21">
      <c r="A94" s="201" t="s">
        <v>3014</v>
      </c>
      <c r="B94" s="100">
        <v>4.2</v>
      </c>
      <c r="C94" s="100">
        <v>5.88</v>
      </c>
      <c r="D94" s="100">
        <v>10.07</v>
      </c>
      <c r="E94" s="100">
        <v>5.8</v>
      </c>
      <c r="F94" s="100">
        <v>2.0299999999999998</v>
      </c>
      <c r="G94" s="100">
        <v>68.89</v>
      </c>
      <c r="H94" s="100">
        <v>28</v>
      </c>
      <c r="I94" s="100">
        <v>8.14</v>
      </c>
      <c r="J94" s="100">
        <v>0.12</v>
      </c>
      <c r="K94" s="100">
        <v>135.76</v>
      </c>
      <c r="L94" s="100">
        <v>13.38</v>
      </c>
      <c r="M94" s="100">
        <v>15.6</v>
      </c>
      <c r="N94" s="100">
        <v>2.2000000000000002</v>
      </c>
      <c r="O94" s="100">
        <v>0</v>
      </c>
      <c r="P94" s="100">
        <v>0.5</v>
      </c>
      <c r="Q94" s="100">
        <v>10</v>
      </c>
      <c r="R94" s="6"/>
      <c r="S94" s="6"/>
      <c r="T94" s="156"/>
      <c r="U94" s="6"/>
    </row>
    <row r="95" spans="1:21">
      <c r="A95" s="201" t="s">
        <v>3015</v>
      </c>
      <c r="B95" s="100">
        <v>4.12</v>
      </c>
      <c r="C95" s="100">
        <v>5.79</v>
      </c>
      <c r="D95" s="100">
        <v>9.92</v>
      </c>
      <c r="E95" s="100">
        <v>5.89</v>
      </c>
      <c r="F95" s="100">
        <v>2</v>
      </c>
      <c r="G95" s="100">
        <v>66.06</v>
      </c>
      <c r="H95" s="100">
        <v>27.94</v>
      </c>
      <c r="I95" s="100">
        <v>8.16</v>
      </c>
      <c r="J95" s="100">
        <v>7.0000000000000007E-2</v>
      </c>
      <c r="K95" s="100">
        <v>203.18</v>
      </c>
      <c r="L95" s="100">
        <v>18.02</v>
      </c>
      <c r="M95" s="100">
        <v>27.25</v>
      </c>
      <c r="N95" s="100">
        <v>2.2999999999999998</v>
      </c>
      <c r="O95" s="100">
        <v>0</v>
      </c>
      <c r="P95" s="100">
        <v>0.5</v>
      </c>
      <c r="Q95" s="100">
        <v>10</v>
      </c>
      <c r="R95" s="6"/>
      <c r="S95" s="6"/>
      <c r="T95" s="156"/>
      <c r="U95" s="6"/>
    </row>
    <row r="96" spans="1:21">
      <c r="A96" s="201" t="s">
        <v>3016</v>
      </c>
      <c r="B96" s="100">
        <v>4.0599999999999996</v>
      </c>
      <c r="C96" s="100">
        <v>5.68</v>
      </c>
      <c r="D96" s="100">
        <v>9.74</v>
      </c>
      <c r="E96" s="100">
        <v>6.18</v>
      </c>
      <c r="F96" s="100">
        <v>2</v>
      </c>
      <c r="G96" s="100">
        <v>66.06</v>
      </c>
      <c r="H96" s="100">
        <v>27.94</v>
      </c>
      <c r="I96" s="100">
        <v>8.25</v>
      </c>
      <c r="J96" s="100">
        <v>0.08</v>
      </c>
      <c r="K96" s="100">
        <v>180.59</v>
      </c>
      <c r="L96" s="100">
        <v>17.66</v>
      </c>
      <c r="M96" s="100">
        <v>26.36</v>
      </c>
      <c r="N96" s="100">
        <v>2.2000000000000002</v>
      </c>
      <c r="O96" s="100">
        <v>0</v>
      </c>
      <c r="P96" s="100">
        <v>0.51</v>
      </c>
      <c r="Q96" s="100">
        <v>10</v>
      </c>
      <c r="R96" s="6"/>
      <c r="S96" s="6"/>
      <c r="T96" s="156"/>
      <c r="U96" s="6"/>
    </row>
    <row r="97" spans="1:21">
      <c r="A97" s="201" t="s">
        <v>3017</v>
      </c>
      <c r="B97" s="100">
        <v>3.98</v>
      </c>
      <c r="C97" s="100">
        <v>5.6</v>
      </c>
      <c r="D97" s="100">
        <v>9.58</v>
      </c>
      <c r="E97" s="100">
        <v>5.93</v>
      </c>
      <c r="F97" s="100">
        <v>2</v>
      </c>
      <c r="G97" s="100">
        <v>66.06</v>
      </c>
      <c r="H97" s="100">
        <v>27.94</v>
      </c>
      <c r="I97" s="100">
        <v>8.1999999999999993</v>
      </c>
      <c r="J97" s="100">
        <v>0.08</v>
      </c>
      <c r="K97" s="100">
        <v>145.32</v>
      </c>
      <c r="L97" s="100">
        <v>14.07</v>
      </c>
      <c r="M97" s="100">
        <v>17.39</v>
      </c>
      <c r="N97" s="100">
        <v>2.1</v>
      </c>
      <c r="O97" s="100">
        <v>0</v>
      </c>
      <c r="P97" s="100">
        <v>0.51</v>
      </c>
      <c r="Q97" s="100">
        <v>10</v>
      </c>
      <c r="R97" s="6"/>
      <c r="S97" s="6"/>
      <c r="T97" s="156"/>
      <c r="U97" s="6"/>
    </row>
    <row r="98" spans="1:21">
      <c r="A98" s="201" t="s">
        <v>3018</v>
      </c>
      <c r="B98" s="100">
        <v>3.89</v>
      </c>
      <c r="C98" s="100">
        <v>5.66</v>
      </c>
      <c r="D98" s="100">
        <v>9.56</v>
      </c>
      <c r="E98" s="100">
        <v>5.67</v>
      </c>
      <c r="F98" s="100">
        <v>2</v>
      </c>
      <c r="G98" s="100">
        <v>60.98</v>
      </c>
      <c r="H98" s="100">
        <v>29.46</v>
      </c>
      <c r="I98" s="100">
        <v>8.26</v>
      </c>
      <c r="J98" s="100">
        <v>0.1</v>
      </c>
      <c r="K98" s="100">
        <v>157.44999999999999</v>
      </c>
      <c r="L98" s="100">
        <v>15.64</v>
      </c>
      <c r="M98" s="100">
        <v>21.3</v>
      </c>
      <c r="N98" s="100">
        <v>2.1</v>
      </c>
      <c r="O98" s="100">
        <v>0</v>
      </c>
      <c r="P98" s="100">
        <v>0.52</v>
      </c>
      <c r="Q98" s="100">
        <v>10</v>
      </c>
      <c r="R98" s="6"/>
      <c r="S98" s="6"/>
      <c r="T98" s="156"/>
      <c r="U98" s="6"/>
    </row>
    <row r="99" spans="1:21">
      <c r="A99" s="201" t="s">
        <v>3019</v>
      </c>
      <c r="B99" s="100">
        <v>3.93</v>
      </c>
      <c r="C99" s="100">
        <v>5.57</v>
      </c>
      <c r="D99" s="100">
        <v>9.5</v>
      </c>
      <c r="E99" s="100">
        <v>5.98</v>
      </c>
      <c r="F99" s="100">
        <v>2</v>
      </c>
      <c r="G99" s="100">
        <v>57.27</v>
      </c>
      <c r="H99" s="100">
        <v>29.94</v>
      </c>
      <c r="I99" s="100">
        <v>8.35</v>
      </c>
      <c r="J99" s="100">
        <v>7.0000000000000007E-2</v>
      </c>
      <c r="K99" s="100">
        <v>167.01</v>
      </c>
      <c r="L99" s="100">
        <v>15.95</v>
      </c>
      <c r="M99" s="100">
        <v>22.1</v>
      </c>
      <c r="N99" s="100">
        <v>2.1</v>
      </c>
      <c r="O99" s="100">
        <v>0</v>
      </c>
      <c r="P99" s="100">
        <v>0.51</v>
      </c>
      <c r="Q99" s="100">
        <v>10</v>
      </c>
      <c r="R99" s="6"/>
      <c r="S99" s="6"/>
      <c r="T99" s="156"/>
      <c r="U99" s="6"/>
    </row>
    <row r="100" spans="1:21">
      <c r="A100" s="201" t="s">
        <v>3020</v>
      </c>
      <c r="B100" s="100">
        <v>3.95</v>
      </c>
      <c r="C100" s="100">
        <v>5.48</v>
      </c>
      <c r="D100" s="100">
        <v>9.42</v>
      </c>
      <c r="E100" s="100">
        <v>5.77</v>
      </c>
      <c r="F100" s="100">
        <v>2</v>
      </c>
      <c r="G100" s="100">
        <v>57.27</v>
      </c>
      <c r="H100" s="100">
        <v>29.94</v>
      </c>
      <c r="I100" s="100">
        <v>8.4700000000000006</v>
      </c>
      <c r="J100" s="100">
        <v>0.1</v>
      </c>
      <c r="K100" s="100">
        <v>122.28</v>
      </c>
      <c r="L100" s="100">
        <v>12.89</v>
      </c>
      <c r="M100" s="100">
        <v>14.41</v>
      </c>
      <c r="N100" s="100">
        <v>2.1</v>
      </c>
      <c r="O100" s="100">
        <v>0</v>
      </c>
      <c r="P100" s="100">
        <v>0.51</v>
      </c>
      <c r="Q100" s="100">
        <v>10.55</v>
      </c>
      <c r="R100" s="6"/>
      <c r="S100" s="6"/>
      <c r="T100" s="156"/>
      <c r="U100" s="6"/>
    </row>
    <row r="101" spans="1:21">
      <c r="A101" s="201" t="s">
        <v>3021</v>
      </c>
      <c r="B101" s="100">
        <v>3.93</v>
      </c>
      <c r="C101" s="100">
        <v>5.51</v>
      </c>
      <c r="D101" s="100">
        <v>9.4499999999999993</v>
      </c>
      <c r="E101" s="100">
        <v>6.08</v>
      </c>
      <c r="F101" s="100">
        <v>2</v>
      </c>
      <c r="G101" s="100">
        <v>57.27</v>
      </c>
      <c r="H101" s="100">
        <v>29.94</v>
      </c>
      <c r="I101" s="100">
        <v>8.6</v>
      </c>
      <c r="J101" s="100">
        <v>0.09</v>
      </c>
      <c r="K101" s="100">
        <v>177.24</v>
      </c>
      <c r="L101" s="100">
        <v>18.78</v>
      </c>
      <c r="M101" s="100">
        <v>29.15</v>
      </c>
      <c r="N101" s="100">
        <v>2.1</v>
      </c>
      <c r="O101" s="100">
        <v>0</v>
      </c>
      <c r="P101" s="100">
        <v>0.52</v>
      </c>
      <c r="Q101" s="100">
        <v>10</v>
      </c>
      <c r="R101" s="6"/>
      <c r="S101" s="6"/>
      <c r="T101" s="156"/>
      <c r="U101" s="6"/>
    </row>
    <row r="102" spans="1:21">
      <c r="A102" s="201" t="s">
        <v>3022</v>
      </c>
      <c r="B102" s="100">
        <v>3.91</v>
      </c>
      <c r="C102" s="100">
        <v>5.49</v>
      </c>
      <c r="D102" s="100">
        <v>9.4</v>
      </c>
      <c r="E102" s="100">
        <v>5.8</v>
      </c>
      <c r="F102" s="100">
        <v>2</v>
      </c>
      <c r="G102" s="100">
        <v>55.41</v>
      </c>
      <c r="H102" s="100">
        <v>30.16</v>
      </c>
      <c r="I102" s="100">
        <v>8.69</v>
      </c>
      <c r="J102" s="100">
        <v>0.11</v>
      </c>
      <c r="K102" s="100">
        <v>128.63</v>
      </c>
      <c r="L102" s="100">
        <v>14.07</v>
      </c>
      <c r="M102" s="100">
        <v>17.29</v>
      </c>
      <c r="N102" s="100">
        <v>2.1</v>
      </c>
      <c r="O102" s="100">
        <v>0</v>
      </c>
      <c r="P102" s="100">
        <v>0.52</v>
      </c>
      <c r="Q102" s="100">
        <v>10</v>
      </c>
      <c r="R102" s="6"/>
      <c r="S102" s="6"/>
      <c r="T102" s="156"/>
      <c r="U102" s="6"/>
    </row>
    <row r="103" spans="1:21">
      <c r="A103" s="201" t="s">
        <v>3023</v>
      </c>
      <c r="B103" s="100">
        <v>3.96</v>
      </c>
      <c r="C103" s="100">
        <v>5.43</v>
      </c>
      <c r="D103" s="100">
        <v>9.39</v>
      </c>
      <c r="E103" s="100">
        <v>5.97</v>
      </c>
      <c r="F103" s="100">
        <v>2.0099999999999998</v>
      </c>
      <c r="G103" s="100">
        <v>54.06</v>
      </c>
      <c r="H103" s="100">
        <v>30.29</v>
      </c>
      <c r="I103" s="100">
        <v>8.77</v>
      </c>
      <c r="J103" s="100">
        <v>7.0000000000000007E-2</v>
      </c>
      <c r="K103" s="100">
        <v>159.02000000000001</v>
      </c>
      <c r="L103" s="100">
        <v>16.5</v>
      </c>
      <c r="M103" s="100">
        <v>23.38</v>
      </c>
      <c r="N103" s="100">
        <v>2.2000000000000002</v>
      </c>
      <c r="O103" s="100">
        <v>0</v>
      </c>
      <c r="P103" s="100">
        <v>0.51</v>
      </c>
      <c r="Q103" s="100">
        <v>9.94</v>
      </c>
      <c r="R103" s="6"/>
      <c r="S103" s="6"/>
      <c r="T103" s="156"/>
      <c r="U103" s="6"/>
    </row>
    <row r="104" spans="1:21">
      <c r="A104" s="201" t="s">
        <v>3024</v>
      </c>
      <c r="B104" s="100">
        <v>3.99</v>
      </c>
      <c r="C104" s="100">
        <v>5.35</v>
      </c>
      <c r="D104" s="100">
        <v>9.33</v>
      </c>
      <c r="E104" s="100">
        <v>6.18</v>
      </c>
      <c r="F104" s="100">
        <v>2</v>
      </c>
      <c r="G104" s="100">
        <v>54.06</v>
      </c>
      <c r="H104" s="100">
        <v>30.29</v>
      </c>
      <c r="I104" s="100">
        <v>8.7899999999999991</v>
      </c>
      <c r="J104" s="100">
        <v>7.0000000000000007E-2</v>
      </c>
      <c r="K104" s="100">
        <v>158.26</v>
      </c>
      <c r="L104" s="100">
        <v>16.47</v>
      </c>
      <c r="M104" s="100">
        <v>23.4</v>
      </c>
      <c r="N104" s="100">
        <v>2.1</v>
      </c>
      <c r="O104" s="100">
        <v>0</v>
      </c>
      <c r="P104" s="100">
        <v>0.51</v>
      </c>
      <c r="Q104" s="100">
        <v>9.99</v>
      </c>
      <c r="R104" s="6"/>
      <c r="S104" s="6"/>
      <c r="T104" s="156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7" t="s">
        <v>48</v>
      </c>
      <c r="B106" s="158">
        <f>MIN(B9:B104)</f>
        <v>3.02</v>
      </c>
      <c r="C106" s="158">
        <f>MIN(C9:C104)</f>
        <v>4.5599999999999996</v>
      </c>
      <c r="D106" s="158">
        <f t="shared" ref="D106:Q106" si="0">MIN(D9:D104)</f>
        <v>8.52</v>
      </c>
      <c r="E106" s="158">
        <f t="shared" si="0"/>
        <v>3.66</v>
      </c>
      <c r="F106" s="158">
        <f t="shared" si="0"/>
        <v>2</v>
      </c>
      <c r="G106" s="158">
        <f t="shared" si="0"/>
        <v>12.81</v>
      </c>
      <c r="H106" s="158">
        <f t="shared" si="0"/>
        <v>4.76</v>
      </c>
      <c r="I106" s="158">
        <f t="shared" si="0"/>
        <v>4.08</v>
      </c>
      <c r="J106" s="158">
        <f t="shared" si="0"/>
        <v>0</v>
      </c>
      <c r="K106" s="158">
        <f t="shared" si="0"/>
        <v>1.22</v>
      </c>
      <c r="L106" s="158">
        <f t="shared" si="0"/>
        <v>7.7</v>
      </c>
      <c r="M106" s="158">
        <f t="shared" si="0"/>
        <v>0.99</v>
      </c>
      <c r="N106" s="158">
        <f t="shared" si="0"/>
        <v>2.1</v>
      </c>
      <c r="O106" s="158">
        <f t="shared" si="0"/>
        <v>0</v>
      </c>
      <c r="P106" s="158">
        <f t="shared" si="0"/>
        <v>0.15</v>
      </c>
      <c r="Q106" s="158">
        <f t="shared" si="0"/>
        <v>9.77</v>
      </c>
      <c r="R106" s="158"/>
      <c r="S106" s="158"/>
      <c r="T106" s="158"/>
      <c r="U106" s="158"/>
    </row>
    <row r="107" spans="1:21">
      <c r="A107" s="157" t="s">
        <v>49</v>
      </c>
      <c r="B107" s="157">
        <f>MAX(B9:B104)</f>
        <v>6.8</v>
      </c>
      <c r="C107" s="157">
        <f t="shared" ref="C107:Q107" si="1">MAX(C9:C104)</f>
        <v>11.4</v>
      </c>
      <c r="D107" s="157">
        <f t="shared" si="1"/>
        <v>16.84</v>
      </c>
      <c r="E107" s="157">
        <f t="shared" si="1"/>
        <v>12.96</v>
      </c>
      <c r="F107" s="157">
        <f t="shared" si="1"/>
        <v>11.71</v>
      </c>
      <c r="G107" s="157">
        <f t="shared" si="1"/>
        <v>83.97</v>
      </c>
      <c r="H107" s="157">
        <f t="shared" si="1"/>
        <v>30.29</v>
      </c>
      <c r="I107" s="157">
        <f t="shared" si="1"/>
        <v>9.1999999999999993</v>
      </c>
      <c r="J107" s="157">
        <f t="shared" si="1"/>
        <v>0.52</v>
      </c>
      <c r="K107" s="157">
        <f t="shared" si="1"/>
        <v>358.81</v>
      </c>
      <c r="L107" s="157">
        <f t="shared" si="1"/>
        <v>30.56</v>
      </c>
      <c r="M107" s="157">
        <f t="shared" si="1"/>
        <v>46.41</v>
      </c>
      <c r="N107" s="157">
        <f t="shared" si="1"/>
        <v>520.1</v>
      </c>
      <c r="O107" s="157">
        <f t="shared" si="1"/>
        <v>0.6</v>
      </c>
      <c r="P107" s="157">
        <f t="shared" si="1"/>
        <v>0.52</v>
      </c>
      <c r="Q107" s="157">
        <f t="shared" si="1"/>
        <v>10.82</v>
      </c>
      <c r="R107" s="157"/>
      <c r="S107" s="157"/>
      <c r="T107" s="157"/>
      <c r="U107" s="157"/>
    </row>
    <row r="108" spans="1:21">
      <c r="A108" s="157" t="s">
        <v>50</v>
      </c>
      <c r="B108" s="158">
        <f>AVERAGE(B9:B104)</f>
        <v>4.8033333333333337</v>
      </c>
      <c r="C108" s="158">
        <f t="shared" ref="C108:Q108" si="2">AVERAGE(C9:C104)</f>
        <v>6.3927083333333323</v>
      </c>
      <c r="D108" s="158">
        <f t="shared" si="2"/>
        <v>11.196145833333338</v>
      </c>
      <c r="E108" s="158">
        <f t="shared" si="2"/>
        <v>6.0008333333333317</v>
      </c>
      <c r="F108" s="158">
        <f t="shared" si="2"/>
        <v>3.2264583333333334</v>
      </c>
      <c r="G108" s="158">
        <f t="shared" si="2"/>
        <v>41.859791666666659</v>
      </c>
      <c r="H108" s="158">
        <f t="shared" si="2"/>
        <v>16.754895833333343</v>
      </c>
      <c r="I108" s="158">
        <f t="shared" si="2"/>
        <v>6.4257291666666676</v>
      </c>
      <c r="J108" s="158">
        <f t="shared" si="2"/>
        <v>0.19562500000000002</v>
      </c>
      <c r="K108" s="158">
        <f t="shared" si="2"/>
        <v>166.84041666666658</v>
      </c>
      <c r="L108" s="158">
        <f t="shared" si="2"/>
        <v>17.479895833333341</v>
      </c>
      <c r="M108" s="158">
        <f t="shared" si="2"/>
        <v>24.572187499999998</v>
      </c>
      <c r="N108" s="158">
        <f t="shared" si="2"/>
        <v>52.782291666666687</v>
      </c>
      <c r="O108" s="158">
        <f t="shared" si="2"/>
        <v>8.3333333333333332E-3</v>
      </c>
      <c r="P108" s="158">
        <f t="shared" si="2"/>
        <v>0.34364583333333337</v>
      </c>
      <c r="Q108" s="158">
        <f t="shared" si="2"/>
        <v>10.081874999999998</v>
      </c>
      <c r="R108" s="158"/>
      <c r="S108" s="158"/>
      <c r="T108" s="158"/>
      <c r="U108" s="158"/>
    </row>
    <row r="109" spans="1:21">
      <c r="A109" s="157" t="s">
        <v>51</v>
      </c>
      <c r="B109" s="158">
        <f>STDEV(B9:B104)</f>
        <v>1.0303792522701296</v>
      </c>
      <c r="C109" s="158">
        <f t="shared" ref="C109:Q109" si="3">STDEV(C9:C104)</f>
        <v>1.7295052405798061</v>
      </c>
      <c r="D109" s="158">
        <f t="shared" si="3"/>
        <v>1.7615671072217127</v>
      </c>
      <c r="E109" s="158">
        <f t="shared" si="3"/>
        <v>1.7842702572416596</v>
      </c>
      <c r="F109" s="158">
        <f t="shared" si="3"/>
        <v>2.3939454239774265</v>
      </c>
      <c r="G109" s="158">
        <f t="shared" si="3"/>
        <v>24.049555548105328</v>
      </c>
      <c r="H109" s="158">
        <f t="shared" si="3"/>
        <v>9.219338484636415</v>
      </c>
      <c r="I109" s="158">
        <f t="shared" si="3"/>
        <v>1.5830335600336987</v>
      </c>
      <c r="J109" s="158">
        <f t="shared" si="3"/>
        <v>0.12607276512103285</v>
      </c>
      <c r="K109" s="158">
        <f t="shared" si="3"/>
        <v>91.813334404984118</v>
      </c>
      <c r="L109" s="158">
        <f t="shared" si="3"/>
        <v>4.9141009767898973</v>
      </c>
      <c r="M109" s="158">
        <f t="shared" si="3"/>
        <v>11.454012967480462</v>
      </c>
      <c r="N109" s="158">
        <f t="shared" si="3"/>
        <v>96.63668257942291</v>
      </c>
      <c r="O109" s="158">
        <f t="shared" si="3"/>
        <v>6.4345558333058092E-2</v>
      </c>
      <c r="P109" s="158">
        <f t="shared" si="3"/>
        <v>0.11927959009836948</v>
      </c>
      <c r="Q109" s="158">
        <f t="shared" si="3"/>
        <v>0.21220304328389697</v>
      </c>
      <c r="R109" s="158"/>
      <c r="S109" s="158"/>
      <c r="T109" s="158"/>
      <c r="U109" s="158"/>
    </row>
    <row r="110" spans="1:21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0"/>
      <c r="O113" s="160"/>
      <c r="P113" s="160"/>
      <c r="Q113" s="160"/>
      <c r="R113" s="160"/>
      <c r="S113" s="160"/>
      <c r="T113" s="160"/>
      <c r="U113" s="160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3" t="s">
        <v>56</v>
      </c>
      <c r="C115" s="163"/>
      <c r="D115" s="16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7"/>
  <sheetViews>
    <sheetView zoomScale="85" zoomScaleNormal="85" workbookViewId="0">
      <pane ySplit="1" topLeftCell="A101" activePane="bottomLeft" state="frozen"/>
      <selection pane="bottomLeft" activeCell="I18" sqref="I1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3025</v>
      </c>
      <c r="B9" s="100">
        <v>4.0599999999999996</v>
      </c>
      <c r="C9" s="100">
        <v>5.12</v>
      </c>
      <c r="D9" s="100">
        <v>9.18</v>
      </c>
      <c r="E9" s="100">
        <v>6.05</v>
      </c>
      <c r="F9" s="100">
        <v>2</v>
      </c>
      <c r="G9" s="100">
        <v>54.06</v>
      </c>
      <c r="H9" s="100">
        <v>30.29</v>
      </c>
      <c r="I9" s="100">
        <v>8.7200000000000006</v>
      </c>
      <c r="J9" s="100">
        <v>0.09</v>
      </c>
      <c r="K9" s="100">
        <v>153.46</v>
      </c>
      <c r="L9" s="100">
        <v>15.18</v>
      </c>
      <c r="M9" s="100">
        <v>20.16</v>
      </c>
      <c r="N9" s="100">
        <v>2.1</v>
      </c>
      <c r="O9" s="100">
        <v>0</v>
      </c>
      <c r="P9" s="100">
        <v>0.51</v>
      </c>
      <c r="Q9" s="100">
        <v>9.35</v>
      </c>
      <c r="R9" s="6"/>
      <c r="S9" s="6"/>
      <c r="T9" s="156"/>
      <c r="U9" s="6"/>
    </row>
    <row r="10" spans="1:21" customFormat="1">
      <c r="A10" s="201" t="s">
        <v>3026</v>
      </c>
      <c r="B10" s="100">
        <v>4.05</v>
      </c>
      <c r="C10" s="100">
        <v>5.16</v>
      </c>
      <c r="D10" s="100">
        <v>9.2100000000000009</v>
      </c>
      <c r="E10" s="100">
        <v>6.29</v>
      </c>
      <c r="F10" s="100">
        <v>2</v>
      </c>
      <c r="G10" s="100">
        <v>46.31</v>
      </c>
      <c r="H10" s="100">
        <v>25.52</v>
      </c>
      <c r="I10" s="100">
        <v>8.7899999999999991</v>
      </c>
      <c r="J10" s="100">
        <v>0.03</v>
      </c>
      <c r="K10" s="100">
        <v>197.87</v>
      </c>
      <c r="L10" s="100">
        <v>16.23</v>
      </c>
      <c r="M10" s="100">
        <v>22.73</v>
      </c>
      <c r="N10" s="100">
        <v>2.1</v>
      </c>
      <c r="O10" s="100">
        <v>0</v>
      </c>
      <c r="P10" s="100">
        <v>0.5</v>
      </c>
      <c r="Q10" s="100">
        <v>9.9700000000000006</v>
      </c>
      <c r="R10" s="6"/>
      <c r="S10" s="6"/>
      <c r="T10" s="156"/>
      <c r="U10" s="6"/>
    </row>
    <row r="11" spans="1:21" customFormat="1">
      <c r="A11" s="201" t="s">
        <v>3027</v>
      </c>
      <c r="B11" s="100">
        <v>4.1100000000000003</v>
      </c>
      <c r="C11" s="100">
        <v>5.1100000000000003</v>
      </c>
      <c r="D11" s="100">
        <v>9.2100000000000009</v>
      </c>
      <c r="E11" s="100">
        <v>6.37</v>
      </c>
      <c r="F11" s="100">
        <v>2</v>
      </c>
      <c r="G11" s="100">
        <v>40.64</v>
      </c>
      <c r="H11" s="100">
        <v>24.03</v>
      </c>
      <c r="I11" s="100">
        <v>8.73</v>
      </c>
      <c r="J11" s="100">
        <v>0.04</v>
      </c>
      <c r="K11" s="100">
        <v>132.16999999999999</v>
      </c>
      <c r="L11" s="100">
        <v>15.06</v>
      </c>
      <c r="M11" s="100">
        <v>19.8</v>
      </c>
      <c r="N11" s="100">
        <v>2.1</v>
      </c>
      <c r="O11" s="100">
        <v>0</v>
      </c>
      <c r="P11" s="100">
        <v>0.5</v>
      </c>
      <c r="Q11" s="100">
        <v>10</v>
      </c>
      <c r="R11" s="6"/>
      <c r="S11" s="6"/>
      <c r="T11" s="156"/>
      <c r="U11" s="6"/>
    </row>
    <row r="12" spans="1:21" customFormat="1">
      <c r="A12" s="201" t="s">
        <v>3028</v>
      </c>
      <c r="B12" s="100">
        <v>4.1500000000000004</v>
      </c>
      <c r="C12" s="100">
        <v>5.05</v>
      </c>
      <c r="D12" s="100">
        <v>9.1999999999999993</v>
      </c>
      <c r="E12" s="100">
        <v>6.17</v>
      </c>
      <c r="F12" s="100">
        <v>2</v>
      </c>
      <c r="G12" s="100">
        <v>40.64</v>
      </c>
      <c r="H12" s="100">
        <v>24.03</v>
      </c>
      <c r="I12" s="100">
        <v>8.68</v>
      </c>
      <c r="J12" s="100">
        <v>0.08</v>
      </c>
      <c r="K12" s="100">
        <v>112.26</v>
      </c>
      <c r="L12" s="100">
        <v>11.95</v>
      </c>
      <c r="M12" s="100">
        <v>12</v>
      </c>
      <c r="N12" s="100">
        <v>2.2000000000000002</v>
      </c>
      <c r="O12" s="100">
        <v>0</v>
      </c>
      <c r="P12" s="100">
        <v>0.48</v>
      </c>
      <c r="Q12" s="100">
        <v>10</v>
      </c>
      <c r="R12" s="6"/>
      <c r="S12" s="6"/>
      <c r="T12" s="156"/>
      <c r="U12" s="6"/>
    </row>
    <row r="13" spans="1:21" customFormat="1">
      <c r="A13" s="201" t="s">
        <v>3029</v>
      </c>
      <c r="B13" s="100">
        <v>4.16</v>
      </c>
      <c r="C13" s="100">
        <v>5.07</v>
      </c>
      <c r="D13" s="100">
        <v>9.24</v>
      </c>
      <c r="E13" s="100">
        <v>5.9</v>
      </c>
      <c r="F13" s="100">
        <v>2</v>
      </c>
      <c r="G13" s="100">
        <v>40.64</v>
      </c>
      <c r="H13" s="100">
        <v>24.03</v>
      </c>
      <c r="I13" s="100">
        <v>8.6199999999999992</v>
      </c>
      <c r="J13" s="100">
        <v>0.08</v>
      </c>
      <c r="K13" s="100">
        <v>104.52</v>
      </c>
      <c r="L13" s="100">
        <v>11.01</v>
      </c>
      <c r="M13" s="100">
        <v>9.61</v>
      </c>
      <c r="N13" s="100">
        <v>2.2999999999999998</v>
      </c>
      <c r="O13" s="100">
        <v>0</v>
      </c>
      <c r="P13" s="100">
        <v>0.45</v>
      </c>
      <c r="Q13" s="100">
        <v>10</v>
      </c>
      <c r="R13" s="6"/>
      <c r="S13" s="6"/>
      <c r="T13" s="156"/>
      <c r="U13" s="6"/>
    </row>
    <row r="14" spans="1:21" customFormat="1">
      <c r="A14" s="201" t="s">
        <v>3030</v>
      </c>
      <c r="B14" s="100">
        <v>4.0599999999999996</v>
      </c>
      <c r="C14" s="100">
        <v>4.9800000000000004</v>
      </c>
      <c r="D14" s="100">
        <v>9.0399999999999991</v>
      </c>
      <c r="E14" s="100">
        <v>5.22</v>
      </c>
      <c r="F14" s="100">
        <v>2.34</v>
      </c>
      <c r="G14" s="100">
        <v>37.869999999999997</v>
      </c>
      <c r="H14" s="100">
        <v>20.05</v>
      </c>
      <c r="I14" s="100">
        <v>8.44</v>
      </c>
      <c r="J14" s="100">
        <v>0.03</v>
      </c>
      <c r="K14" s="100">
        <v>163.72</v>
      </c>
      <c r="L14" s="100">
        <v>15.93</v>
      </c>
      <c r="M14" s="100">
        <v>22</v>
      </c>
      <c r="N14" s="100">
        <v>2.2000000000000002</v>
      </c>
      <c r="O14" s="100">
        <v>0</v>
      </c>
      <c r="P14" s="100">
        <v>0.39</v>
      </c>
      <c r="Q14" s="100">
        <v>9.9</v>
      </c>
      <c r="R14" s="6"/>
      <c r="S14" s="6"/>
      <c r="T14" s="156"/>
      <c r="U14" s="6"/>
    </row>
    <row r="15" spans="1:21" customFormat="1">
      <c r="A15" s="201" t="s">
        <v>3031</v>
      </c>
      <c r="B15" s="100">
        <v>4.17</v>
      </c>
      <c r="C15" s="100">
        <v>4.83</v>
      </c>
      <c r="D15" s="100">
        <v>9</v>
      </c>
      <c r="E15" s="100">
        <v>5.17</v>
      </c>
      <c r="F15" s="100">
        <v>2.0499999999999998</v>
      </c>
      <c r="G15" s="100">
        <v>35.75</v>
      </c>
      <c r="H15" s="100">
        <v>18.78</v>
      </c>
      <c r="I15" s="100">
        <v>8.3000000000000007</v>
      </c>
      <c r="J15" s="100">
        <v>0.15</v>
      </c>
      <c r="K15" s="100">
        <v>259.35000000000002</v>
      </c>
      <c r="L15" s="100">
        <v>23.55</v>
      </c>
      <c r="M15" s="100">
        <v>41.03</v>
      </c>
      <c r="N15" s="100">
        <v>2.2999999999999998</v>
      </c>
      <c r="O15" s="100">
        <v>0</v>
      </c>
      <c r="P15" s="100">
        <v>0.37</v>
      </c>
      <c r="Q15" s="100">
        <v>10</v>
      </c>
      <c r="R15" s="6"/>
      <c r="S15" s="6"/>
      <c r="T15" s="156"/>
      <c r="U15" s="6"/>
    </row>
    <row r="16" spans="1:21" customFormat="1">
      <c r="A16" s="201" t="s">
        <v>3032</v>
      </c>
      <c r="B16" s="100">
        <v>4.6100000000000003</v>
      </c>
      <c r="C16" s="100">
        <v>4.88</v>
      </c>
      <c r="D16" s="100">
        <v>9.49</v>
      </c>
      <c r="E16" s="100">
        <v>5.68</v>
      </c>
      <c r="F16" s="100">
        <v>2</v>
      </c>
      <c r="G16" s="100">
        <v>35.75</v>
      </c>
      <c r="H16" s="100">
        <v>18.78</v>
      </c>
      <c r="I16" s="100">
        <v>7.96</v>
      </c>
      <c r="J16" s="100">
        <v>0.09</v>
      </c>
      <c r="K16" s="100">
        <v>172.49</v>
      </c>
      <c r="L16" s="100">
        <v>16.829999999999998</v>
      </c>
      <c r="M16" s="100">
        <v>24.28</v>
      </c>
      <c r="N16" s="100">
        <v>2.2000000000000002</v>
      </c>
      <c r="O16" s="100">
        <v>0</v>
      </c>
      <c r="P16" s="100">
        <v>0.42</v>
      </c>
      <c r="Q16" s="100">
        <v>10</v>
      </c>
      <c r="R16" s="6"/>
      <c r="S16" s="6"/>
      <c r="T16" s="156"/>
      <c r="U16" s="6"/>
    </row>
    <row r="17" spans="1:21" customFormat="1">
      <c r="A17" s="201" t="s">
        <v>3033</v>
      </c>
      <c r="B17" s="100">
        <v>4.6500000000000004</v>
      </c>
      <c r="C17" s="100">
        <v>4.9400000000000004</v>
      </c>
      <c r="D17" s="100">
        <v>9.58</v>
      </c>
      <c r="E17" s="100">
        <v>4.26</v>
      </c>
      <c r="F17" s="100">
        <v>2</v>
      </c>
      <c r="G17" s="100">
        <v>35.75</v>
      </c>
      <c r="H17" s="100">
        <v>18.78</v>
      </c>
      <c r="I17" s="100">
        <v>8</v>
      </c>
      <c r="J17" s="100">
        <v>0.11</v>
      </c>
      <c r="K17" s="100">
        <v>231.06</v>
      </c>
      <c r="L17" s="100">
        <v>18.47</v>
      </c>
      <c r="M17" s="100">
        <v>28.4</v>
      </c>
      <c r="N17" s="100">
        <v>2.2999999999999998</v>
      </c>
      <c r="O17" s="100">
        <v>0</v>
      </c>
      <c r="P17" s="100">
        <v>0.4</v>
      </c>
      <c r="Q17" s="100">
        <v>10</v>
      </c>
      <c r="R17" s="6"/>
      <c r="S17" s="6"/>
      <c r="T17" s="156"/>
      <c r="U17" s="6"/>
    </row>
    <row r="18" spans="1:21" customFormat="1">
      <c r="A18" s="201" t="s">
        <v>3034</v>
      </c>
      <c r="B18" s="100">
        <v>4.5199999999999996</v>
      </c>
      <c r="C18" s="100">
        <v>4.95</v>
      </c>
      <c r="D18" s="100">
        <v>9.4700000000000006</v>
      </c>
      <c r="E18" s="100">
        <v>4.55</v>
      </c>
      <c r="F18" s="100">
        <v>2.19</v>
      </c>
      <c r="G18" s="100">
        <v>32.409999999999997</v>
      </c>
      <c r="H18" s="100">
        <v>18.97</v>
      </c>
      <c r="I18" s="100">
        <v>8.27</v>
      </c>
      <c r="J18" s="100">
        <v>0.16</v>
      </c>
      <c r="K18" s="100">
        <v>236.87</v>
      </c>
      <c r="L18" s="100">
        <v>20.99</v>
      </c>
      <c r="M18" s="100">
        <v>34.69</v>
      </c>
      <c r="N18" s="100">
        <v>2.2999999999999998</v>
      </c>
      <c r="O18" s="100">
        <v>0</v>
      </c>
      <c r="P18" s="100">
        <v>0.37</v>
      </c>
      <c r="Q18" s="100">
        <v>10.01</v>
      </c>
      <c r="R18" s="6"/>
      <c r="S18" s="6"/>
      <c r="T18" s="156"/>
      <c r="U18" s="6"/>
    </row>
    <row r="19" spans="1:21" customFormat="1">
      <c r="A19" s="201" t="s">
        <v>3035</v>
      </c>
      <c r="B19" s="100">
        <v>4.9400000000000004</v>
      </c>
      <c r="C19" s="100">
        <v>4.93</v>
      </c>
      <c r="D19" s="100">
        <v>9.8699999999999992</v>
      </c>
      <c r="E19" s="100">
        <v>5.26</v>
      </c>
      <c r="F19" s="100">
        <v>2.02</v>
      </c>
      <c r="G19" s="100">
        <v>29.86</v>
      </c>
      <c r="H19" s="100">
        <v>19.03</v>
      </c>
      <c r="I19" s="100">
        <v>7.89</v>
      </c>
      <c r="J19" s="100">
        <v>0.09</v>
      </c>
      <c r="K19" s="100">
        <v>153.18</v>
      </c>
      <c r="L19" s="100">
        <v>16.16</v>
      </c>
      <c r="M19" s="100">
        <v>22.58</v>
      </c>
      <c r="N19" s="100">
        <v>2.2999999999999998</v>
      </c>
      <c r="O19" s="100">
        <v>0</v>
      </c>
      <c r="P19" s="100">
        <v>0.4</v>
      </c>
      <c r="Q19" s="100">
        <v>10.220000000000001</v>
      </c>
      <c r="R19" s="6"/>
      <c r="S19" s="6"/>
      <c r="T19" s="156"/>
      <c r="U19" s="6"/>
    </row>
    <row r="20" spans="1:21" customFormat="1">
      <c r="A20" s="201" t="s">
        <v>3036</v>
      </c>
      <c r="B20" s="100">
        <v>5</v>
      </c>
      <c r="C20" s="100">
        <v>5.0599999999999996</v>
      </c>
      <c r="D20" s="100">
        <v>10.06</v>
      </c>
      <c r="E20" s="100">
        <v>5.01</v>
      </c>
      <c r="F20" s="100">
        <v>2</v>
      </c>
      <c r="G20" s="100">
        <v>29.86</v>
      </c>
      <c r="H20" s="100">
        <v>19.03</v>
      </c>
      <c r="I20" s="100">
        <v>7.66</v>
      </c>
      <c r="J20" s="100">
        <v>0.14000000000000001</v>
      </c>
      <c r="K20" s="100">
        <v>150.05000000000001</v>
      </c>
      <c r="L20" s="100">
        <v>14.83</v>
      </c>
      <c r="M20" s="100">
        <v>19.34</v>
      </c>
      <c r="N20" s="100">
        <v>2.2999999999999998</v>
      </c>
      <c r="O20" s="100">
        <v>0</v>
      </c>
      <c r="P20" s="100">
        <v>0.37</v>
      </c>
      <c r="Q20" s="100">
        <v>10.16</v>
      </c>
      <c r="R20" s="6"/>
      <c r="S20" s="6"/>
      <c r="T20" s="156"/>
      <c r="U20" s="6"/>
    </row>
    <row r="21" spans="1:21" customFormat="1">
      <c r="A21" s="201" t="s">
        <v>3037</v>
      </c>
      <c r="B21" s="100">
        <v>4.88</v>
      </c>
      <c r="C21" s="100">
        <v>4.97</v>
      </c>
      <c r="D21" s="100">
        <v>9.85</v>
      </c>
      <c r="E21" s="100">
        <v>4.6900000000000004</v>
      </c>
      <c r="F21" s="100">
        <v>2.06</v>
      </c>
      <c r="G21" s="100">
        <v>29.86</v>
      </c>
      <c r="H21" s="100">
        <v>19.03</v>
      </c>
      <c r="I21" s="100">
        <v>8.0399999999999991</v>
      </c>
      <c r="J21" s="100">
        <v>0.09</v>
      </c>
      <c r="K21" s="100">
        <v>213.04</v>
      </c>
      <c r="L21" s="100">
        <v>19.23</v>
      </c>
      <c r="M21" s="100">
        <v>30.33</v>
      </c>
      <c r="N21" s="100">
        <v>2.1</v>
      </c>
      <c r="O21" s="100">
        <v>0</v>
      </c>
      <c r="P21" s="100">
        <v>0.35</v>
      </c>
      <c r="Q21" s="100">
        <v>9.89</v>
      </c>
      <c r="R21" s="6"/>
      <c r="S21" s="6"/>
      <c r="T21" s="156"/>
      <c r="U21" s="6"/>
    </row>
    <row r="22" spans="1:21" customFormat="1">
      <c r="A22" s="201" t="s">
        <v>3038</v>
      </c>
      <c r="B22" s="100">
        <v>5.12</v>
      </c>
      <c r="C22" s="100">
        <v>4.87</v>
      </c>
      <c r="D22" s="100">
        <v>9.98</v>
      </c>
      <c r="E22" s="100">
        <v>4.8600000000000003</v>
      </c>
      <c r="F22" s="100">
        <v>2</v>
      </c>
      <c r="G22" s="100">
        <v>28.81</v>
      </c>
      <c r="H22" s="100">
        <v>16</v>
      </c>
      <c r="I22" s="100">
        <v>7.62</v>
      </c>
      <c r="J22" s="100">
        <v>0.28999999999999998</v>
      </c>
      <c r="K22" s="100">
        <v>252.4</v>
      </c>
      <c r="L22" s="100">
        <v>22.71</v>
      </c>
      <c r="M22" s="100">
        <v>38.94</v>
      </c>
      <c r="N22" s="100">
        <v>2.1</v>
      </c>
      <c r="O22" s="100">
        <v>0</v>
      </c>
      <c r="P22" s="100">
        <v>0.36</v>
      </c>
      <c r="Q22" s="100">
        <v>10</v>
      </c>
      <c r="R22" s="6"/>
      <c r="S22" s="6"/>
      <c r="T22" s="156"/>
      <c r="U22" s="6"/>
    </row>
    <row r="23" spans="1:21" customFormat="1">
      <c r="A23" s="201" t="s">
        <v>3039</v>
      </c>
      <c r="B23" s="100">
        <v>5.41</v>
      </c>
      <c r="C23" s="100">
        <v>5.03</v>
      </c>
      <c r="D23" s="100">
        <v>10.44</v>
      </c>
      <c r="E23" s="100">
        <v>5.3</v>
      </c>
      <c r="F23" s="100">
        <v>2.06</v>
      </c>
      <c r="G23" s="100">
        <v>28.01</v>
      </c>
      <c r="H23" s="100">
        <v>14.19</v>
      </c>
      <c r="I23" s="100">
        <v>7.44</v>
      </c>
      <c r="J23" s="100">
        <v>0.28999999999999998</v>
      </c>
      <c r="K23" s="100">
        <v>256.02</v>
      </c>
      <c r="L23" s="100">
        <v>22.97</v>
      </c>
      <c r="M23" s="100">
        <v>39.58</v>
      </c>
      <c r="N23" s="100">
        <v>2.1</v>
      </c>
      <c r="O23" s="100">
        <v>0</v>
      </c>
      <c r="P23" s="100">
        <v>0.38</v>
      </c>
      <c r="Q23" s="100">
        <v>9.81</v>
      </c>
      <c r="R23" s="6"/>
      <c r="S23" s="6"/>
      <c r="T23" s="156"/>
      <c r="U23" s="6"/>
    </row>
    <row r="24" spans="1:21" customFormat="1">
      <c r="A24" s="201" t="s">
        <v>3040</v>
      </c>
      <c r="B24" s="100">
        <v>5.37</v>
      </c>
      <c r="C24" s="100">
        <v>4.96</v>
      </c>
      <c r="D24" s="100">
        <v>10.32</v>
      </c>
      <c r="E24" s="100">
        <v>5.17</v>
      </c>
      <c r="F24" s="100">
        <v>2</v>
      </c>
      <c r="G24" s="100">
        <v>28.01</v>
      </c>
      <c r="H24" s="100">
        <v>14.19</v>
      </c>
      <c r="I24" s="100">
        <v>7.56</v>
      </c>
      <c r="J24" s="100">
        <v>0.24</v>
      </c>
      <c r="K24" s="100">
        <v>248.88</v>
      </c>
      <c r="L24" s="100">
        <v>22.44</v>
      </c>
      <c r="M24" s="100">
        <v>38.33</v>
      </c>
      <c r="N24" s="100">
        <v>2.1</v>
      </c>
      <c r="O24" s="100">
        <v>0</v>
      </c>
      <c r="P24" s="100">
        <v>0.35</v>
      </c>
      <c r="Q24" s="100">
        <v>9.9600000000000009</v>
      </c>
      <c r="R24" s="6"/>
      <c r="S24" s="6"/>
      <c r="T24" s="156"/>
      <c r="U24" s="6"/>
    </row>
    <row r="25" spans="1:21" customFormat="1">
      <c r="A25" s="201" t="s">
        <v>3041</v>
      </c>
      <c r="B25" s="100">
        <v>5.47</v>
      </c>
      <c r="C25" s="100">
        <v>5.34</v>
      </c>
      <c r="D25" s="100">
        <v>10.82</v>
      </c>
      <c r="E25" s="100">
        <v>4.9000000000000004</v>
      </c>
      <c r="F25" s="100">
        <v>2.08</v>
      </c>
      <c r="G25" s="100">
        <v>28.01</v>
      </c>
      <c r="H25" s="100">
        <v>14.19</v>
      </c>
      <c r="I25" s="100">
        <v>7.68</v>
      </c>
      <c r="J25" s="100">
        <v>0.24</v>
      </c>
      <c r="K25" s="100">
        <v>273.95</v>
      </c>
      <c r="L25" s="100">
        <v>24.27</v>
      </c>
      <c r="M25" s="100">
        <v>42.8</v>
      </c>
      <c r="N25" s="100">
        <v>2.1</v>
      </c>
      <c r="O25" s="100">
        <v>0</v>
      </c>
      <c r="P25" s="100">
        <v>0.33</v>
      </c>
      <c r="Q25" s="100">
        <v>9.7899999999999991</v>
      </c>
      <c r="R25" s="6"/>
      <c r="S25" s="6"/>
      <c r="T25" s="156"/>
      <c r="U25" s="6"/>
    </row>
    <row r="26" spans="1:21" customFormat="1">
      <c r="A26" s="201" t="s">
        <v>3042</v>
      </c>
      <c r="B26" s="100">
        <v>5.77</v>
      </c>
      <c r="C26" s="100">
        <v>5.29</v>
      </c>
      <c r="D26" s="100">
        <v>11.07</v>
      </c>
      <c r="E26" s="100">
        <v>5.21</v>
      </c>
      <c r="F26" s="100">
        <v>2</v>
      </c>
      <c r="G26" s="100">
        <v>26.25</v>
      </c>
      <c r="H26" s="100">
        <v>14.98</v>
      </c>
      <c r="I26" s="100">
        <v>7.42</v>
      </c>
      <c r="J26" s="100">
        <v>0.28999999999999998</v>
      </c>
      <c r="K26" s="100">
        <v>272.27</v>
      </c>
      <c r="L26" s="100">
        <v>23.96</v>
      </c>
      <c r="M26" s="100">
        <v>42.06</v>
      </c>
      <c r="N26" s="100">
        <v>2.1</v>
      </c>
      <c r="O26" s="100">
        <v>0</v>
      </c>
      <c r="P26" s="100">
        <v>0.36</v>
      </c>
      <c r="Q26" s="100">
        <v>9.9700000000000006</v>
      </c>
      <c r="R26" s="6"/>
      <c r="S26" s="6"/>
      <c r="T26" s="156"/>
      <c r="U26" s="6"/>
    </row>
    <row r="27" spans="1:21" customFormat="1">
      <c r="A27" s="201" t="s">
        <v>3043</v>
      </c>
      <c r="B27" s="100">
        <v>5.87</v>
      </c>
      <c r="C27" s="100">
        <v>5.48</v>
      </c>
      <c r="D27" s="100">
        <v>11.35</v>
      </c>
      <c r="E27" s="100">
        <v>5.27</v>
      </c>
      <c r="F27" s="100">
        <v>2</v>
      </c>
      <c r="G27" s="100">
        <v>24.91</v>
      </c>
      <c r="H27" s="100">
        <v>15.23</v>
      </c>
      <c r="I27" s="100">
        <v>7.46</v>
      </c>
      <c r="J27" s="100">
        <v>0.19</v>
      </c>
      <c r="K27" s="100">
        <v>241.96</v>
      </c>
      <c r="L27" s="100">
        <v>21.79</v>
      </c>
      <c r="M27" s="100">
        <v>36.700000000000003</v>
      </c>
      <c r="N27" s="100">
        <v>2.1</v>
      </c>
      <c r="O27" s="100">
        <v>0</v>
      </c>
      <c r="P27" s="100">
        <v>0.34</v>
      </c>
      <c r="Q27" s="100">
        <v>10</v>
      </c>
      <c r="R27" s="6"/>
      <c r="S27" s="6"/>
      <c r="T27" s="156"/>
      <c r="U27" s="6"/>
    </row>
    <row r="28" spans="1:21" customFormat="1">
      <c r="A28" s="201" t="s">
        <v>3044</v>
      </c>
      <c r="B28" s="100">
        <v>5.99</v>
      </c>
      <c r="C28" s="100">
        <v>5.99</v>
      </c>
      <c r="D28" s="100">
        <v>11.98</v>
      </c>
      <c r="E28" s="100">
        <v>5.26</v>
      </c>
      <c r="F28" s="100">
        <v>2.0699999999999998</v>
      </c>
      <c r="G28" s="100">
        <v>24.91</v>
      </c>
      <c r="H28" s="100">
        <v>15.23</v>
      </c>
      <c r="I28" s="100">
        <v>7.66</v>
      </c>
      <c r="J28" s="100">
        <v>0.15</v>
      </c>
      <c r="K28" s="100">
        <v>275.91000000000003</v>
      </c>
      <c r="L28" s="100">
        <v>23.76</v>
      </c>
      <c r="M28" s="100">
        <v>41.53</v>
      </c>
      <c r="N28" s="100">
        <v>2.1</v>
      </c>
      <c r="O28" s="100">
        <v>0</v>
      </c>
      <c r="P28" s="100">
        <v>0.32</v>
      </c>
      <c r="Q28" s="100">
        <v>10</v>
      </c>
      <c r="R28" s="6"/>
      <c r="S28" s="6"/>
      <c r="T28" s="156"/>
      <c r="U28" s="6"/>
    </row>
    <row r="29" spans="1:21" customFormat="1">
      <c r="A29" s="201" t="s">
        <v>3045</v>
      </c>
      <c r="B29" s="100">
        <v>6.33</v>
      </c>
      <c r="C29" s="100">
        <v>5.78</v>
      </c>
      <c r="D29" s="100">
        <v>12.1</v>
      </c>
      <c r="E29" s="100">
        <v>5.22</v>
      </c>
      <c r="F29" s="100">
        <v>2</v>
      </c>
      <c r="G29" s="100">
        <v>24.91</v>
      </c>
      <c r="H29" s="100">
        <v>15.23</v>
      </c>
      <c r="I29" s="100">
        <v>7.65</v>
      </c>
      <c r="J29" s="100">
        <v>0.09</v>
      </c>
      <c r="K29" s="100">
        <v>177.2</v>
      </c>
      <c r="L29" s="100">
        <v>16.420000000000002</v>
      </c>
      <c r="M29" s="100">
        <v>23.38</v>
      </c>
      <c r="N29" s="100">
        <v>2.1</v>
      </c>
      <c r="O29" s="100">
        <v>0</v>
      </c>
      <c r="P29" s="100">
        <v>0.33</v>
      </c>
      <c r="Q29" s="100">
        <v>9.93</v>
      </c>
      <c r="R29" s="6"/>
      <c r="S29" s="6"/>
      <c r="T29" s="156"/>
      <c r="U29" s="6"/>
    </row>
    <row r="30" spans="1:21" customFormat="1">
      <c r="A30" s="201" t="s">
        <v>3046</v>
      </c>
      <c r="B30" s="100">
        <v>6.01</v>
      </c>
      <c r="C30" s="100">
        <v>5.98</v>
      </c>
      <c r="D30" s="100">
        <v>11.99</v>
      </c>
      <c r="E30" s="100">
        <v>4.99</v>
      </c>
      <c r="F30" s="100">
        <v>2.0299999999999998</v>
      </c>
      <c r="G30" s="100">
        <v>26.67</v>
      </c>
      <c r="H30" s="100">
        <v>12.59</v>
      </c>
      <c r="I30" s="100">
        <v>7.55</v>
      </c>
      <c r="J30" s="100">
        <v>0.12</v>
      </c>
      <c r="K30" s="100">
        <v>221.01</v>
      </c>
      <c r="L30" s="100">
        <v>19.93</v>
      </c>
      <c r="M30" s="100">
        <v>32.08</v>
      </c>
      <c r="N30" s="100">
        <v>2.1</v>
      </c>
      <c r="O30" s="100">
        <v>0</v>
      </c>
      <c r="P30" s="100">
        <v>0.32</v>
      </c>
      <c r="Q30" s="100">
        <v>10</v>
      </c>
      <c r="R30" s="6"/>
      <c r="S30" s="6"/>
      <c r="T30" s="156"/>
      <c r="U30" s="6"/>
    </row>
    <row r="31" spans="1:21" customFormat="1">
      <c r="A31" s="201" t="s">
        <v>3047</v>
      </c>
      <c r="B31" s="100">
        <v>5.95</v>
      </c>
      <c r="C31" s="100">
        <v>5.89</v>
      </c>
      <c r="D31" s="100">
        <v>11.84</v>
      </c>
      <c r="E31" s="100">
        <v>4.97</v>
      </c>
      <c r="F31" s="100">
        <v>2</v>
      </c>
      <c r="G31" s="100">
        <v>28.02</v>
      </c>
      <c r="H31" s="100">
        <v>11.75</v>
      </c>
      <c r="I31" s="100">
        <v>7.57</v>
      </c>
      <c r="J31" s="100">
        <v>0.1</v>
      </c>
      <c r="K31" s="100">
        <v>223.78</v>
      </c>
      <c r="L31" s="100">
        <v>20.52</v>
      </c>
      <c r="M31" s="100">
        <v>33.44</v>
      </c>
      <c r="N31" s="100">
        <v>2.4</v>
      </c>
      <c r="O31" s="100">
        <v>0</v>
      </c>
      <c r="P31" s="100">
        <v>0.28999999999999998</v>
      </c>
      <c r="Q31" s="100">
        <v>10</v>
      </c>
      <c r="R31" s="6"/>
      <c r="S31" s="6"/>
      <c r="T31" s="156"/>
      <c r="U31" s="6"/>
    </row>
    <row r="32" spans="1:21" customFormat="1">
      <c r="A32" s="201" t="s">
        <v>3048</v>
      </c>
      <c r="B32" s="100">
        <v>6.49</v>
      </c>
      <c r="C32" s="100">
        <v>5.65</v>
      </c>
      <c r="D32" s="100">
        <v>12.14</v>
      </c>
      <c r="E32" s="100">
        <v>5.29</v>
      </c>
      <c r="F32" s="100">
        <v>2</v>
      </c>
      <c r="G32" s="100">
        <v>28.02</v>
      </c>
      <c r="H32" s="100">
        <v>11.75</v>
      </c>
      <c r="I32" s="100">
        <v>7.54</v>
      </c>
      <c r="J32" s="100">
        <v>7.0000000000000007E-2</v>
      </c>
      <c r="K32" s="100">
        <v>193.51</v>
      </c>
      <c r="L32" s="100">
        <v>17.46</v>
      </c>
      <c r="M32" s="100">
        <v>25.8</v>
      </c>
      <c r="N32" s="100">
        <v>3.6</v>
      </c>
      <c r="O32" s="100">
        <v>0</v>
      </c>
      <c r="P32" s="100">
        <v>0.32</v>
      </c>
      <c r="Q32" s="100">
        <v>10</v>
      </c>
      <c r="R32" s="6"/>
      <c r="S32" s="6"/>
      <c r="T32" s="156"/>
      <c r="U32" s="6"/>
    </row>
    <row r="33" spans="1:21" customFormat="1">
      <c r="A33" s="201" t="s">
        <v>3049</v>
      </c>
      <c r="B33" s="100">
        <v>6.83</v>
      </c>
      <c r="C33" s="100">
        <v>5.96</v>
      </c>
      <c r="D33" s="100">
        <v>12.79</v>
      </c>
      <c r="E33" s="100">
        <v>5.21</v>
      </c>
      <c r="F33" s="100">
        <v>2</v>
      </c>
      <c r="G33" s="100">
        <v>28.02</v>
      </c>
      <c r="H33" s="100">
        <v>11.75</v>
      </c>
      <c r="I33" s="100">
        <v>7.58</v>
      </c>
      <c r="J33" s="100">
        <v>0.06</v>
      </c>
      <c r="K33" s="100">
        <v>173.94</v>
      </c>
      <c r="L33" s="100">
        <v>15.23</v>
      </c>
      <c r="M33" s="100">
        <v>20.07</v>
      </c>
      <c r="N33" s="100">
        <v>7.5</v>
      </c>
      <c r="O33" s="100">
        <v>0</v>
      </c>
      <c r="P33" s="100">
        <v>0.34</v>
      </c>
      <c r="Q33" s="100">
        <v>10</v>
      </c>
      <c r="R33" s="6"/>
      <c r="S33" s="6"/>
      <c r="T33" s="156"/>
      <c r="U33" s="6"/>
    </row>
    <row r="34" spans="1:21" customFormat="1">
      <c r="A34" s="201" t="s">
        <v>3050</v>
      </c>
      <c r="B34" s="100">
        <v>7.28</v>
      </c>
      <c r="C34" s="100">
        <v>6.14</v>
      </c>
      <c r="D34" s="100">
        <v>13.42</v>
      </c>
      <c r="E34" s="100">
        <v>4.93</v>
      </c>
      <c r="F34" s="100">
        <v>2</v>
      </c>
      <c r="G34" s="100">
        <v>27.33</v>
      </c>
      <c r="H34" s="100">
        <v>14.45</v>
      </c>
      <c r="I34" s="100">
        <v>7.6</v>
      </c>
      <c r="J34" s="100">
        <v>0.05</v>
      </c>
      <c r="K34" s="100">
        <v>24.45</v>
      </c>
      <c r="L34" s="100">
        <v>18.190000000000001</v>
      </c>
      <c r="M34" s="100">
        <v>27.16</v>
      </c>
      <c r="N34" s="100">
        <v>15.6</v>
      </c>
      <c r="O34" s="100">
        <v>0</v>
      </c>
      <c r="P34" s="100">
        <v>0.35</v>
      </c>
      <c r="Q34" s="100">
        <v>10</v>
      </c>
      <c r="R34" s="6"/>
      <c r="S34" s="6"/>
      <c r="T34" s="156"/>
      <c r="U34" s="6"/>
    </row>
    <row r="35" spans="1:21" customFormat="1">
      <c r="A35" s="201" t="s">
        <v>3051</v>
      </c>
      <c r="B35" s="100">
        <v>7.91</v>
      </c>
      <c r="C35" s="100">
        <v>6.39</v>
      </c>
      <c r="D35" s="100">
        <v>14.3</v>
      </c>
      <c r="E35" s="100">
        <v>5.22</v>
      </c>
      <c r="F35" s="100">
        <v>2</v>
      </c>
      <c r="G35" s="100">
        <v>26.8</v>
      </c>
      <c r="H35" s="100">
        <v>15.3</v>
      </c>
      <c r="I35" s="100">
        <v>7.5</v>
      </c>
      <c r="J35" s="100">
        <v>0.09</v>
      </c>
      <c r="K35" s="100">
        <v>75.989999999999995</v>
      </c>
      <c r="L35" s="100">
        <v>9.68</v>
      </c>
      <c r="M35" s="100">
        <v>5.61</v>
      </c>
      <c r="N35" s="100">
        <v>27.5</v>
      </c>
      <c r="O35" s="100">
        <v>0</v>
      </c>
      <c r="P35" s="100">
        <v>0.35</v>
      </c>
      <c r="Q35" s="100">
        <v>10</v>
      </c>
      <c r="R35" s="6"/>
      <c r="S35" s="6"/>
      <c r="T35" s="156"/>
      <c r="U35" s="6"/>
    </row>
    <row r="36" spans="1:21" customFormat="1">
      <c r="A36" s="201" t="s">
        <v>3052</v>
      </c>
      <c r="B36" s="100">
        <v>8.2899999999999991</v>
      </c>
      <c r="C36" s="100">
        <v>6.4</v>
      </c>
      <c r="D36" s="100">
        <v>14.69</v>
      </c>
      <c r="E36" s="100">
        <v>5.19</v>
      </c>
      <c r="F36" s="100">
        <v>2</v>
      </c>
      <c r="G36" s="100">
        <v>26.8</v>
      </c>
      <c r="H36" s="100">
        <v>15.3</v>
      </c>
      <c r="I36" s="100">
        <v>7.43</v>
      </c>
      <c r="J36" s="100">
        <v>0.04</v>
      </c>
      <c r="K36" s="100">
        <v>76.11</v>
      </c>
      <c r="L36" s="100">
        <v>15.6</v>
      </c>
      <c r="M36" s="100">
        <v>20.059999999999999</v>
      </c>
      <c r="N36" s="100">
        <v>44.6</v>
      </c>
      <c r="O36" s="100">
        <v>0</v>
      </c>
      <c r="P36" s="100">
        <v>0.36</v>
      </c>
      <c r="Q36" s="100">
        <v>10</v>
      </c>
      <c r="R36" s="6"/>
      <c r="S36" s="6"/>
      <c r="T36" s="156"/>
      <c r="U36" s="6"/>
    </row>
    <row r="37" spans="1:21" customFormat="1">
      <c r="A37" s="201" t="s">
        <v>3053</v>
      </c>
      <c r="B37" s="100">
        <v>8.41</v>
      </c>
      <c r="C37" s="100">
        <v>6.36</v>
      </c>
      <c r="D37" s="100">
        <v>14.77</v>
      </c>
      <c r="E37" s="100">
        <v>5.37</v>
      </c>
      <c r="F37" s="100">
        <v>2</v>
      </c>
      <c r="G37" s="100">
        <v>26.8</v>
      </c>
      <c r="H37" s="100">
        <v>15.3</v>
      </c>
      <c r="I37" s="100">
        <v>7.58</v>
      </c>
      <c r="J37" s="100">
        <v>0.3</v>
      </c>
      <c r="K37" s="100">
        <v>295.41000000000003</v>
      </c>
      <c r="L37" s="100">
        <v>26.49</v>
      </c>
      <c r="M37" s="100">
        <v>47.01</v>
      </c>
      <c r="N37" s="100">
        <v>55.8</v>
      </c>
      <c r="O37" s="100">
        <v>0</v>
      </c>
      <c r="P37" s="100">
        <v>0.36</v>
      </c>
      <c r="Q37" s="100">
        <v>10</v>
      </c>
      <c r="R37" s="6"/>
      <c r="S37" s="6"/>
      <c r="T37" s="156"/>
      <c r="U37" s="6"/>
    </row>
    <row r="38" spans="1:21" customFormat="1">
      <c r="A38" s="201" t="s">
        <v>3054</v>
      </c>
      <c r="B38" s="100">
        <v>8.5</v>
      </c>
      <c r="C38" s="100">
        <v>6.33</v>
      </c>
      <c r="D38" s="100">
        <v>14.82</v>
      </c>
      <c r="E38" s="100">
        <v>5.37</v>
      </c>
      <c r="F38" s="100">
        <v>2</v>
      </c>
      <c r="G38" s="100">
        <v>36.159999999999997</v>
      </c>
      <c r="H38" s="100">
        <v>17.809999999999999</v>
      </c>
      <c r="I38" s="100">
        <v>7.69</v>
      </c>
      <c r="J38" s="100">
        <v>0.38</v>
      </c>
      <c r="K38" s="100">
        <v>282.05</v>
      </c>
      <c r="L38" s="100">
        <v>25.46</v>
      </c>
      <c r="M38" s="100">
        <v>44.07</v>
      </c>
      <c r="N38" s="100">
        <v>72.3</v>
      </c>
      <c r="O38" s="100">
        <v>0</v>
      </c>
      <c r="P38" s="100">
        <v>0.37</v>
      </c>
      <c r="Q38" s="100">
        <v>10</v>
      </c>
      <c r="R38" s="6"/>
      <c r="S38" s="6"/>
      <c r="T38" s="156"/>
      <c r="U38" s="6"/>
    </row>
    <row r="39" spans="1:21" customFormat="1">
      <c r="A39" s="201" t="s">
        <v>3055</v>
      </c>
      <c r="B39" s="100">
        <v>8.59</v>
      </c>
      <c r="C39" s="100">
        <v>6.49</v>
      </c>
      <c r="D39" s="100">
        <v>15.07</v>
      </c>
      <c r="E39" s="100">
        <v>5.29</v>
      </c>
      <c r="F39" s="100">
        <v>2</v>
      </c>
      <c r="G39" s="100">
        <v>43.31</v>
      </c>
      <c r="H39" s="100">
        <v>19.3</v>
      </c>
      <c r="I39" s="100">
        <v>7.87</v>
      </c>
      <c r="J39" s="100">
        <v>0.32</v>
      </c>
      <c r="K39" s="100">
        <v>284.91000000000003</v>
      </c>
      <c r="L39" s="100">
        <v>25.86</v>
      </c>
      <c r="M39" s="100">
        <v>44.68</v>
      </c>
      <c r="N39" s="100">
        <v>88.8</v>
      </c>
      <c r="O39" s="100">
        <v>0</v>
      </c>
      <c r="P39" s="100">
        <v>0.37</v>
      </c>
      <c r="Q39" s="100">
        <v>10</v>
      </c>
      <c r="R39" s="6"/>
      <c r="S39" s="6"/>
      <c r="T39" s="156"/>
      <c r="U39" s="6"/>
    </row>
    <row r="40" spans="1:21" customFormat="1">
      <c r="A40" s="201" t="s">
        <v>3056</v>
      </c>
      <c r="B40" s="100">
        <v>8.68</v>
      </c>
      <c r="C40" s="100">
        <v>6.63</v>
      </c>
      <c r="D40" s="100">
        <v>15.31</v>
      </c>
      <c r="E40" s="100">
        <v>5.54</v>
      </c>
      <c r="F40" s="100">
        <v>2</v>
      </c>
      <c r="G40" s="100">
        <v>43.31</v>
      </c>
      <c r="H40" s="100">
        <v>19.3</v>
      </c>
      <c r="I40" s="100">
        <v>7.9</v>
      </c>
      <c r="J40" s="100">
        <v>0.23</v>
      </c>
      <c r="K40" s="100">
        <v>268.12</v>
      </c>
      <c r="L40" s="100">
        <v>24.37</v>
      </c>
      <c r="M40" s="100">
        <v>39.119999999999997</v>
      </c>
      <c r="N40" s="100">
        <v>167.4</v>
      </c>
      <c r="O40" s="100">
        <v>0</v>
      </c>
      <c r="P40" s="100">
        <v>0.39</v>
      </c>
      <c r="Q40" s="100">
        <v>10</v>
      </c>
      <c r="R40" s="6"/>
      <c r="S40" s="6"/>
      <c r="T40" s="156"/>
      <c r="U40" s="6"/>
    </row>
    <row r="41" spans="1:21" customFormat="1">
      <c r="A41" s="201" t="s">
        <v>3057</v>
      </c>
      <c r="B41" s="100">
        <v>8.51</v>
      </c>
      <c r="C41" s="100">
        <v>6.71</v>
      </c>
      <c r="D41" s="100">
        <v>15.22</v>
      </c>
      <c r="E41" s="100">
        <v>5.17</v>
      </c>
      <c r="F41" s="100">
        <v>2</v>
      </c>
      <c r="G41" s="100">
        <v>43.31</v>
      </c>
      <c r="H41" s="100">
        <v>19.3</v>
      </c>
      <c r="I41" s="100">
        <v>8.0399999999999991</v>
      </c>
      <c r="J41" s="100">
        <v>0.28000000000000003</v>
      </c>
      <c r="K41" s="100">
        <v>276.01</v>
      </c>
      <c r="L41" s="100">
        <v>26</v>
      </c>
      <c r="M41" s="100">
        <v>43.14</v>
      </c>
      <c r="N41" s="100">
        <v>173.8</v>
      </c>
      <c r="O41" s="100">
        <v>0</v>
      </c>
      <c r="P41" s="100">
        <v>0.39</v>
      </c>
      <c r="Q41" s="100">
        <v>9.99</v>
      </c>
      <c r="R41" s="6"/>
      <c r="S41" s="6"/>
      <c r="T41" s="156"/>
      <c r="U41" s="6"/>
    </row>
    <row r="42" spans="1:21" customFormat="1">
      <c r="A42" s="201" t="s">
        <v>3058</v>
      </c>
      <c r="B42" s="100">
        <v>8.23</v>
      </c>
      <c r="C42" s="100">
        <v>6.72</v>
      </c>
      <c r="D42" s="100">
        <v>14.95</v>
      </c>
      <c r="E42" s="100">
        <v>5.56</v>
      </c>
      <c r="F42" s="100">
        <v>2</v>
      </c>
      <c r="G42" s="100">
        <v>48.34</v>
      </c>
      <c r="H42" s="100">
        <v>20.53</v>
      </c>
      <c r="I42" s="100">
        <v>8</v>
      </c>
      <c r="J42" s="100">
        <v>0.43</v>
      </c>
      <c r="K42" s="100">
        <v>280.86</v>
      </c>
      <c r="L42" s="100">
        <v>25.69</v>
      </c>
      <c r="M42" s="100">
        <v>41.26</v>
      </c>
      <c r="N42" s="100">
        <v>220.5</v>
      </c>
      <c r="O42" s="100">
        <v>0</v>
      </c>
      <c r="P42" s="100">
        <v>0.38</v>
      </c>
      <c r="Q42" s="100">
        <v>10</v>
      </c>
      <c r="R42" s="6"/>
      <c r="S42" s="6"/>
      <c r="T42" s="156"/>
      <c r="U42" s="6"/>
    </row>
    <row r="43" spans="1:21" customFormat="1">
      <c r="A43" s="201" t="s">
        <v>3059</v>
      </c>
      <c r="B43" s="100">
        <v>7.86</v>
      </c>
      <c r="C43" s="100">
        <v>6.81</v>
      </c>
      <c r="D43" s="100">
        <v>14.67</v>
      </c>
      <c r="E43" s="100">
        <v>5.57</v>
      </c>
      <c r="F43" s="100">
        <v>2.0499999999999998</v>
      </c>
      <c r="G43" s="100">
        <v>52.18</v>
      </c>
      <c r="H43" s="100">
        <v>20.92</v>
      </c>
      <c r="I43" s="100">
        <v>7.8</v>
      </c>
      <c r="J43" s="100">
        <v>0.46</v>
      </c>
      <c r="K43" s="100">
        <v>310.36</v>
      </c>
      <c r="L43" s="100">
        <v>26.92</v>
      </c>
      <c r="M43" s="100">
        <v>42.51</v>
      </c>
      <c r="N43" s="100">
        <v>293.5</v>
      </c>
      <c r="O43" s="100">
        <v>0</v>
      </c>
      <c r="P43" s="100">
        <v>0.37</v>
      </c>
      <c r="Q43" s="100">
        <v>10</v>
      </c>
      <c r="R43" s="6"/>
      <c r="S43" s="6"/>
      <c r="T43" s="156"/>
      <c r="U43" s="6"/>
    </row>
    <row r="44" spans="1:21" customFormat="1">
      <c r="A44" s="201" t="s">
        <v>3060</v>
      </c>
      <c r="B44" s="100">
        <v>7.53</v>
      </c>
      <c r="C44" s="100">
        <v>6.98</v>
      </c>
      <c r="D44" s="100">
        <v>14.52</v>
      </c>
      <c r="E44" s="100">
        <v>5.73</v>
      </c>
      <c r="F44" s="100">
        <v>2</v>
      </c>
      <c r="G44" s="100">
        <v>52.18</v>
      </c>
      <c r="H44" s="100">
        <v>20.92</v>
      </c>
      <c r="I44" s="100">
        <v>7.64</v>
      </c>
      <c r="J44" s="100">
        <v>0.47</v>
      </c>
      <c r="K44" s="100">
        <v>313.89999999999998</v>
      </c>
      <c r="L44" s="100">
        <v>27.63</v>
      </c>
      <c r="M44" s="100">
        <v>43.3</v>
      </c>
      <c r="N44" s="100">
        <v>307.60000000000002</v>
      </c>
      <c r="O44" s="100">
        <v>0</v>
      </c>
      <c r="P44" s="100">
        <v>0.38</v>
      </c>
      <c r="Q44" s="100">
        <v>10</v>
      </c>
      <c r="R44" s="6"/>
      <c r="S44" s="6"/>
      <c r="T44" s="156"/>
      <c r="U44" s="6"/>
    </row>
    <row r="45" spans="1:21" customFormat="1">
      <c r="A45" s="201" t="s">
        <v>3061</v>
      </c>
      <c r="B45" s="100">
        <v>7.18</v>
      </c>
      <c r="C45" s="100">
        <v>7.17</v>
      </c>
      <c r="D45" s="100">
        <v>14.35</v>
      </c>
      <c r="E45" s="100">
        <v>5.39</v>
      </c>
      <c r="F45" s="100">
        <v>2.09</v>
      </c>
      <c r="G45" s="100">
        <v>52.18</v>
      </c>
      <c r="H45" s="100">
        <v>20.92</v>
      </c>
      <c r="I45" s="100">
        <v>7.49</v>
      </c>
      <c r="J45" s="100">
        <v>0.56000000000000005</v>
      </c>
      <c r="K45" s="100">
        <v>316.25</v>
      </c>
      <c r="L45" s="100">
        <v>26.94</v>
      </c>
      <c r="M45" s="100">
        <v>41.57</v>
      </c>
      <c r="N45" s="100">
        <v>338.7</v>
      </c>
      <c r="O45" s="100">
        <v>0</v>
      </c>
      <c r="P45" s="100">
        <v>0.37</v>
      </c>
      <c r="Q45" s="100">
        <v>10.039999999999999</v>
      </c>
      <c r="R45" s="6"/>
      <c r="S45" s="6"/>
      <c r="T45" s="156"/>
      <c r="U45" s="6"/>
    </row>
    <row r="46" spans="1:21" customFormat="1">
      <c r="A46" s="201" t="s">
        <v>3062</v>
      </c>
      <c r="B46" s="100">
        <v>6.94</v>
      </c>
      <c r="C46" s="100">
        <v>7.52</v>
      </c>
      <c r="D46" s="100">
        <v>14.45</v>
      </c>
      <c r="E46" s="100">
        <v>5.69</v>
      </c>
      <c r="F46" s="100">
        <v>2.36</v>
      </c>
      <c r="G46" s="100">
        <v>55.85</v>
      </c>
      <c r="H46" s="100">
        <v>24.19</v>
      </c>
      <c r="I46" s="100">
        <v>7.38</v>
      </c>
      <c r="J46" s="100">
        <v>0.53</v>
      </c>
      <c r="K46" s="100">
        <v>329.74</v>
      </c>
      <c r="L46" s="100">
        <v>27.68</v>
      </c>
      <c r="M46" s="100">
        <v>39.71</v>
      </c>
      <c r="N46" s="100">
        <v>494.9</v>
      </c>
      <c r="O46" s="100">
        <v>0</v>
      </c>
      <c r="P46" s="100">
        <v>0.38</v>
      </c>
      <c r="Q46" s="100">
        <v>10</v>
      </c>
      <c r="R46" s="6"/>
      <c r="S46" s="6"/>
      <c r="T46" s="156"/>
      <c r="U46" s="6"/>
    </row>
    <row r="47" spans="1:21" customFormat="1">
      <c r="A47" s="201" t="s">
        <v>3063</v>
      </c>
      <c r="B47" s="100">
        <v>6.73</v>
      </c>
      <c r="C47" s="100">
        <v>7.46</v>
      </c>
      <c r="D47" s="100">
        <v>14.2</v>
      </c>
      <c r="E47" s="100">
        <v>5.81</v>
      </c>
      <c r="F47" s="100">
        <v>2.1</v>
      </c>
      <c r="G47" s="100">
        <v>58.66</v>
      </c>
      <c r="H47" s="100">
        <v>25.24</v>
      </c>
      <c r="I47" s="100">
        <v>7.3</v>
      </c>
      <c r="J47" s="100">
        <v>0.65</v>
      </c>
      <c r="K47" s="100">
        <v>310.47000000000003</v>
      </c>
      <c r="L47" s="100">
        <v>26.59</v>
      </c>
      <c r="M47" s="100">
        <v>40.549999999999997</v>
      </c>
      <c r="N47" s="100">
        <v>343.4</v>
      </c>
      <c r="O47" s="100">
        <v>0</v>
      </c>
      <c r="P47" s="100">
        <v>0.37</v>
      </c>
      <c r="Q47" s="100">
        <v>10</v>
      </c>
      <c r="R47" s="6"/>
      <c r="S47" s="6"/>
      <c r="T47" s="156"/>
      <c r="U47" s="6"/>
    </row>
    <row r="48" spans="1:21" customFormat="1">
      <c r="A48" s="201" t="s">
        <v>3064</v>
      </c>
      <c r="B48" s="100">
        <v>6.46</v>
      </c>
      <c r="C48" s="100">
        <v>7.59</v>
      </c>
      <c r="D48" s="100">
        <v>14.05</v>
      </c>
      <c r="E48" s="100">
        <v>5.5</v>
      </c>
      <c r="F48" s="100">
        <v>2</v>
      </c>
      <c r="G48" s="100">
        <v>58.66</v>
      </c>
      <c r="H48" s="100">
        <v>25.24</v>
      </c>
      <c r="I48" s="100">
        <v>7.1</v>
      </c>
      <c r="J48" s="100">
        <v>0.48</v>
      </c>
      <c r="K48" s="100">
        <v>286.76</v>
      </c>
      <c r="L48" s="100">
        <v>25.45</v>
      </c>
      <c r="M48" s="100">
        <v>41.69</v>
      </c>
      <c r="N48" s="100">
        <v>172.4</v>
      </c>
      <c r="O48" s="100">
        <v>0</v>
      </c>
      <c r="P48" s="100">
        <v>0.38</v>
      </c>
      <c r="Q48" s="100">
        <v>10</v>
      </c>
      <c r="R48" s="6"/>
      <c r="S48" s="6"/>
      <c r="T48" s="156"/>
      <c r="U48" s="6"/>
    </row>
    <row r="49" spans="1:21" customFormat="1">
      <c r="A49" s="201" t="s">
        <v>3065</v>
      </c>
      <c r="B49" s="100">
        <v>6.21</v>
      </c>
      <c r="C49" s="100">
        <v>7.66</v>
      </c>
      <c r="D49" s="100">
        <v>13.87</v>
      </c>
      <c r="E49" s="100">
        <v>4.1399999999999997</v>
      </c>
      <c r="F49" s="100">
        <v>2.14</v>
      </c>
      <c r="G49" s="100">
        <v>58.66</v>
      </c>
      <c r="H49" s="100">
        <v>25.24</v>
      </c>
      <c r="I49" s="100">
        <v>7.16</v>
      </c>
      <c r="J49" s="100">
        <v>0.48</v>
      </c>
      <c r="K49" s="100">
        <v>321.01</v>
      </c>
      <c r="L49" s="100">
        <v>27.47</v>
      </c>
      <c r="M49" s="100">
        <v>39.020000000000003</v>
      </c>
      <c r="N49" s="100">
        <v>487.9</v>
      </c>
      <c r="O49" s="100">
        <v>0</v>
      </c>
      <c r="P49" s="100">
        <v>0.38</v>
      </c>
      <c r="Q49" s="100">
        <v>10.15</v>
      </c>
      <c r="R49" s="6"/>
      <c r="S49" s="6"/>
      <c r="T49" s="156"/>
      <c r="U49" s="6"/>
    </row>
    <row r="50" spans="1:21" customFormat="1">
      <c r="A50" s="201" t="s">
        <v>3066</v>
      </c>
      <c r="B50" s="100">
        <v>5.87</v>
      </c>
      <c r="C50" s="100">
        <v>7.8</v>
      </c>
      <c r="D50" s="100">
        <v>13.66</v>
      </c>
      <c r="E50" s="100">
        <v>5.32</v>
      </c>
      <c r="F50" s="100">
        <v>4.1399999999999997</v>
      </c>
      <c r="G50" s="100">
        <v>57.07</v>
      </c>
      <c r="H50" s="100">
        <v>24.72</v>
      </c>
      <c r="I50" s="100">
        <v>7.06</v>
      </c>
      <c r="J50" s="100">
        <v>0.44</v>
      </c>
      <c r="K50" s="100">
        <v>333.74</v>
      </c>
      <c r="L50" s="100">
        <v>24.93</v>
      </c>
      <c r="M50" s="100">
        <v>29.84</v>
      </c>
      <c r="N50" s="100">
        <v>622.6</v>
      </c>
      <c r="O50" s="100">
        <v>0</v>
      </c>
      <c r="P50" s="100">
        <v>0.37</v>
      </c>
      <c r="Q50" s="100">
        <v>10</v>
      </c>
      <c r="R50" s="6"/>
      <c r="S50" s="6"/>
      <c r="T50" s="156"/>
      <c r="U50" s="6"/>
    </row>
    <row r="51" spans="1:21" customFormat="1">
      <c r="A51" s="201" t="s">
        <v>3067</v>
      </c>
      <c r="B51" s="100">
        <v>5.5</v>
      </c>
      <c r="C51" s="100">
        <v>7.79</v>
      </c>
      <c r="D51" s="100">
        <v>13.29</v>
      </c>
      <c r="E51" s="100">
        <v>5.29</v>
      </c>
      <c r="F51" s="100">
        <v>2.5</v>
      </c>
      <c r="G51" s="100">
        <v>55.86</v>
      </c>
      <c r="H51" s="100">
        <v>24.56</v>
      </c>
      <c r="I51" s="100">
        <v>6.84</v>
      </c>
      <c r="J51" s="100">
        <v>0.44</v>
      </c>
      <c r="K51" s="100">
        <v>330.04</v>
      </c>
      <c r="L51" s="100">
        <v>23.59</v>
      </c>
      <c r="M51" s="100">
        <v>30.76</v>
      </c>
      <c r="N51" s="100">
        <v>437.5</v>
      </c>
      <c r="O51" s="100">
        <v>0</v>
      </c>
      <c r="P51" s="100">
        <v>0.37</v>
      </c>
      <c r="Q51" s="100">
        <v>10</v>
      </c>
      <c r="R51" s="6"/>
      <c r="S51" s="6"/>
      <c r="T51" s="156"/>
      <c r="U51" s="6"/>
    </row>
    <row r="52" spans="1:21" customFormat="1">
      <c r="A52" s="201" t="s">
        <v>3068</v>
      </c>
      <c r="B52" s="100">
        <v>5.17</v>
      </c>
      <c r="C52" s="100">
        <v>7.86</v>
      </c>
      <c r="D52" s="100">
        <v>13.03</v>
      </c>
      <c r="E52" s="100">
        <v>5.42</v>
      </c>
      <c r="F52" s="100">
        <v>3.39</v>
      </c>
      <c r="G52" s="100">
        <v>55.86</v>
      </c>
      <c r="H52" s="100">
        <v>24.56</v>
      </c>
      <c r="I52" s="100">
        <v>6.58</v>
      </c>
      <c r="J52" s="100">
        <v>0.28000000000000003</v>
      </c>
      <c r="K52" s="100">
        <v>330.35</v>
      </c>
      <c r="L52" s="100">
        <v>24.79</v>
      </c>
      <c r="M52" s="100">
        <v>28.71</v>
      </c>
      <c r="N52" s="100">
        <v>655.29999999999995</v>
      </c>
      <c r="O52" s="100">
        <v>0</v>
      </c>
      <c r="P52" s="100">
        <v>0.36</v>
      </c>
      <c r="Q52" s="100">
        <v>10</v>
      </c>
      <c r="R52" s="6"/>
      <c r="S52" s="6"/>
      <c r="T52" s="156"/>
      <c r="U52" s="6"/>
    </row>
    <row r="53" spans="1:21" customFormat="1">
      <c r="A53" s="201" t="s">
        <v>3069</v>
      </c>
      <c r="B53" s="100">
        <v>4.93</v>
      </c>
      <c r="C53" s="100">
        <v>7.63</v>
      </c>
      <c r="D53" s="100">
        <v>12.56</v>
      </c>
      <c r="E53" s="100">
        <v>5.68</v>
      </c>
      <c r="F53" s="100">
        <v>4.47</v>
      </c>
      <c r="G53" s="100">
        <v>55.86</v>
      </c>
      <c r="H53" s="100">
        <v>24.56</v>
      </c>
      <c r="I53" s="100">
        <v>6.55</v>
      </c>
      <c r="J53" s="100">
        <v>0.4</v>
      </c>
      <c r="K53" s="100">
        <v>7.19</v>
      </c>
      <c r="L53" s="100">
        <v>18.97</v>
      </c>
      <c r="M53" s="100">
        <v>22.87</v>
      </c>
      <c r="N53" s="100">
        <v>278.89999999999998</v>
      </c>
      <c r="O53" s="100">
        <v>0</v>
      </c>
      <c r="P53" s="100">
        <v>0.34</v>
      </c>
      <c r="Q53" s="100">
        <v>10</v>
      </c>
      <c r="R53" s="6"/>
      <c r="S53" s="6"/>
      <c r="T53" s="156"/>
      <c r="U53" s="6"/>
    </row>
    <row r="54" spans="1:21" customFormat="1">
      <c r="A54" s="201" t="s">
        <v>3070</v>
      </c>
      <c r="B54" s="100">
        <v>5.0999999999999996</v>
      </c>
      <c r="C54" s="100">
        <v>8.32</v>
      </c>
      <c r="D54" s="100">
        <v>13.42</v>
      </c>
      <c r="E54" s="100">
        <v>5.64</v>
      </c>
      <c r="F54" s="100">
        <v>8.9700000000000006</v>
      </c>
      <c r="G54" s="100">
        <v>57.86</v>
      </c>
      <c r="H54" s="100">
        <v>25.83</v>
      </c>
      <c r="I54" s="100">
        <v>6.5</v>
      </c>
      <c r="J54" s="100">
        <v>0.3</v>
      </c>
      <c r="K54" s="100">
        <v>339.75</v>
      </c>
      <c r="L54" s="100">
        <v>22.32</v>
      </c>
      <c r="M54" s="100">
        <v>26.74</v>
      </c>
      <c r="N54" s="100">
        <v>443.5</v>
      </c>
      <c r="O54" s="100">
        <v>0</v>
      </c>
      <c r="P54" s="100">
        <v>0.33</v>
      </c>
      <c r="Q54" s="100">
        <v>10</v>
      </c>
      <c r="R54" s="6"/>
      <c r="S54" s="6"/>
      <c r="T54" s="156"/>
      <c r="U54" s="6"/>
    </row>
    <row r="55" spans="1:21" customFormat="1">
      <c r="A55" s="201" t="s">
        <v>3071</v>
      </c>
      <c r="B55" s="100">
        <v>4.8600000000000003</v>
      </c>
      <c r="C55" s="100">
        <v>7.61</v>
      </c>
      <c r="D55" s="100">
        <v>12.47</v>
      </c>
      <c r="E55" s="100">
        <v>5.61</v>
      </c>
      <c r="F55" s="100">
        <v>6.53</v>
      </c>
      <c r="G55" s="100">
        <v>59.33</v>
      </c>
      <c r="H55" s="100">
        <v>26.55</v>
      </c>
      <c r="I55" s="100">
        <v>6.3</v>
      </c>
      <c r="J55" s="100">
        <v>0.48</v>
      </c>
      <c r="K55" s="100">
        <v>20.88</v>
      </c>
      <c r="L55" s="100">
        <v>17.46</v>
      </c>
      <c r="M55" s="100">
        <v>11.66</v>
      </c>
      <c r="N55" s="100">
        <v>591.6</v>
      </c>
      <c r="O55" s="100">
        <v>0</v>
      </c>
      <c r="P55" s="100">
        <v>0.31</v>
      </c>
      <c r="Q55" s="100">
        <v>10</v>
      </c>
      <c r="R55" s="6"/>
      <c r="S55" s="6"/>
      <c r="T55" s="156"/>
      <c r="U55" s="6"/>
    </row>
    <row r="56" spans="1:21" customFormat="1">
      <c r="A56" s="201" t="s">
        <v>3072</v>
      </c>
      <c r="B56" s="100">
        <v>4.7</v>
      </c>
      <c r="C56" s="100">
        <v>7.35</v>
      </c>
      <c r="D56" s="100">
        <v>12.05</v>
      </c>
      <c r="E56" s="100">
        <v>5.43</v>
      </c>
      <c r="F56" s="100">
        <v>7.53</v>
      </c>
      <c r="G56" s="100">
        <v>59.33</v>
      </c>
      <c r="H56" s="100">
        <v>26.55</v>
      </c>
      <c r="I56" s="100">
        <v>6.13</v>
      </c>
      <c r="J56" s="100">
        <v>0.56000000000000005</v>
      </c>
      <c r="K56" s="100">
        <v>25.15</v>
      </c>
      <c r="L56" s="100">
        <v>11.9</v>
      </c>
      <c r="M56" s="100">
        <v>7.1</v>
      </c>
      <c r="N56" s="100">
        <v>190.5</v>
      </c>
      <c r="O56" s="100">
        <v>0</v>
      </c>
      <c r="P56" s="100">
        <v>0.31</v>
      </c>
      <c r="Q56" s="100">
        <v>10</v>
      </c>
      <c r="R56" s="6"/>
      <c r="S56" s="6"/>
      <c r="T56" s="156"/>
      <c r="U56" s="6"/>
    </row>
    <row r="57" spans="1:21" customFormat="1">
      <c r="A57" s="201" t="s">
        <v>3073</v>
      </c>
      <c r="B57" s="100">
        <v>4.6900000000000004</v>
      </c>
      <c r="C57" s="100">
        <v>7.61</v>
      </c>
      <c r="D57" s="100">
        <v>12.3</v>
      </c>
      <c r="E57" s="100">
        <v>5.39</v>
      </c>
      <c r="F57" s="100">
        <v>8.2100000000000009</v>
      </c>
      <c r="G57" s="100">
        <v>59.33</v>
      </c>
      <c r="H57" s="100">
        <v>26.55</v>
      </c>
      <c r="I57" s="100">
        <v>6.14</v>
      </c>
      <c r="J57" s="100">
        <v>0.39</v>
      </c>
      <c r="K57" s="100">
        <v>7.62</v>
      </c>
      <c r="L57" s="100">
        <v>17.260000000000002</v>
      </c>
      <c r="M57" s="100">
        <v>20.87</v>
      </c>
      <c r="N57" s="100">
        <v>180.9</v>
      </c>
      <c r="O57" s="100">
        <v>0</v>
      </c>
      <c r="P57" s="100">
        <v>0.31</v>
      </c>
      <c r="Q57" s="100">
        <v>10</v>
      </c>
      <c r="R57" s="6"/>
      <c r="S57" s="6"/>
      <c r="T57" s="156"/>
      <c r="U57" s="6"/>
    </row>
    <row r="58" spans="1:21" customFormat="1">
      <c r="A58" s="201" t="s">
        <v>3074</v>
      </c>
      <c r="B58" s="100">
        <v>4.59</v>
      </c>
      <c r="C58" s="100">
        <v>7.77</v>
      </c>
      <c r="D58" s="100">
        <v>12.35</v>
      </c>
      <c r="E58" s="100">
        <v>6.14</v>
      </c>
      <c r="F58" s="100">
        <v>10.08</v>
      </c>
      <c r="G58" s="100">
        <v>52.88</v>
      </c>
      <c r="H58" s="100">
        <v>24.67</v>
      </c>
      <c r="I58" s="100">
        <v>6.01</v>
      </c>
      <c r="J58" s="100">
        <v>0.25</v>
      </c>
      <c r="K58" s="100">
        <v>13.39</v>
      </c>
      <c r="L58" s="100">
        <v>17.829999999999998</v>
      </c>
      <c r="M58" s="100">
        <v>22.87</v>
      </c>
      <c r="N58" s="100">
        <v>157.1</v>
      </c>
      <c r="O58" s="100">
        <v>0</v>
      </c>
      <c r="P58" s="100">
        <v>0.31</v>
      </c>
      <c r="Q58" s="100">
        <v>10</v>
      </c>
      <c r="R58" s="6"/>
      <c r="S58" s="6"/>
      <c r="T58" s="156"/>
      <c r="U58" s="6"/>
    </row>
    <row r="59" spans="1:21" customFormat="1">
      <c r="A59" s="201" t="s">
        <v>3075</v>
      </c>
      <c r="B59" s="100">
        <v>4.47</v>
      </c>
      <c r="C59" s="100">
        <v>7.66</v>
      </c>
      <c r="D59" s="100">
        <v>12.13</v>
      </c>
      <c r="E59" s="100">
        <v>6.86</v>
      </c>
      <c r="F59" s="100">
        <v>8.9600000000000009</v>
      </c>
      <c r="G59" s="100">
        <v>47.95</v>
      </c>
      <c r="H59" s="100">
        <v>24.08</v>
      </c>
      <c r="I59" s="100">
        <v>5.87</v>
      </c>
      <c r="J59" s="100">
        <v>0.24</v>
      </c>
      <c r="K59" s="100">
        <v>332.51</v>
      </c>
      <c r="L59" s="100">
        <v>23.91</v>
      </c>
      <c r="M59" s="100">
        <v>30.23</v>
      </c>
      <c r="N59" s="100">
        <v>497.4</v>
      </c>
      <c r="O59" s="100">
        <v>0</v>
      </c>
      <c r="P59" s="100">
        <v>0.31</v>
      </c>
      <c r="Q59" s="100">
        <v>10</v>
      </c>
      <c r="R59" s="6"/>
      <c r="S59" s="6"/>
      <c r="T59" s="156"/>
      <c r="U59" s="6"/>
    </row>
    <row r="60" spans="1:21" customFormat="1">
      <c r="A60" s="201" t="s">
        <v>3076</v>
      </c>
      <c r="B60" s="100">
        <v>4.3</v>
      </c>
      <c r="C60" s="100">
        <v>7.41</v>
      </c>
      <c r="D60" s="100">
        <v>11.7</v>
      </c>
      <c r="E60" s="100">
        <v>6.86</v>
      </c>
      <c r="F60" s="100">
        <v>8.83</v>
      </c>
      <c r="G60" s="100">
        <v>47.95</v>
      </c>
      <c r="H60" s="100">
        <v>24.08</v>
      </c>
      <c r="I60" s="100">
        <v>5.78</v>
      </c>
      <c r="J60" s="100">
        <v>0.2</v>
      </c>
      <c r="K60" s="100">
        <v>281.68</v>
      </c>
      <c r="L60" s="100">
        <v>24.4</v>
      </c>
      <c r="M60" s="100">
        <v>37.04</v>
      </c>
      <c r="N60" s="100">
        <v>264.2</v>
      </c>
      <c r="O60" s="100">
        <v>0</v>
      </c>
      <c r="P60" s="100">
        <v>0.31</v>
      </c>
      <c r="Q60" s="100">
        <v>10</v>
      </c>
      <c r="R60" s="6"/>
      <c r="S60" s="6"/>
      <c r="T60" s="156"/>
      <c r="U60" s="6"/>
    </row>
    <row r="61" spans="1:21" customFormat="1">
      <c r="A61" s="201" t="s">
        <v>3077</v>
      </c>
      <c r="B61" s="100">
        <v>4.25</v>
      </c>
      <c r="C61" s="100">
        <v>7.67</v>
      </c>
      <c r="D61" s="100">
        <v>11.93</v>
      </c>
      <c r="E61" s="100">
        <v>6.87</v>
      </c>
      <c r="F61" s="100">
        <v>7.72</v>
      </c>
      <c r="G61" s="100">
        <v>47.95</v>
      </c>
      <c r="H61" s="100">
        <v>24.08</v>
      </c>
      <c r="I61" s="100">
        <v>5.81</v>
      </c>
      <c r="J61" s="100">
        <v>0.2</v>
      </c>
      <c r="K61" s="100">
        <v>21.77</v>
      </c>
      <c r="L61" s="100">
        <v>16.87</v>
      </c>
      <c r="M61" s="100">
        <v>19.54</v>
      </c>
      <c r="N61" s="100">
        <v>199</v>
      </c>
      <c r="O61" s="100">
        <v>0</v>
      </c>
      <c r="P61" s="100">
        <v>0.32</v>
      </c>
      <c r="Q61" s="100">
        <v>10</v>
      </c>
      <c r="R61" s="6"/>
      <c r="S61" s="6"/>
      <c r="T61" s="156"/>
      <c r="U61" s="6"/>
    </row>
    <row r="62" spans="1:21" customFormat="1">
      <c r="A62" s="201" t="s">
        <v>3078</v>
      </c>
      <c r="B62" s="100">
        <v>4.09</v>
      </c>
      <c r="C62" s="100">
        <v>8.15</v>
      </c>
      <c r="D62" s="100">
        <v>12.24</v>
      </c>
      <c r="E62" s="100">
        <v>9.4600000000000009</v>
      </c>
      <c r="F62" s="100">
        <v>10.97</v>
      </c>
      <c r="G62" s="100">
        <v>53.42</v>
      </c>
      <c r="H62" s="100">
        <v>22.01</v>
      </c>
      <c r="I62" s="100">
        <v>5.76</v>
      </c>
      <c r="J62" s="100">
        <v>0.33</v>
      </c>
      <c r="K62" s="100">
        <v>69.86</v>
      </c>
      <c r="L62" s="100">
        <v>13.49</v>
      </c>
      <c r="M62" s="100">
        <v>9.14</v>
      </c>
      <c r="N62" s="100">
        <v>283.3</v>
      </c>
      <c r="O62" s="100">
        <v>0</v>
      </c>
      <c r="P62" s="100">
        <v>0.34</v>
      </c>
      <c r="Q62" s="100">
        <v>10</v>
      </c>
      <c r="R62" s="6"/>
      <c r="S62" s="6"/>
      <c r="T62" s="156"/>
      <c r="U62" s="6"/>
    </row>
    <row r="63" spans="1:21" customFormat="1">
      <c r="A63" s="201" t="s">
        <v>3079</v>
      </c>
      <c r="B63" s="100">
        <v>4.03</v>
      </c>
      <c r="C63" s="100">
        <v>8.09</v>
      </c>
      <c r="D63" s="100">
        <v>12.12</v>
      </c>
      <c r="E63" s="100">
        <v>9.75</v>
      </c>
      <c r="F63" s="100">
        <v>11.26</v>
      </c>
      <c r="G63" s="100">
        <v>57.61</v>
      </c>
      <c r="H63" s="100">
        <v>21.34</v>
      </c>
      <c r="I63" s="100">
        <v>5.75</v>
      </c>
      <c r="J63" s="100">
        <v>0.24</v>
      </c>
      <c r="K63" s="100">
        <v>57.78</v>
      </c>
      <c r="L63" s="100">
        <v>11.82</v>
      </c>
      <c r="M63" s="100">
        <v>8.1199999999999992</v>
      </c>
      <c r="N63" s="100">
        <v>156.19999999999999</v>
      </c>
      <c r="O63" s="100">
        <v>0</v>
      </c>
      <c r="P63" s="100">
        <v>0.34</v>
      </c>
      <c r="Q63" s="100">
        <v>10</v>
      </c>
      <c r="R63" s="6"/>
      <c r="S63" s="6"/>
      <c r="T63" s="156"/>
      <c r="U63" s="6"/>
    </row>
    <row r="64" spans="1:21" customFormat="1">
      <c r="A64" s="201" t="s">
        <v>3080</v>
      </c>
      <c r="B64" s="100">
        <v>3.88</v>
      </c>
      <c r="C64" s="100">
        <v>8.2899999999999991</v>
      </c>
      <c r="D64" s="100">
        <v>12.18</v>
      </c>
      <c r="E64" s="100">
        <v>8.91</v>
      </c>
      <c r="F64" s="100">
        <v>11.7</v>
      </c>
      <c r="G64" s="100">
        <v>57.61</v>
      </c>
      <c r="H64" s="100">
        <v>21.34</v>
      </c>
      <c r="I64" s="100">
        <v>5.69</v>
      </c>
      <c r="J64" s="100">
        <v>0.18</v>
      </c>
      <c r="K64" s="100">
        <v>354.09</v>
      </c>
      <c r="L64" s="100">
        <v>20.75</v>
      </c>
      <c r="M64" s="100">
        <v>31.43</v>
      </c>
      <c r="N64" s="100">
        <v>103.1</v>
      </c>
      <c r="O64" s="100">
        <v>0</v>
      </c>
      <c r="P64" s="100">
        <v>0.34</v>
      </c>
      <c r="Q64" s="100">
        <v>10</v>
      </c>
      <c r="R64" s="6"/>
      <c r="S64" s="6"/>
      <c r="T64" s="156"/>
      <c r="U64" s="6"/>
    </row>
    <row r="65" spans="1:21" customFormat="1">
      <c r="A65" s="201" t="s">
        <v>3081</v>
      </c>
      <c r="B65" s="100">
        <v>3.92</v>
      </c>
      <c r="C65" s="100">
        <v>8.9</v>
      </c>
      <c r="D65" s="100">
        <v>12.82</v>
      </c>
      <c r="E65" s="100">
        <v>10.77</v>
      </c>
      <c r="F65" s="100">
        <v>12.75</v>
      </c>
      <c r="G65" s="100">
        <v>57.61</v>
      </c>
      <c r="H65" s="100">
        <v>21.34</v>
      </c>
      <c r="I65" s="100">
        <v>5.7</v>
      </c>
      <c r="J65" s="100">
        <v>0.36</v>
      </c>
      <c r="K65" s="100">
        <v>30.38</v>
      </c>
      <c r="L65" s="100">
        <v>14.54</v>
      </c>
      <c r="M65" s="100">
        <v>13.54</v>
      </c>
      <c r="N65" s="100">
        <v>204.3</v>
      </c>
      <c r="O65" s="100">
        <v>0</v>
      </c>
      <c r="P65" s="100">
        <v>0.32</v>
      </c>
      <c r="Q65" s="100">
        <v>10</v>
      </c>
      <c r="R65" s="6"/>
      <c r="S65" s="6"/>
      <c r="T65" s="156"/>
      <c r="U65" s="6"/>
    </row>
    <row r="66" spans="1:21" customFormat="1">
      <c r="A66" s="201" t="s">
        <v>3082</v>
      </c>
      <c r="B66" s="100">
        <v>4.1500000000000004</v>
      </c>
      <c r="C66" s="100">
        <v>9.98</v>
      </c>
      <c r="D66" s="100">
        <v>14.13</v>
      </c>
      <c r="E66" s="100">
        <v>11.98</v>
      </c>
      <c r="F66" s="100">
        <v>16.93</v>
      </c>
      <c r="G66" s="100">
        <v>58.32</v>
      </c>
      <c r="H66" s="100">
        <v>24.27</v>
      </c>
      <c r="I66" s="100">
        <v>5.72</v>
      </c>
      <c r="J66" s="100">
        <v>0.28000000000000003</v>
      </c>
      <c r="K66" s="100">
        <v>41.31</v>
      </c>
      <c r="L66" s="100">
        <v>13.42</v>
      </c>
      <c r="M66" s="100">
        <v>13.8</v>
      </c>
      <c r="N66" s="100">
        <v>74.2</v>
      </c>
      <c r="O66" s="100">
        <v>0</v>
      </c>
      <c r="P66" s="100">
        <v>0.37</v>
      </c>
      <c r="Q66" s="100">
        <v>10</v>
      </c>
      <c r="R66" s="6"/>
      <c r="S66" s="6"/>
      <c r="T66" s="156"/>
      <c r="U66" s="6"/>
    </row>
    <row r="67" spans="1:21" customFormat="1">
      <c r="A67" s="201" t="s">
        <v>3083</v>
      </c>
      <c r="B67" s="100">
        <v>3.93</v>
      </c>
      <c r="C67" s="100">
        <v>9.44</v>
      </c>
      <c r="D67" s="100">
        <v>13.37</v>
      </c>
      <c r="E67" s="100">
        <v>10.74</v>
      </c>
      <c r="F67" s="100">
        <v>14.03</v>
      </c>
      <c r="G67" s="100">
        <v>58.86</v>
      </c>
      <c r="H67" s="100">
        <v>25.21</v>
      </c>
      <c r="I67" s="100">
        <v>5.67</v>
      </c>
      <c r="J67" s="100">
        <v>0.45</v>
      </c>
      <c r="K67" s="100">
        <v>47.53</v>
      </c>
      <c r="L67" s="100">
        <v>8.7100000000000009</v>
      </c>
      <c r="M67" s="100">
        <v>1.9</v>
      </c>
      <c r="N67" s="100">
        <v>107.7</v>
      </c>
      <c r="O67" s="100">
        <v>0</v>
      </c>
      <c r="P67" s="100">
        <v>0.32</v>
      </c>
      <c r="Q67" s="100">
        <v>10.55</v>
      </c>
      <c r="R67" s="6"/>
      <c r="S67" s="6"/>
      <c r="T67" s="156"/>
      <c r="U67" s="6"/>
    </row>
    <row r="68" spans="1:21" customFormat="1">
      <c r="A68" s="201" t="s">
        <v>3084</v>
      </c>
      <c r="B68" s="100">
        <v>4.07</v>
      </c>
      <c r="C68" s="100">
        <v>9.6</v>
      </c>
      <c r="D68" s="100">
        <v>13.67</v>
      </c>
      <c r="E68" s="100">
        <v>11.26</v>
      </c>
      <c r="F68" s="100">
        <v>14.71</v>
      </c>
      <c r="G68" s="100">
        <v>58.86</v>
      </c>
      <c r="H68" s="100">
        <v>25.21</v>
      </c>
      <c r="I68" s="100">
        <v>5.78</v>
      </c>
      <c r="J68" s="100">
        <v>0.36</v>
      </c>
      <c r="K68" s="100">
        <v>28.72</v>
      </c>
      <c r="L68" s="100">
        <v>7.72</v>
      </c>
      <c r="M68" s="100">
        <v>-0.84</v>
      </c>
      <c r="N68" s="100">
        <v>113.5</v>
      </c>
      <c r="O68" s="100">
        <v>0</v>
      </c>
      <c r="P68" s="100">
        <v>0.32</v>
      </c>
      <c r="Q68" s="100">
        <v>10</v>
      </c>
      <c r="R68" s="6"/>
      <c r="S68" s="6"/>
      <c r="T68" s="156"/>
      <c r="U68" s="6"/>
    </row>
    <row r="69" spans="1:21" customFormat="1">
      <c r="A69" s="201" t="s">
        <v>3085</v>
      </c>
      <c r="B69" s="100">
        <v>3.82</v>
      </c>
      <c r="C69" s="100">
        <v>9.36</v>
      </c>
      <c r="D69" s="100">
        <v>13.18</v>
      </c>
      <c r="E69" s="100">
        <v>12.19</v>
      </c>
      <c r="F69" s="100">
        <v>20.059999999999999</v>
      </c>
      <c r="G69" s="100">
        <v>58.86</v>
      </c>
      <c r="H69" s="100">
        <v>25.21</v>
      </c>
      <c r="I69" s="100">
        <v>5.76</v>
      </c>
      <c r="J69" s="100">
        <v>0.28999999999999998</v>
      </c>
      <c r="K69" s="100">
        <v>66.069999999999993</v>
      </c>
      <c r="L69" s="100">
        <v>10.37</v>
      </c>
      <c r="M69" s="100">
        <v>6.02</v>
      </c>
      <c r="N69" s="100">
        <v>81.400000000000006</v>
      </c>
      <c r="O69" s="100">
        <v>0</v>
      </c>
      <c r="P69" s="100">
        <v>0.32</v>
      </c>
      <c r="Q69" s="100">
        <v>10</v>
      </c>
      <c r="R69" s="6"/>
      <c r="S69" s="6"/>
      <c r="T69" s="156"/>
      <c r="U69" s="6"/>
    </row>
    <row r="70" spans="1:21" customFormat="1">
      <c r="A70" s="201" t="s">
        <v>3086</v>
      </c>
      <c r="B70" s="100">
        <v>3.32</v>
      </c>
      <c r="C70" s="100">
        <v>8.7799999999999994</v>
      </c>
      <c r="D70" s="100">
        <v>12.1</v>
      </c>
      <c r="E70" s="100">
        <v>12.33</v>
      </c>
      <c r="F70" s="100">
        <v>22.41</v>
      </c>
      <c r="G70" s="100">
        <v>61.66</v>
      </c>
      <c r="H70" s="100">
        <v>26.64</v>
      </c>
      <c r="I70" s="100">
        <v>5.97</v>
      </c>
      <c r="J70" s="100">
        <v>0.06</v>
      </c>
      <c r="K70" s="100">
        <v>310.93</v>
      </c>
      <c r="L70" s="100">
        <v>20.82</v>
      </c>
      <c r="M70" s="100">
        <v>33.08</v>
      </c>
      <c r="N70" s="100">
        <v>46.5</v>
      </c>
      <c r="O70" s="100">
        <v>0</v>
      </c>
      <c r="P70" s="100">
        <v>0.31</v>
      </c>
      <c r="Q70" s="100">
        <v>10</v>
      </c>
      <c r="R70" s="6"/>
      <c r="S70" s="6"/>
      <c r="T70" s="156"/>
      <c r="U70" s="6"/>
    </row>
    <row r="71" spans="1:21" customFormat="1">
      <c r="A71" s="201" t="s">
        <v>3087</v>
      </c>
      <c r="B71" s="100">
        <v>3.64</v>
      </c>
      <c r="C71" s="100">
        <v>8.8800000000000008</v>
      </c>
      <c r="D71" s="100">
        <v>12.52</v>
      </c>
      <c r="E71" s="100">
        <v>6.03</v>
      </c>
      <c r="F71" s="100">
        <v>5.37</v>
      </c>
      <c r="G71" s="100">
        <v>63.81</v>
      </c>
      <c r="H71" s="100">
        <v>27.49</v>
      </c>
      <c r="I71" s="100">
        <v>5.58</v>
      </c>
      <c r="J71" s="100">
        <v>0.12</v>
      </c>
      <c r="K71" s="100">
        <v>15.89</v>
      </c>
      <c r="L71" s="100">
        <v>17.329999999999998</v>
      </c>
      <c r="M71" s="100">
        <v>23.99</v>
      </c>
      <c r="N71" s="100">
        <v>53.8</v>
      </c>
      <c r="O71" s="100">
        <v>0</v>
      </c>
      <c r="P71" s="100">
        <v>0.33</v>
      </c>
      <c r="Q71" s="100">
        <v>10</v>
      </c>
      <c r="R71" s="6"/>
      <c r="S71" s="6"/>
      <c r="T71" s="156"/>
      <c r="U71" s="6"/>
    </row>
    <row r="72" spans="1:21" customFormat="1">
      <c r="A72" s="201" t="s">
        <v>3088</v>
      </c>
      <c r="B72" s="100">
        <v>3.54</v>
      </c>
      <c r="C72" s="100">
        <v>8.39</v>
      </c>
      <c r="D72" s="100">
        <v>11.93</v>
      </c>
      <c r="E72" s="100">
        <v>6.74</v>
      </c>
      <c r="F72" s="100">
        <v>8.08</v>
      </c>
      <c r="G72" s="100">
        <v>63.81</v>
      </c>
      <c r="H72" s="100">
        <v>27.49</v>
      </c>
      <c r="I72" s="100">
        <v>5.46</v>
      </c>
      <c r="J72" s="100">
        <v>0.1</v>
      </c>
      <c r="K72" s="100">
        <v>152.22</v>
      </c>
      <c r="L72" s="100">
        <v>18.399999999999999</v>
      </c>
      <c r="M72" s="100">
        <v>27.49</v>
      </c>
      <c r="N72" s="100">
        <v>29.9</v>
      </c>
      <c r="O72" s="100">
        <v>0</v>
      </c>
      <c r="P72" s="100">
        <v>0.36</v>
      </c>
      <c r="Q72" s="100">
        <v>10</v>
      </c>
      <c r="R72" s="6"/>
      <c r="S72" s="6"/>
      <c r="T72" s="156"/>
      <c r="U72" s="6"/>
    </row>
    <row r="73" spans="1:21" customFormat="1">
      <c r="A73" s="201" t="s">
        <v>3089</v>
      </c>
      <c r="B73" s="100">
        <v>3.2</v>
      </c>
      <c r="C73" s="100">
        <v>7.77</v>
      </c>
      <c r="D73" s="100">
        <v>10.97</v>
      </c>
      <c r="E73" s="100">
        <v>5.95</v>
      </c>
      <c r="F73" s="100">
        <v>7.3</v>
      </c>
      <c r="G73" s="100">
        <v>63.81</v>
      </c>
      <c r="H73" s="100">
        <v>27.49</v>
      </c>
      <c r="I73" s="100">
        <v>5.75</v>
      </c>
      <c r="J73" s="100">
        <v>0.16</v>
      </c>
      <c r="K73" s="100">
        <v>133.41999999999999</v>
      </c>
      <c r="L73" s="100">
        <v>13.14</v>
      </c>
      <c r="M73" s="100">
        <v>14.45</v>
      </c>
      <c r="N73" s="100">
        <v>26.4</v>
      </c>
      <c r="O73" s="100">
        <v>0</v>
      </c>
      <c r="P73" s="100">
        <v>0.36</v>
      </c>
      <c r="Q73" s="100">
        <v>11.52</v>
      </c>
      <c r="R73" s="6"/>
      <c r="S73" s="6"/>
      <c r="T73" s="156"/>
      <c r="U73" s="6"/>
    </row>
    <row r="74" spans="1:21" customFormat="1">
      <c r="A74" s="201" t="s">
        <v>3090</v>
      </c>
      <c r="B74" s="100">
        <v>2.98</v>
      </c>
      <c r="C74" s="100">
        <v>7.92</v>
      </c>
      <c r="D74" s="100">
        <v>10.9</v>
      </c>
      <c r="E74" s="100">
        <v>5.71</v>
      </c>
      <c r="F74" s="100">
        <v>9.9600000000000009</v>
      </c>
      <c r="G74" s="100">
        <v>65.680000000000007</v>
      </c>
      <c r="H74" s="100">
        <v>30</v>
      </c>
      <c r="I74" s="100">
        <v>5.62</v>
      </c>
      <c r="J74" s="100">
        <v>0.31</v>
      </c>
      <c r="K74" s="100">
        <v>149.93</v>
      </c>
      <c r="L74" s="100">
        <v>14.93</v>
      </c>
      <c r="M74" s="100">
        <v>18.91</v>
      </c>
      <c r="N74" s="100">
        <v>28</v>
      </c>
      <c r="O74" s="100">
        <v>0</v>
      </c>
      <c r="P74" s="100">
        <v>0.37</v>
      </c>
      <c r="Q74" s="100">
        <v>10</v>
      </c>
      <c r="R74" s="6"/>
      <c r="S74" s="6"/>
      <c r="T74" s="156"/>
      <c r="U74" s="6"/>
    </row>
    <row r="75" spans="1:21" customFormat="1">
      <c r="A75" s="201" t="s">
        <v>3091</v>
      </c>
      <c r="B75" s="100">
        <v>2.83</v>
      </c>
      <c r="C75" s="100">
        <v>7.33</v>
      </c>
      <c r="D75" s="100">
        <v>10.16</v>
      </c>
      <c r="E75" s="100">
        <v>5.65</v>
      </c>
      <c r="F75" s="100">
        <v>7.35</v>
      </c>
      <c r="G75" s="100">
        <v>67.05</v>
      </c>
      <c r="H75" s="100">
        <v>30.79</v>
      </c>
      <c r="I75" s="100">
        <v>5.48</v>
      </c>
      <c r="J75" s="100">
        <v>0.16</v>
      </c>
      <c r="K75" s="100">
        <v>218.25</v>
      </c>
      <c r="L75" s="100">
        <v>18.68</v>
      </c>
      <c r="M75" s="100">
        <v>28.25</v>
      </c>
      <c r="N75" s="100">
        <v>29.3</v>
      </c>
      <c r="O75" s="100">
        <v>0</v>
      </c>
      <c r="P75" s="100">
        <v>0.36</v>
      </c>
      <c r="Q75" s="100">
        <v>10</v>
      </c>
      <c r="R75" s="6"/>
      <c r="S75" s="6"/>
      <c r="T75" s="156"/>
      <c r="U75" s="6"/>
    </row>
    <row r="76" spans="1:21" customFormat="1">
      <c r="A76" s="201" t="s">
        <v>3092</v>
      </c>
      <c r="B76" s="100">
        <v>2.71</v>
      </c>
      <c r="C76" s="100">
        <v>6.77</v>
      </c>
      <c r="D76" s="100">
        <v>9.48</v>
      </c>
      <c r="E76" s="100">
        <v>5.32</v>
      </c>
      <c r="F76" s="100">
        <v>5.47</v>
      </c>
      <c r="G76" s="100">
        <v>67.05</v>
      </c>
      <c r="H76" s="100">
        <v>30.79</v>
      </c>
      <c r="I76" s="100">
        <v>5.47</v>
      </c>
      <c r="J76" s="100">
        <v>0.4</v>
      </c>
      <c r="K76" s="100">
        <v>248.99</v>
      </c>
      <c r="L76" s="100">
        <v>22.33</v>
      </c>
      <c r="M76" s="100">
        <v>37.53</v>
      </c>
      <c r="N76" s="100">
        <v>21</v>
      </c>
      <c r="O76" s="100">
        <v>0</v>
      </c>
      <c r="P76" s="100">
        <v>0.36</v>
      </c>
      <c r="Q76" s="100">
        <v>10.039999999999999</v>
      </c>
      <c r="R76" s="6"/>
      <c r="S76" s="6"/>
      <c r="T76" s="156"/>
      <c r="U76" s="6"/>
    </row>
    <row r="77" spans="1:21" customFormat="1">
      <c r="A77" s="201" t="s">
        <v>3093</v>
      </c>
      <c r="B77" s="100">
        <v>2.56</v>
      </c>
      <c r="C77" s="100">
        <v>6.45</v>
      </c>
      <c r="D77" s="100">
        <v>9.01</v>
      </c>
      <c r="E77" s="100">
        <v>5.15</v>
      </c>
      <c r="F77" s="100">
        <v>3.63</v>
      </c>
      <c r="G77" s="100">
        <v>67.05</v>
      </c>
      <c r="H77" s="100">
        <v>30.79</v>
      </c>
      <c r="I77" s="100">
        <v>5.43</v>
      </c>
      <c r="J77" s="100">
        <v>0.17</v>
      </c>
      <c r="K77" s="100">
        <v>214.23</v>
      </c>
      <c r="L77" s="100">
        <v>18.940000000000001</v>
      </c>
      <c r="M77" s="100">
        <v>29.23</v>
      </c>
      <c r="N77" s="100">
        <v>16.2</v>
      </c>
      <c r="O77" s="100">
        <v>0</v>
      </c>
      <c r="P77" s="100">
        <v>0.35</v>
      </c>
      <c r="Q77" s="100">
        <v>9.73</v>
      </c>
      <c r="R77" s="6"/>
      <c r="S77" s="6"/>
      <c r="T77" s="156"/>
      <c r="U77" s="6"/>
    </row>
    <row r="78" spans="1:21" customFormat="1">
      <c r="A78" s="201" t="s">
        <v>3094</v>
      </c>
      <c r="B78" s="100">
        <v>2.57</v>
      </c>
      <c r="C78" s="100">
        <v>6.79</v>
      </c>
      <c r="D78" s="100">
        <v>9.36</v>
      </c>
      <c r="E78" s="100">
        <v>4.78</v>
      </c>
      <c r="F78" s="100">
        <v>3.69</v>
      </c>
      <c r="G78" s="100">
        <v>58.76</v>
      </c>
      <c r="H78" s="100">
        <v>27.05</v>
      </c>
      <c r="I78" s="100">
        <v>5.41</v>
      </c>
      <c r="J78" s="100">
        <v>0.31</v>
      </c>
      <c r="K78" s="100">
        <v>267.39999999999998</v>
      </c>
      <c r="L78" s="100">
        <v>21.78</v>
      </c>
      <c r="M78" s="100">
        <v>36.32</v>
      </c>
      <c r="N78" s="100">
        <v>12.3</v>
      </c>
      <c r="O78" s="100">
        <v>0</v>
      </c>
      <c r="P78" s="100">
        <v>0.35</v>
      </c>
      <c r="Q78" s="100">
        <v>9.98</v>
      </c>
      <c r="R78" s="6"/>
      <c r="S78" s="6"/>
      <c r="T78" s="156"/>
      <c r="U78" s="6"/>
    </row>
    <row r="79" spans="1:21" customFormat="1">
      <c r="A79" s="201" t="s">
        <v>3095</v>
      </c>
      <c r="B79" s="100">
        <v>2.62</v>
      </c>
      <c r="C79" s="100">
        <v>7.25</v>
      </c>
      <c r="D79" s="100">
        <v>9.8699999999999992</v>
      </c>
      <c r="E79" s="100">
        <v>4.76</v>
      </c>
      <c r="F79" s="100">
        <v>3.18</v>
      </c>
      <c r="G79" s="100">
        <v>52.43</v>
      </c>
      <c r="H79" s="100">
        <v>25.87</v>
      </c>
      <c r="I79" s="100">
        <v>5.34</v>
      </c>
      <c r="J79" s="100">
        <v>0.4</v>
      </c>
      <c r="K79" s="100">
        <v>285.64</v>
      </c>
      <c r="L79" s="100">
        <v>24.18</v>
      </c>
      <c r="M79" s="100">
        <v>42.4</v>
      </c>
      <c r="N79" s="100">
        <v>6.9</v>
      </c>
      <c r="O79" s="100">
        <v>0</v>
      </c>
      <c r="P79" s="100">
        <v>0.35</v>
      </c>
      <c r="Q79" s="100">
        <v>10</v>
      </c>
      <c r="R79" s="6"/>
      <c r="S79" s="6"/>
      <c r="T79" s="156"/>
      <c r="U79" s="6"/>
    </row>
    <row r="80" spans="1:21" customFormat="1">
      <c r="A80" s="201" t="s">
        <v>3096</v>
      </c>
      <c r="B80" s="100">
        <v>2.7</v>
      </c>
      <c r="C80" s="100">
        <v>7.55</v>
      </c>
      <c r="D80" s="100">
        <v>10.25</v>
      </c>
      <c r="E80" s="100">
        <v>4.9400000000000004</v>
      </c>
      <c r="F80" s="100">
        <v>2.76</v>
      </c>
      <c r="G80" s="100">
        <v>52.43</v>
      </c>
      <c r="H80" s="100">
        <v>25.87</v>
      </c>
      <c r="I80" s="100">
        <v>5.37</v>
      </c>
      <c r="J80" s="100">
        <v>0.25</v>
      </c>
      <c r="K80" s="100">
        <v>250.03</v>
      </c>
      <c r="L80" s="100">
        <v>22.17</v>
      </c>
      <c r="M80" s="100">
        <v>37.57</v>
      </c>
      <c r="N80" s="100">
        <v>3.6</v>
      </c>
      <c r="O80" s="100">
        <v>0</v>
      </c>
      <c r="P80" s="100">
        <v>0.35</v>
      </c>
      <c r="Q80" s="100">
        <v>10</v>
      </c>
      <c r="R80" s="6"/>
      <c r="S80" s="6"/>
      <c r="T80" s="156"/>
      <c r="U80" s="6"/>
    </row>
    <row r="81" spans="1:21" customFormat="1">
      <c r="A81" s="201" t="s">
        <v>3097</v>
      </c>
      <c r="B81" s="100">
        <v>2.77</v>
      </c>
      <c r="C81" s="100">
        <v>7.73</v>
      </c>
      <c r="D81" s="100">
        <v>10.5</v>
      </c>
      <c r="E81" s="100">
        <v>4.26</v>
      </c>
      <c r="F81" s="100">
        <v>2.35</v>
      </c>
      <c r="G81" s="100">
        <v>52.43</v>
      </c>
      <c r="H81" s="100">
        <v>25.87</v>
      </c>
      <c r="I81" s="100">
        <v>5.4</v>
      </c>
      <c r="J81" s="100">
        <v>0.11</v>
      </c>
      <c r="K81" s="100">
        <v>179.88</v>
      </c>
      <c r="L81" s="100">
        <v>17.22</v>
      </c>
      <c r="M81" s="100">
        <v>25.24</v>
      </c>
      <c r="N81" s="100">
        <v>2.5</v>
      </c>
      <c r="O81" s="100">
        <v>0</v>
      </c>
      <c r="P81" s="100">
        <v>0.36</v>
      </c>
      <c r="Q81" s="100">
        <v>10</v>
      </c>
      <c r="R81" s="6"/>
      <c r="S81" s="6"/>
      <c r="T81" s="156"/>
      <c r="U81" s="6"/>
    </row>
    <row r="82" spans="1:21" customFormat="1">
      <c r="A82" s="201" t="s">
        <v>3098</v>
      </c>
      <c r="B82" s="100">
        <v>2.89</v>
      </c>
      <c r="C82" s="100">
        <v>7.84</v>
      </c>
      <c r="D82" s="100">
        <v>10.72</v>
      </c>
      <c r="E82" s="100">
        <v>4.82</v>
      </c>
      <c r="F82" s="100">
        <v>2.0499999999999998</v>
      </c>
      <c r="G82" s="100">
        <v>52.67</v>
      </c>
      <c r="H82" s="100">
        <v>25.72</v>
      </c>
      <c r="I82" s="100">
        <v>5.39</v>
      </c>
      <c r="J82" s="100">
        <v>0.21</v>
      </c>
      <c r="K82" s="100">
        <v>148</v>
      </c>
      <c r="L82" s="100">
        <v>14.64</v>
      </c>
      <c r="M82" s="100">
        <v>18.77</v>
      </c>
      <c r="N82" s="100">
        <v>2.6</v>
      </c>
      <c r="O82" s="100">
        <v>0</v>
      </c>
      <c r="P82" s="100">
        <v>0.36</v>
      </c>
      <c r="Q82" s="100">
        <v>10</v>
      </c>
      <c r="R82" s="6"/>
      <c r="S82" s="6"/>
      <c r="T82" s="156"/>
      <c r="U82" s="6"/>
    </row>
    <row r="83" spans="1:21" customFormat="1">
      <c r="A83" s="201" t="s">
        <v>3099</v>
      </c>
      <c r="B83" s="100">
        <v>3.11</v>
      </c>
      <c r="C83" s="100">
        <v>8.0399999999999991</v>
      </c>
      <c r="D83" s="100">
        <v>11.14</v>
      </c>
      <c r="E83" s="100">
        <v>5.17</v>
      </c>
      <c r="F83" s="100">
        <v>2.04</v>
      </c>
      <c r="G83" s="100">
        <v>52.86</v>
      </c>
      <c r="H83" s="100">
        <v>25.67</v>
      </c>
      <c r="I83" s="100">
        <v>5.43</v>
      </c>
      <c r="J83" s="100">
        <v>0.17</v>
      </c>
      <c r="K83" s="100">
        <v>174.64</v>
      </c>
      <c r="L83" s="100">
        <v>16.75</v>
      </c>
      <c r="M83" s="100">
        <v>24.08</v>
      </c>
      <c r="N83" s="100">
        <v>2.5</v>
      </c>
      <c r="O83" s="100">
        <v>0</v>
      </c>
      <c r="P83" s="100">
        <v>0.38</v>
      </c>
      <c r="Q83" s="100">
        <v>10</v>
      </c>
      <c r="R83" s="6"/>
      <c r="S83" s="6"/>
      <c r="T83" s="156"/>
      <c r="U83" s="6"/>
    </row>
    <row r="84" spans="1:21" customFormat="1">
      <c r="A84" s="201" t="s">
        <v>3100</v>
      </c>
      <c r="B84" s="100">
        <v>3.25</v>
      </c>
      <c r="C84" s="100">
        <v>7.87</v>
      </c>
      <c r="D84" s="100">
        <v>11.12</v>
      </c>
      <c r="E84" s="100">
        <v>5.12</v>
      </c>
      <c r="F84" s="100">
        <v>2</v>
      </c>
      <c r="G84" s="100">
        <v>52.86</v>
      </c>
      <c r="H84" s="100">
        <v>25.67</v>
      </c>
      <c r="I84" s="100">
        <v>5.54</v>
      </c>
      <c r="J84" s="100">
        <v>0.13</v>
      </c>
      <c r="K84" s="100">
        <v>175.22</v>
      </c>
      <c r="L84" s="100">
        <v>16.82</v>
      </c>
      <c r="M84" s="100">
        <v>24.26</v>
      </c>
      <c r="N84" s="100">
        <v>2.6</v>
      </c>
      <c r="O84" s="100">
        <v>0</v>
      </c>
      <c r="P84" s="100">
        <v>0.38</v>
      </c>
      <c r="Q84" s="100">
        <v>10</v>
      </c>
      <c r="R84" s="6"/>
      <c r="S84" s="6"/>
      <c r="T84" s="156"/>
      <c r="U84" s="6"/>
    </row>
    <row r="85" spans="1:21" customFormat="1">
      <c r="A85" s="201" t="s">
        <v>3101</v>
      </c>
      <c r="B85" s="100">
        <v>3.33</v>
      </c>
      <c r="C85" s="100">
        <v>7.64</v>
      </c>
      <c r="D85" s="100">
        <v>10.96</v>
      </c>
      <c r="E85" s="100">
        <v>5.35</v>
      </c>
      <c r="F85" s="100">
        <v>2</v>
      </c>
      <c r="G85" s="100">
        <v>52.86</v>
      </c>
      <c r="H85" s="100">
        <v>25.67</v>
      </c>
      <c r="I85" s="100">
        <v>5.63</v>
      </c>
      <c r="J85" s="100">
        <v>0.16</v>
      </c>
      <c r="K85" s="100">
        <v>166.61</v>
      </c>
      <c r="L85" s="100">
        <v>16.21</v>
      </c>
      <c r="M85" s="100">
        <v>22.76</v>
      </c>
      <c r="N85" s="100">
        <v>2.2999999999999998</v>
      </c>
      <c r="O85" s="100">
        <v>0</v>
      </c>
      <c r="P85" s="100">
        <v>0.39</v>
      </c>
      <c r="Q85" s="100">
        <v>9.89</v>
      </c>
      <c r="R85" s="6"/>
      <c r="S85" s="6"/>
      <c r="T85" s="156"/>
      <c r="U85" s="6"/>
    </row>
    <row r="86" spans="1:21" customFormat="1">
      <c r="A86" s="201" t="s">
        <v>3102</v>
      </c>
      <c r="B86" s="100">
        <v>3.35</v>
      </c>
      <c r="C86" s="100">
        <v>7.41</v>
      </c>
      <c r="D86" s="100">
        <v>10.76</v>
      </c>
      <c r="E86" s="100">
        <v>5.16</v>
      </c>
      <c r="F86" s="100">
        <v>2.1</v>
      </c>
      <c r="G86" s="100">
        <v>52.62</v>
      </c>
      <c r="H86" s="100">
        <v>26.3</v>
      </c>
      <c r="I86" s="100">
        <v>5.73</v>
      </c>
      <c r="J86" s="100">
        <v>0.17</v>
      </c>
      <c r="K86" s="100">
        <v>155.35</v>
      </c>
      <c r="L86" s="100">
        <v>15.35</v>
      </c>
      <c r="M86" s="100">
        <v>20.54</v>
      </c>
      <c r="N86" s="100">
        <v>2.2999999999999998</v>
      </c>
      <c r="O86" s="100">
        <v>0</v>
      </c>
      <c r="P86" s="100">
        <v>0.38</v>
      </c>
      <c r="Q86" s="100">
        <v>10</v>
      </c>
      <c r="R86" s="6"/>
      <c r="S86" s="6"/>
      <c r="T86" s="156"/>
      <c r="U86" s="6"/>
    </row>
    <row r="87" spans="1:21" customFormat="1">
      <c r="A87" s="201" t="s">
        <v>3103</v>
      </c>
      <c r="B87" s="100">
        <v>3.44</v>
      </c>
      <c r="C87" s="100">
        <v>7.34</v>
      </c>
      <c r="D87" s="100">
        <v>10.78</v>
      </c>
      <c r="E87" s="100">
        <v>5.38</v>
      </c>
      <c r="F87" s="100">
        <v>2.02</v>
      </c>
      <c r="G87" s="100">
        <v>52.45</v>
      </c>
      <c r="H87" s="100">
        <v>26.68</v>
      </c>
      <c r="I87" s="100">
        <v>5.72</v>
      </c>
      <c r="J87" s="100">
        <v>0.13</v>
      </c>
      <c r="K87" s="100">
        <v>162.38999999999999</v>
      </c>
      <c r="L87" s="100">
        <v>15.64</v>
      </c>
      <c r="M87" s="100">
        <v>21.26</v>
      </c>
      <c r="N87" s="100">
        <v>2.2000000000000002</v>
      </c>
      <c r="O87" s="100">
        <v>0</v>
      </c>
      <c r="P87" s="100">
        <v>0.39</v>
      </c>
      <c r="Q87" s="100">
        <v>10</v>
      </c>
      <c r="R87" s="6"/>
      <c r="S87" s="6"/>
      <c r="T87" s="156"/>
      <c r="U87" s="6"/>
    </row>
    <row r="88" spans="1:21" customFormat="1">
      <c r="A88" s="201" t="s">
        <v>3104</v>
      </c>
      <c r="B88" s="100">
        <v>4.4800000000000004</v>
      </c>
      <c r="C88" s="100">
        <v>8.1</v>
      </c>
      <c r="D88" s="100">
        <v>12.57</v>
      </c>
      <c r="E88" s="100">
        <v>5.18</v>
      </c>
      <c r="F88" s="100">
        <v>2</v>
      </c>
      <c r="G88" s="100">
        <v>52.45</v>
      </c>
      <c r="H88" s="100">
        <v>26.68</v>
      </c>
      <c r="I88" s="100">
        <v>5.96</v>
      </c>
      <c r="J88" s="100">
        <v>0.16</v>
      </c>
      <c r="K88" s="100">
        <v>182.84</v>
      </c>
      <c r="L88" s="100">
        <v>17.29</v>
      </c>
      <c r="M88" s="100">
        <v>25.45</v>
      </c>
      <c r="N88" s="100">
        <v>2.2999999999999998</v>
      </c>
      <c r="O88" s="100">
        <v>0</v>
      </c>
      <c r="P88" s="100">
        <v>0.44</v>
      </c>
      <c r="Q88" s="100">
        <v>10</v>
      </c>
      <c r="R88" s="6"/>
      <c r="S88" s="6"/>
      <c r="T88" s="156"/>
      <c r="U88" s="6"/>
    </row>
    <row r="89" spans="1:21" customFormat="1">
      <c r="A89" s="201" t="s">
        <v>3105</v>
      </c>
      <c r="B89" s="100">
        <v>4.57</v>
      </c>
      <c r="C89" s="100">
        <v>7.91</v>
      </c>
      <c r="D89" s="100">
        <v>12.48</v>
      </c>
      <c r="E89" s="100">
        <v>5.24</v>
      </c>
      <c r="F89" s="100">
        <v>2</v>
      </c>
      <c r="G89" s="100">
        <v>52.45</v>
      </c>
      <c r="H89" s="100">
        <v>26.68</v>
      </c>
      <c r="I89" s="100">
        <v>6.41</v>
      </c>
      <c r="J89" s="100">
        <v>0.11</v>
      </c>
      <c r="K89" s="100">
        <v>182.33</v>
      </c>
      <c r="L89" s="100">
        <v>17.010000000000002</v>
      </c>
      <c r="M89" s="100">
        <v>24.76</v>
      </c>
      <c r="N89" s="100">
        <v>2.2999999999999998</v>
      </c>
      <c r="O89" s="100">
        <v>0</v>
      </c>
      <c r="P89" s="100">
        <v>0.44</v>
      </c>
      <c r="Q89" s="100">
        <v>10.18</v>
      </c>
      <c r="R89" s="6"/>
      <c r="S89" s="6"/>
      <c r="T89" s="156"/>
      <c r="U89" s="6"/>
    </row>
    <row r="90" spans="1:21" customFormat="1">
      <c r="A90" s="201" t="s">
        <v>3106</v>
      </c>
      <c r="B90" s="100">
        <v>4.68</v>
      </c>
      <c r="C90" s="100">
        <v>8.14</v>
      </c>
      <c r="D90" s="100">
        <v>12.82</v>
      </c>
      <c r="E90" s="100">
        <v>5.21</v>
      </c>
      <c r="F90" s="100">
        <v>2</v>
      </c>
      <c r="G90" s="100">
        <v>57.65</v>
      </c>
      <c r="H90" s="100">
        <v>25.27</v>
      </c>
      <c r="I90" s="100">
        <v>6.94</v>
      </c>
      <c r="J90" s="100">
        <v>0.18</v>
      </c>
      <c r="K90" s="100">
        <v>246.23</v>
      </c>
      <c r="L90" s="100">
        <v>21.54</v>
      </c>
      <c r="M90" s="100">
        <v>36.049999999999997</v>
      </c>
      <c r="N90" s="100">
        <v>2.1</v>
      </c>
      <c r="O90" s="100">
        <v>0</v>
      </c>
      <c r="P90" s="100">
        <v>0.49</v>
      </c>
      <c r="Q90" s="100">
        <v>10.71</v>
      </c>
      <c r="R90" s="6"/>
      <c r="S90" s="6"/>
      <c r="T90" s="156"/>
      <c r="U90" s="6"/>
    </row>
    <row r="91" spans="1:21" customFormat="1">
      <c r="A91" s="201" t="s">
        <v>3107</v>
      </c>
      <c r="B91" s="100">
        <v>4.8099999999999996</v>
      </c>
      <c r="C91" s="100">
        <v>8.06</v>
      </c>
      <c r="D91" s="100">
        <v>12.87</v>
      </c>
      <c r="E91" s="100">
        <v>5.34</v>
      </c>
      <c r="F91" s="100">
        <v>2.17</v>
      </c>
      <c r="G91" s="100">
        <v>61.45</v>
      </c>
      <c r="H91" s="100">
        <v>24.83</v>
      </c>
      <c r="I91" s="100">
        <v>7.45</v>
      </c>
      <c r="J91" s="100">
        <v>0.25</v>
      </c>
      <c r="K91" s="100">
        <v>232.33</v>
      </c>
      <c r="L91" s="100">
        <v>19.87</v>
      </c>
      <c r="M91" s="100">
        <v>31.88</v>
      </c>
      <c r="N91" s="100">
        <v>2.2999999999999998</v>
      </c>
      <c r="O91" s="100">
        <v>0</v>
      </c>
      <c r="P91" s="100">
        <v>0.52</v>
      </c>
      <c r="Q91" s="100">
        <v>10.19</v>
      </c>
      <c r="R91" s="6"/>
      <c r="S91" s="6"/>
      <c r="T91" s="156"/>
      <c r="U91" s="6"/>
    </row>
    <row r="92" spans="1:21" customFormat="1">
      <c r="A92" s="201" t="s">
        <v>3108</v>
      </c>
      <c r="B92" s="100">
        <v>4.71</v>
      </c>
      <c r="C92" s="100">
        <v>7.96</v>
      </c>
      <c r="D92" s="100">
        <v>12.67</v>
      </c>
      <c r="E92" s="100">
        <v>5.61</v>
      </c>
      <c r="F92" s="100">
        <v>3.17</v>
      </c>
      <c r="G92" s="100">
        <v>61.45</v>
      </c>
      <c r="H92" s="100">
        <v>24.83</v>
      </c>
      <c r="I92" s="100">
        <v>8.2899999999999991</v>
      </c>
      <c r="J92" s="100">
        <v>0.33</v>
      </c>
      <c r="K92" s="100">
        <v>166.27</v>
      </c>
      <c r="L92" s="100">
        <v>16.350000000000001</v>
      </c>
      <c r="M92" s="100">
        <v>23.07</v>
      </c>
      <c r="N92" s="100">
        <v>3.9</v>
      </c>
      <c r="O92" s="100">
        <v>1.6</v>
      </c>
      <c r="P92" s="100">
        <v>0.5</v>
      </c>
      <c r="Q92" s="100">
        <v>9.8800000000000008</v>
      </c>
      <c r="R92" s="6"/>
      <c r="S92" s="6"/>
      <c r="T92" s="156"/>
      <c r="U92" s="6"/>
    </row>
    <row r="93" spans="1:21" customFormat="1">
      <c r="A93" s="201" t="s">
        <v>3109</v>
      </c>
      <c r="B93" s="100">
        <v>4.76</v>
      </c>
      <c r="C93" s="100">
        <v>7.6</v>
      </c>
      <c r="D93" s="100">
        <v>12.37</v>
      </c>
      <c r="E93" s="100">
        <v>5.34</v>
      </c>
      <c r="F93" s="100">
        <v>3.1</v>
      </c>
      <c r="G93" s="100">
        <v>61.45</v>
      </c>
      <c r="H93" s="100">
        <v>24.83</v>
      </c>
      <c r="I93" s="100">
        <v>8.4499999999999993</v>
      </c>
      <c r="J93" s="100">
        <v>0.16</v>
      </c>
      <c r="K93" s="100">
        <v>150.97999999999999</v>
      </c>
      <c r="L93" s="100">
        <v>15.16</v>
      </c>
      <c r="M93" s="100">
        <v>20.079999999999998</v>
      </c>
      <c r="N93" s="100">
        <v>3.4</v>
      </c>
      <c r="O93" s="100">
        <v>1</v>
      </c>
      <c r="P93" s="100">
        <v>0.52</v>
      </c>
      <c r="Q93" s="100">
        <v>10.59</v>
      </c>
      <c r="R93" s="6"/>
      <c r="S93" s="6"/>
      <c r="T93" s="156"/>
      <c r="U93" s="6"/>
    </row>
    <row r="94" spans="1:21" customFormat="1">
      <c r="A94" s="201" t="s">
        <v>3110</v>
      </c>
      <c r="B94" s="100">
        <v>4.57</v>
      </c>
      <c r="C94" s="100">
        <v>8.07</v>
      </c>
      <c r="D94" s="100">
        <v>12.64</v>
      </c>
      <c r="E94" s="100">
        <v>4.75</v>
      </c>
      <c r="F94" s="100">
        <v>4.17</v>
      </c>
      <c r="G94" s="100">
        <v>60.07</v>
      </c>
      <c r="H94" s="100">
        <v>27.78</v>
      </c>
      <c r="I94" s="100">
        <v>8.77</v>
      </c>
      <c r="J94" s="100">
        <v>0.22</v>
      </c>
      <c r="K94" s="100">
        <v>160.65</v>
      </c>
      <c r="L94" s="100">
        <v>15.21</v>
      </c>
      <c r="M94" s="100">
        <v>20.23</v>
      </c>
      <c r="N94" s="100">
        <v>2.5</v>
      </c>
      <c r="O94" s="100">
        <v>0.4</v>
      </c>
      <c r="P94" s="100">
        <v>0.56000000000000005</v>
      </c>
      <c r="Q94" s="100">
        <v>9.9600000000000009</v>
      </c>
      <c r="R94" s="6"/>
      <c r="S94" s="6"/>
      <c r="T94" s="156"/>
      <c r="U94" s="6"/>
    </row>
    <row r="95" spans="1:21" customFormat="1">
      <c r="A95" s="201" t="s">
        <v>3111</v>
      </c>
      <c r="B95" s="100">
        <v>4.6900000000000004</v>
      </c>
      <c r="C95" s="100">
        <v>7.82</v>
      </c>
      <c r="D95" s="100">
        <v>12.51</v>
      </c>
      <c r="E95" s="100">
        <v>4.55</v>
      </c>
      <c r="F95" s="100">
        <v>3.06</v>
      </c>
      <c r="G95" s="100">
        <v>59.06</v>
      </c>
      <c r="H95" s="100">
        <v>28.71</v>
      </c>
      <c r="I95" s="100">
        <v>9.0500000000000007</v>
      </c>
      <c r="J95" s="100">
        <v>0.17</v>
      </c>
      <c r="K95" s="100">
        <v>188.44</v>
      </c>
      <c r="L95" s="100">
        <v>18.079999999999998</v>
      </c>
      <c r="M95" s="100">
        <v>27.31</v>
      </c>
      <c r="N95" s="100">
        <v>2.4</v>
      </c>
      <c r="O95" s="100">
        <v>0.2</v>
      </c>
      <c r="P95" s="100">
        <v>0.52</v>
      </c>
      <c r="Q95" s="100">
        <v>15.6</v>
      </c>
      <c r="R95" s="6"/>
      <c r="S95" s="6"/>
      <c r="T95" s="156"/>
      <c r="U95" s="6"/>
    </row>
    <row r="96" spans="1:21" customFormat="1">
      <c r="A96" s="201" t="s">
        <v>3112</v>
      </c>
      <c r="B96" s="100">
        <v>5.19</v>
      </c>
      <c r="C96" s="100">
        <v>6.89</v>
      </c>
      <c r="D96" s="100">
        <v>12.08</v>
      </c>
      <c r="E96" s="100">
        <v>5.0599999999999996</v>
      </c>
      <c r="F96" s="100">
        <v>2.2000000000000002</v>
      </c>
      <c r="G96" s="100">
        <v>59.06</v>
      </c>
      <c r="H96" s="100">
        <v>28.71</v>
      </c>
      <c r="I96" s="100">
        <v>9.56</v>
      </c>
      <c r="J96" s="100">
        <v>0.1</v>
      </c>
      <c r="K96" s="100">
        <v>171.71</v>
      </c>
      <c r="L96" s="100">
        <v>16.440000000000001</v>
      </c>
      <c r="M96" s="100">
        <v>23.54</v>
      </c>
      <c r="N96" s="100">
        <v>2.2999999999999998</v>
      </c>
      <c r="O96" s="100">
        <v>0</v>
      </c>
      <c r="P96" s="100">
        <v>0.55000000000000004</v>
      </c>
      <c r="Q96" s="100">
        <v>10.050000000000001</v>
      </c>
      <c r="R96" s="6"/>
      <c r="S96" s="6"/>
      <c r="T96" s="156"/>
      <c r="U96" s="6"/>
    </row>
    <row r="97" spans="1:28" customFormat="1">
      <c r="A97" s="201" t="s">
        <v>3113</v>
      </c>
      <c r="B97" s="100">
        <v>4.97</v>
      </c>
      <c r="C97" s="100">
        <v>7.3</v>
      </c>
      <c r="D97" s="100">
        <v>12.27</v>
      </c>
      <c r="E97" s="100">
        <v>4.8</v>
      </c>
      <c r="F97" s="100">
        <v>2.09</v>
      </c>
      <c r="G97" s="100">
        <v>59.06</v>
      </c>
      <c r="H97" s="100">
        <v>28.71</v>
      </c>
      <c r="I97" s="100">
        <v>9.39</v>
      </c>
      <c r="J97" s="100">
        <v>0.11</v>
      </c>
      <c r="K97" s="100">
        <v>152.44</v>
      </c>
      <c r="L97" s="100">
        <v>15.08</v>
      </c>
      <c r="M97" s="100">
        <v>19.920000000000002</v>
      </c>
      <c r="N97" s="100">
        <v>2.1</v>
      </c>
      <c r="O97" s="100">
        <v>0</v>
      </c>
      <c r="P97" s="100">
        <v>0.65</v>
      </c>
      <c r="Q97" s="100">
        <v>10.1</v>
      </c>
      <c r="R97" s="6"/>
      <c r="S97" s="6"/>
      <c r="T97" s="156"/>
      <c r="U97" s="6"/>
    </row>
    <row r="98" spans="1:28" customFormat="1">
      <c r="A98" s="201" t="s">
        <v>3114</v>
      </c>
      <c r="B98" s="100">
        <v>4.96</v>
      </c>
      <c r="C98" s="100">
        <v>7.56</v>
      </c>
      <c r="D98" s="100">
        <v>12.52</v>
      </c>
      <c r="E98" s="100">
        <v>4.5199999999999996</v>
      </c>
      <c r="F98" s="100">
        <v>2.7</v>
      </c>
      <c r="G98" s="100">
        <v>56.69</v>
      </c>
      <c r="H98" s="100">
        <v>27.83</v>
      </c>
      <c r="I98" s="100">
        <v>9.7200000000000006</v>
      </c>
      <c r="J98" s="100">
        <v>0.14000000000000001</v>
      </c>
      <c r="K98" s="100">
        <v>116.36</v>
      </c>
      <c r="L98" s="100">
        <v>13.14</v>
      </c>
      <c r="M98" s="100">
        <v>15.06</v>
      </c>
      <c r="N98" s="100">
        <v>2.4</v>
      </c>
      <c r="O98" s="100">
        <v>0</v>
      </c>
      <c r="P98" s="100">
        <v>0.65</v>
      </c>
      <c r="Q98" s="100">
        <v>10</v>
      </c>
      <c r="R98" s="6"/>
      <c r="S98" s="6"/>
      <c r="T98" s="156"/>
      <c r="U98" s="6"/>
    </row>
    <row r="99" spans="1:28" customFormat="1">
      <c r="A99" s="201" t="s">
        <v>3115</v>
      </c>
      <c r="B99" s="100">
        <v>5.49</v>
      </c>
      <c r="C99" s="100">
        <v>6.5</v>
      </c>
      <c r="D99" s="100">
        <v>11.99</v>
      </c>
      <c r="E99" s="100">
        <v>5.15</v>
      </c>
      <c r="F99" s="100">
        <v>2.02</v>
      </c>
      <c r="G99" s="100">
        <v>54.95</v>
      </c>
      <c r="H99" s="100">
        <v>27.55</v>
      </c>
      <c r="I99" s="100">
        <v>11.82</v>
      </c>
      <c r="J99" s="100">
        <v>0.19</v>
      </c>
      <c r="K99" s="100">
        <v>76.64</v>
      </c>
      <c r="L99" s="100">
        <v>9.7200000000000006</v>
      </c>
      <c r="M99" s="100">
        <v>6.31</v>
      </c>
      <c r="N99" s="100">
        <v>3.1</v>
      </c>
      <c r="O99" s="100">
        <v>0</v>
      </c>
      <c r="P99" s="100">
        <v>0.56999999999999995</v>
      </c>
      <c r="Q99" s="100">
        <v>10.130000000000001</v>
      </c>
      <c r="R99" s="6"/>
      <c r="S99" s="6"/>
      <c r="T99" s="156"/>
      <c r="U99" s="6"/>
    </row>
    <row r="100" spans="1:28" customFormat="1">
      <c r="A100" s="201" t="s">
        <v>3116</v>
      </c>
      <c r="B100" s="100">
        <v>5.66</v>
      </c>
      <c r="C100" s="100">
        <v>6.12</v>
      </c>
      <c r="D100" s="100">
        <v>11.78</v>
      </c>
      <c r="E100" s="100">
        <v>5.19</v>
      </c>
      <c r="F100" s="100">
        <v>2</v>
      </c>
      <c r="G100" s="100">
        <v>54.95</v>
      </c>
      <c r="H100" s="100">
        <v>27.55</v>
      </c>
      <c r="I100" s="100">
        <v>12.3</v>
      </c>
      <c r="J100" s="100">
        <v>0.13</v>
      </c>
      <c r="K100" s="100">
        <v>162.37</v>
      </c>
      <c r="L100" s="100">
        <v>15.64</v>
      </c>
      <c r="M100" s="100">
        <v>21.19</v>
      </c>
      <c r="N100" s="100">
        <v>4.4000000000000004</v>
      </c>
      <c r="O100" s="100">
        <v>0</v>
      </c>
      <c r="P100" s="100">
        <v>0.56999999999999995</v>
      </c>
      <c r="Q100" s="100">
        <v>10.24</v>
      </c>
      <c r="R100" s="6"/>
      <c r="S100" s="6"/>
      <c r="T100" s="156"/>
      <c r="U100" s="6"/>
      <c r="AB100" s="161"/>
    </row>
    <row r="101" spans="1:28" customFormat="1">
      <c r="A101" s="201" t="s">
        <v>3117</v>
      </c>
      <c r="B101" s="100">
        <v>5.62</v>
      </c>
      <c r="C101" s="100">
        <v>5.7</v>
      </c>
      <c r="D101" s="100">
        <v>11.32</v>
      </c>
      <c r="E101" s="100">
        <v>4.74</v>
      </c>
      <c r="F101" s="100">
        <v>3.07</v>
      </c>
      <c r="G101" s="100">
        <v>54.95</v>
      </c>
      <c r="H101" s="100">
        <v>27.55</v>
      </c>
      <c r="I101" s="100">
        <v>10.11</v>
      </c>
      <c r="J101" s="100">
        <v>0.12</v>
      </c>
      <c r="K101" s="100">
        <v>79.599999999999994</v>
      </c>
      <c r="L101" s="100">
        <v>12.69</v>
      </c>
      <c r="M101" s="100">
        <v>13.84</v>
      </c>
      <c r="N101" s="100">
        <v>3.2</v>
      </c>
      <c r="O101" s="100">
        <v>1</v>
      </c>
      <c r="P101" s="100">
        <v>0.53</v>
      </c>
      <c r="Q101" s="100">
        <v>9.9700000000000006</v>
      </c>
      <c r="R101" s="6"/>
      <c r="S101" s="6"/>
      <c r="T101" s="156"/>
      <c r="U101" s="6"/>
    </row>
    <row r="102" spans="1:28" customFormat="1">
      <c r="A102" s="201" t="s">
        <v>3118</v>
      </c>
      <c r="B102" s="100">
        <v>5.67</v>
      </c>
      <c r="C102" s="100">
        <v>5.74</v>
      </c>
      <c r="D102" s="100">
        <v>11.41</v>
      </c>
      <c r="E102" s="100">
        <v>4.7300000000000004</v>
      </c>
      <c r="F102" s="100">
        <v>2.31</v>
      </c>
      <c r="G102" s="100">
        <v>51</v>
      </c>
      <c r="H102" s="100">
        <v>23.71</v>
      </c>
      <c r="I102" s="100">
        <v>10.01</v>
      </c>
      <c r="J102" s="100">
        <v>0.17</v>
      </c>
      <c r="K102" s="100">
        <v>144.1</v>
      </c>
      <c r="L102" s="100">
        <v>15.83</v>
      </c>
      <c r="M102" s="100">
        <v>21.72</v>
      </c>
      <c r="N102" s="100">
        <v>2.2999999999999998</v>
      </c>
      <c r="O102" s="100">
        <v>0.8</v>
      </c>
      <c r="P102" s="100">
        <v>0.54</v>
      </c>
      <c r="Q102" s="100">
        <v>10.06</v>
      </c>
      <c r="R102" s="6"/>
      <c r="S102" s="6"/>
      <c r="T102" s="156"/>
      <c r="U102" s="6"/>
    </row>
    <row r="103" spans="1:28" customFormat="1">
      <c r="A103" s="201" t="s">
        <v>3119</v>
      </c>
      <c r="B103" s="100">
        <v>5.79</v>
      </c>
      <c r="C103" s="100">
        <v>5.85</v>
      </c>
      <c r="D103" s="100">
        <v>11.64</v>
      </c>
      <c r="E103" s="100">
        <v>5.27</v>
      </c>
      <c r="F103" s="100">
        <v>2.1</v>
      </c>
      <c r="G103" s="100">
        <v>47.97</v>
      </c>
      <c r="H103" s="100">
        <v>21.44</v>
      </c>
      <c r="I103" s="100">
        <v>9.7100000000000009</v>
      </c>
      <c r="J103" s="100">
        <v>0.16</v>
      </c>
      <c r="K103" s="100">
        <v>200.45</v>
      </c>
      <c r="L103" s="100">
        <v>19.82</v>
      </c>
      <c r="M103" s="100">
        <v>31.71</v>
      </c>
      <c r="N103" s="100">
        <v>2.4</v>
      </c>
      <c r="O103" s="100">
        <v>5.2</v>
      </c>
      <c r="P103" s="100">
        <v>0.56000000000000005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3120</v>
      </c>
      <c r="B104" s="100">
        <v>5.61</v>
      </c>
      <c r="C104" s="100">
        <v>5.79</v>
      </c>
      <c r="D104" s="100">
        <v>11.4</v>
      </c>
      <c r="E104" s="100">
        <v>5.15</v>
      </c>
      <c r="F104" s="100">
        <v>3.52</v>
      </c>
      <c r="G104" s="100">
        <v>47.97</v>
      </c>
      <c r="H104" s="100">
        <v>21.44</v>
      </c>
      <c r="I104" s="100">
        <v>9.7100000000000009</v>
      </c>
      <c r="J104" s="100">
        <v>0.12</v>
      </c>
      <c r="K104" s="100">
        <v>217.21</v>
      </c>
      <c r="L104" s="100">
        <v>18.22</v>
      </c>
      <c r="M104" s="100">
        <v>27.78</v>
      </c>
      <c r="N104" s="100">
        <v>2.1</v>
      </c>
      <c r="O104" s="100">
        <v>2</v>
      </c>
      <c r="P104" s="100">
        <v>0.54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2.56</v>
      </c>
      <c r="C106" s="158">
        <f>MIN(C9:C104)</f>
        <v>4.83</v>
      </c>
      <c r="D106" s="158">
        <f t="shared" ref="D106:Q106" si="0">MIN(D9:D104)</f>
        <v>9</v>
      </c>
      <c r="E106" s="158">
        <f t="shared" si="0"/>
        <v>4.1399999999999997</v>
      </c>
      <c r="F106" s="158">
        <f t="shared" si="0"/>
        <v>2</v>
      </c>
      <c r="G106" s="158">
        <f t="shared" si="0"/>
        <v>24.91</v>
      </c>
      <c r="H106" s="158">
        <f t="shared" si="0"/>
        <v>11.75</v>
      </c>
      <c r="I106" s="158">
        <f t="shared" si="0"/>
        <v>5.34</v>
      </c>
      <c r="J106" s="158">
        <f t="shared" si="0"/>
        <v>0.03</v>
      </c>
      <c r="K106" s="158">
        <f t="shared" si="0"/>
        <v>7.19</v>
      </c>
      <c r="L106" s="158">
        <f t="shared" si="0"/>
        <v>7.72</v>
      </c>
      <c r="M106" s="158">
        <f t="shared" si="0"/>
        <v>-0.84</v>
      </c>
      <c r="N106" s="158">
        <f t="shared" si="0"/>
        <v>2.1</v>
      </c>
      <c r="O106" s="158">
        <f t="shared" si="0"/>
        <v>0</v>
      </c>
      <c r="P106" s="158">
        <f t="shared" si="0"/>
        <v>0.28999999999999998</v>
      </c>
      <c r="Q106" s="158">
        <f t="shared" si="0"/>
        <v>9.35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8.68</v>
      </c>
      <c r="C107" s="157">
        <f t="shared" ref="C107:Q107" si="1">MAX(C9:C104)</f>
        <v>9.98</v>
      </c>
      <c r="D107" s="157">
        <f t="shared" si="1"/>
        <v>15.31</v>
      </c>
      <c r="E107" s="157">
        <f t="shared" si="1"/>
        <v>12.33</v>
      </c>
      <c r="F107" s="157">
        <f t="shared" si="1"/>
        <v>22.41</v>
      </c>
      <c r="G107" s="157">
        <f t="shared" si="1"/>
        <v>67.05</v>
      </c>
      <c r="H107" s="157">
        <f t="shared" si="1"/>
        <v>30.79</v>
      </c>
      <c r="I107" s="157">
        <f t="shared" si="1"/>
        <v>12.3</v>
      </c>
      <c r="J107" s="157">
        <f t="shared" si="1"/>
        <v>0.65</v>
      </c>
      <c r="K107" s="157">
        <f t="shared" si="1"/>
        <v>354.09</v>
      </c>
      <c r="L107" s="157">
        <f t="shared" si="1"/>
        <v>27.68</v>
      </c>
      <c r="M107" s="157">
        <f t="shared" si="1"/>
        <v>47.01</v>
      </c>
      <c r="N107" s="157">
        <f t="shared" si="1"/>
        <v>655.29999999999995</v>
      </c>
      <c r="O107" s="157">
        <f t="shared" si="1"/>
        <v>5.2</v>
      </c>
      <c r="P107" s="157">
        <f t="shared" si="1"/>
        <v>0.65</v>
      </c>
      <c r="Q107" s="157">
        <f t="shared" si="1"/>
        <v>15.6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5.0274999999999999</v>
      </c>
      <c r="C108" s="158">
        <f t="shared" ref="C108:Q108" si="2">AVERAGE(C9:C104)</f>
        <v>6.9143750000000006</v>
      </c>
      <c r="D108" s="158">
        <f t="shared" si="2"/>
        <v>11.941145833333332</v>
      </c>
      <c r="E108" s="158">
        <f t="shared" si="2"/>
        <v>5.8516666666666621</v>
      </c>
      <c r="F108" s="158">
        <f t="shared" si="2"/>
        <v>4.3210416666666678</v>
      </c>
      <c r="G108" s="158">
        <f t="shared" si="2"/>
        <v>48.414375</v>
      </c>
      <c r="H108" s="158">
        <f t="shared" si="2"/>
        <v>22.805833333333329</v>
      </c>
      <c r="I108" s="158">
        <f t="shared" si="2"/>
        <v>7.2404166666666683</v>
      </c>
      <c r="J108" s="158">
        <f t="shared" si="2"/>
        <v>0.22989583333333333</v>
      </c>
      <c r="K108" s="158">
        <f t="shared" si="2"/>
        <v>188.78177083333324</v>
      </c>
      <c r="L108" s="158">
        <f t="shared" si="2"/>
        <v>18.753854166666674</v>
      </c>
      <c r="M108" s="158">
        <f t="shared" si="2"/>
        <v>26.765520833333341</v>
      </c>
      <c r="N108" s="158">
        <f t="shared" si="2"/>
        <v>97.338541666666615</v>
      </c>
      <c r="O108" s="158">
        <f t="shared" si="2"/>
        <v>0.12708333333333333</v>
      </c>
      <c r="P108" s="158">
        <f t="shared" si="2"/>
        <v>0.39333333333333326</v>
      </c>
      <c r="Q108" s="158">
        <f t="shared" si="2"/>
        <v>10.088645833333334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1.5590969045876335</v>
      </c>
      <c r="C109" s="158">
        <f t="shared" ref="C109:Q109" si="3">STDEV(C9:C104)</f>
        <v>1.2776465308897893</v>
      </c>
      <c r="D109" s="158">
        <f t="shared" si="3"/>
        <v>1.7098075421345973</v>
      </c>
      <c r="E109" s="158">
        <f t="shared" si="3"/>
        <v>1.725907033336197</v>
      </c>
      <c r="F109" s="158">
        <f t="shared" si="3"/>
        <v>4.1999186656702756</v>
      </c>
      <c r="G109" s="158">
        <f t="shared" si="3"/>
        <v>12.691404784133939</v>
      </c>
      <c r="H109" s="158">
        <f t="shared" si="3"/>
        <v>4.915412209874428</v>
      </c>
      <c r="I109" s="158">
        <f t="shared" si="3"/>
        <v>1.472811787501543</v>
      </c>
      <c r="J109" s="158">
        <f t="shared" si="3"/>
        <v>0.14181897127688906</v>
      </c>
      <c r="K109" s="158">
        <f t="shared" si="3"/>
        <v>95.368995138217173</v>
      </c>
      <c r="L109" s="158">
        <f t="shared" si="3"/>
        <v>4.8845669677791488</v>
      </c>
      <c r="M109" s="158">
        <f t="shared" si="3"/>
        <v>11.149492966502446</v>
      </c>
      <c r="N109" s="158">
        <f t="shared" si="3"/>
        <v>159.90790860912921</v>
      </c>
      <c r="O109" s="158">
        <f t="shared" si="3"/>
        <v>0.60601878842971912</v>
      </c>
      <c r="P109" s="158">
        <f t="shared" si="3"/>
        <v>8.130082755669564E-2</v>
      </c>
      <c r="Q109" s="158">
        <f t="shared" si="3"/>
        <v>0.60667448965941262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tabSelected="1" zoomScale="85" zoomScaleNormal="85" workbookViewId="0">
      <pane xSplit="1" ySplit="8" topLeftCell="B36" activePane="bottomRight" state="frozen"/>
      <selection pane="topRight"/>
      <selection pane="bottomLeft"/>
      <selection pane="bottomRight" activeCell="S44" sqref="S44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01/09/2025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01/09/2025 00:15</v>
      </c>
      <c r="B9" s="83">
        <f>'01'!B108</f>
        <v>5.6611458333333315</v>
      </c>
      <c r="C9" s="83">
        <f>'01'!C108</f>
        <v>12.187604166666667</v>
      </c>
      <c r="D9" s="83">
        <f>'01'!D108</f>
        <v>10.907187500000001</v>
      </c>
      <c r="E9" s="83">
        <f>'01'!E108</f>
        <v>5.4086458333333338</v>
      </c>
      <c r="F9" s="83">
        <f>'01'!F108</f>
        <v>0.23635416666666645</v>
      </c>
      <c r="G9" s="83">
        <f>'01'!G108</f>
        <v>19.106249999999999</v>
      </c>
      <c r="H9" s="83">
        <f>'01'!H108</f>
        <v>7.2132291666666672</v>
      </c>
      <c r="I9" s="83">
        <f>'01'!I108</f>
        <v>4.5585416666666676</v>
      </c>
      <c r="J9" s="83">
        <f>'01'!J108</f>
        <v>0.27718750000000003</v>
      </c>
      <c r="K9" s="83">
        <f>'01'!K108</f>
        <v>208.15791666666667</v>
      </c>
      <c r="L9" s="83">
        <f>'01'!L108</f>
        <v>27.00947916666669</v>
      </c>
      <c r="M9" s="83">
        <f>'01'!M108</f>
        <v>88.309583333333364</v>
      </c>
      <c r="N9" s="83">
        <f>'01'!N108</f>
        <v>62.594791666666715</v>
      </c>
      <c r="O9" s="83">
        <f>'01'!O108</f>
        <v>0</v>
      </c>
      <c r="P9" s="83">
        <f>'01'!P108</f>
        <v>0.25020833333333331</v>
      </c>
      <c r="Q9" s="83">
        <f>'01'!Q108</f>
        <v>10</v>
      </c>
      <c r="R9" s="76"/>
      <c r="S9" s="76"/>
      <c r="T9" s="76"/>
      <c r="U9" s="76"/>
    </row>
    <row r="10" spans="1:21">
      <c r="A10" s="139" t="str">
        <f>'02'!$B$2</f>
        <v>02/09/2025 00:15</v>
      </c>
      <c r="B10" s="83">
        <f>'02'!B108</f>
        <v>5.0029166666666649</v>
      </c>
      <c r="C10" s="83">
        <f>'02'!C108</f>
        <v>12.629062500000005</v>
      </c>
      <c r="D10" s="83">
        <f>'02'!D108</f>
        <v>10.610624999999999</v>
      </c>
      <c r="E10" s="83">
        <f>'02'!E108</f>
        <v>4.8226041666666637</v>
      </c>
      <c r="F10" s="83">
        <f>'02'!F108</f>
        <v>3.1116666666666668</v>
      </c>
      <c r="G10" s="83">
        <f>'02'!G108</f>
        <v>34.629166666666698</v>
      </c>
      <c r="H10" s="83">
        <f>'02'!H108</f>
        <v>10.770520833333334</v>
      </c>
      <c r="I10" s="83">
        <f>'02'!I108</f>
        <v>4.7939583333333342</v>
      </c>
      <c r="J10" s="83">
        <f>'02'!J108</f>
        <v>0.30635416666666665</v>
      </c>
      <c r="K10" s="83">
        <f>'02'!K108</f>
        <v>192.2845833333333</v>
      </c>
      <c r="L10" s="83">
        <f>'02'!L108</f>
        <v>26.42947916666667</v>
      </c>
      <c r="M10" s="83">
        <f>'02'!M108</f>
        <v>87.851458333333355</v>
      </c>
      <c r="N10" s="83">
        <f>'02'!N108</f>
        <v>64.890624999999986</v>
      </c>
      <c r="O10" s="83">
        <f>'02'!O108</f>
        <v>0.17708333333333329</v>
      </c>
      <c r="P10" s="83">
        <f>'02'!P108</f>
        <v>0.24729166666666666</v>
      </c>
      <c r="Q10" s="83">
        <f>'02'!Q108</f>
        <v>10</v>
      </c>
      <c r="R10" s="76"/>
      <c r="S10" s="76"/>
      <c r="T10" s="76"/>
      <c r="U10" s="76"/>
    </row>
    <row r="11" spans="1:21">
      <c r="A11" s="139" t="str">
        <f>'03'!$B$2</f>
        <v>03/09/2025 00:15</v>
      </c>
      <c r="B11" s="83">
        <f>'03'!B108</f>
        <v>6.5678125000000014</v>
      </c>
      <c r="C11" s="83">
        <f>'03'!C108</f>
        <v>12.400520833333337</v>
      </c>
      <c r="D11" s="83">
        <f>'03'!D108</f>
        <v>11.746354166666668</v>
      </c>
      <c r="E11" s="83">
        <f>'03'!E108</f>
        <v>5.022291666666665</v>
      </c>
      <c r="F11" s="83">
        <f>'03'!F108</f>
        <v>2.1384374999999998</v>
      </c>
      <c r="G11" s="83">
        <f>'03'!G108</f>
        <v>23.310729166666665</v>
      </c>
      <c r="H11" s="83">
        <f>'03'!H108</f>
        <v>6.925208333333333</v>
      </c>
      <c r="I11" s="83">
        <f>'03'!I108</f>
        <v>4.3689583333333344</v>
      </c>
      <c r="J11" s="83">
        <f>'03'!J108</f>
        <v>0.19572916666666676</v>
      </c>
      <c r="K11" s="83">
        <f>'03'!K108</f>
        <v>162.62562500000004</v>
      </c>
      <c r="L11" s="83">
        <f>'03'!L108</f>
        <v>26.333229166666669</v>
      </c>
      <c r="M11" s="83">
        <f>'03'!M108</f>
        <v>85.594895833333354</v>
      </c>
      <c r="N11" s="83">
        <f>'03'!N108</f>
        <v>61.085416666666674</v>
      </c>
      <c r="O11" s="83">
        <f>'03'!O108</f>
        <v>5.000000000000001E-2</v>
      </c>
      <c r="P11" s="83">
        <f>'03'!P108</f>
        <v>0.23104166666666651</v>
      </c>
      <c r="Q11" s="83">
        <f>'03'!Q108</f>
        <v>10</v>
      </c>
      <c r="R11" s="76"/>
      <c r="S11" s="76"/>
      <c r="T11" s="76"/>
      <c r="U11" s="76"/>
    </row>
    <row r="12" spans="1:21">
      <c r="A12" s="139" t="str">
        <f>'04'!$B$2</f>
        <v>04/09/2025 00:15</v>
      </c>
      <c r="B12" s="83">
        <f>'04'!B108</f>
        <v>5.2809374999999976</v>
      </c>
      <c r="C12" s="83">
        <f>'04'!C108</f>
        <v>11.686250000000006</v>
      </c>
      <c r="D12" s="83">
        <f>'04'!D108</f>
        <v>10.340520833333334</v>
      </c>
      <c r="E12" s="83">
        <f>'04'!E108</f>
        <v>5.4996875000000003</v>
      </c>
      <c r="F12" s="83">
        <f>'04'!F108</f>
        <v>2.147812500000001</v>
      </c>
      <c r="G12" s="83">
        <f>'04'!G108</f>
        <v>11.487291666666669</v>
      </c>
      <c r="H12" s="83">
        <f>'04'!H108</f>
        <v>6.4445833333333331</v>
      </c>
      <c r="I12" s="83">
        <f>'04'!I108</f>
        <v>4.2503125000000006</v>
      </c>
      <c r="J12" s="83">
        <f>'04'!J108</f>
        <v>0.42572916666666677</v>
      </c>
      <c r="K12" s="83">
        <f>'04'!K108</f>
        <v>214.41302083333326</v>
      </c>
      <c r="L12" s="83">
        <f>'04'!L108</f>
        <v>26.014895833333341</v>
      </c>
      <c r="M12" s="83">
        <f>'04'!M108</f>
        <v>83.981354166666691</v>
      </c>
      <c r="N12" s="83">
        <f>'04'!N108</f>
        <v>56.57916666666673</v>
      </c>
      <c r="O12" s="83">
        <f>'04'!O108</f>
        <v>3.5416666666666673E-2</v>
      </c>
      <c r="P12" s="83">
        <f>'04'!P108</f>
        <v>0.18968750000000004</v>
      </c>
      <c r="Q12" s="83">
        <f>'04'!Q108</f>
        <v>10</v>
      </c>
      <c r="R12" s="76"/>
      <c r="S12" s="76"/>
      <c r="T12" s="76"/>
      <c r="U12" s="76"/>
    </row>
    <row r="13" spans="1:21">
      <c r="A13" s="139" t="str">
        <f>'05'!$B$2</f>
        <v>05/09/2025 00:15</v>
      </c>
      <c r="B13" s="83">
        <f>'05'!B108</f>
        <v>4.6535416666666665</v>
      </c>
      <c r="C13" s="83">
        <f>'05'!C108</f>
        <v>10.869166666666665</v>
      </c>
      <c r="D13" s="83">
        <f>'05'!D108</f>
        <v>9.4103124999999999</v>
      </c>
      <c r="E13" s="83">
        <f>'05'!E108</f>
        <v>4.1810416666666654</v>
      </c>
      <c r="F13" s="83">
        <f>'05'!F108</f>
        <v>4.3712500000000007</v>
      </c>
      <c r="G13" s="83">
        <f>'05'!G108</f>
        <v>15.295833333333336</v>
      </c>
      <c r="H13" s="83">
        <f>'05'!H108</f>
        <v>4.5410416666666658</v>
      </c>
      <c r="I13" s="83">
        <f>'05'!I108</f>
        <v>2.953958333333333</v>
      </c>
      <c r="J13" s="83">
        <f>'05'!J108</f>
        <v>0.27093750000000011</v>
      </c>
      <c r="K13" s="83">
        <f>'05'!K108</f>
        <v>202.83541666666659</v>
      </c>
      <c r="L13" s="83">
        <f>'05'!L108</f>
        <v>26.93833333333335</v>
      </c>
      <c r="M13" s="83">
        <f>'05'!M108</f>
        <v>81.690208333333345</v>
      </c>
      <c r="N13" s="83">
        <f>'05'!N108</f>
        <v>98.893750000000026</v>
      </c>
      <c r="O13" s="83">
        <f>'05'!O108</f>
        <v>4.1666666666666666E-3</v>
      </c>
      <c r="P13" s="83">
        <f>'05'!P108</f>
        <v>0.13625000000000009</v>
      </c>
      <c r="Q13" s="83">
        <f>'05'!Q108</f>
        <v>10</v>
      </c>
      <c r="R13" s="76"/>
      <c r="S13" s="76"/>
      <c r="T13" s="76"/>
      <c r="U13" s="76"/>
    </row>
    <row r="14" spans="1:21">
      <c r="A14" s="139" t="str">
        <f>'06'!$B$2</f>
        <v>06/09/2025 00:15</v>
      </c>
      <c r="B14" s="83">
        <f>'06'!B108</f>
        <v>5.5311458333333343</v>
      </c>
      <c r="C14" s="83">
        <f>'06'!C108</f>
        <v>11.881666666666669</v>
      </c>
      <c r="D14" s="83">
        <f>'06'!D108</f>
        <v>10.643125000000001</v>
      </c>
      <c r="E14" s="83">
        <f>'06'!E108</f>
        <v>5.1456249999999981</v>
      </c>
      <c r="F14" s="83">
        <f>'06'!F108</f>
        <v>3.0218750000000001</v>
      </c>
      <c r="G14" s="83">
        <f>'06'!G108</f>
        <v>30.876979166666654</v>
      </c>
      <c r="H14" s="83">
        <f>'06'!H108</f>
        <v>9.7318749999999969</v>
      </c>
      <c r="I14" s="83">
        <f>'06'!I108</f>
        <v>3.6309375000000004</v>
      </c>
      <c r="J14" s="83">
        <f>'06'!J108</f>
        <v>0.2310416666666667</v>
      </c>
      <c r="K14" s="83">
        <f>'06'!K108</f>
        <v>177.64062500000003</v>
      </c>
      <c r="L14" s="83">
        <f>'06'!L108</f>
        <v>28.426041666666663</v>
      </c>
      <c r="M14" s="83">
        <f>'06'!M108</f>
        <v>81.22020833333336</v>
      </c>
      <c r="N14" s="83">
        <f>'06'!N108</f>
        <v>154.38229166666673</v>
      </c>
      <c r="O14" s="83">
        <f>'06'!O108</f>
        <v>0</v>
      </c>
      <c r="P14" s="83">
        <f>'06'!P108</f>
        <v>0.19833333333333328</v>
      </c>
      <c r="Q14" s="83">
        <f>'06'!Q108</f>
        <v>10</v>
      </c>
      <c r="R14" s="76"/>
      <c r="S14" s="76"/>
      <c r="T14" s="76"/>
      <c r="U14" s="76"/>
    </row>
    <row r="15" spans="1:21">
      <c r="A15" s="139" t="str">
        <f>'07'!$B$2</f>
        <v>07/09/2025 00:15</v>
      </c>
      <c r="B15" s="83">
        <f>'07'!B108</f>
        <v>5.0897916666666676</v>
      </c>
      <c r="C15" s="83">
        <f>'07'!C108</f>
        <v>11.882916666666668</v>
      </c>
      <c r="D15" s="83">
        <f>'07'!D108</f>
        <v>10.290000000000001</v>
      </c>
      <c r="E15" s="83">
        <f>'07'!E108</f>
        <v>5.4187499999999984</v>
      </c>
      <c r="F15" s="83">
        <f>'07'!F108</f>
        <v>2.5823958333333334</v>
      </c>
      <c r="G15" s="83">
        <f>'07'!G108</f>
        <v>26.781770833333322</v>
      </c>
      <c r="H15" s="83">
        <f>'07'!H108</f>
        <v>10.375000000000002</v>
      </c>
      <c r="I15" s="83">
        <f>'07'!I108</f>
        <v>4.7460416666666649</v>
      </c>
      <c r="J15" s="83">
        <f>'07'!J108</f>
        <v>0.23416666666666677</v>
      </c>
      <c r="K15" s="83">
        <f>'07'!K108</f>
        <v>194.05260416666678</v>
      </c>
      <c r="L15" s="83">
        <f>'07'!L108</f>
        <v>27.25510416666668</v>
      </c>
      <c r="M15" s="83">
        <f>'07'!M108</f>
        <v>86.403958333333335</v>
      </c>
      <c r="N15" s="83">
        <f>'07'!N108</f>
        <v>76.306250000000006</v>
      </c>
      <c r="O15" s="83">
        <f>'07'!O108</f>
        <v>4.3750000000000011E-2</v>
      </c>
      <c r="P15" s="83">
        <f>'07'!P108</f>
        <v>0.26833333333333315</v>
      </c>
      <c r="Q15" s="83">
        <f>'07'!Q108</f>
        <v>10</v>
      </c>
      <c r="R15" s="76"/>
      <c r="S15" s="76"/>
      <c r="T15" s="76"/>
      <c r="U15" s="76"/>
    </row>
    <row r="16" spans="1:21">
      <c r="A16" s="139" t="str">
        <f>'08'!$B$2</f>
        <v>08/09/2025 00:15</v>
      </c>
      <c r="B16" s="83">
        <f>'08'!B108</f>
        <v>7.231562499999999</v>
      </c>
      <c r="C16" s="83">
        <f>'08'!C108</f>
        <v>12.307604166666664</v>
      </c>
      <c r="D16" s="83">
        <f>'08'!D108</f>
        <v>12.229791666666666</v>
      </c>
      <c r="E16" s="83">
        <f>'08'!E108</f>
        <v>5.5672916666666694</v>
      </c>
      <c r="F16" s="83">
        <f>'08'!F108</f>
        <v>2.1353124999999999</v>
      </c>
      <c r="G16" s="83">
        <f>'08'!G108</f>
        <v>41.952500000000029</v>
      </c>
      <c r="H16" s="83">
        <f>'08'!H108</f>
        <v>17.252291666666665</v>
      </c>
      <c r="I16" s="83">
        <f>'08'!I108</f>
        <v>5.6516666666666699</v>
      </c>
      <c r="J16" s="83">
        <f>'08'!J108</f>
        <v>0.24781250000000002</v>
      </c>
      <c r="K16" s="83">
        <f>'08'!K108</f>
        <v>207.30395833333333</v>
      </c>
      <c r="L16" s="83">
        <f>'08'!L108</f>
        <v>26.81937499999999</v>
      </c>
      <c r="M16" s="83">
        <f>'08'!M108</f>
        <v>87.329583333333332</v>
      </c>
      <c r="N16" s="83">
        <f>'08'!N108</f>
        <v>83.534375000000026</v>
      </c>
      <c r="O16" s="83">
        <f>'08'!O108</f>
        <v>0.15416666666666665</v>
      </c>
      <c r="P16" s="83">
        <f>'08'!P108</f>
        <v>0.34885416666666691</v>
      </c>
      <c r="Q16" s="83">
        <f>'08'!Q108</f>
        <v>10</v>
      </c>
      <c r="R16" s="76"/>
      <c r="S16" s="76"/>
      <c r="T16" s="76"/>
      <c r="U16" s="76"/>
    </row>
    <row r="17" spans="1:21">
      <c r="A17" s="139" t="str">
        <f>'09'!$B$2</f>
        <v>09/09/2025 00:15</v>
      </c>
      <c r="B17" s="83">
        <f>'09'!B108</f>
        <v>5.7221875000000004</v>
      </c>
      <c r="C17" s="83">
        <f>'09'!C108</f>
        <v>12.092187500000001</v>
      </c>
      <c r="D17" s="83">
        <f>'09'!D108</f>
        <v>10.906458333333335</v>
      </c>
      <c r="E17" s="83">
        <f>'09'!E108</f>
        <v>4.5872916666666663</v>
      </c>
      <c r="F17" s="83">
        <f>'09'!F108</f>
        <v>7.3646875000000014</v>
      </c>
      <c r="G17" s="83">
        <f>'09'!G108</f>
        <v>62.690625000000004</v>
      </c>
      <c r="H17" s="83">
        <f>'09'!H108</f>
        <v>34.999583333333327</v>
      </c>
      <c r="I17" s="83">
        <f>'09'!I108</f>
        <v>5.3423958333333319</v>
      </c>
      <c r="J17" s="83">
        <f>'09'!J108</f>
        <v>0.17322916666666668</v>
      </c>
      <c r="K17" s="83">
        <f>'09'!K108</f>
        <v>155.77666666666661</v>
      </c>
      <c r="L17" s="83">
        <f>'09'!L108</f>
        <v>28.435208333333335</v>
      </c>
      <c r="M17" s="83">
        <f>'09'!M108</f>
        <v>80.619062499999998</v>
      </c>
      <c r="N17" s="83">
        <f>'09'!N108</f>
        <v>108.08749999999998</v>
      </c>
      <c r="O17" s="83">
        <f>'09'!O108</f>
        <v>0</v>
      </c>
      <c r="P17" s="83">
        <f>'09'!P108</f>
        <v>0.31197916666666653</v>
      </c>
      <c r="Q17" s="83">
        <f>'09'!Q108</f>
        <v>10</v>
      </c>
      <c r="R17" s="76"/>
      <c r="S17" s="76"/>
      <c r="T17" s="76"/>
      <c r="U17" s="76"/>
    </row>
    <row r="18" spans="1:21">
      <c r="A18" s="139" t="str">
        <f>'10'!$B$2</f>
        <v>10/09/2025 00:15</v>
      </c>
      <c r="B18" s="83">
        <f>'10'!B108</f>
        <v>7.3604166666666666</v>
      </c>
      <c r="C18" s="83">
        <f>'10'!C108</f>
        <v>13.008437500000001</v>
      </c>
      <c r="D18" s="83">
        <f>'10'!D108</f>
        <v>12.698854166666671</v>
      </c>
      <c r="E18" s="83">
        <f>'10'!E108</f>
        <v>5.6464583333333316</v>
      </c>
      <c r="F18" s="83">
        <f>'10'!F108</f>
        <v>2.6388541666666661</v>
      </c>
      <c r="G18" s="83">
        <f>'10'!G108</f>
        <v>60.747083333333357</v>
      </c>
      <c r="H18" s="83">
        <f>'10'!H108</f>
        <v>30.734583333333315</v>
      </c>
      <c r="I18" s="83">
        <f>'10'!I108</f>
        <v>7.0217708333333322</v>
      </c>
      <c r="J18" s="83">
        <f>'10'!J108</f>
        <v>0.18697916666666667</v>
      </c>
      <c r="K18" s="83">
        <f>'10'!K108</f>
        <v>160.41468749999993</v>
      </c>
      <c r="L18" s="83">
        <f>'10'!L108</f>
        <v>28.110937500000006</v>
      </c>
      <c r="M18" s="83">
        <f>'10'!M108</f>
        <v>82.208749999999995</v>
      </c>
      <c r="N18" s="83">
        <f>'10'!N108</f>
        <v>96.167708333333323</v>
      </c>
      <c r="O18" s="83">
        <f>'10'!O108</f>
        <v>0</v>
      </c>
      <c r="P18" s="83">
        <f>'10'!P108</f>
        <v>0.37416666666666659</v>
      </c>
      <c r="Q18" s="83">
        <f>'10'!Q108</f>
        <v>7.083333333333333</v>
      </c>
      <c r="R18" s="76"/>
      <c r="S18" s="76"/>
      <c r="T18" s="76"/>
      <c r="U18" s="76"/>
    </row>
    <row r="19" spans="1:21">
      <c r="A19" s="139" t="str">
        <f>'11'!$B$2</f>
        <v>11/09/2025 00:15</v>
      </c>
      <c r="B19" s="83">
        <f>'11'!B108</f>
        <v>8.5004166666666645</v>
      </c>
      <c r="C19" s="83">
        <f>'11'!C108</f>
        <v>12.301145833333331</v>
      </c>
      <c r="D19" s="83">
        <f>'11'!D108</f>
        <v>13.243854166666663</v>
      </c>
      <c r="E19" s="83">
        <f>'11'!E108</f>
        <v>4.3817708333333352</v>
      </c>
      <c r="F19" s="83">
        <f>'11'!F108</f>
        <v>3.9101041666666649</v>
      </c>
      <c r="G19" s="83">
        <f>'11'!G108</f>
        <v>12.784895833333325</v>
      </c>
      <c r="H19" s="83">
        <f>'11'!H108</f>
        <v>2.4187499999999997</v>
      </c>
      <c r="I19" s="83">
        <f>'11'!I108</f>
        <v>5.0230208333333328</v>
      </c>
      <c r="J19" s="83">
        <f>'11'!J108</f>
        <v>0.30249999999999999</v>
      </c>
      <c r="K19" s="83">
        <f>'11'!K108</f>
        <v>113.02197916666664</v>
      </c>
      <c r="L19" s="83">
        <f>'11'!L108</f>
        <v>27.240208333333339</v>
      </c>
      <c r="M19" s="83">
        <f>'11'!M108</f>
        <v>83.942499999999981</v>
      </c>
      <c r="N19" s="83">
        <f>'11'!N108</f>
        <v>70.030208333333306</v>
      </c>
      <c r="O19" s="83">
        <f>'11'!O108</f>
        <v>0</v>
      </c>
      <c r="P19" s="83">
        <f>'11'!P108</f>
        <v>0.30854166666666671</v>
      </c>
      <c r="Q19" s="83">
        <f>'11'!Q108</f>
        <v>3.3333333333333335</v>
      </c>
      <c r="R19" s="76"/>
      <c r="S19" s="76"/>
      <c r="T19" s="76"/>
      <c r="U19" s="76"/>
    </row>
    <row r="20" spans="1:21">
      <c r="A20" s="139" t="str">
        <f>'12'!$B$2</f>
        <v>12/09/2025 00:15</v>
      </c>
      <c r="B20" s="83">
        <f>'12'!B108</f>
        <v>10.510208333333326</v>
      </c>
      <c r="C20" s="83">
        <f>'12'!C108</f>
        <v>9.3931249999999995</v>
      </c>
      <c r="D20" s="83">
        <f>'12'!D108</f>
        <v>13.334895833333336</v>
      </c>
      <c r="E20" s="83">
        <f>'12'!E108</f>
        <v>5.8940625000000013</v>
      </c>
      <c r="F20" s="83">
        <f>'12'!F108</f>
        <v>2.8595833333333349</v>
      </c>
      <c r="G20" s="83">
        <f>'12'!G108</f>
        <v>16.487083333333342</v>
      </c>
      <c r="H20" s="83">
        <f>'12'!H108</f>
        <v>3.6500000000000017</v>
      </c>
      <c r="I20" s="83">
        <f>'12'!I108</f>
        <v>5.0271874999999993</v>
      </c>
      <c r="J20" s="83">
        <f>'12'!J108</f>
        <v>0.25531250000000005</v>
      </c>
      <c r="K20" s="83">
        <f>'12'!K108</f>
        <v>81.225208333333327</v>
      </c>
      <c r="L20" s="83">
        <f>'12'!L108</f>
        <v>27.831145833333338</v>
      </c>
      <c r="M20" s="83">
        <f>'12'!M108</f>
        <v>81.557395833333331</v>
      </c>
      <c r="N20" s="83">
        <f>'12'!N108</f>
        <v>106.74166666666673</v>
      </c>
      <c r="O20" s="83">
        <f>'12'!O108</f>
        <v>0</v>
      </c>
      <c r="P20" s="83">
        <f>'12'!P108</f>
        <v>0.2426041666666667</v>
      </c>
      <c r="Q20" s="83">
        <f>'12'!Q108</f>
        <v>0</v>
      </c>
      <c r="R20" s="76"/>
      <c r="S20" s="76"/>
      <c r="T20" s="76"/>
      <c r="U20" s="76"/>
    </row>
    <row r="21" spans="1:21">
      <c r="A21" s="139" t="str">
        <f>'13'!$B$2</f>
        <v>13/09/2025 00:15</v>
      </c>
      <c r="B21" s="83">
        <f>'13'!B108</f>
        <v>8.4739583333333304</v>
      </c>
      <c r="C21" s="83">
        <f>'13'!C108</f>
        <v>8.5193750000000019</v>
      </c>
      <c r="D21" s="83">
        <f>'13'!D108</f>
        <v>11.246041666666668</v>
      </c>
      <c r="E21" s="83">
        <f>'13'!E108</f>
        <v>5.2474999999999996</v>
      </c>
      <c r="F21" s="83">
        <f>'13'!F108</f>
        <v>2.7156249999999993</v>
      </c>
      <c r="G21" s="83">
        <f>'13'!G108</f>
        <v>13.115625000000003</v>
      </c>
      <c r="H21" s="83">
        <f>'13'!H108</f>
        <v>3.4152083333333354</v>
      </c>
      <c r="I21" s="83">
        <f>'13'!I108</f>
        <v>4.6641666666666657</v>
      </c>
      <c r="J21" s="83">
        <f>'13'!J108</f>
        <v>0.2693750000000002</v>
      </c>
      <c r="K21" s="83">
        <f>'13'!K108</f>
        <v>95.223437499999989</v>
      </c>
      <c r="L21" s="83">
        <f>'13'!L108</f>
        <v>28.346666666666668</v>
      </c>
      <c r="M21" s="83">
        <f>'13'!M108</f>
        <v>77.716770833333314</v>
      </c>
      <c r="N21" s="83">
        <f>'13'!N108</f>
        <v>131.75104166666668</v>
      </c>
      <c r="O21" s="83">
        <f>'13'!O108</f>
        <v>0</v>
      </c>
      <c r="P21" s="83">
        <f>'13'!P108</f>
        <v>0.22437500000000002</v>
      </c>
      <c r="Q21" s="83">
        <f>'13'!Q108</f>
        <v>0</v>
      </c>
      <c r="R21" s="76"/>
      <c r="S21" s="76"/>
      <c r="T21" s="76"/>
      <c r="U21" s="76"/>
    </row>
    <row r="22" spans="1:21">
      <c r="A22" s="139" t="str">
        <f>'14'!$B$2</f>
        <v>14/09/2025 00:15</v>
      </c>
      <c r="B22" s="140">
        <f>'14'!B108</f>
        <v>6.5006250000000003</v>
      </c>
      <c r="C22" s="140">
        <f>'14'!C108</f>
        <v>7.7422916666666657</v>
      </c>
      <c r="D22" s="140">
        <f>'14'!D108</f>
        <v>9.2580208333333349</v>
      </c>
      <c r="E22" s="140">
        <f>'14'!E108</f>
        <v>5.3507291666666639</v>
      </c>
      <c r="F22" s="140">
        <f>'14'!F108</f>
        <v>2.6271874999999993</v>
      </c>
      <c r="G22" s="140">
        <f>'14'!G108</f>
        <v>5.7569791666666639</v>
      </c>
      <c r="H22" s="140">
        <f>'14'!H108</f>
        <v>0.91104166666666753</v>
      </c>
      <c r="I22" s="140">
        <f>'14'!I108</f>
        <v>4.0010416666666675</v>
      </c>
      <c r="J22" s="140">
        <f>'14'!J108</f>
        <v>0.19385416666666663</v>
      </c>
      <c r="K22" s="140">
        <f>'14'!K108</f>
        <v>142.60604166666664</v>
      </c>
      <c r="L22" s="140">
        <f>'14'!L108</f>
        <v>28.950624999999999</v>
      </c>
      <c r="M22" s="140">
        <f>'14'!M108</f>
        <v>74.776666666666642</v>
      </c>
      <c r="N22" s="140">
        <f>'14'!N108</f>
        <v>129.89895833333338</v>
      </c>
      <c r="O22" s="140">
        <f>'14'!O108</f>
        <v>0</v>
      </c>
      <c r="P22" s="140">
        <f>'14'!P108</f>
        <v>0.16291666666666665</v>
      </c>
      <c r="Q22" s="140">
        <f>'14'!Q108</f>
        <v>0</v>
      </c>
      <c r="R22" s="153"/>
      <c r="S22" s="153"/>
      <c r="T22" s="153"/>
      <c r="U22" s="153"/>
    </row>
    <row r="23" spans="1:21">
      <c r="A23" s="139" t="str">
        <f>'15'!$B$2</f>
        <v>15/09/2025 00:15</v>
      </c>
      <c r="B23" s="83">
        <f>'15'!B108</f>
        <v>8.6589583333333326</v>
      </c>
      <c r="C23" s="83">
        <f>'15'!C108</f>
        <v>8.2867708333333319</v>
      </c>
      <c r="D23" s="83">
        <f>'15'!D108</f>
        <v>11.2734375</v>
      </c>
      <c r="E23" s="83">
        <f>'15'!E108</f>
        <v>5.4472916666666658</v>
      </c>
      <c r="F23" s="83">
        <f>'15'!F108</f>
        <v>3.0352083333333333</v>
      </c>
      <c r="G23" s="83">
        <f>'15'!G108</f>
        <v>18.93385416666667</v>
      </c>
      <c r="H23" s="83">
        <f>'15'!H108</f>
        <v>5.9277083333333342</v>
      </c>
      <c r="I23" s="83">
        <f>'15'!I108</f>
        <v>4.8256250000000005</v>
      </c>
      <c r="J23" s="83">
        <f>'15'!J108</f>
        <v>0.24625000000000011</v>
      </c>
      <c r="K23" s="83">
        <f>'15'!K108</f>
        <v>153.05760416666666</v>
      </c>
      <c r="L23" s="83">
        <f>'15'!L108</f>
        <v>26.70270833333333</v>
      </c>
      <c r="M23" s="83">
        <f>'15'!M108</f>
        <v>72.261354166666692</v>
      </c>
      <c r="N23" s="83">
        <f>'15'!N108</f>
        <v>24.469791666666662</v>
      </c>
      <c r="O23" s="83">
        <f>'15'!O108</f>
        <v>0</v>
      </c>
      <c r="P23" s="83">
        <f>'15'!P108</f>
        <v>0.28072916666666664</v>
      </c>
      <c r="Q23" s="83">
        <f>'15'!Q108</f>
        <v>7.088750000000001</v>
      </c>
      <c r="R23" s="76"/>
      <c r="S23" s="76"/>
      <c r="T23" s="76"/>
      <c r="U23" s="76"/>
    </row>
    <row r="24" spans="1:21">
      <c r="A24" s="139" t="str">
        <f>'16'!$B$2</f>
        <v>16/09/2025 00:15</v>
      </c>
      <c r="B24" s="83">
        <f>'16'!B108</f>
        <v>8.4042708333333369</v>
      </c>
      <c r="C24" s="83">
        <f>'16'!C108</f>
        <v>5.6884374999999991</v>
      </c>
      <c r="D24" s="83">
        <f>'16'!D108</f>
        <v>9.7119791666666746</v>
      </c>
      <c r="E24" s="83">
        <f>'16'!E108</f>
        <v>6.038125</v>
      </c>
      <c r="F24" s="83">
        <f>'16'!F108</f>
        <v>2.031354166666667</v>
      </c>
      <c r="G24" s="83">
        <f>'16'!G108</f>
        <v>12.547812499999987</v>
      </c>
      <c r="H24" s="83">
        <f>'16'!H108</f>
        <v>4.9993749999999961</v>
      </c>
      <c r="I24" s="83">
        <f>'16'!I108</f>
        <v>4.6632291666666665</v>
      </c>
      <c r="J24" s="83">
        <f>'16'!J108</f>
        <v>0.18125000000000011</v>
      </c>
      <c r="K24" s="83">
        <f>'16'!K108</f>
        <v>135.07260416666665</v>
      </c>
      <c r="L24" s="83">
        <f>'16'!L108</f>
        <v>22.438229166666662</v>
      </c>
      <c r="M24" s="83">
        <f>'16'!M108</f>
        <v>51.635312500000019</v>
      </c>
      <c r="N24" s="83">
        <f>'16'!N108</f>
        <v>34.247916666666676</v>
      </c>
      <c r="O24" s="83">
        <f>'16'!O108</f>
        <v>0</v>
      </c>
      <c r="P24" s="83">
        <f>'16'!P108</f>
        <v>0.23885416666666637</v>
      </c>
      <c r="Q24" s="83">
        <f>'16'!Q108</f>
        <v>13.842083333333333</v>
      </c>
      <c r="R24" s="76"/>
      <c r="S24" s="76"/>
      <c r="T24" s="76"/>
      <c r="U24" s="76"/>
    </row>
    <row r="25" spans="1:21">
      <c r="A25" s="139" t="str">
        <f>'17'!$B$2</f>
        <v>17/09/2025 00:15</v>
      </c>
      <c r="B25" s="83">
        <f>'17'!B108</f>
        <v>17.845416666666672</v>
      </c>
      <c r="C25" s="83">
        <f>'17'!C108</f>
        <v>7.934479166666665</v>
      </c>
      <c r="D25" s="83">
        <f>'17'!D108</f>
        <v>23.693541666666658</v>
      </c>
      <c r="E25" s="83">
        <f>'17'!E108</f>
        <v>14.8609375</v>
      </c>
      <c r="F25" s="83">
        <f>'17'!F108</f>
        <v>4.6478124999999997</v>
      </c>
      <c r="G25" s="83">
        <f>'17'!G108</f>
        <v>13.055505617977529</v>
      </c>
      <c r="H25" s="83">
        <f>'17'!H108</f>
        <v>7.0224719101123609</v>
      </c>
      <c r="I25" s="83">
        <f>'17'!I108</f>
        <v>4.6930208333333328</v>
      </c>
      <c r="J25" s="83">
        <f>'17'!J108</f>
        <v>0.31367346938775514</v>
      </c>
      <c r="K25" s="83">
        <f>'17'!K108</f>
        <v>141.69326530612241</v>
      </c>
      <c r="L25" s="83">
        <f>'17'!L108</f>
        <v>19.774897959183672</v>
      </c>
      <c r="M25" s="83">
        <f>'17'!M108</f>
        <v>45.748775510204055</v>
      </c>
      <c r="N25" s="83">
        <f>'17'!N108</f>
        <v>118.77142857142857</v>
      </c>
      <c r="O25" s="83">
        <f>'17'!O108</f>
        <v>0</v>
      </c>
      <c r="P25" s="83">
        <f>'17'!P108</f>
        <v>0.19718750000000004</v>
      </c>
      <c r="Q25" s="83">
        <f>'17'!Q108</f>
        <v>12.905833333333332</v>
      </c>
      <c r="R25" s="76"/>
      <c r="S25" s="76"/>
      <c r="T25" s="76"/>
      <c r="U25" s="76"/>
    </row>
    <row r="26" spans="1:21">
      <c r="A26" s="139" t="str">
        <f>'18'!$B$2</f>
        <v>18/09/2025 00:15</v>
      </c>
      <c r="B26" s="83">
        <f>'18'!B108</f>
        <v>3.7511458333333341</v>
      </c>
      <c r="C26" s="83">
        <f>'18'!C108</f>
        <v>4.8539583333333329</v>
      </c>
      <c r="D26" s="83">
        <f>'18'!D108</f>
        <v>8.6039583333333329</v>
      </c>
      <c r="E26" s="83">
        <f>'18'!E108</f>
        <v>4.3071875000000022</v>
      </c>
      <c r="F26" s="83">
        <f>'18'!F108</f>
        <v>2.3346874999999998</v>
      </c>
      <c r="G26" s="83">
        <f>'18'!G108</f>
        <v>16.835000000000012</v>
      </c>
      <c r="H26" s="83">
        <f>'18'!H108</f>
        <v>8.5019791666666595</v>
      </c>
      <c r="I26" s="83">
        <f>'18'!I108</f>
        <v>3.8976041666666661</v>
      </c>
      <c r="J26" s="151" t="s">
        <v>8</v>
      </c>
      <c r="K26" s="151" t="s">
        <v>8</v>
      </c>
      <c r="L26" s="151" t="s">
        <v>8</v>
      </c>
      <c r="M26" s="151" t="s">
        <v>8</v>
      </c>
      <c r="N26" s="151" t="s">
        <v>8</v>
      </c>
      <c r="O26" s="83">
        <f>'18'!O108</f>
        <v>0</v>
      </c>
      <c r="P26" s="83">
        <f>'18'!P108</f>
        <v>0.24031250000000012</v>
      </c>
      <c r="Q26" s="83">
        <f>'18'!Q108</f>
        <v>10.302395833333332</v>
      </c>
      <c r="R26" s="76"/>
      <c r="S26" s="76"/>
      <c r="T26" s="76"/>
      <c r="U26" s="76"/>
    </row>
    <row r="27" spans="1:21">
      <c r="A27" s="139" t="str">
        <f>'19'!$B$2</f>
        <v>19/09/2025 00:15</v>
      </c>
      <c r="B27" s="83">
        <f>'19'!B108</f>
        <v>6.9777083333333314</v>
      </c>
      <c r="C27" s="83">
        <f>'19'!C108</f>
        <v>5.7529166666666631</v>
      </c>
      <c r="D27" s="83">
        <f>'19'!D108</f>
        <v>12.730625000000003</v>
      </c>
      <c r="E27" s="83">
        <f>'19'!E108</f>
        <v>4.9948958333333353</v>
      </c>
      <c r="F27" s="83">
        <f>'19'!F108</f>
        <v>2.0190625000000004</v>
      </c>
      <c r="G27" s="83">
        <f>'19'!G108</f>
        <v>38.750416666666645</v>
      </c>
      <c r="H27" s="83">
        <f>'19'!H108</f>
        <v>16.524999999999995</v>
      </c>
      <c r="I27" s="83">
        <f>'19'!I108</f>
        <v>6.3717708333333336</v>
      </c>
      <c r="J27" s="151" t="s">
        <v>8</v>
      </c>
      <c r="K27" s="151" t="s">
        <v>8</v>
      </c>
      <c r="L27" s="151" t="s">
        <v>8</v>
      </c>
      <c r="M27" s="151" t="s">
        <v>8</v>
      </c>
      <c r="N27" s="151" t="s">
        <v>8</v>
      </c>
      <c r="O27" s="83">
        <f>'19'!O108</f>
        <v>0</v>
      </c>
      <c r="P27" s="83">
        <f>'19'!P108</f>
        <v>0.3353124999999999</v>
      </c>
      <c r="Q27" s="83">
        <f>'19'!Q108</f>
        <v>10.68604166666667</v>
      </c>
      <c r="R27" s="76"/>
      <c r="S27" s="76"/>
      <c r="T27" s="76"/>
      <c r="U27" s="76"/>
    </row>
    <row r="28" spans="1:21">
      <c r="A28" s="139" t="str">
        <f>'20'!$B$2</f>
        <v>20/09/2025 00:15</v>
      </c>
      <c r="B28" s="83">
        <f>'20'!B108</f>
        <v>4.643437500000001</v>
      </c>
      <c r="C28" s="83">
        <f>'20'!C108</f>
        <v>5.515625</v>
      </c>
      <c r="D28" s="83">
        <f>'20'!D108</f>
        <v>10.159374999999999</v>
      </c>
      <c r="E28" s="83">
        <f>'20'!E108</f>
        <v>5.2737499999999988</v>
      </c>
      <c r="F28" s="83">
        <f>'20'!F108</f>
        <v>2.0106250000000001</v>
      </c>
      <c r="G28" s="83">
        <f>'20'!G108</f>
        <v>43.451979166666661</v>
      </c>
      <c r="H28" s="83">
        <f>'20'!H108</f>
        <v>18.845208333333339</v>
      </c>
      <c r="I28" s="83">
        <f>'20'!I108</f>
        <v>5.4232291666666663</v>
      </c>
      <c r="J28" s="151" t="s">
        <v>8</v>
      </c>
      <c r="K28" s="151" t="s">
        <v>8</v>
      </c>
      <c r="L28" s="151" t="s">
        <v>8</v>
      </c>
      <c r="M28" s="151" t="s">
        <v>8</v>
      </c>
      <c r="N28" s="151" t="s">
        <v>8</v>
      </c>
      <c r="O28" s="83">
        <f>'20'!O108</f>
        <v>0</v>
      </c>
      <c r="P28" s="83">
        <f>'20'!P108</f>
        <v>0.29041666666666671</v>
      </c>
      <c r="Q28" s="83">
        <f>'20'!Q108</f>
        <v>10.910937499999996</v>
      </c>
      <c r="R28" s="76"/>
      <c r="S28" s="76"/>
      <c r="T28" s="76"/>
      <c r="U28" s="76"/>
    </row>
    <row r="29" spans="1:21">
      <c r="A29" s="139" t="str">
        <f>'21'!$B$2</f>
        <v>21/09/2025 00:15</v>
      </c>
      <c r="B29" s="83">
        <f>'21'!B108</f>
        <v>4.0313541666666683</v>
      </c>
      <c r="C29" s="83">
        <f>'21'!C108</f>
        <v>5.5522916666666662</v>
      </c>
      <c r="D29" s="83">
        <f>'21'!D108</f>
        <v>9.5834374999999987</v>
      </c>
      <c r="E29" s="83">
        <f>'21'!E108</f>
        <v>5.6041666666666679</v>
      </c>
      <c r="F29" s="83">
        <f>'21'!F108</f>
        <v>2.1326041666666664</v>
      </c>
      <c r="G29" s="83">
        <f>'21'!G108</f>
        <v>38.089791666666692</v>
      </c>
      <c r="H29" s="83">
        <f>'21'!H108</f>
        <v>15.367499999999994</v>
      </c>
      <c r="I29" s="83">
        <f>'21'!I108</f>
        <v>6.3340624999999982</v>
      </c>
      <c r="J29" s="152" t="s">
        <v>15</v>
      </c>
      <c r="K29" s="152" t="s">
        <v>15</v>
      </c>
      <c r="L29" s="152" t="s">
        <v>15</v>
      </c>
      <c r="M29" s="152" t="s">
        <v>15</v>
      </c>
      <c r="N29" s="152" t="s">
        <v>15</v>
      </c>
      <c r="O29" s="83">
        <f>'21'!O108</f>
        <v>0</v>
      </c>
      <c r="P29" s="83">
        <f>'21'!P108</f>
        <v>0.31249999999999989</v>
      </c>
      <c r="Q29" s="83">
        <f>'21'!Q108</f>
        <v>11.057916666666666</v>
      </c>
      <c r="R29" s="76"/>
      <c r="S29" s="76"/>
      <c r="T29" s="76"/>
      <c r="U29" s="76"/>
    </row>
    <row r="30" spans="1:21">
      <c r="A30" s="139" t="str">
        <f>'22'!$B$2</f>
        <v>22/09/2025 00:15</v>
      </c>
      <c r="B30" s="83">
        <f>'22'!B108</f>
        <v>4.4018823529411764</v>
      </c>
      <c r="C30" s="83">
        <f>'22'!C108</f>
        <v>5.7827058823529409</v>
      </c>
      <c r="D30" s="83">
        <f>'22'!D108</f>
        <v>10.184235294117647</v>
      </c>
      <c r="E30" s="83">
        <f>'22'!E108</f>
        <v>5.0035294117647027</v>
      </c>
      <c r="F30" s="83">
        <f>'22'!F108</f>
        <v>2.1004651162790697</v>
      </c>
      <c r="G30" s="83">
        <f>'22'!G108</f>
        <v>50.333255813953464</v>
      </c>
      <c r="H30" s="83">
        <f>'22'!H108</f>
        <v>19.282906976744208</v>
      </c>
      <c r="I30" s="83">
        <f>'22'!I108</f>
        <v>6.1961904761904778</v>
      </c>
      <c r="J30" s="152" t="s">
        <v>15</v>
      </c>
      <c r="K30" s="152" t="s">
        <v>15</v>
      </c>
      <c r="L30" s="152" t="s">
        <v>15</v>
      </c>
      <c r="M30" s="152" t="s">
        <v>15</v>
      </c>
      <c r="N30" s="152" t="s">
        <v>15</v>
      </c>
      <c r="O30" s="83">
        <f>'22'!O108</f>
        <v>0</v>
      </c>
      <c r="P30" s="83">
        <f>'22'!P108</f>
        <v>0.18046511627906961</v>
      </c>
      <c r="Q30" s="83">
        <f>'22'!Q108</f>
        <v>11.262261904761905</v>
      </c>
      <c r="R30" s="76"/>
      <c r="S30" s="76"/>
      <c r="T30" s="76"/>
      <c r="U30" s="76"/>
    </row>
    <row r="31" spans="1:21">
      <c r="A31" s="139" t="str">
        <f>'23'!$B$2</f>
        <v>23/09/2025 00:15</v>
      </c>
      <c r="B31" s="83">
        <f>'23'!B108</f>
        <v>3.6812500000000004</v>
      </c>
      <c r="C31" s="83">
        <f>'23'!C108</f>
        <v>6.6797916666666701</v>
      </c>
      <c r="D31" s="83">
        <f>'23'!D108</f>
        <v>10.361041666666665</v>
      </c>
      <c r="E31" s="83">
        <f>'23'!E108</f>
        <v>5.3250000000000002</v>
      </c>
      <c r="F31" s="83">
        <f>'23'!F108</f>
        <v>5.1384374999999993</v>
      </c>
      <c r="G31" s="83">
        <f>'23'!G108</f>
        <v>48.527916666666641</v>
      </c>
      <c r="H31" s="83">
        <f>'23'!H108</f>
        <v>18.273958333333329</v>
      </c>
      <c r="I31" s="83">
        <f>'23'!I108</f>
        <v>6.4027083333333321</v>
      </c>
      <c r="J31" s="83">
        <f>'23'!J108</f>
        <v>0.32538461538461533</v>
      </c>
      <c r="K31" s="83">
        <f>'23'!K108</f>
        <v>179.90480769230768</v>
      </c>
      <c r="L31" s="83">
        <f>'23'!L108</f>
        <v>25.299999999999976</v>
      </c>
      <c r="M31" s="83">
        <f>'23'!M108</f>
        <v>26.326153846153847</v>
      </c>
      <c r="N31" s="83">
        <f>'23'!N108</f>
        <v>78.828846153846172</v>
      </c>
      <c r="O31" s="83">
        <f>'23'!O108</f>
        <v>0</v>
      </c>
      <c r="P31" s="83">
        <f>'23'!P108</f>
        <v>0.17614583333333331</v>
      </c>
      <c r="Q31" s="83">
        <f>'23'!Q108</f>
        <v>10</v>
      </c>
      <c r="R31" s="76"/>
      <c r="S31" s="154"/>
      <c r="T31" s="76"/>
      <c r="U31" s="76"/>
    </row>
    <row r="32" spans="1:21">
      <c r="A32" s="139" t="str">
        <f>'24'!$B$2</f>
        <v>24/09/2025 00:15</v>
      </c>
      <c r="B32" s="83">
        <f>'24'!B108</f>
        <v>5.0995833333333316</v>
      </c>
      <c r="C32" s="83">
        <f>'24'!C108</f>
        <v>7.206875000000001</v>
      </c>
      <c r="D32" s="83">
        <f>'24'!D108</f>
        <v>12.305937500000001</v>
      </c>
      <c r="E32" s="83">
        <f>'24'!E108</f>
        <v>5.3683333333333323</v>
      </c>
      <c r="F32" s="83">
        <f>'24'!F108</f>
        <v>2.4238541666666671</v>
      </c>
      <c r="G32" s="83">
        <f>'24'!G108</f>
        <v>33.330729166666664</v>
      </c>
      <c r="H32" s="83">
        <f>'24'!H108</f>
        <v>15.194895833333341</v>
      </c>
      <c r="I32" s="83">
        <f>'24'!I108</f>
        <v>9.2836458333333383</v>
      </c>
      <c r="J32" s="83">
        <f>'24'!J108</f>
        <v>0.32833333333333337</v>
      </c>
      <c r="K32" s="83">
        <f>'24'!K108</f>
        <v>233.90364583333326</v>
      </c>
      <c r="L32" s="83">
        <f>'24'!L108</f>
        <v>-1.3264583333333329</v>
      </c>
      <c r="M32" s="83">
        <f>'24'!M108</f>
        <v>33.478958333333345</v>
      </c>
      <c r="N32" s="83">
        <f>'24'!N108</f>
        <v>6.7156249999999984</v>
      </c>
      <c r="O32" s="83">
        <f>'24'!O108</f>
        <v>0.73333333333333328</v>
      </c>
      <c r="P32" s="83">
        <f>'24'!P108</f>
        <v>0.48968750000000005</v>
      </c>
      <c r="Q32" s="83">
        <f>'24'!Q108</f>
        <v>10.129166666666668</v>
      </c>
      <c r="R32" s="76"/>
      <c r="S32" s="76"/>
      <c r="T32" s="76"/>
      <c r="U32" s="76"/>
    </row>
    <row r="33" spans="1:21">
      <c r="A33" s="139" t="str">
        <f>'25'!$B$2</f>
        <v>25/09/2025 00:15</v>
      </c>
      <c r="B33" s="83">
        <f>'25'!B108</f>
        <v>7.8764583333333356</v>
      </c>
      <c r="C33" s="83">
        <f>'25'!C108</f>
        <v>7.7586458333333299</v>
      </c>
      <c r="D33" s="83">
        <f>'25'!D108</f>
        <v>15.634687500000005</v>
      </c>
      <c r="E33" s="83">
        <f>'25'!E108</f>
        <v>5.2483333333333357</v>
      </c>
      <c r="F33" s="83">
        <f>'25'!F108</f>
        <v>3.7869791666666672</v>
      </c>
      <c r="G33" s="83">
        <f>'25'!G108</f>
        <v>45.464479166666678</v>
      </c>
      <c r="H33" s="83">
        <f>'25'!H108</f>
        <v>16.958229166666676</v>
      </c>
      <c r="I33" s="83">
        <f>'25'!I108</f>
        <v>6.6959375000000021</v>
      </c>
      <c r="J33" s="83">
        <f>'25'!J108</f>
        <v>0.35562500000000014</v>
      </c>
      <c r="K33" s="83">
        <f>'25'!K108</f>
        <v>52.633749999999985</v>
      </c>
      <c r="L33" s="83">
        <f>'25'!L108</f>
        <v>10.538750000000002</v>
      </c>
      <c r="M33" s="83">
        <f>'25'!M108</f>
        <v>5.9160416666666675</v>
      </c>
      <c r="N33" s="83">
        <f>'25'!N108</f>
        <v>97.529166666666626</v>
      </c>
      <c r="O33" s="83">
        <f>'25'!O108</f>
        <v>1.4583333333333332E-2</v>
      </c>
      <c r="P33" s="83">
        <f>'25'!P108</f>
        <v>0.38645833333333313</v>
      </c>
      <c r="Q33" s="83">
        <f>'25'!Q108</f>
        <v>10.848958333333334</v>
      </c>
      <c r="R33" s="76"/>
      <c r="S33" s="154"/>
      <c r="T33" s="76"/>
      <c r="U33" s="76"/>
    </row>
    <row r="34" spans="1:21">
      <c r="A34" s="139" t="str">
        <f>'26'!$B$2</f>
        <v>26/09/2025 00:15</v>
      </c>
      <c r="B34" s="83">
        <f>'26'!B108</f>
        <v>7.4799999999999995</v>
      </c>
      <c r="C34" s="83">
        <f>'26'!C108</f>
        <v>8.3602083333333344</v>
      </c>
      <c r="D34" s="83">
        <f>'26'!D108</f>
        <v>15.840312499999998</v>
      </c>
      <c r="E34" s="83">
        <f>'26'!E108</f>
        <v>5.8635416666666664</v>
      </c>
      <c r="F34" s="83">
        <f>'26'!F108</f>
        <v>6.1264583333333329</v>
      </c>
      <c r="G34" s="83">
        <f>'26'!G108</f>
        <v>53.39947916666668</v>
      </c>
      <c r="H34" s="83">
        <f>'26'!H108</f>
        <v>19.730312500000007</v>
      </c>
      <c r="I34" s="83">
        <f>'26'!I108</f>
        <v>5.8111458333333346</v>
      </c>
      <c r="J34" s="83">
        <f>'26'!J108</f>
        <v>0.33312500000000006</v>
      </c>
      <c r="K34" s="83">
        <f>'26'!K108</f>
        <v>74.42572916666667</v>
      </c>
      <c r="L34" s="83">
        <f>'26'!L108</f>
        <v>12.561979166666662</v>
      </c>
      <c r="M34" s="83">
        <f>'26'!M108</f>
        <v>11.000104166666667</v>
      </c>
      <c r="N34" s="83">
        <f>'26'!N108</f>
        <v>98.829166666666595</v>
      </c>
      <c r="O34" s="83">
        <f>'26'!O108</f>
        <v>0.125</v>
      </c>
      <c r="P34" s="83">
        <f>'26'!P108</f>
        <v>0.30947916666666669</v>
      </c>
      <c r="Q34" s="83">
        <f>'26'!Q108</f>
        <v>12.510937500000004</v>
      </c>
      <c r="R34" s="76"/>
      <c r="S34" s="76"/>
      <c r="T34" s="76"/>
      <c r="U34" s="76"/>
    </row>
    <row r="35" spans="1:21">
      <c r="A35" s="139" t="str">
        <f>'27'!$B$2</f>
        <v>27/09/2025 00:15</v>
      </c>
      <c r="B35" s="83">
        <f>'27'!B108</f>
        <v>4.3361702127659578</v>
      </c>
      <c r="C35" s="83">
        <f>'27'!C108</f>
        <v>5.9772340425531931</v>
      </c>
      <c r="D35" s="83">
        <f>'27'!D108</f>
        <v>10.312978723404253</v>
      </c>
      <c r="E35" s="83">
        <f>'27'!E108</f>
        <v>4.380319148936171</v>
      </c>
      <c r="F35" s="83">
        <f>'27'!F108</f>
        <v>2.6266315789473684</v>
      </c>
      <c r="G35" s="83">
        <f>'27'!G108</f>
        <v>21.597052631578961</v>
      </c>
      <c r="H35" s="83">
        <f>'27'!H108</f>
        <v>6.8257894736842148</v>
      </c>
      <c r="I35" s="83">
        <f>'27'!I108</f>
        <v>4.8653260869565207</v>
      </c>
      <c r="J35" s="83">
        <f>'27'!J108</f>
        <v>0.4343157894736841</v>
      </c>
      <c r="K35" s="83">
        <f>'27'!K108</f>
        <v>67.364526315789476</v>
      </c>
      <c r="L35" s="83">
        <f>'27'!L108</f>
        <v>11.286000000000001</v>
      </c>
      <c r="M35" s="83">
        <f>'27'!M108</f>
        <v>8.5250526315789461</v>
      </c>
      <c r="N35" s="83">
        <f>'27'!N108</f>
        <v>69.07999999999997</v>
      </c>
      <c r="O35" s="83">
        <f>'27'!O108</f>
        <v>6.3157894736842121E-2</v>
      </c>
      <c r="P35" s="83">
        <f>'27'!P108</f>
        <v>0.28768421052631593</v>
      </c>
      <c r="Q35" s="83">
        <f>'27'!Q108</f>
        <v>10.904526315789472</v>
      </c>
      <c r="R35" s="76"/>
      <c r="S35" s="76"/>
      <c r="T35" s="76"/>
      <c r="U35" s="76"/>
    </row>
    <row r="36" spans="1:21">
      <c r="A36" s="139" t="str">
        <f>'28'!$B$2</f>
        <v>28/09/2025 00:15</v>
      </c>
      <c r="B36" s="83">
        <f>'28'!B108</f>
        <v>4.1713541666666663</v>
      </c>
      <c r="C36" s="83">
        <f>'28'!C108</f>
        <v>5.3798958333333324</v>
      </c>
      <c r="D36" s="83">
        <f>'28'!D108</f>
        <v>9.55104166666667</v>
      </c>
      <c r="E36" s="83">
        <f>'28'!E108</f>
        <v>5.2177083333333334</v>
      </c>
      <c r="F36" s="83">
        <f>'28'!F108</f>
        <v>4.2661458333333355</v>
      </c>
      <c r="G36" s="83">
        <f>'28'!G108</f>
        <v>18.921979166666674</v>
      </c>
      <c r="H36" s="83">
        <f>'28'!H108</f>
        <v>6.3172916666666659</v>
      </c>
      <c r="I36" s="83">
        <f>'28'!I108</f>
        <v>5.2937499999999984</v>
      </c>
      <c r="J36" s="83">
        <f>'28'!J108</f>
        <v>0.18635416666666668</v>
      </c>
      <c r="K36" s="83">
        <f>'28'!K108</f>
        <v>113.6405208333333</v>
      </c>
      <c r="L36" s="83">
        <f>'28'!L108</f>
        <v>13.987395833333331</v>
      </c>
      <c r="M36" s="83">
        <f>'28'!M108</f>
        <v>14.892291666666667</v>
      </c>
      <c r="N36" s="83">
        <f>'28'!N108</f>
        <v>94.130208333333272</v>
      </c>
      <c r="O36" s="83">
        <f>'28'!O108</f>
        <v>4.1666666666666666E-3</v>
      </c>
      <c r="P36" s="83">
        <f>'28'!P108</f>
        <v>0.17906250000000001</v>
      </c>
      <c r="Q36" s="83">
        <f>'28'!Q108</f>
        <v>10.043541666666666</v>
      </c>
      <c r="R36" s="76"/>
      <c r="S36" s="76"/>
      <c r="T36" s="76"/>
      <c r="U36" s="76"/>
    </row>
    <row r="37" spans="1:21" s="2" customFormat="1">
      <c r="A37" s="139" t="str">
        <f>'29'!$B$2</f>
        <v>29/09/2025 00:15</v>
      </c>
      <c r="B37" s="83">
        <f>'29'!B108</f>
        <v>4.8033333333333337</v>
      </c>
      <c r="C37" s="83">
        <f>'29'!C108</f>
        <v>6.3927083333333323</v>
      </c>
      <c r="D37" s="83">
        <f>'29'!D108</f>
        <v>11.196145833333338</v>
      </c>
      <c r="E37" s="83">
        <f>'29'!E108</f>
        <v>6.0008333333333317</v>
      </c>
      <c r="F37" s="83">
        <f>'29'!F108</f>
        <v>3.2264583333333334</v>
      </c>
      <c r="G37" s="83">
        <f>'29'!G108</f>
        <v>41.859791666666659</v>
      </c>
      <c r="H37" s="83">
        <f>'29'!H108</f>
        <v>16.754895833333343</v>
      </c>
      <c r="I37" s="83">
        <f>'29'!I108</f>
        <v>6.4257291666666676</v>
      </c>
      <c r="J37" s="83">
        <f>'29'!J108</f>
        <v>0.19562500000000002</v>
      </c>
      <c r="K37" s="83">
        <f>'29'!K108</f>
        <v>166.84041666666658</v>
      </c>
      <c r="L37" s="83">
        <f>'29'!L108</f>
        <v>17.479895833333341</v>
      </c>
      <c r="M37" s="83">
        <f>'29'!M108</f>
        <v>24.572187499999998</v>
      </c>
      <c r="N37" s="83">
        <f>'29'!N108</f>
        <v>52.782291666666687</v>
      </c>
      <c r="O37" s="83">
        <f>'29'!O108</f>
        <v>8.3333333333333332E-3</v>
      </c>
      <c r="P37" s="83">
        <f>'29'!P108</f>
        <v>0.34364583333333337</v>
      </c>
      <c r="Q37" s="83">
        <f>'29'!Q108</f>
        <v>10.081874999999998</v>
      </c>
      <c r="R37" s="76"/>
      <c r="S37" s="76"/>
      <c r="T37" s="76"/>
      <c r="U37" s="76"/>
    </row>
    <row r="38" spans="1:21" s="2" customFormat="1">
      <c r="A38" s="139" t="str">
        <f>'30'!$B$2</f>
        <v>30/09/2025 00:15</v>
      </c>
      <c r="B38" s="83">
        <f>'30'!B108</f>
        <v>5.0274999999999999</v>
      </c>
      <c r="C38" s="83">
        <f>'30'!C108</f>
        <v>6.9143750000000006</v>
      </c>
      <c r="D38" s="83">
        <f>'30'!D108</f>
        <v>11.941145833333332</v>
      </c>
      <c r="E38" s="83">
        <f>'30'!E108</f>
        <v>5.8516666666666621</v>
      </c>
      <c r="F38" s="83">
        <f>'30'!F108</f>
        <v>4.3210416666666678</v>
      </c>
      <c r="G38" s="83">
        <f>'30'!G108</f>
        <v>48.414375</v>
      </c>
      <c r="H38" s="83">
        <f>'30'!H108</f>
        <v>22.805833333333329</v>
      </c>
      <c r="I38" s="83">
        <f>'30'!I108</f>
        <v>7.2404166666666683</v>
      </c>
      <c r="J38" s="83">
        <f>'30'!J108</f>
        <v>0.22989583333333333</v>
      </c>
      <c r="K38" s="83">
        <f>'30'!K108</f>
        <v>188.78177083333324</v>
      </c>
      <c r="L38" s="83">
        <f>'30'!L108</f>
        <v>18.753854166666674</v>
      </c>
      <c r="M38" s="83">
        <f>'30'!M108</f>
        <v>26.765520833333341</v>
      </c>
      <c r="N38" s="83">
        <f>'30'!N108</f>
        <v>97.338541666666615</v>
      </c>
      <c r="O38" s="83">
        <f>'30'!O108</f>
        <v>0.12708333333333333</v>
      </c>
      <c r="P38" s="83">
        <f>'30'!P108</f>
        <v>0.39333333333333326</v>
      </c>
      <c r="Q38" s="83">
        <f>'30'!Q108</f>
        <v>10.088645833333334</v>
      </c>
      <c r="R38" s="76"/>
      <c r="S38" s="76"/>
      <c r="T38" s="76"/>
      <c r="U38" s="76"/>
    </row>
    <row r="39" spans="1:21" s="2" customFormat="1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3.6812500000000004</v>
      </c>
      <c r="C41" s="141">
        <f t="shared" si="0"/>
        <v>4.8539583333333329</v>
      </c>
      <c r="D41" s="141">
        <f t="shared" si="0"/>
        <v>8.6039583333333329</v>
      </c>
      <c r="E41" s="141">
        <f t="shared" si="0"/>
        <v>4.1810416666666654</v>
      </c>
      <c r="F41" s="141">
        <f t="shared" si="0"/>
        <v>0.23635416666666645</v>
      </c>
      <c r="G41" s="141">
        <f t="shared" si="0"/>
        <v>5.7569791666666639</v>
      </c>
      <c r="H41" s="141">
        <f t="shared" si="0"/>
        <v>0.91104166666666753</v>
      </c>
      <c r="I41" s="141">
        <f t="shared" si="0"/>
        <v>2.953958333333333</v>
      </c>
      <c r="J41" s="141">
        <f t="shared" si="0"/>
        <v>0.17322916666666668</v>
      </c>
      <c r="K41" s="141">
        <f t="shared" si="0"/>
        <v>52.633749999999985</v>
      </c>
      <c r="L41" s="141">
        <f t="shared" si="0"/>
        <v>-1.3264583333333329</v>
      </c>
      <c r="M41" s="141">
        <f t="shared" si="0"/>
        <v>5.9160416666666675</v>
      </c>
      <c r="N41" s="141">
        <f t="shared" si="0"/>
        <v>6.7156249999999984</v>
      </c>
      <c r="O41" s="141">
        <f t="shared" si="0"/>
        <v>0</v>
      </c>
      <c r="P41" s="141">
        <f t="shared" si="0"/>
        <v>0.13625000000000009</v>
      </c>
      <c r="Q41" s="141">
        <f t="shared" si="0"/>
        <v>0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17.845416666666672</v>
      </c>
      <c r="C42" s="141">
        <f t="shared" si="1"/>
        <v>13.008437500000001</v>
      </c>
      <c r="D42" s="141">
        <f t="shared" si="1"/>
        <v>23.693541666666658</v>
      </c>
      <c r="E42" s="141">
        <f t="shared" si="1"/>
        <v>14.8609375</v>
      </c>
      <c r="F42" s="141">
        <f t="shared" si="1"/>
        <v>7.3646875000000014</v>
      </c>
      <c r="G42" s="141">
        <f t="shared" si="1"/>
        <v>62.690625000000004</v>
      </c>
      <c r="H42" s="141">
        <f t="shared" si="1"/>
        <v>34.999583333333327</v>
      </c>
      <c r="I42" s="141">
        <f t="shared" si="1"/>
        <v>9.2836458333333383</v>
      </c>
      <c r="J42" s="141">
        <f t="shared" si="1"/>
        <v>0.4343157894736841</v>
      </c>
      <c r="K42" s="141">
        <f t="shared" si="1"/>
        <v>233.90364583333326</v>
      </c>
      <c r="L42" s="141">
        <f t="shared" si="1"/>
        <v>28.950624999999999</v>
      </c>
      <c r="M42" s="141">
        <f t="shared" si="1"/>
        <v>88.309583333333364</v>
      </c>
      <c r="N42" s="141">
        <f t="shared" si="1"/>
        <v>154.38229166666673</v>
      </c>
      <c r="O42" s="141">
        <f t="shared" si="1"/>
        <v>0.73333333333333328</v>
      </c>
      <c r="P42" s="141">
        <f t="shared" si="1"/>
        <v>0.48968750000000005</v>
      </c>
      <c r="Q42" s="141">
        <f t="shared" si="1"/>
        <v>13.842083333333333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6.4425496688569064</v>
      </c>
      <c r="C43" s="141">
        <f t="shared" si="2"/>
        <v>8.7646091086079814</v>
      </c>
      <c r="D43" s="141">
        <f t="shared" si="2"/>
        <v>11.664997411695175</v>
      </c>
      <c r="E43" s="141">
        <f t="shared" si="2"/>
        <v>5.5653123131344726</v>
      </c>
      <c r="F43" s="141">
        <f t="shared" si="2"/>
        <v>3.1362990565075486</v>
      </c>
      <c r="G43" s="141">
        <f t="shared" si="2"/>
        <v>30.617874357672555</v>
      </c>
      <c r="H43" s="141">
        <f t="shared" si="2"/>
        <v>12.290542417573587</v>
      </c>
      <c r="I43" s="141">
        <f t="shared" si="2"/>
        <v>5.3485783298826792</v>
      </c>
      <c r="J43" s="141">
        <f t="shared" si="2"/>
        <v>0.26800162163650887</v>
      </c>
      <c r="K43" s="141">
        <f t="shared" si="2"/>
        <v>152.59601647256875</v>
      </c>
      <c r="L43" s="141">
        <f t="shared" si="2"/>
        <v>22.46551925170068</v>
      </c>
      <c r="M43" s="141">
        <f t="shared" si="2"/>
        <v>59.372965946184152</v>
      </c>
      <c r="N43" s="141">
        <f t="shared" si="2"/>
        <v>82.946669322344334</v>
      </c>
      <c r="O43" s="141">
        <f t="shared" si="2"/>
        <v>5.1341374269005841E-2</v>
      </c>
      <c r="P43" s="141">
        <f t="shared" si="2"/>
        <v>0.2711952553379573</v>
      </c>
      <c r="Q43" s="141">
        <f t="shared" si="2"/>
        <v>9.102684607351712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2.7741445064690282</v>
      </c>
      <c r="C44" s="141">
        <f t="shared" si="3"/>
        <v>2.8079490968146898</v>
      </c>
      <c r="D44" s="141">
        <f t="shared" si="3"/>
        <v>2.8437833704759599</v>
      </c>
      <c r="E44" s="141">
        <f t="shared" si="3"/>
        <v>1.8255594620283475</v>
      </c>
      <c r="F44" s="141">
        <f t="shared" si="3"/>
        <v>1.4148358083884229</v>
      </c>
      <c r="G44" s="141">
        <f t="shared" si="3"/>
        <v>16.284289791237939</v>
      </c>
      <c r="H44" s="141">
        <f t="shared" si="3"/>
        <v>8.2933857726066513</v>
      </c>
      <c r="I44" s="141">
        <f t="shared" si="3"/>
        <v>1.2751159659626863</v>
      </c>
      <c r="J44" s="141">
        <f t="shared" si="3"/>
        <v>7.272512488726042E-2</v>
      </c>
      <c r="K44" s="141">
        <f t="shared" si="3"/>
        <v>50.311441820525623</v>
      </c>
      <c r="L44" s="141">
        <f t="shared" si="3"/>
        <v>7.7249471577645661</v>
      </c>
      <c r="M44" s="141">
        <f t="shared" si="3"/>
        <v>30.469740085576053</v>
      </c>
      <c r="N44" s="141">
        <f t="shared" si="3"/>
        <v>34.304631607734585</v>
      </c>
      <c r="O44" s="141">
        <f t="shared" si="3"/>
        <v>0.13841154038150963</v>
      </c>
      <c r="P44" s="141">
        <f t="shared" si="3"/>
        <v>8.0869998225572046E-2</v>
      </c>
      <c r="Q44" s="141">
        <f t="shared" si="3"/>
        <v>3.5837671992006417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30</v>
      </c>
      <c r="C45" s="132">
        <f t="shared" si="4"/>
        <v>30</v>
      </c>
      <c r="D45" s="132">
        <f t="shared" si="4"/>
        <v>30</v>
      </c>
      <c r="E45" s="132">
        <f t="shared" si="4"/>
        <v>30</v>
      </c>
      <c r="F45" s="132">
        <f t="shared" si="4"/>
        <v>30</v>
      </c>
      <c r="G45" s="132">
        <f t="shared" si="4"/>
        <v>30</v>
      </c>
      <c r="H45" s="132">
        <f t="shared" si="4"/>
        <v>30</v>
      </c>
      <c r="I45" s="132">
        <f t="shared" si="4"/>
        <v>30</v>
      </c>
      <c r="J45" s="141">
        <f>COUNT(J9:J39)+3</f>
        <v>28</v>
      </c>
      <c r="K45" s="141">
        <f t="shared" ref="K45:N45" si="5">COUNT(K9:K39)+3</f>
        <v>28</v>
      </c>
      <c r="L45" s="141">
        <f t="shared" si="5"/>
        <v>28</v>
      </c>
      <c r="M45" s="141">
        <f t="shared" si="5"/>
        <v>28</v>
      </c>
      <c r="N45" s="141">
        <f t="shared" si="5"/>
        <v>28</v>
      </c>
      <c r="O45" s="132">
        <f t="shared" si="4"/>
        <v>30</v>
      </c>
      <c r="P45" s="132">
        <f t="shared" si="4"/>
        <v>30</v>
      </c>
      <c r="Q45" s="132">
        <f t="shared" si="4"/>
        <v>30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6">IF(C45&gt;=28,"&gt;90%",IF(C45&lt;=28,"&lt;90%"))</f>
        <v>&gt;90%</v>
      </c>
      <c r="D46" s="132" t="str">
        <f t="shared" si="6"/>
        <v>&gt;90%</v>
      </c>
      <c r="E46" s="132" t="str">
        <f t="shared" si="6"/>
        <v>&gt;90%</v>
      </c>
      <c r="F46" s="132" t="str">
        <f t="shared" si="6"/>
        <v>&gt;90%</v>
      </c>
      <c r="G46" s="132" t="str">
        <f t="shared" si="6"/>
        <v>&gt;90%</v>
      </c>
      <c r="H46" s="132" t="str">
        <f t="shared" si="6"/>
        <v>&gt;90%</v>
      </c>
      <c r="I46" s="132" t="str">
        <f t="shared" si="6"/>
        <v>&gt;90%</v>
      </c>
      <c r="J46" s="132" t="str">
        <f t="shared" si="6"/>
        <v>&gt;90%</v>
      </c>
      <c r="K46" s="132" t="str">
        <f t="shared" si="6"/>
        <v>&gt;90%</v>
      </c>
      <c r="L46" s="132" t="str">
        <f t="shared" si="6"/>
        <v>&gt;90%</v>
      </c>
      <c r="M46" s="132" t="str">
        <f t="shared" si="6"/>
        <v>&gt;90%</v>
      </c>
      <c r="N46" s="132" t="str">
        <f t="shared" si="6"/>
        <v>&gt;90%</v>
      </c>
      <c r="O46" s="132" t="str">
        <f t="shared" si="6"/>
        <v>&gt;90%</v>
      </c>
      <c r="P46" s="132" t="str">
        <f t="shared" si="6"/>
        <v>&gt;90%</v>
      </c>
      <c r="Q46" s="132" t="str">
        <f t="shared" si="6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7">IF(C45&gt;=28,"OK",IF(C45&lt;=28,"LESS"))</f>
        <v>OK</v>
      </c>
      <c r="D47" s="132" t="str">
        <f t="shared" si="7"/>
        <v>OK</v>
      </c>
      <c r="E47" s="132" t="str">
        <f t="shared" si="7"/>
        <v>OK</v>
      </c>
      <c r="F47" s="132" t="str">
        <f t="shared" si="7"/>
        <v>OK</v>
      </c>
      <c r="G47" s="132" t="str">
        <f t="shared" si="7"/>
        <v>OK</v>
      </c>
      <c r="H47" s="132" t="str">
        <f t="shared" si="7"/>
        <v>OK</v>
      </c>
      <c r="I47" s="132" t="str">
        <f t="shared" si="7"/>
        <v>OK</v>
      </c>
      <c r="J47" s="132" t="str">
        <f t="shared" si="7"/>
        <v>OK</v>
      </c>
      <c r="K47" s="132" t="str">
        <f t="shared" si="7"/>
        <v>OK</v>
      </c>
      <c r="L47" s="132" t="str">
        <f t="shared" si="7"/>
        <v>OK</v>
      </c>
      <c r="M47" s="132" t="str">
        <f t="shared" si="7"/>
        <v>OK</v>
      </c>
      <c r="N47" s="132" t="str">
        <f t="shared" si="7"/>
        <v>OK</v>
      </c>
      <c r="O47" s="132" t="str">
        <f t="shared" si="7"/>
        <v>OK</v>
      </c>
      <c r="P47" s="132" t="str">
        <f t="shared" si="7"/>
        <v>OK</v>
      </c>
      <c r="Q47" s="132" t="str">
        <f t="shared" si="7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3" t="s">
        <v>56</v>
      </c>
      <c r="C50" s="163"/>
      <c r="D50" s="16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topLeftCell="E1" zoomScale="85" zoomScaleNormal="85" workbookViewId="0">
      <selection activeCell="N16" sqref="N16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70" t="s">
        <v>61</v>
      </c>
      <c r="E1" s="170"/>
      <c r="F1" s="170"/>
      <c r="G1" s="170"/>
      <c r="H1" s="170"/>
      <c r="I1" s="170"/>
      <c r="J1" s="171"/>
    </row>
    <row r="2" spans="2:24" ht="22.5" customHeight="1">
      <c r="B2" s="2"/>
      <c r="C2" s="79" t="s">
        <v>2</v>
      </c>
      <c r="D2" s="172" t="s">
        <v>62</v>
      </c>
      <c r="E2" s="173"/>
      <c r="F2" s="173"/>
      <c r="G2" s="173"/>
      <c r="H2" s="173"/>
      <c r="I2" s="173"/>
      <c r="J2" s="174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68" t="s">
        <v>63</v>
      </c>
      <c r="H5" s="168"/>
      <c r="I5" s="81"/>
      <c r="J5" s="81"/>
      <c r="K5" s="81"/>
      <c r="L5" s="81"/>
      <c r="M5" s="95"/>
      <c r="O5" s="96"/>
      <c r="P5" s="97"/>
      <c r="Q5" s="97"/>
      <c r="R5" s="97"/>
      <c r="S5" s="114" t="s">
        <v>64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65</v>
      </c>
      <c r="C7" s="85" t="s">
        <v>66</v>
      </c>
      <c r="D7" s="85" t="s">
        <v>67</v>
      </c>
      <c r="E7" s="85" t="s">
        <v>68</v>
      </c>
      <c r="F7" s="85" t="s">
        <v>69</v>
      </c>
      <c r="G7" s="85" t="s">
        <v>70</v>
      </c>
      <c r="H7" s="86" t="s">
        <v>71</v>
      </c>
      <c r="I7" s="85" t="s">
        <v>72</v>
      </c>
      <c r="J7" s="85" t="s">
        <v>73</v>
      </c>
      <c r="K7" s="85" t="s">
        <v>74</v>
      </c>
      <c r="L7" s="85" t="s">
        <v>54</v>
      </c>
      <c r="M7" s="33" t="s">
        <v>75</v>
      </c>
      <c r="O7" s="101" t="s">
        <v>65</v>
      </c>
      <c r="P7" s="102" t="s">
        <v>66</v>
      </c>
      <c r="Q7" s="102" t="s">
        <v>76</v>
      </c>
      <c r="R7" s="102" t="s">
        <v>11</v>
      </c>
      <c r="S7" s="102" t="s">
        <v>77</v>
      </c>
      <c r="T7" s="102" t="s">
        <v>78</v>
      </c>
      <c r="U7" s="119" t="s">
        <v>79</v>
      </c>
      <c r="V7" s="119" t="s">
        <v>80</v>
      </c>
      <c r="W7" s="102" t="s">
        <v>54</v>
      </c>
      <c r="X7" s="120" t="s">
        <v>75</v>
      </c>
    </row>
    <row r="8" spans="2:24" ht="15.75">
      <c r="B8" s="72">
        <v>45905.521527777775</v>
      </c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83"/>
      <c r="I8" s="6">
        <v>0</v>
      </c>
      <c r="J8" s="83" t="e">
        <f>F8/H8</f>
        <v>#DIV/0!</v>
      </c>
      <c r="K8" s="83">
        <f>(H8-F8)*100/F8</f>
        <v>-100</v>
      </c>
      <c r="L8" s="6" t="s">
        <v>81</v>
      </c>
      <c r="M8" s="103" t="s">
        <v>240</v>
      </c>
      <c r="O8" s="72">
        <v>45905.521527777775</v>
      </c>
      <c r="P8" s="100" t="s">
        <v>64</v>
      </c>
      <c r="Q8" s="100">
        <v>4854.42</v>
      </c>
      <c r="R8" s="100">
        <v>3722.15</v>
      </c>
      <c r="S8" s="100" t="s">
        <v>82</v>
      </c>
      <c r="T8" s="100">
        <v>871.62</v>
      </c>
      <c r="U8" s="117">
        <v>0.98109999999999997</v>
      </c>
      <c r="V8" s="117">
        <v>0.97250000000000003</v>
      </c>
      <c r="W8" s="6" t="s">
        <v>81</v>
      </c>
      <c r="X8" s="103" t="s">
        <v>240</v>
      </c>
    </row>
    <row r="9" spans="2:24" ht="15.75">
      <c r="B9" s="72">
        <v>45917.495833333334</v>
      </c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83"/>
      <c r="I9" s="6">
        <v>0</v>
      </c>
      <c r="J9" s="83" t="e">
        <f t="shared" ref="J9:J14" si="0">F9/H9</f>
        <v>#DIV/0!</v>
      </c>
      <c r="K9" s="83">
        <f t="shared" ref="K9:K14" si="1">(H9-F9)*100/F9</f>
        <v>-100</v>
      </c>
      <c r="L9" s="6" t="s">
        <v>81</v>
      </c>
      <c r="M9" s="103" t="s">
        <v>240</v>
      </c>
      <c r="O9" s="72">
        <v>45917.495833333334</v>
      </c>
      <c r="P9" s="100" t="s">
        <v>64</v>
      </c>
      <c r="Q9" s="100">
        <v>4533.3100000000004</v>
      </c>
      <c r="R9" s="100">
        <v>3474.2</v>
      </c>
      <c r="S9" s="100" t="s">
        <v>82</v>
      </c>
      <c r="T9" s="100">
        <v>860.54</v>
      </c>
      <c r="U9" s="117">
        <v>0.97250000000000003</v>
      </c>
      <c r="V9" s="117">
        <v>0.97640000000000005</v>
      </c>
      <c r="W9" s="6" t="s">
        <v>81</v>
      </c>
      <c r="X9" s="103" t="s">
        <v>240</v>
      </c>
    </row>
    <row r="10" spans="2:24" ht="15.75">
      <c r="B10" s="72">
        <v>45923.472222222219</v>
      </c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83"/>
      <c r="I10" s="6">
        <v>0</v>
      </c>
      <c r="J10" s="83" t="e">
        <f t="shared" si="0"/>
        <v>#DIV/0!</v>
      </c>
      <c r="K10" s="83">
        <f t="shared" si="1"/>
        <v>-100</v>
      </c>
      <c r="L10" s="6" t="s">
        <v>81</v>
      </c>
      <c r="M10" s="103" t="s">
        <v>240</v>
      </c>
      <c r="O10" s="72">
        <v>45923.472222222219</v>
      </c>
      <c r="P10" s="100" t="s">
        <v>64</v>
      </c>
      <c r="Q10" s="100">
        <v>4776.53</v>
      </c>
      <c r="R10" s="100">
        <v>3664.75</v>
      </c>
      <c r="S10" s="100" t="s">
        <v>82</v>
      </c>
      <c r="T10" s="100">
        <v>864.76</v>
      </c>
      <c r="U10" s="117">
        <v>0.97640000000000005</v>
      </c>
      <c r="V10" s="117">
        <v>0.97550000000000003</v>
      </c>
      <c r="W10" s="6" t="s">
        <v>81</v>
      </c>
      <c r="X10" s="103" t="s">
        <v>240</v>
      </c>
    </row>
    <row r="11" spans="2:24" ht="15.75">
      <c r="B11" s="7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81</v>
      </c>
      <c r="M11" s="103" t="s">
        <v>240</v>
      </c>
      <c r="O11" s="72"/>
      <c r="P11" s="100" t="s">
        <v>64</v>
      </c>
      <c r="Q11" s="100"/>
      <c r="R11" s="100"/>
      <c r="S11" s="100" t="s">
        <v>82</v>
      </c>
      <c r="T11" s="100"/>
      <c r="U11" s="117"/>
      <c r="V11" s="117"/>
      <c r="W11" s="6" t="s">
        <v>81</v>
      </c>
      <c r="X11" s="103" t="s">
        <v>240</v>
      </c>
    </row>
    <row r="12" spans="2:24" ht="15.75">
      <c r="B12" s="7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81</v>
      </c>
      <c r="M12" s="103" t="s">
        <v>240</v>
      </c>
      <c r="O12" s="72"/>
      <c r="P12" s="100" t="s">
        <v>64</v>
      </c>
      <c r="Q12" s="100"/>
      <c r="R12" s="100"/>
      <c r="S12" s="100" t="s">
        <v>82</v>
      </c>
      <c r="T12" s="100"/>
      <c r="U12" s="117"/>
      <c r="V12" s="117"/>
      <c r="W12" s="6" t="s">
        <v>81</v>
      </c>
      <c r="X12" s="103" t="s">
        <v>240</v>
      </c>
    </row>
    <row r="13" spans="2:24" ht="15.75">
      <c r="B13" s="7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81</v>
      </c>
      <c r="M13" s="103" t="s">
        <v>240</v>
      </c>
      <c r="O13" s="72"/>
      <c r="P13" s="100" t="s">
        <v>64</v>
      </c>
      <c r="Q13" s="100"/>
      <c r="R13" s="100"/>
      <c r="S13" s="100" t="s">
        <v>82</v>
      </c>
      <c r="T13" s="100"/>
      <c r="U13" s="117"/>
      <c r="V13" s="117"/>
      <c r="W13" s="6" t="s">
        <v>81</v>
      </c>
      <c r="X13" s="103" t="s">
        <v>240</v>
      </c>
    </row>
    <row r="14" spans="2:24" ht="15.75">
      <c r="B14" s="7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81</v>
      </c>
      <c r="M14" s="103" t="s">
        <v>240</v>
      </c>
      <c r="O14" s="72"/>
      <c r="P14" s="100" t="s">
        <v>64</v>
      </c>
      <c r="Q14" s="100"/>
      <c r="R14" s="100"/>
      <c r="S14" s="100" t="s">
        <v>82</v>
      </c>
      <c r="T14" s="100"/>
      <c r="U14" s="117"/>
      <c r="V14" s="117"/>
      <c r="W14" s="6" t="s">
        <v>81</v>
      </c>
      <c r="X14" s="103" t="s">
        <v>240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64</v>
      </c>
      <c r="Q15" s="100"/>
      <c r="R15" s="100"/>
      <c r="S15" s="100" t="s">
        <v>82</v>
      </c>
      <c r="T15" s="100"/>
      <c r="U15" s="117"/>
      <c r="V15" s="117"/>
      <c r="W15" s="6" t="s">
        <v>81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64</v>
      </c>
      <c r="Q16" s="100"/>
      <c r="R16" s="100"/>
      <c r="S16" s="100" t="s">
        <v>82</v>
      </c>
      <c r="T16" s="100"/>
      <c r="U16" s="117"/>
      <c r="V16" s="117"/>
      <c r="W16" s="6" t="s">
        <v>81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64</v>
      </c>
      <c r="Q17" s="100"/>
      <c r="R17" s="100"/>
      <c r="S17" s="100" t="s">
        <v>82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66" t="s">
        <v>83</v>
      </c>
      <c r="D21" s="166"/>
      <c r="E21" s="166"/>
      <c r="F21" s="166"/>
      <c r="G21" s="166"/>
      <c r="H21" s="166"/>
      <c r="I21" s="106">
        <f>COUNT(B8:B20)</f>
        <v>3</v>
      </c>
      <c r="J21" s="107"/>
      <c r="K21" s="107"/>
      <c r="L21" s="94"/>
      <c r="M21" s="108"/>
      <c r="O21" s="109"/>
      <c r="P21" s="169" t="s">
        <v>84</v>
      </c>
      <c r="Q21" s="169"/>
      <c r="R21" s="169"/>
      <c r="S21" s="169"/>
      <c r="T21" s="121">
        <f>COUNT(O8:O20)</f>
        <v>3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67" t="s">
        <v>85</v>
      </c>
      <c r="H24" s="167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65</v>
      </c>
      <c r="C26" s="85" t="s">
        <v>66</v>
      </c>
      <c r="D26" s="85" t="s">
        <v>67</v>
      </c>
      <c r="E26" s="85" t="s">
        <v>68</v>
      </c>
      <c r="F26" s="85" t="s">
        <v>69</v>
      </c>
      <c r="G26" s="85" t="s">
        <v>70</v>
      </c>
      <c r="H26" s="86" t="s">
        <v>71</v>
      </c>
      <c r="I26" s="85" t="s">
        <v>72</v>
      </c>
      <c r="J26" s="85" t="s">
        <v>73</v>
      </c>
      <c r="K26" s="85" t="s">
        <v>74</v>
      </c>
      <c r="L26" s="85" t="s">
        <v>54</v>
      </c>
      <c r="M26" s="33" t="s">
        <v>75</v>
      </c>
      <c r="O26" s="101" t="s">
        <v>65</v>
      </c>
      <c r="P26" s="102" t="s">
        <v>66</v>
      </c>
      <c r="Q26" s="102" t="s">
        <v>76</v>
      </c>
      <c r="R26" s="102" t="s">
        <v>11</v>
      </c>
      <c r="S26" s="102" t="s">
        <v>77</v>
      </c>
      <c r="T26" s="102" t="s">
        <v>78</v>
      </c>
      <c r="U26" s="119" t="s">
        <v>79</v>
      </c>
      <c r="V26" s="119" t="s">
        <v>80</v>
      </c>
      <c r="W26" s="102" t="s">
        <v>54</v>
      </c>
      <c r="X26" s="120" t="s">
        <v>75</v>
      </c>
    </row>
    <row r="27" spans="2:24" ht="15.75">
      <c r="B27" s="72">
        <v>45905.521527777775</v>
      </c>
      <c r="C27" s="6" t="s">
        <v>86</v>
      </c>
      <c r="D27" s="6" t="s">
        <v>39</v>
      </c>
      <c r="E27" s="6">
        <v>0</v>
      </c>
      <c r="F27" s="6">
        <v>200</v>
      </c>
      <c r="G27" s="6"/>
      <c r="H27" s="83"/>
      <c r="I27" s="6">
        <v>0</v>
      </c>
      <c r="J27" s="83" t="e">
        <f>F27/H27</f>
        <v>#DIV/0!</v>
      </c>
      <c r="K27" s="83">
        <f>(H27-F27)*100/F27</f>
        <v>-100</v>
      </c>
      <c r="L27" s="6" t="s">
        <v>81</v>
      </c>
      <c r="M27" s="103" t="s">
        <v>240</v>
      </c>
      <c r="O27" s="72">
        <v>45905.521527777775</v>
      </c>
      <c r="P27" s="100" t="s">
        <v>29</v>
      </c>
      <c r="Q27" s="100">
        <v>4874.57</v>
      </c>
      <c r="R27" s="100">
        <v>3782.5</v>
      </c>
      <c r="S27" s="100" t="s">
        <v>87</v>
      </c>
      <c r="T27" s="100">
        <v>789.17</v>
      </c>
      <c r="U27" s="117">
        <v>0.93279999999999996</v>
      </c>
      <c r="V27" s="117">
        <v>0.93259999999999998</v>
      </c>
      <c r="W27" s="6" t="s">
        <v>81</v>
      </c>
      <c r="X27" s="103" t="s">
        <v>240</v>
      </c>
    </row>
    <row r="28" spans="2:24" ht="15.75">
      <c r="B28" s="72">
        <v>45917.495833333334</v>
      </c>
      <c r="C28" s="6" t="s">
        <v>86</v>
      </c>
      <c r="D28" s="6" t="s">
        <v>39</v>
      </c>
      <c r="E28" s="6">
        <v>0</v>
      </c>
      <c r="F28" s="6">
        <v>200</v>
      </c>
      <c r="G28" s="6">
        <v>0</v>
      </c>
      <c r="H28" s="83">
        <v>199.3</v>
      </c>
      <c r="I28" s="6">
        <v>0</v>
      </c>
      <c r="J28" s="83">
        <f t="shared" ref="J28:J33" si="2">F28/H28</f>
        <v>1.0035122930255895</v>
      </c>
      <c r="K28" s="83">
        <f t="shared" ref="K28:K33" si="3">(H28-F28)*100/F28</f>
        <v>-0.34999999999999432</v>
      </c>
      <c r="L28" s="6" t="s">
        <v>81</v>
      </c>
      <c r="M28" s="103" t="s">
        <v>240</v>
      </c>
      <c r="O28" s="72">
        <v>45917.495833333334</v>
      </c>
      <c r="P28" s="100" t="s">
        <v>29</v>
      </c>
      <c r="Q28" s="100">
        <v>5086.9399999999996</v>
      </c>
      <c r="R28" s="100">
        <v>3935.22</v>
      </c>
      <c r="S28" s="100" t="s">
        <v>87</v>
      </c>
      <c r="T28" s="100">
        <v>787.08</v>
      </c>
      <c r="U28" s="117">
        <v>0.93259999999999998</v>
      </c>
      <c r="V28" s="117">
        <v>0.93489999999999995</v>
      </c>
      <c r="W28" s="6" t="s">
        <v>81</v>
      </c>
      <c r="X28" s="103" t="s">
        <v>240</v>
      </c>
    </row>
    <row r="29" spans="2:24" ht="15.75">
      <c r="B29" s="72">
        <v>45923.472222222219</v>
      </c>
      <c r="C29" s="6" t="s">
        <v>86</v>
      </c>
      <c r="D29" s="6" t="s">
        <v>39</v>
      </c>
      <c r="E29" s="6">
        <v>0</v>
      </c>
      <c r="F29" s="6">
        <v>200</v>
      </c>
      <c r="G29" s="6"/>
      <c r="H29" s="83"/>
      <c r="I29" s="6">
        <v>0</v>
      </c>
      <c r="J29" s="83" t="e">
        <f t="shared" si="2"/>
        <v>#DIV/0!</v>
      </c>
      <c r="K29" s="83">
        <f t="shared" si="3"/>
        <v>-100</v>
      </c>
      <c r="L29" s="6" t="s">
        <v>81</v>
      </c>
      <c r="M29" s="103" t="s">
        <v>240</v>
      </c>
      <c r="O29" s="72">
        <v>45923.472222222219</v>
      </c>
      <c r="P29" s="100" t="s">
        <v>29</v>
      </c>
      <c r="Q29" s="100">
        <v>5220.3</v>
      </c>
      <c r="R29" s="100">
        <v>4050.18</v>
      </c>
      <c r="S29" s="100" t="s">
        <v>87</v>
      </c>
      <c r="T29" s="100">
        <v>792.2</v>
      </c>
      <c r="U29" s="117">
        <v>0.93489999999999995</v>
      </c>
      <c r="V29" s="117">
        <v>0.93110000000000004</v>
      </c>
      <c r="W29" s="6" t="s">
        <v>81</v>
      </c>
      <c r="X29" s="103" t="s">
        <v>240</v>
      </c>
    </row>
    <row r="30" spans="2:24" ht="15.75">
      <c r="B30" s="72"/>
      <c r="C30" s="6" t="s">
        <v>86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81</v>
      </c>
      <c r="M30" s="103" t="s">
        <v>240</v>
      </c>
      <c r="O30" s="72"/>
      <c r="P30" s="100" t="s">
        <v>29</v>
      </c>
      <c r="Q30" s="100"/>
      <c r="R30" s="100"/>
      <c r="S30" s="100" t="s">
        <v>87</v>
      </c>
      <c r="T30" s="100"/>
      <c r="U30" s="117"/>
      <c r="V30" s="117"/>
      <c r="W30" s="6" t="s">
        <v>81</v>
      </c>
      <c r="X30" s="103" t="s">
        <v>240</v>
      </c>
    </row>
    <row r="31" spans="2:24" ht="15.75">
      <c r="B31" s="72"/>
      <c r="C31" s="6" t="s">
        <v>86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81</v>
      </c>
      <c r="M31" s="103" t="s">
        <v>240</v>
      </c>
      <c r="O31" s="72"/>
      <c r="P31" s="100" t="s">
        <v>29</v>
      </c>
      <c r="Q31" s="100"/>
      <c r="R31" s="100"/>
      <c r="S31" s="100" t="s">
        <v>87</v>
      </c>
      <c r="T31" s="100"/>
      <c r="U31" s="117"/>
      <c r="V31" s="117"/>
      <c r="W31" s="6" t="s">
        <v>81</v>
      </c>
      <c r="X31" s="103" t="s">
        <v>240</v>
      </c>
    </row>
    <row r="32" spans="2:24" ht="15.75">
      <c r="B32" s="72"/>
      <c r="C32" s="6" t="s">
        <v>86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81</v>
      </c>
      <c r="M32" s="103" t="s">
        <v>240</v>
      </c>
      <c r="O32" s="72"/>
      <c r="P32" s="100" t="s">
        <v>29</v>
      </c>
      <c r="Q32" s="100"/>
      <c r="R32" s="100"/>
      <c r="S32" s="100" t="s">
        <v>87</v>
      </c>
      <c r="T32" s="100"/>
      <c r="U32" s="117"/>
      <c r="V32" s="117"/>
      <c r="W32" s="6" t="s">
        <v>81</v>
      </c>
      <c r="X32" s="103" t="s">
        <v>240</v>
      </c>
    </row>
    <row r="33" spans="2:24" ht="15.75">
      <c r="B33" s="72"/>
      <c r="C33" s="6" t="s">
        <v>86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81</v>
      </c>
      <c r="M33" s="103" t="s">
        <v>240</v>
      </c>
      <c r="O33" s="72"/>
      <c r="P33" s="100" t="s">
        <v>29</v>
      </c>
      <c r="Q33" s="100"/>
      <c r="R33" s="100"/>
      <c r="S33" s="100" t="s">
        <v>87</v>
      </c>
      <c r="T33" s="100"/>
      <c r="U33" s="117" t="s">
        <v>239</v>
      </c>
      <c r="V33" s="117"/>
      <c r="W33" s="6" t="s">
        <v>81</v>
      </c>
      <c r="X33" s="103" t="s">
        <v>240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87</v>
      </c>
      <c r="T34" s="100"/>
      <c r="U34" s="117"/>
      <c r="V34" s="117"/>
      <c r="W34" s="6" t="s">
        <v>81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87</v>
      </c>
      <c r="T35" s="100"/>
      <c r="U35" s="117"/>
      <c r="V35" s="117"/>
      <c r="W35" s="6" t="s">
        <v>81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87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87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69" t="s">
        <v>88</v>
      </c>
      <c r="Q40" s="169"/>
      <c r="R40" s="169"/>
      <c r="S40" s="169"/>
      <c r="T40" s="121">
        <f>COUNT(O27:O39)</f>
        <v>3</v>
      </c>
      <c r="U40" s="122"/>
      <c r="V40" s="122"/>
      <c r="W40" s="123"/>
      <c r="X40" s="124"/>
    </row>
    <row r="41" spans="2:24">
      <c r="B41" s="87"/>
      <c r="C41" s="94"/>
      <c r="D41" s="166" t="s">
        <v>89</v>
      </c>
      <c r="E41" s="166"/>
      <c r="F41" s="166"/>
      <c r="G41" s="166"/>
      <c r="H41" s="166"/>
      <c r="I41" s="166"/>
      <c r="J41" s="113">
        <f>COUNT(B27:B39)</f>
        <v>3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67" t="s">
        <v>38</v>
      </c>
      <c r="H44" s="167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65</v>
      </c>
      <c r="C46" s="85" t="s">
        <v>66</v>
      </c>
      <c r="D46" s="85" t="s">
        <v>67</v>
      </c>
      <c r="E46" s="85" t="s">
        <v>68</v>
      </c>
      <c r="F46" s="85" t="s">
        <v>69</v>
      </c>
      <c r="G46" s="85" t="s">
        <v>70</v>
      </c>
      <c r="H46" s="86" t="s">
        <v>71</v>
      </c>
      <c r="I46" s="85" t="s">
        <v>72</v>
      </c>
      <c r="J46" s="85" t="s">
        <v>73</v>
      </c>
      <c r="K46" s="85" t="s">
        <v>74</v>
      </c>
      <c r="L46" s="85" t="s">
        <v>54</v>
      </c>
      <c r="M46" s="33" t="s">
        <v>75</v>
      </c>
    </row>
    <row r="47" spans="2:24" ht="15.75">
      <c r="B47" s="72">
        <v>45905.521527777775</v>
      </c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81</v>
      </c>
      <c r="M47" s="103" t="s">
        <v>240</v>
      </c>
    </row>
    <row r="48" spans="2:24" ht="15.75">
      <c r="B48" s="72">
        <v>45917.495833333334</v>
      </c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81</v>
      </c>
      <c r="M48" s="103" t="s">
        <v>240</v>
      </c>
    </row>
    <row r="49" spans="2:13" ht="15.75">
      <c r="B49" s="72">
        <v>45923.472222222219</v>
      </c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81</v>
      </c>
      <c r="M49" s="103" t="s">
        <v>240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81</v>
      </c>
      <c r="M50" s="103" t="s">
        <v>240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81</v>
      </c>
      <c r="M51" s="103" t="s">
        <v>240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240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240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66" t="s">
        <v>90</v>
      </c>
      <c r="E61" s="166"/>
      <c r="F61" s="166"/>
      <c r="G61" s="166"/>
      <c r="H61" s="166"/>
      <c r="I61" s="166"/>
      <c r="J61" s="113">
        <f>COUNT(B47:B59)</f>
        <v>3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67" t="s">
        <v>37</v>
      </c>
      <c r="H64" s="167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65</v>
      </c>
      <c r="C66" s="85" t="s">
        <v>66</v>
      </c>
      <c r="D66" s="85" t="s">
        <v>67</v>
      </c>
      <c r="E66" s="85" t="s">
        <v>68</v>
      </c>
      <c r="F66" s="85" t="s">
        <v>69</v>
      </c>
      <c r="G66" s="85" t="s">
        <v>70</v>
      </c>
      <c r="H66" s="86" t="s">
        <v>71</v>
      </c>
      <c r="I66" s="85" t="s">
        <v>72</v>
      </c>
      <c r="J66" s="85" t="s">
        <v>73</v>
      </c>
      <c r="K66" s="85" t="s">
        <v>74</v>
      </c>
      <c r="L66" s="85" t="s">
        <v>54</v>
      </c>
      <c r="M66" s="33" t="s">
        <v>75</v>
      </c>
    </row>
    <row r="67" spans="2:13" ht="15.75">
      <c r="B67" s="72">
        <v>45905.521527777775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/>
      <c r="I67" s="6">
        <v>0</v>
      </c>
      <c r="J67" s="83" t="e">
        <f>F67/H67</f>
        <v>#DIV/0!</v>
      </c>
      <c r="K67" s="83">
        <f>(H67-F67)*100/F67</f>
        <v>-100</v>
      </c>
      <c r="L67" s="6" t="s">
        <v>81</v>
      </c>
      <c r="M67" s="103" t="s">
        <v>240</v>
      </c>
    </row>
    <row r="68" spans="2:13" ht="15.75">
      <c r="B68" s="72">
        <v>45917.521527777775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/>
      <c r="I68" s="6">
        <v>0</v>
      </c>
      <c r="J68" s="83" t="e">
        <f t="shared" ref="J68:J73" si="4">F68/H68</f>
        <v>#DIV/0!</v>
      </c>
      <c r="K68" s="83">
        <f t="shared" ref="K68:K73" si="5">(H68-F68)*100/F68</f>
        <v>-100</v>
      </c>
      <c r="L68" s="6" t="s">
        <v>81</v>
      </c>
      <c r="M68" s="103" t="s">
        <v>240</v>
      </c>
    </row>
    <row r="69" spans="2:13" ht="15.75">
      <c r="B69" s="72">
        <v>45923.495833333334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/>
      <c r="I69" s="6">
        <v>0</v>
      </c>
      <c r="J69" s="83" t="e">
        <f t="shared" si="4"/>
        <v>#DIV/0!</v>
      </c>
      <c r="K69" s="83">
        <f t="shared" si="5"/>
        <v>-100</v>
      </c>
      <c r="L69" s="6" t="s">
        <v>81</v>
      </c>
      <c r="M69" s="103" t="s">
        <v>240</v>
      </c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81</v>
      </c>
      <c r="M70" s="103" t="s">
        <v>240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81</v>
      </c>
      <c r="M71" s="103" t="s">
        <v>240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81</v>
      </c>
      <c r="M72" s="103" t="s">
        <v>240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81</v>
      </c>
      <c r="M73" s="103" t="s">
        <v>240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66" t="s">
        <v>91</v>
      </c>
      <c r="E81" s="166"/>
      <c r="F81" s="166"/>
      <c r="G81" s="166"/>
      <c r="H81" s="166"/>
      <c r="I81" s="166"/>
      <c r="J81" s="113">
        <f>COUNT(B67:B79)</f>
        <v>3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67" t="s">
        <v>92</v>
      </c>
      <c r="H84" s="167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65</v>
      </c>
      <c r="C86" s="85" t="s">
        <v>66</v>
      </c>
      <c r="D86" s="85" t="s">
        <v>67</v>
      </c>
      <c r="E86" s="85" t="s">
        <v>68</v>
      </c>
      <c r="F86" s="85" t="s">
        <v>69</v>
      </c>
      <c r="G86" s="85" t="s">
        <v>70</v>
      </c>
      <c r="H86" s="86" t="s">
        <v>71</v>
      </c>
      <c r="I86" s="85" t="s">
        <v>72</v>
      </c>
      <c r="J86" s="85" t="s">
        <v>73</v>
      </c>
      <c r="K86" s="85" t="s">
        <v>74</v>
      </c>
      <c r="L86" s="85" t="s">
        <v>54</v>
      </c>
      <c r="M86" s="33" t="s">
        <v>75</v>
      </c>
    </row>
    <row r="87" spans="2:13" ht="15.75">
      <c r="B87" s="72">
        <v>45905.521527777775</v>
      </c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81</v>
      </c>
      <c r="M87" s="103" t="s">
        <v>240</v>
      </c>
    </row>
    <row r="88" spans="2:13" ht="15.75">
      <c r="B88" s="72">
        <v>45917.521527777775</v>
      </c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81</v>
      </c>
      <c r="M88" s="103" t="s">
        <v>240</v>
      </c>
    </row>
    <row r="89" spans="2:13" ht="15.75">
      <c r="B89" s="72">
        <v>45923.495833333334</v>
      </c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81</v>
      </c>
      <c r="M89" s="103" t="s">
        <v>240</v>
      </c>
    </row>
    <row r="90" spans="2:13" ht="15.75">
      <c r="B90" s="7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81</v>
      </c>
      <c r="M90" s="103" t="s">
        <v>240</v>
      </c>
    </row>
    <row r="91" spans="2:13" ht="15.75">
      <c r="B91" s="7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81</v>
      </c>
      <c r="M91" s="103" t="s">
        <v>240</v>
      </c>
    </row>
    <row r="92" spans="2:13" ht="15.75">
      <c r="B92" s="7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81</v>
      </c>
      <c r="M92" s="103" t="s">
        <v>240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240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66" t="s">
        <v>93</v>
      </c>
      <c r="E101" s="166"/>
      <c r="F101" s="166"/>
      <c r="G101" s="166"/>
      <c r="H101" s="166"/>
      <c r="I101" s="166"/>
      <c r="J101" s="113">
        <f>COUNT(B87:B99)</f>
        <v>3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68" t="s">
        <v>94</v>
      </c>
      <c r="H104" s="168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65</v>
      </c>
      <c r="C106" s="85" t="s">
        <v>66</v>
      </c>
      <c r="D106" s="85" t="s">
        <v>67</v>
      </c>
      <c r="E106" s="85" t="s">
        <v>68</v>
      </c>
      <c r="F106" s="85" t="s">
        <v>69</v>
      </c>
      <c r="G106" s="85" t="s">
        <v>70</v>
      </c>
      <c r="H106" s="86" t="s">
        <v>71</v>
      </c>
      <c r="I106" s="85" t="s">
        <v>72</v>
      </c>
      <c r="J106" s="85" t="s">
        <v>73</v>
      </c>
      <c r="K106" s="85" t="s">
        <v>74</v>
      </c>
      <c r="L106" s="85" t="s">
        <v>54</v>
      </c>
      <c r="M106" s="127" t="s">
        <v>75</v>
      </c>
    </row>
    <row r="107" spans="2:13" ht="15.75">
      <c r="B107" s="72">
        <v>45905.521527777775</v>
      </c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83"/>
      <c r="I107" s="6">
        <f>G107-E107</f>
        <v>0</v>
      </c>
      <c r="J107" s="83" t="e">
        <f>F107/H107</f>
        <v>#DIV/0!</v>
      </c>
      <c r="K107" s="83">
        <f>(H107-F107)*100/F107</f>
        <v>-100</v>
      </c>
      <c r="L107" s="6" t="s">
        <v>81</v>
      </c>
      <c r="M107" s="103" t="s">
        <v>240</v>
      </c>
    </row>
    <row r="108" spans="2:13" ht="15.75">
      <c r="B108" s="72">
        <v>45917.521527777775</v>
      </c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83"/>
      <c r="I108" s="6">
        <f>G108-E108</f>
        <v>0</v>
      </c>
      <c r="J108" s="83" t="e">
        <f>F108/H108</f>
        <v>#DIV/0!</v>
      </c>
      <c r="K108" s="83">
        <f>(H108-F108)*100/F108</f>
        <v>-100</v>
      </c>
      <c r="L108" s="6" t="s">
        <v>81</v>
      </c>
      <c r="M108" s="103" t="s">
        <v>240</v>
      </c>
    </row>
    <row r="109" spans="2:13" ht="15.75">
      <c r="B109" s="72">
        <v>45923.495833333334</v>
      </c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83"/>
      <c r="I109" s="6">
        <f t="shared" ref="I109:I115" si="8">G109-E109</f>
        <v>0</v>
      </c>
      <c r="J109" s="83" t="e">
        <f t="shared" ref="J109:J115" si="9">F109/H109</f>
        <v>#DIV/0!</v>
      </c>
      <c r="K109" s="83">
        <f t="shared" ref="K109:K115" si="10">(H109-F109)*100/F109</f>
        <v>-100</v>
      </c>
      <c r="L109" s="6" t="s">
        <v>81</v>
      </c>
      <c r="M109" s="103" t="s">
        <v>240</v>
      </c>
    </row>
    <row r="110" spans="2:13" ht="15.75">
      <c r="B110" s="7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81</v>
      </c>
      <c r="M110" s="103" t="s">
        <v>240</v>
      </c>
    </row>
    <row r="111" spans="2:13" ht="15.75">
      <c r="B111" s="7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81</v>
      </c>
      <c r="M111" s="103" t="s">
        <v>240</v>
      </c>
    </row>
    <row r="112" spans="2:13" ht="15.75">
      <c r="B112" s="7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81</v>
      </c>
      <c r="M112" s="103" t="s">
        <v>240</v>
      </c>
    </row>
    <row r="113" spans="2:13" ht="15.75">
      <c r="B113" s="7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81</v>
      </c>
      <c r="M113" s="103" t="s">
        <v>240</v>
      </c>
    </row>
    <row r="114" spans="2:13" ht="15.75">
      <c r="B114" s="7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81</v>
      </c>
      <c r="M114" s="104"/>
    </row>
    <row r="115" spans="2:13" ht="15.75">
      <c r="B115" s="7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81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66" t="s">
        <v>95</v>
      </c>
      <c r="D119" s="166"/>
      <c r="E119" s="166"/>
      <c r="F119" s="166"/>
      <c r="G119" s="166"/>
      <c r="H119" s="166"/>
      <c r="I119" s="113">
        <f>COUNT(B107:B118)</f>
        <v>3</v>
      </c>
      <c r="J119" s="107"/>
      <c r="K119" s="107"/>
      <c r="L119" s="94"/>
      <c r="M119" s="108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5" t="s">
        <v>96</v>
      </c>
      <c r="C2" s="175"/>
      <c r="D2" s="177" t="str">
        <f>'MONTHLY 31'!$B$2</f>
        <v>01/09/2025 00:15</v>
      </c>
      <c r="E2" s="177"/>
    </row>
    <row r="3" spans="2:5">
      <c r="B3" s="175" t="s">
        <v>97</v>
      </c>
      <c r="C3" s="175"/>
      <c r="D3" s="177"/>
      <c r="E3" s="177"/>
    </row>
    <row r="7" spans="2:5" s="2" customFormat="1">
      <c r="B7" s="68" t="s">
        <v>98</v>
      </c>
      <c r="C7" s="68" t="s">
        <v>99</v>
      </c>
      <c r="D7" s="69" t="s">
        <v>100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101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6" t="s">
        <v>101</v>
      </c>
      <c r="C44" s="176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78" t="s">
        <v>102</v>
      </c>
      <c r="C2" s="178"/>
      <c r="D2" s="178"/>
      <c r="E2" s="178"/>
      <c r="F2" s="179">
        <v>1</v>
      </c>
      <c r="G2" s="180"/>
      <c r="H2" s="180"/>
    </row>
    <row r="3" spans="2:24" customFormat="1" ht="15" customHeight="1">
      <c r="B3" s="178"/>
      <c r="C3" s="178"/>
      <c r="D3" s="178"/>
      <c r="E3" s="178"/>
      <c r="F3" s="180"/>
      <c r="G3" s="180"/>
      <c r="H3" s="180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3" t="s">
        <v>94</v>
      </c>
      <c r="C12" s="194" t="s">
        <v>103</v>
      </c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40"/>
      <c r="U12" s="39"/>
    </row>
    <row r="13" spans="2:24" ht="15" customHeight="1">
      <c r="B13" s="184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0" t="s">
        <v>117</v>
      </c>
      <c r="Q13" s="4" t="s">
        <v>118</v>
      </c>
      <c r="R13" s="41"/>
      <c r="U13" s="39"/>
    </row>
    <row r="14" spans="2:24" ht="15" customHeight="1">
      <c r="B14" s="184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4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1" t="s">
        <v>132</v>
      </c>
      <c r="Q15" s="8" t="s">
        <v>133</v>
      </c>
      <c r="R15" s="43" t="s">
        <v>75</v>
      </c>
      <c r="X15" s="42"/>
    </row>
    <row r="16" spans="2:24" ht="15.75" customHeight="1">
      <c r="B16" s="184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4"/>
      <c r="C17" s="10"/>
      <c r="P17" s="1"/>
      <c r="Q17" s="1"/>
      <c r="R17" s="45"/>
      <c r="X17" s="42"/>
    </row>
    <row r="18" spans="2:28" ht="15.75" customHeight="1">
      <c r="B18" s="184"/>
      <c r="C18" s="8" t="s">
        <v>104</v>
      </c>
      <c r="D18" s="8" t="s">
        <v>105</v>
      </c>
      <c r="E18" s="8" t="s">
        <v>106</v>
      </c>
      <c r="F18" s="8" t="s">
        <v>134</v>
      </c>
      <c r="G18" s="8" t="s">
        <v>108</v>
      </c>
      <c r="H18" s="8" t="s">
        <v>109</v>
      </c>
      <c r="I18" s="8" t="s">
        <v>110</v>
      </c>
      <c r="J18" s="8" t="s">
        <v>111</v>
      </c>
      <c r="K18" s="8" t="s">
        <v>112</v>
      </c>
      <c r="L18" s="8" t="s">
        <v>113</v>
      </c>
      <c r="M18" s="8" t="s">
        <v>114</v>
      </c>
      <c r="N18" s="8" t="s">
        <v>115</v>
      </c>
      <c r="O18" s="8" t="s">
        <v>116</v>
      </c>
      <c r="P18" s="31" t="s">
        <v>117</v>
      </c>
      <c r="Q18" s="8" t="s">
        <v>118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1" t="s">
        <v>132</v>
      </c>
      <c r="Q20" s="8" t="s">
        <v>133</v>
      </c>
      <c r="R20" s="46" t="s">
        <v>75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5" t="s">
        <v>85</v>
      </c>
      <c r="C25" s="196" t="s">
        <v>103</v>
      </c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81"/>
      <c r="S25" s="49"/>
      <c r="T25" s="50"/>
    </row>
    <row r="26" spans="2:28" ht="15" customHeight="1">
      <c r="B26" s="185"/>
      <c r="C26" s="14" t="s">
        <v>104</v>
      </c>
      <c r="D26" s="15" t="s">
        <v>135</v>
      </c>
      <c r="E26" s="15" t="s">
        <v>136</v>
      </c>
      <c r="F26" s="15" t="s">
        <v>137</v>
      </c>
      <c r="G26" s="15" t="s">
        <v>138</v>
      </c>
      <c r="H26" s="15" t="s">
        <v>139</v>
      </c>
      <c r="I26" s="15" t="s">
        <v>140</v>
      </c>
      <c r="J26" s="15" t="s">
        <v>141</v>
      </c>
      <c r="K26" s="15" t="s">
        <v>142</v>
      </c>
      <c r="L26" s="15" t="s">
        <v>143</v>
      </c>
      <c r="M26" s="15" t="s">
        <v>144</v>
      </c>
      <c r="N26" s="15" t="s">
        <v>145</v>
      </c>
      <c r="O26" s="15" t="s">
        <v>146</v>
      </c>
      <c r="P26" s="15" t="s">
        <v>147</v>
      </c>
      <c r="Q26" s="15" t="s">
        <v>148</v>
      </c>
      <c r="R26" s="15" t="s">
        <v>149</v>
      </c>
      <c r="S26" s="15" t="s">
        <v>150</v>
      </c>
      <c r="T26" s="51" t="s">
        <v>75</v>
      </c>
      <c r="Z26" s="1"/>
      <c r="AA26" s="1"/>
      <c r="AB26" s="1"/>
    </row>
    <row r="27" spans="2:28" ht="15.75" customHeight="1">
      <c r="B27" s="185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5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6"/>
      <c r="C29" s="18" t="s">
        <v>104</v>
      </c>
      <c r="D29" s="19" t="s">
        <v>135</v>
      </c>
      <c r="E29" s="19" t="s">
        <v>136</v>
      </c>
      <c r="F29" s="19" t="s">
        <v>137</v>
      </c>
      <c r="G29" s="19" t="s">
        <v>138</v>
      </c>
      <c r="H29" s="19" t="s">
        <v>139</v>
      </c>
      <c r="I29" s="19" t="s">
        <v>140</v>
      </c>
      <c r="J29" s="19" t="s">
        <v>141</v>
      </c>
      <c r="K29" s="19" t="s">
        <v>142</v>
      </c>
      <c r="L29" s="19" t="s">
        <v>143</v>
      </c>
      <c r="M29" s="19" t="s">
        <v>144</v>
      </c>
      <c r="N29" s="19" t="s">
        <v>145</v>
      </c>
      <c r="O29" s="19" t="s">
        <v>146</v>
      </c>
      <c r="P29" s="19" t="s">
        <v>147</v>
      </c>
      <c r="Q29" s="19" t="s">
        <v>148</v>
      </c>
      <c r="R29" s="19" t="s">
        <v>149</v>
      </c>
      <c r="S29" s="19" t="s">
        <v>150</v>
      </c>
      <c r="T29" s="53" t="s">
        <v>75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87" t="s">
        <v>37</v>
      </c>
      <c r="C36" s="198" t="s">
        <v>103</v>
      </c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9"/>
    </row>
    <row r="37" spans="2:25" ht="15.75" customHeight="1">
      <c r="B37" s="188"/>
      <c r="C37" s="22" t="s">
        <v>104</v>
      </c>
      <c r="D37" s="8" t="s">
        <v>135</v>
      </c>
      <c r="E37" s="8" t="s">
        <v>136</v>
      </c>
      <c r="F37" s="8" t="s">
        <v>151</v>
      </c>
      <c r="G37" s="8" t="s">
        <v>152</v>
      </c>
      <c r="H37" s="8" t="s">
        <v>153</v>
      </c>
      <c r="I37" s="8" t="s">
        <v>154</v>
      </c>
      <c r="J37" s="8" t="s">
        <v>155</v>
      </c>
      <c r="K37" s="8" t="s">
        <v>156</v>
      </c>
      <c r="L37" s="8" t="s">
        <v>157</v>
      </c>
      <c r="M37" s="8" t="s">
        <v>158</v>
      </c>
      <c r="N37" s="8" t="s">
        <v>159</v>
      </c>
      <c r="O37" s="32" t="s">
        <v>160</v>
      </c>
    </row>
    <row r="38" spans="2:25">
      <c r="B38" s="188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88"/>
      <c r="C39" s="22" t="s">
        <v>161</v>
      </c>
      <c r="D39" s="8" t="s">
        <v>162</v>
      </c>
      <c r="E39" s="8" t="s">
        <v>163</v>
      </c>
      <c r="F39" s="8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3" t="s">
        <v>75</v>
      </c>
      <c r="W39" s="1"/>
      <c r="X39" s="1"/>
      <c r="Y39" s="1"/>
    </row>
    <row r="40" spans="2:25">
      <c r="B40" s="18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104</v>
      </c>
      <c r="D42" s="8" t="s">
        <v>135</v>
      </c>
      <c r="E42" s="8" t="s">
        <v>136</v>
      </c>
      <c r="F42" s="8" t="s">
        <v>151</v>
      </c>
      <c r="G42" s="8" t="s">
        <v>152</v>
      </c>
      <c r="H42" s="8" t="s">
        <v>153</v>
      </c>
      <c r="I42" s="8" t="s">
        <v>154</v>
      </c>
      <c r="J42" s="8" t="s">
        <v>155</v>
      </c>
      <c r="K42" s="8" t="s">
        <v>156</v>
      </c>
      <c r="L42" s="8" t="s">
        <v>157</v>
      </c>
      <c r="M42" s="8" t="s">
        <v>158</v>
      </c>
      <c r="N42" s="8" t="s">
        <v>159</v>
      </c>
      <c r="O42" s="32" t="s">
        <v>160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161</v>
      </c>
      <c r="D44" s="8" t="s">
        <v>162</v>
      </c>
      <c r="E44" s="8" t="s">
        <v>163</v>
      </c>
      <c r="F44" s="8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3" t="s">
        <v>75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89" t="s">
        <v>63</v>
      </c>
      <c r="C48" s="25" t="s">
        <v>103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0"/>
      <c r="C49" s="22" t="s">
        <v>104</v>
      </c>
      <c r="D49" s="8" t="s">
        <v>126</v>
      </c>
      <c r="E49" s="8" t="s">
        <v>173</v>
      </c>
      <c r="F49" s="8" t="s">
        <v>174</v>
      </c>
      <c r="G49" s="8" t="s">
        <v>175</v>
      </c>
      <c r="H49" s="8" t="s">
        <v>176</v>
      </c>
      <c r="I49" s="8" t="s">
        <v>177</v>
      </c>
      <c r="J49" s="8" t="s">
        <v>111</v>
      </c>
      <c r="K49" s="8" t="s">
        <v>178</v>
      </c>
      <c r="L49" s="8" t="s">
        <v>179</v>
      </c>
      <c r="M49" s="8" t="s">
        <v>180</v>
      </c>
      <c r="N49" s="8" t="s">
        <v>181</v>
      </c>
      <c r="O49" s="8" t="s">
        <v>182</v>
      </c>
      <c r="P49" s="8" t="s">
        <v>183</v>
      </c>
      <c r="Q49" s="32" t="s">
        <v>184</v>
      </c>
    </row>
    <row r="50" spans="2:20">
      <c r="B50" s="190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0"/>
      <c r="C51" s="22" t="s">
        <v>185</v>
      </c>
      <c r="D51" s="8" t="s">
        <v>186</v>
      </c>
      <c r="E51" s="8" t="s">
        <v>187</v>
      </c>
      <c r="F51" s="8" t="s">
        <v>188</v>
      </c>
      <c r="G51" s="8" t="s">
        <v>189</v>
      </c>
      <c r="H51" s="8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3" t="s">
        <v>75</v>
      </c>
    </row>
    <row r="52" spans="2:20" ht="15.75">
      <c r="B52" s="19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104</v>
      </c>
      <c r="D54" s="8" t="s">
        <v>126</v>
      </c>
      <c r="E54" s="8" t="s">
        <v>173</v>
      </c>
      <c r="F54" s="8" t="s">
        <v>174</v>
      </c>
      <c r="G54" s="8" t="s">
        <v>175</v>
      </c>
      <c r="H54" s="8" t="s">
        <v>176</v>
      </c>
      <c r="I54" s="8" t="s">
        <v>177</v>
      </c>
      <c r="J54" s="8" t="s">
        <v>111</v>
      </c>
      <c r="K54" s="8" t="s">
        <v>178</v>
      </c>
      <c r="L54" s="8" t="s">
        <v>179</v>
      </c>
      <c r="M54" s="8" t="s">
        <v>180</v>
      </c>
      <c r="N54" s="8" t="s">
        <v>181</v>
      </c>
      <c r="O54" s="8" t="s">
        <v>182</v>
      </c>
      <c r="P54" s="8" t="s">
        <v>183</v>
      </c>
      <c r="Q54" s="32" t="s">
        <v>184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185</v>
      </c>
      <c r="D56" s="8" t="s">
        <v>186</v>
      </c>
      <c r="E56" s="8" t="s">
        <v>187</v>
      </c>
      <c r="F56" s="8" t="s">
        <v>188</v>
      </c>
      <c r="G56" s="8" t="s">
        <v>189</v>
      </c>
      <c r="H56" s="8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3" t="s">
        <v>75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5" t="s">
        <v>197</v>
      </c>
      <c r="C61" s="196" t="s">
        <v>103</v>
      </c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81"/>
      <c r="S61" s="57"/>
      <c r="T61" s="58"/>
    </row>
    <row r="62" spans="2:20" ht="15.75">
      <c r="B62" s="185"/>
      <c r="C62" s="27" t="s">
        <v>104</v>
      </c>
      <c r="D62" s="27" t="s">
        <v>198</v>
      </c>
      <c r="E62" s="27" t="s">
        <v>199</v>
      </c>
      <c r="F62" s="27" t="s">
        <v>200</v>
      </c>
      <c r="G62" s="27" t="s">
        <v>201</v>
      </c>
      <c r="H62" s="27" t="s">
        <v>202</v>
      </c>
      <c r="I62" s="27" t="s">
        <v>203</v>
      </c>
      <c r="J62" s="27" t="s">
        <v>204</v>
      </c>
      <c r="K62" s="27" t="s">
        <v>205</v>
      </c>
      <c r="L62" s="27" t="s">
        <v>206</v>
      </c>
      <c r="M62" s="27" t="s">
        <v>207</v>
      </c>
      <c r="N62" s="27" t="s">
        <v>208</v>
      </c>
      <c r="O62" s="27" t="s">
        <v>209</v>
      </c>
      <c r="P62" s="27" t="s">
        <v>210</v>
      </c>
      <c r="Q62" s="27" t="s">
        <v>211</v>
      </c>
      <c r="R62" s="27" t="s">
        <v>212</v>
      </c>
      <c r="S62" s="27" t="s">
        <v>213</v>
      </c>
      <c r="T62" s="51" t="s">
        <v>75</v>
      </c>
    </row>
    <row r="63" spans="2:20" ht="15.75">
      <c r="B63" s="191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1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6"/>
      <c r="C65" s="60" t="s">
        <v>104</v>
      </c>
      <c r="D65" s="60" t="s">
        <v>198</v>
      </c>
      <c r="E65" s="60" t="s">
        <v>199</v>
      </c>
      <c r="F65" s="60" t="s">
        <v>200</v>
      </c>
      <c r="G65" s="60" t="s">
        <v>201</v>
      </c>
      <c r="H65" s="60" t="s">
        <v>202</v>
      </c>
      <c r="I65" s="60" t="s">
        <v>203</v>
      </c>
      <c r="J65" s="60" t="s">
        <v>204</v>
      </c>
      <c r="K65" s="60" t="s">
        <v>205</v>
      </c>
      <c r="L65" s="60" t="s">
        <v>206</v>
      </c>
      <c r="M65" s="60" t="s">
        <v>207</v>
      </c>
      <c r="N65" s="60" t="s">
        <v>208</v>
      </c>
      <c r="O65" s="60" t="s">
        <v>209</v>
      </c>
      <c r="P65" s="60" t="s">
        <v>210</v>
      </c>
      <c r="Q65" s="60" t="s">
        <v>211</v>
      </c>
      <c r="R65" s="60" t="s">
        <v>212</v>
      </c>
      <c r="S65" s="60" t="s">
        <v>213</v>
      </c>
      <c r="T65" s="53" t="s">
        <v>75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5" t="s">
        <v>214</v>
      </c>
      <c r="C69" s="196" t="s">
        <v>103</v>
      </c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81"/>
      <c r="S69" s="57"/>
      <c r="T69" s="58"/>
    </row>
    <row r="70" spans="2:20" ht="15.75">
      <c r="B70" s="185"/>
      <c r="C70" s="60" t="s">
        <v>104</v>
      </c>
      <c r="D70" s="60" t="s">
        <v>198</v>
      </c>
      <c r="E70" s="60" t="s">
        <v>199</v>
      </c>
      <c r="F70" s="60" t="s">
        <v>200</v>
      </c>
      <c r="G70" s="60" t="s">
        <v>201</v>
      </c>
      <c r="H70" s="60" t="s">
        <v>202</v>
      </c>
      <c r="I70" s="60" t="s">
        <v>203</v>
      </c>
      <c r="J70" s="60" t="s">
        <v>204</v>
      </c>
      <c r="K70" s="60" t="s">
        <v>205</v>
      </c>
      <c r="L70" s="60" t="s">
        <v>206</v>
      </c>
      <c r="M70" s="60" t="s">
        <v>207</v>
      </c>
      <c r="N70" s="60" t="s">
        <v>208</v>
      </c>
      <c r="O70" s="60" t="s">
        <v>209</v>
      </c>
      <c r="P70" s="60" t="s">
        <v>210</v>
      </c>
      <c r="Q70" s="60" t="s">
        <v>211</v>
      </c>
      <c r="R70" s="60" t="s">
        <v>212</v>
      </c>
      <c r="S70" s="60" t="s">
        <v>213</v>
      </c>
      <c r="T70" s="53" t="s">
        <v>75</v>
      </c>
    </row>
    <row r="71" spans="2:20" ht="15.75">
      <c r="B71" s="185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1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6"/>
      <c r="C73" s="60" t="s">
        <v>104</v>
      </c>
      <c r="D73" s="60" t="s">
        <v>198</v>
      </c>
      <c r="E73" s="60" t="s">
        <v>199</v>
      </c>
      <c r="F73" s="60" t="s">
        <v>200</v>
      </c>
      <c r="G73" s="60" t="s">
        <v>201</v>
      </c>
      <c r="H73" s="60" t="s">
        <v>202</v>
      </c>
      <c r="I73" s="60" t="s">
        <v>203</v>
      </c>
      <c r="J73" s="60" t="s">
        <v>204</v>
      </c>
      <c r="K73" s="60" t="s">
        <v>205</v>
      </c>
      <c r="L73" s="60" t="s">
        <v>206</v>
      </c>
      <c r="M73" s="60" t="s">
        <v>207</v>
      </c>
      <c r="N73" s="60" t="s">
        <v>208</v>
      </c>
      <c r="O73" s="60" t="s">
        <v>209</v>
      </c>
      <c r="P73" s="60" t="s">
        <v>210</v>
      </c>
      <c r="Q73" s="60" t="s">
        <v>211</v>
      </c>
      <c r="R73" s="60" t="s">
        <v>212</v>
      </c>
      <c r="S73" s="60" t="s">
        <v>213</v>
      </c>
      <c r="T73" s="53" t="s">
        <v>75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2" t="s">
        <v>92</v>
      </c>
      <c r="C77" s="181" t="s">
        <v>103</v>
      </c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61"/>
      <c r="S77" s="61"/>
      <c r="T77" s="13"/>
    </row>
    <row r="78" spans="2:20">
      <c r="B78" s="193"/>
      <c r="C78" s="15" t="s">
        <v>104</v>
      </c>
      <c r="D78" s="15" t="s">
        <v>215</v>
      </c>
      <c r="E78" s="15" t="s">
        <v>216</v>
      </c>
      <c r="F78" s="15" t="s">
        <v>217</v>
      </c>
      <c r="G78" s="15" t="s">
        <v>218</v>
      </c>
      <c r="H78" s="62" t="s">
        <v>219</v>
      </c>
      <c r="I78" s="62" t="s">
        <v>220</v>
      </c>
      <c r="J78" s="62" t="s">
        <v>221</v>
      </c>
      <c r="K78" s="62" t="s">
        <v>222</v>
      </c>
      <c r="L78" s="62" t="s">
        <v>135</v>
      </c>
      <c r="M78" s="15" t="s">
        <v>223</v>
      </c>
      <c r="N78" s="62" t="s">
        <v>224</v>
      </c>
      <c r="O78" s="62" t="s">
        <v>216</v>
      </c>
      <c r="P78" s="62" t="s">
        <v>225</v>
      </c>
      <c r="Q78" s="62" t="s">
        <v>226</v>
      </c>
      <c r="R78" s="62" t="s">
        <v>216</v>
      </c>
      <c r="S78" s="62" t="s">
        <v>227</v>
      </c>
      <c r="T78" s="60" t="s">
        <v>216</v>
      </c>
    </row>
    <row r="79" spans="2:20">
      <c r="B79" s="193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3"/>
      <c r="C80" s="60" t="s">
        <v>228</v>
      </c>
      <c r="D80" s="60" t="s">
        <v>229</v>
      </c>
      <c r="E80" s="60" t="s">
        <v>230</v>
      </c>
      <c r="F80" s="60" t="s">
        <v>216</v>
      </c>
      <c r="G80" s="60" t="s">
        <v>225</v>
      </c>
      <c r="H80" s="60" t="s">
        <v>231</v>
      </c>
      <c r="I80" s="60" t="s">
        <v>216</v>
      </c>
      <c r="J80" s="60" t="s">
        <v>232</v>
      </c>
      <c r="K80" s="60" t="s">
        <v>233</v>
      </c>
      <c r="L80" s="60" t="s">
        <v>234</v>
      </c>
      <c r="M80" s="60" t="s">
        <v>216</v>
      </c>
      <c r="N80" s="60" t="s">
        <v>235</v>
      </c>
      <c r="O80" s="60" t="s">
        <v>216</v>
      </c>
      <c r="P80" s="60" t="s">
        <v>236</v>
      </c>
      <c r="Q80" s="60" t="s">
        <v>216</v>
      </c>
      <c r="R80" s="60" t="s">
        <v>237</v>
      </c>
      <c r="S80" s="60" t="s">
        <v>216</v>
      </c>
      <c r="T80" s="53" t="s">
        <v>75</v>
      </c>
    </row>
    <row r="81" spans="2:20" ht="15.75">
      <c r="B81" s="193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238</v>
      </c>
    </row>
    <row r="82" spans="2:20">
      <c r="B82" s="193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3"/>
      <c r="C83" s="19" t="s">
        <v>104</v>
      </c>
      <c r="D83" s="19" t="s">
        <v>215</v>
      </c>
      <c r="E83" s="19" t="s">
        <v>216</v>
      </c>
      <c r="F83" s="19" t="s">
        <v>217</v>
      </c>
      <c r="G83" s="19" t="s">
        <v>218</v>
      </c>
      <c r="H83" s="60" t="s">
        <v>219</v>
      </c>
      <c r="I83" s="60" t="s">
        <v>220</v>
      </c>
      <c r="J83" s="60" t="s">
        <v>221</v>
      </c>
      <c r="K83" s="60" t="s">
        <v>222</v>
      </c>
      <c r="L83" s="60" t="s">
        <v>135</v>
      </c>
      <c r="M83" s="19" t="s">
        <v>223</v>
      </c>
      <c r="N83" s="60" t="s">
        <v>224</v>
      </c>
      <c r="O83" s="60" t="s">
        <v>216</v>
      </c>
      <c r="P83" s="60" t="s">
        <v>225</v>
      </c>
      <c r="Q83" s="60" t="s">
        <v>226</v>
      </c>
      <c r="R83" s="60" t="s">
        <v>216</v>
      </c>
      <c r="S83" s="60" t="s">
        <v>227</v>
      </c>
      <c r="T83" s="60" t="s">
        <v>216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228</v>
      </c>
      <c r="D85" s="60" t="s">
        <v>229</v>
      </c>
      <c r="E85" s="60" t="s">
        <v>230</v>
      </c>
      <c r="F85" s="60" t="s">
        <v>216</v>
      </c>
      <c r="G85" s="60" t="s">
        <v>225</v>
      </c>
      <c r="H85" s="60" t="s">
        <v>231</v>
      </c>
      <c r="I85" s="60" t="s">
        <v>216</v>
      </c>
      <c r="J85" s="60" t="s">
        <v>232</v>
      </c>
      <c r="K85" s="60" t="s">
        <v>233</v>
      </c>
      <c r="L85" s="60" t="s">
        <v>234</v>
      </c>
      <c r="M85" s="60" t="s">
        <v>216</v>
      </c>
      <c r="N85" s="60" t="s">
        <v>235</v>
      </c>
      <c r="O85" s="60" t="s">
        <v>216</v>
      </c>
      <c r="P85" s="60" t="s">
        <v>236</v>
      </c>
      <c r="Q85" s="60" t="s">
        <v>216</v>
      </c>
      <c r="R85" s="60" t="s">
        <v>237</v>
      </c>
      <c r="S85" s="60" t="s">
        <v>216</v>
      </c>
      <c r="T85" s="51" t="s">
        <v>75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2026-01-09T16:56:17Z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