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5\aprl 2025\"/>
    </mc:Choice>
  </mc:AlternateContent>
  <xr:revisionPtr revIDLastSave="0" documentId="13_ncr:1_{6CC2854A-91ED-44C8-9A6F-5C03DEBF4B7D}" xr6:coauthVersionLast="47" xr6:coauthVersionMax="47" xr10:uidLastSave="{00000000-0000-0000-0000-000000000000}"/>
  <bookViews>
    <workbookView xWindow="-120" yWindow="-120" windowWidth="20730" windowHeight="11040" tabRatio="913" firstSheet="5" activeTab="30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MONTHLY 31" sheetId="39" r:id="rId31"/>
  </sheets>
  <calcPr calcId="191029"/>
</workbook>
</file>

<file path=xl/calcChain.xml><?xml version="1.0" encoding="utf-8"?>
<calcChain xmlns="http://schemas.openxmlformats.org/spreadsheetml/2006/main">
  <c r="F44" i="39" l="1"/>
  <c r="F38" i="21"/>
  <c r="P38" i="19"/>
  <c r="H38" i="28" l="1"/>
  <c r="G38" i="28"/>
  <c r="P38" i="20"/>
  <c r="H38" i="19"/>
  <c r="G38" i="19"/>
  <c r="F38" i="8"/>
  <c r="F39" i="8" l="1"/>
  <c r="E38" i="3"/>
  <c r="H38" i="3"/>
  <c r="G38" i="3"/>
  <c r="F38" i="3"/>
  <c r="F38" i="2"/>
  <c r="Q38" i="40"/>
  <c r="Q39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8" i="39" s="1"/>
  <c r="P36" i="40"/>
  <c r="P38" i="39" s="1"/>
  <c r="O36" i="40"/>
  <c r="O38" i="39" s="1"/>
  <c r="N36" i="40"/>
  <c r="N38" i="39" s="1"/>
  <c r="M36" i="40"/>
  <c r="M38" i="39" s="1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8" i="39" s="1"/>
  <c r="Q38" i="43"/>
  <c r="Q40" i="43" s="1"/>
  <c r="P38" i="43"/>
  <c r="P40" i="43" s="1"/>
  <c r="O38" i="43"/>
  <c r="O40" i="43" s="1"/>
  <c r="N38" i="43"/>
  <c r="N40" i="43" s="1"/>
  <c r="M38" i="43"/>
  <c r="M40" i="43" s="1"/>
  <c r="L38" i="43"/>
  <c r="L40" i="43" s="1"/>
  <c r="K38" i="43"/>
  <c r="K40" i="43" s="1"/>
  <c r="J38" i="43"/>
  <c r="J40" i="43" s="1"/>
  <c r="I38" i="43"/>
  <c r="I40" i="43" s="1"/>
  <c r="H38" i="43"/>
  <c r="H40" i="43" s="1"/>
  <c r="G38" i="43"/>
  <c r="G40" i="43" s="1"/>
  <c r="F38" i="43"/>
  <c r="F40" i="43" s="1"/>
  <c r="E38" i="43"/>
  <c r="E40" i="43" s="1"/>
  <c r="D38" i="43"/>
  <c r="D39" i="43" s="1"/>
  <c r="C38" i="43"/>
  <c r="C40" i="43" s="1"/>
  <c r="B38" i="43"/>
  <c r="B39" i="43" s="1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B37" i="43"/>
  <c r="Q36" i="43"/>
  <c r="Q37" i="39" s="1"/>
  <c r="P36" i="43"/>
  <c r="P37" i="39" s="1"/>
  <c r="O36" i="43"/>
  <c r="O37" i="39" s="1"/>
  <c r="N36" i="43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B35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B34" i="43"/>
  <c r="B2" i="43"/>
  <c r="A37" i="39" s="1"/>
  <c r="E40" i="33"/>
  <c r="E39" i="33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39" i="33" s="1"/>
  <c r="H38" i="33"/>
  <c r="H39" i="33" s="1"/>
  <c r="G38" i="33"/>
  <c r="G40" i="33" s="1"/>
  <c r="F38" i="33"/>
  <c r="F39" i="33" s="1"/>
  <c r="E38" i="33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K40" i="32"/>
  <c r="F40" i="32"/>
  <c r="B40" i="32"/>
  <c r="J39" i="32"/>
  <c r="Q38" i="32"/>
  <c r="Q40" i="32" s="1"/>
  <c r="P38" i="32"/>
  <c r="P39" i="32" s="1"/>
  <c r="O38" i="32"/>
  <c r="O40" i="32" s="1"/>
  <c r="N38" i="32"/>
  <c r="N40" i="32" s="1"/>
  <c r="M38" i="32"/>
  <c r="M40" i="32" s="1"/>
  <c r="L38" i="32"/>
  <c r="L39" i="32" s="1"/>
  <c r="K38" i="32"/>
  <c r="K39" i="32" s="1"/>
  <c r="J38" i="32"/>
  <c r="J40" i="32" s="1"/>
  <c r="I38" i="32"/>
  <c r="I39" i="32" s="1"/>
  <c r="H38" i="32"/>
  <c r="H39" i="32" s="1"/>
  <c r="G38" i="32"/>
  <c r="G39" i="32" s="1"/>
  <c r="F38" i="32"/>
  <c r="F39" i="32" s="1"/>
  <c r="E38" i="32"/>
  <c r="E40" i="32" s="1"/>
  <c r="D38" i="32"/>
  <c r="D40" i="32" s="1"/>
  <c r="C38" i="32"/>
  <c r="C40" i="32" s="1"/>
  <c r="B38" i="32"/>
  <c r="B39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L40" i="31"/>
  <c r="K40" i="31"/>
  <c r="J39" i="31"/>
  <c r="I39" i="31"/>
  <c r="H39" i="31"/>
  <c r="C39" i="31"/>
  <c r="Q38" i="31"/>
  <c r="Q39" i="31" s="1"/>
  <c r="P38" i="31"/>
  <c r="P40" i="31" s="1"/>
  <c r="O38" i="31"/>
  <c r="O40" i="31" s="1"/>
  <c r="N38" i="31"/>
  <c r="N40" i="31" s="1"/>
  <c r="M38" i="31"/>
  <c r="M39" i="31" s="1"/>
  <c r="L38" i="31"/>
  <c r="L39" i="31" s="1"/>
  <c r="K38" i="31"/>
  <c r="K39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D40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39" i="30" s="1"/>
  <c r="G38" i="30"/>
  <c r="G40" i="30" s="1"/>
  <c r="F38" i="30"/>
  <c r="F39" i="30" s="1"/>
  <c r="E38" i="30"/>
  <c r="E40" i="30" s="1"/>
  <c r="D38" i="30"/>
  <c r="D39" i="30" s="1"/>
  <c r="C38" i="30"/>
  <c r="C40" i="30" s="1"/>
  <c r="B38" i="30"/>
  <c r="B39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M40" i="29"/>
  <c r="L40" i="29"/>
  <c r="K40" i="29"/>
  <c r="N39" i="29"/>
  <c r="J39" i="29"/>
  <c r="Q38" i="29"/>
  <c r="Q40" i="29" s="1"/>
  <c r="P38" i="29"/>
  <c r="P39" i="29" s="1"/>
  <c r="O38" i="29"/>
  <c r="O39" i="29" s="1"/>
  <c r="N38" i="29"/>
  <c r="N40" i="29" s="1"/>
  <c r="M38" i="29"/>
  <c r="M39" i="29" s="1"/>
  <c r="L38" i="29"/>
  <c r="L39" i="29" s="1"/>
  <c r="K38" i="29"/>
  <c r="K39" i="29" s="1"/>
  <c r="J38" i="29"/>
  <c r="J40" i="29" s="1"/>
  <c r="I38" i="29"/>
  <c r="I40" i="29" s="1"/>
  <c r="H38" i="29"/>
  <c r="H40" i="29" s="1"/>
  <c r="G38" i="29"/>
  <c r="G40" i="29" s="1"/>
  <c r="F38" i="29"/>
  <c r="F40" i="29" s="1"/>
  <c r="E38" i="29"/>
  <c r="E39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40" i="28"/>
  <c r="P40" i="28"/>
  <c r="D40" i="28"/>
  <c r="O39" i="28"/>
  <c r="L39" i="28"/>
  <c r="Q38" i="28"/>
  <c r="Q39" i="28" s="1"/>
  <c r="P38" i="28"/>
  <c r="P39" i="28" s="1"/>
  <c r="O38" i="28"/>
  <c r="O40" i="28" s="1"/>
  <c r="N38" i="28"/>
  <c r="N40" i="28" s="1"/>
  <c r="M38" i="28"/>
  <c r="M40" i="28" s="1"/>
  <c r="L38" i="28"/>
  <c r="L40" i="28" s="1"/>
  <c r="K38" i="28"/>
  <c r="K39" i="28" s="1"/>
  <c r="J38" i="28"/>
  <c r="J39" i="28" s="1"/>
  <c r="I38" i="28"/>
  <c r="I40" i="28" s="1"/>
  <c r="H39" i="28"/>
  <c r="G40" i="28"/>
  <c r="F38" i="28"/>
  <c r="F40" i="28" s="1"/>
  <c r="E38" i="28"/>
  <c r="E40" i="28" s="1"/>
  <c r="D38" i="28"/>
  <c r="D39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H40" i="27"/>
  <c r="M39" i="27"/>
  <c r="H39" i="27"/>
  <c r="Q38" i="27"/>
  <c r="Q39" i="27" s="1"/>
  <c r="P38" i="27"/>
  <c r="P39" i="27" s="1"/>
  <c r="O38" i="27"/>
  <c r="O39" i="27" s="1"/>
  <c r="N38" i="27"/>
  <c r="N39" i="27" s="1"/>
  <c r="M38" i="27"/>
  <c r="M40" i="27" s="1"/>
  <c r="L38" i="27"/>
  <c r="L40" i="27" s="1"/>
  <c r="K38" i="27"/>
  <c r="K40" i="27" s="1"/>
  <c r="J38" i="27"/>
  <c r="J40" i="27" s="1"/>
  <c r="I38" i="27"/>
  <c r="I40" i="27" s="1"/>
  <c r="H38" i="27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I40" i="26"/>
  <c r="H40" i="26"/>
  <c r="B40" i="26"/>
  <c r="Q39" i="26"/>
  <c r="Q38" i="26"/>
  <c r="Q40" i="26" s="1"/>
  <c r="P38" i="26"/>
  <c r="P40" i="26" s="1"/>
  <c r="O38" i="26"/>
  <c r="O40" i="26" s="1"/>
  <c r="N38" i="26"/>
  <c r="N40" i="26" s="1"/>
  <c r="M38" i="26"/>
  <c r="M39" i="26" s="1"/>
  <c r="L38" i="26"/>
  <c r="L39" i="26" s="1"/>
  <c r="K38" i="26"/>
  <c r="K40" i="26" s="1"/>
  <c r="J38" i="26"/>
  <c r="J39" i="26" s="1"/>
  <c r="I38" i="26"/>
  <c r="I39" i="26" s="1"/>
  <c r="H38" i="26"/>
  <c r="H39" i="26" s="1"/>
  <c r="G38" i="26"/>
  <c r="G40" i="26" s="1"/>
  <c r="F38" i="26"/>
  <c r="F40" i="26" s="1"/>
  <c r="E38" i="26"/>
  <c r="E40" i="26" s="1"/>
  <c r="D38" i="26"/>
  <c r="D40" i="26" s="1"/>
  <c r="C38" i="26"/>
  <c r="C39" i="26" s="1"/>
  <c r="B38" i="26"/>
  <c r="B39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N40" i="25"/>
  <c r="Q39" i="25"/>
  <c r="O39" i="25"/>
  <c r="J39" i="25"/>
  <c r="Q38" i="25"/>
  <c r="Q40" i="25" s="1"/>
  <c r="P38" i="25"/>
  <c r="P39" i="25" s="1"/>
  <c r="O38" i="25"/>
  <c r="O40" i="25" s="1"/>
  <c r="N38" i="25"/>
  <c r="N39" i="25" s="1"/>
  <c r="M38" i="25"/>
  <c r="M40" i="25" s="1"/>
  <c r="L38" i="25"/>
  <c r="L40" i="25" s="1"/>
  <c r="K38" i="25"/>
  <c r="K40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39" i="25" s="1"/>
  <c r="B38" i="25"/>
  <c r="B39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39" i="24" s="1"/>
  <c r="N38" i="24"/>
  <c r="N39" i="24" s="1"/>
  <c r="M38" i="24"/>
  <c r="M40" i="24" s="1"/>
  <c r="L38" i="24"/>
  <c r="L39" i="24" s="1"/>
  <c r="K38" i="24"/>
  <c r="K39" i="24" s="1"/>
  <c r="J38" i="24"/>
  <c r="J39" i="24" s="1"/>
  <c r="I38" i="24"/>
  <c r="I40" i="24" s="1"/>
  <c r="H38" i="24"/>
  <c r="H39" i="24" s="1"/>
  <c r="G38" i="24"/>
  <c r="G40" i="24" s="1"/>
  <c r="F38" i="24"/>
  <c r="F40" i="24" s="1"/>
  <c r="E38" i="24"/>
  <c r="E39" i="24" s="1"/>
  <c r="D38" i="24"/>
  <c r="D39" i="24" s="1"/>
  <c r="C38" i="24"/>
  <c r="C39" i="24" s="1"/>
  <c r="B38" i="24"/>
  <c r="B39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P40" i="23"/>
  <c r="O39" i="23"/>
  <c r="Q38" i="23"/>
  <c r="Q40" i="23" s="1"/>
  <c r="P38" i="23"/>
  <c r="P39" i="23" s="1"/>
  <c r="O38" i="23"/>
  <c r="O40" i="23" s="1"/>
  <c r="N38" i="23"/>
  <c r="N40" i="23" s="1"/>
  <c r="M38" i="23"/>
  <c r="M40" i="23" s="1"/>
  <c r="L38" i="23"/>
  <c r="L39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39" i="23" s="1"/>
  <c r="C38" i="23"/>
  <c r="C39" i="23" s="1"/>
  <c r="B38" i="23"/>
  <c r="B39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Q38" i="22"/>
  <c r="Q39" i="22" s="1"/>
  <c r="P38" i="22"/>
  <c r="P39" i="22" s="1"/>
  <c r="O38" i="22"/>
  <c r="O40" i="22" s="1"/>
  <c r="N38" i="22"/>
  <c r="N40" i="22" s="1"/>
  <c r="M38" i="22"/>
  <c r="M39" i="22" s="1"/>
  <c r="L38" i="22"/>
  <c r="L40" i="22" s="1"/>
  <c r="K38" i="22"/>
  <c r="K40" i="22" s="1"/>
  <c r="J38" i="22"/>
  <c r="J39" i="22" s="1"/>
  <c r="I38" i="22"/>
  <c r="I40" i="22" s="1"/>
  <c r="H38" i="22"/>
  <c r="H40" i="22" s="1"/>
  <c r="G38" i="22"/>
  <c r="G39" i="22" s="1"/>
  <c r="F38" i="22"/>
  <c r="F39" i="22" s="1"/>
  <c r="E38" i="22"/>
  <c r="E39" i="22" s="1"/>
  <c r="D38" i="22"/>
  <c r="D39" i="22" s="1"/>
  <c r="C38" i="22"/>
  <c r="C39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K40" i="21"/>
  <c r="G40" i="21"/>
  <c r="Q38" i="21"/>
  <c r="Q39" i="21" s="1"/>
  <c r="P38" i="21"/>
  <c r="P40" i="21" s="1"/>
  <c r="O38" i="21"/>
  <c r="O40" i="21" s="1"/>
  <c r="N38" i="21"/>
  <c r="N40" i="21" s="1"/>
  <c r="M38" i="21"/>
  <c r="M39" i="21" s="1"/>
  <c r="L38" i="21"/>
  <c r="L40" i="21" s="1"/>
  <c r="K38" i="21"/>
  <c r="K39" i="21" s="1"/>
  <c r="J38" i="21"/>
  <c r="J39" i="21" s="1"/>
  <c r="I38" i="21"/>
  <c r="I39" i="21" s="1"/>
  <c r="H38" i="21"/>
  <c r="H39" i="21" s="1"/>
  <c r="G38" i="21"/>
  <c r="G39" i="21" s="1"/>
  <c r="F39" i="21"/>
  <c r="E38" i="21"/>
  <c r="E39" i="21" s="1"/>
  <c r="D38" i="21"/>
  <c r="D39" i="21" s="1"/>
  <c r="C38" i="21"/>
  <c r="C39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Q38" i="20"/>
  <c r="Q40" i="20" s="1"/>
  <c r="P39" i="20"/>
  <c r="O38" i="20"/>
  <c r="O40" i="20" s="1"/>
  <c r="N38" i="20"/>
  <c r="N40" i="20" s="1"/>
  <c r="M38" i="20"/>
  <c r="M40" i="20" s="1"/>
  <c r="L38" i="20"/>
  <c r="L39" i="20" s="1"/>
  <c r="K38" i="20"/>
  <c r="K40" i="20" s="1"/>
  <c r="J38" i="20"/>
  <c r="J40" i="20" s="1"/>
  <c r="I38" i="20"/>
  <c r="I39" i="20" s="1"/>
  <c r="H38" i="20"/>
  <c r="H39" i="20" s="1"/>
  <c r="G38" i="20"/>
  <c r="G39" i="20" s="1"/>
  <c r="F38" i="20"/>
  <c r="F39" i="20" s="1"/>
  <c r="E38" i="20"/>
  <c r="E39" i="20" s="1"/>
  <c r="D38" i="20"/>
  <c r="D39" i="20" s="1"/>
  <c r="C38" i="20"/>
  <c r="C39" i="20" s="1"/>
  <c r="B38" i="20"/>
  <c r="B39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 s="1"/>
  <c r="Q38" i="19"/>
  <c r="Q40" i="19" s="1"/>
  <c r="P40" i="19"/>
  <c r="O38" i="19"/>
  <c r="O40" i="19" s="1"/>
  <c r="N38" i="19"/>
  <c r="N40" i="19" s="1"/>
  <c r="M38" i="19"/>
  <c r="M39" i="19" s="1"/>
  <c r="L38" i="19"/>
  <c r="L40" i="19" s="1"/>
  <c r="K38" i="19"/>
  <c r="K39" i="19" s="1"/>
  <c r="J38" i="19"/>
  <c r="J39" i="19" s="1"/>
  <c r="I38" i="19"/>
  <c r="I40" i="19" s="1"/>
  <c r="H40" i="19"/>
  <c r="G39" i="19"/>
  <c r="F38" i="19"/>
  <c r="F39" i="19" s="1"/>
  <c r="E38" i="19"/>
  <c r="E39" i="19" s="1"/>
  <c r="D38" i="19"/>
  <c r="D39" i="19" s="1"/>
  <c r="C38" i="19"/>
  <c r="C39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39" i="18" s="1"/>
  <c r="P38" i="18"/>
  <c r="P39" i="18" s="1"/>
  <c r="O38" i="18"/>
  <c r="O40" i="18" s="1"/>
  <c r="N38" i="18"/>
  <c r="N39" i="18" s="1"/>
  <c r="M38" i="18"/>
  <c r="M39" i="18" s="1"/>
  <c r="L38" i="18"/>
  <c r="L39" i="18" s="1"/>
  <c r="K38" i="18"/>
  <c r="K39" i="18" s="1"/>
  <c r="J38" i="18"/>
  <c r="J39" i="18" s="1"/>
  <c r="I38" i="18"/>
  <c r="I40" i="18" s="1"/>
  <c r="H38" i="18"/>
  <c r="H39" i="18" s="1"/>
  <c r="G38" i="18"/>
  <c r="G39" i="18" s="1"/>
  <c r="F38" i="18"/>
  <c r="F40" i="18" s="1"/>
  <c r="E38" i="18"/>
  <c r="E40" i="18" s="1"/>
  <c r="D38" i="18"/>
  <c r="D39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J40" i="17"/>
  <c r="I40" i="17"/>
  <c r="H40" i="17"/>
  <c r="E40" i="17"/>
  <c r="Q38" i="17"/>
  <c r="Q39" i="17" s="1"/>
  <c r="P38" i="17"/>
  <c r="P40" i="17" s="1"/>
  <c r="O38" i="17"/>
  <c r="O40" i="17" s="1"/>
  <c r="N38" i="17"/>
  <c r="N39" i="17" s="1"/>
  <c r="M38" i="17"/>
  <c r="M39" i="17" s="1"/>
  <c r="L38" i="17"/>
  <c r="L39" i="17" s="1"/>
  <c r="K38" i="17"/>
  <c r="K39" i="17" s="1"/>
  <c r="J38" i="17"/>
  <c r="J39" i="17" s="1"/>
  <c r="I38" i="17"/>
  <c r="I39" i="17" s="1"/>
  <c r="H38" i="17"/>
  <c r="H39" i="17" s="1"/>
  <c r="G38" i="17"/>
  <c r="G39" i="17" s="1"/>
  <c r="F38" i="17"/>
  <c r="F40" i="17" s="1"/>
  <c r="E38" i="17"/>
  <c r="E39" i="17" s="1"/>
  <c r="D38" i="17"/>
  <c r="D40" i="17" s="1"/>
  <c r="C38" i="17"/>
  <c r="C39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39" i="16" s="1"/>
  <c r="M38" i="16"/>
  <c r="M39" i="16" s="1"/>
  <c r="L38" i="16"/>
  <c r="L39" i="16" s="1"/>
  <c r="K38" i="16"/>
  <c r="K39" i="16" s="1"/>
  <c r="J38" i="16"/>
  <c r="J39" i="16" s="1"/>
  <c r="I38" i="16"/>
  <c r="I39" i="16" s="1"/>
  <c r="H38" i="16"/>
  <c r="H39" i="16" s="1"/>
  <c r="G38" i="16"/>
  <c r="G39" i="16" s="1"/>
  <c r="F38" i="16"/>
  <c r="F39" i="16" s="1"/>
  <c r="E38" i="16"/>
  <c r="E40" i="16" s="1"/>
  <c r="D38" i="16"/>
  <c r="D39" i="16" s="1"/>
  <c r="C38" i="16"/>
  <c r="C39" i="16" s="1"/>
  <c r="B38" i="16"/>
  <c r="B39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G39" i="15"/>
  <c r="F39" i="15"/>
  <c r="Q38" i="15"/>
  <c r="Q39" i="15" s="1"/>
  <c r="P38" i="15"/>
  <c r="P39" i="15" s="1"/>
  <c r="O38" i="15"/>
  <c r="O40" i="15" s="1"/>
  <c r="N38" i="15"/>
  <c r="N39" i="15" s="1"/>
  <c r="M38" i="15"/>
  <c r="M39" i="15" s="1"/>
  <c r="L38" i="15"/>
  <c r="L39" i="15" s="1"/>
  <c r="K38" i="15"/>
  <c r="K40" i="15" s="1"/>
  <c r="J38" i="15"/>
  <c r="J39" i="15" s="1"/>
  <c r="I38" i="15"/>
  <c r="I39" i="15" s="1"/>
  <c r="H38" i="15"/>
  <c r="H39" i="15" s="1"/>
  <c r="G38" i="15"/>
  <c r="G40" i="15" s="1"/>
  <c r="F38" i="15"/>
  <c r="F40" i="15" s="1"/>
  <c r="E38" i="15"/>
  <c r="E39" i="15" s="1"/>
  <c r="D38" i="15"/>
  <c r="D39" i="15" s="1"/>
  <c r="C38" i="15"/>
  <c r="C39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P40" i="14"/>
  <c r="K40" i="14"/>
  <c r="Q38" i="14"/>
  <c r="Q40" i="14" s="1"/>
  <c r="P38" i="14"/>
  <c r="P39" i="14" s="1"/>
  <c r="O38" i="14"/>
  <c r="O39" i="14" s="1"/>
  <c r="N38" i="14"/>
  <c r="N40" i="14" s="1"/>
  <c r="M38" i="14"/>
  <c r="M39" i="14" s="1"/>
  <c r="L38" i="14"/>
  <c r="L39" i="14" s="1"/>
  <c r="K38" i="14"/>
  <c r="K39" i="14" s="1"/>
  <c r="J38" i="14"/>
  <c r="J40" i="14" s="1"/>
  <c r="I38" i="14"/>
  <c r="I39" i="14" s="1"/>
  <c r="H38" i="14"/>
  <c r="H40" i="14" s="1"/>
  <c r="G38" i="14"/>
  <c r="G39" i="14" s="1"/>
  <c r="F38" i="14"/>
  <c r="F40" i="14" s="1"/>
  <c r="E38" i="14"/>
  <c r="E40" i="14" s="1"/>
  <c r="D38" i="14"/>
  <c r="D40" i="14" s="1"/>
  <c r="C38" i="14"/>
  <c r="B38" i="14"/>
  <c r="B39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39" i="13" s="1"/>
  <c r="P38" i="13"/>
  <c r="P40" i="13" s="1"/>
  <c r="O38" i="13"/>
  <c r="O39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39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39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39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39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39" i="9" s="1"/>
  <c r="G38" i="9"/>
  <c r="G40" i="9" s="1"/>
  <c r="F38" i="9"/>
  <c r="F40" i="9" s="1"/>
  <c r="E38" i="9"/>
  <c r="E39" i="9" s="1"/>
  <c r="D38" i="9"/>
  <c r="D40" i="9" s="1"/>
  <c r="C38" i="9"/>
  <c r="C39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39" i="8" s="1"/>
  <c r="H38" i="8"/>
  <c r="H40" i="8" s="1"/>
  <c r="G38" i="8"/>
  <c r="G40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39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39" i="3" s="1"/>
  <c r="I38" i="3"/>
  <c r="I40" i="3" s="1"/>
  <c r="H40" i="3"/>
  <c r="G39" i="3"/>
  <c r="F40" i="3"/>
  <c r="E39" i="3"/>
  <c r="D38" i="3"/>
  <c r="D39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39" i="2" s="1"/>
  <c r="P38" i="2"/>
  <c r="P39" i="2" s="1"/>
  <c r="O38" i="2"/>
  <c r="O40" i="2" s="1"/>
  <c r="N38" i="2"/>
  <c r="N40" i="2" s="1"/>
  <c r="M38" i="2"/>
  <c r="M39" i="2" s="1"/>
  <c r="L38" i="2"/>
  <c r="L40" i="2" s="1"/>
  <c r="K38" i="2"/>
  <c r="K40" i="2" s="1"/>
  <c r="J38" i="2"/>
  <c r="J40" i="2" s="1"/>
  <c r="I38" i="2"/>
  <c r="I40" i="2" s="1"/>
  <c r="H38" i="2"/>
  <c r="H39" i="2" s="1"/>
  <c r="G38" i="2"/>
  <c r="G40" i="2" s="1"/>
  <c r="F40" i="2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C39" i="40" l="1"/>
  <c r="P39" i="19"/>
  <c r="B40" i="21"/>
  <c r="N39" i="20"/>
  <c r="O39" i="20"/>
  <c r="D40" i="20"/>
  <c r="G40" i="18"/>
  <c r="H40" i="18"/>
  <c r="K40" i="18"/>
  <c r="L40" i="18"/>
  <c r="O39" i="19"/>
  <c r="D40" i="19"/>
  <c r="I40" i="16"/>
  <c r="J40" i="16"/>
  <c r="C40" i="15"/>
  <c r="E40" i="15"/>
  <c r="P40" i="15"/>
  <c r="F39" i="14"/>
  <c r="H39" i="14"/>
  <c r="N39" i="14"/>
  <c r="O40" i="14"/>
  <c r="E39" i="43"/>
  <c r="J39" i="33"/>
  <c r="K39" i="33"/>
  <c r="Q39" i="33"/>
  <c r="C40" i="33"/>
  <c r="F40" i="33"/>
  <c r="I40" i="33"/>
  <c r="I40" i="32"/>
  <c r="H40" i="32"/>
  <c r="D39" i="32"/>
  <c r="G40" i="32"/>
  <c r="G39" i="31"/>
  <c r="M40" i="31"/>
  <c r="I39" i="30"/>
  <c r="J39" i="30"/>
  <c r="L39" i="30"/>
  <c r="M39" i="30"/>
  <c r="N39" i="30"/>
  <c r="B40" i="30"/>
  <c r="C39" i="29"/>
  <c r="F39" i="29"/>
  <c r="G39" i="29"/>
  <c r="I39" i="29"/>
  <c r="E40" i="29"/>
  <c r="F39" i="28"/>
  <c r="G39" i="28"/>
  <c r="M39" i="28"/>
  <c r="O40" i="27"/>
  <c r="G39" i="27"/>
  <c r="N40" i="27"/>
  <c r="I39" i="27"/>
  <c r="K39" i="27"/>
  <c r="P40" i="27"/>
  <c r="L39" i="27"/>
  <c r="L40" i="26"/>
  <c r="F39" i="26"/>
  <c r="N39" i="26"/>
  <c r="O39" i="26"/>
  <c r="C40" i="26"/>
  <c r="P40" i="25"/>
  <c r="I39" i="25"/>
  <c r="K39" i="25"/>
  <c r="M39" i="25"/>
  <c r="E40" i="24"/>
  <c r="D40" i="24"/>
  <c r="J40" i="24"/>
  <c r="K40" i="24"/>
  <c r="N40" i="24"/>
  <c r="H40" i="24"/>
  <c r="P39" i="24"/>
  <c r="Q39" i="24"/>
  <c r="C40" i="24"/>
  <c r="M39" i="23"/>
  <c r="Q39" i="23"/>
  <c r="B40" i="23"/>
  <c r="C40" i="23"/>
  <c r="L40" i="23"/>
  <c r="K39" i="23"/>
  <c r="I39" i="40"/>
  <c r="F39" i="40"/>
  <c r="H39" i="40"/>
  <c r="M39" i="40"/>
  <c r="O39" i="40"/>
  <c r="B40" i="43"/>
  <c r="P39" i="43"/>
  <c r="I39" i="43"/>
  <c r="N39" i="43"/>
  <c r="M40" i="22"/>
  <c r="I39" i="22"/>
  <c r="F40" i="22"/>
  <c r="G40" i="22"/>
  <c r="L39" i="22"/>
  <c r="N39" i="22"/>
  <c r="C40" i="22"/>
  <c r="D40" i="22"/>
  <c r="J40" i="22"/>
  <c r="Q40" i="21"/>
  <c r="N39" i="21"/>
  <c r="O39" i="21"/>
  <c r="D40" i="21"/>
  <c r="E40" i="21"/>
  <c r="F40" i="21"/>
  <c r="H40" i="21"/>
  <c r="P40" i="20"/>
  <c r="E40" i="20"/>
  <c r="H40" i="20"/>
  <c r="I40" i="20"/>
  <c r="L40" i="20"/>
  <c r="B40" i="20"/>
  <c r="C40" i="20"/>
  <c r="Q39" i="19"/>
  <c r="F40" i="19"/>
  <c r="J40" i="19"/>
  <c r="K40" i="19"/>
  <c r="M40" i="19"/>
  <c r="H39" i="19"/>
  <c r="I39" i="19"/>
  <c r="L39" i="19"/>
  <c r="J40" i="18"/>
  <c r="N40" i="18"/>
  <c r="P40" i="18"/>
  <c r="E39" i="18"/>
  <c r="M40" i="18"/>
  <c r="F39" i="18"/>
  <c r="I39" i="18"/>
  <c r="B40" i="18"/>
  <c r="K40" i="17"/>
  <c r="L40" i="17"/>
  <c r="N40" i="17"/>
  <c r="F39" i="17"/>
  <c r="O39" i="17"/>
  <c r="C40" i="17"/>
  <c r="G40" i="17"/>
  <c r="M40" i="16"/>
  <c r="N40" i="16"/>
  <c r="C40" i="16"/>
  <c r="D40" i="16"/>
  <c r="F40" i="16"/>
  <c r="G40" i="16"/>
  <c r="H40" i="16"/>
  <c r="H40" i="15"/>
  <c r="I40" i="15"/>
  <c r="L40" i="15"/>
  <c r="M40" i="15"/>
  <c r="Q40" i="15"/>
  <c r="K39" i="15"/>
  <c r="O39" i="15"/>
  <c r="D39" i="14"/>
  <c r="E39" i="14"/>
  <c r="L40" i="14"/>
  <c r="J39" i="14"/>
  <c r="Q39" i="14"/>
  <c r="B40" i="14"/>
  <c r="G40" i="14"/>
  <c r="O40" i="39"/>
  <c r="D39" i="10"/>
  <c r="M41" i="39"/>
  <c r="J44" i="39"/>
  <c r="J43" i="39"/>
  <c r="J42" i="39"/>
  <c r="J41" i="39"/>
  <c r="J40" i="39"/>
  <c r="L44" i="39"/>
  <c r="L43" i="39"/>
  <c r="L42" i="39"/>
  <c r="L41" i="39"/>
  <c r="L40" i="39"/>
  <c r="D40" i="3"/>
  <c r="K39" i="20"/>
  <c r="F39" i="23"/>
  <c r="D39" i="25"/>
  <c r="N39" i="13"/>
  <c r="O39" i="16"/>
  <c r="F39" i="2"/>
  <c r="C40" i="9"/>
  <c r="P39" i="12"/>
  <c r="P39" i="16"/>
  <c r="B39" i="17"/>
  <c r="B39" i="27"/>
  <c r="G39" i="43"/>
  <c r="G44" i="39"/>
  <c r="G43" i="39"/>
  <c r="G42" i="39"/>
  <c r="G41" i="39"/>
  <c r="G40" i="39"/>
  <c r="G39" i="2"/>
  <c r="F39" i="3"/>
  <c r="E39" i="8"/>
  <c r="D39" i="9"/>
  <c r="C39" i="10"/>
  <c r="B39" i="11"/>
  <c r="Q39" i="12"/>
  <c r="P39" i="13"/>
  <c r="B40" i="16"/>
  <c r="B39" i="22"/>
  <c r="E40" i="22"/>
  <c r="I39" i="23"/>
  <c r="B40" i="24"/>
  <c r="G39" i="25"/>
  <c r="P39" i="26"/>
  <c r="E39" i="27"/>
  <c r="N39" i="28"/>
  <c r="K39" i="30"/>
  <c r="E39" i="31"/>
  <c r="O39" i="33"/>
  <c r="H39" i="43"/>
  <c r="D39" i="40"/>
  <c r="Q40" i="40"/>
  <c r="E44" i="39"/>
  <c r="E43" i="39"/>
  <c r="E42" i="39"/>
  <c r="E41" i="39"/>
  <c r="E40" i="39"/>
  <c r="Q40" i="10"/>
  <c r="E39" i="23"/>
  <c r="O40" i="13"/>
  <c r="C40" i="11"/>
  <c r="H39" i="3"/>
  <c r="G39" i="8"/>
  <c r="F39" i="9"/>
  <c r="E39" i="10"/>
  <c r="D39" i="11"/>
  <c r="C39" i="12"/>
  <c r="B39" i="13"/>
  <c r="D40" i="15"/>
  <c r="C40" i="21"/>
  <c r="Q40" i="31"/>
  <c r="J39" i="43"/>
  <c r="G39" i="40"/>
  <c r="O39" i="12"/>
  <c r="J39" i="20"/>
  <c r="I44" i="39"/>
  <c r="I43" i="39"/>
  <c r="I42" i="39"/>
  <c r="I41" i="39"/>
  <c r="I40" i="39"/>
  <c r="I39" i="2"/>
  <c r="J39" i="2"/>
  <c r="I39" i="3"/>
  <c r="H39" i="8"/>
  <c r="G39" i="9"/>
  <c r="F39" i="10"/>
  <c r="E39" i="11"/>
  <c r="D39" i="12"/>
  <c r="C39" i="13"/>
  <c r="C40" i="8"/>
  <c r="F43" i="39"/>
  <c r="F42" i="39"/>
  <c r="F41" i="39"/>
  <c r="F40" i="39"/>
  <c r="E40" i="3"/>
  <c r="D39" i="8"/>
  <c r="B39" i="10"/>
  <c r="H44" i="39"/>
  <c r="H43" i="39"/>
  <c r="H42" i="39"/>
  <c r="H41" i="39"/>
  <c r="H40" i="39"/>
  <c r="F40" i="8"/>
  <c r="B39" i="12"/>
  <c r="J40" i="3"/>
  <c r="I40" i="8"/>
  <c r="E40" i="12"/>
  <c r="D39" i="13"/>
  <c r="L39" i="2"/>
  <c r="I39" i="9"/>
  <c r="H39" i="10"/>
  <c r="G39" i="11"/>
  <c r="F39" i="12"/>
  <c r="E39" i="13"/>
  <c r="H40" i="33"/>
  <c r="H40" i="2"/>
  <c r="E40" i="9"/>
  <c r="Q40" i="13"/>
  <c r="E39" i="16"/>
  <c r="M40" i="2"/>
  <c r="L39" i="3"/>
  <c r="K39" i="8"/>
  <c r="J39" i="9"/>
  <c r="I39" i="10"/>
  <c r="H39" i="11"/>
  <c r="G39" i="12"/>
  <c r="F39" i="13"/>
  <c r="Q40" i="27"/>
  <c r="F40" i="30"/>
  <c r="L40" i="32"/>
  <c r="D40" i="43"/>
  <c r="M40" i="39"/>
  <c r="C40" i="14"/>
  <c r="C39" i="14"/>
  <c r="K40" i="3"/>
  <c r="J39" i="8"/>
  <c r="N44" i="39"/>
  <c r="N43" i="39"/>
  <c r="N42" i="39"/>
  <c r="N41" i="39"/>
  <c r="N40" i="39"/>
  <c r="N39" i="2"/>
  <c r="M39" i="3"/>
  <c r="L39" i="8"/>
  <c r="K39" i="9"/>
  <c r="J39" i="10"/>
  <c r="I39" i="11"/>
  <c r="H39" i="12"/>
  <c r="G39" i="13"/>
  <c r="M40" i="17"/>
  <c r="Q40" i="18"/>
  <c r="C40" i="19"/>
  <c r="L40" i="24"/>
  <c r="J40" i="26"/>
  <c r="H40" i="28"/>
  <c r="O40" i="29"/>
  <c r="H40" i="30"/>
  <c r="P40" i="32"/>
  <c r="P40" i="11"/>
  <c r="O44" i="39"/>
  <c r="O39" i="2"/>
  <c r="N39" i="3"/>
  <c r="M39" i="8"/>
  <c r="L39" i="9"/>
  <c r="K39" i="10"/>
  <c r="J39" i="11"/>
  <c r="I39" i="12"/>
  <c r="H39" i="13"/>
  <c r="I40" i="14"/>
  <c r="J40" i="15"/>
  <c r="K40" i="16"/>
  <c r="F40" i="20"/>
  <c r="I40" i="21"/>
  <c r="P40" i="22"/>
  <c r="J40" i="28"/>
  <c r="P40" i="29"/>
  <c r="E39" i="2"/>
  <c r="K44" i="39"/>
  <c r="K43" i="39"/>
  <c r="K42" i="39"/>
  <c r="K41" i="39"/>
  <c r="K40" i="39"/>
  <c r="P40" i="2"/>
  <c r="O39" i="3"/>
  <c r="N39" i="8"/>
  <c r="M39" i="9"/>
  <c r="L39" i="10"/>
  <c r="K39" i="11"/>
  <c r="J39" i="12"/>
  <c r="I39" i="13"/>
  <c r="L40" i="16"/>
  <c r="E40" i="19"/>
  <c r="G40" i="20"/>
  <c r="J40" i="21"/>
  <c r="Q40" i="22"/>
  <c r="D40" i="23"/>
  <c r="O40" i="24"/>
  <c r="B40" i="25"/>
  <c r="M40" i="26"/>
  <c r="K40" i="28"/>
  <c r="O41" i="39"/>
  <c r="Q39" i="11"/>
  <c r="G40" i="3"/>
  <c r="H40" i="9"/>
  <c r="F39" i="11"/>
  <c r="M44" i="39"/>
  <c r="O39" i="8"/>
  <c r="N39" i="9"/>
  <c r="M39" i="10"/>
  <c r="L39" i="11"/>
  <c r="K39" i="12"/>
  <c r="J39" i="13"/>
  <c r="Q40" i="17"/>
  <c r="C40" i="25"/>
  <c r="M42" i="39"/>
  <c r="B39" i="9"/>
  <c r="G39" i="10"/>
  <c r="Q40" i="2"/>
  <c r="B44" i="39"/>
  <c r="B43" i="39"/>
  <c r="B42" i="39"/>
  <c r="B41" i="39"/>
  <c r="B40" i="39"/>
  <c r="B39" i="2"/>
  <c r="Q39" i="3"/>
  <c r="P39" i="8"/>
  <c r="O39" i="9"/>
  <c r="N39" i="10"/>
  <c r="M39" i="11"/>
  <c r="L39" i="12"/>
  <c r="K39" i="13"/>
  <c r="D40" i="18"/>
  <c r="G40" i="19"/>
  <c r="M40" i="21"/>
  <c r="O42" i="39"/>
  <c r="K39" i="2"/>
  <c r="P40" i="3"/>
  <c r="C44" i="39"/>
  <c r="C43" i="39"/>
  <c r="C42" i="39"/>
  <c r="C41" i="39"/>
  <c r="C40" i="39"/>
  <c r="C39" i="2"/>
  <c r="B39" i="3"/>
  <c r="Q39" i="8"/>
  <c r="P39" i="9"/>
  <c r="O39" i="10"/>
  <c r="N39" i="11"/>
  <c r="M39" i="12"/>
  <c r="L39" i="13"/>
  <c r="M40" i="14"/>
  <c r="N40" i="15"/>
  <c r="M43" i="39"/>
  <c r="P44" i="39"/>
  <c r="P43" i="39"/>
  <c r="P42" i="39"/>
  <c r="P41" i="39"/>
  <c r="P40" i="39"/>
  <c r="Q44" i="39"/>
  <c r="Q43" i="39"/>
  <c r="Q42" i="39"/>
  <c r="Q41" i="39"/>
  <c r="Q40" i="39"/>
  <c r="D44" i="39"/>
  <c r="D43" i="39"/>
  <c r="D42" i="39"/>
  <c r="D41" i="39"/>
  <c r="D40" i="39"/>
  <c r="D39" i="2"/>
  <c r="C39" i="3"/>
  <c r="B39" i="8"/>
  <c r="Q39" i="9"/>
  <c r="P39" i="10"/>
  <c r="O39" i="11"/>
  <c r="N39" i="12"/>
  <c r="M39" i="13"/>
  <c r="O43" i="39"/>
  <c r="D39" i="17"/>
  <c r="C39" i="18"/>
  <c r="B39" i="19"/>
  <c r="Q39" i="20"/>
  <c r="P39" i="21"/>
  <c r="O39" i="22"/>
  <c r="N39" i="23"/>
  <c r="M39" i="24"/>
  <c r="L39" i="25"/>
  <c r="K39" i="26"/>
  <c r="J39" i="27"/>
  <c r="I39" i="28"/>
  <c r="H39" i="29"/>
  <c r="G39" i="30"/>
  <c r="F39" i="31"/>
  <c r="E39" i="32"/>
  <c r="D39" i="33"/>
  <c r="C39" i="43"/>
  <c r="B39" i="40"/>
  <c r="G39" i="33"/>
  <c r="F39" i="43"/>
  <c r="E39" i="40"/>
  <c r="O39" i="30"/>
  <c r="N39" i="31"/>
  <c r="M39" i="32"/>
  <c r="L39" i="33"/>
  <c r="K39" i="43"/>
  <c r="J39" i="40"/>
  <c r="H39" i="22"/>
  <c r="G39" i="23"/>
  <c r="F39" i="24"/>
  <c r="E39" i="25"/>
  <c r="D39" i="26"/>
  <c r="C39" i="27"/>
  <c r="B39" i="28"/>
  <c r="Q39" i="29"/>
  <c r="P39" i="30"/>
  <c r="O39" i="31"/>
  <c r="N39" i="32"/>
  <c r="M39" i="33"/>
  <c r="L39" i="43"/>
  <c r="K39" i="40"/>
  <c r="H39" i="23"/>
  <c r="G39" i="24"/>
  <c r="F39" i="25"/>
  <c r="E39" i="26"/>
  <c r="D39" i="27"/>
  <c r="C39" i="28"/>
  <c r="B39" i="29"/>
  <c r="Q39" i="30"/>
  <c r="P39" i="31"/>
  <c r="O39" i="32"/>
  <c r="N39" i="33"/>
  <c r="M39" i="43"/>
  <c r="L39" i="40"/>
  <c r="B39" i="15"/>
  <c r="Q39" i="16"/>
  <c r="P39" i="17"/>
  <c r="O39" i="18"/>
  <c r="N39" i="19"/>
  <c r="M39" i="20"/>
  <c r="L39" i="21"/>
  <c r="K39" i="22"/>
  <c r="J39" i="23"/>
  <c r="I39" i="24"/>
  <c r="H39" i="25"/>
  <c r="G39" i="26"/>
  <c r="F39" i="27"/>
  <c r="E39" i="28"/>
  <c r="D39" i="29"/>
  <c r="C39" i="30"/>
  <c r="B39" i="31"/>
  <c r="Q39" i="32"/>
  <c r="P39" i="33"/>
  <c r="O39" i="43"/>
  <c r="N39" i="40"/>
  <c r="E39" i="30"/>
  <c r="D39" i="31"/>
  <c r="C39" i="32"/>
  <c r="B39" i="33"/>
  <c r="Q39" i="43"/>
  <c r="P39" i="40"/>
  <c r="B46" i="39" l="1"/>
  <c r="B45" i="39"/>
  <c r="N46" i="39"/>
  <c r="N45" i="39"/>
  <c r="D46" i="39"/>
  <c r="D45" i="39"/>
  <c r="F46" i="39"/>
  <c r="F45" i="39"/>
  <c r="G46" i="39"/>
  <c r="G45" i="39"/>
  <c r="P46" i="39"/>
  <c r="P45" i="39"/>
  <c r="L46" i="39"/>
  <c r="L45" i="39"/>
  <c r="Q46" i="39"/>
  <c r="Q45" i="39"/>
  <c r="E46" i="39"/>
  <c r="E45" i="39"/>
  <c r="C46" i="39"/>
  <c r="C45" i="39"/>
  <c r="K46" i="39"/>
  <c r="K45" i="39"/>
  <c r="H46" i="39"/>
  <c r="H45" i="39"/>
  <c r="M46" i="39"/>
  <c r="M45" i="39"/>
  <c r="I46" i="39"/>
  <c r="I45" i="39"/>
  <c r="O46" i="39"/>
  <c r="O45" i="39"/>
  <c r="J46" i="39"/>
  <c r="J45" i="39"/>
</calcChain>
</file>

<file path=xl/sharedStrings.xml><?xml version="1.0" encoding="utf-8"?>
<sst xmlns="http://schemas.openxmlformats.org/spreadsheetml/2006/main" count="2877" uniqueCount="780">
  <si>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</si>
  <si>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</si>
  <si>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</si>
  <si>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</si>
  <si>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</si>
  <si>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</si>
  <si>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</si>
  <si>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</si>
  <si>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</si>
  <si>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</si>
  <si>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</si>
  <si>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</si>
  <si>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</si>
  <si>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</si>
  <si>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</si>
  <si>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</si>
  <si>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</si>
  <si>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</si>
  <si>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</si>
  <si>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</si>
  <si>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</si>
  <si>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</si>
  <si>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</si>
  <si>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</si>
  <si>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</si>
  <si>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</si>
  <si>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</si>
  <si>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</si>
  <si>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</si>
  <si>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</si>
  <si>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</si>
  <si>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</si>
  <si>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</si>
  <si>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</si>
  <si>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</si>
  <si>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</si>
  <si>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</si>
  <si>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</si>
  <si>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</si>
  <si>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</si>
  <si>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</si>
  <si>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</si>
  <si>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</si>
  <si>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</si>
  <si>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</si>
  <si>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</si>
  <si>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</si>
  <si>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</si>
  <si>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</si>
  <si>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</si>
  <si>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</si>
  <si>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</si>
  <si>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</si>
  <si>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</si>
  <si>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</si>
  <si>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</si>
  <si>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Comment</t>
  </si>
  <si>
    <t>IGKV, RAIPUR</t>
  </si>
  <si>
    <t>24 HRS</t>
  </si>
  <si>
    <t>animesh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</si>
  <si>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</si>
  <si>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</si>
  <si>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</si>
  <si>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</si>
  <si>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</si>
  <si>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</si>
  <si>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</si>
  <si>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</si>
  <si>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</si>
  <si>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</si>
  <si>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</si>
  <si>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</si>
  <si>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</si>
  <si>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</si>
  <si>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</si>
  <si>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</si>
  <si>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</si>
  <si>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</si>
  <si>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</si>
  <si>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</si>
  <si>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</si>
  <si>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</si>
  <si>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</si>
  <si>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</si>
  <si>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</si>
  <si>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</si>
  <si>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</si>
  <si>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</si>
  <si>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</si>
  <si>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</si>
  <si>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</si>
  <si>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</si>
  <si>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</si>
  <si>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</si>
  <si>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</si>
  <si>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</si>
  <si>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</si>
  <si>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</si>
  <si>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</si>
  <si>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</si>
  <si>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</si>
  <si>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</si>
  <si>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</si>
  <si>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</si>
  <si>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</si>
  <si>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</si>
  <si>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</si>
  <si>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</si>
  <si>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</si>
  <si>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</si>
  <si>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</si>
  <si>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</si>
  <si>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</si>
  <si>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</si>
  <si>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</si>
  <si>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</si>
  <si>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</si>
  <si>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</si>
  <si>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</si>
  <si>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</si>
  <si>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</si>
  <si>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</si>
  <si>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</si>
  <si>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</si>
  <si>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</si>
  <si>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</si>
  <si>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</si>
  <si>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</si>
  <si>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</si>
  <si>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</si>
  <si>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</si>
  <si>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03/04/2025 24:00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</si>
  <si>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</si>
  <si>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</si>
  <si>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</si>
  <si>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</si>
  <si>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</si>
  <si>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</si>
  <si>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</si>
  <si>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</si>
  <si>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</si>
  <si>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</si>
  <si>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</si>
  <si>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</si>
  <si>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</si>
  <si>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</si>
  <si>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</si>
  <si>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</si>
  <si>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</si>
  <si>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</si>
  <si>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</si>
  <si>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</si>
  <si>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</si>
  <si>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</si>
  <si>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</si>
  <si>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04/04/2025 24:00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</si>
  <si>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</si>
  <si>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</si>
  <si>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</si>
  <si>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</si>
  <si>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</si>
  <si>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</si>
  <si>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</si>
  <si>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</si>
  <si>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</si>
  <si>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</si>
  <si>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</si>
  <si>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</si>
  <si>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</si>
  <si>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</si>
  <si>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</si>
  <si>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</si>
  <si>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</si>
  <si>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</si>
  <si>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</si>
  <si>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</si>
  <si>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</si>
  <si>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</si>
  <si>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</si>
  <si>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05/04/2025 24:00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</si>
  <si>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</si>
  <si>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</si>
  <si>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</si>
  <si>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</si>
  <si>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</si>
  <si>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</si>
  <si>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</si>
  <si>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</si>
  <si>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</si>
  <si>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</si>
  <si>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</si>
  <si>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</si>
  <si>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</si>
  <si>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</si>
  <si>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</si>
  <si>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</si>
  <si>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</si>
  <si>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</si>
  <si>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</si>
  <si>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</si>
  <si>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</si>
  <si>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</si>
  <si>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</si>
  <si>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06/04/2025 24:00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</si>
  <si>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</si>
  <si>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</si>
  <si>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</si>
  <si>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</si>
  <si>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</si>
  <si>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</si>
  <si>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</si>
  <si>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</si>
  <si>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</si>
  <si>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</si>
  <si>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</si>
  <si>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</si>
  <si>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</si>
  <si>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</si>
  <si>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</si>
  <si>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</si>
  <si>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</si>
  <si>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</si>
  <si>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</si>
  <si>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</si>
  <si>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</si>
  <si>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</si>
  <si>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</si>
  <si>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07/04/2025 24:00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</si>
  <si>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</si>
  <si>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</si>
  <si>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</si>
  <si>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</si>
  <si>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</si>
  <si>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</si>
  <si>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</si>
  <si>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</si>
  <si>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</si>
  <si>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</si>
  <si>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</si>
  <si>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</si>
  <si>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</si>
  <si>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</si>
  <si>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</si>
  <si>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</si>
  <si>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</si>
  <si>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</si>
  <si>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</si>
  <si>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</si>
  <si>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</si>
  <si>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</si>
  <si>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</si>
  <si>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08/04/2025 24:00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</si>
  <si>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</si>
  <si>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</si>
  <si>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</si>
  <si>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</si>
  <si>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</si>
  <si>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</si>
  <si>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</si>
  <si>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</si>
  <si>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</si>
  <si>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</si>
  <si>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</si>
  <si>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</si>
  <si>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</si>
  <si>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</si>
  <si>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</si>
  <si>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</si>
  <si>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</si>
  <si>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</si>
  <si>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</si>
  <si>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</si>
  <si>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</si>
  <si>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</si>
  <si>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</si>
  <si>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09/04/2025 24:00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</si>
  <si>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</si>
  <si>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</si>
  <si>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</si>
  <si>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</si>
  <si>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</si>
  <si>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</si>
  <si>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</si>
  <si>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</si>
  <si>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</si>
  <si>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</si>
  <si>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</si>
  <si>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</si>
  <si>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</si>
  <si>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</si>
  <si>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</si>
  <si>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</si>
  <si>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</si>
  <si>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</si>
  <si>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</si>
  <si>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</si>
  <si>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</si>
  <si>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</si>
  <si>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</si>
  <si>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10/04/2025 24:00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</si>
  <si>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</si>
  <si>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</si>
  <si>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</si>
  <si>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</si>
  <si>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</si>
  <si>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</si>
  <si>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</si>
  <si>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</si>
  <si>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</si>
  <si>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</si>
  <si>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</si>
  <si>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</si>
  <si>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</si>
  <si>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</si>
  <si>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</si>
  <si>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</si>
  <si>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</si>
  <si>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</si>
  <si>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</si>
  <si>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</si>
  <si>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</si>
  <si>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</si>
  <si>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</si>
  <si>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11/04/2025 24:00</t>
  </si>
  <si>
    <t>12/04/2025 01:00</t>
  </si>
  <si>
    <t>12/04/2025 02:00</t>
  </si>
  <si>
    <t>12/04/2025 03:00</t>
  </si>
  <si>
    <t>12/04/2025 04:00</t>
  </si>
  <si>
    <t>12/04/2025 05:00</t>
  </si>
  <si>
    <t>12/04/2025 06:00</t>
  </si>
  <si>
    <t>12/04/2025 07:00</t>
  </si>
  <si>
    <t>12/04/2025 08:00</t>
  </si>
  <si>
    <t>12/04/2025 09:00</t>
  </si>
  <si>
    <t>12/04/2025 10:00</t>
  </si>
  <si>
    <t>12/04/2025 11:00</t>
  </si>
  <si>
    <t>12/04/2025 12:00</t>
  </si>
  <si>
    <t>12/04/2025 13:00</t>
  </si>
  <si>
    <t>12/04/2025 14:00</t>
  </si>
  <si>
    <t>12/04/2025 15:00</t>
  </si>
  <si>
    <t>12/04/2025 16:00</t>
  </si>
  <si>
    <t>12/04/2025 17:00</t>
  </si>
  <si>
    <t>12/04/2025 18:00</t>
  </si>
  <si>
    <t>12/04/2025 19:00</t>
  </si>
  <si>
    <t>12/04/2025 20:00</t>
  </si>
  <si>
    <t>12/04/2025 21:00</t>
  </si>
  <si>
    <t>12/04/2025 22:00</t>
  </si>
  <si>
    <t>12/04/2025 23:00</t>
  </si>
  <si>
    <t>12/04/2025 24:00</t>
  </si>
  <si>
    <t>13/04/2025 01:00</t>
  </si>
  <si>
    <t>13/04/2025 02:00</t>
  </si>
  <si>
    <t>13/04/2025 03:00</t>
  </si>
  <si>
    <t>13/04/2025 04:00</t>
  </si>
  <si>
    <t>13/04/2025 05:00</t>
  </si>
  <si>
    <t>13/04/2025 06:00</t>
  </si>
  <si>
    <t>13/04/2025 07:00</t>
  </si>
  <si>
    <t>13/04/2025 08:00</t>
  </si>
  <si>
    <t>13/04/2025 09:00</t>
  </si>
  <si>
    <t>13/04/2025 10:00</t>
  </si>
  <si>
    <t>13/04/2025 11:00</t>
  </si>
  <si>
    <t>13/04/2025 12:00</t>
  </si>
  <si>
    <t>13/04/2025 13:00</t>
  </si>
  <si>
    <t>13/04/2025 14:00</t>
  </si>
  <si>
    <t>13/04/2025 15:00</t>
  </si>
  <si>
    <t>13/04/2025 16:00</t>
  </si>
  <si>
    <t>13/04/2025 17:00</t>
  </si>
  <si>
    <t>13/04/2025 18:00</t>
  </si>
  <si>
    <t>13/04/2025 19:00</t>
  </si>
  <si>
    <t>13/04/2025 20:00</t>
  </si>
  <si>
    <t>13/04/2025 21:00</t>
  </si>
  <si>
    <t>13/04/2025 22:00</t>
  </si>
  <si>
    <t>13/04/2025 23:00</t>
  </si>
  <si>
    <t>13/04/2025 24:00</t>
  </si>
  <si>
    <t>14/04/2025 01:00</t>
  </si>
  <si>
    <t>14/04/2025 02:00</t>
  </si>
  <si>
    <t>14/04/2025 03:00</t>
  </si>
  <si>
    <t>14/04/2025 04:00</t>
  </si>
  <si>
    <t>14/04/2025 05:00</t>
  </si>
  <si>
    <t>14/04/2025 06:00</t>
  </si>
  <si>
    <t>14/04/2025 07:00</t>
  </si>
  <si>
    <t>14/04/2025 08:00</t>
  </si>
  <si>
    <t>14/04/2025 09:00</t>
  </si>
  <si>
    <t>14/04/2025 10:00</t>
  </si>
  <si>
    <t>14/04/2025 11:00</t>
  </si>
  <si>
    <t>14/04/2025 12:00</t>
  </si>
  <si>
    <t>14/04/2025 13:00</t>
  </si>
  <si>
    <t>14/04/2025 14:00</t>
  </si>
  <si>
    <t>14/04/2025 15:00</t>
  </si>
  <si>
    <t>14/04/2025 16:00</t>
  </si>
  <si>
    <t>14/04/2025 17:00</t>
  </si>
  <si>
    <t>14/04/2025 18:00</t>
  </si>
  <si>
    <t>14/04/2025 19:00</t>
  </si>
  <si>
    <t>14/04/2025 20:00</t>
  </si>
  <si>
    <t>14/04/2025 21:00</t>
  </si>
  <si>
    <t>14/04/2025 22:00</t>
  </si>
  <si>
    <t>14/04/2025 23:00</t>
  </si>
  <si>
    <t>14/04/2025 24:00</t>
  </si>
  <si>
    <t>15/04/2025 01:00</t>
  </si>
  <si>
    <t>15/04/2025 02:00</t>
  </si>
  <si>
    <t>15/04/2025 03:00</t>
  </si>
  <si>
    <t>15/04/2025 04:00</t>
  </si>
  <si>
    <t>15/04/2025 05:00</t>
  </si>
  <si>
    <t>15/04/2025 06:00</t>
  </si>
  <si>
    <t>15/04/2025 07:00</t>
  </si>
  <si>
    <t>15/04/2025 08:00</t>
  </si>
  <si>
    <t>15/04/2025 09:00</t>
  </si>
  <si>
    <t>15/04/2025 10:00</t>
  </si>
  <si>
    <t>15/04/2025 11:00</t>
  </si>
  <si>
    <t>15/04/2025 12:00</t>
  </si>
  <si>
    <t>15/04/2025 13:00</t>
  </si>
  <si>
    <t>15/04/2025 14:00</t>
  </si>
  <si>
    <t>15/04/2025 15:00</t>
  </si>
  <si>
    <t>15/04/2025 16:00</t>
  </si>
  <si>
    <t>15/04/2025 17:00</t>
  </si>
  <si>
    <t>15/04/2025 18:00</t>
  </si>
  <si>
    <t>15/04/2025 19:00</t>
  </si>
  <si>
    <t>15/04/2025 20:00</t>
  </si>
  <si>
    <t>15/04/2025 21:00</t>
  </si>
  <si>
    <t>15/04/2025 22:00</t>
  </si>
  <si>
    <t>15/04/2025 23:00</t>
  </si>
  <si>
    <t>15/04/2025 24:00</t>
  </si>
  <si>
    <t>16/04/2025 01:00</t>
  </si>
  <si>
    <t>16/04/2025 02:00</t>
  </si>
  <si>
    <t>16/04/2025 03:00</t>
  </si>
  <si>
    <t>16/04/2025 04:00</t>
  </si>
  <si>
    <t>16/04/2025 05:00</t>
  </si>
  <si>
    <t>16/04/2025 06:00</t>
  </si>
  <si>
    <t>16/04/2025 07:00</t>
  </si>
  <si>
    <t>16/04/2025 08:00</t>
  </si>
  <si>
    <t>16/04/2025 09:00</t>
  </si>
  <si>
    <t>16/04/2025 10:00</t>
  </si>
  <si>
    <t>16/04/2025 11:00</t>
  </si>
  <si>
    <t>16/04/2025 12:00</t>
  </si>
  <si>
    <t>16/04/2025 13:00</t>
  </si>
  <si>
    <t>16/04/2025 14:00</t>
  </si>
  <si>
    <t>16/04/2025 15:00</t>
  </si>
  <si>
    <t>16/04/2025 16:00</t>
  </si>
  <si>
    <t>16/04/2025 17:00</t>
  </si>
  <si>
    <t>16/04/2025 18:00</t>
  </si>
  <si>
    <t>16/04/2025 19:00</t>
  </si>
  <si>
    <t>16/04/2025 20:00</t>
  </si>
  <si>
    <t>16/04/2025 21:00</t>
  </si>
  <si>
    <t>16/04/2025 22:00</t>
  </si>
  <si>
    <t>16/04/2025 23:00</t>
  </si>
  <si>
    <t>16/04/2025 24:00</t>
  </si>
  <si>
    <t>17/04/2025 01:00</t>
  </si>
  <si>
    <t>17/04/2025 02:00</t>
  </si>
  <si>
    <t>17/04/2025 03:00</t>
  </si>
  <si>
    <t>17/04/2025 04:00</t>
  </si>
  <si>
    <t>17/04/2025 05:00</t>
  </si>
  <si>
    <t>17/04/2025 06:00</t>
  </si>
  <si>
    <t>17/04/2025 07:00</t>
  </si>
  <si>
    <t>17/04/2025 08:00</t>
  </si>
  <si>
    <t>17/04/2025 09:00</t>
  </si>
  <si>
    <t>17/04/2025 10:00</t>
  </si>
  <si>
    <t>17/04/2025 11:00</t>
  </si>
  <si>
    <t>17/04/2025 12:00</t>
  </si>
  <si>
    <t>17/04/2025 13:00</t>
  </si>
  <si>
    <t>17/04/2025 14:00</t>
  </si>
  <si>
    <t>17/04/2025 15:00</t>
  </si>
  <si>
    <t>17/04/2025 16:00</t>
  </si>
  <si>
    <t>17/04/2025 17:00</t>
  </si>
  <si>
    <t>17/04/2025 18:00</t>
  </si>
  <si>
    <t>17/04/2025 19:00</t>
  </si>
  <si>
    <t>17/04/2025 20:00</t>
  </si>
  <si>
    <t>17/04/2025 21:00</t>
  </si>
  <si>
    <t>17/04/2025 22:00</t>
  </si>
  <si>
    <t>17/04/2025 23:00</t>
  </si>
  <si>
    <t>17/04/2025 24:00</t>
  </si>
  <si>
    <t>18/04/2025 01:00</t>
  </si>
  <si>
    <t>18/04/2025 02:00</t>
  </si>
  <si>
    <t>18/04/2025 03:00</t>
  </si>
  <si>
    <t>18/04/2025 04:00</t>
  </si>
  <si>
    <t>18/04/2025 05:00</t>
  </si>
  <si>
    <t>18/04/2025 06:00</t>
  </si>
  <si>
    <t>18/04/2025 07:00</t>
  </si>
  <si>
    <t>18/04/2025 08:00</t>
  </si>
  <si>
    <t>18/04/2025 09:00</t>
  </si>
  <si>
    <t>18/04/2025 10:00</t>
  </si>
  <si>
    <t>18/04/2025 11:00</t>
  </si>
  <si>
    <t>18/04/2025 12:00</t>
  </si>
  <si>
    <t>18/04/2025 13:00</t>
  </si>
  <si>
    <t>18/04/2025 14:00</t>
  </si>
  <si>
    <t>18/04/2025 15:00</t>
  </si>
  <si>
    <t>18/04/2025 16:00</t>
  </si>
  <si>
    <t>18/04/2025 17:00</t>
  </si>
  <si>
    <t>18/04/2025 18:00</t>
  </si>
  <si>
    <t>18/04/2025 19:00</t>
  </si>
  <si>
    <t>18/04/2025 20:00</t>
  </si>
  <si>
    <t>18/04/2025 21:00</t>
  </si>
  <si>
    <t>18/04/2025 22:00</t>
  </si>
  <si>
    <t>18/04/2025 23:00</t>
  </si>
  <si>
    <t>18/04/2025 24:00</t>
  </si>
  <si>
    <t>19/04/2025 01:00</t>
  </si>
  <si>
    <t>19/04/2025 02:00</t>
  </si>
  <si>
    <t>19/04/2025 03:00</t>
  </si>
  <si>
    <t>19/04/2025 04:00</t>
  </si>
  <si>
    <t>19/04/2025 05:00</t>
  </si>
  <si>
    <t>19/04/2025 06:00</t>
  </si>
  <si>
    <t>19/04/2025 07:00</t>
  </si>
  <si>
    <t>19/04/2025 08:00</t>
  </si>
  <si>
    <t>19/04/2025 09:00</t>
  </si>
  <si>
    <t>19/04/2025 10:00</t>
  </si>
  <si>
    <t>19/04/2025 11:00</t>
  </si>
  <si>
    <t>19/04/2025 12:00</t>
  </si>
  <si>
    <t>19/04/2025 13:00</t>
  </si>
  <si>
    <t>19/04/2025 14:00</t>
  </si>
  <si>
    <t>19/04/2025 15:00</t>
  </si>
  <si>
    <t>19/04/2025 16:00</t>
  </si>
  <si>
    <t>19/04/2025 17:00</t>
  </si>
  <si>
    <t>19/04/2025 18:00</t>
  </si>
  <si>
    <t>19/04/2025 19:00</t>
  </si>
  <si>
    <t>19/04/2025 20:00</t>
  </si>
  <si>
    <t>19/04/2025 21:00</t>
  </si>
  <si>
    <t>19/04/2025 22:00</t>
  </si>
  <si>
    <t>19/04/2025 23:00</t>
  </si>
  <si>
    <t>19/04/2025 24:00</t>
  </si>
  <si>
    <t>20/04/2025 01:00</t>
  </si>
  <si>
    <t>20/04/2025 02:00</t>
  </si>
  <si>
    <t>20/04/2025 03:00</t>
  </si>
  <si>
    <t>20/04/2025 04:00</t>
  </si>
  <si>
    <t>20/04/2025 05:00</t>
  </si>
  <si>
    <t>20/04/2025 06:00</t>
  </si>
  <si>
    <t>20/04/2025 07:00</t>
  </si>
  <si>
    <t>20/04/2025 08:00</t>
  </si>
  <si>
    <t>20/04/2025 09:00</t>
  </si>
  <si>
    <t>20/04/2025 10:00</t>
  </si>
  <si>
    <t>20/04/2025 11:00</t>
  </si>
  <si>
    <t>20/04/2025 12:00</t>
  </si>
  <si>
    <t>20/04/2025 13:00</t>
  </si>
  <si>
    <t>20/04/2025 14:00</t>
  </si>
  <si>
    <t>20/04/2025 15:00</t>
  </si>
  <si>
    <t>20/04/2025 16:00</t>
  </si>
  <si>
    <t>20/04/2025 17:00</t>
  </si>
  <si>
    <t>20/04/2025 18:00</t>
  </si>
  <si>
    <t>20/04/2025 19:00</t>
  </si>
  <si>
    <t>20/04/2025 20:00</t>
  </si>
  <si>
    <t>20/04/2025 21:00</t>
  </si>
  <si>
    <t>20/04/2025 22:00</t>
  </si>
  <si>
    <t>20/04/2025 23:00</t>
  </si>
  <si>
    <t>20/04/2025 24:00</t>
  </si>
  <si>
    <t>21/04/2025 01:00</t>
  </si>
  <si>
    <t>21/04/2025 02:00</t>
  </si>
  <si>
    <t>21/04/2025 03:00</t>
  </si>
  <si>
    <t>21/04/2025 04:00</t>
  </si>
  <si>
    <t>21/04/2025 05:00</t>
  </si>
  <si>
    <t>21/04/2025 06:00</t>
  </si>
  <si>
    <t>21/04/2025 07:00</t>
  </si>
  <si>
    <t>21/04/2025 08:00</t>
  </si>
  <si>
    <t>21/04/2025 09:00</t>
  </si>
  <si>
    <t>21/04/2025 10:00</t>
  </si>
  <si>
    <t>21/04/2025 11:00</t>
  </si>
  <si>
    <t>21/04/2025 12:00</t>
  </si>
  <si>
    <t>21/04/2025 13:00</t>
  </si>
  <si>
    <t>21/04/2025 14:00</t>
  </si>
  <si>
    <t>21/04/2025 15:00</t>
  </si>
  <si>
    <t>21/04/2025 16:00</t>
  </si>
  <si>
    <t>21/04/2025 17:00</t>
  </si>
  <si>
    <t>21/04/2025 18:00</t>
  </si>
  <si>
    <t>21/04/2025 19:00</t>
  </si>
  <si>
    <t>21/04/2025 20:00</t>
  </si>
  <si>
    <t>21/04/2025 21:00</t>
  </si>
  <si>
    <t>21/04/2025 22:00</t>
  </si>
  <si>
    <t>21/04/2025 23:00</t>
  </si>
  <si>
    <t>21/04/2025 24:00</t>
  </si>
  <si>
    <t>22/04/2025 01:00</t>
  </si>
  <si>
    <t>22/04/2025 02:00</t>
  </si>
  <si>
    <t>22/04/2025 03:00</t>
  </si>
  <si>
    <t>22/04/2025 04:00</t>
  </si>
  <si>
    <t>22/04/2025 05:00</t>
  </si>
  <si>
    <t>22/04/2025 06:00</t>
  </si>
  <si>
    <t>22/04/2025 07:00</t>
  </si>
  <si>
    <t>22/04/2025 08:00</t>
  </si>
  <si>
    <t>22/04/2025 09:00</t>
  </si>
  <si>
    <t>22/04/2025 10:00</t>
  </si>
  <si>
    <t>22/04/2025 11:00</t>
  </si>
  <si>
    <t>22/04/2025 12:00</t>
  </si>
  <si>
    <t>22/04/2025 13:00</t>
  </si>
  <si>
    <t>22/04/2025 14:00</t>
  </si>
  <si>
    <t>22/04/2025 15:00</t>
  </si>
  <si>
    <t>22/04/2025 16:00</t>
  </si>
  <si>
    <t>22/04/2025 17:00</t>
  </si>
  <si>
    <t>22/04/2025 18:00</t>
  </si>
  <si>
    <t>22/04/2025 19:00</t>
  </si>
  <si>
    <t>22/04/2025 20:00</t>
  </si>
  <si>
    <t>22/04/2025 21:00</t>
  </si>
  <si>
    <t>22/04/2025 22:00</t>
  </si>
  <si>
    <t>22/04/2025 23:00</t>
  </si>
  <si>
    <t>22/04/2025 24:00</t>
  </si>
  <si>
    <t>23/04/2025 01:00</t>
  </si>
  <si>
    <t>23/04/2025 02:00</t>
  </si>
  <si>
    <t>23/04/2025 03:00</t>
  </si>
  <si>
    <t>23/04/2025 04:00</t>
  </si>
  <si>
    <t>23/04/2025 05:00</t>
  </si>
  <si>
    <t>23/04/2025 06:00</t>
  </si>
  <si>
    <t>23/04/2025 07:00</t>
  </si>
  <si>
    <t>23/04/2025 08:00</t>
  </si>
  <si>
    <t>23/04/2025 09:00</t>
  </si>
  <si>
    <t>23/04/2025 10:00</t>
  </si>
  <si>
    <t>23/04/2025 11:00</t>
  </si>
  <si>
    <t>23/04/2025 12:00</t>
  </si>
  <si>
    <t>23/04/2025 13:00</t>
  </si>
  <si>
    <t>23/04/2025 14:00</t>
  </si>
  <si>
    <t>23/04/2025 15:00</t>
  </si>
  <si>
    <t>23/04/2025 16:00</t>
  </si>
  <si>
    <t>23/04/2025 17:00</t>
  </si>
  <si>
    <t>23/04/2025 18:00</t>
  </si>
  <si>
    <t>23/04/2025 19:00</t>
  </si>
  <si>
    <t>23/04/2025 20:00</t>
  </si>
  <si>
    <t>23/04/2025 21:00</t>
  </si>
  <si>
    <t>23/04/2025 22:00</t>
  </si>
  <si>
    <t>23/04/2025 23:00</t>
  </si>
  <si>
    <t>23/04/2025 24:00</t>
  </si>
  <si>
    <t>24/04/2025 01:00</t>
  </si>
  <si>
    <t>24/04/2025 02:00</t>
  </si>
  <si>
    <t>24/04/2025 03:00</t>
  </si>
  <si>
    <t>24/04/2025 04:00</t>
  </si>
  <si>
    <t>24/04/2025 05:00</t>
  </si>
  <si>
    <t>24/04/2025 06:00</t>
  </si>
  <si>
    <t>24/04/2025 07:00</t>
  </si>
  <si>
    <t>24/04/2025 08:00</t>
  </si>
  <si>
    <t>24/04/2025 09:00</t>
  </si>
  <si>
    <t>24/04/2025 10:00</t>
  </si>
  <si>
    <t>24/04/2025 11:00</t>
  </si>
  <si>
    <t>24/04/2025 12:00</t>
  </si>
  <si>
    <t>24/04/2025 13:00</t>
  </si>
  <si>
    <t>24/04/2025 14:00</t>
  </si>
  <si>
    <t>24/04/2025 15:00</t>
  </si>
  <si>
    <t>24/04/2025 16:00</t>
  </si>
  <si>
    <t>24/04/2025 17:00</t>
  </si>
  <si>
    <t>24/04/2025 18:00</t>
  </si>
  <si>
    <t>24/04/2025 19:00</t>
  </si>
  <si>
    <t>24/04/2025 20:00</t>
  </si>
  <si>
    <t>24/04/2025 21:00</t>
  </si>
  <si>
    <t>24/04/2025 22:00</t>
  </si>
  <si>
    <t>24/04/2025 23:00</t>
  </si>
  <si>
    <t>24/04/2025 24:00</t>
  </si>
  <si>
    <t>25/04/2025 01:00</t>
  </si>
  <si>
    <t>25/04/2025 02:00</t>
  </si>
  <si>
    <t>25/04/2025 03:00</t>
  </si>
  <si>
    <t>25/04/2025 04:00</t>
  </si>
  <si>
    <t>25/04/2025 05:00</t>
  </si>
  <si>
    <t>25/04/2025 06:00</t>
  </si>
  <si>
    <t>25/04/2025 07:00</t>
  </si>
  <si>
    <t>25/04/2025 08:00</t>
  </si>
  <si>
    <t>25/04/2025 09:00</t>
  </si>
  <si>
    <t>25/04/2025 10:00</t>
  </si>
  <si>
    <t>25/04/2025 11:00</t>
  </si>
  <si>
    <t>25/04/2025 12:00</t>
  </si>
  <si>
    <t>25/04/2025 13:00</t>
  </si>
  <si>
    <t>25/04/2025 14:00</t>
  </si>
  <si>
    <t>25/04/2025 15:00</t>
  </si>
  <si>
    <t>25/04/2025 16:00</t>
  </si>
  <si>
    <t>25/04/2025 17:00</t>
  </si>
  <si>
    <t>25/04/2025 18:00</t>
  </si>
  <si>
    <t>25/04/2025 19:00</t>
  </si>
  <si>
    <t>25/04/2025 20:00</t>
  </si>
  <si>
    <t>25/04/2025 21:00</t>
  </si>
  <si>
    <t>25/04/2025 22:00</t>
  </si>
  <si>
    <t>25/04/2025 23:00</t>
  </si>
  <si>
    <t>25/04/2025 24:00</t>
  </si>
  <si>
    <t>26/04/2025 01:00</t>
  </si>
  <si>
    <t>26/04/2025 02:00</t>
  </si>
  <si>
    <t>26/04/2025 03:00</t>
  </si>
  <si>
    <t>26/04/2025 04:00</t>
  </si>
  <si>
    <t>26/04/2025 05:00</t>
  </si>
  <si>
    <t>26/04/2025 06:00</t>
  </si>
  <si>
    <t>26/04/2025 07:00</t>
  </si>
  <si>
    <t>26/04/2025 08:00</t>
  </si>
  <si>
    <t>26/04/2025 09:00</t>
  </si>
  <si>
    <t>26/04/2025 10:00</t>
  </si>
  <si>
    <t>26/04/2025 11:00</t>
  </si>
  <si>
    <t>26/04/2025 12:00</t>
  </si>
  <si>
    <t>26/04/2025 13:00</t>
  </si>
  <si>
    <t>26/04/2025 14:00</t>
  </si>
  <si>
    <t>26/04/2025 15:00</t>
  </si>
  <si>
    <t>26/04/2025 16:00</t>
  </si>
  <si>
    <t>26/04/2025 17:00</t>
  </si>
  <si>
    <t>26/04/2025 18:00</t>
  </si>
  <si>
    <t>26/04/2025 19:00</t>
  </si>
  <si>
    <t>26/04/2025 20:00</t>
  </si>
  <si>
    <t>26/04/2025 21:00</t>
  </si>
  <si>
    <t>26/04/2025 22:00</t>
  </si>
  <si>
    <t>26/04/2025 23:00</t>
  </si>
  <si>
    <t>26/04/2025 24:00</t>
  </si>
  <si>
    <t>27/04/2025 01:00</t>
  </si>
  <si>
    <t>27/04/2025 02:00</t>
  </si>
  <si>
    <t>27/04/2025 03:00</t>
  </si>
  <si>
    <t>27/04/2025 04:00</t>
  </si>
  <si>
    <t>27/04/2025 05:00</t>
  </si>
  <si>
    <t>27/04/2025 06:00</t>
  </si>
  <si>
    <t>27/04/2025 07:00</t>
  </si>
  <si>
    <t>27/04/2025 08:00</t>
  </si>
  <si>
    <t>27/04/2025 09:00</t>
  </si>
  <si>
    <t>27/04/2025 10:00</t>
  </si>
  <si>
    <t>27/04/2025 11:00</t>
  </si>
  <si>
    <t>27/04/2025 12:00</t>
  </si>
  <si>
    <t>27/04/2025 13:00</t>
  </si>
  <si>
    <t>27/04/2025 14:00</t>
  </si>
  <si>
    <t>27/04/2025 15:00</t>
  </si>
  <si>
    <t>27/04/2025 16:00</t>
  </si>
  <si>
    <t>27/04/2025 17:00</t>
  </si>
  <si>
    <t>27/04/2025 18:00</t>
  </si>
  <si>
    <t>27/04/2025 19:00</t>
  </si>
  <si>
    <t>27/04/2025 20:00</t>
  </si>
  <si>
    <t>27/04/2025 21:00</t>
  </si>
  <si>
    <t>27/04/2025 22:00</t>
  </si>
  <si>
    <t>27/04/2025 23:00</t>
  </si>
  <si>
    <t>27/04/2025 24:00</t>
  </si>
  <si>
    <t>28/04/2025 01:00</t>
  </si>
  <si>
    <t>28/04/2025 02:00</t>
  </si>
  <si>
    <t>28/04/2025 03:00</t>
  </si>
  <si>
    <t>28/04/2025 04:00</t>
  </si>
  <si>
    <t>28/04/2025 05:00</t>
  </si>
  <si>
    <t>28/04/2025 06:00</t>
  </si>
  <si>
    <t>28/04/2025 07:00</t>
  </si>
  <si>
    <t>28/04/2025 08:00</t>
  </si>
  <si>
    <t>28/04/2025 09:00</t>
  </si>
  <si>
    <t>28/04/2025 10:00</t>
  </si>
  <si>
    <t>28/04/2025 11:00</t>
  </si>
  <si>
    <t>28/04/2025 12:00</t>
  </si>
  <si>
    <t>28/04/2025 13:00</t>
  </si>
  <si>
    <t>28/04/2025 14:00</t>
  </si>
  <si>
    <t>28/04/2025 15:00</t>
  </si>
  <si>
    <t>28/04/2025 16:00</t>
  </si>
  <si>
    <t>28/04/2025 17:00</t>
  </si>
  <si>
    <t>28/04/2025 18:00</t>
  </si>
  <si>
    <t>28/04/2025 19:00</t>
  </si>
  <si>
    <t>28/04/2025 20:00</t>
  </si>
  <si>
    <t>28/04/2025 21:00</t>
  </si>
  <si>
    <t>28/04/2025 22:00</t>
  </si>
  <si>
    <t>28/04/2025 23:00</t>
  </si>
  <si>
    <t>28/04/2025 24:00</t>
  </si>
  <si>
    <t>29/04/2025 01:00</t>
  </si>
  <si>
    <t>29/04/2025 02:00</t>
  </si>
  <si>
    <t>29/04/2025 03:00</t>
  </si>
  <si>
    <t>29/04/2025 04:00</t>
  </si>
  <si>
    <t>29/04/2025 05:00</t>
  </si>
  <si>
    <t>29/04/2025 06:00</t>
  </si>
  <si>
    <t>29/04/2025 07:00</t>
  </si>
  <si>
    <t>29/04/2025 08:00</t>
  </si>
  <si>
    <t>29/04/2025 09:00</t>
  </si>
  <si>
    <t>29/04/2025 10:00</t>
  </si>
  <si>
    <t>29/04/2025 11:00</t>
  </si>
  <si>
    <t>29/04/2025 12:00</t>
  </si>
  <si>
    <t>29/04/2025 13:00</t>
  </si>
  <si>
    <t>29/04/2025 14:00</t>
  </si>
  <si>
    <t>29/04/2025 15:00</t>
  </si>
  <si>
    <t>29/04/2025 16:00</t>
  </si>
  <si>
    <t>29/04/2025 17:00</t>
  </si>
  <si>
    <t>29/04/2025 18:00</t>
  </si>
  <si>
    <t>29/04/2025 19:00</t>
  </si>
  <si>
    <t>29/04/2025 20:00</t>
  </si>
  <si>
    <t>29/04/2025 21:00</t>
  </si>
  <si>
    <t>29/04/2025 22:00</t>
  </si>
  <si>
    <t>29/04/2025 23:00</t>
  </si>
  <si>
    <t>29/04/2025 24:00</t>
  </si>
  <si>
    <t>30/04/2025 01:00</t>
  </si>
  <si>
    <t>30/04/2025 02:00</t>
  </si>
  <si>
    <t>30/04/2025 03:00</t>
  </si>
  <si>
    <t>30/04/2025 04:00</t>
  </si>
  <si>
    <t>30/04/2025 05:00</t>
  </si>
  <si>
    <t>30/04/2025 06:00</t>
  </si>
  <si>
    <t>30/04/2025 07:00</t>
  </si>
  <si>
    <t>30/04/2025 08:00</t>
  </si>
  <si>
    <t>30/04/2025 09:00</t>
  </si>
  <si>
    <t>30/04/2025 10:00</t>
  </si>
  <si>
    <t>30/04/2025 11:00</t>
  </si>
  <si>
    <t>30/04/2025 12:00</t>
  </si>
  <si>
    <t>30/04/2025 13:00</t>
  </si>
  <si>
    <t>30/04/2025 14:00</t>
  </si>
  <si>
    <t>30/04/2025 15:00</t>
  </si>
  <si>
    <t>30/04/2025 16:00</t>
  </si>
  <si>
    <t>30/04/2025 17:00</t>
  </si>
  <si>
    <t>30/04/2025 18:00</t>
  </si>
  <si>
    <t>30/04/2025 19:00</t>
  </si>
  <si>
    <t>30/04/2025 20:00</t>
  </si>
  <si>
    <t>30/04/2025 21:00</t>
  </si>
  <si>
    <t>30/04/2025 22:00</t>
  </si>
  <si>
    <t>30/04/2025 23:00</t>
  </si>
  <si>
    <t>30/04/2025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</si>
</sst>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7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11" fillId="3" borderId="0" xfId="0" applyFont="1" applyFill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B43" sqref="B43"/>
    </sheetView>
  </sheetViews>
  <sheetFormatPr defaultColWidth="8.85546875" defaultRowHeight="15"/>
  <cols>
    <col min="1" max="1" width="19.5703125" style="1" customWidth="1"/>
    <col min="2" max="2" width="14.42578125" style="1" customWidth="1"/>
    <col min="3" max="3" width="10.42578125" style="1" customWidth="1"/>
    <col min="4" max="4" width="10.140625" style="1" customWidth="1"/>
    <col min="5" max="5" width="10.28515625" style="1" customWidth="1"/>
    <col min="6" max="6" width="9.85546875" style="1" customWidth="1"/>
    <col min="7" max="7" width="11.28515625" style="1" customWidth="1"/>
    <col min="8" max="8" width="12" style="1" customWidth="1"/>
    <col min="9" max="9" width="11.5703125" style="1" customWidth="1"/>
    <col min="10" max="10" width="10.5703125" style="1" customWidth="1"/>
    <col min="11" max="11" width="10" style="1" customWidth="1"/>
    <col min="12" max="12" width="11.140625" style="1" customWidth="1"/>
    <col min="13" max="13" width="11.28515625" style="1" customWidth="1"/>
    <col min="14" max="14" width="9.7109375" style="1" customWidth="1"/>
    <col min="15" max="15" width="10" style="1" customWidth="1"/>
    <col min="16" max="16" width="9.7109375" style="1" customWidth="1"/>
    <col min="17" max="17" width="10.1406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01/04/2025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60</v>
      </c>
      <c r="B9" s="40">
        <v>9.92</v>
      </c>
      <c r="C9" s="40">
        <v>29.36</v>
      </c>
      <c r="D9" s="40">
        <v>24.64</v>
      </c>
      <c r="E9" s="40">
        <v>11.48</v>
      </c>
      <c r="F9" s="27" t="s">
        <v>8</v>
      </c>
      <c r="G9" s="40">
        <v>121.56</v>
      </c>
      <c r="H9" s="40">
        <v>59.74</v>
      </c>
      <c r="I9" s="40">
        <v>18.3</v>
      </c>
      <c r="J9" s="40">
        <v>0.25</v>
      </c>
      <c r="K9" s="40">
        <v>220.79</v>
      </c>
      <c r="L9" s="40">
        <v>26.4</v>
      </c>
      <c r="M9" s="40">
        <v>30.52</v>
      </c>
      <c r="N9" s="40">
        <v>6.4</v>
      </c>
      <c r="O9" s="40">
        <v>0</v>
      </c>
      <c r="P9" s="40">
        <v>1.1499999999999999</v>
      </c>
      <c r="Q9" s="40">
        <v>28.22</v>
      </c>
      <c r="R9" s="38"/>
      <c r="S9" s="38"/>
      <c r="T9" s="38"/>
      <c r="U9" s="38"/>
    </row>
    <row r="10" spans="1:21" customFormat="1">
      <c r="A10" s="39" t="s">
        <v>61</v>
      </c>
      <c r="B10" s="40">
        <v>8.5399999999999991</v>
      </c>
      <c r="C10" s="40">
        <v>23.63</v>
      </c>
      <c r="D10" s="40">
        <v>20.23</v>
      </c>
      <c r="E10" s="40">
        <v>8.61</v>
      </c>
      <c r="F10" s="27" t="s">
        <v>8</v>
      </c>
      <c r="G10" s="40">
        <v>127.7</v>
      </c>
      <c r="H10" s="40">
        <v>56.81</v>
      </c>
      <c r="I10" s="40">
        <v>17.739999999999998</v>
      </c>
      <c r="J10" s="40">
        <v>0.22</v>
      </c>
      <c r="K10" s="40">
        <v>228.08</v>
      </c>
      <c r="L10" s="40">
        <v>25.08</v>
      </c>
      <c r="M10" s="40">
        <v>33.1</v>
      </c>
      <c r="N10" s="40">
        <v>6.4</v>
      </c>
      <c r="O10" s="40">
        <v>0</v>
      </c>
      <c r="P10" s="40">
        <v>1.1200000000000001</v>
      </c>
      <c r="Q10" s="40">
        <v>28.19</v>
      </c>
      <c r="R10" s="38"/>
      <c r="S10" s="38"/>
      <c r="T10" s="38"/>
      <c r="U10" s="38"/>
    </row>
    <row r="11" spans="1:21" customFormat="1">
      <c r="A11" s="39" t="s">
        <v>62</v>
      </c>
      <c r="B11" s="40">
        <v>9.94</v>
      </c>
      <c r="C11" s="40">
        <v>22.37</v>
      </c>
      <c r="D11" s="40">
        <v>21.01</v>
      </c>
      <c r="E11" s="40">
        <v>9.85</v>
      </c>
      <c r="F11" s="27" t="s">
        <v>8</v>
      </c>
      <c r="G11" s="40">
        <v>120.61</v>
      </c>
      <c r="H11" s="40">
        <v>51.92</v>
      </c>
      <c r="I11" s="40">
        <v>17.3</v>
      </c>
      <c r="J11" s="40">
        <v>0.23</v>
      </c>
      <c r="K11" s="40">
        <v>192.71</v>
      </c>
      <c r="L11" s="40">
        <v>24.99</v>
      </c>
      <c r="M11" s="40">
        <v>36.49</v>
      </c>
      <c r="N11" s="40">
        <v>6.4</v>
      </c>
      <c r="O11" s="40">
        <v>0</v>
      </c>
      <c r="P11" s="40">
        <v>1.1000000000000001</v>
      </c>
      <c r="Q11" s="40">
        <v>28.22</v>
      </c>
      <c r="R11" s="38"/>
      <c r="S11" s="38"/>
      <c r="T11" s="38"/>
      <c r="U11" s="38"/>
    </row>
    <row r="12" spans="1:21" customFormat="1">
      <c r="A12" s="39" t="s">
        <v>63</v>
      </c>
      <c r="B12" s="40">
        <v>9.2100000000000009</v>
      </c>
      <c r="C12" s="40">
        <v>19.37</v>
      </c>
      <c r="D12" s="40">
        <v>18.86</v>
      </c>
      <c r="E12" s="40">
        <v>10.23</v>
      </c>
      <c r="F12" s="27" t="s">
        <v>8</v>
      </c>
      <c r="G12" s="40">
        <v>124.03</v>
      </c>
      <c r="H12" s="40">
        <v>50.05</v>
      </c>
      <c r="I12" s="40">
        <v>17.03</v>
      </c>
      <c r="J12" s="40">
        <v>0.23</v>
      </c>
      <c r="K12" s="40">
        <v>215.13</v>
      </c>
      <c r="L12" s="40">
        <v>23.67</v>
      </c>
      <c r="M12" s="40">
        <v>44.55</v>
      </c>
      <c r="N12" s="40">
        <v>6.2</v>
      </c>
      <c r="O12" s="40">
        <v>0</v>
      </c>
      <c r="P12" s="40">
        <v>1.0900000000000001</v>
      </c>
      <c r="Q12" s="40">
        <v>28.23</v>
      </c>
      <c r="R12" s="38"/>
      <c r="S12" s="38"/>
      <c r="T12" s="38"/>
      <c r="U12" s="38"/>
    </row>
    <row r="13" spans="1:21" customFormat="1">
      <c r="A13" s="39" t="s">
        <v>64</v>
      </c>
      <c r="B13" s="40">
        <v>7.8</v>
      </c>
      <c r="C13" s="40">
        <v>18.73</v>
      </c>
      <c r="D13" s="40">
        <v>17.22</v>
      </c>
      <c r="E13" s="40">
        <v>10.23</v>
      </c>
      <c r="F13" s="27" t="s">
        <v>8</v>
      </c>
      <c r="G13" s="40">
        <v>101.72</v>
      </c>
      <c r="H13" s="40">
        <v>48.82</v>
      </c>
      <c r="I13" s="40">
        <v>16.489999999999998</v>
      </c>
      <c r="J13" s="40">
        <v>0.25</v>
      </c>
      <c r="K13" s="40">
        <v>227.69</v>
      </c>
      <c r="L13" s="40">
        <v>23.34</v>
      </c>
      <c r="M13" s="40">
        <v>42.47</v>
      </c>
      <c r="N13" s="40">
        <v>5.7</v>
      </c>
      <c r="O13" s="40">
        <v>0</v>
      </c>
      <c r="P13" s="40">
        <v>1.05</v>
      </c>
      <c r="Q13" s="40">
        <v>28.18</v>
      </c>
      <c r="R13" s="38"/>
      <c r="S13" s="38"/>
      <c r="T13" s="38"/>
      <c r="U13" s="38"/>
    </row>
    <row r="14" spans="1:21" customFormat="1">
      <c r="A14" s="39" t="s">
        <v>65</v>
      </c>
      <c r="B14" s="40">
        <v>12.99</v>
      </c>
      <c r="C14" s="40">
        <v>22.13</v>
      </c>
      <c r="D14" s="40">
        <v>23.33</v>
      </c>
      <c r="E14" s="40">
        <v>10.29</v>
      </c>
      <c r="F14" s="27" t="s">
        <v>8</v>
      </c>
      <c r="G14" s="40">
        <v>104.86</v>
      </c>
      <c r="H14" s="40">
        <v>45.46</v>
      </c>
      <c r="I14" s="40">
        <v>15.6</v>
      </c>
      <c r="J14" s="40">
        <v>0.23</v>
      </c>
      <c r="K14" s="40">
        <v>226.5</v>
      </c>
      <c r="L14" s="40">
        <v>23.66</v>
      </c>
      <c r="M14" s="40">
        <v>42.88</v>
      </c>
      <c r="N14" s="40">
        <v>8.1999999999999993</v>
      </c>
      <c r="O14" s="40">
        <v>0</v>
      </c>
      <c r="P14" s="40">
        <v>1.02</v>
      </c>
      <c r="Q14" s="40">
        <v>28.2</v>
      </c>
      <c r="R14" s="38"/>
      <c r="S14" s="38"/>
      <c r="T14" s="38"/>
      <c r="U14" s="38"/>
    </row>
    <row r="15" spans="1:21" customFormat="1">
      <c r="A15" s="39" t="s">
        <v>66</v>
      </c>
      <c r="B15" s="40">
        <v>13.81</v>
      </c>
      <c r="C15" s="40">
        <v>23.92</v>
      </c>
      <c r="D15" s="40">
        <v>24.92</v>
      </c>
      <c r="E15" s="40">
        <v>9.99</v>
      </c>
      <c r="F15" s="27" t="s">
        <v>8</v>
      </c>
      <c r="G15" s="40">
        <v>124.33</v>
      </c>
      <c r="H15" s="40">
        <v>48.85</v>
      </c>
      <c r="I15" s="40">
        <v>15.15</v>
      </c>
      <c r="J15" s="40">
        <v>0.25</v>
      </c>
      <c r="K15" s="40">
        <v>181.85</v>
      </c>
      <c r="L15" s="40">
        <v>24.74</v>
      </c>
      <c r="M15" s="40">
        <v>42.59</v>
      </c>
      <c r="N15" s="40">
        <v>49.7</v>
      </c>
      <c r="O15" s="40">
        <v>0</v>
      </c>
      <c r="P15" s="40">
        <v>1.06</v>
      </c>
      <c r="Q15" s="40">
        <v>28.33</v>
      </c>
      <c r="R15" s="38"/>
      <c r="S15" s="38"/>
      <c r="T15" s="38"/>
      <c r="U15" s="38"/>
    </row>
    <row r="16" spans="1:21" customFormat="1">
      <c r="A16" s="39" t="s">
        <v>67</v>
      </c>
      <c r="B16" s="40">
        <v>14.88</v>
      </c>
      <c r="C16" s="40">
        <v>25.89</v>
      </c>
      <c r="D16" s="40">
        <v>26.72</v>
      </c>
      <c r="E16" s="40">
        <v>10.83</v>
      </c>
      <c r="F16" s="27" t="s">
        <v>8</v>
      </c>
      <c r="G16" s="40">
        <v>138.65</v>
      </c>
      <c r="H16" s="40">
        <v>52.11</v>
      </c>
      <c r="I16" s="40">
        <v>15.04</v>
      </c>
      <c r="J16" s="40">
        <v>0.28999999999999998</v>
      </c>
      <c r="K16" s="40">
        <v>274.38</v>
      </c>
      <c r="L16" s="40">
        <v>27.62</v>
      </c>
      <c r="M16" s="40">
        <v>42.26</v>
      </c>
      <c r="N16" s="40">
        <v>99.7</v>
      </c>
      <c r="O16" s="40">
        <v>0</v>
      </c>
      <c r="P16" s="40">
        <v>1.1200000000000001</v>
      </c>
      <c r="Q16" s="40">
        <v>28.36</v>
      </c>
      <c r="R16" s="38"/>
      <c r="S16" s="38"/>
      <c r="T16" s="38"/>
      <c r="U16" s="38"/>
    </row>
    <row r="17" spans="1:21" customFormat="1">
      <c r="A17" s="39" t="s">
        <v>68</v>
      </c>
      <c r="B17" s="40">
        <v>16.71</v>
      </c>
      <c r="C17" s="40">
        <v>34.28</v>
      </c>
      <c r="D17" s="40">
        <v>32.67</v>
      </c>
      <c r="E17" s="40">
        <v>43.76</v>
      </c>
      <c r="F17" s="27" t="s">
        <v>8</v>
      </c>
      <c r="G17" s="40">
        <v>216.41</v>
      </c>
      <c r="H17" s="40">
        <v>66.069999999999993</v>
      </c>
      <c r="I17" s="40">
        <v>16.399999999999999</v>
      </c>
      <c r="J17" s="40">
        <v>0.53</v>
      </c>
      <c r="K17" s="40">
        <v>306.41000000000003</v>
      </c>
      <c r="L17" s="40">
        <v>31.13</v>
      </c>
      <c r="M17" s="40">
        <v>27.03</v>
      </c>
      <c r="N17" s="40">
        <v>192.9</v>
      </c>
      <c r="O17" s="40">
        <v>0</v>
      </c>
      <c r="P17" s="40">
        <v>1.34</v>
      </c>
      <c r="Q17" s="40">
        <v>28.35</v>
      </c>
      <c r="R17" s="38"/>
      <c r="S17" s="38"/>
      <c r="T17" s="38"/>
      <c r="U17" s="38"/>
    </row>
    <row r="18" spans="1:21" customFormat="1">
      <c r="A18" s="39" t="s">
        <v>69</v>
      </c>
      <c r="B18" s="40">
        <v>16.809999999999999</v>
      </c>
      <c r="C18" s="40">
        <v>33.369999999999997</v>
      </c>
      <c r="D18" s="40">
        <v>32</v>
      </c>
      <c r="E18" s="40">
        <v>47.06</v>
      </c>
      <c r="F18" s="27" t="s">
        <v>8</v>
      </c>
      <c r="G18" s="40">
        <v>243.57</v>
      </c>
      <c r="H18" s="40">
        <v>90.06</v>
      </c>
      <c r="I18" s="40">
        <v>18.170000000000002</v>
      </c>
      <c r="J18" s="40">
        <v>0.74</v>
      </c>
      <c r="K18" s="40">
        <v>345.54</v>
      </c>
      <c r="L18" s="40">
        <v>33.369999999999997</v>
      </c>
      <c r="M18" s="40">
        <v>19.09</v>
      </c>
      <c r="N18" s="40">
        <v>393.5</v>
      </c>
      <c r="O18" s="40">
        <v>0</v>
      </c>
      <c r="P18" s="40">
        <v>1.45</v>
      </c>
      <c r="Q18" s="40">
        <v>28.38</v>
      </c>
      <c r="R18" s="38"/>
      <c r="S18" s="38"/>
      <c r="T18" s="38"/>
      <c r="U18" s="38"/>
    </row>
    <row r="19" spans="1:21" customFormat="1">
      <c r="A19" s="39" t="s">
        <v>70</v>
      </c>
      <c r="B19" s="40">
        <v>14.74</v>
      </c>
      <c r="C19" s="40">
        <v>31.11</v>
      </c>
      <c r="D19" s="40">
        <v>29.32</v>
      </c>
      <c r="E19" s="40">
        <v>43.17</v>
      </c>
      <c r="F19" s="27" t="s">
        <v>8</v>
      </c>
      <c r="G19" s="40">
        <v>155.5</v>
      </c>
      <c r="H19" s="40">
        <v>90.79</v>
      </c>
      <c r="I19" s="40">
        <v>17.989999999999998</v>
      </c>
      <c r="J19" s="40">
        <v>1</v>
      </c>
      <c r="K19" s="40">
        <v>349.39</v>
      </c>
      <c r="L19" s="40">
        <v>34.71</v>
      </c>
      <c r="M19" s="40">
        <v>13.81</v>
      </c>
      <c r="N19" s="40">
        <v>467.6</v>
      </c>
      <c r="O19" s="40">
        <v>0</v>
      </c>
      <c r="P19" s="40">
        <v>1.44</v>
      </c>
      <c r="Q19" s="40">
        <v>28.37</v>
      </c>
      <c r="R19" s="38"/>
      <c r="S19" s="38"/>
      <c r="T19" s="38"/>
      <c r="U19" s="38"/>
    </row>
    <row r="20" spans="1:21" customFormat="1">
      <c r="A20" s="39" t="s">
        <v>71</v>
      </c>
      <c r="B20" s="40">
        <v>10.72</v>
      </c>
      <c r="C20" s="40">
        <v>32.29</v>
      </c>
      <c r="D20" s="40">
        <v>26.42</v>
      </c>
      <c r="E20" s="40">
        <v>46.95</v>
      </c>
      <c r="F20" s="27" t="s">
        <v>8</v>
      </c>
      <c r="G20" s="40">
        <v>155.5</v>
      </c>
      <c r="H20" s="40">
        <v>77.81</v>
      </c>
      <c r="I20" s="40">
        <v>17.489999999999998</v>
      </c>
      <c r="J20" s="40">
        <v>0.99</v>
      </c>
      <c r="K20" s="40">
        <v>315.75</v>
      </c>
      <c r="L20" s="40">
        <v>36.020000000000003</v>
      </c>
      <c r="M20" s="40">
        <v>11.98</v>
      </c>
      <c r="N20" s="40">
        <v>545.29999999999995</v>
      </c>
      <c r="O20" s="40">
        <v>0</v>
      </c>
      <c r="P20" s="40">
        <v>1.4</v>
      </c>
      <c r="Q20" s="40">
        <v>28.31</v>
      </c>
      <c r="R20" s="38"/>
      <c r="S20" s="38"/>
      <c r="T20" s="38"/>
      <c r="U20" s="38"/>
    </row>
    <row r="21" spans="1:21" customFormat="1">
      <c r="A21" s="39" t="s">
        <v>72</v>
      </c>
      <c r="B21" s="40">
        <v>6.22</v>
      </c>
      <c r="C21" s="40">
        <v>30.69</v>
      </c>
      <c r="D21" s="40">
        <v>22.02</v>
      </c>
      <c r="E21" s="40">
        <v>32.049999999999997</v>
      </c>
      <c r="F21" s="27" t="s">
        <v>8</v>
      </c>
      <c r="G21" s="40">
        <v>138.77000000000001</v>
      </c>
      <c r="H21" s="40">
        <v>73.81</v>
      </c>
      <c r="I21" s="40">
        <v>16.13</v>
      </c>
      <c r="J21" s="40">
        <v>1.36</v>
      </c>
      <c r="K21" s="40">
        <v>359.64</v>
      </c>
      <c r="L21" s="40">
        <v>37.340000000000003</v>
      </c>
      <c r="M21" s="40">
        <v>11.19</v>
      </c>
      <c r="N21" s="40">
        <v>561</v>
      </c>
      <c r="O21" s="40">
        <v>0</v>
      </c>
      <c r="P21" s="40">
        <v>1.28</v>
      </c>
      <c r="Q21" s="40">
        <v>28.17</v>
      </c>
      <c r="R21" s="38"/>
      <c r="S21" s="38"/>
      <c r="T21" s="38"/>
      <c r="U21" s="38"/>
    </row>
    <row r="22" spans="1:21" customFormat="1">
      <c r="A22" s="39" t="s">
        <v>73</v>
      </c>
      <c r="B22" s="40">
        <v>4.2699999999999996</v>
      </c>
      <c r="C22" s="40">
        <v>26.63</v>
      </c>
      <c r="D22" s="40">
        <v>18.690000000000001</v>
      </c>
      <c r="E22" s="40">
        <v>31.07</v>
      </c>
      <c r="F22" s="27" t="s">
        <v>8</v>
      </c>
      <c r="G22" s="40">
        <v>102.7</v>
      </c>
      <c r="H22" s="40">
        <v>62.75</v>
      </c>
      <c r="I22" s="40">
        <v>14.44</v>
      </c>
      <c r="J22" s="40">
        <v>1.1200000000000001</v>
      </c>
      <c r="K22" s="40">
        <v>358.17</v>
      </c>
      <c r="L22" s="40">
        <v>38.200000000000003</v>
      </c>
      <c r="M22" s="40">
        <v>10.71</v>
      </c>
      <c r="N22" s="40">
        <v>510.7</v>
      </c>
      <c r="O22" s="40">
        <v>0</v>
      </c>
      <c r="P22" s="40">
        <v>1.19</v>
      </c>
      <c r="Q22" s="40">
        <v>28.1</v>
      </c>
      <c r="R22" s="38"/>
      <c r="S22" s="38"/>
      <c r="T22" s="38"/>
      <c r="U22" s="38"/>
    </row>
    <row r="23" spans="1:21" customFormat="1">
      <c r="A23" s="39" t="s">
        <v>74</v>
      </c>
      <c r="B23" s="40">
        <v>4.07</v>
      </c>
      <c r="C23" s="40">
        <v>24.91</v>
      </c>
      <c r="D23" s="40">
        <v>17.64</v>
      </c>
      <c r="E23" s="40">
        <v>37.39</v>
      </c>
      <c r="F23" s="27" t="s">
        <v>8</v>
      </c>
      <c r="G23" s="40">
        <v>103.27</v>
      </c>
      <c r="H23" s="40">
        <v>51.19</v>
      </c>
      <c r="I23" s="40">
        <v>13.25</v>
      </c>
      <c r="J23" s="40">
        <v>1.08</v>
      </c>
      <c r="K23" s="40">
        <v>45.5</v>
      </c>
      <c r="L23" s="40">
        <v>38.369999999999997</v>
      </c>
      <c r="M23" s="40">
        <v>10.07</v>
      </c>
      <c r="N23" s="40">
        <v>439.7</v>
      </c>
      <c r="O23" s="40">
        <v>0</v>
      </c>
      <c r="P23" s="40">
        <v>1.06</v>
      </c>
      <c r="Q23" s="40">
        <v>28.09</v>
      </c>
      <c r="R23" s="38"/>
      <c r="S23" s="38"/>
      <c r="T23" s="38"/>
      <c r="U23" s="38"/>
    </row>
    <row r="24" spans="1:21" customFormat="1">
      <c r="A24" s="39" t="s">
        <v>75</v>
      </c>
      <c r="B24" s="40">
        <v>4.5999999999999996</v>
      </c>
      <c r="C24" s="40">
        <v>24.49</v>
      </c>
      <c r="D24" s="40">
        <v>17.73</v>
      </c>
      <c r="E24" s="40">
        <v>34.270000000000003</v>
      </c>
      <c r="F24" s="27" t="s">
        <v>8</v>
      </c>
      <c r="G24" s="40">
        <v>95.35</v>
      </c>
      <c r="H24" s="40">
        <v>47.81</v>
      </c>
      <c r="I24" s="40">
        <v>11.86</v>
      </c>
      <c r="J24" s="40">
        <v>1.46</v>
      </c>
      <c r="K24" s="40">
        <v>30.22</v>
      </c>
      <c r="L24" s="40">
        <v>37.65</v>
      </c>
      <c r="M24" s="40">
        <v>11.33</v>
      </c>
      <c r="N24" s="40">
        <v>317.60000000000002</v>
      </c>
      <c r="O24" s="40">
        <v>0</v>
      </c>
      <c r="P24" s="40">
        <v>0.99</v>
      </c>
      <c r="Q24" s="40">
        <v>28.09</v>
      </c>
      <c r="R24" s="38"/>
      <c r="S24" s="38"/>
      <c r="T24" s="38"/>
      <c r="U24" s="38"/>
    </row>
    <row r="25" spans="1:21" customFormat="1">
      <c r="A25" s="39" t="s">
        <v>76</v>
      </c>
      <c r="B25" s="40">
        <v>5.28</v>
      </c>
      <c r="C25" s="40">
        <v>26.13</v>
      </c>
      <c r="D25" s="40">
        <v>19.239999999999998</v>
      </c>
      <c r="E25" s="40">
        <v>37.28</v>
      </c>
      <c r="F25" s="27" t="s">
        <v>8</v>
      </c>
      <c r="G25" s="40">
        <v>95.47</v>
      </c>
      <c r="H25" s="40">
        <v>46.62</v>
      </c>
      <c r="I25" s="40">
        <v>10.54</v>
      </c>
      <c r="J25" s="40">
        <v>1.52</v>
      </c>
      <c r="K25" s="40">
        <v>34.18</v>
      </c>
      <c r="L25" s="40">
        <v>36.46</v>
      </c>
      <c r="M25" s="40">
        <v>10.54</v>
      </c>
      <c r="N25" s="40">
        <v>127</v>
      </c>
      <c r="O25" s="40">
        <v>0</v>
      </c>
      <c r="P25" s="40">
        <v>0.92</v>
      </c>
      <c r="Q25" s="40">
        <v>28.1</v>
      </c>
      <c r="R25" s="38"/>
      <c r="S25" s="38"/>
      <c r="T25" s="38"/>
      <c r="U25" s="38"/>
    </row>
    <row r="26" spans="1:21" customFormat="1">
      <c r="A26" s="39" t="s">
        <v>77</v>
      </c>
      <c r="B26" s="40">
        <v>6.12</v>
      </c>
      <c r="C26" s="40">
        <v>29.55</v>
      </c>
      <c r="D26" s="40">
        <v>21.69</v>
      </c>
      <c r="E26" s="40">
        <v>33.18</v>
      </c>
      <c r="F26" s="27" t="s">
        <v>8</v>
      </c>
      <c r="G26" s="40">
        <v>89.06</v>
      </c>
      <c r="H26" s="40">
        <v>42.1</v>
      </c>
      <c r="I26" s="40">
        <v>9.7899999999999991</v>
      </c>
      <c r="J26" s="40">
        <v>1.0900000000000001</v>
      </c>
      <c r="K26" s="40">
        <v>45.17</v>
      </c>
      <c r="L26" s="40">
        <v>35.159999999999997</v>
      </c>
      <c r="M26" s="40">
        <v>12.35</v>
      </c>
      <c r="N26" s="40">
        <v>59.4</v>
      </c>
      <c r="O26" s="40">
        <v>0</v>
      </c>
      <c r="P26" s="40">
        <v>0.91</v>
      </c>
      <c r="Q26" s="40">
        <v>28.09</v>
      </c>
      <c r="R26" s="38"/>
      <c r="S26" s="38"/>
      <c r="T26" s="38"/>
      <c r="U26" s="38"/>
    </row>
    <row r="27" spans="1:21" customFormat="1">
      <c r="A27" s="39" t="s">
        <v>78</v>
      </c>
      <c r="B27" s="40">
        <v>6.64</v>
      </c>
      <c r="C27" s="40">
        <v>34.630000000000003</v>
      </c>
      <c r="D27" s="40">
        <v>24.77</v>
      </c>
      <c r="E27" s="40">
        <v>48.63</v>
      </c>
      <c r="F27" s="27" t="s">
        <v>8</v>
      </c>
      <c r="G27" s="40">
        <v>94.72</v>
      </c>
      <c r="H27" s="40">
        <v>38.26</v>
      </c>
      <c r="I27" s="40">
        <v>9.59</v>
      </c>
      <c r="J27" s="40">
        <v>0.68</v>
      </c>
      <c r="K27" s="40">
        <v>60.42</v>
      </c>
      <c r="L27" s="40">
        <v>33.43</v>
      </c>
      <c r="M27" s="40">
        <v>13.74</v>
      </c>
      <c r="N27" s="40">
        <v>8.1</v>
      </c>
      <c r="O27" s="40">
        <v>0</v>
      </c>
      <c r="P27" s="40">
        <v>1.01</v>
      </c>
      <c r="Q27" s="40">
        <v>28.13</v>
      </c>
      <c r="R27" s="38"/>
      <c r="S27" s="38"/>
      <c r="T27" s="38"/>
      <c r="U27" s="38"/>
    </row>
    <row r="28" spans="1:21" customFormat="1">
      <c r="A28" s="39" t="s">
        <v>79</v>
      </c>
      <c r="B28" s="40">
        <v>8.16</v>
      </c>
      <c r="C28" s="40">
        <v>32.83</v>
      </c>
      <c r="D28" s="40">
        <v>25.05</v>
      </c>
      <c r="E28" s="40">
        <v>26.04</v>
      </c>
      <c r="F28" s="27" t="s">
        <v>8</v>
      </c>
      <c r="G28" s="40">
        <v>106.51</v>
      </c>
      <c r="H28" s="40">
        <v>39.69</v>
      </c>
      <c r="I28" s="40">
        <v>10.67</v>
      </c>
      <c r="J28" s="40">
        <v>0.62</v>
      </c>
      <c r="K28" s="40">
        <v>84.4</v>
      </c>
      <c r="L28" s="40">
        <v>32.15</v>
      </c>
      <c r="M28" s="40">
        <v>18.420000000000002</v>
      </c>
      <c r="N28" s="40">
        <v>6.4</v>
      </c>
      <c r="O28" s="40">
        <v>0</v>
      </c>
      <c r="P28" s="40">
        <v>1.05</v>
      </c>
      <c r="Q28" s="40">
        <v>28.13</v>
      </c>
      <c r="R28" s="38"/>
      <c r="S28" s="38"/>
      <c r="T28" s="38"/>
      <c r="U28" s="38"/>
    </row>
    <row r="29" spans="1:21" customFormat="1">
      <c r="A29" s="39" t="s">
        <v>80</v>
      </c>
      <c r="B29" s="40">
        <v>11.31</v>
      </c>
      <c r="C29" s="40">
        <v>32.94</v>
      </c>
      <c r="D29" s="40">
        <v>27.5</v>
      </c>
      <c r="E29" s="40">
        <v>22.5</v>
      </c>
      <c r="F29" s="27" t="s">
        <v>8</v>
      </c>
      <c r="G29" s="40">
        <v>110.81</v>
      </c>
      <c r="H29" s="40">
        <v>41.57</v>
      </c>
      <c r="I29" s="40">
        <v>11.18</v>
      </c>
      <c r="J29" s="40">
        <v>0.62</v>
      </c>
      <c r="K29" s="40">
        <v>48.43</v>
      </c>
      <c r="L29" s="40">
        <v>30.89</v>
      </c>
      <c r="M29" s="40">
        <v>15.68</v>
      </c>
      <c r="N29" s="40">
        <v>6.2</v>
      </c>
      <c r="O29" s="40">
        <v>0</v>
      </c>
      <c r="P29" s="40">
        <v>1.05</v>
      </c>
      <c r="Q29" s="40">
        <v>28.16</v>
      </c>
      <c r="R29" s="38"/>
      <c r="S29" s="38"/>
      <c r="T29" s="38"/>
      <c r="U29" s="38"/>
    </row>
    <row r="30" spans="1:21" customFormat="1">
      <c r="A30" s="39" t="s">
        <v>81</v>
      </c>
      <c r="B30" s="40">
        <v>9.76</v>
      </c>
      <c r="C30" s="40">
        <v>30.7</v>
      </c>
      <c r="D30" s="40">
        <v>24.89</v>
      </c>
      <c r="E30" s="40">
        <v>15.9</v>
      </c>
      <c r="F30" s="27" t="s">
        <v>8</v>
      </c>
      <c r="G30" s="40">
        <v>112.96</v>
      </c>
      <c r="H30" s="40">
        <v>42.32</v>
      </c>
      <c r="I30" s="40">
        <v>11.45</v>
      </c>
      <c r="J30" s="40">
        <v>0.32</v>
      </c>
      <c r="K30" s="40">
        <v>172.09</v>
      </c>
      <c r="L30" s="40">
        <v>30.22</v>
      </c>
      <c r="M30" s="40">
        <v>21.03</v>
      </c>
      <c r="N30" s="40">
        <v>6.8</v>
      </c>
      <c r="O30" s="40">
        <v>0</v>
      </c>
      <c r="P30" s="40">
        <v>1.06</v>
      </c>
      <c r="Q30" s="40">
        <v>28.19</v>
      </c>
      <c r="R30" s="38"/>
      <c r="S30" s="38"/>
      <c r="T30" s="38"/>
      <c r="U30" s="38"/>
    </row>
    <row r="31" spans="1:21" customFormat="1">
      <c r="A31" s="39" t="s">
        <v>82</v>
      </c>
      <c r="B31" s="40">
        <v>8.74</v>
      </c>
      <c r="C31" s="40">
        <v>26.69</v>
      </c>
      <c r="D31" s="40">
        <v>22.09</v>
      </c>
      <c r="E31" s="40">
        <v>12.72</v>
      </c>
      <c r="F31" s="27" t="s">
        <v>8</v>
      </c>
      <c r="G31" s="40">
        <v>113.46</v>
      </c>
      <c r="H31" s="40">
        <v>42.79</v>
      </c>
      <c r="I31" s="40">
        <v>11.61</v>
      </c>
      <c r="J31" s="40">
        <v>0.23</v>
      </c>
      <c r="K31" s="40">
        <v>198.21</v>
      </c>
      <c r="L31" s="40">
        <v>29.06</v>
      </c>
      <c r="M31" s="40">
        <v>29.12</v>
      </c>
      <c r="N31" s="40">
        <v>7</v>
      </c>
      <c r="O31" s="40">
        <v>0</v>
      </c>
      <c r="P31" s="40">
        <v>1.06</v>
      </c>
      <c r="Q31" s="40">
        <v>28.2</v>
      </c>
      <c r="R31" s="38"/>
      <c r="S31" s="38"/>
      <c r="T31" s="38"/>
      <c r="U31" s="38"/>
    </row>
    <row r="32" spans="1:21" customFormat="1">
      <c r="A32" s="39" t="s">
        <v>83</v>
      </c>
      <c r="B32" s="40">
        <v>8.09</v>
      </c>
      <c r="C32" s="40">
        <v>22.43</v>
      </c>
      <c r="D32" s="40">
        <v>19.559999999999999</v>
      </c>
      <c r="E32" s="40">
        <v>10</v>
      </c>
      <c r="F32" s="27" t="s">
        <v>8</v>
      </c>
      <c r="G32" s="40">
        <v>110.9</v>
      </c>
      <c r="H32" s="40">
        <v>42.81</v>
      </c>
      <c r="I32" s="40">
        <v>11.71</v>
      </c>
      <c r="J32" s="40">
        <v>0.18</v>
      </c>
      <c r="K32" s="40">
        <v>227.65</v>
      </c>
      <c r="L32" s="40">
        <v>26.55</v>
      </c>
      <c r="M32" s="40">
        <v>32.840000000000003</v>
      </c>
      <c r="N32" s="40">
        <v>6.3</v>
      </c>
      <c r="O32" s="40">
        <v>0</v>
      </c>
      <c r="P32" s="40">
        <v>1.07</v>
      </c>
      <c r="Q32" s="40">
        <v>28.2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4.07</v>
      </c>
      <c r="C34" s="18">
        <f t="shared" si="0"/>
        <v>18.73</v>
      </c>
      <c r="D34" s="18">
        <f t="shared" si="0"/>
        <v>17.22</v>
      </c>
      <c r="E34" s="18">
        <f t="shared" si="0"/>
        <v>8.61</v>
      </c>
      <c r="F34" s="18">
        <f t="shared" si="0"/>
        <v>0</v>
      </c>
      <c r="G34" s="18">
        <f t="shared" si="0"/>
        <v>89.06</v>
      </c>
      <c r="H34" s="18">
        <f t="shared" si="0"/>
        <v>38.26</v>
      </c>
      <c r="I34" s="18">
        <f t="shared" si="0"/>
        <v>9.59</v>
      </c>
      <c r="J34" s="18">
        <f t="shared" si="0"/>
        <v>0.18</v>
      </c>
      <c r="K34" s="18">
        <f t="shared" si="0"/>
        <v>30.22</v>
      </c>
      <c r="L34" s="18">
        <f t="shared" si="0"/>
        <v>23.34</v>
      </c>
      <c r="M34" s="18">
        <f t="shared" si="0"/>
        <v>10.07</v>
      </c>
      <c r="N34" s="18">
        <f t="shared" si="0"/>
        <v>5.7</v>
      </c>
      <c r="O34" s="18">
        <f t="shared" si="0"/>
        <v>0</v>
      </c>
      <c r="P34" s="18">
        <f t="shared" si="0"/>
        <v>0.91</v>
      </c>
      <c r="Q34" s="18">
        <f t="shared" si="0"/>
        <v>28.09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16.809999999999999</v>
      </c>
      <c r="C35" s="3">
        <f t="shared" si="1"/>
        <v>34.630000000000003</v>
      </c>
      <c r="D35" s="3">
        <f t="shared" si="1"/>
        <v>32.67</v>
      </c>
      <c r="E35" s="3">
        <f t="shared" si="1"/>
        <v>48.63</v>
      </c>
      <c r="F35" s="3">
        <f t="shared" si="1"/>
        <v>0</v>
      </c>
      <c r="G35" s="3">
        <f t="shared" si="1"/>
        <v>243.57</v>
      </c>
      <c r="H35" s="3">
        <f t="shared" si="1"/>
        <v>90.79</v>
      </c>
      <c r="I35" s="3">
        <f t="shared" si="1"/>
        <v>18.3</v>
      </c>
      <c r="J35" s="3">
        <f t="shared" si="1"/>
        <v>1.52</v>
      </c>
      <c r="K35" s="3">
        <f t="shared" si="1"/>
        <v>359.64</v>
      </c>
      <c r="L35" s="3">
        <f t="shared" si="1"/>
        <v>38.369999999999997</v>
      </c>
      <c r="M35" s="3">
        <f t="shared" si="1"/>
        <v>44.55</v>
      </c>
      <c r="N35" s="3">
        <f t="shared" si="1"/>
        <v>561</v>
      </c>
      <c r="O35" s="3">
        <f t="shared" si="1"/>
        <v>0</v>
      </c>
      <c r="P35" s="3">
        <f t="shared" si="1"/>
        <v>1.45</v>
      </c>
      <c r="Q35" s="3">
        <f t="shared" si="1"/>
        <v>28.38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9.555416666666666</v>
      </c>
      <c r="C36" s="18">
        <f t="shared" si="2"/>
        <v>27.461250000000003</v>
      </c>
      <c r="D36" s="18">
        <f t="shared" si="2"/>
        <v>23.258750000000003</v>
      </c>
      <c r="E36" s="18">
        <f t="shared" si="2"/>
        <v>25.145</v>
      </c>
      <c r="F36" s="18" t="e">
        <f t="shared" si="2"/>
        <v>#DIV/0!</v>
      </c>
      <c r="G36" s="18">
        <f t="shared" si="2"/>
        <v>125.35083333333334</v>
      </c>
      <c r="H36" s="18">
        <f t="shared" si="2"/>
        <v>54.592083333333328</v>
      </c>
      <c r="I36" s="18">
        <f t="shared" si="2"/>
        <v>14.37166666666667</v>
      </c>
      <c r="J36" s="18">
        <f t="shared" si="2"/>
        <v>0.64541666666666664</v>
      </c>
      <c r="K36" s="18">
        <f t="shared" si="2"/>
        <v>197.8458333333333</v>
      </c>
      <c r="L36" s="18">
        <f t="shared" si="2"/>
        <v>30.842083333333321</v>
      </c>
      <c r="M36" s="18">
        <f t="shared" si="2"/>
        <v>24.324583333333337</v>
      </c>
      <c r="N36" s="18">
        <f t="shared" si="2"/>
        <v>160.17499999999998</v>
      </c>
      <c r="O36" s="18">
        <f t="shared" si="2"/>
        <v>0</v>
      </c>
      <c r="P36" s="18">
        <f t="shared" si="2"/>
        <v>1.1245833333333333</v>
      </c>
      <c r="Q36" s="18">
        <f t="shared" si="2"/>
        <v>28.207916666666673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3.8163401306426601</v>
      </c>
      <c r="C37" s="18">
        <f t="shared" ref="C37:Q37" si="3">STDEV(C9:C32)</f>
        <v>4.7849177108911567</v>
      </c>
      <c r="D37" s="18">
        <f t="shared" si="3"/>
        <v>4.3875171868856935</v>
      </c>
      <c r="E37" s="18">
        <f t="shared" si="3"/>
        <v>14.711385711931335</v>
      </c>
      <c r="F37" s="18" t="e">
        <f t="shared" si="3"/>
        <v>#DIV/0!</v>
      </c>
      <c r="G37" s="18">
        <f t="shared" si="3"/>
        <v>37.057443999783622</v>
      </c>
      <c r="H37" s="18">
        <f t="shared" si="3"/>
        <v>15.114437088905891</v>
      </c>
      <c r="I37" s="18">
        <f t="shared" si="3"/>
        <v>3.0011804440871135</v>
      </c>
      <c r="J37" s="18">
        <f t="shared" si="3"/>
        <v>0.44766038337179204</v>
      </c>
      <c r="K37" s="18">
        <f t="shared" si="3"/>
        <v>112.08992558060994</v>
      </c>
      <c r="L37" s="18">
        <f t="shared" si="3"/>
        <v>5.2016911791444755</v>
      </c>
      <c r="M37" s="18">
        <f t="shared" si="3"/>
        <v>12.666811128562166</v>
      </c>
      <c r="N37" s="18">
        <f t="shared" si="3"/>
        <v>207.95689823071302</v>
      </c>
      <c r="O37" s="18">
        <f t="shared" si="3"/>
        <v>0</v>
      </c>
      <c r="P37" s="18">
        <f t="shared" si="3"/>
        <v>0.15108244701851217</v>
      </c>
      <c r="Q37" s="18">
        <f t="shared" si="3"/>
        <v>9.5050520510280859E-2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3" width="11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02/04/2025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84</v>
      </c>
      <c r="B9" s="40">
        <v>8.17</v>
      </c>
      <c r="C9" s="40">
        <v>22.03</v>
      </c>
      <c r="D9" s="40">
        <v>19.41</v>
      </c>
      <c r="E9" s="40">
        <v>9.7100000000000009</v>
      </c>
      <c r="F9" s="27" t="s">
        <v>8</v>
      </c>
      <c r="G9" s="40">
        <v>93.95</v>
      </c>
      <c r="H9" s="40">
        <v>39.880000000000003</v>
      </c>
      <c r="I9" s="40">
        <v>11.83</v>
      </c>
      <c r="J9" s="40">
        <v>0.22</v>
      </c>
      <c r="K9" s="40">
        <v>199.67</v>
      </c>
      <c r="L9" s="40">
        <v>26</v>
      </c>
      <c r="M9" s="40">
        <v>35.9</v>
      </c>
      <c r="N9" s="40">
        <v>6.4</v>
      </c>
      <c r="O9" s="40">
        <v>0</v>
      </c>
      <c r="P9" s="40">
        <v>1.06</v>
      </c>
      <c r="Q9" s="40">
        <v>28.19</v>
      </c>
      <c r="R9" s="38"/>
      <c r="S9" s="38"/>
      <c r="T9" s="38"/>
      <c r="U9" s="38"/>
    </row>
    <row r="10" spans="1:21" customFormat="1">
      <c r="A10" s="39" t="s">
        <v>85</v>
      </c>
      <c r="B10" s="40">
        <v>7.94</v>
      </c>
      <c r="C10" s="40">
        <v>21.4</v>
      </c>
      <c r="D10" s="40">
        <v>18.899999999999999</v>
      </c>
      <c r="E10" s="40">
        <v>9.59</v>
      </c>
      <c r="F10" s="27" t="s">
        <v>8</v>
      </c>
      <c r="G10" s="40">
        <v>108.54</v>
      </c>
      <c r="H10" s="40">
        <v>42.91</v>
      </c>
      <c r="I10" s="40">
        <v>11.92</v>
      </c>
      <c r="J10" s="40">
        <v>0.28999999999999998</v>
      </c>
      <c r="K10" s="40">
        <v>211.66</v>
      </c>
      <c r="L10" s="40">
        <v>24.88</v>
      </c>
      <c r="M10" s="40">
        <v>38.11</v>
      </c>
      <c r="N10" s="40">
        <v>6.2</v>
      </c>
      <c r="O10" s="40">
        <v>0</v>
      </c>
      <c r="P10" s="40">
        <v>1.04</v>
      </c>
      <c r="Q10" s="40">
        <v>28.19</v>
      </c>
      <c r="R10" s="38"/>
      <c r="S10" s="38"/>
      <c r="T10" s="38"/>
      <c r="U10" s="38"/>
    </row>
    <row r="11" spans="1:21" customFormat="1">
      <c r="A11" s="39" t="s">
        <v>86</v>
      </c>
      <c r="B11" s="40">
        <v>7.42</v>
      </c>
      <c r="C11" s="40">
        <v>20.75</v>
      </c>
      <c r="D11" s="40">
        <v>18.14</v>
      </c>
      <c r="E11" s="40">
        <v>8.89</v>
      </c>
      <c r="F11" s="27" t="s">
        <v>8</v>
      </c>
      <c r="G11" s="40">
        <v>112.31</v>
      </c>
      <c r="H11" s="40">
        <v>43.03</v>
      </c>
      <c r="I11" s="40">
        <v>11.99</v>
      </c>
      <c r="J11" s="40">
        <v>0.31</v>
      </c>
      <c r="K11" s="40">
        <v>241.94</v>
      </c>
      <c r="L11" s="40">
        <v>24.4</v>
      </c>
      <c r="M11" s="40">
        <v>44.92</v>
      </c>
      <c r="N11" s="40">
        <v>6.3</v>
      </c>
      <c r="O11" s="40">
        <v>0</v>
      </c>
      <c r="P11" s="40">
        <v>1.04</v>
      </c>
      <c r="Q11" s="40">
        <v>28.17</v>
      </c>
      <c r="R11" s="38"/>
      <c r="S11" s="38"/>
      <c r="T11" s="38"/>
      <c r="U11" s="38"/>
    </row>
    <row r="12" spans="1:21" customFormat="1">
      <c r="A12" s="39" t="s">
        <v>87</v>
      </c>
      <c r="B12" s="40">
        <v>12.69</v>
      </c>
      <c r="C12" s="40">
        <v>23.55</v>
      </c>
      <c r="D12" s="40">
        <v>23.83</v>
      </c>
      <c r="E12" s="40">
        <v>9.14</v>
      </c>
      <c r="F12" s="27" t="s">
        <v>8</v>
      </c>
      <c r="G12" s="40">
        <v>117.23</v>
      </c>
      <c r="H12" s="40">
        <v>42.9</v>
      </c>
      <c r="I12" s="40">
        <v>12.4</v>
      </c>
      <c r="J12" s="40">
        <v>0.28999999999999998</v>
      </c>
      <c r="K12" s="40">
        <v>225.47</v>
      </c>
      <c r="L12" s="40">
        <v>25.15</v>
      </c>
      <c r="M12" s="40">
        <v>41.2</v>
      </c>
      <c r="N12" s="40">
        <v>5.9</v>
      </c>
      <c r="O12" s="40">
        <v>0</v>
      </c>
      <c r="P12" s="40">
        <v>1.07</v>
      </c>
      <c r="Q12" s="40">
        <v>28.24</v>
      </c>
      <c r="R12" s="38"/>
      <c r="S12" s="38"/>
      <c r="T12" s="38"/>
      <c r="U12" s="38"/>
    </row>
    <row r="13" spans="1:21" customFormat="1">
      <c r="A13" s="39" t="s">
        <v>88</v>
      </c>
      <c r="B13" s="40">
        <v>13.13</v>
      </c>
      <c r="C13" s="40">
        <v>22.21</v>
      </c>
      <c r="D13" s="40">
        <v>23.03</v>
      </c>
      <c r="E13" s="40">
        <v>9.36</v>
      </c>
      <c r="F13" s="27" t="s">
        <v>8</v>
      </c>
      <c r="G13" s="40">
        <v>130.65</v>
      </c>
      <c r="H13" s="40">
        <v>49.07</v>
      </c>
      <c r="I13" s="40">
        <v>12.84</v>
      </c>
      <c r="J13" s="40">
        <v>0.25</v>
      </c>
      <c r="K13" s="40">
        <v>354.58</v>
      </c>
      <c r="L13" s="40">
        <v>25.65</v>
      </c>
      <c r="M13" s="40">
        <v>36.450000000000003</v>
      </c>
      <c r="N13" s="40">
        <v>6.5</v>
      </c>
      <c r="O13" s="40">
        <v>0</v>
      </c>
      <c r="P13" s="40">
        <v>1.0900000000000001</v>
      </c>
      <c r="Q13" s="40">
        <v>28.3</v>
      </c>
      <c r="R13" s="38"/>
      <c r="S13" s="38"/>
      <c r="T13" s="38"/>
      <c r="U13" s="38"/>
    </row>
    <row r="14" spans="1:21" customFormat="1">
      <c r="A14" s="39" t="s">
        <v>89</v>
      </c>
      <c r="B14" s="40">
        <v>14.26</v>
      </c>
      <c r="C14" s="40">
        <v>20.93</v>
      </c>
      <c r="D14" s="40">
        <v>23.21</v>
      </c>
      <c r="E14" s="40">
        <v>9.31</v>
      </c>
      <c r="F14" s="27" t="s">
        <v>8</v>
      </c>
      <c r="G14" s="40">
        <v>140.49</v>
      </c>
      <c r="H14" s="40">
        <v>53.84</v>
      </c>
      <c r="I14" s="40">
        <v>13.08</v>
      </c>
      <c r="J14" s="40">
        <v>0.24</v>
      </c>
      <c r="K14" s="40">
        <v>186.7</v>
      </c>
      <c r="L14" s="40">
        <v>25.2</v>
      </c>
      <c r="M14" s="40">
        <v>43.13</v>
      </c>
      <c r="N14" s="40">
        <v>9.4</v>
      </c>
      <c r="O14" s="40">
        <v>0</v>
      </c>
      <c r="P14" s="40">
        <v>1.1299999999999999</v>
      </c>
      <c r="Q14" s="40">
        <v>28.32</v>
      </c>
      <c r="R14" s="38"/>
      <c r="S14" s="38"/>
      <c r="T14" s="38"/>
      <c r="U14" s="38"/>
    </row>
    <row r="15" spans="1:21" customFormat="1">
      <c r="A15" s="39" t="s">
        <v>90</v>
      </c>
      <c r="B15" s="40">
        <v>16.57</v>
      </c>
      <c r="C15" s="40">
        <v>21.47</v>
      </c>
      <c r="D15" s="40">
        <v>25.86</v>
      </c>
      <c r="E15" s="40">
        <v>9.64</v>
      </c>
      <c r="F15" s="27" t="s">
        <v>8</v>
      </c>
      <c r="G15" s="40">
        <v>142.56</v>
      </c>
      <c r="H15" s="40">
        <v>54.85</v>
      </c>
      <c r="I15" s="40">
        <v>13.26</v>
      </c>
      <c r="J15" s="40">
        <v>0.49</v>
      </c>
      <c r="K15" s="40">
        <v>298.29000000000002</v>
      </c>
      <c r="L15" s="40">
        <v>26.15</v>
      </c>
      <c r="M15" s="40">
        <v>43.58</v>
      </c>
      <c r="N15" s="40">
        <v>29.4</v>
      </c>
      <c r="O15" s="40">
        <v>0</v>
      </c>
      <c r="P15" s="40">
        <v>1.17</v>
      </c>
      <c r="Q15" s="40">
        <v>28.35</v>
      </c>
      <c r="R15" s="38"/>
      <c r="S15" s="38"/>
      <c r="T15" s="38"/>
      <c r="U15" s="38"/>
    </row>
    <row r="16" spans="1:21" customFormat="1">
      <c r="A16" s="39" t="s">
        <v>91</v>
      </c>
      <c r="B16" s="40">
        <v>17.8</v>
      </c>
      <c r="C16" s="40">
        <v>21.85</v>
      </c>
      <c r="D16" s="40">
        <v>27.04</v>
      </c>
      <c r="E16" s="40">
        <v>17.77</v>
      </c>
      <c r="F16" s="27" t="s">
        <v>8</v>
      </c>
      <c r="G16" s="40">
        <v>148.91999999999999</v>
      </c>
      <c r="H16" s="40">
        <v>63.43</v>
      </c>
      <c r="I16" s="40">
        <v>13.97</v>
      </c>
      <c r="J16" s="40">
        <v>0.45</v>
      </c>
      <c r="K16" s="40">
        <v>356.85</v>
      </c>
      <c r="L16" s="40">
        <v>28.02</v>
      </c>
      <c r="M16" s="40">
        <v>24.7</v>
      </c>
      <c r="N16" s="40">
        <v>96.5</v>
      </c>
      <c r="O16" s="40">
        <v>0</v>
      </c>
      <c r="P16" s="40">
        <v>1.23</v>
      </c>
      <c r="Q16" s="40">
        <v>28.37</v>
      </c>
      <c r="R16" s="38"/>
      <c r="S16" s="38"/>
      <c r="T16" s="38"/>
      <c r="U16" s="38"/>
    </row>
    <row r="17" spans="1:21" customFormat="1">
      <c r="A17" s="39" t="s">
        <v>92</v>
      </c>
      <c r="B17" s="40">
        <v>16.87</v>
      </c>
      <c r="C17" s="40">
        <v>23.82</v>
      </c>
      <c r="D17" s="40">
        <v>27.08</v>
      </c>
      <c r="E17" s="40">
        <v>19.059999999999999</v>
      </c>
      <c r="F17" s="27" t="s">
        <v>8</v>
      </c>
      <c r="G17" s="40">
        <v>171.25</v>
      </c>
      <c r="H17" s="40">
        <v>75.87</v>
      </c>
      <c r="I17" s="40">
        <v>14.76</v>
      </c>
      <c r="J17" s="40">
        <v>0.69</v>
      </c>
      <c r="K17" s="40">
        <v>317.64</v>
      </c>
      <c r="L17" s="40">
        <v>29.53</v>
      </c>
      <c r="M17" s="40">
        <v>23.51</v>
      </c>
      <c r="N17" s="40">
        <v>144.9</v>
      </c>
      <c r="O17" s="40">
        <v>0</v>
      </c>
      <c r="P17" s="40">
        <v>1.33</v>
      </c>
      <c r="Q17" s="40">
        <v>28.4</v>
      </c>
      <c r="R17" s="38"/>
      <c r="S17" s="38"/>
      <c r="T17" s="38"/>
      <c r="U17" s="38"/>
    </row>
    <row r="18" spans="1:21" customFormat="1">
      <c r="A18" s="39" t="s">
        <v>93</v>
      </c>
      <c r="B18" s="40">
        <v>16.100000000000001</v>
      </c>
      <c r="C18" s="40">
        <v>27.26</v>
      </c>
      <c r="D18" s="40">
        <v>26.54</v>
      </c>
      <c r="E18" s="40">
        <v>14.65</v>
      </c>
      <c r="F18" s="27" t="s">
        <v>8</v>
      </c>
      <c r="G18" s="40">
        <v>178.21</v>
      </c>
      <c r="H18" s="40">
        <v>76.25</v>
      </c>
      <c r="I18" s="40">
        <v>15.14</v>
      </c>
      <c r="J18" s="40">
        <v>0.51</v>
      </c>
      <c r="K18" s="40">
        <v>340.77</v>
      </c>
      <c r="L18" s="40">
        <v>31.65</v>
      </c>
      <c r="M18" s="40">
        <v>22.06</v>
      </c>
      <c r="N18" s="40">
        <v>220.3</v>
      </c>
      <c r="O18" s="40">
        <v>0</v>
      </c>
      <c r="P18" s="40">
        <v>1.34</v>
      </c>
      <c r="Q18" s="40">
        <v>28.38</v>
      </c>
      <c r="R18" s="38"/>
      <c r="S18" s="38"/>
      <c r="T18" s="38"/>
      <c r="U18" s="38"/>
    </row>
    <row r="19" spans="1:21" customFormat="1">
      <c r="A19" s="39" t="s">
        <v>94</v>
      </c>
      <c r="B19" s="40">
        <v>11.3</v>
      </c>
      <c r="C19" s="40">
        <v>31</v>
      </c>
      <c r="D19" s="40">
        <v>24.64</v>
      </c>
      <c r="E19" s="40">
        <v>47.96</v>
      </c>
      <c r="F19" s="27" t="s">
        <v>8</v>
      </c>
      <c r="G19" s="40">
        <v>158.32</v>
      </c>
      <c r="H19" s="40">
        <v>71.510000000000005</v>
      </c>
      <c r="I19" s="40">
        <v>15</v>
      </c>
      <c r="J19" s="40">
        <v>0.86</v>
      </c>
      <c r="K19" s="40">
        <v>326.39</v>
      </c>
      <c r="L19" s="40">
        <v>33.78</v>
      </c>
      <c r="M19" s="40">
        <v>16.46</v>
      </c>
      <c r="N19" s="40">
        <v>374.8</v>
      </c>
      <c r="O19" s="40">
        <v>0</v>
      </c>
      <c r="P19" s="40">
        <v>1.33</v>
      </c>
      <c r="Q19" s="40">
        <v>28.3</v>
      </c>
      <c r="R19" s="38"/>
      <c r="S19" s="38"/>
      <c r="T19" s="38"/>
      <c r="U19" s="38"/>
    </row>
    <row r="20" spans="1:21" customFormat="1">
      <c r="A20" s="39" t="s">
        <v>95</v>
      </c>
      <c r="B20" s="40">
        <v>5.58</v>
      </c>
      <c r="C20" s="40">
        <v>32.450000000000003</v>
      </c>
      <c r="D20" s="40">
        <v>22.78</v>
      </c>
      <c r="E20" s="40">
        <v>60.12</v>
      </c>
      <c r="F20" s="27" t="s">
        <v>8</v>
      </c>
      <c r="G20" s="40">
        <v>149.27000000000001</v>
      </c>
      <c r="H20" s="10" t="s">
        <v>12</v>
      </c>
      <c r="I20" s="40">
        <v>14.61</v>
      </c>
      <c r="J20" s="40">
        <v>1.0900000000000001</v>
      </c>
      <c r="K20" s="40">
        <v>356.39</v>
      </c>
      <c r="L20" s="40">
        <v>34.6</v>
      </c>
      <c r="M20" s="40">
        <v>12.65</v>
      </c>
      <c r="N20" s="40">
        <v>398.4</v>
      </c>
      <c r="O20" s="40">
        <v>0</v>
      </c>
      <c r="P20" s="40">
        <v>1.29</v>
      </c>
      <c r="Q20" s="40">
        <v>28.17</v>
      </c>
      <c r="R20" s="38"/>
      <c r="S20" s="38"/>
      <c r="T20" s="38"/>
      <c r="U20" s="38"/>
    </row>
    <row r="21" spans="1:21" customFormat="1">
      <c r="A21" s="39" t="s">
        <v>96</v>
      </c>
      <c r="B21" s="40">
        <v>4.33</v>
      </c>
      <c r="C21" s="40">
        <v>29.99</v>
      </c>
      <c r="D21" s="40">
        <v>20.49</v>
      </c>
      <c r="E21" s="10" t="s">
        <v>12</v>
      </c>
      <c r="F21" s="27" t="s">
        <v>8</v>
      </c>
      <c r="G21" s="10" t="s">
        <v>12</v>
      </c>
      <c r="H21" s="10" t="s">
        <v>12</v>
      </c>
      <c r="I21" s="40">
        <v>24.11</v>
      </c>
      <c r="J21" s="40">
        <v>1.42</v>
      </c>
      <c r="K21" s="40">
        <v>46.75</v>
      </c>
      <c r="L21" s="40">
        <v>35.24</v>
      </c>
      <c r="M21" s="40">
        <v>11.76</v>
      </c>
      <c r="N21" s="40">
        <v>329.9</v>
      </c>
      <c r="O21" s="40">
        <v>0</v>
      </c>
      <c r="P21" s="40">
        <v>1.1399999999999999</v>
      </c>
      <c r="Q21" s="40">
        <v>28.12</v>
      </c>
      <c r="R21" s="38"/>
      <c r="S21" s="38"/>
      <c r="T21" s="38"/>
      <c r="U21" s="38"/>
    </row>
    <row r="22" spans="1:21" customFormat="1">
      <c r="A22" s="39" t="s">
        <v>97</v>
      </c>
      <c r="B22" s="40">
        <v>4.7</v>
      </c>
      <c r="C22" s="40">
        <v>28.38</v>
      </c>
      <c r="D22" s="40">
        <v>19.95</v>
      </c>
      <c r="E22" s="40">
        <v>45.01</v>
      </c>
      <c r="F22" s="27" t="s">
        <v>8</v>
      </c>
      <c r="G22" s="40">
        <v>95.21</v>
      </c>
      <c r="H22" s="40">
        <v>41.58</v>
      </c>
      <c r="I22" s="40">
        <v>23.12</v>
      </c>
      <c r="J22" s="40">
        <v>1.17</v>
      </c>
      <c r="K22" s="40">
        <v>44.66</v>
      </c>
      <c r="L22" s="40">
        <v>36.22</v>
      </c>
      <c r="M22" s="40">
        <v>9.7899999999999991</v>
      </c>
      <c r="N22" s="40">
        <v>377.9</v>
      </c>
      <c r="O22" s="40">
        <v>0</v>
      </c>
      <c r="P22" s="40">
        <v>0.92</v>
      </c>
      <c r="Q22" s="40">
        <v>28.1</v>
      </c>
      <c r="R22" s="38"/>
      <c r="S22" s="38"/>
      <c r="T22" s="38"/>
      <c r="U22" s="38"/>
    </row>
    <row r="23" spans="1:21" customFormat="1">
      <c r="A23" s="39" t="s">
        <v>98</v>
      </c>
      <c r="B23" s="40">
        <v>4.6100000000000003</v>
      </c>
      <c r="C23" s="40">
        <v>27.35</v>
      </c>
      <c r="D23" s="40">
        <v>19.34</v>
      </c>
      <c r="E23" s="40">
        <v>27.69</v>
      </c>
      <c r="F23" s="27" t="s">
        <v>8</v>
      </c>
      <c r="G23" s="40">
        <v>92.94</v>
      </c>
      <c r="H23" s="40">
        <v>39.32</v>
      </c>
      <c r="I23" s="40">
        <v>18.97</v>
      </c>
      <c r="J23" s="40">
        <v>1.23</v>
      </c>
      <c r="K23" s="40">
        <v>45.75</v>
      </c>
      <c r="L23" s="40">
        <v>36.44</v>
      </c>
      <c r="M23" s="40">
        <v>10.08</v>
      </c>
      <c r="N23" s="40">
        <v>340.3</v>
      </c>
      <c r="O23" s="40">
        <v>0</v>
      </c>
      <c r="P23" s="40">
        <v>0.91</v>
      </c>
      <c r="Q23" s="40">
        <v>28.1</v>
      </c>
      <c r="R23" s="38"/>
      <c r="S23" s="38"/>
      <c r="T23" s="38"/>
      <c r="U23" s="38"/>
    </row>
    <row r="24" spans="1:21" customFormat="1">
      <c r="A24" s="39" t="s">
        <v>99</v>
      </c>
      <c r="B24" s="40">
        <v>4.55</v>
      </c>
      <c r="C24" s="40">
        <v>24.53</v>
      </c>
      <c r="D24" s="40">
        <v>17.38</v>
      </c>
      <c r="E24" s="40">
        <v>58.27</v>
      </c>
      <c r="F24" s="27" t="s">
        <v>8</v>
      </c>
      <c r="G24" s="40">
        <v>88.89</v>
      </c>
      <c r="H24" s="40">
        <v>38.42</v>
      </c>
      <c r="I24" s="40">
        <v>17.09</v>
      </c>
      <c r="J24" s="40">
        <v>1.36</v>
      </c>
      <c r="K24" s="40">
        <v>54.14</v>
      </c>
      <c r="L24" s="40">
        <v>36.25</v>
      </c>
      <c r="M24" s="40">
        <v>10.029999999999999</v>
      </c>
      <c r="N24" s="40">
        <v>281.7</v>
      </c>
      <c r="O24" s="40">
        <v>0</v>
      </c>
      <c r="P24" s="40">
        <v>0.92</v>
      </c>
      <c r="Q24" s="40">
        <v>28.08</v>
      </c>
      <c r="R24" s="38"/>
      <c r="S24" s="38"/>
      <c r="T24" s="38"/>
      <c r="U24" s="38"/>
    </row>
    <row r="25" spans="1:21" customFormat="1">
      <c r="A25" s="39" t="s">
        <v>100</v>
      </c>
      <c r="B25" s="40">
        <v>4.12</v>
      </c>
      <c r="C25" s="40">
        <v>28.8</v>
      </c>
      <c r="D25" s="40">
        <v>19.59</v>
      </c>
      <c r="E25" s="40">
        <v>55.8</v>
      </c>
      <c r="F25" s="27" t="s">
        <v>8</v>
      </c>
      <c r="G25" s="40">
        <v>83.1</v>
      </c>
      <c r="H25" s="40">
        <v>38.950000000000003</v>
      </c>
      <c r="I25" s="40">
        <v>14.43</v>
      </c>
      <c r="J25" s="40">
        <v>0.68</v>
      </c>
      <c r="K25" s="40">
        <v>106.59</v>
      </c>
      <c r="L25" s="40">
        <v>35.71</v>
      </c>
      <c r="M25" s="40">
        <v>14.22</v>
      </c>
      <c r="N25" s="40">
        <v>69.099999999999994</v>
      </c>
      <c r="O25" s="40">
        <v>0</v>
      </c>
      <c r="P25" s="40">
        <v>0.95</v>
      </c>
      <c r="Q25" s="40">
        <v>28.11</v>
      </c>
      <c r="R25" s="38"/>
      <c r="S25" s="38"/>
      <c r="T25" s="38"/>
      <c r="U25" s="38"/>
    </row>
    <row r="26" spans="1:21" customFormat="1">
      <c r="A26" s="39" t="s">
        <v>101</v>
      </c>
      <c r="B26" s="40">
        <v>6.75</v>
      </c>
      <c r="C26" s="40">
        <v>33.119999999999997</v>
      </c>
      <c r="D26" s="40">
        <v>24.07</v>
      </c>
      <c r="E26" s="40">
        <v>41.96</v>
      </c>
      <c r="F26" s="27" t="s">
        <v>8</v>
      </c>
      <c r="G26" s="40">
        <v>86.22</v>
      </c>
      <c r="H26" s="40">
        <v>40.270000000000003</v>
      </c>
      <c r="I26" s="40">
        <v>13.04</v>
      </c>
      <c r="J26" s="40">
        <v>0.91</v>
      </c>
      <c r="K26" s="40">
        <v>178.49</v>
      </c>
      <c r="L26" s="40">
        <v>33.159999999999997</v>
      </c>
      <c r="M26" s="40">
        <v>21.75</v>
      </c>
      <c r="N26" s="40">
        <v>66.900000000000006</v>
      </c>
      <c r="O26" s="40">
        <v>0</v>
      </c>
      <c r="P26" s="40">
        <v>1.02</v>
      </c>
      <c r="Q26" s="40">
        <v>28.09</v>
      </c>
      <c r="R26" s="38"/>
      <c r="S26" s="38"/>
      <c r="T26" s="38"/>
      <c r="U26" s="38"/>
    </row>
    <row r="27" spans="1:21" customFormat="1">
      <c r="A27" s="39" t="s">
        <v>102</v>
      </c>
      <c r="B27" s="40">
        <v>5.19</v>
      </c>
      <c r="C27" s="40">
        <v>28.09</v>
      </c>
      <c r="D27" s="40">
        <v>20.190000000000001</v>
      </c>
      <c r="E27" s="40">
        <v>24.99</v>
      </c>
      <c r="F27" s="27" t="s">
        <v>8</v>
      </c>
      <c r="G27" s="40">
        <v>180.33</v>
      </c>
      <c r="H27" s="40">
        <v>44.92</v>
      </c>
      <c r="I27" s="40">
        <v>13.72</v>
      </c>
      <c r="J27" s="40">
        <v>1.07</v>
      </c>
      <c r="K27" s="40">
        <v>57.64</v>
      </c>
      <c r="L27" s="40">
        <v>32.01</v>
      </c>
      <c r="M27" s="40">
        <v>19.38</v>
      </c>
      <c r="N27" s="40">
        <v>8.4</v>
      </c>
      <c r="O27" s="40">
        <v>0</v>
      </c>
      <c r="P27" s="40">
        <v>0.97</v>
      </c>
      <c r="Q27" s="40">
        <v>28.1</v>
      </c>
      <c r="R27" s="38"/>
      <c r="S27" s="38"/>
      <c r="T27" s="38"/>
      <c r="U27" s="38"/>
    </row>
    <row r="28" spans="1:21" customFormat="1">
      <c r="A28" s="39" t="s">
        <v>103</v>
      </c>
      <c r="B28" s="40">
        <v>5.23</v>
      </c>
      <c r="C28" s="40">
        <v>25.63</v>
      </c>
      <c r="D28" s="40">
        <v>18.89</v>
      </c>
      <c r="E28" s="40">
        <v>15.66</v>
      </c>
      <c r="F28" s="27" t="s">
        <v>8</v>
      </c>
      <c r="G28" s="40">
        <v>100.71</v>
      </c>
      <c r="H28" s="40">
        <v>45.03</v>
      </c>
      <c r="I28" s="40">
        <v>13.51</v>
      </c>
      <c r="J28" s="40">
        <v>1.31</v>
      </c>
      <c r="K28" s="40">
        <v>55.37</v>
      </c>
      <c r="L28" s="40">
        <v>31.19</v>
      </c>
      <c r="M28" s="40">
        <v>20.99</v>
      </c>
      <c r="N28" s="40">
        <v>6.2</v>
      </c>
      <c r="O28" s="40">
        <v>0</v>
      </c>
      <c r="P28" s="40">
        <v>0.98</v>
      </c>
      <c r="Q28" s="40">
        <v>28.1</v>
      </c>
      <c r="R28" s="38"/>
      <c r="S28" s="38"/>
      <c r="T28" s="38"/>
      <c r="U28" s="38"/>
    </row>
    <row r="29" spans="1:21" customFormat="1">
      <c r="A29" s="39" t="s">
        <v>104</v>
      </c>
      <c r="B29" s="40">
        <v>4.5999999999999996</v>
      </c>
      <c r="C29" s="40">
        <v>25.68</v>
      </c>
      <c r="D29" s="40">
        <v>18.46</v>
      </c>
      <c r="E29" s="40">
        <v>17.29</v>
      </c>
      <c r="F29" s="27" t="s">
        <v>8</v>
      </c>
      <c r="G29" s="40">
        <v>89.11</v>
      </c>
      <c r="H29" s="40">
        <v>42.02</v>
      </c>
      <c r="I29" s="40">
        <v>12.75</v>
      </c>
      <c r="J29" s="40">
        <v>0.83</v>
      </c>
      <c r="K29" s="40">
        <v>73.05</v>
      </c>
      <c r="L29" s="40">
        <v>30.81</v>
      </c>
      <c r="M29" s="40">
        <v>24.25</v>
      </c>
      <c r="N29" s="40">
        <v>6.6</v>
      </c>
      <c r="O29" s="40">
        <v>0</v>
      </c>
      <c r="P29" s="40">
        <v>0.99</v>
      </c>
      <c r="Q29" s="40">
        <v>28.09</v>
      </c>
      <c r="R29" s="38"/>
      <c r="S29" s="38"/>
      <c r="T29" s="38"/>
      <c r="U29" s="38"/>
    </row>
    <row r="30" spans="1:21" customFormat="1">
      <c r="A30" s="39" t="s">
        <v>105</v>
      </c>
      <c r="B30" s="40">
        <v>4.7300000000000004</v>
      </c>
      <c r="C30" s="40">
        <v>23.52</v>
      </c>
      <c r="D30" s="40">
        <v>16.91</v>
      </c>
      <c r="E30" s="40">
        <v>14.19</v>
      </c>
      <c r="F30" s="27" t="s">
        <v>8</v>
      </c>
      <c r="G30" s="40">
        <v>107.71</v>
      </c>
      <c r="H30" s="40">
        <v>41.83</v>
      </c>
      <c r="I30" s="40">
        <v>12.07</v>
      </c>
      <c r="J30" s="40">
        <v>1.1200000000000001</v>
      </c>
      <c r="K30" s="40">
        <v>72.94</v>
      </c>
      <c r="L30" s="40">
        <v>29.98</v>
      </c>
      <c r="M30" s="40">
        <v>24.85</v>
      </c>
      <c r="N30" s="40">
        <v>6</v>
      </c>
      <c r="O30" s="40">
        <v>0</v>
      </c>
      <c r="P30" s="40">
        <v>0.94</v>
      </c>
      <c r="Q30" s="40">
        <v>28.1</v>
      </c>
      <c r="R30" s="38"/>
      <c r="S30" s="38"/>
      <c r="T30" s="38"/>
      <c r="U30" s="38"/>
    </row>
    <row r="31" spans="1:21" customFormat="1">
      <c r="A31" s="39" t="s">
        <v>106</v>
      </c>
      <c r="B31" s="40">
        <v>6.63</v>
      </c>
      <c r="C31" s="40">
        <v>22.93</v>
      </c>
      <c r="D31" s="40">
        <v>18.649999999999999</v>
      </c>
      <c r="E31" s="40">
        <v>12.01</v>
      </c>
      <c r="F31" s="27" t="s">
        <v>8</v>
      </c>
      <c r="G31" s="40">
        <v>74.25</v>
      </c>
      <c r="H31" s="40">
        <v>38.119999999999997</v>
      </c>
      <c r="I31" s="40">
        <v>11.52</v>
      </c>
      <c r="J31" s="40">
        <v>1.02</v>
      </c>
      <c r="K31" s="40">
        <v>59.39</v>
      </c>
      <c r="L31" s="40">
        <v>29.86</v>
      </c>
      <c r="M31" s="40">
        <v>26.06</v>
      </c>
      <c r="N31" s="40">
        <v>6.4</v>
      </c>
      <c r="O31" s="40">
        <v>0</v>
      </c>
      <c r="P31" s="40">
        <v>0.88</v>
      </c>
      <c r="Q31" s="40">
        <v>28.11</v>
      </c>
      <c r="R31" s="38"/>
      <c r="S31" s="38"/>
      <c r="T31" s="38"/>
      <c r="U31" s="38"/>
    </row>
    <row r="32" spans="1:21" customFormat="1">
      <c r="A32" s="39" t="s">
        <v>107</v>
      </c>
      <c r="B32" s="40">
        <v>5.15</v>
      </c>
      <c r="C32" s="40">
        <v>21.56</v>
      </c>
      <c r="D32" s="40">
        <v>16.600000000000001</v>
      </c>
      <c r="E32" s="40">
        <v>11.12</v>
      </c>
      <c r="F32" s="27" t="s">
        <v>8</v>
      </c>
      <c r="G32" s="40">
        <v>62.77</v>
      </c>
      <c r="H32" s="40">
        <v>31.16</v>
      </c>
      <c r="I32" s="40">
        <v>10.46</v>
      </c>
      <c r="J32" s="40">
        <v>0.8</v>
      </c>
      <c r="K32" s="40">
        <v>71.849999999999994</v>
      </c>
      <c r="L32" s="40">
        <v>29.43</v>
      </c>
      <c r="M32" s="40">
        <v>27.29</v>
      </c>
      <c r="N32" s="40">
        <v>6.7</v>
      </c>
      <c r="O32" s="40">
        <v>0</v>
      </c>
      <c r="P32" s="40">
        <v>0.78</v>
      </c>
      <c r="Q32" s="40">
        <v>28.1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4.12</v>
      </c>
      <c r="C34" s="18">
        <f t="shared" si="0"/>
        <v>20.75</v>
      </c>
      <c r="D34" s="18">
        <f t="shared" si="0"/>
        <v>16.600000000000001</v>
      </c>
      <c r="E34" s="18">
        <f t="shared" si="0"/>
        <v>8.89</v>
      </c>
      <c r="F34" s="18">
        <f t="shared" si="0"/>
        <v>0</v>
      </c>
      <c r="G34" s="18">
        <f t="shared" si="0"/>
        <v>62.77</v>
      </c>
      <c r="H34" s="18">
        <f t="shared" si="0"/>
        <v>31.16</v>
      </c>
      <c r="I34" s="18">
        <f t="shared" si="0"/>
        <v>10.46</v>
      </c>
      <c r="J34" s="18">
        <f t="shared" si="0"/>
        <v>0.22</v>
      </c>
      <c r="K34" s="18">
        <f t="shared" si="0"/>
        <v>44.66</v>
      </c>
      <c r="L34" s="18">
        <f t="shared" si="0"/>
        <v>24.4</v>
      </c>
      <c r="M34" s="18">
        <f t="shared" si="0"/>
        <v>9.7899999999999991</v>
      </c>
      <c r="N34" s="18">
        <f t="shared" si="0"/>
        <v>5.9</v>
      </c>
      <c r="O34" s="18">
        <f t="shared" si="0"/>
        <v>0</v>
      </c>
      <c r="P34" s="18">
        <f t="shared" si="0"/>
        <v>0.78</v>
      </c>
      <c r="Q34" s="18">
        <f t="shared" si="0"/>
        <v>28.08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17.8</v>
      </c>
      <c r="C35" s="3">
        <f t="shared" si="1"/>
        <v>33.119999999999997</v>
      </c>
      <c r="D35" s="3">
        <f t="shared" si="1"/>
        <v>27.08</v>
      </c>
      <c r="E35" s="3">
        <f t="shared" si="1"/>
        <v>60.12</v>
      </c>
      <c r="F35" s="3">
        <f t="shared" si="1"/>
        <v>0</v>
      </c>
      <c r="G35" s="3">
        <f t="shared" si="1"/>
        <v>180.33</v>
      </c>
      <c r="H35" s="3">
        <f t="shared" si="1"/>
        <v>76.25</v>
      </c>
      <c r="I35" s="3">
        <f t="shared" si="1"/>
        <v>24.11</v>
      </c>
      <c r="J35" s="3">
        <f t="shared" si="1"/>
        <v>1.42</v>
      </c>
      <c r="K35" s="3">
        <f t="shared" si="1"/>
        <v>356.85</v>
      </c>
      <c r="L35" s="3">
        <f t="shared" si="1"/>
        <v>36.44</v>
      </c>
      <c r="M35" s="3">
        <f t="shared" si="1"/>
        <v>44.92</v>
      </c>
      <c r="N35" s="3">
        <f t="shared" si="1"/>
        <v>398.4</v>
      </c>
      <c r="O35" s="3">
        <f t="shared" si="1"/>
        <v>0</v>
      </c>
      <c r="P35" s="3">
        <f t="shared" si="1"/>
        <v>1.34</v>
      </c>
      <c r="Q35" s="3">
        <f t="shared" si="1"/>
        <v>28.4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8.6841666666666679</v>
      </c>
      <c r="C36" s="18">
        <f t="shared" si="2"/>
        <v>25.345833333333328</v>
      </c>
      <c r="D36" s="18">
        <f t="shared" si="2"/>
        <v>21.290833333333332</v>
      </c>
      <c r="E36" s="18">
        <f t="shared" si="2"/>
        <v>23.877826086956524</v>
      </c>
      <c r="F36" s="18" t="e">
        <f t="shared" si="2"/>
        <v>#DIV/0!</v>
      </c>
      <c r="G36" s="18">
        <f t="shared" si="2"/>
        <v>117.95391304347827</v>
      </c>
      <c r="H36" s="18">
        <f t="shared" si="2"/>
        <v>47.961818181818188</v>
      </c>
      <c r="I36" s="18">
        <f t="shared" si="2"/>
        <v>14.399583333333334</v>
      </c>
      <c r="J36" s="18">
        <f t="shared" si="2"/>
        <v>0.77541666666666675</v>
      </c>
      <c r="K36" s="18">
        <f t="shared" si="2"/>
        <v>178.45708333333334</v>
      </c>
      <c r="L36" s="18">
        <f t="shared" si="2"/>
        <v>30.471249999999998</v>
      </c>
      <c r="M36" s="18">
        <f t="shared" si="2"/>
        <v>25.129999999999992</v>
      </c>
      <c r="N36" s="18">
        <f t="shared" si="2"/>
        <v>117.12916666666666</v>
      </c>
      <c r="O36" s="18">
        <f t="shared" si="2"/>
        <v>0</v>
      </c>
      <c r="P36" s="18">
        <f t="shared" si="2"/>
        <v>1.0633333333333335</v>
      </c>
      <c r="Q36" s="18">
        <f t="shared" si="2"/>
        <v>28.190833333333341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4.7518663762747968</v>
      </c>
      <c r="C37" s="18">
        <f t="shared" ref="C37:Q37" si="3">STDEV(C9:C32)</f>
        <v>3.8162637278600311</v>
      </c>
      <c r="D37" s="18">
        <f t="shared" si="3"/>
        <v>3.3367830337756108</v>
      </c>
      <c r="E37" s="18">
        <f t="shared" si="3"/>
        <v>17.851753149588244</v>
      </c>
      <c r="F37" s="18" t="e">
        <f t="shared" si="3"/>
        <v>#DIV/0!</v>
      </c>
      <c r="G37" s="18">
        <f t="shared" si="3"/>
        <v>34.576569541596008</v>
      </c>
      <c r="H37" s="18">
        <f t="shared" si="3"/>
        <v>12.749651586785244</v>
      </c>
      <c r="I37" s="18">
        <f t="shared" si="3"/>
        <v>3.3803980717052196</v>
      </c>
      <c r="J37" s="18">
        <f t="shared" si="3"/>
        <v>0.39737157254472349</v>
      </c>
      <c r="K37" s="18">
        <f t="shared" si="3"/>
        <v>120.7473989450405</v>
      </c>
      <c r="L37" s="18">
        <f t="shared" si="3"/>
        <v>4.0998052048104974</v>
      </c>
      <c r="M37" s="18">
        <f t="shared" si="3"/>
        <v>11.46958852224288</v>
      </c>
      <c r="N37" s="18">
        <f t="shared" si="3"/>
        <v>148.36078961412798</v>
      </c>
      <c r="O37" s="18">
        <f t="shared" si="3"/>
        <v>0</v>
      </c>
      <c r="P37" s="18">
        <f t="shared" si="3"/>
        <v>0.1547695809531241</v>
      </c>
      <c r="Q37" s="18">
        <f t="shared" si="3"/>
        <v>0.11052903087726147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>COUNT(E9:E32)+1</f>
        <v>24</v>
      </c>
      <c r="F38" s="34">
        <f>COUNT(F9:F32)+24</f>
        <v>24</v>
      </c>
      <c r="G38" s="34">
        <f>COUNT(G9:G32)+1</f>
        <v>24</v>
      </c>
      <c r="H38" s="34">
        <f>COUNT(H9:H32)+2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03/04/2025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108</v>
      </c>
      <c r="B9" s="40">
        <v>5.28</v>
      </c>
      <c r="C9" s="40">
        <v>21.3</v>
      </c>
      <c r="D9" s="40">
        <v>16.41</v>
      </c>
      <c r="E9" s="40">
        <v>11.69</v>
      </c>
      <c r="F9" s="40">
        <v>9.39</v>
      </c>
      <c r="G9" s="40">
        <v>34.69</v>
      </c>
      <c r="H9" s="40">
        <v>27.25</v>
      </c>
      <c r="I9" s="40">
        <v>9.36</v>
      </c>
      <c r="J9" s="40">
        <v>0.78</v>
      </c>
      <c r="K9" s="40">
        <v>73.069999999999993</v>
      </c>
      <c r="L9" s="40">
        <v>28.94</v>
      </c>
      <c r="M9" s="40">
        <v>28.6</v>
      </c>
      <c r="N9" s="40">
        <v>6.4</v>
      </c>
      <c r="O9" s="40">
        <v>0</v>
      </c>
      <c r="P9" s="40">
        <v>0.74</v>
      </c>
      <c r="Q9" s="40">
        <v>28.11</v>
      </c>
      <c r="R9" s="38"/>
      <c r="S9" s="38"/>
      <c r="T9" s="38"/>
      <c r="U9" s="38"/>
    </row>
    <row r="10" spans="1:21" customFormat="1">
      <c r="A10" s="39" t="s">
        <v>109</v>
      </c>
      <c r="B10" s="40">
        <v>5.38</v>
      </c>
      <c r="C10" s="40">
        <v>19.45</v>
      </c>
      <c r="D10" s="40">
        <v>15.8</v>
      </c>
      <c r="E10" s="40">
        <v>11.47</v>
      </c>
      <c r="F10" s="40">
        <v>8.31</v>
      </c>
      <c r="G10" s="40">
        <v>56.91</v>
      </c>
      <c r="H10" s="40">
        <v>22.97</v>
      </c>
      <c r="I10" s="40">
        <v>9.14</v>
      </c>
      <c r="J10" s="40">
        <v>0.31</v>
      </c>
      <c r="K10" s="40">
        <v>145.84</v>
      </c>
      <c r="L10" s="40">
        <v>28.14</v>
      </c>
      <c r="M10" s="40">
        <v>43.94</v>
      </c>
      <c r="N10" s="40">
        <v>6.7</v>
      </c>
      <c r="O10" s="40">
        <v>0</v>
      </c>
      <c r="P10" s="40">
        <v>0.72</v>
      </c>
      <c r="Q10" s="40">
        <v>28.13</v>
      </c>
      <c r="R10" s="38"/>
      <c r="S10" s="38"/>
      <c r="T10" s="38"/>
      <c r="U10" s="38"/>
    </row>
    <row r="11" spans="1:21" customFormat="1">
      <c r="A11" s="39" t="s">
        <v>110</v>
      </c>
      <c r="B11" s="40">
        <v>5.18</v>
      </c>
      <c r="C11" s="40">
        <v>17.420000000000002</v>
      </c>
      <c r="D11" s="40">
        <v>14.58</v>
      </c>
      <c r="E11" s="40">
        <v>10.73</v>
      </c>
      <c r="F11" s="40">
        <v>5.72</v>
      </c>
      <c r="G11" s="40">
        <v>71.790000000000006</v>
      </c>
      <c r="H11" s="40">
        <v>30.06</v>
      </c>
      <c r="I11" s="40">
        <v>9.02</v>
      </c>
      <c r="J11" s="40">
        <v>0.31</v>
      </c>
      <c r="K11" s="40">
        <v>150.6</v>
      </c>
      <c r="L11" s="40">
        <v>27.29</v>
      </c>
      <c r="M11" s="40">
        <v>53.98</v>
      </c>
      <c r="N11" s="40">
        <v>6.7</v>
      </c>
      <c r="O11" s="40">
        <v>0</v>
      </c>
      <c r="P11" s="40">
        <v>0.72</v>
      </c>
      <c r="Q11" s="40">
        <v>28.11</v>
      </c>
      <c r="R11" s="38"/>
      <c r="S11" s="38"/>
      <c r="T11" s="38"/>
      <c r="U11" s="38"/>
    </row>
    <row r="12" spans="1:21" customFormat="1">
      <c r="A12" s="39" t="s">
        <v>111</v>
      </c>
      <c r="B12" s="40">
        <v>4.91</v>
      </c>
      <c r="C12" s="40">
        <v>16.63</v>
      </c>
      <c r="D12" s="40">
        <v>13.96</v>
      </c>
      <c r="E12" s="40">
        <v>10.87</v>
      </c>
      <c r="F12" s="40">
        <v>5.88</v>
      </c>
      <c r="G12" s="40">
        <v>85.73</v>
      </c>
      <c r="H12" s="40">
        <v>30.65</v>
      </c>
      <c r="I12" s="40">
        <v>8.9499999999999993</v>
      </c>
      <c r="J12" s="40">
        <v>0.26</v>
      </c>
      <c r="K12" s="40">
        <v>177.82</v>
      </c>
      <c r="L12" s="40">
        <v>26.2</v>
      </c>
      <c r="M12" s="40">
        <v>61.04</v>
      </c>
      <c r="N12" s="40">
        <v>6.5</v>
      </c>
      <c r="O12" s="40">
        <v>0</v>
      </c>
      <c r="P12" s="40">
        <v>0.73</v>
      </c>
      <c r="Q12" s="40">
        <v>28.11</v>
      </c>
      <c r="R12" s="38"/>
      <c r="S12" s="38"/>
      <c r="T12" s="38"/>
      <c r="U12" s="38"/>
    </row>
    <row r="13" spans="1:21" customFormat="1">
      <c r="A13" s="39" t="s">
        <v>112</v>
      </c>
      <c r="B13" s="40">
        <v>5.0999999999999996</v>
      </c>
      <c r="C13" s="40">
        <v>17.3</v>
      </c>
      <c r="D13" s="40">
        <v>14.39</v>
      </c>
      <c r="E13" s="40">
        <v>11.22</v>
      </c>
      <c r="F13" s="40">
        <v>6</v>
      </c>
      <c r="G13" s="40">
        <v>72.5</v>
      </c>
      <c r="H13" s="40">
        <v>29.55</v>
      </c>
      <c r="I13" s="40">
        <v>8.83</v>
      </c>
      <c r="J13" s="40">
        <v>1</v>
      </c>
      <c r="K13" s="40">
        <v>128.53</v>
      </c>
      <c r="L13" s="40">
        <v>25.63</v>
      </c>
      <c r="M13" s="40">
        <v>59.65</v>
      </c>
      <c r="N13" s="40">
        <v>6.6</v>
      </c>
      <c r="O13" s="40">
        <v>0</v>
      </c>
      <c r="P13" s="40">
        <v>0.75</v>
      </c>
      <c r="Q13" s="40">
        <v>28.1</v>
      </c>
      <c r="R13" s="38"/>
      <c r="S13" s="38"/>
      <c r="T13" s="38"/>
      <c r="U13" s="38"/>
    </row>
    <row r="14" spans="1:21" customFormat="1">
      <c r="A14" s="39" t="s">
        <v>113</v>
      </c>
      <c r="B14" s="40">
        <v>4.88</v>
      </c>
      <c r="C14" s="40">
        <v>19.2</v>
      </c>
      <c r="D14" s="40">
        <v>15.07</v>
      </c>
      <c r="E14" s="40">
        <v>11.37</v>
      </c>
      <c r="F14" s="40">
        <v>4.87</v>
      </c>
      <c r="G14" s="40">
        <v>66.88</v>
      </c>
      <c r="H14" s="40">
        <v>31.53</v>
      </c>
      <c r="I14" s="40">
        <v>8.81</v>
      </c>
      <c r="J14" s="40">
        <v>1.07</v>
      </c>
      <c r="K14" s="40">
        <v>45.49</v>
      </c>
      <c r="L14" s="40">
        <v>25.21</v>
      </c>
      <c r="M14" s="40">
        <v>61.84</v>
      </c>
      <c r="N14" s="40">
        <v>8.6</v>
      </c>
      <c r="O14" s="40">
        <v>0</v>
      </c>
      <c r="P14" s="40">
        <v>0.76</v>
      </c>
      <c r="Q14" s="40">
        <v>28.09</v>
      </c>
      <c r="R14" s="38"/>
      <c r="S14" s="38"/>
      <c r="T14" s="38"/>
      <c r="U14" s="38"/>
    </row>
    <row r="15" spans="1:21" customFormat="1">
      <c r="A15" s="39" t="s">
        <v>114</v>
      </c>
      <c r="B15" s="40">
        <v>4.92</v>
      </c>
      <c r="C15" s="40">
        <v>20.95</v>
      </c>
      <c r="D15" s="40">
        <v>16.239999999999998</v>
      </c>
      <c r="E15" s="40">
        <v>11.53</v>
      </c>
      <c r="F15" s="40">
        <v>4.95</v>
      </c>
      <c r="G15" s="40">
        <v>60.95</v>
      </c>
      <c r="H15" s="40">
        <v>30.11</v>
      </c>
      <c r="I15" s="40">
        <v>8.86</v>
      </c>
      <c r="J15" s="40">
        <v>1.0900000000000001</v>
      </c>
      <c r="K15" s="40">
        <v>57.71</v>
      </c>
      <c r="L15" s="40">
        <v>25.63</v>
      </c>
      <c r="M15" s="40">
        <v>60.39</v>
      </c>
      <c r="N15" s="40">
        <v>52.5</v>
      </c>
      <c r="O15" s="40">
        <v>0</v>
      </c>
      <c r="P15" s="40">
        <v>0.79</v>
      </c>
      <c r="Q15" s="40">
        <v>28.11</v>
      </c>
      <c r="R15" s="38"/>
      <c r="S15" s="38"/>
      <c r="T15" s="38"/>
      <c r="U15" s="38"/>
    </row>
    <row r="16" spans="1:21" customFormat="1">
      <c r="A16" s="39" t="s">
        <v>115</v>
      </c>
      <c r="B16" s="40">
        <v>4.9400000000000004</v>
      </c>
      <c r="C16" s="40">
        <v>21.9</v>
      </c>
      <c r="D16" s="40">
        <v>16.75</v>
      </c>
      <c r="E16" s="40">
        <v>11.11</v>
      </c>
      <c r="F16" s="40">
        <v>4.91</v>
      </c>
      <c r="G16" s="40">
        <v>59.72</v>
      </c>
      <c r="H16" s="40">
        <v>30.35</v>
      </c>
      <c r="I16" s="40">
        <v>9.33</v>
      </c>
      <c r="J16" s="40">
        <v>1.1399999999999999</v>
      </c>
      <c r="K16" s="40">
        <v>59.18</v>
      </c>
      <c r="L16" s="40">
        <v>26.84</v>
      </c>
      <c r="M16" s="40">
        <v>57.88</v>
      </c>
      <c r="N16" s="40">
        <v>119.9</v>
      </c>
      <c r="O16" s="40">
        <v>0</v>
      </c>
      <c r="P16" s="40">
        <v>0.82</v>
      </c>
      <c r="Q16" s="40">
        <v>28.11</v>
      </c>
      <c r="R16" s="38"/>
      <c r="S16" s="38"/>
      <c r="T16" s="38"/>
      <c r="U16" s="38"/>
    </row>
    <row r="17" spans="1:21" customFormat="1">
      <c r="A17" s="39" t="s">
        <v>116</v>
      </c>
      <c r="B17" s="40">
        <v>4.97</v>
      </c>
      <c r="C17" s="40">
        <v>22.15</v>
      </c>
      <c r="D17" s="40">
        <v>16.809999999999999</v>
      </c>
      <c r="E17" s="40">
        <v>11.23</v>
      </c>
      <c r="F17" s="40">
        <v>6.71</v>
      </c>
      <c r="G17" s="40">
        <v>80.91</v>
      </c>
      <c r="H17" s="40">
        <v>30.62</v>
      </c>
      <c r="I17" s="40">
        <v>9.52</v>
      </c>
      <c r="J17" s="40">
        <v>1.26</v>
      </c>
      <c r="K17" s="40">
        <v>57.56</v>
      </c>
      <c r="L17" s="40">
        <v>28.09</v>
      </c>
      <c r="M17" s="40">
        <v>52.8</v>
      </c>
      <c r="N17" s="40">
        <v>180</v>
      </c>
      <c r="O17" s="40">
        <v>0</v>
      </c>
      <c r="P17" s="40">
        <v>0.83</v>
      </c>
      <c r="Q17" s="40">
        <v>28.11</v>
      </c>
      <c r="R17" s="38"/>
      <c r="S17" s="38"/>
      <c r="T17" s="38"/>
      <c r="U17" s="38"/>
    </row>
    <row r="18" spans="1:21" customFormat="1">
      <c r="A18" s="39" t="s">
        <v>117</v>
      </c>
      <c r="B18" s="40">
        <v>4.8499999999999996</v>
      </c>
      <c r="C18" s="40">
        <v>23.44</v>
      </c>
      <c r="D18" s="40">
        <v>17.45</v>
      </c>
      <c r="E18" s="40">
        <v>12.03</v>
      </c>
      <c r="F18" s="40">
        <v>9.26</v>
      </c>
      <c r="G18" s="40">
        <v>71.959999999999994</v>
      </c>
      <c r="H18" s="40">
        <v>30.38</v>
      </c>
      <c r="I18" s="40">
        <v>9.4499999999999993</v>
      </c>
      <c r="J18" s="40">
        <v>1.1200000000000001</v>
      </c>
      <c r="K18" s="40">
        <v>50.46</v>
      </c>
      <c r="L18" s="40">
        <v>29.67</v>
      </c>
      <c r="M18" s="40">
        <v>50.68</v>
      </c>
      <c r="N18" s="40">
        <v>279</v>
      </c>
      <c r="O18" s="40">
        <v>0</v>
      </c>
      <c r="P18" s="40">
        <v>0.84</v>
      </c>
      <c r="Q18" s="40">
        <v>28.11</v>
      </c>
      <c r="R18" s="38"/>
      <c r="S18" s="38"/>
      <c r="T18" s="38"/>
      <c r="U18" s="38"/>
    </row>
    <row r="19" spans="1:21" customFormat="1">
      <c r="A19" s="39" t="s">
        <v>118</v>
      </c>
      <c r="B19" s="40">
        <v>5.32</v>
      </c>
      <c r="C19" s="40">
        <v>22.41</v>
      </c>
      <c r="D19" s="40">
        <v>17.22</v>
      </c>
      <c r="E19" s="40">
        <v>12.62</v>
      </c>
      <c r="F19" s="40">
        <v>17</v>
      </c>
      <c r="G19" s="40">
        <v>70.77</v>
      </c>
      <c r="H19" s="40">
        <v>28.29</v>
      </c>
      <c r="I19" s="40">
        <v>9.48</v>
      </c>
      <c r="J19" s="40">
        <v>1.03</v>
      </c>
      <c r="K19" s="40">
        <v>332.35</v>
      </c>
      <c r="L19" s="40">
        <v>30.67</v>
      </c>
      <c r="M19" s="40">
        <v>45.01</v>
      </c>
      <c r="N19" s="40">
        <v>432.3</v>
      </c>
      <c r="O19" s="40">
        <v>0</v>
      </c>
      <c r="P19" s="40">
        <v>0.85</v>
      </c>
      <c r="Q19" s="40">
        <v>28.12</v>
      </c>
      <c r="R19" s="38"/>
      <c r="S19" s="38"/>
      <c r="T19" s="38"/>
      <c r="U19" s="38"/>
    </row>
    <row r="20" spans="1:21" customFormat="1">
      <c r="A20" s="39" t="s">
        <v>119</v>
      </c>
      <c r="B20" s="40">
        <v>5.32</v>
      </c>
      <c r="C20" s="40">
        <v>23.34</v>
      </c>
      <c r="D20" s="40">
        <v>17.809999999999999</v>
      </c>
      <c r="E20" s="40">
        <v>19.72</v>
      </c>
      <c r="F20" s="40">
        <v>17.5</v>
      </c>
      <c r="G20" s="40">
        <v>66.510000000000005</v>
      </c>
      <c r="H20" s="40">
        <v>36.57</v>
      </c>
      <c r="I20" s="40">
        <v>9.52</v>
      </c>
      <c r="J20" s="40">
        <v>1.53</v>
      </c>
      <c r="K20" s="40">
        <v>335.12</v>
      </c>
      <c r="L20" s="40">
        <v>32.299999999999997</v>
      </c>
      <c r="M20" s="40">
        <v>42.01</v>
      </c>
      <c r="N20" s="40">
        <v>544.6</v>
      </c>
      <c r="O20" s="40">
        <v>0</v>
      </c>
      <c r="P20" s="40">
        <v>0.86</v>
      </c>
      <c r="Q20" s="40">
        <v>28.12</v>
      </c>
      <c r="R20" s="38"/>
      <c r="S20" s="38"/>
      <c r="T20" s="38"/>
      <c r="U20" s="38"/>
    </row>
    <row r="21" spans="1:21" customFormat="1">
      <c r="A21" s="39" t="s">
        <v>120</v>
      </c>
      <c r="B21" s="40">
        <v>4.97</v>
      </c>
      <c r="C21" s="40">
        <v>22.8</v>
      </c>
      <c r="D21" s="40">
        <v>17.23</v>
      </c>
      <c r="E21" s="40">
        <v>12.49</v>
      </c>
      <c r="F21" s="40">
        <v>18.41</v>
      </c>
      <c r="G21" s="40">
        <v>90.96</v>
      </c>
      <c r="H21" s="40">
        <v>34.26</v>
      </c>
      <c r="I21" s="40">
        <v>9.6</v>
      </c>
      <c r="J21" s="40">
        <v>1.22</v>
      </c>
      <c r="K21" s="40">
        <v>345.75</v>
      </c>
      <c r="L21" s="40">
        <v>32.700000000000003</v>
      </c>
      <c r="M21" s="40">
        <v>39.4</v>
      </c>
      <c r="N21" s="40">
        <v>403.1</v>
      </c>
      <c r="O21" s="40">
        <v>0</v>
      </c>
      <c r="P21" s="40">
        <v>0.86</v>
      </c>
      <c r="Q21" s="40">
        <v>28.12</v>
      </c>
      <c r="R21" s="38"/>
      <c r="S21" s="38"/>
      <c r="T21" s="38"/>
      <c r="U21" s="38"/>
    </row>
    <row r="22" spans="1:21" customFormat="1">
      <c r="A22" s="39" t="s">
        <v>121</v>
      </c>
      <c r="B22" s="40">
        <v>4.58</v>
      </c>
      <c r="C22" s="40">
        <v>21.9</v>
      </c>
      <c r="D22" s="40">
        <v>16.399999999999999</v>
      </c>
      <c r="E22" s="40">
        <v>13.61</v>
      </c>
      <c r="F22" s="40">
        <v>19.71</v>
      </c>
      <c r="G22" s="40">
        <v>84.85</v>
      </c>
      <c r="H22" s="40">
        <v>32.32</v>
      </c>
      <c r="I22" s="40">
        <v>9.5</v>
      </c>
      <c r="J22" s="40">
        <v>0.98</v>
      </c>
      <c r="K22" s="40">
        <v>359.13</v>
      </c>
      <c r="L22" s="40">
        <v>32.83</v>
      </c>
      <c r="M22" s="40">
        <v>37.520000000000003</v>
      </c>
      <c r="N22" s="40">
        <v>335.2</v>
      </c>
      <c r="O22" s="40">
        <v>0</v>
      </c>
      <c r="P22" s="40">
        <v>0.85</v>
      </c>
      <c r="Q22" s="40">
        <v>28.1</v>
      </c>
      <c r="R22" s="38"/>
      <c r="S22" s="38"/>
      <c r="T22" s="38"/>
      <c r="U22" s="38"/>
    </row>
    <row r="23" spans="1:21" customFormat="1">
      <c r="A23" s="39" t="s">
        <v>122</v>
      </c>
      <c r="B23" s="40">
        <v>4.34</v>
      </c>
      <c r="C23" s="40">
        <v>21.64</v>
      </c>
      <c r="D23" s="40">
        <v>16.14</v>
      </c>
      <c r="E23" s="40">
        <v>11.83</v>
      </c>
      <c r="F23" s="40">
        <v>16.59</v>
      </c>
      <c r="G23" s="40">
        <v>83.52</v>
      </c>
      <c r="H23" s="40">
        <v>32.68</v>
      </c>
      <c r="I23" s="40">
        <v>9.4600000000000009</v>
      </c>
      <c r="J23" s="40">
        <v>1.33</v>
      </c>
      <c r="K23" s="40">
        <v>350.18</v>
      </c>
      <c r="L23" s="40">
        <v>33.299999999999997</v>
      </c>
      <c r="M23" s="40">
        <v>35.74</v>
      </c>
      <c r="N23" s="40">
        <v>407</v>
      </c>
      <c r="O23" s="40">
        <v>0</v>
      </c>
      <c r="P23" s="40">
        <v>0.84</v>
      </c>
      <c r="Q23" s="40">
        <v>28.09</v>
      </c>
      <c r="R23" s="38"/>
      <c r="S23" s="38"/>
      <c r="T23" s="38"/>
      <c r="U23" s="38"/>
    </row>
    <row r="24" spans="1:21" customFormat="1">
      <c r="A24" s="39" t="s">
        <v>123</v>
      </c>
      <c r="B24" s="40">
        <v>4.0999999999999996</v>
      </c>
      <c r="C24" s="40">
        <v>20.92</v>
      </c>
      <c r="D24" s="40">
        <v>15.57</v>
      </c>
      <c r="E24" s="40">
        <v>11.8</v>
      </c>
      <c r="F24" s="40">
        <v>18.440000000000001</v>
      </c>
      <c r="G24" s="40">
        <v>83.4</v>
      </c>
      <c r="H24" s="40">
        <v>32.04</v>
      </c>
      <c r="I24" s="40">
        <v>9.2100000000000009</v>
      </c>
      <c r="J24" s="40">
        <v>1.88</v>
      </c>
      <c r="K24" s="40">
        <v>334.21</v>
      </c>
      <c r="L24" s="40">
        <v>33.950000000000003</v>
      </c>
      <c r="M24" s="40">
        <v>32.17</v>
      </c>
      <c r="N24" s="40">
        <v>291</v>
      </c>
      <c r="O24" s="40">
        <v>0</v>
      </c>
      <c r="P24" s="40">
        <v>0.84</v>
      </c>
      <c r="Q24" s="40">
        <v>28.08</v>
      </c>
      <c r="R24" s="38"/>
      <c r="S24" s="38"/>
      <c r="T24" s="38"/>
      <c r="U24" s="38"/>
    </row>
    <row r="25" spans="1:21" customFormat="1">
      <c r="A25" s="39" t="s">
        <v>124</v>
      </c>
      <c r="B25" s="40">
        <v>4.13</v>
      </c>
      <c r="C25" s="40">
        <v>21.02</v>
      </c>
      <c r="D25" s="40">
        <v>15.65</v>
      </c>
      <c r="E25" s="40">
        <v>13.72</v>
      </c>
      <c r="F25" s="40">
        <v>24.51</v>
      </c>
      <c r="G25" s="40">
        <v>109.43</v>
      </c>
      <c r="H25" s="40">
        <v>33.74</v>
      </c>
      <c r="I25" s="40">
        <v>8.89</v>
      </c>
      <c r="J25" s="40">
        <v>1.29</v>
      </c>
      <c r="K25" s="40">
        <v>358.9</v>
      </c>
      <c r="L25" s="40">
        <v>31.99</v>
      </c>
      <c r="M25" s="40">
        <v>29.07</v>
      </c>
      <c r="N25" s="40">
        <v>82</v>
      </c>
      <c r="O25" s="40">
        <v>0</v>
      </c>
      <c r="P25" s="40">
        <v>0.81</v>
      </c>
      <c r="Q25" s="40">
        <v>28.09</v>
      </c>
      <c r="R25" s="38"/>
      <c r="S25" s="38"/>
      <c r="T25" s="38"/>
      <c r="U25" s="38"/>
    </row>
    <row r="26" spans="1:21" customFormat="1">
      <c r="A26" s="39" t="s">
        <v>125</v>
      </c>
      <c r="B26" s="40">
        <v>4.54</v>
      </c>
      <c r="C26" s="40">
        <v>22.03</v>
      </c>
      <c r="D26" s="40">
        <v>16.46</v>
      </c>
      <c r="E26" s="40">
        <v>14.88</v>
      </c>
      <c r="F26" s="40">
        <v>34.119999999999997</v>
      </c>
      <c r="G26" s="40">
        <v>122.34</v>
      </c>
      <c r="H26" s="40">
        <v>36.090000000000003</v>
      </c>
      <c r="I26" s="40">
        <v>8.58</v>
      </c>
      <c r="J26" s="40">
        <v>1.39</v>
      </c>
      <c r="K26" s="40">
        <v>293.10000000000002</v>
      </c>
      <c r="L26" s="40">
        <v>30.99</v>
      </c>
      <c r="M26" s="40">
        <v>58.06</v>
      </c>
      <c r="N26" s="40">
        <v>49.2</v>
      </c>
      <c r="O26" s="40">
        <v>0.6</v>
      </c>
      <c r="P26" s="40">
        <v>0.79</v>
      </c>
      <c r="Q26" s="40">
        <v>28.09</v>
      </c>
      <c r="R26" s="38"/>
      <c r="S26" s="38"/>
      <c r="T26" s="38"/>
      <c r="U26" s="38"/>
    </row>
    <row r="27" spans="1:21" customFormat="1">
      <c r="A27" s="39" t="s">
        <v>126</v>
      </c>
      <c r="B27" s="40">
        <v>4.55</v>
      </c>
      <c r="C27" s="40">
        <v>21.81</v>
      </c>
      <c r="D27" s="40">
        <v>16.22</v>
      </c>
      <c r="E27" s="40">
        <v>9.76</v>
      </c>
      <c r="F27" s="40">
        <v>23.8</v>
      </c>
      <c r="G27" s="40">
        <v>114.43</v>
      </c>
      <c r="H27" s="40">
        <v>35.479999999999997</v>
      </c>
      <c r="I27" s="40">
        <v>8.3000000000000007</v>
      </c>
      <c r="J27" s="40">
        <v>0.26</v>
      </c>
      <c r="K27" s="40">
        <v>205.77</v>
      </c>
      <c r="L27" s="40">
        <v>24.36</v>
      </c>
      <c r="M27" s="40">
        <v>77.040000000000006</v>
      </c>
      <c r="N27" s="40">
        <v>15.5</v>
      </c>
      <c r="O27" s="40">
        <v>0.2</v>
      </c>
      <c r="P27" s="40">
        <v>0.78</v>
      </c>
      <c r="Q27" s="40">
        <v>28.09</v>
      </c>
      <c r="R27" s="38"/>
      <c r="S27" s="38"/>
      <c r="T27" s="38"/>
      <c r="U27" s="38"/>
    </row>
    <row r="28" spans="1:21" customFormat="1">
      <c r="A28" s="39" t="s">
        <v>127</v>
      </c>
      <c r="B28" s="40">
        <v>4.93</v>
      </c>
      <c r="C28" s="40">
        <v>20.37</v>
      </c>
      <c r="D28" s="40">
        <v>15.67</v>
      </c>
      <c r="E28" s="40">
        <v>9.51</v>
      </c>
      <c r="F28" s="40">
        <v>12.5</v>
      </c>
      <c r="G28" s="40">
        <v>85.08</v>
      </c>
      <c r="H28" s="40">
        <v>34.49</v>
      </c>
      <c r="I28" s="40">
        <v>8.0500000000000007</v>
      </c>
      <c r="J28" s="40">
        <v>0.65</v>
      </c>
      <c r="K28" s="40">
        <v>161.93</v>
      </c>
      <c r="L28" s="40">
        <v>24.61</v>
      </c>
      <c r="M28" s="40">
        <v>71.040000000000006</v>
      </c>
      <c r="N28" s="40">
        <v>6.6</v>
      </c>
      <c r="O28" s="40">
        <v>0</v>
      </c>
      <c r="P28" s="40">
        <v>0.74</v>
      </c>
      <c r="Q28" s="40">
        <v>28.1</v>
      </c>
      <c r="R28" s="38"/>
      <c r="S28" s="38"/>
      <c r="T28" s="38"/>
      <c r="U28" s="38"/>
    </row>
    <row r="29" spans="1:21" customFormat="1">
      <c r="A29" s="39" t="s">
        <v>128</v>
      </c>
      <c r="B29" s="40">
        <v>5.41</v>
      </c>
      <c r="C29" s="40">
        <v>19.21</v>
      </c>
      <c r="D29" s="40">
        <v>15.44</v>
      </c>
      <c r="E29" s="40">
        <v>9.18</v>
      </c>
      <c r="F29" s="40">
        <v>9.33</v>
      </c>
      <c r="G29" s="40">
        <v>72.31</v>
      </c>
      <c r="H29" s="40">
        <v>26.05</v>
      </c>
      <c r="I29" s="40">
        <v>7.76</v>
      </c>
      <c r="J29" s="40">
        <v>0.36</v>
      </c>
      <c r="K29" s="40">
        <v>156.24</v>
      </c>
      <c r="L29" s="40">
        <v>24.88</v>
      </c>
      <c r="M29" s="40">
        <v>74.19</v>
      </c>
      <c r="N29" s="40">
        <v>6.7</v>
      </c>
      <c r="O29" s="40">
        <v>0</v>
      </c>
      <c r="P29" s="40">
        <v>0.72</v>
      </c>
      <c r="Q29" s="40">
        <v>28.09</v>
      </c>
      <c r="R29" s="38"/>
      <c r="S29" s="38"/>
      <c r="T29" s="38"/>
      <c r="U29" s="38"/>
    </row>
    <row r="30" spans="1:21" customFormat="1">
      <c r="A30" s="39" t="s">
        <v>129</v>
      </c>
      <c r="B30" s="40">
        <v>5.63</v>
      </c>
      <c r="C30" s="40">
        <v>18.93</v>
      </c>
      <c r="D30" s="40">
        <v>15.64</v>
      </c>
      <c r="E30" s="40">
        <v>9.3000000000000007</v>
      </c>
      <c r="F30" s="40">
        <v>14.65</v>
      </c>
      <c r="G30" s="40">
        <v>59.75</v>
      </c>
      <c r="H30" s="40">
        <v>30.52</v>
      </c>
      <c r="I30" s="40">
        <v>7.82</v>
      </c>
      <c r="J30" s="40">
        <v>0.37</v>
      </c>
      <c r="K30" s="40">
        <v>151.28</v>
      </c>
      <c r="L30" s="40">
        <v>25.02</v>
      </c>
      <c r="M30" s="40">
        <v>74.31</v>
      </c>
      <c r="N30" s="40">
        <v>6.8</v>
      </c>
      <c r="O30" s="40">
        <v>0</v>
      </c>
      <c r="P30" s="40">
        <v>0.73</v>
      </c>
      <c r="Q30" s="40">
        <v>28.12</v>
      </c>
      <c r="R30" s="38"/>
      <c r="S30" s="38"/>
      <c r="T30" s="38"/>
      <c r="U30" s="38"/>
    </row>
    <row r="31" spans="1:21" customFormat="1">
      <c r="A31" s="39" t="s">
        <v>130</v>
      </c>
      <c r="B31" s="40">
        <v>5.74</v>
      </c>
      <c r="C31" s="40">
        <v>18.54</v>
      </c>
      <c r="D31" s="40">
        <v>15.54</v>
      </c>
      <c r="E31" s="40">
        <v>9.56</v>
      </c>
      <c r="F31" s="40">
        <v>12.17</v>
      </c>
      <c r="G31" s="40">
        <v>54.85</v>
      </c>
      <c r="H31" s="40">
        <v>28.33</v>
      </c>
      <c r="I31" s="40">
        <v>7.87</v>
      </c>
      <c r="J31" s="40">
        <v>0.26</v>
      </c>
      <c r="K31" s="40">
        <v>217.38</v>
      </c>
      <c r="L31" s="40">
        <v>25.2</v>
      </c>
      <c r="M31" s="40">
        <v>71.930000000000007</v>
      </c>
      <c r="N31" s="40">
        <v>6.9</v>
      </c>
      <c r="O31" s="40">
        <v>0</v>
      </c>
      <c r="P31" s="40">
        <v>0.74</v>
      </c>
      <c r="Q31" s="40">
        <v>28.11</v>
      </c>
      <c r="R31" s="38"/>
      <c r="S31" s="38"/>
      <c r="T31" s="38"/>
      <c r="U31" s="38"/>
    </row>
    <row r="32" spans="1:21" customFormat="1">
      <c r="A32" s="39" t="s">
        <v>131</v>
      </c>
      <c r="B32" s="40">
        <v>5.98</v>
      </c>
      <c r="C32" s="40">
        <v>18.04</v>
      </c>
      <c r="D32" s="40">
        <v>15.51</v>
      </c>
      <c r="E32" s="40">
        <v>9.61</v>
      </c>
      <c r="F32" s="40">
        <v>10.82</v>
      </c>
      <c r="G32" s="40">
        <v>51.11</v>
      </c>
      <c r="H32" s="40">
        <v>28.02</v>
      </c>
      <c r="I32" s="40">
        <v>7.92</v>
      </c>
      <c r="J32" s="40">
        <v>0.32</v>
      </c>
      <c r="K32" s="40">
        <v>264.91000000000003</v>
      </c>
      <c r="L32" s="40">
        <v>25.16</v>
      </c>
      <c r="M32" s="40">
        <v>72.45</v>
      </c>
      <c r="N32" s="40">
        <v>6.9</v>
      </c>
      <c r="O32" s="40">
        <v>0</v>
      </c>
      <c r="P32" s="40">
        <v>0.73</v>
      </c>
      <c r="Q32" s="40">
        <v>28.12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4.0999999999999996</v>
      </c>
      <c r="C34" s="18">
        <f t="shared" si="0"/>
        <v>16.63</v>
      </c>
      <c r="D34" s="18">
        <f t="shared" si="0"/>
        <v>13.96</v>
      </c>
      <c r="E34" s="18">
        <f t="shared" si="0"/>
        <v>9.18</v>
      </c>
      <c r="F34" s="18">
        <f t="shared" si="0"/>
        <v>4.87</v>
      </c>
      <c r="G34" s="18">
        <f t="shared" si="0"/>
        <v>34.69</v>
      </c>
      <c r="H34" s="18">
        <f t="shared" si="0"/>
        <v>22.97</v>
      </c>
      <c r="I34" s="18">
        <f t="shared" si="0"/>
        <v>7.76</v>
      </c>
      <c r="J34" s="18">
        <f t="shared" si="0"/>
        <v>0.26</v>
      </c>
      <c r="K34" s="18">
        <f t="shared" si="0"/>
        <v>45.49</v>
      </c>
      <c r="L34" s="18">
        <f t="shared" si="0"/>
        <v>24.36</v>
      </c>
      <c r="M34" s="18">
        <f t="shared" si="0"/>
        <v>28.6</v>
      </c>
      <c r="N34" s="18">
        <f t="shared" si="0"/>
        <v>6.4</v>
      </c>
      <c r="O34" s="18">
        <f t="shared" si="0"/>
        <v>0</v>
      </c>
      <c r="P34" s="18">
        <f t="shared" si="0"/>
        <v>0.72</v>
      </c>
      <c r="Q34" s="18">
        <f t="shared" si="0"/>
        <v>28.08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5.98</v>
      </c>
      <c r="C35" s="3">
        <f t="shared" si="1"/>
        <v>23.44</v>
      </c>
      <c r="D35" s="3">
        <f t="shared" si="1"/>
        <v>17.809999999999999</v>
      </c>
      <c r="E35" s="3">
        <f t="shared" si="1"/>
        <v>19.72</v>
      </c>
      <c r="F35" s="3">
        <f t="shared" si="1"/>
        <v>34.119999999999997</v>
      </c>
      <c r="G35" s="3">
        <f t="shared" si="1"/>
        <v>122.34</v>
      </c>
      <c r="H35" s="3">
        <f t="shared" si="1"/>
        <v>36.57</v>
      </c>
      <c r="I35" s="3">
        <f t="shared" si="1"/>
        <v>9.6</v>
      </c>
      <c r="J35" s="3">
        <f t="shared" si="1"/>
        <v>1.88</v>
      </c>
      <c r="K35" s="3">
        <f t="shared" si="1"/>
        <v>359.13</v>
      </c>
      <c r="L35" s="3">
        <f t="shared" si="1"/>
        <v>33.950000000000003</v>
      </c>
      <c r="M35" s="3">
        <f t="shared" si="1"/>
        <v>77.040000000000006</v>
      </c>
      <c r="N35" s="3">
        <f t="shared" si="1"/>
        <v>544.6</v>
      </c>
      <c r="O35" s="3">
        <f t="shared" si="1"/>
        <v>0.6</v>
      </c>
      <c r="P35" s="3">
        <f t="shared" si="1"/>
        <v>0.86</v>
      </c>
      <c r="Q35" s="3">
        <f t="shared" si="1"/>
        <v>28.13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4.9979166666666659</v>
      </c>
      <c r="C36" s="18">
        <f t="shared" si="2"/>
        <v>20.529166666666665</v>
      </c>
      <c r="D36" s="18">
        <f t="shared" si="2"/>
        <v>15.998333333333333</v>
      </c>
      <c r="E36" s="18">
        <f t="shared" si="2"/>
        <v>11.701666666666668</v>
      </c>
      <c r="F36" s="18">
        <f t="shared" si="2"/>
        <v>13.147916666666665</v>
      </c>
      <c r="G36" s="18">
        <f t="shared" si="2"/>
        <v>75.472916666666663</v>
      </c>
      <c r="H36" s="18">
        <f t="shared" si="2"/>
        <v>30.931250000000002</v>
      </c>
      <c r="I36" s="18">
        <f t="shared" si="2"/>
        <v>8.8845833333333335</v>
      </c>
      <c r="J36" s="18">
        <f t="shared" si="2"/>
        <v>0.88375000000000004</v>
      </c>
      <c r="K36" s="18">
        <f t="shared" si="2"/>
        <v>200.52124999999998</v>
      </c>
      <c r="L36" s="18">
        <f t="shared" si="2"/>
        <v>28.316666666666666</v>
      </c>
      <c r="M36" s="18">
        <f t="shared" si="2"/>
        <v>53.780833333333334</v>
      </c>
      <c r="N36" s="18">
        <f t="shared" si="2"/>
        <v>136.11249999999998</v>
      </c>
      <c r="O36" s="18">
        <f t="shared" si="2"/>
        <v>3.3333333333333333E-2</v>
      </c>
      <c r="P36" s="18">
        <f t="shared" si="2"/>
        <v>0.78499999999999981</v>
      </c>
      <c r="Q36" s="18">
        <f t="shared" si="2"/>
        <v>28.10541666666667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0.47537609062323699</v>
      </c>
      <c r="C37" s="18">
        <f t="shared" ref="C37:Q37" si="3">STDEV(C9:C32)</f>
        <v>1.9830826172065215</v>
      </c>
      <c r="D37" s="18">
        <f t="shared" si="3"/>
        <v>0.96120244742069583</v>
      </c>
      <c r="E37" s="18">
        <f t="shared" si="3"/>
        <v>2.2458205950002963</v>
      </c>
      <c r="F37" s="18">
        <f t="shared" si="3"/>
        <v>7.5388160638741963</v>
      </c>
      <c r="G37" s="18">
        <f t="shared" si="3"/>
        <v>20.32742963266665</v>
      </c>
      <c r="H37" s="18">
        <f t="shared" si="3"/>
        <v>3.2611965162177761</v>
      </c>
      <c r="I37" s="18">
        <f t="shared" si="3"/>
        <v>0.61924202732517841</v>
      </c>
      <c r="J37" s="18">
        <f t="shared" si="3"/>
        <v>0.47891010774919707</v>
      </c>
      <c r="K37" s="18">
        <f t="shared" si="3"/>
        <v>114.35809582612974</v>
      </c>
      <c r="L37" s="18">
        <f t="shared" si="3"/>
        <v>3.2574578867666122</v>
      </c>
      <c r="M37" s="18">
        <f t="shared" si="3"/>
        <v>15.3467574585889</v>
      </c>
      <c r="N37" s="18">
        <f t="shared" si="3"/>
        <v>174.61646994509701</v>
      </c>
      <c r="O37" s="18">
        <f t="shared" si="3"/>
        <v>0.12740441145412124</v>
      </c>
      <c r="P37" s="18">
        <f t="shared" si="3"/>
        <v>5.2086883936945869E-2</v>
      </c>
      <c r="Q37" s="18">
        <f t="shared" si="3"/>
        <v>1.3180739131701844E-2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85" zoomScaleNormal="85" workbookViewId="0">
      <pane xSplit="2" ySplit="8" topLeftCell="C21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5.140625" style="1" customWidth="1"/>
    <col min="2" max="2" width="14.42578125" style="1" customWidth="1"/>
    <col min="3" max="3" width="10.140625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04/04/2025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132</v>
      </c>
      <c r="B9" s="40">
        <v>5.85</v>
      </c>
      <c r="C9" s="40">
        <v>18.95</v>
      </c>
      <c r="D9" s="40">
        <v>15.8</v>
      </c>
      <c r="E9" s="40">
        <v>9.9499999999999993</v>
      </c>
      <c r="F9" s="40">
        <v>5.18</v>
      </c>
      <c r="G9" s="40">
        <v>49.19</v>
      </c>
      <c r="H9" s="40">
        <v>26.33</v>
      </c>
      <c r="I9" s="40">
        <v>7.88</v>
      </c>
      <c r="J9" s="40">
        <v>0.25</v>
      </c>
      <c r="K9" s="40">
        <v>239.95</v>
      </c>
      <c r="L9" s="40">
        <v>24.73</v>
      </c>
      <c r="M9" s="40">
        <v>76.64</v>
      </c>
      <c r="N9" s="40">
        <v>7</v>
      </c>
      <c r="O9" s="40">
        <v>0</v>
      </c>
      <c r="P9" s="40">
        <v>0.75</v>
      </c>
      <c r="Q9" s="40">
        <v>28.12</v>
      </c>
      <c r="R9" s="38"/>
      <c r="S9" s="38"/>
      <c r="T9" s="38"/>
      <c r="U9" s="38"/>
    </row>
    <row r="10" spans="1:21" customFormat="1">
      <c r="A10" s="39" t="s">
        <v>133</v>
      </c>
      <c r="B10" s="40">
        <v>5.18</v>
      </c>
      <c r="C10" s="40">
        <v>19.25</v>
      </c>
      <c r="D10" s="40">
        <v>15.49</v>
      </c>
      <c r="E10" s="40">
        <v>9.6300000000000008</v>
      </c>
      <c r="F10" s="40">
        <v>6.87</v>
      </c>
      <c r="G10" s="40">
        <v>44.57</v>
      </c>
      <c r="H10" s="40">
        <v>26.02</v>
      </c>
      <c r="I10" s="40">
        <v>7.8</v>
      </c>
      <c r="J10" s="40">
        <v>0.17</v>
      </c>
      <c r="K10" s="40">
        <v>199.66</v>
      </c>
      <c r="L10" s="40">
        <v>24.54</v>
      </c>
      <c r="M10" s="40">
        <v>79.44</v>
      </c>
      <c r="N10" s="40">
        <v>6.8</v>
      </c>
      <c r="O10" s="40">
        <v>0</v>
      </c>
      <c r="P10" s="40">
        <v>0.75</v>
      </c>
      <c r="Q10" s="40">
        <v>28.08</v>
      </c>
      <c r="R10" s="38"/>
      <c r="S10" s="38"/>
      <c r="T10" s="38"/>
      <c r="U10" s="38"/>
    </row>
    <row r="11" spans="1:21" customFormat="1">
      <c r="A11" s="39" t="s">
        <v>134</v>
      </c>
      <c r="B11" s="40">
        <v>5</v>
      </c>
      <c r="C11" s="40">
        <v>19.649999999999999</v>
      </c>
      <c r="D11" s="40">
        <v>15.63</v>
      </c>
      <c r="E11" s="40">
        <v>10.1</v>
      </c>
      <c r="F11" s="40">
        <v>7.33</v>
      </c>
      <c r="G11" s="40">
        <v>40.98</v>
      </c>
      <c r="H11" s="40">
        <v>24.86</v>
      </c>
      <c r="I11" s="40">
        <v>7.77</v>
      </c>
      <c r="J11" s="40">
        <v>0.37</v>
      </c>
      <c r="K11" s="40">
        <v>261.07</v>
      </c>
      <c r="L11" s="40">
        <v>24.37</v>
      </c>
      <c r="M11" s="40">
        <v>81</v>
      </c>
      <c r="N11" s="40">
        <v>7</v>
      </c>
      <c r="O11" s="40">
        <v>0</v>
      </c>
      <c r="P11" s="40">
        <v>0.74</v>
      </c>
      <c r="Q11" s="40">
        <v>28.11</v>
      </c>
      <c r="R11" s="38"/>
      <c r="S11" s="38"/>
      <c r="T11" s="38"/>
      <c r="U11" s="38"/>
    </row>
    <row r="12" spans="1:21" customFormat="1">
      <c r="A12" s="39" t="s">
        <v>135</v>
      </c>
      <c r="B12" s="40">
        <v>5.32</v>
      </c>
      <c r="C12" s="40">
        <v>19.829999999999998</v>
      </c>
      <c r="D12" s="40">
        <v>15.98</v>
      </c>
      <c r="E12" s="40">
        <v>10.1</v>
      </c>
      <c r="F12" s="40">
        <v>7.82</v>
      </c>
      <c r="G12" s="40">
        <v>45.15</v>
      </c>
      <c r="H12" s="40">
        <v>25.41</v>
      </c>
      <c r="I12" s="40">
        <v>7.78</v>
      </c>
      <c r="J12" s="40">
        <v>0.28999999999999998</v>
      </c>
      <c r="K12" s="40">
        <v>221.59</v>
      </c>
      <c r="L12" s="40">
        <v>23.76</v>
      </c>
      <c r="M12" s="40">
        <v>82.72</v>
      </c>
      <c r="N12" s="40">
        <v>6.8</v>
      </c>
      <c r="O12" s="40">
        <v>0</v>
      </c>
      <c r="P12" s="40">
        <v>0.74</v>
      </c>
      <c r="Q12" s="40">
        <v>28.12</v>
      </c>
      <c r="R12" s="38"/>
      <c r="S12" s="38"/>
      <c r="T12" s="38"/>
      <c r="U12" s="38"/>
    </row>
    <row r="13" spans="1:21" customFormat="1">
      <c r="A13" s="39" t="s">
        <v>136</v>
      </c>
      <c r="B13" s="40">
        <v>6.15</v>
      </c>
      <c r="C13" s="40">
        <v>20.54</v>
      </c>
      <c r="D13" s="40">
        <v>17.02</v>
      </c>
      <c r="E13" s="40">
        <v>10.029999999999999</v>
      </c>
      <c r="F13" s="40">
        <v>5.8</v>
      </c>
      <c r="G13" s="40">
        <v>45.67</v>
      </c>
      <c r="H13" s="40">
        <v>25.76</v>
      </c>
      <c r="I13" s="40">
        <v>7.73</v>
      </c>
      <c r="J13" s="40">
        <v>0.39</v>
      </c>
      <c r="K13" s="40">
        <v>357.08</v>
      </c>
      <c r="L13" s="40">
        <v>23.96</v>
      </c>
      <c r="M13" s="40">
        <v>83.25</v>
      </c>
      <c r="N13" s="40">
        <v>6.8</v>
      </c>
      <c r="O13" s="40">
        <v>0</v>
      </c>
      <c r="P13" s="40">
        <v>0.75</v>
      </c>
      <c r="Q13" s="40">
        <v>28.13</v>
      </c>
      <c r="R13" s="38"/>
      <c r="S13" s="38"/>
      <c r="T13" s="38"/>
      <c r="U13" s="38"/>
    </row>
    <row r="14" spans="1:21" customFormat="1">
      <c r="A14" s="39" t="s">
        <v>137</v>
      </c>
      <c r="B14" s="40">
        <v>6.59</v>
      </c>
      <c r="C14" s="40">
        <v>20.99</v>
      </c>
      <c r="D14" s="40">
        <v>17.25</v>
      </c>
      <c r="E14" s="40">
        <v>10.16</v>
      </c>
      <c r="F14" s="40">
        <v>5.18</v>
      </c>
      <c r="G14" s="40">
        <v>46.34</v>
      </c>
      <c r="H14" s="40">
        <v>24.67</v>
      </c>
      <c r="I14" s="40">
        <v>7.76</v>
      </c>
      <c r="J14" s="40">
        <v>0.77</v>
      </c>
      <c r="K14" s="40">
        <v>310.88</v>
      </c>
      <c r="L14" s="40">
        <v>24.37</v>
      </c>
      <c r="M14" s="40">
        <v>78.069999999999993</v>
      </c>
      <c r="N14" s="40">
        <v>8.5</v>
      </c>
      <c r="O14" s="40">
        <v>0</v>
      </c>
      <c r="P14" s="40">
        <v>0.75</v>
      </c>
      <c r="Q14" s="40">
        <v>28.16</v>
      </c>
      <c r="R14" s="38"/>
      <c r="S14" s="38"/>
      <c r="T14" s="38"/>
      <c r="U14" s="38"/>
    </row>
    <row r="15" spans="1:21" customFormat="1">
      <c r="A15" s="39" t="s">
        <v>138</v>
      </c>
      <c r="B15" s="40">
        <v>8.35</v>
      </c>
      <c r="C15" s="40">
        <v>19.940000000000001</v>
      </c>
      <c r="D15" s="40">
        <v>18.47</v>
      </c>
      <c r="E15" s="40">
        <v>10.26</v>
      </c>
      <c r="F15" s="40">
        <v>4.95</v>
      </c>
      <c r="G15" s="40">
        <v>47.47</v>
      </c>
      <c r="H15" s="40">
        <v>29.35</v>
      </c>
      <c r="I15" s="40">
        <v>8.2200000000000006</v>
      </c>
      <c r="J15" s="40">
        <v>0.69</v>
      </c>
      <c r="K15" s="40">
        <v>54.68</v>
      </c>
      <c r="L15" s="40">
        <v>24.65</v>
      </c>
      <c r="M15" s="40">
        <v>77.709999999999994</v>
      </c>
      <c r="N15" s="40">
        <v>44.2</v>
      </c>
      <c r="O15" s="40">
        <v>0</v>
      </c>
      <c r="P15" s="40">
        <v>0.81</v>
      </c>
      <c r="Q15" s="40">
        <v>28.17</v>
      </c>
      <c r="R15" s="38"/>
      <c r="S15" s="38"/>
      <c r="T15" s="38"/>
      <c r="U15" s="38"/>
    </row>
    <row r="16" spans="1:21" customFormat="1">
      <c r="A16" s="39" t="s">
        <v>139</v>
      </c>
      <c r="B16" s="40">
        <v>10.29</v>
      </c>
      <c r="C16" s="40">
        <v>20.37</v>
      </c>
      <c r="D16" s="40">
        <v>20.04</v>
      </c>
      <c r="E16" s="40">
        <v>10.96</v>
      </c>
      <c r="F16" s="40">
        <v>5.99</v>
      </c>
      <c r="G16" s="40">
        <v>70.150000000000006</v>
      </c>
      <c r="H16" s="40">
        <v>39.92</v>
      </c>
      <c r="I16" s="40">
        <v>9.11</v>
      </c>
      <c r="J16" s="40">
        <v>0.53</v>
      </c>
      <c r="K16" s="40">
        <v>344.3</v>
      </c>
      <c r="L16" s="40">
        <v>26.02</v>
      </c>
      <c r="M16" s="40">
        <v>75.959999999999994</v>
      </c>
      <c r="N16" s="40">
        <v>107.5</v>
      </c>
      <c r="O16" s="40">
        <v>0</v>
      </c>
      <c r="P16" s="40">
        <v>0.88</v>
      </c>
      <c r="Q16" s="40">
        <v>28.24</v>
      </c>
      <c r="R16" s="38"/>
      <c r="S16" s="38"/>
      <c r="T16" s="38"/>
      <c r="U16" s="38"/>
    </row>
    <row r="17" spans="1:21" customFormat="1">
      <c r="A17" s="39" t="s">
        <v>140</v>
      </c>
      <c r="B17" s="40">
        <v>10.46</v>
      </c>
      <c r="C17" s="40">
        <v>20.6</v>
      </c>
      <c r="D17" s="40">
        <v>20.51</v>
      </c>
      <c r="E17" s="40">
        <v>10.97</v>
      </c>
      <c r="F17" s="40">
        <v>6.54</v>
      </c>
      <c r="G17" s="40">
        <v>92.1</v>
      </c>
      <c r="H17" s="40">
        <v>45.52</v>
      </c>
      <c r="I17" s="40">
        <v>9.5500000000000007</v>
      </c>
      <c r="J17" s="40">
        <v>0.71</v>
      </c>
      <c r="K17" s="40">
        <v>354</v>
      </c>
      <c r="L17" s="40">
        <v>27.57</v>
      </c>
      <c r="M17" s="40">
        <v>62.79</v>
      </c>
      <c r="N17" s="40">
        <v>228.5</v>
      </c>
      <c r="O17" s="40">
        <v>0</v>
      </c>
      <c r="P17" s="40">
        <v>0.9</v>
      </c>
      <c r="Q17" s="40">
        <v>28.23</v>
      </c>
      <c r="R17" s="38"/>
      <c r="S17" s="38"/>
      <c r="T17" s="38"/>
      <c r="U17" s="38"/>
    </row>
    <row r="18" spans="1:21" customFormat="1">
      <c r="A18" s="39" t="s">
        <v>141</v>
      </c>
      <c r="B18" s="40">
        <v>11.2</v>
      </c>
      <c r="C18" s="40">
        <v>22.33</v>
      </c>
      <c r="D18" s="40">
        <v>21.99</v>
      </c>
      <c r="E18" s="40">
        <v>12.39</v>
      </c>
      <c r="F18" s="40">
        <v>7.45</v>
      </c>
      <c r="G18" s="40">
        <v>76.86</v>
      </c>
      <c r="H18" s="40">
        <v>42.53</v>
      </c>
      <c r="I18" s="40">
        <v>9.77</v>
      </c>
      <c r="J18" s="40">
        <v>1.01</v>
      </c>
      <c r="K18" s="40">
        <v>311.95999999999998</v>
      </c>
      <c r="L18" s="40">
        <v>28.96</v>
      </c>
      <c r="M18" s="40">
        <v>56</v>
      </c>
      <c r="N18" s="40">
        <v>364.7</v>
      </c>
      <c r="O18" s="40">
        <v>0</v>
      </c>
      <c r="P18" s="40">
        <v>0.93</v>
      </c>
      <c r="Q18" s="40">
        <v>28.23</v>
      </c>
      <c r="R18" s="38"/>
      <c r="S18" s="38"/>
      <c r="T18" s="38"/>
      <c r="U18" s="38"/>
    </row>
    <row r="19" spans="1:21" customFormat="1">
      <c r="A19" s="39" t="s">
        <v>142</v>
      </c>
      <c r="B19" s="40">
        <v>9.67</v>
      </c>
      <c r="C19" s="40">
        <v>23.51</v>
      </c>
      <c r="D19" s="40">
        <v>20.2</v>
      </c>
      <c r="E19" s="40">
        <v>9.1300000000000008</v>
      </c>
      <c r="F19" s="40">
        <v>13.77</v>
      </c>
      <c r="G19" s="40">
        <v>88.63</v>
      </c>
      <c r="H19" s="40">
        <v>41.87</v>
      </c>
      <c r="I19" s="40">
        <v>9.91</v>
      </c>
      <c r="J19" s="40">
        <v>1.06</v>
      </c>
      <c r="K19" s="40">
        <v>304.02</v>
      </c>
      <c r="L19" s="40">
        <v>30.14</v>
      </c>
      <c r="M19" s="40">
        <v>52.35</v>
      </c>
      <c r="N19" s="40">
        <v>446.1</v>
      </c>
      <c r="O19" s="40">
        <v>0</v>
      </c>
      <c r="P19" s="40">
        <v>0.94</v>
      </c>
      <c r="Q19" s="40">
        <v>28.19</v>
      </c>
      <c r="R19" s="38"/>
      <c r="S19" s="38"/>
      <c r="T19" s="38"/>
      <c r="U19" s="38"/>
    </row>
    <row r="20" spans="1:21" customFormat="1">
      <c r="A20" s="39" t="s">
        <v>143</v>
      </c>
      <c r="B20" s="40">
        <v>5.94</v>
      </c>
      <c r="C20" s="40">
        <v>23.18</v>
      </c>
      <c r="D20" s="40">
        <v>18.23</v>
      </c>
      <c r="E20" s="40">
        <v>8.9700000000000006</v>
      </c>
      <c r="F20" s="40">
        <v>22.81</v>
      </c>
      <c r="G20" s="40">
        <v>78.739999999999995</v>
      </c>
      <c r="H20" s="40">
        <v>34.96</v>
      </c>
      <c r="I20" s="40">
        <v>9.68</v>
      </c>
      <c r="J20" s="40">
        <v>0.61</v>
      </c>
      <c r="K20" s="40">
        <v>283.06</v>
      </c>
      <c r="L20" s="40">
        <v>32.22</v>
      </c>
      <c r="M20" s="40">
        <v>41.97</v>
      </c>
      <c r="N20" s="40">
        <v>461.3</v>
      </c>
      <c r="O20" s="40">
        <v>0</v>
      </c>
      <c r="P20" s="40">
        <v>0.88</v>
      </c>
      <c r="Q20" s="40">
        <v>28.15</v>
      </c>
      <c r="R20" s="38"/>
      <c r="S20" s="38"/>
      <c r="T20" s="38"/>
      <c r="U20" s="38"/>
    </row>
    <row r="21" spans="1:21" customFormat="1">
      <c r="A21" s="39" t="s">
        <v>144</v>
      </c>
      <c r="B21" s="40">
        <v>4.29</v>
      </c>
      <c r="C21" s="40">
        <v>22.36</v>
      </c>
      <c r="D21" s="40">
        <v>16.47</v>
      </c>
      <c r="E21" s="40">
        <v>8.82</v>
      </c>
      <c r="F21" s="40">
        <v>32.840000000000003</v>
      </c>
      <c r="G21" s="40">
        <v>63.62</v>
      </c>
      <c r="H21" s="40">
        <v>33</v>
      </c>
      <c r="I21" s="40">
        <v>9.0500000000000007</v>
      </c>
      <c r="J21" s="40">
        <v>0.89</v>
      </c>
      <c r="K21" s="40">
        <v>313.74</v>
      </c>
      <c r="L21" s="40">
        <v>33.659999999999997</v>
      </c>
      <c r="M21" s="40">
        <v>39.28</v>
      </c>
      <c r="N21" s="40">
        <v>547.5</v>
      </c>
      <c r="O21" s="40">
        <v>0</v>
      </c>
      <c r="P21" s="40">
        <v>0.81</v>
      </c>
      <c r="Q21" s="40">
        <v>28.09</v>
      </c>
      <c r="R21" s="38"/>
      <c r="S21" s="38"/>
      <c r="T21" s="38"/>
      <c r="U21" s="38"/>
    </row>
    <row r="22" spans="1:21" customFormat="1">
      <c r="A22" s="39" t="s">
        <v>145</v>
      </c>
      <c r="B22" s="40">
        <v>4.0999999999999996</v>
      </c>
      <c r="C22" s="40">
        <v>22.05</v>
      </c>
      <c r="D22" s="40">
        <v>16.16</v>
      </c>
      <c r="E22" s="40">
        <v>8.94</v>
      </c>
      <c r="F22" s="40">
        <v>44.89</v>
      </c>
      <c r="G22" s="40">
        <v>56.38</v>
      </c>
      <c r="H22" s="40">
        <v>26.19</v>
      </c>
      <c r="I22" s="40">
        <v>8.5299999999999994</v>
      </c>
      <c r="J22" s="40">
        <v>0.81</v>
      </c>
      <c r="K22" s="40">
        <v>309.04000000000002</v>
      </c>
      <c r="L22" s="40">
        <v>35.4</v>
      </c>
      <c r="M22" s="40">
        <v>32.68</v>
      </c>
      <c r="N22" s="40">
        <v>766.6</v>
      </c>
      <c r="O22" s="40">
        <v>0</v>
      </c>
      <c r="P22" s="40">
        <v>0.76</v>
      </c>
      <c r="Q22" s="40">
        <v>28.11</v>
      </c>
      <c r="R22" s="38"/>
      <c r="S22" s="38"/>
      <c r="T22" s="38"/>
      <c r="U22" s="38"/>
    </row>
    <row r="23" spans="1:21" customFormat="1">
      <c r="A23" s="39" t="s">
        <v>146</v>
      </c>
      <c r="B23" s="40">
        <v>4.1100000000000003</v>
      </c>
      <c r="C23" s="40">
        <v>21.57</v>
      </c>
      <c r="D23" s="40">
        <v>15.89</v>
      </c>
      <c r="E23" s="40">
        <v>9.56</v>
      </c>
      <c r="F23" s="40">
        <v>45.19</v>
      </c>
      <c r="G23" s="40">
        <v>47.02</v>
      </c>
      <c r="H23" s="40">
        <v>21.42</v>
      </c>
      <c r="I23" s="40">
        <v>7.97</v>
      </c>
      <c r="J23" s="40">
        <v>1.01</v>
      </c>
      <c r="K23" s="40">
        <v>352.46</v>
      </c>
      <c r="L23" s="40">
        <v>35.81</v>
      </c>
      <c r="M23" s="40">
        <v>31.05</v>
      </c>
      <c r="N23" s="40">
        <v>536</v>
      </c>
      <c r="O23" s="40">
        <v>0</v>
      </c>
      <c r="P23" s="40">
        <v>0.7</v>
      </c>
      <c r="Q23" s="40">
        <v>28.09</v>
      </c>
      <c r="R23" s="38"/>
      <c r="S23" s="38"/>
      <c r="T23" s="38"/>
      <c r="U23" s="38"/>
    </row>
    <row r="24" spans="1:21" customFormat="1">
      <c r="A24" s="39" t="s">
        <v>147</v>
      </c>
      <c r="B24" s="40">
        <v>4.0999999999999996</v>
      </c>
      <c r="C24" s="40">
        <v>21.21</v>
      </c>
      <c r="D24" s="40">
        <v>15.68</v>
      </c>
      <c r="E24" s="40">
        <v>13.18</v>
      </c>
      <c r="F24" s="40">
        <v>67.56</v>
      </c>
      <c r="G24" s="40">
        <v>47.76</v>
      </c>
      <c r="H24" s="40">
        <v>25.25</v>
      </c>
      <c r="I24" s="40">
        <v>7.43</v>
      </c>
      <c r="J24" s="40">
        <v>0.65</v>
      </c>
      <c r="K24" s="40">
        <v>187.75</v>
      </c>
      <c r="L24" s="40">
        <v>36.590000000000003</v>
      </c>
      <c r="M24" s="40">
        <v>27.64</v>
      </c>
      <c r="N24" s="40">
        <v>472.7</v>
      </c>
      <c r="O24" s="40">
        <v>0</v>
      </c>
      <c r="P24" s="40">
        <v>0.69</v>
      </c>
      <c r="Q24" s="40">
        <v>28.09</v>
      </c>
      <c r="R24" s="38"/>
      <c r="S24" s="38"/>
      <c r="T24" s="38"/>
      <c r="U24" s="38"/>
    </row>
    <row r="25" spans="1:21" customFormat="1">
      <c r="A25" s="39" t="s">
        <v>148</v>
      </c>
      <c r="B25" s="40">
        <v>4.58</v>
      </c>
      <c r="C25" s="40">
        <v>16.62</v>
      </c>
      <c r="D25" s="40">
        <v>13.71</v>
      </c>
      <c r="E25" s="40">
        <v>16.96</v>
      </c>
      <c r="F25" s="40">
        <v>59.9</v>
      </c>
      <c r="G25" s="40">
        <v>49.19</v>
      </c>
      <c r="H25" s="40">
        <v>25.15</v>
      </c>
      <c r="I25" s="40">
        <v>7.08</v>
      </c>
      <c r="J25" s="40">
        <v>0.48</v>
      </c>
      <c r="K25" s="40">
        <v>217.87</v>
      </c>
      <c r="L25" s="40">
        <v>35.54</v>
      </c>
      <c r="M25" s="40">
        <v>29.03</v>
      </c>
      <c r="N25" s="40">
        <v>149.9</v>
      </c>
      <c r="O25" s="40">
        <v>0</v>
      </c>
      <c r="P25" s="40">
        <v>0.67</v>
      </c>
      <c r="Q25" s="40">
        <v>28.08</v>
      </c>
      <c r="R25" s="38"/>
      <c r="S25" s="38"/>
      <c r="T25" s="38"/>
      <c r="U25" s="38"/>
    </row>
    <row r="26" spans="1:21" customFormat="1">
      <c r="A26" s="39" t="s">
        <v>149</v>
      </c>
      <c r="B26" s="40">
        <v>4.99</v>
      </c>
      <c r="C26" s="40">
        <v>19.100000000000001</v>
      </c>
      <c r="D26" s="40">
        <v>15.33</v>
      </c>
      <c r="E26" s="40">
        <v>13.95</v>
      </c>
      <c r="F26" s="40">
        <v>31.7</v>
      </c>
      <c r="G26" s="40">
        <v>49.88</v>
      </c>
      <c r="H26" s="40">
        <v>24.73</v>
      </c>
      <c r="I26" s="40">
        <v>6.81</v>
      </c>
      <c r="J26" s="40">
        <v>0.92</v>
      </c>
      <c r="K26" s="40">
        <v>156.58000000000001</v>
      </c>
      <c r="L26" s="40">
        <v>34.83</v>
      </c>
      <c r="M26" s="40">
        <v>38.4</v>
      </c>
      <c r="N26" s="40">
        <v>80.3</v>
      </c>
      <c r="O26" s="40">
        <v>0</v>
      </c>
      <c r="P26" s="40">
        <v>0.7</v>
      </c>
      <c r="Q26" s="40">
        <v>28.09</v>
      </c>
      <c r="R26" s="38"/>
      <c r="S26" s="38"/>
      <c r="T26" s="38"/>
      <c r="U26" s="38"/>
    </row>
    <row r="27" spans="1:21" customFormat="1">
      <c r="A27" s="39" t="s">
        <v>150</v>
      </c>
      <c r="B27" s="40">
        <v>4.2</v>
      </c>
      <c r="C27" s="40">
        <v>14.48</v>
      </c>
      <c r="D27" s="40">
        <v>12.29</v>
      </c>
      <c r="E27" s="40">
        <v>10.17</v>
      </c>
      <c r="F27" s="40">
        <v>18.899999999999999</v>
      </c>
      <c r="G27" s="40">
        <v>50.27</v>
      </c>
      <c r="H27" s="40">
        <v>26.08</v>
      </c>
      <c r="I27" s="40">
        <v>6.88</v>
      </c>
      <c r="J27" s="40">
        <v>0.43</v>
      </c>
      <c r="K27" s="40">
        <v>230.75</v>
      </c>
      <c r="L27" s="40">
        <v>31.8</v>
      </c>
      <c r="M27" s="40">
        <v>48.61</v>
      </c>
      <c r="N27" s="40">
        <v>11.3</v>
      </c>
      <c r="O27" s="40">
        <v>0</v>
      </c>
      <c r="P27" s="40">
        <v>0.66</v>
      </c>
      <c r="Q27" s="40">
        <v>28.09</v>
      </c>
      <c r="R27" s="38"/>
      <c r="S27" s="38"/>
      <c r="T27" s="38"/>
      <c r="U27" s="38"/>
    </row>
    <row r="28" spans="1:21" customFormat="1">
      <c r="A28" s="39" t="s">
        <v>151</v>
      </c>
      <c r="B28" s="40">
        <v>4.29</v>
      </c>
      <c r="C28" s="40">
        <v>13.32</v>
      </c>
      <c r="D28" s="40">
        <v>11.75</v>
      </c>
      <c r="E28" s="40">
        <v>9.94</v>
      </c>
      <c r="F28" s="40">
        <v>8.9700000000000006</v>
      </c>
      <c r="G28" s="40">
        <v>47.85</v>
      </c>
      <c r="H28" s="40">
        <v>25.68</v>
      </c>
      <c r="I28" s="40">
        <v>6.98</v>
      </c>
      <c r="J28" s="40">
        <v>0.28000000000000003</v>
      </c>
      <c r="K28" s="40">
        <v>243.26</v>
      </c>
      <c r="L28" s="40">
        <v>29.74</v>
      </c>
      <c r="M28" s="40">
        <v>52.12</v>
      </c>
      <c r="N28" s="40">
        <v>6.3</v>
      </c>
      <c r="O28" s="40">
        <v>0</v>
      </c>
      <c r="P28" s="40">
        <v>0.66</v>
      </c>
      <c r="Q28" s="40">
        <v>28.08</v>
      </c>
      <c r="R28" s="38"/>
      <c r="S28" s="38"/>
      <c r="T28" s="38"/>
      <c r="U28" s="38"/>
    </row>
    <row r="29" spans="1:21" customFormat="1">
      <c r="A29" s="39" t="s">
        <v>152</v>
      </c>
      <c r="B29" s="40">
        <v>4.3099999999999996</v>
      </c>
      <c r="C29" s="40">
        <v>15.49</v>
      </c>
      <c r="D29" s="40">
        <v>12.63</v>
      </c>
      <c r="E29" s="40">
        <v>9.99</v>
      </c>
      <c r="F29" s="40">
        <v>8.01</v>
      </c>
      <c r="G29" s="40">
        <v>46.6</v>
      </c>
      <c r="H29" s="40">
        <v>24.84</v>
      </c>
      <c r="I29" s="40">
        <v>7.18</v>
      </c>
      <c r="J29" s="40">
        <v>0.14000000000000001</v>
      </c>
      <c r="K29" s="40">
        <v>232.68</v>
      </c>
      <c r="L29" s="40">
        <v>28.74</v>
      </c>
      <c r="M29" s="40">
        <v>52.27</v>
      </c>
      <c r="N29" s="40">
        <v>6.1</v>
      </c>
      <c r="O29" s="40">
        <v>0</v>
      </c>
      <c r="P29" s="40">
        <v>0.68</v>
      </c>
      <c r="Q29" s="40">
        <v>28.08</v>
      </c>
      <c r="R29" s="38"/>
      <c r="S29" s="38"/>
      <c r="T29" s="38"/>
      <c r="U29" s="38"/>
    </row>
    <row r="30" spans="1:21" customFormat="1">
      <c r="A30" s="39" t="s">
        <v>153</v>
      </c>
      <c r="B30" s="40">
        <v>3.96</v>
      </c>
      <c r="C30" s="40">
        <v>16.440000000000001</v>
      </c>
      <c r="D30" s="40">
        <v>13.1</v>
      </c>
      <c r="E30" s="40">
        <v>9.6</v>
      </c>
      <c r="F30" s="40">
        <v>5.95</v>
      </c>
      <c r="G30" s="40">
        <v>47.54</v>
      </c>
      <c r="H30" s="40">
        <v>19.93</v>
      </c>
      <c r="I30" s="40">
        <v>7.33</v>
      </c>
      <c r="J30" s="40">
        <v>0.15</v>
      </c>
      <c r="K30" s="40">
        <v>240.64</v>
      </c>
      <c r="L30" s="40">
        <v>28.09</v>
      </c>
      <c r="M30" s="40">
        <v>55.01</v>
      </c>
      <c r="N30" s="40">
        <v>6.2</v>
      </c>
      <c r="O30" s="40">
        <v>0</v>
      </c>
      <c r="P30" s="40">
        <v>0.69</v>
      </c>
      <c r="Q30" s="40">
        <v>28.07</v>
      </c>
      <c r="R30" s="38"/>
      <c r="S30" s="38"/>
      <c r="T30" s="38"/>
      <c r="U30" s="38"/>
    </row>
    <row r="31" spans="1:21" customFormat="1">
      <c r="A31" s="39" t="s">
        <v>154</v>
      </c>
      <c r="B31" s="40">
        <v>4.16</v>
      </c>
      <c r="C31" s="40">
        <v>16.53</v>
      </c>
      <c r="D31" s="40">
        <v>13.31</v>
      </c>
      <c r="E31" s="40">
        <v>9.6199999999999992</v>
      </c>
      <c r="F31" s="40">
        <v>10.15</v>
      </c>
      <c r="G31" s="40">
        <v>46.29</v>
      </c>
      <c r="H31" s="40">
        <v>21.08</v>
      </c>
      <c r="I31" s="40">
        <v>7.33</v>
      </c>
      <c r="J31" s="40">
        <v>0.14000000000000001</v>
      </c>
      <c r="K31" s="40">
        <v>228.67</v>
      </c>
      <c r="L31" s="40">
        <v>27.71</v>
      </c>
      <c r="M31" s="40">
        <v>60.81</v>
      </c>
      <c r="N31" s="40">
        <v>6.3</v>
      </c>
      <c r="O31" s="40">
        <v>0</v>
      </c>
      <c r="P31" s="40">
        <v>0.68</v>
      </c>
      <c r="Q31" s="40">
        <v>28.06</v>
      </c>
      <c r="R31" s="38"/>
      <c r="S31" s="38"/>
      <c r="T31" s="38"/>
      <c r="U31" s="38"/>
    </row>
    <row r="32" spans="1:21" customFormat="1">
      <c r="A32" s="39" t="s">
        <v>155</v>
      </c>
      <c r="B32" s="40">
        <v>4.28</v>
      </c>
      <c r="C32" s="40">
        <v>17.079999999999998</v>
      </c>
      <c r="D32" s="40">
        <v>13.71</v>
      </c>
      <c r="E32" s="40">
        <v>9.4600000000000009</v>
      </c>
      <c r="F32" s="40">
        <v>8.1999999999999993</v>
      </c>
      <c r="G32" s="40">
        <v>41.09</v>
      </c>
      <c r="H32" s="40">
        <v>20.399999999999999</v>
      </c>
      <c r="I32" s="40">
        <v>7.03</v>
      </c>
      <c r="J32" s="40">
        <v>0.81</v>
      </c>
      <c r="K32" s="40">
        <v>262.11</v>
      </c>
      <c r="L32" s="40">
        <v>27.06</v>
      </c>
      <c r="M32" s="40">
        <v>62.9</v>
      </c>
      <c r="N32" s="40">
        <v>6.3</v>
      </c>
      <c r="O32" s="40">
        <v>0</v>
      </c>
      <c r="P32" s="40">
        <v>0.66</v>
      </c>
      <c r="Q32" s="40">
        <v>28.08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3.96</v>
      </c>
      <c r="C34" s="18">
        <f t="shared" si="0"/>
        <v>13.32</v>
      </c>
      <c r="D34" s="18">
        <f t="shared" si="0"/>
        <v>11.75</v>
      </c>
      <c r="E34" s="18">
        <f t="shared" si="0"/>
        <v>8.82</v>
      </c>
      <c r="F34" s="18">
        <f t="shared" si="0"/>
        <v>4.95</v>
      </c>
      <c r="G34" s="18">
        <f t="shared" si="0"/>
        <v>40.98</v>
      </c>
      <c r="H34" s="18">
        <f t="shared" si="0"/>
        <v>19.93</v>
      </c>
      <c r="I34" s="18">
        <f t="shared" si="0"/>
        <v>6.81</v>
      </c>
      <c r="J34" s="18">
        <f t="shared" si="0"/>
        <v>0.14000000000000001</v>
      </c>
      <c r="K34" s="18">
        <f t="shared" si="0"/>
        <v>54.68</v>
      </c>
      <c r="L34" s="18">
        <f t="shared" si="0"/>
        <v>23.76</v>
      </c>
      <c r="M34" s="18">
        <f t="shared" si="0"/>
        <v>27.64</v>
      </c>
      <c r="N34" s="18">
        <f t="shared" si="0"/>
        <v>6.1</v>
      </c>
      <c r="O34" s="18">
        <f t="shared" si="0"/>
        <v>0</v>
      </c>
      <c r="P34" s="18">
        <f t="shared" si="0"/>
        <v>0.66</v>
      </c>
      <c r="Q34" s="18">
        <f t="shared" si="0"/>
        <v>28.06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11.2</v>
      </c>
      <c r="C35" s="3">
        <f t="shared" si="1"/>
        <v>23.51</v>
      </c>
      <c r="D35" s="3">
        <f t="shared" si="1"/>
        <v>21.99</v>
      </c>
      <c r="E35" s="3">
        <f t="shared" si="1"/>
        <v>16.96</v>
      </c>
      <c r="F35" s="3">
        <f t="shared" si="1"/>
        <v>67.56</v>
      </c>
      <c r="G35" s="3">
        <f t="shared" si="1"/>
        <v>92.1</v>
      </c>
      <c r="H35" s="3">
        <f t="shared" si="1"/>
        <v>45.52</v>
      </c>
      <c r="I35" s="3">
        <f t="shared" si="1"/>
        <v>9.91</v>
      </c>
      <c r="J35" s="3">
        <f t="shared" si="1"/>
        <v>1.06</v>
      </c>
      <c r="K35" s="3">
        <f t="shared" si="1"/>
        <v>357.08</v>
      </c>
      <c r="L35" s="3">
        <f t="shared" si="1"/>
        <v>36.590000000000003</v>
      </c>
      <c r="M35" s="3">
        <f t="shared" si="1"/>
        <v>83.25</v>
      </c>
      <c r="N35" s="3">
        <f t="shared" si="1"/>
        <v>766.6</v>
      </c>
      <c r="O35" s="3">
        <f t="shared" si="1"/>
        <v>0</v>
      </c>
      <c r="P35" s="3">
        <f t="shared" si="1"/>
        <v>0.94</v>
      </c>
      <c r="Q35" s="3">
        <f t="shared" si="1"/>
        <v>28.24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5.8904166666666669</v>
      </c>
      <c r="C36" s="18">
        <f t="shared" si="2"/>
        <v>19.391250000000003</v>
      </c>
      <c r="D36" s="18">
        <f t="shared" si="2"/>
        <v>16.11</v>
      </c>
      <c r="E36" s="18">
        <f t="shared" si="2"/>
        <v>10.535</v>
      </c>
      <c r="F36" s="18">
        <f t="shared" si="2"/>
        <v>18.414583333333329</v>
      </c>
      <c r="G36" s="18">
        <f t="shared" si="2"/>
        <v>54.972499999999989</v>
      </c>
      <c r="H36" s="18">
        <f t="shared" si="2"/>
        <v>28.372916666666669</v>
      </c>
      <c r="I36" s="18">
        <f t="shared" si="2"/>
        <v>8.0233333333333352</v>
      </c>
      <c r="J36" s="18">
        <f t="shared" si="2"/>
        <v>0.56500000000000006</v>
      </c>
      <c r="K36" s="18">
        <f t="shared" si="2"/>
        <v>259.07499999999999</v>
      </c>
      <c r="L36" s="18">
        <f t="shared" si="2"/>
        <v>29.177499999999998</v>
      </c>
      <c r="M36" s="18">
        <f t="shared" si="2"/>
        <v>57.404166666666647</v>
      </c>
      <c r="N36" s="18">
        <f t="shared" si="2"/>
        <v>178.7791666666667</v>
      </c>
      <c r="O36" s="18">
        <f t="shared" si="2"/>
        <v>0</v>
      </c>
      <c r="P36" s="18">
        <f t="shared" si="2"/>
        <v>0.75750000000000017</v>
      </c>
      <c r="Q36" s="18">
        <f t="shared" si="2"/>
        <v>28.122499999999999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2.3111158215415561</v>
      </c>
      <c r="C37" s="18">
        <f t="shared" ref="C37:Q37" si="3">STDEV(C9:C32)</f>
        <v>2.775400186577103</v>
      </c>
      <c r="D37" s="18">
        <f t="shared" si="3"/>
        <v>2.7515466006688207</v>
      </c>
      <c r="E37" s="18">
        <f t="shared" si="3"/>
        <v>1.8681681332024187</v>
      </c>
      <c r="F37" s="18">
        <f t="shared" si="3"/>
        <v>18.626870487729995</v>
      </c>
      <c r="G37" s="18">
        <f t="shared" si="3"/>
        <v>14.970324631256963</v>
      </c>
      <c r="H37" s="18">
        <f t="shared" si="3"/>
        <v>7.3028305883026645</v>
      </c>
      <c r="I37" s="18">
        <f t="shared" si="3"/>
        <v>0.98548450527895792</v>
      </c>
      <c r="J37" s="18">
        <f t="shared" si="3"/>
        <v>0.30371611458872189</v>
      </c>
      <c r="K37" s="18">
        <f t="shared" si="3"/>
        <v>70.881338256578388</v>
      </c>
      <c r="L37" s="18">
        <f t="shared" si="3"/>
        <v>4.3376513881612819</v>
      </c>
      <c r="M37" s="18">
        <f t="shared" si="3"/>
        <v>18.726104986649446</v>
      </c>
      <c r="N37" s="18">
        <f t="shared" si="3"/>
        <v>235.09165091451067</v>
      </c>
      <c r="O37" s="18">
        <f t="shared" si="3"/>
        <v>0</v>
      </c>
      <c r="P37" s="18">
        <f t="shared" si="3"/>
        <v>8.9357610804540508E-2</v>
      </c>
      <c r="Q37" s="18">
        <f t="shared" si="3"/>
        <v>5.4073219281621315E-2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05/04/2025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156</v>
      </c>
      <c r="B9" s="40">
        <v>4.29</v>
      </c>
      <c r="C9" s="40">
        <v>17.63</v>
      </c>
      <c r="D9" s="40">
        <v>13.91</v>
      </c>
      <c r="E9" s="40">
        <v>9.69</v>
      </c>
      <c r="F9" s="40">
        <v>4.8899999999999997</v>
      </c>
      <c r="G9" s="40">
        <v>38.4</v>
      </c>
      <c r="H9" s="40">
        <v>20.39</v>
      </c>
      <c r="I9" s="40">
        <v>6.81</v>
      </c>
      <c r="J9" s="40">
        <v>0.35</v>
      </c>
      <c r="K9" s="40">
        <v>241.53</v>
      </c>
      <c r="L9" s="40">
        <v>27</v>
      </c>
      <c r="M9" s="40">
        <v>64.53</v>
      </c>
      <c r="N9" s="40">
        <v>6.6</v>
      </c>
      <c r="O9" s="40">
        <v>0</v>
      </c>
      <c r="P9" s="40">
        <v>0.64</v>
      </c>
      <c r="Q9" s="40">
        <v>28.08</v>
      </c>
      <c r="R9" s="38"/>
      <c r="S9" s="38"/>
      <c r="T9" s="38"/>
      <c r="U9" s="38"/>
    </row>
    <row r="10" spans="1:21" customFormat="1">
      <c r="A10" s="39" t="s">
        <v>157</v>
      </c>
      <c r="B10" s="40">
        <v>5.33</v>
      </c>
      <c r="C10" s="40">
        <v>17.690000000000001</v>
      </c>
      <c r="D10" s="40">
        <v>14.14</v>
      </c>
      <c r="E10" s="40">
        <v>9.43</v>
      </c>
      <c r="F10" s="40">
        <v>4.3899999999999997</v>
      </c>
      <c r="G10" s="40">
        <v>34.19</v>
      </c>
      <c r="H10" s="40">
        <v>15.96</v>
      </c>
      <c r="I10" s="40">
        <v>6.61</v>
      </c>
      <c r="J10" s="40">
        <v>0.13</v>
      </c>
      <c r="K10" s="40">
        <v>218.6</v>
      </c>
      <c r="L10" s="40">
        <v>25.84</v>
      </c>
      <c r="M10" s="40">
        <v>69.7</v>
      </c>
      <c r="N10" s="40">
        <v>6.4</v>
      </c>
      <c r="O10" s="40">
        <v>0</v>
      </c>
      <c r="P10" s="40">
        <v>0.64</v>
      </c>
      <c r="Q10" s="40">
        <v>28.1</v>
      </c>
      <c r="R10" s="38"/>
      <c r="S10" s="38"/>
      <c r="T10" s="38"/>
      <c r="U10" s="38"/>
    </row>
    <row r="11" spans="1:21" customFormat="1">
      <c r="A11" s="39" t="s">
        <v>158</v>
      </c>
      <c r="B11" s="40">
        <v>6.5</v>
      </c>
      <c r="C11" s="40">
        <v>17.170000000000002</v>
      </c>
      <c r="D11" s="40">
        <v>14.98</v>
      </c>
      <c r="E11" s="40">
        <v>8.6</v>
      </c>
      <c r="F11" s="40">
        <v>4.42</v>
      </c>
      <c r="G11" s="40">
        <v>32.520000000000003</v>
      </c>
      <c r="H11" s="40">
        <v>16.190000000000001</v>
      </c>
      <c r="I11" s="40">
        <v>6.66</v>
      </c>
      <c r="J11" s="40">
        <v>0.17</v>
      </c>
      <c r="K11" s="40">
        <v>215.97</v>
      </c>
      <c r="L11" s="40">
        <v>24.82</v>
      </c>
      <c r="M11" s="40">
        <v>71.73</v>
      </c>
      <c r="N11" s="40">
        <v>6.3</v>
      </c>
      <c r="O11" s="40">
        <v>0</v>
      </c>
      <c r="P11" s="40">
        <v>0.63</v>
      </c>
      <c r="Q11" s="40">
        <v>28.12</v>
      </c>
      <c r="R11" s="38"/>
      <c r="S11" s="38"/>
      <c r="T11" s="38"/>
      <c r="U11" s="38"/>
    </row>
    <row r="12" spans="1:21" customFormat="1">
      <c r="A12" s="39" t="s">
        <v>159</v>
      </c>
      <c r="B12" s="40">
        <v>7.51</v>
      </c>
      <c r="C12" s="40">
        <v>16.690000000000001</v>
      </c>
      <c r="D12" s="40">
        <v>15.91</v>
      </c>
      <c r="E12" s="40">
        <v>8.83</v>
      </c>
      <c r="F12" s="40">
        <v>4.33</v>
      </c>
      <c r="G12" s="40">
        <v>30.64</v>
      </c>
      <c r="H12" s="40">
        <v>16.68</v>
      </c>
      <c r="I12" s="40">
        <v>6.48</v>
      </c>
      <c r="J12" s="40">
        <v>0.13</v>
      </c>
      <c r="K12" s="40">
        <v>202.81</v>
      </c>
      <c r="L12" s="40">
        <v>24.76</v>
      </c>
      <c r="M12" s="40">
        <v>72.87</v>
      </c>
      <c r="N12" s="40">
        <v>6.3</v>
      </c>
      <c r="O12" s="40">
        <v>0</v>
      </c>
      <c r="P12" s="40">
        <v>0.64</v>
      </c>
      <c r="Q12" s="40">
        <v>28.14</v>
      </c>
      <c r="R12" s="38"/>
      <c r="S12" s="38"/>
      <c r="T12" s="38"/>
      <c r="U12" s="38"/>
    </row>
    <row r="13" spans="1:21" customFormat="1">
      <c r="A13" s="39" t="s">
        <v>160</v>
      </c>
      <c r="B13" s="40">
        <v>8.5500000000000007</v>
      </c>
      <c r="C13" s="40">
        <v>17.149999999999999</v>
      </c>
      <c r="D13" s="40">
        <v>16.87</v>
      </c>
      <c r="E13" s="40">
        <v>8.9700000000000006</v>
      </c>
      <c r="F13" s="40">
        <v>4.4400000000000004</v>
      </c>
      <c r="G13" s="40">
        <v>30.94</v>
      </c>
      <c r="H13" s="40">
        <v>17.39</v>
      </c>
      <c r="I13" s="40">
        <v>6.53</v>
      </c>
      <c r="J13" s="40">
        <v>0.1</v>
      </c>
      <c r="K13" s="40">
        <v>194.92</v>
      </c>
      <c r="L13" s="40">
        <v>24.29</v>
      </c>
      <c r="M13" s="40">
        <v>75.89</v>
      </c>
      <c r="N13" s="40">
        <v>6.3</v>
      </c>
      <c r="O13" s="40">
        <v>0</v>
      </c>
      <c r="P13" s="40">
        <v>0.65</v>
      </c>
      <c r="Q13" s="40">
        <v>28.17</v>
      </c>
      <c r="R13" s="38"/>
      <c r="S13" s="38"/>
      <c r="T13" s="38"/>
      <c r="U13" s="38"/>
    </row>
    <row r="14" spans="1:21" customFormat="1">
      <c r="A14" s="39" t="s">
        <v>161</v>
      </c>
      <c r="B14" s="40">
        <v>9.56</v>
      </c>
      <c r="C14" s="40">
        <v>17.510000000000002</v>
      </c>
      <c r="D14" s="40">
        <v>18.170000000000002</v>
      </c>
      <c r="E14" s="40">
        <v>9.06</v>
      </c>
      <c r="F14" s="40">
        <v>5.17</v>
      </c>
      <c r="G14" s="40">
        <v>32.49</v>
      </c>
      <c r="H14" s="40">
        <v>17.329999999999998</v>
      </c>
      <c r="I14" s="40">
        <v>6.63</v>
      </c>
      <c r="J14" s="40">
        <v>0.15</v>
      </c>
      <c r="K14" s="40">
        <v>158.25</v>
      </c>
      <c r="L14" s="40">
        <v>23.77</v>
      </c>
      <c r="M14" s="40">
        <v>79.28</v>
      </c>
      <c r="N14" s="40">
        <v>11.2</v>
      </c>
      <c r="O14" s="40">
        <v>0</v>
      </c>
      <c r="P14" s="40">
        <v>0.65</v>
      </c>
      <c r="Q14" s="40">
        <v>28.2</v>
      </c>
      <c r="R14" s="38"/>
      <c r="S14" s="38"/>
      <c r="T14" s="38"/>
      <c r="U14" s="38"/>
    </row>
    <row r="15" spans="1:21" customFormat="1">
      <c r="A15" s="39" t="s">
        <v>162</v>
      </c>
      <c r="B15" s="40">
        <v>9.49</v>
      </c>
      <c r="C15" s="40">
        <v>17.649999999999999</v>
      </c>
      <c r="D15" s="40">
        <v>18.07</v>
      </c>
      <c r="E15" s="40">
        <v>9</v>
      </c>
      <c r="F15" s="40">
        <v>4.93</v>
      </c>
      <c r="G15" s="40">
        <v>32.659999999999997</v>
      </c>
      <c r="H15" s="40">
        <v>18.760000000000002</v>
      </c>
      <c r="I15" s="40">
        <v>6.67</v>
      </c>
      <c r="J15" s="40">
        <v>0.27</v>
      </c>
      <c r="K15" s="40">
        <v>254.88</v>
      </c>
      <c r="L15" s="40">
        <v>24.74</v>
      </c>
      <c r="M15" s="40">
        <v>79.66</v>
      </c>
      <c r="N15" s="40">
        <v>57</v>
      </c>
      <c r="O15" s="40">
        <v>0</v>
      </c>
      <c r="P15" s="40">
        <v>0.67</v>
      </c>
      <c r="Q15" s="40">
        <v>28.19</v>
      </c>
      <c r="R15" s="38"/>
      <c r="S15" s="38"/>
      <c r="T15" s="38"/>
      <c r="U15" s="38"/>
    </row>
    <row r="16" spans="1:21" customFormat="1">
      <c r="A16" s="39" t="s">
        <v>163</v>
      </c>
      <c r="B16" s="40">
        <v>8.4600000000000009</v>
      </c>
      <c r="C16" s="40">
        <v>18.489999999999998</v>
      </c>
      <c r="D16" s="40">
        <v>17.5</v>
      </c>
      <c r="E16" s="40">
        <v>8.6300000000000008</v>
      </c>
      <c r="F16" s="40">
        <v>4.74</v>
      </c>
      <c r="G16" s="40">
        <v>30.46</v>
      </c>
      <c r="H16" s="40">
        <v>19.239999999999998</v>
      </c>
      <c r="I16" s="40">
        <v>6.85</v>
      </c>
      <c r="J16" s="40">
        <v>0.67</v>
      </c>
      <c r="K16" s="40">
        <v>258.7</v>
      </c>
      <c r="L16" s="40">
        <v>28</v>
      </c>
      <c r="M16" s="40">
        <v>71.59</v>
      </c>
      <c r="N16" s="40">
        <v>99</v>
      </c>
      <c r="O16" s="40">
        <v>0</v>
      </c>
      <c r="P16" s="40">
        <v>0.67</v>
      </c>
      <c r="Q16" s="40">
        <v>28.16</v>
      </c>
      <c r="R16" s="38"/>
      <c r="S16" s="38"/>
      <c r="T16" s="38"/>
      <c r="U16" s="38"/>
    </row>
    <row r="17" spans="1:21" customFormat="1">
      <c r="A17" s="39" t="s">
        <v>164</v>
      </c>
      <c r="B17" s="40">
        <v>6.49</v>
      </c>
      <c r="C17" s="40">
        <v>18.68</v>
      </c>
      <c r="D17" s="40">
        <v>16.32</v>
      </c>
      <c r="E17" s="40">
        <v>8.7200000000000006</v>
      </c>
      <c r="F17" s="40">
        <v>5.51</v>
      </c>
      <c r="G17" s="40">
        <v>33.33</v>
      </c>
      <c r="H17" s="40">
        <v>18.7</v>
      </c>
      <c r="I17" s="40">
        <v>6.87</v>
      </c>
      <c r="J17" s="40">
        <v>0.83</v>
      </c>
      <c r="K17" s="40">
        <v>253.26</v>
      </c>
      <c r="L17" s="40">
        <v>31.72</v>
      </c>
      <c r="M17" s="40">
        <v>56.76</v>
      </c>
      <c r="N17" s="40">
        <v>320.10000000000002</v>
      </c>
      <c r="O17" s="40">
        <v>0</v>
      </c>
      <c r="P17" s="40">
        <v>0.66</v>
      </c>
      <c r="Q17" s="40">
        <v>28.11</v>
      </c>
      <c r="R17" s="38"/>
      <c r="S17" s="38"/>
      <c r="T17" s="38"/>
      <c r="U17" s="38"/>
    </row>
    <row r="18" spans="1:21" customFormat="1">
      <c r="A18" s="39" t="s">
        <v>165</v>
      </c>
      <c r="B18" s="40">
        <v>4.5999999999999996</v>
      </c>
      <c r="C18" s="40">
        <v>18.34</v>
      </c>
      <c r="D18" s="40">
        <v>14.62</v>
      </c>
      <c r="E18" s="40">
        <v>8.35</v>
      </c>
      <c r="F18" s="40">
        <v>6.8</v>
      </c>
      <c r="G18" s="40">
        <v>34.46</v>
      </c>
      <c r="H18" s="40">
        <v>18.7</v>
      </c>
      <c r="I18" s="40">
        <v>6.76</v>
      </c>
      <c r="J18" s="40">
        <v>1.08</v>
      </c>
      <c r="K18" s="40">
        <v>270.97000000000003</v>
      </c>
      <c r="L18" s="40">
        <v>34.409999999999997</v>
      </c>
      <c r="M18" s="40">
        <v>46.1</v>
      </c>
      <c r="N18" s="40">
        <v>619.29999999999995</v>
      </c>
      <c r="O18" s="40">
        <v>0</v>
      </c>
      <c r="P18" s="40">
        <v>0.62</v>
      </c>
      <c r="Q18" s="40">
        <v>28.1</v>
      </c>
      <c r="R18" s="38"/>
      <c r="S18" s="38"/>
      <c r="T18" s="38"/>
      <c r="U18" s="38"/>
    </row>
    <row r="19" spans="1:21" customFormat="1">
      <c r="A19" s="39" t="s">
        <v>166</v>
      </c>
      <c r="B19" s="40">
        <v>4.1900000000000004</v>
      </c>
      <c r="C19" s="40">
        <v>18.329999999999998</v>
      </c>
      <c r="D19" s="40">
        <v>14.2</v>
      </c>
      <c r="E19" s="40">
        <v>8.1300000000000008</v>
      </c>
      <c r="F19" s="40">
        <v>10.86</v>
      </c>
      <c r="G19" s="40">
        <v>34.21</v>
      </c>
      <c r="H19" s="40">
        <v>17.88</v>
      </c>
      <c r="I19" s="40">
        <v>6.51</v>
      </c>
      <c r="J19" s="40">
        <v>1.1000000000000001</v>
      </c>
      <c r="K19" s="40">
        <v>292.74</v>
      </c>
      <c r="L19" s="40">
        <v>36.04</v>
      </c>
      <c r="M19" s="40">
        <v>38.06</v>
      </c>
      <c r="N19" s="40">
        <v>749.6</v>
      </c>
      <c r="O19" s="40">
        <v>0</v>
      </c>
      <c r="P19" s="40">
        <v>0.6</v>
      </c>
      <c r="Q19" s="40">
        <v>28.07</v>
      </c>
      <c r="R19" s="38"/>
      <c r="S19" s="38"/>
      <c r="T19" s="38"/>
      <c r="U19" s="38"/>
    </row>
    <row r="20" spans="1:21" customFormat="1">
      <c r="A20" s="39" t="s">
        <v>167</v>
      </c>
      <c r="B20" s="40">
        <v>4.4800000000000004</v>
      </c>
      <c r="C20" s="40">
        <v>18.86</v>
      </c>
      <c r="D20" s="40">
        <v>14.63</v>
      </c>
      <c r="E20" s="40">
        <v>8.7899999999999991</v>
      </c>
      <c r="F20" s="40">
        <v>13.49</v>
      </c>
      <c r="G20" s="40">
        <v>33.35</v>
      </c>
      <c r="H20" s="40">
        <v>14.78</v>
      </c>
      <c r="I20" s="40">
        <v>6.12</v>
      </c>
      <c r="J20" s="40">
        <v>0.94</v>
      </c>
      <c r="K20" s="40">
        <v>280.01</v>
      </c>
      <c r="L20" s="40">
        <v>37.86</v>
      </c>
      <c r="M20" s="40">
        <v>30.39</v>
      </c>
      <c r="N20" s="40">
        <v>815.5</v>
      </c>
      <c r="O20" s="40">
        <v>0</v>
      </c>
      <c r="P20" s="40">
        <v>0.62</v>
      </c>
      <c r="Q20" s="40">
        <v>28.09</v>
      </c>
      <c r="R20" s="38"/>
      <c r="S20" s="38"/>
      <c r="T20" s="38"/>
      <c r="U20" s="38"/>
    </row>
    <row r="21" spans="1:21" customFormat="1">
      <c r="A21" s="39" t="s">
        <v>168</v>
      </c>
      <c r="B21" s="40">
        <v>4.71</v>
      </c>
      <c r="C21" s="40">
        <v>16.11</v>
      </c>
      <c r="D21" s="40">
        <v>13.54</v>
      </c>
      <c r="E21" s="40">
        <v>8.74</v>
      </c>
      <c r="F21" s="40">
        <v>10.95</v>
      </c>
      <c r="G21" s="40">
        <v>32.83</v>
      </c>
      <c r="H21" s="40">
        <v>14.31</v>
      </c>
      <c r="I21" s="40">
        <v>6.05</v>
      </c>
      <c r="J21" s="40">
        <v>0.99</v>
      </c>
      <c r="K21" s="40">
        <v>301.58999999999997</v>
      </c>
      <c r="L21" s="40">
        <v>39.26</v>
      </c>
      <c r="M21" s="40">
        <v>21.34</v>
      </c>
      <c r="N21" s="40">
        <v>844.6</v>
      </c>
      <c r="O21" s="40">
        <v>0</v>
      </c>
      <c r="P21" s="40">
        <v>0.62</v>
      </c>
      <c r="Q21" s="40">
        <v>28.07</v>
      </c>
      <c r="R21" s="38"/>
      <c r="S21" s="38"/>
      <c r="T21" s="38"/>
      <c r="U21" s="38"/>
    </row>
    <row r="22" spans="1:21" customFormat="1">
      <c r="A22" s="39" t="s">
        <v>169</v>
      </c>
      <c r="B22" s="40">
        <v>4.57</v>
      </c>
      <c r="C22" s="40">
        <v>15.31</v>
      </c>
      <c r="D22" s="40">
        <v>13.01</v>
      </c>
      <c r="E22" s="40">
        <v>9.19</v>
      </c>
      <c r="F22" s="40">
        <v>10.79</v>
      </c>
      <c r="G22" s="40">
        <v>32.369999999999997</v>
      </c>
      <c r="H22" s="40">
        <v>12.49</v>
      </c>
      <c r="I22" s="40">
        <v>6.19</v>
      </c>
      <c r="J22" s="40">
        <v>0.8</v>
      </c>
      <c r="K22" s="40">
        <v>299.67</v>
      </c>
      <c r="L22" s="40">
        <v>40.479999999999997</v>
      </c>
      <c r="M22" s="40">
        <v>16.39</v>
      </c>
      <c r="N22" s="40">
        <v>780.1</v>
      </c>
      <c r="O22" s="40">
        <v>0</v>
      </c>
      <c r="P22" s="40">
        <v>0.62</v>
      </c>
      <c r="Q22" s="40">
        <v>28.07</v>
      </c>
      <c r="R22" s="38"/>
      <c r="S22" s="38"/>
      <c r="T22" s="38"/>
      <c r="U22" s="38"/>
    </row>
    <row r="23" spans="1:21" customFormat="1">
      <c r="A23" s="39" t="s">
        <v>170</v>
      </c>
      <c r="B23" s="40">
        <v>4.41</v>
      </c>
      <c r="C23" s="40">
        <v>14.95</v>
      </c>
      <c r="D23" s="40">
        <v>12.67</v>
      </c>
      <c r="E23" s="40">
        <v>9.1199999999999992</v>
      </c>
      <c r="F23" s="40">
        <v>13.2</v>
      </c>
      <c r="G23" s="40">
        <v>33.56</v>
      </c>
      <c r="H23" s="40">
        <v>12.69</v>
      </c>
      <c r="I23" s="40">
        <v>6.26</v>
      </c>
      <c r="J23" s="40">
        <v>0.75</v>
      </c>
      <c r="K23" s="40">
        <v>357.82</v>
      </c>
      <c r="L23" s="40">
        <v>40.130000000000003</v>
      </c>
      <c r="M23" s="40">
        <v>11.44</v>
      </c>
      <c r="N23" s="40">
        <v>697.2</v>
      </c>
      <c r="O23" s="40">
        <v>0</v>
      </c>
      <c r="P23" s="40">
        <v>0.6</v>
      </c>
      <c r="Q23" s="40">
        <v>28.06</v>
      </c>
      <c r="R23" s="38"/>
      <c r="S23" s="38"/>
      <c r="T23" s="38"/>
      <c r="U23" s="38"/>
    </row>
    <row r="24" spans="1:21" customFormat="1">
      <c r="A24" s="39" t="s">
        <v>171</v>
      </c>
      <c r="B24" s="40">
        <v>4.59</v>
      </c>
      <c r="C24" s="40">
        <v>15.82</v>
      </c>
      <c r="D24" s="40">
        <v>13.3</v>
      </c>
      <c r="E24" s="40">
        <v>8.25</v>
      </c>
      <c r="F24" s="40">
        <v>16.25</v>
      </c>
      <c r="G24" s="40">
        <v>36.729999999999997</v>
      </c>
      <c r="H24" s="40">
        <v>16.79</v>
      </c>
      <c r="I24" s="40">
        <v>6.07</v>
      </c>
      <c r="J24" s="40">
        <v>0.67</v>
      </c>
      <c r="K24" s="40">
        <v>315.24</v>
      </c>
      <c r="L24" s="40">
        <v>39.770000000000003</v>
      </c>
      <c r="M24" s="40">
        <v>11.01</v>
      </c>
      <c r="N24" s="40">
        <v>561</v>
      </c>
      <c r="O24" s="40">
        <v>0</v>
      </c>
      <c r="P24" s="40">
        <v>0.57999999999999996</v>
      </c>
      <c r="Q24" s="40">
        <v>28.06</v>
      </c>
      <c r="R24" s="38"/>
      <c r="S24" s="38"/>
      <c r="T24" s="38"/>
      <c r="U24" s="38"/>
    </row>
    <row r="25" spans="1:21" customFormat="1">
      <c r="A25" s="39" t="s">
        <v>172</v>
      </c>
      <c r="B25" s="40">
        <v>4.01</v>
      </c>
      <c r="C25" s="40">
        <v>13.51</v>
      </c>
      <c r="D25" s="40">
        <v>11.63</v>
      </c>
      <c r="E25" s="40">
        <v>8.19</v>
      </c>
      <c r="F25" s="40">
        <v>17.18</v>
      </c>
      <c r="G25" s="40">
        <v>33.93</v>
      </c>
      <c r="H25" s="40">
        <v>14.7</v>
      </c>
      <c r="I25" s="40">
        <v>5.83</v>
      </c>
      <c r="J25" s="40">
        <v>0.59</v>
      </c>
      <c r="K25" s="40">
        <v>252.66</v>
      </c>
      <c r="L25" s="40">
        <v>39.53</v>
      </c>
      <c r="M25" s="40">
        <v>14.37</v>
      </c>
      <c r="N25" s="40">
        <v>259.7</v>
      </c>
      <c r="O25" s="40">
        <v>0</v>
      </c>
      <c r="P25" s="40">
        <v>0.5</v>
      </c>
      <c r="Q25" s="40">
        <v>28.07</v>
      </c>
      <c r="R25" s="38"/>
      <c r="S25" s="38"/>
      <c r="T25" s="38"/>
      <c r="U25" s="38"/>
    </row>
    <row r="26" spans="1:21" customFormat="1">
      <c r="A26" s="39" t="s">
        <v>173</v>
      </c>
      <c r="B26" s="40">
        <v>3.7</v>
      </c>
      <c r="C26" s="40">
        <v>12.73</v>
      </c>
      <c r="D26" s="40">
        <v>10.97</v>
      </c>
      <c r="E26" s="40">
        <v>9.51</v>
      </c>
      <c r="F26" s="40">
        <v>20.65</v>
      </c>
      <c r="G26" s="40">
        <v>34.909999999999997</v>
      </c>
      <c r="H26" s="40">
        <v>13.15</v>
      </c>
      <c r="I26" s="40">
        <v>5.24</v>
      </c>
      <c r="J26" s="40">
        <v>0.5</v>
      </c>
      <c r="K26" s="40">
        <v>244.86</v>
      </c>
      <c r="L26" s="40">
        <v>37.35</v>
      </c>
      <c r="M26" s="40">
        <v>18.079999999999998</v>
      </c>
      <c r="N26" s="40">
        <v>97.6</v>
      </c>
      <c r="O26" s="40">
        <v>0</v>
      </c>
      <c r="P26" s="40">
        <v>0.53</v>
      </c>
      <c r="Q26" s="40">
        <v>28.06</v>
      </c>
      <c r="R26" s="38"/>
      <c r="S26" s="38"/>
      <c r="T26" s="38"/>
      <c r="U26" s="38"/>
    </row>
    <row r="27" spans="1:21" customFormat="1">
      <c r="A27" s="39" t="s">
        <v>174</v>
      </c>
      <c r="B27" s="40">
        <v>3.81</v>
      </c>
      <c r="C27" s="40">
        <v>14.4</v>
      </c>
      <c r="D27" s="40">
        <v>11.93</v>
      </c>
      <c r="E27" s="40">
        <v>9.9</v>
      </c>
      <c r="F27" s="40">
        <v>20.91</v>
      </c>
      <c r="G27" s="40">
        <v>38.56</v>
      </c>
      <c r="H27" s="40">
        <v>14.35</v>
      </c>
      <c r="I27" s="40">
        <v>8.36</v>
      </c>
      <c r="J27" s="40">
        <v>0.18</v>
      </c>
      <c r="K27" s="40">
        <v>196.09</v>
      </c>
      <c r="L27" s="40">
        <v>34.67</v>
      </c>
      <c r="M27" s="40">
        <v>24.31</v>
      </c>
      <c r="N27" s="40">
        <v>12.8</v>
      </c>
      <c r="O27" s="40">
        <v>0</v>
      </c>
      <c r="P27" s="40">
        <v>0.67</v>
      </c>
      <c r="Q27" s="40">
        <v>28.06</v>
      </c>
      <c r="R27" s="38"/>
      <c r="S27" s="38"/>
      <c r="T27" s="38"/>
      <c r="U27" s="38"/>
    </row>
    <row r="28" spans="1:21" customFormat="1">
      <c r="A28" s="39" t="s">
        <v>175</v>
      </c>
      <c r="B28" s="40">
        <v>4.1100000000000003</v>
      </c>
      <c r="C28" s="40">
        <v>15.94</v>
      </c>
      <c r="D28" s="40">
        <v>12.98</v>
      </c>
      <c r="E28" s="40">
        <v>9.3000000000000007</v>
      </c>
      <c r="F28" s="40">
        <v>6</v>
      </c>
      <c r="G28" s="40">
        <v>60.56</v>
      </c>
      <c r="H28" s="40">
        <v>11.18</v>
      </c>
      <c r="I28" s="40">
        <v>9.7899999999999991</v>
      </c>
      <c r="J28" s="40">
        <v>0.21</v>
      </c>
      <c r="K28" s="40">
        <v>183.82</v>
      </c>
      <c r="L28" s="40">
        <v>32.4</v>
      </c>
      <c r="M28" s="40">
        <v>30.25</v>
      </c>
      <c r="N28" s="40">
        <v>6.3</v>
      </c>
      <c r="O28" s="40">
        <v>0</v>
      </c>
      <c r="P28" s="40">
        <v>0.75</v>
      </c>
      <c r="Q28" s="40">
        <v>28.06</v>
      </c>
      <c r="R28" s="38"/>
      <c r="S28" s="38"/>
      <c r="T28" s="38"/>
      <c r="U28" s="38"/>
    </row>
    <row r="29" spans="1:21" customFormat="1">
      <c r="A29" s="39" t="s">
        <v>176</v>
      </c>
      <c r="B29" s="40">
        <v>4.33</v>
      </c>
      <c r="C29" s="40">
        <v>17.100000000000001</v>
      </c>
      <c r="D29" s="40">
        <v>13.76</v>
      </c>
      <c r="E29" s="40">
        <v>9.0399999999999991</v>
      </c>
      <c r="F29" s="40">
        <v>5.09</v>
      </c>
      <c r="G29" s="40">
        <v>72.349999999999994</v>
      </c>
      <c r="H29" s="40">
        <v>9.2899999999999991</v>
      </c>
      <c r="I29" s="40">
        <v>9.41</v>
      </c>
      <c r="J29" s="40">
        <v>0.22</v>
      </c>
      <c r="K29" s="40">
        <v>228.97</v>
      </c>
      <c r="L29" s="40">
        <v>30.25</v>
      </c>
      <c r="M29" s="40">
        <v>31.88</v>
      </c>
      <c r="N29" s="40">
        <v>5.9</v>
      </c>
      <c r="O29" s="40">
        <v>0</v>
      </c>
      <c r="P29" s="40">
        <v>0.82</v>
      </c>
      <c r="Q29" s="40">
        <v>28.07</v>
      </c>
      <c r="R29" s="38"/>
      <c r="S29" s="38"/>
      <c r="T29" s="38"/>
      <c r="U29" s="38"/>
    </row>
    <row r="30" spans="1:21" customFormat="1">
      <c r="A30" s="39" t="s">
        <v>177</v>
      </c>
      <c r="B30" s="40">
        <v>5.31</v>
      </c>
      <c r="C30" s="40">
        <v>17.82</v>
      </c>
      <c r="D30" s="40">
        <v>14.92</v>
      </c>
      <c r="E30" s="40">
        <v>8.59</v>
      </c>
      <c r="F30" s="40">
        <v>4.5599999999999996</v>
      </c>
      <c r="G30" s="40">
        <v>73.52</v>
      </c>
      <c r="H30" s="40">
        <v>6.58</v>
      </c>
      <c r="I30" s="40">
        <v>10.08</v>
      </c>
      <c r="J30" s="40">
        <v>0.18</v>
      </c>
      <c r="K30" s="40">
        <v>180.81</v>
      </c>
      <c r="L30" s="40">
        <v>29.12</v>
      </c>
      <c r="M30" s="40">
        <v>35.93</v>
      </c>
      <c r="N30" s="40">
        <v>6</v>
      </c>
      <c r="O30" s="40">
        <v>0</v>
      </c>
      <c r="P30" s="40">
        <v>0.83</v>
      </c>
      <c r="Q30" s="40">
        <v>28.1</v>
      </c>
      <c r="R30" s="38"/>
      <c r="S30" s="38"/>
      <c r="T30" s="38"/>
      <c r="U30" s="38"/>
    </row>
    <row r="31" spans="1:21" customFormat="1">
      <c r="A31" s="39" t="s">
        <v>178</v>
      </c>
      <c r="B31" s="40">
        <v>6.21</v>
      </c>
      <c r="C31" s="40">
        <v>19.68</v>
      </c>
      <c r="D31" s="40">
        <v>16.61</v>
      </c>
      <c r="E31" s="40">
        <v>8.65</v>
      </c>
      <c r="F31" s="40">
        <v>4.3600000000000003</v>
      </c>
      <c r="G31" s="40">
        <v>76.349999999999994</v>
      </c>
      <c r="H31" s="40">
        <v>5.19</v>
      </c>
      <c r="I31" s="40">
        <v>10.53</v>
      </c>
      <c r="J31" s="40">
        <v>0.16</v>
      </c>
      <c r="K31" s="40">
        <v>168.76</v>
      </c>
      <c r="L31" s="40">
        <v>28.13</v>
      </c>
      <c r="M31" s="40">
        <v>37.39</v>
      </c>
      <c r="N31" s="40">
        <v>5.9</v>
      </c>
      <c r="O31" s="40">
        <v>0</v>
      </c>
      <c r="P31" s="40">
        <v>0.86</v>
      </c>
      <c r="Q31" s="40">
        <v>28.13</v>
      </c>
      <c r="R31" s="38"/>
      <c r="S31" s="38"/>
      <c r="T31" s="38"/>
      <c r="U31" s="38"/>
    </row>
    <row r="32" spans="1:21" customFormat="1">
      <c r="A32" s="39" t="s">
        <v>179</v>
      </c>
      <c r="B32" s="40">
        <v>6.93</v>
      </c>
      <c r="C32" s="40">
        <v>19.79</v>
      </c>
      <c r="D32" s="40">
        <v>17.11</v>
      </c>
      <c r="E32" s="40">
        <v>8.77</v>
      </c>
      <c r="F32" s="40">
        <v>4.49</v>
      </c>
      <c r="G32" s="40">
        <v>69.650000000000006</v>
      </c>
      <c r="H32" s="40">
        <v>3.69</v>
      </c>
      <c r="I32" s="40">
        <v>11.37</v>
      </c>
      <c r="J32" s="40">
        <v>0.2</v>
      </c>
      <c r="K32" s="40">
        <v>181.36</v>
      </c>
      <c r="L32" s="40">
        <v>27.67</v>
      </c>
      <c r="M32" s="40">
        <v>38.06</v>
      </c>
      <c r="N32" s="40">
        <v>6</v>
      </c>
      <c r="O32" s="40">
        <v>0</v>
      </c>
      <c r="P32" s="40">
        <v>0.87</v>
      </c>
      <c r="Q32" s="40">
        <v>28.15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</v>
      </c>
      <c r="C34" s="18">
        <f t="shared" si="0"/>
        <v>12.73</v>
      </c>
      <c r="D34" s="18">
        <f t="shared" si="0"/>
        <v>10.97</v>
      </c>
      <c r="E34" s="18">
        <f t="shared" si="0"/>
        <v>8.1300000000000008</v>
      </c>
      <c r="F34" s="18">
        <f t="shared" si="0"/>
        <v>4.33</v>
      </c>
      <c r="G34" s="18">
        <f t="shared" si="0"/>
        <v>30.46</v>
      </c>
      <c r="H34" s="18">
        <f t="shared" si="0"/>
        <v>3.69</v>
      </c>
      <c r="I34" s="18">
        <f t="shared" si="0"/>
        <v>5.24</v>
      </c>
      <c r="J34" s="18">
        <f t="shared" si="0"/>
        <v>0.1</v>
      </c>
      <c r="K34" s="18">
        <f t="shared" si="0"/>
        <v>158.25</v>
      </c>
      <c r="L34" s="18">
        <f t="shared" si="0"/>
        <v>23.77</v>
      </c>
      <c r="M34" s="18">
        <f t="shared" si="0"/>
        <v>11.01</v>
      </c>
      <c r="N34" s="18">
        <f t="shared" si="0"/>
        <v>5.9</v>
      </c>
      <c r="O34" s="18">
        <f t="shared" si="0"/>
        <v>0</v>
      </c>
      <c r="P34" s="18">
        <f t="shared" si="0"/>
        <v>0.5</v>
      </c>
      <c r="Q34" s="18">
        <f t="shared" si="0"/>
        <v>28.06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9.56</v>
      </c>
      <c r="C35" s="3">
        <f t="shared" si="1"/>
        <v>19.79</v>
      </c>
      <c r="D35" s="3">
        <f t="shared" si="1"/>
        <v>18.170000000000002</v>
      </c>
      <c r="E35" s="3">
        <f t="shared" si="1"/>
        <v>9.9</v>
      </c>
      <c r="F35" s="3">
        <f t="shared" si="1"/>
        <v>20.91</v>
      </c>
      <c r="G35" s="3">
        <f t="shared" si="1"/>
        <v>76.349999999999994</v>
      </c>
      <c r="H35" s="3">
        <f t="shared" si="1"/>
        <v>20.39</v>
      </c>
      <c r="I35" s="3">
        <f t="shared" si="1"/>
        <v>11.37</v>
      </c>
      <c r="J35" s="3">
        <f t="shared" si="1"/>
        <v>1.1000000000000001</v>
      </c>
      <c r="K35" s="3">
        <f t="shared" si="1"/>
        <v>357.82</v>
      </c>
      <c r="L35" s="3">
        <f t="shared" si="1"/>
        <v>40.479999999999997</v>
      </c>
      <c r="M35" s="3">
        <f t="shared" si="1"/>
        <v>79.66</v>
      </c>
      <c r="N35" s="3">
        <f t="shared" si="1"/>
        <v>844.6</v>
      </c>
      <c r="O35" s="3">
        <f t="shared" si="1"/>
        <v>0</v>
      </c>
      <c r="P35" s="3">
        <f t="shared" si="1"/>
        <v>0.87</v>
      </c>
      <c r="Q35" s="3">
        <f t="shared" si="1"/>
        <v>28.2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5.6725000000000003</v>
      </c>
      <c r="C36" s="18">
        <f t="shared" si="2"/>
        <v>16.97291666666667</v>
      </c>
      <c r="D36" s="18">
        <f t="shared" si="2"/>
        <v>14.656250000000002</v>
      </c>
      <c r="E36" s="18">
        <f t="shared" si="2"/>
        <v>8.8937499999999989</v>
      </c>
      <c r="F36" s="18">
        <f t="shared" si="2"/>
        <v>8.6833333333333353</v>
      </c>
      <c r="G36" s="18">
        <f t="shared" si="2"/>
        <v>41.373749999999994</v>
      </c>
      <c r="H36" s="18">
        <f t="shared" si="2"/>
        <v>14.433749999999998</v>
      </c>
      <c r="I36" s="18">
        <f t="shared" si="2"/>
        <v>7.2783333333333351</v>
      </c>
      <c r="J36" s="18">
        <f t="shared" si="2"/>
        <v>0.47375000000000006</v>
      </c>
      <c r="K36" s="18">
        <f t="shared" si="2"/>
        <v>239.76208333333338</v>
      </c>
      <c r="L36" s="18">
        <f t="shared" si="2"/>
        <v>31.750416666666666</v>
      </c>
      <c r="M36" s="18">
        <f t="shared" si="2"/>
        <v>43.625416666666666</v>
      </c>
      <c r="N36" s="18">
        <f t="shared" si="2"/>
        <v>249.44583333333333</v>
      </c>
      <c r="O36" s="18">
        <f t="shared" si="2"/>
        <v>0</v>
      </c>
      <c r="P36" s="18">
        <f t="shared" si="2"/>
        <v>0.66416666666666657</v>
      </c>
      <c r="Q36" s="18">
        <f t="shared" si="2"/>
        <v>28.103749999999994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1.8479230409347085</v>
      </c>
      <c r="C37" s="18">
        <f t="shared" ref="C37:Q37" si="3">STDEV(C9:C32)</f>
        <v>1.8290018165456592</v>
      </c>
      <c r="D37" s="18">
        <f t="shared" si="3"/>
        <v>2.0420211907514956</v>
      </c>
      <c r="E37" s="18">
        <f t="shared" si="3"/>
        <v>0.45987533755025006</v>
      </c>
      <c r="F37" s="18">
        <f t="shared" si="3"/>
        <v>5.5045480536881763</v>
      </c>
      <c r="G37" s="18">
        <f t="shared" si="3"/>
        <v>15.59092819070842</v>
      </c>
      <c r="H37" s="18">
        <f t="shared" si="3"/>
        <v>4.5059977542015721</v>
      </c>
      <c r="I37" s="18">
        <f t="shared" si="3"/>
        <v>1.670937426733256</v>
      </c>
      <c r="J37" s="18">
        <f t="shared" si="3"/>
        <v>0.34605619674317034</v>
      </c>
      <c r="K37" s="18">
        <f t="shared" si="3"/>
        <v>51.721098123717155</v>
      </c>
      <c r="L37" s="18">
        <f t="shared" si="3"/>
        <v>5.9220872342566127</v>
      </c>
      <c r="M37" s="18">
        <f t="shared" si="3"/>
        <v>23.961099811291358</v>
      </c>
      <c r="N37" s="18">
        <f t="shared" si="3"/>
        <v>325.24155435235548</v>
      </c>
      <c r="O37" s="18">
        <f t="shared" si="3"/>
        <v>0</v>
      </c>
      <c r="P37" s="18">
        <f t="shared" si="3"/>
        <v>9.5867511233707889E-2</v>
      </c>
      <c r="Q37" s="18">
        <f t="shared" si="3"/>
        <v>4.4115707544750367E-2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06/04/2025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180</v>
      </c>
      <c r="B9" s="40">
        <v>7.48</v>
      </c>
      <c r="C9" s="40">
        <v>21.18</v>
      </c>
      <c r="D9" s="40">
        <v>18.04</v>
      </c>
      <c r="E9" s="40">
        <v>8.94</v>
      </c>
      <c r="F9" s="41">
        <v>2.2999999999999998</v>
      </c>
      <c r="G9" s="40">
        <v>66.69</v>
      </c>
      <c r="H9" s="40">
        <v>2.58</v>
      </c>
      <c r="I9" s="40">
        <v>11.67</v>
      </c>
      <c r="J9" s="40">
        <v>0.19</v>
      </c>
      <c r="K9" s="40">
        <v>194.22</v>
      </c>
      <c r="L9" s="40">
        <v>27.06</v>
      </c>
      <c r="M9" s="40">
        <v>39.07</v>
      </c>
      <c r="N9" s="40">
        <v>6.1</v>
      </c>
      <c r="O9" s="40">
        <v>0</v>
      </c>
      <c r="P9" s="40">
        <v>0.88</v>
      </c>
      <c r="Q9" s="40">
        <v>28.14</v>
      </c>
      <c r="R9" s="38"/>
      <c r="S9" s="38"/>
      <c r="T9" s="38"/>
      <c r="U9" s="38"/>
    </row>
    <row r="10" spans="1:21" customFormat="1">
      <c r="A10" s="39" t="s">
        <v>181</v>
      </c>
      <c r="B10" s="40">
        <v>7.86</v>
      </c>
      <c r="C10" s="40">
        <v>18.78</v>
      </c>
      <c r="D10" s="40">
        <v>17.23</v>
      </c>
      <c r="E10" s="40">
        <v>8.9700000000000006</v>
      </c>
      <c r="F10" s="41">
        <v>2.2999999999999998</v>
      </c>
      <c r="G10" s="40">
        <v>61.36</v>
      </c>
      <c r="H10" s="40">
        <v>2.61</v>
      </c>
      <c r="I10" s="40">
        <v>11.71</v>
      </c>
      <c r="J10" s="40">
        <v>0.18</v>
      </c>
      <c r="K10" s="40">
        <v>197.28</v>
      </c>
      <c r="L10" s="40">
        <v>26.31</v>
      </c>
      <c r="M10" s="40">
        <v>41.8</v>
      </c>
      <c r="N10" s="40">
        <v>6.1</v>
      </c>
      <c r="O10" s="40">
        <v>0</v>
      </c>
      <c r="P10" s="40">
        <v>0.89</v>
      </c>
      <c r="Q10" s="40">
        <v>28.15</v>
      </c>
      <c r="R10" s="38"/>
      <c r="S10" s="38"/>
      <c r="T10" s="38"/>
      <c r="U10" s="38"/>
    </row>
    <row r="11" spans="1:21" customFormat="1">
      <c r="A11" s="39" t="s">
        <v>182</v>
      </c>
      <c r="B11" s="40">
        <v>7.22</v>
      </c>
      <c r="C11" s="40">
        <v>17.850000000000001</v>
      </c>
      <c r="D11" s="40">
        <v>16.309999999999999</v>
      </c>
      <c r="E11" s="40">
        <v>8.5399999999999991</v>
      </c>
      <c r="F11" s="41">
        <v>2.2400000000000002</v>
      </c>
      <c r="G11" s="40">
        <v>53.15</v>
      </c>
      <c r="H11" s="40">
        <v>2.4700000000000002</v>
      </c>
      <c r="I11" s="40">
        <v>12.42</v>
      </c>
      <c r="J11" s="40">
        <v>0.16</v>
      </c>
      <c r="K11" s="40">
        <v>184.42</v>
      </c>
      <c r="L11" s="40">
        <v>25.56</v>
      </c>
      <c r="M11" s="40">
        <v>43.54</v>
      </c>
      <c r="N11" s="40">
        <v>6</v>
      </c>
      <c r="O11" s="40">
        <v>0</v>
      </c>
      <c r="P11" s="40">
        <v>0.89</v>
      </c>
      <c r="Q11" s="40">
        <v>28.13</v>
      </c>
      <c r="R11" s="38"/>
      <c r="S11" s="38"/>
      <c r="T11" s="38"/>
      <c r="U11" s="38"/>
    </row>
    <row r="12" spans="1:21" customFormat="1">
      <c r="A12" s="39" t="s">
        <v>183</v>
      </c>
      <c r="B12" s="40">
        <v>6.28</v>
      </c>
      <c r="C12" s="40">
        <v>17.88</v>
      </c>
      <c r="D12" s="40">
        <v>15.72</v>
      </c>
      <c r="E12" s="40">
        <v>8.3800000000000008</v>
      </c>
      <c r="F12" s="41">
        <v>2.48</v>
      </c>
      <c r="G12" s="40">
        <v>53.45</v>
      </c>
      <c r="H12" s="40">
        <v>2.76</v>
      </c>
      <c r="I12" s="40">
        <v>12.37</v>
      </c>
      <c r="J12" s="40">
        <v>0.12</v>
      </c>
      <c r="K12" s="40">
        <v>179.07</v>
      </c>
      <c r="L12" s="40">
        <v>25.19</v>
      </c>
      <c r="M12" s="40">
        <v>44.98</v>
      </c>
      <c r="N12" s="40">
        <v>5.9</v>
      </c>
      <c r="O12" s="40">
        <v>0</v>
      </c>
      <c r="P12" s="40">
        <v>0.87</v>
      </c>
      <c r="Q12" s="40">
        <v>28.12</v>
      </c>
      <c r="R12" s="38"/>
      <c r="S12" s="38"/>
      <c r="T12" s="38"/>
      <c r="U12" s="38"/>
    </row>
    <row r="13" spans="1:21" customFormat="1">
      <c r="A13" s="39" t="s">
        <v>184</v>
      </c>
      <c r="B13" s="40">
        <v>5.52</v>
      </c>
      <c r="C13" s="40">
        <v>17.73</v>
      </c>
      <c r="D13" s="40">
        <v>15.04</v>
      </c>
      <c r="E13" s="40">
        <v>8.07</v>
      </c>
      <c r="F13" s="41">
        <v>2.71</v>
      </c>
      <c r="G13" s="40">
        <v>46.68</v>
      </c>
      <c r="H13" s="40">
        <v>2.2400000000000002</v>
      </c>
      <c r="I13" s="40">
        <v>11.77</v>
      </c>
      <c r="J13" s="40">
        <v>0.13</v>
      </c>
      <c r="K13" s="40">
        <v>227.58</v>
      </c>
      <c r="L13" s="40">
        <v>24.98</v>
      </c>
      <c r="M13" s="40">
        <v>47.81</v>
      </c>
      <c r="N13" s="40">
        <v>6</v>
      </c>
      <c r="O13" s="40">
        <v>0</v>
      </c>
      <c r="P13" s="40">
        <v>0.84</v>
      </c>
      <c r="Q13" s="40">
        <v>28.1</v>
      </c>
      <c r="R13" s="38"/>
      <c r="S13" s="38"/>
      <c r="T13" s="38"/>
      <c r="U13" s="38"/>
    </row>
    <row r="14" spans="1:21" customFormat="1">
      <c r="A14" s="39" t="s">
        <v>185</v>
      </c>
      <c r="B14" s="40">
        <v>6.18</v>
      </c>
      <c r="C14" s="40">
        <v>18.62</v>
      </c>
      <c r="D14" s="40">
        <v>16.04</v>
      </c>
      <c r="E14" s="40">
        <v>7.84</v>
      </c>
      <c r="F14" s="41">
        <v>2.34</v>
      </c>
      <c r="G14" s="40">
        <v>46.15</v>
      </c>
      <c r="H14" s="40">
        <v>1.71</v>
      </c>
      <c r="I14" s="40">
        <v>10.96</v>
      </c>
      <c r="J14" s="40">
        <v>0.78</v>
      </c>
      <c r="K14" s="40">
        <v>138.85</v>
      </c>
      <c r="L14" s="40">
        <v>25.72</v>
      </c>
      <c r="M14" s="40">
        <v>47.91</v>
      </c>
      <c r="N14" s="40">
        <v>11.4</v>
      </c>
      <c r="O14" s="40">
        <v>0</v>
      </c>
      <c r="P14" s="40">
        <v>0.81</v>
      </c>
      <c r="Q14" s="40">
        <v>28.11</v>
      </c>
      <c r="R14" s="38"/>
      <c r="S14" s="38"/>
      <c r="T14" s="38"/>
      <c r="U14" s="38"/>
    </row>
    <row r="15" spans="1:21" customFormat="1">
      <c r="A15" s="39" t="s">
        <v>186</v>
      </c>
      <c r="B15" s="40">
        <v>9.07</v>
      </c>
      <c r="C15" s="40">
        <v>19.809999999999999</v>
      </c>
      <c r="D15" s="40">
        <v>18.64</v>
      </c>
      <c r="E15" s="40">
        <v>7.81</v>
      </c>
      <c r="F15" s="41">
        <v>2.4500000000000002</v>
      </c>
      <c r="G15" s="40">
        <v>47.85</v>
      </c>
      <c r="H15" s="40">
        <v>1.23</v>
      </c>
      <c r="I15" s="40">
        <v>10.220000000000001</v>
      </c>
      <c r="J15" s="40">
        <v>0.23</v>
      </c>
      <c r="K15" s="40">
        <v>332.16</v>
      </c>
      <c r="L15" s="40">
        <v>25.18</v>
      </c>
      <c r="M15" s="40">
        <v>50.57</v>
      </c>
      <c r="N15" s="40">
        <v>56.2</v>
      </c>
      <c r="O15" s="40">
        <v>0</v>
      </c>
      <c r="P15" s="40">
        <v>0.81</v>
      </c>
      <c r="Q15" s="40">
        <v>28.15</v>
      </c>
      <c r="R15" s="38"/>
      <c r="S15" s="38"/>
      <c r="T15" s="38"/>
      <c r="U15" s="38"/>
    </row>
    <row r="16" spans="1:21" customFormat="1">
      <c r="A16" s="39" t="s">
        <v>187</v>
      </c>
      <c r="B16" s="40">
        <v>10.01</v>
      </c>
      <c r="C16" s="40">
        <v>18.7</v>
      </c>
      <c r="D16" s="40">
        <v>19.13</v>
      </c>
      <c r="E16" s="40">
        <v>8.18</v>
      </c>
      <c r="F16" s="41">
        <v>2.4</v>
      </c>
      <c r="G16" s="40">
        <v>57.46</v>
      </c>
      <c r="H16" s="40">
        <v>2.16</v>
      </c>
      <c r="I16" s="40">
        <v>10.26</v>
      </c>
      <c r="J16" s="40">
        <v>0.35</v>
      </c>
      <c r="K16" s="40">
        <v>248.33</v>
      </c>
      <c r="L16" s="40">
        <v>28.95</v>
      </c>
      <c r="M16" s="40">
        <v>49.68</v>
      </c>
      <c r="N16" s="40">
        <v>149.5</v>
      </c>
      <c r="O16" s="40">
        <v>0</v>
      </c>
      <c r="P16" s="40">
        <v>0.84</v>
      </c>
      <c r="Q16" s="40">
        <v>28.2</v>
      </c>
      <c r="R16" s="38"/>
      <c r="S16" s="38"/>
      <c r="T16" s="38"/>
      <c r="U16" s="38"/>
    </row>
    <row r="17" spans="1:21" customFormat="1">
      <c r="A17" s="39" t="s">
        <v>188</v>
      </c>
      <c r="B17" s="40">
        <v>9.85</v>
      </c>
      <c r="C17" s="40">
        <v>19.579999999999998</v>
      </c>
      <c r="D17" s="40">
        <v>19.059999999999999</v>
      </c>
      <c r="E17" s="40">
        <v>9.27</v>
      </c>
      <c r="F17" s="41">
        <v>2.5299999999999998</v>
      </c>
      <c r="G17" s="40">
        <v>63.26</v>
      </c>
      <c r="H17" s="40">
        <v>2.33</v>
      </c>
      <c r="I17" s="40">
        <v>11.48</v>
      </c>
      <c r="J17" s="40">
        <v>1.0900000000000001</v>
      </c>
      <c r="K17" s="40">
        <v>272.89999999999998</v>
      </c>
      <c r="L17" s="40">
        <v>31.72</v>
      </c>
      <c r="M17" s="40">
        <v>38.32</v>
      </c>
      <c r="N17" s="40">
        <v>310.60000000000002</v>
      </c>
      <c r="O17" s="40">
        <v>0</v>
      </c>
      <c r="P17" s="40">
        <v>0.93</v>
      </c>
      <c r="Q17" s="40">
        <v>28.2</v>
      </c>
      <c r="R17" s="38"/>
      <c r="S17" s="38"/>
      <c r="T17" s="38"/>
      <c r="U17" s="38"/>
    </row>
    <row r="18" spans="1:21" customFormat="1">
      <c r="A18" s="39" t="s">
        <v>189</v>
      </c>
      <c r="B18" s="40">
        <v>7.67</v>
      </c>
      <c r="C18" s="40">
        <v>19.68</v>
      </c>
      <c r="D18" s="40">
        <v>17.71</v>
      </c>
      <c r="E18" s="40">
        <v>9.67</v>
      </c>
      <c r="F18" s="41">
        <v>2.68</v>
      </c>
      <c r="G18" s="40">
        <v>67.7</v>
      </c>
      <c r="H18" s="40">
        <v>2.87</v>
      </c>
      <c r="I18" s="40">
        <v>12.4</v>
      </c>
      <c r="J18" s="40">
        <v>0.94</v>
      </c>
      <c r="K18" s="40">
        <v>272.95999999999998</v>
      </c>
      <c r="L18" s="40">
        <v>34.11</v>
      </c>
      <c r="M18" s="40">
        <v>37.15</v>
      </c>
      <c r="N18" s="40">
        <v>624.1</v>
      </c>
      <c r="O18" s="40">
        <v>0</v>
      </c>
      <c r="P18" s="40">
        <v>0.94</v>
      </c>
      <c r="Q18" s="40">
        <v>28.15</v>
      </c>
      <c r="R18" s="38"/>
      <c r="S18" s="38"/>
      <c r="T18" s="38"/>
      <c r="U18" s="38"/>
    </row>
    <row r="19" spans="1:21" customFormat="1">
      <c r="A19" s="39" t="s">
        <v>190</v>
      </c>
      <c r="B19" s="40">
        <v>5.26</v>
      </c>
      <c r="C19" s="40">
        <v>19.440000000000001</v>
      </c>
      <c r="D19" s="40">
        <v>15.61</v>
      </c>
      <c r="E19" s="40">
        <v>14.55</v>
      </c>
      <c r="F19" s="41">
        <v>3.17</v>
      </c>
      <c r="G19" s="40">
        <v>61.84</v>
      </c>
      <c r="H19" s="40">
        <v>2.12</v>
      </c>
      <c r="I19" s="40">
        <v>12.57</v>
      </c>
      <c r="J19" s="40">
        <v>1.1200000000000001</v>
      </c>
      <c r="K19" s="40">
        <v>292.75</v>
      </c>
      <c r="L19" s="40">
        <v>36.89</v>
      </c>
      <c r="M19" s="40">
        <v>29.78</v>
      </c>
      <c r="N19" s="40">
        <v>751</v>
      </c>
      <c r="O19" s="40">
        <v>0</v>
      </c>
      <c r="P19" s="40">
        <v>1</v>
      </c>
      <c r="Q19" s="40">
        <v>28.12</v>
      </c>
      <c r="R19" s="38"/>
      <c r="S19" s="38"/>
      <c r="T19" s="38"/>
      <c r="U19" s="38"/>
    </row>
    <row r="20" spans="1:21" customFormat="1">
      <c r="A20" s="39" t="s">
        <v>191</v>
      </c>
      <c r="B20" s="40">
        <v>4.0199999999999996</v>
      </c>
      <c r="C20" s="40">
        <v>18.82</v>
      </c>
      <c r="D20" s="40">
        <v>14.3</v>
      </c>
      <c r="E20" s="40">
        <v>14.92</v>
      </c>
      <c r="F20" s="41">
        <v>7.23</v>
      </c>
      <c r="G20" s="40">
        <v>65.180000000000007</v>
      </c>
      <c r="H20" s="40">
        <v>1.49</v>
      </c>
      <c r="I20" s="40">
        <v>13.09</v>
      </c>
      <c r="J20" s="40">
        <v>0.51</v>
      </c>
      <c r="K20" s="40">
        <v>270.14</v>
      </c>
      <c r="L20" s="40">
        <v>38.83</v>
      </c>
      <c r="M20" s="40">
        <v>21.63</v>
      </c>
      <c r="N20" s="40">
        <v>782.9</v>
      </c>
      <c r="O20" s="40">
        <v>0</v>
      </c>
      <c r="P20" s="40">
        <v>1.01</v>
      </c>
      <c r="Q20" s="40">
        <v>28.07</v>
      </c>
      <c r="R20" s="38"/>
      <c r="S20" s="38"/>
      <c r="T20" s="38"/>
      <c r="U20" s="38"/>
    </row>
    <row r="21" spans="1:21" customFormat="1">
      <c r="A21" s="39" t="s">
        <v>192</v>
      </c>
      <c r="B21" s="40">
        <v>3.5</v>
      </c>
      <c r="C21" s="40">
        <v>17.36</v>
      </c>
      <c r="D21" s="40">
        <v>13.22</v>
      </c>
      <c r="E21" s="40">
        <v>16.399999999999999</v>
      </c>
      <c r="F21" s="41">
        <v>7.3</v>
      </c>
      <c r="G21" s="40">
        <v>62.81</v>
      </c>
      <c r="H21" s="40">
        <v>1.07</v>
      </c>
      <c r="I21" s="40">
        <v>13.06</v>
      </c>
      <c r="J21" s="40">
        <v>0.64</v>
      </c>
      <c r="K21" s="40">
        <v>321.14</v>
      </c>
      <c r="L21" s="40">
        <v>39.81</v>
      </c>
      <c r="M21" s="40">
        <v>18.03</v>
      </c>
      <c r="N21" s="40">
        <v>811.3</v>
      </c>
      <c r="O21" s="40">
        <v>0</v>
      </c>
      <c r="P21" s="40">
        <v>0.96</v>
      </c>
      <c r="Q21" s="40">
        <v>28.07</v>
      </c>
      <c r="R21" s="38"/>
      <c r="S21" s="38"/>
      <c r="T21" s="38"/>
      <c r="U21" s="38"/>
    </row>
    <row r="22" spans="1:21" customFormat="1">
      <c r="A22" s="39" t="s">
        <v>193</v>
      </c>
      <c r="B22" s="40">
        <v>3.79</v>
      </c>
      <c r="C22" s="40">
        <v>16.760000000000002</v>
      </c>
      <c r="D22" s="40">
        <v>13</v>
      </c>
      <c r="E22" s="40">
        <v>13.97</v>
      </c>
      <c r="F22" s="41">
        <v>7.82</v>
      </c>
      <c r="G22" s="40">
        <v>61.66</v>
      </c>
      <c r="H22" s="40">
        <v>1.17</v>
      </c>
      <c r="I22" s="40">
        <v>12.64</v>
      </c>
      <c r="J22" s="40">
        <v>1.18</v>
      </c>
      <c r="K22" s="40">
        <v>340.32</v>
      </c>
      <c r="L22" s="40">
        <v>40.81</v>
      </c>
      <c r="M22" s="40">
        <v>14.67</v>
      </c>
      <c r="N22" s="40">
        <v>838.2</v>
      </c>
      <c r="O22" s="40">
        <v>0</v>
      </c>
      <c r="P22" s="40">
        <v>0.91</v>
      </c>
      <c r="Q22" s="40">
        <v>28.06</v>
      </c>
      <c r="R22" s="38"/>
      <c r="S22" s="38"/>
      <c r="T22" s="38"/>
      <c r="U22" s="38"/>
    </row>
    <row r="23" spans="1:21" customFormat="1">
      <c r="A23" s="39" t="s">
        <v>194</v>
      </c>
      <c r="B23" s="40">
        <v>4.3899999999999997</v>
      </c>
      <c r="C23" s="40">
        <v>18.399999999999999</v>
      </c>
      <c r="D23" s="40">
        <v>14.49</v>
      </c>
      <c r="E23" s="40">
        <v>13.2</v>
      </c>
      <c r="F23" s="41">
        <v>8.4499999999999993</v>
      </c>
      <c r="G23" s="40">
        <v>60.36</v>
      </c>
      <c r="H23" s="40">
        <v>0.89</v>
      </c>
      <c r="I23" s="40">
        <v>11</v>
      </c>
      <c r="J23" s="40">
        <v>1.51</v>
      </c>
      <c r="K23" s="40">
        <v>314.06</v>
      </c>
      <c r="L23" s="40">
        <v>40.97</v>
      </c>
      <c r="M23" s="40">
        <v>7.9</v>
      </c>
      <c r="N23" s="40">
        <v>798.5</v>
      </c>
      <c r="O23" s="40">
        <v>0</v>
      </c>
      <c r="P23" s="40">
        <v>0.65</v>
      </c>
      <c r="Q23" s="40">
        <v>28.06</v>
      </c>
      <c r="R23" s="38"/>
      <c r="S23" s="38"/>
      <c r="T23" s="38"/>
      <c r="U23" s="38"/>
    </row>
    <row r="24" spans="1:21" customFormat="1">
      <c r="A24" s="39" t="s">
        <v>195</v>
      </c>
      <c r="B24" s="40">
        <v>3.75</v>
      </c>
      <c r="C24" s="40">
        <v>16.72</v>
      </c>
      <c r="D24" s="40">
        <v>13.1</v>
      </c>
      <c r="E24" s="40">
        <v>14.34</v>
      </c>
      <c r="F24" s="41">
        <v>7.78</v>
      </c>
      <c r="G24" s="40">
        <v>49.19</v>
      </c>
      <c r="H24" s="40">
        <v>0.75</v>
      </c>
      <c r="I24" s="40">
        <v>9.25</v>
      </c>
      <c r="J24" s="40">
        <v>1.59</v>
      </c>
      <c r="K24" s="40">
        <v>344.55</v>
      </c>
      <c r="L24" s="40">
        <v>40.799999999999997</v>
      </c>
      <c r="M24" s="40">
        <v>9.17</v>
      </c>
      <c r="N24" s="40">
        <v>550</v>
      </c>
      <c r="O24" s="40">
        <v>0</v>
      </c>
      <c r="P24" s="40">
        <v>0.56999999999999995</v>
      </c>
      <c r="Q24" s="40">
        <v>28.07</v>
      </c>
      <c r="R24" s="38"/>
      <c r="S24" s="38"/>
      <c r="T24" s="38"/>
      <c r="U24" s="38"/>
    </row>
    <row r="25" spans="1:21" customFormat="1">
      <c r="A25" s="39" t="s">
        <v>196</v>
      </c>
      <c r="B25" s="40">
        <v>3.93</v>
      </c>
      <c r="C25" s="40">
        <v>17.11</v>
      </c>
      <c r="D25" s="40">
        <v>13.44</v>
      </c>
      <c r="E25" s="40">
        <v>17.940000000000001</v>
      </c>
      <c r="F25" s="41">
        <v>6.97</v>
      </c>
      <c r="G25" s="40">
        <v>47.92</v>
      </c>
      <c r="H25" s="40">
        <v>0.64</v>
      </c>
      <c r="I25" s="40">
        <v>7.86</v>
      </c>
      <c r="J25" s="40">
        <v>0.59</v>
      </c>
      <c r="K25" s="40">
        <v>44.52</v>
      </c>
      <c r="L25" s="40">
        <v>40.58</v>
      </c>
      <c r="M25" s="40">
        <v>9.41</v>
      </c>
      <c r="N25" s="40">
        <v>334</v>
      </c>
      <c r="O25" s="40">
        <v>0</v>
      </c>
      <c r="P25" s="40">
        <v>0.5</v>
      </c>
      <c r="Q25" s="40">
        <v>28.06</v>
      </c>
      <c r="R25" s="38"/>
      <c r="S25" s="38"/>
      <c r="T25" s="38"/>
      <c r="U25" s="38"/>
    </row>
    <row r="26" spans="1:21" customFormat="1">
      <c r="A26" s="39" t="s">
        <v>197</v>
      </c>
      <c r="B26" s="40">
        <v>3.39</v>
      </c>
      <c r="C26" s="40">
        <v>14.02</v>
      </c>
      <c r="D26" s="40">
        <v>11.4</v>
      </c>
      <c r="E26" s="40">
        <v>17.93</v>
      </c>
      <c r="F26" s="41">
        <v>3.39</v>
      </c>
      <c r="G26" s="40">
        <v>46.96</v>
      </c>
      <c r="H26" s="40">
        <v>0.53</v>
      </c>
      <c r="I26" s="40">
        <v>6.08</v>
      </c>
      <c r="J26" s="40">
        <v>0.27</v>
      </c>
      <c r="K26" s="40">
        <v>177.34</v>
      </c>
      <c r="L26" s="40">
        <v>38.909999999999997</v>
      </c>
      <c r="M26" s="40">
        <v>15.58</v>
      </c>
      <c r="N26" s="40">
        <v>98.6</v>
      </c>
      <c r="O26" s="40">
        <v>0</v>
      </c>
      <c r="P26" s="40">
        <v>0.45</v>
      </c>
      <c r="Q26" s="40">
        <v>28.08</v>
      </c>
      <c r="R26" s="38"/>
      <c r="S26" s="38"/>
      <c r="T26" s="38"/>
      <c r="U26" s="38"/>
    </row>
    <row r="27" spans="1:21" customFormat="1">
      <c r="A27" s="39" t="s">
        <v>198</v>
      </c>
      <c r="B27" s="40">
        <v>3.44</v>
      </c>
      <c r="C27" s="40">
        <v>12</v>
      </c>
      <c r="D27" s="40">
        <v>10.38</v>
      </c>
      <c r="E27" s="40">
        <v>13.07</v>
      </c>
      <c r="F27" s="41">
        <v>2.42</v>
      </c>
      <c r="G27" s="40">
        <v>45.22</v>
      </c>
      <c r="H27" s="40">
        <v>0.44</v>
      </c>
      <c r="I27" s="40">
        <v>5.88</v>
      </c>
      <c r="J27" s="40">
        <v>0.27</v>
      </c>
      <c r="K27" s="40">
        <v>196.5</v>
      </c>
      <c r="L27" s="40">
        <v>34.42</v>
      </c>
      <c r="M27" s="40">
        <v>24.03</v>
      </c>
      <c r="N27" s="40">
        <v>12.2</v>
      </c>
      <c r="O27" s="40">
        <v>0</v>
      </c>
      <c r="P27" s="40">
        <v>0.49</v>
      </c>
      <c r="Q27" s="40">
        <v>28.07</v>
      </c>
      <c r="R27" s="38"/>
      <c r="S27" s="38"/>
      <c r="T27" s="38"/>
      <c r="U27" s="38"/>
    </row>
    <row r="28" spans="1:21" customFormat="1">
      <c r="A28" s="39" t="s">
        <v>199</v>
      </c>
      <c r="B28" s="40">
        <v>3.85</v>
      </c>
      <c r="C28" s="40">
        <v>13.47</v>
      </c>
      <c r="D28" s="40">
        <v>11.47</v>
      </c>
      <c r="E28" s="40">
        <v>11.46</v>
      </c>
      <c r="F28" s="41">
        <v>2.46</v>
      </c>
      <c r="G28" s="40">
        <v>43.06</v>
      </c>
      <c r="H28" s="40">
        <v>0.38</v>
      </c>
      <c r="I28" s="40">
        <v>6.83</v>
      </c>
      <c r="J28" s="40">
        <v>0.26</v>
      </c>
      <c r="K28" s="40">
        <v>209.18</v>
      </c>
      <c r="L28" s="40">
        <v>31.7</v>
      </c>
      <c r="M28" s="40">
        <v>29.29</v>
      </c>
      <c r="N28" s="40">
        <v>6</v>
      </c>
      <c r="O28" s="40">
        <v>0</v>
      </c>
      <c r="P28" s="40">
        <v>0.55000000000000004</v>
      </c>
      <c r="Q28" s="40">
        <v>28.06</v>
      </c>
      <c r="R28" s="38"/>
      <c r="S28" s="38"/>
      <c r="T28" s="38"/>
      <c r="U28" s="38"/>
    </row>
    <row r="29" spans="1:21" customFormat="1">
      <c r="A29" s="39" t="s">
        <v>200</v>
      </c>
      <c r="B29" s="40">
        <v>4.3899999999999997</v>
      </c>
      <c r="C29" s="40">
        <v>14</v>
      </c>
      <c r="D29" s="40">
        <v>12.08</v>
      </c>
      <c r="E29" s="40">
        <v>10.09</v>
      </c>
      <c r="F29" s="41">
        <v>2.36</v>
      </c>
      <c r="G29" s="40">
        <v>52.77</v>
      </c>
      <c r="H29" s="40">
        <v>0.35</v>
      </c>
      <c r="I29" s="40">
        <v>7.37</v>
      </c>
      <c r="J29" s="40">
        <v>0.24</v>
      </c>
      <c r="K29" s="40">
        <v>189.96</v>
      </c>
      <c r="L29" s="40">
        <v>30.19</v>
      </c>
      <c r="M29" s="40">
        <v>31.8</v>
      </c>
      <c r="N29" s="40">
        <v>5.8</v>
      </c>
      <c r="O29" s="40">
        <v>0</v>
      </c>
      <c r="P29" s="40">
        <v>0.56999999999999995</v>
      </c>
      <c r="Q29" s="40">
        <v>28.08</v>
      </c>
      <c r="R29" s="38"/>
      <c r="S29" s="38"/>
      <c r="T29" s="38"/>
      <c r="U29" s="38"/>
    </row>
    <row r="30" spans="1:21" customFormat="1">
      <c r="A30" s="39" t="s">
        <v>201</v>
      </c>
      <c r="B30" s="40">
        <v>4.63</v>
      </c>
      <c r="C30" s="40">
        <v>14.24</v>
      </c>
      <c r="D30" s="40">
        <v>12.26</v>
      </c>
      <c r="E30" s="40">
        <v>9.19</v>
      </c>
      <c r="F30" s="41">
        <v>2.38</v>
      </c>
      <c r="G30" s="40">
        <v>58.43</v>
      </c>
      <c r="H30" s="40">
        <v>0.57999999999999996</v>
      </c>
      <c r="I30" s="40">
        <v>7.64</v>
      </c>
      <c r="J30" s="40">
        <v>0.27</v>
      </c>
      <c r="K30" s="40">
        <v>244.47</v>
      </c>
      <c r="L30" s="40">
        <v>29.31</v>
      </c>
      <c r="M30" s="40">
        <v>35.74</v>
      </c>
      <c r="N30" s="40">
        <v>5.9</v>
      </c>
      <c r="O30" s="40">
        <v>0</v>
      </c>
      <c r="P30" s="40">
        <v>0.6</v>
      </c>
      <c r="Q30" s="40">
        <v>28.09</v>
      </c>
      <c r="R30" s="38"/>
      <c r="S30" s="38"/>
      <c r="T30" s="38"/>
      <c r="U30" s="38"/>
    </row>
    <row r="31" spans="1:21" customFormat="1">
      <c r="A31" s="39" t="s">
        <v>202</v>
      </c>
      <c r="B31" s="40">
        <v>8.67</v>
      </c>
      <c r="C31" s="40">
        <v>21.81</v>
      </c>
      <c r="D31" s="40">
        <v>19.7</v>
      </c>
      <c r="E31" s="40">
        <v>8.8000000000000007</v>
      </c>
      <c r="F31" s="41">
        <v>2.25</v>
      </c>
      <c r="G31" s="40">
        <v>61.98</v>
      </c>
      <c r="H31" s="40">
        <v>0.77</v>
      </c>
      <c r="I31" s="40">
        <v>7.98</v>
      </c>
      <c r="J31" s="40">
        <v>0.25</v>
      </c>
      <c r="K31" s="40">
        <v>177.64</v>
      </c>
      <c r="L31" s="40">
        <v>29.09</v>
      </c>
      <c r="M31" s="40">
        <v>37.5</v>
      </c>
      <c r="N31" s="40">
        <v>6.2</v>
      </c>
      <c r="O31" s="40">
        <v>0</v>
      </c>
      <c r="P31" s="40">
        <v>0.67</v>
      </c>
      <c r="Q31" s="40">
        <v>28.11</v>
      </c>
      <c r="R31" s="38"/>
      <c r="S31" s="38"/>
      <c r="T31" s="38"/>
      <c r="U31" s="38"/>
    </row>
    <row r="32" spans="1:21" customFormat="1">
      <c r="A32" s="39" t="s">
        <v>203</v>
      </c>
      <c r="B32" s="40">
        <v>9.01</v>
      </c>
      <c r="C32" s="40">
        <v>21.67</v>
      </c>
      <c r="D32" s="40">
        <v>19.899999999999999</v>
      </c>
      <c r="E32" s="40">
        <v>8.4</v>
      </c>
      <c r="F32" s="41">
        <v>2.68</v>
      </c>
      <c r="G32" s="40">
        <v>62.76</v>
      </c>
      <c r="H32" s="40">
        <v>0.79</v>
      </c>
      <c r="I32" s="40">
        <v>8.34</v>
      </c>
      <c r="J32" s="40">
        <v>0.2</v>
      </c>
      <c r="K32" s="40">
        <v>300.92</v>
      </c>
      <c r="L32" s="40">
        <v>27.96</v>
      </c>
      <c r="M32" s="40">
        <v>38.68</v>
      </c>
      <c r="N32" s="40">
        <v>6.1</v>
      </c>
      <c r="O32" s="40">
        <v>0</v>
      </c>
      <c r="P32" s="40">
        <v>0.7</v>
      </c>
      <c r="Q32" s="40">
        <v>28.12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3.39</v>
      </c>
      <c r="C34" s="18">
        <f t="shared" si="0"/>
        <v>12</v>
      </c>
      <c r="D34" s="18">
        <f t="shared" si="0"/>
        <v>10.38</v>
      </c>
      <c r="E34" s="18">
        <f t="shared" si="0"/>
        <v>7.81</v>
      </c>
      <c r="F34" s="18">
        <f t="shared" si="0"/>
        <v>2.2400000000000002</v>
      </c>
      <c r="G34" s="18">
        <f t="shared" si="0"/>
        <v>43.06</v>
      </c>
      <c r="H34" s="18">
        <f t="shared" si="0"/>
        <v>0.35</v>
      </c>
      <c r="I34" s="18">
        <f t="shared" si="0"/>
        <v>5.88</v>
      </c>
      <c r="J34" s="18">
        <f t="shared" si="0"/>
        <v>0.12</v>
      </c>
      <c r="K34" s="18">
        <f t="shared" si="0"/>
        <v>44.52</v>
      </c>
      <c r="L34" s="18">
        <f t="shared" si="0"/>
        <v>24.98</v>
      </c>
      <c r="M34" s="18">
        <f t="shared" si="0"/>
        <v>7.9</v>
      </c>
      <c r="N34" s="18">
        <f t="shared" si="0"/>
        <v>5.8</v>
      </c>
      <c r="O34" s="18">
        <f t="shared" si="0"/>
        <v>0</v>
      </c>
      <c r="P34" s="18">
        <f t="shared" si="0"/>
        <v>0.45</v>
      </c>
      <c r="Q34" s="18">
        <f t="shared" si="0"/>
        <v>28.06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10.01</v>
      </c>
      <c r="C35" s="3">
        <f t="shared" si="1"/>
        <v>21.81</v>
      </c>
      <c r="D35" s="3">
        <f t="shared" si="1"/>
        <v>19.899999999999999</v>
      </c>
      <c r="E35" s="3">
        <f t="shared" si="1"/>
        <v>17.940000000000001</v>
      </c>
      <c r="F35" s="3">
        <f t="shared" si="1"/>
        <v>8.4499999999999993</v>
      </c>
      <c r="G35" s="3">
        <f t="shared" si="1"/>
        <v>67.7</v>
      </c>
      <c r="H35" s="3">
        <f t="shared" si="1"/>
        <v>2.87</v>
      </c>
      <c r="I35" s="3">
        <f t="shared" si="1"/>
        <v>13.09</v>
      </c>
      <c r="J35" s="3">
        <f t="shared" si="1"/>
        <v>1.59</v>
      </c>
      <c r="K35" s="3">
        <f t="shared" si="1"/>
        <v>344.55</v>
      </c>
      <c r="L35" s="3">
        <f t="shared" si="1"/>
        <v>40.97</v>
      </c>
      <c r="M35" s="3">
        <f t="shared" si="1"/>
        <v>50.57</v>
      </c>
      <c r="N35" s="3">
        <f t="shared" si="1"/>
        <v>838.2</v>
      </c>
      <c r="O35" s="3">
        <f t="shared" si="1"/>
        <v>0</v>
      </c>
      <c r="P35" s="3">
        <f t="shared" si="1"/>
        <v>1.01</v>
      </c>
      <c r="Q35" s="3">
        <f t="shared" si="1"/>
        <v>28.2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5.9649999999999999</v>
      </c>
      <c r="C36" s="18">
        <f t="shared" si="2"/>
        <v>17.734583333333333</v>
      </c>
      <c r="D36" s="18">
        <f t="shared" si="2"/>
        <v>15.302916666666667</v>
      </c>
      <c r="E36" s="18">
        <f t="shared" si="2"/>
        <v>11.247083333333331</v>
      </c>
      <c r="F36" s="18">
        <f t="shared" si="2"/>
        <v>3.7954166666666662</v>
      </c>
      <c r="G36" s="18">
        <f t="shared" si="2"/>
        <v>55.995416666666664</v>
      </c>
      <c r="H36" s="18">
        <f t="shared" si="2"/>
        <v>1.455416666666667</v>
      </c>
      <c r="I36" s="18">
        <f t="shared" si="2"/>
        <v>10.202083333333334</v>
      </c>
      <c r="J36" s="18">
        <f t="shared" si="2"/>
        <v>0.5445833333333332</v>
      </c>
      <c r="K36" s="18">
        <f t="shared" si="2"/>
        <v>236.30250000000004</v>
      </c>
      <c r="L36" s="18">
        <f t="shared" si="2"/>
        <v>32.293749999999996</v>
      </c>
      <c r="M36" s="18">
        <f t="shared" si="2"/>
        <v>31.83499999999999</v>
      </c>
      <c r="N36" s="18">
        <f t="shared" si="2"/>
        <v>257.85833333333335</v>
      </c>
      <c r="O36" s="18">
        <f t="shared" si="2"/>
        <v>0</v>
      </c>
      <c r="P36" s="18">
        <f t="shared" si="2"/>
        <v>0.76375000000000004</v>
      </c>
      <c r="Q36" s="18">
        <f t="shared" si="2"/>
        <v>28.107083333333335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2.2530597552815985</v>
      </c>
      <c r="C37" s="18">
        <f t="shared" ref="C37:Q37" si="3">STDEV(C9:C32)</f>
        <v>2.6074875116073604</v>
      </c>
      <c r="D37" s="18">
        <f t="shared" si="3"/>
        <v>2.8945052579682495</v>
      </c>
      <c r="E37" s="18">
        <f t="shared" si="3"/>
        <v>3.3596758114394132</v>
      </c>
      <c r="F37" s="18">
        <f t="shared" si="3"/>
        <v>2.2683454594017221</v>
      </c>
      <c r="G37" s="18">
        <f t="shared" si="3"/>
        <v>7.774814399667421</v>
      </c>
      <c r="H37" s="18">
        <f t="shared" si="3"/>
        <v>0.87034715296062548</v>
      </c>
      <c r="I37" s="18">
        <f t="shared" si="3"/>
        <v>2.3652152750017104</v>
      </c>
      <c r="J37" s="18">
        <f t="shared" si="3"/>
        <v>0.45599369910470111</v>
      </c>
      <c r="K37" s="18">
        <f t="shared" si="3"/>
        <v>73.238946057170836</v>
      </c>
      <c r="L37" s="18">
        <f t="shared" si="3"/>
        <v>5.9757101178892054</v>
      </c>
      <c r="M37" s="18">
        <f t="shared" si="3"/>
        <v>13.710775514805583</v>
      </c>
      <c r="N37" s="18">
        <f t="shared" si="3"/>
        <v>330.70678319211316</v>
      </c>
      <c r="O37" s="18">
        <f t="shared" si="3"/>
        <v>0</v>
      </c>
      <c r="P37" s="18">
        <f t="shared" si="3"/>
        <v>0.17741654498603676</v>
      </c>
      <c r="Q37" s="18">
        <f t="shared" si="3"/>
        <v>4.2270265699648028E-2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6"/>
  <sheetViews>
    <sheetView zoomScale="85" zoomScaleNormal="85" workbookViewId="0">
      <pane xSplit="2" ySplit="8" topLeftCell="C21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07/04/2025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204</v>
      </c>
      <c r="B9" s="40">
        <v>8.86</v>
      </c>
      <c r="C9" s="40">
        <v>21.21</v>
      </c>
      <c r="D9" s="40">
        <v>19.27</v>
      </c>
      <c r="E9" s="40">
        <v>8.1999999999999993</v>
      </c>
      <c r="F9" s="40">
        <v>2.7</v>
      </c>
      <c r="G9" s="40">
        <v>67.36</v>
      </c>
      <c r="H9" s="40">
        <v>0.81</v>
      </c>
      <c r="I9" s="40">
        <v>8.75</v>
      </c>
      <c r="J9" s="40">
        <v>0.28999999999999998</v>
      </c>
      <c r="K9" s="40">
        <v>238.72</v>
      </c>
      <c r="L9" s="40">
        <v>27.28</v>
      </c>
      <c r="M9" s="40">
        <v>44.15</v>
      </c>
      <c r="N9" s="40">
        <v>6.4</v>
      </c>
      <c r="O9" s="40">
        <v>0</v>
      </c>
      <c r="P9" s="40">
        <v>0.72</v>
      </c>
      <c r="Q9" s="40">
        <v>28.19</v>
      </c>
      <c r="R9" s="38"/>
      <c r="S9" s="38"/>
      <c r="T9" s="38"/>
      <c r="U9" s="38"/>
    </row>
    <row r="10" spans="1:21" customFormat="1">
      <c r="A10" s="39" t="s">
        <v>205</v>
      </c>
      <c r="B10" s="40">
        <v>9.4</v>
      </c>
      <c r="C10" s="40">
        <v>20.73</v>
      </c>
      <c r="D10" s="40">
        <v>19.72</v>
      </c>
      <c r="E10" s="40">
        <v>8.08</v>
      </c>
      <c r="F10" s="40">
        <v>2.59</v>
      </c>
      <c r="G10" s="40">
        <v>62.19</v>
      </c>
      <c r="H10" s="40">
        <v>0.91</v>
      </c>
      <c r="I10" s="40">
        <v>8.9</v>
      </c>
      <c r="J10" s="40">
        <v>0.43</v>
      </c>
      <c r="K10" s="40">
        <v>179.24</v>
      </c>
      <c r="L10" s="40">
        <v>27.24</v>
      </c>
      <c r="M10" s="40">
        <v>40.99</v>
      </c>
      <c r="N10" s="40">
        <v>5.8</v>
      </c>
      <c r="O10" s="40">
        <v>0</v>
      </c>
      <c r="P10" s="40">
        <v>0.73</v>
      </c>
      <c r="Q10" s="40">
        <v>28.19</v>
      </c>
      <c r="R10" s="38"/>
      <c r="S10" s="38"/>
      <c r="T10" s="38"/>
      <c r="U10" s="38"/>
    </row>
    <row r="11" spans="1:21" customFormat="1">
      <c r="A11" s="39" t="s">
        <v>206</v>
      </c>
      <c r="B11" s="40">
        <v>9.3699999999999992</v>
      </c>
      <c r="C11" s="40">
        <v>20.38</v>
      </c>
      <c r="D11" s="40">
        <v>19.2</v>
      </c>
      <c r="E11" s="40">
        <v>10.37</v>
      </c>
      <c r="F11" s="40">
        <v>2.41</v>
      </c>
      <c r="G11" s="40">
        <v>65.73</v>
      </c>
      <c r="H11" s="40">
        <v>0.88</v>
      </c>
      <c r="I11" s="40">
        <v>9.01</v>
      </c>
      <c r="J11" s="40">
        <v>0.2</v>
      </c>
      <c r="K11" s="40">
        <v>190.81</v>
      </c>
      <c r="L11" s="40">
        <v>26.29</v>
      </c>
      <c r="M11" s="40">
        <v>45.98</v>
      </c>
      <c r="N11" s="40">
        <v>6.4</v>
      </c>
      <c r="O11" s="40">
        <v>0</v>
      </c>
      <c r="P11" s="40">
        <v>0.73</v>
      </c>
      <c r="Q11" s="40">
        <v>28.2</v>
      </c>
      <c r="R11" s="38"/>
      <c r="S11" s="38"/>
      <c r="T11" s="38"/>
      <c r="U11" s="38"/>
    </row>
    <row r="12" spans="1:21" customFormat="1">
      <c r="A12" s="39" t="s">
        <v>207</v>
      </c>
      <c r="B12" s="40">
        <v>12.05</v>
      </c>
      <c r="C12" s="40">
        <v>19.28</v>
      </c>
      <c r="D12" s="40">
        <v>20.65</v>
      </c>
      <c r="E12" s="40">
        <v>9.83</v>
      </c>
      <c r="F12" s="40">
        <v>2.54</v>
      </c>
      <c r="G12" s="40">
        <v>72.2</v>
      </c>
      <c r="H12" s="40">
        <v>0.88</v>
      </c>
      <c r="I12" s="40">
        <v>9.1300000000000008</v>
      </c>
      <c r="J12" s="40">
        <v>0.31</v>
      </c>
      <c r="K12" s="40">
        <v>180.08</v>
      </c>
      <c r="L12" s="40">
        <v>24.9</v>
      </c>
      <c r="M12" s="40">
        <v>52.54</v>
      </c>
      <c r="N12" s="40">
        <v>6.4</v>
      </c>
      <c r="O12" s="40">
        <v>0</v>
      </c>
      <c r="P12" s="40">
        <v>0.73</v>
      </c>
      <c r="Q12" s="40">
        <v>28.23</v>
      </c>
      <c r="R12" s="38"/>
      <c r="S12" s="38"/>
      <c r="T12" s="38"/>
      <c r="U12" s="38"/>
    </row>
    <row r="13" spans="1:21" customFormat="1">
      <c r="A13" s="39" t="s">
        <v>208</v>
      </c>
      <c r="B13" s="40">
        <v>12.96</v>
      </c>
      <c r="C13" s="40">
        <v>18.350000000000001</v>
      </c>
      <c r="D13" s="40">
        <v>21.05</v>
      </c>
      <c r="E13" s="40">
        <v>10.14</v>
      </c>
      <c r="F13" s="40">
        <v>2.41</v>
      </c>
      <c r="G13" s="40">
        <v>74.900000000000006</v>
      </c>
      <c r="H13" s="40">
        <v>0.92</v>
      </c>
      <c r="I13" s="40">
        <v>9.3699999999999992</v>
      </c>
      <c r="J13" s="40">
        <v>0.28999999999999998</v>
      </c>
      <c r="K13" s="40">
        <v>198.89</v>
      </c>
      <c r="L13" s="40">
        <v>23.34</v>
      </c>
      <c r="M13" s="40">
        <v>55.42</v>
      </c>
      <c r="N13" s="40">
        <v>6.2</v>
      </c>
      <c r="O13" s="40">
        <v>0</v>
      </c>
      <c r="P13" s="40">
        <v>0.74</v>
      </c>
      <c r="Q13" s="40">
        <v>28.26</v>
      </c>
      <c r="R13" s="38"/>
      <c r="S13" s="38"/>
      <c r="T13" s="38"/>
      <c r="U13" s="38"/>
    </row>
    <row r="14" spans="1:21" customFormat="1">
      <c r="A14" s="39" t="s">
        <v>209</v>
      </c>
      <c r="B14" s="40">
        <v>13</v>
      </c>
      <c r="C14" s="40">
        <v>17.61</v>
      </c>
      <c r="D14" s="40">
        <v>20.97</v>
      </c>
      <c r="E14" s="40">
        <v>10.1</v>
      </c>
      <c r="F14" s="40">
        <v>2.4300000000000002</v>
      </c>
      <c r="G14" s="40">
        <v>76.959999999999994</v>
      </c>
      <c r="H14" s="40">
        <v>0.9</v>
      </c>
      <c r="I14" s="40">
        <v>9.43</v>
      </c>
      <c r="J14" s="40">
        <v>0.31</v>
      </c>
      <c r="K14" s="40">
        <v>255.2</v>
      </c>
      <c r="L14" s="40">
        <v>23.79</v>
      </c>
      <c r="M14" s="40">
        <v>49.13</v>
      </c>
      <c r="N14" s="40">
        <v>11.8</v>
      </c>
      <c r="O14" s="40">
        <v>0</v>
      </c>
      <c r="P14" s="40">
        <v>0.74</v>
      </c>
      <c r="Q14" s="40">
        <v>28.26</v>
      </c>
      <c r="R14" s="38"/>
      <c r="S14" s="38"/>
      <c r="T14" s="38"/>
      <c r="U14" s="38"/>
    </row>
    <row r="15" spans="1:21" customFormat="1">
      <c r="A15" s="39" t="s">
        <v>210</v>
      </c>
      <c r="B15" s="40">
        <v>12.93</v>
      </c>
      <c r="C15" s="40">
        <v>16.87</v>
      </c>
      <c r="D15" s="40">
        <v>20.51</v>
      </c>
      <c r="E15" s="40">
        <v>10.19</v>
      </c>
      <c r="F15" s="40">
        <v>2.23</v>
      </c>
      <c r="G15" s="40">
        <v>68.599999999999994</v>
      </c>
      <c r="H15" s="40">
        <v>0.87</v>
      </c>
      <c r="I15" s="40">
        <v>9.44</v>
      </c>
      <c r="J15" s="40">
        <v>0.57999999999999996</v>
      </c>
      <c r="K15" s="40">
        <v>314.08999999999997</v>
      </c>
      <c r="L15" s="40">
        <v>25.18</v>
      </c>
      <c r="M15" s="40">
        <v>48.71</v>
      </c>
      <c r="N15" s="40">
        <v>56.8</v>
      </c>
      <c r="O15" s="40">
        <v>0</v>
      </c>
      <c r="P15" s="40">
        <v>0.75</v>
      </c>
      <c r="Q15" s="40">
        <v>28.25</v>
      </c>
      <c r="R15" s="38"/>
      <c r="S15" s="38"/>
      <c r="T15" s="38"/>
      <c r="U15" s="38"/>
    </row>
    <row r="16" spans="1:21" customFormat="1">
      <c r="A16" s="39" t="s">
        <v>211</v>
      </c>
      <c r="B16" s="40">
        <v>12.73</v>
      </c>
      <c r="C16" s="40">
        <v>17.600000000000001</v>
      </c>
      <c r="D16" s="40">
        <v>20.350000000000001</v>
      </c>
      <c r="E16" s="40">
        <v>10.35</v>
      </c>
      <c r="F16" s="40">
        <v>2.27</v>
      </c>
      <c r="G16" s="40">
        <v>61.51</v>
      </c>
      <c r="H16" s="40">
        <v>0.96</v>
      </c>
      <c r="I16" s="40">
        <v>9.59</v>
      </c>
      <c r="J16" s="40">
        <v>0.51</v>
      </c>
      <c r="K16" s="40">
        <v>262.3</v>
      </c>
      <c r="L16" s="40">
        <v>28.49</v>
      </c>
      <c r="M16" s="40">
        <v>44.16</v>
      </c>
      <c r="N16" s="40">
        <v>146.19999999999999</v>
      </c>
      <c r="O16" s="40">
        <v>0</v>
      </c>
      <c r="P16" s="40">
        <v>0.77</v>
      </c>
      <c r="Q16" s="40">
        <v>28.24</v>
      </c>
      <c r="R16" s="38"/>
      <c r="S16" s="38"/>
      <c r="T16" s="38"/>
      <c r="U16" s="38"/>
    </row>
    <row r="17" spans="1:21" customFormat="1">
      <c r="A17" s="39" t="s">
        <v>212</v>
      </c>
      <c r="B17" s="40">
        <v>8.77</v>
      </c>
      <c r="C17" s="40">
        <v>18.62</v>
      </c>
      <c r="D17" s="40">
        <v>17.73</v>
      </c>
      <c r="E17" s="40">
        <v>10.35</v>
      </c>
      <c r="F17" s="40">
        <v>2.39</v>
      </c>
      <c r="G17" s="40">
        <v>59.74</v>
      </c>
      <c r="H17" s="40">
        <v>0.93</v>
      </c>
      <c r="I17" s="40">
        <v>9.59</v>
      </c>
      <c r="J17" s="40">
        <v>0.96</v>
      </c>
      <c r="K17" s="40">
        <v>256.7</v>
      </c>
      <c r="L17" s="40">
        <v>32.25</v>
      </c>
      <c r="M17" s="40">
        <v>31.04</v>
      </c>
      <c r="N17" s="40">
        <v>328.6</v>
      </c>
      <c r="O17" s="40">
        <v>0</v>
      </c>
      <c r="P17" s="40">
        <v>0.76</v>
      </c>
      <c r="Q17" s="40">
        <v>28.16</v>
      </c>
      <c r="R17" s="38"/>
      <c r="S17" s="38"/>
      <c r="T17" s="38"/>
      <c r="U17" s="38"/>
    </row>
    <row r="18" spans="1:21" customFormat="1">
      <c r="A18" s="39" t="s">
        <v>213</v>
      </c>
      <c r="B18" s="40">
        <v>4.76</v>
      </c>
      <c r="C18" s="40">
        <v>20.49</v>
      </c>
      <c r="D18" s="40">
        <v>15.26</v>
      </c>
      <c r="E18" s="40">
        <v>11.62</v>
      </c>
      <c r="F18" s="40">
        <v>2.83</v>
      </c>
      <c r="G18" s="40">
        <v>61.56</v>
      </c>
      <c r="H18" s="40">
        <v>0.91</v>
      </c>
      <c r="I18" s="40">
        <v>11.02</v>
      </c>
      <c r="J18" s="40">
        <v>1.05</v>
      </c>
      <c r="K18" s="40">
        <v>290.23</v>
      </c>
      <c r="L18" s="40">
        <v>34.92</v>
      </c>
      <c r="M18" s="40">
        <v>24.87</v>
      </c>
      <c r="N18" s="40">
        <v>588.70000000000005</v>
      </c>
      <c r="O18" s="40">
        <v>0</v>
      </c>
      <c r="P18" s="40">
        <v>0.96</v>
      </c>
      <c r="Q18" s="40">
        <v>28.1</v>
      </c>
      <c r="R18" s="38"/>
      <c r="S18" s="38"/>
      <c r="T18" s="38"/>
      <c r="U18" s="38"/>
    </row>
    <row r="19" spans="1:21" customFormat="1">
      <c r="A19" s="39" t="s">
        <v>214</v>
      </c>
      <c r="B19" s="40">
        <v>3.79</v>
      </c>
      <c r="C19" s="40">
        <v>20.5</v>
      </c>
      <c r="D19" s="40">
        <v>15.11</v>
      </c>
      <c r="E19" s="40">
        <v>10.28</v>
      </c>
      <c r="F19" s="40">
        <v>2.8</v>
      </c>
      <c r="G19" s="40">
        <v>79.19</v>
      </c>
      <c r="H19" s="40">
        <v>0.88</v>
      </c>
      <c r="I19" s="40">
        <v>12.14</v>
      </c>
      <c r="J19" s="40">
        <v>1.51</v>
      </c>
      <c r="K19" s="40">
        <v>288.92</v>
      </c>
      <c r="L19" s="40">
        <v>36.82</v>
      </c>
      <c r="M19" s="40">
        <v>26.32</v>
      </c>
      <c r="N19" s="40">
        <v>729.6</v>
      </c>
      <c r="O19" s="40">
        <v>0</v>
      </c>
      <c r="P19" s="40">
        <v>0.97</v>
      </c>
      <c r="Q19" s="40">
        <v>28.08</v>
      </c>
      <c r="R19" s="38"/>
      <c r="S19" s="38"/>
      <c r="T19" s="38"/>
      <c r="U19" s="38"/>
    </row>
    <row r="20" spans="1:21" customFormat="1">
      <c r="A20" s="39" t="s">
        <v>215</v>
      </c>
      <c r="B20" s="40">
        <v>3.58</v>
      </c>
      <c r="C20" s="40">
        <v>19.510000000000002</v>
      </c>
      <c r="D20" s="40">
        <v>14.42</v>
      </c>
      <c r="E20" s="40">
        <v>10.96</v>
      </c>
      <c r="F20" s="40">
        <v>3.64</v>
      </c>
      <c r="G20" s="40">
        <v>81.03</v>
      </c>
      <c r="H20" s="40">
        <v>0.89</v>
      </c>
      <c r="I20" s="40">
        <v>12.14</v>
      </c>
      <c r="J20" s="40">
        <v>1.1399999999999999</v>
      </c>
      <c r="K20" s="40">
        <v>297.74</v>
      </c>
      <c r="L20" s="40">
        <v>38.72</v>
      </c>
      <c r="M20" s="40">
        <v>22.61</v>
      </c>
      <c r="N20" s="40">
        <v>801.2</v>
      </c>
      <c r="O20" s="40">
        <v>0</v>
      </c>
      <c r="P20" s="40">
        <v>0.99</v>
      </c>
      <c r="Q20" s="40">
        <v>28.08</v>
      </c>
      <c r="R20" s="38"/>
      <c r="S20" s="38"/>
      <c r="T20" s="38"/>
      <c r="U20" s="38"/>
    </row>
    <row r="21" spans="1:21" customFormat="1">
      <c r="A21" s="39" t="s">
        <v>216</v>
      </c>
      <c r="B21" s="40">
        <v>3.98</v>
      </c>
      <c r="C21" s="40">
        <v>18.649999999999999</v>
      </c>
      <c r="D21" s="40">
        <v>14.29</v>
      </c>
      <c r="E21" s="40">
        <v>10.99</v>
      </c>
      <c r="F21" s="40">
        <v>6.52</v>
      </c>
      <c r="G21" s="40">
        <v>75.41</v>
      </c>
      <c r="H21" s="40">
        <v>0.91</v>
      </c>
      <c r="I21" s="40">
        <v>11.33</v>
      </c>
      <c r="J21" s="40">
        <v>1.1000000000000001</v>
      </c>
      <c r="K21" s="40">
        <v>331.56</v>
      </c>
      <c r="L21" s="40">
        <v>40.61</v>
      </c>
      <c r="M21" s="40">
        <v>18.850000000000001</v>
      </c>
      <c r="N21" s="40">
        <v>833.1</v>
      </c>
      <c r="O21" s="40">
        <v>0</v>
      </c>
      <c r="P21" s="40">
        <v>0.88</v>
      </c>
      <c r="Q21" s="40">
        <v>28.07</v>
      </c>
      <c r="R21" s="38"/>
      <c r="S21" s="38"/>
      <c r="T21" s="38"/>
      <c r="U21" s="38"/>
    </row>
    <row r="22" spans="1:21" customFormat="1">
      <c r="A22" s="39" t="s">
        <v>217</v>
      </c>
      <c r="B22" s="40">
        <v>3.78</v>
      </c>
      <c r="C22" s="40">
        <v>17.22</v>
      </c>
      <c r="D22" s="40">
        <v>13.37</v>
      </c>
      <c r="E22" s="40">
        <v>11.52</v>
      </c>
      <c r="F22" s="40">
        <v>10.19</v>
      </c>
      <c r="G22" s="40">
        <v>72.739999999999995</v>
      </c>
      <c r="H22" s="40">
        <v>0.96</v>
      </c>
      <c r="I22" s="40">
        <v>10.18</v>
      </c>
      <c r="J22" s="40">
        <v>0.79</v>
      </c>
      <c r="K22" s="40">
        <v>333.97</v>
      </c>
      <c r="L22" s="40">
        <v>41.6</v>
      </c>
      <c r="M22" s="40">
        <v>13.17</v>
      </c>
      <c r="N22" s="40">
        <v>808.5</v>
      </c>
      <c r="O22" s="40">
        <v>0</v>
      </c>
      <c r="P22" s="40">
        <v>0.83</v>
      </c>
      <c r="Q22" s="40">
        <v>28.06</v>
      </c>
      <c r="R22" s="38"/>
      <c r="S22" s="38"/>
      <c r="T22" s="38"/>
      <c r="U22" s="38"/>
    </row>
    <row r="23" spans="1:21" customFormat="1">
      <c r="A23" s="39" t="s">
        <v>218</v>
      </c>
      <c r="B23" s="40">
        <v>4.55</v>
      </c>
      <c r="C23" s="40">
        <v>16.91</v>
      </c>
      <c r="D23" s="40">
        <v>13.62</v>
      </c>
      <c r="E23" s="40">
        <v>12.58</v>
      </c>
      <c r="F23" s="40">
        <v>8.91</v>
      </c>
      <c r="G23" s="40">
        <v>64.08</v>
      </c>
      <c r="H23" s="40">
        <v>1.02</v>
      </c>
      <c r="I23" s="40">
        <v>9.4600000000000009</v>
      </c>
      <c r="J23" s="40">
        <v>1.1599999999999999</v>
      </c>
      <c r="K23" s="40">
        <v>337.13</v>
      </c>
      <c r="L23" s="40">
        <v>41.74</v>
      </c>
      <c r="M23" s="40">
        <v>11.17</v>
      </c>
      <c r="N23" s="40">
        <v>696.4</v>
      </c>
      <c r="O23" s="40">
        <v>0</v>
      </c>
      <c r="P23" s="40">
        <v>0.78</v>
      </c>
      <c r="Q23" s="40">
        <v>28.06</v>
      </c>
      <c r="R23" s="38"/>
      <c r="S23" s="38"/>
      <c r="T23" s="38"/>
      <c r="U23" s="38"/>
    </row>
    <row r="24" spans="1:21" customFormat="1">
      <c r="A24" s="39" t="s">
        <v>219</v>
      </c>
      <c r="B24" s="40">
        <v>5.21</v>
      </c>
      <c r="C24" s="40">
        <v>17.32</v>
      </c>
      <c r="D24" s="40">
        <v>14.53</v>
      </c>
      <c r="E24" s="40">
        <v>12.71</v>
      </c>
      <c r="F24" s="40">
        <v>7.5</v>
      </c>
      <c r="G24" s="40">
        <v>58.89</v>
      </c>
      <c r="H24" s="40">
        <v>0.99</v>
      </c>
      <c r="I24" s="40">
        <v>8.5</v>
      </c>
      <c r="J24" s="40">
        <v>1.48</v>
      </c>
      <c r="K24" s="40">
        <v>56.75</v>
      </c>
      <c r="L24" s="40">
        <v>41.2</v>
      </c>
      <c r="M24" s="40">
        <v>7.17</v>
      </c>
      <c r="N24" s="40">
        <v>509.2</v>
      </c>
      <c r="O24" s="40">
        <v>0</v>
      </c>
      <c r="P24" s="40">
        <v>0.65</v>
      </c>
      <c r="Q24" s="40">
        <v>28.08</v>
      </c>
      <c r="R24" s="38"/>
      <c r="S24" s="38"/>
      <c r="T24" s="38"/>
      <c r="U24" s="38"/>
    </row>
    <row r="25" spans="1:21" customFormat="1">
      <c r="A25" s="39" t="s">
        <v>220</v>
      </c>
      <c r="B25" s="40">
        <v>4.6500000000000004</v>
      </c>
      <c r="C25" s="40">
        <v>18</v>
      </c>
      <c r="D25" s="40">
        <v>14.48</v>
      </c>
      <c r="E25" s="40">
        <v>10.99</v>
      </c>
      <c r="F25" s="40">
        <v>6.04</v>
      </c>
      <c r="G25" s="40">
        <v>49.46</v>
      </c>
      <c r="H25" s="40">
        <v>0.96</v>
      </c>
      <c r="I25" s="40">
        <v>7.79</v>
      </c>
      <c r="J25" s="40">
        <v>1.68</v>
      </c>
      <c r="K25" s="40">
        <v>63.32</v>
      </c>
      <c r="L25" s="40">
        <v>40.58</v>
      </c>
      <c r="M25" s="40">
        <v>7.73</v>
      </c>
      <c r="N25" s="40">
        <v>328.7</v>
      </c>
      <c r="O25" s="40">
        <v>0</v>
      </c>
      <c r="P25" s="40">
        <v>0.59</v>
      </c>
      <c r="Q25" s="40">
        <v>28.07</v>
      </c>
      <c r="R25" s="38"/>
      <c r="S25" s="38"/>
      <c r="T25" s="38"/>
      <c r="U25" s="38"/>
    </row>
    <row r="26" spans="1:21" customFormat="1">
      <c r="A26" s="39" t="s">
        <v>221</v>
      </c>
      <c r="B26" s="40">
        <v>6.11</v>
      </c>
      <c r="C26" s="40">
        <v>31.65</v>
      </c>
      <c r="D26" s="40">
        <v>22.79</v>
      </c>
      <c r="E26" s="40">
        <v>12.19</v>
      </c>
      <c r="F26" s="40">
        <v>2.93</v>
      </c>
      <c r="G26" s="40">
        <v>45.95</v>
      </c>
      <c r="H26" s="40">
        <v>0.94</v>
      </c>
      <c r="I26" s="40">
        <v>6.97</v>
      </c>
      <c r="J26" s="40">
        <v>0.9</v>
      </c>
      <c r="K26" s="40">
        <v>162.75</v>
      </c>
      <c r="L26" s="40">
        <v>39.450000000000003</v>
      </c>
      <c r="M26" s="40">
        <v>13.41</v>
      </c>
      <c r="N26" s="40">
        <v>87.5</v>
      </c>
      <c r="O26" s="40">
        <v>0</v>
      </c>
      <c r="P26" s="40">
        <v>0.68</v>
      </c>
      <c r="Q26" s="40">
        <v>28.08</v>
      </c>
      <c r="R26" s="38"/>
      <c r="S26" s="38"/>
      <c r="T26" s="38"/>
      <c r="U26" s="38"/>
    </row>
    <row r="27" spans="1:21" customFormat="1">
      <c r="A27" s="39" t="s">
        <v>222</v>
      </c>
      <c r="B27" s="40">
        <v>6.36</v>
      </c>
      <c r="C27" s="40">
        <v>31.41</v>
      </c>
      <c r="D27" s="40">
        <v>22.86</v>
      </c>
      <c r="E27" s="40">
        <v>11.12</v>
      </c>
      <c r="F27" s="40">
        <v>2.4700000000000002</v>
      </c>
      <c r="G27" s="40">
        <v>57.87</v>
      </c>
      <c r="H27" s="40">
        <v>0.91</v>
      </c>
      <c r="I27" s="40">
        <v>8.69</v>
      </c>
      <c r="J27" s="40">
        <v>0.35</v>
      </c>
      <c r="K27" s="40">
        <v>180.66</v>
      </c>
      <c r="L27" s="40">
        <v>35.65</v>
      </c>
      <c r="M27" s="40">
        <v>21.1</v>
      </c>
      <c r="N27" s="40">
        <v>12.2</v>
      </c>
      <c r="O27" s="40">
        <v>0</v>
      </c>
      <c r="P27" s="40">
        <v>0.78</v>
      </c>
      <c r="Q27" s="40">
        <v>28.08</v>
      </c>
      <c r="R27" s="38"/>
      <c r="S27" s="38"/>
      <c r="T27" s="38"/>
      <c r="U27" s="38"/>
    </row>
    <row r="28" spans="1:21" customFormat="1">
      <c r="A28" s="39" t="s">
        <v>223</v>
      </c>
      <c r="B28" s="40">
        <v>4.25</v>
      </c>
      <c r="C28" s="40">
        <v>28.46</v>
      </c>
      <c r="D28" s="40">
        <v>19.510000000000002</v>
      </c>
      <c r="E28" s="40">
        <v>11.14</v>
      </c>
      <c r="F28" s="40">
        <v>2.6</v>
      </c>
      <c r="G28" s="40">
        <v>78.59</v>
      </c>
      <c r="H28" s="40">
        <v>0.88</v>
      </c>
      <c r="I28" s="40">
        <v>8.82</v>
      </c>
      <c r="J28" s="40">
        <v>0.26</v>
      </c>
      <c r="K28" s="40">
        <v>209.29</v>
      </c>
      <c r="L28" s="40">
        <v>32.06</v>
      </c>
      <c r="M28" s="40">
        <v>26.73</v>
      </c>
      <c r="N28" s="40">
        <v>6.3</v>
      </c>
      <c r="O28" s="40">
        <v>0</v>
      </c>
      <c r="P28" s="40">
        <v>0.74</v>
      </c>
      <c r="Q28" s="40">
        <v>28.1</v>
      </c>
      <c r="R28" s="38"/>
      <c r="S28" s="38"/>
      <c r="T28" s="38"/>
      <c r="U28" s="38"/>
    </row>
    <row r="29" spans="1:21" customFormat="1">
      <c r="A29" s="39" t="s">
        <v>224</v>
      </c>
      <c r="B29" s="40">
        <v>4.2</v>
      </c>
      <c r="C29" s="40">
        <v>20.7</v>
      </c>
      <c r="D29" s="40">
        <v>15.53</v>
      </c>
      <c r="E29" s="40">
        <v>10.119999999999999</v>
      </c>
      <c r="F29" s="40">
        <v>2.5499999999999998</v>
      </c>
      <c r="G29" s="40">
        <v>86.72</v>
      </c>
      <c r="H29" s="40">
        <v>0.86</v>
      </c>
      <c r="I29" s="40">
        <v>8.73</v>
      </c>
      <c r="J29" s="40">
        <v>0.24</v>
      </c>
      <c r="K29" s="40">
        <v>200.01</v>
      </c>
      <c r="L29" s="40">
        <v>30.61</v>
      </c>
      <c r="M29" s="40">
        <v>26.97</v>
      </c>
      <c r="N29" s="40">
        <v>5.9</v>
      </c>
      <c r="O29" s="40">
        <v>0</v>
      </c>
      <c r="P29" s="40">
        <v>0.71</v>
      </c>
      <c r="Q29" s="40">
        <v>28.12</v>
      </c>
      <c r="R29" s="38"/>
      <c r="S29" s="38"/>
      <c r="T29" s="38"/>
      <c r="U29" s="38"/>
    </row>
    <row r="30" spans="1:21" customFormat="1">
      <c r="A30" s="39" t="s">
        <v>225</v>
      </c>
      <c r="B30" s="40">
        <v>4.34</v>
      </c>
      <c r="C30" s="40">
        <v>18.96</v>
      </c>
      <c r="D30" s="40">
        <v>14.61</v>
      </c>
      <c r="E30" s="40">
        <v>9.08</v>
      </c>
      <c r="F30" s="40">
        <v>2.56</v>
      </c>
      <c r="G30" s="40">
        <v>79.94</v>
      </c>
      <c r="H30" s="40">
        <v>0.83</v>
      </c>
      <c r="I30" s="40">
        <v>8.7799999999999994</v>
      </c>
      <c r="J30" s="40">
        <v>0.25</v>
      </c>
      <c r="K30" s="40">
        <v>160.94</v>
      </c>
      <c r="L30" s="40">
        <v>29.71</v>
      </c>
      <c r="M30" s="40">
        <v>30.63</v>
      </c>
      <c r="N30" s="40">
        <v>6</v>
      </c>
      <c r="O30" s="40">
        <v>0</v>
      </c>
      <c r="P30" s="40">
        <v>0.71</v>
      </c>
      <c r="Q30" s="40">
        <v>28.09</v>
      </c>
      <c r="R30" s="38"/>
      <c r="S30" s="38"/>
      <c r="T30" s="38"/>
      <c r="U30" s="38"/>
    </row>
    <row r="31" spans="1:21" customFormat="1">
      <c r="A31" s="39" t="s">
        <v>226</v>
      </c>
      <c r="B31" s="40">
        <v>4.9400000000000004</v>
      </c>
      <c r="C31" s="40">
        <v>19.7</v>
      </c>
      <c r="D31" s="40">
        <v>15.29</v>
      </c>
      <c r="E31" s="40">
        <v>8.61</v>
      </c>
      <c r="F31" s="40">
        <v>2.48</v>
      </c>
      <c r="G31" s="40">
        <v>80.8</v>
      </c>
      <c r="H31" s="40">
        <v>0.83</v>
      </c>
      <c r="I31" s="40">
        <v>9.11</v>
      </c>
      <c r="J31" s="40">
        <v>0.19</v>
      </c>
      <c r="K31" s="40">
        <v>184.45</v>
      </c>
      <c r="L31" s="40">
        <v>29.03</v>
      </c>
      <c r="M31" s="40">
        <v>34.979999999999997</v>
      </c>
      <c r="N31" s="40">
        <v>6.1</v>
      </c>
      <c r="O31" s="40">
        <v>0</v>
      </c>
      <c r="P31" s="40">
        <v>0.72</v>
      </c>
      <c r="Q31" s="40">
        <v>28.1</v>
      </c>
      <c r="R31" s="38"/>
      <c r="S31" s="38"/>
      <c r="T31" s="38"/>
      <c r="U31" s="38"/>
    </row>
    <row r="32" spans="1:21" customFormat="1">
      <c r="A32" s="39" t="s">
        <v>227</v>
      </c>
      <c r="B32" s="40">
        <v>5.44</v>
      </c>
      <c r="C32" s="40">
        <v>17.39</v>
      </c>
      <c r="D32" s="40">
        <v>14.43</v>
      </c>
      <c r="E32" s="40">
        <v>8.89</v>
      </c>
      <c r="F32" s="40">
        <v>2.41</v>
      </c>
      <c r="G32" s="40">
        <v>90.33</v>
      </c>
      <c r="H32" s="40">
        <v>0.94</v>
      </c>
      <c r="I32" s="40">
        <v>9.07</v>
      </c>
      <c r="J32" s="40">
        <v>0.16</v>
      </c>
      <c r="K32" s="40">
        <v>176.35</v>
      </c>
      <c r="L32" s="40">
        <v>28.73</v>
      </c>
      <c r="M32" s="40">
        <v>35.049999999999997</v>
      </c>
      <c r="N32" s="40">
        <v>6.1</v>
      </c>
      <c r="O32" s="40">
        <v>0</v>
      </c>
      <c r="P32" s="40">
        <v>0.71</v>
      </c>
      <c r="Q32" s="40">
        <v>28.13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3.58</v>
      </c>
      <c r="C34" s="18">
        <f t="shared" si="0"/>
        <v>16.87</v>
      </c>
      <c r="D34" s="18">
        <f t="shared" si="0"/>
        <v>13.37</v>
      </c>
      <c r="E34" s="18">
        <f t="shared" si="0"/>
        <v>8.08</v>
      </c>
      <c r="F34" s="18">
        <f t="shared" si="0"/>
        <v>2.23</v>
      </c>
      <c r="G34" s="18">
        <f t="shared" si="0"/>
        <v>45.95</v>
      </c>
      <c r="H34" s="18">
        <f t="shared" si="0"/>
        <v>0.81</v>
      </c>
      <c r="I34" s="18">
        <f t="shared" si="0"/>
        <v>6.97</v>
      </c>
      <c r="J34" s="18">
        <f t="shared" si="0"/>
        <v>0.16</v>
      </c>
      <c r="K34" s="18">
        <f t="shared" si="0"/>
        <v>56.75</v>
      </c>
      <c r="L34" s="18">
        <f t="shared" si="0"/>
        <v>23.34</v>
      </c>
      <c r="M34" s="18">
        <f t="shared" si="0"/>
        <v>7.17</v>
      </c>
      <c r="N34" s="18">
        <f t="shared" si="0"/>
        <v>5.8</v>
      </c>
      <c r="O34" s="18">
        <f t="shared" si="0"/>
        <v>0</v>
      </c>
      <c r="P34" s="18">
        <f t="shared" si="0"/>
        <v>0.59</v>
      </c>
      <c r="Q34" s="18">
        <f t="shared" si="0"/>
        <v>28.06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</v>
      </c>
      <c r="C35" s="3">
        <f t="shared" si="1"/>
        <v>31.65</v>
      </c>
      <c r="D35" s="3">
        <f t="shared" si="1"/>
        <v>22.86</v>
      </c>
      <c r="E35" s="3">
        <f t="shared" si="1"/>
        <v>12.71</v>
      </c>
      <c r="F35" s="3">
        <f t="shared" si="1"/>
        <v>10.19</v>
      </c>
      <c r="G35" s="3">
        <f t="shared" si="1"/>
        <v>90.33</v>
      </c>
      <c r="H35" s="3">
        <f t="shared" si="1"/>
        <v>1.02</v>
      </c>
      <c r="I35" s="3">
        <f t="shared" si="1"/>
        <v>12.14</v>
      </c>
      <c r="J35" s="3">
        <f t="shared" si="1"/>
        <v>1.68</v>
      </c>
      <c r="K35" s="3">
        <f t="shared" si="1"/>
        <v>337.13</v>
      </c>
      <c r="L35" s="3">
        <f t="shared" si="1"/>
        <v>41.74</v>
      </c>
      <c r="M35" s="3">
        <f t="shared" si="1"/>
        <v>55.42</v>
      </c>
      <c r="N35" s="3">
        <f t="shared" si="1"/>
        <v>833.1</v>
      </c>
      <c r="O35" s="3">
        <f t="shared" si="1"/>
        <v>0</v>
      </c>
      <c r="P35" s="3">
        <f t="shared" si="1"/>
        <v>0.99</v>
      </c>
      <c r="Q35" s="3">
        <f t="shared" si="1"/>
        <v>28.26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7.0837500000000011</v>
      </c>
      <c r="C36" s="18">
        <f t="shared" si="2"/>
        <v>20.313333333333329</v>
      </c>
      <c r="D36" s="18">
        <f t="shared" si="2"/>
        <v>17.481249999999999</v>
      </c>
      <c r="E36" s="18">
        <f t="shared" si="2"/>
        <v>10.433750000000002</v>
      </c>
      <c r="F36" s="18">
        <f t="shared" si="2"/>
        <v>3.6833333333333336</v>
      </c>
      <c r="G36" s="18">
        <f t="shared" si="2"/>
        <v>69.65625</v>
      </c>
      <c r="H36" s="18">
        <f t="shared" si="2"/>
        <v>0.90708333333333335</v>
      </c>
      <c r="I36" s="18">
        <f t="shared" si="2"/>
        <v>9.4141666666666666</v>
      </c>
      <c r="J36" s="18">
        <f t="shared" si="2"/>
        <v>0.67249999999999988</v>
      </c>
      <c r="K36" s="18">
        <f t="shared" si="2"/>
        <v>222.92083333333332</v>
      </c>
      <c r="L36" s="18">
        <f t="shared" si="2"/>
        <v>32.507916666666674</v>
      </c>
      <c r="M36" s="18">
        <f t="shared" si="2"/>
        <v>30.536666666666662</v>
      </c>
      <c r="N36" s="18">
        <f t="shared" si="2"/>
        <v>250.00416666666669</v>
      </c>
      <c r="O36" s="18">
        <f t="shared" si="2"/>
        <v>0</v>
      </c>
      <c r="P36" s="18">
        <f t="shared" si="2"/>
        <v>0.76541666666666675</v>
      </c>
      <c r="Q36" s="18">
        <f t="shared" si="2"/>
        <v>28.136666666666667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3.4541466101408922</v>
      </c>
      <c r="C37" s="18">
        <f t="shared" ref="C37:Q37" si="3">STDEV(C9:C32)</f>
        <v>4.1867645146878489</v>
      </c>
      <c r="D37" s="18">
        <f t="shared" si="3"/>
        <v>3.1664879907639158</v>
      </c>
      <c r="E37" s="18">
        <f t="shared" si="3"/>
        <v>1.2538317358158895</v>
      </c>
      <c r="F37" s="18">
        <f t="shared" si="3"/>
        <v>2.3052598960650394</v>
      </c>
      <c r="G37" s="18">
        <f t="shared" si="3"/>
        <v>11.31005086387669</v>
      </c>
      <c r="H37" s="18">
        <f t="shared" si="3"/>
        <v>5.0689092100480691E-2</v>
      </c>
      <c r="I37" s="18">
        <f t="shared" si="3"/>
        <v>1.2179559379003286</v>
      </c>
      <c r="J37" s="18">
        <f t="shared" si="3"/>
        <v>0.48030108310806763</v>
      </c>
      <c r="K37" s="18">
        <f t="shared" si="3"/>
        <v>76.896984274935832</v>
      </c>
      <c r="L37" s="18">
        <f t="shared" si="3"/>
        <v>6.3070188500876956</v>
      </c>
      <c r="M37" s="18">
        <f t="shared" si="3"/>
        <v>14.655570440195637</v>
      </c>
      <c r="N37" s="18">
        <f t="shared" si="3"/>
        <v>320.44040954417807</v>
      </c>
      <c r="O37" s="18">
        <f t="shared" si="3"/>
        <v>0</v>
      </c>
      <c r="P37" s="18">
        <f t="shared" si="3"/>
        <v>9.7489315653903952E-2</v>
      </c>
      <c r="Q37" s="18">
        <f t="shared" si="3"/>
        <v>7.1058253301913579E-2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08/04/2025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228</v>
      </c>
      <c r="B9" s="40">
        <v>12.46</v>
      </c>
      <c r="C9" s="40">
        <v>20.91</v>
      </c>
      <c r="D9" s="40">
        <v>22.25</v>
      </c>
      <c r="E9" s="40">
        <v>8.93</v>
      </c>
      <c r="F9" s="40">
        <v>2.4300000000000002</v>
      </c>
      <c r="G9" s="40">
        <v>105.2</v>
      </c>
      <c r="H9" s="40">
        <v>0.95</v>
      </c>
      <c r="I9" s="40">
        <v>9.15</v>
      </c>
      <c r="J9" s="40">
        <v>0.19</v>
      </c>
      <c r="K9" s="40">
        <v>207.55</v>
      </c>
      <c r="L9" s="40">
        <v>28.29</v>
      </c>
      <c r="M9" s="40">
        <v>41.11</v>
      </c>
      <c r="N9" s="40">
        <v>6.4</v>
      </c>
      <c r="O9" s="40">
        <v>0</v>
      </c>
      <c r="P9" s="40">
        <v>0.73</v>
      </c>
      <c r="Q9" s="40">
        <v>28.12</v>
      </c>
      <c r="R9" s="38"/>
      <c r="S9" s="38"/>
      <c r="T9" s="38"/>
      <c r="U9" s="38"/>
    </row>
    <row r="10" spans="1:21" customFormat="1">
      <c r="A10" s="39" t="s">
        <v>229</v>
      </c>
      <c r="B10" s="40">
        <v>8.6</v>
      </c>
      <c r="C10" s="40">
        <v>16.47</v>
      </c>
      <c r="D10" s="40">
        <v>16.690000000000001</v>
      </c>
      <c r="E10" s="40">
        <v>8.17</v>
      </c>
      <c r="F10" s="40">
        <v>2.2999999999999998</v>
      </c>
      <c r="G10" s="40">
        <v>122.69</v>
      </c>
      <c r="H10" s="40">
        <v>1.1000000000000001</v>
      </c>
      <c r="I10" s="40">
        <v>9.19</v>
      </c>
      <c r="J10" s="40">
        <v>0.18</v>
      </c>
      <c r="K10" s="40">
        <v>177.87</v>
      </c>
      <c r="L10" s="40">
        <v>26.63</v>
      </c>
      <c r="M10" s="40">
        <v>43.22</v>
      </c>
      <c r="N10" s="40">
        <v>6.2</v>
      </c>
      <c r="O10" s="40">
        <v>0</v>
      </c>
      <c r="P10" s="40">
        <v>0.73</v>
      </c>
      <c r="Q10" s="40">
        <v>28.14</v>
      </c>
      <c r="R10" s="38"/>
      <c r="S10" s="38"/>
      <c r="T10" s="38"/>
      <c r="U10" s="38"/>
    </row>
    <row r="11" spans="1:21" customFormat="1">
      <c r="A11" s="39" t="s">
        <v>230</v>
      </c>
      <c r="B11" s="40">
        <v>9.9</v>
      </c>
      <c r="C11" s="40">
        <v>16.86</v>
      </c>
      <c r="D11" s="40">
        <v>18.02</v>
      </c>
      <c r="E11" s="40">
        <v>8.89</v>
      </c>
      <c r="F11" s="40">
        <v>2.3199999999999998</v>
      </c>
      <c r="G11" s="40">
        <v>103.28</v>
      </c>
      <c r="H11" s="40">
        <v>1.07</v>
      </c>
      <c r="I11" s="40">
        <v>9.2799999999999994</v>
      </c>
      <c r="J11" s="40">
        <v>0.49</v>
      </c>
      <c r="K11" s="40">
        <v>229.53</v>
      </c>
      <c r="L11" s="40">
        <v>27.3</v>
      </c>
      <c r="M11" s="40">
        <v>46.37</v>
      </c>
      <c r="N11" s="40">
        <v>6.7</v>
      </c>
      <c r="O11" s="40">
        <v>0</v>
      </c>
      <c r="P11" s="40">
        <v>0.72</v>
      </c>
      <c r="Q11" s="40">
        <v>28.16</v>
      </c>
      <c r="R11" s="38"/>
      <c r="S11" s="38"/>
      <c r="T11" s="38"/>
      <c r="U11" s="38"/>
    </row>
    <row r="12" spans="1:21" customFormat="1">
      <c r="A12" s="39" t="s">
        <v>231</v>
      </c>
      <c r="B12" s="40">
        <v>13.09</v>
      </c>
      <c r="C12" s="40">
        <v>19.29</v>
      </c>
      <c r="D12" s="40">
        <v>21.92</v>
      </c>
      <c r="E12" s="40">
        <v>8.5500000000000007</v>
      </c>
      <c r="F12" s="40">
        <v>2.2999999999999998</v>
      </c>
      <c r="G12" s="40">
        <v>79.81</v>
      </c>
      <c r="H12" s="40">
        <v>1.23</v>
      </c>
      <c r="I12" s="40">
        <v>9.3800000000000008</v>
      </c>
      <c r="J12" s="40">
        <v>0.26</v>
      </c>
      <c r="K12" s="40">
        <v>173.39</v>
      </c>
      <c r="L12" s="40">
        <v>26.12</v>
      </c>
      <c r="M12" s="40">
        <v>44.65</v>
      </c>
      <c r="N12" s="40">
        <v>6</v>
      </c>
      <c r="O12" s="40">
        <v>0</v>
      </c>
      <c r="P12" s="40">
        <v>0.73</v>
      </c>
      <c r="Q12" s="40">
        <v>28.23</v>
      </c>
      <c r="R12" s="38"/>
      <c r="S12" s="38"/>
      <c r="T12" s="38"/>
      <c r="U12" s="38"/>
    </row>
    <row r="13" spans="1:21" customFormat="1">
      <c r="A13" s="39" t="s">
        <v>232</v>
      </c>
      <c r="B13" s="40">
        <v>12.94</v>
      </c>
      <c r="C13" s="40">
        <v>19.27</v>
      </c>
      <c r="D13" s="40">
        <v>21.8</v>
      </c>
      <c r="E13" s="40">
        <v>8.6</v>
      </c>
      <c r="F13" s="40">
        <v>2.31</v>
      </c>
      <c r="G13" s="40">
        <v>77.42</v>
      </c>
      <c r="H13" s="40">
        <v>1.07</v>
      </c>
      <c r="I13" s="40">
        <v>9.31</v>
      </c>
      <c r="J13" s="40">
        <v>0.22</v>
      </c>
      <c r="K13" s="40">
        <v>240.63</v>
      </c>
      <c r="L13" s="40">
        <v>25.79</v>
      </c>
      <c r="M13" s="40">
        <v>48.53</v>
      </c>
      <c r="N13" s="40">
        <v>6.4</v>
      </c>
      <c r="O13" s="40">
        <v>0</v>
      </c>
      <c r="P13" s="40">
        <v>0.72</v>
      </c>
      <c r="Q13" s="40">
        <v>28.23</v>
      </c>
      <c r="R13" s="38"/>
      <c r="S13" s="38"/>
      <c r="T13" s="38"/>
      <c r="U13" s="38"/>
    </row>
    <row r="14" spans="1:21" customFormat="1">
      <c r="A14" s="39" t="s">
        <v>233</v>
      </c>
      <c r="B14" s="40">
        <v>11</v>
      </c>
      <c r="C14" s="40">
        <v>18.399999999999999</v>
      </c>
      <c r="D14" s="40">
        <v>19.78</v>
      </c>
      <c r="E14" s="40">
        <v>8.26</v>
      </c>
      <c r="F14" s="40">
        <v>2.58</v>
      </c>
      <c r="G14" s="40">
        <v>75.73</v>
      </c>
      <c r="H14" s="40">
        <v>1.06</v>
      </c>
      <c r="I14" s="40">
        <v>9.17</v>
      </c>
      <c r="J14" s="40">
        <v>0.2</v>
      </c>
      <c r="K14" s="40">
        <v>264.25</v>
      </c>
      <c r="L14" s="40">
        <v>25.87</v>
      </c>
      <c r="M14" s="40">
        <v>50.81</v>
      </c>
      <c r="N14" s="40">
        <v>11.8</v>
      </c>
      <c r="O14" s="40">
        <v>0</v>
      </c>
      <c r="P14" s="40">
        <v>0.7</v>
      </c>
      <c r="Q14" s="40">
        <v>28.19</v>
      </c>
      <c r="R14" s="38"/>
      <c r="S14" s="38"/>
      <c r="T14" s="38"/>
      <c r="U14" s="38"/>
    </row>
    <row r="15" spans="1:21" customFormat="1">
      <c r="A15" s="39" t="s">
        <v>234</v>
      </c>
      <c r="B15" s="40">
        <v>8.17</v>
      </c>
      <c r="C15" s="40">
        <v>17.09</v>
      </c>
      <c r="D15" s="40">
        <v>16.78</v>
      </c>
      <c r="E15" s="40">
        <v>8.23</v>
      </c>
      <c r="F15" s="40">
        <v>2.2999999999999998</v>
      </c>
      <c r="G15" s="40">
        <v>59.38</v>
      </c>
      <c r="H15" s="40">
        <v>1.37</v>
      </c>
      <c r="I15" s="40">
        <v>8.84</v>
      </c>
      <c r="J15" s="40">
        <v>0.31</v>
      </c>
      <c r="K15" s="40">
        <v>262</v>
      </c>
      <c r="L15" s="40">
        <v>27.44</v>
      </c>
      <c r="M15" s="40">
        <v>50.71</v>
      </c>
      <c r="N15" s="40">
        <v>59.1</v>
      </c>
      <c r="O15" s="40">
        <v>0</v>
      </c>
      <c r="P15" s="40">
        <v>0.64</v>
      </c>
      <c r="Q15" s="40">
        <v>28.14</v>
      </c>
      <c r="R15" s="38"/>
      <c r="S15" s="38"/>
      <c r="T15" s="38"/>
      <c r="U15" s="38"/>
    </row>
    <row r="16" spans="1:21" customFormat="1">
      <c r="A16" s="39" t="s">
        <v>235</v>
      </c>
      <c r="B16" s="40">
        <v>6.3</v>
      </c>
      <c r="C16" s="40">
        <v>16.82</v>
      </c>
      <c r="D16" s="40">
        <v>15.16</v>
      </c>
      <c r="E16" s="40">
        <v>8.4</v>
      </c>
      <c r="F16" s="40">
        <v>2.5499999999999998</v>
      </c>
      <c r="G16" s="40">
        <v>42.47</v>
      </c>
      <c r="H16" s="40">
        <v>2.2999999999999998</v>
      </c>
      <c r="I16" s="40">
        <v>8.2100000000000009</v>
      </c>
      <c r="J16" s="40">
        <v>0.6</v>
      </c>
      <c r="K16" s="40">
        <v>264.85000000000002</v>
      </c>
      <c r="L16" s="40">
        <v>29.89</v>
      </c>
      <c r="M16" s="40">
        <v>49.55</v>
      </c>
      <c r="N16" s="40">
        <v>154.1</v>
      </c>
      <c r="O16" s="40">
        <v>0</v>
      </c>
      <c r="P16" s="40">
        <v>0.6</v>
      </c>
      <c r="Q16" s="40">
        <v>28.12</v>
      </c>
      <c r="R16" s="38"/>
      <c r="S16" s="38"/>
      <c r="T16" s="38"/>
      <c r="U16" s="38"/>
    </row>
    <row r="17" spans="1:21" customFormat="1">
      <c r="A17" s="39" t="s">
        <v>236</v>
      </c>
      <c r="B17" s="40">
        <v>5.3</v>
      </c>
      <c r="C17" s="40">
        <v>16.39</v>
      </c>
      <c r="D17" s="40">
        <v>14.15</v>
      </c>
      <c r="E17" s="40">
        <v>8.8699999999999992</v>
      </c>
      <c r="F17" s="40">
        <v>2.39</v>
      </c>
      <c r="G17" s="40">
        <v>38.880000000000003</v>
      </c>
      <c r="H17" s="40">
        <v>2.57</v>
      </c>
      <c r="I17" s="40">
        <v>7.83</v>
      </c>
      <c r="J17" s="40">
        <v>1.01</v>
      </c>
      <c r="K17" s="40">
        <v>262.33999999999997</v>
      </c>
      <c r="L17" s="40">
        <v>32.4</v>
      </c>
      <c r="M17" s="40">
        <v>46.38</v>
      </c>
      <c r="N17" s="40">
        <v>315.10000000000002</v>
      </c>
      <c r="O17" s="40">
        <v>0</v>
      </c>
      <c r="P17" s="40">
        <v>0.57999999999999996</v>
      </c>
      <c r="Q17" s="40">
        <v>28.1</v>
      </c>
      <c r="R17" s="38"/>
      <c r="S17" s="38"/>
      <c r="T17" s="38"/>
      <c r="U17" s="38"/>
    </row>
    <row r="18" spans="1:21" customFormat="1">
      <c r="A18" s="39" t="s">
        <v>237</v>
      </c>
      <c r="B18" s="40">
        <v>5.05</v>
      </c>
      <c r="C18" s="40">
        <v>15.61</v>
      </c>
      <c r="D18" s="40">
        <v>13.48</v>
      </c>
      <c r="E18" s="40">
        <v>9.08</v>
      </c>
      <c r="F18" s="40">
        <v>2.5</v>
      </c>
      <c r="G18" s="40">
        <v>38.770000000000003</v>
      </c>
      <c r="H18" s="40">
        <v>2.74</v>
      </c>
      <c r="I18" s="40">
        <v>7.44</v>
      </c>
      <c r="J18" s="40">
        <v>1.03</v>
      </c>
      <c r="K18" s="40">
        <v>260.10000000000002</v>
      </c>
      <c r="L18" s="40">
        <v>34.07</v>
      </c>
      <c r="M18" s="40">
        <v>41.69</v>
      </c>
      <c r="N18" s="40">
        <v>592.1</v>
      </c>
      <c r="O18" s="40">
        <v>0</v>
      </c>
      <c r="P18" s="40">
        <v>0.53</v>
      </c>
      <c r="Q18" s="40">
        <v>28.08</v>
      </c>
      <c r="R18" s="38"/>
      <c r="S18" s="38"/>
      <c r="T18" s="38"/>
      <c r="U18" s="38"/>
    </row>
    <row r="19" spans="1:21" customFormat="1">
      <c r="A19" s="39" t="s">
        <v>238</v>
      </c>
      <c r="B19" s="40">
        <v>4.78</v>
      </c>
      <c r="C19" s="40">
        <v>14.83</v>
      </c>
      <c r="D19" s="40">
        <v>12.92</v>
      </c>
      <c r="E19" s="40">
        <v>9.07</v>
      </c>
      <c r="F19" s="40">
        <v>2.73</v>
      </c>
      <c r="G19" s="40">
        <v>37.01</v>
      </c>
      <c r="H19" s="40">
        <v>1.94</v>
      </c>
      <c r="I19" s="40">
        <v>7.25</v>
      </c>
      <c r="J19" s="40">
        <v>0.85</v>
      </c>
      <c r="K19" s="40">
        <v>265.32</v>
      </c>
      <c r="L19" s="40">
        <v>35.83</v>
      </c>
      <c r="M19" s="40">
        <v>37.06</v>
      </c>
      <c r="N19" s="40">
        <v>704.7</v>
      </c>
      <c r="O19" s="40">
        <v>0</v>
      </c>
      <c r="P19" s="40">
        <v>0.52</v>
      </c>
      <c r="Q19" s="40">
        <v>28.08</v>
      </c>
      <c r="R19" s="38"/>
      <c r="S19" s="38"/>
      <c r="T19" s="38"/>
      <c r="U19" s="38"/>
    </row>
    <row r="20" spans="1:21" customFormat="1">
      <c r="A20" s="39" t="s">
        <v>239</v>
      </c>
      <c r="B20" s="40">
        <v>4.37</v>
      </c>
      <c r="C20" s="40">
        <v>11.82</v>
      </c>
      <c r="D20" s="40">
        <v>11.03</v>
      </c>
      <c r="E20" s="40">
        <v>8.82</v>
      </c>
      <c r="F20" s="40">
        <v>3.29</v>
      </c>
      <c r="G20" s="40">
        <v>37.01</v>
      </c>
      <c r="H20" s="40">
        <v>1.94</v>
      </c>
      <c r="I20" s="40">
        <v>6.92</v>
      </c>
      <c r="J20" s="40">
        <v>0.87</v>
      </c>
      <c r="K20" s="40">
        <v>304.52</v>
      </c>
      <c r="L20" s="40">
        <v>37.53</v>
      </c>
      <c r="M20" s="40">
        <v>32.49</v>
      </c>
      <c r="N20" s="40">
        <v>774.4</v>
      </c>
      <c r="O20" s="40">
        <v>0</v>
      </c>
      <c r="P20" s="40">
        <v>0.48</v>
      </c>
      <c r="Q20" s="40">
        <v>28.06</v>
      </c>
      <c r="R20" s="38"/>
      <c r="S20" s="38"/>
      <c r="T20" s="38"/>
      <c r="U20" s="38"/>
    </row>
    <row r="21" spans="1:21" customFormat="1">
      <c r="A21" s="39" t="s">
        <v>240</v>
      </c>
      <c r="B21" s="40">
        <v>3.87</v>
      </c>
      <c r="C21" s="40">
        <v>8.8699999999999992</v>
      </c>
      <c r="D21" s="40">
        <v>9.0399999999999991</v>
      </c>
      <c r="E21" s="40">
        <v>8.2799999999999994</v>
      </c>
      <c r="F21" s="40">
        <v>4.5</v>
      </c>
      <c r="G21" s="40">
        <v>27.2</v>
      </c>
      <c r="H21" s="40">
        <v>17.350000000000001</v>
      </c>
      <c r="I21" s="40">
        <v>5.26</v>
      </c>
      <c r="J21" s="40">
        <v>0.97</v>
      </c>
      <c r="K21" s="40">
        <v>292.49</v>
      </c>
      <c r="L21" s="40">
        <v>38.53</v>
      </c>
      <c r="M21" s="40">
        <v>26.94</v>
      </c>
      <c r="N21" s="40">
        <v>790.9</v>
      </c>
      <c r="O21" s="40">
        <v>0</v>
      </c>
      <c r="P21" s="40">
        <v>0.43</v>
      </c>
      <c r="Q21" s="40">
        <v>28.03</v>
      </c>
      <c r="R21" s="38"/>
      <c r="S21" s="38"/>
      <c r="T21" s="38"/>
      <c r="U21" s="38"/>
    </row>
    <row r="22" spans="1:21" customFormat="1">
      <c r="A22" s="39" t="s">
        <v>241</v>
      </c>
      <c r="B22" s="40">
        <v>3.92</v>
      </c>
      <c r="C22" s="40">
        <v>12.45</v>
      </c>
      <c r="D22" s="40">
        <v>10.93</v>
      </c>
      <c r="E22" s="40">
        <v>10.81</v>
      </c>
      <c r="F22" s="40">
        <v>4.33</v>
      </c>
      <c r="G22" s="40">
        <v>32.520000000000003</v>
      </c>
      <c r="H22" s="40">
        <v>18.79</v>
      </c>
      <c r="I22" s="40">
        <v>5.35</v>
      </c>
      <c r="J22" s="40">
        <v>0.88</v>
      </c>
      <c r="K22" s="40">
        <v>306.44</v>
      </c>
      <c r="L22" s="40">
        <v>39.11</v>
      </c>
      <c r="M22" s="40">
        <v>21.82</v>
      </c>
      <c r="N22" s="40">
        <v>763.8</v>
      </c>
      <c r="O22" s="40">
        <v>0</v>
      </c>
      <c r="P22" s="40">
        <v>0.44</v>
      </c>
      <c r="Q22" s="40">
        <v>28.06</v>
      </c>
      <c r="R22" s="38"/>
      <c r="S22" s="38"/>
      <c r="T22" s="38"/>
      <c r="U22" s="38"/>
    </row>
    <row r="23" spans="1:21" customFormat="1">
      <c r="A23" s="39" t="s">
        <v>242</v>
      </c>
      <c r="B23" s="40">
        <v>4.24</v>
      </c>
      <c r="C23" s="40">
        <v>15.11</v>
      </c>
      <c r="D23" s="40">
        <v>12.65</v>
      </c>
      <c r="E23" s="40">
        <v>13.31</v>
      </c>
      <c r="F23" s="40">
        <v>5.77</v>
      </c>
      <c r="G23" s="40">
        <v>35.950000000000003</v>
      </c>
      <c r="H23" s="40">
        <v>16.940000000000001</v>
      </c>
      <c r="I23" s="40">
        <v>6.69</v>
      </c>
      <c r="J23" s="40">
        <v>0.44</v>
      </c>
      <c r="K23" s="40">
        <v>355.05</v>
      </c>
      <c r="L23" s="40">
        <v>40.24</v>
      </c>
      <c r="M23" s="40">
        <v>19.77</v>
      </c>
      <c r="N23" s="40">
        <v>622.1</v>
      </c>
      <c r="O23" s="40">
        <v>0</v>
      </c>
      <c r="P23" s="40">
        <v>0.54</v>
      </c>
      <c r="Q23" s="40">
        <v>28.05</v>
      </c>
      <c r="R23" s="38"/>
      <c r="S23" s="38"/>
      <c r="T23" s="38"/>
      <c r="U23" s="38"/>
    </row>
    <row r="24" spans="1:21" customFormat="1">
      <c r="A24" s="39" t="s">
        <v>243</v>
      </c>
      <c r="B24" s="40">
        <v>4</v>
      </c>
      <c r="C24" s="40">
        <v>13.87</v>
      </c>
      <c r="D24" s="40">
        <v>11.81</v>
      </c>
      <c r="E24" s="40">
        <v>12.22</v>
      </c>
      <c r="F24" s="40">
        <v>3.59</v>
      </c>
      <c r="G24" s="40">
        <v>38.76</v>
      </c>
      <c r="H24" s="40">
        <v>22.17</v>
      </c>
      <c r="I24" s="40">
        <v>6.75</v>
      </c>
      <c r="J24" s="40">
        <v>0.74</v>
      </c>
      <c r="K24" s="40">
        <v>322.33999999999997</v>
      </c>
      <c r="L24" s="40">
        <v>40.229999999999997</v>
      </c>
      <c r="M24" s="40">
        <v>18.62</v>
      </c>
      <c r="N24" s="40">
        <v>548.20000000000005</v>
      </c>
      <c r="O24" s="40">
        <v>0</v>
      </c>
      <c r="P24" s="40">
        <v>0.55000000000000004</v>
      </c>
      <c r="Q24" s="40">
        <v>28.07</v>
      </c>
      <c r="R24" s="38"/>
      <c r="S24" s="38"/>
      <c r="T24" s="38"/>
      <c r="U24" s="38"/>
    </row>
    <row r="25" spans="1:21" customFormat="1">
      <c r="A25" s="39" t="s">
        <v>244</v>
      </c>
      <c r="B25" s="40">
        <v>3.81</v>
      </c>
      <c r="C25" s="40">
        <v>12.16</v>
      </c>
      <c r="D25" s="40">
        <v>10.76</v>
      </c>
      <c r="E25" s="40">
        <v>12.3</v>
      </c>
      <c r="F25" s="40">
        <v>3.01</v>
      </c>
      <c r="G25" s="40">
        <v>38.35</v>
      </c>
      <c r="H25" s="40">
        <v>20.420000000000002</v>
      </c>
      <c r="I25" s="40">
        <v>6.71</v>
      </c>
      <c r="J25" s="40">
        <v>0.62</v>
      </c>
      <c r="K25" s="40">
        <v>266.23</v>
      </c>
      <c r="L25" s="40">
        <v>39.35</v>
      </c>
      <c r="M25" s="40">
        <v>20.059999999999999</v>
      </c>
      <c r="N25" s="40">
        <v>300</v>
      </c>
      <c r="O25" s="40">
        <v>0</v>
      </c>
      <c r="P25" s="40">
        <v>0.52</v>
      </c>
      <c r="Q25" s="40">
        <v>28.07</v>
      </c>
      <c r="R25" s="38"/>
      <c r="S25" s="38"/>
      <c r="T25" s="38"/>
      <c r="U25" s="38"/>
    </row>
    <row r="26" spans="1:21" customFormat="1">
      <c r="A26" s="39" t="s">
        <v>245</v>
      </c>
      <c r="B26" s="40">
        <v>3.71</v>
      </c>
      <c r="C26" s="40">
        <v>10.17</v>
      </c>
      <c r="D26" s="40">
        <v>9.64</v>
      </c>
      <c r="E26" s="40">
        <v>13.42</v>
      </c>
      <c r="F26" s="40">
        <v>2.8</v>
      </c>
      <c r="G26" s="40">
        <v>42.61</v>
      </c>
      <c r="H26" s="40">
        <v>19.79</v>
      </c>
      <c r="I26" s="40">
        <v>5.71</v>
      </c>
      <c r="J26" s="40">
        <v>0.3</v>
      </c>
      <c r="K26" s="40">
        <v>176.24</v>
      </c>
      <c r="L26" s="40">
        <v>38.51</v>
      </c>
      <c r="M26" s="40">
        <v>24.03</v>
      </c>
      <c r="N26" s="40">
        <v>80.8</v>
      </c>
      <c r="O26" s="40">
        <v>0</v>
      </c>
      <c r="P26" s="40">
        <v>0.49</v>
      </c>
      <c r="Q26" s="40">
        <v>28.05</v>
      </c>
      <c r="R26" s="38"/>
      <c r="S26" s="38"/>
      <c r="T26" s="38"/>
      <c r="U26" s="38"/>
    </row>
    <row r="27" spans="1:21" customFormat="1">
      <c r="A27" s="39" t="s">
        <v>246</v>
      </c>
      <c r="B27" s="40">
        <v>3.99</v>
      </c>
      <c r="C27" s="40">
        <v>10.11</v>
      </c>
      <c r="D27" s="40">
        <v>9.83</v>
      </c>
      <c r="E27" s="40">
        <v>9.91</v>
      </c>
      <c r="F27" s="40">
        <v>2.2799999999999998</v>
      </c>
      <c r="G27" s="40">
        <v>40.909999999999997</v>
      </c>
      <c r="H27" s="40">
        <v>16.600000000000001</v>
      </c>
      <c r="I27" s="40">
        <v>5.32</v>
      </c>
      <c r="J27" s="40">
        <v>0.25</v>
      </c>
      <c r="K27" s="40">
        <v>192.19</v>
      </c>
      <c r="L27" s="40">
        <v>35.21</v>
      </c>
      <c r="M27" s="40">
        <v>30.11</v>
      </c>
      <c r="N27" s="40">
        <v>10.8</v>
      </c>
      <c r="O27" s="40">
        <v>0</v>
      </c>
      <c r="P27" s="40">
        <v>0.56999999999999995</v>
      </c>
      <c r="Q27" s="40">
        <v>28.04</v>
      </c>
      <c r="R27" s="38"/>
      <c r="S27" s="38"/>
      <c r="T27" s="38"/>
      <c r="U27" s="38"/>
    </row>
    <row r="28" spans="1:21" customFormat="1">
      <c r="A28" s="39" t="s">
        <v>247</v>
      </c>
      <c r="B28" s="40">
        <v>4.2300000000000004</v>
      </c>
      <c r="C28" s="40">
        <v>11.4</v>
      </c>
      <c r="D28" s="40">
        <v>10.7</v>
      </c>
      <c r="E28" s="40">
        <v>9.23</v>
      </c>
      <c r="F28" s="40">
        <v>2.46</v>
      </c>
      <c r="G28" s="40">
        <v>54.77</v>
      </c>
      <c r="H28" s="40">
        <v>20.260000000000002</v>
      </c>
      <c r="I28" s="40">
        <v>7.74</v>
      </c>
      <c r="J28" s="40">
        <v>0.26</v>
      </c>
      <c r="K28" s="40">
        <v>200.63</v>
      </c>
      <c r="L28" s="40">
        <v>33.01</v>
      </c>
      <c r="M28" s="40">
        <v>34.56</v>
      </c>
      <c r="N28" s="40">
        <v>6.2</v>
      </c>
      <c r="O28" s="40">
        <v>0</v>
      </c>
      <c r="P28" s="40">
        <v>0.64</v>
      </c>
      <c r="Q28" s="40">
        <v>28.06</v>
      </c>
      <c r="R28" s="38"/>
      <c r="S28" s="38"/>
      <c r="T28" s="38"/>
      <c r="U28" s="38"/>
    </row>
    <row r="29" spans="1:21" customFormat="1">
      <c r="A29" s="39" t="s">
        <v>248</v>
      </c>
      <c r="B29" s="40">
        <v>4.46</v>
      </c>
      <c r="C29" s="40">
        <v>13.13</v>
      </c>
      <c r="D29" s="40">
        <v>11.79</v>
      </c>
      <c r="E29" s="40">
        <v>8.6</v>
      </c>
      <c r="F29" s="40">
        <v>2.37</v>
      </c>
      <c r="G29" s="40">
        <v>64.95</v>
      </c>
      <c r="H29" s="40">
        <v>22.49</v>
      </c>
      <c r="I29" s="40">
        <v>8.4600000000000009</v>
      </c>
      <c r="J29" s="40">
        <v>0.24</v>
      </c>
      <c r="K29" s="40">
        <v>171.46</v>
      </c>
      <c r="L29" s="40">
        <v>32.049999999999997</v>
      </c>
      <c r="M29" s="40">
        <v>35.79</v>
      </c>
      <c r="N29" s="40">
        <v>6.1</v>
      </c>
      <c r="O29" s="40">
        <v>0</v>
      </c>
      <c r="P29" s="40">
        <v>0.6</v>
      </c>
      <c r="Q29" s="40">
        <v>28.07</v>
      </c>
      <c r="R29" s="38"/>
      <c r="S29" s="38"/>
      <c r="T29" s="38"/>
      <c r="U29" s="38"/>
    </row>
    <row r="30" spans="1:21" customFormat="1">
      <c r="A30" s="39" t="s">
        <v>249</v>
      </c>
      <c r="B30" s="40">
        <v>4.59</v>
      </c>
      <c r="C30" s="40">
        <v>12.3</v>
      </c>
      <c r="D30" s="40">
        <v>11.4</v>
      </c>
      <c r="E30" s="40">
        <v>8.02</v>
      </c>
      <c r="F30" s="40">
        <v>2.4300000000000002</v>
      </c>
      <c r="G30" s="40">
        <v>79.77</v>
      </c>
      <c r="H30" s="40">
        <v>24.68</v>
      </c>
      <c r="I30" s="40">
        <v>6.88</v>
      </c>
      <c r="J30" s="40">
        <v>0.25</v>
      </c>
      <c r="K30" s="40">
        <v>153.35</v>
      </c>
      <c r="L30" s="40">
        <v>32.22</v>
      </c>
      <c r="M30" s="40">
        <v>37.159999999999997</v>
      </c>
      <c r="N30" s="40">
        <v>5.9</v>
      </c>
      <c r="O30" s="40">
        <v>0</v>
      </c>
      <c r="P30" s="40">
        <v>0.59</v>
      </c>
      <c r="Q30" s="40">
        <v>28.08</v>
      </c>
      <c r="R30" s="38"/>
      <c r="S30" s="38"/>
      <c r="T30" s="38"/>
      <c r="U30" s="38"/>
    </row>
    <row r="31" spans="1:21" customFormat="1">
      <c r="A31" s="39" t="s">
        <v>250</v>
      </c>
      <c r="B31" s="40">
        <v>4.68</v>
      </c>
      <c r="C31" s="40">
        <v>12.07</v>
      </c>
      <c r="D31" s="40">
        <v>11.33</v>
      </c>
      <c r="E31" s="40">
        <v>7.67</v>
      </c>
      <c r="F31" s="40">
        <v>2.33</v>
      </c>
      <c r="G31" s="40">
        <v>80.8</v>
      </c>
      <c r="H31" s="40">
        <v>23.84</v>
      </c>
      <c r="I31" s="40">
        <v>6.48</v>
      </c>
      <c r="J31" s="40">
        <v>0.32</v>
      </c>
      <c r="K31" s="40">
        <v>143.57</v>
      </c>
      <c r="L31" s="40">
        <v>31.81</v>
      </c>
      <c r="M31" s="40">
        <v>36.630000000000003</v>
      </c>
      <c r="N31" s="40">
        <v>6.1</v>
      </c>
      <c r="O31" s="40">
        <v>0</v>
      </c>
      <c r="P31" s="40">
        <v>0.56999999999999995</v>
      </c>
      <c r="Q31" s="40">
        <v>28.07</v>
      </c>
      <c r="R31" s="38"/>
      <c r="S31" s="38"/>
      <c r="T31" s="38"/>
      <c r="U31" s="38"/>
    </row>
    <row r="32" spans="1:21" customFormat="1">
      <c r="A32" s="39" t="s">
        <v>251</v>
      </c>
      <c r="B32" s="40">
        <v>4.3600000000000003</v>
      </c>
      <c r="C32" s="40">
        <v>12.38</v>
      </c>
      <c r="D32" s="40">
        <v>11.26</v>
      </c>
      <c r="E32" s="40">
        <v>7.45</v>
      </c>
      <c r="F32" s="40">
        <v>2.38</v>
      </c>
      <c r="G32" s="40">
        <v>64.91</v>
      </c>
      <c r="H32" s="40">
        <v>19.96</v>
      </c>
      <c r="I32" s="40">
        <v>6.59</v>
      </c>
      <c r="J32" s="40">
        <v>0.3</v>
      </c>
      <c r="K32" s="40">
        <v>258.87</v>
      </c>
      <c r="L32" s="40">
        <v>31.75</v>
      </c>
      <c r="M32" s="40">
        <v>35.1</v>
      </c>
      <c r="N32" s="40">
        <v>6.5</v>
      </c>
      <c r="O32" s="40">
        <v>0</v>
      </c>
      <c r="P32" s="40">
        <v>0.56000000000000005</v>
      </c>
      <c r="Q32" s="40">
        <v>28.05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3.71</v>
      </c>
      <c r="C34" s="18">
        <f t="shared" si="0"/>
        <v>8.8699999999999992</v>
      </c>
      <c r="D34" s="18">
        <f t="shared" si="0"/>
        <v>9.0399999999999991</v>
      </c>
      <c r="E34" s="18">
        <f t="shared" si="0"/>
        <v>7.45</v>
      </c>
      <c r="F34" s="18">
        <f t="shared" si="0"/>
        <v>2.2799999999999998</v>
      </c>
      <c r="G34" s="18">
        <f t="shared" si="0"/>
        <v>27.2</v>
      </c>
      <c r="H34" s="18">
        <f t="shared" si="0"/>
        <v>0.95</v>
      </c>
      <c r="I34" s="18">
        <f t="shared" si="0"/>
        <v>5.26</v>
      </c>
      <c r="J34" s="18">
        <f t="shared" si="0"/>
        <v>0.18</v>
      </c>
      <c r="K34" s="18">
        <f t="shared" si="0"/>
        <v>143.57</v>
      </c>
      <c r="L34" s="18">
        <f t="shared" si="0"/>
        <v>25.79</v>
      </c>
      <c r="M34" s="18">
        <f t="shared" si="0"/>
        <v>18.62</v>
      </c>
      <c r="N34" s="18">
        <f t="shared" si="0"/>
        <v>5.9</v>
      </c>
      <c r="O34" s="18">
        <f t="shared" si="0"/>
        <v>0</v>
      </c>
      <c r="P34" s="18">
        <f t="shared" si="0"/>
        <v>0.43</v>
      </c>
      <c r="Q34" s="18">
        <f t="shared" si="0"/>
        <v>28.03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13.09</v>
      </c>
      <c r="C35" s="3">
        <f t="shared" si="1"/>
        <v>20.91</v>
      </c>
      <c r="D35" s="3">
        <f t="shared" si="1"/>
        <v>22.25</v>
      </c>
      <c r="E35" s="3">
        <f t="shared" si="1"/>
        <v>13.42</v>
      </c>
      <c r="F35" s="3">
        <f t="shared" si="1"/>
        <v>5.77</v>
      </c>
      <c r="G35" s="3">
        <f t="shared" si="1"/>
        <v>122.69</v>
      </c>
      <c r="H35" s="3">
        <f t="shared" si="1"/>
        <v>24.68</v>
      </c>
      <c r="I35" s="3">
        <f t="shared" si="1"/>
        <v>9.3800000000000008</v>
      </c>
      <c r="J35" s="3">
        <f t="shared" si="1"/>
        <v>1.03</v>
      </c>
      <c r="K35" s="3">
        <f t="shared" si="1"/>
        <v>355.05</v>
      </c>
      <c r="L35" s="3">
        <f t="shared" si="1"/>
        <v>40.24</v>
      </c>
      <c r="M35" s="3">
        <f t="shared" si="1"/>
        <v>50.81</v>
      </c>
      <c r="N35" s="3">
        <f t="shared" si="1"/>
        <v>790.9</v>
      </c>
      <c r="O35" s="3">
        <f t="shared" si="1"/>
        <v>0</v>
      </c>
      <c r="P35" s="3">
        <f t="shared" si="1"/>
        <v>0.73</v>
      </c>
      <c r="Q35" s="3">
        <f t="shared" si="1"/>
        <v>28.23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6.3258333333333345</v>
      </c>
      <c r="C36" s="18">
        <f t="shared" si="2"/>
        <v>14.490833333333335</v>
      </c>
      <c r="D36" s="18">
        <f t="shared" si="2"/>
        <v>13.963333333333331</v>
      </c>
      <c r="E36" s="18">
        <f t="shared" si="2"/>
        <v>9.3787499999999984</v>
      </c>
      <c r="F36" s="18">
        <f t="shared" si="2"/>
        <v>2.8437499999999996</v>
      </c>
      <c r="G36" s="18">
        <f t="shared" si="2"/>
        <v>59.131250000000001</v>
      </c>
      <c r="H36" s="18">
        <f t="shared" si="2"/>
        <v>10.942916666666667</v>
      </c>
      <c r="I36" s="18">
        <f t="shared" si="2"/>
        <v>7.4962499999999999</v>
      </c>
      <c r="J36" s="18">
        <f t="shared" si="2"/>
        <v>0.4908333333333334</v>
      </c>
      <c r="K36" s="18">
        <f t="shared" si="2"/>
        <v>239.63374999999996</v>
      </c>
      <c r="L36" s="18">
        <f t="shared" si="2"/>
        <v>32.8825</v>
      </c>
      <c r="M36" s="18">
        <f t="shared" si="2"/>
        <v>36.381666666666668</v>
      </c>
      <c r="N36" s="18">
        <f t="shared" si="2"/>
        <v>241.26666666666668</v>
      </c>
      <c r="O36" s="18">
        <f t="shared" si="2"/>
        <v>0</v>
      </c>
      <c r="P36" s="18">
        <f t="shared" si="2"/>
        <v>0.59083333333333343</v>
      </c>
      <c r="Q36" s="18">
        <f t="shared" si="2"/>
        <v>28.097916666666666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3.2092785545321094</v>
      </c>
      <c r="C37" s="18">
        <f t="shared" ref="C37:Q37" si="3">STDEV(C9:C32)</f>
        <v>3.2472114011960933</v>
      </c>
      <c r="D37" s="18">
        <f t="shared" si="3"/>
        <v>4.1308359683121685</v>
      </c>
      <c r="E37" s="18">
        <f t="shared" si="3"/>
        <v>1.7260770109778136</v>
      </c>
      <c r="F37" s="18">
        <f t="shared" si="3"/>
        <v>0.87850076093110219</v>
      </c>
      <c r="G37" s="18">
        <f t="shared" si="3"/>
        <v>26.316244662796674</v>
      </c>
      <c r="H37" s="18">
        <f t="shared" si="3"/>
        <v>9.7149908720969744</v>
      </c>
      <c r="I37" s="18">
        <f t="shared" si="3"/>
        <v>1.3804309739762606</v>
      </c>
      <c r="J37" s="18">
        <f t="shared" si="3"/>
        <v>0.30018713969885463</v>
      </c>
      <c r="K37" s="18">
        <f t="shared" si="3"/>
        <v>56.909235348358074</v>
      </c>
      <c r="L37" s="18">
        <f t="shared" si="3"/>
        <v>4.9710258323697429</v>
      </c>
      <c r="M37" s="18">
        <f t="shared" si="3"/>
        <v>10.367909800108643</v>
      </c>
      <c r="N37" s="18">
        <f t="shared" si="3"/>
        <v>307.16074062241438</v>
      </c>
      <c r="O37" s="18">
        <f t="shared" si="3"/>
        <v>0</v>
      </c>
      <c r="P37" s="18">
        <f t="shared" si="3"/>
        <v>9.310660867903027E-2</v>
      </c>
      <c r="Q37" s="18">
        <f t="shared" si="3"/>
        <v>5.7102437827094017E-2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6"/>
  <sheetViews>
    <sheetView zoomScale="85" zoomScaleNormal="85" workbookViewId="0">
      <pane xSplit="2" ySplit="8" topLeftCell="C42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09/04/2025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252</v>
      </c>
      <c r="B9" s="40">
        <v>3.89</v>
      </c>
      <c r="C9" s="40">
        <v>12.89</v>
      </c>
      <c r="D9" s="40">
        <v>11.2</v>
      </c>
      <c r="E9" s="40">
        <v>7.53</v>
      </c>
      <c r="F9" s="40">
        <v>2.31</v>
      </c>
      <c r="G9" s="40">
        <v>44.15</v>
      </c>
      <c r="H9" s="40">
        <v>15.49</v>
      </c>
      <c r="I9" s="40">
        <v>5.97</v>
      </c>
      <c r="J9" s="40">
        <v>0.19</v>
      </c>
      <c r="K9" s="40">
        <v>261.52</v>
      </c>
      <c r="L9" s="40">
        <v>30.41</v>
      </c>
      <c r="M9" s="40">
        <v>35.28</v>
      </c>
      <c r="N9" s="40">
        <v>6.3</v>
      </c>
      <c r="O9" s="40">
        <v>0</v>
      </c>
      <c r="P9" s="40">
        <v>0.54</v>
      </c>
      <c r="Q9" s="40">
        <v>28.04</v>
      </c>
      <c r="R9" s="38"/>
      <c r="S9" s="38"/>
      <c r="T9" s="38"/>
      <c r="U9" s="38"/>
    </row>
    <row r="10" spans="1:21" customFormat="1">
      <c r="A10" s="39" t="s">
        <v>253</v>
      </c>
      <c r="B10" s="40">
        <v>3.95</v>
      </c>
      <c r="C10" s="40">
        <v>13.38</v>
      </c>
      <c r="D10" s="40">
        <v>11.51</v>
      </c>
      <c r="E10" s="40">
        <v>7.37</v>
      </c>
      <c r="F10" s="40">
        <v>2.65</v>
      </c>
      <c r="G10" s="40">
        <v>39.159999999999997</v>
      </c>
      <c r="H10" s="40">
        <v>15.45</v>
      </c>
      <c r="I10" s="40">
        <v>5.8</v>
      </c>
      <c r="J10" s="40">
        <v>0.26</v>
      </c>
      <c r="K10" s="40">
        <v>211.6</v>
      </c>
      <c r="L10" s="40">
        <v>29.2</v>
      </c>
      <c r="M10" s="40">
        <v>37.35</v>
      </c>
      <c r="N10" s="40">
        <v>6.2</v>
      </c>
      <c r="O10" s="40">
        <v>0</v>
      </c>
      <c r="P10" s="40">
        <v>0.51</v>
      </c>
      <c r="Q10" s="40">
        <v>28.06</v>
      </c>
      <c r="R10" s="38"/>
      <c r="S10" s="38"/>
      <c r="T10" s="38"/>
      <c r="U10" s="38"/>
    </row>
    <row r="11" spans="1:21" customFormat="1">
      <c r="A11" s="39" t="s">
        <v>254</v>
      </c>
      <c r="B11" s="40">
        <v>4.01</v>
      </c>
      <c r="C11" s="40">
        <v>13.76</v>
      </c>
      <c r="D11" s="40">
        <v>11.76</v>
      </c>
      <c r="E11" s="40">
        <v>8.1999999999999993</v>
      </c>
      <c r="F11" s="40">
        <v>2.36</v>
      </c>
      <c r="G11" s="40">
        <v>31.97</v>
      </c>
      <c r="H11" s="40">
        <v>13.94</v>
      </c>
      <c r="I11" s="40">
        <v>5.4</v>
      </c>
      <c r="J11" s="40">
        <v>0.37</v>
      </c>
      <c r="K11" s="40">
        <v>146.19999999999999</v>
      </c>
      <c r="L11" s="40">
        <v>28.52</v>
      </c>
      <c r="M11" s="40">
        <v>39.15</v>
      </c>
      <c r="N11" s="40">
        <v>6.2</v>
      </c>
      <c r="O11" s="40">
        <v>0</v>
      </c>
      <c r="P11" s="40">
        <v>0.5</v>
      </c>
      <c r="Q11" s="40">
        <v>28.05</v>
      </c>
      <c r="R11" s="38"/>
      <c r="S11" s="38"/>
      <c r="T11" s="38"/>
      <c r="U11" s="38"/>
    </row>
    <row r="12" spans="1:21" customFormat="1">
      <c r="A12" s="39" t="s">
        <v>255</v>
      </c>
      <c r="B12" s="40">
        <v>4.26</v>
      </c>
      <c r="C12" s="40">
        <v>14.14</v>
      </c>
      <c r="D12" s="40">
        <v>11.99</v>
      </c>
      <c r="E12" s="40">
        <v>8.15</v>
      </c>
      <c r="F12" s="40">
        <v>2.62</v>
      </c>
      <c r="G12" s="40">
        <v>26.66</v>
      </c>
      <c r="H12" s="40">
        <v>13.94</v>
      </c>
      <c r="I12" s="40">
        <v>5.22</v>
      </c>
      <c r="J12" s="40">
        <v>0.26</v>
      </c>
      <c r="K12" s="40">
        <v>143.37</v>
      </c>
      <c r="L12" s="40">
        <v>27.51</v>
      </c>
      <c r="M12" s="40">
        <v>41.46</v>
      </c>
      <c r="N12" s="40">
        <v>6.1</v>
      </c>
      <c r="O12" s="40">
        <v>0</v>
      </c>
      <c r="P12" s="40">
        <v>0.48</v>
      </c>
      <c r="Q12" s="40">
        <v>28.07</v>
      </c>
      <c r="R12" s="38"/>
      <c r="S12" s="38"/>
      <c r="T12" s="38"/>
      <c r="U12" s="38"/>
    </row>
    <row r="13" spans="1:21" customFormat="1">
      <c r="A13" s="39" t="s">
        <v>256</v>
      </c>
      <c r="B13" s="40">
        <v>5.04</v>
      </c>
      <c r="C13" s="40">
        <v>14.33</v>
      </c>
      <c r="D13" s="40">
        <v>12.88</v>
      </c>
      <c r="E13" s="40">
        <v>8.15</v>
      </c>
      <c r="F13" s="40">
        <v>2.48</v>
      </c>
      <c r="G13" s="40">
        <v>24.25</v>
      </c>
      <c r="H13" s="40">
        <v>9.9600000000000009</v>
      </c>
      <c r="I13" s="40">
        <v>5.15</v>
      </c>
      <c r="J13" s="40">
        <v>0.2</v>
      </c>
      <c r="K13" s="40">
        <v>239.29</v>
      </c>
      <c r="L13" s="40">
        <v>26.4</v>
      </c>
      <c r="M13" s="40">
        <v>46.01</v>
      </c>
      <c r="N13" s="40">
        <v>6.2</v>
      </c>
      <c r="O13" s="40">
        <v>0</v>
      </c>
      <c r="P13" s="40">
        <v>0.45</v>
      </c>
      <c r="Q13" s="40">
        <v>28.07</v>
      </c>
      <c r="R13" s="38"/>
      <c r="S13" s="38"/>
      <c r="T13" s="38"/>
      <c r="U13" s="38"/>
    </row>
    <row r="14" spans="1:21" customFormat="1">
      <c r="A14" s="39" t="s">
        <v>257</v>
      </c>
      <c r="B14" s="40">
        <v>5.9</v>
      </c>
      <c r="C14" s="40">
        <v>17.3</v>
      </c>
      <c r="D14" s="40">
        <v>14.63</v>
      </c>
      <c r="E14" s="40">
        <v>8.2799999999999994</v>
      </c>
      <c r="F14" s="40">
        <v>2.29</v>
      </c>
      <c r="G14" s="40">
        <v>19.649999999999999</v>
      </c>
      <c r="H14" s="40">
        <v>11.52</v>
      </c>
      <c r="I14" s="40">
        <v>5.15</v>
      </c>
      <c r="J14" s="40">
        <v>0.18</v>
      </c>
      <c r="K14" s="40">
        <v>237.63</v>
      </c>
      <c r="L14" s="40">
        <v>25.26</v>
      </c>
      <c r="M14" s="40">
        <v>48.25</v>
      </c>
      <c r="N14" s="40">
        <v>12.6</v>
      </c>
      <c r="O14" s="40">
        <v>0</v>
      </c>
      <c r="P14" s="40">
        <v>0.46</v>
      </c>
      <c r="Q14" s="40">
        <v>28.11</v>
      </c>
      <c r="R14" s="38"/>
      <c r="S14" s="38"/>
      <c r="T14" s="38"/>
      <c r="U14" s="38"/>
    </row>
    <row r="15" spans="1:21" customFormat="1">
      <c r="A15" s="39" t="s">
        <v>258</v>
      </c>
      <c r="B15" s="40">
        <v>6.62</v>
      </c>
      <c r="C15" s="40">
        <v>16.989999999999998</v>
      </c>
      <c r="D15" s="40">
        <v>15.29</v>
      </c>
      <c r="E15" s="40">
        <v>8.39</v>
      </c>
      <c r="F15" s="40">
        <v>2.31</v>
      </c>
      <c r="G15" s="40">
        <v>14.39</v>
      </c>
      <c r="H15" s="40">
        <v>10.38</v>
      </c>
      <c r="I15" s="40">
        <v>5.31</v>
      </c>
      <c r="J15" s="40">
        <v>0.18</v>
      </c>
      <c r="K15" s="40">
        <v>199.82</v>
      </c>
      <c r="L15" s="40">
        <v>26.26</v>
      </c>
      <c r="M15" s="40">
        <v>49.94</v>
      </c>
      <c r="N15" s="40">
        <v>60.5</v>
      </c>
      <c r="O15" s="40">
        <v>0</v>
      </c>
      <c r="P15" s="40">
        <v>0.46</v>
      </c>
      <c r="Q15" s="40">
        <v>28.11</v>
      </c>
      <c r="R15" s="38"/>
      <c r="S15" s="38"/>
      <c r="T15" s="38"/>
      <c r="U15" s="38"/>
    </row>
    <row r="16" spans="1:21" customFormat="1">
      <c r="A16" s="39" t="s">
        <v>259</v>
      </c>
      <c r="B16" s="40">
        <v>6.83</v>
      </c>
      <c r="C16" s="40">
        <v>16.43</v>
      </c>
      <c r="D16" s="40">
        <v>15.34</v>
      </c>
      <c r="E16" s="40">
        <v>8.49</v>
      </c>
      <c r="F16" s="40">
        <v>2.38</v>
      </c>
      <c r="G16" s="40">
        <v>18.37</v>
      </c>
      <c r="H16" s="40">
        <v>9.1999999999999993</v>
      </c>
      <c r="I16" s="40">
        <v>5.44</v>
      </c>
      <c r="J16" s="40">
        <v>0.32</v>
      </c>
      <c r="K16" s="40">
        <v>268.82</v>
      </c>
      <c r="L16" s="40">
        <v>29.38</v>
      </c>
      <c r="M16" s="40">
        <v>42.86</v>
      </c>
      <c r="N16" s="40">
        <v>141.1</v>
      </c>
      <c r="O16" s="40">
        <v>0</v>
      </c>
      <c r="P16" s="40">
        <v>0.46</v>
      </c>
      <c r="Q16" s="40">
        <v>28.12</v>
      </c>
      <c r="R16" s="38"/>
      <c r="S16" s="38"/>
      <c r="T16" s="38"/>
      <c r="U16" s="38"/>
    </row>
    <row r="17" spans="1:21" customFormat="1">
      <c r="A17" s="39" t="s">
        <v>260</v>
      </c>
      <c r="B17" s="40">
        <v>6.46</v>
      </c>
      <c r="C17" s="40">
        <v>15.96</v>
      </c>
      <c r="D17" s="40">
        <v>14.87</v>
      </c>
      <c r="E17" s="40">
        <v>8.33</v>
      </c>
      <c r="F17" s="40">
        <v>2.46</v>
      </c>
      <c r="G17" s="40">
        <v>21.86</v>
      </c>
      <c r="H17" s="40">
        <v>11.94</v>
      </c>
      <c r="I17" s="40">
        <v>5.5</v>
      </c>
      <c r="J17" s="40">
        <v>0.74</v>
      </c>
      <c r="K17" s="40">
        <v>268.57</v>
      </c>
      <c r="L17" s="40">
        <v>31.67</v>
      </c>
      <c r="M17" s="40">
        <v>40.130000000000003</v>
      </c>
      <c r="N17" s="40">
        <v>320.2</v>
      </c>
      <c r="O17" s="40">
        <v>0</v>
      </c>
      <c r="P17" s="40">
        <v>0.48</v>
      </c>
      <c r="Q17" s="40">
        <v>28.11</v>
      </c>
      <c r="R17" s="38"/>
      <c r="S17" s="38"/>
      <c r="T17" s="38"/>
      <c r="U17" s="38"/>
    </row>
    <row r="18" spans="1:21" customFormat="1">
      <c r="A18" s="39" t="s">
        <v>261</v>
      </c>
      <c r="B18" s="40">
        <v>4.6900000000000004</v>
      </c>
      <c r="C18" s="40">
        <v>16.8</v>
      </c>
      <c r="D18" s="40">
        <v>13.49</v>
      </c>
      <c r="E18" s="40">
        <v>7.97</v>
      </c>
      <c r="F18" s="40">
        <v>2.56</v>
      </c>
      <c r="G18" s="40">
        <v>25.94</v>
      </c>
      <c r="H18" s="40">
        <v>14.01</v>
      </c>
      <c r="I18" s="40">
        <v>5.77</v>
      </c>
      <c r="J18" s="40">
        <v>1.1299999999999999</v>
      </c>
      <c r="K18" s="40">
        <v>299.13</v>
      </c>
      <c r="L18" s="40">
        <v>33.36</v>
      </c>
      <c r="M18" s="40">
        <v>38.07</v>
      </c>
      <c r="N18" s="40">
        <v>581.79999999999995</v>
      </c>
      <c r="O18" s="40">
        <v>0</v>
      </c>
      <c r="P18" s="40">
        <v>0.52</v>
      </c>
      <c r="Q18" s="40">
        <v>28.08</v>
      </c>
      <c r="R18" s="38"/>
      <c r="S18" s="38"/>
      <c r="T18" s="38"/>
      <c r="U18" s="38"/>
    </row>
    <row r="19" spans="1:21" customFormat="1">
      <c r="A19" s="39" t="s">
        <v>262</v>
      </c>
      <c r="B19" s="40">
        <v>4.01</v>
      </c>
      <c r="C19" s="40">
        <v>17.53</v>
      </c>
      <c r="D19" s="40">
        <v>13.65</v>
      </c>
      <c r="E19" s="40">
        <v>9.4</v>
      </c>
      <c r="F19" s="40">
        <v>2.6</v>
      </c>
      <c r="G19" s="40">
        <v>31.84</v>
      </c>
      <c r="H19" s="40">
        <v>15.63</v>
      </c>
      <c r="I19" s="40">
        <v>6.93</v>
      </c>
      <c r="J19" s="40">
        <v>1.1499999999999999</v>
      </c>
      <c r="K19" s="40">
        <v>305.45</v>
      </c>
      <c r="L19" s="40">
        <v>35.14</v>
      </c>
      <c r="M19" s="40">
        <v>33.590000000000003</v>
      </c>
      <c r="N19" s="40">
        <v>705.9</v>
      </c>
      <c r="O19" s="40">
        <v>0</v>
      </c>
      <c r="P19" s="40">
        <v>0.62</v>
      </c>
      <c r="Q19" s="40">
        <v>28.07</v>
      </c>
      <c r="R19" s="38"/>
      <c r="S19" s="38"/>
      <c r="T19" s="38"/>
      <c r="U19" s="38"/>
    </row>
    <row r="20" spans="1:21" customFormat="1">
      <c r="A20" s="39" t="s">
        <v>263</v>
      </c>
      <c r="B20" s="40">
        <v>3.79</v>
      </c>
      <c r="C20" s="40">
        <v>17.440000000000001</v>
      </c>
      <c r="D20" s="40">
        <v>13.45</v>
      </c>
      <c r="E20" s="40">
        <v>10.43</v>
      </c>
      <c r="F20" s="40">
        <v>3.3</v>
      </c>
      <c r="G20" s="40">
        <v>38.840000000000003</v>
      </c>
      <c r="H20" s="40">
        <v>17.47</v>
      </c>
      <c r="I20" s="40">
        <v>8.77</v>
      </c>
      <c r="J20" s="40">
        <v>1.0900000000000001</v>
      </c>
      <c r="K20" s="40">
        <v>300.95</v>
      </c>
      <c r="L20" s="40">
        <v>37.01</v>
      </c>
      <c r="M20" s="40">
        <v>28.79</v>
      </c>
      <c r="N20" s="40">
        <v>805.7</v>
      </c>
      <c r="O20" s="40">
        <v>0</v>
      </c>
      <c r="P20" s="40">
        <v>0.68</v>
      </c>
      <c r="Q20" s="40">
        <v>28.08</v>
      </c>
      <c r="R20" s="38"/>
      <c r="S20" s="38"/>
      <c r="T20" s="38"/>
      <c r="U20" s="38"/>
    </row>
    <row r="21" spans="1:21" customFormat="1">
      <c r="A21" s="39" t="s">
        <v>264</v>
      </c>
      <c r="B21" s="40">
        <v>3.87</v>
      </c>
      <c r="C21" s="40">
        <v>17.71</v>
      </c>
      <c r="D21" s="40">
        <v>13.71</v>
      </c>
      <c r="E21" s="40">
        <v>10.130000000000001</v>
      </c>
      <c r="F21" s="40">
        <v>3.95</v>
      </c>
      <c r="G21" s="40">
        <v>39.479999999999997</v>
      </c>
      <c r="H21" s="40">
        <v>25.51</v>
      </c>
      <c r="I21" s="40">
        <v>9.25</v>
      </c>
      <c r="J21" s="40">
        <v>1.08</v>
      </c>
      <c r="K21" s="40">
        <v>282.36</v>
      </c>
      <c r="L21" s="40">
        <v>38.479999999999997</v>
      </c>
      <c r="M21" s="40">
        <v>24.65</v>
      </c>
      <c r="N21" s="40">
        <v>819</v>
      </c>
      <c r="O21" s="40">
        <v>0</v>
      </c>
      <c r="P21" s="40">
        <v>0.71</v>
      </c>
      <c r="Q21" s="40">
        <v>28.06</v>
      </c>
      <c r="R21" s="38"/>
      <c r="S21" s="38"/>
      <c r="T21" s="38"/>
      <c r="U21" s="38"/>
    </row>
    <row r="22" spans="1:21" customFormat="1">
      <c r="A22" s="39" t="s">
        <v>265</v>
      </c>
      <c r="B22" s="40">
        <v>3.72</v>
      </c>
      <c r="C22" s="40">
        <v>16.79</v>
      </c>
      <c r="D22" s="40">
        <v>13.04</v>
      </c>
      <c r="E22" s="40">
        <v>11.36</v>
      </c>
      <c r="F22" s="40">
        <v>3.95</v>
      </c>
      <c r="G22" s="40">
        <v>40.299999999999997</v>
      </c>
      <c r="H22" s="40">
        <v>33.5</v>
      </c>
      <c r="I22" s="40">
        <v>9.74</v>
      </c>
      <c r="J22" s="40">
        <v>0.63</v>
      </c>
      <c r="K22" s="40">
        <v>334.43</v>
      </c>
      <c r="L22" s="40">
        <v>39.49</v>
      </c>
      <c r="M22" s="40">
        <v>21.84</v>
      </c>
      <c r="N22" s="40">
        <v>775.8</v>
      </c>
      <c r="O22" s="40">
        <v>0</v>
      </c>
      <c r="P22" s="40">
        <v>0.72</v>
      </c>
      <c r="Q22" s="40">
        <v>28.07</v>
      </c>
      <c r="R22" s="38"/>
      <c r="S22" s="38"/>
      <c r="T22" s="38"/>
      <c r="U22" s="38"/>
    </row>
    <row r="23" spans="1:21" customFormat="1">
      <c r="A23" s="39" t="s">
        <v>266</v>
      </c>
      <c r="B23" s="40">
        <v>3.85</v>
      </c>
      <c r="C23" s="40">
        <v>14.43</v>
      </c>
      <c r="D23" s="40">
        <v>11.98</v>
      </c>
      <c r="E23" s="40">
        <v>12.24</v>
      </c>
      <c r="F23" s="40">
        <v>5.65</v>
      </c>
      <c r="G23" s="40">
        <v>43.95</v>
      </c>
      <c r="H23" s="40">
        <v>33.44</v>
      </c>
      <c r="I23" s="40">
        <v>9.56</v>
      </c>
      <c r="J23" s="40">
        <v>0.75</v>
      </c>
      <c r="K23" s="40">
        <v>279.17</v>
      </c>
      <c r="L23" s="40">
        <v>39.520000000000003</v>
      </c>
      <c r="M23" s="40">
        <v>22.91</v>
      </c>
      <c r="N23" s="40">
        <v>694.8</v>
      </c>
      <c r="O23" s="40">
        <v>0</v>
      </c>
      <c r="P23" s="40">
        <v>0.71</v>
      </c>
      <c r="Q23" s="40">
        <v>28.06</v>
      </c>
      <c r="R23" s="38"/>
      <c r="S23" s="38"/>
      <c r="T23" s="38"/>
      <c r="U23" s="38"/>
    </row>
    <row r="24" spans="1:21" customFormat="1">
      <c r="A24" s="39" t="s">
        <v>267</v>
      </c>
      <c r="B24" s="40">
        <v>3.93</v>
      </c>
      <c r="C24" s="40">
        <v>13.06</v>
      </c>
      <c r="D24" s="40">
        <v>11.32</v>
      </c>
      <c r="E24" s="40">
        <v>13.38</v>
      </c>
      <c r="F24" s="40">
        <v>6.93</v>
      </c>
      <c r="G24" s="40">
        <v>42.27</v>
      </c>
      <c r="H24" s="40">
        <v>27.33</v>
      </c>
      <c r="I24" s="40">
        <v>9.36</v>
      </c>
      <c r="J24" s="40">
        <v>0.64</v>
      </c>
      <c r="K24" s="40">
        <v>288.85000000000002</v>
      </c>
      <c r="L24" s="40">
        <v>39.25</v>
      </c>
      <c r="M24" s="40">
        <v>22.64</v>
      </c>
      <c r="N24" s="40">
        <v>534.4</v>
      </c>
      <c r="O24" s="40">
        <v>0</v>
      </c>
      <c r="P24" s="40">
        <v>0.71</v>
      </c>
      <c r="Q24" s="40">
        <v>28.05</v>
      </c>
      <c r="R24" s="38"/>
      <c r="S24" s="38"/>
      <c r="T24" s="38"/>
      <c r="U24" s="38"/>
    </row>
    <row r="25" spans="1:21" customFormat="1">
      <c r="A25" s="39" t="s">
        <v>268</v>
      </c>
      <c r="B25" s="40">
        <v>3.63</v>
      </c>
      <c r="C25" s="40">
        <v>10.23</v>
      </c>
      <c r="D25" s="40">
        <v>9.6</v>
      </c>
      <c r="E25" s="40">
        <v>11.21</v>
      </c>
      <c r="F25" s="40">
        <v>6.54</v>
      </c>
      <c r="G25" s="40">
        <v>43</v>
      </c>
      <c r="H25" s="40">
        <v>33.590000000000003</v>
      </c>
      <c r="I25" s="40">
        <v>8.24</v>
      </c>
      <c r="J25" s="40">
        <v>0.4</v>
      </c>
      <c r="K25" s="40">
        <v>238.59</v>
      </c>
      <c r="L25" s="40">
        <v>39.04</v>
      </c>
      <c r="M25" s="40">
        <v>23.63</v>
      </c>
      <c r="N25" s="40">
        <v>306.2</v>
      </c>
      <c r="O25" s="40">
        <v>0</v>
      </c>
      <c r="P25" s="40">
        <v>0.63</v>
      </c>
      <c r="Q25" s="40">
        <v>28.05</v>
      </c>
      <c r="R25" s="38"/>
      <c r="S25" s="38"/>
      <c r="T25" s="38"/>
      <c r="U25" s="38"/>
    </row>
    <row r="26" spans="1:21" customFormat="1">
      <c r="A26" s="39" t="s">
        <v>269</v>
      </c>
      <c r="B26" s="40">
        <v>3.66</v>
      </c>
      <c r="C26" s="40">
        <v>8.74</v>
      </c>
      <c r="D26" s="40">
        <v>8.85</v>
      </c>
      <c r="E26" s="40">
        <v>11.92</v>
      </c>
      <c r="F26" s="40">
        <v>3.92</v>
      </c>
      <c r="G26" s="40">
        <v>39.880000000000003</v>
      </c>
      <c r="H26" s="40">
        <v>28.75</v>
      </c>
      <c r="I26" s="40">
        <v>7.09</v>
      </c>
      <c r="J26" s="40">
        <v>0.2</v>
      </c>
      <c r="K26" s="40">
        <v>212.09</v>
      </c>
      <c r="L26" s="40">
        <v>37.700000000000003</v>
      </c>
      <c r="M26" s="40">
        <v>28.7</v>
      </c>
      <c r="N26" s="40">
        <v>86.5</v>
      </c>
      <c r="O26" s="40">
        <v>0</v>
      </c>
      <c r="P26" s="40">
        <v>0.6</v>
      </c>
      <c r="Q26" s="40">
        <v>28.04</v>
      </c>
      <c r="R26" s="38"/>
      <c r="S26" s="38"/>
      <c r="T26" s="38"/>
      <c r="U26" s="38"/>
    </row>
    <row r="27" spans="1:21" customFormat="1">
      <c r="A27" s="39" t="s">
        <v>270</v>
      </c>
      <c r="B27" s="40">
        <v>3.64</v>
      </c>
      <c r="C27" s="40">
        <v>9.99</v>
      </c>
      <c r="D27" s="40">
        <v>9.43</v>
      </c>
      <c r="E27" s="40">
        <v>8.61</v>
      </c>
      <c r="F27" s="40">
        <v>2.41</v>
      </c>
      <c r="G27" s="40">
        <v>43.76</v>
      </c>
      <c r="H27" s="40">
        <v>25.44</v>
      </c>
      <c r="I27" s="40">
        <v>6.62</v>
      </c>
      <c r="J27" s="40">
        <v>0.16</v>
      </c>
      <c r="K27" s="40">
        <v>235.48</v>
      </c>
      <c r="L27" s="40">
        <v>34.619999999999997</v>
      </c>
      <c r="M27" s="40">
        <v>31.69</v>
      </c>
      <c r="N27" s="40">
        <v>9</v>
      </c>
      <c r="O27" s="40">
        <v>0</v>
      </c>
      <c r="P27" s="40">
        <v>0.6</v>
      </c>
      <c r="Q27" s="40">
        <v>28.04</v>
      </c>
      <c r="R27" s="38"/>
      <c r="S27" s="38"/>
      <c r="T27" s="38"/>
      <c r="U27" s="38"/>
    </row>
    <row r="28" spans="1:21" customFormat="1">
      <c r="A28" s="39" t="s">
        <v>271</v>
      </c>
      <c r="B28" s="40">
        <v>3.94</v>
      </c>
      <c r="C28" s="40">
        <v>14.35</v>
      </c>
      <c r="D28" s="40">
        <v>12.01</v>
      </c>
      <c r="E28" s="40">
        <v>8.93</v>
      </c>
      <c r="F28" s="40">
        <v>2.36</v>
      </c>
      <c r="G28" s="40">
        <v>41.86</v>
      </c>
      <c r="H28" s="40">
        <v>23.94</v>
      </c>
      <c r="I28" s="40">
        <v>6.97</v>
      </c>
      <c r="J28" s="40">
        <v>2.2200000000000002</v>
      </c>
      <c r="K28" s="40">
        <v>348.23</v>
      </c>
      <c r="L28" s="40">
        <v>33.36</v>
      </c>
      <c r="M28" s="40">
        <v>31.68</v>
      </c>
      <c r="N28" s="40">
        <v>8.1999999999999993</v>
      </c>
      <c r="O28" s="40">
        <v>0</v>
      </c>
      <c r="P28" s="40">
        <v>0.6</v>
      </c>
      <c r="Q28" s="40">
        <v>28.04</v>
      </c>
      <c r="R28" s="38"/>
      <c r="S28" s="38"/>
      <c r="T28" s="38"/>
      <c r="U28" s="38"/>
    </row>
    <row r="29" spans="1:21" customFormat="1">
      <c r="A29" s="39" t="s">
        <v>272</v>
      </c>
      <c r="B29" s="40">
        <v>4.0999999999999996</v>
      </c>
      <c r="C29" s="40">
        <v>15.6</v>
      </c>
      <c r="D29" s="40">
        <v>12.79</v>
      </c>
      <c r="E29" s="40">
        <v>9.9700000000000006</v>
      </c>
      <c r="F29" s="40">
        <v>2.41</v>
      </c>
      <c r="G29" s="40">
        <v>158.72999999999999</v>
      </c>
      <c r="H29" s="40">
        <v>24.8</v>
      </c>
      <c r="I29" s="40">
        <v>6.76</v>
      </c>
      <c r="J29" s="40">
        <v>2.2599999999999998</v>
      </c>
      <c r="K29" s="40">
        <v>348.84</v>
      </c>
      <c r="L29" s="40">
        <v>30.92</v>
      </c>
      <c r="M29" s="40">
        <v>38.590000000000003</v>
      </c>
      <c r="N29" s="40">
        <v>8.5</v>
      </c>
      <c r="O29" s="40">
        <v>0</v>
      </c>
      <c r="P29" s="40">
        <v>0.56999999999999995</v>
      </c>
      <c r="Q29" s="40">
        <v>28.05</v>
      </c>
      <c r="R29" s="38"/>
      <c r="S29" s="38"/>
      <c r="T29" s="38"/>
      <c r="U29" s="38"/>
    </row>
    <row r="30" spans="1:21" customFormat="1">
      <c r="A30" s="39" t="s">
        <v>273</v>
      </c>
      <c r="B30" s="40">
        <v>4.04</v>
      </c>
      <c r="C30" s="40">
        <v>16.18</v>
      </c>
      <c r="D30" s="40">
        <v>13</v>
      </c>
      <c r="E30" s="40">
        <v>9.7799999999999994</v>
      </c>
      <c r="F30" s="40">
        <v>2.52</v>
      </c>
      <c r="G30" s="40">
        <v>198.8</v>
      </c>
      <c r="H30" s="40">
        <v>37.49</v>
      </c>
      <c r="I30" s="40">
        <v>6.14</v>
      </c>
      <c r="J30" s="40">
        <v>2.1</v>
      </c>
      <c r="K30" s="40">
        <v>327.9</v>
      </c>
      <c r="L30" s="40">
        <v>27.04</v>
      </c>
      <c r="M30" s="40">
        <v>62.6</v>
      </c>
      <c r="N30" s="40">
        <v>8.8000000000000007</v>
      </c>
      <c r="O30" s="40">
        <v>0</v>
      </c>
      <c r="P30" s="40">
        <v>0.55000000000000004</v>
      </c>
      <c r="Q30" s="40">
        <v>28.05</v>
      </c>
      <c r="R30" s="38"/>
      <c r="S30" s="38"/>
      <c r="T30" s="38"/>
      <c r="U30" s="38"/>
    </row>
    <row r="31" spans="1:21" customFormat="1">
      <c r="A31" s="39" t="s">
        <v>274</v>
      </c>
      <c r="B31" s="40">
        <v>4.3</v>
      </c>
      <c r="C31" s="40">
        <v>17.010000000000002</v>
      </c>
      <c r="D31" s="40">
        <v>13.69</v>
      </c>
      <c r="E31" s="40">
        <v>10</v>
      </c>
      <c r="F31" s="40">
        <v>2.52</v>
      </c>
      <c r="G31" s="40">
        <v>94.37</v>
      </c>
      <c r="H31" s="40">
        <v>32.15</v>
      </c>
      <c r="I31" s="40">
        <v>5.56</v>
      </c>
      <c r="J31" s="40">
        <v>1.85</v>
      </c>
      <c r="K31" s="40">
        <v>354.69</v>
      </c>
      <c r="L31" s="40">
        <v>28</v>
      </c>
      <c r="M31" s="40">
        <v>59.67</v>
      </c>
      <c r="N31" s="40">
        <v>6.3</v>
      </c>
      <c r="O31" s="40">
        <v>0</v>
      </c>
      <c r="P31" s="40">
        <v>0.52</v>
      </c>
      <c r="Q31" s="40">
        <v>28.06</v>
      </c>
      <c r="R31" s="38"/>
      <c r="S31" s="38"/>
      <c r="T31" s="38"/>
      <c r="U31" s="38"/>
    </row>
    <row r="32" spans="1:21" customFormat="1">
      <c r="A32" s="39" t="s">
        <v>275</v>
      </c>
      <c r="B32" s="40">
        <v>4.7</v>
      </c>
      <c r="C32" s="40">
        <v>18.3</v>
      </c>
      <c r="D32" s="40">
        <v>14.54</v>
      </c>
      <c r="E32" s="40">
        <v>8.75</v>
      </c>
      <c r="F32" s="40">
        <v>2.31</v>
      </c>
      <c r="G32" s="40">
        <v>34.520000000000003</v>
      </c>
      <c r="H32" s="40">
        <v>24.36</v>
      </c>
      <c r="I32" s="40">
        <v>5.16</v>
      </c>
      <c r="J32" s="40">
        <v>0.83</v>
      </c>
      <c r="K32" s="40">
        <v>260.45</v>
      </c>
      <c r="L32" s="40">
        <v>28.62</v>
      </c>
      <c r="M32" s="40">
        <v>38.42</v>
      </c>
      <c r="N32" s="40">
        <v>6.6</v>
      </c>
      <c r="O32" s="40">
        <v>0</v>
      </c>
      <c r="P32" s="40">
        <v>0.49</v>
      </c>
      <c r="Q32" s="40">
        <v>28.07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3.63</v>
      </c>
      <c r="C34" s="18">
        <f t="shared" si="0"/>
        <v>8.74</v>
      </c>
      <c r="D34" s="18">
        <f t="shared" si="0"/>
        <v>8.85</v>
      </c>
      <c r="E34" s="18">
        <f t="shared" si="0"/>
        <v>7.37</v>
      </c>
      <c r="F34" s="18">
        <f t="shared" si="0"/>
        <v>2.29</v>
      </c>
      <c r="G34" s="18">
        <f t="shared" si="0"/>
        <v>14.39</v>
      </c>
      <c r="H34" s="18">
        <f t="shared" si="0"/>
        <v>9.1999999999999993</v>
      </c>
      <c r="I34" s="18">
        <f t="shared" si="0"/>
        <v>5.15</v>
      </c>
      <c r="J34" s="18">
        <f t="shared" si="0"/>
        <v>0.16</v>
      </c>
      <c r="K34" s="18">
        <f t="shared" si="0"/>
        <v>143.37</v>
      </c>
      <c r="L34" s="18">
        <f t="shared" si="0"/>
        <v>25.26</v>
      </c>
      <c r="M34" s="18">
        <f t="shared" si="0"/>
        <v>21.84</v>
      </c>
      <c r="N34" s="18">
        <f t="shared" si="0"/>
        <v>6.1</v>
      </c>
      <c r="O34" s="18">
        <f t="shared" si="0"/>
        <v>0</v>
      </c>
      <c r="P34" s="18">
        <f t="shared" si="0"/>
        <v>0.45</v>
      </c>
      <c r="Q34" s="18">
        <f t="shared" si="0"/>
        <v>28.04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6.83</v>
      </c>
      <c r="C35" s="3">
        <f t="shared" si="1"/>
        <v>18.3</v>
      </c>
      <c r="D35" s="3">
        <f t="shared" si="1"/>
        <v>15.34</v>
      </c>
      <c r="E35" s="3">
        <f t="shared" si="1"/>
        <v>13.38</v>
      </c>
      <c r="F35" s="3">
        <f t="shared" si="1"/>
        <v>6.93</v>
      </c>
      <c r="G35" s="3">
        <f t="shared" si="1"/>
        <v>198.8</v>
      </c>
      <c r="H35" s="3">
        <f t="shared" si="1"/>
        <v>37.49</v>
      </c>
      <c r="I35" s="3">
        <f t="shared" si="1"/>
        <v>9.74</v>
      </c>
      <c r="J35" s="3">
        <f t="shared" si="1"/>
        <v>2.2599999999999998</v>
      </c>
      <c r="K35" s="3">
        <f t="shared" si="1"/>
        <v>354.69</v>
      </c>
      <c r="L35" s="3">
        <f t="shared" si="1"/>
        <v>39.520000000000003</v>
      </c>
      <c r="M35" s="3">
        <f t="shared" si="1"/>
        <v>62.6</v>
      </c>
      <c r="N35" s="3">
        <f t="shared" si="1"/>
        <v>819</v>
      </c>
      <c r="O35" s="3">
        <f t="shared" si="1"/>
        <v>0</v>
      </c>
      <c r="P35" s="3">
        <f t="shared" si="1"/>
        <v>0.72</v>
      </c>
      <c r="Q35" s="3">
        <f t="shared" si="1"/>
        <v>28.12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4.451249999999999</v>
      </c>
      <c r="C36" s="18">
        <f t="shared" si="2"/>
        <v>14.972500000000004</v>
      </c>
      <c r="D36" s="18">
        <f t="shared" si="2"/>
        <v>12.667499999999999</v>
      </c>
      <c r="E36" s="18">
        <f t="shared" si="2"/>
        <v>9.4570833333333315</v>
      </c>
      <c r="F36" s="18">
        <f t="shared" si="2"/>
        <v>3.1579166666666665</v>
      </c>
      <c r="G36" s="18">
        <f t="shared" si="2"/>
        <v>48.25</v>
      </c>
      <c r="H36" s="18">
        <f t="shared" si="2"/>
        <v>21.217916666666664</v>
      </c>
      <c r="I36" s="18">
        <f t="shared" si="2"/>
        <v>6.7024999999999979</v>
      </c>
      <c r="J36" s="18">
        <f t="shared" si="2"/>
        <v>0.79958333333333342</v>
      </c>
      <c r="K36" s="18">
        <f t="shared" si="2"/>
        <v>266.39291666666662</v>
      </c>
      <c r="L36" s="18">
        <f t="shared" si="2"/>
        <v>32.339999999999996</v>
      </c>
      <c r="M36" s="18">
        <f t="shared" si="2"/>
        <v>36.99583333333333</v>
      </c>
      <c r="N36" s="18">
        <f t="shared" si="2"/>
        <v>246.78750000000002</v>
      </c>
      <c r="O36" s="18">
        <f t="shared" si="2"/>
        <v>0</v>
      </c>
      <c r="P36" s="18">
        <f t="shared" si="2"/>
        <v>0.56541666666666657</v>
      </c>
      <c r="Q36" s="18">
        <f t="shared" si="2"/>
        <v>28.067083333333329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0.98757635918312658</v>
      </c>
      <c r="C37" s="18">
        <f t="shared" ref="C37:Q37" si="3">STDEV(C9:C32)</f>
        <v>2.6074963003850367</v>
      </c>
      <c r="D37" s="18">
        <f t="shared" si="3"/>
        <v>1.7801471605020496</v>
      </c>
      <c r="E37" s="18">
        <f t="shared" si="3"/>
        <v>1.6078840515374349</v>
      </c>
      <c r="F37" s="18">
        <f t="shared" si="3"/>
        <v>1.3612238073230973</v>
      </c>
      <c r="G37" s="18">
        <f t="shared" si="3"/>
        <v>43.416867389449493</v>
      </c>
      <c r="H37" s="18">
        <f t="shared" si="3"/>
        <v>8.9346433612514051</v>
      </c>
      <c r="I37" s="18">
        <f t="shared" si="3"/>
        <v>1.5850010286651535</v>
      </c>
      <c r="J37" s="18">
        <f t="shared" si="3"/>
        <v>0.68603764104277554</v>
      </c>
      <c r="K37" s="18">
        <f t="shared" si="3"/>
        <v>58.138303730745591</v>
      </c>
      <c r="L37" s="18">
        <f t="shared" si="3"/>
        <v>4.8657784577598946</v>
      </c>
      <c r="M37" s="18">
        <f t="shared" si="3"/>
        <v>11.018085889421403</v>
      </c>
      <c r="N37" s="18">
        <f t="shared" si="3"/>
        <v>315.76465136925606</v>
      </c>
      <c r="O37" s="18">
        <f t="shared" si="3"/>
        <v>0</v>
      </c>
      <c r="P37" s="18">
        <f t="shared" si="3"/>
        <v>9.0840479708241162E-2</v>
      </c>
      <c r="Q37" s="18">
        <f t="shared" si="3"/>
        <v>2.4043288255663542E-2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10/04/2025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276</v>
      </c>
      <c r="B9" s="40">
        <v>5.51</v>
      </c>
      <c r="C9" s="40">
        <v>20.67</v>
      </c>
      <c r="D9" s="40">
        <v>16.260000000000002</v>
      </c>
      <c r="E9" s="40">
        <v>8.6999999999999993</v>
      </c>
      <c r="F9" s="40">
        <v>2.4</v>
      </c>
      <c r="G9" s="40">
        <v>10.28</v>
      </c>
      <c r="H9" s="40">
        <v>15.12</v>
      </c>
      <c r="I9" s="40">
        <v>4.88</v>
      </c>
      <c r="J9" s="40">
        <v>0.26</v>
      </c>
      <c r="K9" s="40">
        <v>198.85</v>
      </c>
      <c r="L9" s="40">
        <v>28.1</v>
      </c>
      <c r="M9" s="40">
        <v>41.95</v>
      </c>
      <c r="N9" s="40">
        <v>7</v>
      </c>
      <c r="O9" s="40">
        <v>0</v>
      </c>
      <c r="P9" s="40">
        <v>0.48</v>
      </c>
      <c r="Q9" s="40">
        <v>28.09</v>
      </c>
      <c r="R9" s="38"/>
      <c r="S9" s="38"/>
      <c r="T9" s="38"/>
      <c r="U9" s="38"/>
    </row>
    <row r="10" spans="1:21" customFormat="1">
      <c r="A10" s="39" t="s">
        <v>277</v>
      </c>
      <c r="B10" s="40">
        <v>5.94</v>
      </c>
      <c r="C10" s="40">
        <v>17.53</v>
      </c>
      <c r="D10" s="40">
        <v>14.99</v>
      </c>
      <c r="E10" s="40">
        <v>8.61</v>
      </c>
      <c r="F10" s="40">
        <v>2.4</v>
      </c>
      <c r="G10" s="40">
        <v>26.52</v>
      </c>
      <c r="H10" s="40">
        <v>12.95</v>
      </c>
      <c r="I10" s="40">
        <v>4.8099999999999996</v>
      </c>
      <c r="J10" s="40">
        <v>0.75</v>
      </c>
      <c r="K10" s="40">
        <v>262.2</v>
      </c>
      <c r="L10" s="40">
        <v>27.77</v>
      </c>
      <c r="M10" s="40">
        <v>43.53</v>
      </c>
      <c r="N10" s="40">
        <v>6.2</v>
      </c>
      <c r="O10" s="40">
        <v>0</v>
      </c>
      <c r="P10" s="40">
        <v>0.46</v>
      </c>
      <c r="Q10" s="40">
        <v>28.09</v>
      </c>
      <c r="R10" s="38"/>
      <c r="S10" s="38"/>
      <c r="T10" s="38"/>
      <c r="U10" s="38"/>
    </row>
    <row r="11" spans="1:21" customFormat="1">
      <c r="A11" s="39" t="s">
        <v>278</v>
      </c>
      <c r="B11" s="40">
        <v>6.53</v>
      </c>
      <c r="C11" s="40">
        <v>17.920000000000002</v>
      </c>
      <c r="D11" s="40">
        <v>15.7</v>
      </c>
      <c r="E11" s="40">
        <v>9.4499999999999993</v>
      </c>
      <c r="F11" s="40">
        <v>2.33</v>
      </c>
      <c r="G11" s="40">
        <v>25.12</v>
      </c>
      <c r="H11" s="40">
        <v>11.97</v>
      </c>
      <c r="I11" s="40">
        <v>4.8600000000000003</v>
      </c>
      <c r="J11" s="40">
        <v>0.45</v>
      </c>
      <c r="K11" s="40">
        <v>257.76</v>
      </c>
      <c r="L11" s="40">
        <v>26.91</v>
      </c>
      <c r="M11" s="40">
        <v>46.94</v>
      </c>
      <c r="N11" s="40">
        <v>6.5</v>
      </c>
      <c r="O11" s="40">
        <v>0</v>
      </c>
      <c r="P11" s="40">
        <v>0.46</v>
      </c>
      <c r="Q11" s="40">
        <v>28.12</v>
      </c>
      <c r="R11" s="38"/>
      <c r="S11" s="38"/>
      <c r="T11" s="38"/>
      <c r="U11" s="38"/>
    </row>
    <row r="12" spans="1:21" customFormat="1">
      <c r="A12" s="39" t="s">
        <v>279</v>
      </c>
      <c r="B12" s="40">
        <v>7.28</v>
      </c>
      <c r="C12" s="40">
        <v>18.010000000000002</v>
      </c>
      <c r="D12" s="40">
        <v>16.25</v>
      </c>
      <c r="E12" s="40">
        <v>9.91</v>
      </c>
      <c r="F12" s="40">
        <v>2.36</v>
      </c>
      <c r="G12" s="40">
        <v>20.65</v>
      </c>
      <c r="H12" s="40">
        <v>9.9499999999999993</v>
      </c>
      <c r="I12" s="40">
        <v>5.0999999999999996</v>
      </c>
      <c r="J12" s="40">
        <v>0.55000000000000004</v>
      </c>
      <c r="K12" s="40">
        <v>282.79000000000002</v>
      </c>
      <c r="L12" s="40">
        <v>26.59</v>
      </c>
      <c r="M12" s="40">
        <v>46.02</v>
      </c>
      <c r="N12" s="40">
        <v>6.3</v>
      </c>
      <c r="O12" s="40">
        <v>0</v>
      </c>
      <c r="P12" s="40">
        <v>0.47</v>
      </c>
      <c r="Q12" s="40">
        <v>28.12</v>
      </c>
      <c r="R12" s="38"/>
      <c r="S12" s="38"/>
      <c r="T12" s="38"/>
      <c r="U12" s="38"/>
    </row>
    <row r="13" spans="1:21" customFormat="1">
      <c r="A13" s="39" t="s">
        <v>280</v>
      </c>
      <c r="B13" s="40">
        <v>7.45</v>
      </c>
      <c r="C13" s="40">
        <v>18.12</v>
      </c>
      <c r="D13" s="40">
        <v>16.68</v>
      </c>
      <c r="E13" s="40">
        <v>8.5399999999999991</v>
      </c>
      <c r="F13" s="40">
        <v>2.2599999999999998</v>
      </c>
      <c r="G13" s="40">
        <v>42.42</v>
      </c>
      <c r="H13" s="40">
        <v>12.54</v>
      </c>
      <c r="I13" s="40">
        <v>5.05</v>
      </c>
      <c r="J13" s="40">
        <v>0.26</v>
      </c>
      <c r="K13" s="40">
        <v>195.99</v>
      </c>
      <c r="L13" s="40">
        <v>25.79</v>
      </c>
      <c r="M13" s="40">
        <v>51.29</v>
      </c>
      <c r="N13" s="40">
        <v>6.5</v>
      </c>
      <c r="O13" s="40">
        <v>0</v>
      </c>
      <c r="P13" s="40">
        <v>0.5</v>
      </c>
      <c r="Q13" s="40">
        <v>28.12</v>
      </c>
      <c r="R13" s="38"/>
      <c r="S13" s="38"/>
      <c r="T13" s="38"/>
      <c r="U13" s="38"/>
    </row>
    <row r="14" spans="1:21" customFormat="1">
      <c r="A14" s="39" t="s">
        <v>281</v>
      </c>
      <c r="B14" s="40">
        <v>9.4499999999999993</v>
      </c>
      <c r="C14" s="40">
        <v>19.32</v>
      </c>
      <c r="D14" s="40">
        <v>19.02</v>
      </c>
      <c r="E14" s="40">
        <v>8.31</v>
      </c>
      <c r="F14" s="40">
        <v>2.2599999999999998</v>
      </c>
      <c r="G14" s="40">
        <v>39.96</v>
      </c>
      <c r="H14" s="40">
        <v>13.35</v>
      </c>
      <c r="I14" s="40">
        <v>5.15</v>
      </c>
      <c r="J14" s="40">
        <v>0.23</v>
      </c>
      <c r="K14" s="40">
        <v>210.12</v>
      </c>
      <c r="L14" s="40">
        <v>24.76</v>
      </c>
      <c r="M14" s="40">
        <v>57.28</v>
      </c>
      <c r="N14" s="40">
        <v>13.8</v>
      </c>
      <c r="O14" s="40">
        <v>0</v>
      </c>
      <c r="P14" s="40">
        <v>0.51</v>
      </c>
      <c r="Q14" s="40">
        <v>28.15</v>
      </c>
      <c r="R14" s="38"/>
      <c r="S14" s="38"/>
      <c r="T14" s="38"/>
      <c r="U14" s="38"/>
    </row>
    <row r="15" spans="1:21" customFormat="1">
      <c r="A15" s="39" t="s">
        <v>282</v>
      </c>
      <c r="B15" s="40">
        <v>9.85</v>
      </c>
      <c r="C15" s="40">
        <v>19.32</v>
      </c>
      <c r="D15" s="40">
        <v>19.149999999999999</v>
      </c>
      <c r="E15" s="40">
        <v>8.1300000000000008</v>
      </c>
      <c r="F15" s="40">
        <v>2.42</v>
      </c>
      <c r="G15" s="40">
        <v>49.04</v>
      </c>
      <c r="H15" s="40">
        <v>14.72</v>
      </c>
      <c r="I15" s="40">
        <v>5.29</v>
      </c>
      <c r="J15" s="40">
        <v>0.24</v>
      </c>
      <c r="K15" s="40">
        <v>187.36</v>
      </c>
      <c r="L15" s="40">
        <v>25.47</v>
      </c>
      <c r="M15" s="40">
        <v>57.66</v>
      </c>
      <c r="N15" s="40">
        <v>57</v>
      </c>
      <c r="O15" s="40">
        <v>0</v>
      </c>
      <c r="P15" s="40">
        <v>0.54</v>
      </c>
      <c r="Q15" s="40">
        <v>28.17</v>
      </c>
      <c r="R15" s="38"/>
      <c r="S15" s="38"/>
      <c r="T15" s="38"/>
      <c r="U15" s="38"/>
    </row>
    <row r="16" spans="1:21" customFormat="1">
      <c r="A16" s="39" t="s">
        <v>283</v>
      </c>
      <c r="B16" s="40">
        <v>9.91</v>
      </c>
      <c r="C16" s="40">
        <v>20.13</v>
      </c>
      <c r="D16" s="40">
        <v>19.809999999999999</v>
      </c>
      <c r="E16" s="40">
        <v>8.9700000000000006</v>
      </c>
      <c r="F16" s="40">
        <v>2.5099999999999998</v>
      </c>
      <c r="G16" s="40">
        <v>59.42</v>
      </c>
      <c r="H16" s="40">
        <v>17.52</v>
      </c>
      <c r="I16" s="40">
        <v>5.79</v>
      </c>
      <c r="J16" s="40">
        <v>0.21</v>
      </c>
      <c r="K16" s="40">
        <v>275.17</v>
      </c>
      <c r="L16" s="40">
        <v>28.97</v>
      </c>
      <c r="M16" s="40">
        <v>53.04</v>
      </c>
      <c r="N16" s="40">
        <v>169.5</v>
      </c>
      <c r="O16" s="40">
        <v>0</v>
      </c>
      <c r="P16" s="40">
        <v>0.61</v>
      </c>
      <c r="Q16" s="40">
        <v>28.19</v>
      </c>
      <c r="R16" s="38"/>
      <c r="S16" s="38"/>
      <c r="T16" s="38"/>
      <c r="U16" s="38"/>
    </row>
    <row r="17" spans="1:21" customFormat="1">
      <c r="A17" s="39" t="s">
        <v>284</v>
      </c>
      <c r="B17" s="40">
        <v>9.66</v>
      </c>
      <c r="C17" s="40">
        <v>21.21</v>
      </c>
      <c r="D17" s="40">
        <v>19.940000000000001</v>
      </c>
      <c r="E17" s="40">
        <v>8.9600000000000009</v>
      </c>
      <c r="F17" s="40">
        <v>2.5299999999999998</v>
      </c>
      <c r="G17" s="40">
        <v>91.95</v>
      </c>
      <c r="H17" s="40">
        <v>26.18</v>
      </c>
      <c r="I17" s="40">
        <v>6.73</v>
      </c>
      <c r="J17" s="40">
        <v>0.43</v>
      </c>
      <c r="K17" s="40">
        <v>300.45999999999998</v>
      </c>
      <c r="L17" s="40">
        <v>32.020000000000003</v>
      </c>
      <c r="M17" s="40">
        <v>39.799999999999997</v>
      </c>
      <c r="N17" s="40">
        <v>340.4</v>
      </c>
      <c r="O17" s="40">
        <v>0</v>
      </c>
      <c r="P17" s="40">
        <v>0.63</v>
      </c>
      <c r="Q17" s="40">
        <v>28.18</v>
      </c>
      <c r="R17" s="38"/>
      <c r="S17" s="38"/>
      <c r="T17" s="38"/>
      <c r="U17" s="38"/>
    </row>
    <row r="18" spans="1:21" customFormat="1">
      <c r="A18" s="39" t="s">
        <v>285</v>
      </c>
      <c r="B18" s="40">
        <v>6.4</v>
      </c>
      <c r="C18" s="40">
        <v>21.53</v>
      </c>
      <c r="D18" s="40">
        <v>17.63</v>
      </c>
      <c r="E18" s="40">
        <v>8.26</v>
      </c>
      <c r="F18" s="40">
        <v>2.56</v>
      </c>
      <c r="G18" s="40">
        <v>51.4</v>
      </c>
      <c r="H18" s="40">
        <v>21.98</v>
      </c>
      <c r="I18" s="40">
        <v>6.83</v>
      </c>
      <c r="J18" s="40">
        <v>0.48</v>
      </c>
      <c r="K18" s="40">
        <v>302.2</v>
      </c>
      <c r="L18" s="40">
        <v>34.53</v>
      </c>
      <c r="M18" s="40">
        <v>30.1</v>
      </c>
      <c r="N18" s="40">
        <v>646.1</v>
      </c>
      <c r="O18" s="40">
        <v>0</v>
      </c>
      <c r="P18" s="40">
        <v>0.61</v>
      </c>
      <c r="Q18" s="40">
        <v>28.12</v>
      </c>
      <c r="R18" s="38"/>
      <c r="S18" s="38"/>
      <c r="T18" s="38"/>
      <c r="U18" s="38"/>
    </row>
    <row r="19" spans="1:21" customFormat="1">
      <c r="A19" s="39" t="s">
        <v>286</v>
      </c>
      <c r="B19" s="40">
        <v>5.28</v>
      </c>
      <c r="C19" s="40">
        <v>19.68</v>
      </c>
      <c r="D19" s="40">
        <v>15.87</v>
      </c>
      <c r="E19" s="40">
        <v>8.1199999999999992</v>
      </c>
      <c r="F19" s="40">
        <v>2.65</v>
      </c>
      <c r="G19" s="40">
        <v>43.86</v>
      </c>
      <c r="H19" s="40">
        <v>22.98</v>
      </c>
      <c r="I19" s="40">
        <v>6.59</v>
      </c>
      <c r="J19" s="40">
        <v>0.82</v>
      </c>
      <c r="K19" s="40">
        <v>263.06</v>
      </c>
      <c r="L19" s="40">
        <v>35.479999999999997</v>
      </c>
      <c r="M19" s="40">
        <v>26.31</v>
      </c>
      <c r="N19" s="40">
        <v>779.7</v>
      </c>
      <c r="O19" s="40">
        <v>0</v>
      </c>
      <c r="P19" s="40">
        <v>0.59</v>
      </c>
      <c r="Q19" s="40">
        <v>28.08</v>
      </c>
      <c r="R19" s="38"/>
      <c r="S19" s="38"/>
      <c r="T19" s="38"/>
      <c r="U19" s="38"/>
    </row>
    <row r="20" spans="1:21" customFormat="1">
      <c r="A20" s="39" t="s">
        <v>287</v>
      </c>
      <c r="B20" s="40">
        <v>4.57</v>
      </c>
      <c r="C20" s="40">
        <v>17.010000000000002</v>
      </c>
      <c r="D20" s="40">
        <v>13.9</v>
      </c>
      <c r="E20" s="40">
        <v>8.4</v>
      </c>
      <c r="F20" s="40">
        <v>3.61</v>
      </c>
      <c r="G20" s="40">
        <v>31.17</v>
      </c>
      <c r="H20" s="40">
        <v>20.3</v>
      </c>
      <c r="I20" s="40">
        <v>6.38</v>
      </c>
      <c r="J20" s="40">
        <v>1</v>
      </c>
      <c r="K20" s="40">
        <v>297.29000000000002</v>
      </c>
      <c r="L20" s="40">
        <v>36.49</v>
      </c>
      <c r="M20" s="40">
        <v>24.56</v>
      </c>
      <c r="N20" s="40">
        <v>824.2</v>
      </c>
      <c r="O20" s="40">
        <v>0</v>
      </c>
      <c r="P20" s="40">
        <v>0.56999999999999995</v>
      </c>
      <c r="Q20" s="40">
        <v>28.07</v>
      </c>
      <c r="R20" s="38"/>
      <c r="S20" s="38"/>
      <c r="T20" s="38"/>
      <c r="U20" s="38"/>
    </row>
    <row r="21" spans="1:21" customFormat="1">
      <c r="A21" s="39" t="s">
        <v>288</v>
      </c>
      <c r="B21" s="40">
        <v>4.43</v>
      </c>
      <c r="C21" s="40">
        <v>16.52</v>
      </c>
      <c r="D21" s="40">
        <v>13.54</v>
      </c>
      <c r="E21" s="40">
        <v>8.58</v>
      </c>
      <c r="F21" s="40">
        <v>3.57</v>
      </c>
      <c r="G21" s="40">
        <v>25.39</v>
      </c>
      <c r="H21" s="40">
        <v>18.02</v>
      </c>
      <c r="I21" s="40">
        <v>6.17</v>
      </c>
      <c r="J21" s="40">
        <v>0.85</v>
      </c>
      <c r="K21" s="40">
        <v>326.26</v>
      </c>
      <c r="L21" s="40">
        <v>38.520000000000003</v>
      </c>
      <c r="M21" s="40">
        <v>23.4</v>
      </c>
      <c r="N21" s="40">
        <v>835</v>
      </c>
      <c r="O21" s="40">
        <v>0</v>
      </c>
      <c r="P21" s="40">
        <v>0.56999999999999995</v>
      </c>
      <c r="Q21" s="40">
        <v>28.05</v>
      </c>
      <c r="R21" s="38"/>
      <c r="S21" s="38"/>
      <c r="T21" s="38"/>
      <c r="U21" s="38"/>
    </row>
    <row r="22" spans="1:21" customFormat="1">
      <c r="A22" s="39" t="s">
        <v>289</v>
      </c>
      <c r="B22" s="40">
        <v>4.26</v>
      </c>
      <c r="C22" s="40">
        <v>15.49</v>
      </c>
      <c r="D22" s="40">
        <v>12.75</v>
      </c>
      <c r="E22" s="40">
        <v>18.18</v>
      </c>
      <c r="F22" s="40">
        <v>4.42</v>
      </c>
      <c r="G22" s="40">
        <v>41.12</v>
      </c>
      <c r="H22" s="40">
        <v>17.670000000000002</v>
      </c>
      <c r="I22" s="40">
        <v>6.87</v>
      </c>
      <c r="J22" s="40">
        <v>0.94</v>
      </c>
      <c r="K22" s="40">
        <v>306.54000000000002</v>
      </c>
      <c r="L22" s="40">
        <v>39.270000000000003</v>
      </c>
      <c r="M22" s="40">
        <v>20.190000000000001</v>
      </c>
      <c r="N22" s="40">
        <v>788.9</v>
      </c>
      <c r="O22" s="40">
        <v>0</v>
      </c>
      <c r="P22" s="40">
        <v>0.67</v>
      </c>
      <c r="Q22" s="40">
        <v>28.05</v>
      </c>
      <c r="R22" s="38"/>
      <c r="S22" s="38"/>
      <c r="T22" s="38"/>
      <c r="U22" s="38"/>
    </row>
    <row r="23" spans="1:21" customFormat="1">
      <c r="A23" s="39" t="s">
        <v>290</v>
      </c>
      <c r="B23" s="40">
        <v>4.21</v>
      </c>
      <c r="C23" s="40">
        <v>14.18</v>
      </c>
      <c r="D23" s="40">
        <v>12.13</v>
      </c>
      <c r="E23" s="40">
        <v>14.86</v>
      </c>
      <c r="F23" s="40">
        <v>6.48</v>
      </c>
      <c r="G23" s="40">
        <v>53.93</v>
      </c>
      <c r="H23" s="40">
        <v>17.600000000000001</v>
      </c>
      <c r="I23" s="40">
        <v>7.05</v>
      </c>
      <c r="J23" s="40">
        <v>0.88</v>
      </c>
      <c r="K23" s="40">
        <v>312.55</v>
      </c>
      <c r="L23" s="40">
        <v>39.799999999999997</v>
      </c>
      <c r="M23" s="40">
        <v>18.07</v>
      </c>
      <c r="N23" s="40">
        <v>713.1</v>
      </c>
      <c r="O23" s="40">
        <v>0</v>
      </c>
      <c r="P23" s="40">
        <v>0.55000000000000004</v>
      </c>
      <c r="Q23" s="40">
        <v>28.06</v>
      </c>
      <c r="R23" s="38"/>
      <c r="S23" s="38"/>
      <c r="T23" s="38"/>
      <c r="U23" s="38"/>
    </row>
    <row r="24" spans="1:21" customFormat="1">
      <c r="A24" s="39" t="s">
        <v>291</v>
      </c>
      <c r="B24" s="40">
        <v>4.17</v>
      </c>
      <c r="C24" s="40">
        <v>13.72</v>
      </c>
      <c r="D24" s="40">
        <v>11.86</v>
      </c>
      <c r="E24" s="40">
        <v>15.94</v>
      </c>
      <c r="F24" s="40">
        <v>7.15</v>
      </c>
      <c r="G24" s="40">
        <v>48.64</v>
      </c>
      <c r="H24" s="40">
        <v>18.88</v>
      </c>
      <c r="I24" s="40">
        <v>5.53</v>
      </c>
      <c r="J24" s="40">
        <v>0.8</v>
      </c>
      <c r="K24" s="40">
        <v>324.41000000000003</v>
      </c>
      <c r="L24" s="40">
        <v>40.020000000000003</v>
      </c>
      <c r="M24" s="40">
        <v>17.46</v>
      </c>
      <c r="N24" s="40">
        <v>534.1</v>
      </c>
      <c r="O24" s="40">
        <v>0</v>
      </c>
      <c r="P24" s="40">
        <v>0.5</v>
      </c>
      <c r="Q24" s="40">
        <v>28.07</v>
      </c>
      <c r="R24" s="38"/>
      <c r="S24" s="38"/>
      <c r="T24" s="38"/>
      <c r="U24" s="38"/>
    </row>
    <row r="25" spans="1:21" customFormat="1">
      <c r="A25" s="39" t="s">
        <v>292</v>
      </c>
      <c r="B25" s="40">
        <v>4.7</v>
      </c>
      <c r="C25" s="40">
        <v>17.46</v>
      </c>
      <c r="D25" s="40">
        <v>13.98</v>
      </c>
      <c r="E25" s="40">
        <v>10.49</v>
      </c>
      <c r="F25" s="40">
        <v>6.59</v>
      </c>
      <c r="G25" s="40">
        <v>42.98</v>
      </c>
      <c r="H25" s="40">
        <v>18.88</v>
      </c>
      <c r="I25" s="40">
        <v>4.5199999999999996</v>
      </c>
      <c r="J25" s="40">
        <v>0.76</v>
      </c>
      <c r="K25" s="40">
        <v>331.08</v>
      </c>
      <c r="L25" s="40">
        <v>39.520000000000003</v>
      </c>
      <c r="M25" s="40">
        <v>17.59</v>
      </c>
      <c r="N25" s="40">
        <v>351.3</v>
      </c>
      <c r="O25" s="40">
        <v>0</v>
      </c>
      <c r="P25" s="40">
        <v>0.46</v>
      </c>
      <c r="Q25" s="40">
        <v>28.06</v>
      </c>
      <c r="R25" s="38"/>
      <c r="S25" s="38"/>
      <c r="T25" s="38"/>
      <c r="U25" s="38"/>
    </row>
    <row r="26" spans="1:21" customFormat="1">
      <c r="A26" s="39" t="s">
        <v>293</v>
      </c>
      <c r="B26" s="40">
        <v>3.5</v>
      </c>
      <c r="C26" s="40">
        <v>12.84</v>
      </c>
      <c r="D26" s="40">
        <v>10.86</v>
      </c>
      <c r="E26" s="40">
        <v>8.6300000000000008</v>
      </c>
      <c r="F26" s="40">
        <v>3.27</v>
      </c>
      <c r="G26" s="40">
        <v>33.21</v>
      </c>
      <c r="H26" s="40">
        <v>18.34</v>
      </c>
      <c r="I26" s="40">
        <v>3.99</v>
      </c>
      <c r="J26" s="40">
        <v>0.23</v>
      </c>
      <c r="K26" s="40">
        <v>209.65</v>
      </c>
      <c r="L26" s="40">
        <v>38.840000000000003</v>
      </c>
      <c r="M26" s="40">
        <v>23.58</v>
      </c>
      <c r="N26" s="40">
        <v>90.2</v>
      </c>
      <c r="O26" s="40">
        <v>0</v>
      </c>
      <c r="P26" s="40">
        <v>0.44</v>
      </c>
      <c r="Q26" s="40">
        <v>28.05</v>
      </c>
      <c r="R26" s="38"/>
      <c r="S26" s="38"/>
      <c r="T26" s="38"/>
      <c r="U26" s="38"/>
    </row>
    <row r="27" spans="1:21" customFormat="1">
      <c r="A27" s="39" t="s">
        <v>294</v>
      </c>
      <c r="B27" s="40">
        <v>3.49</v>
      </c>
      <c r="C27" s="40">
        <v>12.79</v>
      </c>
      <c r="D27" s="40">
        <v>10.84</v>
      </c>
      <c r="E27" s="40">
        <v>8.59</v>
      </c>
      <c r="F27" s="40">
        <v>2.4</v>
      </c>
      <c r="G27" s="40">
        <v>29.25</v>
      </c>
      <c r="H27" s="40">
        <v>15.55</v>
      </c>
      <c r="I27" s="40">
        <v>4.5599999999999996</v>
      </c>
      <c r="J27" s="40">
        <v>0.21</v>
      </c>
      <c r="K27" s="40">
        <v>194.54</v>
      </c>
      <c r="L27" s="40">
        <v>35.229999999999997</v>
      </c>
      <c r="M27" s="40">
        <v>29.64</v>
      </c>
      <c r="N27" s="40">
        <v>11.9</v>
      </c>
      <c r="O27" s="40">
        <v>0</v>
      </c>
      <c r="P27" s="40">
        <v>0.51</v>
      </c>
      <c r="Q27" s="40">
        <v>28.05</v>
      </c>
      <c r="R27" s="38"/>
      <c r="S27" s="38"/>
      <c r="T27" s="38"/>
      <c r="U27" s="38"/>
    </row>
    <row r="28" spans="1:21" customFormat="1">
      <c r="A28" s="39" t="s">
        <v>295</v>
      </c>
      <c r="B28" s="40">
        <v>4.05</v>
      </c>
      <c r="C28" s="40">
        <v>15.4</v>
      </c>
      <c r="D28" s="40">
        <v>12.64</v>
      </c>
      <c r="E28" s="40">
        <v>10.49</v>
      </c>
      <c r="F28" s="40">
        <v>2.4700000000000002</v>
      </c>
      <c r="G28" s="40">
        <v>57.17</v>
      </c>
      <c r="H28" s="40">
        <v>18</v>
      </c>
      <c r="I28" s="40">
        <v>6</v>
      </c>
      <c r="J28" s="40">
        <v>0.38</v>
      </c>
      <c r="K28" s="40">
        <v>245.01</v>
      </c>
      <c r="L28" s="40">
        <v>32.86</v>
      </c>
      <c r="M28" s="40">
        <v>32.75</v>
      </c>
      <c r="N28" s="40">
        <v>6</v>
      </c>
      <c r="O28" s="40">
        <v>0</v>
      </c>
      <c r="P28" s="40">
        <v>0.62</v>
      </c>
      <c r="Q28" s="40">
        <v>28.06</v>
      </c>
      <c r="R28" s="38"/>
      <c r="S28" s="38"/>
      <c r="T28" s="38"/>
      <c r="U28" s="38"/>
    </row>
    <row r="29" spans="1:21" customFormat="1">
      <c r="A29" s="39" t="s">
        <v>296</v>
      </c>
      <c r="B29" s="40">
        <v>9.9499999999999993</v>
      </c>
      <c r="C29" s="40">
        <v>27.42</v>
      </c>
      <c r="D29" s="40">
        <v>23.66</v>
      </c>
      <c r="E29" s="40">
        <v>17.649999999999999</v>
      </c>
      <c r="F29" s="40">
        <v>2.61</v>
      </c>
      <c r="G29" s="40">
        <v>68.569999999999993</v>
      </c>
      <c r="H29" s="40">
        <v>22.74</v>
      </c>
      <c r="I29" s="40">
        <v>9.61</v>
      </c>
      <c r="J29" s="40">
        <v>1.44</v>
      </c>
      <c r="K29" s="40">
        <v>75.349999999999994</v>
      </c>
      <c r="L29" s="40">
        <v>33.21</v>
      </c>
      <c r="M29" s="40">
        <v>29.92</v>
      </c>
      <c r="N29" s="40">
        <v>6.1</v>
      </c>
      <c r="O29" s="40">
        <v>0</v>
      </c>
      <c r="P29" s="40">
        <v>0.88</v>
      </c>
      <c r="Q29" s="40">
        <v>28.09</v>
      </c>
      <c r="R29" s="38"/>
      <c r="S29" s="38"/>
      <c r="T29" s="38"/>
      <c r="U29" s="38"/>
    </row>
    <row r="30" spans="1:21" customFormat="1">
      <c r="A30" s="39" t="s">
        <v>297</v>
      </c>
      <c r="B30" s="40">
        <v>5.48</v>
      </c>
      <c r="C30" s="40">
        <v>20.37</v>
      </c>
      <c r="D30" s="40">
        <v>16.329999999999998</v>
      </c>
      <c r="E30" s="40">
        <v>14.97</v>
      </c>
      <c r="F30" s="40">
        <v>2.67</v>
      </c>
      <c r="G30" s="40">
        <v>88.25</v>
      </c>
      <c r="H30" s="40">
        <v>25.19</v>
      </c>
      <c r="I30" s="40">
        <v>8.06</v>
      </c>
      <c r="J30" s="40">
        <v>1.03</v>
      </c>
      <c r="K30" s="40">
        <v>90.35</v>
      </c>
      <c r="L30" s="40">
        <v>32.61</v>
      </c>
      <c r="M30" s="40">
        <v>31.67</v>
      </c>
      <c r="N30" s="40">
        <v>6.5</v>
      </c>
      <c r="O30" s="40">
        <v>0</v>
      </c>
      <c r="P30" s="40">
        <v>0.62</v>
      </c>
      <c r="Q30" s="40">
        <v>28.09</v>
      </c>
      <c r="R30" s="38"/>
      <c r="S30" s="38"/>
      <c r="T30" s="38"/>
      <c r="U30" s="38"/>
    </row>
    <row r="31" spans="1:21" customFormat="1">
      <c r="A31" s="39" t="s">
        <v>298</v>
      </c>
      <c r="B31" s="40">
        <v>6.4</v>
      </c>
      <c r="C31" s="40">
        <v>20.52</v>
      </c>
      <c r="D31" s="40">
        <v>17.21</v>
      </c>
      <c r="E31" s="40">
        <v>12.51</v>
      </c>
      <c r="F31" s="40">
        <v>2.4</v>
      </c>
      <c r="G31" s="40">
        <v>74.92</v>
      </c>
      <c r="H31" s="40">
        <v>23.14</v>
      </c>
      <c r="I31" s="40">
        <v>6.61</v>
      </c>
      <c r="J31" s="40">
        <v>0.75</v>
      </c>
      <c r="K31" s="40">
        <v>104.57</v>
      </c>
      <c r="L31" s="40">
        <v>31.51</v>
      </c>
      <c r="M31" s="40">
        <v>32.450000000000003</v>
      </c>
      <c r="N31" s="40">
        <v>6.4</v>
      </c>
      <c r="O31" s="40">
        <v>0</v>
      </c>
      <c r="P31" s="40">
        <v>0.6</v>
      </c>
      <c r="Q31" s="40">
        <v>28.11</v>
      </c>
      <c r="R31" s="38"/>
      <c r="S31" s="38"/>
      <c r="T31" s="38"/>
      <c r="U31" s="38"/>
    </row>
    <row r="32" spans="1:21" customFormat="1">
      <c r="A32" s="39" t="s">
        <v>299</v>
      </c>
      <c r="B32" s="40">
        <v>6.92</v>
      </c>
      <c r="C32" s="40">
        <v>19.489999999999998</v>
      </c>
      <c r="D32" s="40">
        <v>17.079999999999998</v>
      </c>
      <c r="E32" s="40">
        <v>11.1</v>
      </c>
      <c r="F32" s="40">
        <v>2.4900000000000002</v>
      </c>
      <c r="G32" s="40">
        <v>70.180000000000007</v>
      </c>
      <c r="H32" s="40">
        <v>20.18</v>
      </c>
      <c r="I32" s="40">
        <v>6.32</v>
      </c>
      <c r="J32" s="40">
        <v>1.27</v>
      </c>
      <c r="K32" s="40">
        <v>85.01</v>
      </c>
      <c r="L32" s="40">
        <v>30.23</v>
      </c>
      <c r="M32" s="40">
        <v>35.81</v>
      </c>
      <c r="N32" s="40">
        <v>6.5</v>
      </c>
      <c r="O32" s="40">
        <v>0</v>
      </c>
      <c r="P32" s="40">
        <v>0.61</v>
      </c>
      <c r="Q32" s="40">
        <v>28.11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3.49</v>
      </c>
      <c r="C34" s="18">
        <f t="shared" si="0"/>
        <v>12.79</v>
      </c>
      <c r="D34" s="18">
        <f t="shared" si="0"/>
        <v>10.84</v>
      </c>
      <c r="E34" s="18">
        <f t="shared" si="0"/>
        <v>8.1199999999999992</v>
      </c>
      <c r="F34" s="18">
        <f t="shared" si="0"/>
        <v>2.2599999999999998</v>
      </c>
      <c r="G34" s="18">
        <f t="shared" si="0"/>
        <v>10.28</v>
      </c>
      <c r="H34" s="18">
        <f t="shared" si="0"/>
        <v>9.9499999999999993</v>
      </c>
      <c r="I34" s="18">
        <f t="shared" si="0"/>
        <v>3.99</v>
      </c>
      <c r="J34" s="18">
        <f t="shared" si="0"/>
        <v>0.21</v>
      </c>
      <c r="K34" s="18">
        <f t="shared" si="0"/>
        <v>75.349999999999994</v>
      </c>
      <c r="L34" s="18">
        <f t="shared" si="0"/>
        <v>24.76</v>
      </c>
      <c r="M34" s="18">
        <f t="shared" si="0"/>
        <v>17.46</v>
      </c>
      <c r="N34" s="18">
        <f t="shared" si="0"/>
        <v>6</v>
      </c>
      <c r="O34" s="18">
        <f t="shared" si="0"/>
        <v>0</v>
      </c>
      <c r="P34" s="18">
        <f t="shared" si="0"/>
        <v>0.44</v>
      </c>
      <c r="Q34" s="18">
        <f t="shared" si="0"/>
        <v>28.05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9.9499999999999993</v>
      </c>
      <c r="C35" s="3">
        <f t="shared" si="1"/>
        <v>27.42</v>
      </c>
      <c r="D35" s="3">
        <f t="shared" si="1"/>
        <v>23.66</v>
      </c>
      <c r="E35" s="3">
        <f t="shared" si="1"/>
        <v>18.18</v>
      </c>
      <c r="F35" s="3">
        <f t="shared" si="1"/>
        <v>7.15</v>
      </c>
      <c r="G35" s="3">
        <f t="shared" si="1"/>
        <v>91.95</v>
      </c>
      <c r="H35" s="3">
        <f t="shared" si="1"/>
        <v>26.18</v>
      </c>
      <c r="I35" s="3">
        <f t="shared" si="1"/>
        <v>9.61</v>
      </c>
      <c r="J35" s="3">
        <f t="shared" si="1"/>
        <v>1.44</v>
      </c>
      <c r="K35" s="3">
        <f t="shared" si="1"/>
        <v>331.08</v>
      </c>
      <c r="L35" s="3">
        <f t="shared" si="1"/>
        <v>40.020000000000003</v>
      </c>
      <c r="M35" s="3">
        <f t="shared" si="1"/>
        <v>57.66</v>
      </c>
      <c r="N35" s="3">
        <f t="shared" si="1"/>
        <v>835</v>
      </c>
      <c r="O35" s="3">
        <f t="shared" si="1"/>
        <v>0</v>
      </c>
      <c r="P35" s="3">
        <f t="shared" si="1"/>
        <v>0.88</v>
      </c>
      <c r="Q35" s="3">
        <f t="shared" si="1"/>
        <v>28.19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6.2245833333333325</v>
      </c>
      <c r="C36" s="18">
        <f t="shared" si="2"/>
        <v>18.193750000000001</v>
      </c>
      <c r="D36" s="18">
        <f t="shared" si="2"/>
        <v>15.75333333333333</v>
      </c>
      <c r="E36" s="18">
        <f t="shared" si="2"/>
        <v>10.68125</v>
      </c>
      <c r="F36" s="18">
        <f t="shared" si="2"/>
        <v>3.200416666666666</v>
      </c>
      <c r="G36" s="18">
        <f t="shared" si="2"/>
        <v>46.891666666666673</v>
      </c>
      <c r="H36" s="18">
        <f t="shared" si="2"/>
        <v>18.072916666666668</v>
      </c>
      <c r="I36" s="18">
        <f t="shared" si="2"/>
        <v>5.947916666666667</v>
      </c>
      <c r="J36" s="18">
        <f t="shared" si="2"/>
        <v>0.63416666666666666</v>
      </c>
      <c r="K36" s="18">
        <f t="shared" si="2"/>
        <v>234.94041666666669</v>
      </c>
      <c r="L36" s="18">
        <f t="shared" si="2"/>
        <v>32.687500000000007</v>
      </c>
      <c r="M36" s="18">
        <f t="shared" si="2"/>
        <v>34.625416666666673</v>
      </c>
      <c r="N36" s="18">
        <f t="shared" si="2"/>
        <v>259.13333333333338</v>
      </c>
      <c r="O36" s="18">
        <f t="shared" si="2"/>
        <v>0</v>
      </c>
      <c r="P36" s="18">
        <f t="shared" si="2"/>
        <v>0.56083333333333329</v>
      </c>
      <c r="Q36" s="18">
        <f t="shared" si="2"/>
        <v>28.097916666666666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2.1684937252000296</v>
      </c>
      <c r="C37" s="18">
        <f t="shared" ref="C37:Q37" si="3">STDEV(C9:C32)</f>
        <v>3.2717855947877736</v>
      </c>
      <c r="D37" s="18">
        <f t="shared" si="3"/>
        <v>3.1962582290338757</v>
      </c>
      <c r="E37" s="18">
        <f t="shared" si="3"/>
        <v>3.1995520236704902</v>
      </c>
      <c r="F37" s="18">
        <f t="shared" si="3"/>
        <v>1.4648415233074872</v>
      </c>
      <c r="G37" s="18">
        <f t="shared" si="3"/>
        <v>20.987153558611833</v>
      </c>
      <c r="H37" s="18">
        <f t="shared" si="3"/>
        <v>4.2903871105030804</v>
      </c>
      <c r="I37" s="18">
        <f t="shared" si="3"/>
        <v>1.2643265234784153</v>
      </c>
      <c r="J37" s="18">
        <f t="shared" si="3"/>
        <v>0.35767262985155512</v>
      </c>
      <c r="K37" s="18">
        <f t="shared" si="3"/>
        <v>80.575962457210451</v>
      </c>
      <c r="L37" s="18">
        <f t="shared" si="3"/>
        <v>5.1017987024185603</v>
      </c>
      <c r="M37" s="18">
        <f t="shared" si="3"/>
        <v>12.637904332040048</v>
      </c>
      <c r="N37" s="18">
        <f t="shared" si="3"/>
        <v>328.80449016645616</v>
      </c>
      <c r="O37" s="18">
        <f t="shared" si="3"/>
        <v>0</v>
      </c>
      <c r="P37" s="18">
        <f t="shared" si="3"/>
        <v>9.5184793573008561E-2</v>
      </c>
      <c r="Q37" s="18">
        <f t="shared" si="3"/>
        <v>4.2218805480874345E-2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I15" sqref="I1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 ht="25.5" customHeight="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11/04/2025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300</v>
      </c>
      <c r="B9" s="40">
        <v>5.61</v>
      </c>
      <c r="C9" s="40">
        <v>17.77</v>
      </c>
      <c r="D9" s="40">
        <v>15.13</v>
      </c>
      <c r="E9" s="40">
        <v>9.66</v>
      </c>
      <c r="F9" s="40">
        <v>2.5499999999999998</v>
      </c>
      <c r="G9" s="40">
        <v>72.42</v>
      </c>
      <c r="H9" s="40">
        <v>20.89</v>
      </c>
      <c r="I9" s="40">
        <v>6.44</v>
      </c>
      <c r="J9" s="40">
        <v>0.62</v>
      </c>
      <c r="K9" s="40">
        <v>114.35</v>
      </c>
      <c r="L9" s="40">
        <v>29.92</v>
      </c>
      <c r="M9" s="40">
        <v>41.61</v>
      </c>
      <c r="N9" s="40">
        <v>6.6</v>
      </c>
      <c r="O9" s="40">
        <v>0</v>
      </c>
      <c r="P9" s="40">
        <v>0.61</v>
      </c>
      <c r="Q9" s="40">
        <v>28.08</v>
      </c>
      <c r="R9" s="38"/>
      <c r="S9" s="38"/>
      <c r="T9" s="38"/>
      <c r="U9" s="38"/>
    </row>
    <row r="10" spans="1:21" customFormat="1">
      <c r="A10" s="39" t="s">
        <v>301</v>
      </c>
      <c r="B10" s="40">
        <v>4.09</v>
      </c>
      <c r="C10" s="40">
        <v>16.79</v>
      </c>
      <c r="D10" s="40">
        <v>13.4</v>
      </c>
      <c r="E10" s="40">
        <v>8.52</v>
      </c>
      <c r="F10" s="40">
        <v>2.48</v>
      </c>
      <c r="G10" s="40">
        <v>90.8</v>
      </c>
      <c r="H10" s="40">
        <v>22.78</v>
      </c>
      <c r="I10" s="40">
        <v>6.04</v>
      </c>
      <c r="J10" s="40">
        <v>0.48</v>
      </c>
      <c r="K10" s="40">
        <v>110.96</v>
      </c>
      <c r="L10" s="40">
        <v>29.04</v>
      </c>
      <c r="M10" s="40">
        <v>45.88</v>
      </c>
      <c r="N10" s="40">
        <v>6.4</v>
      </c>
      <c r="O10" s="40">
        <v>0</v>
      </c>
      <c r="P10" s="40">
        <v>0.56000000000000005</v>
      </c>
      <c r="Q10" s="40">
        <v>28.05</v>
      </c>
      <c r="R10" s="38"/>
      <c r="S10" s="38"/>
      <c r="T10" s="38"/>
      <c r="U10" s="38"/>
    </row>
    <row r="11" spans="1:21" customFormat="1">
      <c r="A11" s="39" t="s">
        <v>302</v>
      </c>
      <c r="B11" s="40">
        <v>4.0999999999999996</v>
      </c>
      <c r="C11" s="40">
        <v>15.61</v>
      </c>
      <c r="D11" s="40">
        <v>12.73</v>
      </c>
      <c r="E11" s="40">
        <v>7.89</v>
      </c>
      <c r="F11" s="40">
        <v>2.63</v>
      </c>
      <c r="G11" s="40">
        <v>76.36</v>
      </c>
      <c r="H11" s="40">
        <v>19.47</v>
      </c>
      <c r="I11" s="40">
        <v>5.38</v>
      </c>
      <c r="J11" s="40">
        <v>0.27</v>
      </c>
      <c r="K11" s="40">
        <v>126.05</v>
      </c>
      <c r="L11" s="40">
        <v>28.01</v>
      </c>
      <c r="M11" s="40">
        <v>48.82</v>
      </c>
      <c r="N11" s="40">
        <v>6.4</v>
      </c>
      <c r="O11" s="40">
        <v>0</v>
      </c>
      <c r="P11" s="40">
        <v>0.52</v>
      </c>
      <c r="Q11" s="40">
        <v>28.05</v>
      </c>
      <c r="R11" s="38"/>
      <c r="S11" s="38"/>
      <c r="T11" s="38"/>
      <c r="U11" s="38"/>
    </row>
    <row r="12" spans="1:21" customFormat="1">
      <c r="A12" s="39" t="s">
        <v>303</v>
      </c>
      <c r="B12" s="40">
        <v>4.42</v>
      </c>
      <c r="C12" s="40">
        <v>15.87</v>
      </c>
      <c r="D12" s="40">
        <v>13.18</v>
      </c>
      <c r="E12" s="40">
        <v>7.8</v>
      </c>
      <c r="F12" s="40">
        <v>2.5099999999999998</v>
      </c>
      <c r="G12" s="40">
        <v>67.33</v>
      </c>
      <c r="H12" s="40">
        <v>19.329999999999998</v>
      </c>
      <c r="I12" s="40">
        <v>5.2</v>
      </c>
      <c r="J12" s="40">
        <v>1</v>
      </c>
      <c r="K12" s="40">
        <v>130.19999999999999</v>
      </c>
      <c r="L12" s="40">
        <v>27.49</v>
      </c>
      <c r="M12" s="40">
        <v>49.82</v>
      </c>
      <c r="N12" s="40">
        <v>6.3</v>
      </c>
      <c r="O12" s="40">
        <v>0</v>
      </c>
      <c r="P12" s="40">
        <v>0.5</v>
      </c>
      <c r="Q12" s="40">
        <v>28.06</v>
      </c>
      <c r="R12" s="38"/>
      <c r="S12" s="38"/>
      <c r="T12" s="38"/>
      <c r="U12" s="38"/>
    </row>
    <row r="13" spans="1:21" customFormat="1">
      <c r="A13" s="39" t="s">
        <v>304</v>
      </c>
      <c r="B13" s="40">
        <v>4.45</v>
      </c>
      <c r="C13" s="40">
        <v>15.88</v>
      </c>
      <c r="D13" s="40">
        <v>13.22</v>
      </c>
      <c r="E13" s="40">
        <v>7.65</v>
      </c>
      <c r="F13" s="40">
        <v>2.5</v>
      </c>
      <c r="G13" s="40">
        <v>64.87</v>
      </c>
      <c r="H13" s="40">
        <v>18.010000000000002</v>
      </c>
      <c r="I13" s="40">
        <v>5.18</v>
      </c>
      <c r="J13" s="40">
        <v>0.3</v>
      </c>
      <c r="K13" s="40">
        <v>157.87</v>
      </c>
      <c r="L13" s="40">
        <v>26.97</v>
      </c>
      <c r="M13" s="40">
        <v>51.46</v>
      </c>
      <c r="N13" s="40">
        <v>6.2</v>
      </c>
      <c r="O13" s="40">
        <v>0</v>
      </c>
      <c r="P13" s="40">
        <v>0.49</v>
      </c>
      <c r="Q13" s="40">
        <v>28.05</v>
      </c>
      <c r="R13" s="38"/>
      <c r="S13" s="38"/>
      <c r="T13" s="38"/>
      <c r="U13" s="38"/>
    </row>
    <row r="14" spans="1:21" customFormat="1">
      <c r="A14" s="39" t="s">
        <v>305</v>
      </c>
      <c r="B14" s="40">
        <v>5.18</v>
      </c>
      <c r="C14" s="40">
        <v>14.8</v>
      </c>
      <c r="D14" s="40">
        <v>13.24</v>
      </c>
      <c r="E14" s="40">
        <v>7.94</v>
      </c>
      <c r="F14" s="40">
        <v>2.41</v>
      </c>
      <c r="G14" s="40">
        <v>58.37</v>
      </c>
      <c r="H14" s="40">
        <v>18.21</v>
      </c>
      <c r="I14" s="40">
        <v>5.2</v>
      </c>
      <c r="J14" s="40">
        <v>0.2</v>
      </c>
      <c r="K14" s="40">
        <v>244.5</v>
      </c>
      <c r="L14" s="40">
        <v>26.54</v>
      </c>
      <c r="M14" s="40">
        <v>54.59</v>
      </c>
      <c r="N14" s="40">
        <v>9.1</v>
      </c>
      <c r="O14" s="40">
        <v>0</v>
      </c>
      <c r="P14" s="40">
        <v>0.48</v>
      </c>
      <c r="Q14" s="40">
        <v>28.08</v>
      </c>
      <c r="R14" s="38"/>
      <c r="S14" s="38"/>
      <c r="T14" s="38"/>
      <c r="U14" s="38"/>
    </row>
    <row r="15" spans="1:21" customFormat="1">
      <c r="A15" s="39" t="s">
        <v>306</v>
      </c>
      <c r="B15" s="40">
        <v>6.8</v>
      </c>
      <c r="C15" s="40">
        <v>15.53</v>
      </c>
      <c r="D15" s="40">
        <v>14.85</v>
      </c>
      <c r="E15" s="40">
        <v>8.08</v>
      </c>
      <c r="F15" s="40">
        <v>2.44</v>
      </c>
      <c r="G15" s="40">
        <v>51.18</v>
      </c>
      <c r="H15" s="40">
        <v>14.11</v>
      </c>
      <c r="I15" s="40">
        <v>5.36</v>
      </c>
      <c r="J15" s="40">
        <v>0.89</v>
      </c>
      <c r="K15" s="40">
        <v>64.099999999999994</v>
      </c>
      <c r="L15" s="40">
        <v>26.27</v>
      </c>
      <c r="M15" s="40">
        <v>55.18</v>
      </c>
      <c r="N15" s="40">
        <v>68.900000000000006</v>
      </c>
      <c r="O15" s="40">
        <v>0</v>
      </c>
      <c r="P15" s="40">
        <v>0.48</v>
      </c>
      <c r="Q15" s="40">
        <v>28.1</v>
      </c>
      <c r="R15" s="38"/>
      <c r="S15" s="38"/>
      <c r="T15" s="38"/>
      <c r="U15" s="38"/>
    </row>
    <row r="16" spans="1:21" customFormat="1">
      <c r="A16" s="39" t="s">
        <v>307</v>
      </c>
      <c r="B16" s="40">
        <v>7.55</v>
      </c>
      <c r="C16" s="40">
        <v>15.83</v>
      </c>
      <c r="D16" s="40">
        <v>15.48</v>
      </c>
      <c r="E16" s="40">
        <v>8.44</v>
      </c>
      <c r="F16" s="40">
        <v>2.5099999999999998</v>
      </c>
      <c r="G16" s="40">
        <v>50.88</v>
      </c>
      <c r="H16" s="40">
        <v>20.61</v>
      </c>
      <c r="I16" s="40">
        <v>5.67</v>
      </c>
      <c r="J16" s="40">
        <v>1.08</v>
      </c>
      <c r="K16" s="40">
        <v>66.13</v>
      </c>
      <c r="L16" s="40">
        <v>28.59</v>
      </c>
      <c r="M16" s="40">
        <v>55.31</v>
      </c>
      <c r="N16" s="40">
        <v>165.2</v>
      </c>
      <c r="O16" s="40">
        <v>0</v>
      </c>
      <c r="P16" s="40">
        <v>0.5</v>
      </c>
      <c r="Q16" s="40">
        <v>28.12</v>
      </c>
      <c r="R16" s="38"/>
      <c r="S16" s="38"/>
      <c r="T16" s="38"/>
      <c r="U16" s="38"/>
    </row>
    <row r="17" spans="1:21" customFormat="1">
      <c r="A17" s="39" t="s">
        <v>308</v>
      </c>
      <c r="B17" s="40">
        <v>7.5</v>
      </c>
      <c r="C17" s="40">
        <v>15.99</v>
      </c>
      <c r="D17" s="40">
        <v>15.72</v>
      </c>
      <c r="E17" s="40">
        <v>8.7899999999999991</v>
      </c>
      <c r="F17" s="40">
        <v>2.6</v>
      </c>
      <c r="G17" s="40">
        <v>57.77</v>
      </c>
      <c r="H17" s="40">
        <v>19.18</v>
      </c>
      <c r="I17" s="40">
        <v>5.91</v>
      </c>
      <c r="J17" s="40">
        <v>0.69</v>
      </c>
      <c r="K17" s="40">
        <v>129.61000000000001</v>
      </c>
      <c r="L17" s="40">
        <v>31.02</v>
      </c>
      <c r="M17" s="40">
        <v>46.67</v>
      </c>
      <c r="N17" s="40">
        <v>308.10000000000002</v>
      </c>
      <c r="O17" s="40">
        <v>0</v>
      </c>
      <c r="P17" s="40">
        <v>0.51</v>
      </c>
      <c r="Q17" s="40">
        <v>28.13</v>
      </c>
      <c r="R17" s="38"/>
      <c r="S17" s="38"/>
      <c r="T17" s="38"/>
      <c r="U17" s="38"/>
    </row>
    <row r="18" spans="1:21" customFormat="1">
      <c r="A18" s="39" t="s">
        <v>309</v>
      </c>
      <c r="B18" s="40">
        <v>6.94</v>
      </c>
      <c r="C18" s="40">
        <v>14.6</v>
      </c>
      <c r="D18" s="40">
        <v>14.54</v>
      </c>
      <c r="E18" s="40">
        <v>8.34</v>
      </c>
      <c r="F18" s="40">
        <v>2.64</v>
      </c>
      <c r="G18" s="40">
        <v>56.33</v>
      </c>
      <c r="H18" s="40">
        <v>18.98</v>
      </c>
      <c r="I18" s="40">
        <v>5.92</v>
      </c>
      <c r="J18" s="40">
        <v>0.85</v>
      </c>
      <c r="K18" s="40">
        <v>291.16000000000003</v>
      </c>
      <c r="L18" s="40">
        <v>33.200000000000003</v>
      </c>
      <c r="M18" s="40">
        <v>37.93</v>
      </c>
      <c r="N18" s="40">
        <v>584.4</v>
      </c>
      <c r="O18" s="40">
        <v>0</v>
      </c>
      <c r="P18" s="40">
        <v>0.52</v>
      </c>
      <c r="Q18" s="40">
        <v>28.11</v>
      </c>
      <c r="R18" s="38"/>
      <c r="S18" s="38"/>
      <c r="T18" s="38"/>
      <c r="U18" s="38"/>
    </row>
    <row r="19" spans="1:21" customFormat="1">
      <c r="A19" s="39" t="s">
        <v>310</v>
      </c>
      <c r="B19" s="40">
        <v>4.96</v>
      </c>
      <c r="C19" s="40">
        <v>16.989999999999998</v>
      </c>
      <c r="D19" s="40">
        <v>13.53</v>
      </c>
      <c r="E19" s="40">
        <v>9.9499999999999993</v>
      </c>
      <c r="F19" s="40">
        <v>2.82</v>
      </c>
      <c r="G19" s="40">
        <v>48.11</v>
      </c>
      <c r="H19" s="40">
        <v>18.23</v>
      </c>
      <c r="I19" s="40">
        <v>6.05</v>
      </c>
      <c r="J19" s="40">
        <v>1.38</v>
      </c>
      <c r="K19" s="40">
        <v>285.37</v>
      </c>
      <c r="L19" s="40">
        <v>34.409999999999997</v>
      </c>
      <c r="M19" s="40">
        <v>33.5</v>
      </c>
      <c r="N19" s="40">
        <v>702</v>
      </c>
      <c r="O19" s="40">
        <v>0</v>
      </c>
      <c r="P19" s="40">
        <v>0.59</v>
      </c>
      <c r="Q19" s="40">
        <v>28.07</v>
      </c>
      <c r="R19" s="38"/>
      <c r="S19" s="38"/>
      <c r="T19" s="38"/>
      <c r="U19" s="38"/>
    </row>
    <row r="20" spans="1:21" customFormat="1">
      <c r="A20" s="39" t="s">
        <v>311</v>
      </c>
      <c r="B20" s="40">
        <v>4.0199999999999996</v>
      </c>
      <c r="C20" s="40">
        <v>18.7</v>
      </c>
      <c r="D20" s="40">
        <v>14.23</v>
      </c>
      <c r="E20" s="40">
        <v>12.27</v>
      </c>
      <c r="F20" s="40">
        <v>3.19</v>
      </c>
      <c r="G20" s="40">
        <v>55.45</v>
      </c>
      <c r="H20" s="40">
        <v>19.79</v>
      </c>
      <c r="I20" s="40">
        <v>8.15</v>
      </c>
      <c r="J20" s="40">
        <v>0.97</v>
      </c>
      <c r="K20" s="40">
        <v>299.04000000000002</v>
      </c>
      <c r="L20" s="40">
        <v>36.6</v>
      </c>
      <c r="M20" s="40">
        <v>31.01</v>
      </c>
      <c r="N20" s="40">
        <v>701.9</v>
      </c>
      <c r="O20" s="40">
        <v>0</v>
      </c>
      <c r="P20" s="40">
        <v>0.74</v>
      </c>
      <c r="Q20" s="40">
        <v>28.07</v>
      </c>
      <c r="R20" s="38"/>
      <c r="S20" s="38"/>
      <c r="T20" s="38"/>
      <c r="U20" s="38"/>
    </row>
    <row r="21" spans="1:21" customFormat="1">
      <c r="A21" s="39" t="s">
        <v>312</v>
      </c>
      <c r="B21" s="40">
        <v>3.73</v>
      </c>
      <c r="C21" s="40">
        <v>18.86</v>
      </c>
      <c r="D21" s="40">
        <v>14.2</v>
      </c>
      <c r="E21" s="40">
        <v>14.59</v>
      </c>
      <c r="F21" s="40">
        <v>3.13</v>
      </c>
      <c r="G21" s="40">
        <v>71.540000000000006</v>
      </c>
      <c r="H21" s="40">
        <v>21.79</v>
      </c>
      <c r="I21" s="40">
        <v>9.15</v>
      </c>
      <c r="J21" s="40">
        <v>0.95</v>
      </c>
      <c r="K21" s="40">
        <v>330.58</v>
      </c>
      <c r="L21" s="40">
        <v>38.25</v>
      </c>
      <c r="M21" s="40">
        <v>26.91</v>
      </c>
      <c r="N21" s="40">
        <v>718.1</v>
      </c>
      <c r="O21" s="40">
        <v>0</v>
      </c>
      <c r="P21" s="40">
        <v>0.8</v>
      </c>
      <c r="Q21" s="40">
        <v>28.07</v>
      </c>
      <c r="R21" s="38"/>
      <c r="S21" s="38"/>
      <c r="T21" s="38"/>
      <c r="U21" s="38"/>
    </row>
    <row r="22" spans="1:21" customFormat="1">
      <c r="A22" s="39" t="s">
        <v>313</v>
      </c>
      <c r="B22" s="40">
        <v>3.66</v>
      </c>
      <c r="C22" s="40">
        <v>18.37</v>
      </c>
      <c r="D22" s="40">
        <v>13.87</v>
      </c>
      <c r="E22" s="40">
        <v>16.39</v>
      </c>
      <c r="F22" s="40">
        <v>3.05</v>
      </c>
      <c r="G22" s="40">
        <v>86.02</v>
      </c>
      <c r="H22" s="40">
        <v>28.07</v>
      </c>
      <c r="I22" s="40">
        <v>9.5</v>
      </c>
      <c r="J22" s="40">
        <v>0.96</v>
      </c>
      <c r="K22" s="40">
        <v>322.68</v>
      </c>
      <c r="L22" s="40">
        <v>39.08</v>
      </c>
      <c r="M22" s="40">
        <v>24.13</v>
      </c>
      <c r="N22" s="40">
        <v>702.3</v>
      </c>
      <c r="O22" s="40">
        <v>0</v>
      </c>
      <c r="P22" s="40">
        <v>0.8</v>
      </c>
      <c r="Q22" s="40">
        <v>28.07</v>
      </c>
      <c r="R22" s="38"/>
      <c r="S22" s="38"/>
      <c r="T22" s="38"/>
      <c r="U22" s="38"/>
    </row>
    <row r="23" spans="1:21" customFormat="1">
      <c r="A23" s="39" t="s">
        <v>314</v>
      </c>
      <c r="B23" s="40">
        <v>4.04</v>
      </c>
      <c r="C23" s="40">
        <v>20.87</v>
      </c>
      <c r="D23" s="40">
        <v>15.5</v>
      </c>
      <c r="E23" s="40">
        <v>13.43</v>
      </c>
      <c r="F23" s="40">
        <v>2.92</v>
      </c>
      <c r="G23" s="40">
        <v>85.78</v>
      </c>
      <c r="H23" s="40">
        <v>29.8</v>
      </c>
      <c r="I23" s="40">
        <v>9.16</v>
      </c>
      <c r="J23" s="40">
        <v>1</v>
      </c>
      <c r="K23" s="40">
        <v>299.82</v>
      </c>
      <c r="L23" s="40">
        <v>39.43</v>
      </c>
      <c r="M23" s="40">
        <v>19.63</v>
      </c>
      <c r="N23" s="40">
        <v>652.70000000000005</v>
      </c>
      <c r="O23" s="40">
        <v>0</v>
      </c>
      <c r="P23" s="40">
        <v>0.73</v>
      </c>
      <c r="Q23" s="40">
        <v>28.06</v>
      </c>
      <c r="R23" s="38"/>
      <c r="S23" s="38"/>
      <c r="T23" s="38"/>
      <c r="U23" s="38"/>
    </row>
    <row r="24" spans="1:21" customFormat="1">
      <c r="A24" s="39" t="s">
        <v>315</v>
      </c>
      <c r="B24" s="40">
        <v>4.45</v>
      </c>
      <c r="C24" s="40">
        <v>21.48</v>
      </c>
      <c r="D24" s="40">
        <v>16.12</v>
      </c>
      <c r="E24" s="40">
        <v>15.81</v>
      </c>
      <c r="F24" s="40">
        <v>2.9</v>
      </c>
      <c r="G24" s="40">
        <v>76.92</v>
      </c>
      <c r="H24" s="40">
        <v>29.12</v>
      </c>
      <c r="I24" s="40">
        <v>8.26</v>
      </c>
      <c r="J24" s="40">
        <v>1.1299999999999999</v>
      </c>
      <c r="K24" s="40">
        <v>331.25</v>
      </c>
      <c r="L24" s="40">
        <v>39.31</v>
      </c>
      <c r="M24" s="40">
        <v>17.399999999999999</v>
      </c>
      <c r="N24" s="40">
        <v>481.8</v>
      </c>
      <c r="O24" s="40">
        <v>0</v>
      </c>
      <c r="P24" s="40">
        <v>0.69</v>
      </c>
      <c r="Q24" s="40">
        <v>28.07</v>
      </c>
      <c r="R24" s="38"/>
      <c r="S24" s="38"/>
      <c r="T24" s="38"/>
      <c r="U24" s="38"/>
    </row>
    <row r="25" spans="1:21" customFormat="1">
      <c r="A25" s="39" t="s">
        <v>316</v>
      </c>
      <c r="B25" s="40">
        <v>5.13</v>
      </c>
      <c r="C25" s="40">
        <v>21.41</v>
      </c>
      <c r="D25" s="40">
        <v>16.649999999999999</v>
      </c>
      <c r="E25" s="40">
        <v>22.03</v>
      </c>
      <c r="F25" s="40">
        <v>3.02</v>
      </c>
      <c r="G25" s="40">
        <v>69.87</v>
      </c>
      <c r="H25" s="40">
        <v>27.73</v>
      </c>
      <c r="I25" s="40">
        <v>7.39</v>
      </c>
      <c r="J25" s="40">
        <v>1.1100000000000001</v>
      </c>
      <c r="K25" s="40">
        <v>316.63</v>
      </c>
      <c r="L25" s="40">
        <v>39.28</v>
      </c>
      <c r="M25" s="40">
        <v>20.12</v>
      </c>
      <c r="N25" s="40">
        <v>283</v>
      </c>
      <c r="O25" s="40">
        <v>0</v>
      </c>
      <c r="P25" s="40">
        <v>0.67</v>
      </c>
      <c r="Q25" s="40">
        <v>28.06</v>
      </c>
      <c r="R25" s="38"/>
      <c r="S25" s="38"/>
      <c r="T25" s="38"/>
      <c r="U25" s="38"/>
    </row>
    <row r="26" spans="1:21" customFormat="1">
      <c r="A26" s="39" t="s">
        <v>317</v>
      </c>
      <c r="B26" s="40">
        <v>5.27</v>
      </c>
      <c r="C26" s="40">
        <v>22.49</v>
      </c>
      <c r="D26" s="40">
        <v>17.329999999999998</v>
      </c>
      <c r="E26" s="40">
        <v>25.11</v>
      </c>
      <c r="F26" s="40">
        <v>2.75</v>
      </c>
      <c r="G26" s="40">
        <v>62.9</v>
      </c>
      <c r="H26" s="40">
        <v>24.43</v>
      </c>
      <c r="I26" s="40">
        <v>6.66</v>
      </c>
      <c r="J26" s="40">
        <v>0.51</v>
      </c>
      <c r="K26" s="40">
        <v>97.61</v>
      </c>
      <c r="L26" s="40">
        <v>37.619999999999997</v>
      </c>
      <c r="M26" s="40">
        <v>22.92</v>
      </c>
      <c r="N26" s="40">
        <v>82.6</v>
      </c>
      <c r="O26" s="40">
        <v>0</v>
      </c>
      <c r="P26" s="40">
        <v>0.69</v>
      </c>
      <c r="Q26" s="40">
        <v>28.06</v>
      </c>
      <c r="R26" s="38"/>
      <c r="S26" s="38"/>
      <c r="T26" s="38"/>
      <c r="U26" s="38"/>
    </row>
    <row r="27" spans="1:21" customFormat="1">
      <c r="A27" s="39" t="s">
        <v>318</v>
      </c>
      <c r="B27" s="40">
        <v>4.13</v>
      </c>
      <c r="C27" s="40">
        <v>21.58</v>
      </c>
      <c r="D27" s="40">
        <v>15.91</v>
      </c>
      <c r="E27" s="40">
        <v>15.13</v>
      </c>
      <c r="F27" s="40">
        <v>2.63</v>
      </c>
      <c r="G27" s="40">
        <v>58.88</v>
      </c>
      <c r="H27" s="40">
        <v>22.98</v>
      </c>
      <c r="I27" s="40">
        <v>7.03</v>
      </c>
      <c r="J27" s="40">
        <v>0.28000000000000003</v>
      </c>
      <c r="K27" s="40">
        <v>204.01</v>
      </c>
      <c r="L27" s="40">
        <v>35.630000000000003</v>
      </c>
      <c r="M27" s="40">
        <v>31.48</v>
      </c>
      <c r="N27" s="40">
        <v>11.7</v>
      </c>
      <c r="O27" s="40">
        <v>0</v>
      </c>
      <c r="P27" s="40">
        <v>0.71</v>
      </c>
      <c r="Q27" s="40">
        <v>28.07</v>
      </c>
      <c r="R27" s="38"/>
      <c r="S27" s="38"/>
      <c r="T27" s="38"/>
      <c r="U27" s="38"/>
    </row>
    <row r="28" spans="1:21" customFormat="1">
      <c r="A28" s="39" t="s">
        <v>319</v>
      </c>
      <c r="B28" s="40">
        <v>4.26</v>
      </c>
      <c r="C28" s="40">
        <v>15.55</v>
      </c>
      <c r="D28" s="40">
        <v>12.83</v>
      </c>
      <c r="E28" s="40">
        <v>13.64</v>
      </c>
      <c r="F28" s="40">
        <v>2.52</v>
      </c>
      <c r="G28" s="40">
        <v>71.12</v>
      </c>
      <c r="H28" s="40">
        <v>25.88</v>
      </c>
      <c r="I28" s="40">
        <v>7.44</v>
      </c>
      <c r="J28" s="40">
        <v>0.27</v>
      </c>
      <c r="K28" s="40">
        <v>180.74</v>
      </c>
      <c r="L28" s="40">
        <v>32.14</v>
      </c>
      <c r="M28" s="40">
        <v>35.340000000000003</v>
      </c>
      <c r="N28" s="40">
        <v>6.1</v>
      </c>
      <c r="O28" s="40">
        <v>0</v>
      </c>
      <c r="P28" s="40">
        <v>0.72</v>
      </c>
      <c r="Q28" s="40">
        <v>28.07</v>
      </c>
      <c r="R28" s="38"/>
      <c r="S28" s="38"/>
      <c r="T28" s="38"/>
      <c r="U28" s="38"/>
    </row>
    <row r="29" spans="1:21" customFormat="1">
      <c r="A29" s="39" t="s">
        <v>320</v>
      </c>
      <c r="B29" s="40">
        <v>4.2</v>
      </c>
      <c r="C29" s="40">
        <v>16.850000000000001</v>
      </c>
      <c r="D29" s="40">
        <v>13.53</v>
      </c>
      <c r="E29" s="40">
        <v>12.13</v>
      </c>
      <c r="F29" s="40">
        <v>2.4900000000000002</v>
      </c>
      <c r="G29" s="40">
        <v>86.54</v>
      </c>
      <c r="H29" s="40">
        <v>25.61</v>
      </c>
      <c r="I29" s="40">
        <v>8.1199999999999992</v>
      </c>
      <c r="J29" s="40">
        <v>0.21</v>
      </c>
      <c r="K29" s="40">
        <v>223.61</v>
      </c>
      <c r="L29" s="40">
        <v>31.27</v>
      </c>
      <c r="M29" s="40">
        <v>38.31</v>
      </c>
      <c r="N29" s="40">
        <v>6</v>
      </c>
      <c r="O29" s="40">
        <v>0</v>
      </c>
      <c r="P29" s="40">
        <v>0.76</v>
      </c>
      <c r="Q29" s="40">
        <v>28.06</v>
      </c>
      <c r="R29" s="38"/>
      <c r="S29" s="38"/>
      <c r="T29" s="38"/>
      <c r="U29" s="38"/>
    </row>
    <row r="30" spans="1:21" customFormat="1">
      <c r="A30" s="39" t="s">
        <v>321</v>
      </c>
      <c r="B30" s="40">
        <v>4.24</v>
      </c>
      <c r="C30" s="40">
        <v>17.100000000000001</v>
      </c>
      <c r="D30" s="40">
        <v>13.67</v>
      </c>
      <c r="E30" s="40">
        <v>10.7</v>
      </c>
      <c r="F30" s="40">
        <v>2.38</v>
      </c>
      <c r="G30" s="40">
        <v>97.82</v>
      </c>
      <c r="H30" s="40">
        <v>30.54</v>
      </c>
      <c r="I30" s="40">
        <v>8.41</v>
      </c>
      <c r="J30" s="40">
        <v>0.21</v>
      </c>
      <c r="K30" s="40">
        <v>196.14</v>
      </c>
      <c r="L30" s="40">
        <v>30.31</v>
      </c>
      <c r="M30" s="40">
        <v>39.49</v>
      </c>
      <c r="N30" s="40">
        <v>6</v>
      </c>
      <c r="O30" s="40">
        <v>0</v>
      </c>
      <c r="P30" s="40">
        <v>0.79</v>
      </c>
      <c r="Q30" s="40">
        <v>28.06</v>
      </c>
      <c r="R30" s="38"/>
      <c r="S30" s="38"/>
      <c r="T30" s="38"/>
      <c r="U30" s="38"/>
    </row>
    <row r="31" spans="1:21" customFormat="1">
      <c r="A31" s="39" t="s">
        <v>322</v>
      </c>
      <c r="B31" s="40">
        <v>4.25</v>
      </c>
      <c r="C31" s="40">
        <v>16.98</v>
      </c>
      <c r="D31" s="40">
        <v>13.62</v>
      </c>
      <c r="E31" s="40">
        <v>10.82</v>
      </c>
      <c r="F31" s="40">
        <v>2.52</v>
      </c>
      <c r="G31" s="40">
        <v>90.84</v>
      </c>
      <c r="H31" s="40">
        <v>30.23</v>
      </c>
      <c r="I31" s="40">
        <v>8.92</v>
      </c>
      <c r="J31" s="40">
        <v>0.19</v>
      </c>
      <c r="K31" s="40">
        <v>208.25</v>
      </c>
      <c r="L31" s="40">
        <v>29.59</v>
      </c>
      <c r="M31" s="40">
        <v>41.82</v>
      </c>
      <c r="N31" s="40">
        <v>6</v>
      </c>
      <c r="O31" s="40">
        <v>0</v>
      </c>
      <c r="P31" s="40">
        <v>0.83</v>
      </c>
      <c r="Q31" s="40">
        <v>28.05</v>
      </c>
      <c r="R31" s="38"/>
      <c r="S31" s="38"/>
      <c r="T31" s="38"/>
      <c r="U31" s="38"/>
    </row>
    <row r="32" spans="1:21" customFormat="1">
      <c r="A32" s="39" t="s">
        <v>323</v>
      </c>
      <c r="B32" s="40">
        <v>4.28</v>
      </c>
      <c r="C32" s="40">
        <v>16.760000000000002</v>
      </c>
      <c r="D32" s="40">
        <v>13.54</v>
      </c>
      <c r="E32" s="40">
        <v>10</v>
      </c>
      <c r="F32" s="40">
        <v>2.4700000000000002</v>
      </c>
      <c r="G32" s="40">
        <v>91.38</v>
      </c>
      <c r="H32" s="40">
        <v>31.82</v>
      </c>
      <c r="I32" s="40">
        <v>10.029999999999999</v>
      </c>
      <c r="J32" s="40">
        <v>0.23</v>
      </c>
      <c r="K32" s="40">
        <v>255.9</v>
      </c>
      <c r="L32" s="40">
        <v>28.79</v>
      </c>
      <c r="M32" s="40">
        <v>43.64</v>
      </c>
      <c r="N32" s="40">
        <v>6</v>
      </c>
      <c r="O32" s="40">
        <v>0</v>
      </c>
      <c r="P32" s="40">
        <v>0.84</v>
      </c>
      <c r="Q32" s="40">
        <v>28.05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3.66</v>
      </c>
      <c r="C34" s="18">
        <f t="shared" si="0"/>
        <v>14.6</v>
      </c>
      <c r="D34" s="18">
        <f t="shared" si="0"/>
        <v>12.73</v>
      </c>
      <c r="E34" s="18">
        <f t="shared" si="0"/>
        <v>7.65</v>
      </c>
      <c r="F34" s="18">
        <f t="shared" si="0"/>
        <v>2.38</v>
      </c>
      <c r="G34" s="18">
        <f t="shared" si="0"/>
        <v>48.11</v>
      </c>
      <c r="H34" s="18">
        <f t="shared" si="0"/>
        <v>14.11</v>
      </c>
      <c r="I34" s="18">
        <f t="shared" si="0"/>
        <v>5.18</v>
      </c>
      <c r="J34" s="18">
        <f t="shared" si="0"/>
        <v>0.19</v>
      </c>
      <c r="K34" s="18">
        <f t="shared" si="0"/>
        <v>64.099999999999994</v>
      </c>
      <c r="L34" s="18">
        <f t="shared" si="0"/>
        <v>26.27</v>
      </c>
      <c r="M34" s="18">
        <f t="shared" si="0"/>
        <v>17.399999999999999</v>
      </c>
      <c r="N34" s="18">
        <f t="shared" si="0"/>
        <v>6</v>
      </c>
      <c r="O34" s="18">
        <f t="shared" si="0"/>
        <v>0</v>
      </c>
      <c r="P34" s="18">
        <f t="shared" si="0"/>
        <v>0.48</v>
      </c>
      <c r="Q34" s="18">
        <f t="shared" si="0"/>
        <v>28.05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7.55</v>
      </c>
      <c r="C35" s="3">
        <f t="shared" si="1"/>
        <v>22.49</v>
      </c>
      <c r="D35" s="3">
        <f t="shared" si="1"/>
        <v>17.329999999999998</v>
      </c>
      <c r="E35" s="3">
        <f t="shared" si="1"/>
        <v>25.11</v>
      </c>
      <c r="F35" s="3">
        <f t="shared" si="1"/>
        <v>3.19</v>
      </c>
      <c r="G35" s="3">
        <f t="shared" si="1"/>
        <v>97.82</v>
      </c>
      <c r="H35" s="3">
        <f t="shared" si="1"/>
        <v>31.82</v>
      </c>
      <c r="I35" s="3">
        <f t="shared" si="1"/>
        <v>10.029999999999999</v>
      </c>
      <c r="J35" s="3">
        <f t="shared" si="1"/>
        <v>1.38</v>
      </c>
      <c r="K35" s="3">
        <f t="shared" si="1"/>
        <v>331.25</v>
      </c>
      <c r="L35" s="3">
        <f t="shared" si="1"/>
        <v>39.43</v>
      </c>
      <c r="M35" s="3">
        <f t="shared" si="1"/>
        <v>55.31</v>
      </c>
      <c r="N35" s="3">
        <f t="shared" si="1"/>
        <v>718.1</v>
      </c>
      <c r="O35" s="3">
        <f t="shared" si="1"/>
        <v>0</v>
      </c>
      <c r="P35" s="3">
        <f t="shared" si="1"/>
        <v>0.84</v>
      </c>
      <c r="Q35" s="3">
        <f t="shared" si="1"/>
        <v>28.13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4.8858333333333333</v>
      </c>
      <c r="C36" s="18">
        <f t="shared" si="2"/>
        <v>17.610833333333339</v>
      </c>
      <c r="D36" s="18">
        <f t="shared" si="2"/>
        <v>14.417500000000002</v>
      </c>
      <c r="E36" s="18">
        <f t="shared" si="2"/>
        <v>11.879583333333331</v>
      </c>
      <c r="F36" s="18">
        <f t="shared" si="2"/>
        <v>2.6691666666666674</v>
      </c>
      <c r="G36" s="18">
        <f t="shared" si="2"/>
        <v>70.811666666666667</v>
      </c>
      <c r="H36" s="18">
        <f t="shared" si="2"/>
        <v>23.232916666666672</v>
      </c>
      <c r="I36" s="18">
        <f t="shared" si="2"/>
        <v>7.1070833333333328</v>
      </c>
      <c r="J36" s="18">
        <f t="shared" si="2"/>
        <v>0.65749999999999986</v>
      </c>
      <c r="K36" s="18">
        <f t="shared" si="2"/>
        <v>207.77333333333331</v>
      </c>
      <c r="L36" s="18">
        <f t="shared" si="2"/>
        <v>32.448333333333331</v>
      </c>
      <c r="M36" s="18">
        <f t="shared" si="2"/>
        <v>38.040416666666665</v>
      </c>
      <c r="N36" s="18">
        <f t="shared" si="2"/>
        <v>230.57500000000002</v>
      </c>
      <c r="O36" s="18">
        <f t="shared" si="2"/>
        <v>0</v>
      </c>
      <c r="P36" s="18">
        <f t="shared" si="2"/>
        <v>0.64708333333333334</v>
      </c>
      <c r="Q36" s="18">
        <f t="shared" si="2"/>
        <v>28.071666666666658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1.1686518307217408</v>
      </c>
      <c r="C37" s="18">
        <f t="shared" ref="C37:Q37" si="3">STDEV(C9:C32)</f>
        <v>2.3528611937598982</v>
      </c>
      <c r="D37" s="18">
        <f t="shared" si="3"/>
        <v>1.2849809675464152</v>
      </c>
      <c r="E37" s="18">
        <f t="shared" si="3"/>
        <v>4.5577993156181531</v>
      </c>
      <c r="F37" s="18">
        <f t="shared" si="3"/>
        <v>0.24270068641931317</v>
      </c>
      <c r="G37" s="18">
        <f t="shared" si="3"/>
        <v>14.816408549943532</v>
      </c>
      <c r="H37" s="18">
        <f t="shared" si="3"/>
        <v>4.9468105483684122</v>
      </c>
      <c r="I37" s="18">
        <f t="shared" si="3"/>
        <v>1.5619454958109338</v>
      </c>
      <c r="J37" s="18">
        <f t="shared" si="3"/>
        <v>0.38257991492542837</v>
      </c>
      <c r="K37" s="18">
        <f t="shared" si="3"/>
        <v>89.002232051476838</v>
      </c>
      <c r="L37" s="18">
        <f t="shared" si="3"/>
        <v>4.6089541081480156</v>
      </c>
      <c r="M37" s="18">
        <f t="shared" si="3"/>
        <v>11.887024522257585</v>
      </c>
      <c r="N37" s="18">
        <f t="shared" si="3"/>
        <v>289.86928125862408</v>
      </c>
      <c r="O37" s="18">
        <f t="shared" si="3"/>
        <v>0</v>
      </c>
      <c r="P37" s="18">
        <f t="shared" si="3"/>
        <v>0.12626676958507072</v>
      </c>
      <c r="Q37" s="18">
        <f t="shared" si="3"/>
        <v>2.2198054491067563E-2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6"/>
  <sheetViews>
    <sheetView zoomScale="85" zoomScaleNormal="85" workbookViewId="0">
      <pane xSplit="2" ySplit="8" topLeftCell="C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12/04/2025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324</v>
      </c>
      <c r="B9" s="40">
        <v>5.15</v>
      </c>
      <c r="C9" s="40">
        <v>18.940000000000001</v>
      </c>
      <c r="D9" s="40">
        <v>15.28</v>
      </c>
      <c r="E9" s="40">
        <v>9.57</v>
      </c>
      <c r="F9" s="41">
        <v>2.6</v>
      </c>
      <c r="G9" s="40">
        <v>80.88</v>
      </c>
      <c r="H9" s="40">
        <v>27.04</v>
      </c>
      <c r="I9" s="40">
        <v>9.51</v>
      </c>
      <c r="J9" s="40">
        <v>0.69</v>
      </c>
      <c r="K9" s="40">
        <v>78.739999999999995</v>
      </c>
      <c r="L9" s="40">
        <v>29.02</v>
      </c>
      <c r="M9" s="40">
        <v>41.42</v>
      </c>
      <c r="N9" s="40">
        <v>5.6</v>
      </c>
      <c r="O9" s="40">
        <v>0</v>
      </c>
      <c r="P9" s="40">
        <v>0.82</v>
      </c>
      <c r="Q9" s="40">
        <v>28.08</v>
      </c>
      <c r="R9" s="38"/>
      <c r="S9" s="38"/>
      <c r="T9" s="38"/>
      <c r="U9" s="38"/>
    </row>
    <row r="10" spans="1:21" customFormat="1">
      <c r="A10" s="39" t="s">
        <v>325</v>
      </c>
      <c r="B10" s="40">
        <v>5.92</v>
      </c>
      <c r="C10" s="40">
        <v>19.45</v>
      </c>
      <c r="D10" s="40">
        <v>16.260000000000002</v>
      </c>
      <c r="E10" s="40">
        <v>9.7899999999999991</v>
      </c>
      <c r="F10" s="41">
        <v>2.41</v>
      </c>
      <c r="G10" s="40">
        <v>82.82</v>
      </c>
      <c r="H10" s="40">
        <v>27.64</v>
      </c>
      <c r="I10" s="40">
        <v>9.16</v>
      </c>
      <c r="J10" s="40">
        <v>0.39</v>
      </c>
      <c r="K10" s="40">
        <v>200.67</v>
      </c>
      <c r="L10" s="40">
        <v>29.14</v>
      </c>
      <c r="M10" s="40">
        <v>46.8</v>
      </c>
      <c r="N10" s="40">
        <v>6.5</v>
      </c>
      <c r="O10" s="40">
        <v>0</v>
      </c>
      <c r="P10" s="40">
        <v>0.78</v>
      </c>
      <c r="Q10" s="40">
        <v>28.11</v>
      </c>
      <c r="R10" s="38"/>
      <c r="S10" s="38"/>
      <c r="T10" s="38"/>
      <c r="U10" s="38"/>
    </row>
    <row r="11" spans="1:21" customFormat="1">
      <c r="A11" s="39" t="s">
        <v>326</v>
      </c>
      <c r="B11" s="40">
        <v>6.33</v>
      </c>
      <c r="C11" s="40">
        <v>17.47</v>
      </c>
      <c r="D11" s="40">
        <v>15.31</v>
      </c>
      <c r="E11" s="40">
        <v>8.74</v>
      </c>
      <c r="F11" s="41">
        <v>2.44</v>
      </c>
      <c r="G11" s="40">
        <v>75.86</v>
      </c>
      <c r="H11" s="40">
        <v>29.51</v>
      </c>
      <c r="I11" s="40">
        <v>9.07</v>
      </c>
      <c r="J11" s="40">
        <v>0.24</v>
      </c>
      <c r="K11" s="40">
        <v>186.24</v>
      </c>
      <c r="L11" s="40">
        <v>27.42</v>
      </c>
      <c r="M11" s="40">
        <v>47.86</v>
      </c>
      <c r="N11" s="40">
        <v>6.3</v>
      </c>
      <c r="O11" s="40">
        <v>0</v>
      </c>
      <c r="P11" s="40">
        <v>0.79</v>
      </c>
      <c r="Q11" s="40">
        <v>28.09</v>
      </c>
      <c r="R11" s="38"/>
      <c r="S11" s="38"/>
      <c r="T11" s="38"/>
      <c r="U11" s="38"/>
    </row>
    <row r="12" spans="1:21" customFormat="1">
      <c r="A12" s="39" t="s">
        <v>327</v>
      </c>
      <c r="B12" s="40">
        <v>6.36</v>
      </c>
      <c r="C12" s="40">
        <v>16.21</v>
      </c>
      <c r="D12" s="40">
        <v>14.91</v>
      </c>
      <c r="E12" s="40">
        <v>8.74</v>
      </c>
      <c r="F12" s="41">
        <v>2.5499999999999998</v>
      </c>
      <c r="G12" s="40">
        <v>75.38</v>
      </c>
      <c r="H12" s="40">
        <v>25.75</v>
      </c>
      <c r="I12" s="40">
        <v>8.94</v>
      </c>
      <c r="J12" s="40">
        <v>0.13</v>
      </c>
      <c r="K12" s="40">
        <v>166.83</v>
      </c>
      <c r="L12" s="40">
        <v>27.36</v>
      </c>
      <c r="M12" s="40">
        <v>45.58</v>
      </c>
      <c r="N12" s="40">
        <v>6.4</v>
      </c>
      <c r="O12" s="40">
        <v>0</v>
      </c>
      <c r="P12" s="40">
        <v>0.76</v>
      </c>
      <c r="Q12" s="40">
        <v>28.11</v>
      </c>
      <c r="R12" s="38"/>
      <c r="S12" s="38"/>
      <c r="T12" s="38"/>
      <c r="U12" s="38"/>
    </row>
    <row r="13" spans="1:21" customFormat="1">
      <c r="A13" s="39" t="s">
        <v>328</v>
      </c>
      <c r="B13" s="40">
        <v>6.66</v>
      </c>
      <c r="C13" s="40">
        <v>14.99</v>
      </c>
      <c r="D13" s="40">
        <v>14.49</v>
      </c>
      <c r="E13" s="40">
        <v>8.76</v>
      </c>
      <c r="F13" s="41">
        <v>2.5</v>
      </c>
      <c r="G13" s="40">
        <v>65.97</v>
      </c>
      <c r="H13" s="40">
        <v>24.55</v>
      </c>
      <c r="I13" s="40">
        <v>8.6</v>
      </c>
      <c r="J13" s="40">
        <v>0.44</v>
      </c>
      <c r="K13" s="40">
        <v>319.31</v>
      </c>
      <c r="L13" s="40">
        <v>27.34</v>
      </c>
      <c r="M13" s="40">
        <v>47.2</v>
      </c>
      <c r="N13" s="40">
        <v>6.4</v>
      </c>
      <c r="O13" s="40">
        <v>0</v>
      </c>
      <c r="P13" s="40">
        <v>0.74</v>
      </c>
      <c r="Q13" s="40">
        <v>28.11</v>
      </c>
      <c r="R13" s="38"/>
      <c r="S13" s="38"/>
      <c r="T13" s="38"/>
      <c r="U13" s="38"/>
    </row>
    <row r="14" spans="1:21" customFormat="1">
      <c r="A14" s="39" t="s">
        <v>329</v>
      </c>
      <c r="B14" s="40">
        <v>7.13</v>
      </c>
      <c r="C14" s="40">
        <v>16.260000000000002</v>
      </c>
      <c r="D14" s="40">
        <v>15.45</v>
      </c>
      <c r="E14" s="40">
        <v>8.89</v>
      </c>
      <c r="F14" s="41">
        <v>2.4500000000000002</v>
      </c>
      <c r="G14" s="40">
        <v>58.96</v>
      </c>
      <c r="H14" s="40">
        <v>19.649999999999999</v>
      </c>
      <c r="I14" s="40">
        <v>8.4600000000000009</v>
      </c>
      <c r="J14" s="40">
        <v>0.25</v>
      </c>
      <c r="K14" s="40">
        <v>191.36</v>
      </c>
      <c r="L14" s="40">
        <v>27.21</v>
      </c>
      <c r="M14" s="40">
        <v>51.1</v>
      </c>
      <c r="N14" s="40">
        <v>15.6</v>
      </c>
      <c r="O14" s="40">
        <v>0</v>
      </c>
      <c r="P14" s="40">
        <v>0.74</v>
      </c>
      <c r="Q14" s="40">
        <v>28.11</v>
      </c>
      <c r="R14" s="38"/>
      <c r="S14" s="38"/>
      <c r="T14" s="38"/>
      <c r="U14" s="38"/>
    </row>
    <row r="15" spans="1:21" customFormat="1">
      <c r="A15" s="39" t="s">
        <v>330</v>
      </c>
      <c r="B15" s="40">
        <v>8.24</v>
      </c>
      <c r="C15" s="40">
        <v>17.920000000000002</v>
      </c>
      <c r="D15" s="40">
        <v>17.32</v>
      </c>
      <c r="E15" s="40">
        <v>8.34</v>
      </c>
      <c r="F15" s="41">
        <v>2.36</v>
      </c>
      <c r="G15" s="40">
        <v>54.04</v>
      </c>
      <c r="H15" s="40">
        <v>20.170000000000002</v>
      </c>
      <c r="I15" s="40">
        <v>8.4600000000000009</v>
      </c>
      <c r="J15" s="40">
        <v>0.48</v>
      </c>
      <c r="K15" s="40">
        <v>244.53</v>
      </c>
      <c r="L15" s="40">
        <v>27.68</v>
      </c>
      <c r="M15" s="40">
        <v>51.88</v>
      </c>
      <c r="N15" s="40">
        <v>69.3</v>
      </c>
      <c r="O15" s="40">
        <v>0</v>
      </c>
      <c r="P15" s="40">
        <v>0.73</v>
      </c>
      <c r="Q15" s="40">
        <v>28.12</v>
      </c>
      <c r="R15" s="38"/>
      <c r="S15" s="38"/>
      <c r="T15" s="38"/>
      <c r="U15" s="38"/>
    </row>
    <row r="16" spans="1:21" customFormat="1">
      <c r="A16" s="39" t="s">
        <v>331</v>
      </c>
      <c r="B16" s="40">
        <v>9.31</v>
      </c>
      <c r="C16" s="40">
        <v>18.989999999999998</v>
      </c>
      <c r="D16" s="40">
        <v>18.600000000000001</v>
      </c>
      <c r="E16" s="40">
        <v>8.82</v>
      </c>
      <c r="F16" s="41">
        <v>2.4900000000000002</v>
      </c>
      <c r="G16" s="40">
        <v>58.86</v>
      </c>
      <c r="H16" s="40">
        <v>19.920000000000002</v>
      </c>
      <c r="I16" s="40">
        <v>9.25</v>
      </c>
      <c r="J16" s="40">
        <v>0.34</v>
      </c>
      <c r="K16" s="40">
        <v>241.82</v>
      </c>
      <c r="L16" s="40">
        <v>28.69</v>
      </c>
      <c r="M16" s="40">
        <v>48.08</v>
      </c>
      <c r="N16" s="40">
        <v>85.5</v>
      </c>
      <c r="O16" s="40">
        <v>0</v>
      </c>
      <c r="P16" s="40">
        <v>0.79</v>
      </c>
      <c r="Q16" s="40">
        <v>28.15</v>
      </c>
      <c r="R16" s="38"/>
      <c r="S16" s="38"/>
      <c r="T16" s="38"/>
      <c r="U16" s="38"/>
    </row>
    <row r="17" spans="1:21" customFormat="1">
      <c r="A17" s="39" t="s">
        <v>332</v>
      </c>
      <c r="B17" s="40">
        <v>8.26</v>
      </c>
      <c r="C17" s="40">
        <v>20.2</v>
      </c>
      <c r="D17" s="40">
        <v>18.09</v>
      </c>
      <c r="E17" s="40">
        <v>9.19</v>
      </c>
      <c r="F17" s="41">
        <v>2.61</v>
      </c>
      <c r="G17" s="40">
        <v>73.819999999999993</v>
      </c>
      <c r="H17" s="40">
        <v>24.78</v>
      </c>
      <c r="I17" s="40">
        <v>9.85</v>
      </c>
      <c r="J17" s="40">
        <v>0.54</v>
      </c>
      <c r="K17" s="40">
        <v>349.2</v>
      </c>
      <c r="L17" s="40">
        <v>32.11</v>
      </c>
      <c r="M17" s="40">
        <v>44.5</v>
      </c>
      <c r="N17" s="40">
        <v>294.7</v>
      </c>
      <c r="O17" s="40">
        <v>0</v>
      </c>
      <c r="P17" s="40">
        <v>0.85</v>
      </c>
      <c r="Q17" s="40">
        <v>28.13</v>
      </c>
      <c r="R17" s="38"/>
      <c r="S17" s="38"/>
      <c r="T17" s="38"/>
      <c r="U17" s="38"/>
    </row>
    <row r="18" spans="1:21" customFormat="1">
      <c r="A18" s="39" t="s">
        <v>333</v>
      </c>
      <c r="B18" s="40">
        <v>6.48</v>
      </c>
      <c r="C18" s="40">
        <v>23.7</v>
      </c>
      <c r="D18" s="40">
        <v>18.93</v>
      </c>
      <c r="E18" s="40">
        <v>17.489999999999998</v>
      </c>
      <c r="F18" s="41">
        <v>2.6</v>
      </c>
      <c r="G18" s="40">
        <v>75.09</v>
      </c>
      <c r="H18" s="40">
        <v>26.4</v>
      </c>
      <c r="I18" s="40">
        <v>11.15</v>
      </c>
      <c r="J18" s="40">
        <v>0.66</v>
      </c>
      <c r="K18" s="40">
        <v>350.8</v>
      </c>
      <c r="L18" s="40">
        <v>33.78</v>
      </c>
      <c r="M18" s="40">
        <v>42.6</v>
      </c>
      <c r="N18" s="40">
        <v>505.2</v>
      </c>
      <c r="O18" s="40">
        <v>0</v>
      </c>
      <c r="P18" s="40">
        <v>0.97</v>
      </c>
      <c r="Q18" s="40">
        <v>28.11</v>
      </c>
      <c r="R18" s="38"/>
      <c r="S18" s="38"/>
      <c r="T18" s="38"/>
      <c r="U18" s="38"/>
    </row>
    <row r="19" spans="1:21" customFormat="1">
      <c r="A19" s="39" t="s">
        <v>334</v>
      </c>
      <c r="B19" s="40">
        <v>6.26</v>
      </c>
      <c r="C19" s="40">
        <v>23.86</v>
      </c>
      <c r="D19" s="40">
        <v>18.84</v>
      </c>
      <c r="E19" s="40">
        <v>15.84</v>
      </c>
      <c r="F19" s="41">
        <v>2.82</v>
      </c>
      <c r="G19" s="40">
        <v>212.93</v>
      </c>
      <c r="H19" s="40">
        <v>44.64</v>
      </c>
      <c r="I19" s="40">
        <v>11.48</v>
      </c>
      <c r="J19" s="40">
        <v>0.62</v>
      </c>
      <c r="K19" s="40">
        <v>272.77999999999997</v>
      </c>
      <c r="L19" s="40">
        <v>35.32</v>
      </c>
      <c r="M19" s="40">
        <v>34.11</v>
      </c>
      <c r="N19" s="40">
        <v>519.20000000000005</v>
      </c>
      <c r="O19" s="40">
        <v>0</v>
      </c>
      <c r="P19" s="40">
        <v>0.98</v>
      </c>
      <c r="Q19" s="40">
        <v>28.11</v>
      </c>
      <c r="R19" s="38"/>
      <c r="S19" s="38"/>
      <c r="T19" s="38"/>
      <c r="U19" s="38"/>
    </row>
    <row r="20" spans="1:21" customFormat="1">
      <c r="A20" s="39" t="s">
        <v>335</v>
      </c>
      <c r="B20" s="40">
        <v>4.68</v>
      </c>
      <c r="C20" s="40">
        <v>20.81</v>
      </c>
      <c r="D20" s="40">
        <v>15.97</v>
      </c>
      <c r="E20" s="40">
        <v>14.53</v>
      </c>
      <c r="F20" s="41">
        <v>9.85</v>
      </c>
      <c r="G20" s="40">
        <v>99.9</v>
      </c>
      <c r="H20" s="40">
        <v>40.299999999999997</v>
      </c>
      <c r="I20" s="40">
        <v>11.17</v>
      </c>
      <c r="J20" s="40">
        <v>1.47</v>
      </c>
      <c r="K20" s="40">
        <v>297.04000000000002</v>
      </c>
      <c r="L20" s="40">
        <v>37.57</v>
      </c>
      <c r="M20" s="40">
        <v>23.94</v>
      </c>
      <c r="N20" s="40">
        <v>732</v>
      </c>
      <c r="O20" s="40">
        <v>0</v>
      </c>
      <c r="P20" s="40">
        <v>0.96</v>
      </c>
      <c r="Q20" s="40">
        <v>28.09</v>
      </c>
      <c r="R20" s="38"/>
      <c r="S20" s="38"/>
      <c r="T20" s="38"/>
      <c r="U20" s="38"/>
    </row>
    <row r="21" spans="1:21" customFormat="1">
      <c r="A21" s="39" t="s">
        <v>336</v>
      </c>
      <c r="B21" s="40">
        <v>4.34</v>
      </c>
      <c r="C21" s="40">
        <v>19.02</v>
      </c>
      <c r="D21" s="40">
        <v>14.71</v>
      </c>
      <c r="E21" s="40">
        <v>12.32</v>
      </c>
      <c r="F21" s="41">
        <v>5.64</v>
      </c>
      <c r="G21" s="40">
        <v>38.11</v>
      </c>
      <c r="H21" s="40">
        <v>31.73</v>
      </c>
      <c r="I21" s="40">
        <v>10.44</v>
      </c>
      <c r="J21" s="40">
        <v>0.96</v>
      </c>
      <c r="K21" s="40">
        <v>312.44</v>
      </c>
      <c r="L21" s="40">
        <v>38.53</v>
      </c>
      <c r="M21" s="40">
        <v>20.16</v>
      </c>
      <c r="N21" s="40">
        <v>758</v>
      </c>
      <c r="O21" s="40">
        <v>0</v>
      </c>
      <c r="P21" s="40">
        <v>0.88</v>
      </c>
      <c r="Q21" s="40">
        <v>28.07</v>
      </c>
      <c r="R21" s="38"/>
      <c r="S21" s="38"/>
      <c r="T21" s="38"/>
      <c r="U21" s="38"/>
    </row>
    <row r="22" spans="1:21" customFormat="1">
      <c r="A22" s="39" t="s">
        <v>337</v>
      </c>
      <c r="B22" s="40">
        <v>3.9</v>
      </c>
      <c r="C22" s="40">
        <v>16.95</v>
      </c>
      <c r="D22" s="40">
        <v>13.3</v>
      </c>
      <c r="E22" s="40">
        <v>11.62</v>
      </c>
      <c r="F22" s="41">
        <v>7.24</v>
      </c>
      <c r="G22" s="40">
        <v>64.19</v>
      </c>
      <c r="H22" s="40">
        <v>29.94</v>
      </c>
      <c r="I22" s="40">
        <v>9.6999999999999993</v>
      </c>
      <c r="J22" s="40">
        <v>1.07</v>
      </c>
      <c r="K22" s="40">
        <v>303.89</v>
      </c>
      <c r="L22" s="40">
        <v>39.869999999999997</v>
      </c>
      <c r="M22" s="40">
        <v>19.350000000000001</v>
      </c>
      <c r="N22" s="40">
        <v>652.70000000000005</v>
      </c>
      <c r="O22" s="40">
        <v>0</v>
      </c>
      <c r="P22" s="40">
        <v>0.82</v>
      </c>
      <c r="Q22" s="40">
        <v>28.06</v>
      </c>
      <c r="R22" s="38"/>
      <c r="S22" s="38"/>
      <c r="T22" s="38"/>
      <c r="U22" s="38"/>
    </row>
    <row r="23" spans="1:21" customFormat="1">
      <c r="A23" s="39" t="s">
        <v>338</v>
      </c>
      <c r="B23" s="40">
        <v>4.09</v>
      </c>
      <c r="C23" s="40">
        <v>16.48</v>
      </c>
      <c r="D23" s="40">
        <v>13.24</v>
      </c>
      <c r="E23" s="40">
        <v>10.3</v>
      </c>
      <c r="F23" s="41">
        <v>7.51</v>
      </c>
      <c r="G23" s="40">
        <v>61.54</v>
      </c>
      <c r="H23" s="40">
        <v>28.37</v>
      </c>
      <c r="I23" s="40">
        <v>9.1</v>
      </c>
      <c r="J23" s="40">
        <v>1.02</v>
      </c>
      <c r="K23" s="40">
        <v>298.64999999999998</v>
      </c>
      <c r="L23" s="40">
        <v>40</v>
      </c>
      <c r="M23" s="40">
        <v>12.84</v>
      </c>
      <c r="N23" s="40">
        <v>563.20000000000005</v>
      </c>
      <c r="O23" s="40">
        <v>0</v>
      </c>
      <c r="P23" s="40">
        <v>0.74</v>
      </c>
      <c r="Q23" s="40">
        <v>28.05</v>
      </c>
      <c r="R23" s="38"/>
      <c r="S23" s="38"/>
      <c r="T23" s="38"/>
      <c r="U23" s="38"/>
    </row>
    <row r="24" spans="1:21" customFormat="1">
      <c r="A24" s="39" t="s">
        <v>339</v>
      </c>
      <c r="B24" s="40">
        <v>3.79</v>
      </c>
      <c r="C24" s="40">
        <v>15.38</v>
      </c>
      <c r="D24" s="40">
        <v>12.41</v>
      </c>
      <c r="E24" s="40">
        <v>12.14</v>
      </c>
      <c r="F24" s="41">
        <v>7.12</v>
      </c>
      <c r="G24" s="40">
        <v>39.619999999999997</v>
      </c>
      <c r="H24" s="40">
        <v>26.02</v>
      </c>
      <c r="I24" s="40">
        <v>8.58</v>
      </c>
      <c r="J24" s="40">
        <v>0.76</v>
      </c>
      <c r="K24" s="40">
        <v>281.39999999999998</v>
      </c>
      <c r="L24" s="40">
        <v>39.9</v>
      </c>
      <c r="M24" s="40">
        <v>13.51</v>
      </c>
      <c r="N24" s="40">
        <v>425.6</v>
      </c>
      <c r="O24" s="40">
        <v>0</v>
      </c>
      <c r="P24" s="40">
        <v>0.71</v>
      </c>
      <c r="Q24" s="40">
        <v>28.05</v>
      </c>
      <c r="R24" s="38"/>
      <c r="S24" s="38"/>
      <c r="T24" s="38"/>
      <c r="U24" s="38"/>
    </row>
    <row r="25" spans="1:21" customFormat="1">
      <c r="A25" s="39" t="s">
        <v>340</v>
      </c>
      <c r="B25" s="40">
        <v>3.64</v>
      </c>
      <c r="C25" s="40">
        <v>15.35</v>
      </c>
      <c r="D25" s="40">
        <v>12.29</v>
      </c>
      <c r="E25" s="40">
        <v>11.75</v>
      </c>
      <c r="F25" s="41">
        <v>6.1</v>
      </c>
      <c r="G25" s="40">
        <v>55.63</v>
      </c>
      <c r="H25" s="40">
        <v>24.01</v>
      </c>
      <c r="I25" s="40">
        <v>7.92</v>
      </c>
      <c r="J25" s="40">
        <v>0.8</v>
      </c>
      <c r="K25" s="40">
        <v>250.39</v>
      </c>
      <c r="L25" s="40">
        <v>39.58</v>
      </c>
      <c r="M25" s="40">
        <v>13.62</v>
      </c>
      <c r="N25" s="40">
        <v>278.3</v>
      </c>
      <c r="O25" s="40">
        <v>0</v>
      </c>
      <c r="P25" s="40">
        <v>0.65</v>
      </c>
      <c r="Q25" s="40">
        <v>28.05</v>
      </c>
      <c r="R25" s="38"/>
      <c r="S25" s="38"/>
      <c r="T25" s="38"/>
      <c r="U25" s="38"/>
    </row>
    <row r="26" spans="1:21" customFormat="1">
      <c r="A26" s="39" t="s">
        <v>341</v>
      </c>
      <c r="B26" s="40">
        <v>4.49</v>
      </c>
      <c r="C26" s="40">
        <v>20.2</v>
      </c>
      <c r="D26" s="40">
        <v>15.51</v>
      </c>
      <c r="E26" s="40">
        <v>10.130000000000001</v>
      </c>
      <c r="F26" s="41">
        <v>6.09</v>
      </c>
      <c r="G26" s="40">
        <v>42.75</v>
      </c>
      <c r="H26" s="40">
        <v>23.81</v>
      </c>
      <c r="I26" s="40">
        <v>9.48</v>
      </c>
      <c r="J26" s="40">
        <v>0.85</v>
      </c>
      <c r="K26" s="40">
        <v>272.92</v>
      </c>
      <c r="L26" s="40">
        <v>38.090000000000003</v>
      </c>
      <c r="M26" s="40">
        <v>12.53</v>
      </c>
      <c r="N26" s="40">
        <v>77.7</v>
      </c>
      <c r="O26" s="40">
        <v>0</v>
      </c>
      <c r="P26" s="40">
        <v>0.65</v>
      </c>
      <c r="Q26" s="40">
        <v>28.05</v>
      </c>
      <c r="R26" s="38"/>
      <c r="S26" s="38"/>
      <c r="T26" s="38"/>
      <c r="U26" s="38"/>
    </row>
    <row r="27" spans="1:21" customFormat="1">
      <c r="A27" s="39" t="s">
        <v>342</v>
      </c>
      <c r="B27" s="40">
        <v>3.84</v>
      </c>
      <c r="C27" s="40">
        <v>19.57</v>
      </c>
      <c r="D27" s="40">
        <v>14.65</v>
      </c>
      <c r="E27" s="40">
        <v>8.25</v>
      </c>
      <c r="F27" s="41">
        <v>3.83</v>
      </c>
      <c r="G27" s="40">
        <v>41.38</v>
      </c>
      <c r="H27" s="40">
        <v>22.17</v>
      </c>
      <c r="I27" s="40">
        <v>8.34</v>
      </c>
      <c r="J27" s="40">
        <v>0.48</v>
      </c>
      <c r="K27" s="40">
        <v>249.04</v>
      </c>
      <c r="L27" s="40">
        <v>36.43</v>
      </c>
      <c r="M27" s="40">
        <v>17.2</v>
      </c>
      <c r="N27" s="40">
        <v>14.4</v>
      </c>
      <c r="O27" s="40">
        <v>0</v>
      </c>
      <c r="P27" s="40">
        <v>0.68</v>
      </c>
      <c r="Q27" s="40">
        <v>28.07</v>
      </c>
      <c r="R27" s="38"/>
      <c r="S27" s="38"/>
      <c r="T27" s="38"/>
      <c r="U27" s="38"/>
    </row>
    <row r="28" spans="1:21" customFormat="1">
      <c r="A28" s="39" t="s">
        <v>343</v>
      </c>
      <c r="B28" s="40">
        <v>3.95</v>
      </c>
      <c r="C28" s="40">
        <v>24.21</v>
      </c>
      <c r="D28" s="40">
        <v>17.170000000000002</v>
      </c>
      <c r="E28" s="40">
        <v>8.6</v>
      </c>
      <c r="F28" s="41">
        <v>3.54</v>
      </c>
      <c r="G28" s="40">
        <v>51.78</v>
      </c>
      <c r="H28" s="40">
        <v>20.399999999999999</v>
      </c>
      <c r="I28" s="40">
        <v>10.18</v>
      </c>
      <c r="J28" s="40">
        <v>0.23</v>
      </c>
      <c r="K28" s="40">
        <v>214.6</v>
      </c>
      <c r="L28" s="40">
        <v>33.54</v>
      </c>
      <c r="M28" s="40">
        <v>23.68</v>
      </c>
      <c r="N28" s="40">
        <v>6.5</v>
      </c>
      <c r="O28" s="40">
        <v>0</v>
      </c>
      <c r="P28" s="40">
        <v>0.78</v>
      </c>
      <c r="Q28" s="40">
        <v>28.08</v>
      </c>
      <c r="R28" s="38"/>
      <c r="S28" s="38"/>
      <c r="T28" s="38"/>
      <c r="U28" s="38"/>
    </row>
    <row r="29" spans="1:21" customFormat="1">
      <c r="A29" s="39" t="s">
        <v>344</v>
      </c>
      <c r="B29" s="40">
        <v>7.1</v>
      </c>
      <c r="C29" s="40">
        <v>21.84</v>
      </c>
      <c r="D29" s="40">
        <v>18.05</v>
      </c>
      <c r="E29" s="40">
        <v>10.46</v>
      </c>
      <c r="F29" s="41">
        <v>3.61</v>
      </c>
      <c r="G29" s="40">
        <v>77.86</v>
      </c>
      <c r="H29" s="40">
        <v>24.16</v>
      </c>
      <c r="I29" s="40">
        <v>10.31</v>
      </c>
      <c r="J29" s="40">
        <v>0.91</v>
      </c>
      <c r="K29" s="40">
        <v>334.71</v>
      </c>
      <c r="L29" s="40">
        <v>33.31</v>
      </c>
      <c r="M29" s="40">
        <v>24.35</v>
      </c>
      <c r="N29" s="40">
        <v>6.2</v>
      </c>
      <c r="O29" s="40">
        <v>0</v>
      </c>
      <c r="P29" s="40">
        <v>0.87</v>
      </c>
      <c r="Q29" s="40">
        <v>28.08</v>
      </c>
      <c r="R29" s="38"/>
      <c r="S29" s="38"/>
      <c r="T29" s="38"/>
      <c r="U29" s="38"/>
    </row>
    <row r="30" spans="1:21" customFormat="1">
      <c r="A30" s="39" t="s">
        <v>345</v>
      </c>
      <c r="B30" s="40">
        <v>8.15</v>
      </c>
      <c r="C30" s="40">
        <v>24.75</v>
      </c>
      <c r="D30" s="40">
        <v>20.82</v>
      </c>
      <c r="E30" s="40">
        <v>15.93</v>
      </c>
      <c r="F30" s="41">
        <v>3.48</v>
      </c>
      <c r="G30" s="40">
        <v>74.569999999999993</v>
      </c>
      <c r="H30" s="40">
        <v>22.58</v>
      </c>
      <c r="I30" s="40">
        <v>11.44</v>
      </c>
      <c r="J30" s="40">
        <v>0.38</v>
      </c>
      <c r="K30" s="40">
        <v>162.38999999999999</v>
      </c>
      <c r="L30" s="40">
        <v>32.86</v>
      </c>
      <c r="M30" s="40">
        <v>24.69</v>
      </c>
      <c r="N30" s="40">
        <v>6.6</v>
      </c>
      <c r="O30" s="40">
        <v>0</v>
      </c>
      <c r="P30" s="40">
        <v>0.89</v>
      </c>
      <c r="Q30" s="40">
        <v>28.11</v>
      </c>
      <c r="R30" s="38"/>
      <c r="S30" s="38"/>
      <c r="T30" s="38"/>
      <c r="U30" s="38"/>
    </row>
    <row r="31" spans="1:21" customFormat="1">
      <c r="A31" s="39" t="s">
        <v>346</v>
      </c>
      <c r="B31" s="40">
        <v>7.1</v>
      </c>
      <c r="C31" s="40">
        <v>21.47</v>
      </c>
      <c r="D31" s="40">
        <v>17.88</v>
      </c>
      <c r="E31" s="40">
        <v>11.51</v>
      </c>
      <c r="F31" s="41">
        <v>3.39</v>
      </c>
      <c r="G31" s="40">
        <v>86.07</v>
      </c>
      <c r="H31" s="40">
        <v>25.41</v>
      </c>
      <c r="I31" s="40">
        <v>10.039999999999999</v>
      </c>
      <c r="J31" s="40">
        <v>0.31</v>
      </c>
      <c r="K31" s="40">
        <v>205.12</v>
      </c>
      <c r="L31" s="40">
        <v>29.91</v>
      </c>
      <c r="M31" s="40">
        <v>29.84</v>
      </c>
      <c r="N31" s="40">
        <v>6.3</v>
      </c>
      <c r="O31" s="40">
        <v>0</v>
      </c>
      <c r="P31" s="40">
        <v>0.81</v>
      </c>
      <c r="Q31" s="40">
        <v>28.12</v>
      </c>
      <c r="R31" s="38"/>
      <c r="S31" s="38"/>
      <c r="T31" s="38"/>
      <c r="U31" s="38"/>
    </row>
    <row r="32" spans="1:21" customFormat="1">
      <c r="A32" s="39" t="s">
        <v>347</v>
      </c>
      <c r="B32" s="40">
        <v>7.39</v>
      </c>
      <c r="C32" s="40">
        <v>19.54</v>
      </c>
      <c r="D32" s="40">
        <v>17.22</v>
      </c>
      <c r="E32" s="40">
        <v>8.91</v>
      </c>
      <c r="F32" s="41">
        <v>3.5</v>
      </c>
      <c r="G32" s="40">
        <v>76.11</v>
      </c>
      <c r="H32" s="40">
        <v>26.67</v>
      </c>
      <c r="I32" s="40">
        <v>10.039999999999999</v>
      </c>
      <c r="J32" s="40">
        <v>0.35</v>
      </c>
      <c r="K32" s="40">
        <v>195.49</v>
      </c>
      <c r="L32" s="40">
        <v>28.38</v>
      </c>
      <c r="M32" s="40">
        <v>32.840000000000003</v>
      </c>
      <c r="N32" s="40">
        <v>6.2</v>
      </c>
      <c r="O32" s="40">
        <v>0</v>
      </c>
      <c r="P32" s="40">
        <v>0.82</v>
      </c>
      <c r="Q32" s="40">
        <v>28.12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3.64</v>
      </c>
      <c r="C34" s="18">
        <f t="shared" si="0"/>
        <v>14.99</v>
      </c>
      <c r="D34" s="18">
        <f t="shared" si="0"/>
        <v>12.29</v>
      </c>
      <c r="E34" s="18">
        <f t="shared" si="0"/>
        <v>8.25</v>
      </c>
      <c r="F34" s="18">
        <f t="shared" si="0"/>
        <v>2.36</v>
      </c>
      <c r="G34" s="18">
        <f t="shared" si="0"/>
        <v>38.11</v>
      </c>
      <c r="H34" s="18">
        <f t="shared" si="0"/>
        <v>19.649999999999999</v>
      </c>
      <c r="I34" s="18">
        <f t="shared" si="0"/>
        <v>7.92</v>
      </c>
      <c r="J34" s="18">
        <f t="shared" si="0"/>
        <v>0.13</v>
      </c>
      <c r="K34" s="18">
        <f t="shared" si="0"/>
        <v>78.739999999999995</v>
      </c>
      <c r="L34" s="18">
        <f t="shared" si="0"/>
        <v>27.21</v>
      </c>
      <c r="M34" s="18">
        <f t="shared" si="0"/>
        <v>12.53</v>
      </c>
      <c r="N34" s="18">
        <f t="shared" si="0"/>
        <v>5.6</v>
      </c>
      <c r="O34" s="18">
        <f t="shared" si="0"/>
        <v>0</v>
      </c>
      <c r="P34" s="18">
        <f t="shared" si="0"/>
        <v>0.65</v>
      </c>
      <c r="Q34" s="18">
        <f t="shared" si="0"/>
        <v>28.05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9.31</v>
      </c>
      <c r="C35" s="3">
        <f t="shared" si="1"/>
        <v>24.75</v>
      </c>
      <c r="D35" s="3">
        <f t="shared" si="1"/>
        <v>20.82</v>
      </c>
      <c r="E35" s="3">
        <f t="shared" si="1"/>
        <v>17.489999999999998</v>
      </c>
      <c r="F35" s="3">
        <f t="shared" si="1"/>
        <v>9.85</v>
      </c>
      <c r="G35" s="3">
        <f t="shared" si="1"/>
        <v>212.93</v>
      </c>
      <c r="H35" s="3">
        <f t="shared" si="1"/>
        <v>44.64</v>
      </c>
      <c r="I35" s="3">
        <f t="shared" si="1"/>
        <v>11.48</v>
      </c>
      <c r="J35" s="3">
        <f t="shared" si="1"/>
        <v>1.47</v>
      </c>
      <c r="K35" s="3">
        <f t="shared" si="1"/>
        <v>350.8</v>
      </c>
      <c r="L35" s="3">
        <f t="shared" si="1"/>
        <v>40</v>
      </c>
      <c r="M35" s="3">
        <f t="shared" si="1"/>
        <v>51.88</v>
      </c>
      <c r="N35" s="3">
        <f t="shared" si="1"/>
        <v>758</v>
      </c>
      <c r="O35" s="3">
        <f t="shared" si="1"/>
        <v>0</v>
      </c>
      <c r="P35" s="3">
        <f t="shared" si="1"/>
        <v>0.98</v>
      </c>
      <c r="Q35" s="3">
        <f t="shared" si="1"/>
        <v>28.15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5.94</v>
      </c>
      <c r="C36" s="18">
        <f t="shared" si="2"/>
        <v>19.315000000000001</v>
      </c>
      <c r="D36" s="18">
        <f t="shared" si="2"/>
        <v>16.112500000000001</v>
      </c>
      <c r="E36" s="18">
        <f t="shared" si="2"/>
        <v>10.859166666666667</v>
      </c>
      <c r="F36" s="18">
        <f t="shared" si="2"/>
        <v>4.1137500000000005</v>
      </c>
      <c r="G36" s="18">
        <f t="shared" si="2"/>
        <v>71.838333333333324</v>
      </c>
      <c r="H36" s="18">
        <f t="shared" si="2"/>
        <v>26.484166666666663</v>
      </c>
      <c r="I36" s="18">
        <f t="shared" si="2"/>
        <v>9.6112500000000001</v>
      </c>
      <c r="J36" s="18">
        <f t="shared" si="2"/>
        <v>0.59875</v>
      </c>
      <c r="K36" s="18">
        <f t="shared" si="2"/>
        <v>249.1816666666667</v>
      </c>
      <c r="L36" s="18">
        <f t="shared" si="2"/>
        <v>33.043333333333329</v>
      </c>
      <c r="M36" s="18">
        <f t="shared" si="2"/>
        <v>32.070000000000007</v>
      </c>
      <c r="N36" s="18">
        <f t="shared" si="2"/>
        <v>210.6</v>
      </c>
      <c r="O36" s="18">
        <f t="shared" si="2"/>
        <v>0</v>
      </c>
      <c r="P36" s="18">
        <f t="shared" si="2"/>
        <v>0.80041666666666667</v>
      </c>
      <c r="Q36" s="18">
        <f t="shared" si="2"/>
        <v>28.092916666666671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1.7081059940637533</v>
      </c>
      <c r="C37" s="18">
        <f t="shared" ref="C37:Q37" si="3">STDEV(C9:C32)</f>
        <v>2.9232159181880171</v>
      </c>
      <c r="D37" s="18">
        <f t="shared" si="3"/>
        <v>2.2181469939921601</v>
      </c>
      <c r="E37" s="18">
        <f t="shared" si="3"/>
        <v>2.6671233757457258</v>
      </c>
      <c r="F37" s="18">
        <f t="shared" si="3"/>
        <v>2.1177075638734815</v>
      </c>
      <c r="G37" s="18">
        <f t="shared" si="3"/>
        <v>34.051725700592712</v>
      </c>
      <c r="H37" s="18">
        <f t="shared" si="3"/>
        <v>5.905538974531491</v>
      </c>
      <c r="I37" s="18">
        <f t="shared" si="3"/>
        <v>1.0245860776112345</v>
      </c>
      <c r="J37" s="18">
        <f t="shared" si="3"/>
        <v>0.32933810431913513</v>
      </c>
      <c r="K37" s="18">
        <f t="shared" si="3"/>
        <v>67.750937401932376</v>
      </c>
      <c r="L37" s="18">
        <f t="shared" si="3"/>
        <v>4.7567066307493544</v>
      </c>
      <c r="M37" s="18">
        <f t="shared" si="3"/>
        <v>13.929890601649115</v>
      </c>
      <c r="N37" s="18">
        <f t="shared" si="3"/>
        <v>270.1345284821266</v>
      </c>
      <c r="O37" s="18">
        <f t="shared" si="3"/>
        <v>0</v>
      </c>
      <c r="P37" s="18">
        <f t="shared" si="3"/>
        <v>9.2288732491715236E-2</v>
      </c>
      <c r="Q37" s="18">
        <f t="shared" si="3"/>
        <v>2.8662832571371612E-2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13/04/2025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348</v>
      </c>
      <c r="B9" s="40">
        <v>7.71</v>
      </c>
      <c r="C9" s="40">
        <v>16.28</v>
      </c>
      <c r="D9" s="40">
        <v>15.99</v>
      </c>
      <c r="E9" s="40">
        <v>7.92</v>
      </c>
      <c r="F9" s="41">
        <v>3.58</v>
      </c>
      <c r="G9" s="40">
        <v>69.2</v>
      </c>
      <c r="H9" s="40">
        <v>26.54</v>
      </c>
      <c r="I9" s="40">
        <v>9.86</v>
      </c>
      <c r="J9" s="40">
        <v>0.18</v>
      </c>
      <c r="K9" s="40">
        <v>219.44</v>
      </c>
      <c r="L9" s="40">
        <v>27.57</v>
      </c>
      <c r="M9" s="40">
        <v>33.979999999999997</v>
      </c>
      <c r="N9" s="40">
        <v>5.8</v>
      </c>
      <c r="O9" s="40">
        <v>0</v>
      </c>
      <c r="P9" s="40">
        <v>0.8</v>
      </c>
      <c r="Q9" s="40">
        <v>28.13</v>
      </c>
      <c r="R9" s="38"/>
      <c r="S9" s="38"/>
      <c r="T9" s="38"/>
      <c r="U9" s="38"/>
    </row>
    <row r="10" spans="1:21" customFormat="1">
      <c r="A10" s="39" t="s">
        <v>349</v>
      </c>
      <c r="B10" s="40">
        <v>7.77</v>
      </c>
      <c r="C10" s="40">
        <v>15.18</v>
      </c>
      <c r="D10" s="40">
        <v>15.51</v>
      </c>
      <c r="E10" s="40">
        <v>7.42</v>
      </c>
      <c r="F10" s="41">
        <v>3.54</v>
      </c>
      <c r="G10" s="40">
        <v>49.51</v>
      </c>
      <c r="H10" s="40">
        <v>22.94</v>
      </c>
      <c r="I10" s="40">
        <v>9.69</v>
      </c>
      <c r="J10" s="40">
        <v>0.25</v>
      </c>
      <c r="K10" s="40">
        <v>225.43</v>
      </c>
      <c r="L10" s="40">
        <v>27.15</v>
      </c>
      <c r="M10" s="40">
        <v>37.57</v>
      </c>
      <c r="N10" s="40">
        <v>6.4</v>
      </c>
      <c r="O10" s="40">
        <v>0</v>
      </c>
      <c r="P10" s="40">
        <v>0.8</v>
      </c>
      <c r="Q10" s="40">
        <v>28.12</v>
      </c>
      <c r="R10" s="38"/>
      <c r="S10" s="38"/>
      <c r="T10" s="38"/>
      <c r="U10" s="38"/>
    </row>
    <row r="11" spans="1:21" customFormat="1">
      <c r="A11" s="39" t="s">
        <v>350</v>
      </c>
      <c r="B11" s="40">
        <v>8.42</v>
      </c>
      <c r="C11" s="40">
        <v>16.93</v>
      </c>
      <c r="D11" s="40">
        <v>16.940000000000001</v>
      </c>
      <c r="E11" s="40">
        <v>8.0399999999999991</v>
      </c>
      <c r="F11" s="41">
        <v>3.76</v>
      </c>
      <c r="G11" s="40">
        <v>60.79</v>
      </c>
      <c r="H11" s="40">
        <v>20.93</v>
      </c>
      <c r="I11" s="40">
        <v>9.35</v>
      </c>
      <c r="J11" s="40">
        <v>0.26</v>
      </c>
      <c r="K11" s="40">
        <v>239.44</v>
      </c>
      <c r="L11" s="40">
        <v>26.76</v>
      </c>
      <c r="M11" s="40">
        <v>38.01</v>
      </c>
      <c r="N11" s="40">
        <v>5.9</v>
      </c>
      <c r="O11" s="40">
        <v>0</v>
      </c>
      <c r="P11" s="40">
        <v>0.76</v>
      </c>
      <c r="Q11" s="40">
        <v>28.12</v>
      </c>
      <c r="R11" s="38"/>
      <c r="S11" s="38"/>
      <c r="T11" s="38"/>
      <c r="U11" s="38"/>
    </row>
    <row r="12" spans="1:21" customFormat="1">
      <c r="A12" s="39" t="s">
        <v>351</v>
      </c>
      <c r="B12" s="40">
        <v>7.83</v>
      </c>
      <c r="C12" s="40">
        <v>17.2</v>
      </c>
      <c r="D12" s="40">
        <v>16.57</v>
      </c>
      <c r="E12" s="40">
        <v>8.1199999999999992</v>
      </c>
      <c r="F12" s="41">
        <v>3.69</v>
      </c>
      <c r="G12" s="40">
        <v>43.39</v>
      </c>
      <c r="H12" s="40">
        <v>20.39</v>
      </c>
      <c r="I12" s="40">
        <v>8.98</v>
      </c>
      <c r="J12" s="40">
        <v>0.26</v>
      </c>
      <c r="K12" s="40">
        <v>181.95</v>
      </c>
      <c r="L12" s="40">
        <v>26.3</v>
      </c>
      <c r="M12" s="40">
        <v>45.65</v>
      </c>
      <c r="N12" s="40">
        <v>6.5</v>
      </c>
      <c r="O12" s="40">
        <v>0</v>
      </c>
      <c r="P12" s="40">
        <v>0.72</v>
      </c>
      <c r="Q12" s="40">
        <v>28.12</v>
      </c>
      <c r="R12" s="38"/>
      <c r="S12" s="38"/>
      <c r="T12" s="38"/>
      <c r="U12" s="38"/>
    </row>
    <row r="13" spans="1:21" customFormat="1">
      <c r="A13" s="39" t="s">
        <v>352</v>
      </c>
      <c r="B13" s="40">
        <v>7.27</v>
      </c>
      <c r="C13" s="40">
        <v>16.78</v>
      </c>
      <c r="D13" s="40">
        <v>15.94</v>
      </c>
      <c r="E13" s="40">
        <v>8.01</v>
      </c>
      <c r="F13" s="41">
        <v>3.76</v>
      </c>
      <c r="G13" s="40">
        <v>46.14</v>
      </c>
      <c r="H13" s="40">
        <v>20.82</v>
      </c>
      <c r="I13" s="40">
        <v>8.65</v>
      </c>
      <c r="J13" s="40">
        <v>0.28000000000000003</v>
      </c>
      <c r="K13" s="40">
        <v>234</v>
      </c>
      <c r="L13" s="40">
        <v>24.54</v>
      </c>
      <c r="M13" s="40">
        <v>48.61</v>
      </c>
      <c r="N13" s="40">
        <v>6.1</v>
      </c>
      <c r="O13" s="40">
        <v>0</v>
      </c>
      <c r="P13" s="40">
        <v>0.69</v>
      </c>
      <c r="Q13" s="40">
        <v>28.12</v>
      </c>
      <c r="R13" s="38"/>
      <c r="S13" s="38"/>
      <c r="T13" s="38"/>
      <c r="U13" s="38"/>
    </row>
    <row r="14" spans="1:21" customFormat="1">
      <c r="A14" s="39" t="s">
        <v>353</v>
      </c>
      <c r="B14" s="40">
        <v>6.57</v>
      </c>
      <c r="C14" s="40">
        <v>15.98</v>
      </c>
      <c r="D14" s="40">
        <v>14.97</v>
      </c>
      <c r="E14" s="40">
        <v>7.99</v>
      </c>
      <c r="F14" s="41">
        <v>3.28</v>
      </c>
      <c r="G14" s="40">
        <v>45.2</v>
      </c>
      <c r="H14" s="40">
        <v>19.66</v>
      </c>
      <c r="I14" s="40">
        <v>8.26</v>
      </c>
      <c r="J14" s="40">
        <v>0.15</v>
      </c>
      <c r="K14" s="40">
        <v>210.45</v>
      </c>
      <c r="L14" s="40">
        <v>24.38</v>
      </c>
      <c r="M14" s="40">
        <v>50.57</v>
      </c>
      <c r="N14" s="40">
        <v>14</v>
      </c>
      <c r="O14" s="40">
        <v>0</v>
      </c>
      <c r="P14" s="40">
        <v>0.65</v>
      </c>
      <c r="Q14" s="40">
        <v>28.1</v>
      </c>
      <c r="R14" s="38"/>
      <c r="S14" s="38"/>
      <c r="T14" s="38"/>
      <c r="U14" s="38"/>
    </row>
    <row r="15" spans="1:21" customFormat="1">
      <c r="A15" s="39" t="s">
        <v>354</v>
      </c>
      <c r="B15" s="40">
        <v>6.37</v>
      </c>
      <c r="C15" s="40">
        <v>15.63</v>
      </c>
      <c r="D15" s="40">
        <v>14.43</v>
      </c>
      <c r="E15" s="40">
        <v>7.9</v>
      </c>
      <c r="F15" s="41">
        <v>3.45</v>
      </c>
      <c r="G15" s="40">
        <v>38.130000000000003</v>
      </c>
      <c r="H15" s="40">
        <v>18.11</v>
      </c>
      <c r="I15" s="40">
        <v>7.91</v>
      </c>
      <c r="J15" s="40">
        <v>0.24</v>
      </c>
      <c r="K15" s="40">
        <v>237.15</v>
      </c>
      <c r="L15" s="40">
        <v>26.47</v>
      </c>
      <c r="M15" s="40">
        <v>48.6</v>
      </c>
      <c r="N15" s="40">
        <v>62.2</v>
      </c>
      <c r="O15" s="40">
        <v>0</v>
      </c>
      <c r="P15" s="40">
        <v>0.63</v>
      </c>
      <c r="Q15" s="40">
        <v>28.1</v>
      </c>
      <c r="R15" s="38"/>
      <c r="S15" s="38"/>
      <c r="T15" s="38"/>
      <c r="U15" s="38"/>
    </row>
    <row r="16" spans="1:21" customFormat="1">
      <c r="A16" s="39" t="s">
        <v>355</v>
      </c>
      <c r="B16" s="40">
        <v>6.51</v>
      </c>
      <c r="C16" s="40">
        <v>15.03</v>
      </c>
      <c r="D16" s="40">
        <v>14.38</v>
      </c>
      <c r="E16" s="40">
        <v>8.4600000000000009</v>
      </c>
      <c r="F16" s="41">
        <v>3.34</v>
      </c>
      <c r="G16" s="40">
        <v>44.31</v>
      </c>
      <c r="H16" s="40">
        <v>16.850000000000001</v>
      </c>
      <c r="I16" s="40">
        <v>7.81</v>
      </c>
      <c r="J16" s="40">
        <v>0.69</v>
      </c>
      <c r="K16" s="40">
        <v>253.48</v>
      </c>
      <c r="L16" s="40">
        <v>30.86</v>
      </c>
      <c r="M16" s="40">
        <v>44.01</v>
      </c>
      <c r="N16" s="40">
        <v>187.4</v>
      </c>
      <c r="O16" s="40">
        <v>0</v>
      </c>
      <c r="P16" s="40">
        <v>0.61</v>
      </c>
      <c r="Q16" s="40">
        <v>28.11</v>
      </c>
      <c r="R16" s="38"/>
      <c r="S16" s="38"/>
      <c r="T16" s="38"/>
      <c r="U16" s="38"/>
    </row>
    <row r="17" spans="1:21" customFormat="1">
      <c r="A17" s="39" t="s">
        <v>356</v>
      </c>
      <c r="B17" s="40">
        <v>6.01</v>
      </c>
      <c r="C17" s="40">
        <v>15.3</v>
      </c>
      <c r="D17" s="40">
        <v>13.75</v>
      </c>
      <c r="E17" s="40">
        <v>8.6</v>
      </c>
      <c r="F17" s="41">
        <v>3.49</v>
      </c>
      <c r="G17" s="40">
        <v>41.48</v>
      </c>
      <c r="H17" s="40">
        <v>14.73</v>
      </c>
      <c r="I17" s="40">
        <v>7.7</v>
      </c>
      <c r="J17" s="40">
        <v>1.1299999999999999</v>
      </c>
      <c r="K17" s="40">
        <v>271.83999999999997</v>
      </c>
      <c r="L17" s="40">
        <v>33.450000000000003</v>
      </c>
      <c r="M17" s="40">
        <v>27.61</v>
      </c>
      <c r="N17" s="40">
        <v>338.7</v>
      </c>
      <c r="O17" s="40">
        <v>0</v>
      </c>
      <c r="P17" s="40">
        <v>0.62</v>
      </c>
      <c r="Q17" s="40">
        <v>28.1</v>
      </c>
      <c r="R17" s="38"/>
      <c r="S17" s="38"/>
      <c r="T17" s="38"/>
      <c r="U17" s="38"/>
    </row>
    <row r="18" spans="1:21" customFormat="1">
      <c r="A18" s="39" t="s">
        <v>357</v>
      </c>
      <c r="B18" s="40">
        <v>4.82</v>
      </c>
      <c r="C18" s="40">
        <v>16.71</v>
      </c>
      <c r="D18" s="40">
        <v>13.75</v>
      </c>
      <c r="E18" s="40">
        <v>11.82</v>
      </c>
      <c r="F18" s="41">
        <v>3.53</v>
      </c>
      <c r="G18" s="40">
        <v>40.950000000000003</v>
      </c>
      <c r="H18" s="40">
        <v>19.53</v>
      </c>
      <c r="I18" s="40">
        <v>9.3699999999999992</v>
      </c>
      <c r="J18" s="40">
        <v>0.64</v>
      </c>
      <c r="K18" s="40">
        <v>355.94</v>
      </c>
      <c r="L18" s="40">
        <v>35.82</v>
      </c>
      <c r="M18" s="40">
        <v>24.93</v>
      </c>
      <c r="N18" s="40">
        <v>551.4</v>
      </c>
      <c r="O18" s="40">
        <v>0</v>
      </c>
      <c r="P18" s="40">
        <v>0.7</v>
      </c>
      <c r="Q18" s="40">
        <v>28.08</v>
      </c>
      <c r="R18" s="38"/>
      <c r="S18" s="38"/>
      <c r="T18" s="38"/>
      <c r="U18" s="38"/>
    </row>
    <row r="19" spans="1:21" customFormat="1">
      <c r="A19" s="39" t="s">
        <v>358</v>
      </c>
      <c r="B19" s="40">
        <v>4.54</v>
      </c>
      <c r="C19" s="40">
        <v>17.21</v>
      </c>
      <c r="D19" s="40">
        <v>13.94</v>
      </c>
      <c r="E19" s="40">
        <v>11.04</v>
      </c>
      <c r="F19" s="41">
        <v>3.64</v>
      </c>
      <c r="G19" s="40">
        <v>55.67</v>
      </c>
      <c r="H19" s="40">
        <v>22.16</v>
      </c>
      <c r="I19" s="40">
        <v>9.85</v>
      </c>
      <c r="J19" s="40">
        <v>1.03</v>
      </c>
      <c r="K19" s="40">
        <v>357.77</v>
      </c>
      <c r="L19" s="40">
        <v>37.119999999999997</v>
      </c>
      <c r="M19" s="40">
        <v>19.399999999999999</v>
      </c>
      <c r="N19" s="40">
        <v>567.20000000000005</v>
      </c>
      <c r="O19" s="40">
        <v>0</v>
      </c>
      <c r="P19" s="40">
        <v>0.71</v>
      </c>
      <c r="Q19" s="40">
        <v>28.06</v>
      </c>
      <c r="R19" s="38"/>
      <c r="S19" s="38"/>
      <c r="T19" s="38"/>
      <c r="U19" s="38"/>
    </row>
    <row r="20" spans="1:21" customFormat="1">
      <c r="A20" s="39" t="s">
        <v>359</v>
      </c>
      <c r="B20" s="40">
        <v>3.86</v>
      </c>
      <c r="C20" s="40">
        <v>16.43</v>
      </c>
      <c r="D20" s="40">
        <v>13.02</v>
      </c>
      <c r="E20" s="40">
        <v>10.59</v>
      </c>
      <c r="F20" s="41">
        <v>4.24</v>
      </c>
      <c r="G20" s="40">
        <v>54.51</v>
      </c>
      <c r="H20" s="40">
        <v>22.91</v>
      </c>
      <c r="I20" s="40">
        <v>9.58</v>
      </c>
      <c r="J20" s="40">
        <v>0.75</v>
      </c>
      <c r="K20" s="40">
        <v>322.89999999999998</v>
      </c>
      <c r="L20" s="40">
        <v>37.85</v>
      </c>
      <c r="M20" s="40">
        <v>18.260000000000002</v>
      </c>
      <c r="N20" s="40">
        <v>759.3</v>
      </c>
      <c r="O20" s="40">
        <v>0</v>
      </c>
      <c r="P20" s="40">
        <v>0.69</v>
      </c>
      <c r="Q20" s="40">
        <v>28.06</v>
      </c>
      <c r="R20" s="38"/>
      <c r="S20" s="38"/>
      <c r="T20" s="38"/>
      <c r="U20" s="38"/>
    </row>
    <row r="21" spans="1:21" customFormat="1">
      <c r="A21" s="39" t="s">
        <v>360</v>
      </c>
      <c r="B21" s="40">
        <v>3.57</v>
      </c>
      <c r="C21" s="40">
        <v>16.18</v>
      </c>
      <c r="D21" s="40">
        <v>12.65</v>
      </c>
      <c r="E21" s="40">
        <v>15.11</v>
      </c>
      <c r="F21" s="41">
        <v>5.09</v>
      </c>
      <c r="G21" s="40">
        <v>52.02</v>
      </c>
      <c r="H21" s="40">
        <v>21.84</v>
      </c>
      <c r="I21" s="40">
        <v>9.2799999999999994</v>
      </c>
      <c r="J21" s="40">
        <v>2.02</v>
      </c>
      <c r="K21" s="40">
        <v>333.1</v>
      </c>
      <c r="L21" s="40">
        <v>38.4</v>
      </c>
      <c r="M21" s="40">
        <v>20.12</v>
      </c>
      <c r="N21" s="40">
        <v>770.6</v>
      </c>
      <c r="O21" s="40">
        <v>0</v>
      </c>
      <c r="P21" s="40">
        <v>0.68</v>
      </c>
      <c r="Q21" s="40">
        <v>28.05</v>
      </c>
      <c r="R21" s="38"/>
      <c r="S21" s="38"/>
      <c r="T21" s="38"/>
      <c r="U21" s="38"/>
    </row>
    <row r="22" spans="1:21" customFormat="1">
      <c r="A22" s="39" t="s">
        <v>361</v>
      </c>
      <c r="B22" s="40">
        <v>3.55</v>
      </c>
      <c r="C22" s="40">
        <v>16.27</v>
      </c>
      <c r="D22" s="40">
        <v>12.7</v>
      </c>
      <c r="E22" s="40">
        <v>16.72</v>
      </c>
      <c r="F22" s="41">
        <v>5.45</v>
      </c>
      <c r="G22" s="40">
        <v>74.209999999999994</v>
      </c>
      <c r="H22" s="40">
        <v>28.8</v>
      </c>
      <c r="I22" s="40">
        <v>9.02</v>
      </c>
      <c r="J22" s="40">
        <v>1.25</v>
      </c>
      <c r="K22" s="40">
        <v>37.29</v>
      </c>
      <c r="L22" s="40">
        <v>38.61</v>
      </c>
      <c r="M22" s="40">
        <v>18.260000000000002</v>
      </c>
      <c r="N22" s="40">
        <v>759.2</v>
      </c>
      <c r="O22" s="40">
        <v>0</v>
      </c>
      <c r="P22" s="40">
        <v>0.67</v>
      </c>
      <c r="Q22" s="40">
        <v>28.06</v>
      </c>
      <c r="R22" s="38"/>
      <c r="S22" s="38"/>
      <c r="T22" s="38"/>
      <c r="U22" s="38"/>
    </row>
    <row r="23" spans="1:21" customFormat="1">
      <c r="A23" s="39" t="s">
        <v>362</v>
      </c>
      <c r="B23" s="40">
        <v>3.83</v>
      </c>
      <c r="C23" s="40">
        <v>16.690000000000001</v>
      </c>
      <c r="D23" s="40">
        <v>13.11</v>
      </c>
      <c r="E23" s="40">
        <v>13.44</v>
      </c>
      <c r="F23" s="41">
        <v>5.56</v>
      </c>
      <c r="G23" s="40">
        <v>72.86</v>
      </c>
      <c r="H23" s="40">
        <v>24.71</v>
      </c>
      <c r="I23" s="40">
        <v>8.4700000000000006</v>
      </c>
      <c r="J23" s="40">
        <v>1.32</v>
      </c>
      <c r="K23" s="40">
        <v>349.9</v>
      </c>
      <c r="L23" s="40">
        <v>40</v>
      </c>
      <c r="M23" s="40">
        <v>13.14</v>
      </c>
      <c r="N23" s="40">
        <v>716.8</v>
      </c>
      <c r="O23" s="40">
        <v>0</v>
      </c>
      <c r="P23" s="40">
        <v>0.62</v>
      </c>
      <c r="Q23" s="40">
        <v>28.07</v>
      </c>
      <c r="R23" s="38"/>
      <c r="S23" s="38"/>
      <c r="T23" s="38"/>
      <c r="U23" s="38"/>
    </row>
    <row r="24" spans="1:21" customFormat="1">
      <c r="A24" s="39" t="s">
        <v>363</v>
      </c>
      <c r="B24" s="40">
        <v>3.93</v>
      </c>
      <c r="C24" s="40">
        <v>16.13</v>
      </c>
      <c r="D24" s="40">
        <v>12.84</v>
      </c>
      <c r="E24" s="40">
        <v>12.51</v>
      </c>
      <c r="F24" s="41">
        <v>4.8899999999999997</v>
      </c>
      <c r="G24" s="40">
        <v>63.34</v>
      </c>
      <c r="H24" s="40">
        <v>22.95</v>
      </c>
      <c r="I24" s="40">
        <v>7.3</v>
      </c>
      <c r="J24" s="40">
        <v>1</v>
      </c>
      <c r="K24" s="40">
        <v>81.37</v>
      </c>
      <c r="L24" s="40">
        <v>39.979999999999997</v>
      </c>
      <c r="M24" s="40">
        <v>10</v>
      </c>
      <c r="N24" s="40">
        <v>524.4</v>
      </c>
      <c r="O24" s="40">
        <v>0</v>
      </c>
      <c r="P24" s="40">
        <v>0.56000000000000005</v>
      </c>
      <c r="Q24" s="40">
        <v>28.07</v>
      </c>
      <c r="R24" s="38"/>
      <c r="S24" s="38"/>
      <c r="T24" s="38"/>
      <c r="U24" s="38"/>
    </row>
    <row r="25" spans="1:21" customFormat="1">
      <c r="A25" s="39" t="s">
        <v>364</v>
      </c>
      <c r="B25" s="40">
        <v>5.0999999999999996</v>
      </c>
      <c r="C25" s="40">
        <v>19.53</v>
      </c>
      <c r="D25" s="40">
        <v>15.64</v>
      </c>
      <c r="E25" s="40">
        <v>16.93</v>
      </c>
      <c r="F25" s="41">
        <v>6.44</v>
      </c>
      <c r="G25" s="40">
        <v>57.13</v>
      </c>
      <c r="H25" s="40">
        <v>24.36</v>
      </c>
      <c r="I25" s="40">
        <v>6.43</v>
      </c>
      <c r="J25" s="40">
        <v>0.88</v>
      </c>
      <c r="K25" s="40">
        <v>59.02</v>
      </c>
      <c r="L25" s="40">
        <v>37.93</v>
      </c>
      <c r="M25" s="40">
        <v>12.05</v>
      </c>
      <c r="N25" s="40">
        <v>112.3</v>
      </c>
      <c r="O25" s="40">
        <v>0</v>
      </c>
      <c r="P25" s="40">
        <v>0.57999999999999996</v>
      </c>
      <c r="Q25" s="40">
        <v>28.07</v>
      </c>
      <c r="R25" s="38"/>
      <c r="S25" s="38"/>
      <c r="T25" s="38"/>
      <c r="U25" s="38"/>
    </row>
    <row r="26" spans="1:21" customFormat="1">
      <c r="A26" s="39" t="s">
        <v>365</v>
      </c>
      <c r="B26" s="40">
        <v>5.12</v>
      </c>
      <c r="C26" s="40">
        <v>21.23</v>
      </c>
      <c r="D26" s="40">
        <v>16.55</v>
      </c>
      <c r="E26" s="40">
        <v>17.2</v>
      </c>
      <c r="F26" s="41">
        <v>4.04</v>
      </c>
      <c r="G26" s="40">
        <v>57.02</v>
      </c>
      <c r="H26" s="40">
        <v>22.07</v>
      </c>
      <c r="I26" s="40">
        <v>6.2</v>
      </c>
      <c r="J26" s="40">
        <v>2.5099999999999998</v>
      </c>
      <c r="K26" s="40">
        <v>51.78</v>
      </c>
      <c r="L26" s="40">
        <v>37.380000000000003</v>
      </c>
      <c r="M26" s="40">
        <v>24.92</v>
      </c>
      <c r="N26" s="40">
        <v>88.4</v>
      </c>
      <c r="O26" s="40">
        <v>0</v>
      </c>
      <c r="P26" s="40">
        <v>0.59</v>
      </c>
      <c r="Q26" s="40">
        <v>28.06</v>
      </c>
      <c r="R26" s="38"/>
      <c r="S26" s="38"/>
      <c r="T26" s="38"/>
      <c r="U26" s="38"/>
    </row>
    <row r="27" spans="1:21" customFormat="1">
      <c r="A27" s="39" t="s">
        <v>366</v>
      </c>
      <c r="B27" s="40">
        <v>4.38</v>
      </c>
      <c r="C27" s="40">
        <v>17.41</v>
      </c>
      <c r="D27" s="40">
        <v>13.95</v>
      </c>
      <c r="E27" s="40">
        <v>12.28</v>
      </c>
      <c r="F27" s="41">
        <v>3.3</v>
      </c>
      <c r="G27" s="40">
        <v>164.3</v>
      </c>
      <c r="H27" s="40">
        <v>22.24</v>
      </c>
      <c r="I27" s="40">
        <v>6.37</v>
      </c>
      <c r="J27" s="40">
        <v>3.51</v>
      </c>
      <c r="K27" s="40">
        <v>42.1</v>
      </c>
      <c r="L27" s="40">
        <v>32</v>
      </c>
      <c r="M27" s="40">
        <v>30.56</v>
      </c>
      <c r="N27" s="40">
        <v>9.1999999999999993</v>
      </c>
      <c r="O27" s="40">
        <v>0</v>
      </c>
      <c r="P27" s="40">
        <v>0.55000000000000004</v>
      </c>
      <c r="Q27" s="40">
        <v>28.06</v>
      </c>
      <c r="R27" s="38"/>
      <c r="S27" s="38"/>
      <c r="T27" s="38"/>
      <c r="U27" s="38"/>
    </row>
    <row r="28" spans="1:21" customFormat="1">
      <c r="A28" s="39" t="s">
        <v>367</v>
      </c>
      <c r="B28" s="40">
        <v>4.04</v>
      </c>
      <c r="C28" s="40">
        <v>14.88</v>
      </c>
      <c r="D28" s="40">
        <v>12.24</v>
      </c>
      <c r="E28" s="40">
        <v>8.93</v>
      </c>
      <c r="F28" s="41">
        <v>3.33</v>
      </c>
      <c r="G28" s="40">
        <v>200.69</v>
      </c>
      <c r="H28" s="40">
        <v>24.87</v>
      </c>
      <c r="I28" s="40">
        <v>5.98</v>
      </c>
      <c r="J28" s="40">
        <v>2.48</v>
      </c>
      <c r="K28" s="40">
        <v>58.01</v>
      </c>
      <c r="L28" s="40">
        <v>29.42</v>
      </c>
      <c r="M28" s="40">
        <v>33.53</v>
      </c>
      <c r="N28" s="40">
        <v>7.1</v>
      </c>
      <c r="O28" s="40">
        <v>0</v>
      </c>
      <c r="P28" s="40">
        <v>0.5</v>
      </c>
      <c r="Q28" s="40">
        <v>28.06</v>
      </c>
      <c r="R28" s="38"/>
      <c r="S28" s="38"/>
      <c r="T28" s="38"/>
      <c r="U28" s="38"/>
    </row>
    <row r="29" spans="1:21" customFormat="1">
      <c r="A29" s="39" t="s">
        <v>368</v>
      </c>
      <c r="B29" s="40">
        <v>4.26</v>
      </c>
      <c r="C29" s="40">
        <v>15.51</v>
      </c>
      <c r="D29" s="40">
        <v>12.86</v>
      </c>
      <c r="E29" s="40">
        <v>9.01</v>
      </c>
      <c r="F29" s="41">
        <v>3.18</v>
      </c>
      <c r="G29" s="40">
        <v>58.35</v>
      </c>
      <c r="H29" s="40">
        <v>22.38</v>
      </c>
      <c r="I29" s="40">
        <v>5.67</v>
      </c>
      <c r="J29" s="40">
        <v>1.0900000000000001</v>
      </c>
      <c r="K29" s="40">
        <v>152.13</v>
      </c>
      <c r="L29" s="40">
        <v>29.16</v>
      </c>
      <c r="M29" s="40">
        <v>35.06</v>
      </c>
      <c r="N29" s="40">
        <v>6.3</v>
      </c>
      <c r="O29" s="40">
        <v>0</v>
      </c>
      <c r="P29" s="40">
        <v>0.5</v>
      </c>
      <c r="Q29" s="40">
        <v>28.06</v>
      </c>
      <c r="R29" s="38"/>
      <c r="S29" s="38"/>
      <c r="T29" s="38"/>
      <c r="U29" s="38"/>
    </row>
    <row r="30" spans="1:21" customFormat="1">
      <c r="A30" s="39" t="s">
        <v>369</v>
      </c>
      <c r="B30" s="40">
        <v>4.2</v>
      </c>
      <c r="C30" s="40">
        <v>15.94</v>
      </c>
      <c r="D30" s="40">
        <v>13.05</v>
      </c>
      <c r="E30" s="40">
        <v>8.15</v>
      </c>
      <c r="F30" s="41">
        <v>3.35</v>
      </c>
      <c r="G30" s="40">
        <v>51.13</v>
      </c>
      <c r="H30" s="40">
        <v>19.32</v>
      </c>
      <c r="I30" s="40">
        <v>5.42</v>
      </c>
      <c r="J30" s="40">
        <v>0.31</v>
      </c>
      <c r="K30" s="40">
        <v>328.58</v>
      </c>
      <c r="L30" s="40">
        <v>28.26</v>
      </c>
      <c r="M30" s="40">
        <v>37.22</v>
      </c>
      <c r="N30" s="40">
        <v>6.4</v>
      </c>
      <c r="O30" s="40">
        <v>0</v>
      </c>
      <c r="P30" s="40">
        <v>0.51</v>
      </c>
      <c r="Q30" s="40">
        <v>28.05</v>
      </c>
      <c r="R30" s="38"/>
      <c r="S30" s="38"/>
      <c r="T30" s="38"/>
      <c r="U30" s="38"/>
    </row>
    <row r="31" spans="1:21" customFormat="1">
      <c r="A31" s="39" t="s">
        <v>370</v>
      </c>
      <c r="B31" s="40">
        <v>7.95</v>
      </c>
      <c r="C31" s="40">
        <v>20.49</v>
      </c>
      <c r="D31" s="40">
        <v>18.43</v>
      </c>
      <c r="E31" s="40">
        <v>8.08</v>
      </c>
      <c r="F31" s="41">
        <v>3.33</v>
      </c>
      <c r="G31" s="40">
        <v>43.95</v>
      </c>
      <c r="H31" s="40">
        <v>17.95</v>
      </c>
      <c r="I31" s="40">
        <v>5.35</v>
      </c>
      <c r="J31" s="40">
        <v>0.25</v>
      </c>
      <c r="K31" s="40">
        <v>314.88</v>
      </c>
      <c r="L31" s="40">
        <v>27.89</v>
      </c>
      <c r="M31" s="40">
        <v>39.25</v>
      </c>
      <c r="N31" s="40">
        <v>6.3</v>
      </c>
      <c r="O31" s="40">
        <v>0</v>
      </c>
      <c r="P31" s="40">
        <v>0.52</v>
      </c>
      <c r="Q31" s="40">
        <v>28.08</v>
      </c>
      <c r="R31" s="38"/>
      <c r="S31" s="38"/>
      <c r="T31" s="38"/>
      <c r="U31" s="38"/>
    </row>
    <row r="32" spans="1:21" customFormat="1">
      <c r="A32" s="39" t="s">
        <v>371</v>
      </c>
      <c r="B32" s="40">
        <v>6.25</v>
      </c>
      <c r="C32" s="40">
        <v>20.29</v>
      </c>
      <c r="D32" s="40">
        <v>16.86</v>
      </c>
      <c r="E32" s="40">
        <v>8.06</v>
      </c>
      <c r="F32" s="41">
        <v>3.55</v>
      </c>
      <c r="G32" s="40">
        <v>56.79</v>
      </c>
      <c r="H32" s="40">
        <v>19.47</v>
      </c>
      <c r="I32" s="40">
        <v>5.58</v>
      </c>
      <c r="J32" s="40">
        <v>0.27</v>
      </c>
      <c r="K32" s="40">
        <v>213.06</v>
      </c>
      <c r="L32" s="40">
        <v>26.58</v>
      </c>
      <c r="M32" s="40">
        <v>43.82</v>
      </c>
      <c r="N32" s="40">
        <v>6.5</v>
      </c>
      <c r="O32" s="40">
        <v>0</v>
      </c>
      <c r="P32" s="40">
        <v>0.54</v>
      </c>
      <c r="Q32" s="40">
        <v>28.11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3.55</v>
      </c>
      <c r="C34" s="18">
        <f t="shared" si="0"/>
        <v>14.88</v>
      </c>
      <c r="D34" s="18">
        <f t="shared" si="0"/>
        <v>12.24</v>
      </c>
      <c r="E34" s="18">
        <f t="shared" si="0"/>
        <v>7.42</v>
      </c>
      <c r="F34" s="18">
        <f t="shared" si="0"/>
        <v>3.18</v>
      </c>
      <c r="G34" s="18">
        <f t="shared" si="0"/>
        <v>38.130000000000003</v>
      </c>
      <c r="H34" s="18">
        <f t="shared" si="0"/>
        <v>14.73</v>
      </c>
      <c r="I34" s="18">
        <f t="shared" si="0"/>
        <v>5.35</v>
      </c>
      <c r="J34" s="18">
        <f t="shared" si="0"/>
        <v>0.15</v>
      </c>
      <c r="K34" s="18">
        <f t="shared" si="0"/>
        <v>37.29</v>
      </c>
      <c r="L34" s="18">
        <f t="shared" si="0"/>
        <v>24.38</v>
      </c>
      <c r="M34" s="18">
        <f t="shared" si="0"/>
        <v>10</v>
      </c>
      <c r="N34" s="18">
        <f t="shared" si="0"/>
        <v>5.8</v>
      </c>
      <c r="O34" s="18">
        <f t="shared" si="0"/>
        <v>0</v>
      </c>
      <c r="P34" s="18">
        <f t="shared" si="0"/>
        <v>0.5</v>
      </c>
      <c r="Q34" s="18">
        <f t="shared" si="0"/>
        <v>28.05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8.42</v>
      </c>
      <c r="C35" s="3">
        <f t="shared" si="1"/>
        <v>21.23</v>
      </c>
      <c r="D35" s="3">
        <f t="shared" si="1"/>
        <v>18.43</v>
      </c>
      <c r="E35" s="3">
        <f t="shared" si="1"/>
        <v>17.2</v>
      </c>
      <c r="F35" s="3">
        <f t="shared" si="1"/>
        <v>6.44</v>
      </c>
      <c r="G35" s="3">
        <f t="shared" si="1"/>
        <v>200.69</v>
      </c>
      <c r="H35" s="3">
        <f t="shared" si="1"/>
        <v>28.8</v>
      </c>
      <c r="I35" s="3">
        <f t="shared" si="1"/>
        <v>9.86</v>
      </c>
      <c r="J35" s="3">
        <f t="shared" si="1"/>
        <v>3.51</v>
      </c>
      <c r="K35" s="3">
        <f t="shared" si="1"/>
        <v>357.77</v>
      </c>
      <c r="L35" s="3">
        <f t="shared" si="1"/>
        <v>40</v>
      </c>
      <c r="M35" s="3">
        <f t="shared" si="1"/>
        <v>50.57</v>
      </c>
      <c r="N35" s="3">
        <f t="shared" si="1"/>
        <v>770.6</v>
      </c>
      <c r="O35" s="3">
        <f t="shared" si="1"/>
        <v>0</v>
      </c>
      <c r="P35" s="3">
        <f t="shared" si="1"/>
        <v>0.8</v>
      </c>
      <c r="Q35" s="3">
        <f t="shared" si="1"/>
        <v>28.13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5.5775000000000006</v>
      </c>
      <c r="C36" s="18">
        <f t="shared" si="2"/>
        <v>16.883750000000003</v>
      </c>
      <c r="D36" s="18">
        <f t="shared" si="2"/>
        <v>14.586250000000001</v>
      </c>
      <c r="E36" s="18">
        <f t="shared" si="2"/>
        <v>10.51375</v>
      </c>
      <c r="F36" s="18">
        <f t="shared" si="2"/>
        <v>3.9504166666666669</v>
      </c>
      <c r="G36" s="18">
        <f t="shared" si="2"/>
        <v>64.211250000000007</v>
      </c>
      <c r="H36" s="18">
        <f t="shared" si="2"/>
        <v>21.522083333333331</v>
      </c>
      <c r="I36" s="18">
        <f t="shared" si="2"/>
        <v>7.836666666666666</v>
      </c>
      <c r="J36" s="18">
        <f t="shared" si="2"/>
        <v>0.94791666666666663</v>
      </c>
      <c r="K36" s="18">
        <f t="shared" si="2"/>
        <v>213.79208333333338</v>
      </c>
      <c r="L36" s="18">
        <f t="shared" si="2"/>
        <v>31.82833333333333</v>
      </c>
      <c r="M36" s="18">
        <f t="shared" si="2"/>
        <v>31.463750000000001</v>
      </c>
      <c r="N36" s="18">
        <f t="shared" si="2"/>
        <v>230.18333333333331</v>
      </c>
      <c r="O36" s="18">
        <f t="shared" si="2"/>
        <v>0</v>
      </c>
      <c r="P36" s="18">
        <f t="shared" si="2"/>
        <v>0.6333333333333333</v>
      </c>
      <c r="Q36" s="18">
        <f t="shared" si="2"/>
        <v>28.084166666666661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1.6218729109059133</v>
      </c>
      <c r="C37" s="18">
        <f t="shared" ref="C37:Q37" si="3">STDEV(C9:C32)</f>
        <v>1.7582546002016699</v>
      </c>
      <c r="D37" s="18">
        <f t="shared" si="3"/>
        <v>1.7107329029446265</v>
      </c>
      <c r="E37" s="18">
        <f t="shared" si="3"/>
        <v>3.2368339502883261</v>
      </c>
      <c r="F37" s="18">
        <f t="shared" si="3"/>
        <v>0.87530605413523588</v>
      </c>
      <c r="G37" s="18">
        <f t="shared" si="3"/>
        <v>38.116919022408801</v>
      </c>
      <c r="H37" s="18">
        <f t="shared" si="3"/>
        <v>3.1387618427967969</v>
      </c>
      <c r="I37" s="18">
        <f t="shared" si="3"/>
        <v>1.5835366764925627</v>
      </c>
      <c r="J37" s="18">
        <f t="shared" si="3"/>
        <v>0.88365338063148313</v>
      </c>
      <c r="K37" s="18">
        <f t="shared" si="3"/>
        <v>108.98419426604394</v>
      </c>
      <c r="L37" s="18">
        <f t="shared" si="3"/>
        <v>5.4235233748091964</v>
      </c>
      <c r="M37" s="18">
        <f t="shared" si="3"/>
        <v>12.439208632909221</v>
      </c>
      <c r="N37" s="18">
        <f t="shared" si="3"/>
        <v>299.600439232665</v>
      </c>
      <c r="O37" s="18">
        <f t="shared" si="3"/>
        <v>0</v>
      </c>
      <c r="P37" s="18">
        <f t="shared" si="3"/>
        <v>9.0873379019891135E-2</v>
      </c>
      <c r="Q37" s="18">
        <f t="shared" si="3"/>
        <v>2.6689301987495605E-2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14/04/2025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372</v>
      </c>
      <c r="B9" s="40">
        <v>5.91</v>
      </c>
      <c r="C9" s="40">
        <v>18.63</v>
      </c>
      <c r="D9" s="40">
        <v>15.82</v>
      </c>
      <c r="E9" s="40">
        <v>7.68</v>
      </c>
      <c r="F9" s="41">
        <v>3.42</v>
      </c>
      <c r="G9" s="40">
        <v>45.25</v>
      </c>
      <c r="H9" s="40">
        <v>17.579999999999998</v>
      </c>
      <c r="I9" s="40">
        <v>5.72</v>
      </c>
      <c r="J9" s="40">
        <v>0.25</v>
      </c>
      <c r="K9" s="40">
        <v>226.26</v>
      </c>
      <c r="L9" s="40">
        <v>26.82</v>
      </c>
      <c r="M9" s="40">
        <v>41.74</v>
      </c>
      <c r="N9" s="40">
        <v>6.3</v>
      </c>
      <c r="O9" s="40">
        <v>0</v>
      </c>
      <c r="P9" s="40">
        <v>0.53</v>
      </c>
      <c r="Q9" s="40">
        <v>28.1</v>
      </c>
      <c r="R9" s="38"/>
      <c r="S9" s="38"/>
      <c r="T9" s="38"/>
      <c r="U9" s="38"/>
    </row>
    <row r="10" spans="1:21" customFormat="1">
      <c r="A10" s="39" t="s">
        <v>373</v>
      </c>
      <c r="B10" s="40">
        <v>4.93</v>
      </c>
      <c r="C10" s="40">
        <v>17.510000000000002</v>
      </c>
      <c r="D10" s="40">
        <v>14.45</v>
      </c>
      <c r="E10" s="40">
        <v>7.64</v>
      </c>
      <c r="F10" s="41">
        <v>3.35</v>
      </c>
      <c r="G10" s="40">
        <v>45.78</v>
      </c>
      <c r="H10" s="40">
        <v>17.52</v>
      </c>
      <c r="I10" s="40">
        <v>5.69</v>
      </c>
      <c r="J10" s="40">
        <v>0.26</v>
      </c>
      <c r="K10" s="40">
        <v>224.59</v>
      </c>
      <c r="L10" s="40">
        <v>26.49</v>
      </c>
      <c r="M10" s="40">
        <v>40.4</v>
      </c>
      <c r="N10" s="40">
        <v>6.1</v>
      </c>
      <c r="O10" s="40">
        <v>0</v>
      </c>
      <c r="P10" s="40">
        <v>0.5</v>
      </c>
      <c r="Q10" s="40">
        <v>28.08</v>
      </c>
      <c r="R10" s="38"/>
      <c r="S10" s="38"/>
      <c r="T10" s="38"/>
      <c r="U10" s="38"/>
    </row>
    <row r="11" spans="1:21" customFormat="1">
      <c r="A11" s="39" t="s">
        <v>374</v>
      </c>
      <c r="B11" s="40">
        <v>5.52</v>
      </c>
      <c r="C11" s="40">
        <v>16.29</v>
      </c>
      <c r="D11" s="40">
        <v>13.99</v>
      </c>
      <c r="E11" s="40">
        <v>9.2899999999999991</v>
      </c>
      <c r="F11" s="41">
        <v>3.36</v>
      </c>
      <c r="G11" s="40">
        <v>46.5</v>
      </c>
      <c r="H11" s="40">
        <v>15.68</v>
      </c>
      <c r="I11" s="40">
        <v>5.62</v>
      </c>
      <c r="J11" s="40">
        <v>0.96</v>
      </c>
      <c r="K11" s="40">
        <v>334.21</v>
      </c>
      <c r="L11" s="40">
        <v>26.57</v>
      </c>
      <c r="M11" s="40">
        <v>41.45</v>
      </c>
      <c r="N11" s="40">
        <v>6</v>
      </c>
      <c r="O11" s="40">
        <v>0</v>
      </c>
      <c r="P11" s="40">
        <v>0.46</v>
      </c>
      <c r="Q11" s="40">
        <v>28.08</v>
      </c>
      <c r="R11" s="38"/>
      <c r="S11" s="38"/>
      <c r="T11" s="38"/>
      <c r="U11" s="38"/>
    </row>
    <row r="12" spans="1:21" customFormat="1">
      <c r="A12" s="39" t="s">
        <v>375</v>
      </c>
      <c r="B12" s="40">
        <v>7.51</v>
      </c>
      <c r="C12" s="40">
        <v>17.100000000000001</v>
      </c>
      <c r="D12" s="40">
        <v>16.12</v>
      </c>
      <c r="E12" s="40">
        <v>18.48</v>
      </c>
      <c r="F12" s="41">
        <v>3.3</v>
      </c>
      <c r="G12" s="40">
        <v>46.12</v>
      </c>
      <c r="H12" s="40">
        <v>14.2</v>
      </c>
      <c r="I12" s="40">
        <v>6.11</v>
      </c>
      <c r="J12" s="40">
        <v>0.7</v>
      </c>
      <c r="K12" s="40">
        <v>176.01</v>
      </c>
      <c r="L12" s="40">
        <v>26.52</v>
      </c>
      <c r="M12" s="40">
        <v>46.96</v>
      </c>
      <c r="N12" s="40">
        <v>6.5</v>
      </c>
      <c r="O12" s="40">
        <v>0</v>
      </c>
      <c r="P12" s="40">
        <v>0.55000000000000004</v>
      </c>
      <c r="Q12" s="40">
        <v>28.11</v>
      </c>
      <c r="R12" s="38"/>
      <c r="S12" s="38"/>
      <c r="T12" s="38"/>
      <c r="U12" s="38"/>
    </row>
    <row r="13" spans="1:21" customFormat="1">
      <c r="A13" s="39" t="s">
        <v>376</v>
      </c>
      <c r="B13" s="40">
        <v>9.31</v>
      </c>
      <c r="C13" s="40">
        <v>16.100000000000001</v>
      </c>
      <c r="D13" s="40">
        <v>17.09</v>
      </c>
      <c r="E13" s="40">
        <v>12.13</v>
      </c>
      <c r="F13" s="41">
        <v>3.24</v>
      </c>
      <c r="G13" s="40">
        <v>204.87</v>
      </c>
      <c r="H13" s="40">
        <v>30.88</v>
      </c>
      <c r="I13" s="40">
        <v>7.19</v>
      </c>
      <c r="J13" s="40">
        <v>0.76</v>
      </c>
      <c r="K13" s="40">
        <v>149.07</v>
      </c>
      <c r="L13" s="40">
        <v>25.62</v>
      </c>
      <c r="M13" s="40">
        <v>50.5</v>
      </c>
      <c r="N13" s="40">
        <v>6.7</v>
      </c>
      <c r="O13" s="40">
        <v>0</v>
      </c>
      <c r="P13" s="40">
        <v>0.62</v>
      </c>
      <c r="Q13" s="40">
        <v>28.14</v>
      </c>
      <c r="R13" s="38"/>
      <c r="S13" s="38"/>
      <c r="T13" s="38"/>
      <c r="U13" s="38"/>
    </row>
    <row r="14" spans="1:21" customFormat="1">
      <c r="A14" s="39" t="s">
        <v>377</v>
      </c>
      <c r="B14" s="40">
        <v>10.83</v>
      </c>
      <c r="C14" s="40">
        <v>16.149999999999999</v>
      </c>
      <c r="D14" s="40">
        <v>18.48</v>
      </c>
      <c r="E14" s="40">
        <v>10.79</v>
      </c>
      <c r="F14" s="41">
        <v>3.62</v>
      </c>
      <c r="G14" s="40">
        <v>128.76</v>
      </c>
      <c r="H14" s="40">
        <v>34.14</v>
      </c>
      <c r="I14" s="40">
        <v>7.3</v>
      </c>
      <c r="J14" s="40">
        <v>0.37</v>
      </c>
      <c r="K14" s="40">
        <v>238.89</v>
      </c>
      <c r="L14" s="40">
        <v>25.3</v>
      </c>
      <c r="M14" s="40">
        <v>50.17</v>
      </c>
      <c r="N14" s="40">
        <v>13.8</v>
      </c>
      <c r="O14" s="40">
        <v>0</v>
      </c>
      <c r="P14" s="40">
        <v>0.63</v>
      </c>
      <c r="Q14" s="40">
        <v>28.17</v>
      </c>
      <c r="R14" s="38"/>
      <c r="S14" s="38"/>
      <c r="T14" s="38"/>
      <c r="U14" s="38"/>
    </row>
    <row r="15" spans="1:21" customFormat="1">
      <c r="A15" s="39" t="s">
        <v>378</v>
      </c>
      <c r="B15" s="40">
        <v>12.28</v>
      </c>
      <c r="C15" s="40">
        <v>17.260000000000002</v>
      </c>
      <c r="D15" s="40">
        <v>20.18</v>
      </c>
      <c r="E15" s="40">
        <v>10.51</v>
      </c>
      <c r="F15" s="41">
        <v>3.44</v>
      </c>
      <c r="G15" s="40">
        <v>70.099999999999994</v>
      </c>
      <c r="H15" s="40">
        <v>25.41</v>
      </c>
      <c r="I15" s="40">
        <v>7.49</v>
      </c>
      <c r="J15" s="40">
        <v>0.74</v>
      </c>
      <c r="K15" s="40">
        <v>347.67</v>
      </c>
      <c r="L15" s="40">
        <v>26.41</v>
      </c>
      <c r="M15" s="40">
        <v>49.08</v>
      </c>
      <c r="N15" s="40">
        <v>66.5</v>
      </c>
      <c r="O15" s="40">
        <v>0</v>
      </c>
      <c r="P15" s="40">
        <v>0.69</v>
      </c>
      <c r="Q15" s="40">
        <v>28.19</v>
      </c>
      <c r="R15" s="38"/>
      <c r="S15" s="38"/>
      <c r="T15" s="38"/>
      <c r="U15" s="38"/>
    </row>
    <row r="16" spans="1:21" customFormat="1">
      <c r="A16" s="39" t="s">
        <v>379</v>
      </c>
      <c r="B16" s="40">
        <v>12.53</v>
      </c>
      <c r="C16" s="40">
        <v>18.3</v>
      </c>
      <c r="D16" s="40">
        <v>20.54</v>
      </c>
      <c r="E16" s="40">
        <v>10.51</v>
      </c>
      <c r="F16" s="41">
        <v>3.38</v>
      </c>
      <c r="G16" s="40">
        <v>85.46</v>
      </c>
      <c r="H16" s="40">
        <v>30.27</v>
      </c>
      <c r="I16" s="40">
        <v>8.32</v>
      </c>
      <c r="J16" s="40">
        <v>0.56999999999999995</v>
      </c>
      <c r="K16" s="40">
        <v>215.49</v>
      </c>
      <c r="L16" s="40">
        <v>29.18</v>
      </c>
      <c r="M16" s="40">
        <v>47.02</v>
      </c>
      <c r="N16" s="40">
        <v>186.4</v>
      </c>
      <c r="O16" s="40">
        <v>0</v>
      </c>
      <c r="P16" s="40">
        <v>0.8</v>
      </c>
      <c r="Q16" s="40">
        <v>28.19</v>
      </c>
      <c r="R16" s="38"/>
      <c r="S16" s="38"/>
      <c r="T16" s="38"/>
      <c r="U16" s="38"/>
    </row>
    <row r="17" spans="1:21" customFormat="1">
      <c r="A17" s="39" t="s">
        <v>380</v>
      </c>
      <c r="B17" s="40">
        <v>10.85</v>
      </c>
      <c r="C17" s="40">
        <v>19.21</v>
      </c>
      <c r="D17" s="40">
        <v>19.68</v>
      </c>
      <c r="E17" s="40">
        <v>10.51</v>
      </c>
      <c r="F17" s="41">
        <v>3.42</v>
      </c>
      <c r="G17" s="40">
        <v>153.01</v>
      </c>
      <c r="H17" s="40">
        <v>35.090000000000003</v>
      </c>
      <c r="I17" s="40">
        <v>8.81</v>
      </c>
      <c r="J17" s="40">
        <v>0.59</v>
      </c>
      <c r="K17" s="40">
        <v>304.8</v>
      </c>
      <c r="L17" s="40">
        <v>30.64</v>
      </c>
      <c r="M17" s="40">
        <v>37.65</v>
      </c>
      <c r="N17" s="40">
        <v>240.8</v>
      </c>
      <c r="O17" s="40">
        <v>0</v>
      </c>
      <c r="P17" s="40">
        <v>0.78</v>
      </c>
      <c r="Q17" s="40">
        <v>28.16</v>
      </c>
      <c r="R17" s="38"/>
      <c r="S17" s="38"/>
      <c r="T17" s="38"/>
      <c r="U17" s="38"/>
    </row>
    <row r="18" spans="1:21" customFormat="1">
      <c r="A18" s="39" t="s">
        <v>381</v>
      </c>
      <c r="B18" s="40">
        <v>6.65</v>
      </c>
      <c r="C18" s="40">
        <v>20.45</v>
      </c>
      <c r="D18" s="40">
        <v>16.989999999999998</v>
      </c>
      <c r="E18" s="40">
        <v>10.51</v>
      </c>
      <c r="F18" s="41">
        <v>3.46</v>
      </c>
      <c r="G18" s="40">
        <v>65.06</v>
      </c>
      <c r="H18" s="40">
        <v>30.42</v>
      </c>
      <c r="I18" s="40">
        <v>8.48</v>
      </c>
      <c r="J18" s="40">
        <v>0.46</v>
      </c>
      <c r="K18" s="40">
        <v>324.42</v>
      </c>
      <c r="L18" s="40">
        <v>32.659999999999997</v>
      </c>
      <c r="M18" s="40">
        <v>34.950000000000003</v>
      </c>
      <c r="N18" s="40">
        <v>522.4</v>
      </c>
      <c r="O18" s="40">
        <v>0</v>
      </c>
      <c r="P18" s="40">
        <v>0.77</v>
      </c>
      <c r="Q18" s="40">
        <v>28.1</v>
      </c>
      <c r="R18" s="38"/>
      <c r="S18" s="38"/>
      <c r="T18" s="38"/>
      <c r="U18" s="38"/>
    </row>
    <row r="19" spans="1:21" customFormat="1">
      <c r="A19" s="39" t="s">
        <v>382</v>
      </c>
      <c r="B19" s="40">
        <v>4.8099999999999996</v>
      </c>
      <c r="C19" s="40">
        <v>21.23</v>
      </c>
      <c r="D19" s="40">
        <v>15.73</v>
      </c>
      <c r="E19" s="40">
        <v>10.51</v>
      </c>
      <c r="F19" s="41">
        <v>3.63</v>
      </c>
      <c r="G19" s="40">
        <v>82.19</v>
      </c>
      <c r="H19" s="40">
        <v>32.770000000000003</v>
      </c>
      <c r="I19" s="40">
        <v>9.15</v>
      </c>
      <c r="J19" s="40">
        <v>0.56000000000000005</v>
      </c>
      <c r="K19" s="40">
        <v>193.24</v>
      </c>
      <c r="L19" s="40">
        <v>34.85</v>
      </c>
      <c r="M19" s="40">
        <v>29.82</v>
      </c>
      <c r="N19" s="40">
        <v>614.9</v>
      </c>
      <c r="O19" s="40">
        <v>0</v>
      </c>
      <c r="P19" s="40">
        <v>0.84</v>
      </c>
      <c r="Q19" s="40">
        <v>28.09</v>
      </c>
      <c r="R19" s="38"/>
      <c r="S19" s="38"/>
      <c r="T19" s="38"/>
      <c r="U19" s="38"/>
    </row>
    <row r="20" spans="1:21" customFormat="1">
      <c r="A20" s="39" t="s">
        <v>383</v>
      </c>
      <c r="B20" s="40">
        <v>4.1100000000000003</v>
      </c>
      <c r="C20" s="40">
        <v>21.72</v>
      </c>
      <c r="D20" s="40">
        <v>16</v>
      </c>
      <c r="E20" s="40">
        <v>32.119999999999997</v>
      </c>
      <c r="F20" s="41">
        <v>3.64</v>
      </c>
      <c r="G20" s="40">
        <v>141.79</v>
      </c>
      <c r="H20" s="40">
        <v>39.11</v>
      </c>
      <c r="I20" s="40">
        <v>9.85</v>
      </c>
      <c r="J20" s="40">
        <v>0.83</v>
      </c>
      <c r="K20" s="40">
        <v>273.70999999999998</v>
      </c>
      <c r="L20" s="40">
        <v>35.39</v>
      </c>
      <c r="M20" s="40">
        <v>27.49</v>
      </c>
      <c r="N20" s="40">
        <v>692.8</v>
      </c>
      <c r="O20" s="40">
        <v>0</v>
      </c>
      <c r="P20" s="40">
        <v>0.88</v>
      </c>
      <c r="Q20" s="40">
        <v>28.08</v>
      </c>
      <c r="R20" s="38"/>
      <c r="S20" s="38"/>
      <c r="T20" s="38"/>
      <c r="U20" s="38"/>
    </row>
    <row r="21" spans="1:21" customFormat="1">
      <c r="A21" s="39" t="s">
        <v>384</v>
      </c>
      <c r="B21" s="40">
        <v>3.68</v>
      </c>
      <c r="C21" s="40">
        <v>13.17</v>
      </c>
      <c r="D21" s="40">
        <v>11.17</v>
      </c>
      <c r="E21" s="40">
        <v>32.119999999999997</v>
      </c>
      <c r="F21" s="41">
        <v>3.53</v>
      </c>
      <c r="G21" s="10" t="s">
        <v>12</v>
      </c>
      <c r="H21" s="10" t="s">
        <v>12</v>
      </c>
      <c r="I21" s="40">
        <v>10.29</v>
      </c>
      <c r="J21" s="40">
        <v>0.69</v>
      </c>
      <c r="K21" s="40">
        <v>271.35000000000002</v>
      </c>
      <c r="L21" s="40">
        <v>35.78</v>
      </c>
      <c r="M21" s="40">
        <v>24.71</v>
      </c>
      <c r="N21" s="40">
        <v>500.6</v>
      </c>
      <c r="O21" s="40">
        <v>0</v>
      </c>
      <c r="P21" s="40">
        <v>0.74</v>
      </c>
      <c r="Q21" s="40">
        <v>28.04</v>
      </c>
      <c r="R21" s="38"/>
      <c r="S21" s="38"/>
      <c r="T21" s="38"/>
      <c r="U21" s="38"/>
    </row>
    <row r="22" spans="1:21" customFormat="1">
      <c r="A22" s="39" t="s">
        <v>385</v>
      </c>
      <c r="B22" s="40">
        <v>3.67</v>
      </c>
      <c r="C22" s="40">
        <v>13.88</v>
      </c>
      <c r="D22" s="40">
        <v>11.55</v>
      </c>
      <c r="E22" s="40">
        <v>13.31</v>
      </c>
      <c r="F22" s="41">
        <v>3.52</v>
      </c>
      <c r="G22" s="40">
        <v>42.91</v>
      </c>
      <c r="H22" s="40">
        <v>17.07</v>
      </c>
      <c r="I22" s="40">
        <v>20.440000000000001</v>
      </c>
      <c r="J22" s="40">
        <v>0.68</v>
      </c>
      <c r="K22" s="40">
        <v>283.77999999999997</v>
      </c>
      <c r="L22" s="40">
        <v>36.58</v>
      </c>
      <c r="M22" s="40">
        <v>23.19</v>
      </c>
      <c r="N22" s="40">
        <v>580.9</v>
      </c>
      <c r="O22" s="40">
        <v>0</v>
      </c>
      <c r="P22" s="27" t="s">
        <v>8</v>
      </c>
      <c r="Q22" s="40">
        <v>28.05</v>
      </c>
      <c r="R22" s="38"/>
      <c r="S22" s="38"/>
      <c r="T22" s="38"/>
      <c r="U22" s="38"/>
    </row>
    <row r="23" spans="1:21" customFormat="1">
      <c r="A23" s="39" t="s">
        <v>386</v>
      </c>
      <c r="B23" s="40">
        <v>3.24</v>
      </c>
      <c r="C23" s="40">
        <v>10.07</v>
      </c>
      <c r="D23" s="40">
        <v>9.2100000000000009</v>
      </c>
      <c r="E23" s="40">
        <v>13.73</v>
      </c>
      <c r="F23" s="41">
        <v>3.69</v>
      </c>
      <c r="G23" s="40">
        <v>51.49</v>
      </c>
      <c r="H23" s="40">
        <v>17.07</v>
      </c>
      <c r="I23" s="40">
        <v>15.73</v>
      </c>
      <c r="J23" s="40">
        <v>0.68</v>
      </c>
      <c r="K23" s="40">
        <v>272.17</v>
      </c>
      <c r="L23" s="40">
        <v>37.369999999999997</v>
      </c>
      <c r="M23" s="40">
        <v>21.33</v>
      </c>
      <c r="N23" s="40">
        <v>672.7</v>
      </c>
      <c r="O23" s="40">
        <v>0</v>
      </c>
      <c r="P23" s="27" t="s">
        <v>8</v>
      </c>
      <c r="Q23" s="40">
        <v>28.03</v>
      </c>
      <c r="R23" s="38"/>
      <c r="S23" s="38"/>
      <c r="T23" s="38"/>
      <c r="U23" s="38"/>
    </row>
    <row r="24" spans="1:21" customFormat="1">
      <c r="A24" s="39" t="s">
        <v>387</v>
      </c>
      <c r="B24" s="40">
        <v>3.51</v>
      </c>
      <c r="C24" s="40">
        <v>10.79</v>
      </c>
      <c r="D24" s="40">
        <v>9.81</v>
      </c>
      <c r="E24" s="40">
        <v>12.86</v>
      </c>
      <c r="F24" s="41">
        <v>3.94</v>
      </c>
      <c r="G24" s="40">
        <v>53</v>
      </c>
      <c r="H24" s="40">
        <v>18.989999999999998</v>
      </c>
      <c r="I24" s="40">
        <v>14.16</v>
      </c>
      <c r="J24" s="40">
        <v>0.99</v>
      </c>
      <c r="K24" s="40">
        <v>300.86</v>
      </c>
      <c r="L24" s="40">
        <v>37.72</v>
      </c>
      <c r="M24" s="40">
        <v>19.27</v>
      </c>
      <c r="N24" s="40">
        <v>425.6</v>
      </c>
      <c r="O24" s="40">
        <v>0</v>
      </c>
      <c r="P24" s="27" t="s">
        <v>8</v>
      </c>
      <c r="Q24" s="40">
        <v>28.04</v>
      </c>
      <c r="R24" s="38"/>
      <c r="S24" s="38"/>
      <c r="T24" s="38"/>
      <c r="U24" s="38"/>
    </row>
    <row r="25" spans="1:21" customFormat="1">
      <c r="A25" s="39" t="s">
        <v>388</v>
      </c>
      <c r="B25" s="40">
        <v>3.84</v>
      </c>
      <c r="C25" s="40">
        <v>13.82</v>
      </c>
      <c r="D25" s="40">
        <v>11.63</v>
      </c>
      <c r="E25" s="40">
        <v>18.87</v>
      </c>
      <c r="F25" s="41">
        <v>3.58</v>
      </c>
      <c r="G25" s="40">
        <v>54.27</v>
      </c>
      <c r="H25" s="40">
        <v>21.4</v>
      </c>
      <c r="I25" s="40">
        <v>12.8</v>
      </c>
      <c r="J25" s="40">
        <v>0.39</v>
      </c>
      <c r="K25" s="40">
        <v>345.69</v>
      </c>
      <c r="L25" s="40">
        <v>37.090000000000003</v>
      </c>
      <c r="M25" s="40">
        <v>20.190000000000001</v>
      </c>
      <c r="N25" s="40">
        <v>296.10000000000002</v>
      </c>
      <c r="O25" s="40">
        <v>0</v>
      </c>
      <c r="P25" s="27" t="s">
        <v>8</v>
      </c>
      <c r="Q25" s="40">
        <v>28.05</v>
      </c>
      <c r="R25" s="38"/>
      <c r="S25" s="38"/>
      <c r="T25" s="38"/>
      <c r="U25" s="38"/>
    </row>
    <row r="26" spans="1:21" customFormat="1">
      <c r="A26" s="39" t="s">
        <v>389</v>
      </c>
      <c r="B26" s="40">
        <v>3.47</v>
      </c>
      <c r="C26" s="40">
        <v>13.07</v>
      </c>
      <c r="D26" s="40">
        <v>10.97</v>
      </c>
      <c r="E26" s="40">
        <v>22.68</v>
      </c>
      <c r="F26" s="41">
        <v>3.61</v>
      </c>
      <c r="G26" s="40">
        <v>55.49</v>
      </c>
      <c r="H26" s="40">
        <v>22.14</v>
      </c>
      <c r="I26" s="40">
        <v>12.91</v>
      </c>
      <c r="J26" s="40">
        <v>0.35</v>
      </c>
      <c r="K26" s="40">
        <v>206.18</v>
      </c>
      <c r="L26" s="40">
        <v>36.770000000000003</v>
      </c>
      <c r="M26" s="40">
        <v>24.66</v>
      </c>
      <c r="N26" s="40">
        <v>103.3</v>
      </c>
      <c r="O26" s="40">
        <v>0</v>
      </c>
      <c r="P26" s="27" t="s">
        <v>8</v>
      </c>
      <c r="Q26" s="40">
        <v>28.05</v>
      </c>
      <c r="R26" s="38"/>
      <c r="S26" s="38"/>
      <c r="T26" s="38"/>
      <c r="U26" s="38"/>
    </row>
    <row r="27" spans="1:21" customFormat="1">
      <c r="A27" s="39" t="s">
        <v>390</v>
      </c>
      <c r="B27" s="40">
        <v>3.49</v>
      </c>
      <c r="C27" s="40">
        <v>12.45</v>
      </c>
      <c r="D27" s="40">
        <v>10.62</v>
      </c>
      <c r="E27" s="40">
        <v>16.899999999999999</v>
      </c>
      <c r="F27" s="41">
        <v>3.46</v>
      </c>
      <c r="G27" s="40">
        <v>58.7</v>
      </c>
      <c r="H27" s="40">
        <v>25.02</v>
      </c>
      <c r="I27" s="40">
        <v>10.35</v>
      </c>
      <c r="J27" s="40">
        <v>0.23</v>
      </c>
      <c r="K27" s="40">
        <v>204.13</v>
      </c>
      <c r="L27" s="40">
        <v>33.93</v>
      </c>
      <c r="M27" s="40">
        <v>29.78</v>
      </c>
      <c r="N27" s="40">
        <v>16.600000000000001</v>
      </c>
      <c r="O27" s="40">
        <v>0</v>
      </c>
      <c r="P27" s="27" t="s">
        <v>8</v>
      </c>
      <c r="Q27" s="40">
        <v>28.05</v>
      </c>
      <c r="R27" s="38"/>
      <c r="S27" s="38"/>
      <c r="T27" s="38"/>
      <c r="U27" s="38"/>
    </row>
    <row r="28" spans="1:21" customFormat="1">
      <c r="A28" s="39" t="s">
        <v>391</v>
      </c>
      <c r="B28" s="40">
        <v>3.66</v>
      </c>
      <c r="C28" s="40">
        <v>13.62</v>
      </c>
      <c r="D28" s="40">
        <v>11.4</v>
      </c>
      <c r="E28" s="40">
        <v>13.51</v>
      </c>
      <c r="F28" s="41">
        <v>3.44</v>
      </c>
      <c r="G28" s="40">
        <v>59.23</v>
      </c>
      <c r="H28" s="40">
        <v>25.02</v>
      </c>
      <c r="I28" s="40">
        <v>11.89</v>
      </c>
      <c r="J28" s="40">
        <v>0.27</v>
      </c>
      <c r="K28" s="40">
        <v>194.33</v>
      </c>
      <c r="L28" s="40">
        <v>31.65</v>
      </c>
      <c r="M28" s="40">
        <v>34.479999999999997</v>
      </c>
      <c r="N28" s="40">
        <v>6.3</v>
      </c>
      <c r="O28" s="40">
        <v>0</v>
      </c>
      <c r="P28" s="27" t="s">
        <v>8</v>
      </c>
      <c r="Q28" s="40">
        <v>28.04</v>
      </c>
      <c r="R28" s="38"/>
      <c r="S28" s="38"/>
      <c r="T28" s="38"/>
      <c r="U28" s="38"/>
    </row>
    <row r="29" spans="1:21" customFormat="1">
      <c r="A29" s="39" t="s">
        <v>392</v>
      </c>
      <c r="B29" s="40">
        <v>3.76</v>
      </c>
      <c r="C29" s="40">
        <v>13.99</v>
      </c>
      <c r="D29" s="40">
        <v>11.68</v>
      </c>
      <c r="E29" s="40">
        <v>11.13</v>
      </c>
      <c r="F29" s="41">
        <v>3.41</v>
      </c>
      <c r="G29" s="40">
        <v>61.26</v>
      </c>
      <c r="H29" s="40">
        <v>25.59</v>
      </c>
      <c r="I29" s="40">
        <v>12.13</v>
      </c>
      <c r="J29" s="40">
        <v>0.28000000000000003</v>
      </c>
      <c r="K29" s="40">
        <v>277.11</v>
      </c>
      <c r="L29" s="40">
        <v>30.53</v>
      </c>
      <c r="M29" s="40">
        <v>36.200000000000003</v>
      </c>
      <c r="N29" s="40">
        <v>5.9</v>
      </c>
      <c r="O29" s="40">
        <v>0</v>
      </c>
      <c r="P29" s="27" t="s">
        <v>8</v>
      </c>
      <c r="Q29" s="40">
        <v>28.06</v>
      </c>
      <c r="R29" s="38"/>
      <c r="S29" s="38"/>
      <c r="T29" s="38"/>
      <c r="U29" s="38"/>
    </row>
    <row r="30" spans="1:21" customFormat="1">
      <c r="A30" s="39" t="s">
        <v>393</v>
      </c>
      <c r="B30" s="40">
        <v>3.8</v>
      </c>
      <c r="C30" s="40">
        <v>14.34</v>
      </c>
      <c r="D30" s="40">
        <v>11.87</v>
      </c>
      <c r="E30" s="40">
        <v>9.56</v>
      </c>
      <c r="F30" s="41">
        <v>3.42</v>
      </c>
      <c r="G30" s="40">
        <v>61.26</v>
      </c>
      <c r="H30" s="40">
        <v>25.59</v>
      </c>
      <c r="I30" s="40">
        <v>10.82</v>
      </c>
      <c r="J30" s="40">
        <v>0.13</v>
      </c>
      <c r="K30" s="40">
        <v>296.64999999999998</v>
      </c>
      <c r="L30" s="40">
        <v>29.99</v>
      </c>
      <c r="M30" s="40">
        <v>37.85</v>
      </c>
      <c r="N30" s="40">
        <v>6</v>
      </c>
      <c r="O30" s="40">
        <v>0</v>
      </c>
      <c r="P30" s="27" t="s">
        <v>8</v>
      </c>
      <c r="Q30" s="40">
        <v>28.05</v>
      </c>
      <c r="R30" s="38"/>
      <c r="S30" s="38"/>
      <c r="T30" s="38"/>
      <c r="U30" s="38"/>
    </row>
    <row r="31" spans="1:21" customFormat="1">
      <c r="A31" s="39" t="s">
        <v>394</v>
      </c>
      <c r="B31" s="40">
        <v>4.2699999999999996</v>
      </c>
      <c r="C31" s="40">
        <v>14.44</v>
      </c>
      <c r="D31" s="40">
        <v>12.32</v>
      </c>
      <c r="E31" s="40">
        <v>9.4700000000000006</v>
      </c>
      <c r="F31" s="41">
        <v>3.54</v>
      </c>
      <c r="G31" s="40">
        <v>54.77</v>
      </c>
      <c r="H31" s="40">
        <v>22.79</v>
      </c>
      <c r="I31" s="40">
        <v>9.4600000000000009</v>
      </c>
      <c r="J31" s="40">
        <v>0.19</v>
      </c>
      <c r="K31" s="40">
        <v>257.81</v>
      </c>
      <c r="L31" s="40">
        <v>28.58</v>
      </c>
      <c r="M31" s="40">
        <v>40.49</v>
      </c>
      <c r="N31" s="40">
        <v>6.1</v>
      </c>
      <c r="O31" s="40">
        <v>0</v>
      </c>
      <c r="P31" s="27" t="s">
        <v>8</v>
      </c>
      <c r="Q31" s="40">
        <v>28.06</v>
      </c>
      <c r="R31" s="38"/>
      <c r="S31" s="38"/>
      <c r="T31" s="38"/>
      <c r="U31" s="38"/>
    </row>
    <row r="32" spans="1:21" customFormat="1">
      <c r="A32" s="39" t="s">
        <v>395</v>
      </c>
      <c r="B32" s="40">
        <v>4.5</v>
      </c>
      <c r="C32" s="40">
        <v>14.01</v>
      </c>
      <c r="D32" s="40">
        <v>12.19</v>
      </c>
      <c r="E32" s="40">
        <v>9.7100000000000009</v>
      </c>
      <c r="F32" s="41">
        <v>3.41</v>
      </c>
      <c r="G32" s="40">
        <v>41.46</v>
      </c>
      <c r="H32" s="40">
        <v>19.53</v>
      </c>
      <c r="I32" s="40">
        <v>8.9600000000000009</v>
      </c>
      <c r="J32" s="40">
        <v>0.16</v>
      </c>
      <c r="K32" s="40">
        <v>265.94</v>
      </c>
      <c r="L32" s="40">
        <v>27.72</v>
      </c>
      <c r="M32" s="40">
        <v>41.24</v>
      </c>
      <c r="N32" s="40">
        <v>5.8</v>
      </c>
      <c r="O32" s="40">
        <v>0</v>
      </c>
      <c r="P32" s="27" t="s">
        <v>8</v>
      </c>
      <c r="Q32" s="40">
        <v>28.06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3.24</v>
      </c>
      <c r="C34" s="18">
        <f t="shared" si="0"/>
        <v>10.07</v>
      </c>
      <c r="D34" s="18">
        <f t="shared" si="0"/>
        <v>9.2100000000000009</v>
      </c>
      <c r="E34" s="18">
        <f t="shared" si="0"/>
        <v>7.64</v>
      </c>
      <c r="F34" s="18">
        <f t="shared" si="0"/>
        <v>3.24</v>
      </c>
      <c r="G34" s="18">
        <f t="shared" si="0"/>
        <v>41.46</v>
      </c>
      <c r="H34" s="18">
        <f t="shared" si="0"/>
        <v>14.2</v>
      </c>
      <c r="I34" s="18">
        <f t="shared" si="0"/>
        <v>5.62</v>
      </c>
      <c r="J34" s="18">
        <f t="shared" si="0"/>
        <v>0.13</v>
      </c>
      <c r="K34" s="18">
        <f t="shared" si="0"/>
        <v>149.07</v>
      </c>
      <c r="L34" s="18">
        <f t="shared" si="0"/>
        <v>25.3</v>
      </c>
      <c r="M34" s="18">
        <f t="shared" si="0"/>
        <v>19.27</v>
      </c>
      <c r="N34" s="18">
        <f t="shared" si="0"/>
        <v>5.8</v>
      </c>
      <c r="O34" s="18">
        <f t="shared" si="0"/>
        <v>0</v>
      </c>
      <c r="P34" s="18">
        <f t="shared" si="0"/>
        <v>0.46</v>
      </c>
      <c r="Q34" s="18">
        <f t="shared" si="0"/>
        <v>28.03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12.53</v>
      </c>
      <c r="C35" s="3">
        <f t="shared" si="1"/>
        <v>21.72</v>
      </c>
      <c r="D35" s="3">
        <f t="shared" si="1"/>
        <v>20.54</v>
      </c>
      <c r="E35" s="3">
        <f t="shared" si="1"/>
        <v>32.119999999999997</v>
      </c>
      <c r="F35" s="3">
        <f t="shared" si="1"/>
        <v>3.94</v>
      </c>
      <c r="G35" s="3">
        <f t="shared" si="1"/>
        <v>204.87</v>
      </c>
      <c r="H35" s="3">
        <f t="shared" si="1"/>
        <v>39.11</v>
      </c>
      <c r="I35" s="3">
        <f t="shared" si="1"/>
        <v>20.440000000000001</v>
      </c>
      <c r="J35" s="3">
        <f t="shared" si="1"/>
        <v>0.99</v>
      </c>
      <c r="K35" s="3">
        <f t="shared" si="1"/>
        <v>347.67</v>
      </c>
      <c r="L35" s="3">
        <f t="shared" si="1"/>
        <v>37.72</v>
      </c>
      <c r="M35" s="3">
        <f t="shared" si="1"/>
        <v>50.5</v>
      </c>
      <c r="N35" s="3">
        <f t="shared" si="1"/>
        <v>692.8</v>
      </c>
      <c r="O35" s="3">
        <f t="shared" si="1"/>
        <v>0</v>
      </c>
      <c r="P35" s="3">
        <f t="shared" si="1"/>
        <v>0.88</v>
      </c>
      <c r="Q35" s="3">
        <f t="shared" si="1"/>
        <v>28.19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5.838750000000001</v>
      </c>
      <c r="C36" s="18">
        <f t="shared" si="2"/>
        <v>15.733333333333333</v>
      </c>
      <c r="D36" s="18">
        <f t="shared" si="2"/>
        <v>14.145416666666668</v>
      </c>
      <c r="E36" s="18">
        <f t="shared" si="2"/>
        <v>13.938750000000001</v>
      </c>
      <c r="F36" s="18">
        <f t="shared" si="2"/>
        <v>3.4920833333333334</v>
      </c>
      <c r="G36" s="18">
        <f t="shared" si="2"/>
        <v>74.292608695652191</v>
      </c>
      <c r="H36" s="18">
        <f t="shared" si="2"/>
        <v>24.490434782608691</v>
      </c>
      <c r="I36" s="18">
        <f t="shared" si="2"/>
        <v>9.9862500000000001</v>
      </c>
      <c r="J36" s="18">
        <f t="shared" si="2"/>
        <v>0.50375000000000003</v>
      </c>
      <c r="K36" s="18">
        <f t="shared" si="2"/>
        <v>257.68166666666662</v>
      </c>
      <c r="L36" s="18">
        <f t="shared" si="2"/>
        <v>31.256666666666664</v>
      </c>
      <c r="M36" s="18">
        <f t="shared" si="2"/>
        <v>35.442500000000003</v>
      </c>
      <c r="N36" s="18">
        <f t="shared" si="2"/>
        <v>208.12916666666672</v>
      </c>
      <c r="O36" s="18">
        <f t="shared" si="2"/>
        <v>0</v>
      </c>
      <c r="P36" s="18">
        <f t="shared" si="2"/>
        <v>0.67615384615384622</v>
      </c>
      <c r="Q36" s="18">
        <f t="shared" si="2"/>
        <v>28.086249999999993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3.0281911841602853</v>
      </c>
      <c r="C37" s="18">
        <f t="shared" ref="C37:Q37" si="3">STDEV(C9:C32)</f>
        <v>3.1310390922346363</v>
      </c>
      <c r="D37" s="18">
        <f t="shared" si="3"/>
        <v>3.4249176177545904</v>
      </c>
      <c r="E37" s="18">
        <f t="shared" si="3"/>
        <v>6.6931511474498038</v>
      </c>
      <c r="F37" s="18">
        <f t="shared" si="3"/>
        <v>0.14896685264986231</v>
      </c>
      <c r="G37" s="18">
        <f t="shared" si="3"/>
        <v>42.245715136932276</v>
      </c>
      <c r="H37" s="18">
        <f t="shared" si="3"/>
        <v>6.9536553358391666</v>
      </c>
      <c r="I37" s="18">
        <f t="shared" si="3"/>
        <v>3.5249912889192401</v>
      </c>
      <c r="J37" s="18">
        <f t="shared" si="3"/>
        <v>0.25867240487434717</v>
      </c>
      <c r="K37" s="18">
        <f t="shared" si="3"/>
        <v>55.130753641696927</v>
      </c>
      <c r="L37" s="18">
        <f t="shared" si="3"/>
        <v>4.3523393676291589</v>
      </c>
      <c r="M37" s="18">
        <f t="shared" si="3"/>
        <v>9.9344990683541781</v>
      </c>
      <c r="N37" s="18">
        <f t="shared" si="3"/>
        <v>256.17595596906949</v>
      </c>
      <c r="O37" s="18">
        <f t="shared" si="3"/>
        <v>0</v>
      </c>
      <c r="P37" s="18">
        <f t="shared" si="3"/>
        <v>0.13781258176345004</v>
      </c>
      <c r="Q37" s="18">
        <f t="shared" si="3"/>
        <v>4.9415056673922805E-2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COUNT(G9:G32)+1</f>
        <v>24</v>
      </c>
      <c r="H38" s="34">
        <f>COUNT(H9:H32)+1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>COUNT(P9:P32)+11</f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15/04/2025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396</v>
      </c>
      <c r="B9" s="40">
        <v>4.8099999999999996</v>
      </c>
      <c r="C9" s="40">
        <v>14.49</v>
      </c>
      <c r="D9" s="40">
        <v>12.78</v>
      </c>
      <c r="E9" s="40">
        <v>10.08</v>
      </c>
      <c r="F9" s="41">
        <v>3.56</v>
      </c>
      <c r="G9" s="40">
        <v>37.19</v>
      </c>
      <c r="H9" s="40">
        <v>17.72</v>
      </c>
      <c r="I9" s="40">
        <v>8.59</v>
      </c>
      <c r="J9" s="40">
        <v>0.13</v>
      </c>
      <c r="K9" s="40">
        <v>272.61</v>
      </c>
      <c r="L9" s="40">
        <v>27.52</v>
      </c>
      <c r="M9" s="40">
        <v>41.24</v>
      </c>
      <c r="N9" s="40">
        <v>6</v>
      </c>
      <c r="O9" s="40">
        <v>0</v>
      </c>
      <c r="P9" s="24" t="s">
        <v>14</v>
      </c>
      <c r="Q9" s="40">
        <v>28.07</v>
      </c>
      <c r="R9" s="38"/>
      <c r="S9" s="38"/>
      <c r="T9" s="38"/>
      <c r="U9" s="38"/>
    </row>
    <row r="10" spans="1:21" customFormat="1">
      <c r="A10" s="39" t="s">
        <v>397</v>
      </c>
      <c r="B10" s="40">
        <v>5.17</v>
      </c>
      <c r="C10" s="40">
        <v>14.38</v>
      </c>
      <c r="D10" s="40">
        <v>12.91</v>
      </c>
      <c r="E10" s="40">
        <v>10</v>
      </c>
      <c r="F10" s="41">
        <v>3.55</v>
      </c>
      <c r="G10" s="40">
        <v>33.46</v>
      </c>
      <c r="H10" s="40">
        <v>14.69</v>
      </c>
      <c r="I10" s="40">
        <v>8.1199999999999992</v>
      </c>
      <c r="J10" s="40">
        <v>0.18</v>
      </c>
      <c r="K10" s="40">
        <v>206.02</v>
      </c>
      <c r="L10" s="40">
        <v>26.78</v>
      </c>
      <c r="M10" s="40">
        <v>45.59</v>
      </c>
      <c r="N10" s="40">
        <v>6.3</v>
      </c>
      <c r="O10" s="40">
        <v>0</v>
      </c>
      <c r="P10" s="24" t="s">
        <v>14</v>
      </c>
      <c r="Q10" s="40">
        <v>28.07</v>
      </c>
      <c r="R10" s="38"/>
      <c r="S10" s="38"/>
      <c r="T10" s="38"/>
      <c r="U10" s="38"/>
    </row>
    <row r="11" spans="1:21" customFormat="1">
      <c r="A11" s="39" t="s">
        <v>398</v>
      </c>
      <c r="B11" s="40">
        <v>5.31</v>
      </c>
      <c r="C11" s="40">
        <v>14.82</v>
      </c>
      <c r="D11" s="40">
        <v>13.18</v>
      </c>
      <c r="E11" s="40">
        <v>8.67</v>
      </c>
      <c r="F11" s="41">
        <v>3.53</v>
      </c>
      <c r="G11" s="40">
        <v>27.45</v>
      </c>
      <c r="H11" s="40">
        <v>12.72</v>
      </c>
      <c r="I11" s="40">
        <v>8.02</v>
      </c>
      <c r="J11" s="40">
        <v>0.16</v>
      </c>
      <c r="K11" s="40">
        <v>240.39</v>
      </c>
      <c r="L11" s="40">
        <v>25.5</v>
      </c>
      <c r="M11" s="40">
        <v>47.93</v>
      </c>
      <c r="N11" s="40">
        <v>6</v>
      </c>
      <c r="O11" s="40">
        <v>0</v>
      </c>
      <c r="P11" s="24" t="s">
        <v>14</v>
      </c>
      <c r="Q11" s="40">
        <v>28.07</v>
      </c>
      <c r="R11" s="38"/>
      <c r="S11" s="38"/>
      <c r="T11" s="38"/>
      <c r="U11" s="38"/>
    </row>
    <row r="12" spans="1:21" customFormat="1">
      <c r="A12" s="39" t="s">
        <v>399</v>
      </c>
      <c r="B12" s="40">
        <v>4.72</v>
      </c>
      <c r="C12" s="40">
        <v>14.73</v>
      </c>
      <c r="D12" s="40">
        <v>12.83</v>
      </c>
      <c r="E12" s="40">
        <v>8.76</v>
      </c>
      <c r="F12" s="41">
        <v>3.62</v>
      </c>
      <c r="G12" s="40">
        <v>25.76</v>
      </c>
      <c r="H12" s="40">
        <v>12.08</v>
      </c>
      <c r="I12" s="40">
        <v>7.6</v>
      </c>
      <c r="J12" s="40">
        <v>0.15</v>
      </c>
      <c r="K12" s="40">
        <v>213.37</v>
      </c>
      <c r="L12" s="40">
        <v>25.32</v>
      </c>
      <c r="M12" s="40">
        <v>49.53</v>
      </c>
      <c r="N12" s="40">
        <v>6.1</v>
      </c>
      <c r="O12" s="40">
        <v>0</v>
      </c>
      <c r="P12" s="24" t="s">
        <v>14</v>
      </c>
      <c r="Q12" s="40">
        <v>28.06</v>
      </c>
      <c r="R12" s="38"/>
      <c r="S12" s="38"/>
      <c r="T12" s="38"/>
      <c r="U12" s="38"/>
    </row>
    <row r="13" spans="1:21" customFormat="1">
      <c r="A13" s="39" t="s">
        <v>400</v>
      </c>
      <c r="B13" s="40">
        <v>4.79</v>
      </c>
      <c r="C13" s="40">
        <v>15.45</v>
      </c>
      <c r="D13" s="40">
        <v>13.26</v>
      </c>
      <c r="E13" s="40">
        <v>8.39</v>
      </c>
      <c r="F13" s="41">
        <v>3.58</v>
      </c>
      <c r="G13" s="40">
        <v>33.880000000000003</v>
      </c>
      <c r="H13" s="40">
        <v>12.43</v>
      </c>
      <c r="I13" s="40">
        <v>7.1</v>
      </c>
      <c r="J13" s="40">
        <v>0.82</v>
      </c>
      <c r="K13" s="40">
        <v>68.92</v>
      </c>
      <c r="L13" s="40">
        <v>25.38</v>
      </c>
      <c r="M13" s="40">
        <v>50</v>
      </c>
      <c r="N13" s="40">
        <v>6.1</v>
      </c>
      <c r="O13" s="40">
        <v>0</v>
      </c>
      <c r="P13" s="24" t="s">
        <v>14</v>
      </c>
      <c r="Q13" s="40">
        <v>28.06</v>
      </c>
      <c r="R13" s="38"/>
      <c r="S13" s="38"/>
      <c r="T13" s="38"/>
      <c r="U13" s="38"/>
    </row>
    <row r="14" spans="1:21" customFormat="1">
      <c r="A14" s="39" t="s">
        <v>401</v>
      </c>
      <c r="B14" s="40">
        <v>5.03</v>
      </c>
      <c r="C14" s="40">
        <v>15.84</v>
      </c>
      <c r="D14" s="40">
        <v>13.66</v>
      </c>
      <c r="E14" s="40">
        <v>8.49</v>
      </c>
      <c r="F14" s="41">
        <v>3.41</v>
      </c>
      <c r="G14" s="40">
        <v>33.880000000000003</v>
      </c>
      <c r="H14" s="40">
        <v>13.15</v>
      </c>
      <c r="I14" s="40">
        <v>6.7</v>
      </c>
      <c r="J14" s="40">
        <v>0.28999999999999998</v>
      </c>
      <c r="K14" s="40">
        <v>170.92</v>
      </c>
      <c r="L14" s="40">
        <v>25.35</v>
      </c>
      <c r="M14" s="40">
        <v>52.53</v>
      </c>
      <c r="N14" s="40">
        <v>15.7</v>
      </c>
      <c r="O14" s="40">
        <v>0</v>
      </c>
      <c r="P14" s="24" t="s">
        <v>14</v>
      </c>
      <c r="Q14" s="40">
        <v>28.06</v>
      </c>
      <c r="R14" s="38"/>
      <c r="S14" s="38"/>
      <c r="T14" s="38"/>
      <c r="U14" s="38"/>
    </row>
    <row r="15" spans="1:21" customFormat="1">
      <c r="A15" s="39" t="s">
        <v>402</v>
      </c>
      <c r="B15" s="40">
        <v>5.09</v>
      </c>
      <c r="C15" s="40">
        <v>16.02</v>
      </c>
      <c r="D15" s="40">
        <v>13.81</v>
      </c>
      <c r="E15" s="40">
        <v>8.31</v>
      </c>
      <c r="F15" s="41">
        <v>3.33</v>
      </c>
      <c r="G15" s="40">
        <v>43.42</v>
      </c>
      <c r="H15" s="40">
        <v>16.2</v>
      </c>
      <c r="I15" s="40">
        <v>6.56</v>
      </c>
      <c r="J15" s="40">
        <v>0.34</v>
      </c>
      <c r="K15" s="40">
        <v>159.12</v>
      </c>
      <c r="L15" s="40">
        <v>26.7</v>
      </c>
      <c r="M15" s="40">
        <v>52.83</v>
      </c>
      <c r="N15" s="40">
        <v>65.8</v>
      </c>
      <c r="O15" s="40">
        <v>0</v>
      </c>
      <c r="P15" s="24" t="s">
        <v>14</v>
      </c>
      <c r="Q15" s="40">
        <v>28.07</v>
      </c>
      <c r="R15" s="38"/>
      <c r="S15" s="38"/>
      <c r="T15" s="38"/>
      <c r="U15" s="38"/>
    </row>
    <row r="16" spans="1:21" customFormat="1">
      <c r="A16" s="39" t="s">
        <v>403</v>
      </c>
      <c r="B16" s="40">
        <v>4.8499999999999996</v>
      </c>
      <c r="C16" s="40">
        <v>15.87</v>
      </c>
      <c r="D16" s="40">
        <v>13.53</v>
      </c>
      <c r="E16" s="40">
        <v>8.44</v>
      </c>
      <c r="F16" s="41">
        <v>3.3</v>
      </c>
      <c r="G16" s="40">
        <v>43.45</v>
      </c>
      <c r="H16" s="40">
        <v>16.2</v>
      </c>
      <c r="I16" s="40">
        <v>6.57</v>
      </c>
      <c r="J16" s="40">
        <v>0.51</v>
      </c>
      <c r="K16" s="40">
        <v>106.37</v>
      </c>
      <c r="L16" s="40">
        <v>29.76</v>
      </c>
      <c r="M16" s="40">
        <v>43.98</v>
      </c>
      <c r="N16" s="40">
        <v>181.9</v>
      </c>
      <c r="O16" s="40">
        <v>0</v>
      </c>
      <c r="P16" s="24" t="s">
        <v>14</v>
      </c>
      <c r="Q16" s="40">
        <v>28.07</v>
      </c>
      <c r="R16" s="38"/>
      <c r="S16" s="38"/>
      <c r="T16" s="38"/>
      <c r="U16" s="38"/>
    </row>
    <row r="17" spans="1:21" customFormat="1">
      <c r="A17" s="39" t="s">
        <v>404</v>
      </c>
      <c r="B17" s="40">
        <v>4.68</v>
      </c>
      <c r="C17" s="40">
        <v>14.56</v>
      </c>
      <c r="D17" s="40">
        <v>12.63</v>
      </c>
      <c r="E17" s="40">
        <v>8.33</v>
      </c>
      <c r="F17" s="41">
        <v>3.4</v>
      </c>
      <c r="G17" s="40">
        <v>43.45</v>
      </c>
      <c r="H17" s="40">
        <v>14.81</v>
      </c>
      <c r="I17" s="40">
        <v>6.54</v>
      </c>
      <c r="J17" s="40">
        <v>0.37</v>
      </c>
      <c r="K17" s="40">
        <v>149.32</v>
      </c>
      <c r="L17" s="40">
        <v>32.69</v>
      </c>
      <c r="M17" s="40">
        <v>36.01</v>
      </c>
      <c r="N17" s="40">
        <v>354.9</v>
      </c>
      <c r="O17" s="40">
        <v>0</v>
      </c>
      <c r="P17" s="24" t="s">
        <v>14</v>
      </c>
      <c r="Q17" s="40">
        <v>28.07</v>
      </c>
      <c r="R17" s="38"/>
      <c r="S17" s="38"/>
      <c r="T17" s="38"/>
      <c r="U17" s="38"/>
    </row>
    <row r="18" spans="1:21" customFormat="1">
      <c r="A18" s="39" t="s">
        <v>405</v>
      </c>
      <c r="B18" s="40">
        <v>4.47</v>
      </c>
      <c r="C18" s="40">
        <v>15.11</v>
      </c>
      <c r="D18" s="40">
        <v>12.66</v>
      </c>
      <c r="E18" s="40">
        <v>8.64</v>
      </c>
      <c r="F18" s="41">
        <v>3.73</v>
      </c>
      <c r="G18" s="40">
        <v>37.76</v>
      </c>
      <c r="H18" s="40">
        <v>15.9</v>
      </c>
      <c r="I18" s="40">
        <v>6.32</v>
      </c>
      <c r="J18" s="40">
        <v>0.53</v>
      </c>
      <c r="K18" s="40">
        <v>280.64999999999998</v>
      </c>
      <c r="L18" s="40">
        <v>33.96</v>
      </c>
      <c r="M18" s="40">
        <v>33.409999999999997</v>
      </c>
      <c r="N18" s="40">
        <v>584.79999999999995</v>
      </c>
      <c r="O18" s="40">
        <v>0</v>
      </c>
      <c r="P18" s="24" t="s">
        <v>14</v>
      </c>
      <c r="Q18" s="40">
        <v>28.07</v>
      </c>
      <c r="R18" s="38"/>
      <c r="S18" s="38"/>
      <c r="T18" s="38"/>
      <c r="U18" s="38"/>
    </row>
    <row r="19" spans="1:21" customFormat="1">
      <c r="A19" s="39" t="s">
        <v>406</v>
      </c>
      <c r="B19" s="40">
        <v>4.24</v>
      </c>
      <c r="C19" s="40">
        <v>15.02</v>
      </c>
      <c r="D19" s="40">
        <v>12.6</v>
      </c>
      <c r="E19" s="40">
        <v>9.07</v>
      </c>
      <c r="F19" s="41">
        <v>3.69</v>
      </c>
      <c r="G19" s="40">
        <v>38.01</v>
      </c>
      <c r="H19" s="40">
        <v>15.9</v>
      </c>
      <c r="I19" s="40">
        <v>6.22</v>
      </c>
      <c r="J19" s="40">
        <v>0.9</v>
      </c>
      <c r="K19" s="40">
        <v>295.02</v>
      </c>
      <c r="L19" s="40">
        <v>35.299999999999997</v>
      </c>
      <c r="M19" s="40">
        <v>33.020000000000003</v>
      </c>
      <c r="N19" s="40">
        <v>691.3</v>
      </c>
      <c r="O19" s="40">
        <v>0</v>
      </c>
      <c r="P19" s="24" t="s">
        <v>14</v>
      </c>
      <c r="Q19" s="40">
        <v>28.07</v>
      </c>
      <c r="R19" s="38"/>
      <c r="S19" s="38"/>
      <c r="T19" s="38"/>
      <c r="U19" s="38"/>
    </row>
    <row r="20" spans="1:21" customFormat="1">
      <c r="A20" s="39" t="s">
        <v>407</v>
      </c>
      <c r="B20" s="40">
        <v>4.0199999999999996</v>
      </c>
      <c r="C20" s="40">
        <v>13.79</v>
      </c>
      <c r="D20" s="40">
        <v>11.78</v>
      </c>
      <c r="E20" s="40">
        <v>9.5</v>
      </c>
      <c r="F20" s="41">
        <v>3.69</v>
      </c>
      <c r="G20" s="40">
        <v>38.54</v>
      </c>
      <c r="H20" s="40">
        <v>15.83</v>
      </c>
      <c r="I20" s="40">
        <v>6.3</v>
      </c>
      <c r="J20" s="40">
        <v>0.67</v>
      </c>
      <c r="K20" s="40">
        <v>308.13</v>
      </c>
      <c r="L20" s="40">
        <v>36.35</v>
      </c>
      <c r="M20" s="40">
        <v>30.42</v>
      </c>
      <c r="N20" s="40">
        <v>730.4</v>
      </c>
      <c r="O20" s="40">
        <v>0</v>
      </c>
      <c r="P20" s="24" t="s">
        <v>14</v>
      </c>
      <c r="Q20" s="40">
        <v>28.06</v>
      </c>
      <c r="R20" s="38"/>
      <c r="S20" s="38"/>
      <c r="T20" s="38"/>
      <c r="U20" s="38"/>
    </row>
    <row r="21" spans="1:21" customFormat="1">
      <c r="A21" s="39" t="s">
        <v>408</v>
      </c>
      <c r="B21" s="40">
        <v>3.93</v>
      </c>
      <c r="C21" s="40">
        <v>13.84</v>
      </c>
      <c r="D21" s="40">
        <v>11.69</v>
      </c>
      <c r="E21" s="40">
        <v>9.4499999999999993</v>
      </c>
      <c r="F21" s="41">
        <v>3.95</v>
      </c>
      <c r="G21" s="40">
        <v>41.43</v>
      </c>
      <c r="H21" s="40">
        <v>17.59</v>
      </c>
      <c r="I21" s="40">
        <v>6.33</v>
      </c>
      <c r="J21" s="40">
        <v>0.71</v>
      </c>
      <c r="K21" s="40">
        <v>273.2</v>
      </c>
      <c r="L21" s="40">
        <v>38.17</v>
      </c>
      <c r="M21" s="40">
        <v>29.5</v>
      </c>
      <c r="N21" s="40">
        <v>763</v>
      </c>
      <c r="O21" s="40">
        <v>0</v>
      </c>
      <c r="P21" s="24" t="s">
        <v>14</v>
      </c>
      <c r="Q21" s="40">
        <v>28.06</v>
      </c>
      <c r="R21" s="38"/>
      <c r="S21" s="38"/>
      <c r="T21" s="38"/>
      <c r="U21" s="38"/>
    </row>
    <row r="22" spans="1:21" customFormat="1">
      <c r="A22" s="39" t="s">
        <v>409</v>
      </c>
      <c r="B22" s="40">
        <v>3.69</v>
      </c>
      <c r="C22" s="40">
        <v>13.48</v>
      </c>
      <c r="D22" s="40">
        <v>11.32</v>
      </c>
      <c r="E22" s="40">
        <v>9.8699999999999992</v>
      </c>
      <c r="F22" s="41">
        <v>4.13</v>
      </c>
      <c r="G22" s="40">
        <v>41.58</v>
      </c>
      <c r="H22" s="40">
        <v>17.59</v>
      </c>
      <c r="I22" s="40">
        <v>6.08</v>
      </c>
      <c r="J22" s="40">
        <v>0.94</v>
      </c>
      <c r="K22" s="40">
        <v>284.81</v>
      </c>
      <c r="L22" s="40">
        <v>38.75</v>
      </c>
      <c r="M22" s="40">
        <v>26.59</v>
      </c>
      <c r="N22" s="40">
        <v>722.8</v>
      </c>
      <c r="O22" s="40">
        <v>0</v>
      </c>
      <c r="P22" s="40">
        <v>0.49</v>
      </c>
      <c r="Q22" s="40">
        <v>28.06</v>
      </c>
      <c r="R22" s="38"/>
      <c r="S22" s="38"/>
      <c r="T22" s="38"/>
      <c r="U22" s="38"/>
    </row>
    <row r="23" spans="1:21" customFormat="1">
      <c r="A23" s="39" t="s">
        <v>410</v>
      </c>
      <c r="B23" s="40">
        <v>3.7</v>
      </c>
      <c r="C23" s="40">
        <v>13.74</v>
      </c>
      <c r="D23" s="40">
        <v>11.47</v>
      </c>
      <c r="E23" s="40">
        <v>9.9600000000000009</v>
      </c>
      <c r="F23" s="41">
        <v>3.82</v>
      </c>
      <c r="G23" s="40">
        <v>41.58</v>
      </c>
      <c r="H23" s="40">
        <v>16.190000000000001</v>
      </c>
      <c r="I23" s="40">
        <v>5.78</v>
      </c>
      <c r="J23" s="40">
        <v>0.62</v>
      </c>
      <c r="K23" s="40">
        <v>286.14999999999998</v>
      </c>
      <c r="L23" s="40">
        <v>39.409999999999997</v>
      </c>
      <c r="M23" s="40">
        <v>21.07</v>
      </c>
      <c r="N23" s="40">
        <v>694.8</v>
      </c>
      <c r="O23" s="40">
        <v>0</v>
      </c>
      <c r="P23" s="40">
        <v>0.49</v>
      </c>
      <c r="Q23" s="40">
        <v>28.04</v>
      </c>
      <c r="R23" s="38"/>
      <c r="S23" s="38"/>
      <c r="T23" s="38"/>
      <c r="U23" s="38"/>
    </row>
    <row r="24" spans="1:21" customFormat="1">
      <c r="A24" s="39" t="s">
        <v>411</v>
      </c>
      <c r="B24" s="40">
        <v>3.64</v>
      </c>
      <c r="C24" s="40">
        <v>13.06</v>
      </c>
      <c r="D24" s="40">
        <v>11.09</v>
      </c>
      <c r="E24" s="40">
        <v>10.36</v>
      </c>
      <c r="F24" s="41">
        <v>4.0999999999999996</v>
      </c>
      <c r="G24" s="40">
        <v>38.380000000000003</v>
      </c>
      <c r="H24" s="40">
        <v>16.190000000000001</v>
      </c>
      <c r="I24" s="40">
        <v>5.42</v>
      </c>
      <c r="J24" s="40">
        <v>0.65</v>
      </c>
      <c r="K24" s="40">
        <v>312.76</v>
      </c>
      <c r="L24" s="40">
        <v>39.619999999999997</v>
      </c>
      <c r="M24" s="40">
        <v>21.31</v>
      </c>
      <c r="N24" s="40">
        <v>504</v>
      </c>
      <c r="O24" s="40">
        <v>0</v>
      </c>
      <c r="P24" s="40">
        <v>0.48</v>
      </c>
      <c r="Q24" s="40">
        <v>28.04</v>
      </c>
      <c r="R24" s="38"/>
      <c r="S24" s="38"/>
      <c r="T24" s="38"/>
      <c r="U24" s="38"/>
    </row>
    <row r="25" spans="1:21" customFormat="1">
      <c r="A25" s="39" t="s">
        <v>412</v>
      </c>
      <c r="B25" s="40">
        <v>3.64</v>
      </c>
      <c r="C25" s="40">
        <v>13.78</v>
      </c>
      <c r="D25" s="40">
        <v>11.47</v>
      </c>
      <c r="E25" s="40">
        <v>10.48</v>
      </c>
      <c r="F25" s="41">
        <v>3.54</v>
      </c>
      <c r="G25" s="40">
        <v>228.6</v>
      </c>
      <c r="H25" s="40">
        <v>27.32</v>
      </c>
      <c r="I25" s="40">
        <v>5.62</v>
      </c>
      <c r="J25" s="40">
        <v>1.79</v>
      </c>
      <c r="K25" s="40">
        <v>270.32</v>
      </c>
      <c r="L25" s="40">
        <v>35.76</v>
      </c>
      <c r="M25" s="40">
        <v>41.53</v>
      </c>
      <c r="N25" s="40">
        <v>87.4</v>
      </c>
      <c r="O25" s="40">
        <v>0</v>
      </c>
      <c r="P25" s="40">
        <v>0.49</v>
      </c>
      <c r="Q25" s="40">
        <v>28.04</v>
      </c>
      <c r="R25" s="38"/>
      <c r="S25" s="38"/>
      <c r="T25" s="38"/>
      <c r="U25" s="38"/>
    </row>
    <row r="26" spans="1:21" customFormat="1">
      <c r="A26" s="39" t="s">
        <v>413</v>
      </c>
      <c r="B26" s="40">
        <v>3.82</v>
      </c>
      <c r="C26" s="40">
        <v>13.32</v>
      </c>
      <c r="D26" s="40">
        <v>11.23</v>
      </c>
      <c r="E26" s="40">
        <v>9.64</v>
      </c>
      <c r="F26" s="41">
        <v>3.52</v>
      </c>
      <c r="G26" s="40">
        <v>228.6</v>
      </c>
      <c r="H26" s="40">
        <v>27.32</v>
      </c>
      <c r="I26" s="40">
        <v>5.54</v>
      </c>
      <c r="J26" s="40">
        <v>0.68</v>
      </c>
      <c r="K26" s="40">
        <v>246.42</v>
      </c>
      <c r="L26" s="40">
        <v>31.19</v>
      </c>
      <c r="M26" s="40">
        <v>46.45</v>
      </c>
      <c r="N26" s="40">
        <v>37.1</v>
      </c>
      <c r="O26" s="40">
        <v>0</v>
      </c>
      <c r="P26" s="40">
        <v>0.48</v>
      </c>
      <c r="Q26" s="40">
        <v>28.05</v>
      </c>
      <c r="R26" s="38"/>
      <c r="S26" s="38"/>
      <c r="T26" s="38"/>
      <c r="U26" s="38"/>
    </row>
    <row r="27" spans="1:21" customFormat="1">
      <c r="A27" s="39" t="s">
        <v>414</v>
      </c>
      <c r="B27" s="40">
        <v>3.99</v>
      </c>
      <c r="C27" s="40">
        <v>12.57</v>
      </c>
      <c r="D27" s="40">
        <v>11.12</v>
      </c>
      <c r="E27" s="40">
        <v>8.34</v>
      </c>
      <c r="F27" s="41">
        <v>3.39</v>
      </c>
      <c r="G27" s="40">
        <v>65.83</v>
      </c>
      <c r="H27" s="40">
        <v>26.4</v>
      </c>
      <c r="I27" s="40">
        <v>5.05</v>
      </c>
      <c r="J27" s="40">
        <v>0.5</v>
      </c>
      <c r="K27" s="40">
        <v>245.85</v>
      </c>
      <c r="L27" s="40">
        <v>28.46</v>
      </c>
      <c r="M27" s="40">
        <v>51.15</v>
      </c>
      <c r="N27" s="40">
        <v>17.100000000000001</v>
      </c>
      <c r="O27" s="40">
        <v>0</v>
      </c>
      <c r="P27" s="40">
        <v>0.44</v>
      </c>
      <c r="Q27" s="40">
        <v>28.03</v>
      </c>
      <c r="R27" s="38"/>
      <c r="S27" s="38"/>
      <c r="T27" s="38"/>
      <c r="U27" s="38"/>
    </row>
    <row r="28" spans="1:21" customFormat="1">
      <c r="A28" s="39" t="s">
        <v>415</v>
      </c>
      <c r="B28" s="40">
        <v>4.25</v>
      </c>
      <c r="C28" s="40">
        <v>13.69</v>
      </c>
      <c r="D28" s="40">
        <v>11.91</v>
      </c>
      <c r="E28" s="40">
        <v>8.91</v>
      </c>
      <c r="F28" s="41">
        <v>3.63</v>
      </c>
      <c r="G28" s="40">
        <v>56.8</v>
      </c>
      <c r="H28" s="40">
        <v>22.04</v>
      </c>
      <c r="I28" s="40">
        <v>5.66</v>
      </c>
      <c r="J28" s="40">
        <v>0.68</v>
      </c>
      <c r="K28" s="40">
        <v>256.42</v>
      </c>
      <c r="L28" s="40">
        <v>27.63</v>
      </c>
      <c r="M28" s="40">
        <v>49.44</v>
      </c>
      <c r="N28" s="40">
        <v>6.7</v>
      </c>
      <c r="O28" s="40">
        <v>0</v>
      </c>
      <c r="P28" s="40">
        <v>0.47</v>
      </c>
      <c r="Q28" s="40">
        <v>28.05</v>
      </c>
      <c r="R28" s="38"/>
      <c r="S28" s="38"/>
      <c r="T28" s="38"/>
      <c r="U28" s="38"/>
    </row>
    <row r="29" spans="1:21" customFormat="1">
      <c r="A29" s="39" t="s">
        <v>416</v>
      </c>
      <c r="B29" s="40">
        <v>4.43</v>
      </c>
      <c r="C29" s="40">
        <v>13.4</v>
      </c>
      <c r="D29" s="40">
        <v>11.91</v>
      </c>
      <c r="E29" s="40">
        <v>8.84</v>
      </c>
      <c r="F29" s="41">
        <v>3.59</v>
      </c>
      <c r="G29" s="40">
        <v>35.18</v>
      </c>
      <c r="H29" s="40">
        <v>21.54</v>
      </c>
      <c r="I29" s="40">
        <v>5.35</v>
      </c>
      <c r="J29" s="40">
        <v>0.41</v>
      </c>
      <c r="K29" s="40">
        <v>227.71</v>
      </c>
      <c r="L29" s="40">
        <v>27.5</v>
      </c>
      <c r="M29" s="40">
        <v>49.94</v>
      </c>
      <c r="N29" s="40">
        <v>6.3</v>
      </c>
      <c r="O29" s="40">
        <v>0</v>
      </c>
      <c r="P29" s="40">
        <v>0.46</v>
      </c>
      <c r="Q29" s="40">
        <v>28.06</v>
      </c>
      <c r="R29" s="38"/>
      <c r="S29" s="38"/>
      <c r="T29" s="38"/>
      <c r="U29" s="38"/>
    </row>
    <row r="30" spans="1:21" customFormat="1">
      <c r="A30" s="39" t="s">
        <v>417</v>
      </c>
      <c r="B30" s="40">
        <v>4.62</v>
      </c>
      <c r="C30" s="40">
        <v>13.54</v>
      </c>
      <c r="D30" s="40">
        <v>12.09</v>
      </c>
      <c r="E30" s="40">
        <v>9.0299999999999994</v>
      </c>
      <c r="F30" s="41">
        <v>3.48</v>
      </c>
      <c r="G30" s="40">
        <v>16.79</v>
      </c>
      <c r="H30" s="40">
        <v>17.690000000000001</v>
      </c>
      <c r="I30" s="40">
        <v>5.36</v>
      </c>
      <c r="J30" s="40">
        <v>0.16</v>
      </c>
      <c r="K30" s="40">
        <v>199.19</v>
      </c>
      <c r="L30" s="40">
        <v>27.21</v>
      </c>
      <c r="M30" s="40">
        <v>54.52</v>
      </c>
      <c r="N30" s="40">
        <v>6.1</v>
      </c>
      <c r="O30" s="40">
        <v>0</v>
      </c>
      <c r="P30" s="40">
        <v>0.46</v>
      </c>
      <c r="Q30" s="40">
        <v>28.07</v>
      </c>
      <c r="R30" s="38"/>
      <c r="S30" s="38"/>
      <c r="T30" s="38"/>
      <c r="U30" s="38"/>
    </row>
    <row r="31" spans="1:21" customFormat="1">
      <c r="A31" s="39" t="s">
        <v>418</v>
      </c>
      <c r="B31" s="40">
        <v>4.62</v>
      </c>
      <c r="C31" s="40">
        <v>13.91</v>
      </c>
      <c r="D31" s="40">
        <v>12.02</v>
      </c>
      <c r="E31" s="40">
        <v>8.89</v>
      </c>
      <c r="F31" s="41">
        <v>3.54</v>
      </c>
      <c r="G31" s="40">
        <v>26.58</v>
      </c>
      <c r="H31" s="40">
        <v>14.89</v>
      </c>
      <c r="I31" s="40">
        <v>5.17</v>
      </c>
      <c r="J31" s="40">
        <v>0.31</v>
      </c>
      <c r="K31" s="40">
        <v>177.47</v>
      </c>
      <c r="L31" s="40">
        <v>26.67</v>
      </c>
      <c r="M31" s="40">
        <v>54.23</v>
      </c>
      <c r="N31" s="40">
        <v>6</v>
      </c>
      <c r="O31" s="40">
        <v>0</v>
      </c>
      <c r="P31" s="40">
        <v>0.49</v>
      </c>
      <c r="Q31" s="40">
        <v>28.07</v>
      </c>
      <c r="R31" s="38"/>
      <c r="S31" s="38"/>
      <c r="T31" s="38"/>
      <c r="U31" s="38"/>
    </row>
    <row r="32" spans="1:21" customFormat="1">
      <c r="A32" s="39" t="s">
        <v>419</v>
      </c>
      <c r="B32" s="40">
        <v>4.1399999999999997</v>
      </c>
      <c r="C32" s="40">
        <v>14.06</v>
      </c>
      <c r="D32" s="40">
        <v>11.96</v>
      </c>
      <c r="E32" s="40">
        <v>8.9700000000000006</v>
      </c>
      <c r="F32" s="41">
        <v>3.35</v>
      </c>
      <c r="G32" s="40">
        <v>26.58</v>
      </c>
      <c r="H32" s="40">
        <v>13.81</v>
      </c>
      <c r="I32" s="40">
        <v>4.92</v>
      </c>
      <c r="J32" s="40">
        <v>0.22</v>
      </c>
      <c r="K32" s="40">
        <v>199.66</v>
      </c>
      <c r="L32" s="40">
        <v>26.48</v>
      </c>
      <c r="M32" s="40">
        <v>56.52</v>
      </c>
      <c r="N32" s="40">
        <v>6.1</v>
      </c>
      <c r="O32" s="40">
        <v>0</v>
      </c>
      <c r="P32" s="40">
        <v>0.48</v>
      </c>
      <c r="Q32" s="40">
        <v>28.06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3.64</v>
      </c>
      <c r="C34" s="18">
        <f t="shared" si="0"/>
        <v>12.57</v>
      </c>
      <c r="D34" s="18">
        <f t="shared" si="0"/>
        <v>11.09</v>
      </c>
      <c r="E34" s="18">
        <f t="shared" si="0"/>
        <v>8.31</v>
      </c>
      <c r="F34" s="18">
        <f t="shared" si="0"/>
        <v>3.3</v>
      </c>
      <c r="G34" s="18">
        <f t="shared" si="0"/>
        <v>16.79</v>
      </c>
      <c r="H34" s="18">
        <f t="shared" si="0"/>
        <v>12.08</v>
      </c>
      <c r="I34" s="18">
        <f t="shared" si="0"/>
        <v>4.92</v>
      </c>
      <c r="J34" s="18">
        <f t="shared" si="0"/>
        <v>0.13</v>
      </c>
      <c r="K34" s="18">
        <f t="shared" si="0"/>
        <v>68.92</v>
      </c>
      <c r="L34" s="18">
        <f t="shared" si="0"/>
        <v>25.32</v>
      </c>
      <c r="M34" s="18">
        <f t="shared" si="0"/>
        <v>21.07</v>
      </c>
      <c r="N34" s="18">
        <f t="shared" si="0"/>
        <v>6</v>
      </c>
      <c r="O34" s="18">
        <f t="shared" si="0"/>
        <v>0</v>
      </c>
      <c r="P34" s="18">
        <f t="shared" si="0"/>
        <v>0.44</v>
      </c>
      <c r="Q34" s="18">
        <f t="shared" si="0"/>
        <v>28.03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5.31</v>
      </c>
      <c r="C35" s="3">
        <f t="shared" si="1"/>
        <v>16.02</v>
      </c>
      <c r="D35" s="3">
        <f t="shared" si="1"/>
        <v>13.81</v>
      </c>
      <c r="E35" s="3">
        <f t="shared" si="1"/>
        <v>10.48</v>
      </c>
      <c r="F35" s="3">
        <f t="shared" si="1"/>
        <v>4.13</v>
      </c>
      <c r="G35" s="3">
        <f t="shared" si="1"/>
        <v>228.6</v>
      </c>
      <c r="H35" s="3">
        <f t="shared" si="1"/>
        <v>27.32</v>
      </c>
      <c r="I35" s="3">
        <f t="shared" si="1"/>
        <v>8.59</v>
      </c>
      <c r="J35" s="3">
        <f t="shared" si="1"/>
        <v>1.79</v>
      </c>
      <c r="K35" s="3">
        <f t="shared" si="1"/>
        <v>312.76</v>
      </c>
      <c r="L35" s="3">
        <f t="shared" si="1"/>
        <v>39.619999999999997</v>
      </c>
      <c r="M35" s="3">
        <f t="shared" si="1"/>
        <v>56.52</v>
      </c>
      <c r="N35" s="3">
        <f t="shared" si="1"/>
        <v>763</v>
      </c>
      <c r="O35" s="3">
        <f t="shared" si="1"/>
        <v>0</v>
      </c>
      <c r="P35" s="3">
        <f t="shared" si="1"/>
        <v>0.49</v>
      </c>
      <c r="Q35" s="3">
        <f t="shared" si="1"/>
        <v>28.07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4.4020833333333345</v>
      </c>
      <c r="C36" s="18">
        <f t="shared" si="2"/>
        <v>14.269583333333335</v>
      </c>
      <c r="D36" s="18">
        <f t="shared" si="2"/>
        <v>12.287916666666662</v>
      </c>
      <c r="E36" s="18">
        <f t="shared" si="2"/>
        <v>9.1425000000000001</v>
      </c>
      <c r="F36" s="18">
        <f t="shared" si="2"/>
        <v>3.6012500000000003</v>
      </c>
      <c r="G36" s="18">
        <f t="shared" si="2"/>
        <v>53.507499999999993</v>
      </c>
      <c r="H36" s="18">
        <f t="shared" si="2"/>
        <v>17.341666666666669</v>
      </c>
      <c r="I36" s="18">
        <f t="shared" si="2"/>
        <v>6.2883333333333331</v>
      </c>
      <c r="J36" s="18">
        <f t="shared" si="2"/>
        <v>0.53000000000000014</v>
      </c>
      <c r="K36" s="18">
        <f t="shared" si="2"/>
        <v>227.11666666666665</v>
      </c>
      <c r="L36" s="18">
        <f t="shared" si="2"/>
        <v>30.727500000000006</v>
      </c>
      <c r="M36" s="18">
        <f t="shared" si="2"/>
        <v>42.447499999999998</v>
      </c>
      <c r="N36" s="18">
        <f t="shared" si="2"/>
        <v>229.69583333333335</v>
      </c>
      <c r="O36" s="18">
        <f t="shared" si="2"/>
        <v>0</v>
      </c>
      <c r="P36" s="18">
        <f t="shared" si="2"/>
        <v>0.47545454545454552</v>
      </c>
      <c r="Q36" s="18">
        <f t="shared" si="2"/>
        <v>28.059583333333336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0.52065159147949969</v>
      </c>
      <c r="C37" s="18">
        <f t="shared" ref="C37:Q37" si="3">STDEV(C9:C32)</f>
        <v>0.93305239690079478</v>
      </c>
      <c r="D37" s="18">
        <f t="shared" si="3"/>
        <v>0.83591646746532633</v>
      </c>
      <c r="E37" s="18">
        <f t="shared" si="3"/>
        <v>0.68887589593481924</v>
      </c>
      <c r="F37" s="18">
        <f t="shared" si="3"/>
        <v>0.22059824785460494</v>
      </c>
      <c r="G37" s="18">
        <f t="shared" si="3"/>
        <v>54.841568750752195</v>
      </c>
      <c r="H37" s="18">
        <f t="shared" si="3"/>
        <v>4.4508950410750598</v>
      </c>
      <c r="I37" s="18">
        <f t="shared" si="3"/>
        <v>1.0060714239779061</v>
      </c>
      <c r="J37" s="18">
        <f t="shared" si="3"/>
        <v>0.36572738718768455</v>
      </c>
      <c r="K37" s="18">
        <f t="shared" si="3"/>
        <v>63.95622542813561</v>
      </c>
      <c r="L37" s="18">
        <f t="shared" si="3"/>
        <v>5.0892608586076857</v>
      </c>
      <c r="M37" s="18">
        <f t="shared" si="3"/>
        <v>10.875134082131929</v>
      </c>
      <c r="N37" s="18">
        <f t="shared" si="3"/>
        <v>302.29592394549081</v>
      </c>
      <c r="O37" s="18">
        <f t="shared" si="3"/>
        <v>0</v>
      </c>
      <c r="P37" s="18">
        <f t="shared" si="3"/>
        <v>1.6348477827391975E-2</v>
      </c>
      <c r="Q37" s="18">
        <f t="shared" si="3"/>
        <v>1.1970676733137429E-2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>COUNT(P9:P32)+13</f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16/04/2025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420</v>
      </c>
      <c r="B9" s="40">
        <v>4.22</v>
      </c>
      <c r="C9" s="40">
        <v>14.9</v>
      </c>
      <c r="D9" s="40">
        <v>12.52</v>
      </c>
      <c r="E9" s="40">
        <v>9.0399999999999991</v>
      </c>
      <c r="F9" s="42" t="s">
        <v>8</v>
      </c>
      <c r="G9" s="40">
        <v>15.77</v>
      </c>
      <c r="H9" s="40">
        <v>13.81</v>
      </c>
      <c r="I9" s="40">
        <v>4.67</v>
      </c>
      <c r="J9" s="40">
        <v>0.18</v>
      </c>
      <c r="K9" s="40">
        <v>214.78</v>
      </c>
      <c r="L9" s="40">
        <v>25.65</v>
      </c>
      <c r="M9" s="40">
        <v>57.33</v>
      </c>
      <c r="N9" s="40">
        <v>6</v>
      </c>
      <c r="O9" s="40">
        <v>0</v>
      </c>
      <c r="P9" s="40">
        <v>0.46</v>
      </c>
      <c r="Q9" s="40">
        <v>28.05</v>
      </c>
      <c r="R9" s="38"/>
      <c r="S9" s="38"/>
      <c r="T9" s="38"/>
      <c r="U9" s="38"/>
    </row>
    <row r="10" spans="1:21" customFormat="1">
      <c r="A10" s="39" t="s">
        <v>421</v>
      </c>
      <c r="B10" s="40">
        <v>4.3499999999999996</v>
      </c>
      <c r="C10" s="40">
        <v>15.33</v>
      </c>
      <c r="D10" s="40">
        <v>12.85</v>
      </c>
      <c r="E10" s="40">
        <v>9.08</v>
      </c>
      <c r="F10" s="42" t="s">
        <v>8</v>
      </c>
      <c r="G10" s="40">
        <v>15.77</v>
      </c>
      <c r="H10" s="40">
        <v>11.88</v>
      </c>
      <c r="I10" s="40">
        <v>4.57</v>
      </c>
      <c r="J10" s="40">
        <v>0.75</v>
      </c>
      <c r="K10" s="40">
        <v>209.59</v>
      </c>
      <c r="L10" s="40">
        <v>25.49</v>
      </c>
      <c r="M10" s="40">
        <v>59.07</v>
      </c>
      <c r="N10" s="40">
        <v>6.2</v>
      </c>
      <c r="O10" s="40">
        <v>0</v>
      </c>
      <c r="P10" s="40">
        <v>0.45</v>
      </c>
      <c r="Q10" s="40">
        <v>28.07</v>
      </c>
      <c r="R10" s="38"/>
      <c r="S10" s="38"/>
      <c r="T10" s="38"/>
      <c r="U10" s="38"/>
    </row>
    <row r="11" spans="1:21" customFormat="1">
      <c r="A11" s="39" t="s">
        <v>422</v>
      </c>
      <c r="B11" s="40">
        <v>4.6399999999999997</v>
      </c>
      <c r="C11" s="40">
        <v>15.99</v>
      </c>
      <c r="D11" s="40">
        <v>13.43</v>
      </c>
      <c r="E11" s="40">
        <v>8.1199999999999992</v>
      </c>
      <c r="F11" s="42" t="s">
        <v>8</v>
      </c>
      <c r="G11" s="40">
        <v>23.81</v>
      </c>
      <c r="H11" s="40">
        <v>9.01</v>
      </c>
      <c r="I11" s="40">
        <v>4.58</v>
      </c>
      <c r="J11" s="40">
        <v>0.73</v>
      </c>
      <c r="K11" s="40">
        <v>77.48</v>
      </c>
      <c r="L11" s="40">
        <v>25.35</v>
      </c>
      <c r="M11" s="40">
        <v>57.85</v>
      </c>
      <c r="N11" s="40">
        <v>6.3</v>
      </c>
      <c r="O11" s="40">
        <v>0</v>
      </c>
      <c r="P11" s="40">
        <v>0.46</v>
      </c>
      <c r="Q11" s="40">
        <v>28.06</v>
      </c>
      <c r="R11" s="38"/>
      <c r="S11" s="38"/>
      <c r="T11" s="38"/>
      <c r="U11" s="38"/>
    </row>
    <row r="12" spans="1:21" customFormat="1">
      <c r="A12" s="39" t="s">
        <v>423</v>
      </c>
      <c r="B12" s="40">
        <v>5.5</v>
      </c>
      <c r="C12" s="40">
        <v>16.440000000000001</v>
      </c>
      <c r="D12" s="40">
        <v>13.76</v>
      </c>
      <c r="E12" s="40">
        <v>8.23</v>
      </c>
      <c r="F12" s="42" t="s">
        <v>8</v>
      </c>
      <c r="G12" s="40">
        <v>27.49</v>
      </c>
      <c r="H12" s="40">
        <v>11.08</v>
      </c>
      <c r="I12" s="40">
        <v>4.7</v>
      </c>
      <c r="J12" s="40">
        <v>0.59</v>
      </c>
      <c r="K12" s="40">
        <v>194.62</v>
      </c>
      <c r="L12" s="40">
        <v>24.65</v>
      </c>
      <c r="M12" s="40">
        <v>60.71</v>
      </c>
      <c r="N12" s="40">
        <v>6.3</v>
      </c>
      <c r="O12" s="40">
        <v>0</v>
      </c>
      <c r="P12" s="40">
        <v>0.45</v>
      </c>
      <c r="Q12" s="40">
        <v>28.09</v>
      </c>
      <c r="R12" s="38"/>
      <c r="S12" s="38"/>
      <c r="T12" s="38"/>
      <c r="U12" s="38"/>
    </row>
    <row r="13" spans="1:21" customFormat="1">
      <c r="A13" s="39" t="s">
        <v>424</v>
      </c>
      <c r="B13" s="40">
        <v>6.1</v>
      </c>
      <c r="C13" s="40">
        <v>15.41</v>
      </c>
      <c r="D13" s="40">
        <v>14.29</v>
      </c>
      <c r="E13" s="40">
        <v>8.4</v>
      </c>
      <c r="F13" s="42" t="s">
        <v>8</v>
      </c>
      <c r="G13" s="40">
        <v>27.49</v>
      </c>
      <c r="H13" s="40">
        <v>11.08</v>
      </c>
      <c r="I13" s="40">
        <v>4.7699999999999996</v>
      </c>
      <c r="J13" s="40">
        <v>0.24</v>
      </c>
      <c r="K13" s="40">
        <v>185.67</v>
      </c>
      <c r="L13" s="40">
        <v>24.18</v>
      </c>
      <c r="M13" s="40">
        <v>60.67</v>
      </c>
      <c r="N13" s="40">
        <v>5.9</v>
      </c>
      <c r="O13" s="40">
        <v>0</v>
      </c>
      <c r="P13" s="40">
        <v>0.44</v>
      </c>
      <c r="Q13" s="40">
        <v>28.08</v>
      </c>
      <c r="R13" s="38"/>
      <c r="S13" s="38"/>
      <c r="T13" s="38"/>
      <c r="U13" s="38"/>
    </row>
    <row r="14" spans="1:21" customFormat="1">
      <c r="A14" s="39" t="s">
        <v>425</v>
      </c>
      <c r="B14" s="40">
        <v>6.96</v>
      </c>
      <c r="C14" s="40">
        <v>15.69</v>
      </c>
      <c r="D14" s="40">
        <v>14.94</v>
      </c>
      <c r="E14" s="40">
        <v>8.2100000000000009</v>
      </c>
      <c r="F14" s="42" t="s">
        <v>8</v>
      </c>
      <c r="G14" s="40">
        <v>23.49</v>
      </c>
      <c r="H14" s="40">
        <v>12.62</v>
      </c>
      <c r="I14" s="40">
        <v>4.84</v>
      </c>
      <c r="J14" s="40">
        <v>0.24</v>
      </c>
      <c r="K14" s="40">
        <v>192.94</v>
      </c>
      <c r="L14" s="40">
        <v>23.59</v>
      </c>
      <c r="M14" s="40">
        <v>66.03</v>
      </c>
      <c r="N14" s="40">
        <v>16.5</v>
      </c>
      <c r="O14" s="40">
        <v>0</v>
      </c>
      <c r="P14" s="40">
        <v>0.43</v>
      </c>
      <c r="Q14" s="40">
        <v>28.11</v>
      </c>
      <c r="R14" s="38"/>
      <c r="S14" s="38"/>
      <c r="T14" s="38"/>
      <c r="U14" s="38"/>
    </row>
    <row r="15" spans="1:21" customFormat="1">
      <c r="A15" s="39" t="s">
        <v>426</v>
      </c>
      <c r="B15" s="40">
        <v>7.65</v>
      </c>
      <c r="C15" s="40">
        <v>14.87</v>
      </c>
      <c r="D15" s="40">
        <v>15.12</v>
      </c>
      <c r="E15" s="40">
        <v>8.18</v>
      </c>
      <c r="F15" s="42" t="s">
        <v>8</v>
      </c>
      <c r="G15" s="40">
        <v>33.61</v>
      </c>
      <c r="H15" s="40">
        <v>12.62</v>
      </c>
      <c r="I15" s="40">
        <v>5</v>
      </c>
      <c r="J15" s="40">
        <v>0.17</v>
      </c>
      <c r="K15" s="40">
        <v>218.23</v>
      </c>
      <c r="L15" s="40">
        <v>24.78</v>
      </c>
      <c r="M15" s="40">
        <v>66.44</v>
      </c>
      <c r="N15" s="40">
        <v>62.6</v>
      </c>
      <c r="O15" s="40">
        <v>0</v>
      </c>
      <c r="P15" s="40">
        <v>0.44</v>
      </c>
      <c r="Q15" s="40">
        <v>28.1</v>
      </c>
      <c r="R15" s="38"/>
      <c r="S15" s="38"/>
      <c r="T15" s="38"/>
      <c r="U15" s="38"/>
    </row>
    <row r="16" spans="1:21" customFormat="1">
      <c r="A16" s="39" t="s">
        <v>427</v>
      </c>
      <c r="B16" s="40">
        <v>7.68</v>
      </c>
      <c r="C16" s="40">
        <v>15.36</v>
      </c>
      <c r="D16" s="40">
        <v>15.31</v>
      </c>
      <c r="E16" s="40">
        <v>8.41</v>
      </c>
      <c r="F16" s="42" t="s">
        <v>8</v>
      </c>
      <c r="G16" s="40">
        <v>33.61</v>
      </c>
      <c r="H16" s="40">
        <v>10.41</v>
      </c>
      <c r="I16" s="40">
        <v>5.21</v>
      </c>
      <c r="J16" s="40">
        <v>0.36</v>
      </c>
      <c r="K16" s="40">
        <v>279.64</v>
      </c>
      <c r="L16" s="40">
        <v>27.44</v>
      </c>
      <c r="M16" s="40">
        <v>59.08</v>
      </c>
      <c r="N16" s="40">
        <v>189.2</v>
      </c>
      <c r="O16" s="40">
        <v>0</v>
      </c>
      <c r="P16" s="40">
        <v>0.46</v>
      </c>
      <c r="Q16" s="40">
        <v>28.11</v>
      </c>
      <c r="R16" s="38"/>
      <c r="S16" s="38"/>
      <c r="T16" s="38"/>
      <c r="U16" s="38"/>
    </row>
    <row r="17" spans="1:21" customFormat="1">
      <c r="A17" s="39" t="s">
        <v>428</v>
      </c>
      <c r="B17" s="40">
        <v>6.6</v>
      </c>
      <c r="C17" s="40">
        <v>14.92</v>
      </c>
      <c r="D17" s="40">
        <v>13.78</v>
      </c>
      <c r="E17" s="40">
        <v>7.71</v>
      </c>
      <c r="F17" s="42" t="s">
        <v>8</v>
      </c>
      <c r="G17" s="40">
        <v>30.28</v>
      </c>
      <c r="H17" s="40">
        <v>11.84</v>
      </c>
      <c r="I17" s="40">
        <v>5.27</v>
      </c>
      <c r="J17" s="40">
        <v>0.41</v>
      </c>
      <c r="K17" s="40">
        <v>269.02999999999997</v>
      </c>
      <c r="L17" s="40">
        <v>30.22</v>
      </c>
      <c r="M17" s="40">
        <v>49.87</v>
      </c>
      <c r="N17" s="40">
        <v>370.4</v>
      </c>
      <c r="O17" s="40">
        <v>0</v>
      </c>
      <c r="P17" s="40">
        <v>0.49</v>
      </c>
      <c r="Q17" s="40">
        <v>28.07</v>
      </c>
      <c r="R17" s="38"/>
      <c r="S17" s="38"/>
      <c r="T17" s="38"/>
      <c r="U17" s="38"/>
    </row>
    <row r="18" spans="1:21" customFormat="1">
      <c r="A18" s="39" t="s">
        <v>429</v>
      </c>
      <c r="B18" s="40">
        <v>4.2</v>
      </c>
      <c r="C18" s="40">
        <v>15.03</v>
      </c>
      <c r="D18" s="40">
        <v>12.52</v>
      </c>
      <c r="E18" s="40">
        <v>7.66</v>
      </c>
      <c r="F18" s="42" t="s">
        <v>8</v>
      </c>
      <c r="G18" s="40">
        <v>29.21</v>
      </c>
      <c r="H18" s="40">
        <v>12.47</v>
      </c>
      <c r="I18" s="40">
        <v>5.19</v>
      </c>
      <c r="J18" s="40">
        <v>0.45</v>
      </c>
      <c r="K18" s="40">
        <v>299.75</v>
      </c>
      <c r="L18" s="40">
        <v>32.67</v>
      </c>
      <c r="M18" s="40">
        <v>39.89</v>
      </c>
      <c r="N18" s="40">
        <v>610.70000000000005</v>
      </c>
      <c r="O18" s="40">
        <v>0</v>
      </c>
      <c r="P18" s="40">
        <v>0.46</v>
      </c>
      <c r="Q18" s="40">
        <v>28.06</v>
      </c>
      <c r="R18" s="38"/>
      <c r="S18" s="38"/>
      <c r="T18" s="38"/>
      <c r="U18" s="38"/>
    </row>
    <row r="19" spans="1:21" customFormat="1">
      <c r="A19" s="39" t="s">
        <v>430</v>
      </c>
      <c r="B19" s="40">
        <v>3.72</v>
      </c>
      <c r="C19" s="40">
        <v>15.88</v>
      </c>
      <c r="D19" s="40">
        <v>12.52</v>
      </c>
      <c r="E19" s="40">
        <v>9.65</v>
      </c>
      <c r="F19" s="42" t="s">
        <v>8</v>
      </c>
      <c r="G19" s="40">
        <v>39.64</v>
      </c>
      <c r="H19" s="40">
        <v>14.56</v>
      </c>
      <c r="I19" s="40">
        <v>5.04</v>
      </c>
      <c r="J19" s="40">
        <v>0.54</v>
      </c>
      <c r="K19" s="40">
        <v>297.06</v>
      </c>
      <c r="L19" s="40">
        <v>34.72</v>
      </c>
      <c r="M19" s="40">
        <v>33.82</v>
      </c>
      <c r="N19" s="40">
        <v>737.5</v>
      </c>
      <c r="O19" s="40">
        <v>0</v>
      </c>
      <c r="P19" s="40">
        <v>0.47</v>
      </c>
      <c r="Q19" s="40">
        <v>28.06</v>
      </c>
      <c r="R19" s="38"/>
      <c r="S19" s="38"/>
      <c r="T19" s="38"/>
      <c r="U19" s="38"/>
    </row>
    <row r="20" spans="1:21" customFormat="1">
      <c r="A20" s="39" t="s">
        <v>431</v>
      </c>
      <c r="B20" s="40">
        <v>3.54</v>
      </c>
      <c r="C20" s="40">
        <v>16.45</v>
      </c>
      <c r="D20" s="40">
        <v>12.78</v>
      </c>
      <c r="E20" s="40">
        <v>10.23</v>
      </c>
      <c r="F20" s="42" t="s">
        <v>8</v>
      </c>
      <c r="G20" s="40">
        <v>39.64</v>
      </c>
      <c r="H20" s="40">
        <v>15.05</v>
      </c>
      <c r="I20" s="40">
        <v>5.32</v>
      </c>
      <c r="J20" s="40">
        <v>1.01</v>
      </c>
      <c r="K20" s="40">
        <v>286.20999999999998</v>
      </c>
      <c r="L20" s="40">
        <v>36.64</v>
      </c>
      <c r="M20" s="40">
        <v>29.68</v>
      </c>
      <c r="N20" s="40">
        <v>811</v>
      </c>
      <c r="O20" s="40">
        <v>0</v>
      </c>
      <c r="P20" s="40">
        <v>0.48</v>
      </c>
      <c r="Q20" s="40">
        <v>28.06</v>
      </c>
      <c r="R20" s="38"/>
      <c r="S20" s="38"/>
      <c r="T20" s="38"/>
      <c r="U20" s="38"/>
    </row>
    <row r="21" spans="1:21" customFormat="1">
      <c r="A21" s="39" t="s">
        <v>432</v>
      </c>
      <c r="B21" s="40">
        <v>3.65</v>
      </c>
      <c r="C21" s="40">
        <v>17.89</v>
      </c>
      <c r="D21" s="40">
        <v>13.5</v>
      </c>
      <c r="E21" s="40">
        <v>13.52</v>
      </c>
      <c r="F21" s="42" t="s">
        <v>8</v>
      </c>
      <c r="G21" s="40">
        <v>48.83</v>
      </c>
      <c r="H21" s="40">
        <v>17.600000000000001</v>
      </c>
      <c r="I21" s="40">
        <v>6.57</v>
      </c>
      <c r="J21" s="40">
        <v>1.21</v>
      </c>
      <c r="K21" s="40">
        <v>309.89</v>
      </c>
      <c r="L21" s="40">
        <v>37.200000000000003</v>
      </c>
      <c r="M21" s="40">
        <v>28.42</v>
      </c>
      <c r="N21" s="40">
        <v>794.1</v>
      </c>
      <c r="O21" s="40">
        <v>0</v>
      </c>
      <c r="P21" s="40">
        <v>0.69</v>
      </c>
      <c r="Q21" s="40">
        <v>28.06</v>
      </c>
      <c r="R21" s="38"/>
      <c r="S21" s="38"/>
      <c r="T21" s="38"/>
      <c r="U21" s="38"/>
    </row>
    <row r="22" spans="1:21" customFormat="1">
      <c r="A22" s="39" t="s">
        <v>433</v>
      </c>
      <c r="B22" s="40">
        <v>3.69</v>
      </c>
      <c r="C22" s="40">
        <v>18.91</v>
      </c>
      <c r="D22" s="40">
        <v>14.15</v>
      </c>
      <c r="E22" s="40">
        <v>18.57</v>
      </c>
      <c r="F22" s="42" t="s">
        <v>8</v>
      </c>
      <c r="G22" s="40">
        <v>64.25</v>
      </c>
      <c r="H22" s="40">
        <v>18.670000000000002</v>
      </c>
      <c r="I22" s="40">
        <v>9.43</v>
      </c>
      <c r="J22" s="40">
        <v>1.33</v>
      </c>
      <c r="K22" s="40">
        <v>300.51</v>
      </c>
      <c r="L22" s="40">
        <v>37.61</v>
      </c>
      <c r="M22" s="40">
        <v>27.66</v>
      </c>
      <c r="N22" s="40">
        <v>754.7</v>
      </c>
      <c r="O22" s="40">
        <v>0</v>
      </c>
      <c r="P22" s="40">
        <v>0.85</v>
      </c>
      <c r="Q22" s="40">
        <v>28.06</v>
      </c>
      <c r="R22" s="38"/>
      <c r="S22" s="38"/>
      <c r="T22" s="38"/>
      <c r="U22" s="38"/>
    </row>
    <row r="23" spans="1:21" customFormat="1">
      <c r="A23" s="39" t="s">
        <v>434</v>
      </c>
      <c r="B23" s="40">
        <v>3.78</v>
      </c>
      <c r="C23" s="40">
        <v>15.72</v>
      </c>
      <c r="D23" s="40">
        <v>12.54</v>
      </c>
      <c r="E23" s="40">
        <v>11.03</v>
      </c>
      <c r="F23" s="42" t="s">
        <v>8</v>
      </c>
      <c r="G23" s="40">
        <v>64.25</v>
      </c>
      <c r="H23" s="40">
        <v>19.93</v>
      </c>
      <c r="I23" s="40">
        <v>9.2799999999999994</v>
      </c>
      <c r="J23" s="40">
        <v>1.1000000000000001</v>
      </c>
      <c r="K23" s="40">
        <v>269.43</v>
      </c>
      <c r="L23" s="40">
        <v>38.61</v>
      </c>
      <c r="M23" s="40">
        <v>25.02</v>
      </c>
      <c r="N23" s="40">
        <v>727.3</v>
      </c>
      <c r="O23" s="40">
        <v>0</v>
      </c>
      <c r="P23" s="40">
        <v>0.75</v>
      </c>
      <c r="Q23" s="40">
        <v>28.04</v>
      </c>
      <c r="R23" s="38"/>
      <c r="S23" s="38"/>
      <c r="T23" s="38"/>
      <c r="U23" s="38"/>
    </row>
    <row r="24" spans="1:21" customFormat="1">
      <c r="A24" s="39" t="s">
        <v>435</v>
      </c>
      <c r="B24" s="40">
        <v>3.76</v>
      </c>
      <c r="C24" s="40">
        <v>12.23</v>
      </c>
      <c r="D24" s="40">
        <v>10.76</v>
      </c>
      <c r="E24" s="40">
        <v>10.42</v>
      </c>
      <c r="F24" s="42" t="s">
        <v>8</v>
      </c>
      <c r="G24" s="40">
        <v>52.35</v>
      </c>
      <c r="H24" s="40">
        <v>19.93</v>
      </c>
      <c r="I24" s="40">
        <v>8.66</v>
      </c>
      <c r="J24" s="40">
        <v>1.34</v>
      </c>
      <c r="K24" s="40">
        <v>284.47000000000003</v>
      </c>
      <c r="L24" s="40">
        <v>38.33</v>
      </c>
      <c r="M24" s="40">
        <v>24.91</v>
      </c>
      <c r="N24" s="40">
        <v>556.79999999999995</v>
      </c>
      <c r="O24" s="40">
        <v>0</v>
      </c>
      <c r="P24" s="40">
        <v>0.72</v>
      </c>
      <c r="Q24" s="40">
        <v>28.04</v>
      </c>
      <c r="R24" s="38"/>
      <c r="S24" s="38"/>
      <c r="T24" s="38"/>
      <c r="U24" s="38"/>
    </row>
    <row r="25" spans="1:21" customFormat="1">
      <c r="A25" s="39" t="s">
        <v>436</v>
      </c>
      <c r="B25" s="40">
        <v>3.69</v>
      </c>
      <c r="C25" s="40">
        <v>11.7</v>
      </c>
      <c r="D25" s="40">
        <v>10.41</v>
      </c>
      <c r="E25" s="40">
        <v>11.85</v>
      </c>
      <c r="F25" s="42" t="s">
        <v>8</v>
      </c>
      <c r="G25" s="40">
        <v>47.86</v>
      </c>
      <c r="H25" s="40">
        <v>19.760000000000002</v>
      </c>
      <c r="I25" s="40">
        <v>9.15</v>
      </c>
      <c r="J25" s="40">
        <v>0.88</v>
      </c>
      <c r="K25" s="40">
        <v>266.52999999999997</v>
      </c>
      <c r="L25" s="40">
        <v>38.130000000000003</v>
      </c>
      <c r="M25" s="40">
        <v>24.34</v>
      </c>
      <c r="N25" s="40">
        <v>309.89999999999998</v>
      </c>
      <c r="O25" s="40">
        <v>0</v>
      </c>
      <c r="P25" s="40">
        <v>0.67</v>
      </c>
      <c r="Q25" s="40">
        <v>28.03</v>
      </c>
      <c r="R25" s="38"/>
      <c r="S25" s="38"/>
      <c r="T25" s="38"/>
      <c r="U25" s="38"/>
    </row>
    <row r="26" spans="1:21" customFormat="1">
      <c r="A26" s="39" t="s">
        <v>437</v>
      </c>
      <c r="B26" s="40">
        <v>3.64</v>
      </c>
      <c r="C26" s="40">
        <v>10.28</v>
      </c>
      <c r="D26" s="40">
        <v>9.64</v>
      </c>
      <c r="E26" s="40">
        <v>9.7100000000000009</v>
      </c>
      <c r="F26" s="42" t="s">
        <v>8</v>
      </c>
      <c r="G26" s="40">
        <v>47.86</v>
      </c>
      <c r="H26" s="40">
        <v>19.760000000000002</v>
      </c>
      <c r="I26" s="40">
        <v>9.34</v>
      </c>
      <c r="J26" s="40">
        <v>0.54</v>
      </c>
      <c r="K26" s="40">
        <v>239.24</v>
      </c>
      <c r="L26" s="40">
        <v>36.94</v>
      </c>
      <c r="M26" s="40">
        <v>28.94</v>
      </c>
      <c r="N26" s="40">
        <v>104.4</v>
      </c>
      <c r="O26" s="40">
        <v>0</v>
      </c>
      <c r="P26" s="40">
        <v>0.59</v>
      </c>
      <c r="Q26" s="40">
        <v>28.04</v>
      </c>
      <c r="R26" s="38"/>
      <c r="S26" s="38"/>
      <c r="T26" s="38"/>
      <c r="U26" s="38"/>
    </row>
    <row r="27" spans="1:21" customFormat="1">
      <c r="A27" s="39" t="s">
        <v>438</v>
      </c>
      <c r="B27" s="40">
        <v>3.49</v>
      </c>
      <c r="C27" s="40">
        <v>10.119999999999999</v>
      </c>
      <c r="D27" s="40">
        <v>9.43</v>
      </c>
      <c r="E27" s="40">
        <v>8.58</v>
      </c>
      <c r="F27" s="42" t="s">
        <v>8</v>
      </c>
      <c r="G27" s="40">
        <v>43.37</v>
      </c>
      <c r="H27" s="40">
        <v>18.940000000000001</v>
      </c>
      <c r="I27" s="40">
        <v>6.79</v>
      </c>
      <c r="J27" s="40">
        <v>0.28000000000000003</v>
      </c>
      <c r="K27" s="40">
        <v>173.58</v>
      </c>
      <c r="L27" s="40">
        <v>35.03</v>
      </c>
      <c r="M27" s="40">
        <v>35.47</v>
      </c>
      <c r="N27" s="40">
        <v>13.7</v>
      </c>
      <c r="O27" s="40">
        <v>0</v>
      </c>
      <c r="P27" s="40">
        <v>0.55000000000000004</v>
      </c>
      <c r="Q27" s="40">
        <v>28.03</v>
      </c>
      <c r="R27" s="38"/>
      <c r="S27" s="38"/>
      <c r="T27" s="38"/>
      <c r="U27" s="38"/>
    </row>
    <row r="28" spans="1:21" customFormat="1">
      <c r="A28" s="39" t="s">
        <v>439</v>
      </c>
      <c r="B28" s="40">
        <v>3.64</v>
      </c>
      <c r="C28" s="40">
        <v>12.64</v>
      </c>
      <c r="D28" s="40">
        <v>10.88</v>
      </c>
      <c r="E28" s="40">
        <v>8.75</v>
      </c>
      <c r="F28" s="42" t="s">
        <v>8</v>
      </c>
      <c r="G28" s="40">
        <v>69.62</v>
      </c>
      <c r="H28" s="40">
        <v>17.07</v>
      </c>
      <c r="I28" s="40">
        <v>7.12</v>
      </c>
      <c r="J28" s="40">
        <v>0.25</v>
      </c>
      <c r="K28" s="40">
        <v>185.06</v>
      </c>
      <c r="L28" s="40">
        <v>32.49</v>
      </c>
      <c r="M28" s="40">
        <v>40.1</v>
      </c>
      <c r="N28" s="40">
        <v>6.2</v>
      </c>
      <c r="O28" s="40">
        <v>0</v>
      </c>
      <c r="P28" s="40">
        <v>0.61</v>
      </c>
      <c r="Q28" s="40">
        <v>28.05</v>
      </c>
      <c r="R28" s="38"/>
      <c r="S28" s="38"/>
      <c r="T28" s="38"/>
      <c r="U28" s="38"/>
    </row>
    <row r="29" spans="1:21" customFormat="1">
      <c r="A29" s="39" t="s">
        <v>440</v>
      </c>
      <c r="B29" s="40">
        <v>3.84</v>
      </c>
      <c r="C29" s="40">
        <v>13.97</v>
      </c>
      <c r="D29" s="40">
        <v>11.66</v>
      </c>
      <c r="E29" s="40">
        <v>8.66</v>
      </c>
      <c r="F29" s="42" t="s">
        <v>8</v>
      </c>
      <c r="G29" s="40">
        <v>69.62</v>
      </c>
      <c r="H29" s="40">
        <v>17.77</v>
      </c>
      <c r="I29" s="40">
        <v>7.83</v>
      </c>
      <c r="J29" s="40">
        <v>0.25</v>
      </c>
      <c r="K29" s="40">
        <v>186.47</v>
      </c>
      <c r="L29" s="40">
        <v>31.2</v>
      </c>
      <c r="M29" s="40">
        <v>41.67</v>
      </c>
      <c r="N29" s="40">
        <v>6.1</v>
      </c>
      <c r="O29" s="40">
        <v>0</v>
      </c>
      <c r="P29" s="40">
        <v>0.64</v>
      </c>
      <c r="Q29" s="40">
        <v>28.04</v>
      </c>
      <c r="R29" s="38"/>
      <c r="S29" s="38"/>
      <c r="T29" s="38"/>
      <c r="U29" s="38"/>
    </row>
    <row r="30" spans="1:21" customFormat="1">
      <c r="A30" s="39" t="s">
        <v>441</v>
      </c>
      <c r="B30" s="40">
        <v>4.04</v>
      </c>
      <c r="C30" s="40">
        <v>14.8</v>
      </c>
      <c r="D30" s="40">
        <v>12.33</v>
      </c>
      <c r="E30" s="40">
        <v>8.82</v>
      </c>
      <c r="F30" s="42" t="s">
        <v>8</v>
      </c>
      <c r="G30" s="40">
        <v>63.11</v>
      </c>
      <c r="H30" s="40">
        <v>20.92</v>
      </c>
      <c r="I30" s="40">
        <v>8.31</v>
      </c>
      <c r="J30" s="40">
        <v>0.19</v>
      </c>
      <c r="K30" s="40">
        <v>229.88</v>
      </c>
      <c r="L30" s="40">
        <v>30.15</v>
      </c>
      <c r="M30" s="40">
        <v>44.69</v>
      </c>
      <c r="N30" s="40">
        <v>6.2</v>
      </c>
      <c r="O30" s="40">
        <v>0</v>
      </c>
      <c r="P30" s="40">
        <v>0.7</v>
      </c>
      <c r="Q30" s="40">
        <v>28.05</v>
      </c>
      <c r="R30" s="38"/>
      <c r="S30" s="38"/>
      <c r="T30" s="38"/>
      <c r="U30" s="38"/>
    </row>
    <row r="31" spans="1:21" customFormat="1">
      <c r="A31" s="39" t="s">
        <v>442</v>
      </c>
      <c r="B31" s="40">
        <v>4.07</v>
      </c>
      <c r="C31" s="40">
        <v>15.13</v>
      </c>
      <c r="D31" s="40">
        <v>12.5</v>
      </c>
      <c r="E31" s="40">
        <v>8.83</v>
      </c>
      <c r="F31" s="42" t="s">
        <v>8</v>
      </c>
      <c r="G31" s="40">
        <v>61.75</v>
      </c>
      <c r="H31" s="40">
        <v>20.92</v>
      </c>
      <c r="I31" s="40">
        <v>8.57</v>
      </c>
      <c r="J31" s="40">
        <v>0.15</v>
      </c>
      <c r="K31" s="40">
        <v>237.79</v>
      </c>
      <c r="L31" s="40">
        <v>30.31</v>
      </c>
      <c r="M31" s="40">
        <v>43.11</v>
      </c>
      <c r="N31" s="40">
        <v>6.1</v>
      </c>
      <c r="O31" s="40">
        <v>0</v>
      </c>
      <c r="P31" s="40">
        <v>0.68</v>
      </c>
      <c r="Q31" s="40">
        <v>28.05</v>
      </c>
      <c r="R31" s="38"/>
      <c r="S31" s="38"/>
      <c r="T31" s="38"/>
      <c r="U31" s="38"/>
    </row>
    <row r="32" spans="1:21" customFormat="1">
      <c r="A32" s="39" t="s">
        <v>443</v>
      </c>
      <c r="B32" s="40">
        <v>4.37</v>
      </c>
      <c r="C32" s="40">
        <v>12.76</v>
      </c>
      <c r="D32" s="40">
        <v>11.52</v>
      </c>
      <c r="E32" s="40">
        <v>9.0299999999999994</v>
      </c>
      <c r="F32" s="42" t="s">
        <v>8</v>
      </c>
      <c r="G32" s="40">
        <v>59.62</v>
      </c>
      <c r="H32" s="40">
        <v>20.71</v>
      </c>
      <c r="I32" s="40">
        <v>8.2100000000000009</v>
      </c>
      <c r="J32" s="40">
        <v>0.24</v>
      </c>
      <c r="K32" s="40">
        <v>234.92</v>
      </c>
      <c r="L32" s="40">
        <v>29.83</v>
      </c>
      <c r="M32" s="40">
        <v>44.72</v>
      </c>
      <c r="N32" s="40">
        <v>6</v>
      </c>
      <c r="O32" s="40">
        <v>0</v>
      </c>
      <c r="P32" s="40">
        <v>0.63</v>
      </c>
      <c r="Q32" s="40">
        <v>28.05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3.49</v>
      </c>
      <c r="C34" s="18">
        <f t="shared" si="0"/>
        <v>10.119999999999999</v>
      </c>
      <c r="D34" s="18">
        <f t="shared" si="0"/>
        <v>9.43</v>
      </c>
      <c r="E34" s="18">
        <f t="shared" si="0"/>
        <v>7.66</v>
      </c>
      <c r="F34" s="18">
        <f t="shared" si="0"/>
        <v>0</v>
      </c>
      <c r="G34" s="18">
        <f t="shared" si="0"/>
        <v>15.77</v>
      </c>
      <c r="H34" s="18">
        <f t="shared" si="0"/>
        <v>9.01</v>
      </c>
      <c r="I34" s="18">
        <f t="shared" si="0"/>
        <v>4.57</v>
      </c>
      <c r="J34" s="18">
        <f t="shared" si="0"/>
        <v>0.15</v>
      </c>
      <c r="K34" s="18">
        <f t="shared" si="0"/>
        <v>77.48</v>
      </c>
      <c r="L34" s="18">
        <f t="shared" si="0"/>
        <v>23.59</v>
      </c>
      <c r="M34" s="18">
        <f t="shared" si="0"/>
        <v>24.34</v>
      </c>
      <c r="N34" s="18">
        <f t="shared" si="0"/>
        <v>5.9</v>
      </c>
      <c r="O34" s="18">
        <f t="shared" si="0"/>
        <v>0</v>
      </c>
      <c r="P34" s="18">
        <f t="shared" si="0"/>
        <v>0.43</v>
      </c>
      <c r="Q34" s="18">
        <f t="shared" si="0"/>
        <v>28.03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7.68</v>
      </c>
      <c r="C35" s="3">
        <f t="shared" si="1"/>
        <v>18.91</v>
      </c>
      <c r="D35" s="3">
        <f t="shared" si="1"/>
        <v>15.31</v>
      </c>
      <c r="E35" s="3">
        <f t="shared" si="1"/>
        <v>18.57</v>
      </c>
      <c r="F35" s="3">
        <f t="shared" si="1"/>
        <v>0</v>
      </c>
      <c r="G35" s="3">
        <f t="shared" si="1"/>
        <v>69.62</v>
      </c>
      <c r="H35" s="3">
        <f t="shared" si="1"/>
        <v>20.92</v>
      </c>
      <c r="I35" s="3">
        <f t="shared" si="1"/>
        <v>9.43</v>
      </c>
      <c r="J35" s="3">
        <f t="shared" si="1"/>
        <v>1.34</v>
      </c>
      <c r="K35" s="3">
        <f t="shared" si="1"/>
        <v>309.89</v>
      </c>
      <c r="L35" s="3">
        <f t="shared" si="1"/>
        <v>38.61</v>
      </c>
      <c r="M35" s="3">
        <f t="shared" si="1"/>
        <v>66.44</v>
      </c>
      <c r="N35" s="3">
        <f t="shared" si="1"/>
        <v>811</v>
      </c>
      <c r="O35" s="3">
        <f t="shared" si="1"/>
        <v>0</v>
      </c>
      <c r="P35" s="3">
        <f t="shared" si="1"/>
        <v>0.85</v>
      </c>
      <c r="Q35" s="3">
        <f t="shared" si="1"/>
        <v>28.11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4.6175000000000006</v>
      </c>
      <c r="C36" s="18">
        <f t="shared" si="2"/>
        <v>14.684166666666664</v>
      </c>
      <c r="D36" s="18">
        <f t="shared" si="2"/>
        <v>12.630833333333333</v>
      </c>
      <c r="E36" s="18">
        <f t="shared" si="2"/>
        <v>9.6120833333333326</v>
      </c>
      <c r="F36" s="18" t="e">
        <f t="shared" si="2"/>
        <v>#DIV/0!</v>
      </c>
      <c r="G36" s="18">
        <f t="shared" si="2"/>
        <v>43.012499999999996</v>
      </c>
      <c r="H36" s="18">
        <f t="shared" si="2"/>
        <v>15.767083333333332</v>
      </c>
      <c r="I36" s="18">
        <f t="shared" si="2"/>
        <v>6.600833333333334</v>
      </c>
      <c r="J36" s="18">
        <f t="shared" si="2"/>
        <v>0.55958333333333332</v>
      </c>
      <c r="K36" s="18">
        <f t="shared" si="2"/>
        <v>235.11541666666665</v>
      </c>
      <c r="L36" s="18">
        <f t="shared" si="2"/>
        <v>31.300416666666667</v>
      </c>
      <c r="M36" s="18">
        <f t="shared" si="2"/>
        <v>43.728749999999991</v>
      </c>
      <c r="N36" s="18">
        <f t="shared" si="2"/>
        <v>255.00416666666663</v>
      </c>
      <c r="O36" s="18">
        <f t="shared" si="2"/>
        <v>0</v>
      </c>
      <c r="P36" s="18">
        <f t="shared" si="2"/>
        <v>0.56541666666666668</v>
      </c>
      <c r="Q36" s="18">
        <f t="shared" si="2"/>
        <v>28.060833333333331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1.3499541055000766</v>
      </c>
      <c r="C37" s="18">
        <f t="shared" ref="C37:Q37" si="3">STDEV(C9:C32)</f>
        <v>2.1363600019591797</v>
      </c>
      <c r="D37" s="18">
        <f t="shared" si="3"/>
        <v>1.6264656712362913</v>
      </c>
      <c r="E37" s="18">
        <f t="shared" si="3"/>
        <v>2.3496474835816192</v>
      </c>
      <c r="F37" s="18" t="e">
        <f t="shared" si="3"/>
        <v>#DIV/0!</v>
      </c>
      <c r="G37" s="18">
        <f t="shared" si="3"/>
        <v>17.175823061096303</v>
      </c>
      <c r="H37" s="18">
        <f t="shared" si="3"/>
        <v>3.9395050220605969</v>
      </c>
      <c r="I37" s="18">
        <f t="shared" si="3"/>
        <v>1.8529199439912576</v>
      </c>
      <c r="J37" s="18">
        <f t="shared" si="3"/>
        <v>0.39236716574354596</v>
      </c>
      <c r="K37" s="18">
        <f t="shared" si="3"/>
        <v>54.771755652070816</v>
      </c>
      <c r="L37" s="18">
        <f t="shared" si="3"/>
        <v>5.2413551841739014</v>
      </c>
      <c r="M37" s="18">
        <f t="shared" si="3"/>
        <v>14.251154434549914</v>
      </c>
      <c r="N37" s="18">
        <f t="shared" si="3"/>
        <v>318.81396848887152</v>
      </c>
      <c r="O37" s="18">
        <f t="shared" si="3"/>
        <v>0</v>
      </c>
      <c r="P37" s="18">
        <f t="shared" si="3"/>
        <v>0.12374515068818062</v>
      </c>
      <c r="Q37" s="18">
        <f t="shared" si="3"/>
        <v>2.2825741888350917E-2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17/04/2025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444</v>
      </c>
      <c r="B9" s="40">
        <v>3.56</v>
      </c>
      <c r="C9" s="40">
        <v>45.15</v>
      </c>
      <c r="D9" s="40">
        <v>26.98</v>
      </c>
      <c r="E9" s="40">
        <v>2.4700000000000002</v>
      </c>
      <c r="F9" s="40">
        <v>11.8</v>
      </c>
      <c r="G9" s="40">
        <v>49.43</v>
      </c>
      <c r="H9" s="40">
        <v>14.69</v>
      </c>
      <c r="I9" s="40">
        <v>12.98</v>
      </c>
      <c r="J9" s="40">
        <v>2.83</v>
      </c>
      <c r="K9" s="40">
        <v>209.01</v>
      </c>
      <c r="L9" s="40">
        <v>30.25</v>
      </c>
      <c r="M9" s="40">
        <v>41.14</v>
      </c>
      <c r="N9" s="40">
        <v>22.9</v>
      </c>
      <c r="O9" s="40">
        <v>0</v>
      </c>
      <c r="P9" s="40">
        <v>0.64</v>
      </c>
      <c r="Q9" s="40">
        <v>28.06</v>
      </c>
      <c r="R9" s="38"/>
      <c r="S9" s="38"/>
      <c r="T9" s="38"/>
      <c r="U9" s="38"/>
    </row>
    <row r="10" spans="1:21" customFormat="1">
      <c r="A10" s="39" t="s">
        <v>445</v>
      </c>
      <c r="B10" s="40">
        <v>4.6900000000000004</v>
      </c>
      <c r="C10" s="40">
        <v>45.07</v>
      </c>
      <c r="D10" s="40">
        <v>27.98</v>
      </c>
      <c r="E10" s="40">
        <v>2.82</v>
      </c>
      <c r="F10" s="40">
        <v>6.56</v>
      </c>
      <c r="G10" s="40">
        <v>47.59</v>
      </c>
      <c r="H10" s="40">
        <v>14.6</v>
      </c>
      <c r="I10" s="40">
        <v>12.46</v>
      </c>
      <c r="J10" s="40">
        <v>2.63</v>
      </c>
      <c r="K10" s="40">
        <v>197.05</v>
      </c>
      <c r="L10" s="40">
        <v>29.55</v>
      </c>
      <c r="M10" s="40">
        <v>43.45</v>
      </c>
      <c r="N10" s="40">
        <v>22.6</v>
      </c>
      <c r="O10" s="40">
        <v>0</v>
      </c>
      <c r="P10" s="40">
        <v>0.61</v>
      </c>
      <c r="Q10" s="40">
        <v>28.04</v>
      </c>
      <c r="R10" s="38"/>
      <c r="S10" s="38"/>
      <c r="T10" s="38"/>
      <c r="U10" s="38"/>
    </row>
    <row r="11" spans="1:21" customFormat="1">
      <c r="A11" s="39" t="s">
        <v>446</v>
      </c>
      <c r="B11" s="40">
        <v>4.9000000000000004</v>
      </c>
      <c r="C11" s="40">
        <v>41.71</v>
      </c>
      <c r="D11" s="40">
        <v>26.14</v>
      </c>
      <c r="E11" s="40">
        <v>2.29</v>
      </c>
      <c r="F11" s="40">
        <v>8.83</v>
      </c>
      <c r="G11" s="40">
        <v>40.72</v>
      </c>
      <c r="H11" s="40">
        <v>13.58</v>
      </c>
      <c r="I11" s="40">
        <v>11.86</v>
      </c>
      <c r="J11" s="40">
        <v>3.11</v>
      </c>
      <c r="K11" s="40">
        <v>188.54</v>
      </c>
      <c r="L11" s="40">
        <v>28.79</v>
      </c>
      <c r="M11" s="40">
        <v>46.84</v>
      </c>
      <c r="N11" s="40">
        <v>22.7</v>
      </c>
      <c r="O11" s="40">
        <v>0</v>
      </c>
      <c r="P11" s="40">
        <v>0.56000000000000005</v>
      </c>
      <c r="Q11" s="40">
        <v>28.2</v>
      </c>
      <c r="R11" s="38"/>
      <c r="S11" s="38"/>
      <c r="T11" s="38"/>
      <c r="U11" s="38"/>
    </row>
    <row r="12" spans="1:21" customFormat="1">
      <c r="A12" s="39" t="s">
        <v>447</v>
      </c>
      <c r="B12" s="40">
        <v>5.08</v>
      </c>
      <c r="C12" s="40">
        <v>45.8</v>
      </c>
      <c r="D12" s="40">
        <v>28.68</v>
      </c>
      <c r="E12" s="40">
        <v>1.66</v>
      </c>
      <c r="F12" s="40">
        <v>7.68</v>
      </c>
      <c r="G12" s="40">
        <v>31.7</v>
      </c>
      <c r="H12" s="40">
        <v>11</v>
      </c>
      <c r="I12" s="40">
        <v>10.74</v>
      </c>
      <c r="J12" s="40">
        <v>3.23</v>
      </c>
      <c r="K12" s="40">
        <v>204.23</v>
      </c>
      <c r="L12" s="40">
        <v>28.05</v>
      </c>
      <c r="M12" s="40">
        <v>48.75</v>
      </c>
      <c r="N12" s="40">
        <v>22.8</v>
      </c>
      <c r="O12" s="40">
        <v>0</v>
      </c>
      <c r="P12" s="40">
        <v>0.56000000000000005</v>
      </c>
      <c r="Q12" s="40">
        <v>28.05</v>
      </c>
      <c r="R12" s="38"/>
      <c r="S12" s="38"/>
      <c r="T12" s="38"/>
      <c r="U12" s="38"/>
    </row>
    <row r="13" spans="1:21" customFormat="1">
      <c r="A13" s="39" t="s">
        <v>448</v>
      </c>
      <c r="B13" s="40">
        <v>6.65</v>
      </c>
      <c r="C13" s="40">
        <v>47.47</v>
      </c>
      <c r="D13" s="40">
        <v>30.65</v>
      </c>
      <c r="E13" s="40">
        <v>1.84</v>
      </c>
      <c r="F13" s="40">
        <v>4.24</v>
      </c>
      <c r="G13" s="40">
        <v>30.75</v>
      </c>
      <c r="H13" s="40">
        <v>12.28</v>
      </c>
      <c r="I13" s="40">
        <v>10.199999999999999</v>
      </c>
      <c r="J13" s="40">
        <v>3.2</v>
      </c>
      <c r="K13" s="40">
        <v>190.1</v>
      </c>
      <c r="L13" s="40">
        <v>27.79</v>
      </c>
      <c r="M13" s="40">
        <v>49.68</v>
      </c>
      <c r="N13" s="40">
        <v>22.6</v>
      </c>
      <c r="O13" s="40">
        <v>0</v>
      </c>
      <c r="P13" s="40">
        <v>0.54</v>
      </c>
      <c r="Q13" s="40">
        <v>27.91</v>
      </c>
      <c r="R13" s="38"/>
      <c r="S13" s="38"/>
      <c r="T13" s="38"/>
      <c r="U13" s="38"/>
    </row>
    <row r="14" spans="1:21" customFormat="1">
      <c r="A14" s="39" t="s">
        <v>449</v>
      </c>
      <c r="B14" s="40">
        <v>7.08</v>
      </c>
      <c r="C14" s="40">
        <v>46.52</v>
      </c>
      <c r="D14" s="40">
        <v>30.53</v>
      </c>
      <c r="E14" s="40">
        <v>2.5099999999999998</v>
      </c>
      <c r="F14" s="40">
        <v>4.99</v>
      </c>
      <c r="G14" s="40">
        <v>30.71</v>
      </c>
      <c r="H14" s="40">
        <v>12.1</v>
      </c>
      <c r="I14" s="40">
        <v>10.08</v>
      </c>
      <c r="J14" s="40">
        <v>3.03</v>
      </c>
      <c r="K14" s="40">
        <v>197.42</v>
      </c>
      <c r="L14" s="40">
        <v>27.65</v>
      </c>
      <c r="M14" s="40">
        <v>52.08</v>
      </c>
      <c r="N14" s="40">
        <v>29.2</v>
      </c>
      <c r="O14" s="40">
        <v>0</v>
      </c>
      <c r="P14" s="40">
        <v>0.51</v>
      </c>
      <c r="Q14" s="40">
        <v>28.17</v>
      </c>
      <c r="R14" s="38"/>
      <c r="S14" s="38"/>
      <c r="T14" s="38"/>
      <c r="U14" s="38"/>
    </row>
    <row r="15" spans="1:21" customFormat="1">
      <c r="A15" s="39" t="s">
        <v>450</v>
      </c>
      <c r="B15" s="40">
        <v>6.85</v>
      </c>
      <c r="C15" s="40">
        <v>42.02</v>
      </c>
      <c r="D15" s="40">
        <v>28.12</v>
      </c>
      <c r="E15" s="40">
        <v>2.62</v>
      </c>
      <c r="F15" s="40">
        <v>5.86</v>
      </c>
      <c r="G15" s="40">
        <v>30.53</v>
      </c>
      <c r="H15" s="40">
        <v>11.02</v>
      </c>
      <c r="I15" s="40">
        <v>9.66</v>
      </c>
      <c r="J15" s="40">
        <v>3.04</v>
      </c>
      <c r="K15" s="40">
        <v>207.18</v>
      </c>
      <c r="L15" s="40">
        <v>27.83</v>
      </c>
      <c r="M15" s="40">
        <v>51.98</v>
      </c>
      <c r="N15" s="40">
        <v>58</v>
      </c>
      <c r="O15" s="40">
        <v>0</v>
      </c>
      <c r="P15" s="40">
        <v>0.52</v>
      </c>
      <c r="Q15" s="40">
        <v>28.07</v>
      </c>
      <c r="R15" s="38"/>
      <c r="S15" s="38"/>
      <c r="T15" s="38"/>
      <c r="U15" s="38"/>
    </row>
    <row r="16" spans="1:21" customFormat="1">
      <c r="A16" s="39" t="s">
        <v>451</v>
      </c>
      <c r="B16" s="40">
        <v>6.38</v>
      </c>
      <c r="C16" s="40">
        <v>45.48</v>
      </c>
      <c r="D16" s="40">
        <v>29.55</v>
      </c>
      <c r="E16" s="40">
        <v>2.66</v>
      </c>
      <c r="F16" s="40">
        <v>4.8899999999999997</v>
      </c>
      <c r="G16" s="40">
        <v>29.47</v>
      </c>
      <c r="H16" s="40">
        <v>11.1</v>
      </c>
      <c r="I16" s="40">
        <v>9.6199999999999992</v>
      </c>
      <c r="J16" s="40">
        <v>2.99</v>
      </c>
      <c r="K16" s="40">
        <v>234.07</v>
      </c>
      <c r="L16" s="40">
        <v>28.97</v>
      </c>
      <c r="M16" s="40">
        <v>51.75</v>
      </c>
      <c r="N16" s="40">
        <v>99.2</v>
      </c>
      <c r="O16" s="40">
        <v>0</v>
      </c>
      <c r="P16" s="40">
        <v>0.53</v>
      </c>
      <c r="Q16" s="40">
        <v>27.96</v>
      </c>
      <c r="R16" s="38"/>
      <c r="S16" s="38"/>
      <c r="T16" s="38"/>
      <c r="U16" s="38"/>
    </row>
    <row r="17" spans="1:21" customFormat="1">
      <c r="A17" s="39" t="s">
        <v>452</v>
      </c>
      <c r="B17" s="40">
        <v>6.46</v>
      </c>
      <c r="C17" s="40">
        <v>43.28</v>
      </c>
      <c r="D17" s="40">
        <v>28.47</v>
      </c>
      <c r="E17" s="40">
        <v>2.77</v>
      </c>
      <c r="F17" s="40">
        <v>5.99</v>
      </c>
      <c r="G17" s="40">
        <v>34.78</v>
      </c>
      <c r="H17" s="40">
        <v>12.4</v>
      </c>
      <c r="I17" s="40">
        <v>9.99</v>
      </c>
      <c r="J17" s="40">
        <v>4.1100000000000003</v>
      </c>
      <c r="K17" s="40">
        <v>248.4</v>
      </c>
      <c r="L17" s="40">
        <v>30.66</v>
      </c>
      <c r="M17" s="40">
        <v>50.86</v>
      </c>
      <c r="N17" s="40">
        <v>151.5</v>
      </c>
      <c r="O17" s="40">
        <v>0</v>
      </c>
      <c r="P17" s="40">
        <v>0.55000000000000004</v>
      </c>
      <c r="Q17" s="40">
        <v>28.18</v>
      </c>
      <c r="R17" s="38"/>
      <c r="S17" s="38"/>
      <c r="T17" s="38"/>
      <c r="U17" s="38"/>
    </row>
    <row r="18" spans="1:21" customFormat="1">
      <c r="A18" s="39" t="s">
        <v>453</v>
      </c>
      <c r="B18" s="40">
        <v>4.8099999999999996</v>
      </c>
      <c r="C18" s="40">
        <v>38.24</v>
      </c>
      <c r="D18" s="40">
        <v>24.02</v>
      </c>
      <c r="E18" s="40">
        <v>2.76</v>
      </c>
      <c r="F18" s="40">
        <v>9.57</v>
      </c>
      <c r="G18" s="40">
        <v>37.83</v>
      </c>
      <c r="H18" s="40">
        <v>13.94</v>
      </c>
      <c r="I18" s="40">
        <v>9.8699999999999992</v>
      </c>
      <c r="J18" s="40">
        <v>3.5</v>
      </c>
      <c r="K18" s="40">
        <v>210.25</v>
      </c>
      <c r="L18" s="40">
        <v>32.770000000000003</v>
      </c>
      <c r="M18" s="40">
        <v>47.01</v>
      </c>
      <c r="N18" s="40">
        <v>375</v>
      </c>
      <c r="O18" s="40">
        <v>0</v>
      </c>
      <c r="P18" s="40">
        <v>0.56000000000000005</v>
      </c>
      <c r="Q18" s="40">
        <v>28.33</v>
      </c>
      <c r="R18" s="38"/>
      <c r="S18" s="38"/>
      <c r="T18" s="38"/>
      <c r="U18" s="38"/>
    </row>
    <row r="19" spans="1:21" customFormat="1">
      <c r="A19" s="39" t="s">
        <v>454</v>
      </c>
      <c r="B19" s="40">
        <v>3.03</v>
      </c>
      <c r="C19" s="40">
        <v>35.89</v>
      </c>
      <c r="D19" s="40">
        <v>21.82</v>
      </c>
      <c r="E19" s="40">
        <v>3.06</v>
      </c>
      <c r="F19" s="40">
        <v>10.34</v>
      </c>
      <c r="G19" s="40">
        <v>37.19</v>
      </c>
      <c r="H19" s="40">
        <v>13.3</v>
      </c>
      <c r="I19" s="40">
        <v>9.59</v>
      </c>
      <c r="J19" s="40">
        <v>3.92</v>
      </c>
      <c r="K19" s="40">
        <v>231.46</v>
      </c>
      <c r="L19" s="40">
        <v>34.68</v>
      </c>
      <c r="M19" s="40">
        <v>41.6</v>
      </c>
      <c r="N19" s="40">
        <v>494.8</v>
      </c>
      <c r="O19" s="40">
        <v>0</v>
      </c>
      <c r="P19" s="40">
        <v>0.56999999999999995</v>
      </c>
      <c r="Q19" s="40">
        <v>28.48</v>
      </c>
      <c r="R19" s="38"/>
      <c r="S19" s="38"/>
      <c r="T19" s="38"/>
      <c r="U19" s="38"/>
    </row>
    <row r="20" spans="1:21" customFormat="1">
      <c r="A20" s="39" t="s">
        <v>455</v>
      </c>
      <c r="B20" s="40">
        <v>2.38</v>
      </c>
      <c r="C20" s="40">
        <v>37.32</v>
      </c>
      <c r="D20" s="40">
        <v>22.02</v>
      </c>
      <c r="E20" s="40">
        <v>3.14</v>
      </c>
      <c r="F20" s="40">
        <v>15.18</v>
      </c>
      <c r="G20" s="40">
        <v>36.28</v>
      </c>
      <c r="H20" s="40">
        <v>11.26</v>
      </c>
      <c r="I20" s="40">
        <v>10.76</v>
      </c>
      <c r="J20" s="40">
        <v>4.54</v>
      </c>
      <c r="K20" s="40">
        <v>252.21</v>
      </c>
      <c r="L20" s="40">
        <v>36.07</v>
      </c>
      <c r="M20" s="40">
        <v>35.130000000000003</v>
      </c>
      <c r="N20" s="40">
        <v>515.5</v>
      </c>
      <c r="O20" s="40">
        <v>0</v>
      </c>
      <c r="P20" s="40">
        <v>0.56999999999999995</v>
      </c>
      <c r="Q20" s="40">
        <v>28.67</v>
      </c>
      <c r="R20" s="38"/>
      <c r="S20" s="38"/>
      <c r="T20" s="38"/>
      <c r="U20" s="38"/>
    </row>
    <row r="21" spans="1:21" customFormat="1">
      <c r="A21" s="39" t="s">
        <v>456</v>
      </c>
      <c r="B21" s="40">
        <v>2.2000000000000002</v>
      </c>
      <c r="C21" s="40">
        <v>31.54</v>
      </c>
      <c r="D21" s="40">
        <v>18.87</v>
      </c>
      <c r="E21" s="40">
        <v>1.88</v>
      </c>
      <c r="F21" s="40">
        <v>16.670000000000002</v>
      </c>
      <c r="G21" s="40">
        <v>41.22</v>
      </c>
      <c r="H21" s="40">
        <v>12.54</v>
      </c>
      <c r="I21" s="40">
        <v>11.41</v>
      </c>
      <c r="J21" s="40">
        <v>4.2699999999999996</v>
      </c>
      <c r="K21" s="40">
        <v>228.77</v>
      </c>
      <c r="L21" s="40">
        <v>37.79</v>
      </c>
      <c r="M21" s="40">
        <v>31.78</v>
      </c>
      <c r="N21" s="40">
        <v>510.2</v>
      </c>
      <c r="O21" s="40">
        <v>0</v>
      </c>
      <c r="P21" s="40">
        <v>0.59</v>
      </c>
      <c r="Q21" s="40">
        <v>28.69</v>
      </c>
      <c r="R21" s="38"/>
      <c r="S21" s="38"/>
      <c r="T21" s="38"/>
      <c r="U21" s="38"/>
    </row>
    <row r="22" spans="1:21" customFormat="1">
      <c r="A22" s="39" t="s">
        <v>457</v>
      </c>
      <c r="B22" s="40">
        <v>2.3199999999999998</v>
      </c>
      <c r="C22" s="40">
        <v>39.64</v>
      </c>
      <c r="D22" s="40">
        <v>23.08</v>
      </c>
      <c r="E22" s="40">
        <v>2.2000000000000002</v>
      </c>
      <c r="F22" s="40">
        <v>19.350000000000001</v>
      </c>
      <c r="G22" s="40">
        <v>44.83</v>
      </c>
      <c r="H22" s="40">
        <v>14.34</v>
      </c>
      <c r="I22" s="40">
        <v>11.32</v>
      </c>
      <c r="J22" s="40">
        <v>3.49</v>
      </c>
      <c r="K22" s="40">
        <v>245.56</v>
      </c>
      <c r="L22" s="40">
        <v>38.35</v>
      </c>
      <c r="M22" s="40">
        <v>30.54</v>
      </c>
      <c r="N22" s="40">
        <v>485</v>
      </c>
      <c r="O22" s="40">
        <v>0</v>
      </c>
      <c r="P22" s="40">
        <v>0.62</v>
      </c>
      <c r="Q22" s="40">
        <v>28.51</v>
      </c>
      <c r="R22" s="38"/>
      <c r="S22" s="38"/>
      <c r="T22" s="38"/>
      <c r="U22" s="38"/>
    </row>
    <row r="23" spans="1:21" customFormat="1">
      <c r="A23" s="39" t="s">
        <v>458</v>
      </c>
      <c r="B23" s="40">
        <v>2.08</v>
      </c>
      <c r="C23" s="40">
        <v>39.229999999999997</v>
      </c>
      <c r="D23" s="40">
        <v>22.81</v>
      </c>
      <c r="E23" s="40">
        <v>3.82</v>
      </c>
      <c r="F23" s="40">
        <v>15.62</v>
      </c>
      <c r="G23" s="40">
        <v>44.71</v>
      </c>
      <c r="H23" s="40">
        <v>14.13</v>
      </c>
      <c r="I23" s="40">
        <v>11.2</v>
      </c>
      <c r="J23" s="40">
        <v>3.43</v>
      </c>
      <c r="K23" s="40">
        <v>224.12</v>
      </c>
      <c r="L23" s="40">
        <v>38.299999999999997</v>
      </c>
      <c r="M23" s="40">
        <v>29.69</v>
      </c>
      <c r="N23" s="40">
        <v>287.5</v>
      </c>
      <c r="O23" s="40">
        <v>0</v>
      </c>
      <c r="P23" s="40">
        <v>0.61</v>
      </c>
      <c r="Q23" s="40">
        <v>28.8</v>
      </c>
      <c r="R23" s="38"/>
      <c r="S23" s="38"/>
      <c r="T23" s="38"/>
      <c r="U23" s="38"/>
    </row>
    <row r="24" spans="1:21" customFormat="1">
      <c r="A24" s="39" t="s">
        <v>459</v>
      </c>
      <c r="B24" s="40">
        <v>2.21</v>
      </c>
      <c r="C24" s="40">
        <v>35.450000000000003</v>
      </c>
      <c r="D24" s="40">
        <v>20.94</v>
      </c>
      <c r="E24" s="40">
        <v>3.96</v>
      </c>
      <c r="F24" s="40">
        <v>19.82</v>
      </c>
      <c r="G24" s="40">
        <v>47.1</v>
      </c>
      <c r="H24" s="40">
        <v>14.91</v>
      </c>
      <c r="I24" s="40">
        <v>10.94</v>
      </c>
      <c r="J24" s="40">
        <v>3.64</v>
      </c>
      <c r="K24" s="40">
        <v>244.1</v>
      </c>
      <c r="L24" s="40">
        <v>37.83</v>
      </c>
      <c r="M24" s="40">
        <v>29.59</v>
      </c>
      <c r="N24" s="40">
        <v>295.3</v>
      </c>
      <c r="O24" s="40">
        <v>0</v>
      </c>
      <c r="P24" s="40">
        <v>0.6</v>
      </c>
      <c r="Q24" s="40">
        <v>28.77</v>
      </c>
      <c r="R24" s="38"/>
      <c r="S24" s="38"/>
      <c r="T24" s="38"/>
      <c r="U24" s="38"/>
    </row>
    <row r="25" spans="1:21" customFormat="1">
      <c r="A25" s="39" t="s">
        <v>460</v>
      </c>
      <c r="B25" s="40">
        <v>2.19</v>
      </c>
      <c r="C25" s="40">
        <v>30.06</v>
      </c>
      <c r="D25" s="40">
        <v>18.04</v>
      </c>
      <c r="E25" s="40">
        <v>2.16</v>
      </c>
      <c r="F25" s="40">
        <v>17.079999999999998</v>
      </c>
      <c r="G25" s="40">
        <v>48.61</v>
      </c>
      <c r="H25" s="40">
        <v>14.65</v>
      </c>
      <c r="I25" s="40">
        <v>10.43</v>
      </c>
      <c r="J25" s="40">
        <v>5.12</v>
      </c>
      <c r="K25" s="40">
        <v>241.3</v>
      </c>
      <c r="L25" s="40">
        <v>37.33</v>
      </c>
      <c r="M25" s="40">
        <v>29.41</v>
      </c>
      <c r="N25" s="40">
        <v>211.7</v>
      </c>
      <c r="O25" s="40">
        <v>0</v>
      </c>
      <c r="P25" s="40">
        <v>0.57999999999999996</v>
      </c>
      <c r="Q25" s="40">
        <v>28.79</v>
      </c>
      <c r="R25" s="38"/>
      <c r="S25" s="38"/>
      <c r="T25" s="38"/>
      <c r="U25" s="38"/>
    </row>
    <row r="26" spans="1:21" customFormat="1">
      <c r="A26" s="39" t="s">
        <v>461</v>
      </c>
      <c r="B26" s="40">
        <v>2.74</v>
      </c>
      <c r="C26" s="40">
        <v>36.57</v>
      </c>
      <c r="D26" s="40">
        <v>21.96</v>
      </c>
      <c r="E26" s="40">
        <v>6.39</v>
      </c>
      <c r="F26" s="40">
        <v>15.09</v>
      </c>
      <c r="G26" s="40">
        <v>51.1</v>
      </c>
      <c r="H26" s="40">
        <v>13.19</v>
      </c>
      <c r="I26" s="40">
        <v>10.02</v>
      </c>
      <c r="J26" s="40">
        <v>3.99</v>
      </c>
      <c r="K26" s="40">
        <v>236</v>
      </c>
      <c r="L26" s="40">
        <v>36.770000000000003</v>
      </c>
      <c r="M26" s="40">
        <v>27.25</v>
      </c>
      <c r="N26" s="40">
        <v>120.9</v>
      </c>
      <c r="O26" s="40">
        <v>0</v>
      </c>
      <c r="P26" s="40">
        <v>0.56999999999999995</v>
      </c>
      <c r="Q26" s="40">
        <v>28.53</v>
      </c>
      <c r="R26" s="38"/>
      <c r="S26" s="38"/>
      <c r="T26" s="38"/>
      <c r="U26" s="38"/>
    </row>
    <row r="27" spans="1:21" customFormat="1">
      <c r="A27" s="39" t="s">
        <v>462</v>
      </c>
      <c r="B27" s="40">
        <v>2.61</v>
      </c>
      <c r="C27" s="40">
        <v>33.869999999999997</v>
      </c>
      <c r="D27" s="40">
        <v>20.46</v>
      </c>
      <c r="E27" s="40">
        <v>5.22</v>
      </c>
      <c r="F27" s="40">
        <v>29.55</v>
      </c>
      <c r="G27" s="40">
        <v>51.77</v>
      </c>
      <c r="H27" s="40">
        <v>12.35</v>
      </c>
      <c r="I27" s="40">
        <v>11.14</v>
      </c>
      <c r="J27" s="40">
        <v>3.14</v>
      </c>
      <c r="K27" s="40">
        <v>201.19</v>
      </c>
      <c r="L27" s="40">
        <v>35.880000000000003</v>
      </c>
      <c r="M27" s="40">
        <v>33.56</v>
      </c>
      <c r="N27" s="40">
        <v>28.8</v>
      </c>
      <c r="O27" s="40">
        <v>0</v>
      </c>
      <c r="P27" s="40">
        <v>0.51</v>
      </c>
      <c r="Q27" s="40">
        <v>28.76</v>
      </c>
      <c r="R27" s="38"/>
      <c r="S27" s="38"/>
      <c r="T27" s="38"/>
      <c r="U27" s="38"/>
    </row>
    <row r="28" spans="1:21" customFormat="1">
      <c r="A28" s="39" t="s">
        <v>463</v>
      </c>
      <c r="B28" s="40">
        <v>2.4</v>
      </c>
      <c r="C28" s="40">
        <v>30.44</v>
      </c>
      <c r="D28" s="40">
        <v>18.5</v>
      </c>
      <c r="E28" s="40">
        <v>3.72</v>
      </c>
      <c r="F28" s="40">
        <v>31.07</v>
      </c>
      <c r="G28" s="40">
        <v>50.75</v>
      </c>
      <c r="H28" s="40">
        <v>14.19</v>
      </c>
      <c r="I28" s="40">
        <v>9.02</v>
      </c>
      <c r="J28" s="40">
        <v>3.3</v>
      </c>
      <c r="K28" s="40">
        <v>206.46</v>
      </c>
      <c r="L28" s="40">
        <v>34.82</v>
      </c>
      <c r="M28" s="40">
        <v>35.51</v>
      </c>
      <c r="N28" s="40">
        <v>22.9</v>
      </c>
      <c r="O28" s="40">
        <v>0</v>
      </c>
      <c r="P28" s="40">
        <v>0.5</v>
      </c>
      <c r="Q28" s="40">
        <v>28.76</v>
      </c>
      <c r="R28" s="38"/>
      <c r="S28" s="38"/>
      <c r="T28" s="38"/>
      <c r="U28" s="38"/>
    </row>
    <row r="29" spans="1:21" customFormat="1">
      <c r="A29" s="39" t="s">
        <v>464</v>
      </c>
      <c r="B29" s="40">
        <v>3.32</v>
      </c>
      <c r="C29" s="40">
        <v>42.89</v>
      </c>
      <c r="D29" s="40">
        <v>25.71</v>
      </c>
      <c r="E29" s="40">
        <v>4.09</v>
      </c>
      <c r="F29" s="40">
        <v>21.85</v>
      </c>
      <c r="G29" s="40">
        <v>45.62</v>
      </c>
      <c r="H29" s="40">
        <v>14.14</v>
      </c>
      <c r="I29" s="40">
        <v>9.92</v>
      </c>
      <c r="J29" s="40">
        <v>2.95</v>
      </c>
      <c r="K29" s="40">
        <v>195.88</v>
      </c>
      <c r="L29" s="40">
        <v>33.43</v>
      </c>
      <c r="M29" s="40">
        <v>37.909999999999997</v>
      </c>
      <c r="N29" s="40">
        <v>22.8</v>
      </c>
      <c r="O29" s="40">
        <v>0</v>
      </c>
      <c r="P29" s="40">
        <v>0.56000000000000005</v>
      </c>
      <c r="Q29" s="40">
        <v>28.25</v>
      </c>
      <c r="R29" s="38"/>
      <c r="S29" s="38"/>
      <c r="T29" s="38"/>
      <c r="U29" s="38"/>
    </row>
    <row r="30" spans="1:21" customFormat="1">
      <c r="A30" s="39" t="s">
        <v>465</v>
      </c>
      <c r="B30" s="40">
        <v>3.78</v>
      </c>
      <c r="C30" s="40">
        <v>41.48</v>
      </c>
      <c r="D30" s="40">
        <v>25.32</v>
      </c>
      <c r="E30" s="40">
        <v>3.8</v>
      </c>
      <c r="F30" s="40">
        <v>16.399999999999999</v>
      </c>
      <c r="G30" s="40">
        <v>49.63</v>
      </c>
      <c r="H30" s="40">
        <v>16.489999999999998</v>
      </c>
      <c r="I30" s="40">
        <v>9.86</v>
      </c>
      <c r="J30" s="40">
        <v>2.79</v>
      </c>
      <c r="K30" s="40">
        <v>199.28</v>
      </c>
      <c r="L30" s="40">
        <v>32.82</v>
      </c>
      <c r="M30" s="40">
        <v>42.78</v>
      </c>
      <c r="N30" s="40">
        <v>22.9</v>
      </c>
      <c r="O30" s="40">
        <v>0</v>
      </c>
      <c r="P30" s="40">
        <v>0.5</v>
      </c>
      <c r="Q30" s="40">
        <v>28.32</v>
      </c>
      <c r="R30" s="38"/>
      <c r="S30" s="38"/>
      <c r="T30" s="38"/>
      <c r="U30" s="38"/>
    </row>
    <row r="31" spans="1:21" customFormat="1">
      <c r="A31" s="39" t="s">
        <v>466</v>
      </c>
      <c r="B31" s="40">
        <v>3.55</v>
      </c>
      <c r="C31" s="40">
        <v>31.3</v>
      </c>
      <c r="D31" s="40">
        <v>19.87</v>
      </c>
      <c r="E31" s="40">
        <v>2.74</v>
      </c>
      <c r="F31" s="40">
        <v>15.83</v>
      </c>
      <c r="G31" s="40">
        <v>48.88</v>
      </c>
      <c r="H31" s="40">
        <v>16.100000000000001</v>
      </c>
      <c r="I31" s="40">
        <v>9.51</v>
      </c>
      <c r="J31" s="40">
        <v>3.03</v>
      </c>
      <c r="K31" s="40">
        <v>190.06</v>
      </c>
      <c r="L31" s="40">
        <v>31.46</v>
      </c>
      <c r="M31" s="40">
        <v>48.04</v>
      </c>
      <c r="N31" s="40">
        <v>22.8</v>
      </c>
      <c r="O31" s="40">
        <v>0</v>
      </c>
      <c r="P31" s="40">
        <v>0.51</v>
      </c>
      <c r="Q31" s="40">
        <v>28.63</v>
      </c>
      <c r="R31" s="38"/>
      <c r="S31" s="38"/>
      <c r="T31" s="38"/>
      <c r="U31" s="38"/>
    </row>
    <row r="32" spans="1:21" customFormat="1">
      <c r="A32" s="39" t="s">
        <v>467</v>
      </c>
      <c r="B32" s="40">
        <v>4.6500000000000004</v>
      </c>
      <c r="C32" s="40">
        <v>42.58</v>
      </c>
      <c r="D32" s="40">
        <v>26.65</v>
      </c>
      <c r="E32" s="40">
        <v>2.3199999999999998</v>
      </c>
      <c r="F32" s="40">
        <v>12.98</v>
      </c>
      <c r="G32" s="40">
        <v>44.29</v>
      </c>
      <c r="H32" s="40">
        <v>14.22</v>
      </c>
      <c r="I32" s="40">
        <v>8.81</v>
      </c>
      <c r="J32" s="40">
        <v>3.3</v>
      </c>
      <c r="K32" s="40">
        <v>192.08</v>
      </c>
      <c r="L32" s="40">
        <v>30.5</v>
      </c>
      <c r="M32" s="40">
        <v>49.72</v>
      </c>
      <c r="N32" s="40">
        <v>22.7</v>
      </c>
      <c r="O32" s="40">
        <v>0</v>
      </c>
      <c r="P32" s="40">
        <v>0.51</v>
      </c>
      <c r="Q32" s="40">
        <v>28.52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2.08</v>
      </c>
      <c r="C34" s="18">
        <f t="shared" si="0"/>
        <v>30.06</v>
      </c>
      <c r="D34" s="18">
        <f t="shared" si="0"/>
        <v>18.04</v>
      </c>
      <c r="E34" s="18">
        <f t="shared" si="0"/>
        <v>1.66</v>
      </c>
      <c r="F34" s="18">
        <f t="shared" si="0"/>
        <v>4.24</v>
      </c>
      <c r="G34" s="18">
        <f t="shared" si="0"/>
        <v>29.47</v>
      </c>
      <c r="H34" s="18">
        <f t="shared" si="0"/>
        <v>11</v>
      </c>
      <c r="I34" s="18">
        <f t="shared" si="0"/>
        <v>8.81</v>
      </c>
      <c r="J34" s="18">
        <f t="shared" si="0"/>
        <v>2.63</v>
      </c>
      <c r="K34" s="18">
        <f t="shared" si="0"/>
        <v>188.54</v>
      </c>
      <c r="L34" s="18">
        <f t="shared" si="0"/>
        <v>27.65</v>
      </c>
      <c r="M34" s="18">
        <f t="shared" si="0"/>
        <v>27.25</v>
      </c>
      <c r="N34" s="18">
        <f t="shared" si="0"/>
        <v>22.6</v>
      </c>
      <c r="O34" s="18">
        <f t="shared" si="0"/>
        <v>0</v>
      </c>
      <c r="P34" s="18">
        <f t="shared" si="0"/>
        <v>0.5</v>
      </c>
      <c r="Q34" s="18">
        <f t="shared" si="0"/>
        <v>27.91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7.08</v>
      </c>
      <c r="C35" s="3">
        <f t="shared" si="1"/>
        <v>47.47</v>
      </c>
      <c r="D35" s="3">
        <f t="shared" si="1"/>
        <v>30.65</v>
      </c>
      <c r="E35" s="3">
        <f t="shared" si="1"/>
        <v>6.39</v>
      </c>
      <c r="F35" s="3">
        <f t="shared" si="1"/>
        <v>31.07</v>
      </c>
      <c r="G35" s="3">
        <f t="shared" si="1"/>
        <v>51.77</v>
      </c>
      <c r="H35" s="3">
        <f t="shared" si="1"/>
        <v>16.489999999999998</v>
      </c>
      <c r="I35" s="3">
        <f t="shared" si="1"/>
        <v>12.98</v>
      </c>
      <c r="J35" s="3">
        <f t="shared" si="1"/>
        <v>5.12</v>
      </c>
      <c r="K35" s="3">
        <f t="shared" si="1"/>
        <v>252.21</v>
      </c>
      <c r="L35" s="3">
        <f t="shared" si="1"/>
        <v>38.35</v>
      </c>
      <c r="M35" s="3">
        <f t="shared" si="1"/>
        <v>52.08</v>
      </c>
      <c r="N35" s="3">
        <f t="shared" si="1"/>
        <v>515.5</v>
      </c>
      <c r="O35" s="3">
        <f t="shared" si="1"/>
        <v>0</v>
      </c>
      <c r="P35" s="3">
        <f t="shared" si="1"/>
        <v>0.64</v>
      </c>
      <c r="Q35" s="3">
        <f t="shared" si="1"/>
        <v>28.8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3.9966666666666661</v>
      </c>
      <c r="C36" s="18">
        <f t="shared" si="2"/>
        <v>39.541666666666671</v>
      </c>
      <c r="D36" s="18">
        <f t="shared" si="2"/>
        <v>24.465416666666666</v>
      </c>
      <c r="E36" s="18">
        <f t="shared" si="2"/>
        <v>3.0374999999999996</v>
      </c>
      <c r="F36" s="18">
        <f t="shared" si="2"/>
        <v>13.635000000000003</v>
      </c>
      <c r="G36" s="18">
        <f t="shared" si="2"/>
        <v>41.895416666666669</v>
      </c>
      <c r="H36" s="18">
        <f t="shared" si="2"/>
        <v>13.438333333333334</v>
      </c>
      <c r="I36" s="18">
        <f t="shared" si="2"/>
        <v>10.474583333333333</v>
      </c>
      <c r="J36" s="18">
        <f t="shared" si="2"/>
        <v>3.4408333333333339</v>
      </c>
      <c r="K36" s="18">
        <f t="shared" si="2"/>
        <v>215.61333333333334</v>
      </c>
      <c r="L36" s="18">
        <f t="shared" si="2"/>
        <v>32.847500000000004</v>
      </c>
      <c r="M36" s="18">
        <f t="shared" si="2"/>
        <v>41.08541666666666</v>
      </c>
      <c r="N36" s="18">
        <f t="shared" si="2"/>
        <v>162.09583333333336</v>
      </c>
      <c r="O36" s="18">
        <f t="shared" si="2"/>
        <v>0</v>
      </c>
      <c r="P36" s="18">
        <f t="shared" si="2"/>
        <v>0.5575</v>
      </c>
      <c r="Q36" s="18">
        <f t="shared" si="2"/>
        <v>28.393750000000001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1.7024168668119464</v>
      </c>
      <c r="C37" s="18">
        <f t="shared" ref="C37:Q37" si="3">STDEV(C9:C32)</f>
        <v>5.4354989904664732</v>
      </c>
      <c r="D37" s="18">
        <f t="shared" si="3"/>
        <v>3.947768746989913</v>
      </c>
      <c r="E37" s="18">
        <f t="shared" si="3"/>
        <v>1.1043323775023546</v>
      </c>
      <c r="F37" s="18">
        <f t="shared" si="3"/>
        <v>7.3301396866694741</v>
      </c>
      <c r="G37" s="18">
        <f t="shared" si="3"/>
        <v>7.5936695483899461</v>
      </c>
      <c r="H37" s="18">
        <f t="shared" si="3"/>
        <v>1.5388975914924949</v>
      </c>
      <c r="I37" s="18">
        <f t="shared" si="3"/>
        <v>1.0380666777891641</v>
      </c>
      <c r="J37" s="18">
        <f t="shared" si="3"/>
        <v>0.60715241741346349</v>
      </c>
      <c r="K37" s="18">
        <f t="shared" si="3"/>
        <v>21.38932294935686</v>
      </c>
      <c r="L37" s="18">
        <f t="shared" si="3"/>
        <v>3.8109604518043758</v>
      </c>
      <c r="M37" s="18">
        <f t="shared" si="3"/>
        <v>8.6026497329332603</v>
      </c>
      <c r="N37" s="18">
        <f t="shared" si="3"/>
        <v>185.14809226357309</v>
      </c>
      <c r="O37" s="18">
        <f t="shared" si="3"/>
        <v>0</v>
      </c>
      <c r="P37" s="18">
        <f t="shared" si="3"/>
        <v>4.0780430089209077E-2</v>
      </c>
      <c r="Q37" s="18">
        <f t="shared" si="3"/>
        <v>0.29871918614965659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6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18/04/2025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468</v>
      </c>
      <c r="B9" s="40">
        <v>5.84</v>
      </c>
      <c r="C9" s="40">
        <v>42.26</v>
      </c>
      <c r="D9" s="40">
        <v>26.87</v>
      </c>
      <c r="E9" s="40">
        <v>2.4300000000000002</v>
      </c>
      <c r="F9" s="40">
        <v>6.71</v>
      </c>
      <c r="G9" s="40">
        <v>39.880000000000003</v>
      </c>
      <c r="H9" s="40">
        <v>13.96</v>
      </c>
      <c r="I9" s="40">
        <v>8.92</v>
      </c>
      <c r="J9" s="40">
        <v>3.25</v>
      </c>
      <c r="K9" s="40">
        <v>187.76</v>
      </c>
      <c r="L9" s="40">
        <v>30.43</v>
      </c>
      <c r="M9" s="40">
        <v>50.68</v>
      </c>
      <c r="N9" s="40">
        <v>22.6</v>
      </c>
      <c r="O9" s="40">
        <v>0</v>
      </c>
      <c r="P9" s="40">
        <v>0.47</v>
      </c>
      <c r="Q9" s="40">
        <v>28.13</v>
      </c>
      <c r="R9" s="38"/>
      <c r="S9" s="38"/>
      <c r="T9" s="38"/>
      <c r="U9" s="38"/>
    </row>
    <row r="10" spans="1:21" customFormat="1">
      <c r="A10" s="39" t="s">
        <v>469</v>
      </c>
      <c r="B10" s="40">
        <v>5.81</v>
      </c>
      <c r="C10" s="40">
        <v>37.380000000000003</v>
      </c>
      <c r="D10" s="40">
        <v>24.73</v>
      </c>
      <c r="E10" s="40">
        <v>1.95</v>
      </c>
      <c r="F10" s="40">
        <v>10.49</v>
      </c>
      <c r="G10" s="40">
        <v>37.74</v>
      </c>
      <c r="H10" s="40">
        <v>15.94</v>
      </c>
      <c r="I10" s="40">
        <v>8.93</v>
      </c>
      <c r="J10" s="40">
        <v>3.07</v>
      </c>
      <c r="K10" s="40">
        <v>258.54000000000002</v>
      </c>
      <c r="L10" s="40">
        <v>29.86</v>
      </c>
      <c r="M10" s="40">
        <v>52.25</v>
      </c>
      <c r="N10" s="40">
        <v>22.6</v>
      </c>
      <c r="O10" s="40">
        <v>0</v>
      </c>
      <c r="P10" s="40">
        <v>0.48</v>
      </c>
      <c r="Q10" s="40">
        <v>28.46</v>
      </c>
      <c r="R10" s="38"/>
      <c r="S10" s="38"/>
      <c r="T10" s="38"/>
      <c r="U10" s="38"/>
    </row>
    <row r="11" spans="1:21" customFormat="1">
      <c r="A11" s="39" t="s">
        <v>470</v>
      </c>
      <c r="B11" s="40">
        <v>5.83</v>
      </c>
      <c r="C11" s="40">
        <v>37.28</v>
      </c>
      <c r="D11" s="40">
        <v>24.83</v>
      </c>
      <c r="E11" s="40">
        <v>1.8</v>
      </c>
      <c r="F11" s="40">
        <v>11.94</v>
      </c>
      <c r="G11" s="40">
        <v>36.18</v>
      </c>
      <c r="H11" s="40">
        <v>15.58</v>
      </c>
      <c r="I11" s="40">
        <v>8.42</v>
      </c>
      <c r="J11" s="40">
        <v>2.61</v>
      </c>
      <c r="K11" s="40">
        <v>241.08</v>
      </c>
      <c r="L11" s="40">
        <v>29.58</v>
      </c>
      <c r="M11" s="40">
        <v>52.89</v>
      </c>
      <c r="N11" s="40">
        <v>22.9</v>
      </c>
      <c r="O11" s="40">
        <v>0</v>
      </c>
      <c r="P11" s="40">
        <v>0.46</v>
      </c>
      <c r="Q11" s="40">
        <v>28.46</v>
      </c>
      <c r="R11" s="38"/>
      <c r="S11" s="38"/>
      <c r="T11" s="38"/>
      <c r="U11" s="38"/>
    </row>
    <row r="12" spans="1:21" customFormat="1">
      <c r="A12" s="39" t="s">
        <v>471</v>
      </c>
      <c r="B12" s="40">
        <v>7.72</v>
      </c>
      <c r="C12" s="40">
        <v>41.79</v>
      </c>
      <c r="D12" s="40">
        <v>28.7</v>
      </c>
      <c r="E12" s="40">
        <v>1.94</v>
      </c>
      <c r="F12" s="40">
        <v>6.59</v>
      </c>
      <c r="G12" s="40">
        <v>33.97</v>
      </c>
      <c r="H12" s="40">
        <v>13.43</v>
      </c>
      <c r="I12" s="40">
        <v>8.32</v>
      </c>
      <c r="J12" s="40">
        <v>3</v>
      </c>
      <c r="K12" s="40">
        <v>280.86</v>
      </c>
      <c r="L12" s="40">
        <v>29.17</v>
      </c>
      <c r="M12" s="40">
        <v>53.09</v>
      </c>
      <c r="N12" s="40">
        <v>22.4</v>
      </c>
      <c r="O12" s="40">
        <v>0</v>
      </c>
      <c r="P12" s="40">
        <v>0.46</v>
      </c>
      <c r="Q12" s="40">
        <v>28.03</v>
      </c>
      <c r="R12" s="38"/>
      <c r="S12" s="38"/>
      <c r="T12" s="38"/>
      <c r="U12" s="38"/>
    </row>
    <row r="13" spans="1:21" customFormat="1">
      <c r="A13" s="39" t="s">
        <v>472</v>
      </c>
      <c r="B13" s="40">
        <v>8.57</v>
      </c>
      <c r="C13" s="40">
        <v>39.22</v>
      </c>
      <c r="D13" s="40">
        <v>27.81</v>
      </c>
      <c r="E13" s="40">
        <v>1.95</v>
      </c>
      <c r="F13" s="40">
        <v>7.6</v>
      </c>
      <c r="G13" s="40">
        <v>34.229999999999997</v>
      </c>
      <c r="H13" s="40">
        <v>11.72</v>
      </c>
      <c r="I13" s="40">
        <v>9.7799999999999994</v>
      </c>
      <c r="J13" s="40">
        <v>3.12</v>
      </c>
      <c r="K13" s="40">
        <v>257.49</v>
      </c>
      <c r="L13" s="40">
        <v>28.99</v>
      </c>
      <c r="M13" s="40">
        <v>53.4</v>
      </c>
      <c r="N13" s="40">
        <v>22.6</v>
      </c>
      <c r="O13" s="40">
        <v>0</v>
      </c>
      <c r="P13" s="40">
        <v>0.55000000000000004</v>
      </c>
      <c r="Q13" s="40">
        <v>28.44</v>
      </c>
      <c r="R13" s="38"/>
      <c r="S13" s="38"/>
      <c r="T13" s="38"/>
      <c r="U13" s="38"/>
    </row>
    <row r="14" spans="1:21" customFormat="1">
      <c r="A14" s="39" t="s">
        <v>473</v>
      </c>
      <c r="B14" s="40">
        <v>10.67</v>
      </c>
      <c r="C14" s="40">
        <v>42.03</v>
      </c>
      <c r="D14" s="40">
        <v>30.37</v>
      </c>
      <c r="E14" s="40">
        <v>2.2599999999999998</v>
      </c>
      <c r="F14" s="40">
        <v>5.7</v>
      </c>
      <c r="G14" s="40">
        <v>44.26</v>
      </c>
      <c r="H14" s="40">
        <v>14.58</v>
      </c>
      <c r="I14" s="40">
        <v>11.53</v>
      </c>
      <c r="J14" s="40">
        <v>3.53</v>
      </c>
      <c r="K14" s="40">
        <v>264.89</v>
      </c>
      <c r="L14" s="40">
        <v>28.85</v>
      </c>
      <c r="M14" s="40">
        <v>55.87</v>
      </c>
      <c r="N14" s="40">
        <v>29.4</v>
      </c>
      <c r="O14" s="40">
        <v>0</v>
      </c>
      <c r="P14" s="40">
        <v>0.57999999999999996</v>
      </c>
      <c r="Q14" s="40">
        <v>27.82</v>
      </c>
      <c r="R14" s="38"/>
      <c r="S14" s="38"/>
      <c r="T14" s="38"/>
      <c r="U14" s="38"/>
    </row>
    <row r="15" spans="1:21" customFormat="1">
      <c r="A15" s="39" t="s">
        <v>474</v>
      </c>
      <c r="B15" s="40">
        <v>11.95</v>
      </c>
      <c r="C15" s="40">
        <v>51.88</v>
      </c>
      <c r="D15" s="40">
        <v>37.03</v>
      </c>
      <c r="E15" s="40">
        <v>2.6</v>
      </c>
      <c r="F15" s="40">
        <v>4.07</v>
      </c>
      <c r="G15" s="40">
        <v>43.91</v>
      </c>
      <c r="H15" s="40">
        <v>14.36</v>
      </c>
      <c r="I15" s="40">
        <v>11.34</v>
      </c>
      <c r="J15" s="40">
        <v>3.16</v>
      </c>
      <c r="K15" s="40">
        <v>255</v>
      </c>
      <c r="L15" s="40">
        <v>28.74</v>
      </c>
      <c r="M15" s="40">
        <v>57.74</v>
      </c>
      <c r="N15" s="40">
        <v>71.900000000000006</v>
      </c>
      <c r="O15" s="40">
        <v>0</v>
      </c>
      <c r="P15" s="40">
        <v>0.56000000000000005</v>
      </c>
      <c r="Q15" s="40">
        <v>27.71</v>
      </c>
      <c r="R15" s="38"/>
      <c r="S15" s="38"/>
      <c r="T15" s="38"/>
      <c r="U15" s="38"/>
    </row>
    <row r="16" spans="1:21" customFormat="1">
      <c r="A16" s="39" t="s">
        <v>475</v>
      </c>
      <c r="B16" s="40">
        <v>12.14</v>
      </c>
      <c r="C16" s="40">
        <v>46.81</v>
      </c>
      <c r="D16" s="40">
        <v>34.76</v>
      </c>
      <c r="E16" s="40">
        <v>2.2999999999999998</v>
      </c>
      <c r="F16" s="40">
        <v>5.62</v>
      </c>
      <c r="G16" s="40">
        <v>43.09</v>
      </c>
      <c r="H16" s="40">
        <v>13.85</v>
      </c>
      <c r="I16" s="40">
        <v>10.91</v>
      </c>
      <c r="J16" s="40">
        <v>3.96</v>
      </c>
      <c r="K16" s="40">
        <v>257.02999999999997</v>
      </c>
      <c r="L16" s="40">
        <v>30.76</v>
      </c>
      <c r="M16" s="40">
        <v>57.44</v>
      </c>
      <c r="N16" s="40">
        <v>103.5</v>
      </c>
      <c r="O16" s="40">
        <v>0</v>
      </c>
      <c r="P16" s="40">
        <v>0.52</v>
      </c>
      <c r="Q16" s="40">
        <v>28</v>
      </c>
      <c r="R16" s="38"/>
      <c r="S16" s="38"/>
      <c r="T16" s="38"/>
      <c r="U16" s="38"/>
    </row>
    <row r="17" spans="1:21" customFormat="1">
      <c r="A17" s="39" t="s">
        <v>476</v>
      </c>
      <c r="B17" s="40">
        <v>10.69</v>
      </c>
      <c r="C17" s="40">
        <v>32.840000000000003</v>
      </c>
      <c r="D17" s="40">
        <v>25.53</v>
      </c>
      <c r="E17" s="40">
        <v>1.68</v>
      </c>
      <c r="F17" s="40">
        <v>6.28</v>
      </c>
      <c r="G17" s="40">
        <v>43.6</v>
      </c>
      <c r="H17" s="40">
        <v>15.94</v>
      </c>
      <c r="I17" s="40">
        <v>10.74</v>
      </c>
      <c r="J17" s="40">
        <v>4.38</v>
      </c>
      <c r="K17" s="40">
        <v>253.7</v>
      </c>
      <c r="L17" s="40">
        <v>32.270000000000003</v>
      </c>
      <c r="M17" s="40">
        <v>53.88</v>
      </c>
      <c r="N17" s="40">
        <v>158.5</v>
      </c>
      <c r="O17" s="40">
        <v>0</v>
      </c>
      <c r="P17" s="40">
        <v>0.53</v>
      </c>
      <c r="Q17" s="40">
        <v>28.28</v>
      </c>
      <c r="R17" s="38"/>
      <c r="S17" s="38"/>
      <c r="T17" s="38"/>
      <c r="U17" s="38"/>
    </row>
    <row r="18" spans="1:21" customFormat="1">
      <c r="A18" s="39" t="s">
        <v>477</v>
      </c>
      <c r="B18" s="40">
        <v>5.39</v>
      </c>
      <c r="C18" s="40">
        <v>37.69</v>
      </c>
      <c r="D18" s="40">
        <v>23.28</v>
      </c>
      <c r="E18" s="40">
        <v>2.12</v>
      </c>
      <c r="F18" s="40">
        <v>8.6</v>
      </c>
      <c r="G18" s="40">
        <v>44.45</v>
      </c>
      <c r="H18" s="40">
        <v>15.94</v>
      </c>
      <c r="I18" s="40">
        <v>10.16</v>
      </c>
      <c r="J18" s="40">
        <v>4.22</v>
      </c>
      <c r="K18" s="40">
        <v>242.69</v>
      </c>
      <c r="L18" s="40">
        <v>34.53</v>
      </c>
      <c r="M18" s="40">
        <v>47.87</v>
      </c>
      <c r="N18" s="40">
        <v>410.5</v>
      </c>
      <c r="O18" s="40">
        <v>0</v>
      </c>
      <c r="P18" s="40">
        <v>0.52</v>
      </c>
      <c r="Q18" s="40">
        <v>28.41</v>
      </c>
      <c r="R18" s="38"/>
      <c r="S18" s="38"/>
      <c r="T18" s="38"/>
      <c r="U18" s="38"/>
    </row>
    <row r="19" spans="1:21" customFormat="1">
      <c r="A19" s="39" t="s">
        <v>478</v>
      </c>
      <c r="B19" s="40">
        <v>3.19</v>
      </c>
      <c r="C19" s="40">
        <v>36.89</v>
      </c>
      <c r="D19" s="40">
        <v>22.51</v>
      </c>
      <c r="E19" s="40">
        <v>2.7</v>
      </c>
      <c r="F19" s="40">
        <v>11.12</v>
      </c>
      <c r="G19" s="40">
        <v>51</v>
      </c>
      <c r="H19" s="40">
        <v>15.76</v>
      </c>
      <c r="I19" s="40">
        <v>9.81</v>
      </c>
      <c r="J19" s="40">
        <v>4.6399999999999997</v>
      </c>
      <c r="K19" s="40">
        <v>248.39</v>
      </c>
      <c r="L19" s="40">
        <v>36.68</v>
      </c>
      <c r="M19" s="40">
        <v>40.64</v>
      </c>
      <c r="N19" s="40">
        <v>529.1</v>
      </c>
      <c r="O19" s="40">
        <v>0</v>
      </c>
      <c r="P19" s="40">
        <v>0.49</v>
      </c>
      <c r="Q19" s="40">
        <v>28.62</v>
      </c>
      <c r="R19" s="38"/>
      <c r="S19" s="38"/>
      <c r="T19" s="38"/>
      <c r="U19" s="38"/>
    </row>
    <row r="20" spans="1:21" customFormat="1">
      <c r="A20" s="39" t="s">
        <v>479</v>
      </c>
      <c r="B20" s="40">
        <v>2.2000000000000002</v>
      </c>
      <c r="C20" s="40">
        <v>27.94</v>
      </c>
      <c r="D20" s="40">
        <v>16.98</v>
      </c>
      <c r="E20" s="40">
        <v>1.95</v>
      </c>
      <c r="F20" s="40">
        <v>18.920000000000002</v>
      </c>
      <c r="G20" s="40">
        <v>50.51</v>
      </c>
      <c r="H20" s="40">
        <v>15.85</v>
      </c>
      <c r="I20" s="40">
        <v>9.69</v>
      </c>
      <c r="J20" s="40">
        <v>4.42</v>
      </c>
      <c r="K20" s="40">
        <v>239.32</v>
      </c>
      <c r="L20" s="40">
        <v>38.51</v>
      </c>
      <c r="M20" s="40">
        <v>33.78</v>
      </c>
      <c r="N20" s="40">
        <v>557</v>
      </c>
      <c r="O20" s="40">
        <v>0</v>
      </c>
      <c r="P20" s="40">
        <v>0.53</v>
      </c>
      <c r="Q20" s="40">
        <v>29.03</v>
      </c>
      <c r="R20" s="38"/>
      <c r="S20" s="38"/>
      <c r="T20" s="38"/>
      <c r="U20" s="38"/>
    </row>
    <row r="21" spans="1:21" customFormat="1">
      <c r="A21" s="39" t="s">
        <v>480</v>
      </c>
      <c r="B21" s="40">
        <v>2.4300000000000002</v>
      </c>
      <c r="C21" s="40">
        <v>30.3</v>
      </c>
      <c r="D21" s="40">
        <v>18.329999999999998</v>
      </c>
      <c r="E21" s="40">
        <v>2.06</v>
      </c>
      <c r="F21" s="40">
        <v>22.62</v>
      </c>
      <c r="G21" s="40">
        <v>47.4</v>
      </c>
      <c r="H21" s="40">
        <v>16.2</v>
      </c>
      <c r="I21" s="40">
        <v>8.59</v>
      </c>
      <c r="J21" s="40">
        <v>4.43</v>
      </c>
      <c r="K21" s="40">
        <v>261.08</v>
      </c>
      <c r="L21" s="40">
        <v>39.549999999999997</v>
      </c>
      <c r="M21" s="40">
        <v>29.12</v>
      </c>
      <c r="N21" s="40">
        <v>541.20000000000005</v>
      </c>
      <c r="O21" s="40">
        <v>0</v>
      </c>
      <c r="P21" s="40">
        <v>0.53</v>
      </c>
      <c r="Q21" s="40">
        <v>29.01</v>
      </c>
      <c r="R21" s="38"/>
      <c r="S21" s="38"/>
      <c r="T21" s="38"/>
      <c r="U21" s="38"/>
    </row>
    <row r="22" spans="1:21" customFormat="1">
      <c r="A22" s="39" t="s">
        <v>481</v>
      </c>
      <c r="B22" s="40">
        <v>2.25</v>
      </c>
      <c r="C22" s="40">
        <v>29.94</v>
      </c>
      <c r="D22" s="40">
        <v>18.12</v>
      </c>
      <c r="E22" s="40">
        <v>3.23</v>
      </c>
      <c r="F22" s="40">
        <v>15.26</v>
      </c>
      <c r="G22" s="40">
        <v>45.23</v>
      </c>
      <c r="H22" s="40">
        <v>15.75</v>
      </c>
      <c r="I22" s="40">
        <v>8.24</v>
      </c>
      <c r="J22" s="40">
        <v>4.4000000000000004</v>
      </c>
      <c r="K22" s="40">
        <v>262.7</v>
      </c>
      <c r="L22" s="40">
        <v>40.340000000000003</v>
      </c>
      <c r="M22" s="40">
        <v>23.85</v>
      </c>
      <c r="N22" s="40">
        <v>519.20000000000005</v>
      </c>
      <c r="O22" s="40">
        <v>0</v>
      </c>
      <c r="P22" s="40">
        <v>0.51</v>
      </c>
      <c r="Q22" s="40">
        <v>28.96</v>
      </c>
      <c r="R22" s="38"/>
      <c r="S22" s="38"/>
      <c r="T22" s="38"/>
      <c r="U22" s="38"/>
    </row>
    <row r="23" spans="1:21" customFormat="1">
      <c r="A23" s="39" t="s">
        <v>482</v>
      </c>
      <c r="B23" s="40">
        <v>2.36</v>
      </c>
      <c r="C23" s="40">
        <v>32.21</v>
      </c>
      <c r="D23" s="40">
        <v>19.27</v>
      </c>
      <c r="E23" s="40">
        <v>3.52</v>
      </c>
      <c r="F23" s="40">
        <v>26.52</v>
      </c>
      <c r="G23" s="40">
        <v>51.54</v>
      </c>
      <c r="H23" s="40">
        <v>19.05</v>
      </c>
      <c r="I23" s="40">
        <v>9.9700000000000006</v>
      </c>
      <c r="J23" s="40">
        <v>3.61</v>
      </c>
      <c r="K23" s="40">
        <v>291.45</v>
      </c>
      <c r="L23" s="40">
        <v>39.770000000000003</v>
      </c>
      <c r="M23" s="40">
        <v>23.2</v>
      </c>
      <c r="N23" s="40">
        <v>115.4</v>
      </c>
      <c r="O23" s="40">
        <v>0</v>
      </c>
      <c r="P23" s="40">
        <v>0.56000000000000005</v>
      </c>
      <c r="Q23" s="40">
        <v>28.91</v>
      </c>
      <c r="R23" s="38"/>
      <c r="S23" s="38"/>
      <c r="T23" s="38"/>
      <c r="U23" s="38"/>
    </row>
    <row r="24" spans="1:21" customFormat="1">
      <c r="A24" s="39" t="s">
        <v>483</v>
      </c>
      <c r="B24" s="40">
        <v>2.19</v>
      </c>
      <c r="C24" s="40">
        <v>27.53</v>
      </c>
      <c r="D24" s="40">
        <v>16.7</v>
      </c>
      <c r="E24" s="40">
        <v>2.61</v>
      </c>
      <c r="F24" s="40">
        <v>13.32</v>
      </c>
      <c r="G24" s="40">
        <v>75.150000000000006</v>
      </c>
      <c r="H24" s="40">
        <v>23.81</v>
      </c>
      <c r="I24" s="40">
        <v>10.1</v>
      </c>
      <c r="J24" s="40">
        <v>6.4</v>
      </c>
      <c r="K24" s="40">
        <v>261.45999999999998</v>
      </c>
      <c r="L24" s="40">
        <v>32.89</v>
      </c>
      <c r="M24" s="40">
        <v>38.64</v>
      </c>
      <c r="N24" s="40">
        <v>102.2</v>
      </c>
      <c r="O24" s="40">
        <v>0</v>
      </c>
      <c r="P24" s="40">
        <v>0.55000000000000004</v>
      </c>
      <c r="Q24" s="40">
        <v>28.82</v>
      </c>
      <c r="R24" s="38"/>
      <c r="S24" s="38"/>
      <c r="T24" s="38"/>
      <c r="U24" s="38"/>
    </row>
    <row r="25" spans="1:21" customFormat="1">
      <c r="A25" s="39" t="s">
        <v>484</v>
      </c>
      <c r="B25" s="40">
        <v>2.4500000000000002</v>
      </c>
      <c r="C25" s="40">
        <v>40.54</v>
      </c>
      <c r="D25" s="40">
        <v>23.61</v>
      </c>
      <c r="E25" s="40">
        <v>2.31</v>
      </c>
      <c r="F25" s="40">
        <v>14.51</v>
      </c>
      <c r="G25" s="40">
        <v>82.85</v>
      </c>
      <c r="H25" s="40">
        <v>22.87</v>
      </c>
      <c r="I25" s="40">
        <v>8.42</v>
      </c>
      <c r="J25" s="40">
        <v>5.27</v>
      </c>
      <c r="K25" s="40">
        <v>228.88</v>
      </c>
      <c r="L25" s="40">
        <v>33.33</v>
      </c>
      <c r="M25" s="40">
        <v>36.68</v>
      </c>
      <c r="N25" s="40">
        <v>281</v>
      </c>
      <c r="O25" s="40">
        <v>0</v>
      </c>
      <c r="P25" s="40">
        <v>0.48</v>
      </c>
      <c r="Q25" s="40">
        <v>28.56</v>
      </c>
      <c r="R25" s="38"/>
      <c r="S25" s="38"/>
      <c r="T25" s="38"/>
      <c r="U25" s="38"/>
    </row>
    <row r="26" spans="1:21" customFormat="1">
      <c r="A26" s="39" t="s">
        <v>485</v>
      </c>
      <c r="B26" s="40">
        <v>5.77</v>
      </c>
      <c r="C26" s="40">
        <v>36.26</v>
      </c>
      <c r="D26" s="40">
        <v>23.85</v>
      </c>
      <c r="E26" s="40">
        <v>3.25</v>
      </c>
      <c r="F26" s="40">
        <v>23.21</v>
      </c>
      <c r="G26" s="40">
        <v>80.040000000000006</v>
      </c>
      <c r="H26" s="40">
        <v>19.899999999999999</v>
      </c>
      <c r="I26" s="40">
        <v>7.65</v>
      </c>
      <c r="J26" s="40">
        <v>3.24</v>
      </c>
      <c r="K26" s="40">
        <v>211.55</v>
      </c>
      <c r="L26" s="40">
        <v>34.270000000000003</v>
      </c>
      <c r="M26" s="40">
        <v>35.4</v>
      </c>
      <c r="N26" s="40">
        <v>74</v>
      </c>
      <c r="O26" s="40">
        <v>0</v>
      </c>
      <c r="P26" s="40">
        <v>0.48</v>
      </c>
      <c r="Q26" s="40">
        <v>28.62</v>
      </c>
      <c r="R26" s="38"/>
      <c r="S26" s="38"/>
      <c r="T26" s="38"/>
      <c r="U26" s="38"/>
    </row>
    <row r="27" spans="1:21" customFormat="1">
      <c r="A27" s="39" t="s">
        <v>486</v>
      </c>
      <c r="B27" s="40">
        <v>2.76</v>
      </c>
      <c r="C27" s="40">
        <v>34.21</v>
      </c>
      <c r="D27" s="40">
        <v>20.76</v>
      </c>
      <c r="E27" s="40">
        <v>2.2000000000000002</v>
      </c>
      <c r="F27" s="40">
        <v>21.03</v>
      </c>
      <c r="G27" s="40">
        <v>64.010000000000005</v>
      </c>
      <c r="H27" s="40">
        <v>19.7</v>
      </c>
      <c r="I27" s="40">
        <v>7.66</v>
      </c>
      <c r="J27" s="40">
        <v>4.76</v>
      </c>
      <c r="K27" s="40">
        <v>248.62</v>
      </c>
      <c r="L27" s="40">
        <v>31.97</v>
      </c>
      <c r="M27" s="40">
        <v>41.37</v>
      </c>
      <c r="N27" s="40">
        <v>32.5</v>
      </c>
      <c r="O27" s="40">
        <v>0</v>
      </c>
      <c r="P27" s="40">
        <v>0.48</v>
      </c>
      <c r="Q27" s="40">
        <v>28.66</v>
      </c>
      <c r="R27" s="38"/>
      <c r="S27" s="38"/>
      <c r="T27" s="38"/>
      <c r="U27" s="38"/>
    </row>
    <row r="28" spans="1:21" customFormat="1">
      <c r="A28" s="39" t="s">
        <v>487</v>
      </c>
      <c r="B28" s="40">
        <v>3.27</v>
      </c>
      <c r="C28" s="40">
        <v>46.57</v>
      </c>
      <c r="D28" s="40">
        <v>27.56</v>
      </c>
      <c r="E28" s="40">
        <v>1.96</v>
      </c>
      <c r="F28" s="40">
        <v>10.14</v>
      </c>
      <c r="G28" s="40">
        <v>52.89</v>
      </c>
      <c r="H28" s="40">
        <v>25.15</v>
      </c>
      <c r="I28" s="40">
        <v>7.61</v>
      </c>
      <c r="J28" s="40">
        <v>4.01</v>
      </c>
      <c r="K28" s="40">
        <v>215.87</v>
      </c>
      <c r="L28" s="40">
        <v>30.6</v>
      </c>
      <c r="M28" s="40">
        <v>46.06</v>
      </c>
      <c r="N28" s="40">
        <v>23.8</v>
      </c>
      <c r="O28" s="40">
        <v>0</v>
      </c>
      <c r="P28" s="40">
        <v>0.48</v>
      </c>
      <c r="Q28" s="40">
        <v>28.42</v>
      </c>
      <c r="R28" s="38"/>
      <c r="S28" s="38"/>
      <c r="T28" s="38"/>
      <c r="U28" s="38"/>
    </row>
    <row r="29" spans="1:21" customFormat="1">
      <c r="A29" s="39" t="s">
        <v>488</v>
      </c>
      <c r="B29" s="40">
        <v>3.86</v>
      </c>
      <c r="C29" s="40">
        <v>45.71</v>
      </c>
      <c r="D29" s="40">
        <v>27.65</v>
      </c>
      <c r="E29" s="40">
        <v>1.74</v>
      </c>
      <c r="F29" s="40">
        <v>6.03</v>
      </c>
      <c r="G29" s="40">
        <v>46.12</v>
      </c>
      <c r="H29" s="40">
        <v>24.61</v>
      </c>
      <c r="I29" s="40">
        <v>7.74</v>
      </c>
      <c r="J29" s="40">
        <v>3.97</v>
      </c>
      <c r="K29" s="40">
        <v>208.39</v>
      </c>
      <c r="L29" s="40">
        <v>30.52</v>
      </c>
      <c r="M29" s="40">
        <v>50.53</v>
      </c>
      <c r="N29" s="40">
        <v>23.2</v>
      </c>
      <c r="O29" s="40">
        <v>0</v>
      </c>
      <c r="P29" s="40">
        <v>0.46</v>
      </c>
      <c r="Q29" s="40">
        <v>28.29</v>
      </c>
      <c r="R29" s="38"/>
      <c r="S29" s="38"/>
      <c r="T29" s="38"/>
      <c r="U29" s="38"/>
    </row>
    <row r="30" spans="1:21" customFormat="1">
      <c r="A30" s="39" t="s">
        <v>489</v>
      </c>
      <c r="B30" s="40">
        <v>3.86</v>
      </c>
      <c r="C30" s="40">
        <v>45.71</v>
      </c>
      <c r="D30" s="40">
        <v>27.65</v>
      </c>
      <c r="E30" s="40">
        <v>1.26</v>
      </c>
      <c r="F30" s="40">
        <v>7.52</v>
      </c>
      <c r="G30" s="40">
        <v>41.14</v>
      </c>
      <c r="H30" s="40">
        <v>21.71</v>
      </c>
      <c r="I30" s="40">
        <v>7.79</v>
      </c>
      <c r="J30" s="40">
        <v>4.5999999999999996</v>
      </c>
      <c r="K30" s="40">
        <v>214.08</v>
      </c>
      <c r="L30" s="40">
        <v>29.72</v>
      </c>
      <c r="M30" s="40">
        <v>48.08</v>
      </c>
      <c r="N30" s="40">
        <v>22.9</v>
      </c>
      <c r="O30" s="40">
        <v>0</v>
      </c>
      <c r="P30" s="40">
        <v>0.48</v>
      </c>
      <c r="Q30" s="40">
        <v>28.45</v>
      </c>
      <c r="R30" s="38"/>
      <c r="S30" s="38"/>
      <c r="T30" s="38"/>
      <c r="U30" s="38"/>
    </row>
    <row r="31" spans="1:21" customFormat="1">
      <c r="A31" s="39" t="s">
        <v>490</v>
      </c>
      <c r="B31" s="40">
        <v>3.86</v>
      </c>
      <c r="C31" s="40">
        <v>45.71</v>
      </c>
      <c r="D31" s="40">
        <v>27.65</v>
      </c>
      <c r="E31" s="40">
        <v>0.44</v>
      </c>
      <c r="F31" s="40">
        <v>7.48</v>
      </c>
      <c r="G31" s="40">
        <v>37.78</v>
      </c>
      <c r="H31" s="40">
        <v>19.940000000000001</v>
      </c>
      <c r="I31" s="40">
        <v>7.21</v>
      </c>
      <c r="J31" s="40">
        <v>4.6500000000000004</v>
      </c>
      <c r="K31" s="40">
        <v>214.48</v>
      </c>
      <c r="L31" s="40">
        <v>29.42</v>
      </c>
      <c r="M31" s="40">
        <v>46.8</v>
      </c>
      <c r="N31" s="40">
        <v>23.1</v>
      </c>
      <c r="O31" s="40">
        <v>0</v>
      </c>
      <c r="P31" s="40">
        <v>0.47</v>
      </c>
      <c r="Q31" s="40">
        <v>28.39</v>
      </c>
      <c r="R31" s="38"/>
      <c r="S31" s="38"/>
      <c r="T31" s="38"/>
      <c r="U31" s="38"/>
    </row>
    <row r="32" spans="1:21" customFormat="1">
      <c r="A32" s="39" t="s">
        <v>491</v>
      </c>
      <c r="B32" s="40">
        <v>3.86</v>
      </c>
      <c r="C32" s="40">
        <v>45.71</v>
      </c>
      <c r="D32" s="40">
        <v>27.65</v>
      </c>
      <c r="E32" s="40">
        <v>1.2</v>
      </c>
      <c r="F32" s="40">
        <v>3.92</v>
      </c>
      <c r="G32" s="40">
        <v>31.01</v>
      </c>
      <c r="H32" s="40">
        <v>17.899999999999999</v>
      </c>
      <c r="I32" s="40">
        <v>7.32</v>
      </c>
      <c r="J32" s="40">
        <v>4.16</v>
      </c>
      <c r="K32" s="40">
        <v>225.21</v>
      </c>
      <c r="L32" s="40">
        <v>29</v>
      </c>
      <c r="M32" s="40">
        <v>52.11</v>
      </c>
      <c r="N32" s="40">
        <v>23.1</v>
      </c>
      <c r="O32" s="40">
        <v>0</v>
      </c>
      <c r="P32" s="40">
        <v>0.45</v>
      </c>
      <c r="Q32" s="40">
        <v>28.22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2.19</v>
      </c>
      <c r="C34" s="18">
        <f t="shared" si="0"/>
        <v>27.53</v>
      </c>
      <c r="D34" s="18">
        <f t="shared" si="0"/>
        <v>16.7</v>
      </c>
      <c r="E34" s="18">
        <f t="shared" si="0"/>
        <v>0.44</v>
      </c>
      <c r="F34" s="18">
        <f t="shared" si="0"/>
        <v>3.92</v>
      </c>
      <c r="G34" s="18">
        <f t="shared" si="0"/>
        <v>31.01</v>
      </c>
      <c r="H34" s="18">
        <f t="shared" si="0"/>
        <v>11.72</v>
      </c>
      <c r="I34" s="18">
        <f t="shared" si="0"/>
        <v>7.21</v>
      </c>
      <c r="J34" s="18">
        <f t="shared" si="0"/>
        <v>2.61</v>
      </c>
      <c r="K34" s="18">
        <f t="shared" si="0"/>
        <v>187.76</v>
      </c>
      <c r="L34" s="18">
        <f t="shared" si="0"/>
        <v>28.74</v>
      </c>
      <c r="M34" s="18">
        <f t="shared" si="0"/>
        <v>23.2</v>
      </c>
      <c r="N34" s="18">
        <f t="shared" si="0"/>
        <v>22.4</v>
      </c>
      <c r="O34" s="18">
        <f t="shared" si="0"/>
        <v>0</v>
      </c>
      <c r="P34" s="18">
        <f t="shared" si="0"/>
        <v>0.45</v>
      </c>
      <c r="Q34" s="18">
        <f t="shared" si="0"/>
        <v>27.71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12.14</v>
      </c>
      <c r="C35" s="3">
        <f t="shared" si="1"/>
        <v>51.88</v>
      </c>
      <c r="D35" s="3">
        <f t="shared" si="1"/>
        <v>37.03</v>
      </c>
      <c r="E35" s="3">
        <f t="shared" si="1"/>
        <v>3.52</v>
      </c>
      <c r="F35" s="3">
        <f t="shared" si="1"/>
        <v>26.52</v>
      </c>
      <c r="G35" s="3">
        <f t="shared" si="1"/>
        <v>82.85</v>
      </c>
      <c r="H35" s="3">
        <f t="shared" si="1"/>
        <v>25.15</v>
      </c>
      <c r="I35" s="3">
        <f t="shared" si="1"/>
        <v>11.53</v>
      </c>
      <c r="J35" s="3">
        <f t="shared" si="1"/>
        <v>6.4</v>
      </c>
      <c r="K35" s="3">
        <f t="shared" si="1"/>
        <v>291.45</v>
      </c>
      <c r="L35" s="3">
        <f t="shared" si="1"/>
        <v>40.340000000000003</v>
      </c>
      <c r="M35" s="3">
        <f t="shared" si="1"/>
        <v>57.74</v>
      </c>
      <c r="N35" s="3">
        <f t="shared" si="1"/>
        <v>557</v>
      </c>
      <c r="O35" s="3">
        <f t="shared" si="1"/>
        <v>0</v>
      </c>
      <c r="P35" s="3">
        <f t="shared" si="1"/>
        <v>0.57999999999999996</v>
      </c>
      <c r="Q35" s="3">
        <f t="shared" si="1"/>
        <v>29.03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5.371666666666667</v>
      </c>
      <c r="C36" s="18">
        <f t="shared" si="2"/>
        <v>38.933750000000011</v>
      </c>
      <c r="D36" s="18">
        <f t="shared" si="2"/>
        <v>25.091666666666665</v>
      </c>
      <c r="E36" s="18">
        <f t="shared" si="2"/>
        <v>2.1441666666666666</v>
      </c>
      <c r="F36" s="18">
        <f t="shared" si="2"/>
        <v>11.466666666666667</v>
      </c>
      <c r="G36" s="18">
        <f t="shared" si="2"/>
        <v>48.249166666666667</v>
      </c>
      <c r="H36" s="18">
        <f t="shared" si="2"/>
        <v>17.645833333333329</v>
      </c>
      <c r="I36" s="18">
        <f t="shared" si="2"/>
        <v>9.0354166666666664</v>
      </c>
      <c r="J36" s="18">
        <f t="shared" si="2"/>
        <v>4.0358333333333336</v>
      </c>
      <c r="K36" s="18">
        <f t="shared" si="2"/>
        <v>242.9383333333333</v>
      </c>
      <c r="L36" s="18">
        <f t="shared" si="2"/>
        <v>32.489583333333336</v>
      </c>
      <c r="M36" s="18">
        <f t="shared" si="2"/>
        <v>45.057083333333331</v>
      </c>
      <c r="N36" s="18">
        <f t="shared" si="2"/>
        <v>156.44166666666663</v>
      </c>
      <c r="O36" s="18">
        <f t="shared" si="2"/>
        <v>0</v>
      </c>
      <c r="P36" s="18">
        <f t="shared" si="2"/>
        <v>0.50333333333333352</v>
      </c>
      <c r="Q36" s="18">
        <f t="shared" si="2"/>
        <v>28.445833333333329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3.2523659169858203</v>
      </c>
      <c r="C37" s="18">
        <f t="shared" ref="C37:Q37" si="3">STDEV(C9:C32)</f>
        <v>6.6988304057012273</v>
      </c>
      <c r="D37" s="18">
        <f t="shared" si="3"/>
        <v>5.1793080507011702</v>
      </c>
      <c r="E37" s="18">
        <f t="shared" si="3"/>
        <v>0.67403984314351006</v>
      </c>
      <c r="F37" s="18">
        <f t="shared" si="3"/>
        <v>6.6025862302234462</v>
      </c>
      <c r="G37" s="18">
        <f t="shared" si="3"/>
        <v>14.019660703165558</v>
      </c>
      <c r="H37" s="18">
        <f t="shared" si="3"/>
        <v>3.7864781349780485</v>
      </c>
      <c r="I37" s="18">
        <f t="shared" si="3"/>
        <v>1.3233652069683945</v>
      </c>
      <c r="J37" s="18">
        <f t="shared" si="3"/>
        <v>0.85068216445834588</v>
      </c>
      <c r="K37" s="18">
        <f t="shared" si="3"/>
        <v>25.056821802467329</v>
      </c>
      <c r="L37" s="18">
        <f t="shared" si="3"/>
        <v>3.8261815215998038</v>
      </c>
      <c r="M37" s="18">
        <f t="shared" si="3"/>
        <v>10.289173490771194</v>
      </c>
      <c r="N37" s="18">
        <f t="shared" si="3"/>
        <v>196.73141460568425</v>
      </c>
      <c r="O37" s="18">
        <f t="shared" si="3"/>
        <v>0</v>
      </c>
      <c r="P37" s="18">
        <f t="shared" si="3"/>
        <v>3.8183386629432901E-2</v>
      </c>
      <c r="Q37" s="18">
        <f t="shared" si="3"/>
        <v>0.35580791919562299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19/04/2025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492</v>
      </c>
      <c r="B9" s="40">
        <v>4.2</v>
      </c>
      <c r="C9" s="40">
        <v>39.5</v>
      </c>
      <c r="D9" s="40">
        <v>25.3</v>
      </c>
      <c r="E9" s="40">
        <v>1.34</v>
      </c>
      <c r="F9" s="40">
        <v>8.43</v>
      </c>
      <c r="G9" s="40">
        <v>30.22</v>
      </c>
      <c r="H9" s="40">
        <v>17.489999999999998</v>
      </c>
      <c r="I9" s="40">
        <v>7.38</v>
      </c>
      <c r="J9" s="40">
        <v>4.18</v>
      </c>
      <c r="K9" s="40">
        <v>210.63</v>
      </c>
      <c r="L9" s="40">
        <v>28.63</v>
      </c>
      <c r="M9" s="40">
        <v>54.05</v>
      </c>
      <c r="N9" s="40">
        <v>22.9</v>
      </c>
      <c r="O9" s="40">
        <v>0</v>
      </c>
      <c r="P9" s="40">
        <v>0.45</v>
      </c>
      <c r="Q9" s="40">
        <v>28.45</v>
      </c>
      <c r="R9" s="38"/>
      <c r="S9" s="38"/>
      <c r="T9" s="38"/>
      <c r="U9" s="38"/>
    </row>
    <row r="10" spans="1:21" customFormat="1">
      <c r="A10" s="39" t="s">
        <v>493</v>
      </c>
      <c r="B10" s="40">
        <v>5.12</v>
      </c>
      <c r="C10" s="40">
        <v>40.82</v>
      </c>
      <c r="D10" s="40">
        <v>26.05</v>
      </c>
      <c r="E10" s="40">
        <v>1.1100000000000001</v>
      </c>
      <c r="F10" s="40">
        <v>10.47</v>
      </c>
      <c r="G10" s="40">
        <v>27.13</v>
      </c>
      <c r="H10" s="40">
        <v>15.3</v>
      </c>
      <c r="I10" s="40">
        <v>6.95</v>
      </c>
      <c r="J10" s="40">
        <v>4.2</v>
      </c>
      <c r="K10" s="40">
        <v>215.78</v>
      </c>
      <c r="L10" s="40">
        <v>28.78</v>
      </c>
      <c r="M10" s="40">
        <v>54.86</v>
      </c>
      <c r="N10" s="40">
        <v>22.9</v>
      </c>
      <c r="O10" s="40">
        <v>0</v>
      </c>
      <c r="P10" s="40">
        <v>0.46</v>
      </c>
      <c r="Q10" s="40">
        <v>28.46</v>
      </c>
      <c r="R10" s="38"/>
      <c r="S10" s="38"/>
      <c r="T10" s="38"/>
      <c r="U10" s="38"/>
    </row>
    <row r="11" spans="1:21" customFormat="1">
      <c r="A11" s="39" t="s">
        <v>494</v>
      </c>
      <c r="B11" s="40">
        <v>6.59</v>
      </c>
      <c r="C11" s="40">
        <v>42.74</v>
      </c>
      <c r="D11" s="40">
        <v>27.51</v>
      </c>
      <c r="E11" s="40">
        <v>1.36</v>
      </c>
      <c r="F11" s="40">
        <v>4.82</v>
      </c>
      <c r="G11" s="40">
        <v>26.79</v>
      </c>
      <c r="H11" s="40">
        <v>13.87</v>
      </c>
      <c r="I11" s="40">
        <v>7.01</v>
      </c>
      <c r="J11" s="40">
        <v>4.26</v>
      </c>
      <c r="K11" s="40">
        <v>190.91</v>
      </c>
      <c r="L11" s="40">
        <v>28.62</v>
      </c>
      <c r="M11" s="40">
        <v>56.38</v>
      </c>
      <c r="N11" s="40">
        <v>22.9</v>
      </c>
      <c r="O11" s="40">
        <v>0</v>
      </c>
      <c r="P11" s="40">
        <v>0.45</v>
      </c>
      <c r="Q11" s="40">
        <v>28.09</v>
      </c>
      <c r="R11" s="38"/>
      <c r="S11" s="38"/>
      <c r="T11" s="38"/>
      <c r="U11" s="38"/>
    </row>
    <row r="12" spans="1:21" customFormat="1">
      <c r="A12" s="39" t="s">
        <v>495</v>
      </c>
      <c r="B12" s="40">
        <v>7.79</v>
      </c>
      <c r="C12" s="40">
        <v>43.3</v>
      </c>
      <c r="D12" s="40">
        <v>29.54</v>
      </c>
      <c r="E12" s="40">
        <v>1.52</v>
      </c>
      <c r="F12" s="40">
        <v>7.99</v>
      </c>
      <c r="G12" s="40">
        <v>28.62</v>
      </c>
      <c r="H12" s="40">
        <v>15.39</v>
      </c>
      <c r="I12" s="40">
        <v>7.18</v>
      </c>
      <c r="J12" s="40">
        <v>3.81</v>
      </c>
      <c r="K12" s="40">
        <v>132.66</v>
      </c>
      <c r="L12" s="40">
        <v>28.54</v>
      </c>
      <c r="M12" s="40">
        <v>59.01</v>
      </c>
      <c r="N12" s="40">
        <v>22.9</v>
      </c>
      <c r="O12" s="40">
        <v>0</v>
      </c>
      <c r="P12" s="40">
        <v>0.45</v>
      </c>
      <c r="Q12" s="40">
        <v>28.33</v>
      </c>
      <c r="R12" s="38"/>
      <c r="S12" s="38"/>
      <c r="T12" s="38"/>
      <c r="U12" s="38"/>
    </row>
    <row r="13" spans="1:21" customFormat="1">
      <c r="A13" s="39" t="s">
        <v>496</v>
      </c>
      <c r="B13" s="40">
        <v>8.2200000000000006</v>
      </c>
      <c r="C13" s="40">
        <v>35.450000000000003</v>
      </c>
      <c r="D13" s="40">
        <v>25.74</v>
      </c>
      <c r="E13" s="40">
        <v>1.17</v>
      </c>
      <c r="F13" s="40">
        <v>8.8800000000000008</v>
      </c>
      <c r="G13" s="40">
        <v>31.24</v>
      </c>
      <c r="H13" s="40">
        <v>16.91</v>
      </c>
      <c r="I13" s="40">
        <v>7.09</v>
      </c>
      <c r="J13" s="40">
        <v>4</v>
      </c>
      <c r="K13" s="40">
        <v>112.19</v>
      </c>
      <c r="L13" s="40">
        <v>28.1</v>
      </c>
      <c r="M13" s="40">
        <v>59.98</v>
      </c>
      <c r="N13" s="40">
        <v>22.9</v>
      </c>
      <c r="O13" s="40">
        <v>0</v>
      </c>
      <c r="P13" s="40">
        <v>0.47</v>
      </c>
      <c r="Q13" s="40">
        <v>28.3</v>
      </c>
      <c r="R13" s="38"/>
      <c r="S13" s="38"/>
      <c r="T13" s="38"/>
      <c r="U13" s="38"/>
    </row>
    <row r="14" spans="1:21" customFormat="1">
      <c r="A14" s="39" t="s">
        <v>497</v>
      </c>
      <c r="B14" s="40">
        <v>10.61</v>
      </c>
      <c r="C14" s="40">
        <v>38.549999999999997</v>
      </c>
      <c r="D14" s="40">
        <v>29.33</v>
      </c>
      <c r="E14" s="40">
        <v>1.47</v>
      </c>
      <c r="F14" s="40">
        <v>4.8899999999999997</v>
      </c>
      <c r="G14" s="40">
        <v>32.99</v>
      </c>
      <c r="H14" s="40">
        <v>18.809999999999999</v>
      </c>
      <c r="I14" s="40">
        <v>7.68</v>
      </c>
      <c r="J14" s="40">
        <v>3.82</v>
      </c>
      <c r="K14" s="40">
        <v>183.99</v>
      </c>
      <c r="L14" s="40">
        <v>28.42</v>
      </c>
      <c r="M14" s="40">
        <v>60.57</v>
      </c>
      <c r="N14" s="40">
        <v>30.8</v>
      </c>
      <c r="O14" s="40">
        <v>0</v>
      </c>
      <c r="P14" s="40">
        <v>0.47</v>
      </c>
      <c r="Q14" s="40">
        <v>28.02</v>
      </c>
      <c r="R14" s="38"/>
      <c r="S14" s="38"/>
      <c r="T14" s="38"/>
      <c r="U14" s="38"/>
    </row>
    <row r="15" spans="1:21" customFormat="1">
      <c r="A15" s="39" t="s">
        <v>498</v>
      </c>
      <c r="B15" s="40">
        <v>12.02</v>
      </c>
      <c r="C15" s="40">
        <v>42.27</v>
      </c>
      <c r="D15" s="40">
        <v>32.4</v>
      </c>
      <c r="E15" s="40">
        <v>1.81</v>
      </c>
      <c r="F15" s="40">
        <v>6.32</v>
      </c>
      <c r="G15" s="40">
        <v>36.549999999999997</v>
      </c>
      <c r="H15" s="40">
        <v>18.8</v>
      </c>
      <c r="I15" s="40">
        <v>8.4600000000000009</v>
      </c>
      <c r="J15" s="40">
        <v>4.38</v>
      </c>
      <c r="K15" s="40">
        <v>169.47</v>
      </c>
      <c r="L15" s="40">
        <v>29.17</v>
      </c>
      <c r="M15" s="40">
        <v>60.04</v>
      </c>
      <c r="N15" s="40">
        <v>77.2</v>
      </c>
      <c r="O15" s="40">
        <v>0</v>
      </c>
      <c r="P15" s="40">
        <v>0.45</v>
      </c>
      <c r="Q15" s="40">
        <v>27.95</v>
      </c>
      <c r="R15" s="38"/>
      <c r="S15" s="38"/>
      <c r="T15" s="38"/>
      <c r="U15" s="38"/>
    </row>
    <row r="16" spans="1:21" customFormat="1">
      <c r="A16" s="39" t="s">
        <v>499</v>
      </c>
      <c r="B16" s="40">
        <v>10.65</v>
      </c>
      <c r="C16" s="40">
        <v>33.46</v>
      </c>
      <c r="D16" s="40">
        <v>26.7</v>
      </c>
      <c r="E16" s="40">
        <v>1.49</v>
      </c>
      <c r="F16" s="40">
        <v>8.5299999999999994</v>
      </c>
      <c r="G16" s="40">
        <v>38.04</v>
      </c>
      <c r="H16" s="40">
        <v>20.22</v>
      </c>
      <c r="I16" s="40">
        <v>9.11</v>
      </c>
      <c r="J16" s="40">
        <v>3.41</v>
      </c>
      <c r="K16" s="40">
        <v>209.77</v>
      </c>
      <c r="L16" s="40">
        <v>30.8</v>
      </c>
      <c r="M16" s="40">
        <v>56.73</v>
      </c>
      <c r="N16" s="40">
        <v>122.2</v>
      </c>
      <c r="O16" s="40">
        <v>0</v>
      </c>
      <c r="P16" s="40">
        <v>0.52</v>
      </c>
      <c r="Q16" s="40">
        <v>28.12</v>
      </c>
      <c r="R16" s="38"/>
      <c r="S16" s="38"/>
      <c r="T16" s="38"/>
      <c r="U16" s="38"/>
    </row>
    <row r="17" spans="1:21" customFormat="1">
      <c r="A17" s="39" t="s">
        <v>500</v>
      </c>
      <c r="B17" s="40">
        <v>9.15</v>
      </c>
      <c r="C17" s="40">
        <v>34.18</v>
      </c>
      <c r="D17" s="40">
        <v>25.14</v>
      </c>
      <c r="E17" s="40">
        <v>1.72</v>
      </c>
      <c r="F17" s="40">
        <v>8.57</v>
      </c>
      <c r="G17" s="40">
        <v>44.11</v>
      </c>
      <c r="H17" s="40">
        <v>23</v>
      </c>
      <c r="I17" s="40">
        <v>9.35</v>
      </c>
      <c r="J17" s="40">
        <v>4.3600000000000003</v>
      </c>
      <c r="K17" s="40">
        <v>229.91</v>
      </c>
      <c r="L17" s="40">
        <v>31.84</v>
      </c>
      <c r="M17" s="40">
        <v>54.72</v>
      </c>
      <c r="N17" s="40">
        <v>197.5</v>
      </c>
      <c r="O17" s="40">
        <v>0</v>
      </c>
      <c r="P17" s="40">
        <v>0.55000000000000004</v>
      </c>
      <c r="Q17" s="40">
        <v>28.19</v>
      </c>
      <c r="R17" s="38"/>
      <c r="S17" s="38"/>
      <c r="T17" s="38"/>
      <c r="U17" s="38"/>
    </row>
    <row r="18" spans="1:21" customFormat="1">
      <c r="A18" s="39" t="s">
        <v>501</v>
      </c>
      <c r="B18" s="40">
        <v>7.63</v>
      </c>
      <c r="C18" s="40">
        <v>36.71</v>
      </c>
      <c r="D18" s="40">
        <v>25.02</v>
      </c>
      <c r="E18" s="40">
        <v>1.77</v>
      </c>
      <c r="F18" s="40">
        <v>7.61</v>
      </c>
      <c r="G18" s="40">
        <v>49.64</v>
      </c>
      <c r="H18" s="40">
        <v>26.44</v>
      </c>
      <c r="I18" s="40">
        <v>9.58</v>
      </c>
      <c r="J18" s="40">
        <v>5.74</v>
      </c>
      <c r="K18" s="40">
        <v>241.96</v>
      </c>
      <c r="L18" s="40">
        <v>33.43</v>
      </c>
      <c r="M18" s="40">
        <v>53.36</v>
      </c>
      <c r="N18" s="40">
        <v>507.4</v>
      </c>
      <c r="O18" s="40">
        <v>0</v>
      </c>
      <c r="P18" s="40">
        <v>0.55000000000000004</v>
      </c>
      <c r="Q18" s="40">
        <v>28.27</v>
      </c>
      <c r="R18" s="38"/>
      <c r="S18" s="38"/>
      <c r="T18" s="38"/>
      <c r="U18" s="38"/>
    </row>
    <row r="19" spans="1:21" customFormat="1">
      <c r="A19" s="39" t="s">
        <v>502</v>
      </c>
      <c r="B19" s="40">
        <v>4.42</v>
      </c>
      <c r="C19" s="40">
        <v>34.32</v>
      </c>
      <c r="D19" s="40">
        <v>22.15</v>
      </c>
      <c r="E19" s="40">
        <v>1.8</v>
      </c>
      <c r="F19" s="40">
        <v>10.89</v>
      </c>
      <c r="G19" s="40">
        <v>50.53</v>
      </c>
      <c r="H19" s="40">
        <v>26.11</v>
      </c>
      <c r="I19" s="40">
        <v>9.6199999999999992</v>
      </c>
      <c r="J19" s="40">
        <v>5.61</v>
      </c>
      <c r="K19" s="40">
        <v>255.24</v>
      </c>
      <c r="L19" s="40">
        <v>35.53</v>
      </c>
      <c r="M19" s="40">
        <v>48.36</v>
      </c>
      <c r="N19" s="40">
        <v>695.3</v>
      </c>
      <c r="O19" s="40">
        <v>0</v>
      </c>
      <c r="P19" s="40">
        <v>0.56999999999999995</v>
      </c>
      <c r="Q19" s="40">
        <v>28.67</v>
      </c>
      <c r="R19" s="38"/>
      <c r="S19" s="38"/>
      <c r="T19" s="38"/>
      <c r="U19" s="38"/>
    </row>
    <row r="20" spans="1:21" customFormat="1">
      <c r="A20" s="39" t="s">
        <v>503</v>
      </c>
      <c r="B20" s="40">
        <v>2.5099999999999998</v>
      </c>
      <c r="C20" s="40">
        <v>28.97</v>
      </c>
      <c r="D20" s="40">
        <v>17.66</v>
      </c>
      <c r="E20" s="40">
        <v>2.09</v>
      </c>
      <c r="F20" s="40">
        <v>14.86</v>
      </c>
      <c r="G20" s="40">
        <v>50.02</v>
      </c>
      <c r="H20" s="40">
        <v>24.4</v>
      </c>
      <c r="I20" s="40">
        <v>9.43</v>
      </c>
      <c r="J20" s="40">
        <v>4.74</v>
      </c>
      <c r="K20" s="40">
        <v>245.15</v>
      </c>
      <c r="L20" s="40">
        <v>37.33</v>
      </c>
      <c r="M20" s="40">
        <v>38.049999999999997</v>
      </c>
      <c r="N20" s="40">
        <v>706.9</v>
      </c>
      <c r="O20" s="40">
        <v>0</v>
      </c>
      <c r="P20" s="40">
        <v>0.56000000000000005</v>
      </c>
      <c r="Q20" s="40">
        <v>28.81</v>
      </c>
      <c r="R20" s="38"/>
      <c r="S20" s="38"/>
      <c r="T20" s="38"/>
      <c r="U20" s="38"/>
    </row>
    <row r="21" spans="1:21" customFormat="1">
      <c r="A21" s="39" t="s">
        <v>504</v>
      </c>
      <c r="B21" s="40">
        <v>2.4</v>
      </c>
      <c r="C21" s="40">
        <v>30.17</v>
      </c>
      <c r="D21" s="40">
        <v>18.36</v>
      </c>
      <c r="E21" s="40">
        <v>3.59</v>
      </c>
      <c r="F21" s="40">
        <v>18.77</v>
      </c>
      <c r="G21" s="40">
        <v>53.4</v>
      </c>
      <c r="H21" s="40">
        <v>26.23</v>
      </c>
      <c r="I21" s="40">
        <v>10.220000000000001</v>
      </c>
      <c r="J21" s="40">
        <v>5.19</v>
      </c>
      <c r="K21" s="40">
        <v>233.86</v>
      </c>
      <c r="L21" s="40">
        <v>39.450000000000003</v>
      </c>
      <c r="M21" s="40">
        <v>32.97</v>
      </c>
      <c r="N21" s="40">
        <v>642.1</v>
      </c>
      <c r="O21" s="40">
        <v>0</v>
      </c>
      <c r="P21" s="40">
        <v>0.56000000000000005</v>
      </c>
      <c r="Q21" s="40">
        <v>29.01</v>
      </c>
      <c r="R21" s="38"/>
      <c r="S21" s="38"/>
      <c r="T21" s="38"/>
      <c r="U21" s="38"/>
    </row>
    <row r="22" spans="1:21" customFormat="1">
      <c r="A22" s="39" t="s">
        <v>505</v>
      </c>
      <c r="B22" s="40">
        <v>2.38</v>
      </c>
      <c r="C22" s="40">
        <v>30.37</v>
      </c>
      <c r="D22" s="40">
        <v>18.45</v>
      </c>
      <c r="E22" s="40">
        <v>3.93</v>
      </c>
      <c r="F22" s="40">
        <v>18.420000000000002</v>
      </c>
      <c r="G22" s="40">
        <v>53.28</v>
      </c>
      <c r="H22" s="40">
        <v>28.39</v>
      </c>
      <c r="I22" s="40">
        <v>10.33</v>
      </c>
      <c r="J22" s="40">
        <v>5.77</v>
      </c>
      <c r="K22" s="40">
        <v>249.47</v>
      </c>
      <c r="L22" s="40">
        <v>40.43</v>
      </c>
      <c r="M22" s="40">
        <v>26.75</v>
      </c>
      <c r="N22" s="40">
        <v>590.9</v>
      </c>
      <c r="O22" s="40">
        <v>0</v>
      </c>
      <c r="P22" s="40">
        <v>0.56000000000000005</v>
      </c>
      <c r="Q22" s="40">
        <v>28.85</v>
      </c>
      <c r="R22" s="38"/>
      <c r="S22" s="38"/>
      <c r="T22" s="38"/>
      <c r="U22" s="38"/>
    </row>
    <row r="23" spans="1:21" customFormat="1">
      <c r="A23" s="39" t="s">
        <v>506</v>
      </c>
      <c r="B23" s="40">
        <v>2.2999999999999998</v>
      </c>
      <c r="C23" s="40">
        <v>23.85</v>
      </c>
      <c r="D23" s="40">
        <v>14.82</v>
      </c>
      <c r="E23" s="40">
        <v>3.59</v>
      </c>
      <c r="F23" s="40">
        <v>29.58</v>
      </c>
      <c r="G23" s="40">
        <v>52.47</v>
      </c>
      <c r="H23" s="40">
        <v>28.19</v>
      </c>
      <c r="I23" s="40">
        <v>10.1</v>
      </c>
      <c r="J23" s="40">
        <v>5.63</v>
      </c>
      <c r="K23" s="40">
        <v>234.71</v>
      </c>
      <c r="L23" s="40">
        <v>40.99</v>
      </c>
      <c r="M23" s="40">
        <v>22.11</v>
      </c>
      <c r="N23" s="40">
        <v>530</v>
      </c>
      <c r="O23" s="40">
        <v>0</v>
      </c>
      <c r="P23" s="40">
        <v>0.56999999999999995</v>
      </c>
      <c r="Q23" s="40">
        <v>28.99</v>
      </c>
      <c r="R23" s="38"/>
      <c r="S23" s="38"/>
      <c r="T23" s="38"/>
      <c r="U23" s="38"/>
    </row>
    <row r="24" spans="1:21" customFormat="1">
      <c r="A24" s="39" t="s">
        <v>507</v>
      </c>
      <c r="B24" s="40">
        <v>2.34</v>
      </c>
      <c r="C24" s="40">
        <v>26.11</v>
      </c>
      <c r="D24" s="40">
        <v>16.18</v>
      </c>
      <c r="E24" s="40">
        <v>6.79</v>
      </c>
      <c r="F24" s="40">
        <v>23.37</v>
      </c>
      <c r="G24" s="40">
        <v>56.78</v>
      </c>
      <c r="H24" s="40">
        <v>27.1</v>
      </c>
      <c r="I24" s="40">
        <v>9.89</v>
      </c>
      <c r="J24" s="40">
        <v>5.81</v>
      </c>
      <c r="K24" s="40">
        <v>221.89</v>
      </c>
      <c r="L24" s="40">
        <v>41.33</v>
      </c>
      <c r="M24" s="40">
        <v>21.23</v>
      </c>
      <c r="N24" s="40">
        <v>440.5</v>
      </c>
      <c r="O24" s="40">
        <v>0</v>
      </c>
      <c r="P24" s="40">
        <v>0.56000000000000005</v>
      </c>
      <c r="Q24" s="40">
        <v>29.07</v>
      </c>
      <c r="R24" s="38"/>
      <c r="S24" s="38"/>
      <c r="T24" s="38"/>
      <c r="U24" s="38"/>
    </row>
    <row r="25" spans="1:21" customFormat="1">
      <c r="A25" s="39" t="s">
        <v>508</v>
      </c>
      <c r="B25" s="40">
        <v>2.25</v>
      </c>
      <c r="C25" s="40">
        <v>34.5</v>
      </c>
      <c r="D25" s="40">
        <v>20.36</v>
      </c>
      <c r="E25" s="40">
        <v>6.29</v>
      </c>
      <c r="F25" s="40">
        <v>31.33</v>
      </c>
      <c r="G25" s="40">
        <v>57.62</v>
      </c>
      <c r="H25" s="40">
        <v>30</v>
      </c>
      <c r="I25" s="40">
        <v>9.8699999999999992</v>
      </c>
      <c r="J25" s="40">
        <v>5.38</v>
      </c>
      <c r="K25" s="40">
        <v>234.54</v>
      </c>
      <c r="L25" s="40">
        <v>40.74</v>
      </c>
      <c r="M25" s="40">
        <v>21.81</v>
      </c>
      <c r="N25" s="40">
        <v>302.60000000000002</v>
      </c>
      <c r="O25" s="40">
        <v>0</v>
      </c>
      <c r="P25" s="40">
        <v>0.53</v>
      </c>
      <c r="Q25" s="40">
        <v>29.1</v>
      </c>
      <c r="R25" s="38"/>
      <c r="S25" s="38"/>
      <c r="T25" s="38"/>
      <c r="U25" s="38"/>
    </row>
    <row r="26" spans="1:21" customFormat="1">
      <c r="A26" s="39" t="s">
        <v>509</v>
      </c>
      <c r="B26" s="40">
        <v>2.93</v>
      </c>
      <c r="C26" s="40">
        <v>25.46</v>
      </c>
      <c r="D26" s="40">
        <v>15.52</v>
      </c>
      <c r="E26" s="40">
        <v>4.53</v>
      </c>
      <c r="F26" s="40">
        <v>47.25</v>
      </c>
      <c r="G26" s="40">
        <v>62.05</v>
      </c>
      <c r="H26" s="40">
        <v>29.87</v>
      </c>
      <c r="I26" s="40">
        <v>9.23</v>
      </c>
      <c r="J26" s="40">
        <v>3.73</v>
      </c>
      <c r="K26" s="40">
        <v>199.65</v>
      </c>
      <c r="L26" s="40">
        <v>39.96</v>
      </c>
      <c r="M26" s="40">
        <v>25.26</v>
      </c>
      <c r="N26" s="40">
        <v>128</v>
      </c>
      <c r="O26" s="40">
        <v>0</v>
      </c>
      <c r="P26" s="40">
        <v>0.57999999999999996</v>
      </c>
      <c r="Q26" s="40">
        <v>29.11</v>
      </c>
      <c r="R26" s="38"/>
      <c r="S26" s="38"/>
      <c r="T26" s="38"/>
      <c r="U26" s="38"/>
    </row>
    <row r="27" spans="1:21" customFormat="1">
      <c r="A27" s="39" t="s">
        <v>510</v>
      </c>
      <c r="B27" s="40">
        <v>2.56</v>
      </c>
      <c r="C27" s="40">
        <v>34.72</v>
      </c>
      <c r="D27" s="40">
        <v>20.78</v>
      </c>
      <c r="E27" s="40">
        <v>7.03</v>
      </c>
      <c r="F27" s="40">
        <v>32.06</v>
      </c>
      <c r="G27" s="40">
        <v>87.97</v>
      </c>
      <c r="H27" s="40">
        <v>29.1</v>
      </c>
      <c r="I27" s="40">
        <v>8.17</v>
      </c>
      <c r="J27" s="40">
        <v>4.46</v>
      </c>
      <c r="K27" s="40">
        <v>72.099999999999994</v>
      </c>
      <c r="L27" s="40">
        <v>34.97</v>
      </c>
      <c r="M27" s="40">
        <v>34.909999999999997</v>
      </c>
      <c r="N27" s="40">
        <v>32.299999999999997</v>
      </c>
      <c r="O27" s="40">
        <v>0</v>
      </c>
      <c r="P27" s="40">
        <v>0.52</v>
      </c>
      <c r="Q27" s="40">
        <v>28.59</v>
      </c>
      <c r="R27" s="38"/>
      <c r="S27" s="38"/>
      <c r="T27" s="38"/>
      <c r="U27" s="38"/>
    </row>
    <row r="28" spans="1:21" customFormat="1">
      <c r="A28" s="39" t="s">
        <v>511</v>
      </c>
      <c r="B28" s="40">
        <v>4.6399999999999997</v>
      </c>
      <c r="C28" s="40">
        <v>41.76</v>
      </c>
      <c r="D28" s="40">
        <v>26.21</v>
      </c>
      <c r="E28" s="40">
        <v>11.11</v>
      </c>
      <c r="F28" s="40">
        <v>18.66</v>
      </c>
      <c r="G28" s="40">
        <v>90.05</v>
      </c>
      <c r="H28" s="40">
        <v>32.44</v>
      </c>
      <c r="I28" s="40">
        <v>10.4</v>
      </c>
      <c r="J28" s="40">
        <v>4.04</v>
      </c>
      <c r="K28" s="40">
        <v>147.56</v>
      </c>
      <c r="L28" s="40">
        <v>34.18</v>
      </c>
      <c r="M28" s="40">
        <v>33.24</v>
      </c>
      <c r="N28" s="40">
        <v>22.5</v>
      </c>
      <c r="O28" s="40">
        <v>0</v>
      </c>
      <c r="P28" s="40">
        <v>0.86</v>
      </c>
      <c r="Q28" s="40">
        <v>28.3</v>
      </c>
      <c r="R28" s="38"/>
      <c r="S28" s="38"/>
      <c r="T28" s="38"/>
      <c r="U28" s="38"/>
    </row>
    <row r="29" spans="1:21" customFormat="1">
      <c r="A29" s="39" t="s">
        <v>512</v>
      </c>
      <c r="B29" s="40">
        <v>4.9000000000000004</v>
      </c>
      <c r="C29" s="40">
        <v>43.08</v>
      </c>
      <c r="D29" s="40">
        <v>27.06</v>
      </c>
      <c r="E29" s="40">
        <v>14.81</v>
      </c>
      <c r="F29" s="40">
        <v>22.6</v>
      </c>
      <c r="G29" s="40">
        <v>92.72</v>
      </c>
      <c r="H29" s="40">
        <v>35.19</v>
      </c>
      <c r="I29" s="40">
        <v>12.44</v>
      </c>
      <c r="J29" s="40">
        <v>4.55</v>
      </c>
      <c r="K29" s="40">
        <v>217.36</v>
      </c>
      <c r="L29" s="40">
        <v>34.340000000000003</v>
      </c>
      <c r="M29" s="40">
        <v>29.62</v>
      </c>
      <c r="N29" s="40">
        <v>23</v>
      </c>
      <c r="O29" s="40">
        <v>0</v>
      </c>
      <c r="P29" s="40">
        <v>0.75</v>
      </c>
      <c r="Q29" s="40">
        <v>27.9</v>
      </c>
      <c r="R29" s="38"/>
      <c r="S29" s="38"/>
      <c r="T29" s="38"/>
      <c r="U29" s="38"/>
    </row>
    <row r="30" spans="1:21" customFormat="1">
      <c r="A30" s="39" t="s">
        <v>513</v>
      </c>
      <c r="B30" s="40">
        <v>4.9400000000000004</v>
      </c>
      <c r="C30" s="40">
        <v>52.74</v>
      </c>
      <c r="D30" s="40">
        <v>32.200000000000003</v>
      </c>
      <c r="E30" s="40">
        <v>7.32</v>
      </c>
      <c r="F30" s="40">
        <v>20.03</v>
      </c>
      <c r="G30" s="40">
        <v>92.46</v>
      </c>
      <c r="H30" s="40">
        <v>36.08</v>
      </c>
      <c r="I30" s="40">
        <v>12.27</v>
      </c>
      <c r="J30" s="40">
        <v>3.95</v>
      </c>
      <c r="K30" s="40">
        <v>199.77</v>
      </c>
      <c r="L30" s="40">
        <v>33.340000000000003</v>
      </c>
      <c r="M30" s="40">
        <v>39.75</v>
      </c>
      <c r="N30" s="40">
        <v>23</v>
      </c>
      <c r="O30" s="40">
        <v>0</v>
      </c>
      <c r="P30" s="40">
        <v>0.68</v>
      </c>
      <c r="Q30" s="40">
        <v>28.01</v>
      </c>
      <c r="R30" s="38"/>
      <c r="S30" s="38"/>
      <c r="T30" s="38"/>
      <c r="U30" s="38"/>
    </row>
    <row r="31" spans="1:21" customFormat="1">
      <c r="A31" s="39" t="s">
        <v>514</v>
      </c>
      <c r="B31" s="40">
        <v>5.58</v>
      </c>
      <c r="C31" s="40">
        <v>49.44</v>
      </c>
      <c r="D31" s="40">
        <v>30.53</v>
      </c>
      <c r="E31" s="40">
        <v>5.41</v>
      </c>
      <c r="F31" s="40">
        <v>11.17</v>
      </c>
      <c r="G31" s="40">
        <v>89.7</v>
      </c>
      <c r="H31" s="40">
        <v>36.020000000000003</v>
      </c>
      <c r="I31" s="40">
        <v>11.23</v>
      </c>
      <c r="J31" s="40">
        <v>3.72</v>
      </c>
      <c r="K31" s="40">
        <v>323.95999999999998</v>
      </c>
      <c r="L31" s="40">
        <v>32.15</v>
      </c>
      <c r="M31" s="40">
        <v>43.15</v>
      </c>
      <c r="N31" s="40">
        <v>22.5</v>
      </c>
      <c r="O31" s="40">
        <v>0</v>
      </c>
      <c r="P31" s="40">
        <v>0.65</v>
      </c>
      <c r="Q31" s="40">
        <v>28.06</v>
      </c>
      <c r="R31" s="38"/>
      <c r="S31" s="38"/>
      <c r="T31" s="38"/>
      <c r="U31" s="38"/>
    </row>
    <row r="32" spans="1:21" customFormat="1">
      <c r="A32" s="39" t="s">
        <v>515</v>
      </c>
      <c r="B32" s="40">
        <v>5.68</v>
      </c>
      <c r="C32" s="40">
        <v>48.2</v>
      </c>
      <c r="D32" s="40">
        <v>30.11</v>
      </c>
      <c r="E32" s="40">
        <v>2.65</v>
      </c>
      <c r="F32" s="40">
        <v>14.53</v>
      </c>
      <c r="G32" s="40">
        <v>81.23</v>
      </c>
      <c r="H32" s="40">
        <v>35.47</v>
      </c>
      <c r="I32" s="40">
        <v>11.1</v>
      </c>
      <c r="J32" s="40">
        <v>5.67</v>
      </c>
      <c r="K32" s="40">
        <v>257.89999999999998</v>
      </c>
      <c r="L32" s="40">
        <v>31.8</v>
      </c>
      <c r="M32" s="40">
        <v>44.36</v>
      </c>
      <c r="N32" s="40">
        <v>22.6</v>
      </c>
      <c r="O32" s="40">
        <v>0</v>
      </c>
      <c r="P32" s="40">
        <v>0.64</v>
      </c>
      <c r="Q32" s="40">
        <v>28.22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2.25</v>
      </c>
      <c r="C34" s="18">
        <f t="shared" si="0"/>
        <v>23.85</v>
      </c>
      <c r="D34" s="18">
        <f t="shared" si="0"/>
        <v>14.82</v>
      </c>
      <c r="E34" s="18">
        <f t="shared" si="0"/>
        <v>1.1100000000000001</v>
      </c>
      <c r="F34" s="18">
        <f t="shared" si="0"/>
        <v>4.82</v>
      </c>
      <c r="G34" s="18">
        <f t="shared" si="0"/>
        <v>26.79</v>
      </c>
      <c r="H34" s="18">
        <f t="shared" si="0"/>
        <v>13.87</v>
      </c>
      <c r="I34" s="18">
        <f t="shared" si="0"/>
        <v>6.95</v>
      </c>
      <c r="J34" s="18">
        <f t="shared" si="0"/>
        <v>3.41</v>
      </c>
      <c r="K34" s="18">
        <f t="shared" si="0"/>
        <v>72.099999999999994</v>
      </c>
      <c r="L34" s="18">
        <f t="shared" si="0"/>
        <v>28.1</v>
      </c>
      <c r="M34" s="18">
        <f t="shared" si="0"/>
        <v>21.23</v>
      </c>
      <c r="N34" s="18">
        <f t="shared" si="0"/>
        <v>22.5</v>
      </c>
      <c r="O34" s="18">
        <f t="shared" si="0"/>
        <v>0</v>
      </c>
      <c r="P34" s="18">
        <f t="shared" si="0"/>
        <v>0.45</v>
      </c>
      <c r="Q34" s="18">
        <f t="shared" si="0"/>
        <v>27.9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12.02</v>
      </c>
      <c r="C35" s="3">
        <f t="shared" si="1"/>
        <v>52.74</v>
      </c>
      <c r="D35" s="3">
        <f t="shared" si="1"/>
        <v>32.4</v>
      </c>
      <c r="E35" s="3">
        <f t="shared" si="1"/>
        <v>14.81</v>
      </c>
      <c r="F35" s="3">
        <f t="shared" si="1"/>
        <v>47.25</v>
      </c>
      <c r="G35" s="3">
        <f t="shared" si="1"/>
        <v>92.72</v>
      </c>
      <c r="H35" s="3">
        <f t="shared" si="1"/>
        <v>36.08</v>
      </c>
      <c r="I35" s="3">
        <f t="shared" si="1"/>
        <v>12.44</v>
      </c>
      <c r="J35" s="3">
        <f t="shared" si="1"/>
        <v>5.81</v>
      </c>
      <c r="K35" s="3">
        <f t="shared" si="1"/>
        <v>323.95999999999998</v>
      </c>
      <c r="L35" s="3">
        <f t="shared" si="1"/>
        <v>41.33</v>
      </c>
      <c r="M35" s="3">
        <f t="shared" si="1"/>
        <v>60.57</v>
      </c>
      <c r="N35" s="3">
        <f t="shared" si="1"/>
        <v>706.9</v>
      </c>
      <c r="O35" s="3">
        <f t="shared" si="1"/>
        <v>0</v>
      </c>
      <c r="P35" s="3">
        <f t="shared" si="1"/>
        <v>0.86</v>
      </c>
      <c r="Q35" s="3">
        <f t="shared" si="1"/>
        <v>29.11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5.4920833333333343</v>
      </c>
      <c r="C36" s="18">
        <f t="shared" si="2"/>
        <v>37.111250000000005</v>
      </c>
      <c r="D36" s="18">
        <f t="shared" si="2"/>
        <v>24.296666666666667</v>
      </c>
      <c r="E36" s="18">
        <f t="shared" si="2"/>
        <v>3.9874999999999994</v>
      </c>
      <c r="F36" s="18">
        <f t="shared" si="2"/>
        <v>16.251250000000002</v>
      </c>
      <c r="G36" s="18">
        <f t="shared" si="2"/>
        <v>54.817083333333329</v>
      </c>
      <c r="H36" s="18">
        <f t="shared" si="2"/>
        <v>25.450833333333335</v>
      </c>
      <c r="I36" s="18">
        <f t="shared" si="2"/>
        <v>9.3370833333333323</v>
      </c>
      <c r="J36" s="18">
        <f t="shared" si="2"/>
        <v>4.6004166666666668</v>
      </c>
      <c r="K36" s="18">
        <f t="shared" si="2"/>
        <v>207.93458333333334</v>
      </c>
      <c r="L36" s="18">
        <f t="shared" si="2"/>
        <v>33.869583333333331</v>
      </c>
      <c r="M36" s="18">
        <f t="shared" si="2"/>
        <v>42.969583333333333</v>
      </c>
      <c r="N36" s="18">
        <f t="shared" si="2"/>
        <v>217.99166666666667</v>
      </c>
      <c r="O36" s="18">
        <f t="shared" si="2"/>
        <v>0</v>
      </c>
      <c r="P36" s="18">
        <f t="shared" si="2"/>
        <v>0.55875000000000008</v>
      </c>
      <c r="Q36" s="18">
        <f t="shared" si="2"/>
        <v>28.452916666666667</v>
      </c>
      <c r="R36" s="18"/>
      <c r="S36" s="18"/>
      <c r="T36" s="18"/>
      <c r="U36" s="18"/>
    </row>
    <row r="37" spans="1:21">
      <c r="A37" s="3" t="s">
        <v>51</v>
      </c>
      <c r="B37" s="18">
        <f t="shared" ref="B37:Q37" si="3">STDEV(B9:B32)</f>
        <v>2.9898916356205278</v>
      </c>
      <c r="C37" s="18">
        <f t="shared" si="3"/>
        <v>7.6109128244737061</v>
      </c>
      <c r="D37" s="18">
        <f t="shared" si="3"/>
        <v>5.385417239228512</v>
      </c>
      <c r="E37" s="18">
        <f t="shared" si="3"/>
        <v>3.4752644566245992</v>
      </c>
      <c r="F37" s="18">
        <f t="shared" si="3"/>
        <v>10.563031643425097</v>
      </c>
      <c r="G37" s="18">
        <f t="shared" si="3"/>
        <v>22.704286605256375</v>
      </c>
      <c r="H37" s="18">
        <f t="shared" si="3"/>
        <v>7.0424019597236001</v>
      </c>
      <c r="I37" s="18">
        <f t="shared" si="3"/>
        <v>1.5978558436546968</v>
      </c>
      <c r="J37" s="18">
        <f t="shared" si="3"/>
        <v>0.78548505737685048</v>
      </c>
      <c r="K37" s="18">
        <f t="shared" si="3"/>
        <v>53.082034378232727</v>
      </c>
      <c r="L37" s="18">
        <f t="shared" si="3"/>
        <v>4.6473054176508972</v>
      </c>
      <c r="M37" s="18">
        <f t="shared" si="3"/>
        <v>13.929607341501253</v>
      </c>
      <c r="N37" s="18">
        <f t="shared" si="3"/>
        <v>256.3587888549726</v>
      </c>
      <c r="O37" s="18">
        <f t="shared" si="3"/>
        <v>0</v>
      </c>
      <c r="P37" s="18">
        <f t="shared" si="3"/>
        <v>0.10096544824409173</v>
      </c>
      <c r="Q37" s="18">
        <f t="shared" si="3"/>
        <v>0.40319893856255523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6"/>
  <sheetViews>
    <sheetView zoomScale="85" zoomScaleNormal="85" workbookViewId="0">
      <pane xSplit="1" ySplit="8" topLeftCell="B42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20/04/2025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516</v>
      </c>
      <c r="B9" s="40">
        <v>6.5</v>
      </c>
      <c r="C9" s="40">
        <v>43.77</v>
      </c>
      <c r="D9" s="40">
        <v>28.76</v>
      </c>
      <c r="E9" s="40">
        <v>2.36</v>
      </c>
      <c r="F9" s="40">
        <v>9.15</v>
      </c>
      <c r="G9" s="40">
        <v>80.08</v>
      </c>
      <c r="H9" s="40">
        <v>34.44</v>
      </c>
      <c r="I9" s="40">
        <v>10.85</v>
      </c>
      <c r="J9" s="40">
        <v>7.17</v>
      </c>
      <c r="K9" s="40">
        <v>272.44</v>
      </c>
      <c r="L9" s="40">
        <v>31.2</v>
      </c>
      <c r="M9" s="40">
        <v>48.04</v>
      </c>
      <c r="N9" s="40">
        <v>22.9</v>
      </c>
      <c r="O9" s="40">
        <v>0</v>
      </c>
      <c r="P9" s="40">
        <v>0.66</v>
      </c>
      <c r="Q9" s="40">
        <v>28.16</v>
      </c>
      <c r="R9" s="38"/>
      <c r="S9" s="38"/>
      <c r="T9" s="38"/>
      <c r="U9" s="38"/>
    </row>
    <row r="10" spans="1:21" customFormat="1">
      <c r="A10" s="39" t="s">
        <v>517</v>
      </c>
      <c r="B10" s="40">
        <v>9.02</v>
      </c>
      <c r="C10" s="40">
        <v>50.99</v>
      </c>
      <c r="D10" s="40">
        <v>34.04</v>
      </c>
      <c r="E10" s="40">
        <v>2.84</v>
      </c>
      <c r="F10" s="40">
        <v>6.65</v>
      </c>
      <c r="G10" s="40">
        <v>83.73</v>
      </c>
      <c r="H10" s="40">
        <v>33.72</v>
      </c>
      <c r="I10" s="40">
        <v>10.98</v>
      </c>
      <c r="J10" s="40">
        <v>4.5199999999999996</v>
      </c>
      <c r="K10" s="40">
        <v>341.37</v>
      </c>
      <c r="L10" s="40">
        <v>30.97</v>
      </c>
      <c r="M10" s="40">
        <v>48.36</v>
      </c>
      <c r="N10" s="40">
        <v>22.5</v>
      </c>
      <c r="O10" s="40">
        <v>0</v>
      </c>
      <c r="P10" s="40">
        <v>0.63</v>
      </c>
      <c r="Q10" s="40">
        <v>27.54</v>
      </c>
      <c r="R10" s="38"/>
      <c r="S10" s="38"/>
      <c r="T10" s="38"/>
      <c r="U10" s="38"/>
    </row>
    <row r="11" spans="1:21" customFormat="1">
      <c r="A11" s="39" t="s">
        <v>518</v>
      </c>
      <c r="B11" s="40">
        <v>12.79</v>
      </c>
      <c r="C11" s="40">
        <v>53.3</v>
      </c>
      <c r="D11" s="40">
        <v>37.28</v>
      </c>
      <c r="E11" s="40">
        <v>2.48</v>
      </c>
      <c r="F11" s="40">
        <v>4.16</v>
      </c>
      <c r="G11" s="40">
        <v>85.71</v>
      </c>
      <c r="H11" s="40">
        <v>32.47</v>
      </c>
      <c r="I11" s="40">
        <v>11.39</v>
      </c>
      <c r="J11" s="40">
        <v>3.95</v>
      </c>
      <c r="K11" s="40">
        <v>287.13</v>
      </c>
      <c r="L11" s="40">
        <v>30.65</v>
      </c>
      <c r="M11" s="40">
        <v>50.99</v>
      </c>
      <c r="N11" s="40">
        <v>22.8</v>
      </c>
      <c r="O11" s="40">
        <v>0</v>
      </c>
      <c r="P11" s="40">
        <v>0.63</v>
      </c>
      <c r="Q11" s="40">
        <v>27.73</v>
      </c>
      <c r="R11" s="38"/>
      <c r="S11" s="38"/>
      <c r="T11" s="38"/>
      <c r="U11" s="38"/>
    </row>
    <row r="12" spans="1:21" customFormat="1">
      <c r="A12" s="39" t="s">
        <v>519</v>
      </c>
      <c r="B12" s="40">
        <v>19.02</v>
      </c>
      <c r="C12" s="40">
        <v>44.24</v>
      </c>
      <c r="D12" s="40">
        <v>38.21</v>
      </c>
      <c r="E12" s="40">
        <v>1.75</v>
      </c>
      <c r="F12" s="40">
        <v>3.96</v>
      </c>
      <c r="G12" s="40">
        <v>87.42</v>
      </c>
      <c r="H12" s="40">
        <v>32.4</v>
      </c>
      <c r="I12" s="40">
        <v>13.14</v>
      </c>
      <c r="J12" s="40">
        <v>7.59</v>
      </c>
      <c r="K12" s="40">
        <v>175.34</v>
      </c>
      <c r="L12" s="40">
        <v>29.74</v>
      </c>
      <c r="M12" s="40">
        <v>52.16</v>
      </c>
      <c r="N12" s="40">
        <v>22.8</v>
      </c>
      <c r="O12" s="40">
        <v>0</v>
      </c>
      <c r="P12" s="40">
        <v>0.71</v>
      </c>
      <c r="Q12" s="40">
        <v>27.32</v>
      </c>
      <c r="R12" s="38"/>
      <c r="S12" s="38"/>
      <c r="T12" s="38"/>
      <c r="U12" s="38"/>
    </row>
    <row r="13" spans="1:21" customFormat="1">
      <c r="A13" s="39" t="s">
        <v>520</v>
      </c>
      <c r="B13" s="40">
        <v>19.18</v>
      </c>
      <c r="C13" s="40">
        <v>41.54</v>
      </c>
      <c r="D13" s="40">
        <v>37.76</v>
      </c>
      <c r="E13" s="40">
        <v>2.64</v>
      </c>
      <c r="F13" s="40">
        <v>3.84</v>
      </c>
      <c r="G13" s="40">
        <v>101.44</v>
      </c>
      <c r="H13" s="40">
        <v>40.520000000000003</v>
      </c>
      <c r="I13" s="40">
        <v>15.95</v>
      </c>
      <c r="J13" s="40">
        <v>8.01</v>
      </c>
      <c r="K13" s="40">
        <v>143.49</v>
      </c>
      <c r="L13" s="40">
        <v>29.52</v>
      </c>
      <c r="M13" s="40">
        <v>50.98</v>
      </c>
      <c r="N13" s="40">
        <v>22.5</v>
      </c>
      <c r="O13" s="40">
        <v>0</v>
      </c>
      <c r="P13" s="40">
        <v>0.7</v>
      </c>
      <c r="Q13" s="40">
        <v>27.37</v>
      </c>
      <c r="R13" s="38"/>
      <c r="S13" s="38"/>
      <c r="T13" s="38"/>
      <c r="U13" s="38"/>
    </row>
    <row r="14" spans="1:21" customFormat="1">
      <c r="A14" s="39" t="s">
        <v>521</v>
      </c>
      <c r="B14" s="40">
        <v>23.96</v>
      </c>
      <c r="C14" s="40">
        <v>45.92</v>
      </c>
      <c r="D14" s="40">
        <v>42.94</v>
      </c>
      <c r="E14" s="40">
        <v>4.6399999999999997</v>
      </c>
      <c r="F14" s="40">
        <v>3.64</v>
      </c>
      <c r="G14" s="40">
        <v>100.98</v>
      </c>
      <c r="H14" s="40">
        <v>42.98</v>
      </c>
      <c r="I14" s="40">
        <v>15.49</v>
      </c>
      <c r="J14" s="40">
        <v>7.27</v>
      </c>
      <c r="K14" s="40">
        <v>132.34</v>
      </c>
      <c r="L14" s="40">
        <v>29.56</v>
      </c>
      <c r="M14" s="40">
        <v>52.41</v>
      </c>
      <c r="N14" s="40">
        <v>30.7</v>
      </c>
      <c r="O14" s="40">
        <v>0</v>
      </c>
      <c r="P14" s="40">
        <v>0.93</v>
      </c>
      <c r="Q14" s="40">
        <v>27.25</v>
      </c>
      <c r="R14" s="38"/>
      <c r="S14" s="38"/>
      <c r="T14" s="38"/>
      <c r="U14" s="38"/>
    </row>
    <row r="15" spans="1:21" customFormat="1">
      <c r="A15" s="39" t="s">
        <v>522</v>
      </c>
      <c r="B15" s="40">
        <v>21.39</v>
      </c>
      <c r="C15" s="40">
        <v>42.18</v>
      </c>
      <c r="D15" s="40">
        <v>39.869999999999997</v>
      </c>
      <c r="E15" s="40">
        <v>5.04</v>
      </c>
      <c r="F15" s="40">
        <v>6.64</v>
      </c>
      <c r="G15" s="40">
        <v>121.47</v>
      </c>
      <c r="H15" s="40">
        <v>61.92</v>
      </c>
      <c r="I15" s="40">
        <v>21.19</v>
      </c>
      <c r="J15" s="40">
        <v>7.05</v>
      </c>
      <c r="K15" s="40">
        <v>196.62</v>
      </c>
      <c r="L15" s="40">
        <v>30.52</v>
      </c>
      <c r="M15" s="40">
        <v>52.8</v>
      </c>
      <c r="N15" s="40">
        <v>66.599999999999994</v>
      </c>
      <c r="O15" s="40">
        <v>0</v>
      </c>
      <c r="P15" s="40">
        <v>1.1100000000000001</v>
      </c>
      <c r="Q15" s="40">
        <v>27.12</v>
      </c>
      <c r="R15" s="38"/>
      <c r="S15" s="38"/>
      <c r="T15" s="38"/>
      <c r="U15" s="38"/>
    </row>
    <row r="16" spans="1:21" customFormat="1">
      <c r="A16" s="39" t="s">
        <v>523</v>
      </c>
      <c r="B16" s="40">
        <v>21.14</v>
      </c>
      <c r="C16" s="40">
        <v>40.01</v>
      </c>
      <c r="D16" s="40">
        <v>38.18</v>
      </c>
      <c r="E16" s="40">
        <v>5.39</v>
      </c>
      <c r="F16" s="40">
        <v>8.9700000000000006</v>
      </c>
      <c r="G16" s="40">
        <v>160.01</v>
      </c>
      <c r="H16" s="40">
        <v>77.63</v>
      </c>
      <c r="I16" s="40">
        <v>21.15</v>
      </c>
      <c r="J16" s="40">
        <v>9.09</v>
      </c>
      <c r="K16" s="40">
        <v>265.04000000000002</v>
      </c>
      <c r="L16" s="40">
        <v>31.59</v>
      </c>
      <c r="M16" s="40">
        <v>51.81</v>
      </c>
      <c r="N16" s="40">
        <v>103.3</v>
      </c>
      <c r="O16" s="40">
        <v>0</v>
      </c>
      <c r="P16" s="40">
        <v>0.98</v>
      </c>
      <c r="Q16" s="40">
        <v>27.32</v>
      </c>
      <c r="R16" s="38"/>
      <c r="S16" s="38"/>
      <c r="T16" s="38"/>
      <c r="U16" s="38"/>
    </row>
    <row r="17" spans="1:21" customFormat="1">
      <c r="A17" s="39" t="s">
        <v>524</v>
      </c>
      <c r="B17" s="40">
        <v>20.329999999999998</v>
      </c>
      <c r="C17" s="40">
        <v>39.53</v>
      </c>
      <c r="D17" s="40">
        <v>36.99</v>
      </c>
      <c r="E17" s="40">
        <v>4.9400000000000004</v>
      </c>
      <c r="F17" s="40">
        <v>5.93</v>
      </c>
      <c r="G17" s="40">
        <v>158.47999999999999</v>
      </c>
      <c r="H17" s="40">
        <v>75.72</v>
      </c>
      <c r="I17" s="40">
        <v>18.86</v>
      </c>
      <c r="J17" s="40">
        <v>7.97</v>
      </c>
      <c r="K17" s="40">
        <v>247.69</v>
      </c>
      <c r="L17" s="40">
        <v>33.020000000000003</v>
      </c>
      <c r="M17" s="40">
        <v>51</v>
      </c>
      <c r="N17" s="40">
        <v>167</v>
      </c>
      <c r="O17" s="40">
        <v>0</v>
      </c>
      <c r="P17" s="40">
        <v>0.92</v>
      </c>
      <c r="Q17" s="40">
        <v>27.58</v>
      </c>
      <c r="R17" s="38"/>
      <c r="S17" s="38"/>
      <c r="T17" s="38"/>
      <c r="U17" s="38"/>
    </row>
    <row r="18" spans="1:21" customFormat="1">
      <c r="A18" s="39" t="s">
        <v>525</v>
      </c>
      <c r="B18" s="40">
        <v>12.43</v>
      </c>
      <c r="C18" s="40">
        <v>37.380000000000003</v>
      </c>
      <c r="D18" s="40">
        <v>30.18</v>
      </c>
      <c r="E18" s="40">
        <v>3.28</v>
      </c>
      <c r="F18" s="40">
        <v>12.81</v>
      </c>
      <c r="G18" s="40">
        <v>145.09</v>
      </c>
      <c r="H18" s="40">
        <v>64.040000000000006</v>
      </c>
      <c r="I18" s="40">
        <v>18.190000000000001</v>
      </c>
      <c r="J18" s="40">
        <v>8.48</v>
      </c>
      <c r="K18" s="40">
        <v>239.43</v>
      </c>
      <c r="L18" s="40">
        <v>34.85</v>
      </c>
      <c r="M18" s="40">
        <v>49.78</v>
      </c>
      <c r="N18" s="40">
        <v>578.5</v>
      </c>
      <c r="O18" s="40">
        <v>0</v>
      </c>
      <c r="P18" s="40">
        <v>0.86</v>
      </c>
      <c r="Q18" s="40">
        <v>28.25</v>
      </c>
      <c r="R18" s="38"/>
      <c r="S18" s="38"/>
      <c r="T18" s="38"/>
      <c r="U18" s="38"/>
    </row>
    <row r="19" spans="1:21" customFormat="1">
      <c r="A19" s="39" t="s">
        <v>526</v>
      </c>
      <c r="B19" s="40">
        <v>4.1900000000000004</v>
      </c>
      <c r="C19" s="40">
        <v>32.76</v>
      </c>
      <c r="D19" s="40">
        <v>20.59</v>
      </c>
      <c r="E19" s="40">
        <v>1.84</v>
      </c>
      <c r="F19" s="40">
        <v>15.94</v>
      </c>
      <c r="G19" s="40">
        <v>112.52</v>
      </c>
      <c r="H19" s="40">
        <v>50.8</v>
      </c>
      <c r="I19" s="40">
        <v>16.22</v>
      </c>
      <c r="J19" s="40">
        <v>7.09</v>
      </c>
      <c r="K19" s="40">
        <v>243.65</v>
      </c>
      <c r="L19" s="40">
        <v>37.11</v>
      </c>
      <c r="M19" s="40">
        <v>41.06</v>
      </c>
      <c r="N19" s="40">
        <v>741.6</v>
      </c>
      <c r="O19" s="40">
        <v>0</v>
      </c>
      <c r="P19" s="40">
        <v>0.83</v>
      </c>
      <c r="Q19" s="40">
        <v>28.66</v>
      </c>
      <c r="R19" s="38"/>
      <c r="S19" s="38"/>
      <c r="T19" s="38"/>
      <c r="U19" s="38"/>
    </row>
    <row r="20" spans="1:21" customFormat="1">
      <c r="A20" s="39" t="s">
        <v>527</v>
      </c>
      <c r="B20" s="40">
        <v>2.88</v>
      </c>
      <c r="C20" s="40">
        <v>31.81</v>
      </c>
      <c r="D20" s="40">
        <v>19.61</v>
      </c>
      <c r="E20" s="40">
        <v>5.17</v>
      </c>
      <c r="F20" s="40">
        <v>24.18</v>
      </c>
      <c r="G20" s="40">
        <v>90.03</v>
      </c>
      <c r="H20" s="40">
        <v>35.96</v>
      </c>
      <c r="I20" s="40">
        <v>16.02</v>
      </c>
      <c r="J20" s="40">
        <v>7.13</v>
      </c>
      <c r="K20" s="40">
        <v>274.45</v>
      </c>
      <c r="L20" s="40">
        <v>39.549999999999997</v>
      </c>
      <c r="M20" s="40">
        <v>32.22</v>
      </c>
      <c r="N20" s="40">
        <v>747.2</v>
      </c>
      <c r="O20" s="40">
        <v>0</v>
      </c>
      <c r="P20" s="40">
        <v>0.72</v>
      </c>
      <c r="Q20" s="40">
        <v>29.09</v>
      </c>
      <c r="R20" s="38"/>
      <c r="S20" s="38"/>
      <c r="T20" s="38"/>
      <c r="U20" s="38"/>
    </row>
    <row r="21" spans="1:21" customFormat="1">
      <c r="A21" s="39" t="s">
        <v>528</v>
      </c>
      <c r="B21" s="40">
        <v>2.91</v>
      </c>
      <c r="C21" s="40">
        <v>30.83</v>
      </c>
      <c r="D21" s="40">
        <v>19.02</v>
      </c>
      <c r="E21" s="40">
        <v>5.79</v>
      </c>
      <c r="F21" s="40">
        <v>42.48</v>
      </c>
      <c r="G21" s="40">
        <v>73.41</v>
      </c>
      <c r="H21" s="40">
        <v>29.82</v>
      </c>
      <c r="I21" s="40">
        <v>14.25</v>
      </c>
      <c r="J21" s="40">
        <v>4.71</v>
      </c>
      <c r="K21" s="40">
        <v>348.78</v>
      </c>
      <c r="L21" s="40">
        <v>40.729999999999997</v>
      </c>
      <c r="M21" s="40">
        <v>22.56</v>
      </c>
      <c r="N21" s="40">
        <v>684.1</v>
      </c>
      <c r="O21" s="40">
        <v>0</v>
      </c>
      <c r="P21" s="40">
        <v>0.61</v>
      </c>
      <c r="Q21" s="40">
        <v>28.83</v>
      </c>
      <c r="R21" s="38"/>
      <c r="S21" s="38"/>
      <c r="T21" s="38"/>
      <c r="U21" s="38"/>
    </row>
    <row r="22" spans="1:21" customFormat="1">
      <c r="A22" s="39" t="s">
        <v>529</v>
      </c>
      <c r="B22" s="40">
        <v>2.81</v>
      </c>
      <c r="C22" s="40">
        <v>24.57</v>
      </c>
      <c r="D22" s="40">
        <v>15.64</v>
      </c>
      <c r="E22" s="40">
        <v>3.71</v>
      </c>
      <c r="F22" s="40">
        <v>45.71</v>
      </c>
      <c r="G22" s="40">
        <v>65.17</v>
      </c>
      <c r="H22" s="40">
        <v>27</v>
      </c>
      <c r="I22" s="40">
        <v>11.78</v>
      </c>
      <c r="J22" s="40">
        <v>7.4</v>
      </c>
      <c r="K22" s="40">
        <v>284.55</v>
      </c>
      <c r="L22" s="40">
        <v>42.15</v>
      </c>
      <c r="M22" s="40">
        <v>20.02</v>
      </c>
      <c r="N22" s="40">
        <v>611.29999999999995</v>
      </c>
      <c r="O22" s="40">
        <v>0</v>
      </c>
      <c r="P22" s="40">
        <v>0.54</v>
      </c>
      <c r="Q22" s="40">
        <v>28.95</v>
      </c>
      <c r="R22" s="38"/>
      <c r="S22" s="38"/>
      <c r="T22" s="38"/>
      <c r="U22" s="38"/>
    </row>
    <row r="23" spans="1:21" customFormat="1">
      <c r="A23" s="39" t="s">
        <v>530</v>
      </c>
      <c r="B23" s="40">
        <v>2.94</v>
      </c>
      <c r="C23" s="40">
        <v>29.41</v>
      </c>
      <c r="D23" s="40">
        <v>18.36</v>
      </c>
      <c r="E23" s="40">
        <v>4.88</v>
      </c>
      <c r="F23" s="40">
        <v>25.99</v>
      </c>
      <c r="G23" s="40">
        <v>61.69</v>
      </c>
      <c r="H23" s="40">
        <v>25.52</v>
      </c>
      <c r="I23" s="40">
        <v>11.39</v>
      </c>
      <c r="J23" s="40">
        <v>5.37</v>
      </c>
      <c r="K23" s="40">
        <v>279.92</v>
      </c>
      <c r="L23" s="40">
        <v>42.79</v>
      </c>
      <c r="M23" s="40">
        <v>16.48</v>
      </c>
      <c r="N23" s="40">
        <v>559.1</v>
      </c>
      <c r="O23" s="40">
        <v>0</v>
      </c>
      <c r="P23" s="40">
        <v>0.53</v>
      </c>
      <c r="Q23" s="40">
        <v>28.75</v>
      </c>
      <c r="R23" s="38"/>
      <c r="S23" s="38"/>
      <c r="T23" s="38"/>
      <c r="U23" s="38"/>
    </row>
    <row r="24" spans="1:21" customFormat="1">
      <c r="A24" s="39" t="s">
        <v>531</v>
      </c>
      <c r="B24" s="40">
        <v>2.92</v>
      </c>
      <c r="C24" s="40">
        <v>46.88</v>
      </c>
      <c r="D24" s="40">
        <v>27.41</v>
      </c>
      <c r="E24" s="40">
        <v>5.31</v>
      </c>
      <c r="F24" s="40">
        <v>33.25</v>
      </c>
      <c r="G24" s="40">
        <v>57.35</v>
      </c>
      <c r="H24" s="40">
        <v>27.7</v>
      </c>
      <c r="I24" s="40">
        <v>11.1</v>
      </c>
      <c r="J24" s="40">
        <v>6.36</v>
      </c>
      <c r="K24" s="40">
        <v>345.01</v>
      </c>
      <c r="L24" s="40">
        <v>43.95</v>
      </c>
      <c r="M24" s="40">
        <v>14.4</v>
      </c>
      <c r="N24" s="40">
        <v>468.2</v>
      </c>
      <c r="O24" s="40">
        <v>0</v>
      </c>
      <c r="P24" s="40">
        <v>0.44</v>
      </c>
      <c r="Q24" s="40">
        <v>28.93</v>
      </c>
      <c r="R24" s="38"/>
      <c r="S24" s="38"/>
      <c r="T24" s="38"/>
      <c r="U24" s="38"/>
    </row>
    <row r="25" spans="1:21" customFormat="1">
      <c r="A25" s="39" t="s">
        <v>532</v>
      </c>
      <c r="B25" s="40">
        <v>2.63</v>
      </c>
      <c r="C25" s="40">
        <v>41.58</v>
      </c>
      <c r="D25" s="40">
        <v>24.47</v>
      </c>
      <c r="E25" s="40">
        <v>5.51</v>
      </c>
      <c r="F25" s="40">
        <v>47.46</v>
      </c>
      <c r="G25" s="40">
        <v>56.68</v>
      </c>
      <c r="H25" s="40">
        <v>26.89</v>
      </c>
      <c r="I25" s="40">
        <v>10.41</v>
      </c>
      <c r="J25" s="40">
        <v>5.56</v>
      </c>
      <c r="K25" s="40">
        <v>224.44</v>
      </c>
      <c r="L25" s="40">
        <v>43.23</v>
      </c>
      <c r="M25" s="40">
        <v>14.92</v>
      </c>
      <c r="N25" s="40">
        <v>263.89999999999998</v>
      </c>
      <c r="O25" s="40">
        <v>0</v>
      </c>
      <c r="P25" s="40">
        <v>0.41</v>
      </c>
      <c r="Q25" s="40">
        <v>28.39</v>
      </c>
      <c r="R25" s="38"/>
      <c r="S25" s="38"/>
      <c r="T25" s="38"/>
      <c r="U25" s="38"/>
    </row>
    <row r="26" spans="1:21" customFormat="1">
      <c r="A26" s="39" t="s">
        <v>533</v>
      </c>
      <c r="B26" s="40">
        <v>2.68</v>
      </c>
      <c r="C26" s="40">
        <v>34.46</v>
      </c>
      <c r="D26" s="40">
        <v>20.66</v>
      </c>
      <c r="E26" s="40">
        <v>8.4499999999999993</v>
      </c>
      <c r="F26" s="40">
        <v>55.41</v>
      </c>
      <c r="G26" s="40">
        <v>54.25</v>
      </c>
      <c r="H26" s="40">
        <v>26.71</v>
      </c>
      <c r="I26" s="40">
        <v>9.36</v>
      </c>
      <c r="J26" s="40">
        <v>6.06</v>
      </c>
      <c r="K26" s="40">
        <v>225.07</v>
      </c>
      <c r="L26" s="40">
        <v>42.71</v>
      </c>
      <c r="M26" s="40">
        <v>19.34</v>
      </c>
      <c r="N26" s="40">
        <v>136.19999999999999</v>
      </c>
      <c r="O26" s="40">
        <v>0</v>
      </c>
      <c r="P26" s="40">
        <v>0.51</v>
      </c>
      <c r="Q26" s="40">
        <v>28.87</v>
      </c>
      <c r="R26" s="38"/>
      <c r="S26" s="38"/>
      <c r="T26" s="38"/>
      <c r="U26" s="38"/>
    </row>
    <row r="27" spans="1:21" customFormat="1">
      <c r="A27" s="39" t="s">
        <v>534</v>
      </c>
      <c r="B27" s="40">
        <v>2.64</v>
      </c>
      <c r="C27" s="40">
        <v>32.35</v>
      </c>
      <c r="D27" s="40">
        <v>19.420000000000002</v>
      </c>
      <c r="E27" s="40">
        <v>14.62</v>
      </c>
      <c r="F27" s="40">
        <v>58.02</v>
      </c>
      <c r="G27" s="40">
        <v>50.76</v>
      </c>
      <c r="H27" s="40">
        <v>25.27</v>
      </c>
      <c r="I27" s="40">
        <v>10.69</v>
      </c>
      <c r="J27" s="40">
        <v>6.07</v>
      </c>
      <c r="K27" s="40">
        <v>171.9</v>
      </c>
      <c r="L27" s="40">
        <v>39.74</v>
      </c>
      <c r="M27" s="40">
        <v>23.73</v>
      </c>
      <c r="N27" s="40">
        <v>29.6</v>
      </c>
      <c r="O27" s="40">
        <v>0</v>
      </c>
      <c r="P27" s="40">
        <v>0.65</v>
      </c>
      <c r="Q27" s="40">
        <v>28.9</v>
      </c>
      <c r="R27" s="38"/>
      <c r="S27" s="38"/>
      <c r="T27" s="38"/>
      <c r="U27" s="38"/>
    </row>
    <row r="28" spans="1:21" customFormat="1">
      <c r="A28" s="39" t="s">
        <v>535</v>
      </c>
      <c r="B28" s="40">
        <v>2.92</v>
      </c>
      <c r="C28" s="40">
        <v>35.57</v>
      </c>
      <c r="D28" s="40">
        <v>21.61</v>
      </c>
      <c r="E28" s="40">
        <v>11.41</v>
      </c>
      <c r="F28" s="40">
        <v>52.15</v>
      </c>
      <c r="G28" s="40">
        <v>56.52</v>
      </c>
      <c r="H28" s="40">
        <v>27.36</v>
      </c>
      <c r="I28" s="40">
        <v>13.07</v>
      </c>
      <c r="J28" s="40">
        <v>5.4</v>
      </c>
      <c r="K28" s="40">
        <v>231.98</v>
      </c>
      <c r="L28" s="40">
        <v>36.869999999999997</v>
      </c>
      <c r="M28" s="40">
        <v>25.73</v>
      </c>
      <c r="N28" s="40">
        <v>22.5</v>
      </c>
      <c r="O28" s="40">
        <v>0</v>
      </c>
      <c r="P28" s="40">
        <v>0.72</v>
      </c>
      <c r="Q28" s="40">
        <v>28.4</v>
      </c>
      <c r="R28" s="38"/>
      <c r="S28" s="38"/>
      <c r="T28" s="38"/>
      <c r="U28" s="38"/>
    </row>
    <row r="29" spans="1:21" customFormat="1">
      <c r="A29" s="39" t="s">
        <v>536</v>
      </c>
      <c r="B29" s="40">
        <v>3.33</v>
      </c>
      <c r="C29" s="40">
        <v>43.14</v>
      </c>
      <c r="D29" s="40">
        <v>25.88</v>
      </c>
      <c r="E29" s="40">
        <v>6.43</v>
      </c>
      <c r="F29" s="40">
        <v>36.76</v>
      </c>
      <c r="G29" s="40">
        <v>62.32</v>
      </c>
      <c r="H29" s="40">
        <v>34.57</v>
      </c>
      <c r="I29" s="40">
        <v>13.68</v>
      </c>
      <c r="J29" s="40">
        <v>5.74</v>
      </c>
      <c r="K29" s="40">
        <v>223.14</v>
      </c>
      <c r="L29" s="40">
        <v>36.22</v>
      </c>
      <c r="M29" s="40">
        <v>34.47</v>
      </c>
      <c r="N29" s="40">
        <v>22.7</v>
      </c>
      <c r="O29" s="40">
        <v>0</v>
      </c>
      <c r="P29" s="40">
        <v>0.79</v>
      </c>
      <c r="Q29" s="40">
        <v>28.44</v>
      </c>
      <c r="R29" s="38"/>
      <c r="S29" s="38"/>
      <c r="T29" s="38"/>
      <c r="U29" s="38"/>
    </row>
    <row r="30" spans="1:21" customFormat="1">
      <c r="A30" s="39" t="s">
        <v>537</v>
      </c>
      <c r="B30" s="40">
        <v>3.91</v>
      </c>
      <c r="C30" s="40">
        <v>45.33</v>
      </c>
      <c r="D30" s="40">
        <v>27.4</v>
      </c>
      <c r="E30" s="40">
        <v>4.32</v>
      </c>
      <c r="F30" s="40">
        <v>18</v>
      </c>
      <c r="G30" s="40">
        <v>62.1</v>
      </c>
      <c r="H30" s="40">
        <v>34.33</v>
      </c>
      <c r="I30" s="40">
        <v>12.18</v>
      </c>
      <c r="J30" s="40">
        <v>6.13</v>
      </c>
      <c r="K30" s="40">
        <v>220.05</v>
      </c>
      <c r="L30" s="40">
        <v>34.32</v>
      </c>
      <c r="M30" s="40">
        <v>37.32</v>
      </c>
      <c r="N30" s="40">
        <v>22.5</v>
      </c>
      <c r="O30" s="40">
        <v>0</v>
      </c>
      <c r="P30" s="40">
        <v>0.63</v>
      </c>
      <c r="Q30" s="40">
        <v>28.44</v>
      </c>
      <c r="R30" s="38"/>
      <c r="S30" s="38"/>
      <c r="T30" s="38"/>
      <c r="U30" s="38"/>
    </row>
    <row r="31" spans="1:21" customFormat="1">
      <c r="A31" s="39" t="s">
        <v>538</v>
      </c>
      <c r="B31" s="40">
        <v>4.07</v>
      </c>
      <c r="C31" s="40">
        <v>45.92</v>
      </c>
      <c r="D31" s="40">
        <v>27.83</v>
      </c>
      <c r="E31" s="40">
        <v>3.71</v>
      </c>
      <c r="F31" s="40">
        <v>20.41</v>
      </c>
      <c r="G31" s="40">
        <v>59.48</v>
      </c>
      <c r="H31" s="40">
        <v>32.590000000000003</v>
      </c>
      <c r="I31" s="40">
        <v>11.21</v>
      </c>
      <c r="J31" s="40">
        <v>5.69</v>
      </c>
      <c r="K31" s="40">
        <v>237.83</v>
      </c>
      <c r="L31" s="40">
        <v>33.26</v>
      </c>
      <c r="M31" s="40">
        <v>39.119999999999997</v>
      </c>
      <c r="N31" s="40">
        <v>22.4</v>
      </c>
      <c r="O31" s="40">
        <v>0</v>
      </c>
      <c r="P31" s="40">
        <v>0.61</v>
      </c>
      <c r="Q31" s="40">
        <v>28.57</v>
      </c>
      <c r="R31" s="38"/>
      <c r="S31" s="38"/>
      <c r="T31" s="38"/>
      <c r="U31" s="38"/>
    </row>
    <row r="32" spans="1:21" customFormat="1">
      <c r="A32" s="39" t="s">
        <v>539</v>
      </c>
      <c r="B32" s="40">
        <v>4.54</v>
      </c>
      <c r="C32" s="40">
        <v>32.799999999999997</v>
      </c>
      <c r="D32" s="40">
        <v>21.35</v>
      </c>
      <c r="E32" s="40">
        <v>2.7</v>
      </c>
      <c r="F32" s="40">
        <v>15.32</v>
      </c>
      <c r="G32" s="40">
        <v>53.19</v>
      </c>
      <c r="H32" s="40">
        <v>30.06</v>
      </c>
      <c r="I32" s="40">
        <v>10.35</v>
      </c>
      <c r="J32" s="40">
        <v>5.83</v>
      </c>
      <c r="K32" s="40">
        <v>237.92</v>
      </c>
      <c r="L32" s="40">
        <v>32.43</v>
      </c>
      <c r="M32" s="40">
        <v>42.11</v>
      </c>
      <c r="N32" s="40">
        <v>22.5</v>
      </c>
      <c r="O32" s="40">
        <v>0</v>
      </c>
      <c r="P32" s="40">
        <v>0.61</v>
      </c>
      <c r="Q32" s="40">
        <v>28.51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2.63</v>
      </c>
      <c r="C34" s="18">
        <f t="shared" si="0"/>
        <v>24.57</v>
      </c>
      <c r="D34" s="18">
        <f t="shared" si="0"/>
        <v>15.64</v>
      </c>
      <c r="E34" s="18">
        <f t="shared" si="0"/>
        <v>1.75</v>
      </c>
      <c r="F34" s="18">
        <f t="shared" si="0"/>
        <v>3.64</v>
      </c>
      <c r="G34" s="18">
        <f t="shared" si="0"/>
        <v>50.76</v>
      </c>
      <c r="H34" s="18">
        <f t="shared" si="0"/>
        <v>25.27</v>
      </c>
      <c r="I34" s="18">
        <f t="shared" si="0"/>
        <v>9.36</v>
      </c>
      <c r="J34" s="18">
        <f t="shared" si="0"/>
        <v>3.95</v>
      </c>
      <c r="K34" s="18">
        <f t="shared" si="0"/>
        <v>132.34</v>
      </c>
      <c r="L34" s="18">
        <f t="shared" si="0"/>
        <v>29.52</v>
      </c>
      <c r="M34" s="18">
        <f t="shared" si="0"/>
        <v>14.4</v>
      </c>
      <c r="N34" s="18">
        <f t="shared" si="0"/>
        <v>22.4</v>
      </c>
      <c r="O34" s="18">
        <f t="shared" si="0"/>
        <v>0</v>
      </c>
      <c r="P34" s="18">
        <f t="shared" si="0"/>
        <v>0.41</v>
      </c>
      <c r="Q34" s="18">
        <f t="shared" si="0"/>
        <v>27.12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23.96</v>
      </c>
      <c r="C35" s="3">
        <f t="shared" si="1"/>
        <v>53.3</v>
      </c>
      <c r="D35" s="3">
        <f t="shared" si="1"/>
        <v>42.94</v>
      </c>
      <c r="E35" s="3">
        <f t="shared" si="1"/>
        <v>14.62</v>
      </c>
      <c r="F35" s="3">
        <f t="shared" si="1"/>
        <v>58.02</v>
      </c>
      <c r="G35" s="3">
        <f t="shared" si="1"/>
        <v>160.01</v>
      </c>
      <c r="H35" s="3">
        <f t="shared" si="1"/>
        <v>77.63</v>
      </c>
      <c r="I35" s="3">
        <f t="shared" si="1"/>
        <v>21.19</v>
      </c>
      <c r="J35" s="3">
        <f t="shared" si="1"/>
        <v>9.09</v>
      </c>
      <c r="K35" s="3">
        <f t="shared" si="1"/>
        <v>348.78</v>
      </c>
      <c r="L35" s="3">
        <f t="shared" si="1"/>
        <v>43.95</v>
      </c>
      <c r="M35" s="3">
        <f t="shared" si="1"/>
        <v>52.8</v>
      </c>
      <c r="N35" s="3">
        <f t="shared" si="1"/>
        <v>747.2</v>
      </c>
      <c r="O35" s="3">
        <f t="shared" si="1"/>
        <v>0</v>
      </c>
      <c r="P35" s="3">
        <f t="shared" si="1"/>
        <v>1.1100000000000001</v>
      </c>
      <c r="Q35" s="3">
        <f t="shared" si="1"/>
        <v>29.09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8.7970833333333314</v>
      </c>
      <c r="C36" s="18">
        <f t="shared" si="2"/>
        <v>39.427916666666668</v>
      </c>
      <c r="D36" s="18">
        <f t="shared" si="2"/>
        <v>28.060833333333331</v>
      </c>
      <c r="E36" s="18">
        <f t="shared" si="2"/>
        <v>4.967083333333334</v>
      </c>
      <c r="F36" s="18">
        <f t="shared" si="2"/>
        <v>23.201249999999998</v>
      </c>
      <c r="G36" s="18">
        <f t="shared" si="2"/>
        <v>84.995000000000005</v>
      </c>
      <c r="H36" s="18">
        <f t="shared" si="2"/>
        <v>38.767500000000005</v>
      </c>
      <c r="I36" s="18">
        <f t="shared" si="2"/>
        <v>13.704166666666667</v>
      </c>
      <c r="J36" s="18">
        <f t="shared" si="2"/>
        <v>6.4850000000000021</v>
      </c>
      <c r="K36" s="18">
        <f t="shared" si="2"/>
        <v>243.73249999999996</v>
      </c>
      <c r="L36" s="18">
        <f t="shared" si="2"/>
        <v>35.695000000000007</v>
      </c>
      <c r="M36" s="18">
        <f t="shared" si="2"/>
        <v>37.158750000000005</v>
      </c>
      <c r="N36" s="18">
        <f t="shared" si="2"/>
        <v>225.55833333333328</v>
      </c>
      <c r="O36" s="18">
        <f t="shared" si="2"/>
        <v>0</v>
      </c>
      <c r="P36" s="18">
        <f t="shared" si="2"/>
        <v>0.69708333333333339</v>
      </c>
      <c r="Q36" s="18">
        <f t="shared" si="2"/>
        <v>28.223750000000006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7.6849929869938727</v>
      </c>
      <c r="C37" s="18">
        <f t="shared" ref="C37:Q37" si="3">STDEV(C9:C32)</f>
        <v>7.2498935399479887</v>
      </c>
      <c r="D37" s="18">
        <f t="shared" si="3"/>
        <v>8.2297830901029752</v>
      </c>
      <c r="E37" s="18">
        <f t="shared" si="3"/>
        <v>2.985520825827424</v>
      </c>
      <c r="F37" s="18">
        <f t="shared" si="3"/>
        <v>18.46567987245999</v>
      </c>
      <c r="G37" s="18">
        <f t="shared" si="3"/>
        <v>33.346397628268711</v>
      </c>
      <c r="H37" s="18">
        <f t="shared" si="3"/>
        <v>15.624657561464922</v>
      </c>
      <c r="I37" s="18">
        <f t="shared" si="3"/>
        <v>3.4546313169760752</v>
      </c>
      <c r="J37" s="18">
        <f t="shared" si="3"/>
        <v>1.2915545065843075</v>
      </c>
      <c r="K37" s="18">
        <f t="shared" si="3"/>
        <v>56.862166320811937</v>
      </c>
      <c r="L37" s="18">
        <f t="shared" si="3"/>
        <v>5.0024567877236805</v>
      </c>
      <c r="M37" s="18">
        <f t="shared" si="3"/>
        <v>14.056870612374682</v>
      </c>
      <c r="N37" s="18">
        <f t="shared" si="3"/>
        <v>274.53580255416233</v>
      </c>
      <c r="O37" s="18">
        <f t="shared" si="3"/>
        <v>0</v>
      </c>
      <c r="P37" s="18">
        <f t="shared" si="3"/>
        <v>0.17251286446464556</v>
      </c>
      <c r="Q37" s="18">
        <f t="shared" si="3"/>
        <v>0.64267655330960449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21/04/2025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540</v>
      </c>
      <c r="B9" s="40">
        <v>4.07</v>
      </c>
      <c r="C9" s="40">
        <v>43.07</v>
      </c>
      <c r="D9" s="40">
        <v>26.15</v>
      </c>
      <c r="E9" s="40">
        <v>2.95</v>
      </c>
      <c r="F9" s="40">
        <v>8.34</v>
      </c>
      <c r="G9" s="40">
        <v>53.05</v>
      </c>
      <c r="H9" s="40">
        <v>29.74</v>
      </c>
      <c r="I9" s="40">
        <v>10.220000000000001</v>
      </c>
      <c r="J9" s="40">
        <v>5.4</v>
      </c>
      <c r="K9" s="40">
        <v>268.86</v>
      </c>
      <c r="L9" s="40">
        <v>31.9</v>
      </c>
      <c r="M9" s="40">
        <v>43.09</v>
      </c>
      <c r="N9" s="40">
        <v>22.5</v>
      </c>
      <c r="O9" s="40">
        <v>0</v>
      </c>
      <c r="P9" s="40">
        <v>0.59</v>
      </c>
      <c r="Q9" s="40">
        <v>28.14</v>
      </c>
      <c r="R9" s="38"/>
      <c r="S9" s="38"/>
      <c r="T9" s="38"/>
      <c r="U9" s="38"/>
    </row>
    <row r="10" spans="1:21" customFormat="1">
      <c r="A10" s="39" t="s">
        <v>541</v>
      </c>
      <c r="B10" s="40">
        <v>4.78</v>
      </c>
      <c r="C10" s="40">
        <v>43.8</v>
      </c>
      <c r="D10" s="40">
        <v>27.08</v>
      </c>
      <c r="E10" s="40">
        <v>2.86</v>
      </c>
      <c r="F10" s="40">
        <v>11.48</v>
      </c>
      <c r="G10" s="40">
        <v>52.22</v>
      </c>
      <c r="H10" s="40">
        <v>28.85</v>
      </c>
      <c r="I10" s="40">
        <v>10.18</v>
      </c>
      <c r="J10" s="40">
        <v>6.41</v>
      </c>
      <c r="K10" s="40">
        <v>237.69</v>
      </c>
      <c r="L10" s="40">
        <v>31.49</v>
      </c>
      <c r="M10" s="40">
        <v>42.9</v>
      </c>
      <c r="N10" s="40">
        <v>22.4</v>
      </c>
      <c r="O10" s="40">
        <v>0</v>
      </c>
      <c r="P10" s="40">
        <v>0.56000000000000005</v>
      </c>
      <c r="Q10" s="40">
        <v>28.27</v>
      </c>
      <c r="R10" s="38"/>
      <c r="S10" s="38"/>
      <c r="T10" s="38"/>
      <c r="U10" s="38"/>
    </row>
    <row r="11" spans="1:21" customFormat="1">
      <c r="A11" s="39" t="s">
        <v>542</v>
      </c>
      <c r="B11" s="40">
        <v>4.3499999999999996</v>
      </c>
      <c r="C11" s="40">
        <v>34.159999999999997</v>
      </c>
      <c r="D11" s="40">
        <v>21.6</v>
      </c>
      <c r="E11" s="40">
        <v>1.58</v>
      </c>
      <c r="F11" s="40">
        <v>10.7</v>
      </c>
      <c r="G11" s="40">
        <v>55.14</v>
      </c>
      <c r="H11" s="40">
        <v>26.57</v>
      </c>
      <c r="I11" s="40">
        <v>9.61</v>
      </c>
      <c r="J11" s="40">
        <v>7.29</v>
      </c>
      <c r="K11" s="40">
        <v>219.88</v>
      </c>
      <c r="L11" s="40">
        <v>31.2</v>
      </c>
      <c r="M11" s="40">
        <v>43.12</v>
      </c>
      <c r="N11" s="40">
        <v>22.7</v>
      </c>
      <c r="O11" s="40">
        <v>0</v>
      </c>
      <c r="P11" s="40">
        <v>0.56000000000000005</v>
      </c>
      <c r="Q11" s="40">
        <v>28.38</v>
      </c>
      <c r="R11" s="38"/>
      <c r="S11" s="38"/>
      <c r="T11" s="38"/>
      <c r="U11" s="38"/>
    </row>
    <row r="12" spans="1:21" customFormat="1">
      <c r="A12" s="39" t="s">
        <v>543</v>
      </c>
      <c r="B12" s="40">
        <v>3.27</v>
      </c>
      <c r="C12" s="40">
        <v>37.020000000000003</v>
      </c>
      <c r="D12" s="40">
        <v>22.48</v>
      </c>
      <c r="E12" s="40">
        <v>2.38</v>
      </c>
      <c r="F12" s="40">
        <v>10.41</v>
      </c>
      <c r="G12" s="40">
        <v>53.56</v>
      </c>
      <c r="H12" s="40">
        <v>23.24</v>
      </c>
      <c r="I12" s="40">
        <v>9.24</v>
      </c>
      <c r="J12" s="40">
        <v>6.19</v>
      </c>
      <c r="K12" s="40">
        <v>235.9</v>
      </c>
      <c r="L12" s="40">
        <v>30.9</v>
      </c>
      <c r="M12" s="40">
        <v>43.52</v>
      </c>
      <c r="N12" s="40">
        <v>22.6</v>
      </c>
      <c r="O12" s="40">
        <v>0</v>
      </c>
      <c r="P12" s="40">
        <v>0.53</v>
      </c>
      <c r="Q12" s="40">
        <v>28.44</v>
      </c>
      <c r="R12" s="38"/>
      <c r="S12" s="38"/>
      <c r="T12" s="38"/>
      <c r="U12" s="38"/>
    </row>
    <row r="13" spans="1:21" customFormat="1">
      <c r="A13" s="39" t="s">
        <v>544</v>
      </c>
      <c r="B13" s="40">
        <v>4.24</v>
      </c>
      <c r="C13" s="40">
        <v>43.76</v>
      </c>
      <c r="D13" s="40">
        <v>26.94</v>
      </c>
      <c r="E13" s="40">
        <v>2.36</v>
      </c>
      <c r="F13" s="40">
        <v>8.9</v>
      </c>
      <c r="G13" s="40">
        <v>48.48</v>
      </c>
      <c r="H13" s="40">
        <v>26.54</v>
      </c>
      <c r="I13" s="40">
        <v>8.91</v>
      </c>
      <c r="J13" s="40">
        <v>5.91</v>
      </c>
      <c r="K13" s="40">
        <v>263.32</v>
      </c>
      <c r="L13" s="40">
        <v>30.74</v>
      </c>
      <c r="M13" s="40">
        <v>44.5</v>
      </c>
      <c r="N13" s="40">
        <v>22.9</v>
      </c>
      <c r="O13" s="40">
        <v>0</v>
      </c>
      <c r="P13" s="40">
        <v>0.59</v>
      </c>
      <c r="Q13" s="40">
        <v>28.38</v>
      </c>
      <c r="R13" s="38"/>
      <c r="S13" s="38"/>
      <c r="T13" s="38"/>
      <c r="U13" s="38"/>
    </row>
    <row r="14" spans="1:21" customFormat="1">
      <c r="A14" s="39" t="s">
        <v>545</v>
      </c>
      <c r="B14" s="40">
        <v>3.81</v>
      </c>
      <c r="C14" s="40">
        <v>34.21</v>
      </c>
      <c r="D14" s="40">
        <v>21.56</v>
      </c>
      <c r="E14" s="40">
        <v>2.08</v>
      </c>
      <c r="F14" s="40">
        <v>11.82</v>
      </c>
      <c r="G14" s="40">
        <v>48.99</v>
      </c>
      <c r="H14" s="40">
        <v>26.31</v>
      </c>
      <c r="I14" s="40">
        <v>9.48</v>
      </c>
      <c r="J14" s="40">
        <v>6.37</v>
      </c>
      <c r="K14" s="40">
        <v>234.68</v>
      </c>
      <c r="L14" s="40">
        <v>30.65</v>
      </c>
      <c r="M14" s="40">
        <v>48.03</v>
      </c>
      <c r="N14" s="40">
        <v>29.5</v>
      </c>
      <c r="O14" s="40">
        <v>0</v>
      </c>
      <c r="P14" s="40">
        <v>0.55000000000000004</v>
      </c>
      <c r="Q14" s="40">
        <v>28.39</v>
      </c>
      <c r="R14" s="38"/>
      <c r="S14" s="38"/>
      <c r="T14" s="38"/>
      <c r="U14" s="38"/>
    </row>
    <row r="15" spans="1:21" customFormat="1">
      <c r="A15" s="39" t="s">
        <v>546</v>
      </c>
      <c r="B15" s="40">
        <v>4.2699999999999996</v>
      </c>
      <c r="C15" s="40">
        <v>36.39</v>
      </c>
      <c r="D15" s="40">
        <v>23.11</v>
      </c>
      <c r="E15" s="40">
        <v>1.76</v>
      </c>
      <c r="F15" s="40">
        <v>11.98</v>
      </c>
      <c r="G15" s="40">
        <v>51.28</v>
      </c>
      <c r="H15" s="40">
        <v>24.53</v>
      </c>
      <c r="I15" s="40">
        <v>8.8699999999999992</v>
      </c>
      <c r="J15" s="40">
        <v>7.15</v>
      </c>
      <c r="K15" s="40">
        <v>258.10000000000002</v>
      </c>
      <c r="L15" s="40">
        <v>30.83</v>
      </c>
      <c r="M15" s="40">
        <v>51.22</v>
      </c>
      <c r="N15" s="40">
        <v>67.8</v>
      </c>
      <c r="O15" s="40">
        <v>0</v>
      </c>
      <c r="P15" s="40">
        <v>0.55000000000000004</v>
      </c>
      <c r="Q15" s="40">
        <v>28.41</v>
      </c>
      <c r="R15" s="38"/>
      <c r="S15" s="38"/>
      <c r="T15" s="38"/>
      <c r="U15" s="38"/>
    </row>
    <row r="16" spans="1:21" customFormat="1">
      <c r="A16" s="39" t="s">
        <v>547</v>
      </c>
      <c r="B16" s="40">
        <v>4.8600000000000003</v>
      </c>
      <c r="C16" s="40">
        <v>36.200000000000003</v>
      </c>
      <c r="D16" s="40">
        <v>23.32</v>
      </c>
      <c r="E16" s="40">
        <v>2.56</v>
      </c>
      <c r="F16" s="40">
        <v>6.93</v>
      </c>
      <c r="G16" s="40">
        <v>55.25</v>
      </c>
      <c r="H16" s="40">
        <v>25.7</v>
      </c>
      <c r="I16" s="40">
        <v>9.41</v>
      </c>
      <c r="J16" s="40">
        <v>7.13</v>
      </c>
      <c r="K16" s="40">
        <v>253.69</v>
      </c>
      <c r="L16" s="40">
        <v>32.409999999999997</v>
      </c>
      <c r="M16" s="40">
        <v>51.1</v>
      </c>
      <c r="N16" s="40">
        <v>104.8</v>
      </c>
      <c r="O16" s="40">
        <v>0</v>
      </c>
      <c r="P16" s="40">
        <v>0.54</v>
      </c>
      <c r="Q16" s="40">
        <v>28.31</v>
      </c>
      <c r="R16" s="38"/>
      <c r="S16" s="38"/>
      <c r="T16" s="38"/>
      <c r="U16" s="38"/>
    </row>
    <row r="17" spans="1:21" customFormat="1">
      <c r="A17" s="39" t="s">
        <v>548</v>
      </c>
      <c r="B17" s="40">
        <v>4.6100000000000003</v>
      </c>
      <c r="C17" s="40">
        <v>33.08</v>
      </c>
      <c r="D17" s="40">
        <v>21.59</v>
      </c>
      <c r="E17" s="40">
        <v>1.8</v>
      </c>
      <c r="F17" s="40">
        <v>10.61</v>
      </c>
      <c r="G17" s="40">
        <v>58.91</v>
      </c>
      <c r="H17" s="40">
        <v>26.78</v>
      </c>
      <c r="I17" s="40">
        <v>9.83</v>
      </c>
      <c r="J17" s="40">
        <v>7.51</v>
      </c>
      <c r="K17" s="40">
        <v>244.68</v>
      </c>
      <c r="L17" s="40">
        <v>34</v>
      </c>
      <c r="M17" s="40">
        <v>47.87</v>
      </c>
      <c r="N17" s="40">
        <v>158.1</v>
      </c>
      <c r="O17" s="40">
        <v>0</v>
      </c>
      <c r="P17" s="40">
        <v>0.59</v>
      </c>
      <c r="Q17" s="40">
        <v>28.41</v>
      </c>
      <c r="R17" s="38"/>
      <c r="S17" s="38"/>
      <c r="T17" s="38"/>
      <c r="U17" s="38"/>
    </row>
    <row r="18" spans="1:21" customFormat="1">
      <c r="A18" s="39" t="s">
        <v>549</v>
      </c>
      <c r="B18" s="40">
        <v>3.41</v>
      </c>
      <c r="C18" s="40">
        <v>33.14</v>
      </c>
      <c r="D18" s="40">
        <v>20.03</v>
      </c>
      <c r="E18" s="40">
        <v>1.78</v>
      </c>
      <c r="F18" s="40">
        <v>10.44</v>
      </c>
      <c r="G18" s="40">
        <v>58.85</v>
      </c>
      <c r="H18" s="40">
        <v>27.67</v>
      </c>
      <c r="I18" s="40">
        <v>9.8699999999999992</v>
      </c>
      <c r="J18" s="40">
        <v>7.87</v>
      </c>
      <c r="K18" s="40">
        <v>247.71</v>
      </c>
      <c r="L18" s="40">
        <v>36.31</v>
      </c>
      <c r="M18" s="40">
        <v>38.04</v>
      </c>
      <c r="N18" s="40">
        <v>558.9</v>
      </c>
      <c r="O18" s="40">
        <v>0</v>
      </c>
      <c r="P18" s="40">
        <v>0.62</v>
      </c>
      <c r="Q18" s="40">
        <v>28.4</v>
      </c>
      <c r="R18" s="38"/>
      <c r="S18" s="38"/>
      <c r="T18" s="38"/>
      <c r="U18" s="38"/>
    </row>
    <row r="19" spans="1:21" customFormat="1">
      <c r="A19" s="39" t="s">
        <v>550</v>
      </c>
      <c r="B19" s="40">
        <v>2.44</v>
      </c>
      <c r="C19" s="40">
        <v>40.49</v>
      </c>
      <c r="D19" s="40">
        <v>23.79</v>
      </c>
      <c r="E19" s="40">
        <v>3.17</v>
      </c>
      <c r="F19" s="40">
        <v>12.03</v>
      </c>
      <c r="G19" s="40">
        <v>57.88</v>
      </c>
      <c r="H19" s="40">
        <v>27.05</v>
      </c>
      <c r="I19" s="40">
        <v>11.57</v>
      </c>
      <c r="J19" s="40">
        <v>8.58</v>
      </c>
      <c r="K19" s="40">
        <v>257.14</v>
      </c>
      <c r="L19" s="40">
        <v>38.159999999999997</v>
      </c>
      <c r="M19" s="40">
        <v>33.08</v>
      </c>
      <c r="N19" s="40">
        <v>735</v>
      </c>
      <c r="O19" s="40">
        <v>0</v>
      </c>
      <c r="P19" s="40">
        <v>0.71</v>
      </c>
      <c r="Q19" s="40">
        <v>28.41</v>
      </c>
      <c r="R19" s="38"/>
      <c r="S19" s="38"/>
      <c r="T19" s="38"/>
      <c r="U19" s="38"/>
    </row>
    <row r="20" spans="1:21" customFormat="1">
      <c r="A20" s="39" t="s">
        <v>551</v>
      </c>
      <c r="B20" s="40">
        <v>3.48</v>
      </c>
      <c r="C20" s="40">
        <v>33.89</v>
      </c>
      <c r="D20" s="40">
        <v>19.989999999999998</v>
      </c>
      <c r="E20" s="40">
        <v>4.84</v>
      </c>
      <c r="F20" s="40">
        <v>43.11</v>
      </c>
      <c r="G20" s="40">
        <v>62.06</v>
      </c>
      <c r="H20" s="40">
        <v>25.13</v>
      </c>
      <c r="I20" s="40">
        <v>13.03</v>
      </c>
      <c r="J20" s="40">
        <v>7.45</v>
      </c>
      <c r="K20" s="40">
        <v>329.33</v>
      </c>
      <c r="L20" s="40">
        <v>40.33</v>
      </c>
      <c r="M20" s="40">
        <v>25.73</v>
      </c>
      <c r="N20" s="40">
        <v>750.7</v>
      </c>
      <c r="O20" s="40">
        <v>0</v>
      </c>
      <c r="P20" s="40">
        <v>0.71</v>
      </c>
      <c r="Q20" s="40">
        <v>28.69</v>
      </c>
      <c r="R20" s="38"/>
      <c r="S20" s="38"/>
      <c r="T20" s="38"/>
      <c r="U20" s="38"/>
    </row>
    <row r="21" spans="1:21" customFormat="1">
      <c r="A21" s="39" t="s">
        <v>552</v>
      </c>
      <c r="B21" s="40">
        <v>2.4700000000000002</v>
      </c>
      <c r="C21" s="40">
        <v>33.03</v>
      </c>
      <c r="D21" s="40">
        <v>19.45</v>
      </c>
      <c r="E21" s="40">
        <v>4.78</v>
      </c>
      <c r="F21" s="40">
        <v>37.369999999999997</v>
      </c>
      <c r="G21" s="40">
        <v>62.09</v>
      </c>
      <c r="H21" s="40">
        <v>25.12</v>
      </c>
      <c r="I21" s="40">
        <v>12.86</v>
      </c>
      <c r="J21" s="40">
        <v>4.99</v>
      </c>
      <c r="K21" s="40">
        <v>279.01</v>
      </c>
      <c r="L21" s="40">
        <v>42.06</v>
      </c>
      <c r="M21" s="40">
        <v>21.33</v>
      </c>
      <c r="N21" s="40">
        <v>664.7</v>
      </c>
      <c r="O21" s="40">
        <v>0</v>
      </c>
      <c r="P21" s="40">
        <v>0.67</v>
      </c>
      <c r="Q21" s="40">
        <v>28.72</v>
      </c>
      <c r="R21" s="38"/>
      <c r="S21" s="38"/>
      <c r="T21" s="38"/>
      <c r="U21" s="38"/>
    </row>
    <row r="22" spans="1:21" customFormat="1">
      <c r="A22" s="39" t="s">
        <v>553</v>
      </c>
      <c r="B22" s="40">
        <v>2.61</v>
      </c>
      <c r="C22" s="40">
        <v>39.119999999999997</v>
      </c>
      <c r="D22" s="40">
        <v>22.8</v>
      </c>
      <c r="E22" s="40">
        <v>7.65</v>
      </c>
      <c r="F22" s="40">
        <v>40.14</v>
      </c>
      <c r="G22" s="40">
        <v>66.650000000000006</v>
      </c>
      <c r="H22" s="40">
        <v>27.42</v>
      </c>
      <c r="I22" s="40">
        <v>12.95</v>
      </c>
      <c r="J22" s="40">
        <v>3.89</v>
      </c>
      <c r="K22" s="40">
        <v>305.51</v>
      </c>
      <c r="L22" s="40">
        <v>43.3</v>
      </c>
      <c r="M22" s="40">
        <v>16.68</v>
      </c>
      <c r="N22" s="40">
        <v>606.4</v>
      </c>
      <c r="O22" s="40">
        <v>0</v>
      </c>
      <c r="P22" s="40">
        <v>0.67</v>
      </c>
      <c r="Q22" s="40">
        <v>28.45</v>
      </c>
      <c r="R22" s="38"/>
      <c r="S22" s="38"/>
      <c r="T22" s="38"/>
      <c r="U22" s="38"/>
    </row>
    <row r="23" spans="1:21" customFormat="1">
      <c r="A23" s="39" t="s">
        <v>554</v>
      </c>
      <c r="B23" s="40">
        <v>2.02</v>
      </c>
      <c r="C23" s="40">
        <v>49.71</v>
      </c>
      <c r="D23" s="40">
        <v>28.2</v>
      </c>
      <c r="E23" s="40">
        <v>6.63</v>
      </c>
      <c r="F23" s="40">
        <v>29.08</v>
      </c>
      <c r="G23" s="40">
        <v>66.260000000000005</v>
      </c>
      <c r="H23" s="40">
        <v>28.33</v>
      </c>
      <c r="I23" s="40">
        <v>12.81</v>
      </c>
      <c r="J23" s="40">
        <v>6.38</v>
      </c>
      <c r="K23" s="40">
        <v>281.98</v>
      </c>
      <c r="L23" s="40">
        <v>43.53</v>
      </c>
      <c r="M23" s="40">
        <v>14.44</v>
      </c>
      <c r="N23" s="40">
        <v>575.1</v>
      </c>
      <c r="O23" s="40">
        <v>0</v>
      </c>
      <c r="P23" s="40">
        <v>0.62</v>
      </c>
      <c r="Q23" s="40">
        <v>28.61</v>
      </c>
      <c r="R23" s="38"/>
      <c r="S23" s="38"/>
      <c r="T23" s="38"/>
      <c r="U23" s="38"/>
    </row>
    <row r="24" spans="1:21" customFormat="1">
      <c r="A24" s="39" t="s">
        <v>555</v>
      </c>
      <c r="B24" s="40">
        <v>2.06</v>
      </c>
      <c r="C24" s="40">
        <v>48.54</v>
      </c>
      <c r="D24" s="40">
        <v>27.62</v>
      </c>
      <c r="E24" s="40">
        <v>7.1</v>
      </c>
      <c r="F24" s="40">
        <v>36.33</v>
      </c>
      <c r="G24" s="40">
        <v>64.14</v>
      </c>
      <c r="H24" s="40">
        <v>28.03</v>
      </c>
      <c r="I24" s="40">
        <v>12.65</v>
      </c>
      <c r="J24" s="40">
        <v>6.39</v>
      </c>
      <c r="K24" s="40">
        <v>338</v>
      </c>
      <c r="L24" s="40">
        <v>45.31</v>
      </c>
      <c r="M24" s="40">
        <v>12.47</v>
      </c>
      <c r="N24" s="40">
        <v>477</v>
      </c>
      <c r="O24" s="40">
        <v>0</v>
      </c>
      <c r="P24" s="40">
        <v>0.57999999999999996</v>
      </c>
      <c r="Q24" s="40">
        <v>28.14</v>
      </c>
      <c r="R24" s="38"/>
      <c r="S24" s="38"/>
      <c r="T24" s="38"/>
      <c r="U24" s="38"/>
    </row>
    <row r="25" spans="1:21" customFormat="1">
      <c r="A25" s="39" t="s">
        <v>556</v>
      </c>
      <c r="B25" s="40">
        <v>2.31</v>
      </c>
      <c r="C25" s="40">
        <v>48.81</v>
      </c>
      <c r="D25" s="40">
        <v>28.03</v>
      </c>
      <c r="E25" s="40">
        <v>6.66</v>
      </c>
      <c r="F25" s="40">
        <v>26.79</v>
      </c>
      <c r="G25" s="40">
        <v>63.28</v>
      </c>
      <c r="H25" s="40">
        <v>26.67</v>
      </c>
      <c r="I25" s="40">
        <v>11.21</v>
      </c>
      <c r="J25" s="40">
        <v>6.69</v>
      </c>
      <c r="K25" s="40">
        <v>252.57</v>
      </c>
      <c r="L25" s="40">
        <v>43.8</v>
      </c>
      <c r="M25" s="40">
        <v>13.23</v>
      </c>
      <c r="N25" s="40">
        <v>325.2</v>
      </c>
      <c r="O25" s="40">
        <v>0</v>
      </c>
      <c r="P25" s="40">
        <v>0.53</v>
      </c>
      <c r="Q25" s="40">
        <v>28.22</v>
      </c>
      <c r="R25" s="38"/>
      <c r="S25" s="38"/>
      <c r="T25" s="38"/>
      <c r="U25" s="38"/>
    </row>
    <row r="26" spans="1:21" customFormat="1">
      <c r="A26" s="39" t="s">
        <v>557</v>
      </c>
      <c r="B26" s="40">
        <v>2.33</v>
      </c>
      <c r="C26" s="40">
        <v>38.340000000000003</v>
      </c>
      <c r="D26" s="40">
        <v>22.58</v>
      </c>
      <c r="E26" s="40">
        <v>11.92</v>
      </c>
      <c r="F26" s="40">
        <v>44.76</v>
      </c>
      <c r="G26" s="40">
        <v>61.56</v>
      </c>
      <c r="H26" s="40">
        <v>31.03</v>
      </c>
      <c r="I26" s="40">
        <v>10.52</v>
      </c>
      <c r="J26" s="40">
        <v>7.93</v>
      </c>
      <c r="K26" s="40">
        <v>228.15</v>
      </c>
      <c r="L26" s="40">
        <v>42.39</v>
      </c>
      <c r="M26" s="40">
        <v>15.94</v>
      </c>
      <c r="N26" s="40">
        <v>112.8</v>
      </c>
      <c r="O26" s="40">
        <v>0</v>
      </c>
      <c r="P26" s="40">
        <v>0.54</v>
      </c>
      <c r="Q26" s="40">
        <v>28.65</v>
      </c>
      <c r="R26" s="38"/>
      <c r="S26" s="38"/>
      <c r="T26" s="38"/>
      <c r="U26" s="38"/>
    </row>
    <row r="27" spans="1:21" customFormat="1">
      <c r="A27" s="39" t="s">
        <v>558</v>
      </c>
      <c r="B27" s="40">
        <v>3.39</v>
      </c>
      <c r="C27" s="40">
        <v>31.16</v>
      </c>
      <c r="D27" s="40">
        <v>19.670000000000002</v>
      </c>
      <c r="E27" s="40">
        <v>10.53</v>
      </c>
      <c r="F27" s="40">
        <v>45.47</v>
      </c>
      <c r="G27" s="40">
        <v>55.79</v>
      </c>
      <c r="H27" s="40">
        <v>30.67</v>
      </c>
      <c r="I27" s="40">
        <v>10.029999999999999</v>
      </c>
      <c r="J27" s="40">
        <v>6.29</v>
      </c>
      <c r="K27" s="40">
        <v>265.19</v>
      </c>
      <c r="L27" s="40">
        <v>40.28</v>
      </c>
      <c r="M27" s="40">
        <v>18.97</v>
      </c>
      <c r="N27" s="40">
        <v>33</v>
      </c>
      <c r="O27" s="40">
        <v>0</v>
      </c>
      <c r="P27" s="40">
        <v>0.57999999999999996</v>
      </c>
      <c r="Q27" s="40">
        <v>28.68</v>
      </c>
      <c r="R27" s="38"/>
      <c r="S27" s="38"/>
      <c r="T27" s="38"/>
      <c r="U27" s="38"/>
    </row>
    <row r="28" spans="1:21" customFormat="1">
      <c r="A28" s="39" t="s">
        <v>559</v>
      </c>
      <c r="B28" s="40">
        <v>4.5599999999999996</v>
      </c>
      <c r="C28" s="40">
        <v>48.41</v>
      </c>
      <c r="D28" s="40">
        <v>29.63</v>
      </c>
      <c r="E28" s="40">
        <v>7.38</v>
      </c>
      <c r="F28" s="40">
        <v>34.67</v>
      </c>
      <c r="G28" s="40">
        <v>56.37</v>
      </c>
      <c r="H28" s="40">
        <v>29.8</v>
      </c>
      <c r="I28" s="40">
        <v>11</v>
      </c>
      <c r="J28" s="40">
        <v>6.02</v>
      </c>
      <c r="K28" s="40">
        <v>286.27999999999997</v>
      </c>
      <c r="L28" s="40">
        <v>38.24</v>
      </c>
      <c r="M28" s="40">
        <v>20.25</v>
      </c>
      <c r="N28" s="40">
        <v>22.4</v>
      </c>
      <c r="O28" s="40">
        <v>0</v>
      </c>
      <c r="P28" s="40">
        <v>0.65</v>
      </c>
      <c r="Q28" s="40">
        <v>28.29</v>
      </c>
      <c r="R28" s="38"/>
      <c r="S28" s="38"/>
      <c r="T28" s="38"/>
      <c r="U28" s="38"/>
    </row>
    <row r="29" spans="1:21" customFormat="1">
      <c r="A29" s="39" t="s">
        <v>560</v>
      </c>
      <c r="B29" s="40">
        <v>6.05</v>
      </c>
      <c r="C29" s="40">
        <v>54.62</v>
      </c>
      <c r="D29" s="40">
        <v>32.68</v>
      </c>
      <c r="E29" s="40">
        <v>7.66</v>
      </c>
      <c r="F29" s="40">
        <v>16.649999999999999</v>
      </c>
      <c r="G29" s="40">
        <v>66.42</v>
      </c>
      <c r="H29" s="40">
        <v>30.17</v>
      </c>
      <c r="I29" s="40">
        <v>13.62</v>
      </c>
      <c r="J29" s="40">
        <v>6.23</v>
      </c>
      <c r="K29" s="40">
        <v>188.99</v>
      </c>
      <c r="L29" s="40">
        <v>37.17</v>
      </c>
      <c r="M29" s="40">
        <v>19.920000000000002</v>
      </c>
      <c r="N29" s="40">
        <v>22</v>
      </c>
      <c r="O29" s="40">
        <v>0</v>
      </c>
      <c r="P29" s="40">
        <v>0.71</v>
      </c>
      <c r="Q29" s="40">
        <v>27.43</v>
      </c>
      <c r="R29" s="38"/>
      <c r="S29" s="38"/>
      <c r="T29" s="38"/>
      <c r="U29" s="38"/>
    </row>
    <row r="30" spans="1:21" customFormat="1">
      <c r="A30" s="39" t="s">
        <v>561</v>
      </c>
      <c r="B30" s="40">
        <v>9.7200000000000006</v>
      </c>
      <c r="C30" s="40">
        <v>53.27</v>
      </c>
      <c r="D30" s="40">
        <v>36.31</v>
      </c>
      <c r="E30" s="40">
        <v>10.72</v>
      </c>
      <c r="F30" s="40">
        <v>24.69</v>
      </c>
      <c r="G30" s="40">
        <v>74.209999999999994</v>
      </c>
      <c r="H30" s="40">
        <v>32.31</v>
      </c>
      <c r="I30" s="40">
        <v>15.68</v>
      </c>
      <c r="J30" s="40">
        <v>7.46</v>
      </c>
      <c r="K30" s="40">
        <v>249.47</v>
      </c>
      <c r="L30" s="40">
        <v>36.56</v>
      </c>
      <c r="M30" s="40">
        <v>17.89</v>
      </c>
      <c r="N30" s="40">
        <v>22</v>
      </c>
      <c r="O30" s="40">
        <v>0</v>
      </c>
      <c r="P30" s="40">
        <v>0.79</v>
      </c>
      <c r="Q30" s="40">
        <v>27.77</v>
      </c>
      <c r="R30" s="38"/>
      <c r="S30" s="38"/>
      <c r="T30" s="38"/>
      <c r="U30" s="38"/>
    </row>
    <row r="31" spans="1:21" customFormat="1">
      <c r="A31" s="39" t="s">
        <v>562</v>
      </c>
      <c r="B31" s="40">
        <v>7.07</v>
      </c>
      <c r="C31" s="40">
        <v>52.29</v>
      </c>
      <c r="D31" s="40">
        <v>33.659999999999997</v>
      </c>
      <c r="E31" s="40">
        <v>4.95</v>
      </c>
      <c r="F31" s="40">
        <v>24.47</v>
      </c>
      <c r="G31" s="40">
        <v>81.89</v>
      </c>
      <c r="H31" s="40">
        <v>34.28</v>
      </c>
      <c r="I31" s="40">
        <v>13.9</v>
      </c>
      <c r="J31" s="40">
        <v>5.44</v>
      </c>
      <c r="K31" s="40">
        <v>255.13</v>
      </c>
      <c r="L31" s="40">
        <v>35.81</v>
      </c>
      <c r="M31" s="40">
        <v>18.12</v>
      </c>
      <c r="N31" s="40">
        <v>22.4</v>
      </c>
      <c r="O31" s="40">
        <v>0</v>
      </c>
      <c r="P31" s="40">
        <v>0.79</v>
      </c>
      <c r="Q31" s="40">
        <v>27.69</v>
      </c>
      <c r="R31" s="38"/>
      <c r="S31" s="38"/>
      <c r="T31" s="38"/>
      <c r="U31" s="38"/>
    </row>
    <row r="32" spans="1:21" customFormat="1">
      <c r="A32" s="39" t="s">
        <v>563</v>
      </c>
      <c r="B32" s="40">
        <v>6.22</v>
      </c>
      <c r="C32" s="40">
        <v>51.51</v>
      </c>
      <c r="D32" s="40">
        <v>32.270000000000003</v>
      </c>
      <c r="E32" s="40">
        <v>4.4000000000000004</v>
      </c>
      <c r="F32" s="40">
        <v>15.94</v>
      </c>
      <c r="G32" s="40">
        <v>81.260000000000005</v>
      </c>
      <c r="H32" s="40">
        <v>33.86</v>
      </c>
      <c r="I32" s="40">
        <v>13.17</v>
      </c>
      <c r="J32" s="40">
        <v>6.76</v>
      </c>
      <c r="K32" s="40">
        <v>245.63</v>
      </c>
      <c r="L32" s="40">
        <v>34.81</v>
      </c>
      <c r="M32" s="40">
        <v>26.62</v>
      </c>
      <c r="N32" s="40">
        <v>22.8</v>
      </c>
      <c r="O32" s="40">
        <v>0</v>
      </c>
      <c r="P32" s="40">
        <v>0.6</v>
      </c>
      <c r="Q32" s="40">
        <v>27.63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2.02</v>
      </c>
      <c r="C34" s="18">
        <f t="shared" si="0"/>
        <v>31.16</v>
      </c>
      <c r="D34" s="18">
        <f t="shared" si="0"/>
        <v>19.45</v>
      </c>
      <c r="E34" s="18">
        <f t="shared" si="0"/>
        <v>1.58</v>
      </c>
      <c r="F34" s="18">
        <f t="shared" si="0"/>
        <v>6.93</v>
      </c>
      <c r="G34" s="18">
        <f t="shared" si="0"/>
        <v>48.48</v>
      </c>
      <c r="H34" s="18">
        <f t="shared" si="0"/>
        <v>23.24</v>
      </c>
      <c r="I34" s="18">
        <f t="shared" si="0"/>
        <v>8.8699999999999992</v>
      </c>
      <c r="J34" s="18">
        <f t="shared" si="0"/>
        <v>3.89</v>
      </c>
      <c r="K34" s="18">
        <f t="shared" si="0"/>
        <v>188.99</v>
      </c>
      <c r="L34" s="18">
        <f t="shared" si="0"/>
        <v>30.65</v>
      </c>
      <c r="M34" s="18">
        <f t="shared" si="0"/>
        <v>12.47</v>
      </c>
      <c r="N34" s="18">
        <f t="shared" si="0"/>
        <v>22</v>
      </c>
      <c r="O34" s="18">
        <f t="shared" si="0"/>
        <v>0</v>
      </c>
      <c r="P34" s="18">
        <f t="shared" si="0"/>
        <v>0.53</v>
      </c>
      <c r="Q34" s="18">
        <f t="shared" si="0"/>
        <v>27.43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9.7200000000000006</v>
      </c>
      <c r="C35" s="3">
        <f t="shared" si="1"/>
        <v>54.62</v>
      </c>
      <c r="D35" s="3">
        <f t="shared" si="1"/>
        <v>36.31</v>
      </c>
      <c r="E35" s="3">
        <f t="shared" si="1"/>
        <v>11.92</v>
      </c>
      <c r="F35" s="3">
        <f t="shared" si="1"/>
        <v>45.47</v>
      </c>
      <c r="G35" s="3">
        <f t="shared" si="1"/>
        <v>81.89</v>
      </c>
      <c r="H35" s="3">
        <f t="shared" si="1"/>
        <v>34.28</v>
      </c>
      <c r="I35" s="3">
        <f t="shared" si="1"/>
        <v>15.68</v>
      </c>
      <c r="J35" s="3">
        <f t="shared" si="1"/>
        <v>8.58</v>
      </c>
      <c r="K35" s="3">
        <f t="shared" si="1"/>
        <v>338</v>
      </c>
      <c r="L35" s="3">
        <f t="shared" si="1"/>
        <v>45.31</v>
      </c>
      <c r="M35" s="3">
        <f t="shared" si="1"/>
        <v>51.22</v>
      </c>
      <c r="N35" s="3">
        <f t="shared" si="1"/>
        <v>750.7</v>
      </c>
      <c r="O35" s="3">
        <f t="shared" si="1"/>
        <v>0</v>
      </c>
      <c r="P35" s="3">
        <f t="shared" si="1"/>
        <v>0.79</v>
      </c>
      <c r="Q35" s="3">
        <f t="shared" si="1"/>
        <v>28.72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4.1000000000000005</v>
      </c>
      <c r="C36" s="18">
        <f t="shared" si="2"/>
        <v>41.584166666666668</v>
      </c>
      <c r="D36" s="18">
        <f t="shared" si="2"/>
        <v>25.439166666666665</v>
      </c>
      <c r="E36" s="18">
        <f t="shared" si="2"/>
        <v>5.020833333333333</v>
      </c>
      <c r="F36" s="18">
        <f t="shared" si="2"/>
        <v>22.212916666666668</v>
      </c>
      <c r="G36" s="18">
        <f t="shared" si="2"/>
        <v>60.649583333333339</v>
      </c>
      <c r="H36" s="18">
        <f t="shared" si="2"/>
        <v>28.158333333333328</v>
      </c>
      <c r="I36" s="18">
        <f t="shared" si="2"/>
        <v>11.275833333333333</v>
      </c>
      <c r="J36" s="18">
        <f t="shared" si="2"/>
        <v>6.5720833333333326</v>
      </c>
      <c r="K36" s="18">
        <f t="shared" si="2"/>
        <v>259.45374999999996</v>
      </c>
      <c r="L36" s="18">
        <f t="shared" si="2"/>
        <v>36.757499999999993</v>
      </c>
      <c r="M36" s="18">
        <f t="shared" si="2"/>
        <v>30.335833333333341</v>
      </c>
      <c r="N36" s="18">
        <f t="shared" si="2"/>
        <v>225.98749999999995</v>
      </c>
      <c r="O36" s="18">
        <f t="shared" si="2"/>
        <v>0</v>
      </c>
      <c r="P36" s="18">
        <f t="shared" si="2"/>
        <v>0.61791666666666656</v>
      </c>
      <c r="Q36" s="18">
        <f t="shared" si="2"/>
        <v>28.287916666666661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1.8048364974724691</v>
      </c>
      <c r="C37" s="18">
        <f t="shared" ref="C37:Q37" si="3">STDEV(C9:C32)</f>
        <v>7.6142052122656292</v>
      </c>
      <c r="D37" s="18">
        <f t="shared" si="3"/>
        <v>4.8283239658126424</v>
      </c>
      <c r="E37" s="18">
        <f t="shared" si="3"/>
        <v>3.1238506292111969</v>
      </c>
      <c r="F37" s="18">
        <f t="shared" si="3"/>
        <v>13.38579535216884</v>
      </c>
      <c r="G37" s="18">
        <f t="shared" si="3"/>
        <v>8.9706964875094179</v>
      </c>
      <c r="H37" s="18">
        <f t="shared" si="3"/>
        <v>2.8592225557288136</v>
      </c>
      <c r="I37" s="18">
        <f t="shared" si="3"/>
        <v>1.8845064321337861</v>
      </c>
      <c r="J37" s="18">
        <f t="shared" si="3"/>
        <v>1.0380541125489147</v>
      </c>
      <c r="K37" s="18">
        <f t="shared" si="3"/>
        <v>32.854092434184516</v>
      </c>
      <c r="L37" s="18">
        <f t="shared" si="3"/>
        <v>4.9227945845565868</v>
      </c>
      <c r="M37" s="18">
        <f t="shared" si="3"/>
        <v>13.879866844576997</v>
      </c>
      <c r="N37" s="18">
        <f t="shared" si="3"/>
        <v>273.80854992287868</v>
      </c>
      <c r="O37" s="18">
        <f t="shared" si="3"/>
        <v>0</v>
      </c>
      <c r="P37" s="18">
        <f t="shared" si="3"/>
        <v>7.8073497516718077E-2</v>
      </c>
      <c r="Q37" s="18">
        <f t="shared" si="3"/>
        <v>0.34356164141137074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22/04/2025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564</v>
      </c>
      <c r="B9" s="40">
        <v>11.26</v>
      </c>
      <c r="C9" s="40">
        <v>47.32</v>
      </c>
      <c r="D9" s="40">
        <v>34.43</v>
      </c>
      <c r="E9" s="40">
        <v>5.34</v>
      </c>
      <c r="F9" s="40">
        <v>6.91</v>
      </c>
      <c r="G9" s="40">
        <v>83.4</v>
      </c>
      <c r="H9" s="40">
        <v>31.94</v>
      </c>
      <c r="I9" s="40">
        <v>15.42</v>
      </c>
      <c r="J9" s="40">
        <v>5.57</v>
      </c>
      <c r="K9" s="40">
        <v>185.22</v>
      </c>
      <c r="L9" s="40">
        <v>32.74</v>
      </c>
      <c r="M9" s="40">
        <v>29.01</v>
      </c>
      <c r="N9" s="40">
        <v>22.5</v>
      </c>
      <c r="O9" s="40">
        <v>0</v>
      </c>
      <c r="P9" s="40">
        <v>0.66</v>
      </c>
      <c r="Q9" s="40">
        <v>27.52</v>
      </c>
      <c r="R9" s="38"/>
      <c r="S9" s="38"/>
      <c r="T9" s="38"/>
      <c r="U9" s="38"/>
    </row>
    <row r="10" spans="1:21" customFormat="1">
      <c r="A10" s="39" t="s">
        <v>565</v>
      </c>
      <c r="B10" s="40">
        <v>24.75</v>
      </c>
      <c r="C10" s="40">
        <v>53.93</v>
      </c>
      <c r="D10" s="40">
        <v>48.15</v>
      </c>
      <c r="E10" s="40">
        <v>5.42</v>
      </c>
      <c r="F10" s="40">
        <v>6.14</v>
      </c>
      <c r="G10" s="40">
        <v>86.41</v>
      </c>
      <c r="H10" s="40">
        <v>36.369999999999997</v>
      </c>
      <c r="I10" s="40">
        <v>16.72</v>
      </c>
      <c r="J10" s="40">
        <v>6.11</v>
      </c>
      <c r="K10" s="40">
        <v>221.66</v>
      </c>
      <c r="L10" s="40">
        <v>31.97</v>
      </c>
      <c r="M10" s="40">
        <v>30.71</v>
      </c>
      <c r="N10" s="40">
        <v>22.4</v>
      </c>
      <c r="O10" s="40">
        <v>0</v>
      </c>
      <c r="P10" s="40">
        <v>0.69</v>
      </c>
      <c r="Q10" s="40">
        <v>27.16</v>
      </c>
      <c r="R10" s="38"/>
      <c r="S10" s="38"/>
      <c r="T10" s="38"/>
      <c r="U10" s="38"/>
    </row>
    <row r="11" spans="1:21" customFormat="1">
      <c r="A11" s="39" t="s">
        <v>566</v>
      </c>
      <c r="B11" s="40">
        <v>17.47</v>
      </c>
      <c r="C11" s="40">
        <v>47.5</v>
      </c>
      <c r="D11" s="40">
        <v>39.51</v>
      </c>
      <c r="E11" s="40">
        <v>5.32</v>
      </c>
      <c r="F11" s="40">
        <v>7.3</v>
      </c>
      <c r="G11" s="40">
        <v>87.9</v>
      </c>
      <c r="H11" s="40">
        <v>35.35</v>
      </c>
      <c r="I11" s="40">
        <v>16.48</v>
      </c>
      <c r="J11" s="40">
        <v>6.05</v>
      </c>
      <c r="K11" s="40">
        <v>259.18</v>
      </c>
      <c r="L11" s="40">
        <v>31.35</v>
      </c>
      <c r="M11" s="40">
        <v>32.299999999999997</v>
      </c>
      <c r="N11" s="40">
        <v>22.9</v>
      </c>
      <c r="O11" s="40">
        <v>0</v>
      </c>
      <c r="P11" s="40">
        <v>0.66</v>
      </c>
      <c r="Q11" s="40">
        <v>27.18</v>
      </c>
      <c r="R11" s="38"/>
      <c r="S11" s="38"/>
      <c r="T11" s="38"/>
      <c r="U11" s="38"/>
    </row>
    <row r="12" spans="1:21" customFormat="1">
      <c r="A12" s="39" t="s">
        <v>567</v>
      </c>
      <c r="B12" s="40">
        <v>13.47</v>
      </c>
      <c r="C12" s="40">
        <v>43.08</v>
      </c>
      <c r="D12" s="40">
        <v>33.99</v>
      </c>
      <c r="E12" s="40">
        <v>3.75</v>
      </c>
      <c r="F12" s="40">
        <v>12.9</v>
      </c>
      <c r="G12" s="40">
        <v>87.1</v>
      </c>
      <c r="H12" s="40">
        <v>30.21</v>
      </c>
      <c r="I12" s="40">
        <v>15.49</v>
      </c>
      <c r="J12" s="40">
        <v>6.84</v>
      </c>
      <c r="K12" s="40">
        <v>192.63</v>
      </c>
      <c r="L12" s="40">
        <v>31.77</v>
      </c>
      <c r="M12" s="40">
        <v>32.450000000000003</v>
      </c>
      <c r="N12" s="40">
        <v>22.3</v>
      </c>
      <c r="O12" s="40">
        <v>0</v>
      </c>
      <c r="P12" s="40">
        <v>0.59</v>
      </c>
      <c r="Q12" s="40">
        <v>27.84</v>
      </c>
      <c r="R12" s="38"/>
      <c r="S12" s="38"/>
      <c r="T12" s="38"/>
      <c r="U12" s="38"/>
    </row>
    <row r="13" spans="1:21" customFormat="1">
      <c r="A13" s="39" t="s">
        <v>568</v>
      </c>
      <c r="B13" s="40">
        <v>8.6</v>
      </c>
      <c r="C13" s="40">
        <v>40.9</v>
      </c>
      <c r="D13" s="40">
        <v>28.47</v>
      </c>
      <c r="E13" s="40">
        <v>2.94</v>
      </c>
      <c r="F13" s="40">
        <v>16.649999999999999</v>
      </c>
      <c r="G13" s="40">
        <v>82.65</v>
      </c>
      <c r="H13" s="40">
        <v>33.25</v>
      </c>
      <c r="I13" s="40">
        <v>13.8</v>
      </c>
      <c r="J13" s="40">
        <v>6.7</v>
      </c>
      <c r="K13" s="40">
        <v>269.02999999999997</v>
      </c>
      <c r="L13" s="40">
        <v>31.61</v>
      </c>
      <c r="M13" s="40">
        <v>37.479999999999997</v>
      </c>
      <c r="N13" s="40">
        <v>22.7</v>
      </c>
      <c r="O13" s="40">
        <v>0</v>
      </c>
      <c r="P13" s="40">
        <v>0.55000000000000004</v>
      </c>
      <c r="Q13" s="40">
        <v>28.13</v>
      </c>
      <c r="R13" s="38"/>
      <c r="S13" s="38"/>
      <c r="T13" s="38"/>
      <c r="U13" s="38"/>
    </row>
    <row r="14" spans="1:21" customFormat="1">
      <c r="A14" s="39" t="s">
        <v>569</v>
      </c>
      <c r="B14" s="40">
        <v>4.95</v>
      </c>
      <c r="C14" s="40">
        <v>41.95</v>
      </c>
      <c r="D14" s="40">
        <v>26.56</v>
      </c>
      <c r="E14" s="40">
        <v>4.41</v>
      </c>
      <c r="F14" s="40">
        <v>18.12</v>
      </c>
      <c r="G14" s="40">
        <v>78.599999999999994</v>
      </c>
      <c r="H14" s="40">
        <v>33.130000000000003</v>
      </c>
      <c r="I14" s="40">
        <v>12.16</v>
      </c>
      <c r="J14" s="40">
        <v>6.35</v>
      </c>
      <c r="K14" s="40">
        <v>231.1</v>
      </c>
      <c r="L14" s="40">
        <v>31.07</v>
      </c>
      <c r="M14" s="40">
        <v>38.36</v>
      </c>
      <c r="N14" s="40">
        <v>31.7</v>
      </c>
      <c r="O14" s="40">
        <v>0</v>
      </c>
      <c r="P14" s="40">
        <v>0.53</v>
      </c>
      <c r="Q14" s="40">
        <v>28.15</v>
      </c>
      <c r="R14" s="38"/>
      <c r="S14" s="38"/>
      <c r="T14" s="38"/>
      <c r="U14" s="38"/>
    </row>
    <row r="15" spans="1:21" customFormat="1">
      <c r="A15" s="39" t="s">
        <v>570</v>
      </c>
      <c r="B15" s="40">
        <v>4.96</v>
      </c>
      <c r="C15" s="40">
        <v>42.73</v>
      </c>
      <c r="D15" s="40">
        <v>26.94</v>
      </c>
      <c r="E15" s="40">
        <v>3.65</v>
      </c>
      <c r="F15" s="40">
        <v>6.67</v>
      </c>
      <c r="G15" s="40">
        <v>68.63</v>
      </c>
      <c r="H15" s="40">
        <v>31.64</v>
      </c>
      <c r="I15" s="40">
        <v>12.05</v>
      </c>
      <c r="J15" s="40">
        <v>6.98</v>
      </c>
      <c r="K15" s="40">
        <v>258.26</v>
      </c>
      <c r="L15" s="40">
        <v>30.98</v>
      </c>
      <c r="M15" s="40">
        <v>42.55</v>
      </c>
      <c r="N15" s="40">
        <v>66.099999999999994</v>
      </c>
      <c r="O15" s="40">
        <v>0</v>
      </c>
      <c r="P15" s="40">
        <v>0.5</v>
      </c>
      <c r="Q15" s="40">
        <v>28.2</v>
      </c>
      <c r="R15" s="38"/>
      <c r="S15" s="38"/>
      <c r="T15" s="38"/>
      <c r="U15" s="38"/>
    </row>
    <row r="16" spans="1:21" customFormat="1">
      <c r="A16" s="39" t="s">
        <v>571</v>
      </c>
      <c r="B16" s="40">
        <v>5.15</v>
      </c>
      <c r="C16" s="40">
        <v>38.67</v>
      </c>
      <c r="D16" s="40">
        <v>24.91</v>
      </c>
      <c r="E16" s="40">
        <v>2.96</v>
      </c>
      <c r="F16" s="40">
        <v>7.66</v>
      </c>
      <c r="G16" s="40">
        <v>67.03</v>
      </c>
      <c r="H16" s="40">
        <v>30.47</v>
      </c>
      <c r="I16" s="40">
        <v>12.56</v>
      </c>
      <c r="J16" s="40">
        <v>7.5</v>
      </c>
      <c r="K16" s="40">
        <v>261.70999999999998</v>
      </c>
      <c r="L16" s="40">
        <v>32.69</v>
      </c>
      <c r="M16" s="40">
        <v>44.49</v>
      </c>
      <c r="N16" s="40">
        <v>99.7</v>
      </c>
      <c r="O16" s="40">
        <v>0</v>
      </c>
      <c r="P16" s="40">
        <v>0.64</v>
      </c>
      <c r="Q16" s="40">
        <v>28.2</v>
      </c>
      <c r="R16" s="38"/>
      <c r="S16" s="38"/>
      <c r="T16" s="38"/>
      <c r="U16" s="38"/>
    </row>
    <row r="17" spans="1:21" customFormat="1">
      <c r="A17" s="39" t="s">
        <v>572</v>
      </c>
      <c r="B17" s="40">
        <v>4.6100000000000003</v>
      </c>
      <c r="C17" s="40">
        <v>39.72</v>
      </c>
      <c r="D17" s="40">
        <v>24.95</v>
      </c>
      <c r="E17" s="40">
        <v>2.66</v>
      </c>
      <c r="F17" s="40">
        <v>8.81</v>
      </c>
      <c r="G17" s="40">
        <v>73.14</v>
      </c>
      <c r="H17" s="40">
        <v>31.57</v>
      </c>
      <c r="I17" s="40">
        <v>14.45</v>
      </c>
      <c r="J17" s="40">
        <v>8.77</v>
      </c>
      <c r="K17" s="40">
        <v>256.14999999999998</v>
      </c>
      <c r="L17" s="40">
        <v>34.979999999999997</v>
      </c>
      <c r="M17" s="40">
        <v>43.89</v>
      </c>
      <c r="N17" s="40">
        <v>166.7</v>
      </c>
      <c r="O17" s="40">
        <v>0</v>
      </c>
      <c r="P17" s="40">
        <v>0.64</v>
      </c>
      <c r="Q17" s="40">
        <v>28.21</v>
      </c>
      <c r="R17" s="38"/>
      <c r="S17" s="38"/>
      <c r="T17" s="38"/>
      <c r="U17" s="38"/>
    </row>
    <row r="18" spans="1:21" customFormat="1">
      <c r="A18" s="39" t="s">
        <v>573</v>
      </c>
      <c r="B18" s="40">
        <v>3.59</v>
      </c>
      <c r="C18" s="40">
        <v>40.299999999999997</v>
      </c>
      <c r="D18" s="40">
        <v>23.99</v>
      </c>
      <c r="E18" s="40">
        <v>4.62</v>
      </c>
      <c r="F18" s="40">
        <v>13.92</v>
      </c>
      <c r="G18" s="40">
        <v>75.05</v>
      </c>
      <c r="H18" s="40">
        <v>35.770000000000003</v>
      </c>
      <c r="I18" s="40">
        <v>13.53</v>
      </c>
      <c r="J18" s="40">
        <v>5.68</v>
      </c>
      <c r="K18" s="40">
        <v>263.51</v>
      </c>
      <c r="L18" s="40">
        <v>37.57</v>
      </c>
      <c r="M18" s="40">
        <v>35.21</v>
      </c>
      <c r="N18" s="40">
        <v>588.5</v>
      </c>
      <c r="O18" s="40">
        <v>0</v>
      </c>
      <c r="P18" s="40">
        <v>0.65</v>
      </c>
      <c r="Q18" s="40">
        <v>28.24</v>
      </c>
      <c r="R18" s="38"/>
      <c r="S18" s="38"/>
      <c r="T18" s="38"/>
      <c r="U18" s="38"/>
    </row>
    <row r="19" spans="1:21" customFormat="1">
      <c r="A19" s="39" t="s">
        <v>574</v>
      </c>
      <c r="B19" s="40">
        <v>4.84</v>
      </c>
      <c r="C19" s="40">
        <v>37.409999999999997</v>
      </c>
      <c r="D19" s="40">
        <v>24.1</v>
      </c>
      <c r="E19" s="40">
        <v>5.64</v>
      </c>
      <c r="F19" s="40">
        <v>62.81</v>
      </c>
      <c r="G19" s="40">
        <v>78.64</v>
      </c>
      <c r="H19" s="40">
        <v>34.17</v>
      </c>
      <c r="I19" s="40">
        <v>13.5</v>
      </c>
      <c r="J19" s="40">
        <v>5.44</v>
      </c>
      <c r="K19" s="40">
        <v>280.22000000000003</v>
      </c>
      <c r="L19" s="40">
        <v>39.65</v>
      </c>
      <c r="M19" s="40">
        <v>22.04</v>
      </c>
      <c r="N19" s="40">
        <v>820</v>
      </c>
      <c r="O19" s="40">
        <v>0</v>
      </c>
      <c r="P19" s="40">
        <v>0.59</v>
      </c>
      <c r="Q19" s="40">
        <v>28.55</v>
      </c>
      <c r="R19" s="38"/>
      <c r="S19" s="38"/>
      <c r="T19" s="38"/>
      <c r="U19" s="38"/>
    </row>
    <row r="20" spans="1:21" customFormat="1">
      <c r="A20" s="39" t="s">
        <v>575</v>
      </c>
      <c r="B20" s="40">
        <v>2.62</v>
      </c>
      <c r="C20" s="40">
        <v>26.8</v>
      </c>
      <c r="D20" s="40">
        <v>16.78</v>
      </c>
      <c r="E20" s="40">
        <v>12.89</v>
      </c>
      <c r="F20" s="40">
        <v>81.709999999999994</v>
      </c>
      <c r="G20" s="40">
        <v>76.59</v>
      </c>
      <c r="H20" s="40">
        <v>27.7</v>
      </c>
      <c r="I20" s="40">
        <v>12.44</v>
      </c>
      <c r="J20" s="40">
        <v>5.57</v>
      </c>
      <c r="K20" s="40">
        <v>288.38</v>
      </c>
      <c r="L20" s="40">
        <v>41.73</v>
      </c>
      <c r="M20" s="40">
        <v>14.25</v>
      </c>
      <c r="N20" s="40">
        <v>818.1</v>
      </c>
      <c r="O20" s="40">
        <v>0</v>
      </c>
      <c r="P20" s="40">
        <v>0.46</v>
      </c>
      <c r="Q20" s="40">
        <v>29.04</v>
      </c>
      <c r="R20" s="38"/>
      <c r="S20" s="38"/>
      <c r="T20" s="38"/>
      <c r="U20" s="38"/>
    </row>
    <row r="21" spans="1:21" customFormat="1">
      <c r="A21" s="39" t="s">
        <v>576</v>
      </c>
      <c r="B21" s="40">
        <v>2.48</v>
      </c>
      <c r="C21" s="40">
        <v>32.590000000000003</v>
      </c>
      <c r="D21" s="40">
        <v>19.690000000000001</v>
      </c>
      <c r="E21" s="40">
        <v>10.52</v>
      </c>
      <c r="F21" s="40">
        <v>33.619999999999997</v>
      </c>
      <c r="G21" s="40">
        <v>79.14</v>
      </c>
      <c r="H21" s="40">
        <v>30.02</v>
      </c>
      <c r="I21" s="40">
        <v>10.3</v>
      </c>
      <c r="J21" s="40">
        <v>6.59</v>
      </c>
      <c r="K21" s="40">
        <v>282.36</v>
      </c>
      <c r="L21" s="40">
        <v>43.18</v>
      </c>
      <c r="M21" s="40">
        <v>9.42</v>
      </c>
      <c r="N21" s="40">
        <v>710.7</v>
      </c>
      <c r="O21" s="40">
        <v>0</v>
      </c>
      <c r="P21" s="40">
        <v>0.46</v>
      </c>
      <c r="Q21" s="40">
        <v>28.6</v>
      </c>
      <c r="R21" s="38"/>
      <c r="S21" s="38"/>
      <c r="T21" s="38"/>
      <c r="U21" s="38"/>
    </row>
    <row r="22" spans="1:21" customFormat="1">
      <c r="A22" s="39" t="s">
        <v>577</v>
      </c>
      <c r="B22" s="40">
        <v>2.56</v>
      </c>
      <c r="C22" s="40">
        <v>30.41</v>
      </c>
      <c r="D22" s="40">
        <v>18.38</v>
      </c>
      <c r="E22" s="40">
        <v>9.4700000000000006</v>
      </c>
      <c r="F22" s="40">
        <v>35.92</v>
      </c>
      <c r="G22" s="40">
        <v>79.05</v>
      </c>
      <c r="H22" s="40">
        <v>30.02</v>
      </c>
      <c r="I22" s="40">
        <v>9.94</v>
      </c>
      <c r="J22" s="40">
        <v>5.23</v>
      </c>
      <c r="K22" s="40">
        <v>356.34</v>
      </c>
      <c r="L22" s="40">
        <v>44</v>
      </c>
      <c r="M22" s="40">
        <v>5.91</v>
      </c>
      <c r="N22" s="40">
        <v>651.1</v>
      </c>
      <c r="O22" s="40">
        <v>0</v>
      </c>
      <c r="P22" s="40">
        <v>0.44</v>
      </c>
      <c r="Q22" s="40">
        <v>28.81</v>
      </c>
      <c r="R22" s="38"/>
      <c r="S22" s="38"/>
      <c r="T22" s="38"/>
      <c r="U22" s="38"/>
    </row>
    <row r="23" spans="1:21" customFormat="1">
      <c r="A23" s="39" t="s">
        <v>578</v>
      </c>
      <c r="B23" s="40">
        <v>4.37</v>
      </c>
      <c r="C23" s="40">
        <v>31.52</v>
      </c>
      <c r="D23" s="40">
        <v>20.43</v>
      </c>
      <c r="E23" s="40">
        <v>8.74</v>
      </c>
      <c r="F23" s="40">
        <v>32.42</v>
      </c>
      <c r="G23" s="40">
        <v>77.739999999999995</v>
      </c>
      <c r="H23" s="40">
        <v>29.41</v>
      </c>
      <c r="I23" s="40">
        <v>7.75</v>
      </c>
      <c r="J23" s="40">
        <v>6.66</v>
      </c>
      <c r="K23" s="40">
        <v>319.41000000000003</v>
      </c>
      <c r="L23" s="40">
        <v>44.14</v>
      </c>
      <c r="M23" s="40">
        <v>5.21</v>
      </c>
      <c r="N23" s="40">
        <v>598.1</v>
      </c>
      <c r="O23" s="40">
        <v>0</v>
      </c>
      <c r="P23" s="40">
        <v>0.41</v>
      </c>
      <c r="Q23" s="40">
        <v>28.77</v>
      </c>
      <c r="R23" s="38"/>
      <c r="S23" s="38"/>
      <c r="T23" s="38"/>
      <c r="U23" s="38"/>
    </row>
    <row r="24" spans="1:21" customFormat="1">
      <c r="A24" s="39" t="s">
        <v>579</v>
      </c>
      <c r="B24" s="40">
        <v>2.25</v>
      </c>
      <c r="C24" s="40">
        <v>29.3</v>
      </c>
      <c r="D24" s="40">
        <v>17.71</v>
      </c>
      <c r="E24" s="40">
        <v>9.01</v>
      </c>
      <c r="F24" s="40">
        <v>28.72</v>
      </c>
      <c r="G24" s="40">
        <v>73.02</v>
      </c>
      <c r="H24" s="40">
        <v>27.19</v>
      </c>
      <c r="I24" s="40">
        <v>8.65</v>
      </c>
      <c r="J24" s="40">
        <v>5.99</v>
      </c>
      <c r="K24" s="40">
        <v>264.95999999999998</v>
      </c>
      <c r="L24" s="40">
        <v>45.16</v>
      </c>
      <c r="M24" s="40">
        <v>4.5999999999999996</v>
      </c>
      <c r="N24" s="40">
        <v>495.1</v>
      </c>
      <c r="O24" s="40">
        <v>0</v>
      </c>
      <c r="P24" s="40">
        <v>0.31</v>
      </c>
      <c r="Q24" s="40">
        <v>28.81</v>
      </c>
      <c r="R24" s="38"/>
      <c r="S24" s="38"/>
      <c r="T24" s="38"/>
      <c r="U24" s="38"/>
    </row>
    <row r="25" spans="1:21" customFormat="1">
      <c r="A25" s="39" t="s">
        <v>580</v>
      </c>
      <c r="B25" s="40">
        <v>3.29</v>
      </c>
      <c r="C25" s="40">
        <v>31.92</v>
      </c>
      <c r="D25" s="40">
        <v>19.57</v>
      </c>
      <c r="E25" s="40">
        <v>8.83</v>
      </c>
      <c r="F25" s="40">
        <v>26.73</v>
      </c>
      <c r="G25" s="40">
        <v>70.86</v>
      </c>
      <c r="H25" s="40">
        <v>27.53</v>
      </c>
      <c r="I25" s="40">
        <v>8.65</v>
      </c>
      <c r="J25" s="40">
        <v>7.23</v>
      </c>
      <c r="K25" s="40">
        <v>293.20999999999998</v>
      </c>
      <c r="L25" s="40">
        <v>45.3</v>
      </c>
      <c r="M25" s="40">
        <v>4.53</v>
      </c>
      <c r="N25" s="40">
        <v>355.4</v>
      </c>
      <c r="O25" s="40">
        <v>0</v>
      </c>
      <c r="P25" s="40">
        <v>0.32</v>
      </c>
      <c r="Q25" s="40">
        <v>28.61</v>
      </c>
      <c r="R25" s="38"/>
      <c r="S25" s="38"/>
      <c r="T25" s="38"/>
      <c r="U25" s="38"/>
    </row>
    <row r="26" spans="1:21" customFormat="1">
      <c r="A26" s="39" t="s">
        <v>581</v>
      </c>
      <c r="B26" s="40">
        <v>2.29</v>
      </c>
      <c r="C26" s="40">
        <v>32.770000000000003</v>
      </c>
      <c r="D26" s="40">
        <v>19.63</v>
      </c>
      <c r="E26" s="40">
        <v>16.87</v>
      </c>
      <c r="F26" s="40">
        <v>43.25</v>
      </c>
      <c r="G26" s="40">
        <v>68.98</v>
      </c>
      <c r="H26" s="40">
        <v>27.23</v>
      </c>
      <c r="I26" s="40">
        <v>9.15</v>
      </c>
      <c r="J26" s="40">
        <v>5.49</v>
      </c>
      <c r="K26" s="40">
        <v>276.77999999999997</v>
      </c>
      <c r="L26" s="40">
        <v>43.14</v>
      </c>
      <c r="M26" s="40">
        <v>9.68</v>
      </c>
      <c r="N26" s="40">
        <v>147</v>
      </c>
      <c r="O26" s="40">
        <v>0</v>
      </c>
      <c r="P26" s="40">
        <v>0.43</v>
      </c>
      <c r="Q26" s="40">
        <v>28.6</v>
      </c>
      <c r="R26" s="38"/>
      <c r="S26" s="38"/>
      <c r="T26" s="38"/>
      <c r="U26" s="38"/>
    </row>
    <row r="27" spans="1:21" customFormat="1">
      <c r="A27" s="39" t="s">
        <v>582</v>
      </c>
      <c r="B27" s="40">
        <v>10.92</v>
      </c>
      <c r="C27" s="40">
        <v>53.53</v>
      </c>
      <c r="D27" s="40">
        <v>37.4</v>
      </c>
      <c r="E27" s="40">
        <v>15.04</v>
      </c>
      <c r="F27" s="40">
        <v>46.08</v>
      </c>
      <c r="G27" s="40">
        <v>67.09</v>
      </c>
      <c r="H27" s="40">
        <v>26.43</v>
      </c>
      <c r="I27" s="40">
        <v>11.19</v>
      </c>
      <c r="J27" s="40">
        <v>5.28</v>
      </c>
      <c r="K27" s="40">
        <v>228.93</v>
      </c>
      <c r="L27" s="40">
        <v>40.39</v>
      </c>
      <c r="M27" s="40">
        <v>12.98</v>
      </c>
      <c r="N27" s="40">
        <v>30.9</v>
      </c>
      <c r="O27" s="40">
        <v>0</v>
      </c>
      <c r="P27" s="40">
        <v>0.79</v>
      </c>
      <c r="Q27" s="40">
        <v>28.41</v>
      </c>
      <c r="R27" s="38"/>
      <c r="S27" s="38"/>
      <c r="T27" s="38"/>
      <c r="U27" s="38"/>
    </row>
    <row r="28" spans="1:21" customFormat="1">
      <c r="A28" s="39" t="s">
        <v>583</v>
      </c>
      <c r="B28" s="40">
        <v>8.83</v>
      </c>
      <c r="C28" s="40">
        <v>48.87</v>
      </c>
      <c r="D28" s="40">
        <v>33.29</v>
      </c>
      <c r="E28" s="40">
        <v>14.85</v>
      </c>
      <c r="F28" s="40">
        <v>25.3</v>
      </c>
      <c r="G28" s="40">
        <v>69.260000000000005</v>
      </c>
      <c r="H28" s="40">
        <v>28.2</v>
      </c>
      <c r="I28" s="40">
        <v>12.14</v>
      </c>
      <c r="J28" s="40">
        <v>5.25</v>
      </c>
      <c r="K28" s="40">
        <v>287.23</v>
      </c>
      <c r="L28" s="40">
        <v>39.32</v>
      </c>
      <c r="M28" s="40">
        <v>11.13</v>
      </c>
      <c r="N28" s="40">
        <v>21.7</v>
      </c>
      <c r="O28" s="40">
        <v>0</v>
      </c>
      <c r="P28" s="40">
        <v>0.74</v>
      </c>
      <c r="Q28" s="40">
        <v>27.32</v>
      </c>
      <c r="R28" s="38"/>
      <c r="S28" s="38"/>
      <c r="T28" s="38"/>
      <c r="U28" s="38"/>
    </row>
    <row r="29" spans="1:21" customFormat="1">
      <c r="A29" s="39" t="s">
        <v>584</v>
      </c>
      <c r="B29" s="40">
        <v>8.1199999999999992</v>
      </c>
      <c r="C29" s="40">
        <v>46.22</v>
      </c>
      <c r="D29" s="40">
        <v>30.86</v>
      </c>
      <c r="E29" s="40">
        <v>15.85</v>
      </c>
      <c r="F29" s="40">
        <v>19.440000000000001</v>
      </c>
      <c r="G29" s="40">
        <v>76.069999999999993</v>
      </c>
      <c r="H29" s="40">
        <v>31.32</v>
      </c>
      <c r="I29" s="40">
        <v>15.6</v>
      </c>
      <c r="J29" s="40">
        <v>5.32</v>
      </c>
      <c r="K29" s="40">
        <v>255.99</v>
      </c>
      <c r="L29" s="40">
        <v>37.450000000000003</v>
      </c>
      <c r="M29" s="40">
        <v>12.89</v>
      </c>
      <c r="N29" s="40">
        <v>21.8</v>
      </c>
      <c r="O29" s="40">
        <v>0</v>
      </c>
      <c r="P29" s="40">
        <v>0.75</v>
      </c>
      <c r="Q29" s="40">
        <v>27.69</v>
      </c>
      <c r="R29" s="38"/>
      <c r="S29" s="38"/>
      <c r="T29" s="38"/>
      <c r="U29" s="38"/>
    </row>
    <row r="30" spans="1:21" customFormat="1">
      <c r="A30" s="39" t="s">
        <v>585</v>
      </c>
      <c r="B30" s="40">
        <v>10.8</v>
      </c>
      <c r="C30" s="40">
        <v>54.08</v>
      </c>
      <c r="D30" s="40">
        <v>35.700000000000003</v>
      </c>
      <c r="E30" s="40">
        <v>12.18</v>
      </c>
      <c r="F30" s="40">
        <v>16.11</v>
      </c>
      <c r="G30" s="40">
        <v>81.36</v>
      </c>
      <c r="H30" s="40">
        <v>31.12</v>
      </c>
      <c r="I30" s="40">
        <v>15.96</v>
      </c>
      <c r="J30" s="40">
        <v>4.95</v>
      </c>
      <c r="K30" s="40">
        <v>253.74</v>
      </c>
      <c r="L30" s="40">
        <v>36.04</v>
      </c>
      <c r="M30" s="40">
        <v>15.04</v>
      </c>
      <c r="N30" s="40">
        <v>22.4</v>
      </c>
      <c r="O30" s="40">
        <v>0</v>
      </c>
      <c r="P30" s="40">
        <v>0.8</v>
      </c>
      <c r="Q30" s="40">
        <v>27.23</v>
      </c>
      <c r="R30" s="38"/>
      <c r="S30" s="38"/>
      <c r="T30" s="38"/>
      <c r="U30" s="38"/>
    </row>
    <row r="31" spans="1:21" customFormat="1">
      <c r="A31" s="39" t="s">
        <v>586</v>
      </c>
      <c r="B31" s="40">
        <v>6.05</v>
      </c>
      <c r="C31" s="40">
        <v>39.82</v>
      </c>
      <c r="D31" s="40">
        <v>26.33</v>
      </c>
      <c r="E31" s="40">
        <v>12.6</v>
      </c>
      <c r="F31" s="40">
        <v>22.05</v>
      </c>
      <c r="G31" s="40">
        <v>81.16</v>
      </c>
      <c r="H31" s="40">
        <v>29.94</v>
      </c>
      <c r="I31" s="40">
        <v>17.02</v>
      </c>
      <c r="J31" s="40">
        <v>5.03</v>
      </c>
      <c r="K31" s="40">
        <v>228.87</v>
      </c>
      <c r="L31" s="40">
        <v>35.229999999999997</v>
      </c>
      <c r="M31" s="40">
        <v>12.63</v>
      </c>
      <c r="N31" s="40">
        <v>21.5</v>
      </c>
      <c r="O31" s="40">
        <v>0</v>
      </c>
      <c r="P31" s="40">
        <v>0.66</v>
      </c>
      <c r="Q31" s="40">
        <v>28.05</v>
      </c>
      <c r="R31" s="38"/>
      <c r="S31" s="38"/>
      <c r="T31" s="38"/>
      <c r="U31" s="38"/>
    </row>
    <row r="32" spans="1:21" customFormat="1">
      <c r="A32" s="39" t="s">
        <v>587</v>
      </c>
      <c r="B32" s="40">
        <v>4.97</v>
      </c>
      <c r="C32" s="40">
        <v>38.950000000000003</v>
      </c>
      <c r="D32" s="40">
        <v>25.01</v>
      </c>
      <c r="E32" s="40">
        <v>4.92</v>
      </c>
      <c r="F32" s="40">
        <v>20.420000000000002</v>
      </c>
      <c r="G32" s="40">
        <v>80.16</v>
      </c>
      <c r="H32" s="40">
        <v>31.12</v>
      </c>
      <c r="I32" s="40">
        <v>14.98</v>
      </c>
      <c r="J32" s="40">
        <v>3.9</v>
      </c>
      <c r="K32" s="40">
        <v>199.71</v>
      </c>
      <c r="L32" s="40">
        <v>34.65</v>
      </c>
      <c r="M32" s="40">
        <v>15.44</v>
      </c>
      <c r="N32" s="40">
        <v>22.3</v>
      </c>
      <c r="O32" s="40">
        <v>0</v>
      </c>
      <c r="P32" s="40">
        <v>0.59</v>
      </c>
      <c r="Q32" s="40">
        <v>28.14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2.25</v>
      </c>
      <c r="C34" s="18">
        <f t="shared" si="0"/>
        <v>26.8</v>
      </c>
      <c r="D34" s="18">
        <f t="shared" si="0"/>
        <v>16.78</v>
      </c>
      <c r="E34" s="18">
        <f t="shared" si="0"/>
        <v>2.66</v>
      </c>
      <c r="F34" s="18">
        <f t="shared" si="0"/>
        <v>6.14</v>
      </c>
      <c r="G34" s="18">
        <f t="shared" si="0"/>
        <v>67.03</v>
      </c>
      <c r="H34" s="18">
        <f t="shared" si="0"/>
        <v>26.43</v>
      </c>
      <c r="I34" s="18">
        <f t="shared" si="0"/>
        <v>7.75</v>
      </c>
      <c r="J34" s="18">
        <f t="shared" si="0"/>
        <v>3.9</v>
      </c>
      <c r="K34" s="18">
        <f t="shared" si="0"/>
        <v>185.22</v>
      </c>
      <c r="L34" s="18">
        <f t="shared" si="0"/>
        <v>30.98</v>
      </c>
      <c r="M34" s="18">
        <f t="shared" si="0"/>
        <v>4.53</v>
      </c>
      <c r="N34" s="18">
        <f t="shared" si="0"/>
        <v>21.5</v>
      </c>
      <c r="O34" s="18">
        <f t="shared" si="0"/>
        <v>0</v>
      </c>
      <c r="P34" s="18">
        <f t="shared" si="0"/>
        <v>0.31</v>
      </c>
      <c r="Q34" s="18">
        <f t="shared" si="0"/>
        <v>27.16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24.75</v>
      </c>
      <c r="C35" s="3">
        <f t="shared" si="1"/>
        <v>54.08</v>
      </c>
      <c r="D35" s="3">
        <f t="shared" si="1"/>
        <v>48.15</v>
      </c>
      <c r="E35" s="3">
        <f t="shared" si="1"/>
        <v>16.87</v>
      </c>
      <c r="F35" s="3">
        <f t="shared" si="1"/>
        <v>81.709999999999994</v>
      </c>
      <c r="G35" s="3">
        <f t="shared" si="1"/>
        <v>87.9</v>
      </c>
      <c r="H35" s="3">
        <f t="shared" si="1"/>
        <v>36.369999999999997</v>
      </c>
      <c r="I35" s="3">
        <f t="shared" si="1"/>
        <v>17.02</v>
      </c>
      <c r="J35" s="3">
        <f t="shared" si="1"/>
        <v>8.77</v>
      </c>
      <c r="K35" s="3">
        <f t="shared" si="1"/>
        <v>356.34</v>
      </c>
      <c r="L35" s="3">
        <f t="shared" si="1"/>
        <v>45.3</v>
      </c>
      <c r="M35" s="3">
        <f t="shared" si="1"/>
        <v>44.49</v>
      </c>
      <c r="N35" s="3">
        <f t="shared" si="1"/>
        <v>820</v>
      </c>
      <c r="O35" s="3">
        <f t="shared" si="1"/>
        <v>0</v>
      </c>
      <c r="P35" s="3">
        <f t="shared" si="1"/>
        <v>0.8</v>
      </c>
      <c r="Q35" s="3">
        <f t="shared" si="1"/>
        <v>29.04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7.2166666666666694</v>
      </c>
      <c r="C36" s="18">
        <f t="shared" si="2"/>
        <v>40.428750000000001</v>
      </c>
      <c r="D36" s="18">
        <f t="shared" si="2"/>
        <v>27.365833333333338</v>
      </c>
      <c r="E36" s="18">
        <f t="shared" si="2"/>
        <v>8.27</v>
      </c>
      <c r="F36" s="18">
        <f t="shared" si="2"/>
        <v>24.985833333333332</v>
      </c>
      <c r="G36" s="18">
        <f t="shared" si="2"/>
        <v>77.042916666666656</v>
      </c>
      <c r="H36" s="18">
        <f t="shared" si="2"/>
        <v>30.879166666666674</v>
      </c>
      <c r="I36" s="18">
        <f t="shared" si="2"/>
        <v>12.91375</v>
      </c>
      <c r="J36" s="18">
        <f t="shared" si="2"/>
        <v>6.0199999999999987</v>
      </c>
      <c r="K36" s="18">
        <f t="shared" si="2"/>
        <v>258.94083333333333</v>
      </c>
      <c r="L36" s="18">
        <f t="shared" si="2"/>
        <v>37.337916666666665</v>
      </c>
      <c r="M36" s="18">
        <f t="shared" si="2"/>
        <v>21.758333333333336</v>
      </c>
      <c r="N36" s="18">
        <f t="shared" si="2"/>
        <v>241.73333333333332</v>
      </c>
      <c r="O36" s="18">
        <f t="shared" si="2"/>
        <v>0</v>
      </c>
      <c r="P36" s="18">
        <f t="shared" si="2"/>
        <v>0.57750000000000001</v>
      </c>
      <c r="Q36" s="18">
        <f t="shared" si="2"/>
        <v>28.144166666666674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5.4537850172602784</v>
      </c>
      <c r="C37" s="18">
        <f t="shared" ref="C37:Q37" si="3">STDEV(C9:C32)</f>
        <v>7.9524293868083991</v>
      </c>
      <c r="D37" s="18">
        <f t="shared" si="3"/>
        <v>7.9317106640352675</v>
      </c>
      <c r="E37" s="18">
        <f t="shared" si="3"/>
        <v>4.5926926837049047</v>
      </c>
      <c r="F37" s="18">
        <f t="shared" si="3"/>
        <v>18.777239903824974</v>
      </c>
      <c r="G37" s="18">
        <f t="shared" si="3"/>
        <v>6.2840567616833285</v>
      </c>
      <c r="H37" s="18">
        <f t="shared" si="3"/>
        <v>2.7852233017443524</v>
      </c>
      <c r="I37" s="18">
        <f t="shared" si="3"/>
        <v>2.7953156662375518</v>
      </c>
      <c r="J37" s="18">
        <f t="shared" si="3"/>
        <v>1.0244531945511746</v>
      </c>
      <c r="K37" s="18">
        <f t="shared" si="3"/>
        <v>38.911617346144311</v>
      </c>
      <c r="L37" s="18">
        <f t="shared" si="3"/>
        <v>5.0683107375026042</v>
      </c>
      <c r="M37" s="18">
        <f t="shared" si="3"/>
        <v>13.844778223502564</v>
      </c>
      <c r="N37" s="18">
        <f t="shared" si="3"/>
        <v>295.94223535458178</v>
      </c>
      <c r="O37" s="18">
        <f t="shared" si="3"/>
        <v>0</v>
      </c>
      <c r="P37" s="18">
        <f t="shared" si="3"/>
        <v>0.13841494013354882</v>
      </c>
      <c r="Q37" s="18">
        <f t="shared" si="3"/>
        <v>0.55478877035331631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6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23/04/2025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588</v>
      </c>
      <c r="B9" s="40">
        <v>3.43</v>
      </c>
      <c r="C9" s="40">
        <v>37.04</v>
      </c>
      <c r="D9" s="40">
        <v>22.78</v>
      </c>
      <c r="E9" s="40">
        <v>4.04</v>
      </c>
      <c r="F9" s="40">
        <v>25.08</v>
      </c>
      <c r="G9" s="40">
        <v>80.099999999999994</v>
      </c>
      <c r="H9" s="40">
        <v>30.46</v>
      </c>
      <c r="I9" s="40">
        <v>14.84</v>
      </c>
      <c r="J9" s="40">
        <v>4.6399999999999997</v>
      </c>
      <c r="K9" s="40">
        <v>193.02</v>
      </c>
      <c r="L9" s="40">
        <v>32.68</v>
      </c>
      <c r="M9" s="40">
        <v>15.93</v>
      </c>
      <c r="N9" s="40">
        <v>22.1</v>
      </c>
      <c r="O9" s="40">
        <v>0</v>
      </c>
      <c r="P9" s="40">
        <v>0.54</v>
      </c>
      <c r="Q9" s="40">
        <v>28.48</v>
      </c>
      <c r="R9" s="38"/>
      <c r="S9" s="38"/>
      <c r="T9" s="38"/>
      <c r="U9" s="38"/>
    </row>
    <row r="10" spans="1:21" customFormat="1">
      <c r="A10" s="39" t="s">
        <v>589</v>
      </c>
      <c r="B10" s="40">
        <v>3.79</v>
      </c>
      <c r="C10" s="40">
        <v>37.61</v>
      </c>
      <c r="D10" s="40">
        <v>23.36</v>
      </c>
      <c r="E10" s="40">
        <v>3.01</v>
      </c>
      <c r="F10" s="40">
        <v>24.35</v>
      </c>
      <c r="G10" s="40">
        <v>79.59</v>
      </c>
      <c r="H10" s="40">
        <v>32.090000000000003</v>
      </c>
      <c r="I10" s="40">
        <v>14.04</v>
      </c>
      <c r="J10" s="40">
        <v>6.02</v>
      </c>
      <c r="K10" s="40">
        <v>229.12</v>
      </c>
      <c r="L10" s="40">
        <v>32.17</v>
      </c>
      <c r="M10" s="40">
        <v>21.14</v>
      </c>
      <c r="N10" s="40">
        <v>22.4</v>
      </c>
      <c r="O10" s="40">
        <v>0</v>
      </c>
      <c r="P10" s="40">
        <v>0.56000000000000005</v>
      </c>
      <c r="Q10" s="40">
        <v>28.57</v>
      </c>
      <c r="R10" s="38"/>
      <c r="S10" s="38"/>
      <c r="T10" s="38"/>
      <c r="U10" s="38"/>
    </row>
    <row r="11" spans="1:21" customFormat="1">
      <c r="A11" s="39" t="s">
        <v>590</v>
      </c>
      <c r="B11" s="40">
        <v>4.1399999999999997</v>
      </c>
      <c r="C11" s="40">
        <v>36.92</v>
      </c>
      <c r="D11" s="40">
        <v>22.97</v>
      </c>
      <c r="E11" s="40">
        <v>12.14</v>
      </c>
      <c r="F11" s="40">
        <v>20.350000000000001</v>
      </c>
      <c r="G11" s="40">
        <v>82.81</v>
      </c>
      <c r="H11" s="40">
        <v>31.39</v>
      </c>
      <c r="I11" s="40">
        <v>18.18</v>
      </c>
      <c r="J11" s="40">
        <v>5.89</v>
      </c>
      <c r="K11" s="40">
        <v>229.24</v>
      </c>
      <c r="L11" s="40">
        <v>31.8</v>
      </c>
      <c r="M11" s="40">
        <v>20.73</v>
      </c>
      <c r="N11" s="40">
        <v>21.9</v>
      </c>
      <c r="O11" s="40">
        <v>0</v>
      </c>
      <c r="P11" s="40">
        <v>0.63</v>
      </c>
      <c r="Q11" s="40">
        <v>28.28</v>
      </c>
      <c r="R11" s="38"/>
      <c r="S11" s="38"/>
      <c r="T11" s="38"/>
      <c r="U11" s="38"/>
    </row>
    <row r="12" spans="1:21" customFormat="1">
      <c r="A12" s="39" t="s">
        <v>591</v>
      </c>
      <c r="B12" s="40">
        <v>5.48</v>
      </c>
      <c r="C12" s="40">
        <v>43.03</v>
      </c>
      <c r="D12" s="40">
        <v>27.55</v>
      </c>
      <c r="E12" s="40">
        <v>10.11</v>
      </c>
      <c r="F12" s="40">
        <v>13.63</v>
      </c>
      <c r="G12" s="40">
        <v>93.65</v>
      </c>
      <c r="H12" s="40">
        <v>36.909999999999997</v>
      </c>
      <c r="I12" s="40">
        <v>20.76</v>
      </c>
      <c r="J12" s="40">
        <v>6.42</v>
      </c>
      <c r="K12" s="40">
        <v>206.42</v>
      </c>
      <c r="L12" s="40">
        <v>32.15</v>
      </c>
      <c r="M12" s="40">
        <v>25.97</v>
      </c>
      <c r="N12" s="40">
        <v>22.9</v>
      </c>
      <c r="O12" s="40">
        <v>0</v>
      </c>
      <c r="P12" s="40">
        <v>0.64</v>
      </c>
      <c r="Q12" s="40">
        <v>28.18</v>
      </c>
      <c r="R12" s="38"/>
      <c r="S12" s="38"/>
      <c r="T12" s="38"/>
      <c r="U12" s="38"/>
    </row>
    <row r="13" spans="1:21" customFormat="1">
      <c r="A13" s="39" t="s">
        <v>592</v>
      </c>
      <c r="B13" s="40">
        <v>4.8600000000000003</v>
      </c>
      <c r="C13" s="40">
        <v>36.159999999999997</v>
      </c>
      <c r="D13" s="40">
        <v>23.47</v>
      </c>
      <c r="E13" s="40">
        <v>4.67</v>
      </c>
      <c r="F13" s="40">
        <v>13.79</v>
      </c>
      <c r="G13" s="40">
        <v>93.17</v>
      </c>
      <c r="H13" s="40">
        <v>39.1</v>
      </c>
      <c r="I13" s="40">
        <v>20.46</v>
      </c>
      <c r="J13" s="40">
        <v>6.34</v>
      </c>
      <c r="K13" s="40">
        <v>186.66</v>
      </c>
      <c r="L13" s="40">
        <v>30.47</v>
      </c>
      <c r="M13" s="40">
        <v>31.01</v>
      </c>
      <c r="N13" s="40">
        <v>22.5</v>
      </c>
      <c r="O13" s="40">
        <v>0</v>
      </c>
      <c r="P13" s="40">
        <v>0.6</v>
      </c>
      <c r="Q13" s="40">
        <v>28.28</v>
      </c>
      <c r="R13" s="38"/>
      <c r="S13" s="38"/>
      <c r="T13" s="38"/>
      <c r="U13" s="38"/>
    </row>
    <row r="14" spans="1:21" customFormat="1">
      <c r="A14" s="39" t="s">
        <v>593</v>
      </c>
      <c r="B14" s="40">
        <v>4.0599999999999996</v>
      </c>
      <c r="C14" s="40">
        <v>34.83</v>
      </c>
      <c r="D14" s="40">
        <v>22.1</v>
      </c>
      <c r="E14" s="40">
        <v>3.43</v>
      </c>
      <c r="F14" s="40">
        <v>10.78</v>
      </c>
      <c r="G14" s="40">
        <v>89.61</v>
      </c>
      <c r="H14" s="40">
        <v>38.75</v>
      </c>
      <c r="I14" s="40">
        <v>17.54</v>
      </c>
      <c r="J14" s="40">
        <v>5.53</v>
      </c>
      <c r="K14" s="40">
        <v>165</v>
      </c>
      <c r="L14" s="40">
        <v>30.43</v>
      </c>
      <c r="M14" s="40">
        <v>35.01</v>
      </c>
      <c r="N14" s="40">
        <v>31.9</v>
      </c>
      <c r="O14" s="40">
        <v>0</v>
      </c>
      <c r="P14" s="40">
        <v>0.59</v>
      </c>
      <c r="Q14" s="40">
        <v>28.35</v>
      </c>
      <c r="R14" s="38"/>
      <c r="S14" s="38"/>
      <c r="T14" s="38"/>
      <c r="U14" s="38"/>
    </row>
    <row r="15" spans="1:21" customFormat="1">
      <c r="A15" s="39" t="s">
        <v>594</v>
      </c>
      <c r="B15" s="40">
        <v>4.55</v>
      </c>
      <c r="C15" s="40">
        <v>37.49</v>
      </c>
      <c r="D15" s="40">
        <v>23.92</v>
      </c>
      <c r="E15" s="40">
        <v>3.56</v>
      </c>
      <c r="F15" s="40">
        <v>11.92</v>
      </c>
      <c r="G15" s="40">
        <v>81.64</v>
      </c>
      <c r="H15" s="40">
        <v>36.08</v>
      </c>
      <c r="I15" s="40">
        <v>16.02</v>
      </c>
      <c r="J15" s="40">
        <v>4.74</v>
      </c>
      <c r="K15" s="40">
        <v>207.46</v>
      </c>
      <c r="L15" s="40">
        <v>30.91</v>
      </c>
      <c r="M15" s="40">
        <v>36.51</v>
      </c>
      <c r="N15" s="40">
        <v>66</v>
      </c>
      <c r="O15" s="40">
        <v>0</v>
      </c>
      <c r="P15" s="40">
        <v>0.59</v>
      </c>
      <c r="Q15" s="40">
        <v>28.31</v>
      </c>
      <c r="R15" s="38"/>
      <c r="S15" s="38"/>
      <c r="T15" s="38"/>
      <c r="U15" s="38"/>
    </row>
    <row r="16" spans="1:21" customFormat="1">
      <c r="A16" s="39" t="s">
        <v>595</v>
      </c>
      <c r="B16" s="40">
        <v>4.59</v>
      </c>
      <c r="C16" s="40">
        <v>36.81</v>
      </c>
      <c r="D16" s="40">
        <v>23.59</v>
      </c>
      <c r="E16" s="40">
        <v>4.37</v>
      </c>
      <c r="F16" s="40">
        <v>14.37</v>
      </c>
      <c r="G16" s="40">
        <v>74.02</v>
      </c>
      <c r="H16" s="40">
        <v>33.44</v>
      </c>
      <c r="I16" s="40">
        <v>15.31</v>
      </c>
      <c r="J16" s="40">
        <v>5.16</v>
      </c>
      <c r="K16" s="40">
        <v>216.75</v>
      </c>
      <c r="L16" s="40">
        <v>32.28</v>
      </c>
      <c r="M16" s="40">
        <v>36.299999999999997</v>
      </c>
      <c r="N16" s="40">
        <v>102.3</v>
      </c>
      <c r="O16" s="40">
        <v>0</v>
      </c>
      <c r="P16" s="40">
        <v>0.61</v>
      </c>
      <c r="Q16" s="40">
        <v>28.2</v>
      </c>
      <c r="R16" s="38"/>
      <c r="S16" s="38"/>
      <c r="T16" s="38"/>
      <c r="U16" s="38"/>
    </row>
    <row r="17" spans="1:21" customFormat="1">
      <c r="A17" s="39" t="s">
        <v>596</v>
      </c>
      <c r="B17" s="40">
        <v>4.51</v>
      </c>
      <c r="C17" s="40">
        <v>39.770000000000003</v>
      </c>
      <c r="D17" s="40">
        <v>24.92</v>
      </c>
      <c r="E17" s="40">
        <v>5.36</v>
      </c>
      <c r="F17" s="40">
        <v>8.14</v>
      </c>
      <c r="G17" s="40">
        <v>73.819999999999993</v>
      </c>
      <c r="H17" s="40">
        <v>33.78</v>
      </c>
      <c r="I17" s="40">
        <v>15.47</v>
      </c>
      <c r="J17" s="40">
        <v>8.24</v>
      </c>
      <c r="K17" s="40">
        <v>258.60000000000002</v>
      </c>
      <c r="L17" s="40">
        <v>34.450000000000003</v>
      </c>
      <c r="M17" s="40">
        <v>35.99</v>
      </c>
      <c r="N17" s="40">
        <v>173.6</v>
      </c>
      <c r="O17" s="40">
        <v>0</v>
      </c>
      <c r="P17" s="40">
        <v>0.67</v>
      </c>
      <c r="Q17" s="40">
        <v>28.16</v>
      </c>
      <c r="R17" s="38"/>
      <c r="S17" s="38"/>
      <c r="T17" s="38"/>
      <c r="U17" s="38"/>
    </row>
    <row r="18" spans="1:21" customFormat="1">
      <c r="A18" s="39" t="s">
        <v>597</v>
      </c>
      <c r="B18" s="40">
        <v>4</v>
      </c>
      <c r="C18" s="40">
        <v>39.840000000000003</v>
      </c>
      <c r="D18" s="40">
        <v>24.7</v>
      </c>
      <c r="E18" s="40">
        <v>5.16</v>
      </c>
      <c r="F18" s="40">
        <v>11.81</v>
      </c>
      <c r="G18" s="40">
        <v>80.069999999999993</v>
      </c>
      <c r="H18" s="40">
        <v>36.64</v>
      </c>
      <c r="I18" s="40">
        <v>16.010000000000002</v>
      </c>
      <c r="J18" s="40">
        <v>7.52</v>
      </c>
      <c r="K18" s="40">
        <v>234.53</v>
      </c>
      <c r="L18" s="40">
        <v>36.270000000000003</v>
      </c>
      <c r="M18" s="40">
        <v>34.51</v>
      </c>
      <c r="N18" s="40">
        <v>574.79999999999995</v>
      </c>
      <c r="O18" s="40">
        <v>0</v>
      </c>
      <c r="P18" s="40">
        <v>0.67</v>
      </c>
      <c r="Q18" s="40">
        <v>28.2</v>
      </c>
      <c r="R18" s="38"/>
      <c r="S18" s="38"/>
      <c r="T18" s="38"/>
      <c r="U18" s="38"/>
    </row>
    <row r="19" spans="1:21" customFormat="1">
      <c r="A19" s="39" t="s">
        <v>598</v>
      </c>
      <c r="B19" s="40">
        <v>2.79</v>
      </c>
      <c r="C19" s="40">
        <v>37.159999999999997</v>
      </c>
      <c r="D19" s="40">
        <v>22.33</v>
      </c>
      <c r="E19" s="40">
        <v>4.43</v>
      </c>
      <c r="F19" s="40">
        <v>22.47</v>
      </c>
      <c r="G19" s="40">
        <v>80.81</v>
      </c>
      <c r="H19" s="40">
        <v>36.86</v>
      </c>
      <c r="I19" s="40">
        <v>15.3</v>
      </c>
      <c r="J19" s="40">
        <v>7.08</v>
      </c>
      <c r="K19" s="40">
        <v>239.09</v>
      </c>
      <c r="L19" s="40">
        <v>38.54</v>
      </c>
      <c r="M19" s="40">
        <v>31.97</v>
      </c>
      <c r="N19" s="40">
        <v>733.9</v>
      </c>
      <c r="O19" s="40">
        <v>0</v>
      </c>
      <c r="P19" s="40">
        <v>0.68</v>
      </c>
      <c r="Q19" s="40">
        <v>28.31</v>
      </c>
      <c r="R19" s="38"/>
      <c r="S19" s="38"/>
      <c r="T19" s="38"/>
      <c r="U19" s="38"/>
    </row>
    <row r="20" spans="1:21" customFormat="1">
      <c r="A20" s="39" t="s">
        <v>599</v>
      </c>
      <c r="B20" s="40">
        <v>2.5</v>
      </c>
      <c r="C20" s="40">
        <v>36.35</v>
      </c>
      <c r="D20" s="40">
        <v>21.54</v>
      </c>
      <c r="E20" s="40">
        <v>10.3</v>
      </c>
      <c r="F20" s="40">
        <v>26.46</v>
      </c>
      <c r="G20" s="40">
        <v>80.58</v>
      </c>
      <c r="H20" s="40">
        <v>36.619999999999997</v>
      </c>
      <c r="I20" s="40">
        <v>15.81</v>
      </c>
      <c r="J20" s="40">
        <v>6.03</v>
      </c>
      <c r="K20" s="40">
        <v>247.7</v>
      </c>
      <c r="L20" s="40">
        <v>40.28</v>
      </c>
      <c r="M20" s="40">
        <v>26.6</v>
      </c>
      <c r="N20" s="40">
        <v>745.9</v>
      </c>
      <c r="O20" s="40">
        <v>0</v>
      </c>
      <c r="P20" s="40">
        <v>0.65</v>
      </c>
      <c r="Q20" s="40">
        <v>28.34</v>
      </c>
      <c r="R20" s="38"/>
      <c r="S20" s="38"/>
      <c r="T20" s="38"/>
      <c r="U20" s="38"/>
    </row>
    <row r="21" spans="1:21" customFormat="1">
      <c r="A21" s="39" t="s">
        <v>600</v>
      </c>
      <c r="B21" s="40">
        <v>2.2000000000000002</v>
      </c>
      <c r="C21" s="40">
        <v>34.01</v>
      </c>
      <c r="D21" s="40">
        <v>20.2</v>
      </c>
      <c r="E21" s="40">
        <v>16.52</v>
      </c>
      <c r="F21" s="40">
        <v>56.13</v>
      </c>
      <c r="G21" s="40">
        <v>79.430000000000007</v>
      </c>
      <c r="H21" s="40">
        <v>35.44</v>
      </c>
      <c r="I21" s="40">
        <v>18.64</v>
      </c>
      <c r="J21" s="40">
        <v>5.33</v>
      </c>
      <c r="K21" s="40">
        <v>249.02</v>
      </c>
      <c r="L21" s="40">
        <v>41.38</v>
      </c>
      <c r="M21" s="40">
        <v>21.87</v>
      </c>
      <c r="N21" s="40">
        <v>653.5</v>
      </c>
      <c r="O21" s="40">
        <v>0</v>
      </c>
      <c r="P21" s="40">
        <v>0.63</v>
      </c>
      <c r="Q21" s="40">
        <v>28.68</v>
      </c>
      <c r="R21" s="38"/>
      <c r="S21" s="38"/>
      <c r="T21" s="38"/>
      <c r="U21" s="38"/>
    </row>
    <row r="22" spans="1:21" customFormat="1">
      <c r="A22" s="39" t="s">
        <v>601</v>
      </c>
      <c r="B22" s="40">
        <v>1.78</v>
      </c>
      <c r="C22" s="40">
        <v>28.29</v>
      </c>
      <c r="D22" s="40">
        <v>30.01</v>
      </c>
      <c r="E22" s="40">
        <v>10.99</v>
      </c>
      <c r="F22" s="40">
        <v>77.25</v>
      </c>
      <c r="G22" s="10" t="s">
        <v>12</v>
      </c>
      <c r="H22" s="10" t="s">
        <v>12</v>
      </c>
      <c r="I22" s="40">
        <v>18.02</v>
      </c>
      <c r="J22" s="40">
        <v>6.9</v>
      </c>
      <c r="K22" s="40">
        <v>227.21</v>
      </c>
      <c r="L22" s="40">
        <v>43.13</v>
      </c>
      <c r="M22" s="40">
        <v>15.27</v>
      </c>
      <c r="N22" s="40">
        <v>598.4</v>
      </c>
      <c r="O22" s="40">
        <v>0</v>
      </c>
      <c r="P22" s="40">
        <v>0.57999999999999996</v>
      </c>
      <c r="Q22" s="40">
        <v>28.88</v>
      </c>
      <c r="R22" s="38"/>
      <c r="S22" s="38"/>
      <c r="T22" s="38"/>
      <c r="U22" s="38"/>
    </row>
    <row r="23" spans="1:21" customFormat="1">
      <c r="A23" s="39" t="s">
        <v>602</v>
      </c>
      <c r="B23" s="40">
        <v>1.24</v>
      </c>
      <c r="C23" s="40">
        <v>23.96</v>
      </c>
      <c r="D23" s="40">
        <v>25.13</v>
      </c>
      <c r="E23" s="40">
        <v>15.7</v>
      </c>
      <c r="F23" s="40">
        <v>65.989999999999995</v>
      </c>
      <c r="G23" s="10" t="s">
        <v>12</v>
      </c>
      <c r="H23" s="10" t="s">
        <v>12</v>
      </c>
      <c r="I23" s="40">
        <v>19.989999999999998</v>
      </c>
      <c r="J23" s="40">
        <v>6.45</v>
      </c>
      <c r="K23" s="40">
        <v>215.18</v>
      </c>
      <c r="L23" s="40">
        <v>43.01</v>
      </c>
      <c r="M23" s="40">
        <v>14.96</v>
      </c>
      <c r="N23" s="40">
        <v>547.20000000000005</v>
      </c>
      <c r="O23" s="40">
        <v>0</v>
      </c>
      <c r="P23" s="40">
        <v>0.5</v>
      </c>
      <c r="Q23" s="40">
        <v>29.03</v>
      </c>
      <c r="R23" s="38"/>
      <c r="S23" s="38"/>
      <c r="T23" s="38"/>
      <c r="U23" s="38"/>
    </row>
    <row r="24" spans="1:21" customFormat="1">
      <c r="A24" s="39" t="s">
        <v>603</v>
      </c>
      <c r="B24" s="40">
        <v>1.51</v>
      </c>
      <c r="C24" s="40">
        <v>24.42</v>
      </c>
      <c r="D24" s="40">
        <v>14.47</v>
      </c>
      <c r="E24" s="40">
        <v>15.51</v>
      </c>
      <c r="F24" s="40">
        <v>41.81</v>
      </c>
      <c r="G24" s="10" t="s">
        <v>12</v>
      </c>
      <c r="H24" s="10" t="s">
        <v>12</v>
      </c>
      <c r="I24" s="40">
        <v>19.46</v>
      </c>
      <c r="J24" s="40">
        <v>5.2</v>
      </c>
      <c r="K24" s="40">
        <v>220.71</v>
      </c>
      <c r="L24" s="40">
        <v>43.08</v>
      </c>
      <c r="M24" s="40">
        <v>15.41</v>
      </c>
      <c r="N24" s="40">
        <v>440.5</v>
      </c>
      <c r="O24" s="40">
        <v>0</v>
      </c>
      <c r="P24" s="40">
        <v>0.56999999999999995</v>
      </c>
      <c r="Q24" s="40">
        <v>28.8</v>
      </c>
      <c r="R24" s="38"/>
      <c r="S24" s="38"/>
      <c r="T24" s="38"/>
      <c r="U24" s="38"/>
    </row>
    <row r="25" spans="1:21" customFormat="1">
      <c r="A25" s="39" t="s">
        <v>604</v>
      </c>
      <c r="B25" s="40">
        <v>1.54</v>
      </c>
      <c r="C25" s="40">
        <v>23.95</v>
      </c>
      <c r="D25" s="40">
        <v>14.26</v>
      </c>
      <c r="E25" s="40">
        <v>7.3</v>
      </c>
      <c r="F25" s="40">
        <v>31.54</v>
      </c>
      <c r="G25" s="40">
        <v>68.8</v>
      </c>
      <c r="H25" s="40">
        <v>15.92</v>
      </c>
      <c r="I25" s="40">
        <v>20.37</v>
      </c>
      <c r="J25" s="40">
        <v>1.68</v>
      </c>
      <c r="K25" s="40">
        <v>232.98</v>
      </c>
      <c r="L25" s="40">
        <v>42.59</v>
      </c>
      <c r="M25" s="40">
        <v>15.14</v>
      </c>
      <c r="N25" s="40">
        <v>282.39999999999998</v>
      </c>
      <c r="O25" s="40">
        <v>0</v>
      </c>
      <c r="P25" s="40">
        <v>0.47</v>
      </c>
      <c r="Q25" s="40">
        <v>28.71</v>
      </c>
      <c r="R25" s="38"/>
      <c r="S25" s="38"/>
      <c r="T25" s="38"/>
      <c r="U25" s="38"/>
    </row>
    <row r="26" spans="1:21" customFormat="1">
      <c r="A26" s="39" t="s">
        <v>605</v>
      </c>
      <c r="B26" s="40">
        <v>1.52</v>
      </c>
      <c r="C26" s="40">
        <v>24.71</v>
      </c>
      <c r="D26" s="40">
        <v>14.59</v>
      </c>
      <c r="E26" s="40">
        <v>13.83</v>
      </c>
      <c r="F26" s="40">
        <v>37.93</v>
      </c>
      <c r="G26" s="40">
        <v>68.59</v>
      </c>
      <c r="H26" s="40">
        <v>18.73</v>
      </c>
      <c r="I26" s="40">
        <v>14.96</v>
      </c>
      <c r="J26" s="40">
        <v>0.98</v>
      </c>
      <c r="K26" s="40">
        <v>222.15</v>
      </c>
      <c r="L26" s="40">
        <v>41.67</v>
      </c>
      <c r="M26" s="40">
        <v>16.84</v>
      </c>
      <c r="N26" s="40">
        <v>123.4</v>
      </c>
      <c r="O26" s="40">
        <v>0</v>
      </c>
      <c r="P26" s="40">
        <v>0.47</v>
      </c>
      <c r="Q26" s="40">
        <v>28.7</v>
      </c>
      <c r="R26" s="38"/>
      <c r="S26" s="38"/>
      <c r="T26" s="38"/>
      <c r="U26" s="38"/>
    </row>
    <row r="27" spans="1:21" customFormat="1">
      <c r="A27" s="39" t="s">
        <v>606</v>
      </c>
      <c r="B27" s="40">
        <v>1.74</v>
      </c>
      <c r="C27" s="40">
        <v>21.8</v>
      </c>
      <c r="D27" s="40">
        <v>13.38</v>
      </c>
      <c r="E27" s="40">
        <v>15.52</v>
      </c>
      <c r="F27" s="40">
        <v>39.869999999999997</v>
      </c>
      <c r="G27" s="40">
        <v>66.84</v>
      </c>
      <c r="H27" s="40">
        <v>19.43</v>
      </c>
      <c r="I27" s="40">
        <v>11.3</v>
      </c>
      <c r="J27" s="40">
        <v>0.91</v>
      </c>
      <c r="K27" s="40">
        <v>267</v>
      </c>
      <c r="L27" s="40">
        <v>40.049999999999997</v>
      </c>
      <c r="M27" s="40">
        <v>18.32</v>
      </c>
      <c r="N27" s="40">
        <v>30.6</v>
      </c>
      <c r="O27" s="40">
        <v>0</v>
      </c>
      <c r="P27" s="40">
        <v>0.51</v>
      </c>
      <c r="Q27" s="40">
        <v>28.77</v>
      </c>
      <c r="R27" s="38"/>
      <c r="S27" s="38"/>
      <c r="T27" s="38"/>
      <c r="U27" s="38"/>
    </row>
    <row r="28" spans="1:21" customFormat="1">
      <c r="A28" s="39" t="s">
        <v>607</v>
      </c>
      <c r="B28" s="40">
        <v>4.83</v>
      </c>
      <c r="C28" s="40">
        <v>38.090000000000003</v>
      </c>
      <c r="D28" s="40">
        <v>23.17</v>
      </c>
      <c r="E28" s="40">
        <v>16.57</v>
      </c>
      <c r="F28" s="40">
        <v>28.14</v>
      </c>
      <c r="G28" s="40">
        <v>66.58</v>
      </c>
      <c r="H28" s="40">
        <v>21.01</v>
      </c>
      <c r="I28" s="40">
        <v>11.42</v>
      </c>
      <c r="J28" s="40">
        <v>0.51</v>
      </c>
      <c r="K28" s="40">
        <v>240.93</v>
      </c>
      <c r="L28" s="40">
        <v>38.19</v>
      </c>
      <c r="M28" s="40">
        <v>15.38</v>
      </c>
      <c r="N28" s="40">
        <v>22</v>
      </c>
      <c r="O28" s="40">
        <v>0</v>
      </c>
      <c r="P28" s="40">
        <v>0.69</v>
      </c>
      <c r="Q28" s="40">
        <v>28.17</v>
      </c>
      <c r="R28" s="38"/>
      <c r="S28" s="38"/>
      <c r="T28" s="38"/>
      <c r="U28" s="38"/>
    </row>
    <row r="29" spans="1:21" customFormat="1">
      <c r="A29" s="39" t="s">
        <v>608</v>
      </c>
      <c r="B29" s="40">
        <v>5.26</v>
      </c>
      <c r="C29" s="40">
        <v>40.1</v>
      </c>
      <c r="D29" s="40">
        <v>25.85</v>
      </c>
      <c r="E29" s="40">
        <v>16.13</v>
      </c>
      <c r="F29" s="40">
        <v>21.72</v>
      </c>
      <c r="G29" s="40">
        <v>67.61</v>
      </c>
      <c r="H29" s="40">
        <v>22.77</v>
      </c>
      <c r="I29" s="40">
        <v>15.96</v>
      </c>
      <c r="J29" s="40">
        <v>0.7</v>
      </c>
      <c r="K29" s="40">
        <v>236.8</v>
      </c>
      <c r="L29" s="40">
        <v>37.19</v>
      </c>
      <c r="M29" s="40">
        <v>16.989999999999998</v>
      </c>
      <c r="N29" s="40">
        <v>22.3</v>
      </c>
      <c r="O29" s="40">
        <v>0</v>
      </c>
      <c r="P29" s="40">
        <v>0.78</v>
      </c>
      <c r="Q29" s="40">
        <v>27.21</v>
      </c>
      <c r="R29" s="38"/>
      <c r="S29" s="38"/>
      <c r="T29" s="38"/>
      <c r="U29" s="38"/>
    </row>
    <row r="30" spans="1:21" customFormat="1">
      <c r="A30" s="39" t="s">
        <v>609</v>
      </c>
      <c r="B30" s="40">
        <v>6.91</v>
      </c>
      <c r="C30" s="40">
        <v>37.75</v>
      </c>
      <c r="D30" s="40">
        <v>25.18</v>
      </c>
      <c r="E30" s="40">
        <v>16.62</v>
      </c>
      <c r="F30" s="40">
        <v>17.73</v>
      </c>
      <c r="G30" s="40">
        <v>76.900000000000006</v>
      </c>
      <c r="H30" s="40">
        <v>27.21</v>
      </c>
      <c r="I30" s="40">
        <v>16.87</v>
      </c>
      <c r="J30" s="40">
        <v>0.57999999999999996</v>
      </c>
      <c r="K30" s="40">
        <v>232.76</v>
      </c>
      <c r="L30" s="40">
        <v>35.82</v>
      </c>
      <c r="M30" s="40">
        <v>18.18</v>
      </c>
      <c r="N30" s="40">
        <v>21.8</v>
      </c>
      <c r="O30" s="40">
        <v>0</v>
      </c>
      <c r="P30" s="40">
        <v>0.75</v>
      </c>
      <c r="Q30" s="40">
        <v>27.44</v>
      </c>
      <c r="R30" s="38"/>
      <c r="S30" s="38"/>
      <c r="T30" s="38"/>
      <c r="U30" s="38"/>
    </row>
    <row r="31" spans="1:21" customFormat="1">
      <c r="A31" s="39" t="s">
        <v>610</v>
      </c>
      <c r="B31" s="40">
        <v>6.97</v>
      </c>
      <c r="C31" s="40">
        <v>37.99</v>
      </c>
      <c r="D31" s="40">
        <v>26.12</v>
      </c>
      <c r="E31" s="40">
        <v>16.12</v>
      </c>
      <c r="F31" s="40">
        <v>23.1</v>
      </c>
      <c r="G31" s="40">
        <v>88.87</v>
      </c>
      <c r="H31" s="40">
        <v>29.19</v>
      </c>
      <c r="I31" s="40">
        <v>17.66</v>
      </c>
      <c r="J31" s="40">
        <v>0.55000000000000004</v>
      </c>
      <c r="K31" s="40">
        <v>203.69</v>
      </c>
      <c r="L31" s="40">
        <v>34.47</v>
      </c>
      <c r="M31" s="40">
        <v>20.9</v>
      </c>
      <c r="N31" s="40">
        <v>22.5</v>
      </c>
      <c r="O31" s="40">
        <v>0</v>
      </c>
      <c r="P31" s="40">
        <v>0.79</v>
      </c>
      <c r="Q31" s="40">
        <v>27.49</v>
      </c>
      <c r="R31" s="38"/>
      <c r="S31" s="38"/>
      <c r="T31" s="38"/>
      <c r="U31" s="38"/>
    </row>
    <row r="32" spans="1:21" customFormat="1">
      <c r="A32" s="39" t="s">
        <v>611</v>
      </c>
      <c r="B32" s="40">
        <v>3.9</v>
      </c>
      <c r="C32" s="40">
        <v>35.74</v>
      </c>
      <c r="D32" s="40">
        <v>22.47</v>
      </c>
      <c r="E32" s="40">
        <v>11.5</v>
      </c>
      <c r="F32" s="40">
        <v>31.06</v>
      </c>
      <c r="G32" s="40">
        <v>88.8</v>
      </c>
      <c r="H32" s="40">
        <v>35.229999999999997</v>
      </c>
      <c r="I32" s="40">
        <v>17.2</v>
      </c>
      <c r="J32" s="40">
        <v>0.97</v>
      </c>
      <c r="K32" s="40">
        <v>214.34</v>
      </c>
      <c r="L32" s="40">
        <v>33.64</v>
      </c>
      <c r="M32" s="40">
        <v>22.64</v>
      </c>
      <c r="N32" s="40">
        <v>22.4</v>
      </c>
      <c r="O32" s="40">
        <v>0</v>
      </c>
      <c r="P32" s="40">
        <v>0.73</v>
      </c>
      <c r="Q32" s="40">
        <v>27.82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1.24</v>
      </c>
      <c r="C34" s="18">
        <f t="shared" si="0"/>
        <v>21.8</v>
      </c>
      <c r="D34" s="18">
        <f t="shared" si="0"/>
        <v>13.38</v>
      </c>
      <c r="E34" s="18">
        <f t="shared" si="0"/>
        <v>3.01</v>
      </c>
      <c r="F34" s="18">
        <f t="shared" si="0"/>
        <v>8.14</v>
      </c>
      <c r="G34" s="18">
        <f t="shared" si="0"/>
        <v>66.58</v>
      </c>
      <c r="H34" s="18">
        <f t="shared" si="0"/>
        <v>15.92</v>
      </c>
      <c r="I34" s="18">
        <f t="shared" si="0"/>
        <v>11.3</v>
      </c>
      <c r="J34" s="18">
        <f t="shared" si="0"/>
        <v>0.51</v>
      </c>
      <c r="K34" s="18">
        <f t="shared" si="0"/>
        <v>165</v>
      </c>
      <c r="L34" s="18">
        <f t="shared" si="0"/>
        <v>30.43</v>
      </c>
      <c r="M34" s="18">
        <f t="shared" si="0"/>
        <v>14.96</v>
      </c>
      <c r="N34" s="18">
        <f t="shared" si="0"/>
        <v>21.8</v>
      </c>
      <c r="O34" s="18">
        <f t="shared" si="0"/>
        <v>0</v>
      </c>
      <c r="P34" s="18">
        <f t="shared" si="0"/>
        <v>0.47</v>
      </c>
      <c r="Q34" s="18">
        <f t="shared" si="0"/>
        <v>27.21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6.97</v>
      </c>
      <c r="C35" s="3">
        <f t="shared" si="1"/>
        <v>43.03</v>
      </c>
      <c r="D35" s="3">
        <f t="shared" si="1"/>
        <v>30.01</v>
      </c>
      <c r="E35" s="3">
        <f t="shared" si="1"/>
        <v>16.62</v>
      </c>
      <c r="F35" s="3">
        <f t="shared" si="1"/>
        <v>77.25</v>
      </c>
      <c r="G35" s="3">
        <f t="shared" si="1"/>
        <v>93.65</v>
      </c>
      <c r="H35" s="3">
        <f t="shared" si="1"/>
        <v>39.1</v>
      </c>
      <c r="I35" s="3">
        <f t="shared" si="1"/>
        <v>20.76</v>
      </c>
      <c r="J35" s="3">
        <f t="shared" si="1"/>
        <v>8.24</v>
      </c>
      <c r="K35" s="3">
        <f t="shared" si="1"/>
        <v>267</v>
      </c>
      <c r="L35" s="3">
        <f t="shared" si="1"/>
        <v>43.13</v>
      </c>
      <c r="M35" s="3">
        <f t="shared" si="1"/>
        <v>36.51</v>
      </c>
      <c r="N35" s="3">
        <f t="shared" si="1"/>
        <v>745.9</v>
      </c>
      <c r="O35" s="3">
        <f t="shared" si="1"/>
        <v>0</v>
      </c>
      <c r="P35" s="3">
        <f t="shared" si="1"/>
        <v>0.79</v>
      </c>
      <c r="Q35" s="3">
        <f t="shared" si="1"/>
        <v>29.03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3.6708333333333338</v>
      </c>
      <c r="C36" s="18">
        <f t="shared" si="2"/>
        <v>34.325833333333335</v>
      </c>
      <c r="D36" s="18">
        <f t="shared" si="2"/>
        <v>22.419166666666666</v>
      </c>
      <c r="E36" s="18">
        <f t="shared" si="2"/>
        <v>10.120416666666667</v>
      </c>
      <c r="F36" s="18">
        <f t="shared" si="2"/>
        <v>28.142499999999998</v>
      </c>
      <c r="G36" s="18">
        <f t="shared" si="2"/>
        <v>79.156666666666638</v>
      </c>
      <c r="H36" s="18">
        <f t="shared" si="2"/>
        <v>30.811904761904771</v>
      </c>
      <c r="I36" s="18">
        <f t="shared" si="2"/>
        <v>16.732916666666664</v>
      </c>
      <c r="J36" s="18">
        <f t="shared" si="2"/>
        <v>4.3487500000000008</v>
      </c>
      <c r="K36" s="18">
        <f t="shared" si="2"/>
        <v>224.01500000000001</v>
      </c>
      <c r="L36" s="18">
        <f t="shared" si="2"/>
        <v>36.527083333333337</v>
      </c>
      <c r="M36" s="18">
        <f t="shared" si="2"/>
        <v>23.482083333333325</v>
      </c>
      <c r="N36" s="18">
        <f t="shared" si="2"/>
        <v>221.96666666666667</v>
      </c>
      <c r="O36" s="18">
        <f t="shared" si="2"/>
        <v>0</v>
      </c>
      <c r="P36" s="18">
        <f t="shared" si="2"/>
        <v>0.62083333333333346</v>
      </c>
      <c r="Q36" s="18">
        <f t="shared" si="2"/>
        <v>28.306666666666672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1.670951087324785</v>
      </c>
      <c r="C37" s="18">
        <f t="shared" ref="C37:Q37" si="3">STDEV(C9:C32)</f>
        <v>6.1375798350721249</v>
      </c>
      <c r="D37" s="18">
        <f t="shared" si="3"/>
        <v>4.2784799379815102</v>
      </c>
      <c r="E37" s="18">
        <f t="shared" si="3"/>
        <v>5.243962556798194</v>
      </c>
      <c r="F37" s="18">
        <f t="shared" si="3"/>
        <v>17.692811669788636</v>
      </c>
      <c r="G37" s="18">
        <f t="shared" si="3"/>
        <v>8.5187324957025314</v>
      </c>
      <c r="H37" s="18">
        <f t="shared" si="3"/>
        <v>7.18789024613453</v>
      </c>
      <c r="I37" s="18">
        <f t="shared" si="3"/>
        <v>2.5571102561913266</v>
      </c>
      <c r="J37" s="18">
        <f t="shared" si="3"/>
        <v>2.6556474892117214</v>
      </c>
      <c r="K37" s="18">
        <f t="shared" si="3"/>
        <v>23.136955381981974</v>
      </c>
      <c r="L37" s="18">
        <f t="shared" si="3"/>
        <v>4.4976626578766137</v>
      </c>
      <c r="M37" s="18">
        <f t="shared" si="3"/>
        <v>7.9431556423106349</v>
      </c>
      <c r="N37" s="18">
        <f t="shared" si="3"/>
        <v>269.32909022342852</v>
      </c>
      <c r="O37" s="18">
        <f t="shared" si="3"/>
        <v>0</v>
      </c>
      <c r="P37" s="18">
        <f t="shared" si="3"/>
        <v>9.0020126574037476E-2</v>
      </c>
      <c r="Q37" s="18">
        <f t="shared" si="3"/>
        <v>0.45717151825266766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COUNT(G9:G32)+3</f>
        <v>24</v>
      </c>
      <c r="H38" s="34">
        <f>COUNT(H9:H32)+3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24/04/2025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612</v>
      </c>
      <c r="B9" s="40">
        <v>4.12</v>
      </c>
      <c r="C9" s="40">
        <v>33.49</v>
      </c>
      <c r="D9" s="40">
        <v>21.45</v>
      </c>
      <c r="E9" s="40">
        <v>6.4</v>
      </c>
      <c r="F9" s="40">
        <v>14.16</v>
      </c>
      <c r="G9" s="40">
        <v>88.04</v>
      </c>
      <c r="H9" s="40">
        <v>35.659999999999997</v>
      </c>
      <c r="I9" s="40">
        <v>15.81</v>
      </c>
      <c r="J9" s="40">
        <v>1.24</v>
      </c>
      <c r="K9" s="40">
        <v>254.05</v>
      </c>
      <c r="L9" s="40">
        <v>32.979999999999997</v>
      </c>
      <c r="M9" s="40">
        <v>25.59</v>
      </c>
      <c r="N9" s="40">
        <v>22.3</v>
      </c>
      <c r="O9" s="40">
        <v>0</v>
      </c>
      <c r="P9" s="40">
        <v>0.66</v>
      </c>
      <c r="Q9" s="40">
        <v>28.04</v>
      </c>
      <c r="R9" s="38"/>
      <c r="S9" s="38"/>
      <c r="T9" s="38"/>
      <c r="U9" s="38"/>
    </row>
    <row r="10" spans="1:21" customFormat="1">
      <c r="A10" s="39" t="s">
        <v>613</v>
      </c>
      <c r="B10" s="40">
        <v>3.85</v>
      </c>
      <c r="C10" s="40">
        <v>30.89</v>
      </c>
      <c r="D10" s="40">
        <v>19.91</v>
      </c>
      <c r="E10" s="40">
        <v>4.9000000000000004</v>
      </c>
      <c r="F10" s="40">
        <v>11.76</v>
      </c>
      <c r="G10" s="40">
        <v>87.76</v>
      </c>
      <c r="H10" s="40">
        <v>35.46</v>
      </c>
      <c r="I10" s="40">
        <v>16.02</v>
      </c>
      <c r="J10" s="40">
        <v>1.22</v>
      </c>
      <c r="K10" s="40">
        <v>253.17</v>
      </c>
      <c r="L10" s="40">
        <v>32.979999999999997</v>
      </c>
      <c r="M10" s="40">
        <v>27.93</v>
      </c>
      <c r="N10" s="40">
        <v>22.4</v>
      </c>
      <c r="O10" s="40">
        <v>0</v>
      </c>
      <c r="P10" s="40">
        <v>0.64</v>
      </c>
      <c r="Q10" s="40">
        <v>28.42</v>
      </c>
      <c r="R10" s="38"/>
      <c r="S10" s="38"/>
      <c r="T10" s="38"/>
      <c r="U10" s="38"/>
    </row>
    <row r="11" spans="1:21" customFormat="1">
      <c r="A11" s="39" t="s">
        <v>614</v>
      </c>
      <c r="B11" s="40">
        <v>2.74</v>
      </c>
      <c r="C11" s="40">
        <v>26.52</v>
      </c>
      <c r="D11" s="40">
        <v>16.73</v>
      </c>
      <c r="E11" s="40">
        <v>4.29</v>
      </c>
      <c r="F11" s="40">
        <v>21.33</v>
      </c>
      <c r="G11" s="40">
        <v>83.37</v>
      </c>
      <c r="H11" s="40">
        <v>35.79</v>
      </c>
      <c r="I11" s="40">
        <v>14.8</v>
      </c>
      <c r="J11" s="40">
        <v>1.17</v>
      </c>
      <c r="K11" s="40">
        <v>248.05</v>
      </c>
      <c r="L11" s="40">
        <v>32.74</v>
      </c>
      <c r="M11" s="40">
        <v>30.9</v>
      </c>
      <c r="N11" s="40">
        <v>22.5</v>
      </c>
      <c r="O11" s="40">
        <v>0</v>
      </c>
      <c r="P11" s="40">
        <v>0.59</v>
      </c>
      <c r="Q11" s="40">
        <v>28.61</v>
      </c>
      <c r="R11" s="38"/>
      <c r="S11" s="38"/>
      <c r="T11" s="38"/>
      <c r="U11" s="38"/>
    </row>
    <row r="12" spans="1:21" customFormat="1">
      <c r="A12" s="39" t="s">
        <v>615</v>
      </c>
      <c r="B12" s="40">
        <v>2.12</v>
      </c>
      <c r="C12" s="40">
        <v>24.88</v>
      </c>
      <c r="D12" s="40">
        <v>15.35</v>
      </c>
      <c r="E12" s="40">
        <v>5.04</v>
      </c>
      <c r="F12" s="40">
        <v>25.94</v>
      </c>
      <c r="G12" s="40">
        <v>74.489999999999995</v>
      </c>
      <c r="H12" s="40">
        <v>35.590000000000003</v>
      </c>
      <c r="I12" s="40">
        <v>12.26</v>
      </c>
      <c r="J12" s="40">
        <v>1.06</v>
      </c>
      <c r="K12" s="40">
        <v>245.05</v>
      </c>
      <c r="L12" s="40">
        <v>32.770000000000003</v>
      </c>
      <c r="M12" s="40">
        <v>34.590000000000003</v>
      </c>
      <c r="N12" s="40">
        <v>22.5</v>
      </c>
      <c r="O12" s="40">
        <v>0</v>
      </c>
      <c r="P12" s="40">
        <v>0.53</v>
      </c>
      <c r="Q12" s="40">
        <v>28.75</v>
      </c>
      <c r="R12" s="38"/>
      <c r="S12" s="38"/>
      <c r="T12" s="38"/>
      <c r="U12" s="38"/>
    </row>
    <row r="13" spans="1:21" customFormat="1">
      <c r="A13" s="39" t="s">
        <v>616</v>
      </c>
      <c r="B13" s="40">
        <v>2.39</v>
      </c>
      <c r="C13" s="40">
        <v>25.83</v>
      </c>
      <c r="D13" s="40">
        <v>16.09</v>
      </c>
      <c r="E13" s="40">
        <v>6.37</v>
      </c>
      <c r="F13" s="40">
        <v>13.95</v>
      </c>
      <c r="G13" s="40">
        <v>66.28</v>
      </c>
      <c r="H13" s="40">
        <v>32.770000000000003</v>
      </c>
      <c r="I13" s="40">
        <v>11.84</v>
      </c>
      <c r="J13" s="40">
        <v>1.83</v>
      </c>
      <c r="K13" s="40">
        <v>246.87</v>
      </c>
      <c r="L13" s="40">
        <v>33.18</v>
      </c>
      <c r="M13" s="40">
        <v>36.89</v>
      </c>
      <c r="N13" s="40">
        <v>22.4</v>
      </c>
      <c r="O13" s="40">
        <v>0</v>
      </c>
      <c r="P13" s="40">
        <v>0.56000000000000005</v>
      </c>
      <c r="Q13" s="40">
        <v>28.66</v>
      </c>
      <c r="R13" s="38"/>
      <c r="S13" s="38"/>
      <c r="T13" s="38"/>
      <c r="U13" s="38"/>
    </row>
    <row r="14" spans="1:21" customFormat="1">
      <c r="A14" s="39" t="s">
        <v>617</v>
      </c>
      <c r="B14" s="40">
        <v>3.41</v>
      </c>
      <c r="C14" s="40">
        <v>23.79</v>
      </c>
      <c r="D14" s="40">
        <v>15.33</v>
      </c>
      <c r="E14" s="40">
        <v>4.33</v>
      </c>
      <c r="F14" s="40">
        <v>19.47</v>
      </c>
      <c r="G14" s="40">
        <v>62.26</v>
      </c>
      <c r="H14" s="40">
        <v>30.73</v>
      </c>
      <c r="I14" s="40">
        <v>14.35</v>
      </c>
      <c r="J14" s="40">
        <v>1.38</v>
      </c>
      <c r="K14" s="40">
        <v>245.01</v>
      </c>
      <c r="L14" s="40">
        <v>33.479999999999997</v>
      </c>
      <c r="M14" s="40">
        <v>38.9</v>
      </c>
      <c r="N14" s="40">
        <v>33</v>
      </c>
      <c r="O14" s="40">
        <v>0</v>
      </c>
      <c r="P14" s="40">
        <v>0.57999999999999996</v>
      </c>
      <c r="Q14" s="40">
        <v>28.71</v>
      </c>
      <c r="R14" s="38"/>
      <c r="S14" s="38"/>
      <c r="T14" s="38"/>
      <c r="U14" s="38"/>
    </row>
    <row r="15" spans="1:21" customFormat="1">
      <c r="A15" s="39" t="s">
        <v>618</v>
      </c>
      <c r="B15" s="40">
        <v>2.6</v>
      </c>
      <c r="C15" s="40">
        <v>24.3</v>
      </c>
      <c r="D15" s="40">
        <v>15.31</v>
      </c>
      <c r="E15" s="40">
        <v>3.88</v>
      </c>
      <c r="F15" s="40">
        <v>13.34</v>
      </c>
      <c r="G15" s="40">
        <v>62</v>
      </c>
      <c r="H15" s="40">
        <v>26.25</v>
      </c>
      <c r="I15" s="40">
        <v>14.61</v>
      </c>
      <c r="J15" s="40">
        <v>1.17</v>
      </c>
      <c r="K15" s="40">
        <v>251.11</v>
      </c>
      <c r="L15" s="40">
        <v>31.53</v>
      </c>
      <c r="M15" s="40">
        <v>35.61</v>
      </c>
      <c r="N15" s="40">
        <v>66.400000000000006</v>
      </c>
      <c r="O15" s="40">
        <v>0</v>
      </c>
      <c r="P15" s="40">
        <v>0.54</v>
      </c>
      <c r="Q15" s="40">
        <v>28.68</v>
      </c>
      <c r="R15" s="38"/>
      <c r="S15" s="38"/>
      <c r="T15" s="38"/>
      <c r="U15" s="38"/>
    </row>
    <row r="16" spans="1:21" customFormat="1">
      <c r="A16" s="39" t="s">
        <v>619</v>
      </c>
      <c r="B16" s="40">
        <v>2.95</v>
      </c>
      <c r="C16" s="40">
        <v>25.08</v>
      </c>
      <c r="D16" s="40">
        <v>16.149999999999999</v>
      </c>
      <c r="E16" s="40">
        <v>3.55</v>
      </c>
      <c r="F16" s="40">
        <v>7.31</v>
      </c>
      <c r="G16" s="40">
        <v>59.76</v>
      </c>
      <c r="H16" s="40">
        <v>26.45</v>
      </c>
      <c r="I16" s="40">
        <v>12.7</v>
      </c>
      <c r="J16" s="40">
        <v>1.2</v>
      </c>
      <c r="K16" s="40">
        <v>254.97</v>
      </c>
      <c r="L16" s="40">
        <v>33.090000000000003</v>
      </c>
      <c r="M16" s="40">
        <v>39.42</v>
      </c>
      <c r="N16" s="40">
        <v>112.3</v>
      </c>
      <c r="O16" s="40">
        <v>0</v>
      </c>
      <c r="P16" s="40">
        <v>0.54</v>
      </c>
      <c r="Q16" s="40">
        <v>28.57</v>
      </c>
      <c r="R16" s="38"/>
      <c r="S16" s="38"/>
      <c r="T16" s="38"/>
      <c r="U16" s="38"/>
    </row>
    <row r="17" spans="1:21" customFormat="1">
      <c r="A17" s="39" t="s">
        <v>620</v>
      </c>
      <c r="B17" s="40">
        <v>3.1</v>
      </c>
      <c r="C17" s="40">
        <v>25.81</v>
      </c>
      <c r="D17" s="40">
        <v>16.52</v>
      </c>
      <c r="E17" s="40">
        <v>3.82</v>
      </c>
      <c r="F17" s="40">
        <v>8.11</v>
      </c>
      <c r="G17" s="40">
        <v>65.45</v>
      </c>
      <c r="H17" s="40">
        <v>28.02</v>
      </c>
      <c r="I17" s="40">
        <v>12.77</v>
      </c>
      <c r="J17" s="40">
        <v>1.87</v>
      </c>
      <c r="K17" s="40">
        <v>240.81</v>
      </c>
      <c r="L17" s="40">
        <v>34.86</v>
      </c>
      <c r="M17" s="40">
        <v>38.11</v>
      </c>
      <c r="N17" s="40">
        <v>179.7</v>
      </c>
      <c r="O17" s="40">
        <v>0</v>
      </c>
      <c r="P17" s="40">
        <v>0.57999999999999996</v>
      </c>
      <c r="Q17" s="40">
        <v>28.53</v>
      </c>
      <c r="R17" s="38"/>
      <c r="S17" s="38"/>
      <c r="T17" s="38"/>
      <c r="U17" s="38"/>
    </row>
    <row r="18" spans="1:21" customFormat="1">
      <c r="A18" s="39" t="s">
        <v>621</v>
      </c>
      <c r="B18" s="40">
        <v>2.5499999999999998</v>
      </c>
      <c r="C18" s="40">
        <v>27.82</v>
      </c>
      <c r="D18" s="40">
        <v>17.170000000000002</v>
      </c>
      <c r="E18" s="40">
        <v>3.55</v>
      </c>
      <c r="F18" s="40">
        <v>16</v>
      </c>
      <c r="G18" s="40">
        <v>65.3</v>
      </c>
      <c r="H18" s="40">
        <v>28</v>
      </c>
      <c r="I18" s="40">
        <v>13.09</v>
      </c>
      <c r="J18" s="40">
        <v>2.08</v>
      </c>
      <c r="K18" s="40">
        <v>244.39</v>
      </c>
      <c r="L18" s="40">
        <v>36.46</v>
      </c>
      <c r="M18" s="40">
        <v>33.74</v>
      </c>
      <c r="N18" s="40">
        <v>610.4</v>
      </c>
      <c r="O18" s="40">
        <v>0</v>
      </c>
      <c r="P18" s="40">
        <v>0.67</v>
      </c>
      <c r="Q18" s="40">
        <v>28.54</v>
      </c>
      <c r="R18" s="38"/>
      <c r="S18" s="38"/>
      <c r="T18" s="38"/>
      <c r="U18" s="38"/>
    </row>
    <row r="19" spans="1:21" customFormat="1">
      <c r="A19" s="39" t="s">
        <v>622</v>
      </c>
      <c r="B19" s="40">
        <v>2</v>
      </c>
      <c r="C19" s="40">
        <v>29.06</v>
      </c>
      <c r="D19" s="40">
        <v>17.420000000000002</v>
      </c>
      <c r="E19" s="40">
        <v>8.27</v>
      </c>
      <c r="F19" s="40">
        <v>22.1</v>
      </c>
      <c r="G19" s="40">
        <v>73.66</v>
      </c>
      <c r="H19" s="40">
        <v>27.95</v>
      </c>
      <c r="I19" s="40">
        <v>15.99</v>
      </c>
      <c r="J19" s="40">
        <v>1.47</v>
      </c>
      <c r="K19" s="40">
        <v>220.4</v>
      </c>
      <c r="L19" s="40">
        <v>38.909999999999997</v>
      </c>
      <c r="M19" s="40">
        <v>28.61</v>
      </c>
      <c r="N19" s="40">
        <v>792.3</v>
      </c>
      <c r="O19" s="40">
        <v>0</v>
      </c>
      <c r="P19" s="40">
        <v>0.69</v>
      </c>
      <c r="Q19" s="40">
        <v>28.51</v>
      </c>
      <c r="R19" s="38"/>
      <c r="S19" s="38"/>
      <c r="T19" s="38"/>
      <c r="U19" s="38"/>
    </row>
    <row r="20" spans="1:21" customFormat="1">
      <c r="A20" s="39" t="s">
        <v>623</v>
      </c>
      <c r="B20" s="40">
        <v>1.78</v>
      </c>
      <c r="C20" s="40">
        <v>28.14</v>
      </c>
      <c r="D20" s="40">
        <v>16.78</v>
      </c>
      <c r="E20" s="40">
        <v>13.1</v>
      </c>
      <c r="F20" s="40">
        <v>37.99</v>
      </c>
      <c r="G20" s="40">
        <v>73.2</v>
      </c>
      <c r="H20" s="40">
        <v>30.06</v>
      </c>
      <c r="I20" s="40">
        <v>15.92</v>
      </c>
      <c r="J20" s="40">
        <v>1.02</v>
      </c>
      <c r="K20" s="40">
        <v>255.26</v>
      </c>
      <c r="L20" s="40">
        <v>41.13</v>
      </c>
      <c r="M20" s="40">
        <v>18.95</v>
      </c>
      <c r="N20" s="40">
        <v>794.3</v>
      </c>
      <c r="O20" s="40">
        <v>0</v>
      </c>
      <c r="P20" s="40">
        <v>0.69</v>
      </c>
      <c r="Q20" s="40">
        <v>28.61</v>
      </c>
      <c r="R20" s="38"/>
      <c r="S20" s="38"/>
      <c r="T20" s="38"/>
      <c r="U20" s="38"/>
    </row>
    <row r="21" spans="1:21" customFormat="1">
      <c r="A21" s="39" t="s">
        <v>624</v>
      </c>
      <c r="B21" s="40">
        <v>2.11</v>
      </c>
      <c r="C21" s="40">
        <v>29.09</v>
      </c>
      <c r="D21" s="40">
        <v>17.38</v>
      </c>
      <c r="E21" s="40">
        <v>8.0399999999999991</v>
      </c>
      <c r="F21" s="40">
        <v>44.36</v>
      </c>
      <c r="G21" s="40">
        <v>67.790000000000006</v>
      </c>
      <c r="H21" s="40">
        <v>31.09</v>
      </c>
      <c r="I21" s="40">
        <v>17.5</v>
      </c>
      <c r="J21" s="40">
        <v>1.41</v>
      </c>
      <c r="K21" s="40">
        <v>263.95999999999998</v>
      </c>
      <c r="L21" s="40">
        <v>42.51</v>
      </c>
      <c r="M21" s="40">
        <v>13.7</v>
      </c>
      <c r="N21" s="40">
        <v>686</v>
      </c>
      <c r="O21" s="40">
        <v>0</v>
      </c>
      <c r="P21" s="40">
        <v>0.67</v>
      </c>
      <c r="Q21" s="40">
        <v>28.6</v>
      </c>
      <c r="R21" s="38"/>
      <c r="S21" s="38"/>
      <c r="T21" s="38"/>
      <c r="U21" s="38"/>
    </row>
    <row r="22" spans="1:21" customFormat="1">
      <c r="A22" s="39" t="s">
        <v>625</v>
      </c>
      <c r="B22" s="40">
        <v>2.2799999999999998</v>
      </c>
      <c r="C22" s="40">
        <v>27.26</v>
      </c>
      <c r="D22" s="40">
        <v>16.75</v>
      </c>
      <c r="E22" s="40">
        <v>6.77</v>
      </c>
      <c r="F22" s="40">
        <v>36.229999999999997</v>
      </c>
      <c r="G22" s="40">
        <v>67.709999999999994</v>
      </c>
      <c r="H22" s="40">
        <v>30.84</v>
      </c>
      <c r="I22" s="40">
        <v>14.77</v>
      </c>
      <c r="J22" s="40">
        <v>1.73</v>
      </c>
      <c r="K22" s="40">
        <v>250.4</v>
      </c>
      <c r="L22" s="40">
        <v>42.97</v>
      </c>
      <c r="M22" s="40">
        <v>8.57</v>
      </c>
      <c r="N22" s="40">
        <v>656.5</v>
      </c>
      <c r="O22" s="40">
        <v>0</v>
      </c>
      <c r="P22" s="40">
        <v>0.57999999999999996</v>
      </c>
      <c r="Q22" s="40">
        <v>28.67</v>
      </c>
      <c r="R22" s="38"/>
      <c r="S22" s="38"/>
      <c r="T22" s="38"/>
      <c r="U22" s="38"/>
    </row>
    <row r="23" spans="1:21" customFormat="1">
      <c r="A23" s="39" t="s">
        <v>626</v>
      </c>
      <c r="B23" s="40">
        <v>2.2999999999999998</v>
      </c>
      <c r="C23" s="40">
        <v>25.68</v>
      </c>
      <c r="D23" s="40">
        <v>15.92</v>
      </c>
      <c r="E23" s="40">
        <v>6.31</v>
      </c>
      <c r="F23" s="40">
        <v>33.69</v>
      </c>
      <c r="G23" s="40">
        <v>66.41</v>
      </c>
      <c r="H23" s="40">
        <v>31.08</v>
      </c>
      <c r="I23" s="40">
        <v>14.2</v>
      </c>
      <c r="J23" s="40">
        <v>1.0900000000000001</v>
      </c>
      <c r="K23" s="40">
        <v>273.74</v>
      </c>
      <c r="L23" s="40">
        <v>43.86</v>
      </c>
      <c r="M23" s="40">
        <v>7.5</v>
      </c>
      <c r="N23" s="40">
        <v>559.29999999999995</v>
      </c>
      <c r="O23" s="40">
        <v>0</v>
      </c>
      <c r="P23" s="40">
        <v>0.51</v>
      </c>
      <c r="Q23" s="40">
        <v>28.73</v>
      </c>
      <c r="R23" s="38"/>
      <c r="S23" s="38"/>
      <c r="T23" s="38"/>
      <c r="U23" s="38"/>
    </row>
    <row r="24" spans="1:21" customFormat="1">
      <c r="A24" s="39" t="s">
        <v>627</v>
      </c>
      <c r="B24" s="40">
        <v>2.06</v>
      </c>
      <c r="C24" s="40">
        <v>24.96</v>
      </c>
      <c r="D24" s="40">
        <v>15.37</v>
      </c>
      <c r="E24" s="40">
        <v>6.37</v>
      </c>
      <c r="F24" s="40">
        <v>25.77</v>
      </c>
      <c r="G24" s="40">
        <v>63.79</v>
      </c>
      <c r="H24" s="40">
        <v>30.94</v>
      </c>
      <c r="I24" s="40">
        <v>12.12</v>
      </c>
      <c r="J24" s="40">
        <v>2.08</v>
      </c>
      <c r="K24" s="40">
        <v>258.20999999999998</v>
      </c>
      <c r="L24" s="40">
        <v>43.48</v>
      </c>
      <c r="M24" s="40">
        <v>8.57</v>
      </c>
      <c r="N24" s="40">
        <v>475.9</v>
      </c>
      <c r="O24" s="40">
        <v>0</v>
      </c>
      <c r="P24" s="40">
        <v>0.47</v>
      </c>
      <c r="Q24" s="40">
        <v>28.78</v>
      </c>
      <c r="R24" s="38"/>
      <c r="S24" s="38"/>
      <c r="T24" s="38"/>
      <c r="U24" s="38"/>
    </row>
    <row r="25" spans="1:21" customFormat="1">
      <c r="A25" s="39" t="s">
        <v>628</v>
      </c>
      <c r="B25" s="40">
        <v>1.85</v>
      </c>
      <c r="C25" s="40">
        <v>24.32</v>
      </c>
      <c r="D25" s="40">
        <v>14.86</v>
      </c>
      <c r="E25" s="40">
        <v>6.75</v>
      </c>
      <c r="F25" s="40">
        <v>26.44</v>
      </c>
      <c r="G25" s="40">
        <v>60.1</v>
      </c>
      <c r="H25" s="40">
        <v>28.72</v>
      </c>
      <c r="I25" s="40">
        <v>11.49</v>
      </c>
      <c r="J25" s="40">
        <v>1.62</v>
      </c>
      <c r="K25" s="40">
        <v>238.29</v>
      </c>
      <c r="L25" s="40">
        <v>43.2</v>
      </c>
      <c r="M25" s="40">
        <v>8.8699999999999992</v>
      </c>
      <c r="N25" s="40">
        <v>351.7</v>
      </c>
      <c r="O25" s="40">
        <v>0</v>
      </c>
      <c r="P25" s="40">
        <v>0.44</v>
      </c>
      <c r="Q25" s="40">
        <v>28.79</v>
      </c>
      <c r="R25" s="38"/>
      <c r="S25" s="38"/>
      <c r="T25" s="38"/>
      <c r="U25" s="38"/>
    </row>
    <row r="26" spans="1:21" customFormat="1">
      <c r="A26" s="39" t="s">
        <v>629</v>
      </c>
      <c r="B26" s="40">
        <v>2.5</v>
      </c>
      <c r="C26" s="40">
        <v>26.63</v>
      </c>
      <c r="D26" s="40">
        <v>16.46</v>
      </c>
      <c r="E26" s="40">
        <v>4.79</v>
      </c>
      <c r="F26" s="40">
        <v>16.02</v>
      </c>
      <c r="G26" s="40">
        <v>56.31</v>
      </c>
      <c r="H26" s="40">
        <v>25.8</v>
      </c>
      <c r="I26" s="40">
        <v>10.5</v>
      </c>
      <c r="J26" s="40">
        <v>1.89</v>
      </c>
      <c r="K26" s="40">
        <v>252.61</v>
      </c>
      <c r="L26" s="40">
        <v>42.38</v>
      </c>
      <c r="M26" s="40">
        <v>6.07</v>
      </c>
      <c r="N26" s="40">
        <v>169.2</v>
      </c>
      <c r="O26" s="40">
        <v>0</v>
      </c>
      <c r="P26" s="40">
        <v>0.47</v>
      </c>
      <c r="Q26" s="40">
        <v>28.75</v>
      </c>
      <c r="R26" s="38"/>
      <c r="S26" s="38"/>
      <c r="T26" s="38"/>
      <c r="U26" s="38"/>
    </row>
    <row r="27" spans="1:21" customFormat="1">
      <c r="A27" s="39" t="s">
        <v>630</v>
      </c>
      <c r="B27" s="40">
        <v>4.32</v>
      </c>
      <c r="C27" s="40">
        <v>32.15</v>
      </c>
      <c r="D27" s="40">
        <v>20.94</v>
      </c>
      <c r="E27" s="40">
        <v>7.22</v>
      </c>
      <c r="F27" s="40">
        <v>29.04</v>
      </c>
      <c r="G27" s="40">
        <v>54.69</v>
      </c>
      <c r="H27" s="40">
        <v>22.26</v>
      </c>
      <c r="I27" s="40">
        <v>11.05</v>
      </c>
      <c r="J27" s="40">
        <v>1.46</v>
      </c>
      <c r="K27" s="40">
        <v>250.71</v>
      </c>
      <c r="L27" s="40">
        <v>40.32</v>
      </c>
      <c r="M27" s="40">
        <v>9.3000000000000007</v>
      </c>
      <c r="N27" s="40">
        <v>29.3</v>
      </c>
      <c r="O27" s="40">
        <v>0</v>
      </c>
      <c r="P27" s="40">
        <v>0.56999999999999995</v>
      </c>
      <c r="Q27" s="40">
        <v>28.54</v>
      </c>
      <c r="R27" s="38"/>
      <c r="S27" s="38"/>
      <c r="T27" s="38"/>
      <c r="U27" s="38"/>
    </row>
    <row r="28" spans="1:21" customFormat="1">
      <c r="A28" s="39" t="s">
        <v>631</v>
      </c>
      <c r="B28" s="40">
        <v>5.92</v>
      </c>
      <c r="C28" s="40">
        <v>40.64</v>
      </c>
      <c r="D28" s="40">
        <v>26.66</v>
      </c>
      <c r="E28" s="40">
        <v>9.69</v>
      </c>
      <c r="F28" s="40">
        <v>29.09</v>
      </c>
      <c r="G28" s="40">
        <v>59.91</v>
      </c>
      <c r="H28" s="40">
        <v>23.54</v>
      </c>
      <c r="I28" s="40">
        <v>12.3</v>
      </c>
      <c r="J28" s="40">
        <v>0.8</v>
      </c>
      <c r="K28" s="40">
        <v>249.02</v>
      </c>
      <c r="L28" s="40">
        <v>38.17</v>
      </c>
      <c r="M28" s="40">
        <v>10.26</v>
      </c>
      <c r="N28" s="40">
        <v>21.7</v>
      </c>
      <c r="O28" s="40">
        <v>0</v>
      </c>
      <c r="P28" s="40">
        <v>0.67</v>
      </c>
      <c r="Q28" s="40">
        <v>28.06</v>
      </c>
      <c r="R28" s="38"/>
      <c r="S28" s="38"/>
      <c r="T28" s="38"/>
      <c r="U28" s="38"/>
    </row>
    <row r="29" spans="1:21" customFormat="1">
      <c r="A29" s="39" t="s">
        <v>632</v>
      </c>
      <c r="B29" s="40">
        <v>3.45</v>
      </c>
      <c r="C29" s="40">
        <v>34.5</v>
      </c>
      <c r="D29" s="40">
        <v>21.47</v>
      </c>
      <c r="E29" s="40">
        <v>5.8</v>
      </c>
      <c r="F29" s="40">
        <v>27.63</v>
      </c>
      <c r="G29" s="40">
        <v>59.92</v>
      </c>
      <c r="H29" s="40">
        <v>23.48</v>
      </c>
      <c r="I29" s="40">
        <v>12.79</v>
      </c>
      <c r="J29" s="40">
        <v>0.75</v>
      </c>
      <c r="K29" s="40">
        <v>230.54</v>
      </c>
      <c r="L29" s="40">
        <v>37.04</v>
      </c>
      <c r="M29" s="40">
        <v>10.08</v>
      </c>
      <c r="N29" s="40">
        <v>21.6</v>
      </c>
      <c r="O29" s="40">
        <v>0</v>
      </c>
      <c r="P29" s="40">
        <v>0.63</v>
      </c>
      <c r="Q29" s="40">
        <v>28.32</v>
      </c>
      <c r="R29" s="38"/>
      <c r="S29" s="38"/>
      <c r="T29" s="38"/>
      <c r="U29" s="38"/>
    </row>
    <row r="30" spans="1:21" customFormat="1">
      <c r="A30" s="39" t="s">
        <v>633</v>
      </c>
      <c r="B30" s="40">
        <v>5.7</v>
      </c>
      <c r="C30" s="40">
        <v>37.61</v>
      </c>
      <c r="D30" s="40">
        <v>24.9</v>
      </c>
      <c r="E30" s="40">
        <v>8.83</v>
      </c>
      <c r="F30" s="40">
        <v>26.72</v>
      </c>
      <c r="G30" s="40">
        <v>61.3</v>
      </c>
      <c r="H30" s="40">
        <v>28.01</v>
      </c>
      <c r="I30" s="40">
        <v>13.6</v>
      </c>
      <c r="J30" s="40">
        <v>0.57999999999999996</v>
      </c>
      <c r="K30" s="40">
        <v>183.83</v>
      </c>
      <c r="L30" s="40">
        <v>35.979999999999997</v>
      </c>
      <c r="M30" s="40">
        <v>13.29</v>
      </c>
      <c r="N30" s="40">
        <v>22</v>
      </c>
      <c r="O30" s="40">
        <v>0</v>
      </c>
      <c r="P30" s="40">
        <v>0.74</v>
      </c>
      <c r="Q30" s="40">
        <v>28.23</v>
      </c>
      <c r="R30" s="38"/>
      <c r="S30" s="38"/>
      <c r="T30" s="38"/>
      <c r="U30" s="38"/>
    </row>
    <row r="31" spans="1:21" customFormat="1">
      <c r="A31" s="39" t="s">
        <v>634</v>
      </c>
      <c r="B31" s="40">
        <v>3.87</v>
      </c>
      <c r="C31" s="40">
        <v>35.94</v>
      </c>
      <c r="D31" s="40">
        <v>22.56</v>
      </c>
      <c r="E31" s="40">
        <v>5.63</v>
      </c>
      <c r="F31" s="40">
        <v>34.04</v>
      </c>
      <c r="G31" s="40">
        <v>73.56</v>
      </c>
      <c r="H31" s="40">
        <v>28.91</v>
      </c>
      <c r="I31" s="40">
        <v>14.4</v>
      </c>
      <c r="J31" s="40">
        <v>0.55000000000000004</v>
      </c>
      <c r="K31" s="40">
        <v>148.13</v>
      </c>
      <c r="L31" s="40">
        <v>34.32</v>
      </c>
      <c r="M31" s="40">
        <v>13.88</v>
      </c>
      <c r="N31" s="40">
        <v>22.2</v>
      </c>
      <c r="O31" s="40">
        <v>0</v>
      </c>
      <c r="P31" s="40">
        <v>0.77</v>
      </c>
      <c r="Q31" s="40">
        <v>28.4</v>
      </c>
      <c r="R31" s="38"/>
      <c r="S31" s="38"/>
      <c r="T31" s="38"/>
      <c r="U31" s="38"/>
    </row>
    <row r="32" spans="1:21" customFormat="1">
      <c r="A32" s="39" t="s">
        <v>635</v>
      </c>
      <c r="B32" s="40">
        <v>2.94</v>
      </c>
      <c r="C32" s="40">
        <v>38.19</v>
      </c>
      <c r="D32" s="40">
        <v>22.69</v>
      </c>
      <c r="E32" s="40">
        <v>6.08</v>
      </c>
      <c r="F32" s="40">
        <v>37.130000000000003</v>
      </c>
      <c r="G32" s="40">
        <v>73.2</v>
      </c>
      <c r="H32" s="40">
        <v>28.89</v>
      </c>
      <c r="I32" s="40">
        <v>12.76</v>
      </c>
      <c r="J32" s="40">
        <v>0.54</v>
      </c>
      <c r="K32" s="40">
        <v>238.51</v>
      </c>
      <c r="L32" s="40">
        <v>33.75</v>
      </c>
      <c r="M32" s="40">
        <v>14.63</v>
      </c>
      <c r="N32" s="40">
        <v>22</v>
      </c>
      <c r="O32" s="40">
        <v>0</v>
      </c>
      <c r="P32" s="40">
        <v>0.63</v>
      </c>
      <c r="Q32" s="40">
        <v>28.55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1.78</v>
      </c>
      <c r="C34" s="18">
        <f t="shared" si="0"/>
        <v>23.79</v>
      </c>
      <c r="D34" s="18">
        <f t="shared" si="0"/>
        <v>14.86</v>
      </c>
      <c r="E34" s="18">
        <f t="shared" si="0"/>
        <v>3.55</v>
      </c>
      <c r="F34" s="18">
        <f t="shared" si="0"/>
        <v>7.31</v>
      </c>
      <c r="G34" s="18">
        <f t="shared" si="0"/>
        <v>54.69</v>
      </c>
      <c r="H34" s="18">
        <f t="shared" si="0"/>
        <v>22.26</v>
      </c>
      <c r="I34" s="18">
        <f t="shared" si="0"/>
        <v>10.5</v>
      </c>
      <c r="J34" s="18">
        <f t="shared" si="0"/>
        <v>0.54</v>
      </c>
      <c r="K34" s="18">
        <f t="shared" si="0"/>
        <v>148.13</v>
      </c>
      <c r="L34" s="18">
        <f t="shared" si="0"/>
        <v>31.53</v>
      </c>
      <c r="M34" s="18">
        <f t="shared" si="0"/>
        <v>6.07</v>
      </c>
      <c r="N34" s="18">
        <f t="shared" si="0"/>
        <v>21.6</v>
      </c>
      <c r="O34" s="18">
        <f t="shared" si="0"/>
        <v>0</v>
      </c>
      <c r="P34" s="18">
        <f t="shared" si="0"/>
        <v>0.44</v>
      </c>
      <c r="Q34" s="18">
        <f t="shared" si="0"/>
        <v>28.04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5.92</v>
      </c>
      <c r="C35" s="3">
        <f t="shared" si="1"/>
        <v>40.64</v>
      </c>
      <c r="D35" s="3">
        <f t="shared" si="1"/>
        <v>26.66</v>
      </c>
      <c r="E35" s="3">
        <f t="shared" si="1"/>
        <v>13.1</v>
      </c>
      <c r="F35" s="3">
        <f t="shared" si="1"/>
        <v>44.36</v>
      </c>
      <c r="G35" s="3">
        <f t="shared" si="1"/>
        <v>88.04</v>
      </c>
      <c r="H35" s="3">
        <f t="shared" si="1"/>
        <v>35.79</v>
      </c>
      <c r="I35" s="3">
        <f t="shared" si="1"/>
        <v>17.5</v>
      </c>
      <c r="J35" s="3">
        <f t="shared" si="1"/>
        <v>2.08</v>
      </c>
      <c r="K35" s="3">
        <f t="shared" si="1"/>
        <v>273.74</v>
      </c>
      <c r="L35" s="3">
        <f t="shared" si="1"/>
        <v>43.86</v>
      </c>
      <c r="M35" s="3">
        <f t="shared" si="1"/>
        <v>39.42</v>
      </c>
      <c r="N35" s="3">
        <f t="shared" si="1"/>
        <v>794.3</v>
      </c>
      <c r="O35" s="3">
        <f t="shared" si="1"/>
        <v>0</v>
      </c>
      <c r="P35" s="3">
        <f t="shared" si="1"/>
        <v>0.77</v>
      </c>
      <c r="Q35" s="3">
        <f t="shared" si="1"/>
        <v>28.79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3.0379166666666673</v>
      </c>
      <c r="C36" s="18">
        <f t="shared" si="2"/>
        <v>29.274166666666662</v>
      </c>
      <c r="D36" s="18">
        <f t="shared" si="2"/>
        <v>18.340416666666666</v>
      </c>
      <c r="E36" s="18">
        <f t="shared" si="2"/>
        <v>6.2408333333333346</v>
      </c>
      <c r="F36" s="18">
        <f t="shared" si="2"/>
        <v>24.067499999999995</v>
      </c>
      <c r="G36" s="18">
        <f t="shared" si="2"/>
        <v>67.760833333333338</v>
      </c>
      <c r="H36" s="18">
        <f t="shared" si="2"/>
        <v>29.42874999999999</v>
      </c>
      <c r="I36" s="18">
        <f t="shared" si="2"/>
        <v>13.651666666666666</v>
      </c>
      <c r="J36" s="18">
        <f t="shared" si="2"/>
        <v>1.3004166666666668</v>
      </c>
      <c r="K36" s="18">
        <f t="shared" si="2"/>
        <v>241.54541666666671</v>
      </c>
      <c r="L36" s="18">
        <f t="shared" si="2"/>
        <v>37.170416666666675</v>
      </c>
      <c r="M36" s="18">
        <f t="shared" si="2"/>
        <v>21.415000000000003</v>
      </c>
      <c r="N36" s="18">
        <f t="shared" si="2"/>
        <v>239.07916666666665</v>
      </c>
      <c r="O36" s="18">
        <f t="shared" si="2"/>
        <v>0</v>
      </c>
      <c r="P36" s="18">
        <f t="shared" si="2"/>
        <v>0.60083333333333344</v>
      </c>
      <c r="Q36" s="18">
        <f t="shared" si="2"/>
        <v>28.543749999999999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1.1222337165193137</v>
      </c>
      <c r="C37" s="18">
        <f t="shared" ref="C37:Q37" si="3">STDEV(C9:C32)</f>
        <v>4.9883646502694576</v>
      </c>
      <c r="D37" s="18">
        <f t="shared" si="3"/>
        <v>3.3560179291207239</v>
      </c>
      <c r="E37" s="18">
        <f t="shared" si="3"/>
        <v>2.2251036452003836</v>
      </c>
      <c r="F37" s="18">
        <f t="shared" si="3"/>
        <v>10.1356294714541</v>
      </c>
      <c r="G37" s="18">
        <f t="shared" si="3"/>
        <v>9.1173408197340482</v>
      </c>
      <c r="H37" s="18">
        <f t="shared" si="3"/>
        <v>3.8421962837170636</v>
      </c>
      <c r="I37" s="18">
        <f t="shared" si="3"/>
        <v>1.803756145348929</v>
      </c>
      <c r="J37" s="18">
        <f t="shared" si="3"/>
        <v>0.4651271837911099</v>
      </c>
      <c r="K37" s="18">
        <f t="shared" si="3"/>
        <v>26.091589679295762</v>
      </c>
      <c r="L37" s="18">
        <f t="shared" si="3"/>
        <v>4.2684173618991368</v>
      </c>
      <c r="M37" s="18">
        <f t="shared" si="3"/>
        <v>12.207042870907516</v>
      </c>
      <c r="N37" s="18">
        <f t="shared" si="3"/>
        <v>288.08257418160764</v>
      </c>
      <c r="O37" s="18">
        <f t="shared" si="3"/>
        <v>0</v>
      </c>
      <c r="P37" s="18">
        <f t="shared" si="3"/>
        <v>8.5917891372931932E-2</v>
      </c>
      <c r="Q37" s="18">
        <f t="shared" si="3"/>
        <v>0.20832275335454237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25/04/2025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636</v>
      </c>
      <c r="B9" s="40">
        <v>6.38</v>
      </c>
      <c r="C9" s="40">
        <v>43.89</v>
      </c>
      <c r="D9" s="40">
        <v>28.66</v>
      </c>
      <c r="E9" s="40">
        <v>5.8</v>
      </c>
      <c r="F9" s="40">
        <v>16.420000000000002</v>
      </c>
      <c r="G9" s="40">
        <v>75.25</v>
      </c>
      <c r="H9" s="40">
        <v>29.61</v>
      </c>
      <c r="I9" s="40">
        <v>13.08</v>
      </c>
      <c r="J9" s="40">
        <v>1.2</v>
      </c>
      <c r="K9" s="40">
        <v>245.89</v>
      </c>
      <c r="L9" s="40">
        <v>33</v>
      </c>
      <c r="M9" s="40">
        <v>20.63</v>
      </c>
      <c r="N9" s="40">
        <v>22.9</v>
      </c>
      <c r="O9" s="40">
        <v>0</v>
      </c>
      <c r="P9" s="40">
        <v>0.63</v>
      </c>
      <c r="Q9" s="40">
        <v>28.14</v>
      </c>
      <c r="R9" s="38"/>
      <c r="S9" s="38"/>
      <c r="T9" s="38"/>
      <c r="U9" s="38"/>
    </row>
    <row r="10" spans="1:21" customFormat="1">
      <c r="A10" s="39" t="s">
        <v>637</v>
      </c>
      <c r="B10" s="40">
        <v>4.83</v>
      </c>
      <c r="C10" s="40">
        <v>34.369999999999997</v>
      </c>
      <c r="D10" s="40">
        <v>22.5</v>
      </c>
      <c r="E10" s="40">
        <v>3.3</v>
      </c>
      <c r="F10" s="40">
        <v>11.66</v>
      </c>
      <c r="G10" s="40">
        <v>78.45</v>
      </c>
      <c r="H10" s="40">
        <v>31.96</v>
      </c>
      <c r="I10" s="40">
        <v>14.46</v>
      </c>
      <c r="J10" s="40">
        <v>1.34</v>
      </c>
      <c r="K10" s="40">
        <v>247.06</v>
      </c>
      <c r="L10" s="40">
        <v>31.83</v>
      </c>
      <c r="M10" s="40">
        <v>24.06</v>
      </c>
      <c r="N10" s="40">
        <v>21.7</v>
      </c>
      <c r="O10" s="40">
        <v>0</v>
      </c>
      <c r="P10" s="40">
        <v>0.64</v>
      </c>
      <c r="Q10" s="40">
        <v>28.27</v>
      </c>
      <c r="R10" s="38"/>
      <c r="S10" s="38"/>
      <c r="T10" s="38"/>
      <c r="U10" s="38"/>
    </row>
    <row r="11" spans="1:21" customFormat="1">
      <c r="A11" s="39" t="s">
        <v>638</v>
      </c>
      <c r="B11" s="40">
        <v>3</v>
      </c>
      <c r="C11" s="40">
        <v>30.5</v>
      </c>
      <c r="D11" s="40">
        <v>19.02</v>
      </c>
      <c r="E11" s="40">
        <v>2.82</v>
      </c>
      <c r="F11" s="40">
        <v>11.52</v>
      </c>
      <c r="G11" s="40">
        <v>78.349999999999994</v>
      </c>
      <c r="H11" s="40">
        <v>36.86</v>
      </c>
      <c r="I11" s="40">
        <v>14.12</v>
      </c>
      <c r="J11" s="40">
        <v>1.29</v>
      </c>
      <c r="K11" s="40">
        <v>264.3</v>
      </c>
      <c r="L11" s="40">
        <v>31.58</v>
      </c>
      <c r="M11" s="40">
        <v>29.45</v>
      </c>
      <c r="N11" s="40">
        <v>22.5</v>
      </c>
      <c r="O11" s="40">
        <v>0</v>
      </c>
      <c r="P11" s="40">
        <v>0.62</v>
      </c>
      <c r="Q11" s="40">
        <v>28.54</v>
      </c>
      <c r="R11" s="38"/>
      <c r="S11" s="38"/>
      <c r="T11" s="38"/>
      <c r="U11" s="38"/>
    </row>
    <row r="12" spans="1:21" customFormat="1">
      <c r="A12" s="39" t="s">
        <v>639</v>
      </c>
      <c r="B12" s="40">
        <v>2.82</v>
      </c>
      <c r="C12" s="40">
        <v>27.84</v>
      </c>
      <c r="D12" s="40">
        <v>17.48</v>
      </c>
      <c r="E12" s="40">
        <v>2.76</v>
      </c>
      <c r="F12" s="40">
        <v>11.23</v>
      </c>
      <c r="G12" s="40">
        <v>76.67</v>
      </c>
      <c r="H12" s="40">
        <v>36.450000000000003</v>
      </c>
      <c r="I12" s="40">
        <v>12.96</v>
      </c>
      <c r="J12" s="40">
        <v>1.1200000000000001</v>
      </c>
      <c r="K12" s="40">
        <v>227.77</v>
      </c>
      <c r="L12" s="40">
        <v>31.68</v>
      </c>
      <c r="M12" s="40">
        <v>30.34</v>
      </c>
      <c r="N12" s="40">
        <v>22.5</v>
      </c>
      <c r="O12" s="40">
        <v>0</v>
      </c>
      <c r="P12" s="40">
        <v>0.56999999999999995</v>
      </c>
      <c r="Q12" s="40">
        <v>28.6</v>
      </c>
      <c r="R12" s="38"/>
      <c r="S12" s="38"/>
      <c r="T12" s="38"/>
      <c r="U12" s="38"/>
    </row>
    <row r="13" spans="1:21" customFormat="1">
      <c r="A13" s="39" t="s">
        <v>640</v>
      </c>
      <c r="B13" s="40">
        <v>3.77</v>
      </c>
      <c r="C13" s="40">
        <v>27.43</v>
      </c>
      <c r="D13" s="40">
        <v>17.34</v>
      </c>
      <c r="E13" s="40">
        <v>2.42</v>
      </c>
      <c r="F13" s="40">
        <v>16.73</v>
      </c>
      <c r="G13" s="40">
        <v>74.2</v>
      </c>
      <c r="H13" s="40">
        <v>30.65</v>
      </c>
      <c r="I13" s="40">
        <v>12.13</v>
      </c>
      <c r="J13" s="40">
        <v>1.02</v>
      </c>
      <c r="K13" s="40">
        <v>305.31</v>
      </c>
      <c r="L13" s="40">
        <v>31.33</v>
      </c>
      <c r="M13" s="40">
        <v>32.32</v>
      </c>
      <c r="N13" s="40">
        <v>22.7</v>
      </c>
      <c r="O13" s="40">
        <v>0</v>
      </c>
      <c r="P13" s="40">
        <v>0.53</v>
      </c>
      <c r="Q13" s="40">
        <v>28.76</v>
      </c>
      <c r="R13" s="38"/>
      <c r="S13" s="38"/>
      <c r="T13" s="38"/>
      <c r="U13" s="38"/>
    </row>
    <row r="14" spans="1:21" customFormat="1">
      <c r="A14" s="39" t="s">
        <v>641</v>
      </c>
      <c r="B14" s="40">
        <v>3.38</v>
      </c>
      <c r="C14" s="40">
        <v>28.31</v>
      </c>
      <c r="D14" s="40">
        <v>17.829999999999998</v>
      </c>
      <c r="E14" s="40">
        <v>7.34</v>
      </c>
      <c r="F14" s="40">
        <v>15.65</v>
      </c>
      <c r="G14" s="40">
        <v>58.52</v>
      </c>
      <c r="H14" s="40">
        <v>28</v>
      </c>
      <c r="I14" s="40">
        <v>11.13</v>
      </c>
      <c r="J14" s="40">
        <v>0.56000000000000005</v>
      </c>
      <c r="K14" s="40">
        <v>260.29000000000002</v>
      </c>
      <c r="L14" s="40">
        <v>30.74</v>
      </c>
      <c r="M14" s="40">
        <v>35.43</v>
      </c>
      <c r="N14" s="40">
        <v>31.8</v>
      </c>
      <c r="O14" s="40">
        <v>0</v>
      </c>
      <c r="P14" s="40">
        <v>0.54</v>
      </c>
      <c r="Q14" s="40">
        <v>28.76</v>
      </c>
      <c r="R14" s="38"/>
      <c r="S14" s="38"/>
      <c r="T14" s="38"/>
      <c r="U14" s="38"/>
    </row>
    <row r="15" spans="1:21" customFormat="1">
      <c r="A15" s="39" t="s">
        <v>642</v>
      </c>
      <c r="B15" s="40">
        <v>4.71</v>
      </c>
      <c r="C15" s="40">
        <v>33.64</v>
      </c>
      <c r="D15" s="40">
        <v>21.84</v>
      </c>
      <c r="E15" s="40">
        <v>11.77</v>
      </c>
      <c r="F15" s="40">
        <v>8.02</v>
      </c>
      <c r="G15" s="40">
        <v>61.06</v>
      </c>
      <c r="H15" s="40">
        <v>27.36</v>
      </c>
      <c r="I15" s="40">
        <v>15.43</v>
      </c>
      <c r="J15" s="40">
        <v>0.66</v>
      </c>
      <c r="K15" s="40">
        <v>244.97</v>
      </c>
      <c r="L15" s="40">
        <v>31.39</v>
      </c>
      <c r="M15" s="40">
        <v>36.53</v>
      </c>
      <c r="N15" s="40">
        <v>66.7</v>
      </c>
      <c r="O15" s="40">
        <v>0</v>
      </c>
      <c r="P15" s="40">
        <v>0.6</v>
      </c>
      <c r="Q15" s="40">
        <v>28.17</v>
      </c>
      <c r="R15" s="38"/>
      <c r="S15" s="38"/>
      <c r="T15" s="38"/>
      <c r="U15" s="38"/>
    </row>
    <row r="16" spans="1:21" customFormat="1">
      <c r="A16" s="39" t="s">
        <v>643</v>
      </c>
      <c r="B16" s="40">
        <v>6.54</v>
      </c>
      <c r="C16" s="40">
        <v>33.020000000000003</v>
      </c>
      <c r="D16" s="40">
        <v>23.17</v>
      </c>
      <c r="E16" s="40">
        <v>25.17</v>
      </c>
      <c r="F16" s="40">
        <v>13.33</v>
      </c>
      <c r="G16" s="40">
        <v>80</v>
      </c>
      <c r="H16" s="40">
        <v>38.93</v>
      </c>
      <c r="I16" s="40">
        <v>14.38</v>
      </c>
      <c r="J16" s="40">
        <v>0.8</v>
      </c>
      <c r="K16" s="40">
        <v>276.68</v>
      </c>
      <c r="L16" s="40">
        <v>32.880000000000003</v>
      </c>
      <c r="M16" s="40">
        <v>35.32</v>
      </c>
      <c r="N16" s="40">
        <v>114.9</v>
      </c>
      <c r="O16" s="40">
        <v>0</v>
      </c>
      <c r="P16" s="40">
        <v>0.66</v>
      </c>
      <c r="Q16" s="40">
        <v>28.04</v>
      </c>
      <c r="R16" s="38"/>
      <c r="S16" s="38"/>
      <c r="T16" s="38"/>
      <c r="U16" s="38"/>
    </row>
    <row r="17" spans="1:21" customFormat="1">
      <c r="A17" s="39" t="s">
        <v>644</v>
      </c>
      <c r="B17" s="40">
        <v>6.15</v>
      </c>
      <c r="C17" s="40">
        <v>34.049999999999997</v>
      </c>
      <c r="D17" s="40">
        <v>22.83</v>
      </c>
      <c r="E17" s="40">
        <v>14</v>
      </c>
      <c r="F17" s="40">
        <v>15.66</v>
      </c>
      <c r="G17" s="40">
        <v>94</v>
      </c>
      <c r="H17" s="40">
        <v>42.68</v>
      </c>
      <c r="I17" s="40">
        <v>15.94</v>
      </c>
      <c r="J17" s="40">
        <v>1.71</v>
      </c>
      <c r="K17" s="40">
        <v>230.11</v>
      </c>
      <c r="L17" s="40">
        <v>34.799999999999997</v>
      </c>
      <c r="M17" s="40">
        <v>34.29</v>
      </c>
      <c r="N17" s="40">
        <v>181.9</v>
      </c>
      <c r="O17" s="40">
        <v>0</v>
      </c>
      <c r="P17" s="40">
        <v>0.74</v>
      </c>
      <c r="Q17" s="40">
        <v>27.95</v>
      </c>
      <c r="R17" s="38"/>
      <c r="S17" s="38"/>
      <c r="T17" s="38"/>
      <c r="U17" s="38"/>
    </row>
    <row r="18" spans="1:21" customFormat="1">
      <c r="A18" s="39" t="s">
        <v>645</v>
      </c>
      <c r="B18" s="40">
        <v>3.75</v>
      </c>
      <c r="C18" s="40">
        <v>34.07</v>
      </c>
      <c r="D18" s="40">
        <v>21.41</v>
      </c>
      <c r="E18" s="40">
        <v>7.99</v>
      </c>
      <c r="F18" s="40">
        <v>11.78</v>
      </c>
      <c r="G18" s="40">
        <v>94.76</v>
      </c>
      <c r="H18" s="40">
        <v>42.36</v>
      </c>
      <c r="I18" s="40">
        <v>15.92</v>
      </c>
      <c r="J18" s="40">
        <v>1.9</v>
      </c>
      <c r="K18" s="40">
        <v>245.84</v>
      </c>
      <c r="L18" s="40">
        <v>36.79</v>
      </c>
      <c r="M18" s="40">
        <v>29.67</v>
      </c>
      <c r="N18" s="40">
        <v>631.79999999999995</v>
      </c>
      <c r="O18" s="40">
        <v>0</v>
      </c>
      <c r="P18" s="40">
        <v>0.71</v>
      </c>
      <c r="Q18" s="40">
        <v>28.17</v>
      </c>
      <c r="R18" s="38"/>
      <c r="S18" s="38"/>
      <c r="T18" s="38"/>
      <c r="U18" s="38"/>
    </row>
    <row r="19" spans="1:21" customFormat="1">
      <c r="A19" s="39" t="s">
        <v>646</v>
      </c>
      <c r="B19" s="40">
        <v>3.68</v>
      </c>
      <c r="C19" s="40">
        <v>32.68</v>
      </c>
      <c r="D19" s="40">
        <v>20.7</v>
      </c>
      <c r="E19" s="40">
        <v>7.01</v>
      </c>
      <c r="F19" s="40">
        <v>19.93</v>
      </c>
      <c r="G19" s="40">
        <v>93.51</v>
      </c>
      <c r="H19" s="40">
        <v>37.299999999999997</v>
      </c>
      <c r="I19" s="40">
        <v>14.37</v>
      </c>
      <c r="J19" s="40">
        <v>1.7</v>
      </c>
      <c r="K19" s="40">
        <v>244.34</v>
      </c>
      <c r="L19" s="40">
        <v>38.94</v>
      </c>
      <c r="M19" s="40">
        <v>24.26</v>
      </c>
      <c r="N19" s="40">
        <v>735.2</v>
      </c>
      <c r="O19" s="40">
        <v>0</v>
      </c>
      <c r="P19" s="40">
        <v>0.76</v>
      </c>
      <c r="Q19" s="40">
        <v>28.31</v>
      </c>
      <c r="R19" s="38"/>
      <c r="S19" s="38"/>
      <c r="T19" s="38"/>
      <c r="U19" s="38"/>
    </row>
    <row r="20" spans="1:21" customFormat="1">
      <c r="A20" s="39" t="s">
        <v>647</v>
      </c>
      <c r="B20" s="40">
        <v>2.97</v>
      </c>
      <c r="C20" s="40">
        <v>30.93</v>
      </c>
      <c r="D20" s="40">
        <v>19.13</v>
      </c>
      <c r="E20" s="40">
        <v>15.45</v>
      </c>
      <c r="F20" s="40">
        <v>46.93</v>
      </c>
      <c r="G20" s="40">
        <v>75.97</v>
      </c>
      <c r="H20" s="40">
        <v>31.71</v>
      </c>
      <c r="I20" s="40">
        <v>16.27</v>
      </c>
      <c r="J20" s="40">
        <v>1.42</v>
      </c>
      <c r="K20" s="40">
        <v>237.59</v>
      </c>
      <c r="L20" s="40">
        <v>40.72</v>
      </c>
      <c r="M20" s="40">
        <v>20.13</v>
      </c>
      <c r="N20" s="40">
        <v>735.9</v>
      </c>
      <c r="O20" s="40">
        <v>0</v>
      </c>
      <c r="P20" s="40">
        <v>0.8</v>
      </c>
      <c r="Q20" s="40">
        <v>28.5</v>
      </c>
      <c r="R20" s="38"/>
      <c r="S20" s="38"/>
      <c r="T20" s="38"/>
      <c r="U20" s="38"/>
    </row>
    <row r="21" spans="1:21" customFormat="1">
      <c r="A21" s="39" t="s">
        <v>648</v>
      </c>
      <c r="B21" s="40">
        <v>2.37</v>
      </c>
      <c r="C21" s="40">
        <v>26.97</v>
      </c>
      <c r="D21" s="40">
        <v>16.54</v>
      </c>
      <c r="E21" s="40">
        <v>14.93</v>
      </c>
      <c r="F21" s="40">
        <v>51.95</v>
      </c>
      <c r="G21" s="40">
        <v>40.590000000000003</v>
      </c>
      <c r="H21" s="40">
        <v>12.12</v>
      </c>
      <c r="I21" s="40">
        <v>16.809999999999999</v>
      </c>
      <c r="J21" s="40">
        <v>1.53</v>
      </c>
      <c r="K21" s="40">
        <v>257.86</v>
      </c>
      <c r="L21" s="40">
        <v>42.41</v>
      </c>
      <c r="M21" s="40">
        <v>15.48</v>
      </c>
      <c r="N21" s="40">
        <v>641.29999999999995</v>
      </c>
      <c r="O21" s="40">
        <v>0</v>
      </c>
      <c r="P21" s="40">
        <v>0.78</v>
      </c>
      <c r="Q21" s="40">
        <v>28.63</v>
      </c>
      <c r="R21" s="38"/>
      <c r="S21" s="38"/>
      <c r="T21" s="38"/>
      <c r="U21" s="38"/>
    </row>
    <row r="22" spans="1:21" customFormat="1">
      <c r="A22" s="39" t="s">
        <v>649</v>
      </c>
      <c r="B22" s="40">
        <v>4.21</v>
      </c>
      <c r="C22" s="40">
        <v>29.03</v>
      </c>
      <c r="D22" s="40">
        <v>18.329999999999998</v>
      </c>
      <c r="E22" s="40">
        <v>13.82</v>
      </c>
      <c r="F22" s="40">
        <v>38.130000000000003</v>
      </c>
      <c r="G22" s="40">
        <v>76.099999999999994</v>
      </c>
      <c r="H22" s="40">
        <v>23.57</v>
      </c>
      <c r="I22" s="40">
        <v>15.43</v>
      </c>
      <c r="J22" s="40">
        <v>1.1499999999999999</v>
      </c>
      <c r="K22" s="40">
        <v>304.8</v>
      </c>
      <c r="L22" s="40">
        <v>43.91</v>
      </c>
      <c r="M22" s="40">
        <v>9.0299999999999994</v>
      </c>
      <c r="N22" s="40">
        <v>626.6</v>
      </c>
      <c r="O22" s="40">
        <v>0</v>
      </c>
      <c r="P22" s="40">
        <v>0.63</v>
      </c>
      <c r="Q22" s="40">
        <v>28.62</v>
      </c>
      <c r="R22" s="38"/>
      <c r="S22" s="38"/>
      <c r="T22" s="38"/>
      <c r="U22" s="38"/>
    </row>
    <row r="23" spans="1:21" customFormat="1">
      <c r="A23" s="39" t="s">
        <v>650</v>
      </c>
      <c r="B23" s="40">
        <v>3.18</v>
      </c>
      <c r="C23" s="40">
        <v>31.02</v>
      </c>
      <c r="D23" s="40">
        <v>19.440000000000001</v>
      </c>
      <c r="E23" s="40">
        <v>12.89</v>
      </c>
      <c r="F23" s="40">
        <v>76.790000000000006</v>
      </c>
      <c r="G23" s="40">
        <v>63.54</v>
      </c>
      <c r="H23" s="40">
        <v>24.49</v>
      </c>
      <c r="I23" s="40">
        <v>14.63</v>
      </c>
      <c r="J23" s="40">
        <v>0.59</v>
      </c>
      <c r="K23" s="40">
        <v>251.71</v>
      </c>
      <c r="L23" s="40">
        <v>44.61</v>
      </c>
      <c r="M23" s="40">
        <v>8.3699999999999992</v>
      </c>
      <c r="N23" s="40">
        <v>525.20000000000005</v>
      </c>
      <c r="O23" s="40">
        <v>0</v>
      </c>
      <c r="P23" s="40">
        <v>0.49</v>
      </c>
      <c r="Q23" s="40">
        <v>29.07</v>
      </c>
      <c r="R23" s="38"/>
      <c r="S23" s="38"/>
      <c r="T23" s="38"/>
      <c r="U23" s="38"/>
    </row>
    <row r="24" spans="1:21" customFormat="1">
      <c r="A24" s="39" t="s">
        <v>651</v>
      </c>
      <c r="B24" s="40">
        <v>2.0499999999999998</v>
      </c>
      <c r="C24" s="40">
        <v>26.27</v>
      </c>
      <c r="D24" s="40">
        <v>16.04</v>
      </c>
      <c r="E24" s="40">
        <v>11.64</v>
      </c>
      <c r="F24" s="40">
        <v>58.92</v>
      </c>
      <c r="G24" s="40">
        <v>63.36</v>
      </c>
      <c r="H24" s="40">
        <v>25.2</v>
      </c>
      <c r="I24" s="40">
        <v>10.09</v>
      </c>
      <c r="J24" s="40">
        <v>0.92</v>
      </c>
      <c r="K24" s="40">
        <v>219.76</v>
      </c>
      <c r="L24" s="40">
        <v>44.71</v>
      </c>
      <c r="M24" s="40">
        <v>8.11</v>
      </c>
      <c r="N24" s="40">
        <v>395</v>
      </c>
      <c r="O24" s="40">
        <v>0</v>
      </c>
      <c r="P24" s="40">
        <v>0.42</v>
      </c>
      <c r="Q24" s="40">
        <v>29.02</v>
      </c>
      <c r="R24" s="38"/>
      <c r="S24" s="38"/>
      <c r="T24" s="38"/>
      <c r="U24" s="38"/>
    </row>
    <row r="25" spans="1:21" customFormat="1">
      <c r="A25" s="39" t="s">
        <v>652</v>
      </c>
      <c r="B25" s="40">
        <v>3.96</v>
      </c>
      <c r="C25" s="40">
        <v>31.55</v>
      </c>
      <c r="D25" s="40">
        <v>20.329999999999998</v>
      </c>
      <c r="E25" s="40">
        <v>14.72</v>
      </c>
      <c r="F25" s="40">
        <v>54.72</v>
      </c>
      <c r="G25" s="40">
        <v>54.22</v>
      </c>
      <c r="H25" s="40">
        <v>25.69</v>
      </c>
      <c r="I25" s="40">
        <v>8.7799999999999994</v>
      </c>
      <c r="J25" s="40">
        <v>1.26</v>
      </c>
      <c r="K25" s="40">
        <v>271.14</v>
      </c>
      <c r="L25" s="40">
        <v>43.71</v>
      </c>
      <c r="M25" s="40">
        <v>9.11</v>
      </c>
      <c r="N25" s="40">
        <v>267.89999999999998</v>
      </c>
      <c r="O25" s="40">
        <v>0</v>
      </c>
      <c r="P25" s="40">
        <v>0.4</v>
      </c>
      <c r="Q25" s="40">
        <v>28.8</v>
      </c>
      <c r="R25" s="38"/>
      <c r="S25" s="38"/>
      <c r="T25" s="38"/>
      <c r="U25" s="38"/>
    </row>
    <row r="26" spans="1:21" customFormat="1">
      <c r="A26" s="39" t="s">
        <v>653</v>
      </c>
      <c r="B26" s="40">
        <v>2.16</v>
      </c>
      <c r="C26" s="40">
        <v>25.77</v>
      </c>
      <c r="D26" s="40">
        <v>15.87</v>
      </c>
      <c r="E26" s="40">
        <v>11.13</v>
      </c>
      <c r="F26" s="40">
        <v>58.99</v>
      </c>
      <c r="G26" s="40">
        <v>49.83</v>
      </c>
      <c r="H26" s="40">
        <v>24.53</v>
      </c>
      <c r="I26" s="40">
        <v>8.83</v>
      </c>
      <c r="J26" s="40">
        <v>0.92</v>
      </c>
      <c r="K26" s="40">
        <v>217.5</v>
      </c>
      <c r="L26" s="40">
        <v>42.63</v>
      </c>
      <c r="M26" s="40">
        <v>12.17</v>
      </c>
      <c r="N26" s="40">
        <v>122.2</v>
      </c>
      <c r="O26" s="40">
        <v>0</v>
      </c>
      <c r="P26" s="40">
        <v>0.48</v>
      </c>
      <c r="Q26" s="40">
        <v>28.65</v>
      </c>
      <c r="R26" s="38"/>
      <c r="S26" s="38"/>
      <c r="T26" s="38"/>
      <c r="U26" s="38"/>
    </row>
    <row r="27" spans="1:21" customFormat="1">
      <c r="A27" s="39" t="s">
        <v>654</v>
      </c>
      <c r="B27" s="40">
        <v>2.0699999999999998</v>
      </c>
      <c r="C27" s="40">
        <v>30.2</v>
      </c>
      <c r="D27" s="40">
        <v>18.079999999999998</v>
      </c>
      <c r="E27" s="40">
        <v>12.56</v>
      </c>
      <c r="F27" s="40">
        <v>62.26</v>
      </c>
      <c r="G27" s="40">
        <v>53.07</v>
      </c>
      <c r="H27" s="40">
        <v>24.52</v>
      </c>
      <c r="I27" s="40">
        <v>10.51</v>
      </c>
      <c r="J27" s="40">
        <v>0.54</v>
      </c>
      <c r="K27" s="40">
        <v>144.84</v>
      </c>
      <c r="L27" s="40">
        <v>39.21</v>
      </c>
      <c r="M27" s="40">
        <v>15.31</v>
      </c>
      <c r="N27" s="40">
        <v>27.1</v>
      </c>
      <c r="O27" s="40">
        <v>0</v>
      </c>
      <c r="P27" s="40">
        <v>0.56999999999999995</v>
      </c>
      <c r="Q27" s="40">
        <v>28.4</v>
      </c>
      <c r="R27" s="38"/>
      <c r="S27" s="38"/>
      <c r="T27" s="38"/>
      <c r="U27" s="38"/>
    </row>
    <row r="28" spans="1:21" customFormat="1">
      <c r="A28" s="39" t="s">
        <v>655</v>
      </c>
      <c r="B28" s="40">
        <v>2.2000000000000002</v>
      </c>
      <c r="C28" s="40">
        <v>27.93</v>
      </c>
      <c r="D28" s="40">
        <v>17.02</v>
      </c>
      <c r="E28" s="40">
        <v>12.06</v>
      </c>
      <c r="F28" s="40">
        <v>48.71</v>
      </c>
      <c r="G28" s="40">
        <v>61.09</v>
      </c>
      <c r="H28" s="40">
        <v>27.77</v>
      </c>
      <c r="I28" s="40">
        <v>13.12</v>
      </c>
      <c r="J28" s="40">
        <v>0.54</v>
      </c>
      <c r="K28" s="40">
        <v>147.49</v>
      </c>
      <c r="L28" s="40">
        <v>37.78</v>
      </c>
      <c r="M28" s="40">
        <v>16.920000000000002</v>
      </c>
      <c r="N28" s="40">
        <v>22.5</v>
      </c>
      <c r="O28" s="40">
        <v>0</v>
      </c>
      <c r="P28" s="40">
        <v>0.71</v>
      </c>
      <c r="Q28" s="40">
        <v>28.45</v>
      </c>
      <c r="R28" s="38"/>
      <c r="S28" s="38"/>
      <c r="T28" s="38"/>
      <c r="U28" s="38"/>
    </row>
    <row r="29" spans="1:21" customFormat="1">
      <c r="A29" s="39" t="s">
        <v>656</v>
      </c>
      <c r="B29" s="40">
        <v>2.69</v>
      </c>
      <c r="C29" s="40">
        <v>29.48</v>
      </c>
      <c r="D29" s="40">
        <v>18.23</v>
      </c>
      <c r="E29" s="40">
        <v>10.67</v>
      </c>
      <c r="F29" s="40">
        <v>33.119999999999997</v>
      </c>
      <c r="G29" s="40">
        <v>64.41</v>
      </c>
      <c r="H29" s="40">
        <v>29.47</v>
      </c>
      <c r="I29" s="40">
        <v>14.32</v>
      </c>
      <c r="J29" s="40">
        <v>0.55000000000000004</v>
      </c>
      <c r="K29" s="40">
        <v>219.25</v>
      </c>
      <c r="L29" s="40">
        <v>37.01</v>
      </c>
      <c r="M29" s="40">
        <v>18.38</v>
      </c>
      <c r="N29" s="40">
        <v>22.4</v>
      </c>
      <c r="O29" s="40">
        <v>0</v>
      </c>
      <c r="P29" s="40">
        <v>0.71</v>
      </c>
      <c r="Q29" s="40">
        <v>28.33</v>
      </c>
      <c r="R29" s="38"/>
      <c r="S29" s="38"/>
      <c r="T29" s="38"/>
      <c r="U29" s="38"/>
    </row>
    <row r="30" spans="1:21" customFormat="1">
      <c r="A30" s="39" t="s">
        <v>657</v>
      </c>
      <c r="B30" s="40">
        <v>5.28</v>
      </c>
      <c r="C30" s="40">
        <v>36.700000000000003</v>
      </c>
      <c r="D30" s="40">
        <v>23.59</v>
      </c>
      <c r="E30" s="40">
        <v>13.65</v>
      </c>
      <c r="F30" s="40">
        <v>23.32</v>
      </c>
      <c r="G30" s="40">
        <v>71.36</v>
      </c>
      <c r="H30" s="40">
        <v>30</v>
      </c>
      <c r="I30" s="40">
        <v>15.98</v>
      </c>
      <c r="J30" s="40">
        <v>0.43</v>
      </c>
      <c r="K30" s="40">
        <v>172.5</v>
      </c>
      <c r="L30" s="40">
        <v>35.69</v>
      </c>
      <c r="M30" s="40">
        <v>19.149999999999999</v>
      </c>
      <c r="N30" s="40">
        <v>22.1</v>
      </c>
      <c r="O30" s="40">
        <v>0</v>
      </c>
      <c r="P30" s="40">
        <v>0.88</v>
      </c>
      <c r="Q30" s="40">
        <v>27.83</v>
      </c>
      <c r="R30" s="38"/>
      <c r="S30" s="38"/>
      <c r="T30" s="38"/>
      <c r="U30" s="38"/>
    </row>
    <row r="31" spans="1:21" customFormat="1">
      <c r="A31" s="39" t="s">
        <v>658</v>
      </c>
      <c r="B31" s="40">
        <v>3.3</v>
      </c>
      <c r="C31" s="40">
        <v>33.83</v>
      </c>
      <c r="D31" s="40">
        <v>20.99</v>
      </c>
      <c r="E31" s="40">
        <v>8.26</v>
      </c>
      <c r="F31" s="40">
        <v>27.11</v>
      </c>
      <c r="G31" s="40">
        <v>76.86</v>
      </c>
      <c r="H31" s="40">
        <v>31.56</v>
      </c>
      <c r="I31" s="40">
        <v>14.93</v>
      </c>
      <c r="J31" s="40">
        <v>0.56000000000000005</v>
      </c>
      <c r="K31" s="40">
        <v>203.3</v>
      </c>
      <c r="L31" s="40">
        <v>34.99</v>
      </c>
      <c r="M31" s="40">
        <v>18.34</v>
      </c>
      <c r="N31" s="40">
        <v>22</v>
      </c>
      <c r="O31" s="40">
        <v>0</v>
      </c>
      <c r="P31" s="40">
        <v>0.75</v>
      </c>
      <c r="Q31" s="40">
        <v>28.06</v>
      </c>
      <c r="R31" s="38"/>
      <c r="S31" s="38"/>
      <c r="T31" s="38"/>
      <c r="U31" s="38"/>
    </row>
    <row r="32" spans="1:21" customFormat="1">
      <c r="A32" s="39" t="s">
        <v>659</v>
      </c>
      <c r="B32" s="40">
        <v>4.33</v>
      </c>
      <c r="C32" s="40">
        <v>34.69</v>
      </c>
      <c r="D32" s="40">
        <v>22.27</v>
      </c>
      <c r="E32" s="40">
        <v>5.47</v>
      </c>
      <c r="F32" s="40">
        <v>16.88</v>
      </c>
      <c r="G32" s="40">
        <v>76.81</v>
      </c>
      <c r="H32" s="40">
        <v>33.119999999999997</v>
      </c>
      <c r="I32" s="40">
        <v>13.41</v>
      </c>
      <c r="J32" s="40">
        <v>1.1499999999999999</v>
      </c>
      <c r="K32" s="40">
        <v>235.43</v>
      </c>
      <c r="L32" s="40">
        <v>34.58</v>
      </c>
      <c r="M32" s="40">
        <v>20.38</v>
      </c>
      <c r="N32" s="40">
        <v>22.5</v>
      </c>
      <c r="O32" s="40">
        <v>0</v>
      </c>
      <c r="P32" s="40">
        <v>0.64</v>
      </c>
      <c r="Q32" s="40">
        <v>28.23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2.0499999999999998</v>
      </c>
      <c r="C34" s="18">
        <f t="shared" si="0"/>
        <v>25.77</v>
      </c>
      <c r="D34" s="18">
        <f t="shared" si="0"/>
        <v>15.87</v>
      </c>
      <c r="E34" s="18">
        <f t="shared" si="0"/>
        <v>2.42</v>
      </c>
      <c r="F34" s="18">
        <f t="shared" si="0"/>
        <v>8.02</v>
      </c>
      <c r="G34" s="18">
        <f t="shared" si="0"/>
        <v>40.590000000000003</v>
      </c>
      <c r="H34" s="18">
        <f t="shared" si="0"/>
        <v>12.12</v>
      </c>
      <c r="I34" s="18">
        <f t="shared" si="0"/>
        <v>8.7799999999999994</v>
      </c>
      <c r="J34" s="18">
        <f t="shared" si="0"/>
        <v>0.43</v>
      </c>
      <c r="K34" s="18">
        <f t="shared" si="0"/>
        <v>144.84</v>
      </c>
      <c r="L34" s="18">
        <f t="shared" si="0"/>
        <v>30.74</v>
      </c>
      <c r="M34" s="18">
        <f t="shared" si="0"/>
        <v>8.11</v>
      </c>
      <c r="N34" s="18">
        <f t="shared" si="0"/>
        <v>21.7</v>
      </c>
      <c r="O34" s="18">
        <f t="shared" si="0"/>
        <v>0</v>
      </c>
      <c r="P34" s="18">
        <f t="shared" si="0"/>
        <v>0.4</v>
      </c>
      <c r="Q34" s="18">
        <f t="shared" si="0"/>
        <v>27.83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6.54</v>
      </c>
      <c r="C35" s="3">
        <f t="shared" si="1"/>
        <v>43.89</v>
      </c>
      <c r="D35" s="3">
        <f t="shared" si="1"/>
        <v>28.66</v>
      </c>
      <c r="E35" s="3">
        <f t="shared" si="1"/>
        <v>25.17</v>
      </c>
      <c r="F35" s="3">
        <f t="shared" si="1"/>
        <v>76.790000000000006</v>
      </c>
      <c r="G35" s="3">
        <f t="shared" si="1"/>
        <v>94.76</v>
      </c>
      <c r="H35" s="3">
        <f t="shared" si="1"/>
        <v>42.68</v>
      </c>
      <c r="I35" s="3">
        <f t="shared" si="1"/>
        <v>16.809999999999999</v>
      </c>
      <c r="J35" s="3">
        <f t="shared" si="1"/>
        <v>1.9</v>
      </c>
      <c r="K35" s="3">
        <f t="shared" si="1"/>
        <v>305.31</v>
      </c>
      <c r="L35" s="3">
        <f t="shared" si="1"/>
        <v>44.71</v>
      </c>
      <c r="M35" s="3">
        <f t="shared" si="1"/>
        <v>36.53</v>
      </c>
      <c r="N35" s="3">
        <f t="shared" si="1"/>
        <v>735.9</v>
      </c>
      <c r="O35" s="3">
        <f t="shared" si="1"/>
        <v>0</v>
      </c>
      <c r="P35" s="3">
        <f t="shared" si="1"/>
        <v>0.88</v>
      </c>
      <c r="Q35" s="3">
        <f t="shared" si="1"/>
        <v>29.07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3.7408333333333323</v>
      </c>
      <c r="C36" s="18">
        <f t="shared" si="2"/>
        <v>31.423750000000002</v>
      </c>
      <c r="D36" s="18">
        <f t="shared" si="2"/>
        <v>19.943333333333328</v>
      </c>
      <c r="E36" s="18">
        <f t="shared" si="2"/>
        <v>10.317916666666664</v>
      </c>
      <c r="F36" s="18">
        <f t="shared" si="2"/>
        <v>31.240000000000006</v>
      </c>
      <c r="G36" s="18">
        <f t="shared" si="2"/>
        <v>70.499166666666653</v>
      </c>
      <c r="H36" s="18">
        <f t="shared" si="2"/>
        <v>30.24625</v>
      </c>
      <c r="I36" s="18">
        <f t="shared" si="2"/>
        <v>13.626250000000001</v>
      </c>
      <c r="J36" s="18">
        <f t="shared" si="2"/>
        <v>1.0358333333333334</v>
      </c>
      <c r="K36" s="18">
        <f t="shared" si="2"/>
        <v>236.48875000000007</v>
      </c>
      <c r="L36" s="18">
        <f t="shared" si="2"/>
        <v>36.955000000000005</v>
      </c>
      <c r="M36" s="18">
        <f t="shared" si="2"/>
        <v>21.799166666666668</v>
      </c>
      <c r="N36" s="18">
        <f t="shared" si="2"/>
        <v>221.97083333333333</v>
      </c>
      <c r="O36" s="18">
        <f t="shared" si="2"/>
        <v>0</v>
      </c>
      <c r="P36" s="18">
        <f t="shared" si="2"/>
        <v>0.63583333333333347</v>
      </c>
      <c r="Q36" s="18">
        <f t="shared" si="2"/>
        <v>28.429166666666664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1.3490154756796513</v>
      </c>
      <c r="C37" s="18">
        <f t="shared" ref="C37:Q37" si="3">STDEV(C9:C32)</f>
        <v>4.0252548528552428</v>
      </c>
      <c r="D37" s="18">
        <f t="shared" si="3"/>
        <v>3.0042327627455623</v>
      </c>
      <c r="E37" s="18">
        <f t="shared" si="3"/>
        <v>5.2839469595194268</v>
      </c>
      <c r="F37" s="18">
        <f t="shared" si="3"/>
        <v>20.743815002780103</v>
      </c>
      <c r="G37" s="18">
        <f t="shared" si="3"/>
        <v>13.910165165358015</v>
      </c>
      <c r="H37" s="18">
        <f t="shared" si="3"/>
        <v>6.7967132801850205</v>
      </c>
      <c r="I37" s="18">
        <f t="shared" si="3"/>
        <v>2.3149604419570462</v>
      </c>
      <c r="J37" s="18">
        <f t="shared" si="3"/>
        <v>0.43097378783065377</v>
      </c>
      <c r="K37" s="18">
        <f t="shared" si="3"/>
        <v>40.239140831922235</v>
      </c>
      <c r="L37" s="18">
        <f t="shared" si="3"/>
        <v>4.8041051286327701</v>
      </c>
      <c r="M37" s="18">
        <f t="shared" si="3"/>
        <v>9.2879758250942963</v>
      </c>
      <c r="N37" s="18">
        <f t="shared" si="3"/>
        <v>270.15972164494718</v>
      </c>
      <c r="O37" s="18">
        <f t="shared" si="3"/>
        <v>0</v>
      </c>
      <c r="P37" s="18">
        <f t="shared" si="3"/>
        <v>0.12197350627035317</v>
      </c>
      <c r="Q37" s="18">
        <f t="shared" si="3"/>
        <v>0.32789071173270512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26/04/2025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660</v>
      </c>
      <c r="B9" s="40">
        <v>14.12</v>
      </c>
      <c r="C9" s="40">
        <v>32.19</v>
      </c>
      <c r="D9" s="40">
        <v>28.82</v>
      </c>
      <c r="E9" s="40">
        <v>5.04</v>
      </c>
      <c r="F9" s="40">
        <v>25.11</v>
      </c>
      <c r="G9" s="40">
        <v>78.17</v>
      </c>
      <c r="H9" s="40">
        <v>33.58</v>
      </c>
      <c r="I9" s="40">
        <v>13.7</v>
      </c>
      <c r="J9" s="40">
        <v>1.3</v>
      </c>
      <c r="K9" s="40">
        <v>241.24</v>
      </c>
      <c r="L9" s="40">
        <v>33.979999999999997</v>
      </c>
      <c r="M9" s="40">
        <v>26.7</v>
      </c>
      <c r="N9" s="40">
        <v>22.5</v>
      </c>
      <c r="O9" s="40">
        <v>0</v>
      </c>
      <c r="P9" s="40">
        <v>0.63</v>
      </c>
      <c r="Q9" s="40">
        <v>28.37</v>
      </c>
      <c r="R9" s="38"/>
      <c r="S9" s="38"/>
      <c r="T9" s="38"/>
      <c r="U9" s="38"/>
    </row>
    <row r="10" spans="1:21" customFormat="1">
      <c r="A10" s="39" t="s">
        <v>661</v>
      </c>
      <c r="B10" s="40">
        <v>4.37</v>
      </c>
      <c r="C10" s="40">
        <v>26.89</v>
      </c>
      <c r="D10" s="40">
        <v>17.36</v>
      </c>
      <c r="E10" s="40">
        <v>4.41</v>
      </c>
      <c r="F10" s="40">
        <v>22.34</v>
      </c>
      <c r="G10" s="40">
        <v>75.569999999999993</v>
      </c>
      <c r="H10" s="40">
        <v>30.28</v>
      </c>
      <c r="I10" s="40">
        <v>12.25</v>
      </c>
      <c r="J10" s="40">
        <v>1.05</v>
      </c>
      <c r="K10" s="40">
        <v>226.05</v>
      </c>
      <c r="L10" s="40">
        <v>33.14</v>
      </c>
      <c r="M10" s="40">
        <v>29.01</v>
      </c>
      <c r="N10" s="40">
        <v>22.7</v>
      </c>
      <c r="O10" s="40">
        <v>0</v>
      </c>
      <c r="P10" s="40">
        <v>0.56999999999999995</v>
      </c>
      <c r="Q10" s="40">
        <v>28.46</v>
      </c>
      <c r="R10" s="38"/>
      <c r="S10" s="38"/>
      <c r="T10" s="38"/>
      <c r="U10" s="38"/>
    </row>
    <row r="11" spans="1:21" customFormat="1">
      <c r="A11" s="39" t="s">
        <v>662</v>
      </c>
      <c r="B11" s="40">
        <v>3.14</v>
      </c>
      <c r="C11" s="40">
        <v>29.82</v>
      </c>
      <c r="D11" s="40">
        <v>18.73</v>
      </c>
      <c r="E11" s="40">
        <v>2.81</v>
      </c>
      <c r="F11" s="40">
        <v>8.57</v>
      </c>
      <c r="G11" s="40">
        <v>63.26</v>
      </c>
      <c r="H11" s="40">
        <v>28.3</v>
      </c>
      <c r="I11" s="40">
        <v>11.43</v>
      </c>
      <c r="J11" s="40">
        <v>1.46</v>
      </c>
      <c r="K11" s="40">
        <v>252.38</v>
      </c>
      <c r="L11" s="40">
        <v>32.4</v>
      </c>
      <c r="M11" s="40">
        <v>33.25</v>
      </c>
      <c r="N11" s="40">
        <v>22.7</v>
      </c>
      <c r="O11" s="40">
        <v>0</v>
      </c>
      <c r="P11" s="40">
        <v>0.56000000000000005</v>
      </c>
      <c r="Q11" s="40">
        <v>28.4</v>
      </c>
      <c r="R11" s="38"/>
      <c r="S11" s="38"/>
      <c r="T11" s="38"/>
      <c r="U11" s="38"/>
    </row>
    <row r="12" spans="1:21" customFormat="1">
      <c r="A12" s="39" t="s">
        <v>663</v>
      </c>
      <c r="B12" s="40">
        <v>3.1</v>
      </c>
      <c r="C12" s="40">
        <v>29.11</v>
      </c>
      <c r="D12" s="40">
        <v>18.37</v>
      </c>
      <c r="E12" s="40">
        <v>8.3000000000000007</v>
      </c>
      <c r="F12" s="40">
        <v>10.83</v>
      </c>
      <c r="G12" s="40">
        <v>60.78</v>
      </c>
      <c r="H12" s="40">
        <v>28.64</v>
      </c>
      <c r="I12" s="40">
        <v>18.25</v>
      </c>
      <c r="J12" s="40">
        <v>1.1100000000000001</v>
      </c>
      <c r="K12" s="40">
        <v>250.86</v>
      </c>
      <c r="L12" s="40">
        <v>31.77</v>
      </c>
      <c r="M12" s="40">
        <v>37.17</v>
      </c>
      <c r="N12" s="40">
        <v>22.5</v>
      </c>
      <c r="O12" s="40">
        <v>0</v>
      </c>
      <c r="P12" s="40">
        <v>0.98</v>
      </c>
      <c r="Q12" s="40">
        <v>28.45</v>
      </c>
      <c r="R12" s="38"/>
      <c r="S12" s="38"/>
      <c r="T12" s="38"/>
      <c r="U12" s="38"/>
    </row>
    <row r="13" spans="1:21" customFormat="1">
      <c r="A13" s="39" t="s">
        <v>664</v>
      </c>
      <c r="B13" s="40">
        <v>3.36</v>
      </c>
      <c r="C13" s="40">
        <v>28.67</v>
      </c>
      <c r="D13" s="40">
        <v>18.23</v>
      </c>
      <c r="E13" s="40">
        <v>8.68</v>
      </c>
      <c r="F13" s="40">
        <v>10.99</v>
      </c>
      <c r="G13" s="40">
        <v>65.650000000000006</v>
      </c>
      <c r="H13" s="40">
        <v>29.14</v>
      </c>
      <c r="I13" s="40">
        <v>20.58</v>
      </c>
      <c r="J13" s="40">
        <v>1.08</v>
      </c>
      <c r="K13" s="40">
        <v>211.55</v>
      </c>
      <c r="L13" s="40">
        <v>31.69</v>
      </c>
      <c r="M13" s="40">
        <v>39.909999999999997</v>
      </c>
      <c r="N13" s="40">
        <v>22.8</v>
      </c>
      <c r="O13" s="40">
        <v>0</v>
      </c>
      <c r="P13" s="40">
        <v>0.78</v>
      </c>
      <c r="Q13" s="40">
        <v>28.61</v>
      </c>
      <c r="R13" s="38"/>
      <c r="S13" s="38"/>
      <c r="T13" s="38"/>
      <c r="U13" s="38"/>
    </row>
    <row r="14" spans="1:21" customFormat="1">
      <c r="A14" s="39" t="s">
        <v>665</v>
      </c>
      <c r="B14" s="40">
        <v>3.31</v>
      </c>
      <c r="C14" s="40">
        <v>28.85</v>
      </c>
      <c r="D14" s="40">
        <v>18.36</v>
      </c>
      <c r="E14" s="40">
        <v>5.14</v>
      </c>
      <c r="F14" s="40">
        <v>7.25</v>
      </c>
      <c r="G14" s="40">
        <v>55.56</v>
      </c>
      <c r="H14" s="40">
        <v>26.01</v>
      </c>
      <c r="I14" s="40">
        <v>14.21</v>
      </c>
      <c r="J14" s="40">
        <v>1.17</v>
      </c>
      <c r="K14" s="40">
        <v>213.71</v>
      </c>
      <c r="L14" s="40">
        <v>30.82</v>
      </c>
      <c r="M14" s="40">
        <v>42.15</v>
      </c>
      <c r="N14" s="40">
        <v>34.299999999999997</v>
      </c>
      <c r="O14" s="40">
        <v>0</v>
      </c>
      <c r="P14" s="40">
        <v>0.64</v>
      </c>
      <c r="Q14" s="40">
        <v>28.58</v>
      </c>
      <c r="R14" s="38"/>
      <c r="S14" s="38"/>
      <c r="T14" s="38"/>
      <c r="U14" s="38"/>
    </row>
    <row r="15" spans="1:21" customFormat="1">
      <c r="A15" s="39" t="s">
        <v>666</v>
      </c>
      <c r="B15" s="40">
        <v>3.78</v>
      </c>
      <c r="C15" s="40">
        <v>28.99</v>
      </c>
      <c r="D15" s="40">
        <v>18.850000000000001</v>
      </c>
      <c r="E15" s="40">
        <v>4.43</v>
      </c>
      <c r="F15" s="40">
        <v>8.51</v>
      </c>
      <c r="G15" s="40">
        <v>49.45</v>
      </c>
      <c r="H15" s="40">
        <v>25.12</v>
      </c>
      <c r="I15" s="40">
        <v>14.04</v>
      </c>
      <c r="J15" s="40">
        <v>1.34</v>
      </c>
      <c r="K15" s="40">
        <v>245.76</v>
      </c>
      <c r="L15" s="40">
        <v>31.22</v>
      </c>
      <c r="M15" s="40">
        <v>44.06</v>
      </c>
      <c r="N15" s="40">
        <v>78.5</v>
      </c>
      <c r="O15" s="40">
        <v>0</v>
      </c>
      <c r="P15" s="40">
        <v>0.6</v>
      </c>
      <c r="Q15" s="40">
        <v>28.63</v>
      </c>
      <c r="R15" s="38"/>
      <c r="S15" s="38"/>
      <c r="T15" s="38"/>
      <c r="U15" s="38"/>
    </row>
    <row r="16" spans="1:21" customFormat="1">
      <c r="A16" s="39" t="s">
        <v>667</v>
      </c>
      <c r="B16" s="40">
        <v>3.56</v>
      </c>
      <c r="C16" s="40">
        <v>27.24</v>
      </c>
      <c r="D16" s="40">
        <v>17.52</v>
      </c>
      <c r="E16" s="40">
        <v>4.0999999999999996</v>
      </c>
      <c r="F16" s="40">
        <v>7.67</v>
      </c>
      <c r="G16" s="40">
        <v>53.78</v>
      </c>
      <c r="H16" s="40">
        <v>25.14</v>
      </c>
      <c r="I16" s="40">
        <v>13</v>
      </c>
      <c r="J16" s="40">
        <v>2.1800000000000002</v>
      </c>
      <c r="K16" s="40">
        <v>229.14</v>
      </c>
      <c r="L16" s="40">
        <v>33.380000000000003</v>
      </c>
      <c r="M16" s="40">
        <v>43.39</v>
      </c>
      <c r="N16" s="40">
        <v>133.9</v>
      </c>
      <c r="O16" s="40">
        <v>0</v>
      </c>
      <c r="P16" s="40">
        <v>0.59</v>
      </c>
      <c r="Q16" s="40">
        <v>28.56</v>
      </c>
      <c r="R16" s="38"/>
      <c r="S16" s="38"/>
      <c r="T16" s="38"/>
      <c r="U16" s="38"/>
    </row>
    <row r="17" spans="1:21" customFormat="1">
      <c r="A17" s="39" t="s">
        <v>668</v>
      </c>
      <c r="B17" s="40">
        <v>3.29</v>
      </c>
      <c r="C17" s="40">
        <v>29.65</v>
      </c>
      <c r="D17" s="40">
        <v>18.579999999999998</v>
      </c>
      <c r="E17" s="40">
        <v>4.68</v>
      </c>
      <c r="F17" s="40">
        <v>8.07</v>
      </c>
      <c r="G17" s="40">
        <v>58.28</v>
      </c>
      <c r="H17" s="40">
        <v>24.68</v>
      </c>
      <c r="I17" s="40">
        <v>11.94</v>
      </c>
      <c r="J17" s="40">
        <v>2.35</v>
      </c>
      <c r="K17" s="40">
        <v>240.03</v>
      </c>
      <c r="L17" s="40">
        <v>34.89</v>
      </c>
      <c r="M17" s="40">
        <v>34.479999999999997</v>
      </c>
      <c r="N17" s="40">
        <v>190.4</v>
      </c>
      <c r="O17" s="40">
        <v>0</v>
      </c>
      <c r="P17" s="40">
        <v>0.56999999999999995</v>
      </c>
      <c r="Q17" s="40">
        <v>28.49</v>
      </c>
      <c r="R17" s="38"/>
      <c r="S17" s="38"/>
      <c r="T17" s="38"/>
      <c r="U17" s="38"/>
    </row>
    <row r="18" spans="1:21" customFormat="1">
      <c r="A18" s="39" t="s">
        <v>669</v>
      </c>
      <c r="B18" s="40">
        <v>2.64</v>
      </c>
      <c r="C18" s="40">
        <v>30.18</v>
      </c>
      <c r="D18" s="40">
        <v>18.47</v>
      </c>
      <c r="E18" s="40">
        <v>5.17</v>
      </c>
      <c r="F18" s="40">
        <v>8.2899999999999991</v>
      </c>
      <c r="G18" s="40">
        <v>59.22</v>
      </c>
      <c r="H18" s="40">
        <v>20.38</v>
      </c>
      <c r="I18" s="40">
        <v>11.36</v>
      </c>
      <c r="J18" s="40">
        <v>2.6</v>
      </c>
      <c r="K18" s="40">
        <v>250.59</v>
      </c>
      <c r="L18" s="40">
        <v>36.54</v>
      </c>
      <c r="M18" s="40">
        <v>29.32</v>
      </c>
      <c r="N18" s="40">
        <v>361.8</v>
      </c>
      <c r="O18" s="40">
        <v>0</v>
      </c>
      <c r="P18" s="40">
        <v>0.6</v>
      </c>
      <c r="Q18" s="40">
        <v>28.5</v>
      </c>
      <c r="R18" s="38"/>
      <c r="S18" s="38"/>
      <c r="T18" s="38"/>
      <c r="U18" s="38"/>
    </row>
    <row r="19" spans="1:21" customFormat="1">
      <c r="A19" s="39" t="s">
        <v>670</v>
      </c>
      <c r="B19" s="40">
        <v>2.35</v>
      </c>
      <c r="C19" s="40">
        <v>30.58</v>
      </c>
      <c r="D19" s="40">
        <v>18.39</v>
      </c>
      <c r="E19" s="40">
        <v>4.0199999999999996</v>
      </c>
      <c r="F19" s="40">
        <v>14.09</v>
      </c>
      <c r="G19" s="40">
        <v>65.55</v>
      </c>
      <c r="H19" s="40">
        <v>21.82</v>
      </c>
      <c r="I19" s="40">
        <v>15.11</v>
      </c>
      <c r="J19" s="40">
        <v>2.89</v>
      </c>
      <c r="K19" s="40">
        <v>250.83</v>
      </c>
      <c r="L19" s="40">
        <v>37.89</v>
      </c>
      <c r="M19" s="40">
        <v>24.68</v>
      </c>
      <c r="N19" s="40">
        <v>696.5</v>
      </c>
      <c r="O19" s="40">
        <v>0</v>
      </c>
      <c r="P19" s="40">
        <v>0.7</v>
      </c>
      <c r="Q19" s="40">
        <v>28.44</v>
      </c>
      <c r="R19" s="38"/>
      <c r="S19" s="38"/>
      <c r="T19" s="38"/>
      <c r="U19" s="38"/>
    </row>
    <row r="20" spans="1:21" customFormat="1">
      <c r="A20" s="39" t="s">
        <v>671</v>
      </c>
      <c r="B20" s="40">
        <v>2.16</v>
      </c>
      <c r="C20" s="40">
        <v>29.33</v>
      </c>
      <c r="D20" s="40">
        <v>17.670000000000002</v>
      </c>
      <c r="E20" s="40">
        <v>5.01</v>
      </c>
      <c r="F20" s="40">
        <v>18.39</v>
      </c>
      <c r="G20" s="40">
        <v>68.989999999999995</v>
      </c>
      <c r="H20" s="40">
        <v>24.2</v>
      </c>
      <c r="I20" s="40">
        <v>15.06</v>
      </c>
      <c r="J20" s="40">
        <v>2.4700000000000002</v>
      </c>
      <c r="K20" s="40">
        <v>249.4</v>
      </c>
      <c r="L20" s="40">
        <v>39.520000000000003</v>
      </c>
      <c r="M20" s="40">
        <v>22.51</v>
      </c>
      <c r="N20" s="40">
        <v>706.4</v>
      </c>
      <c r="O20" s="40">
        <v>0</v>
      </c>
      <c r="P20" s="40">
        <v>0.69</v>
      </c>
      <c r="Q20" s="40">
        <v>28.5</v>
      </c>
      <c r="R20" s="38"/>
      <c r="S20" s="38"/>
      <c r="T20" s="38"/>
      <c r="U20" s="38"/>
    </row>
    <row r="21" spans="1:21" customFormat="1">
      <c r="A21" s="39" t="s">
        <v>672</v>
      </c>
      <c r="B21" s="40">
        <v>2</v>
      </c>
      <c r="C21" s="40">
        <v>27.37</v>
      </c>
      <c r="D21" s="40">
        <v>16.48</v>
      </c>
      <c r="E21" s="40">
        <v>6.42</v>
      </c>
      <c r="F21" s="40">
        <v>23.1</v>
      </c>
      <c r="G21" s="40">
        <v>69.069999999999993</v>
      </c>
      <c r="H21" s="40">
        <v>24.45</v>
      </c>
      <c r="I21" s="40">
        <v>13.84</v>
      </c>
      <c r="J21" s="40">
        <v>1.46</v>
      </c>
      <c r="K21" s="40">
        <v>244.23</v>
      </c>
      <c r="L21" s="40">
        <v>41.57</v>
      </c>
      <c r="M21" s="40">
        <v>15.13</v>
      </c>
      <c r="N21" s="40">
        <v>648.20000000000005</v>
      </c>
      <c r="O21" s="40">
        <v>0</v>
      </c>
      <c r="P21" s="40">
        <v>0.57999999999999996</v>
      </c>
      <c r="Q21" s="40">
        <v>28.64</v>
      </c>
      <c r="R21" s="38"/>
      <c r="S21" s="38"/>
      <c r="T21" s="38"/>
      <c r="U21" s="38"/>
    </row>
    <row r="22" spans="1:21" customFormat="1">
      <c r="A22" s="39" t="s">
        <v>673</v>
      </c>
      <c r="B22" s="40">
        <v>2.02</v>
      </c>
      <c r="C22" s="40">
        <v>25.32</v>
      </c>
      <c r="D22" s="40">
        <v>15.47</v>
      </c>
      <c r="E22" s="40">
        <v>9.52</v>
      </c>
      <c r="F22" s="40">
        <v>47.39</v>
      </c>
      <c r="G22" s="40">
        <v>66.59</v>
      </c>
      <c r="H22" s="40">
        <v>22.08</v>
      </c>
      <c r="I22" s="40">
        <v>12.09</v>
      </c>
      <c r="J22" s="40">
        <v>1.78</v>
      </c>
      <c r="K22" s="40">
        <v>255.03</v>
      </c>
      <c r="L22" s="40">
        <v>42.16</v>
      </c>
      <c r="M22" s="40">
        <v>12.92</v>
      </c>
      <c r="N22" s="40">
        <v>585.6</v>
      </c>
      <c r="O22" s="40">
        <v>0</v>
      </c>
      <c r="P22" s="40">
        <v>0.53</v>
      </c>
      <c r="Q22" s="40">
        <v>28.77</v>
      </c>
      <c r="R22" s="38"/>
      <c r="S22" s="38"/>
      <c r="T22" s="38"/>
      <c r="U22" s="38"/>
    </row>
    <row r="23" spans="1:21" customFormat="1">
      <c r="A23" s="39" t="s">
        <v>674</v>
      </c>
      <c r="B23" s="40">
        <v>2.67</v>
      </c>
      <c r="C23" s="40">
        <v>24.17</v>
      </c>
      <c r="D23" s="40">
        <v>15.23</v>
      </c>
      <c r="E23" s="40">
        <v>9.25</v>
      </c>
      <c r="F23" s="40">
        <v>50.37</v>
      </c>
      <c r="G23" s="40">
        <v>54.48</v>
      </c>
      <c r="H23" s="40">
        <v>24.46</v>
      </c>
      <c r="I23" s="40">
        <v>10.42</v>
      </c>
      <c r="J23" s="40">
        <v>1.43</v>
      </c>
      <c r="K23" s="40">
        <v>240.88</v>
      </c>
      <c r="L23" s="40">
        <v>43.26</v>
      </c>
      <c r="M23" s="40">
        <v>11.5</v>
      </c>
      <c r="N23" s="40">
        <v>533</v>
      </c>
      <c r="O23" s="40">
        <v>0</v>
      </c>
      <c r="P23" s="40">
        <v>0.5</v>
      </c>
      <c r="Q23" s="40">
        <v>28.83</v>
      </c>
      <c r="R23" s="38"/>
      <c r="S23" s="38"/>
      <c r="T23" s="38"/>
      <c r="U23" s="38"/>
    </row>
    <row r="24" spans="1:21" customFormat="1">
      <c r="A24" s="39" t="s">
        <v>675</v>
      </c>
      <c r="B24" s="40">
        <v>2.4</v>
      </c>
      <c r="C24" s="40">
        <v>24.83</v>
      </c>
      <c r="D24" s="40">
        <v>15.22</v>
      </c>
      <c r="E24" s="40">
        <v>7.82</v>
      </c>
      <c r="F24" s="40">
        <v>36.47</v>
      </c>
      <c r="G24" s="40">
        <v>54.24</v>
      </c>
      <c r="H24" s="40">
        <v>26.29</v>
      </c>
      <c r="I24" s="40">
        <v>9.57</v>
      </c>
      <c r="J24" s="40">
        <v>1.64</v>
      </c>
      <c r="K24" s="40">
        <v>252.91</v>
      </c>
      <c r="L24" s="40">
        <v>43.8</v>
      </c>
      <c r="M24" s="40">
        <v>10.84</v>
      </c>
      <c r="N24" s="40">
        <v>415.4</v>
      </c>
      <c r="O24" s="40">
        <v>0</v>
      </c>
      <c r="P24" s="40">
        <v>0.47</v>
      </c>
      <c r="Q24" s="40">
        <v>28.81</v>
      </c>
      <c r="R24" s="38"/>
      <c r="S24" s="38"/>
      <c r="T24" s="38"/>
      <c r="U24" s="38"/>
    </row>
    <row r="25" spans="1:21" customFormat="1">
      <c r="A25" s="39" t="s">
        <v>676</v>
      </c>
      <c r="B25" s="40">
        <v>2.78</v>
      </c>
      <c r="C25" s="40">
        <v>25.78</v>
      </c>
      <c r="D25" s="40">
        <v>16.37</v>
      </c>
      <c r="E25" s="40">
        <v>12.35</v>
      </c>
      <c r="F25" s="40">
        <v>35.93</v>
      </c>
      <c r="G25" s="40">
        <v>50.51</v>
      </c>
      <c r="H25" s="40">
        <v>26.51</v>
      </c>
      <c r="I25" s="40">
        <v>9.74</v>
      </c>
      <c r="J25" s="40">
        <v>1.82</v>
      </c>
      <c r="K25" s="40">
        <v>244.15</v>
      </c>
      <c r="L25" s="40">
        <v>41.96</v>
      </c>
      <c r="M25" s="40">
        <v>14.08</v>
      </c>
      <c r="N25" s="40">
        <v>255.5</v>
      </c>
      <c r="O25" s="40">
        <v>0</v>
      </c>
      <c r="P25" s="40">
        <v>0.49</v>
      </c>
      <c r="Q25" s="40">
        <v>28.73</v>
      </c>
      <c r="R25" s="38"/>
      <c r="S25" s="38"/>
      <c r="T25" s="38"/>
      <c r="U25" s="38"/>
    </row>
    <row r="26" spans="1:21" customFormat="1">
      <c r="A26" s="39" t="s">
        <v>677</v>
      </c>
      <c r="B26" s="40">
        <v>3.4</v>
      </c>
      <c r="C26" s="40">
        <v>26.34</v>
      </c>
      <c r="D26" s="40">
        <v>16.899999999999999</v>
      </c>
      <c r="E26" s="40">
        <v>6.22</v>
      </c>
      <c r="F26" s="40">
        <v>45.76</v>
      </c>
      <c r="G26" s="40">
        <v>50.23</v>
      </c>
      <c r="H26" s="40">
        <v>22.45</v>
      </c>
      <c r="I26" s="40">
        <v>9.6</v>
      </c>
      <c r="J26" s="40">
        <v>0.91</v>
      </c>
      <c r="K26" s="40">
        <v>257.83999999999997</v>
      </c>
      <c r="L26" s="40">
        <v>40.89</v>
      </c>
      <c r="M26" s="40">
        <v>13.49</v>
      </c>
      <c r="N26" s="40">
        <v>124.1</v>
      </c>
      <c r="O26" s="40">
        <v>0</v>
      </c>
      <c r="P26" s="40">
        <v>0.59</v>
      </c>
      <c r="Q26" s="40">
        <v>28.61</v>
      </c>
      <c r="R26" s="38"/>
      <c r="S26" s="38"/>
      <c r="T26" s="38"/>
      <c r="U26" s="38"/>
    </row>
    <row r="27" spans="1:21" customFormat="1">
      <c r="A27" s="39" t="s">
        <v>678</v>
      </c>
      <c r="B27" s="40">
        <v>3.43</v>
      </c>
      <c r="C27" s="40">
        <v>28.6</v>
      </c>
      <c r="D27" s="40">
        <v>18.37</v>
      </c>
      <c r="E27" s="40">
        <v>5.93</v>
      </c>
      <c r="F27" s="40">
        <v>34.24</v>
      </c>
      <c r="G27" s="40">
        <v>69.06</v>
      </c>
      <c r="H27" s="40">
        <v>29.59</v>
      </c>
      <c r="I27" s="40">
        <v>9.43</v>
      </c>
      <c r="J27" s="40">
        <v>1.66</v>
      </c>
      <c r="K27" s="40">
        <v>44.9</v>
      </c>
      <c r="L27" s="40">
        <v>38.32</v>
      </c>
      <c r="M27" s="40">
        <v>17.940000000000001</v>
      </c>
      <c r="N27" s="40">
        <v>24.9</v>
      </c>
      <c r="O27" s="40">
        <v>0</v>
      </c>
      <c r="P27" s="40">
        <v>0.63</v>
      </c>
      <c r="Q27" s="40">
        <v>28.53</v>
      </c>
      <c r="R27" s="38"/>
      <c r="S27" s="38"/>
      <c r="T27" s="38"/>
      <c r="U27" s="38"/>
    </row>
    <row r="28" spans="1:21" customFormat="1">
      <c r="A28" s="39" t="s">
        <v>679</v>
      </c>
      <c r="B28" s="40">
        <v>4.0999999999999996</v>
      </c>
      <c r="C28" s="40">
        <v>34.57</v>
      </c>
      <c r="D28" s="40">
        <v>22.03</v>
      </c>
      <c r="E28" s="40">
        <v>12.48</v>
      </c>
      <c r="F28" s="40">
        <v>30.88</v>
      </c>
      <c r="G28" s="40">
        <v>83.86</v>
      </c>
      <c r="H28" s="40">
        <v>34.79</v>
      </c>
      <c r="I28" s="40">
        <v>8.6</v>
      </c>
      <c r="J28" s="40">
        <v>1.0900000000000001</v>
      </c>
      <c r="K28" s="40">
        <v>92.95</v>
      </c>
      <c r="L28" s="40">
        <v>36.31</v>
      </c>
      <c r="M28" s="40">
        <v>20.079999999999998</v>
      </c>
      <c r="N28" s="40">
        <v>22.7</v>
      </c>
      <c r="O28" s="40">
        <v>0</v>
      </c>
      <c r="P28" s="40">
        <v>0.87</v>
      </c>
      <c r="Q28" s="40">
        <v>28.46</v>
      </c>
      <c r="R28" s="38"/>
      <c r="S28" s="38"/>
      <c r="T28" s="38"/>
      <c r="U28" s="38"/>
    </row>
    <row r="29" spans="1:21" customFormat="1">
      <c r="A29" s="39" t="s">
        <v>680</v>
      </c>
      <c r="B29" s="40">
        <v>14.82</v>
      </c>
      <c r="C29" s="40">
        <v>45.95</v>
      </c>
      <c r="D29" s="40">
        <v>35.85</v>
      </c>
      <c r="E29" s="40">
        <v>58.4</v>
      </c>
      <c r="F29" s="40">
        <v>22.99</v>
      </c>
      <c r="G29" s="40">
        <v>87.81</v>
      </c>
      <c r="H29" s="40">
        <v>39.119999999999997</v>
      </c>
      <c r="I29" s="40">
        <v>16.8</v>
      </c>
      <c r="J29" s="40">
        <v>0.78</v>
      </c>
      <c r="K29" s="40">
        <v>167.99</v>
      </c>
      <c r="L29" s="40">
        <v>35.51</v>
      </c>
      <c r="M29" s="40">
        <v>20.39</v>
      </c>
      <c r="N29" s="40">
        <v>22.4</v>
      </c>
      <c r="O29" s="40">
        <v>0</v>
      </c>
      <c r="P29" s="40">
        <v>1.27</v>
      </c>
      <c r="Q29" s="40">
        <v>26.94</v>
      </c>
      <c r="R29" s="38"/>
      <c r="S29" s="38"/>
      <c r="T29" s="38"/>
      <c r="U29" s="38"/>
    </row>
    <row r="30" spans="1:21" customFormat="1">
      <c r="A30" s="39" t="s">
        <v>681</v>
      </c>
      <c r="B30" s="40">
        <v>6.87</v>
      </c>
      <c r="C30" s="40">
        <v>36.42</v>
      </c>
      <c r="D30" s="40">
        <v>25.21</v>
      </c>
      <c r="E30" s="40">
        <v>34.01</v>
      </c>
      <c r="F30" s="40">
        <v>21.85</v>
      </c>
      <c r="G30" s="40">
        <v>94.09</v>
      </c>
      <c r="H30" s="40">
        <v>43.49</v>
      </c>
      <c r="I30" s="40">
        <v>18.7</v>
      </c>
      <c r="J30" s="40">
        <v>0.47</v>
      </c>
      <c r="K30" s="40">
        <v>168.43</v>
      </c>
      <c r="L30" s="40">
        <v>35.22</v>
      </c>
      <c r="M30" s="40">
        <v>20.77</v>
      </c>
      <c r="N30" s="40">
        <v>22.7</v>
      </c>
      <c r="O30" s="40">
        <v>0</v>
      </c>
      <c r="P30" s="40">
        <v>0.93</v>
      </c>
      <c r="Q30" s="40">
        <v>27.83</v>
      </c>
      <c r="R30" s="38"/>
      <c r="S30" s="38"/>
      <c r="T30" s="38"/>
      <c r="U30" s="38"/>
    </row>
    <row r="31" spans="1:21" customFormat="1">
      <c r="A31" s="39" t="s">
        <v>682</v>
      </c>
      <c r="B31" s="40">
        <v>4.37</v>
      </c>
      <c r="C31" s="40">
        <v>31.73</v>
      </c>
      <c r="D31" s="40">
        <v>20.69</v>
      </c>
      <c r="E31" s="40">
        <v>9.8800000000000008</v>
      </c>
      <c r="F31" s="40">
        <v>18.059999999999999</v>
      </c>
      <c r="G31" s="40">
        <v>97.25</v>
      </c>
      <c r="H31" s="40">
        <v>39.36</v>
      </c>
      <c r="I31" s="40">
        <v>12.54</v>
      </c>
      <c r="J31" s="40">
        <v>1.72</v>
      </c>
      <c r="K31" s="40">
        <v>232.67</v>
      </c>
      <c r="L31" s="40">
        <v>34.57</v>
      </c>
      <c r="M31" s="40">
        <v>31.68</v>
      </c>
      <c r="N31" s="40">
        <v>23.8</v>
      </c>
      <c r="O31" s="40">
        <v>0</v>
      </c>
      <c r="P31" s="40">
        <v>0.77</v>
      </c>
      <c r="Q31" s="40">
        <v>28.28</v>
      </c>
      <c r="R31" s="38"/>
      <c r="S31" s="38"/>
      <c r="T31" s="38"/>
      <c r="U31" s="38"/>
    </row>
    <row r="32" spans="1:21" customFormat="1">
      <c r="A32" s="39" t="s">
        <v>683</v>
      </c>
      <c r="B32" s="40">
        <v>3.67</v>
      </c>
      <c r="C32" s="40">
        <v>29.97</v>
      </c>
      <c r="D32" s="40">
        <v>19.059999999999999</v>
      </c>
      <c r="E32" s="40">
        <v>3.74</v>
      </c>
      <c r="F32" s="40">
        <v>12.37</v>
      </c>
      <c r="G32" s="40">
        <v>87.65</v>
      </c>
      <c r="H32" s="40">
        <v>38.090000000000003</v>
      </c>
      <c r="I32" s="40">
        <v>11.58</v>
      </c>
      <c r="J32" s="40">
        <v>2.0099999999999998</v>
      </c>
      <c r="K32" s="40">
        <v>211.62</v>
      </c>
      <c r="L32" s="40">
        <v>31.91</v>
      </c>
      <c r="M32" s="40">
        <v>41.01</v>
      </c>
      <c r="N32" s="40">
        <v>24.3</v>
      </c>
      <c r="O32" s="40">
        <v>0</v>
      </c>
      <c r="P32" s="40">
        <v>0.64</v>
      </c>
      <c r="Q32" s="40">
        <v>28.44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</v>
      </c>
      <c r="C34" s="18">
        <f t="shared" si="0"/>
        <v>24.17</v>
      </c>
      <c r="D34" s="18">
        <f t="shared" si="0"/>
        <v>15.22</v>
      </c>
      <c r="E34" s="18">
        <f t="shared" si="0"/>
        <v>2.81</v>
      </c>
      <c r="F34" s="18">
        <f t="shared" si="0"/>
        <v>7.25</v>
      </c>
      <c r="G34" s="18">
        <f t="shared" si="0"/>
        <v>49.45</v>
      </c>
      <c r="H34" s="18">
        <f t="shared" si="0"/>
        <v>20.38</v>
      </c>
      <c r="I34" s="18">
        <f t="shared" si="0"/>
        <v>8.6</v>
      </c>
      <c r="J34" s="18">
        <f t="shared" si="0"/>
        <v>0.47</v>
      </c>
      <c r="K34" s="18">
        <f t="shared" si="0"/>
        <v>44.9</v>
      </c>
      <c r="L34" s="18">
        <f t="shared" si="0"/>
        <v>30.82</v>
      </c>
      <c r="M34" s="18">
        <f t="shared" si="0"/>
        <v>10.84</v>
      </c>
      <c r="N34" s="18">
        <f t="shared" si="0"/>
        <v>22.4</v>
      </c>
      <c r="O34" s="18">
        <f t="shared" si="0"/>
        <v>0</v>
      </c>
      <c r="P34" s="18">
        <f t="shared" si="0"/>
        <v>0.47</v>
      </c>
      <c r="Q34" s="18">
        <f t="shared" si="0"/>
        <v>26.94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14.82</v>
      </c>
      <c r="C35" s="3">
        <f t="shared" si="1"/>
        <v>45.95</v>
      </c>
      <c r="D35" s="3">
        <f t="shared" si="1"/>
        <v>35.85</v>
      </c>
      <c r="E35" s="3">
        <f t="shared" si="1"/>
        <v>58.4</v>
      </c>
      <c r="F35" s="3">
        <f t="shared" si="1"/>
        <v>50.37</v>
      </c>
      <c r="G35" s="3">
        <f t="shared" si="1"/>
        <v>97.25</v>
      </c>
      <c r="H35" s="3">
        <f t="shared" si="1"/>
        <v>43.49</v>
      </c>
      <c r="I35" s="3">
        <f t="shared" si="1"/>
        <v>20.58</v>
      </c>
      <c r="J35" s="3">
        <f t="shared" si="1"/>
        <v>2.89</v>
      </c>
      <c r="K35" s="3">
        <f t="shared" si="1"/>
        <v>257.83999999999997</v>
      </c>
      <c r="L35" s="3">
        <f t="shared" si="1"/>
        <v>43.8</v>
      </c>
      <c r="M35" s="3">
        <f t="shared" si="1"/>
        <v>44.06</v>
      </c>
      <c r="N35" s="3">
        <f t="shared" si="1"/>
        <v>706.4</v>
      </c>
      <c r="O35" s="3">
        <f t="shared" si="1"/>
        <v>0</v>
      </c>
      <c r="P35" s="3">
        <f t="shared" si="1"/>
        <v>1.27</v>
      </c>
      <c r="Q35" s="3">
        <f t="shared" si="1"/>
        <v>28.83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4.2379166666666679</v>
      </c>
      <c r="C36" s="18">
        <f t="shared" si="2"/>
        <v>29.689583333333335</v>
      </c>
      <c r="D36" s="18">
        <f t="shared" si="2"/>
        <v>19.426250000000003</v>
      </c>
      <c r="E36" s="18">
        <f t="shared" si="2"/>
        <v>9.9087499999999995</v>
      </c>
      <c r="F36" s="18">
        <f t="shared" si="2"/>
        <v>22.063333333333336</v>
      </c>
      <c r="G36" s="18">
        <f t="shared" si="2"/>
        <v>67.462499999999991</v>
      </c>
      <c r="H36" s="18">
        <f t="shared" si="2"/>
        <v>28.665416666666662</v>
      </c>
      <c r="I36" s="18">
        <f t="shared" si="2"/>
        <v>13.076666666666666</v>
      </c>
      <c r="J36" s="18">
        <f t="shared" si="2"/>
        <v>1.5737499999999998</v>
      </c>
      <c r="K36" s="18">
        <f t="shared" si="2"/>
        <v>219.79750000000001</v>
      </c>
      <c r="L36" s="18">
        <f t="shared" si="2"/>
        <v>36.363333333333337</v>
      </c>
      <c r="M36" s="18">
        <f t="shared" si="2"/>
        <v>26.519166666666663</v>
      </c>
      <c r="N36" s="18">
        <f t="shared" si="2"/>
        <v>209.06666666666663</v>
      </c>
      <c r="O36" s="18">
        <f t="shared" si="2"/>
        <v>0</v>
      </c>
      <c r="P36" s="18">
        <f t="shared" si="2"/>
        <v>0.67416666666666669</v>
      </c>
      <c r="Q36" s="18">
        <f t="shared" si="2"/>
        <v>28.452500000000004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3.3121620144770878</v>
      </c>
      <c r="C37" s="18">
        <f t="shared" ref="C37:Q37" si="3">STDEV(C9:C32)</f>
        <v>4.5101243395244577</v>
      </c>
      <c r="D37" s="18">
        <f t="shared" si="3"/>
        <v>4.637318202225881</v>
      </c>
      <c r="E37" s="18">
        <f t="shared" si="3"/>
        <v>12.037720899593982</v>
      </c>
      <c r="F37" s="18">
        <f t="shared" si="3"/>
        <v>13.601731880349918</v>
      </c>
      <c r="G37" s="18">
        <f t="shared" si="3"/>
        <v>14.261439115747525</v>
      </c>
      <c r="H37" s="18">
        <f t="shared" si="3"/>
        <v>6.2861898179689417</v>
      </c>
      <c r="I37" s="18">
        <f t="shared" si="3"/>
        <v>3.1405851942462673</v>
      </c>
      <c r="J37" s="18">
        <f t="shared" si="3"/>
        <v>0.60723759765021179</v>
      </c>
      <c r="K37" s="18">
        <f t="shared" si="3"/>
        <v>52.850378160795778</v>
      </c>
      <c r="L37" s="18">
        <f t="shared" si="3"/>
        <v>4.1682231295806318</v>
      </c>
      <c r="M37" s="18">
        <f t="shared" si="3"/>
        <v>11.042324076682998</v>
      </c>
      <c r="N37" s="18">
        <f t="shared" si="3"/>
        <v>249.67889581318795</v>
      </c>
      <c r="O37" s="18">
        <f t="shared" si="3"/>
        <v>0</v>
      </c>
      <c r="P37" s="18">
        <f t="shared" si="3"/>
        <v>0.18360914694148475</v>
      </c>
      <c r="Q37" s="18">
        <f t="shared" si="3"/>
        <v>0.37987698237604522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27/04/2025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684</v>
      </c>
      <c r="B9" s="40">
        <v>1.91</v>
      </c>
      <c r="C9" s="40">
        <v>26.73</v>
      </c>
      <c r="D9" s="40">
        <v>16.010000000000002</v>
      </c>
      <c r="E9" s="40">
        <v>3.7</v>
      </c>
      <c r="F9" s="40">
        <v>10.06</v>
      </c>
      <c r="G9" s="40">
        <v>70.44</v>
      </c>
      <c r="H9" s="40">
        <v>33.299999999999997</v>
      </c>
      <c r="I9" s="40">
        <v>10.33</v>
      </c>
      <c r="J9" s="40">
        <v>1.95</v>
      </c>
      <c r="K9" s="40">
        <v>216.49</v>
      </c>
      <c r="L9" s="40">
        <v>30.24</v>
      </c>
      <c r="M9" s="40">
        <v>51.18</v>
      </c>
      <c r="N9" s="40">
        <v>24</v>
      </c>
      <c r="O9" s="40">
        <v>0</v>
      </c>
      <c r="P9" s="40">
        <v>0.56000000000000005</v>
      </c>
      <c r="Q9" s="40">
        <v>28.67</v>
      </c>
      <c r="R9" s="38"/>
      <c r="S9" s="38"/>
      <c r="T9" s="38"/>
      <c r="U9" s="38"/>
    </row>
    <row r="10" spans="1:21" customFormat="1">
      <c r="A10" s="39" t="s">
        <v>685</v>
      </c>
      <c r="B10" s="40">
        <v>1.92</v>
      </c>
      <c r="C10" s="40">
        <v>27.35</v>
      </c>
      <c r="D10" s="40">
        <v>16.510000000000002</v>
      </c>
      <c r="E10" s="40">
        <v>2.89</v>
      </c>
      <c r="F10" s="40">
        <v>8.01</v>
      </c>
      <c r="G10" s="40">
        <v>58.39</v>
      </c>
      <c r="H10" s="40">
        <v>29.29</v>
      </c>
      <c r="I10" s="40">
        <v>8.7799999999999994</v>
      </c>
      <c r="J10" s="40">
        <v>1.17</v>
      </c>
      <c r="K10" s="40">
        <v>230.9</v>
      </c>
      <c r="L10" s="40">
        <v>27.91</v>
      </c>
      <c r="M10" s="40">
        <v>57.58</v>
      </c>
      <c r="N10" s="40">
        <v>23.3</v>
      </c>
      <c r="O10" s="40">
        <v>0</v>
      </c>
      <c r="P10" s="40">
        <v>0.49</v>
      </c>
      <c r="Q10" s="40">
        <v>28.68</v>
      </c>
      <c r="R10" s="38"/>
      <c r="S10" s="38"/>
      <c r="T10" s="38"/>
      <c r="U10" s="38"/>
    </row>
    <row r="11" spans="1:21" customFormat="1">
      <c r="A11" s="39" t="s">
        <v>686</v>
      </c>
      <c r="B11" s="40">
        <v>2.0299999999999998</v>
      </c>
      <c r="C11" s="40">
        <v>27.68</v>
      </c>
      <c r="D11" s="40">
        <v>16.71</v>
      </c>
      <c r="E11" s="40">
        <v>2.62</v>
      </c>
      <c r="F11" s="40">
        <v>7.36</v>
      </c>
      <c r="G11" s="40">
        <v>44.83</v>
      </c>
      <c r="H11" s="40">
        <v>27.51</v>
      </c>
      <c r="I11" s="40">
        <v>8.08</v>
      </c>
      <c r="J11" s="40">
        <v>2.2799999999999998</v>
      </c>
      <c r="K11" s="40">
        <v>236.33</v>
      </c>
      <c r="L11" s="40">
        <v>27.05</v>
      </c>
      <c r="M11" s="40">
        <v>61.53</v>
      </c>
      <c r="N11" s="40">
        <v>23.7</v>
      </c>
      <c r="O11" s="40">
        <v>0</v>
      </c>
      <c r="P11" s="40">
        <v>0.44</v>
      </c>
      <c r="Q11" s="40">
        <v>28.84</v>
      </c>
      <c r="R11" s="38"/>
      <c r="S11" s="38"/>
      <c r="T11" s="38"/>
      <c r="U11" s="38"/>
    </row>
    <row r="12" spans="1:21" customFormat="1">
      <c r="A12" s="39" t="s">
        <v>687</v>
      </c>
      <c r="B12" s="40">
        <v>1.84</v>
      </c>
      <c r="C12" s="40">
        <v>25.55</v>
      </c>
      <c r="D12" s="40">
        <v>15.5</v>
      </c>
      <c r="E12" s="40">
        <v>2.1</v>
      </c>
      <c r="F12" s="40">
        <v>6.73</v>
      </c>
      <c r="G12" s="40">
        <v>38.4</v>
      </c>
      <c r="H12" s="40">
        <v>22.35</v>
      </c>
      <c r="I12" s="40">
        <v>7.53</v>
      </c>
      <c r="J12" s="40">
        <v>2.1800000000000002</v>
      </c>
      <c r="K12" s="40">
        <v>245.02</v>
      </c>
      <c r="L12" s="40">
        <v>26.14</v>
      </c>
      <c r="M12" s="40">
        <v>69.959999999999994</v>
      </c>
      <c r="N12" s="40">
        <v>25</v>
      </c>
      <c r="O12" s="40">
        <v>0.4</v>
      </c>
      <c r="P12" s="40">
        <v>0.43</v>
      </c>
      <c r="Q12" s="40">
        <v>28.79</v>
      </c>
      <c r="R12" s="38"/>
      <c r="S12" s="38"/>
      <c r="T12" s="38"/>
      <c r="U12" s="38"/>
    </row>
    <row r="13" spans="1:21" customFormat="1">
      <c r="A13" s="39" t="s">
        <v>688</v>
      </c>
      <c r="B13" s="40">
        <v>2.0099999999999998</v>
      </c>
      <c r="C13" s="40">
        <v>26.33</v>
      </c>
      <c r="D13" s="40">
        <v>15.97</v>
      </c>
      <c r="E13" s="40">
        <v>2.2799999999999998</v>
      </c>
      <c r="F13" s="40">
        <v>6.86</v>
      </c>
      <c r="G13" s="40">
        <v>29.5</v>
      </c>
      <c r="H13" s="40">
        <v>21.95</v>
      </c>
      <c r="I13" s="40">
        <v>6.82</v>
      </c>
      <c r="J13" s="40">
        <v>1.79</v>
      </c>
      <c r="K13" s="40">
        <v>216.75</v>
      </c>
      <c r="L13" s="40">
        <v>25.21</v>
      </c>
      <c r="M13" s="40">
        <v>71.72</v>
      </c>
      <c r="N13" s="40">
        <v>24.8</v>
      </c>
      <c r="O13" s="40">
        <v>0</v>
      </c>
      <c r="P13" s="40">
        <v>0.41</v>
      </c>
      <c r="Q13" s="40">
        <v>28.72</v>
      </c>
      <c r="R13" s="38"/>
      <c r="S13" s="38"/>
      <c r="T13" s="38"/>
      <c r="U13" s="38"/>
    </row>
    <row r="14" spans="1:21" customFormat="1">
      <c r="A14" s="39" t="s">
        <v>689</v>
      </c>
      <c r="B14" s="40">
        <v>2.06</v>
      </c>
      <c r="C14" s="40">
        <v>26.63</v>
      </c>
      <c r="D14" s="40">
        <v>16.2</v>
      </c>
      <c r="E14" s="40">
        <v>2.65</v>
      </c>
      <c r="F14" s="40">
        <v>6.75</v>
      </c>
      <c r="G14" s="40">
        <v>22.77</v>
      </c>
      <c r="H14" s="40">
        <v>17.829999999999998</v>
      </c>
      <c r="I14" s="40">
        <v>6.37</v>
      </c>
      <c r="J14" s="40">
        <v>1.56</v>
      </c>
      <c r="K14" s="40">
        <v>218.32</v>
      </c>
      <c r="L14" s="40">
        <v>25.91</v>
      </c>
      <c r="M14" s="40">
        <v>62.65</v>
      </c>
      <c r="N14" s="40">
        <v>25.4</v>
      </c>
      <c r="O14" s="40">
        <v>0</v>
      </c>
      <c r="P14" s="40">
        <v>0.39</v>
      </c>
      <c r="Q14" s="40">
        <v>28.82</v>
      </c>
      <c r="R14" s="38"/>
      <c r="S14" s="38"/>
      <c r="T14" s="38"/>
      <c r="U14" s="38"/>
    </row>
    <row r="15" spans="1:21" customFormat="1">
      <c r="A15" s="39" t="s">
        <v>690</v>
      </c>
      <c r="B15" s="40">
        <v>1.88</v>
      </c>
      <c r="C15" s="40">
        <v>25.08</v>
      </c>
      <c r="D15" s="40">
        <v>15.25</v>
      </c>
      <c r="E15" s="40">
        <v>2.13</v>
      </c>
      <c r="F15" s="40">
        <v>6.1</v>
      </c>
      <c r="G15" s="40">
        <v>20.43</v>
      </c>
      <c r="H15" s="40">
        <v>16.13</v>
      </c>
      <c r="I15" s="40">
        <v>6.23</v>
      </c>
      <c r="J15" s="40">
        <v>1.23</v>
      </c>
      <c r="K15" s="40">
        <v>220.1</v>
      </c>
      <c r="L15" s="40">
        <v>25.75</v>
      </c>
      <c r="M15" s="40">
        <v>61.58</v>
      </c>
      <c r="N15" s="40">
        <v>44</v>
      </c>
      <c r="O15" s="40">
        <v>0</v>
      </c>
      <c r="P15" s="40">
        <v>0.41</v>
      </c>
      <c r="Q15" s="40">
        <v>28.74</v>
      </c>
      <c r="R15" s="38"/>
      <c r="S15" s="38"/>
      <c r="T15" s="38"/>
      <c r="U15" s="38"/>
    </row>
    <row r="16" spans="1:21" customFormat="1">
      <c r="A16" s="39" t="s">
        <v>691</v>
      </c>
      <c r="B16" s="40">
        <v>2.3199999999999998</v>
      </c>
      <c r="C16" s="40">
        <v>26.78</v>
      </c>
      <c r="D16" s="40">
        <v>16.37</v>
      </c>
      <c r="E16" s="40">
        <v>2.39</v>
      </c>
      <c r="F16" s="40">
        <v>5.9</v>
      </c>
      <c r="G16" s="40">
        <v>22.26</v>
      </c>
      <c r="H16" s="40">
        <v>17.75</v>
      </c>
      <c r="I16" s="40">
        <v>6.03</v>
      </c>
      <c r="J16" s="40">
        <v>0.8</v>
      </c>
      <c r="K16" s="40">
        <v>253.15</v>
      </c>
      <c r="L16" s="40">
        <v>26.54</v>
      </c>
      <c r="M16" s="40">
        <v>60.78</v>
      </c>
      <c r="N16" s="40">
        <v>143.5</v>
      </c>
      <c r="O16" s="40">
        <v>0</v>
      </c>
      <c r="P16" s="40">
        <v>0.41</v>
      </c>
      <c r="Q16" s="40">
        <v>28.6</v>
      </c>
      <c r="R16" s="38"/>
      <c r="S16" s="38"/>
      <c r="T16" s="38"/>
      <c r="U16" s="38"/>
    </row>
    <row r="17" spans="1:21" customFormat="1">
      <c r="A17" s="39" t="s">
        <v>692</v>
      </c>
      <c r="B17" s="40">
        <v>3.08</v>
      </c>
      <c r="C17" s="40">
        <v>27.55</v>
      </c>
      <c r="D17" s="40">
        <v>17.440000000000001</v>
      </c>
      <c r="E17" s="40">
        <v>2.2200000000000002</v>
      </c>
      <c r="F17" s="40">
        <v>4.28</v>
      </c>
      <c r="G17" s="40">
        <v>23.72</v>
      </c>
      <c r="H17" s="40">
        <v>19.11</v>
      </c>
      <c r="I17" s="40">
        <v>6.32</v>
      </c>
      <c r="J17" s="40">
        <v>1.34</v>
      </c>
      <c r="K17" s="40">
        <v>238.23</v>
      </c>
      <c r="L17" s="40">
        <v>27.33</v>
      </c>
      <c r="M17" s="40">
        <v>57.33</v>
      </c>
      <c r="N17" s="40">
        <v>206.1</v>
      </c>
      <c r="O17" s="40">
        <v>0</v>
      </c>
      <c r="P17" s="40">
        <v>0.39</v>
      </c>
      <c r="Q17" s="40">
        <v>28.58</v>
      </c>
      <c r="R17" s="38"/>
      <c r="S17" s="38"/>
      <c r="T17" s="38"/>
      <c r="U17" s="38"/>
    </row>
    <row r="18" spans="1:21" customFormat="1">
      <c r="A18" s="39" t="s">
        <v>693</v>
      </c>
      <c r="B18" s="40">
        <v>2.93</v>
      </c>
      <c r="C18" s="40">
        <v>25.85</v>
      </c>
      <c r="D18" s="40">
        <v>16.11</v>
      </c>
      <c r="E18" s="40">
        <v>1.79</v>
      </c>
      <c r="F18" s="40">
        <v>7.59</v>
      </c>
      <c r="G18" s="40">
        <v>20.51</v>
      </c>
      <c r="H18" s="40">
        <v>14.43</v>
      </c>
      <c r="I18" s="40">
        <v>6.65</v>
      </c>
      <c r="J18" s="40">
        <v>1.32</v>
      </c>
      <c r="K18" s="40">
        <v>254.66</v>
      </c>
      <c r="L18" s="40">
        <v>28.54</v>
      </c>
      <c r="M18" s="40">
        <v>54.88</v>
      </c>
      <c r="N18" s="40">
        <v>661.8</v>
      </c>
      <c r="O18" s="40">
        <v>0</v>
      </c>
      <c r="P18" s="40">
        <v>0.43</v>
      </c>
      <c r="Q18" s="40">
        <v>28.64</v>
      </c>
      <c r="R18" s="38"/>
      <c r="S18" s="38"/>
      <c r="T18" s="38"/>
      <c r="U18" s="38"/>
    </row>
    <row r="19" spans="1:21" customFormat="1">
      <c r="A19" s="39" t="s">
        <v>694</v>
      </c>
      <c r="B19" s="40">
        <v>2.23</v>
      </c>
      <c r="C19" s="40">
        <v>27.32</v>
      </c>
      <c r="D19" s="40">
        <v>16.53</v>
      </c>
      <c r="E19" s="40">
        <v>1.83</v>
      </c>
      <c r="F19" s="40">
        <v>9.51</v>
      </c>
      <c r="G19" s="40">
        <v>24.39</v>
      </c>
      <c r="H19" s="40">
        <v>14.75</v>
      </c>
      <c r="I19" s="40">
        <v>6.54</v>
      </c>
      <c r="J19" s="40">
        <v>1.56</v>
      </c>
      <c r="K19" s="40">
        <v>250.26</v>
      </c>
      <c r="L19" s="40">
        <v>32.57</v>
      </c>
      <c r="M19" s="40">
        <v>44.13</v>
      </c>
      <c r="N19" s="40">
        <v>831.3</v>
      </c>
      <c r="O19" s="40">
        <v>0</v>
      </c>
      <c r="P19" s="40">
        <v>0.43</v>
      </c>
      <c r="Q19" s="40">
        <v>28.55</v>
      </c>
      <c r="R19" s="38"/>
      <c r="S19" s="38"/>
      <c r="T19" s="38"/>
      <c r="U19" s="38"/>
    </row>
    <row r="20" spans="1:21" customFormat="1">
      <c r="A20" s="39" t="s">
        <v>695</v>
      </c>
      <c r="B20" s="40">
        <v>1.96</v>
      </c>
      <c r="C20" s="40">
        <v>28.1</v>
      </c>
      <c r="D20" s="40">
        <v>16.93</v>
      </c>
      <c r="E20" s="40">
        <v>3.51</v>
      </c>
      <c r="F20" s="40">
        <v>8.8699999999999992</v>
      </c>
      <c r="G20" s="40">
        <v>27.7</v>
      </c>
      <c r="H20" s="40">
        <v>16.329999999999998</v>
      </c>
      <c r="I20" s="40">
        <v>6.55</v>
      </c>
      <c r="J20" s="40">
        <v>1.56</v>
      </c>
      <c r="K20" s="40">
        <v>254.88</v>
      </c>
      <c r="L20" s="40">
        <v>34.840000000000003</v>
      </c>
      <c r="M20" s="40">
        <v>34.950000000000003</v>
      </c>
      <c r="N20" s="40">
        <v>870.6</v>
      </c>
      <c r="O20" s="40">
        <v>0</v>
      </c>
      <c r="P20" s="40">
        <v>0.45</v>
      </c>
      <c r="Q20" s="40">
        <v>28.53</v>
      </c>
      <c r="R20" s="38"/>
      <c r="S20" s="38"/>
      <c r="T20" s="38"/>
      <c r="U20" s="38"/>
    </row>
    <row r="21" spans="1:21" customFormat="1">
      <c r="A21" s="39" t="s">
        <v>696</v>
      </c>
      <c r="B21" s="40">
        <v>1.91</v>
      </c>
      <c r="C21" s="40">
        <v>27.39</v>
      </c>
      <c r="D21" s="40">
        <v>16.350000000000001</v>
      </c>
      <c r="E21" s="40">
        <v>3.68</v>
      </c>
      <c r="F21" s="40">
        <v>19.28</v>
      </c>
      <c r="G21" s="40">
        <v>32.340000000000003</v>
      </c>
      <c r="H21" s="40">
        <v>16.11</v>
      </c>
      <c r="I21" s="40">
        <v>9.09</v>
      </c>
      <c r="J21" s="40">
        <v>1.93</v>
      </c>
      <c r="K21" s="40">
        <v>242.12</v>
      </c>
      <c r="L21" s="40">
        <v>35.9</v>
      </c>
      <c r="M21" s="40">
        <v>29.28</v>
      </c>
      <c r="N21" s="40">
        <v>890.8</v>
      </c>
      <c r="O21" s="40">
        <v>0</v>
      </c>
      <c r="P21" s="40">
        <v>0.56000000000000005</v>
      </c>
      <c r="Q21" s="40">
        <v>28.8</v>
      </c>
      <c r="R21" s="38"/>
      <c r="S21" s="38"/>
      <c r="T21" s="38"/>
      <c r="U21" s="38"/>
    </row>
    <row r="22" spans="1:21" customFormat="1">
      <c r="A22" s="39" t="s">
        <v>697</v>
      </c>
      <c r="B22" s="40">
        <v>1.79</v>
      </c>
      <c r="C22" s="40">
        <v>27.21</v>
      </c>
      <c r="D22" s="40">
        <v>16.29</v>
      </c>
      <c r="E22" s="40">
        <v>4.8099999999999996</v>
      </c>
      <c r="F22" s="40">
        <v>19.670000000000002</v>
      </c>
      <c r="G22" s="40">
        <v>35.28</v>
      </c>
      <c r="H22" s="40">
        <v>16.66</v>
      </c>
      <c r="I22" s="40">
        <v>9.66</v>
      </c>
      <c r="J22" s="40">
        <v>1.39</v>
      </c>
      <c r="K22" s="40">
        <v>230.49</v>
      </c>
      <c r="L22" s="40">
        <v>37.4</v>
      </c>
      <c r="M22" s="40">
        <v>26.96</v>
      </c>
      <c r="N22" s="40">
        <v>791.2</v>
      </c>
      <c r="O22" s="40">
        <v>0</v>
      </c>
      <c r="P22" s="40">
        <v>0.66</v>
      </c>
      <c r="Q22" s="40">
        <v>28.59</v>
      </c>
      <c r="R22" s="38"/>
      <c r="S22" s="38"/>
      <c r="T22" s="38"/>
      <c r="U22" s="38"/>
    </row>
    <row r="23" spans="1:21" customFormat="1">
      <c r="A23" s="39" t="s">
        <v>698</v>
      </c>
      <c r="B23" s="40">
        <v>1.76</v>
      </c>
      <c r="C23" s="40">
        <v>27.51</v>
      </c>
      <c r="D23" s="40">
        <v>16.41</v>
      </c>
      <c r="E23" s="40">
        <v>5.3</v>
      </c>
      <c r="F23" s="40">
        <v>13.4</v>
      </c>
      <c r="G23" s="40">
        <v>35.79</v>
      </c>
      <c r="H23" s="40">
        <v>17.03</v>
      </c>
      <c r="I23" s="40">
        <v>9.84</v>
      </c>
      <c r="J23" s="40">
        <v>1.73</v>
      </c>
      <c r="K23" s="40">
        <v>245.08</v>
      </c>
      <c r="L23" s="40">
        <v>38.770000000000003</v>
      </c>
      <c r="M23" s="40">
        <v>19.649999999999999</v>
      </c>
      <c r="N23" s="40">
        <v>749.9</v>
      </c>
      <c r="O23" s="40">
        <v>0</v>
      </c>
      <c r="P23" s="40">
        <v>0.63</v>
      </c>
      <c r="Q23" s="40">
        <v>28.67</v>
      </c>
      <c r="R23" s="38"/>
      <c r="S23" s="38"/>
      <c r="T23" s="38"/>
      <c r="U23" s="38"/>
    </row>
    <row r="24" spans="1:21" customFormat="1">
      <c r="A24" s="39" t="s">
        <v>699</v>
      </c>
      <c r="B24" s="40">
        <v>1.75</v>
      </c>
      <c r="C24" s="40">
        <v>26.63</v>
      </c>
      <c r="D24" s="40">
        <v>15.98</v>
      </c>
      <c r="E24" s="40">
        <v>3.83</v>
      </c>
      <c r="F24" s="40">
        <v>17.43</v>
      </c>
      <c r="G24" s="40">
        <v>32.479999999999997</v>
      </c>
      <c r="H24" s="40">
        <v>15.44</v>
      </c>
      <c r="I24" s="40">
        <v>9.7899999999999991</v>
      </c>
      <c r="J24" s="40">
        <v>1.44</v>
      </c>
      <c r="K24" s="40">
        <v>246.46</v>
      </c>
      <c r="L24" s="40">
        <v>39.76</v>
      </c>
      <c r="M24" s="40">
        <v>18.34</v>
      </c>
      <c r="N24" s="40">
        <v>590.79999999999995</v>
      </c>
      <c r="O24" s="40">
        <v>0</v>
      </c>
      <c r="P24" s="40">
        <v>0.57999999999999996</v>
      </c>
      <c r="Q24" s="40">
        <v>28.88</v>
      </c>
      <c r="R24" s="38"/>
      <c r="S24" s="38"/>
      <c r="T24" s="38"/>
      <c r="U24" s="38"/>
    </row>
    <row r="25" spans="1:21" customFormat="1">
      <c r="A25" s="39" t="s">
        <v>700</v>
      </c>
      <c r="B25" s="40">
        <v>4.04</v>
      </c>
      <c r="C25" s="40">
        <v>25.32</v>
      </c>
      <c r="D25" s="40">
        <v>16.010000000000002</v>
      </c>
      <c r="E25" s="40">
        <v>3.06</v>
      </c>
      <c r="F25" s="40">
        <v>26.85</v>
      </c>
      <c r="G25" s="40">
        <v>29.42</v>
      </c>
      <c r="H25" s="40">
        <v>15.48</v>
      </c>
      <c r="I25" s="40">
        <v>8.49</v>
      </c>
      <c r="J25" s="40">
        <v>1.65</v>
      </c>
      <c r="K25" s="40">
        <v>247.17</v>
      </c>
      <c r="L25" s="40">
        <v>39.28</v>
      </c>
      <c r="M25" s="40">
        <v>19.059999999999999</v>
      </c>
      <c r="N25" s="40">
        <v>379.5</v>
      </c>
      <c r="O25" s="40">
        <v>0</v>
      </c>
      <c r="P25" s="40">
        <v>0.52</v>
      </c>
      <c r="Q25" s="40">
        <v>28.76</v>
      </c>
      <c r="R25" s="38"/>
      <c r="S25" s="38"/>
      <c r="T25" s="38"/>
      <c r="U25" s="38"/>
    </row>
    <row r="26" spans="1:21" customFormat="1">
      <c r="A26" s="39" t="s">
        <v>701</v>
      </c>
      <c r="B26" s="40">
        <v>2.08</v>
      </c>
      <c r="C26" s="40">
        <v>24.15</v>
      </c>
      <c r="D26" s="40">
        <v>14.88</v>
      </c>
      <c r="E26" s="40">
        <v>2.52</v>
      </c>
      <c r="F26" s="40">
        <v>19.170000000000002</v>
      </c>
      <c r="G26" s="40">
        <v>27.32</v>
      </c>
      <c r="H26" s="40">
        <v>12.83</v>
      </c>
      <c r="I26" s="40">
        <v>7.62</v>
      </c>
      <c r="J26" s="40">
        <v>1.45</v>
      </c>
      <c r="K26" s="40">
        <v>247.15</v>
      </c>
      <c r="L26" s="40">
        <v>38.47</v>
      </c>
      <c r="M26" s="40">
        <v>21.01</v>
      </c>
      <c r="N26" s="40">
        <v>162</v>
      </c>
      <c r="O26" s="40">
        <v>0</v>
      </c>
      <c r="P26" s="40">
        <v>0.48</v>
      </c>
      <c r="Q26" s="40">
        <v>28.79</v>
      </c>
      <c r="R26" s="38"/>
      <c r="S26" s="38"/>
      <c r="T26" s="38"/>
      <c r="U26" s="38"/>
    </row>
    <row r="27" spans="1:21" customFormat="1">
      <c r="A27" s="39" t="s">
        <v>702</v>
      </c>
      <c r="B27" s="40">
        <v>3.77</v>
      </c>
      <c r="C27" s="40">
        <v>28.48</v>
      </c>
      <c r="D27" s="40">
        <v>18.22</v>
      </c>
      <c r="E27" s="40">
        <v>10.51</v>
      </c>
      <c r="F27" s="40">
        <v>25.42</v>
      </c>
      <c r="G27" s="40">
        <v>26.35</v>
      </c>
      <c r="H27" s="40">
        <v>12.77</v>
      </c>
      <c r="I27" s="40">
        <v>7.5</v>
      </c>
      <c r="J27" s="40">
        <v>1.1499999999999999</v>
      </c>
      <c r="K27" s="40">
        <v>264.67</v>
      </c>
      <c r="L27" s="40">
        <v>36.33</v>
      </c>
      <c r="M27" s="40">
        <v>22.53</v>
      </c>
      <c r="N27" s="40">
        <v>30.1</v>
      </c>
      <c r="O27" s="40">
        <v>0</v>
      </c>
      <c r="P27" s="40">
        <v>0.5</v>
      </c>
      <c r="Q27" s="40">
        <v>28.74</v>
      </c>
      <c r="R27" s="38"/>
      <c r="S27" s="38"/>
      <c r="T27" s="38"/>
      <c r="U27" s="38"/>
    </row>
    <row r="28" spans="1:21" customFormat="1">
      <c r="A28" s="39" t="s">
        <v>703</v>
      </c>
      <c r="B28" s="40">
        <v>7.55</v>
      </c>
      <c r="C28" s="40">
        <v>35.29</v>
      </c>
      <c r="D28" s="40">
        <v>25.16</v>
      </c>
      <c r="E28" s="40">
        <v>9.6199999999999992</v>
      </c>
      <c r="F28" s="40">
        <v>23.83</v>
      </c>
      <c r="G28" s="40">
        <v>81.72</v>
      </c>
      <c r="H28" s="40">
        <v>17.93</v>
      </c>
      <c r="I28" s="40">
        <v>10.11</v>
      </c>
      <c r="J28" s="40">
        <v>1.51</v>
      </c>
      <c r="K28" s="40">
        <v>60.43</v>
      </c>
      <c r="L28" s="40">
        <v>34.83</v>
      </c>
      <c r="M28" s="40">
        <v>33.51</v>
      </c>
      <c r="N28" s="40">
        <v>26.4</v>
      </c>
      <c r="O28" s="40">
        <v>0</v>
      </c>
      <c r="P28" s="40">
        <v>0.77</v>
      </c>
      <c r="Q28" s="40">
        <v>28.42</v>
      </c>
      <c r="R28" s="38"/>
      <c r="S28" s="38"/>
      <c r="T28" s="38"/>
      <c r="U28" s="38"/>
    </row>
    <row r="29" spans="1:21" customFormat="1">
      <c r="A29" s="39" t="s">
        <v>704</v>
      </c>
      <c r="B29" s="40">
        <v>3.04</v>
      </c>
      <c r="C29" s="40">
        <v>28.31</v>
      </c>
      <c r="D29" s="40">
        <v>17.149999999999999</v>
      </c>
      <c r="E29" s="40">
        <v>4.5</v>
      </c>
      <c r="F29" s="40">
        <v>22.67</v>
      </c>
      <c r="G29" s="40">
        <v>129.97</v>
      </c>
      <c r="H29" s="40">
        <v>20.11</v>
      </c>
      <c r="I29" s="40">
        <v>7.61</v>
      </c>
      <c r="J29" s="40">
        <v>2.36</v>
      </c>
      <c r="K29" s="40">
        <v>131.22999999999999</v>
      </c>
      <c r="L29" s="40">
        <v>30.2</v>
      </c>
      <c r="M29" s="40">
        <v>74.08</v>
      </c>
      <c r="N29" s="40">
        <v>26.6</v>
      </c>
      <c r="O29" s="40">
        <v>1.6</v>
      </c>
      <c r="P29" s="40">
        <v>0.51</v>
      </c>
      <c r="Q29" s="40">
        <v>28.53</v>
      </c>
      <c r="R29" s="38"/>
      <c r="S29" s="38"/>
      <c r="T29" s="38"/>
      <c r="U29" s="38"/>
    </row>
    <row r="30" spans="1:21" customFormat="1">
      <c r="A30" s="39" t="s">
        <v>705</v>
      </c>
      <c r="B30" s="40">
        <v>4.3499999999999996</v>
      </c>
      <c r="C30" s="40">
        <v>28.84</v>
      </c>
      <c r="D30" s="40">
        <v>18.8</v>
      </c>
      <c r="E30" s="40">
        <v>2.59</v>
      </c>
      <c r="F30" s="40">
        <v>6.35</v>
      </c>
      <c r="G30" s="40">
        <v>100.57</v>
      </c>
      <c r="H30" s="40">
        <v>20.440000000000001</v>
      </c>
      <c r="I30" s="40">
        <v>7.55</v>
      </c>
      <c r="J30" s="40">
        <v>1.55</v>
      </c>
      <c r="K30" s="40">
        <v>162.88999999999999</v>
      </c>
      <c r="L30" s="40">
        <v>24.27</v>
      </c>
      <c r="M30" s="40">
        <v>85.19</v>
      </c>
      <c r="N30" s="40">
        <v>26.4</v>
      </c>
      <c r="O30" s="40">
        <v>0.8</v>
      </c>
      <c r="P30" s="40">
        <v>0.47</v>
      </c>
      <c r="Q30" s="40">
        <v>28.36</v>
      </c>
      <c r="R30" s="38"/>
      <c r="S30" s="38"/>
      <c r="T30" s="38"/>
      <c r="U30" s="38"/>
    </row>
    <row r="31" spans="1:21" customFormat="1">
      <c r="A31" s="39" t="s">
        <v>706</v>
      </c>
      <c r="B31" s="40">
        <v>4.1500000000000004</v>
      </c>
      <c r="C31" s="40">
        <v>29.19</v>
      </c>
      <c r="D31" s="40">
        <v>19.25</v>
      </c>
      <c r="E31" s="40">
        <v>2.35</v>
      </c>
      <c r="F31" s="40">
        <v>6.99</v>
      </c>
      <c r="G31" s="40">
        <v>39.119999999999997</v>
      </c>
      <c r="H31" s="40">
        <v>20.82</v>
      </c>
      <c r="I31" s="40">
        <v>7.61</v>
      </c>
      <c r="J31" s="40">
        <v>1.21</v>
      </c>
      <c r="K31" s="40">
        <v>212.42</v>
      </c>
      <c r="L31" s="40">
        <v>25.66</v>
      </c>
      <c r="M31" s="40">
        <v>70.55</v>
      </c>
      <c r="N31" s="40">
        <v>26.5</v>
      </c>
      <c r="O31" s="40">
        <v>0</v>
      </c>
      <c r="P31" s="40">
        <v>0.5</v>
      </c>
      <c r="Q31" s="40">
        <v>28.32</v>
      </c>
      <c r="R31" s="38"/>
      <c r="S31" s="38"/>
      <c r="T31" s="38"/>
      <c r="U31" s="38"/>
    </row>
    <row r="32" spans="1:21" customFormat="1">
      <c r="A32" s="39" t="s">
        <v>707</v>
      </c>
      <c r="B32" s="40">
        <v>4.42</v>
      </c>
      <c r="C32" s="40">
        <v>31.2</v>
      </c>
      <c r="D32" s="40">
        <v>20.52</v>
      </c>
      <c r="E32" s="40">
        <v>2.0099999999999998</v>
      </c>
      <c r="F32" s="40">
        <v>6.74</v>
      </c>
      <c r="G32" s="40">
        <v>44.1</v>
      </c>
      <c r="H32" s="40">
        <v>19.059999999999999</v>
      </c>
      <c r="I32" s="40">
        <v>7.52</v>
      </c>
      <c r="J32" s="40">
        <v>1.45</v>
      </c>
      <c r="K32" s="40">
        <v>233.7</v>
      </c>
      <c r="L32" s="40">
        <v>25.77</v>
      </c>
      <c r="M32" s="40">
        <v>64.099999999999994</v>
      </c>
      <c r="N32" s="40">
        <v>23.3</v>
      </c>
      <c r="O32" s="40">
        <v>0</v>
      </c>
      <c r="P32" s="40">
        <v>0.49</v>
      </c>
      <c r="Q32" s="40">
        <v>28.15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1.75</v>
      </c>
      <c r="C34" s="18">
        <f t="shared" si="0"/>
        <v>24.15</v>
      </c>
      <c r="D34" s="18">
        <f t="shared" si="0"/>
        <v>14.88</v>
      </c>
      <c r="E34" s="18">
        <f t="shared" si="0"/>
        <v>1.79</v>
      </c>
      <c r="F34" s="18">
        <f t="shared" si="0"/>
        <v>4.28</v>
      </c>
      <c r="G34" s="18">
        <f t="shared" si="0"/>
        <v>20.43</v>
      </c>
      <c r="H34" s="18">
        <f t="shared" si="0"/>
        <v>12.77</v>
      </c>
      <c r="I34" s="18">
        <f t="shared" si="0"/>
        <v>6.03</v>
      </c>
      <c r="J34" s="18">
        <f t="shared" si="0"/>
        <v>0.8</v>
      </c>
      <c r="K34" s="18">
        <f t="shared" si="0"/>
        <v>60.43</v>
      </c>
      <c r="L34" s="18">
        <f t="shared" si="0"/>
        <v>24.27</v>
      </c>
      <c r="M34" s="18">
        <f t="shared" si="0"/>
        <v>18.34</v>
      </c>
      <c r="N34" s="18">
        <f t="shared" si="0"/>
        <v>23.3</v>
      </c>
      <c r="O34" s="18">
        <f t="shared" si="0"/>
        <v>0</v>
      </c>
      <c r="P34" s="18">
        <f t="shared" si="0"/>
        <v>0.39</v>
      </c>
      <c r="Q34" s="18">
        <f t="shared" si="0"/>
        <v>28.15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7.55</v>
      </c>
      <c r="C35" s="3">
        <f t="shared" si="1"/>
        <v>35.29</v>
      </c>
      <c r="D35" s="3">
        <f t="shared" si="1"/>
        <v>25.16</v>
      </c>
      <c r="E35" s="3">
        <f t="shared" si="1"/>
        <v>10.51</v>
      </c>
      <c r="F35" s="3">
        <f t="shared" si="1"/>
        <v>26.85</v>
      </c>
      <c r="G35" s="3">
        <f t="shared" si="1"/>
        <v>129.97</v>
      </c>
      <c r="H35" s="3">
        <f t="shared" si="1"/>
        <v>33.299999999999997</v>
      </c>
      <c r="I35" s="3">
        <f t="shared" si="1"/>
        <v>10.33</v>
      </c>
      <c r="J35" s="3">
        <f t="shared" si="1"/>
        <v>2.36</v>
      </c>
      <c r="K35" s="3">
        <f t="shared" si="1"/>
        <v>264.67</v>
      </c>
      <c r="L35" s="3">
        <f t="shared" si="1"/>
        <v>39.76</v>
      </c>
      <c r="M35" s="3">
        <f t="shared" si="1"/>
        <v>85.19</v>
      </c>
      <c r="N35" s="3">
        <f t="shared" si="1"/>
        <v>890.8</v>
      </c>
      <c r="O35" s="3">
        <f t="shared" si="1"/>
        <v>1.6</v>
      </c>
      <c r="P35" s="3">
        <f t="shared" si="1"/>
        <v>0.77</v>
      </c>
      <c r="Q35" s="3">
        <f t="shared" si="1"/>
        <v>28.88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2.7824999999999993</v>
      </c>
      <c r="C36" s="18">
        <f t="shared" si="2"/>
        <v>27.519583333333333</v>
      </c>
      <c r="D36" s="18">
        <f t="shared" si="2"/>
        <v>17.106249999999999</v>
      </c>
      <c r="E36" s="18">
        <f t="shared" si="2"/>
        <v>3.5370833333333334</v>
      </c>
      <c r="F36" s="18">
        <f t="shared" si="2"/>
        <v>12.325833333333335</v>
      </c>
      <c r="G36" s="18">
        <f t="shared" si="2"/>
        <v>42.408333333333331</v>
      </c>
      <c r="H36" s="18">
        <f t="shared" si="2"/>
        <v>18.975416666666664</v>
      </c>
      <c r="I36" s="18">
        <f t="shared" si="2"/>
        <v>7.8591666666666704</v>
      </c>
      <c r="J36" s="18">
        <f t="shared" si="2"/>
        <v>1.5650000000000002</v>
      </c>
      <c r="K36" s="18">
        <f t="shared" si="2"/>
        <v>223.28749999999999</v>
      </c>
      <c r="L36" s="18">
        <f t="shared" si="2"/>
        <v>31.027916666666666</v>
      </c>
      <c r="M36" s="18">
        <f t="shared" si="2"/>
        <v>48.855416666666663</v>
      </c>
      <c r="N36" s="18">
        <f t="shared" si="2"/>
        <v>276.125</v>
      </c>
      <c r="O36" s="18">
        <f t="shared" si="2"/>
        <v>0.11666666666666665</v>
      </c>
      <c r="P36" s="18">
        <f t="shared" si="2"/>
        <v>0.49625000000000008</v>
      </c>
      <c r="Q36" s="18">
        <f t="shared" si="2"/>
        <v>28.63208333333333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1.3658991305300006</v>
      </c>
      <c r="C37" s="18">
        <f t="shared" ref="C37:Q37" si="3">STDEV(C9:C32)</f>
        <v>2.221725688790559</v>
      </c>
      <c r="D37" s="18">
        <f t="shared" si="3"/>
        <v>2.1491571907226281</v>
      </c>
      <c r="E37" s="18">
        <f t="shared" si="3"/>
        <v>2.2263393217033016</v>
      </c>
      <c r="F37" s="18">
        <f t="shared" si="3"/>
        <v>7.2868905020183838</v>
      </c>
      <c r="G37" s="18">
        <f t="shared" si="3"/>
        <v>27.530131582096306</v>
      </c>
      <c r="H37" s="18">
        <f t="shared" si="3"/>
        <v>5.0535497460925507</v>
      </c>
      <c r="I37" s="18">
        <f t="shared" si="3"/>
        <v>1.3527393034832502</v>
      </c>
      <c r="J37" s="18">
        <f t="shared" si="3"/>
        <v>0.37453739582258566</v>
      </c>
      <c r="K37" s="18">
        <f t="shared" si="3"/>
        <v>45.583784612131922</v>
      </c>
      <c r="L37" s="18">
        <f t="shared" si="3"/>
        <v>5.3741142681065996</v>
      </c>
      <c r="M37" s="18">
        <f t="shared" si="3"/>
        <v>20.774666633471753</v>
      </c>
      <c r="N37" s="18">
        <f t="shared" si="3"/>
        <v>338.2247622256665</v>
      </c>
      <c r="O37" s="18">
        <f t="shared" si="3"/>
        <v>0.3631584474730204</v>
      </c>
      <c r="P37" s="18">
        <f t="shared" si="3"/>
        <v>9.3241738181623304E-2</v>
      </c>
      <c r="Q37" s="18">
        <f t="shared" si="3"/>
        <v>0.18089101130519022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96"/>
  <sheetViews>
    <sheetView zoomScale="85" zoomScaleNormal="85" workbookViewId="0">
      <pane xSplit="1" ySplit="8" topLeftCell="B15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28/04/2025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708</v>
      </c>
      <c r="B9" s="40">
        <v>6.36</v>
      </c>
      <c r="C9" s="40">
        <v>31.41</v>
      </c>
      <c r="D9" s="40">
        <v>22.13</v>
      </c>
      <c r="E9" s="40">
        <v>2.36</v>
      </c>
      <c r="F9" s="40">
        <v>2.92</v>
      </c>
      <c r="G9" s="40">
        <v>26.8</v>
      </c>
      <c r="H9" s="40">
        <v>18.88</v>
      </c>
      <c r="I9" s="40">
        <v>7.48</v>
      </c>
      <c r="J9" s="40">
        <v>1.28</v>
      </c>
      <c r="K9" s="40">
        <v>232.64</v>
      </c>
      <c r="L9" s="40">
        <v>25.13</v>
      </c>
      <c r="M9" s="40">
        <v>68.13</v>
      </c>
      <c r="N9" s="40">
        <v>23.3</v>
      </c>
      <c r="O9" s="40">
        <v>0</v>
      </c>
      <c r="P9" s="40">
        <v>0.47</v>
      </c>
      <c r="Q9" s="40">
        <v>28.04</v>
      </c>
      <c r="R9" s="38"/>
      <c r="S9" s="38"/>
      <c r="T9" s="38"/>
      <c r="U9" s="38"/>
    </row>
    <row r="10" spans="1:21" customFormat="1">
      <c r="A10" s="39" t="s">
        <v>709</v>
      </c>
      <c r="B10" s="40">
        <v>7.95</v>
      </c>
      <c r="C10" s="40">
        <v>31.14</v>
      </c>
      <c r="D10" s="40">
        <v>22.37</v>
      </c>
      <c r="E10" s="40">
        <v>2.23</v>
      </c>
      <c r="F10" s="40">
        <v>3.09</v>
      </c>
      <c r="G10" s="40">
        <v>25.95</v>
      </c>
      <c r="H10" s="40">
        <v>15.44</v>
      </c>
      <c r="I10" s="40">
        <v>7.37</v>
      </c>
      <c r="J10" s="40">
        <v>1.36</v>
      </c>
      <c r="K10" s="40">
        <v>236.01</v>
      </c>
      <c r="L10" s="40">
        <v>24.45</v>
      </c>
      <c r="M10" s="40">
        <v>69.739999999999995</v>
      </c>
      <c r="N10" s="40">
        <v>22.8</v>
      </c>
      <c r="O10" s="40">
        <v>0</v>
      </c>
      <c r="P10" s="40">
        <v>0.45</v>
      </c>
      <c r="Q10" s="40">
        <v>28.13</v>
      </c>
      <c r="R10" s="38"/>
      <c r="S10" s="38"/>
      <c r="T10" s="38"/>
      <c r="U10" s="38"/>
    </row>
    <row r="11" spans="1:21" customFormat="1">
      <c r="A11" s="39" t="s">
        <v>710</v>
      </c>
      <c r="B11" s="40">
        <v>8.1300000000000008</v>
      </c>
      <c r="C11" s="40">
        <v>29.96</v>
      </c>
      <c r="D11" s="40">
        <v>22.55</v>
      </c>
      <c r="E11" s="40">
        <v>1.55</v>
      </c>
      <c r="F11" s="40">
        <v>4.43</v>
      </c>
      <c r="G11" s="40">
        <v>26.52</v>
      </c>
      <c r="H11" s="40">
        <v>12.39</v>
      </c>
      <c r="I11" s="40">
        <v>7.29</v>
      </c>
      <c r="J11" s="40">
        <v>2.48</v>
      </c>
      <c r="K11" s="40">
        <v>245.76</v>
      </c>
      <c r="L11" s="40">
        <v>24.94</v>
      </c>
      <c r="M11" s="40">
        <v>70.290000000000006</v>
      </c>
      <c r="N11" s="40">
        <v>24.9</v>
      </c>
      <c r="O11" s="40">
        <v>0.4</v>
      </c>
      <c r="P11" s="40">
        <v>0.45</v>
      </c>
      <c r="Q11" s="40">
        <v>27.89</v>
      </c>
      <c r="R11" s="38"/>
      <c r="S11" s="38"/>
      <c r="T11" s="38"/>
      <c r="U11" s="38"/>
    </row>
    <row r="12" spans="1:21" customFormat="1">
      <c r="A12" s="39" t="s">
        <v>711</v>
      </c>
      <c r="B12" s="40">
        <v>5.49</v>
      </c>
      <c r="C12" s="40">
        <v>33</v>
      </c>
      <c r="D12" s="40">
        <v>22.17</v>
      </c>
      <c r="E12" s="40">
        <v>1.87</v>
      </c>
      <c r="F12" s="40">
        <v>7.69</v>
      </c>
      <c r="G12" s="40">
        <v>23.7</v>
      </c>
      <c r="H12" s="40">
        <v>12.79</v>
      </c>
      <c r="I12" s="40">
        <v>7.13</v>
      </c>
      <c r="J12" s="40">
        <v>1.37</v>
      </c>
      <c r="K12" s="40">
        <v>234.97</v>
      </c>
      <c r="L12" s="40">
        <v>24.58</v>
      </c>
      <c r="M12" s="40">
        <v>68.06</v>
      </c>
      <c r="N12" s="40">
        <v>28.3</v>
      </c>
      <c r="O12" s="40">
        <v>1.2</v>
      </c>
      <c r="P12" s="40">
        <v>0.46</v>
      </c>
      <c r="Q12" s="40">
        <v>28.06</v>
      </c>
      <c r="R12" s="38"/>
      <c r="S12" s="38"/>
      <c r="T12" s="38"/>
      <c r="U12" s="38"/>
    </row>
    <row r="13" spans="1:21" customFormat="1">
      <c r="A13" s="39" t="s">
        <v>712</v>
      </c>
      <c r="B13" s="40">
        <v>4.21</v>
      </c>
      <c r="C13" s="40">
        <v>33.86</v>
      </c>
      <c r="D13" s="40">
        <v>21.42</v>
      </c>
      <c r="E13" s="40">
        <v>2.08</v>
      </c>
      <c r="F13" s="40">
        <v>3.83</v>
      </c>
      <c r="G13" s="40">
        <v>22.09</v>
      </c>
      <c r="H13" s="40">
        <v>11.81</v>
      </c>
      <c r="I13" s="40">
        <v>7.12</v>
      </c>
      <c r="J13" s="40">
        <v>1.66</v>
      </c>
      <c r="K13" s="40">
        <v>248.84</v>
      </c>
      <c r="L13" s="40">
        <v>25.82</v>
      </c>
      <c r="M13" s="40">
        <v>56.96</v>
      </c>
      <c r="N13" s="40">
        <v>26.9</v>
      </c>
      <c r="O13" s="40">
        <v>0</v>
      </c>
      <c r="P13" s="40">
        <v>0.43</v>
      </c>
      <c r="Q13" s="40">
        <v>28.16</v>
      </c>
      <c r="R13" s="38"/>
      <c r="S13" s="38"/>
      <c r="T13" s="38"/>
      <c r="U13" s="38"/>
    </row>
    <row r="14" spans="1:21" customFormat="1">
      <c r="A14" s="39" t="s">
        <v>713</v>
      </c>
      <c r="B14" s="40">
        <v>4.2300000000000004</v>
      </c>
      <c r="C14" s="40">
        <v>33.200000000000003</v>
      </c>
      <c r="D14" s="40">
        <v>21.41</v>
      </c>
      <c r="E14" s="40">
        <v>1.63</v>
      </c>
      <c r="F14" s="40">
        <v>5.45</v>
      </c>
      <c r="G14" s="40">
        <v>17.739999999999998</v>
      </c>
      <c r="H14" s="40">
        <v>9.41</v>
      </c>
      <c r="I14" s="40">
        <v>6.97</v>
      </c>
      <c r="J14" s="40">
        <v>0.69</v>
      </c>
      <c r="K14" s="40">
        <v>157.05000000000001</v>
      </c>
      <c r="L14" s="40">
        <v>25.6</v>
      </c>
      <c r="M14" s="40">
        <v>58.41</v>
      </c>
      <c r="N14" s="40">
        <v>37.5</v>
      </c>
      <c r="O14" s="40">
        <v>0</v>
      </c>
      <c r="P14" s="40">
        <v>0.44</v>
      </c>
      <c r="Q14" s="40">
        <v>28.1</v>
      </c>
      <c r="R14" s="38"/>
      <c r="S14" s="38"/>
      <c r="T14" s="38"/>
      <c r="U14" s="38"/>
    </row>
    <row r="15" spans="1:21" customFormat="1">
      <c r="A15" s="39" t="s">
        <v>714</v>
      </c>
      <c r="B15" s="40">
        <v>6.41</v>
      </c>
      <c r="C15" s="40">
        <v>33.65</v>
      </c>
      <c r="D15" s="40">
        <v>23.17</v>
      </c>
      <c r="E15" s="40">
        <v>1.68</v>
      </c>
      <c r="F15" s="40">
        <v>3.19</v>
      </c>
      <c r="G15" s="40">
        <v>31.69</v>
      </c>
      <c r="H15" s="40">
        <v>12.88</v>
      </c>
      <c r="I15" s="40">
        <v>7.66</v>
      </c>
      <c r="J15" s="40">
        <v>0.39</v>
      </c>
      <c r="K15" s="40">
        <v>216.05</v>
      </c>
      <c r="L15" s="40">
        <v>24.89</v>
      </c>
      <c r="M15" s="40">
        <v>59.62</v>
      </c>
      <c r="N15" s="40">
        <v>78.7</v>
      </c>
      <c r="O15" s="40">
        <v>0</v>
      </c>
      <c r="P15" s="40">
        <v>0.46</v>
      </c>
      <c r="Q15" s="40">
        <v>27.93</v>
      </c>
      <c r="R15" s="38"/>
      <c r="S15" s="38"/>
      <c r="T15" s="38"/>
      <c r="U15" s="38"/>
    </row>
    <row r="16" spans="1:21" customFormat="1">
      <c r="A16" s="39" t="s">
        <v>715</v>
      </c>
      <c r="B16" s="40">
        <v>9.7200000000000006</v>
      </c>
      <c r="C16" s="40">
        <v>35.229999999999997</v>
      </c>
      <c r="D16" s="40">
        <v>26.53</v>
      </c>
      <c r="E16" s="40">
        <v>2.7</v>
      </c>
      <c r="F16" s="40">
        <v>4.13</v>
      </c>
      <c r="G16" s="40">
        <v>53.98</v>
      </c>
      <c r="H16" s="40">
        <v>18.55</v>
      </c>
      <c r="I16" s="40">
        <v>8.1199999999999992</v>
      </c>
      <c r="J16" s="40">
        <v>0.87</v>
      </c>
      <c r="K16" s="40">
        <v>61.24</v>
      </c>
      <c r="L16" s="40">
        <v>26.27</v>
      </c>
      <c r="M16" s="40">
        <v>55.27</v>
      </c>
      <c r="N16" s="40">
        <v>176.1</v>
      </c>
      <c r="O16" s="40">
        <v>0</v>
      </c>
      <c r="P16" s="40">
        <v>0.47</v>
      </c>
      <c r="Q16" s="40">
        <v>27.77</v>
      </c>
      <c r="R16" s="38"/>
      <c r="S16" s="38"/>
      <c r="T16" s="38"/>
      <c r="U16" s="38"/>
    </row>
    <row r="17" spans="1:21" customFormat="1">
      <c r="A17" s="39" t="s">
        <v>716</v>
      </c>
      <c r="B17" s="40">
        <v>10.34</v>
      </c>
      <c r="C17" s="40">
        <v>34.81</v>
      </c>
      <c r="D17" s="40">
        <v>27.16</v>
      </c>
      <c r="E17" s="40">
        <v>2.04</v>
      </c>
      <c r="F17" s="40">
        <v>5.6</v>
      </c>
      <c r="G17" s="40">
        <v>66.150000000000006</v>
      </c>
      <c r="H17" s="40">
        <v>20.03</v>
      </c>
      <c r="I17" s="40">
        <v>9.4600000000000009</v>
      </c>
      <c r="J17" s="40">
        <v>0.59</v>
      </c>
      <c r="K17" s="40">
        <v>337.86</v>
      </c>
      <c r="L17" s="40">
        <v>28.54</v>
      </c>
      <c r="M17" s="40">
        <v>53.25</v>
      </c>
      <c r="N17" s="40">
        <v>205.1</v>
      </c>
      <c r="O17" s="40">
        <v>0</v>
      </c>
      <c r="P17" s="40">
        <v>0.57999999999999996</v>
      </c>
      <c r="Q17" s="40">
        <v>27.55</v>
      </c>
      <c r="R17" s="38"/>
      <c r="S17" s="38"/>
      <c r="T17" s="38"/>
      <c r="U17" s="38"/>
    </row>
    <row r="18" spans="1:21" customFormat="1">
      <c r="A18" s="39" t="s">
        <v>717</v>
      </c>
      <c r="B18" s="40">
        <v>12.31</v>
      </c>
      <c r="C18" s="40">
        <v>39.06</v>
      </c>
      <c r="D18" s="40">
        <v>30.28</v>
      </c>
      <c r="E18" s="40">
        <v>2.39</v>
      </c>
      <c r="F18" s="40">
        <v>5.56</v>
      </c>
      <c r="G18" s="40">
        <v>69.5</v>
      </c>
      <c r="H18" s="40">
        <v>21.36</v>
      </c>
      <c r="I18" s="40">
        <v>11.83</v>
      </c>
      <c r="J18" s="40">
        <v>1.7</v>
      </c>
      <c r="K18" s="40">
        <v>322.17</v>
      </c>
      <c r="L18" s="40">
        <v>29.94</v>
      </c>
      <c r="M18" s="40">
        <v>46.55</v>
      </c>
      <c r="N18" s="40">
        <v>668.9</v>
      </c>
      <c r="O18" s="40">
        <v>0</v>
      </c>
      <c r="P18" s="40">
        <v>0.69</v>
      </c>
      <c r="Q18" s="40">
        <v>27.27</v>
      </c>
      <c r="R18" s="38"/>
      <c r="S18" s="38"/>
      <c r="T18" s="38"/>
      <c r="U18" s="38"/>
    </row>
    <row r="19" spans="1:21" customFormat="1">
      <c r="A19" s="39" t="s">
        <v>718</v>
      </c>
      <c r="B19" s="40">
        <v>9.2799999999999994</v>
      </c>
      <c r="C19" s="40">
        <v>38.5</v>
      </c>
      <c r="D19" s="40">
        <v>28.23</v>
      </c>
      <c r="E19" s="40">
        <v>2.57</v>
      </c>
      <c r="F19" s="40">
        <v>5.9</v>
      </c>
      <c r="G19" s="40">
        <v>70.03</v>
      </c>
      <c r="H19" s="40">
        <v>22.78</v>
      </c>
      <c r="I19" s="40">
        <v>11.94</v>
      </c>
      <c r="J19" s="40">
        <v>1.69</v>
      </c>
      <c r="K19" s="40">
        <v>242.95</v>
      </c>
      <c r="L19" s="40">
        <v>33.71</v>
      </c>
      <c r="M19" s="40">
        <v>40.58</v>
      </c>
      <c r="N19" s="40">
        <v>821.6</v>
      </c>
      <c r="O19" s="40">
        <v>0</v>
      </c>
      <c r="P19" s="40">
        <v>0.64</v>
      </c>
      <c r="Q19" s="40">
        <v>27.73</v>
      </c>
      <c r="R19" s="38"/>
      <c r="S19" s="38"/>
      <c r="T19" s="38"/>
      <c r="U19" s="38"/>
    </row>
    <row r="20" spans="1:21" customFormat="1">
      <c r="A20" s="39" t="s">
        <v>719</v>
      </c>
      <c r="B20" s="40">
        <v>4.99</v>
      </c>
      <c r="C20" s="40">
        <v>34.58</v>
      </c>
      <c r="D20" s="40">
        <v>22.74</v>
      </c>
      <c r="E20" s="40">
        <v>1.57</v>
      </c>
      <c r="F20" s="40">
        <v>10.01</v>
      </c>
      <c r="G20" s="40">
        <v>46.76</v>
      </c>
      <c r="H20" s="40">
        <v>22.67</v>
      </c>
      <c r="I20" s="40">
        <v>11.84</v>
      </c>
      <c r="J20" s="40">
        <v>2.0299999999999998</v>
      </c>
      <c r="K20" s="40">
        <v>233.39</v>
      </c>
      <c r="L20" s="40">
        <v>35.39</v>
      </c>
      <c r="M20" s="40">
        <v>34.26</v>
      </c>
      <c r="N20" s="40">
        <v>864.2</v>
      </c>
      <c r="O20" s="40">
        <v>0</v>
      </c>
      <c r="P20" s="40">
        <v>0.6</v>
      </c>
      <c r="Q20" s="40">
        <v>28.24</v>
      </c>
      <c r="R20" s="38"/>
      <c r="S20" s="38"/>
      <c r="T20" s="38"/>
      <c r="U20" s="38"/>
    </row>
    <row r="21" spans="1:21" customFormat="1">
      <c r="A21" s="39" t="s">
        <v>720</v>
      </c>
      <c r="B21" s="40">
        <v>2.62</v>
      </c>
      <c r="C21" s="40">
        <v>30.05</v>
      </c>
      <c r="D21" s="40">
        <v>18.48</v>
      </c>
      <c r="E21" s="40">
        <v>1.25</v>
      </c>
      <c r="F21" s="40">
        <v>13.31</v>
      </c>
      <c r="G21" s="40">
        <v>40.24</v>
      </c>
      <c r="H21" s="40">
        <v>21.05</v>
      </c>
      <c r="I21" s="40">
        <v>10.72</v>
      </c>
      <c r="J21" s="40">
        <v>2.27</v>
      </c>
      <c r="K21" s="40">
        <v>243.61</v>
      </c>
      <c r="L21" s="40">
        <v>36.17</v>
      </c>
      <c r="M21" s="40">
        <v>34.32</v>
      </c>
      <c r="N21" s="40">
        <v>897.7</v>
      </c>
      <c r="O21" s="40">
        <v>0</v>
      </c>
      <c r="P21" s="40">
        <v>0.56999999999999995</v>
      </c>
      <c r="Q21" s="40">
        <v>28.57</v>
      </c>
      <c r="R21" s="38"/>
      <c r="S21" s="38"/>
      <c r="T21" s="38"/>
      <c r="U21" s="38"/>
    </row>
    <row r="22" spans="1:21" customFormat="1">
      <c r="A22" s="39" t="s">
        <v>721</v>
      </c>
      <c r="B22" s="40">
        <v>2.3199999999999998</v>
      </c>
      <c r="C22" s="40">
        <v>29.69</v>
      </c>
      <c r="D22" s="40">
        <v>18.04</v>
      </c>
      <c r="E22" s="40">
        <v>1.92</v>
      </c>
      <c r="F22" s="40">
        <v>7.84</v>
      </c>
      <c r="G22" s="40">
        <v>34.67</v>
      </c>
      <c r="H22" s="40">
        <v>17.440000000000001</v>
      </c>
      <c r="I22" s="40">
        <v>9.64</v>
      </c>
      <c r="J22" s="40">
        <v>2.41</v>
      </c>
      <c r="K22" s="40">
        <v>248.16</v>
      </c>
      <c r="L22" s="40">
        <v>36.950000000000003</v>
      </c>
      <c r="M22" s="40">
        <v>32.36</v>
      </c>
      <c r="N22" s="40">
        <v>721.6</v>
      </c>
      <c r="O22" s="40">
        <v>0</v>
      </c>
      <c r="P22" s="40">
        <v>0.55000000000000004</v>
      </c>
      <c r="Q22" s="40">
        <v>28.54</v>
      </c>
      <c r="R22" s="38"/>
      <c r="S22" s="38"/>
      <c r="T22" s="38"/>
      <c r="U22" s="38"/>
    </row>
    <row r="23" spans="1:21" customFormat="1">
      <c r="A23" s="39" t="s">
        <v>722</v>
      </c>
      <c r="B23" s="40">
        <v>2.52</v>
      </c>
      <c r="C23" s="40">
        <v>28.94</v>
      </c>
      <c r="D23" s="40">
        <v>17.7</v>
      </c>
      <c r="E23" s="40">
        <v>1.71</v>
      </c>
      <c r="F23" s="40">
        <v>11.48</v>
      </c>
      <c r="G23" s="40">
        <v>38.07</v>
      </c>
      <c r="H23" s="40">
        <v>17.93</v>
      </c>
      <c r="I23" s="40">
        <v>9.7200000000000006</v>
      </c>
      <c r="J23" s="40">
        <v>2.0699999999999998</v>
      </c>
      <c r="K23" s="40">
        <v>245.92</v>
      </c>
      <c r="L23" s="40">
        <v>37.46</v>
      </c>
      <c r="M23" s="40">
        <v>31.14</v>
      </c>
      <c r="N23" s="40">
        <v>748.1</v>
      </c>
      <c r="O23" s="40">
        <v>0</v>
      </c>
      <c r="P23" s="40">
        <v>0.53</v>
      </c>
      <c r="Q23" s="40">
        <v>28.86</v>
      </c>
      <c r="R23" s="38"/>
      <c r="S23" s="38"/>
      <c r="T23" s="38"/>
      <c r="U23" s="38"/>
    </row>
    <row r="24" spans="1:21" customFormat="1">
      <c r="A24" s="39" t="s">
        <v>723</v>
      </c>
      <c r="B24" s="40">
        <v>3.27</v>
      </c>
      <c r="C24" s="40">
        <v>25.3</v>
      </c>
      <c r="D24" s="40">
        <v>16.39</v>
      </c>
      <c r="E24" s="40">
        <v>2.4300000000000002</v>
      </c>
      <c r="F24" s="40">
        <v>19.53</v>
      </c>
      <c r="G24" s="40">
        <v>94.75</v>
      </c>
      <c r="H24" s="40">
        <v>18.12</v>
      </c>
      <c r="I24" s="40">
        <v>9.31</v>
      </c>
      <c r="J24" s="40">
        <v>1.55</v>
      </c>
      <c r="K24" s="40">
        <v>266.75</v>
      </c>
      <c r="L24" s="40">
        <v>37.630000000000003</v>
      </c>
      <c r="M24" s="40">
        <v>42.29</v>
      </c>
      <c r="N24" s="40">
        <v>482.1</v>
      </c>
      <c r="O24" s="40">
        <v>0</v>
      </c>
      <c r="P24" s="40">
        <v>0.55000000000000004</v>
      </c>
      <c r="Q24" s="40">
        <v>28.79</v>
      </c>
      <c r="R24" s="38"/>
      <c r="S24" s="38"/>
      <c r="T24" s="38"/>
      <c r="U24" s="38"/>
    </row>
    <row r="25" spans="1:21" customFormat="1">
      <c r="A25" s="39" t="s">
        <v>724</v>
      </c>
      <c r="B25" s="40">
        <v>3.64</v>
      </c>
      <c r="C25" s="40">
        <v>33.15</v>
      </c>
      <c r="D25" s="40">
        <v>20.91</v>
      </c>
      <c r="E25" s="40">
        <v>2.14</v>
      </c>
      <c r="F25" s="40">
        <v>6.71</v>
      </c>
      <c r="G25" s="40">
        <v>145.54</v>
      </c>
      <c r="H25" s="40">
        <v>19.18</v>
      </c>
      <c r="I25" s="40">
        <v>9.42</v>
      </c>
      <c r="J25" s="40">
        <v>0.54</v>
      </c>
      <c r="K25" s="40">
        <v>138.44999999999999</v>
      </c>
      <c r="L25" s="40">
        <v>28.57</v>
      </c>
      <c r="M25" s="40">
        <v>76.180000000000007</v>
      </c>
      <c r="N25" s="40">
        <v>185.1</v>
      </c>
      <c r="O25" s="40">
        <v>1.6</v>
      </c>
      <c r="P25" s="40">
        <v>0.53</v>
      </c>
      <c r="Q25" s="40">
        <v>28.44</v>
      </c>
      <c r="R25" s="38"/>
      <c r="S25" s="38"/>
      <c r="T25" s="38"/>
      <c r="U25" s="38"/>
    </row>
    <row r="26" spans="1:21" customFormat="1">
      <c r="A26" s="39" t="s">
        <v>725</v>
      </c>
      <c r="B26" s="40">
        <v>6.5</v>
      </c>
      <c r="C26" s="40">
        <v>33.99</v>
      </c>
      <c r="D26" s="40">
        <v>22.54</v>
      </c>
      <c r="E26" s="40">
        <v>2.73</v>
      </c>
      <c r="F26" s="40">
        <v>8.91</v>
      </c>
      <c r="G26" s="40">
        <v>39.99</v>
      </c>
      <c r="H26" s="40">
        <v>17.34</v>
      </c>
      <c r="I26" s="40">
        <v>9.7200000000000006</v>
      </c>
      <c r="J26" s="40">
        <v>0.56999999999999995</v>
      </c>
      <c r="K26" s="40">
        <v>121.92</v>
      </c>
      <c r="L26" s="40">
        <v>28.37</v>
      </c>
      <c r="M26" s="40">
        <v>58.43</v>
      </c>
      <c r="N26" s="40">
        <v>161.69999999999999</v>
      </c>
      <c r="O26" s="40">
        <v>0</v>
      </c>
      <c r="P26" s="40">
        <v>0.53</v>
      </c>
      <c r="Q26" s="40">
        <v>28.16</v>
      </c>
      <c r="R26" s="38"/>
      <c r="S26" s="38"/>
      <c r="T26" s="38"/>
      <c r="U26" s="38"/>
    </row>
    <row r="27" spans="1:21" customFormat="1">
      <c r="A27" s="39" t="s">
        <v>726</v>
      </c>
      <c r="B27" s="40">
        <v>5.38</v>
      </c>
      <c r="C27" s="40">
        <v>32.18</v>
      </c>
      <c r="D27" s="40">
        <v>20.71</v>
      </c>
      <c r="E27" s="40">
        <v>2.2799999999999998</v>
      </c>
      <c r="F27" s="40">
        <v>7.67</v>
      </c>
      <c r="G27" s="40">
        <v>44.53</v>
      </c>
      <c r="H27" s="40">
        <v>15.41</v>
      </c>
      <c r="I27" s="40">
        <v>9.77</v>
      </c>
      <c r="J27" s="40">
        <v>0.73</v>
      </c>
      <c r="K27" s="40">
        <v>173.15</v>
      </c>
      <c r="L27" s="40">
        <v>27.74</v>
      </c>
      <c r="M27" s="40">
        <v>53.87</v>
      </c>
      <c r="N27" s="40">
        <v>34.200000000000003</v>
      </c>
      <c r="O27" s="40">
        <v>0</v>
      </c>
      <c r="P27" s="40">
        <v>0.55000000000000004</v>
      </c>
      <c r="Q27" s="40">
        <v>28.17</v>
      </c>
      <c r="R27" s="38"/>
      <c r="S27" s="38"/>
      <c r="T27" s="38"/>
      <c r="U27" s="38"/>
    </row>
    <row r="28" spans="1:21" customFormat="1">
      <c r="A28" s="39" t="s">
        <v>727</v>
      </c>
      <c r="B28" s="40">
        <v>4.8899999999999997</v>
      </c>
      <c r="C28" s="40">
        <v>36.92</v>
      </c>
      <c r="D28" s="40">
        <v>23.89</v>
      </c>
      <c r="E28" s="40">
        <v>2.25</v>
      </c>
      <c r="F28" s="40">
        <v>5.75</v>
      </c>
      <c r="G28" s="40">
        <v>37.299999999999997</v>
      </c>
      <c r="H28" s="40">
        <v>14.71</v>
      </c>
      <c r="I28" s="40">
        <v>9.6</v>
      </c>
      <c r="J28" s="40">
        <v>0.43</v>
      </c>
      <c r="K28" s="40">
        <v>173.68</v>
      </c>
      <c r="L28" s="40">
        <v>26.68</v>
      </c>
      <c r="M28" s="40">
        <v>52.9</v>
      </c>
      <c r="N28" s="40">
        <v>23.3</v>
      </c>
      <c r="O28" s="40">
        <v>0</v>
      </c>
      <c r="P28" s="40">
        <v>0.56999999999999995</v>
      </c>
      <c r="Q28" s="40">
        <v>28.04</v>
      </c>
      <c r="R28" s="38"/>
      <c r="S28" s="38"/>
      <c r="T28" s="38"/>
      <c r="U28" s="38"/>
    </row>
    <row r="29" spans="1:21" customFormat="1">
      <c r="A29" s="39" t="s">
        <v>728</v>
      </c>
      <c r="B29" s="40">
        <v>6.07</v>
      </c>
      <c r="C29" s="40">
        <v>37.130000000000003</v>
      </c>
      <c r="D29" s="40">
        <v>24.94</v>
      </c>
      <c r="E29" s="40">
        <v>2.2599999999999998</v>
      </c>
      <c r="F29" s="40">
        <v>3.42</v>
      </c>
      <c r="G29" s="40">
        <v>33.31</v>
      </c>
      <c r="H29" s="40">
        <v>14.72</v>
      </c>
      <c r="I29" s="40">
        <v>9.9</v>
      </c>
      <c r="J29" s="40">
        <v>0.61</v>
      </c>
      <c r="K29" s="40">
        <v>188.22</v>
      </c>
      <c r="L29" s="40">
        <v>26.5</v>
      </c>
      <c r="M29" s="40">
        <v>53.88</v>
      </c>
      <c r="N29" s="40">
        <v>23.3</v>
      </c>
      <c r="O29" s="40">
        <v>0</v>
      </c>
      <c r="P29" s="40">
        <v>0.56999999999999995</v>
      </c>
      <c r="Q29" s="40">
        <v>27.87</v>
      </c>
      <c r="R29" s="38"/>
      <c r="S29" s="38"/>
      <c r="T29" s="38"/>
      <c r="U29" s="38"/>
    </row>
    <row r="30" spans="1:21" customFormat="1">
      <c r="A30" s="39" t="s">
        <v>729</v>
      </c>
      <c r="B30" s="40">
        <v>6.1</v>
      </c>
      <c r="C30" s="40">
        <v>34.32</v>
      </c>
      <c r="D30" s="40">
        <v>23.5</v>
      </c>
      <c r="E30" s="40">
        <v>2.29</v>
      </c>
      <c r="F30" s="40">
        <v>4.72</v>
      </c>
      <c r="G30" s="40">
        <v>27.84</v>
      </c>
      <c r="H30" s="40">
        <v>13.58</v>
      </c>
      <c r="I30" s="40">
        <v>9.9499999999999993</v>
      </c>
      <c r="J30" s="40">
        <v>0.49</v>
      </c>
      <c r="K30" s="40">
        <v>162.56</v>
      </c>
      <c r="L30" s="40">
        <v>25.72</v>
      </c>
      <c r="M30" s="40">
        <v>62.16</v>
      </c>
      <c r="N30" s="40">
        <v>23.2</v>
      </c>
      <c r="O30" s="40">
        <v>0</v>
      </c>
      <c r="P30" s="40">
        <v>0.56999999999999995</v>
      </c>
      <c r="Q30" s="40">
        <v>28.01</v>
      </c>
      <c r="R30" s="38"/>
      <c r="S30" s="38"/>
      <c r="T30" s="38"/>
      <c r="U30" s="38"/>
    </row>
    <row r="31" spans="1:21" customFormat="1">
      <c r="A31" s="39" t="s">
        <v>730</v>
      </c>
      <c r="B31" s="40">
        <v>5.73</v>
      </c>
      <c r="C31" s="40">
        <v>38.01</v>
      </c>
      <c r="D31" s="40">
        <v>25.13</v>
      </c>
      <c r="E31" s="40">
        <v>1.5</v>
      </c>
      <c r="F31" s="40">
        <v>4.0999999999999996</v>
      </c>
      <c r="G31" s="40">
        <v>25.31</v>
      </c>
      <c r="H31" s="40">
        <v>11.57</v>
      </c>
      <c r="I31" s="40">
        <v>9.6</v>
      </c>
      <c r="J31" s="40">
        <v>0.54</v>
      </c>
      <c r="K31" s="40">
        <v>160.09</v>
      </c>
      <c r="L31" s="40">
        <v>25.09</v>
      </c>
      <c r="M31" s="40">
        <v>62.41</v>
      </c>
      <c r="N31" s="40">
        <v>22.8</v>
      </c>
      <c r="O31" s="40">
        <v>0</v>
      </c>
      <c r="P31" s="40">
        <v>0.57999999999999996</v>
      </c>
      <c r="Q31" s="40">
        <v>27.87</v>
      </c>
      <c r="R31" s="38"/>
      <c r="S31" s="38"/>
      <c r="T31" s="38"/>
      <c r="U31" s="38"/>
    </row>
    <row r="32" spans="1:21" customFormat="1">
      <c r="A32" s="39" t="s">
        <v>731</v>
      </c>
      <c r="B32" s="40">
        <v>7.25</v>
      </c>
      <c r="C32" s="40">
        <v>38.71</v>
      </c>
      <c r="D32" s="40">
        <v>26.71</v>
      </c>
      <c r="E32" s="40">
        <v>2.2999999999999998</v>
      </c>
      <c r="F32" s="40">
        <v>2.99</v>
      </c>
      <c r="G32" s="40">
        <v>33.32</v>
      </c>
      <c r="H32" s="40">
        <v>14.96</v>
      </c>
      <c r="I32" s="40">
        <v>9.48</v>
      </c>
      <c r="J32" s="40">
        <v>0.36</v>
      </c>
      <c r="K32" s="40">
        <v>192.94</v>
      </c>
      <c r="L32" s="40">
        <v>25.22</v>
      </c>
      <c r="M32" s="40">
        <v>64.16</v>
      </c>
      <c r="N32" s="40">
        <v>22.9</v>
      </c>
      <c r="O32" s="40">
        <v>0</v>
      </c>
      <c r="P32" s="40">
        <v>0.55000000000000004</v>
      </c>
      <c r="Q32" s="40">
        <v>27.73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2.3199999999999998</v>
      </c>
      <c r="C34" s="18">
        <f t="shared" si="0"/>
        <v>25.3</v>
      </c>
      <c r="D34" s="18">
        <f t="shared" si="0"/>
        <v>16.39</v>
      </c>
      <c r="E34" s="18">
        <f t="shared" si="0"/>
        <v>1.25</v>
      </c>
      <c r="F34" s="18">
        <f t="shared" si="0"/>
        <v>2.92</v>
      </c>
      <c r="G34" s="18">
        <f t="shared" si="0"/>
        <v>17.739999999999998</v>
      </c>
      <c r="H34" s="18">
        <f t="shared" si="0"/>
        <v>9.41</v>
      </c>
      <c r="I34" s="18">
        <f t="shared" si="0"/>
        <v>6.97</v>
      </c>
      <c r="J34" s="18">
        <f t="shared" si="0"/>
        <v>0.36</v>
      </c>
      <c r="K34" s="18">
        <f t="shared" si="0"/>
        <v>61.24</v>
      </c>
      <c r="L34" s="18">
        <f t="shared" si="0"/>
        <v>24.45</v>
      </c>
      <c r="M34" s="18">
        <f t="shared" si="0"/>
        <v>31.14</v>
      </c>
      <c r="N34" s="18">
        <f t="shared" si="0"/>
        <v>22.8</v>
      </c>
      <c r="O34" s="18">
        <f t="shared" si="0"/>
        <v>0</v>
      </c>
      <c r="P34" s="18">
        <f t="shared" si="0"/>
        <v>0.43</v>
      </c>
      <c r="Q34" s="18">
        <f t="shared" si="0"/>
        <v>27.27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12.31</v>
      </c>
      <c r="C35" s="3">
        <f t="shared" si="1"/>
        <v>39.06</v>
      </c>
      <c r="D35" s="3">
        <f t="shared" si="1"/>
        <v>30.28</v>
      </c>
      <c r="E35" s="3">
        <f t="shared" si="1"/>
        <v>2.73</v>
      </c>
      <c r="F35" s="3">
        <f t="shared" si="1"/>
        <v>19.53</v>
      </c>
      <c r="G35" s="3">
        <f t="shared" si="1"/>
        <v>145.54</v>
      </c>
      <c r="H35" s="3">
        <f t="shared" si="1"/>
        <v>22.78</v>
      </c>
      <c r="I35" s="3">
        <f t="shared" si="1"/>
        <v>11.94</v>
      </c>
      <c r="J35" s="3">
        <f t="shared" si="1"/>
        <v>2.48</v>
      </c>
      <c r="K35" s="3">
        <f t="shared" si="1"/>
        <v>337.86</v>
      </c>
      <c r="L35" s="3">
        <f t="shared" si="1"/>
        <v>37.630000000000003</v>
      </c>
      <c r="M35" s="3">
        <f t="shared" si="1"/>
        <v>76.180000000000007</v>
      </c>
      <c r="N35" s="3">
        <f t="shared" si="1"/>
        <v>897.7</v>
      </c>
      <c r="O35" s="3">
        <f t="shared" si="1"/>
        <v>1.6</v>
      </c>
      <c r="P35" s="3">
        <f t="shared" si="1"/>
        <v>0.69</v>
      </c>
      <c r="Q35" s="3">
        <f t="shared" si="1"/>
        <v>28.86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6.0712499999999991</v>
      </c>
      <c r="C36" s="18">
        <f t="shared" si="2"/>
        <v>33.616250000000001</v>
      </c>
      <c r="D36" s="18">
        <f t="shared" si="2"/>
        <v>22.879166666666674</v>
      </c>
      <c r="E36" s="18">
        <f t="shared" si="2"/>
        <v>2.0720833333333331</v>
      </c>
      <c r="F36" s="18">
        <f t="shared" si="2"/>
        <v>6.5929166666666665</v>
      </c>
      <c r="G36" s="18">
        <f t="shared" si="2"/>
        <v>44.824166666666663</v>
      </c>
      <c r="H36" s="18">
        <f t="shared" si="2"/>
        <v>16.458333333333332</v>
      </c>
      <c r="I36" s="18">
        <f t="shared" si="2"/>
        <v>9.2099999999999991</v>
      </c>
      <c r="J36" s="18">
        <f t="shared" si="2"/>
        <v>1.1949999999999998</v>
      </c>
      <c r="K36" s="18">
        <f t="shared" si="2"/>
        <v>211.84916666666666</v>
      </c>
      <c r="L36" s="18">
        <f t="shared" si="2"/>
        <v>28.806666666666661</v>
      </c>
      <c r="M36" s="18">
        <f t="shared" si="2"/>
        <v>54.384166666666687</v>
      </c>
      <c r="N36" s="18">
        <f t="shared" si="2"/>
        <v>263.51250000000005</v>
      </c>
      <c r="O36" s="18">
        <f t="shared" si="2"/>
        <v>0.13333333333333333</v>
      </c>
      <c r="P36" s="18">
        <f t="shared" si="2"/>
        <v>0.53291666666666671</v>
      </c>
      <c r="Q36" s="18">
        <f t="shared" si="2"/>
        <v>28.080000000000002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2.5791594729594634</v>
      </c>
      <c r="C37" s="18">
        <f t="shared" ref="C37:Q37" si="3">STDEV(C9:C32)</f>
        <v>3.4516106038876777</v>
      </c>
      <c r="D37" s="18">
        <f t="shared" si="3"/>
        <v>3.4050996495239567</v>
      </c>
      <c r="E37" s="18">
        <f t="shared" si="3"/>
        <v>0.40105273606029773</v>
      </c>
      <c r="F37" s="18">
        <f t="shared" si="3"/>
        <v>3.9031085483982784</v>
      </c>
      <c r="G37" s="18">
        <f t="shared" si="3"/>
        <v>28.355001693078648</v>
      </c>
      <c r="H37" s="18">
        <f t="shared" si="3"/>
        <v>3.7152349877891533</v>
      </c>
      <c r="I37" s="18">
        <f t="shared" si="3"/>
        <v>1.5239821977734713</v>
      </c>
      <c r="J37" s="18">
        <f t="shared" si="3"/>
        <v>0.71062128359320409</v>
      </c>
      <c r="K37" s="18">
        <f t="shared" si="3"/>
        <v>61.928755554207235</v>
      </c>
      <c r="L37" s="18">
        <f t="shared" si="3"/>
        <v>4.64256176158651</v>
      </c>
      <c r="M37" s="18">
        <f t="shared" si="3"/>
        <v>12.959468224686699</v>
      </c>
      <c r="N37" s="18">
        <f t="shared" si="3"/>
        <v>327.67563403662524</v>
      </c>
      <c r="O37" s="18">
        <f t="shared" si="3"/>
        <v>0.40288812414826797</v>
      </c>
      <c r="P37" s="18">
        <f t="shared" si="3"/>
        <v>6.7015842816499374E-2</v>
      </c>
      <c r="Q37" s="18">
        <f t="shared" si="3"/>
        <v>0.37163563268107208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45"/>
  <sheetViews>
    <sheetView topLeftCell="A25" zoomScale="91" zoomScaleNormal="91" workbookViewId="0">
      <selection activeCell="S24" sqref="S24"/>
    </sheetView>
  </sheetViews>
  <sheetFormatPr defaultColWidth="9" defaultRowHeight="15"/>
  <cols>
    <col min="1" max="1" width="17.140625" bestFit="1" customWidth="1"/>
    <col min="2" max="2" width="14.42578125" customWidth="1"/>
  </cols>
  <sheetData>
    <row r="1" spans="1:21" ht="27.75" customHeight="1">
      <c r="A1" s="3" t="s">
        <v>0</v>
      </c>
      <c r="B1" s="3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29/04/2025 01:00</v>
      </c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O2" s="1"/>
      <c r="P2" s="23" t="s">
        <v>7</v>
      </c>
      <c r="Q2" s="3"/>
      <c r="R2" s="27" t="s">
        <v>8</v>
      </c>
    </row>
    <row r="3" spans="1:21">
      <c r="A3" s="3" t="s">
        <v>9</v>
      </c>
      <c r="B3" s="3" t="s">
        <v>10</v>
      </c>
      <c r="D3" s="7" t="s">
        <v>11</v>
      </c>
      <c r="E3" s="7"/>
      <c r="F3" s="7"/>
      <c r="G3" s="10" t="s">
        <v>12</v>
      </c>
      <c r="H3" s="9"/>
      <c r="I3" s="9"/>
      <c r="J3" s="9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</row>
    <row r="4" spans="1:21">
      <c r="A4" s="3" t="s">
        <v>16</v>
      </c>
      <c r="B4" s="3" t="s">
        <v>17</v>
      </c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39" t="s">
        <v>732</v>
      </c>
      <c r="B9" s="40">
        <v>8.74</v>
      </c>
      <c r="C9" s="40">
        <v>38.99</v>
      </c>
      <c r="D9" s="40">
        <v>27.69</v>
      </c>
      <c r="E9" s="40">
        <v>1.76</v>
      </c>
      <c r="F9" s="40">
        <v>4.83</v>
      </c>
      <c r="G9" s="40">
        <v>31.84</v>
      </c>
      <c r="H9" s="40">
        <v>18.059999999999999</v>
      </c>
      <c r="I9" s="40">
        <v>9.41</v>
      </c>
      <c r="J9" s="40">
        <v>0.43</v>
      </c>
      <c r="K9" s="40">
        <v>144.37</v>
      </c>
      <c r="L9" s="40">
        <v>24.76</v>
      </c>
      <c r="M9" s="40">
        <v>66.069999999999993</v>
      </c>
      <c r="N9" s="40">
        <v>22.9</v>
      </c>
      <c r="O9" s="40">
        <v>0</v>
      </c>
      <c r="P9" s="40">
        <v>0.53</v>
      </c>
      <c r="Q9" s="40">
        <v>27.74</v>
      </c>
      <c r="R9" s="38"/>
      <c r="S9" s="38"/>
      <c r="T9" s="38"/>
      <c r="U9" s="38"/>
    </row>
    <row r="10" spans="1:21">
      <c r="A10" s="39" t="s">
        <v>733</v>
      </c>
      <c r="B10" s="40">
        <v>9.7100000000000009</v>
      </c>
      <c r="C10" s="40">
        <v>37.31</v>
      </c>
      <c r="D10" s="40">
        <v>27.96</v>
      </c>
      <c r="E10" s="40">
        <v>1.59</v>
      </c>
      <c r="F10" s="40">
        <v>4</v>
      </c>
      <c r="G10" s="40">
        <v>37.9</v>
      </c>
      <c r="H10" s="40">
        <v>15.23</v>
      </c>
      <c r="I10" s="40">
        <v>9.18</v>
      </c>
      <c r="J10" s="40">
        <v>0.61</v>
      </c>
      <c r="K10" s="40">
        <v>271.07</v>
      </c>
      <c r="L10" s="40">
        <v>24.41</v>
      </c>
      <c r="M10" s="40">
        <v>68.52</v>
      </c>
      <c r="N10" s="40">
        <v>23.1</v>
      </c>
      <c r="O10" s="40">
        <v>0</v>
      </c>
      <c r="P10" s="40">
        <v>0.54</v>
      </c>
      <c r="Q10" s="40">
        <v>27.61</v>
      </c>
      <c r="R10" s="38"/>
      <c r="S10" s="38"/>
      <c r="T10" s="38"/>
      <c r="U10" s="38"/>
    </row>
    <row r="11" spans="1:21">
      <c r="A11" s="39" t="s">
        <v>734</v>
      </c>
      <c r="B11" s="40">
        <v>12.64</v>
      </c>
      <c r="C11" s="40">
        <v>40.700000000000003</v>
      </c>
      <c r="D11" s="40">
        <v>31.99</v>
      </c>
      <c r="E11" s="40">
        <v>1.84</v>
      </c>
      <c r="F11" s="40">
        <v>2.56</v>
      </c>
      <c r="G11" s="40">
        <v>41.34</v>
      </c>
      <c r="H11" s="40">
        <v>15.34</v>
      </c>
      <c r="I11" s="40">
        <v>9.1199999999999992</v>
      </c>
      <c r="J11" s="40">
        <v>0.44</v>
      </c>
      <c r="K11" s="40">
        <v>125.72</v>
      </c>
      <c r="L11" s="40">
        <v>24.06</v>
      </c>
      <c r="M11" s="40">
        <v>71.540000000000006</v>
      </c>
      <c r="N11" s="40">
        <v>23.3</v>
      </c>
      <c r="O11" s="40">
        <v>0</v>
      </c>
      <c r="P11" s="40">
        <v>0.54</v>
      </c>
      <c r="Q11" s="40">
        <v>27.32</v>
      </c>
      <c r="R11" s="38"/>
      <c r="S11" s="38"/>
      <c r="T11" s="38"/>
      <c r="U11" s="38"/>
    </row>
    <row r="12" spans="1:21">
      <c r="A12" s="39" t="s">
        <v>735</v>
      </c>
      <c r="B12" s="40">
        <v>15.97</v>
      </c>
      <c r="C12" s="40">
        <v>40.78</v>
      </c>
      <c r="D12" s="40">
        <v>33.76</v>
      </c>
      <c r="E12" s="40">
        <v>1.71</v>
      </c>
      <c r="F12" s="40">
        <v>2.79</v>
      </c>
      <c r="G12" s="40">
        <v>33.42</v>
      </c>
      <c r="H12" s="40">
        <v>13.7</v>
      </c>
      <c r="I12" s="40">
        <v>9.23</v>
      </c>
      <c r="J12" s="40">
        <v>0.48</v>
      </c>
      <c r="K12" s="40">
        <v>258.91000000000003</v>
      </c>
      <c r="L12" s="40">
        <v>24.25</v>
      </c>
      <c r="M12" s="40">
        <v>73.31</v>
      </c>
      <c r="N12" s="40">
        <v>23.2</v>
      </c>
      <c r="O12" s="40">
        <v>0</v>
      </c>
      <c r="P12" s="40">
        <v>0.49</v>
      </c>
      <c r="Q12" s="40">
        <v>27.19</v>
      </c>
      <c r="R12" s="38"/>
      <c r="S12" s="38"/>
      <c r="T12" s="38"/>
      <c r="U12" s="38"/>
    </row>
    <row r="13" spans="1:21">
      <c r="A13" s="39" t="s">
        <v>736</v>
      </c>
      <c r="B13" s="40">
        <v>19.670000000000002</v>
      </c>
      <c r="C13" s="40">
        <v>36.380000000000003</v>
      </c>
      <c r="D13" s="40">
        <v>35.26</v>
      </c>
      <c r="E13" s="40">
        <v>1.28</v>
      </c>
      <c r="F13" s="40">
        <v>2.62</v>
      </c>
      <c r="G13" s="40">
        <v>37.68</v>
      </c>
      <c r="H13" s="40">
        <v>16.47</v>
      </c>
      <c r="I13" s="40">
        <v>9.77</v>
      </c>
      <c r="J13" s="40">
        <v>1.26</v>
      </c>
      <c r="K13" s="40">
        <v>233.9</v>
      </c>
      <c r="L13" s="40">
        <v>23.86</v>
      </c>
      <c r="M13" s="40">
        <v>74.8</v>
      </c>
      <c r="N13" s="40">
        <v>23.4</v>
      </c>
      <c r="O13" s="40">
        <v>0</v>
      </c>
      <c r="P13" s="40">
        <v>0.52</v>
      </c>
      <c r="Q13" s="40">
        <v>27.05</v>
      </c>
      <c r="R13" s="38"/>
      <c r="S13" s="38"/>
      <c r="T13" s="38"/>
      <c r="U13" s="38"/>
    </row>
    <row r="14" spans="1:21">
      <c r="A14" s="39" t="s">
        <v>737</v>
      </c>
      <c r="B14" s="40">
        <v>19.899999999999999</v>
      </c>
      <c r="C14" s="40">
        <v>36.409999999999997</v>
      </c>
      <c r="D14" s="40">
        <v>34.909999999999997</v>
      </c>
      <c r="E14" s="40">
        <v>1.9</v>
      </c>
      <c r="F14" s="40">
        <v>2.4500000000000002</v>
      </c>
      <c r="G14" s="40">
        <v>41.38</v>
      </c>
      <c r="H14" s="40">
        <v>17.11</v>
      </c>
      <c r="I14" s="40">
        <v>9.5299999999999994</v>
      </c>
      <c r="J14" s="40">
        <v>1.1599999999999999</v>
      </c>
      <c r="K14" s="40">
        <v>250.19</v>
      </c>
      <c r="L14" s="40">
        <v>23.42</v>
      </c>
      <c r="M14" s="40">
        <v>77.599999999999994</v>
      </c>
      <c r="N14" s="40">
        <v>41.9</v>
      </c>
      <c r="O14" s="40">
        <v>0</v>
      </c>
      <c r="P14" s="40">
        <v>0.51</v>
      </c>
      <c r="Q14" s="40">
        <v>27.04</v>
      </c>
      <c r="R14" s="38"/>
      <c r="S14" s="38"/>
      <c r="T14" s="38"/>
      <c r="U14" s="38"/>
    </row>
    <row r="15" spans="1:21">
      <c r="A15" s="39" t="s">
        <v>738</v>
      </c>
      <c r="B15" s="40">
        <v>23.44</v>
      </c>
      <c r="C15" s="40">
        <v>38.119999999999997</v>
      </c>
      <c r="D15" s="40">
        <v>39.39</v>
      </c>
      <c r="E15" s="40">
        <v>2.2000000000000002</v>
      </c>
      <c r="F15" s="40">
        <v>2.56</v>
      </c>
      <c r="G15" s="40">
        <v>46.47</v>
      </c>
      <c r="H15" s="40">
        <v>15.71</v>
      </c>
      <c r="I15" s="40">
        <v>9.6999999999999993</v>
      </c>
      <c r="J15" s="40">
        <v>1.19</v>
      </c>
      <c r="K15" s="40">
        <v>242.75</v>
      </c>
      <c r="L15" s="40">
        <v>24.33</v>
      </c>
      <c r="M15" s="40">
        <v>76.48</v>
      </c>
      <c r="N15" s="40">
        <v>85.8</v>
      </c>
      <c r="O15" s="40">
        <v>0</v>
      </c>
      <c r="P15" s="40">
        <v>0.51</v>
      </c>
      <c r="Q15" s="40">
        <v>26.88</v>
      </c>
      <c r="R15" s="38"/>
      <c r="S15" s="38"/>
      <c r="T15" s="38"/>
      <c r="U15" s="38"/>
    </row>
    <row r="16" spans="1:21">
      <c r="A16" s="39" t="s">
        <v>739</v>
      </c>
      <c r="B16" s="40">
        <v>23.03</v>
      </c>
      <c r="C16" s="40">
        <v>33.659999999999997</v>
      </c>
      <c r="D16" s="40">
        <v>35.81</v>
      </c>
      <c r="E16" s="40">
        <v>1.68</v>
      </c>
      <c r="F16" s="40">
        <v>3.05</v>
      </c>
      <c r="G16" s="40">
        <v>60.12</v>
      </c>
      <c r="H16" s="40">
        <v>18.23</v>
      </c>
      <c r="I16" s="40">
        <v>9.9</v>
      </c>
      <c r="J16" s="40">
        <v>1.27</v>
      </c>
      <c r="K16" s="40">
        <v>234.45</v>
      </c>
      <c r="L16" s="40">
        <v>26.5</v>
      </c>
      <c r="M16" s="40">
        <v>66.83</v>
      </c>
      <c r="N16" s="40">
        <v>194.6</v>
      </c>
      <c r="O16" s="40">
        <v>0</v>
      </c>
      <c r="P16" s="40">
        <v>0.54</v>
      </c>
      <c r="Q16" s="40">
        <v>26.99</v>
      </c>
      <c r="R16" s="38"/>
      <c r="S16" s="38"/>
      <c r="T16" s="38"/>
      <c r="U16" s="38"/>
    </row>
    <row r="17" spans="1:21">
      <c r="A17" s="39" t="s">
        <v>740</v>
      </c>
      <c r="B17" s="40">
        <v>19.23</v>
      </c>
      <c r="C17" s="40">
        <v>34.659999999999997</v>
      </c>
      <c r="D17" s="40">
        <v>34.21</v>
      </c>
      <c r="E17" s="40">
        <v>1.58</v>
      </c>
      <c r="F17" s="40">
        <v>3.42</v>
      </c>
      <c r="G17" s="40">
        <v>43.06</v>
      </c>
      <c r="H17" s="40">
        <v>19.100000000000001</v>
      </c>
      <c r="I17" s="40">
        <v>9.6999999999999993</v>
      </c>
      <c r="J17" s="40">
        <v>1.18</v>
      </c>
      <c r="K17" s="40">
        <v>255.7</v>
      </c>
      <c r="L17" s="40">
        <v>28.59</v>
      </c>
      <c r="M17" s="40">
        <v>56.31</v>
      </c>
      <c r="N17" s="40">
        <v>252.2</v>
      </c>
      <c r="O17" s="40">
        <v>0</v>
      </c>
      <c r="P17" s="40">
        <v>0.55000000000000004</v>
      </c>
      <c r="Q17" s="40">
        <v>27.3</v>
      </c>
      <c r="R17" s="38"/>
      <c r="S17" s="38"/>
      <c r="T17" s="38"/>
      <c r="U17" s="38"/>
    </row>
    <row r="18" spans="1:21">
      <c r="A18" s="39" t="s">
        <v>741</v>
      </c>
      <c r="B18" s="40">
        <v>15.18</v>
      </c>
      <c r="C18" s="40">
        <v>33.86</v>
      </c>
      <c r="D18" s="40">
        <v>29.93</v>
      </c>
      <c r="E18" s="40">
        <v>2.0299999999999998</v>
      </c>
      <c r="F18" s="40">
        <v>4.5</v>
      </c>
      <c r="G18" s="40">
        <v>37.25</v>
      </c>
      <c r="H18" s="40">
        <v>19.010000000000002</v>
      </c>
      <c r="I18" s="40">
        <v>9.68</v>
      </c>
      <c r="J18" s="40">
        <v>1.8</v>
      </c>
      <c r="K18" s="40">
        <v>222.6</v>
      </c>
      <c r="L18" s="40">
        <v>30.37</v>
      </c>
      <c r="M18" s="40">
        <v>48.21</v>
      </c>
      <c r="N18" s="40">
        <v>676.6</v>
      </c>
      <c r="O18" s="40">
        <v>0</v>
      </c>
      <c r="P18" s="40">
        <v>0.53</v>
      </c>
      <c r="Q18" s="40">
        <v>27.57</v>
      </c>
      <c r="R18" s="38"/>
      <c r="S18" s="38"/>
      <c r="T18" s="38"/>
      <c r="U18" s="38"/>
    </row>
    <row r="19" spans="1:21">
      <c r="A19" s="39" t="s">
        <v>742</v>
      </c>
      <c r="B19" s="40">
        <v>10.35</v>
      </c>
      <c r="C19" s="40">
        <v>35.94</v>
      </c>
      <c r="D19" s="40">
        <v>27.75</v>
      </c>
      <c r="E19" s="40">
        <v>1.4</v>
      </c>
      <c r="F19" s="40">
        <v>9.11</v>
      </c>
      <c r="G19" s="40">
        <v>38.840000000000003</v>
      </c>
      <c r="H19" s="40">
        <v>13.47</v>
      </c>
      <c r="I19" s="40">
        <v>9.58</v>
      </c>
      <c r="J19" s="40">
        <v>1.4</v>
      </c>
      <c r="K19" s="40">
        <v>215.3</v>
      </c>
      <c r="L19" s="40">
        <v>32.659999999999997</v>
      </c>
      <c r="M19" s="40">
        <v>39.9</v>
      </c>
      <c r="N19" s="40">
        <v>807</v>
      </c>
      <c r="O19" s="40">
        <v>0</v>
      </c>
      <c r="P19" s="40">
        <v>0.52</v>
      </c>
      <c r="Q19" s="40">
        <v>28.04</v>
      </c>
      <c r="R19" s="38"/>
      <c r="S19" s="38"/>
      <c r="T19" s="38"/>
      <c r="U19" s="38"/>
    </row>
    <row r="20" spans="1:21">
      <c r="A20" s="39" t="s">
        <v>743</v>
      </c>
      <c r="B20" s="40">
        <v>5.16</v>
      </c>
      <c r="C20" s="40">
        <v>30.58</v>
      </c>
      <c r="D20" s="40">
        <v>20.46</v>
      </c>
      <c r="E20" s="40">
        <v>0.63</v>
      </c>
      <c r="F20" s="40">
        <v>12.21</v>
      </c>
      <c r="G20" s="40">
        <v>28.13</v>
      </c>
      <c r="H20" s="40">
        <v>13.23</v>
      </c>
      <c r="I20" s="40">
        <v>9.1300000000000008</v>
      </c>
      <c r="J20" s="40">
        <v>1.51</v>
      </c>
      <c r="K20" s="40">
        <v>227.96</v>
      </c>
      <c r="L20" s="40">
        <v>34.75</v>
      </c>
      <c r="M20" s="40">
        <v>32.76</v>
      </c>
      <c r="N20" s="40">
        <v>896.6</v>
      </c>
      <c r="O20" s="40">
        <v>0</v>
      </c>
      <c r="P20" s="40">
        <v>0.52</v>
      </c>
      <c r="Q20" s="40">
        <v>28.27</v>
      </c>
      <c r="R20" s="38"/>
      <c r="S20" s="38"/>
      <c r="T20" s="38"/>
      <c r="U20" s="38"/>
    </row>
    <row r="21" spans="1:21">
      <c r="A21" s="39" t="s">
        <v>744</v>
      </c>
      <c r="B21" s="40">
        <v>2.82</v>
      </c>
      <c r="C21" s="40">
        <v>36.72</v>
      </c>
      <c r="D21" s="40">
        <v>22.13</v>
      </c>
      <c r="E21" s="40">
        <v>0.75</v>
      </c>
      <c r="F21" s="40">
        <v>11.02</v>
      </c>
      <c r="G21" s="40">
        <v>30.41</v>
      </c>
      <c r="H21" s="40">
        <v>11.49</v>
      </c>
      <c r="I21" s="40">
        <v>8.65</v>
      </c>
      <c r="J21" s="40">
        <v>2.11</v>
      </c>
      <c r="K21" s="40">
        <v>233.05</v>
      </c>
      <c r="L21" s="40">
        <v>37.5</v>
      </c>
      <c r="M21" s="40">
        <v>24.75</v>
      </c>
      <c r="N21" s="40">
        <v>903.7</v>
      </c>
      <c r="O21" s="40">
        <v>0</v>
      </c>
      <c r="P21" s="40">
        <v>0.51</v>
      </c>
      <c r="Q21" s="40">
        <v>28.33</v>
      </c>
      <c r="R21" s="38"/>
      <c r="S21" s="38"/>
      <c r="T21" s="38"/>
      <c r="U21" s="38"/>
    </row>
    <row r="22" spans="1:21">
      <c r="A22" s="39" t="s">
        <v>745</v>
      </c>
      <c r="B22" s="40">
        <v>2.09</v>
      </c>
      <c r="C22" s="40">
        <v>34.380000000000003</v>
      </c>
      <c r="D22" s="40">
        <v>20.32</v>
      </c>
      <c r="E22" s="40">
        <v>0.69</v>
      </c>
      <c r="F22" s="40">
        <v>14.25</v>
      </c>
      <c r="G22" s="40">
        <v>26.06</v>
      </c>
      <c r="H22" s="40">
        <v>11.68</v>
      </c>
      <c r="I22" s="40">
        <v>8.51</v>
      </c>
      <c r="J22" s="40">
        <v>2.21</v>
      </c>
      <c r="K22" s="40">
        <v>221.67</v>
      </c>
      <c r="L22" s="40">
        <v>37.97</v>
      </c>
      <c r="M22" s="40">
        <v>22.25</v>
      </c>
      <c r="N22" s="40">
        <v>879.7</v>
      </c>
      <c r="O22" s="40">
        <v>0</v>
      </c>
      <c r="P22" s="40">
        <v>0.47</v>
      </c>
      <c r="Q22" s="40">
        <v>28.6</v>
      </c>
      <c r="R22" s="38"/>
      <c r="S22" s="38"/>
      <c r="T22" s="38"/>
      <c r="U22" s="38"/>
    </row>
    <row r="23" spans="1:21">
      <c r="A23" s="39" t="s">
        <v>746</v>
      </c>
      <c r="B23" s="40">
        <v>2.0099999999999998</v>
      </c>
      <c r="C23" s="40">
        <v>34.06</v>
      </c>
      <c r="D23" s="40">
        <v>20.079999999999998</v>
      </c>
      <c r="E23" s="40">
        <v>0.73</v>
      </c>
      <c r="F23" s="40">
        <v>11.06</v>
      </c>
      <c r="G23" s="40">
        <v>36.4</v>
      </c>
      <c r="H23" s="40">
        <v>14.22</v>
      </c>
      <c r="I23" s="40">
        <v>7.96</v>
      </c>
      <c r="J23" s="40">
        <v>2.68</v>
      </c>
      <c r="K23" s="40">
        <v>234.93</v>
      </c>
      <c r="L23" s="40">
        <v>37.53</v>
      </c>
      <c r="M23" s="40">
        <v>30.18</v>
      </c>
      <c r="N23" s="40">
        <v>673.3</v>
      </c>
      <c r="O23" s="40">
        <v>0</v>
      </c>
      <c r="P23" s="40">
        <v>0.48</v>
      </c>
      <c r="Q23" s="40">
        <v>28.5</v>
      </c>
      <c r="R23" s="38"/>
      <c r="S23" s="38"/>
      <c r="T23" s="38"/>
      <c r="U23" s="38"/>
    </row>
    <row r="24" spans="1:21">
      <c r="A24" s="39" t="s">
        <v>747</v>
      </c>
      <c r="B24" s="40">
        <v>1.97</v>
      </c>
      <c r="C24" s="40">
        <v>31.63</v>
      </c>
      <c r="D24" s="40">
        <v>18.760000000000002</v>
      </c>
      <c r="E24" s="40">
        <v>0.91</v>
      </c>
      <c r="F24" s="40">
        <v>9.56</v>
      </c>
      <c r="G24" s="40">
        <v>40.11</v>
      </c>
      <c r="H24" s="40">
        <v>16.62</v>
      </c>
      <c r="I24" s="40">
        <v>7.42</v>
      </c>
      <c r="J24" s="40">
        <v>2.2999999999999998</v>
      </c>
      <c r="K24" s="40">
        <v>230.38</v>
      </c>
      <c r="L24" s="40">
        <v>37.409999999999997</v>
      </c>
      <c r="M24" s="40">
        <v>33.200000000000003</v>
      </c>
      <c r="N24" s="40">
        <v>555.5</v>
      </c>
      <c r="O24" s="40">
        <v>0</v>
      </c>
      <c r="P24" s="40">
        <v>0.48</v>
      </c>
      <c r="Q24" s="40">
        <v>28.55</v>
      </c>
      <c r="R24" s="38"/>
      <c r="S24" s="38"/>
      <c r="T24" s="38"/>
      <c r="U24" s="38"/>
    </row>
    <row r="25" spans="1:21">
      <c r="A25" s="39" t="s">
        <v>748</v>
      </c>
      <c r="B25" s="40">
        <v>1.96</v>
      </c>
      <c r="C25" s="40">
        <v>28.25</v>
      </c>
      <c r="D25" s="40">
        <v>17</v>
      </c>
      <c r="E25" s="40">
        <v>1.27</v>
      </c>
      <c r="F25" s="40">
        <v>15.57</v>
      </c>
      <c r="G25" s="40">
        <v>38.69</v>
      </c>
      <c r="H25" s="40">
        <v>17.3</v>
      </c>
      <c r="I25" s="40">
        <v>6.96</v>
      </c>
      <c r="J25" s="40">
        <v>1.85</v>
      </c>
      <c r="K25" s="40">
        <v>212.33</v>
      </c>
      <c r="L25" s="40">
        <v>37.36</v>
      </c>
      <c r="M25" s="40">
        <v>33.08</v>
      </c>
      <c r="N25" s="40">
        <v>358.8</v>
      </c>
      <c r="O25" s="40">
        <v>0</v>
      </c>
      <c r="P25" s="40">
        <v>0.42</v>
      </c>
      <c r="Q25" s="40">
        <v>28.83</v>
      </c>
      <c r="R25" s="38"/>
      <c r="S25" s="38"/>
      <c r="T25" s="38"/>
      <c r="U25" s="38"/>
    </row>
    <row r="26" spans="1:21">
      <c r="A26" s="39" t="s">
        <v>749</v>
      </c>
      <c r="B26" s="40">
        <v>1.92</v>
      </c>
      <c r="C26" s="40">
        <v>20.51</v>
      </c>
      <c r="D26" s="40">
        <v>12.89</v>
      </c>
      <c r="E26" s="40">
        <v>1.8</v>
      </c>
      <c r="F26" s="40">
        <v>22.25</v>
      </c>
      <c r="G26" s="40">
        <v>33.5</v>
      </c>
      <c r="H26" s="40">
        <v>14.79</v>
      </c>
      <c r="I26" s="40">
        <v>6.71</v>
      </c>
      <c r="J26" s="40">
        <v>1.23</v>
      </c>
      <c r="K26" s="40">
        <v>201.08</v>
      </c>
      <c r="L26" s="40">
        <v>35.840000000000003</v>
      </c>
      <c r="M26" s="40">
        <v>36.26</v>
      </c>
      <c r="N26" s="40">
        <v>79.5</v>
      </c>
      <c r="O26" s="40">
        <v>0</v>
      </c>
      <c r="P26" s="40">
        <v>0.44</v>
      </c>
      <c r="Q26" s="40">
        <v>29.01</v>
      </c>
      <c r="R26" s="38"/>
      <c r="S26" s="38"/>
      <c r="T26" s="38"/>
      <c r="U26" s="38"/>
    </row>
    <row r="27" spans="1:21">
      <c r="A27" s="39" t="s">
        <v>750</v>
      </c>
      <c r="B27" s="40">
        <v>3.51</v>
      </c>
      <c r="C27" s="40">
        <v>35.03</v>
      </c>
      <c r="D27" s="40">
        <v>21.79</v>
      </c>
      <c r="E27" s="40">
        <v>2.4900000000000002</v>
      </c>
      <c r="F27" s="40">
        <v>19.47</v>
      </c>
      <c r="G27" s="40">
        <v>30.16</v>
      </c>
      <c r="H27" s="40">
        <v>15.37</v>
      </c>
      <c r="I27" s="40">
        <v>6.41</v>
      </c>
      <c r="J27" s="40">
        <v>1.27</v>
      </c>
      <c r="K27" s="40">
        <v>329.15</v>
      </c>
      <c r="L27" s="40">
        <v>33.619999999999997</v>
      </c>
      <c r="M27" s="40">
        <v>38.96</v>
      </c>
      <c r="N27" s="40">
        <v>26.5</v>
      </c>
      <c r="O27" s="40">
        <v>0</v>
      </c>
      <c r="P27" s="40">
        <v>0.48</v>
      </c>
      <c r="Q27" s="40">
        <v>28.9</v>
      </c>
      <c r="R27" s="38"/>
      <c r="S27" s="38"/>
      <c r="T27" s="38"/>
      <c r="U27" s="38"/>
    </row>
    <row r="28" spans="1:21">
      <c r="A28" s="39" t="s">
        <v>751</v>
      </c>
      <c r="B28" s="40">
        <v>3.34</v>
      </c>
      <c r="C28" s="40">
        <v>34.08</v>
      </c>
      <c r="D28" s="40">
        <v>20.84</v>
      </c>
      <c r="E28" s="40">
        <v>2.78</v>
      </c>
      <c r="F28" s="40">
        <v>7.83</v>
      </c>
      <c r="G28" s="40">
        <v>34.82</v>
      </c>
      <c r="H28" s="40">
        <v>16.71</v>
      </c>
      <c r="I28" s="40">
        <v>7.22</v>
      </c>
      <c r="J28" s="40">
        <v>0.89</v>
      </c>
      <c r="K28" s="40">
        <v>178.88</v>
      </c>
      <c r="L28" s="40">
        <v>32.74</v>
      </c>
      <c r="M28" s="40">
        <v>57.67</v>
      </c>
      <c r="N28" s="40">
        <v>25.5</v>
      </c>
      <c r="O28" s="40">
        <v>0</v>
      </c>
      <c r="P28" s="40">
        <v>0.46</v>
      </c>
      <c r="Q28" s="40">
        <v>28.3</v>
      </c>
      <c r="R28" s="38"/>
      <c r="S28" s="38"/>
      <c r="T28" s="38"/>
      <c r="U28" s="38"/>
    </row>
    <row r="29" spans="1:21">
      <c r="A29" s="39" t="s">
        <v>752</v>
      </c>
      <c r="B29" s="40">
        <v>4.51</v>
      </c>
      <c r="C29" s="40">
        <v>33.270000000000003</v>
      </c>
      <c r="D29" s="40">
        <v>21.14</v>
      </c>
      <c r="E29" s="40">
        <v>2.44</v>
      </c>
      <c r="F29" s="40">
        <v>9.0500000000000007</v>
      </c>
      <c r="G29" s="40">
        <v>38.24</v>
      </c>
      <c r="H29" s="40">
        <v>18.079999999999998</v>
      </c>
      <c r="I29" s="40">
        <v>7.94</v>
      </c>
      <c r="J29" s="40">
        <v>0.63</v>
      </c>
      <c r="K29" s="40">
        <v>126.11</v>
      </c>
      <c r="L29" s="40">
        <v>26.56</v>
      </c>
      <c r="M29" s="40">
        <v>59.89</v>
      </c>
      <c r="N29" s="40">
        <v>23.9</v>
      </c>
      <c r="O29" s="40">
        <v>0</v>
      </c>
      <c r="P29" s="40">
        <v>0.52</v>
      </c>
      <c r="Q29" s="40">
        <v>28.36</v>
      </c>
      <c r="R29" s="38"/>
      <c r="S29" s="38"/>
      <c r="T29" s="38"/>
      <c r="U29" s="38"/>
    </row>
    <row r="30" spans="1:21">
      <c r="A30" s="39" t="s">
        <v>753</v>
      </c>
      <c r="B30" s="40">
        <v>4.07</v>
      </c>
      <c r="C30" s="40">
        <v>31.41</v>
      </c>
      <c r="D30" s="40">
        <v>20.23</v>
      </c>
      <c r="E30" s="40">
        <v>1.55</v>
      </c>
      <c r="F30" s="40">
        <v>7.1</v>
      </c>
      <c r="G30" s="40">
        <v>39</v>
      </c>
      <c r="H30" s="40">
        <v>15.05</v>
      </c>
      <c r="I30" s="40">
        <v>8.01</v>
      </c>
      <c r="J30" s="40">
        <v>0.53</v>
      </c>
      <c r="K30" s="40">
        <v>133.28</v>
      </c>
      <c r="L30" s="40">
        <v>25.77</v>
      </c>
      <c r="M30" s="40">
        <v>62.61</v>
      </c>
      <c r="N30" s="40">
        <v>22.7</v>
      </c>
      <c r="O30" s="40">
        <v>0</v>
      </c>
      <c r="P30" s="40">
        <v>0.53</v>
      </c>
      <c r="Q30" s="40">
        <v>28.13</v>
      </c>
      <c r="R30" s="38"/>
      <c r="S30" s="38"/>
      <c r="T30" s="38"/>
      <c r="U30" s="38"/>
    </row>
    <row r="31" spans="1:21">
      <c r="A31" s="39" t="s">
        <v>754</v>
      </c>
      <c r="B31" s="40">
        <v>4.7</v>
      </c>
      <c r="C31" s="40">
        <v>33.57</v>
      </c>
      <c r="D31" s="40">
        <v>21.98</v>
      </c>
      <c r="E31" s="40">
        <v>1.71</v>
      </c>
      <c r="F31" s="40">
        <v>4.37</v>
      </c>
      <c r="G31" s="40">
        <v>30.07</v>
      </c>
      <c r="H31" s="40">
        <v>14.27</v>
      </c>
      <c r="I31" s="40">
        <v>7.99</v>
      </c>
      <c r="J31" s="40">
        <v>0.52</v>
      </c>
      <c r="K31" s="40">
        <v>163.30000000000001</v>
      </c>
      <c r="L31" s="40">
        <v>25.7</v>
      </c>
      <c r="M31" s="40">
        <v>65.36</v>
      </c>
      <c r="N31" s="40">
        <v>23</v>
      </c>
      <c r="O31" s="40">
        <v>0</v>
      </c>
      <c r="P31" s="40">
        <v>0.51</v>
      </c>
      <c r="Q31" s="40">
        <v>28.1</v>
      </c>
      <c r="R31" s="38"/>
      <c r="S31" s="38"/>
      <c r="T31" s="38"/>
      <c r="U31" s="38"/>
    </row>
    <row r="32" spans="1:21">
      <c r="A32" s="39" t="s">
        <v>755</v>
      </c>
      <c r="B32" s="40">
        <v>5.13</v>
      </c>
      <c r="C32" s="40">
        <v>34.479999999999997</v>
      </c>
      <c r="D32" s="40">
        <v>22.8</v>
      </c>
      <c r="E32" s="40">
        <v>1.81</v>
      </c>
      <c r="F32" s="40">
        <v>4.97</v>
      </c>
      <c r="G32" s="40">
        <v>31.03</v>
      </c>
      <c r="H32" s="40">
        <v>14.82</v>
      </c>
      <c r="I32" s="40">
        <v>8.01</v>
      </c>
      <c r="J32" s="40">
        <v>0.75</v>
      </c>
      <c r="K32" s="40">
        <v>176.61</v>
      </c>
      <c r="L32" s="40">
        <v>25.25</v>
      </c>
      <c r="M32" s="40">
        <v>65.400000000000006</v>
      </c>
      <c r="N32" s="40">
        <v>23</v>
      </c>
      <c r="O32" s="40">
        <v>0</v>
      </c>
      <c r="P32" s="40">
        <v>0.48</v>
      </c>
      <c r="Q32" s="40">
        <v>28.22</v>
      </c>
      <c r="R32" s="38"/>
      <c r="S32" s="38"/>
      <c r="T32" s="38"/>
      <c r="U32" s="38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3" t="s">
        <v>48</v>
      </c>
      <c r="B34" s="18">
        <f t="shared" ref="B34:Q34" si="0">MIN(B9:B32)</f>
        <v>1.92</v>
      </c>
      <c r="C34" s="18">
        <f t="shared" si="0"/>
        <v>20.51</v>
      </c>
      <c r="D34" s="18">
        <f t="shared" si="0"/>
        <v>12.89</v>
      </c>
      <c r="E34" s="18">
        <f t="shared" si="0"/>
        <v>0.63</v>
      </c>
      <c r="F34" s="18">
        <f t="shared" si="0"/>
        <v>2.4500000000000002</v>
      </c>
      <c r="G34" s="18">
        <f t="shared" si="0"/>
        <v>26.06</v>
      </c>
      <c r="H34" s="18">
        <f t="shared" si="0"/>
        <v>11.49</v>
      </c>
      <c r="I34" s="18">
        <f t="shared" si="0"/>
        <v>6.41</v>
      </c>
      <c r="J34" s="18">
        <f t="shared" si="0"/>
        <v>0.43</v>
      </c>
      <c r="K34" s="18">
        <f t="shared" si="0"/>
        <v>125.72</v>
      </c>
      <c r="L34" s="18">
        <f t="shared" si="0"/>
        <v>23.42</v>
      </c>
      <c r="M34" s="18">
        <f t="shared" si="0"/>
        <v>22.25</v>
      </c>
      <c r="N34" s="18">
        <f t="shared" si="0"/>
        <v>22.7</v>
      </c>
      <c r="O34" s="18">
        <f t="shared" si="0"/>
        <v>0</v>
      </c>
      <c r="P34" s="18">
        <f t="shared" si="0"/>
        <v>0.42</v>
      </c>
      <c r="Q34" s="18">
        <f t="shared" si="0"/>
        <v>26.88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23.44</v>
      </c>
      <c r="C35" s="3">
        <f t="shared" si="1"/>
        <v>40.78</v>
      </c>
      <c r="D35" s="3">
        <f t="shared" si="1"/>
        <v>39.39</v>
      </c>
      <c r="E35" s="3">
        <f t="shared" si="1"/>
        <v>2.78</v>
      </c>
      <c r="F35" s="3">
        <f t="shared" si="1"/>
        <v>22.25</v>
      </c>
      <c r="G35" s="3">
        <f t="shared" si="1"/>
        <v>60.12</v>
      </c>
      <c r="H35" s="3">
        <f t="shared" si="1"/>
        <v>19.100000000000001</v>
      </c>
      <c r="I35" s="3">
        <f t="shared" si="1"/>
        <v>9.9</v>
      </c>
      <c r="J35" s="3">
        <f t="shared" si="1"/>
        <v>2.68</v>
      </c>
      <c r="K35" s="3">
        <f t="shared" si="1"/>
        <v>329.15</v>
      </c>
      <c r="L35" s="3">
        <f t="shared" si="1"/>
        <v>37.97</v>
      </c>
      <c r="M35" s="3">
        <f t="shared" si="1"/>
        <v>77.599999999999994</v>
      </c>
      <c r="N35" s="3">
        <f t="shared" si="1"/>
        <v>903.7</v>
      </c>
      <c r="O35" s="3">
        <f t="shared" si="1"/>
        <v>0</v>
      </c>
      <c r="P35" s="3">
        <f t="shared" si="1"/>
        <v>0.55000000000000004</v>
      </c>
      <c r="Q35" s="3">
        <f t="shared" si="1"/>
        <v>29.01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9.2104166666666636</v>
      </c>
      <c r="C36" s="18">
        <f t="shared" si="2"/>
        <v>34.365833333333335</v>
      </c>
      <c r="D36" s="18">
        <f t="shared" si="2"/>
        <v>25.794999999999998</v>
      </c>
      <c r="E36" s="18">
        <f t="shared" si="2"/>
        <v>1.6054166666666667</v>
      </c>
      <c r="F36" s="18">
        <f t="shared" si="2"/>
        <v>7.9416666666666673</v>
      </c>
      <c r="G36" s="18">
        <f t="shared" si="2"/>
        <v>36.913333333333334</v>
      </c>
      <c r="H36" s="18">
        <f t="shared" si="2"/>
        <v>15.627499999999998</v>
      </c>
      <c r="I36" s="18">
        <f t="shared" si="2"/>
        <v>8.5716666666666672</v>
      </c>
      <c r="J36" s="18">
        <f t="shared" si="2"/>
        <v>1.2375</v>
      </c>
      <c r="K36" s="18">
        <f t="shared" si="2"/>
        <v>213.48708333333332</v>
      </c>
      <c r="L36" s="18">
        <f t="shared" si="2"/>
        <v>29.800416666666663</v>
      </c>
      <c r="M36" s="18">
        <f t="shared" si="2"/>
        <v>53.414166666666667</v>
      </c>
      <c r="N36" s="18">
        <f t="shared" si="2"/>
        <v>277.73750000000001</v>
      </c>
      <c r="O36" s="18">
        <f t="shared" si="2"/>
        <v>0</v>
      </c>
      <c r="P36" s="18">
        <f t="shared" si="2"/>
        <v>0.5033333333333333</v>
      </c>
      <c r="Q36" s="18">
        <f t="shared" si="2"/>
        <v>27.951250000000002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7.4681453836286948</v>
      </c>
      <c r="C37" s="18">
        <f t="shared" ref="C37:Q37" si="3">STDEV(C9:C32)</f>
        <v>4.1958042361871559</v>
      </c>
      <c r="D37" s="18">
        <f t="shared" si="3"/>
        <v>7.1453596982511147</v>
      </c>
      <c r="E37" s="18">
        <f t="shared" si="3"/>
        <v>0.57864143111006283</v>
      </c>
      <c r="F37" s="18">
        <f t="shared" si="3"/>
        <v>5.6141828680015671</v>
      </c>
      <c r="G37" s="18">
        <f t="shared" si="3"/>
        <v>7.0729408843580419</v>
      </c>
      <c r="H37" s="18">
        <f t="shared" si="3"/>
        <v>2.1132136047097783</v>
      </c>
      <c r="I37" s="18">
        <f t="shared" si="3"/>
        <v>1.0768459042264529</v>
      </c>
      <c r="J37" s="18">
        <f t="shared" si="3"/>
        <v>0.65013878117107338</v>
      </c>
      <c r="K37" s="18">
        <f t="shared" si="3"/>
        <v>49.724813373568622</v>
      </c>
      <c r="L37" s="18">
        <f t="shared" si="3"/>
        <v>5.4942653733464493</v>
      </c>
      <c r="M37" s="18">
        <f t="shared" si="3"/>
        <v>18.1786891278166</v>
      </c>
      <c r="N37" s="18">
        <f t="shared" si="3"/>
        <v>340.45397034535091</v>
      </c>
      <c r="O37" s="18">
        <f t="shared" si="3"/>
        <v>0</v>
      </c>
      <c r="P37" s="18">
        <f t="shared" si="3"/>
        <v>3.3578806290338242E-2</v>
      </c>
      <c r="Q37" s="18">
        <f t="shared" si="3"/>
        <v>0.65820779393744655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7"/>
      <c r="O41" s="37"/>
      <c r="P41" s="37"/>
      <c r="Q41" s="37"/>
      <c r="R41" s="37"/>
      <c r="S41" s="37"/>
      <c r="T41" s="37"/>
      <c r="U41" s="37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19" t="s">
        <v>59</v>
      </c>
      <c r="C43" s="3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96"/>
  <sheetViews>
    <sheetView topLeftCell="A25" zoomScale="85" zoomScaleNormal="85" workbookViewId="0">
      <selection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30/04/2025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756</v>
      </c>
      <c r="B9" s="40">
        <v>4.8499999999999996</v>
      </c>
      <c r="C9" s="40">
        <v>36.22</v>
      </c>
      <c r="D9" s="40">
        <v>23.49</v>
      </c>
      <c r="E9" s="40">
        <v>1.59</v>
      </c>
      <c r="F9" s="40">
        <v>4.7</v>
      </c>
      <c r="G9" s="40">
        <v>30.93</v>
      </c>
      <c r="H9" s="40">
        <v>16.47</v>
      </c>
      <c r="I9" s="40">
        <v>7.81</v>
      </c>
      <c r="J9" s="40">
        <v>0.64</v>
      </c>
      <c r="K9" s="40">
        <v>170.5</v>
      </c>
      <c r="L9" s="40">
        <v>24.8</v>
      </c>
      <c r="M9" s="40">
        <v>62.53</v>
      </c>
      <c r="N9" s="40">
        <v>22.8</v>
      </c>
      <c r="O9" s="40">
        <v>0</v>
      </c>
      <c r="P9" s="40">
        <v>0.49</v>
      </c>
      <c r="Q9" s="40">
        <v>28.08</v>
      </c>
      <c r="R9" s="38"/>
      <c r="S9" s="38"/>
      <c r="T9" s="38"/>
      <c r="U9" s="38"/>
    </row>
    <row r="10" spans="1:21" customFormat="1">
      <c r="A10" s="39" t="s">
        <v>757</v>
      </c>
      <c r="B10" s="40">
        <v>5.25</v>
      </c>
      <c r="C10" s="40">
        <v>35.25</v>
      </c>
      <c r="D10" s="40">
        <v>23.3</v>
      </c>
      <c r="E10" s="40">
        <v>1.61</v>
      </c>
      <c r="F10" s="40">
        <v>3.79</v>
      </c>
      <c r="G10" s="40">
        <v>26.03</v>
      </c>
      <c r="H10" s="40">
        <v>17.670000000000002</v>
      </c>
      <c r="I10" s="40">
        <v>7.53</v>
      </c>
      <c r="J10" s="40">
        <v>0.54</v>
      </c>
      <c r="K10" s="40">
        <v>241.72</v>
      </c>
      <c r="L10" s="40">
        <v>24.98</v>
      </c>
      <c r="M10" s="40">
        <v>61.18</v>
      </c>
      <c r="N10" s="40">
        <v>22.8</v>
      </c>
      <c r="O10" s="40">
        <v>0</v>
      </c>
      <c r="P10" s="40">
        <v>0.48</v>
      </c>
      <c r="Q10" s="40">
        <v>28.04</v>
      </c>
      <c r="R10" s="38"/>
      <c r="S10" s="38"/>
      <c r="T10" s="38"/>
      <c r="U10" s="38"/>
    </row>
    <row r="11" spans="1:21" customFormat="1">
      <c r="A11" s="39" t="s">
        <v>758</v>
      </c>
      <c r="B11" s="40">
        <v>6.22</v>
      </c>
      <c r="C11" s="40">
        <v>35.799999999999997</v>
      </c>
      <c r="D11" s="40">
        <v>24.2</v>
      </c>
      <c r="E11" s="40">
        <v>1.53</v>
      </c>
      <c r="F11" s="40">
        <v>3.2</v>
      </c>
      <c r="G11" s="40">
        <v>24.92</v>
      </c>
      <c r="H11" s="40">
        <v>12.82</v>
      </c>
      <c r="I11" s="40">
        <v>7.31</v>
      </c>
      <c r="J11" s="40">
        <v>1.7</v>
      </c>
      <c r="K11" s="40">
        <v>246.14</v>
      </c>
      <c r="L11" s="40">
        <v>24.88</v>
      </c>
      <c r="M11" s="40">
        <v>65.39</v>
      </c>
      <c r="N11" s="40">
        <v>23.6</v>
      </c>
      <c r="O11" s="40">
        <v>0</v>
      </c>
      <c r="P11" s="40">
        <v>0.43</v>
      </c>
      <c r="Q11" s="40">
        <v>28.08</v>
      </c>
      <c r="R11" s="38"/>
      <c r="S11" s="38"/>
      <c r="T11" s="38"/>
      <c r="U11" s="38"/>
    </row>
    <row r="12" spans="1:21" customFormat="1">
      <c r="A12" s="39" t="s">
        <v>759</v>
      </c>
      <c r="B12" s="40">
        <v>6.1</v>
      </c>
      <c r="C12" s="40">
        <v>33.94</v>
      </c>
      <c r="D12" s="40">
        <v>22.72</v>
      </c>
      <c r="E12" s="40">
        <v>1</v>
      </c>
      <c r="F12" s="40">
        <v>4.2300000000000004</v>
      </c>
      <c r="G12" s="40">
        <v>26.27</v>
      </c>
      <c r="H12" s="40">
        <v>12.41</v>
      </c>
      <c r="I12" s="40">
        <v>7.34</v>
      </c>
      <c r="J12" s="40">
        <v>0.48</v>
      </c>
      <c r="K12" s="40">
        <v>209.77</v>
      </c>
      <c r="L12" s="40">
        <v>24.54</v>
      </c>
      <c r="M12" s="40">
        <v>62.77</v>
      </c>
      <c r="N12" s="40">
        <v>23.3</v>
      </c>
      <c r="O12" s="40">
        <v>0</v>
      </c>
      <c r="P12" s="40">
        <v>0.45</v>
      </c>
      <c r="Q12" s="40">
        <v>28.03</v>
      </c>
      <c r="R12" s="38"/>
      <c r="S12" s="38"/>
      <c r="T12" s="38"/>
      <c r="U12" s="38"/>
    </row>
    <row r="13" spans="1:21" customFormat="1">
      <c r="A13" s="39" t="s">
        <v>760</v>
      </c>
      <c r="B13" s="40">
        <v>5.72</v>
      </c>
      <c r="C13" s="40">
        <v>36.39</v>
      </c>
      <c r="D13" s="40">
        <v>24.25</v>
      </c>
      <c r="E13" s="40">
        <v>1.38</v>
      </c>
      <c r="F13" s="40">
        <v>4.5</v>
      </c>
      <c r="G13" s="40">
        <v>23.35</v>
      </c>
      <c r="H13" s="40">
        <v>12.36</v>
      </c>
      <c r="I13" s="40">
        <v>7.07</v>
      </c>
      <c r="J13" s="40">
        <v>0.53</v>
      </c>
      <c r="K13" s="40">
        <v>129.28</v>
      </c>
      <c r="L13" s="40">
        <v>24.3</v>
      </c>
      <c r="M13" s="40">
        <v>65.22</v>
      </c>
      <c r="N13" s="40">
        <v>23.2</v>
      </c>
      <c r="O13" s="40">
        <v>0</v>
      </c>
      <c r="P13" s="40">
        <v>0.43</v>
      </c>
      <c r="Q13" s="40">
        <v>27.95</v>
      </c>
      <c r="R13" s="38"/>
      <c r="S13" s="38"/>
      <c r="T13" s="38"/>
      <c r="U13" s="38"/>
    </row>
    <row r="14" spans="1:21" customFormat="1">
      <c r="A14" s="39" t="s">
        <v>761</v>
      </c>
      <c r="B14" s="40">
        <v>8.14</v>
      </c>
      <c r="C14" s="40">
        <v>39.08</v>
      </c>
      <c r="D14" s="40">
        <v>27.62</v>
      </c>
      <c r="E14" s="40">
        <v>1.34</v>
      </c>
      <c r="F14" s="40">
        <v>2.89</v>
      </c>
      <c r="G14" s="40">
        <v>21.55</v>
      </c>
      <c r="H14" s="40">
        <v>12.38</v>
      </c>
      <c r="I14" s="40">
        <v>6.95</v>
      </c>
      <c r="J14" s="40">
        <v>0.55000000000000004</v>
      </c>
      <c r="K14" s="40">
        <v>131.56</v>
      </c>
      <c r="L14" s="40">
        <v>24.19</v>
      </c>
      <c r="M14" s="40">
        <v>67.69</v>
      </c>
      <c r="N14" s="40">
        <v>45.1</v>
      </c>
      <c r="O14" s="40">
        <v>0</v>
      </c>
      <c r="P14" s="40">
        <v>0.42</v>
      </c>
      <c r="Q14" s="40">
        <v>27.76</v>
      </c>
      <c r="R14" s="38"/>
      <c r="S14" s="38"/>
      <c r="T14" s="38"/>
      <c r="U14" s="38"/>
    </row>
    <row r="15" spans="1:21" customFormat="1">
      <c r="A15" s="39" t="s">
        <v>762</v>
      </c>
      <c r="B15" s="40">
        <v>9.69</v>
      </c>
      <c r="C15" s="40">
        <v>35.21</v>
      </c>
      <c r="D15" s="40">
        <v>26.84</v>
      </c>
      <c r="E15" s="40">
        <v>1.2</v>
      </c>
      <c r="F15" s="40">
        <v>2.93</v>
      </c>
      <c r="G15" s="40">
        <v>37.549999999999997</v>
      </c>
      <c r="H15" s="40">
        <v>21.06</v>
      </c>
      <c r="I15" s="40">
        <v>7.21</v>
      </c>
      <c r="J15" s="40">
        <v>0.7</v>
      </c>
      <c r="K15" s="40">
        <v>77.260000000000005</v>
      </c>
      <c r="L15" s="40">
        <v>24.34</v>
      </c>
      <c r="M15" s="40">
        <v>68.97</v>
      </c>
      <c r="N15" s="40">
        <v>84</v>
      </c>
      <c r="O15" s="40">
        <v>0</v>
      </c>
      <c r="P15" s="40">
        <v>0.5</v>
      </c>
      <c r="Q15" s="40">
        <v>27.74</v>
      </c>
      <c r="R15" s="38"/>
      <c r="S15" s="38"/>
      <c r="T15" s="38"/>
      <c r="U15" s="38"/>
    </row>
    <row r="16" spans="1:21" customFormat="1">
      <c r="A16" s="39" t="s">
        <v>763</v>
      </c>
      <c r="B16" s="40">
        <v>11.03</v>
      </c>
      <c r="C16" s="40">
        <v>38.24</v>
      </c>
      <c r="D16" s="40">
        <v>29.5</v>
      </c>
      <c r="E16" s="40">
        <v>1.29</v>
      </c>
      <c r="F16" s="40">
        <v>3.04</v>
      </c>
      <c r="G16" s="40">
        <v>52.3</v>
      </c>
      <c r="H16" s="40">
        <v>31.45</v>
      </c>
      <c r="I16" s="40">
        <v>8.1300000000000008</v>
      </c>
      <c r="J16" s="40">
        <v>0.45</v>
      </c>
      <c r="K16" s="40">
        <v>359.04</v>
      </c>
      <c r="L16" s="40">
        <v>25.56</v>
      </c>
      <c r="M16" s="40">
        <v>67.73</v>
      </c>
      <c r="N16" s="40">
        <v>149.80000000000001</v>
      </c>
      <c r="O16" s="40">
        <v>0</v>
      </c>
      <c r="P16" s="40">
        <v>0.53</v>
      </c>
      <c r="Q16" s="40">
        <v>27.44</v>
      </c>
      <c r="R16" s="38"/>
      <c r="S16" s="38"/>
      <c r="T16" s="38"/>
      <c r="U16" s="38"/>
    </row>
    <row r="17" spans="1:21" customFormat="1">
      <c r="A17" s="39" t="s">
        <v>764</v>
      </c>
      <c r="B17" s="40">
        <v>11.87</v>
      </c>
      <c r="C17" s="40">
        <v>38.19</v>
      </c>
      <c r="D17" s="40">
        <v>30.15</v>
      </c>
      <c r="E17" s="40">
        <v>1.57</v>
      </c>
      <c r="F17" s="40">
        <v>3.12</v>
      </c>
      <c r="G17" s="40">
        <v>53.15</v>
      </c>
      <c r="H17" s="40">
        <v>32.700000000000003</v>
      </c>
      <c r="I17" s="40">
        <v>8.67</v>
      </c>
      <c r="J17" s="40">
        <v>0.5</v>
      </c>
      <c r="K17" s="40">
        <v>207.02</v>
      </c>
      <c r="L17" s="40">
        <v>27.37</v>
      </c>
      <c r="M17" s="40">
        <v>59.74</v>
      </c>
      <c r="N17" s="40">
        <v>236.7</v>
      </c>
      <c r="O17" s="40">
        <v>0</v>
      </c>
      <c r="P17" s="40">
        <v>0.53</v>
      </c>
      <c r="Q17" s="40">
        <v>27.29</v>
      </c>
      <c r="R17" s="38"/>
      <c r="S17" s="38"/>
      <c r="T17" s="38"/>
      <c r="U17" s="38"/>
    </row>
    <row r="18" spans="1:21" customFormat="1">
      <c r="A18" s="39" t="s">
        <v>765</v>
      </c>
      <c r="B18" s="40">
        <v>11.76</v>
      </c>
      <c r="C18" s="40">
        <v>38.770000000000003</v>
      </c>
      <c r="D18" s="40">
        <v>30.36</v>
      </c>
      <c r="E18" s="40">
        <v>1.32</v>
      </c>
      <c r="F18" s="40">
        <v>7.22</v>
      </c>
      <c r="G18" s="40">
        <v>50.38</v>
      </c>
      <c r="H18" s="40">
        <v>28.91</v>
      </c>
      <c r="I18" s="40">
        <v>9.34</v>
      </c>
      <c r="J18" s="40">
        <v>0.84</v>
      </c>
      <c r="K18" s="40">
        <v>81.31</v>
      </c>
      <c r="L18" s="40">
        <v>29.63</v>
      </c>
      <c r="M18" s="40">
        <v>51.35</v>
      </c>
      <c r="N18" s="40">
        <v>681</v>
      </c>
      <c r="O18" s="40">
        <v>0</v>
      </c>
      <c r="P18" s="40">
        <v>0.6</v>
      </c>
      <c r="Q18" s="40">
        <v>27.63</v>
      </c>
      <c r="R18" s="38"/>
      <c r="S18" s="38"/>
      <c r="T18" s="38"/>
      <c r="U18" s="38"/>
    </row>
    <row r="19" spans="1:21" customFormat="1">
      <c r="A19" s="39" t="s">
        <v>766</v>
      </c>
      <c r="B19" s="40">
        <v>8.52</v>
      </c>
      <c r="C19" s="40">
        <v>34.32</v>
      </c>
      <c r="D19" s="40">
        <v>25.43</v>
      </c>
      <c r="E19" s="40">
        <v>1.41</v>
      </c>
      <c r="F19" s="40">
        <v>10.77</v>
      </c>
      <c r="G19" s="40">
        <v>60.84</v>
      </c>
      <c r="H19" s="40">
        <v>25.87</v>
      </c>
      <c r="I19" s="40">
        <v>9.59</v>
      </c>
      <c r="J19" s="40">
        <v>0.28999999999999998</v>
      </c>
      <c r="K19" s="40">
        <v>206.61</v>
      </c>
      <c r="L19" s="40">
        <v>32.24</v>
      </c>
      <c r="M19" s="40">
        <v>43.81</v>
      </c>
      <c r="N19" s="40">
        <v>855.5</v>
      </c>
      <c r="O19" s="40">
        <v>0</v>
      </c>
      <c r="P19" s="40">
        <v>0.62</v>
      </c>
      <c r="Q19" s="40">
        <v>27.69</v>
      </c>
      <c r="R19" s="38"/>
      <c r="S19" s="38"/>
      <c r="T19" s="38"/>
      <c r="U19" s="38"/>
    </row>
    <row r="20" spans="1:21" customFormat="1">
      <c r="A20" s="39" t="s">
        <v>767</v>
      </c>
      <c r="B20" s="40">
        <v>5.45</v>
      </c>
      <c r="C20" s="40">
        <v>37.46</v>
      </c>
      <c r="D20" s="40">
        <v>24.48</v>
      </c>
      <c r="E20" s="40">
        <v>2.31</v>
      </c>
      <c r="F20" s="40">
        <v>8.64</v>
      </c>
      <c r="G20" s="40">
        <v>72.36</v>
      </c>
      <c r="H20" s="40">
        <v>26.5</v>
      </c>
      <c r="I20" s="40">
        <v>9.76</v>
      </c>
      <c r="J20" s="40">
        <v>0.72</v>
      </c>
      <c r="K20" s="40">
        <v>212.72</v>
      </c>
      <c r="L20" s="40">
        <v>33.92</v>
      </c>
      <c r="M20" s="40">
        <v>38.090000000000003</v>
      </c>
      <c r="N20" s="40">
        <v>896</v>
      </c>
      <c r="O20" s="40">
        <v>0</v>
      </c>
      <c r="P20" s="40">
        <v>0.49</v>
      </c>
      <c r="Q20" s="40">
        <v>27.88</v>
      </c>
      <c r="R20" s="38"/>
      <c r="S20" s="38"/>
      <c r="T20" s="38"/>
      <c r="U20" s="38"/>
    </row>
    <row r="21" spans="1:21" customFormat="1">
      <c r="A21" s="39" t="s">
        <v>768</v>
      </c>
      <c r="B21" s="40">
        <v>3.7</v>
      </c>
      <c r="C21" s="40">
        <v>34.68</v>
      </c>
      <c r="D21" s="40">
        <v>21.76</v>
      </c>
      <c r="E21" s="40">
        <v>2.5499999999999998</v>
      </c>
      <c r="F21" s="40">
        <v>11.98</v>
      </c>
      <c r="G21" s="40">
        <v>55.27</v>
      </c>
      <c r="H21" s="40">
        <v>22.34</v>
      </c>
      <c r="I21" s="40">
        <v>9.58</v>
      </c>
      <c r="J21" s="40">
        <v>1.18</v>
      </c>
      <c r="K21" s="40">
        <v>218.93</v>
      </c>
      <c r="L21" s="40">
        <v>34.86</v>
      </c>
      <c r="M21" s="40">
        <v>37.08</v>
      </c>
      <c r="N21" s="40">
        <v>899.3</v>
      </c>
      <c r="O21" s="40">
        <v>0</v>
      </c>
      <c r="P21" s="40">
        <v>0.47</v>
      </c>
      <c r="Q21" s="40">
        <v>28.49</v>
      </c>
      <c r="R21" s="38"/>
      <c r="S21" s="38"/>
      <c r="T21" s="38"/>
      <c r="U21" s="38"/>
    </row>
    <row r="22" spans="1:21" customFormat="1">
      <c r="A22" s="39" t="s">
        <v>769</v>
      </c>
      <c r="B22" s="40">
        <v>2.83</v>
      </c>
      <c r="C22" s="40">
        <v>26.74</v>
      </c>
      <c r="D22" s="40">
        <v>16.920000000000002</v>
      </c>
      <c r="E22" s="40">
        <v>2.0099999999999998</v>
      </c>
      <c r="F22" s="40">
        <v>14.46</v>
      </c>
      <c r="G22" s="40">
        <v>39.85</v>
      </c>
      <c r="H22" s="40">
        <v>15.89</v>
      </c>
      <c r="I22" s="40">
        <v>9.26</v>
      </c>
      <c r="J22" s="40">
        <v>1.51</v>
      </c>
      <c r="K22" s="40">
        <v>210.53</v>
      </c>
      <c r="L22" s="40">
        <v>36.11</v>
      </c>
      <c r="M22" s="40">
        <v>32.36</v>
      </c>
      <c r="N22" s="40">
        <v>863.7</v>
      </c>
      <c r="O22" s="40">
        <v>0</v>
      </c>
      <c r="P22" s="40">
        <v>0.48</v>
      </c>
      <c r="Q22" s="40">
        <v>28.65</v>
      </c>
      <c r="R22" s="38"/>
      <c r="S22" s="38"/>
      <c r="T22" s="38"/>
      <c r="U22" s="38"/>
    </row>
    <row r="23" spans="1:21" customFormat="1">
      <c r="A23" s="39" t="s">
        <v>770</v>
      </c>
      <c r="B23" s="40">
        <v>2.74</v>
      </c>
      <c r="C23" s="40">
        <v>29.49</v>
      </c>
      <c r="D23" s="40">
        <v>18.21</v>
      </c>
      <c r="E23" s="40">
        <v>2.2999999999999998</v>
      </c>
      <c r="F23" s="40">
        <v>13.3</v>
      </c>
      <c r="G23" s="40">
        <v>39.89</v>
      </c>
      <c r="H23" s="40">
        <v>14.36</v>
      </c>
      <c r="I23" s="40">
        <v>8.6</v>
      </c>
      <c r="J23" s="40">
        <v>0.99</v>
      </c>
      <c r="K23" s="40">
        <v>219.36</v>
      </c>
      <c r="L23" s="40">
        <v>38</v>
      </c>
      <c r="M23" s="40">
        <v>29.55</v>
      </c>
      <c r="N23" s="40">
        <v>752.3</v>
      </c>
      <c r="O23" s="40">
        <v>0</v>
      </c>
      <c r="P23" s="40">
        <v>0.45</v>
      </c>
      <c r="Q23" s="40">
        <v>28.71</v>
      </c>
      <c r="R23" s="38"/>
      <c r="S23" s="38"/>
      <c r="T23" s="38"/>
      <c r="U23" s="38"/>
    </row>
    <row r="24" spans="1:21" customFormat="1">
      <c r="A24" s="39" t="s">
        <v>771</v>
      </c>
      <c r="B24" s="40">
        <v>2.83</v>
      </c>
      <c r="C24" s="40">
        <v>26.62</v>
      </c>
      <c r="D24" s="40">
        <v>16.809999999999999</v>
      </c>
      <c r="E24" s="40">
        <v>2.2400000000000002</v>
      </c>
      <c r="F24" s="40">
        <v>26.29</v>
      </c>
      <c r="G24" s="40">
        <v>31.51</v>
      </c>
      <c r="H24" s="40">
        <v>16.239999999999998</v>
      </c>
      <c r="I24" s="40">
        <v>8.3800000000000008</v>
      </c>
      <c r="J24" s="40">
        <v>1.17</v>
      </c>
      <c r="K24" s="40">
        <v>233.39</v>
      </c>
      <c r="L24" s="40">
        <v>38.659999999999997</v>
      </c>
      <c r="M24" s="40">
        <v>29.24</v>
      </c>
      <c r="N24" s="40">
        <v>586.4</v>
      </c>
      <c r="O24" s="40">
        <v>0</v>
      </c>
      <c r="P24" s="40">
        <v>0.41</v>
      </c>
      <c r="Q24" s="40">
        <v>28.79</v>
      </c>
      <c r="R24" s="38"/>
      <c r="S24" s="38"/>
      <c r="T24" s="38"/>
      <c r="U24" s="38"/>
    </row>
    <row r="25" spans="1:21" customFormat="1">
      <c r="A25" s="39" t="s">
        <v>772</v>
      </c>
      <c r="B25" s="40">
        <v>2.77</v>
      </c>
      <c r="C25" s="40">
        <v>20.47</v>
      </c>
      <c r="D25" s="40">
        <v>13.59</v>
      </c>
      <c r="E25" s="40">
        <v>2.34</v>
      </c>
      <c r="F25" s="40">
        <v>24.06</v>
      </c>
      <c r="G25" s="40">
        <v>32.86</v>
      </c>
      <c r="H25" s="40">
        <v>15.57</v>
      </c>
      <c r="I25" s="40">
        <v>8.06</v>
      </c>
      <c r="J25" s="40">
        <v>0.54</v>
      </c>
      <c r="K25" s="40">
        <v>185.85</v>
      </c>
      <c r="L25" s="40">
        <v>39.22</v>
      </c>
      <c r="M25" s="40">
        <v>28.63</v>
      </c>
      <c r="N25" s="40">
        <v>378.4</v>
      </c>
      <c r="O25" s="40">
        <v>0</v>
      </c>
      <c r="P25" s="40">
        <v>0.4</v>
      </c>
      <c r="Q25" s="40">
        <v>28.96</v>
      </c>
      <c r="R25" s="38"/>
      <c r="S25" s="38"/>
      <c r="T25" s="38"/>
      <c r="U25" s="38"/>
    </row>
    <row r="26" spans="1:21" customFormat="1">
      <c r="A26" s="39" t="s">
        <v>773</v>
      </c>
      <c r="B26" s="40">
        <v>3.27</v>
      </c>
      <c r="C26" s="40">
        <v>27.5</v>
      </c>
      <c r="D26" s="40">
        <v>17.66</v>
      </c>
      <c r="E26" s="40">
        <v>1.78</v>
      </c>
      <c r="F26" s="40">
        <v>25.1</v>
      </c>
      <c r="G26" s="40">
        <v>26.75</v>
      </c>
      <c r="H26" s="40">
        <v>14.45</v>
      </c>
      <c r="I26" s="40">
        <v>9.07</v>
      </c>
      <c r="J26" s="40">
        <v>0.46</v>
      </c>
      <c r="K26" s="40">
        <v>137.02000000000001</v>
      </c>
      <c r="L26" s="40">
        <v>37.340000000000003</v>
      </c>
      <c r="M26" s="40">
        <v>34.47</v>
      </c>
      <c r="N26" s="40">
        <v>165.4</v>
      </c>
      <c r="O26" s="40">
        <v>0</v>
      </c>
      <c r="P26" s="40">
        <v>0.53</v>
      </c>
      <c r="Q26" s="40">
        <v>28.96</v>
      </c>
      <c r="R26" s="38"/>
      <c r="S26" s="38"/>
      <c r="T26" s="38"/>
      <c r="U26" s="38"/>
    </row>
    <row r="27" spans="1:21" customFormat="1">
      <c r="A27" s="39" t="s">
        <v>774</v>
      </c>
      <c r="B27" s="40">
        <v>3.86</v>
      </c>
      <c r="C27" s="40">
        <v>29.38</v>
      </c>
      <c r="D27" s="40">
        <v>19.12</v>
      </c>
      <c r="E27" s="40">
        <v>2.0499999999999998</v>
      </c>
      <c r="F27" s="40">
        <v>13.5</v>
      </c>
      <c r="G27" s="40">
        <v>27.58</v>
      </c>
      <c r="H27" s="40">
        <v>13.64</v>
      </c>
      <c r="I27" s="40">
        <v>13.35</v>
      </c>
      <c r="J27" s="40">
        <v>0.56999999999999995</v>
      </c>
      <c r="K27" s="40">
        <v>149.94999999999999</v>
      </c>
      <c r="L27" s="40">
        <v>34.01</v>
      </c>
      <c r="M27" s="40">
        <v>34.82</v>
      </c>
      <c r="N27" s="40">
        <v>35.1</v>
      </c>
      <c r="O27" s="40">
        <v>0</v>
      </c>
      <c r="P27" s="40">
        <v>0.52</v>
      </c>
      <c r="Q27" s="40">
        <v>28.44</v>
      </c>
      <c r="R27" s="38"/>
      <c r="S27" s="38"/>
      <c r="T27" s="38"/>
      <c r="U27" s="38"/>
    </row>
    <row r="28" spans="1:21" customFormat="1">
      <c r="A28" s="39" t="s">
        <v>775</v>
      </c>
      <c r="B28" s="40">
        <v>5.5</v>
      </c>
      <c r="C28" s="40">
        <v>30.17</v>
      </c>
      <c r="D28" s="40">
        <v>19.440000000000001</v>
      </c>
      <c r="E28" s="40">
        <v>2.68</v>
      </c>
      <c r="F28" s="40">
        <v>24.33</v>
      </c>
      <c r="G28" s="40">
        <v>30.39</v>
      </c>
      <c r="H28" s="40">
        <v>14.32</v>
      </c>
      <c r="I28" s="40">
        <v>10.93</v>
      </c>
      <c r="J28" s="40">
        <v>0.79</v>
      </c>
      <c r="K28" s="40">
        <v>147.32</v>
      </c>
      <c r="L28" s="40">
        <v>32.549999999999997</v>
      </c>
      <c r="M28" s="40">
        <v>37.229999999999997</v>
      </c>
      <c r="N28" s="40">
        <v>22.8</v>
      </c>
      <c r="O28" s="40">
        <v>0</v>
      </c>
      <c r="P28" s="40">
        <v>0.56000000000000005</v>
      </c>
      <c r="Q28" s="40">
        <v>28.29</v>
      </c>
      <c r="R28" s="38"/>
      <c r="S28" s="38"/>
      <c r="T28" s="38"/>
      <c r="U28" s="38"/>
    </row>
    <row r="29" spans="1:21" customFormat="1">
      <c r="A29" s="39" t="s">
        <v>776</v>
      </c>
      <c r="B29" s="40">
        <v>3.37</v>
      </c>
      <c r="C29" s="40">
        <v>28.21</v>
      </c>
      <c r="D29" s="40">
        <v>17.97</v>
      </c>
      <c r="E29" s="40">
        <v>2.2599999999999998</v>
      </c>
      <c r="F29" s="40">
        <v>22.76</v>
      </c>
      <c r="G29" s="40">
        <v>31.56</v>
      </c>
      <c r="H29" s="40">
        <v>15.07</v>
      </c>
      <c r="I29" s="40">
        <v>10.63</v>
      </c>
      <c r="J29" s="40">
        <v>0.91</v>
      </c>
      <c r="K29" s="40">
        <v>208.74</v>
      </c>
      <c r="L29" s="40">
        <v>31.04</v>
      </c>
      <c r="M29" s="40">
        <v>40.47</v>
      </c>
      <c r="N29" s="40">
        <v>22.5</v>
      </c>
      <c r="O29" s="40">
        <v>0</v>
      </c>
      <c r="P29" s="40">
        <v>0.55000000000000004</v>
      </c>
      <c r="Q29" s="40">
        <v>28.5</v>
      </c>
      <c r="R29" s="38"/>
      <c r="S29" s="38"/>
      <c r="T29" s="38"/>
      <c r="U29" s="38"/>
    </row>
    <row r="30" spans="1:21" customFormat="1">
      <c r="A30" s="39" t="s">
        <v>777</v>
      </c>
      <c r="B30" s="40">
        <v>4.53</v>
      </c>
      <c r="C30" s="40">
        <v>30.94</v>
      </c>
      <c r="D30" s="40">
        <v>20.48</v>
      </c>
      <c r="E30" s="40">
        <v>1.86</v>
      </c>
      <c r="F30" s="40">
        <v>8.51</v>
      </c>
      <c r="G30" s="40">
        <v>28.89</v>
      </c>
      <c r="H30" s="40">
        <v>14.44</v>
      </c>
      <c r="I30" s="40">
        <v>9.82</v>
      </c>
      <c r="J30" s="40">
        <v>0.54</v>
      </c>
      <c r="K30" s="40">
        <v>183.97</v>
      </c>
      <c r="L30" s="40">
        <v>30.39</v>
      </c>
      <c r="M30" s="40">
        <v>41.12</v>
      </c>
      <c r="N30" s="40">
        <v>22.5</v>
      </c>
      <c r="O30" s="40">
        <v>0</v>
      </c>
      <c r="P30" s="40">
        <v>0.52</v>
      </c>
      <c r="Q30" s="40">
        <v>28.25</v>
      </c>
      <c r="R30" s="38"/>
      <c r="S30" s="38"/>
      <c r="T30" s="38"/>
      <c r="U30" s="38"/>
    </row>
    <row r="31" spans="1:21" customFormat="1">
      <c r="A31" s="39" t="s">
        <v>778</v>
      </c>
      <c r="B31" s="40">
        <v>4.24</v>
      </c>
      <c r="C31" s="40">
        <v>34.04</v>
      </c>
      <c r="D31" s="40">
        <v>21.7</v>
      </c>
      <c r="E31" s="40">
        <v>2.13</v>
      </c>
      <c r="F31" s="40">
        <v>12.53</v>
      </c>
      <c r="G31" s="40">
        <v>26.57</v>
      </c>
      <c r="H31" s="40">
        <v>14.51</v>
      </c>
      <c r="I31" s="40">
        <v>9.94</v>
      </c>
      <c r="J31" s="40">
        <v>0.47</v>
      </c>
      <c r="K31" s="40">
        <v>165.85</v>
      </c>
      <c r="L31" s="40">
        <v>30.03</v>
      </c>
      <c r="M31" s="40">
        <v>42.37</v>
      </c>
      <c r="N31" s="40">
        <v>22.5</v>
      </c>
      <c r="O31" s="40">
        <v>0</v>
      </c>
      <c r="P31" s="40">
        <v>0.52</v>
      </c>
      <c r="Q31" s="40">
        <v>28.29</v>
      </c>
      <c r="R31" s="38"/>
      <c r="S31" s="38"/>
      <c r="T31" s="38"/>
      <c r="U31" s="38"/>
    </row>
    <row r="32" spans="1:21" customFormat="1">
      <c r="A32" s="39" t="s">
        <v>779</v>
      </c>
      <c r="B32" s="40">
        <v>3.58</v>
      </c>
      <c r="C32" s="40">
        <v>32.700000000000003</v>
      </c>
      <c r="D32" s="40">
        <v>20.36</v>
      </c>
      <c r="E32" s="40">
        <v>1.51</v>
      </c>
      <c r="F32" s="40">
        <v>11.17</v>
      </c>
      <c r="G32" s="40">
        <v>25.36</v>
      </c>
      <c r="H32" s="40">
        <v>14.41</v>
      </c>
      <c r="I32" s="40">
        <v>9.82</v>
      </c>
      <c r="J32" s="40">
        <v>0.69</v>
      </c>
      <c r="K32" s="40">
        <v>179.49</v>
      </c>
      <c r="L32" s="40">
        <v>29</v>
      </c>
      <c r="M32" s="40">
        <v>50.87</v>
      </c>
      <c r="N32" s="40">
        <v>22.9</v>
      </c>
      <c r="O32" s="40">
        <v>0</v>
      </c>
      <c r="P32" s="40">
        <v>0.51</v>
      </c>
      <c r="Q32" s="40">
        <v>28.2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2.74</v>
      </c>
      <c r="C34" s="18">
        <f t="shared" si="0"/>
        <v>20.47</v>
      </c>
      <c r="D34" s="18">
        <f t="shared" si="0"/>
        <v>13.59</v>
      </c>
      <c r="E34" s="18">
        <f t="shared" si="0"/>
        <v>1</v>
      </c>
      <c r="F34" s="18">
        <f t="shared" si="0"/>
        <v>2.89</v>
      </c>
      <c r="G34" s="18">
        <f t="shared" si="0"/>
        <v>21.55</v>
      </c>
      <c r="H34" s="18">
        <f t="shared" si="0"/>
        <v>12.36</v>
      </c>
      <c r="I34" s="18">
        <f t="shared" si="0"/>
        <v>6.95</v>
      </c>
      <c r="J34" s="18">
        <f t="shared" si="0"/>
        <v>0.28999999999999998</v>
      </c>
      <c r="K34" s="18">
        <f t="shared" si="0"/>
        <v>77.260000000000005</v>
      </c>
      <c r="L34" s="18">
        <f t="shared" si="0"/>
        <v>24.19</v>
      </c>
      <c r="M34" s="18">
        <f t="shared" si="0"/>
        <v>28.63</v>
      </c>
      <c r="N34" s="18">
        <f t="shared" si="0"/>
        <v>22.5</v>
      </c>
      <c r="O34" s="18">
        <f t="shared" si="0"/>
        <v>0</v>
      </c>
      <c r="P34" s="18">
        <f t="shared" si="0"/>
        <v>0.4</v>
      </c>
      <c r="Q34" s="18">
        <f t="shared" si="0"/>
        <v>27.29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11.87</v>
      </c>
      <c r="C35" s="3">
        <f t="shared" si="1"/>
        <v>39.08</v>
      </c>
      <c r="D35" s="3">
        <f t="shared" si="1"/>
        <v>30.36</v>
      </c>
      <c r="E35" s="3">
        <f t="shared" si="1"/>
        <v>2.68</v>
      </c>
      <c r="F35" s="3">
        <f t="shared" si="1"/>
        <v>26.29</v>
      </c>
      <c r="G35" s="3">
        <f t="shared" si="1"/>
        <v>72.36</v>
      </c>
      <c r="H35" s="3">
        <f t="shared" si="1"/>
        <v>32.700000000000003</v>
      </c>
      <c r="I35" s="3">
        <f t="shared" si="1"/>
        <v>13.35</v>
      </c>
      <c r="J35" s="3">
        <f t="shared" si="1"/>
        <v>1.7</v>
      </c>
      <c r="K35" s="3">
        <f t="shared" si="1"/>
        <v>359.04</v>
      </c>
      <c r="L35" s="3">
        <f t="shared" si="1"/>
        <v>39.22</v>
      </c>
      <c r="M35" s="3">
        <f t="shared" si="1"/>
        <v>68.97</v>
      </c>
      <c r="N35" s="3">
        <f t="shared" si="1"/>
        <v>899.3</v>
      </c>
      <c r="O35" s="3">
        <f t="shared" si="1"/>
        <v>0</v>
      </c>
      <c r="P35" s="3">
        <f t="shared" si="1"/>
        <v>0.62</v>
      </c>
      <c r="Q35" s="3">
        <f t="shared" si="1"/>
        <v>28.96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5.7425000000000006</v>
      </c>
      <c r="C36" s="18">
        <f t="shared" si="2"/>
        <v>32.908749999999998</v>
      </c>
      <c r="D36" s="18">
        <f t="shared" si="2"/>
        <v>22.34833333333334</v>
      </c>
      <c r="E36" s="18">
        <f t="shared" si="2"/>
        <v>1.8025</v>
      </c>
      <c r="F36" s="18">
        <f t="shared" si="2"/>
        <v>11.125833333333333</v>
      </c>
      <c r="G36" s="18">
        <f t="shared" si="2"/>
        <v>36.504583333333336</v>
      </c>
      <c r="H36" s="18">
        <f t="shared" si="2"/>
        <v>18.16</v>
      </c>
      <c r="I36" s="18">
        <f t="shared" si="2"/>
        <v>8.9229166666666675</v>
      </c>
      <c r="J36" s="18">
        <f t="shared" si="2"/>
        <v>0.73999999999999988</v>
      </c>
      <c r="K36" s="18">
        <f t="shared" si="2"/>
        <v>188.05541666666667</v>
      </c>
      <c r="L36" s="18">
        <f t="shared" si="2"/>
        <v>30.498333333333331</v>
      </c>
      <c r="M36" s="18">
        <f t="shared" si="2"/>
        <v>48.028333333333336</v>
      </c>
      <c r="N36" s="18">
        <f t="shared" si="2"/>
        <v>285.73333333333329</v>
      </c>
      <c r="O36" s="18">
        <f t="shared" si="2"/>
        <v>0</v>
      </c>
      <c r="P36" s="18">
        <f t="shared" si="2"/>
        <v>0.49541666666666662</v>
      </c>
      <c r="Q36" s="18">
        <f t="shared" si="2"/>
        <v>28.172499999999996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2.9115739804233463</v>
      </c>
      <c r="C37" s="18">
        <f t="shared" ref="C37:Q37" si="3">STDEV(C9:C32)</f>
        <v>4.7474288808007339</v>
      </c>
      <c r="D37" s="18">
        <f t="shared" si="3"/>
        <v>4.5195860397844054</v>
      </c>
      <c r="E37" s="18">
        <f t="shared" si="3"/>
        <v>0.47014567585136807</v>
      </c>
      <c r="F37" s="18">
        <f t="shared" si="3"/>
        <v>7.9909377567269324</v>
      </c>
      <c r="G37" s="18">
        <f t="shared" si="3"/>
        <v>13.681108199190993</v>
      </c>
      <c r="H37" s="18">
        <f t="shared" si="3"/>
        <v>6.3242184600498126</v>
      </c>
      <c r="I37" s="18">
        <f t="shared" si="3"/>
        <v>1.4957082927835399</v>
      </c>
      <c r="J37" s="18">
        <f t="shared" si="3"/>
        <v>0.34913557849911725</v>
      </c>
      <c r="K37" s="18">
        <f t="shared" si="3"/>
        <v>58.652744402165879</v>
      </c>
      <c r="L37" s="18">
        <f t="shared" si="3"/>
        <v>5.1557816146508042</v>
      </c>
      <c r="M37" s="18">
        <f t="shared" si="3"/>
        <v>14.342942414353089</v>
      </c>
      <c r="N37" s="18">
        <f t="shared" si="3"/>
        <v>346.91962565797087</v>
      </c>
      <c r="O37" s="18">
        <f t="shared" si="3"/>
        <v>0</v>
      </c>
      <c r="P37" s="18">
        <f t="shared" si="3"/>
        <v>5.7178527945122459E-2</v>
      </c>
      <c r="Q37" s="18">
        <f t="shared" si="3"/>
        <v>0.45883832522540252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4"/>
  <sheetViews>
    <sheetView tabSelected="1" zoomScale="85" zoomScaleNormal="85" workbookViewId="0">
      <pane xSplit="1" ySplit="8" topLeftCell="B45" activePane="bottomRight" state="frozen"/>
      <selection activeCell="G19" sqref="G19"/>
      <selection pane="topRight" activeCell="G19" sqref="G19"/>
      <selection pane="bottomLeft" activeCell="G19" sqref="G19"/>
      <selection pane="bottomRight" activeCell="B49" sqref="B49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57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>
      <c r="A2" s="3" t="s">
        <v>2</v>
      </c>
      <c r="B2" s="6" t="str">
        <f>$A$9</f>
        <v>01/04/2025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 s="1" customFormat="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 s="1" customFormat="1">
      <c r="A4" s="3" t="s">
        <v>16</v>
      </c>
      <c r="B4" s="3" t="s">
        <v>58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 s="1" customFormat="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 s="1" customFormat="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14" t="str">
        <f>'01'!$B$2</f>
        <v>01/04/2025 01:00</v>
      </c>
      <c r="B9" s="15">
        <f>'01'!B36</f>
        <v>9.555416666666666</v>
      </c>
      <c r="C9" s="15">
        <f>'01'!C36</f>
        <v>27.461250000000003</v>
      </c>
      <c r="D9" s="15">
        <f>'01'!D36</f>
        <v>23.258750000000003</v>
      </c>
      <c r="E9" s="15">
        <f>'01'!E36</f>
        <v>25.145</v>
      </c>
      <c r="F9" s="27" t="s">
        <v>8</v>
      </c>
      <c r="G9" s="15">
        <f>'01'!G36</f>
        <v>125.35083333333334</v>
      </c>
      <c r="H9" s="15">
        <f>'01'!H36</f>
        <v>54.592083333333328</v>
      </c>
      <c r="I9" s="15">
        <f>'01'!I36</f>
        <v>14.37166666666667</v>
      </c>
      <c r="J9" s="15">
        <f>'01'!J36</f>
        <v>0.64541666666666664</v>
      </c>
      <c r="K9" s="15">
        <f>'01'!K36</f>
        <v>197.8458333333333</v>
      </c>
      <c r="L9" s="15">
        <f>'01'!L36</f>
        <v>30.842083333333321</v>
      </c>
      <c r="M9" s="15">
        <f>'01'!M36</f>
        <v>24.324583333333337</v>
      </c>
      <c r="N9" s="15">
        <f>'01'!N36</f>
        <v>160.17499999999998</v>
      </c>
      <c r="O9" s="15">
        <f>'01'!O36</f>
        <v>0</v>
      </c>
      <c r="P9" s="15">
        <f>'01'!P36</f>
        <v>1.1245833333333333</v>
      </c>
      <c r="Q9" s="15">
        <f>'01'!Q36</f>
        <v>28.207916666666673</v>
      </c>
      <c r="R9" s="29"/>
      <c r="S9" s="29"/>
      <c r="T9" s="29"/>
      <c r="U9" s="29"/>
    </row>
    <row r="10" spans="1:21" s="2" customFormat="1">
      <c r="A10" s="14" t="str">
        <f>'02'!$B$2</f>
        <v>02/04/2025 01:00</v>
      </c>
      <c r="B10" s="15">
        <f>'02'!B36</f>
        <v>8.6841666666666679</v>
      </c>
      <c r="C10" s="15">
        <f>'02'!C36</f>
        <v>25.345833333333328</v>
      </c>
      <c r="D10" s="15">
        <f>'02'!D36</f>
        <v>21.290833333333332</v>
      </c>
      <c r="E10" s="15">
        <f>'02'!E36</f>
        <v>23.877826086956524</v>
      </c>
      <c r="F10" s="27" t="s">
        <v>8</v>
      </c>
      <c r="G10" s="15">
        <f>'02'!G36</f>
        <v>117.95391304347827</v>
      </c>
      <c r="H10" s="15">
        <f>'02'!H36</f>
        <v>47.961818181818188</v>
      </c>
      <c r="I10" s="15">
        <f>'02'!I36</f>
        <v>14.399583333333334</v>
      </c>
      <c r="J10" s="15">
        <f>'02'!J36</f>
        <v>0.77541666666666675</v>
      </c>
      <c r="K10" s="15">
        <f>'02'!K36</f>
        <v>178.45708333333334</v>
      </c>
      <c r="L10" s="15">
        <f>'02'!L36</f>
        <v>30.471249999999998</v>
      </c>
      <c r="M10" s="15">
        <f>'02'!M36</f>
        <v>25.129999999999992</v>
      </c>
      <c r="N10" s="15">
        <f>'02'!N36</f>
        <v>117.12916666666666</v>
      </c>
      <c r="O10" s="15">
        <f>'02'!O36</f>
        <v>0</v>
      </c>
      <c r="P10" s="15">
        <f>'02'!P36</f>
        <v>1.0633333333333335</v>
      </c>
      <c r="Q10" s="15">
        <f>'02'!Q36</f>
        <v>28.190833333333341</v>
      </c>
      <c r="R10" s="30"/>
      <c r="S10" s="30"/>
      <c r="T10" s="30"/>
      <c r="U10" s="30"/>
    </row>
    <row r="11" spans="1:21" s="2" customFormat="1">
      <c r="A11" s="14" t="str">
        <f>'03'!$B$2</f>
        <v>03/04/2025 01:00</v>
      </c>
      <c r="B11" s="15">
        <f>'03'!B36</f>
        <v>4.9979166666666659</v>
      </c>
      <c r="C11" s="15">
        <f>'03'!C36</f>
        <v>20.529166666666665</v>
      </c>
      <c r="D11" s="15">
        <f>'03'!D36</f>
        <v>15.998333333333333</v>
      </c>
      <c r="E11" s="15">
        <f>'03'!E36</f>
        <v>11.701666666666668</v>
      </c>
      <c r="F11" s="15">
        <f>'03'!F36</f>
        <v>13.147916666666665</v>
      </c>
      <c r="G11" s="15">
        <f>'03'!G36</f>
        <v>75.472916666666663</v>
      </c>
      <c r="H11" s="15">
        <f>'03'!H36</f>
        <v>30.931250000000002</v>
      </c>
      <c r="I11" s="15">
        <f>'03'!I36</f>
        <v>8.8845833333333335</v>
      </c>
      <c r="J11" s="15">
        <f>'03'!J36</f>
        <v>0.88375000000000004</v>
      </c>
      <c r="K11" s="15">
        <f>'03'!K36</f>
        <v>200.52124999999998</v>
      </c>
      <c r="L11" s="15">
        <f>'03'!L36</f>
        <v>28.316666666666666</v>
      </c>
      <c r="M11" s="15">
        <f>'03'!M36</f>
        <v>53.780833333333334</v>
      </c>
      <c r="N11" s="15">
        <f>'03'!N36</f>
        <v>136.11249999999998</v>
      </c>
      <c r="O11" s="15">
        <f>'03'!O36</f>
        <v>3.3333333333333333E-2</v>
      </c>
      <c r="P11" s="15">
        <f>'03'!P36</f>
        <v>0.78499999999999981</v>
      </c>
      <c r="Q11" s="15">
        <f>'03'!Q36</f>
        <v>28.10541666666667</v>
      </c>
      <c r="R11" s="30"/>
      <c r="S11" s="30"/>
      <c r="T11" s="30"/>
      <c r="U11" s="30"/>
    </row>
    <row r="12" spans="1:21" s="2" customFormat="1">
      <c r="A12" s="14" t="str">
        <f>'04'!$B$2</f>
        <v>04/04/2025 01:00</v>
      </c>
      <c r="B12" s="15">
        <f>'04'!B36</f>
        <v>5.8904166666666669</v>
      </c>
      <c r="C12" s="15">
        <f>'04'!C36</f>
        <v>19.391250000000003</v>
      </c>
      <c r="D12" s="15">
        <f>'04'!D36</f>
        <v>16.11</v>
      </c>
      <c r="E12" s="15">
        <f>'04'!E36</f>
        <v>10.535</v>
      </c>
      <c r="F12" s="15">
        <f>'04'!F36</f>
        <v>18.414583333333329</v>
      </c>
      <c r="G12" s="15">
        <f>'04'!G36</f>
        <v>54.972499999999989</v>
      </c>
      <c r="H12" s="15">
        <f>'04'!H36</f>
        <v>28.372916666666669</v>
      </c>
      <c r="I12" s="15">
        <f>'04'!I36</f>
        <v>8.0233333333333352</v>
      </c>
      <c r="J12" s="15">
        <f>'04'!J36</f>
        <v>0.56500000000000006</v>
      </c>
      <c r="K12" s="15">
        <f>'04'!K36</f>
        <v>259.07499999999999</v>
      </c>
      <c r="L12" s="15">
        <f>'04'!L36</f>
        <v>29.177499999999998</v>
      </c>
      <c r="M12" s="15">
        <f>'04'!M36</f>
        <v>57.404166666666647</v>
      </c>
      <c r="N12" s="15">
        <f>'04'!N36</f>
        <v>178.7791666666667</v>
      </c>
      <c r="O12" s="15">
        <f>'04'!O36</f>
        <v>0</v>
      </c>
      <c r="P12" s="15">
        <f>'04'!P36</f>
        <v>0.75750000000000017</v>
      </c>
      <c r="Q12" s="15">
        <f>'04'!Q36</f>
        <v>28.122499999999999</v>
      </c>
      <c r="R12" s="30"/>
      <c r="S12" s="30"/>
      <c r="T12" s="30"/>
      <c r="U12" s="30"/>
    </row>
    <row r="13" spans="1:21" s="2" customFormat="1">
      <c r="A13" s="14" t="str">
        <f>'05'!$B$2</f>
        <v>05/04/2025 01:00</v>
      </c>
      <c r="B13" s="15">
        <f>'05'!B36</f>
        <v>5.6725000000000003</v>
      </c>
      <c r="C13" s="15">
        <f>'05'!C36</f>
        <v>16.97291666666667</v>
      </c>
      <c r="D13" s="15">
        <f>'05'!D36</f>
        <v>14.656250000000002</v>
      </c>
      <c r="E13" s="15">
        <f>'05'!E36</f>
        <v>8.8937499999999989</v>
      </c>
      <c r="F13" s="15">
        <f>'05'!F36</f>
        <v>8.6833333333333353</v>
      </c>
      <c r="G13" s="15">
        <f>'05'!G36</f>
        <v>41.373749999999994</v>
      </c>
      <c r="H13" s="15">
        <f>'05'!H36</f>
        <v>14.433749999999998</v>
      </c>
      <c r="I13" s="15">
        <f>'05'!I36</f>
        <v>7.2783333333333351</v>
      </c>
      <c r="J13" s="15">
        <f>'05'!J36</f>
        <v>0.47375000000000006</v>
      </c>
      <c r="K13" s="15">
        <f>'05'!K36</f>
        <v>239.76208333333338</v>
      </c>
      <c r="L13" s="15">
        <f>'05'!L36</f>
        <v>31.750416666666666</v>
      </c>
      <c r="M13" s="15">
        <f>'05'!M36</f>
        <v>43.625416666666666</v>
      </c>
      <c r="N13" s="15">
        <f>'05'!N36</f>
        <v>249.44583333333333</v>
      </c>
      <c r="O13" s="15">
        <f>'05'!O36</f>
        <v>0</v>
      </c>
      <c r="P13" s="15">
        <f>'05'!P36</f>
        <v>0.66416666666666657</v>
      </c>
      <c r="Q13" s="15">
        <f>'05'!Q36</f>
        <v>28.103749999999994</v>
      </c>
      <c r="R13" s="30"/>
      <c r="S13" s="30"/>
      <c r="T13" s="30"/>
      <c r="U13" s="30"/>
    </row>
    <row r="14" spans="1:21" s="2" customFormat="1">
      <c r="A14" s="14" t="str">
        <f>'06'!$B$2</f>
        <v>06/04/2025 01:00</v>
      </c>
      <c r="B14" s="16">
        <f>'06'!B36</f>
        <v>5.9649999999999999</v>
      </c>
      <c r="C14" s="16">
        <f>'06'!C36</f>
        <v>17.734583333333333</v>
      </c>
      <c r="D14" s="16">
        <f>'06'!D36</f>
        <v>15.302916666666667</v>
      </c>
      <c r="E14" s="16">
        <f>'06'!E36</f>
        <v>11.247083333333331</v>
      </c>
      <c r="F14" s="16">
        <f>'06'!F36</f>
        <v>3.7954166666666662</v>
      </c>
      <c r="G14" s="16">
        <f>'06'!G36</f>
        <v>55.995416666666664</v>
      </c>
      <c r="H14" s="16">
        <f>'06'!H36</f>
        <v>1.455416666666667</v>
      </c>
      <c r="I14" s="16">
        <f>'06'!I36</f>
        <v>10.202083333333334</v>
      </c>
      <c r="J14" s="16">
        <f>'06'!J36</f>
        <v>0.5445833333333332</v>
      </c>
      <c r="K14" s="16">
        <f>'06'!K36</f>
        <v>236.30250000000004</v>
      </c>
      <c r="L14" s="16">
        <f>'06'!L36</f>
        <v>32.293749999999996</v>
      </c>
      <c r="M14" s="16">
        <f>'06'!M36</f>
        <v>31.83499999999999</v>
      </c>
      <c r="N14" s="16">
        <f>'06'!N36</f>
        <v>257.85833333333335</v>
      </c>
      <c r="O14" s="16">
        <f>'06'!O36</f>
        <v>0</v>
      </c>
      <c r="P14" s="16">
        <f>'06'!P36</f>
        <v>0.76375000000000004</v>
      </c>
      <c r="Q14" s="16">
        <f>'06'!Q36</f>
        <v>28.107083333333335</v>
      </c>
      <c r="R14" s="30"/>
      <c r="S14" s="30"/>
      <c r="T14" s="30"/>
      <c r="U14" s="30"/>
    </row>
    <row r="15" spans="1:21" s="2" customFormat="1">
      <c r="A15" s="14" t="str">
        <f>'07'!$B$2</f>
        <v>07/04/2025 01:00</v>
      </c>
      <c r="B15" s="16">
        <f>'07'!B36</f>
        <v>7.0837500000000011</v>
      </c>
      <c r="C15" s="16">
        <f>'07'!C36</f>
        <v>20.313333333333329</v>
      </c>
      <c r="D15" s="16">
        <f>'07'!D36</f>
        <v>17.481249999999999</v>
      </c>
      <c r="E15" s="16">
        <f>'07'!E36</f>
        <v>10.433750000000002</v>
      </c>
      <c r="F15" s="16">
        <f>'07'!F36</f>
        <v>3.6833333333333336</v>
      </c>
      <c r="G15" s="16">
        <f>'07'!G36</f>
        <v>69.65625</v>
      </c>
      <c r="H15" s="16">
        <f>'07'!H36</f>
        <v>0.90708333333333335</v>
      </c>
      <c r="I15" s="16">
        <f>'07'!I36</f>
        <v>9.4141666666666666</v>
      </c>
      <c r="J15" s="16">
        <f>'07'!J36</f>
        <v>0.67249999999999988</v>
      </c>
      <c r="K15" s="16">
        <f>'07'!K36</f>
        <v>222.92083333333332</v>
      </c>
      <c r="L15" s="16">
        <f>'07'!L36</f>
        <v>32.507916666666674</v>
      </c>
      <c r="M15" s="16">
        <f>'07'!M36</f>
        <v>30.536666666666662</v>
      </c>
      <c r="N15" s="16">
        <f>'07'!N36</f>
        <v>250.00416666666669</v>
      </c>
      <c r="O15" s="16">
        <f>'07'!O36</f>
        <v>0</v>
      </c>
      <c r="P15" s="16">
        <f>'07'!P36</f>
        <v>0.76541666666666675</v>
      </c>
      <c r="Q15" s="16">
        <f>'07'!Q36</f>
        <v>28.136666666666667</v>
      </c>
      <c r="R15" s="30"/>
      <c r="S15" s="30"/>
      <c r="T15" s="30"/>
      <c r="U15" s="30"/>
    </row>
    <row r="16" spans="1:21" s="2" customFormat="1">
      <c r="A16" s="14" t="str">
        <f>'08'!$B$2</f>
        <v>08/04/2025 01:00</v>
      </c>
      <c r="B16" s="16">
        <f>'08'!B36</f>
        <v>6.3258333333333345</v>
      </c>
      <c r="C16" s="16">
        <f>'08'!C36</f>
        <v>14.490833333333335</v>
      </c>
      <c r="D16" s="16">
        <f>'08'!D36</f>
        <v>13.963333333333331</v>
      </c>
      <c r="E16" s="16">
        <f>'08'!E36</f>
        <v>9.3787499999999984</v>
      </c>
      <c r="F16" s="16">
        <f>'08'!F36</f>
        <v>2.8437499999999996</v>
      </c>
      <c r="G16" s="16">
        <f>'08'!G36</f>
        <v>59.131250000000001</v>
      </c>
      <c r="H16" s="16">
        <f>'08'!H36</f>
        <v>10.942916666666667</v>
      </c>
      <c r="I16" s="16">
        <f>'08'!I36</f>
        <v>7.4962499999999999</v>
      </c>
      <c r="J16" s="16">
        <f>'08'!J36</f>
        <v>0.4908333333333334</v>
      </c>
      <c r="K16" s="16">
        <f>'08'!K36</f>
        <v>239.63374999999996</v>
      </c>
      <c r="L16" s="16">
        <f>'08'!L36</f>
        <v>32.8825</v>
      </c>
      <c r="M16" s="16">
        <f>'08'!M36</f>
        <v>36.381666666666668</v>
      </c>
      <c r="N16" s="16">
        <f>'08'!N36</f>
        <v>241.26666666666668</v>
      </c>
      <c r="O16" s="16">
        <f>'08'!O36</f>
        <v>0</v>
      </c>
      <c r="P16" s="16">
        <f>'08'!P36</f>
        <v>0.59083333333333343</v>
      </c>
      <c r="Q16" s="16">
        <f>'08'!Q36</f>
        <v>28.097916666666666</v>
      </c>
      <c r="R16" s="30"/>
      <c r="S16" s="30"/>
      <c r="T16" s="30"/>
      <c r="U16" s="30"/>
    </row>
    <row r="17" spans="1:24" s="2" customFormat="1">
      <c r="A17" s="14" t="str">
        <f>'09'!$B$2</f>
        <v>09/04/2025 01:00</v>
      </c>
      <c r="B17" s="16">
        <f>'09'!B36</f>
        <v>4.451249999999999</v>
      </c>
      <c r="C17" s="16">
        <f>'09'!C36</f>
        <v>14.972500000000004</v>
      </c>
      <c r="D17" s="16">
        <f>'09'!D36</f>
        <v>12.667499999999999</v>
      </c>
      <c r="E17" s="16">
        <f>'09'!E36</f>
        <v>9.4570833333333315</v>
      </c>
      <c r="F17" s="16">
        <f>'09'!F36</f>
        <v>3.1579166666666665</v>
      </c>
      <c r="G17" s="16">
        <f>'09'!G36</f>
        <v>48.25</v>
      </c>
      <c r="H17" s="16">
        <f>'09'!H36</f>
        <v>21.217916666666664</v>
      </c>
      <c r="I17" s="16">
        <f>'09'!I36</f>
        <v>6.7024999999999979</v>
      </c>
      <c r="J17" s="16">
        <f>'09'!J36</f>
        <v>0.79958333333333342</v>
      </c>
      <c r="K17" s="16">
        <f>'09'!K36</f>
        <v>266.39291666666662</v>
      </c>
      <c r="L17" s="16">
        <f>'09'!L36</f>
        <v>32.339999999999996</v>
      </c>
      <c r="M17" s="16">
        <f>'09'!M36</f>
        <v>36.99583333333333</v>
      </c>
      <c r="N17" s="16">
        <f>'09'!N36</f>
        <v>246.78750000000002</v>
      </c>
      <c r="O17" s="16">
        <f>'09'!O36</f>
        <v>0</v>
      </c>
      <c r="P17" s="16">
        <f>'09'!P36</f>
        <v>0.56541666666666657</v>
      </c>
      <c r="Q17" s="16">
        <f>'09'!Q36</f>
        <v>28.067083333333329</v>
      </c>
      <c r="R17" s="30"/>
      <c r="S17" s="30"/>
      <c r="T17" s="30"/>
      <c r="U17" s="30"/>
      <c r="V17" s="31"/>
      <c r="W17" s="31"/>
      <c r="X17" s="31"/>
    </row>
    <row r="18" spans="1:24" s="2" customFormat="1">
      <c r="A18" s="14" t="str">
        <f>'10'!$B$2</f>
        <v>10/04/2025 01:00</v>
      </c>
      <c r="B18" s="16">
        <f>'10'!B36</f>
        <v>6.2245833333333325</v>
      </c>
      <c r="C18" s="16">
        <f>'10'!C36</f>
        <v>18.193750000000001</v>
      </c>
      <c r="D18" s="16">
        <f>'10'!D36</f>
        <v>15.75333333333333</v>
      </c>
      <c r="E18" s="16">
        <f>'10'!E36</f>
        <v>10.68125</v>
      </c>
      <c r="F18" s="16">
        <f>'10'!F36</f>
        <v>3.200416666666666</v>
      </c>
      <c r="G18" s="16">
        <f>'10'!G36</f>
        <v>46.891666666666673</v>
      </c>
      <c r="H18" s="16">
        <f>'10'!H36</f>
        <v>18.072916666666668</v>
      </c>
      <c r="I18" s="16">
        <f>'10'!I36</f>
        <v>5.947916666666667</v>
      </c>
      <c r="J18" s="16">
        <f>'10'!J36</f>
        <v>0.63416666666666666</v>
      </c>
      <c r="K18" s="16">
        <f>'10'!K36</f>
        <v>234.94041666666669</v>
      </c>
      <c r="L18" s="16">
        <f>'10'!L36</f>
        <v>32.687500000000007</v>
      </c>
      <c r="M18" s="16">
        <f>'10'!M36</f>
        <v>34.625416666666673</v>
      </c>
      <c r="N18" s="16">
        <f>'10'!N36</f>
        <v>259.13333333333338</v>
      </c>
      <c r="O18" s="16">
        <f>'10'!O36</f>
        <v>0</v>
      </c>
      <c r="P18" s="16">
        <f>'10'!P36</f>
        <v>0.56083333333333329</v>
      </c>
      <c r="Q18" s="16">
        <f>'10'!Q36</f>
        <v>28.097916666666666</v>
      </c>
      <c r="R18" s="30"/>
      <c r="S18" s="30"/>
      <c r="T18" s="30"/>
      <c r="U18" s="30"/>
    </row>
    <row r="19" spans="1:24" s="2" customFormat="1">
      <c r="A19" s="14" t="str">
        <f>'11'!$B$2</f>
        <v>11/04/2025 01:00</v>
      </c>
      <c r="B19" s="16">
        <f>'11'!B36</f>
        <v>4.8858333333333333</v>
      </c>
      <c r="C19" s="16">
        <f>'11'!C36</f>
        <v>17.610833333333339</v>
      </c>
      <c r="D19" s="16">
        <f>'11'!D36</f>
        <v>14.417500000000002</v>
      </c>
      <c r="E19" s="16">
        <f>'11'!E36</f>
        <v>11.879583333333331</v>
      </c>
      <c r="F19" s="16">
        <f>'11'!F36</f>
        <v>2.6691666666666674</v>
      </c>
      <c r="G19" s="16">
        <f>'11'!G36</f>
        <v>70.811666666666667</v>
      </c>
      <c r="H19" s="16">
        <f>'11'!H36</f>
        <v>23.232916666666672</v>
      </c>
      <c r="I19" s="16">
        <f>'11'!I36</f>
        <v>7.1070833333333328</v>
      </c>
      <c r="J19" s="16">
        <f>'11'!J36</f>
        <v>0.65749999999999986</v>
      </c>
      <c r="K19" s="16">
        <f>'11'!K36</f>
        <v>207.77333333333331</v>
      </c>
      <c r="L19" s="16">
        <f>'11'!L36</f>
        <v>32.448333333333331</v>
      </c>
      <c r="M19" s="16">
        <f>'11'!M36</f>
        <v>38.040416666666665</v>
      </c>
      <c r="N19" s="16">
        <f>'11'!N36</f>
        <v>230.57500000000002</v>
      </c>
      <c r="O19" s="16">
        <f>'11'!O36</f>
        <v>0</v>
      </c>
      <c r="P19" s="16">
        <f>'11'!P36</f>
        <v>0.64708333333333334</v>
      </c>
      <c r="Q19" s="16">
        <f>'11'!Q36</f>
        <v>28.071666666666658</v>
      </c>
      <c r="R19" s="30"/>
      <c r="S19" s="30"/>
      <c r="T19" s="30"/>
      <c r="U19" s="30"/>
    </row>
    <row r="20" spans="1:24" s="2" customFormat="1">
      <c r="A20" s="14" t="str">
        <f>'12'!$B$2</f>
        <v>12/04/2025 01:00</v>
      </c>
      <c r="B20" s="16">
        <f>'12'!B36</f>
        <v>5.94</v>
      </c>
      <c r="C20" s="16">
        <f>'12'!C36</f>
        <v>19.315000000000001</v>
      </c>
      <c r="D20" s="16">
        <f>'12'!D36</f>
        <v>16.112500000000001</v>
      </c>
      <c r="E20" s="16">
        <f>'12'!E36</f>
        <v>10.859166666666667</v>
      </c>
      <c r="F20" s="16">
        <f>'12'!F36</f>
        <v>4.1137500000000005</v>
      </c>
      <c r="G20" s="16">
        <f>'12'!G36</f>
        <v>71.838333333333324</v>
      </c>
      <c r="H20" s="16">
        <f>'12'!H36</f>
        <v>26.484166666666663</v>
      </c>
      <c r="I20" s="16">
        <f>'12'!I36</f>
        <v>9.6112500000000001</v>
      </c>
      <c r="J20" s="16">
        <f>'12'!J36</f>
        <v>0.59875</v>
      </c>
      <c r="K20" s="16">
        <f>'12'!K36</f>
        <v>249.1816666666667</v>
      </c>
      <c r="L20" s="16">
        <f>'12'!L36</f>
        <v>33.043333333333329</v>
      </c>
      <c r="M20" s="16">
        <f>'12'!M36</f>
        <v>32.070000000000007</v>
      </c>
      <c r="N20" s="16">
        <f>'12'!N36</f>
        <v>210.6</v>
      </c>
      <c r="O20" s="16">
        <f>'12'!O36</f>
        <v>0</v>
      </c>
      <c r="P20" s="16">
        <f>'12'!P36</f>
        <v>0.80041666666666667</v>
      </c>
      <c r="Q20" s="16">
        <f>'12'!Q36</f>
        <v>28.092916666666671</v>
      </c>
      <c r="R20" s="30"/>
      <c r="S20" s="30"/>
      <c r="T20" s="30"/>
      <c r="U20" s="30"/>
    </row>
    <row r="21" spans="1:24" s="2" customFormat="1">
      <c r="A21" s="14" t="str">
        <f>'13'!$B$2</f>
        <v>13/04/2025 01:00</v>
      </c>
      <c r="B21" s="16">
        <f>'13'!B36</f>
        <v>5.5775000000000006</v>
      </c>
      <c r="C21" s="16">
        <f>'13'!C36</f>
        <v>16.883750000000003</v>
      </c>
      <c r="D21" s="16">
        <f>'13'!D36</f>
        <v>14.586250000000001</v>
      </c>
      <c r="E21" s="16">
        <f>'13'!E36</f>
        <v>10.51375</v>
      </c>
      <c r="F21" s="16">
        <f>'13'!F36</f>
        <v>3.9504166666666669</v>
      </c>
      <c r="G21" s="16">
        <f>'13'!G36</f>
        <v>64.211250000000007</v>
      </c>
      <c r="H21" s="16">
        <f>'13'!H36</f>
        <v>21.522083333333331</v>
      </c>
      <c r="I21" s="16">
        <f>'13'!I36</f>
        <v>7.836666666666666</v>
      </c>
      <c r="J21" s="16">
        <f>'13'!J36</f>
        <v>0.94791666666666663</v>
      </c>
      <c r="K21" s="16">
        <f>'13'!K36</f>
        <v>213.79208333333338</v>
      </c>
      <c r="L21" s="16">
        <f>'13'!L36</f>
        <v>31.82833333333333</v>
      </c>
      <c r="M21" s="16">
        <f>'13'!M36</f>
        <v>31.463750000000001</v>
      </c>
      <c r="N21" s="16">
        <f>'13'!N36</f>
        <v>230.18333333333331</v>
      </c>
      <c r="O21" s="16">
        <f>'13'!O36</f>
        <v>0</v>
      </c>
      <c r="P21" s="16">
        <f>'13'!P36</f>
        <v>0.6333333333333333</v>
      </c>
      <c r="Q21" s="16">
        <f>'13'!Q36</f>
        <v>28.084166666666661</v>
      </c>
      <c r="R21" s="30"/>
      <c r="S21" s="30"/>
      <c r="T21" s="30"/>
      <c r="U21" s="30"/>
    </row>
    <row r="22" spans="1:24" s="2" customFormat="1">
      <c r="A22" s="14" t="str">
        <f>'14'!$B$2</f>
        <v>14/04/2025 01:00</v>
      </c>
      <c r="B22" s="16">
        <f>'14'!B36</f>
        <v>5.838750000000001</v>
      </c>
      <c r="C22" s="16">
        <f>'14'!C36</f>
        <v>15.733333333333333</v>
      </c>
      <c r="D22" s="16">
        <f>'14'!D36</f>
        <v>14.145416666666668</v>
      </c>
      <c r="E22" s="16">
        <f>'14'!E36</f>
        <v>13.938750000000001</v>
      </c>
      <c r="F22" s="16">
        <f>'14'!F36</f>
        <v>3.4920833333333334</v>
      </c>
      <c r="G22" s="16">
        <f>'14'!G36</f>
        <v>74.292608695652191</v>
      </c>
      <c r="H22" s="16">
        <f>'14'!H36</f>
        <v>24.490434782608691</v>
      </c>
      <c r="I22" s="16">
        <f>'14'!I36</f>
        <v>9.9862500000000001</v>
      </c>
      <c r="J22" s="16">
        <f>'14'!J36</f>
        <v>0.50375000000000003</v>
      </c>
      <c r="K22" s="16">
        <f>'14'!K36</f>
        <v>257.68166666666662</v>
      </c>
      <c r="L22" s="16">
        <f>'14'!L36</f>
        <v>31.256666666666664</v>
      </c>
      <c r="M22" s="16">
        <f>'14'!M36</f>
        <v>35.442500000000003</v>
      </c>
      <c r="N22" s="16">
        <f>'14'!N36</f>
        <v>208.12916666666672</v>
      </c>
      <c r="O22" s="16">
        <f>'14'!O36</f>
        <v>0</v>
      </c>
      <c r="P22" s="16">
        <f>'14'!P36</f>
        <v>0.67615384615384622</v>
      </c>
      <c r="Q22" s="16">
        <f>'14'!Q36</f>
        <v>28.086249999999993</v>
      </c>
      <c r="R22" s="32"/>
      <c r="S22" s="32"/>
      <c r="T22" s="32"/>
      <c r="U22" s="32"/>
    </row>
    <row r="23" spans="1:24" s="2" customFormat="1">
      <c r="A23" s="14" t="str">
        <f>'15'!$B$2</f>
        <v>15/04/2025 01:00</v>
      </c>
      <c r="B23" s="17">
        <f>'15'!B36</f>
        <v>4.4020833333333345</v>
      </c>
      <c r="C23" s="17">
        <f>'15'!C36</f>
        <v>14.269583333333335</v>
      </c>
      <c r="D23" s="17">
        <f>'15'!D36</f>
        <v>12.287916666666662</v>
      </c>
      <c r="E23" s="17">
        <f>'15'!E36</f>
        <v>9.1425000000000001</v>
      </c>
      <c r="F23" s="17">
        <f>'15'!F36</f>
        <v>3.6012500000000003</v>
      </c>
      <c r="G23" s="17">
        <f>'15'!G36</f>
        <v>53.507499999999993</v>
      </c>
      <c r="H23" s="17">
        <f>'15'!H36</f>
        <v>17.341666666666669</v>
      </c>
      <c r="I23" s="17">
        <f>'15'!I36</f>
        <v>6.2883333333333331</v>
      </c>
      <c r="J23" s="17">
        <f>'15'!J36</f>
        <v>0.53000000000000014</v>
      </c>
      <c r="K23" s="17">
        <f>'15'!K36</f>
        <v>227.11666666666665</v>
      </c>
      <c r="L23" s="17">
        <f>'15'!L36</f>
        <v>30.727500000000006</v>
      </c>
      <c r="M23" s="17">
        <f>'15'!M36</f>
        <v>42.447499999999998</v>
      </c>
      <c r="N23" s="17">
        <f>'15'!N36</f>
        <v>229.69583333333335</v>
      </c>
      <c r="O23" s="17">
        <f>'15'!O36</f>
        <v>0</v>
      </c>
      <c r="P23" s="17">
        <f>'15'!P36</f>
        <v>0.47545454545454552</v>
      </c>
      <c r="Q23" s="17">
        <f>'15'!Q36</f>
        <v>28.059583333333336</v>
      </c>
      <c r="R23" s="32"/>
      <c r="S23" s="32"/>
      <c r="T23" s="32"/>
      <c r="U23" s="30"/>
    </row>
    <row r="24" spans="1:24" s="2" customFormat="1">
      <c r="A24" s="14" t="str">
        <f>'16'!$B$2</f>
        <v>16/04/2025 01:00</v>
      </c>
      <c r="B24" s="16">
        <f>'16'!B36</f>
        <v>4.6175000000000006</v>
      </c>
      <c r="C24" s="16">
        <f>'16'!C36</f>
        <v>14.684166666666664</v>
      </c>
      <c r="D24" s="16">
        <f>'16'!D36</f>
        <v>12.630833333333333</v>
      </c>
      <c r="E24" s="16">
        <f>'16'!E36</f>
        <v>9.6120833333333326</v>
      </c>
      <c r="F24" s="27" t="s">
        <v>8</v>
      </c>
      <c r="G24" s="16">
        <f>'16'!G36</f>
        <v>43.012499999999996</v>
      </c>
      <c r="H24" s="16">
        <f>'16'!H36</f>
        <v>15.767083333333332</v>
      </c>
      <c r="I24" s="16">
        <f>'16'!I36</f>
        <v>6.600833333333334</v>
      </c>
      <c r="J24" s="16">
        <f>'16'!J36</f>
        <v>0.55958333333333332</v>
      </c>
      <c r="K24" s="16">
        <f>'16'!K36</f>
        <v>235.11541666666665</v>
      </c>
      <c r="L24" s="16">
        <f>'16'!L36</f>
        <v>31.300416666666667</v>
      </c>
      <c r="M24" s="16">
        <f>'16'!M36</f>
        <v>43.728749999999991</v>
      </c>
      <c r="N24" s="16">
        <f>'16'!N36</f>
        <v>255.00416666666663</v>
      </c>
      <c r="O24" s="16">
        <f>'16'!O36</f>
        <v>0</v>
      </c>
      <c r="P24" s="16">
        <f>'16'!P36</f>
        <v>0.56541666666666668</v>
      </c>
      <c r="Q24" s="16">
        <f>'16'!Q36</f>
        <v>28.060833333333331</v>
      </c>
      <c r="R24" s="32"/>
      <c r="S24" s="32"/>
      <c r="T24" s="32"/>
      <c r="U24" s="30"/>
    </row>
    <row r="25" spans="1:24" s="2" customFormat="1">
      <c r="A25" s="14" t="str">
        <f>'17'!$B$2</f>
        <v>17/04/2025 01:00</v>
      </c>
      <c r="B25" s="16">
        <f>'17'!B36</f>
        <v>3.9966666666666661</v>
      </c>
      <c r="C25" s="16">
        <f>'17'!C36</f>
        <v>39.541666666666671</v>
      </c>
      <c r="D25" s="16">
        <f>'17'!D36</f>
        <v>24.465416666666666</v>
      </c>
      <c r="E25" s="16">
        <f>'17'!E36</f>
        <v>3.0374999999999996</v>
      </c>
      <c r="F25" s="16">
        <f>'17'!F36</f>
        <v>13.635000000000003</v>
      </c>
      <c r="G25" s="16">
        <f>'17'!G36</f>
        <v>41.895416666666669</v>
      </c>
      <c r="H25" s="16">
        <f>'17'!H36</f>
        <v>13.438333333333334</v>
      </c>
      <c r="I25" s="16">
        <f>'17'!I36</f>
        <v>10.474583333333333</v>
      </c>
      <c r="J25" s="16">
        <f>'17'!J36</f>
        <v>3.4408333333333339</v>
      </c>
      <c r="K25" s="16">
        <f>'17'!K36</f>
        <v>215.61333333333334</v>
      </c>
      <c r="L25" s="16">
        <f>'17'!L36</f>
        <v>32.847500000000004</v>
      </c>
      <c r="M25" s="16">
        <f>'17'!M36</f>
        <v>41.08541666666666</v>
      </c>
      <c r="N25" s="16">
        <f>'17'!N36</f>
        <v>162.09583333333336</v>
      </c>
      <c r="O25" s="16">
        <f>'17'!O36</f>
        <v>0</v>
      </c>
      <c r="P25" s="16">
        <f>'17'!P36</f>
        <v>0.5575</v>
      </c>
      <c r="Q25" s="16">
        <f>'17'!Q36</f>
        <v>28.393750000000001</v>
      </c>
      <c r="R25" s="32"/>
      <c r="S25" s="32"/>
      <c r="T25" s="32"/>
      <c r="U25" s="30"/>
    </row>
    <row r="26" spans="1:24" s="2" customFormat="1">
      <c r="A26" s="14" t="str">
        <f>'18'!$B$2</f>
        <v>18/04/2025 01:00</v>
      </c>
      <c r="B26" s="16">
        <f>'18'!B36</f>
        <v>5.371666666666667</v>
      </c>
      <c r="C26" s="16">
        <f>'18'!C36</f>
        <v>38.933750000000011</v>
      </c>
      <c r="D26" s="16">
        <f>'18'!D36</f>
        <v>25.091666666666665</v>
      </c>
      <c r="E26" s="16">
        <f>'18'!E36</f>
        <v>2.1441666666666666</v>
      </c>
      <c r="F26" s="16">
        <f>'18'!F36</f>
        <v>11.466666666666667</v>
      </c>
      <c r="G26" s="16">
        <f>'18'!G36</f>
        <v>48.249166666666667</v>
      </c>
      <c r="H26" s="16">
        <f>'18'!H36</f>
        <v>17.645833333333329</v>
      </c>
      <c r="I26" s="16">
        <f>'18'!I36</f>
        <v>9.0354166666666664</v>
      </c>
      <c r="J26" s="16">
        <f>'18'!J36</f>
        <v>4.0358333333333336</v>
      </c>
      <c r="K26" s="16">
        <f>'18'!K36</f>
        <v>242.9383333333333</v>
      </c>
      <c r="L26" s="16">
        <f>'18'!L36</f>
        <v>32.489583333333336</v>
      </c>
      <c r="M26" s="16">
        <f>'18'!M36</f>
        <v>45.057083333333331</v>
      </c>
      <c r="N26" s="16">
        <f>'18'!N36</f>
        <v>156.44166666666663</v>
      </c>
      <c r="O26" s="16">
        <f>'18'!O36</f>
        <v>0</v>
      </c>
      <c r="P26" s="16">
        <f>'18'!P36</f>
        <v>0.50333333333333352</v>
      </c>
      <c r="Q26" s="16">
        <f>'18'!Q36</f>
        <v>28.445833333333329</v>
      </c>
      <c r="R26" s="32"/>
      <c r="S26" s="32"/>
      <c r="T26" s="32"/>
      <c r="U26" s="30"/>
    </row>
    <row r="27" spans="1:24" s="2" customFormat="1">
      <c r="A27" s="14" t="str">
        <f>'19'!$B$2</f>
        <v>19/04/2025 01:00</v>
      </c>
      <c r="B27" s="16">
        <f>'19'!B36</f>
        <v>5.4920833333333343</v>
      </c>
      <c r="C27" s="16">
        <f>'19'!C36</f>
        <v>37.111250000000005</v>
      </c>
      <c r="D27" s="16">
        <f>'19'!D36</f>
        <v>24.296666666666667</v>
      </c>
      <c r="E27" s="16">
        <f>'19'!E36</f>
        <v>3.9874999999999994</v>
      </c>
      <c r="F27" s="16">
        <f>'19'!F36</f>
        <v>16.251250000000002</v>
      </c>
      <c r="G27" s="16">
        <f>'19'!G36</f>
        <v>54.817083333333329</v>
      </c>
      <c r="H27" s="16">
        <f>'19'!H36</f>
        <v>25.450833333333335</v>
      </c>
      <c r="I27" s="16">
        <f>'19'!I36</f>
        <v>9.3370833333333323</v>
      </c>
      <c r="J27" s="16">
        <f>'19'!J36</f>
        <v>4.6004166666666668</v>
      </c>
      <c r="K27" s="16">
        <f>'19'!K36</f>
        <v>207.93458333333334</v>
      </c>
      <c r="L27" s="16">
        <f>'19'!L36</f>
        <v>33.869583333333331</v>
      </c>
      <c r="M27" s="16">
        <f>'19'!M36</f>
        <v>42.969583333333333</v>
      </c>
      <c r="N27" s="16">
        <f>'19'!N36</f>
        <v>217.99166666666667</v>
      </c>
      <c r="O27" s="16">
        <f>'19'!O36</f>
        <v>0</v>
      </c>
      <c r="P27" s="16">
        <f>'19'!P36</f>
        <v>0.55875000000000008</v>
      </c>
      <c r="Q27" s="16">
        <f>'19'!Q36</f>
        <v>28.452916666666667</v>
      </c>
      <c r="R27" s="32"/>
      <c r="S27" s="32"/>
      <c r="T27" s="32"/>
      <c r="U27" s="30"/>
    </row>
    <row r="28" spans="1:24" s="2" customFormat="1">
      <c r="A28" s="14" t="str">
        <f>'20'!$B$2</f>
        <v>20/04/2025 01:00</v>
      </c>
      <c r="B28" s="16">
        <f>'20'!B36</f>
        <v>8.7970833333333314</v>
      </c>
      <c r="C28" s="16">
        <f>'20'!C36</f>
        <v>39.427916666666668</v>
      </c>
      <c r="D28" s="16">
        <f>'20'!D36</f>
        <v>28.060833333333331</v>
      </c>
      <c r="E28" s="16">
        <f>'20'!E36</f>
        <v>4.967083333333334</v>
      </c>
      <c r="F28" s="16">
        <f>'20'!F36</f>
        <v>23.201249999999998</v>
      </c>
      <c r="G28" s="16">
        <f>'20'!G36</f>
        <v>84.995000000000005</v>
      </c>
      <c r="H28" s="16">
        <f>'20'!H36</f>
        <v>38.767500000000005</v>
      </c>
      <c r="I28" s="16">
        <f>'20'!I36</f>
        <v>13.704166666666667</v>
      </c>
      <c r="J28" s="16">
        <f>'20'!J36</f>
        <v>6.4850000000000021</v>
      </c>
      <c r="K28" s="16">
        <f>'20'!K36</f>
        <v>243.73249999999996</v>
      </c>
      <c r="L28" s="16">
        <f>'20'!L36</f>
        <v>35.695000000000007</v>
      </c>
      <c r="M28" s="16">
        <f>'20'!M36</f>
        <v>37.158750000000005</v>
      </c>
      <c r="N28" s="16">
        <f>'20'!N36</f>
        <v>225.55833333333328</v>
      </c>
      <c r="O28" s="16">
        <f>'20'!O36</f>
        <v>0</v>
      </c>
      <c r="P28" s="16">
        <f>'20'!P36</f>
        <v>0.69708333333333339</v>
      </c>
      <c r="Q28" s="16">
        <f>'20'!Q36</f>
        <v>28.223750000000006</v>
      </c>
      <c r="R28" s="32"/>
      <c r="S28" s="32"/>
      <c r="T28" s="32"/>
      <c r="U28" s="30"/>
    </row>
    <row r="29" spans="1:24" s="2" customFormat="1">
      <c r="A29" s="14" t="str">
        <f>'21'!$B$2</f>
        <v>21/04/2025 01:00</v>
      </c>
      <c r="B29" s="16">
        <f>'21'!B36</f>
        <v>4.1000000000000005</v>
      </c>
      <c r="C29" s="16">
        <f>'21'!C36</f>
        <v>41.584166666666668</v>
      </c>
      <c r="D29" s="16">
        <f>'21'!D36</f>
        <v>25.439166666666665</v>
      </c>
      <c r="E29" s="16">
        <f>'21'!E36</f>
        <v>5.020833333333333</v>
      </c>
      <c r="F29" s="16">
        <f>'21'!F36</f>
        <v>22.212916666666668</v>
      </c>
      <c r="G29" s="16">
        <f>'21'!G36</f>
        <v>60.649583333333339</v>
      </c>
      <c r="H29" s="16">
        <f>'21'!H36</f>
        <v>28.158333333333328</v>
      </c>
      <c r="I29" s="16">
        <f>'21'!I36</f>
        <v>11.275833333333333</v>
      </c>
      <c r="J29" s="16">
        <f>'21'!J36</f>
        <v>6.5720833333333326</v>
      </c>
      <c r="K29" s="16">
        <f>'21'!K36</f>
        <v>259.45374999999996</v>
      </c>
      <c r="L29" s="16">
        <f>'21'!L36</f>
        <v>36.757499999999993</v>
      </c>
      <c r="M29" s="16">
        <f>'21'!M36</f>
        <v>30.335833333333341</v>
      </c>
      <c r="N29" s="16">
        <f>'21'!N36</f>
        <v>225.98749999999995</v>
      </c>
      <c r="O29" s="16">
        <f>'21'!O36</f>
        <v>0</v>
      </c>
      <c r="P29" s="16">
        <f>'21'!P36</f>
        <v>0.61791666666666656</v>
      </c>
      <c r="Q29" s="16">
        <f>'21'!Q36</f>
        <v>28.287916666666661</v>
      </c>
      <c r="R29" s="32"/>
      <c r="S29" s="32"/>
      <c r="T29" s="32"/>
      <c r="U29" s="30"/>
    </row>
    <row r="30" spans="1:24" s="2" customFormat="1">
      <c r="A30" s="14" t="str">
        <f>'22'!$B$2</f>
        <v>22/04/2025 01:00</v>
      </c>
      <c r="B30" s="16">
        <f>'22'!B36</f>
        <v>7.2166666666666694</v>
      </c>
      <c r="C30" s="16">
        <f>'22'!C36</f>
        <v>40.428750000000001</v>
      </c>
      <c r="D30" s="16">
        <f>'22'!D36</f>
        <v>27.365833333333338</v>
      </c>
      <c r="E30" s="16">
        <f>'22'!E36</f>
        <v>8.27</v>
      </c>
      <c r="F30" s="16">
        <f>'22'!F36</f>
        <v>24.985833333333332</v>
      </c>
      <c r="G30" s="16">
        <f>'22'!G36</f>
        <v>77.042916666666656</v>
      </c>
      <c r="H30" s="16">
        <f>'22'!H36</f>
        <v>30.879166666666674</v>
      </c>
      <c r="I30" s="16">
        <f>'22'!I36</f>
        <v>12.91375</v>
      </c>
      <c r="J30" s="16">
        <f>'22'!J36</f>
        <v>6.0199999999999987</v>
      </c>
      <c r="K30" s="16">
        <f>'22'!K36</f>
        <v>258.94083333333333</v>
      </c>
      <c r="L30" s="16">
        <f>'22'!L36</f>
        <v>37.337916666666665</v>
      </c>
      <c r="M30" s="16">
        <f>'22'!M36</f>
        <v>21.758333333333336</v>
      </c>
      <c r="N30" s="16">
        <f>'22'!N36</f>
        <v>241.73333333333332</v>
      </c>
      <c r="O30" s="16">
        <f>'22'!O36</f>
        <v>0</v>
      </c>
      <c r="P30" s="16">
        <f>'22'!P36</f>
        <v>0.57750000000000001</v>
      </c>
      <c r="Q30" s="16">
        <f>'22'!Q36</f>
        <v>28.144166666666674</v>
      </c>
      <c r="R30" s="32"/>
      <c r="S30" s="30"/>
      <c r="T30" s="30"/>
      <c r="U30" s="30"/>
    </row>
    <row r="31" spans="1:24" s="2" customFormat="1">
      <c r="A31" s="14" t="str">
        <f>'23'!$B$2</f>
        <v>23/04/2025 01:00</v>
      </c>
      <c r="B31" s="16">
        <f>'23'!B36</f>
        <v>3.6708333333333338</v>
      </c>
      <c r="C31" s="16">
        <f>'23'!C36</f>
        <v>34.325833333333335</v>
      </c>
      <c r="D31" s="16">
        <f>'23'!D36</f>
        <v>22.419166666666666</v>
      </c>
      <c r="E31" s="16">
        <f>'23'!E36</f>
        <v>10.120416666666667</v>
      </c>
      <c r="F31" s="16">
        <f>'23'!F36</f>
        <v>28.142499999999998</v>
      </c>
      <c r="G31" s="16">
        <f>'23'!G36</f>
        <v>79.156666666666638</v>
      </c>
      <c r="H31" s="16">
        <f>'23'!H36</f>
        <v>30.811904761904771</v>
      </c>
      <c r="I31" s="16">
        <f>'23'!I36</f>
        <v>16.732916666666664</v>
      </c>
      <c r="J31" s="16">
        <f>'23'!J36</f>
        <v>4.3487500000000008</v>
      </c>
      <c r="K31" s="16">
        <f>'23'!K36</f>
        <v>224.01500000000001</v>
      </c>
      <c r="L31" s="16">
        <f>'23'!L36</f>
        <v>36.527083333333337</v>
      </c>
      <c r="M31" s="16">
        <f>'23'!M36</f>
        <v>23.482083333333325</v>
      </c>
      <c r="N31" s="16">
        <f>'23'!N36</f>
        <v>221.96666666666667</v>
      </c>
      <c r="O31" s="16">
        <f>'23'!O36</f>
        <v>0</v>
      </c>
      <c r="P31" s="16">
        <f>'23'!P36</f>
        <v>0.62083333333333346</v>
      </c>
      <c r="Q31" s="16">
        <f>'23'!Q36</f>
        <v>28.306666666666672</v>
      </c>
      <c r="R31" s="30"/>
      <c r="S31" s="30"/>
      <c r="T31" s="30"/>
      <c r="U31" s="30"/>
    </row>
    <row r="32" spans="1:24" s="2" customFormat="1">
      <c r="A32" s="14" t="str">
        <f>'24'!$B$2</f>
        <v>24/04/2025 01:00</v>
      </c>
      <c r="B32" s="16">
        <f>'24'!B36</f>
        <v>3.0379166666666673</v>
      </c>
      <c r="C32" s="16">
        <f>'24'!C36</f>
        <v>29.274166666666662</v>
      </c>
      <c r="D32" s="16">
        <f>'24'!D36</f>
        <v>18.340416666666666</v>
      </c>
      <c r="E32" s="16">
        <f>'24'!E36</f>
        <v>6.2408333333333346</v>
      </c>
      <c r="F32" s="16">
        <f>'24'!F36</f>
        <v>24.067499999999995</v>
      </c>
      <c r="G32" s="16">
        <f>'24'!G36</f>
        <v>67.760833333333338</v>
      </c>
      <c r="H32" s="16">
        <f>'24'!H36</f>
        <v>29.42874999999999</v>
      </c>
      <c r="I32" s="16">
        <f>'24'!I36</f>
        <v>13.651666666666666</v>
      </c>
      <c r="J32" s="16">
        <f>'24'!J36</f>
        <v>1.3004166666666668</v>
      </c>
      <c r="K32" s="16">
        <f>'24'!K36</f>
        <v>241.54541666666671</v>
      </c>
      <c r="L32" s="16">
        <f>'24'!L36</f>
        <v>37.170416666666675</v>
      </c>
      <c r="M32" s="16">
        <f>'24'!M36</f>
        <v>21.415000000000003</v>
      </c>
      <c r="N32" s="16">
        <f>'24'!N36</f>
        <v>239.07916666666665</v>
      </c>
      <c r="O32" s="16">
        <f>'24'!O36</f>
        <v>0</v>
      </c>
      <c r="P32" s="16">
        <f>'24'!P36</f>
        <v>0.60083333333333344</v>
      </c>
      <c r="Q32" s="16">
        <f>'24'!Q36</f>
        <v>28.543749999999999</v>
      </c>
      <c r="R32" s="30"/>
      <c r="S32" s="30"/>
      <c r="T32" s="30"/>
      <c r="U32" s="30"/>
    </row>
    <row r="33" spans="1:21" s="2" customFormat="1">
      <c r="A33" s="14" t="str">
        <f>'25'!$B$2</f>
        <v>25/04/2025 01:00</v>
      </c>
      <c r="B33" s="16">
        <f>'25'!B36</f>
        <v>3.7408333333333323</v>
      </c>
      <c r="C33" s="16">
        <f>'25'!C36</f>
        <v>31.423750000000002</v>
      </c>
      <c r="D33" s="16">
        <f>'25'!D36</f>
        <v>19.943333333333328</v>
      </c>
      <c r="E33" s="16">
        <f>'25'!E36</f>
        <v>10.317916666666664</v>
      </c>
      <c r="F33" s="16">
        <f>'25'!F36</f>
        <v>31.240000000000006</v>
      </c>
      <c r="G33" s="16">
        <f>'25'!G36</f>
        <v>70.499166666666653</v>
      </c>
      <c r="H33" s="16">
        <f>'25'!H36</f>
        <v>30.24625</v>
      </c>
      <c r="I33" s="16">
        <f>'25'!I36</f>
        <v>13.626250000000001</v>
      </c>
      <c r="J33" s="16">
        <f>'25'!J36</f>
        <v>1.0358333333333334</v>
      </c>
      <c r="K33" s="16">
        <f>'25'!K36</f>
        <v>236.48875000000007</v>
      </c>
      <c r="L33" s="16">
        <f>'25'!L36</f>
        <v>36.955000000000005</v>
      </c>
      <c r="M33" s="16">
        <f>'25'!M36</f>
        <v>21.799166666666668</v>
      </c>
      <c r="N33" s="16">
        <f>'25'!N36</f>
        <v>221.97083333333333</v>
      </c>
      <c r="O33" s="16">
        <f>'25'!O36</f>
        <v>0</v>
      </c>
      <c r="P33" s="16">
        <f>'25'!P36</f>
        <v>0.63583333333333347</v>
      </c>
      <c r="Q33" s="16">
        <f>'25'!Q36</f>
        <v>28.429166666666664</v>
      </c>
      <c r="R33" s="30"/>
      <c r="S33" s="30"/>
      <c r="T33" s="30"/>
      <c r="U33" s="30"/>
    </row>
    <row r="34" spans="1:21" s="2" customFormat="1">
      <c r="A34" s="14" t="str">
        <f>'26'!$B$2</f>
        <v>26/04/2025 01:00</v>
      </c>
      <c r="B34" s="16">
        <f>'26'!B36</f>
        <v>4.2379166666666679</v>
      </c>
      <c r="C34" s="16">
        <f>'26'!C36</f>
        <v>29.689583333333335</v>
      </c>
      <c r="D34" s="16">
        <f>'26'!D36</f>
        <v>19.426250000000003</v>
      </c>
      <c r="E34" s="16">
        <f>'26'!E36</f>
        <v>9.9087499999999995</v>
      </c>
      <c r="F34" s="16">
        <f>'26'!F36</f>
        <v>22.063333333333336</v>
      </c>
      <c r="G34" s="16">
        <f>'26'!G36</f>
        <v>67.462499999999991</v>
      </c>
      <c r="H34" s="16">
        <f>'26'!H36</f>
        <v>28.665416666666662</v>
      </c>
      <c r="I34" s="16">
        <f>'26'!I36</f>
        <v>13.076666666666666</v>
      </c>
      <c r="J34" s="16">
        <f>'26'!J36</f>
        <v>1.5737499999999998</v>
      </c>
      <c r="K34" s="16">
        <f>'26'!K36</f>
        <v>219.79750000000001</v>
      </c>
      <c r="L34" s="16">
        <f>'26'!L36</f>
        <v>36.363333333333337</v>
      </c>
      <c r="M34" s="16">
        <f>'26'!M36</f>
        <v>26.519166666666663</v>
      </c>
      <c r="N34" s="16">
        <f>'26'!N36</f>
        <v>209.06666666666663</v>
      </c>
      <c r="O34" s="16">
        <f>'26'!O36</f>
        <v>0</v>
      </c>
      <c r="P34" s="16">
        <f>'26'!P36</f>
        <v>0.67416666666666669</v>
      </c>
      <c r="Q34" s="16">
        <f>'26'!Q36</f>
        <v>28.452500000000004</v>
      </c>
      <c r="R34" s="30"/>
      <c r="S34" s="30"/>
      <c r="T34" s="30"/>
      <c r="U34" s="30"/>
    </row>
    <row r="35" spans="1:21" s="2" customFormat="1">
      <c r="A35" s="14" t="str">
        <f>'27'!$B$2</f>
        <v>27/04/2025 01:00</v>
      </c>
      <c r="B35" s="16">
        <f>'27'!B36</f>
        <v>2.7824999999999993</v>
      </c>
      <c r="C35" s="16">
        <f>'27'!C36</f>
        <v>27.519583333333333</v>
      </c>
      <c r="D35" s="16">
        <f>'27'!D36</f>
        <v>17.106249999999999</v>
      </c>
      <c r="E35" s="16">
        <f>'27'!E36</f>
        <v>3.5370833333333334</v>
      </c>
      <c r="F35" s="16">
        <f>'27'!F36</f>
        <v>12.325833333333335</v>
      </c>
      <c r="G35" s="16">
        <f>'27'!G36</f>
        <v>42.408333333333331</v>
      </c>
      <c r="H35" s="16">
        <f>'27'!H36</f>
        <v>18.975416666666664</v>
      </c>
      <c r="I35" s="16">
        <f>'27'!I36</f>
        <v>7.8591666666666704</v>
      </c>
      <c r="J35" s="16">
        <f>'27'!J36</f>
        <v>1.5650000000000002</v>
      </c>
      <c r="K35" s="16">
        <f>'27'!K36</f>
        <v>223.28749999999999</v>
      </c>
      <c r="L35" s="16">
        <f>'27'!L36</f>
        <v>31.027916666666666</v>
      </c>
      <c r="M35" s="16">
        <f>'27'!M36</f>
        <v>48.855416666666663</v>
      </c>
      <c r="N35" s="16">
        <f>'27'!N36</f>
        <v>276.125</v>
      </c>
      <c r="O35" s="16">
        <f>'27'!O36</f>
        <v>0.11666666666666665</v>
      </c>
      <c r="P35" s="16">
        <f>'27'!P36</f>
        <v>0.49625000000000008</v>
      </c>
      <c r="Q35" s="16">
        <f>'27'!Q36</f>
        <v>28.63208333333333</v>
      </c>
      <c r="R35" s="30"/>
      <c r="S35" s="30"/>
      <c r="T35" s="30"/>
      <c r="U35" s="30"/>
    </row>
    <row r="36" spans="1:21" s="2" customFormat="1">
      <c r="A36" s="14" t="str">
        <f>'28'!$B$2</f>
        <v>28/04/2025 01:00</v>
      </c>
      <c r="B36" s="16">
        <f>'28'!B36</f>
        <v>6.0712499999999991</v>
      </c>
      <c r="C36" s="16">
        <f>'28'!C36</f>
        <v>33.616250000000001</v>
      </c>
      <c r="D36" s="16">
        <f>'28'!D36</f>
        <v>22.879166666666674</v>
      </c>
      <c r="E36" s="16">
        <f>'28'!E36</f>
        <v>2.0720833333333331</v>
      </c>
      <c r="F36" s="16">
        <f>'28'!F36</f>
        <v>6.5929166666666665</v>
      </c>
      <c r="G36" s="16">
        <f>'28'!G36</f>
        <v>44.824166666666663</v>
      </c>
      <c r="H36" s="16">
        <f>'28'!H36</f>
        <v>16.458333333333332</v>
      </c>
      <c r="I36" s="16">
        <f>'28'!I36</f>
        <v>9.2099999999999991</v>
      </c>
      <c r="J36" s="16">
        <f>'28'!J36</f>
        <v>1.1949999999999998</v>
      </c>
      <c r="K36" s="16">
        <f>'28'!K36</f>
        <v>211.84916666666666</v>
      </c>
      <c r="L36" s="16">
        <f>'28'!L36</f>
        <v>28.806666666666661</v>
      </c>
      <c r="M36" s="16">
        <f>'28'!M36</f>
        <v>54.384166666666687</v>
      </c>
      <c r="N36" s="16">
        <f>'28'!N36</f>
        <v>263.51250000000005</v>
      </c>
      <c r="O36" s="16">
        <f>'28'!O36</f>
        <v>0.13333333333333333</v>
      </c>
      <c r="P36" s="16">
        <f>'28'!P36</f>
        <v>0.53291666666666671</v>
      </c>
      <c r="Q36" s="16">
        <f>'28'!Q36</f>
        <v>28.080000000000002</v>
      </c>
      <c r="R36" s="30"/>
      <c r="S36" s="30"/>
      <c r="T36" s="30"/>
      <c r="U36" s="30"/>
    </row>
    <row r="37" spans="1:21" s="2" customFormat="1">
      <c r="A37" s="14" t="str">
        <f>'29'!$B$2</f>
        <v>29/04/2025 01:00</v>
      </c>
      <c r="B37" s="16">
        <f>'29'!B36</f>
        <v>9.2104166666666636</v>
      </c>
      <c r="C37" s="16">
        <f>'29'!C36</f>
        <v>34.365833333333335</v>
      </c>
      <c r="D37" s="16">
        <f>'29'!D36</f>
        <v>25.794999999999998</v>
      </c>
      <c r="E37" s="16">
        <f>'29'!E36</f>
        <v>1.6054166666666667</v>
      </c>
      <c r="F37" s="16">
        <f>'29'!F36</f>
        <v>7.9416666666666673</v>
      </c>
      <c r="G37" s="16">
        <f>'29'!G36</f>
        <v>36.913333333333334</v>
      </c>
      <c r="H37" s="16">
        <f>'29'!H36</f>
        <v>15.627499999999998</v>
      </c>
      <c r="I37" s="16">
        <f>'29'!I36</f>
        <v>8.5716666666666672</v>
      </c>
      <c r="J37" s="16">
        <f>'29'!J36</f>
        <v>1.2375</v>
      </c>
      <c r="K37" s="16">
        <f>'29'!K36</f>
        <v>213.48708333333332</v>
      </c>
      <c r="L37" s="16">
        <f>'29'!L36</f>
        <v>29.800416666666663</v>
      </c>
      <c r="M37" s="16">
        <f>'29'!M36</f>
        <v>53.414166666666667</v>
      </c>
      <c r="N37" s="16">
        <f>'29'!N36</f>
        <v>277.73750000000001</v>
      </c>
      <c r="O37" s="16">
        <f>'29'!O36</f>
        <v>0</v>
      </c>
      <c r="P37" s="16">
        <f>'29'!P36</f>
        <v>0.5033333333333333</v>
      </c>
      <c r="Q37" s="16">
        <f>'29'!Q36</f>
        <v>27.951250000000002</v>
      </c>
      <c r="R37" s="30"/>
      <c r="S37" s="30"/>
      <c r="T37" s="30"/>
      <c r="U37" s="30"/>
    </row>
    <row r="38" spans="1:21" s="2" customFormat="1">
      <c r="A38" s="14" t="str">
        <f>'30'!$B$2</f>
        <v>30/04/2025 01:00</v>
      </c>
      <c r="B38" s="16">
        <f>'30'!B36</f>
        <v>5.7425000000000006</v>
      </c>
      <c r="C38" s="16">
        <f>'30'!C36</f>
        <v>32.908749999999998</v>
      </c>
      <c r="D38" s="16">
        <f>'30'!D36</f>
        <v>22.34833333333334</v>
      </c>
      <c r="E38" s="16">
        <f>'30'!E36</f>
        <v>1.8025</v>
      </c>
      <c r="F38" s="16">
        <f>'30'!F36</f>
        <v>11.125833333333333</v>
      </c>
      <c r="G38" s="16">
        <f>'30'!G36</f>
        <v>36.504583333333336</v>
      </c>
      <c r="H38" s="16">
        <f>'30'!H36</f>
        <v>18.16</v>
      </c>
      <c r="I38" s="16">
        <f>'30'!I36</f>
        <v>8.9229166666666675</v>
      </c>
      <c r="J38" s="16">
        <f>'30'!J36</f>
        <v>0.73999999999999988</v>
      </c>
      <c r="K38" s="16">
        <f>'30'!K36</f>
        <v>188.05541666666667</v>
      </c>
      <c r="L38" s="16">
        <f>'30'!L36</f>
        <v>30.498333333333331</v>
      </c>
      <c r="M38" s="16">
        <f>'30'!M36</f>
        <v>48.028333333333336</v>
      </c>
      <c r="N38" s="16">
        <f>'30'!N36</f>
        <v>285.73333333333329</v>
      </c>
      <c r="O38" s="16">
        <f>'30'!O36</f>
        <v>0</v>
      </c>
      <c r="P38" s="16">
        <f>'30'!P36</f>
        <v>0.49541666666666662</v>
      </c>
      <c r="Q38" s="16">
        <f>'30'!Q36</f>
        <v>28.172499999999996</v>
      </c>
      <c r="R38" s="30"/>
      <c r="S38" s="30"/>
      <c r="T38" s="30"/>
      <c r="U38" s="30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1" s="1" customFormat="1">
      <c r="A40" s="3" t="s">
        <v>48</v>
      </c>
      <c r="B40" s="18">
        <f t="shared" ref="B40:Q40" si="0">MIN(B9:B38)</f>
        <v>2.7824999999999993</v>
      </c>
      <c r="C40" s="18">
        <f t="shared" si="0"/>
        <v>14.269583333333335</v>
      </c>
      <c r="D40" s="18">
        <f t="shared" si="0"/>
        <v>12.287916666666662</v>
      </c>
      <c r="E40" s="18">
        <f t="shared" si="0"/>
        <v>1.6054166666666667</v>
      </c>
      <c r="F40" s="18">
        <f t="shared" si="0"/>
        <v>2.6691666666666674</v>
      </c>
      <c r="G40" s="18">
        <f t="shared" si="0"/>
        <v>36.504583333333336</v>
      </c>
      <c r="H40" s="18">
        <f t="shared" si="0"/>
        <v>0.90708333333333335</v>
      </c>
      <c r="I40" s="18">
        <f t="shared" si="0"/>
        <v>5.947916666666667</v>
      </c>
      <c r="J40" s="18">
        <f t="shared" si="0"/>
        <v>0.47375000000000006</v>
      </c>
      <c r="K40" s="18">
        <f t="shared" si="0"/>
        <v>178.45708333333334</v>
      </c>
      <c r="L40" s="18">
        <f t="shared" si="0"/>
        <v>28.316666666666666</v>
      </c>
      <c r="M40" s="18">
        <f t="shared" si="0"/>
        <v>21.415000000000003</v>
      </c>
      <c r="N40" s="18">
        <f t="shared" si="0"/>
        <v>117.12916666666666</v>
      </c>
      <c r="O40" s="18">
        <f t="shared" si="0"/>
        <v>0</v>
      </c>
      <c r="P40" s="18">
        <f t="shared" si="0"/>
        <v>0.47545454545454552</v>
      </c>
      <c r="Q40" s="18">
        <f t="shared" si="0"/>
        <v>27.951250000000002</v>
      </c>
      <c r="R40" s="18"/>
      <c r="S40" s="18"/>
      <c r="T40" s="18"/>
      <c r="U40" s="18"/>
    </row>
    <row r="41" spans="1:21" s="1" customFormat="1">
      <c r="A41" s="3" t="s">
        <v>49</v>
      </c>
      <c r="B41" s="18">
        <f t="shared" ref="B41:Q41" si="1">MAX(B9:B38)</f>
        <v>9.555416666666666</v>
      </c>
      <c r="C41" s="18">
        <f t="shared" si="1"/>
        <v>41.584166666666668</v>
      </c>
      <c r="D41" s="18">
        <f t="shared" si="1"/>
        <v>28.060833333333331</v>
      </c>
      <c r="E41" s="18">
        <f t="shared" si="1"/>
        <v>25.145</v>
      </c>
      <c r="F41" s="18">
        <f t="shared" si="1"/>
        <v>31.240000000000006</v>
      </c>
      <c r="G41" s="18">
        <f t="shared" si="1"/>
        <v>125.35083333333334</v>
      </c>
      <c r="H41" s="18">
        <f t="shared" si="1"/>
        <v>54.592083333333328</v>
      </c>
      <c r="I41" s="18">
        <f t="shared" si="1"/>
        <v>16.732916666666664</v>
      </c>
      <c r="J41" s="18">
        <f t="shared" si="1"/>
        <v>6.5720833333333326</v>
      </c>
      <c r="K41" s="18">
        <f t="shared" si="1"/>
        <v>266.39291666666662</v>
      </c>
      <c r="L41" s="18">
        <f t="shared" si="1"/>
        <v>37.337916666666665</v>
      </c>
      <c r="M41" s="18">
        <f t="shared" si="1"/>
        <v>57.404166666666647</v>
      </c>
      <c r="N41" s="18">
        <f t="shared" si="1"/>
        <v>285.73333333333329</v>
      </c>
      <c r="O41" s="18">
        <f t="shared" si="1"/>
        <v>0.13333333333333333</v>
      </c>
      <c r="P41" s="18">
        <f t="shared" si="1"/>
        <v>1.1245833333333333</v>
      </c>
      <c r="Q41" s="18">
        <f t="shared" si="1"/>
        <v>28.63208333333333</v>
      </c>
      <c r="R41" s="18"/>
      <c r="S41" s="18"/>
      <c r="T41" s="18"/>
      <c r="U41" s="18"/>
    </row>
    <row r="42" spans="1:21" s="1" customFormat="1">
      <c r="A42" s="3" t="s">
        <v>50</v>
      </c>
      <c r="B42" s="18">
        <f t="shared" ref="B42:Q42" si="2">AVERAGE(B9:B38)</f>
        <v>5.652694444444446</v>
      </c>
      <c r="C42" s="18">
        <f t="shared" si="2"/>
        <v>26.135111111111108</v>
      </c>
      <c r="D42" s="18">
        <f t="shared" si="2"/>
        <v>19.121347222222219</v>
      </c>
      <c r="E42" s="18">
        <f t="shared" si="2"/>
        <v>9.0109692028985542</v>
      </c>
      <c r="F42" s="18">
        <f t="shared" si="2"/>
        <v>12.222438271604938</v>
      </c>
      <c r="G42" s="18">
        <f t="shared" si="2"/>
        <v>62.863370169082152</v>
      </c>
      <c r="H42" s="18">
        <f t="shared" si="2"/>
        <v>23.34799970198884</v>
      </c>
      <c r="I42" s="18">
        <f t="shared" si="2"/>
        <v>9.9514305555555556</v>
      </c>
      <c r="J42" s="18">
        <f t="shared" si="2"/>
        <v>1.8144305555555555</v>
      </c>
      <c r="K42" s="18">
        <f t="shared" si="2"/>
        <v>228.45505555555559</v>
      </c>
      <c r="L42" s="18">
        <f t="shared" si="2"/>
        <v>32.667347222222226</v>
      </c>
      <c r="M42" s="18">
        <f t="shared" si="2"/>
        <v>37.136500000000005</v>
      </c>
      <c r="N42" s="18">
        <f t="shared" si="2"/>
        <v>222.86263888888888</v>
      </c>
      <c r="O42" s="18">
        <f t="shared" si="2"/>
        <v>9.4444444444444445E-3</v>
      </c>
      <c r="P42" s="18">
        <f t="shared" si="2"/>
        <v>0.65034527972027978</v>
      </c>
      <c r="Q42" s="18">
        <f t="shared" si="2"/>
        <v>28.206958333333333</v>
      </c>
      <c r="R42" s="18"/>
      <c r="S42" s="18"/>
      <c r="T42" s="18"/>
      <c r="U42" s="18"/>
    </row>
    <row r="43" spans="1:21" s="1" customFormat="1">
      <c r="A43" s="3" t="s">
        <v>51</v>
      </c>
      <c r="B43" s="18">
        <f t="shared" ref="B43:Q43" si="3">STDEV(B9:B38)</f>
        <v>1.7391426733268462</v>
      </c>
      <c r="C43" s="18">
        <f t="shared" si="3"/>
        <v>9.3745512069675172</v>
      </c>
      <c r="D43" s="18">
        <f t="shared" si="3"/>
        <v>4.8670560197484312</v>
      </c>
      <c r="E43" s="18">
        <f t="shared" si="3"/>
        <v>5.4987406241558796</v>
      </c>
      <c r="F43" s="18">
        <f t="shared" si="3"/>
        <v>9.0483835123599938</v>
      </c>
      <c r="G43" s="18">
        <f t="shared" si="3"/>
        <v>21.05086986249211</v>
      </c>
      <c r="H43" s="18">
        <f t="shared" si="3"/>
        <v>11.440743356712151</v>
      </c>
      <c r="I43" s="18">
        <f t="shared" si="3"/>
        <v>2.8681137475542395</v>
      </c>
      <c r="J43" s="18">
        <f t="shared" si="3"/>
        <v>1.93901672645219</v>
      </c>
      <c r="K43" s="18">
        <f t="shared" si="3"/>
        <v>22.254252675603034</v>
      </c>
      <c r="L43" s="18">
        <f t="shared" si="3"/>
        <v>2.5990180471529807</v>
      </c>
      <c r="M43" s="18">
        <f t="shared" si="3"/>
        <v>10.57819919340182</v>
      </c>
      <c r="N43" s="18">
        <f t="shared" si="3"/>
        <v>42.117493298136189</v>
      </c>
      <c r="O43" s="18">
        <f t="shared" si="3"/>
        <v>3.2068931185523862E-2</v>
      </c>
      <c r="P43" s="18">
        <f t="shared" si="3"/>
        <v>0.15152531467824473</v>
      </c>
      <c r="Q43" s="18">
        <f t="shared" si="3"/>
        <v>0.17123645840970114</v>
      </c>
      <c r="R43" s="18"/>
      <c r="S43" s="18"/>
      <c r="T43" s="18"/>
      <c r="U43" s="18"/>
    </row>
    <row r="44" spans="1:21" s="1" customFormat="1">
      <c r="A44" s="3" t="s">
        <v>52</v>
      </c>
      <c r="B44" s="3">
        <f t="shared" ref="B44:Q44" si="4">COUNT(B9:B38)</f>
        <v>30</v>
      </c>
      <c r="C44" s="3">
        <f t="shared" si="4"/>
        <v>30</v>
      </c>
      <c r="D44" s="3">
        <f t="shared" si="4"/>
        <v>30</v>
      </c>
      <c r="E44" s="3">
        <f t="shared" si="4"/>
        <v>30</v>
      </c>
      <c r="F44" s="3">
        <f>COUNT(F9:F38)+3</f>
        <v>30</v>
      </c>
      <c r="G44" s="3">
        <f t="shared" si="4"/>
        <v>30</v>
      </c>
      <c r="H44" s="3">
        <f t="shared" si="4"/>
        <v>30</v>
      </c>
      <c r="I44" s="3">
        <f t="shared" si="4"/>
        <v>30</v>
      </c>
      <c r="J44" s="3">
        <f t="shared" si="4"/>
        <v>30</v>
      </c>
      <c r="K44" s="3">
        <f t="shared" si="4"/>
        <v>30</v>
      </c>
      <c r="L44" s="3">
        <f t="shared" si="4"/>
        <v>30</v>
      </c>
      <c r="M44" s="3">
        <f t="shared" si="4"/>
        <v>30</v>
      </c>
      <c r="N44" s="3">
        <f t="shared" si="4"/>
        <v>30</v>
      </c>
      <c r="O44" s="3">
        <f t="shared" si="4"/>
        <v>30</v>
      </c>
      <c r="P44" s="3">
        <f t="shared" si="4"/>
        <v>30</v>
      </c>
      <c r="Q44" s="3">
        <f t="shared" si="4"/>
        <v>30</v>
      </c>
      <c r="R44" s="3"/>
      <c r="S44" s="3"/>
      <c r="T44" s="3"/>
      <c r="U44" s="3"/>
    </row>
    <row r="45" spans="1:21" s="1" customFormat="1">
      <c r="A45" s="3" t="s">
        <v>53</v>
      </c>
      <c r="B45" s="3" t="str">
        <f>IF(B44&gt;=28,"&gt;90%",IF(B44&lt;=28,"&lt;90%"))</f>
        <v>&gt;90%</v>
      </c>
      <c r="C45" s="3" t="str">
        <f t="shared" ref="C45:Q45" si="5">IF(C44&gt;=28,"&gt;90%",IF(C44&lt;=28,"&lt;90%"))</f>
        <v>&gt;90%</v>
      </c>
      <c r="D45" s="3" t="str">
        <f t="shared" si="5"/>
        <v>&gt;90%</v>
      </c>
      <c r="E45" s="3" t="str">
        <f t="shared" si="5"/>
        <v>&gt;90%</v>
      </c>
      <c r="F45" s="3" t="str">
        <f t="shared" si="5"/>
        <v>&gt;90%</v>
      </c>
      <c r="G45" s="3" t="str">
        <f t="shared" si="5"/>
        <v>&gt;90%</v>
      </c>
      <c r="H45" s="3" t="str">
        <f t="shared" si="5"/>
        <v>&gt;90%</v>
      </c>
      <c r="I45" s="3" t="str">
        <f t="shared" si="5"/>
        <v>&gt;90%</v>
      </c>
      <c r="J45" s="3" t="str">
        <f t="shared" si="5"/>
        <v>&gt;90%</v>
      </c>
      <c r="K45" s="3" t="str">
        <f t="shared" si="5"/>
        <v>&gt;90%</v>
      </c>
      <c r="L45" s="3" t="str">
        <f t="shared" si="5"/>
        <v>&gt;90%</v>
      </c>
      <c r="M45" s="3" t="str">
        <f t="shared" si="5"/>
        <v>&gt;90%</v>
      </c>
      <c r="N45" s="3" t="str">
        <f t="shared" si="5"/>
        <v>&gt;90%</v>
      </c>
      <c r="O45" s="3" t="str">
        <f t="shared" si="5"/>
        <v>&gt;90%</v>
      </c>
      <c r="P45" s="3" t="str">
        <f t="shared" si="5"/>
        <v>&gt;90%</v>
      </c>
      <c r="Q45" s="3" t="str">
        <f t="shared" si="5"/>
        <v>&gt;90%</v>
      </c>
      <c r="R45" s="3"/>
      <c r="S45" s="3"/>
      <c r="T45" s="3"/>
      <c r="U45" s="3"/>
    </row>
    <row r="46" spans="1:21" s="1" customFormat="1">
      <c r="A46" s="3" t="s">
        <v>54</v>
      </c>
      <c r="B46" s="3" t="str">
        <f>IF(B44&gt;=28,"OK",IF(B44&lt;=28,"LESS"))</f>
        <v>OK</v>
      </c>
      <c r="C46" s="3" t="str">
        <f t="shared" ref="C46:Q46" si="6">IF(C44&gt;=28,"OK",IF(C44&lt;=28,"LESS"))</f>
        <v>OK</v>
      </c>
      <c r="D46" s="3" t="str">
        <f t="shared" si="6"/>
        <v>OK</v>
      </c>
      <c r="E46" s="3" t="str">
        <f t="shared" si="6"/>
        <v>OK</v>
      </c>
      <c r="F46" s="3" t="str">
        <f t="shared" si="6"/>
        <v>OK</v>
      </c>
      <c r="G46" s="3" t="str">
        <f t="shared" si="6"/>
        <v>OK</v>
      </c>
      <c r="H46" s="3" t="str">
        <f t="shared" si="6"/>
        <v>OK</v>
      </c>
      <c r="I46" s="3" t="str">
        <f t="shared" si="6"/>
        <v>OK</v>
      </c>
      <c r="J46" s="3" t="str">
        <f t="shared" si="6"/>
        <v>OK</v>
      </c>
      <c r="K46" s="3" t="str">
        <f t="shared" si="6"/>
        <v>OK</v>
      </c>
      <c r="L46" s="3" t="str">
        <f t="shared" si="6"/>
        <v>OK</v>
      </c>
      <c r="M46" s="3" t="str">
        <f t="shared" si="6"/>
        <v>OK</v>
      </c>
      <c r="N46" s="3" t="str">
        <f t="shared" si="6"/>
        <v>OK</v>
      </c>
      <c r="O46" s="3" t="str">
        <f t="shared" si="6"/>
        <v>OK</v>
      </c>
      <c r="P46" s="3" t="str">
        <f t="shared" si="6"/>
        <v>OK</v>
      </c>
      <c r="Q46" s="3" t="str">
        <f t="shared" si="6"/>
        <v>OK</v>
      </c>
      <c r="R46" s="3"/>
      <c r="S46" s="3"/>
      <c r="T46" s="3"/>
      <c r="U46" s="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19" t="s">
        <v>59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</row>
    <row r="51" spans="1:16" ht="15.75">
      <c r="A51" s="21" t="s">
        <v>56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2025-08-26T13:05:21Z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